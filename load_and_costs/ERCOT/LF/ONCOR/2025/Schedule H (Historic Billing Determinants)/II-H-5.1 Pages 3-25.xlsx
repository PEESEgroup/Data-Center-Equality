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4332"/>
  <x:workbookPr defaultThemeVersion="124226"/>
  <mc:AlternateContent xmlns:mc="http://schemas.openxmlformats.org/markup-compatibility/2006">
    <mc:Choice Requires="x15">
      <x15ac:absPath xmlns:x15ac="http://schemas.microsoft.com/office/spreadsheetml/2010/11/ac" url="N:\2025 Rate Case\Section II (Test Year Data)\Schedule H (Historic Billing Determinants)\"/>
    </mc:Choice>
  </mc:AlternateContent>
  <xr:revisionPtr revIDLastSave="0" documentId="13_ncr:1_{79631CD2-D169-4924-9604-59D6AEBFEA35}" xr6:coauthVersionLast="47" xr6:coauthVersionMax="47" xr10:uidLastSave="{00000000-0000-0000-0000-000000000000}"/>
  <x:bookViews>
    <x:workbookView xWindow="-108" yWindow="-108" windowWidth="23256" windowHeight="12456" tabRatio="599" firstSheet="1" activeTab="1" xr2:uid="{00000000-000D-0000-FFFF-FFFF00000000}"/>
  </x:bookViews>
  <x:sheets>
    <x:sheet name="Base35" sheetId="7" state="hidden" r:id="rId1"/>
    <x:sheet name="Base45h" sheetId="6" r:id="rId2"/>
    <x:sheet name="Base55h" sheetId="53" r:id="rId3"/>
    <x:sheet name="Base60h" sheetId="32" r:id="rId4"/>
    <x:sheet name="Base65h" sheetId="56" r:id="rId5"/>
    <x:sheet name="Base50c" sheetId="57" r:id="rId6"/>
    <x:sheet name="Base55c" sheetId="54" r:id="rId7"/>
    <x:sheet name="Base60c" sheetId="43" r:id="rId8"/>
    <x:sheet name="Base65c" sheetId="33" r:id="rId9"/>
    <x:sheet name="Base70c" sheetId="36" r:id="rId10"/>
    <x:sheet name="Base75c" sheetId="37" r:id="rId11"/>
    <x:sheet name="Base80c" sheetId="38" r:id="rId12"/>
    <x:sheet name="Abilene (AE) Jan 2023" sheetId="45" r:id="rId13"/>
    <x:sheet name="Abilene (AE) Jul 2023" sheetId="58" r:id="rId14"/>
    <x:sheet name="Abilene (AE) Jan 2024" sheetId="59" r:id="rId15"/>
    <x:sheet name="Abilene (AE) Jul 2024" sheetId="60" r:id="rId16"/>
    <x:sheet name="January 21 23 bySite" sheetId="62" r:id="rId17"/>
    <x:sheet name="July 20 23 bySite" sheetId="47" r:id="rId18"/>
    <x:sheet name="January 14 24 bySite" sheetId="64" r:id="rId19"/>
    <x:sheet name="July 14 24 bySite" sheetId="66" r:id="rId20"/>
    <x:sheet name="Abilene Simple Averages" sheetId="50" r:id="rId21"/>
    <x:sheet name="Abilene Simple Averages2" sheetId="29" r:id="rId22"/>
    <x:sheet name="Abilene January Normal" sheetId="30" r:id="rId23"/>
    <x:sheet name="Abilene July Normal" sheetId="51" r:id="rId24"/>
  </x:sheets>
  <x:definedNames>
    <x:definedName name="_xlnm.Print_Area" localSheetId="20">'Abilene Simple Averages'!$A$1:$O$54</x:definedName>
    <x:definedName name="_xlnm.Print_Area" localSheetId="21">'Abilene Simple Averages2'!$A$1:$N$54</x:definedName>
    <x:definedName name="_xlnm.Print_Area" localSheetId="1">Base45h!$A$1:$L$40</x:definedName>
    <x:definedName name="_xlnm.Print_Area" localSheetId="5">Base50c!$A$1:$L$40</x:definedName>
    <x:definedName name="_xlnm.Print_Area" localSheetId="6">Base55c!$A$1:$L$40</x:definedName>
    <x:definedName name="_xlnm.Print_Area" localSheetId="2">Base55h!$A$1:$L$73</x:definedName>
    <x:definedName name="_xlnm.Print_Area" localSheetId="7">Base60c!$A$1:$L$40</x:definedName>
    <x:definedName name="_xlnm.Print_Area" localSheetId="3">Base60h!$A$1:$L$40</x:definedName>
    <x:definedName name="_xlnm.Print_Area" localSheetId="8">Base65c!$A$1:$L$40</x:definedName>
    <x:definedName name="_xlnm.Print_Area" localSheetId="4">Base65h!$A$1:$L$40</x:definedName>
    <x:definedName name="_xlnm.Print_Area" localSheetId="9">Base70c!$A$1:$L$40</x:definedName>
    <x:definedName name="_xlnm.Print_Area" localSheetId="10">Base75c!$A$1:$L$40</x:definedName>
    <x:definedName name="_xlnm.Print_Area" localSheetId="11">Base80c!$A$1:$L$40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I24" i="62" l="1"/>
  <x:c r="H24" i="62"/>
  <x:c r="D20" i="29" l="1"/>
  <x:c r="D21" i="29"/>
  <x:c r="D31" i="29" s="1"/>
  <x:c r="D11" i="50"/>
  <x:c r="D12" i="50"/>
  <x:c r="D13" i="50"/>
  <x:c r="D14" i="50"/>
  <x:c r="D15" i="50"/>
  <x:c r="D16" i="50"/>
  <x:c r="D17" i="50"/>
  <x:c r="D18" i="50"/>
  <x:c r="D19" i="50"/>
  <x:c r="D20" i="50"/>
  <x:c r="D21" i="50"/>
  <x:c r="D22" i="50"/>
  <x:c r="D23" i="50"/>
  <x:c r="D24" i="50"/>
  <x:c r="D25" i="50"/>
  <x:c r="D26" i="50"/>
  <x:c r="D27" i="50"/>
  <x:c r="D28" i="50"/>
  <x:c r="D29" i="50"/>
  <x:c r="D30" i="50"/>
  <x:c r="D31" i="50"/>
  <x:c r="B6" i="51"/>
  <x:c r="B4" i="51"/>
  <x:c r="B3" i="51"/>
  <x:c r="B2" i="51"/>
  <x:c r="B1" i="51"/>
  <x:c r="B6" i="30"/>
  <x:c r="B4" i="30"/>
  <x:c r="B3" i="30"/>
  <x:c r="B2" i="30"/>
  <x:c r="B1" i="30"/>
  <x:c r="B6" i="29"/>
  <x:c r="B4" i="29"/>
  <x:c r="B3" i="29"/>
  <x:c r="B2" i="29"/>
  <x:c r="B1" i="29"/>
  <x:c r="B6" i="50"/>
  <x:c r="B4" i="50"/>
  <x:c r="B3" i="50"/>
  <x:c r="B2" i="50"/>
  <x:c r="B1" i="50"/>
  <x:c r="G58" i="59"/>
  <x:c r="H58" i="59"/>
  <x:c r="H45" i="59"/>
  <x:c r="B6" i="47"/>
  <x:c r="B4" i="47"/>
  <x:c r="B3" i="47"/>
  <x:c r="B2" i="47"/>
  <x:c r="B1" i="47"/>
  <x:c r="B6" i="64"/>
  <x:c r="B4" i="64"/>
  <x:c r="B3" i="64"/>
  <x:c r="B2" i="64"/>
  <x:c r="B1" i="64"/>
  <x:c r="B6" i="66"/>
  <x:c r="B4" i="66"/>
  <x:c r="B3" i="66"/>
  <x:c r="B2" i="66"/>
  <x:c r="B1" i="66"/>
  <x:c r="B6" i="62"/>
  <x:c r="B4" i="62"/>
  <x:c r="B3" i="62"/>
  <x:c r="B2" i="62"/>
  <x:c r="B1" i="62"/>
  <x:c r="H45" i="45"/>
  <x:c r="G24" i="64" l="1"/>
  <x:c r="H24" i="64" s="1"/>
  <x:c r="B6" i="59"/>
  <x:c r="B4" i="59"/>
  <x:c r="B3" i="59"/>
  <x:c r="B2" i="59"/>
  <x:c r="B1" i="59"/>
  <x:c r="B6" i="60"/>
  <x:c r="B4" i="60"/>
  <x:c r="B3" i="60"/>
  <x:c r="B2" i="60"/>
  <x:c r="B1" i="60"/>
  <x:c r="B6" i="58"/>
  <x:c r="B4" i="58"/>
  <x:c r="B3" i="58"/>
  <x:c r="B2" i="58"/>
  <x:c r="B1" i="58"/>
  <x:c r="B6" i="45"/>
  <x:c r="B2" i="45"/>
  <x:c r="B3" i="45"/>
  <x:c r="B4" i="45"/>
  <x:c r="B1" i="45"/>
  <x:c r="B39" i="56" l="1"/>
  <x:c r="B38" i="56"/>
  <x:c r="B37" i="56"/>
  <x:c r="B36" i="56"/>
  <x:c r="B35" i="56"/>
  <x:c r="B34" i="56"/>
  <x:c r="B33" i="56"/>
  <x:c r="B32" i="56"/>
  <x:c r="B31" i="56"/>
  <x:c r="B30" i="56"/>
  <x:c r="B29" i="56"/>
  <x:c r="B28" i="56"/>
  <x:c r="B39" i="57"/>
  <x:c r="B38" i="57"/>
  <x:c r="B37" i="57"/>
  <x:c r="B36" i="57"/>
  <x:c r="B35" i="57"/>
  <x:c r="B34" i="57"/>
  <x:c r="B33" i="57"/>
  <x:c r="B32" i="57"/>
  <x:c r="B31" i="57"/>
  <x:c r="B30" i="57"/>
  <x:c r="B29" i="57"/>
  <x:c r="B28" i="57"/>
  <x:c r="B39" i="54"/>
  <x:c r="B38" i="54"/>
  <x:c r="B37" i="54"/>
  <x:c r="B36" i="54"/>
  <x:c r="B35" i="54"/>
  <x:c r="B34" i="54"/>
  <x:c r="B33" i="54"/>
  <x:c r="B32" i="54"/>
  <x:c r="B31" i="54"/>
  <x:c r="B30" i="54"/>
  <x:c r="B29" i="54"/>
  <x:c r="B28" i="54"/>
  <x:c r="B39" i="43"/>
  <x:c r="B38" i="43"/>
  <x:c r="B37" i="43"/>
  <x:c r="B36" i="43"/>
  <x:c r="B35" i="43"/>
  <x:c r="B34" i="43"/>
  <x:c r="B33" i="43"/>
  <x:c r="B32" i="43"/>
  <x:c r="B31" i="43"/>
  <x:c r="B30" i="43"/>
  <x:c r="B29" i="43"/>
  <x:c r="B28" i="43"/>
  <x:c r="B39" i="33"/>
  <x:c r="B38" i="33"/>
  <x:c r="B37" i="33"/>
  <x:c r="B36" i="33"/>
  <x:c r="B35" i="33"/>
  <x:c r="B34" i="33"/>
  <x:c r="B33" i="33"/>
  <x:c r="B32" i="33"/>
  <x:c r="B31" i="33"/>
  <x:c r="B30" i="33"/>
  <x:c r="B29" i="33"/>
  <x:c r="B28" i="33"/>
  <x:c r="B39" i="36"/>
  <x:c r="B38" i="36"/>
  <x:c r="B37" i="36"/>
  <x:c r="B36" i="36"/>
  <x:c r="B35" i="36"/>
  <x:c r="B34" i="36"/>
  <x:c r="B33" i="36"/>
  <x:c r="B32" i="36"/>
  <x:c r="B31" i="36"/>
  <x:c r="B30" i="36"/>
  <x:c r="B29" i="36"/>
  <x:c r="B28" i="36"/>
  <x:c r="B39" i="37"/>
  <x:c r="B38" i="37"/>
  <x:c r="B37" i="37"/>
  <x:c r="B36" i="37"/>
  <x:c r="B35" i="37"/>
  <x:c r="B34" i="37"/>
  <x:c r="B33" i="37"/>
  <x:c r="B32" i="37"/>
  <x:c r="B31" i="37"/>
  <x:c r="B30" i="37"/>
  <x:c r="B29" i="37"/>
  <x:c r="B28" i="37"/>
  <x:c r="B39" i="38"/>
  <x:c r="B38" i="38"/>
  <x:c r="B37" i="38"/>
  <x:c r="B36" i="38"/>
  <x:c r="B35" i="38"/>
  <x:c r="B34" i="38"/>
  <x:c r="B33" i="38"/>
  <x:c r="B32" i="38"/>
  <x:c r="B31" i="38"/>
  <x:c r="B30" i="38"/>
  <x:c r="B29" i="38"/>
  <x:c r="B28" i="38"/>
  <x:c r="B39" i="53"/>
  <x:c r="B38" i="53"/>
  <x:c r="B37" i="53"/>
  <x:c r="B36" i="53"/>
  <x:c r="B35" i="53"/>
  <x:c r="B34" i="53"/>
  <x:c r="B33" i="53"/>
  <x:c r="B32" i="53"/>
  <x:c r="B31" i="53"/>
  <x:c r="B30" i="53"/>
  <x:c r="B29" i="53"/>
  <x:c r="B28" i="53"/>
  <x:c r="B39" i="32"/>
  <x:c r="B38" i="32"/>
  <x:c r="B37" i="32"/>
  <x:c r="B36" i="32"/>
  <x:c r="B35" i="32"/>
  <x:c r="B34" i="32"/>
  <x:c r="B33" i="32"/>
  <x:c r="B32" i="32"/>
  <x:c r="B31" i="32"/>
  <x:c r="B30" i="32"/>
  <x:c r="B29" i="32"/>
  <x:c r="B28" i="32"/>
  <x:c r="B22" i="32"/>
  <x:c r="B21" i="32"/>
  <x:c r="B20" i="32"/>
  <x:c r="B19" i="32"/>
  <x:c r="B18" i="32"/>
  <x:c r="B17" i="32"/>
  <x:c r="B16" i="32"/>
  <x:c r="B15" i="32"/>
  <x:c r="B14" i="32"/>
  <x:c r="B13" i="32"/>
  <x:c r="B12" i="32"/>
  <x:c r="B11" i="32"/>
  <x:c r="B22" i="56"/>
  <x:c r="B21" i="56"/>
  <x:c r="B20" i="56"/>
  <x:c r="B19" i="56"/>
  <x:c r="B18" i="56"/>
  <x:c r="B17" i="56"/>
  <x:c r="B16" i="56"/>
  <x:c r="B15" i="56"/>
  <x:c r="B14" i="56"/>
  <x:c r="B13" i="56"/>
  <x:c r="B12" i="56"/>
  <x:c r="B11" i="56"/>
  <x:c r="B22" i="57"/>
  <x:c r="B21" i="57"/>
  <x:c r="B20" i="57"/>
  <x:c r="B19" i="57"/>
  <x:c r="B18" i="57"/>
  <x:c r="B17" i="57"/>
  <x:c r="B16" i="57"/>
  <x:c r="B15" i="57"/>
  <x:c r="B14" i="57"/>
  <x:c r="B13" i="57"/>
  <x:c r="B12" i="57"/>
  <x:c r="B11" i="57"/>
  <x:c r="B22" i="54"/>
  <x:c r="B21" i="54"/>
  <x:c r="B20" i="54"/>
  <x:c r="B19" i="54"/>
  <x:c r="B18" i="54"/>
  <x:c r="B17" i="54"/>
  <x:c r="B16" i="54"/>
  <x:c r="B15" i="54"/>
  <x:c r="B14" i="54"/>
  <x:c r="B13" i="54"/>
  <x:c r="B12" i="54"/>
  <x:c r="B11" i="54"/>
  <x:c r="B22" i="43"/>
  <x:c r="B21" i="43"/>
  <x:c r="B20" i="43"/>
  <x:c r="B19" i="43"/>
  <x:c r="B18" i="43"/>
  <x:c r="B17" i="43"/>
  <x:c r="B16" i="43"/>
  <x:c r="B15" i="43"/>
  <x:c r="B14" i="43"/>
  <x:c r="B13" i="43"/>
  <x:c r="B12" i="43"/>
  <x:c r="B11" i="43"/>
  <x:c r="B22" i="33"/>
  <x:c r="B21" i="33"/>
  <x:c r="B20" i="33"/>
  <x:c r="B19" i="33"/>
  <x:c r="B18" i="33"/>
  <x:c r="B17" i="33"/>
  <x:c r="B16" i="33"/>
  <x:c r="B15" i="33"/>
  <x:c r="B14" i="33"/>
  <x:c r="B13" i="33"/>
  <x:c r="B12" i="33"/>
  <x:c r="B11" i="33"/>
  <x:c r="B22" i="36"/>
  <x:c r="B21" i="36"/>
  <x:c r="B20" i="36"/>
  <x:c r="B19" i="36"/>
  <x:c r="B18" i="36"/>
  <x:c r="B17" i="36"/>
  <x:c r="B16" i="36"/>
  <x:c r="B15" i="36"/>
  <x:c r="B14" i="36"/>
  <x:c r="B13" i="36"/>
  <x:c r="B12" i="36"/>
  <x:c r="B11" i="36"/>
  <x:c r="B22" i="37"/>
  <x:c r="B21" i="37"/>
  <x:c r="B20" i="37"/>
  <x:c r="B19" i="37"/>
  <x:c r="B18" i="37"/>
  <x:c r="B17" i="37"/>
  <x:c r="B16" i="37"/>
  <x:c r="B15" i="37"/>
  <x:c r="B14" i="37"/>
  <x:c r="B13" i="37"/>
  <x:c r="B12" i="37"/>
  <x:c r="B11" i="37"/>
  <x:c r="B22" i="38"/>
  <x:c r="B21" i="38"/>
  <x:c r="B20" i="38"/>
  <x:c r="B19" i="38"/>
  <x:c r="B18" i="38"/>
  <x:c r="B17" i="38"/>
  <x:c r="B16" i="38"/>
  <x:c r="B15" i="38"/>
  <x:c r="B14" i="38"/>
  <x:c r="B13" i="38"/>
  <x:c r="B12" i="38"/>
  <x:c r="B11" i="38"/>
  <x:c r="B22" i="53"/>
  <x:c r="B21" i="53"/>
  <x:c r="B20" i="53"/>
  <x:c r="B19" i="53"/>
  <x:c r="B18" i="53"/>
  <x:c r="B17" i="53"/>
  <x:c r="B16" i="53"/>
  <x:c r="B15" i="53"/>
  <x:c r="B14" i="53"/>
  <x:c r="B13" i="53"/>
  <x:c r="B12" i="53"/>
  <x:c r="B11" i="53"/>
  <x:c r="B6" i="53"/>
  <x:c r="B4" i="53"/>
  <x:c r="B3" i="53"/>
  <x:c r="B2" i="53"/>
  <x:c r="B1" i="53"/>
  <x:c r="B6" i="32"/>
  <x:c r="B4" i="32"/>
  <x:c r="B3" i="32"/>
  <x:c r="B2" i="32"/>
  <x:c r="B1" i="32"/>
  <x:c r="B6" i="56"/>
  <x:c r="B4" i="56"/>
  <x:c r="B3" i="56"/>
  <x:c r="B2" i="56"/>
  <x:c r="B1" i="56"/>
  <x:c r="B6" i="57"/>
  <x:c r="B4" i="57"/>
  <x:c r="B3" i="57"/>
  <x:c r="B2" i="57"/>
  <x:c r="B1" i="57"/>
  <x:c r="B6" i="54"/>
  <x:c r="B4" i="54"/>
  <x:c r="B3" i="54"/>
  <x:c r="B2" i="54"/>
  <x:c r="B1" i="54"/>
  <x:c r="B6" i="43"/>
  <x:c r="B4" i="43"/>
  <x:c r="B3" i="43"/>
  <x:c r="B2" i="43"/>
  <x:c r="B1" i="43"/>
  <x:c r="B6" i="33"/>
  <x:c r="B4" i="33"/>
  <x:c r="B3" i="33"/>
  <x:c r="B2" i="33"/>
  <x:c r="B1" i="33"/>
  <x:c r="B6" i="36"/>
  <x:c r="B4" i="36"/>
  <x:c r="B3" i="36"/>
  <x:c r="B2" i="36"/>
  <x:c r="B1" i="36"/>
  <x:c r="B6" i="37"/>
  <x:c r="B4" i="37"/>
  <x:c r="B3" i="37"/>
  <x:c r="B2" i="37"/>
  <x:c r="B1" i="37"/>
  <x:c r="B6" i="38"/>
  <x:c r="B4" i="38"/>
  <x:c r="B3" i="38"/>
  <x:c r="B2" i="38"/>
  <x:c r="B1" i="38"/>
  <x:c r="F43" i="51" l="1"/>
  <x:c r="G43" i="51"/>
  <x:c r="H43" i="51"/>
  <x:c r="G43" i="30"/>
  <x:c r="H43" i="30"/>
  <x:c r="F43" i="30"/>
  <x:c r="G12" i="29" l="1"/>
  <x:c r="H12" i="29"/>
  <x:c r="I12" i="29"/>
  <x:c r="G13" i="29"/>
  <x:c r="H13" i="29"/>
  <x:c r="I13" i="29"/>
  <x:c r="G14" i="29"/>
  <x:c r="H14" i="29"/>
  <x:c r="I14" i="29"/>
  <x:c r="G15" i="29"/>
  <x:c r="H15" i="29"/>
  <x:c r="I15" i="29"/>
  <x:c r="G16" i="29"/>
  <x:c r="H16" i="29"/>
  <x:c r="I16" i="29"/>
  <x:c r="G17" i="29"/>
  <x:c r="H17" i="29"/>
  <x:c r="I17" i="29"/>
  <x:c r="G18" i="29"/>
  <x:c r="H18" i="29"/>
  <x:c r="I18" i="29"/>
  <x:c r="G19" i="29"/>
  <x:c r="H19" i="29"/>
  <x:c r="I19" i="29"/>
  <x:c r="G20" i="29"/>
  <x:c r="H20" i="29"/>
  <x:c r="I20" i="29"/>
  <x:c r="G21" i="29"/>
  <x:c r="H21" i="29"/>
  <x:c r="I21" i="29"/>
  <x:c r="G22" i="29"/>
  <x:c r="H22" i="29"/>
  <x:c r="I22" i="29"/>
  <x:c r="G23" i="29"/>
  <x:c r="H23" i="29"/>
  <x:c r="I23" i="29"/>
  <x:c r="G24" i="29"/>
  <x:c r="H24" i="29"/>
  <x:c r="I24" i="29"/>
  <x:c r="G25" i="29"/>
  <x:c r="H25" i="29"/>
  <x:c r="I25" i="29"/>
  <x:c r="G26" i="29"/>
  <x:c r="H26" i="29"/>
  <x:c r="I26" i="29"/>
  <x:c r="G27" i="29"/>
  <x:c r="H27" i="29"/>
  <x:c r="I27" i="29"/>
  <x:c r="G28" i="29"/>
  <x:c r="H28" i="29"/>
  <x:c r="I28" i="29"/>
  <x:c r="G29" i="29"/>
  <x:c r="H29" i="29"/>
  <x:c r="I29" i="29"/>
  <x:c r="G30" i="29"/>
  <x:c r="H30" i="29"/>
  <x:c r="I30" i="29"/>
  <x:c r="I11" i="29"/>
  <x:c r="H11" i="29"/>
  <x:c r="G11" i="29"/>
  <x:c r="I31" i="29" l="1"/>
  <x:c r="G31" i="29"/>
  <x:c r="H31" i="29"/>
  <x:c r="G33" i="64" l="1"/>
  <x:c r="G27" i="64"/>
  <x:c r="G44" i="50" l="1"/>
  <x:c r="H44" i="50"/>
  <x:c r="I44" i="50"/>
  <x:c r="G37" i="50"/>
  <x:c r="H37" i="50"/>
  <x:c r="I37" i="50"/>
  <x:c r="G38" i="50"/>
  <x:c r="H38" i="50"/>
  <x:c r="I38" i="50"/>
  <x:c r="G50" i="50"/>
  <x:c r="H50" i="50"/>
  <x:c r="I50" i="50"/>
  <x:c r="G39" i="50"/>
  <x:c r="H39" i="50"/>
  <x:c r="I39" i="50"/>
  <x:c r="G45" i="50"/>
  <x:c r="H45" i="50"/>
  <x:c r="I45" i="50"/>
  <x:c r="G51" i="50"/>
  <x:c r="H51" i="50"/>
  <x:c r="I51" i="50"/>
  <x:c r="G49" i="50"/>
  <x:c r="H49" i="50"/>
  <x:c r="I49" i="50"/>
  <x:c r="G34" i="50"/>
  <x:c r="I34" i="50"/>
  <x:c r="H34" i="50"/>
  <x:c r="G40" i="50"/>
  <x:c r="H40" i="50"/>
  <x:c r="I40" i="50"/>
  <x:c r="G52" i="50"/>
  <x:c r="H52" i="50"/>
  <x:c r="I52" i="50"/>
  <x:c r="G46" i="50"/>
  <x:c r="H46" i="50"/>
  <x:c r="I46" i="50"/>
  <x:c r="G43" i="50"/>
  <x:c r="H43" i="50"/>
  <x:c r="I43" i="50"/>
  <x:c r="G41" i="50"/>
  <x:c r="H41" i="50"/>
  <x:c r="I41" i="50"/>
  <x:c r="G53" i="50"/>
  <x:c r="H53" i="50"/>
  <x:c r="I53" i="50"/>
  <x:c r="G35" i="50"/>
  <x:c r="H35" i="50"/>
  <x:c r="I35" i="50"/>
  <x:c r="G47" i="50"/>
  <x:c r="H47" i="50"/>
  <x:c r="I47" i="50"/>
  <x:c r="G36" i="50"/>
  <x:c r="I36" i="50"/>
  <x:c r="H36" i="50"/>
  <x:c r="G42" i="50"/>
  <x:c r="H42" i="50"/>
  <x:c r="I42" i="50"/>
  <x:c r="G48" i="50"/>
  <x:c r="H48" i="50"/>
  <x:c r="I48" i="50"/>
  <x:c r="H47" i="29"/>
  <x:c r="I47" i="29"/>
  <x:c r="G47" i="29"/>
  <x:c r="G37" i="29"/>
  <x:c r="H37" i="29"/>
  <x:c r="I37" i="29"/>
  <x:c r="G49" i="29"/>
  <x:c r="H49" i="29"/>
  <x:c r="I49" i="29"/>
  <x:c r="G41" i="29"/>
  <x:c r="H41" i="29"/>
  <x:c r="I41" i="29"/>
  <x:c r="G48" i="29"/>
  <x:c r="H48" i="29"/>
  <x:c r="I48" i="29"/>
  <x:c r="H43" i="29"/>
  <x:c r="I43" i="29"/>
  <x:c r="G43" i="29"/>
  <x:c r="G53" i="29"/>
  <x:c r="H53" i="29"/>
  <x:c r="I53" i="29"/>
  <x:c r="G50" i="29"/>
  <x:c r="H50" i="29"/>
  <x:c r="I50" i="29"/>
  <x:c r="I35" i="29"/>
  <x:c r="G35" i="29"/>
  <x:c r="H35" i="29"/>
  <x:c r="G36" i="29"/>
  <x:c r="H36" i="29"/>
  <x:c r="I36" i="29"/>
  <x:c r="G38" i="29"/>
  <x:c r="H38" i="29"/>
  <x:c r="I38" i="29"/>
  <x:c r="I51" i="29"/>
  <x:c r="H51" i="29"/>
  <x:c r="G51" i="29"/>
  <x:c r="G42" i="29"/>
  <x:c r="H42" i="29"/>
  <x:c r="I42" i="29"/>
  <x:c r="G44" i="29"/>
  <x:c r="H44" i="29"/>
  <x:c r="I44" i="29"/>
  <x:c r="I39" i="29"/>
  <x:c r="G39" i="29"/>
  <x:c r="H39" i="29"/>
  <x:c r="G45" i="29"/>
  <x:c r="H45" i="29"/>
  <x:c r="I45" i="29"/>
  <x:c r="H34" i="29"/>
  <x:c r="I34" i="29"/>
  <x:c r="G34" i="29"/>
  <x:c r="G40" i="29"/>
  <x:c r="H40" i="29"/>
  <x:c r="I40" i="29"/>
  <x:c r="G46" i="29"/>
  <x:c r="H46" i="29"/>
  <x:c r="I46" i="29"/>
  <x:c r="G52" i="29"/>
  <x:c r="H52" i="29"/>
  <x:c r="I52" i="29"/>
  <x:c r="G21" i="50"/>
  <x:c r="H21" i="50"/>
  <x:c r="I21" i="50"/>
  <x:c r="G22" i="50"/>
  <x:c r="H22" i="50"/>
  <x:c r="I22" i="50"/>
  <x:c r="G17" i="50"/>
  <x:c r="I17" i="50"/>
  <x:c r="H17" i="50"/>
  <x:c r="G23" i="50"/>
  <x:c r="H23" i="50"/>
  <x:c r="I23" i="50"/>
  <x:c r="G29" i="50"/>
  <x:c r="H29" i="50"/>
  <x:c r="I29" i="50"/>
  <x:c r="G30" i="50"/>
  <x:c r="H30" i="50"/>
  <x:c r="I30" i="50"/>
  <x:c r="G25" i="50"/>
  <x:c r="H25" i="50"/>
  <x:c r="I25" i="50"/>
  <x:c r="G27" i="50"/>
  <x:c r="H27" i="50"/>
  <x:c r="I27" i="50"/>
  <x:c r="G28" i="50"/>
  <x:c r="H28" i="50"/>
  <x:c r="I28" i="50"/>
  <x:c r="G11" i="50"/>
  <x:c r="H11" i="50"/>
  <x:c r="I11" i="50"/>
  <x:c r="G18" i="50"/>
  <x:c r="H18" i="50"/>
  <x:c r="I18" i="50"/>
  <x:c r="G13" i="50"/>
  <x:c r="H13" i="50"/>
  <x:c r="I13" i="50"/>
  <x:c r="G26" i="50"/>
  <x:c r="I26" i="50"/>
  <x:c r="H26" i="50"/>
  <x:c r="G15" i="50"/>
  <x:c r="H15" i="50"/>
  <x:c r="I15" i="50"/>
  <x:c r="G16" i="50"/>
  <x:c r="H16" i="50"/>
  <x:c r="I16" i="50"/>
  <x:c r="G12" i="50"/>
  <x:c r="I12" i="50"/>
  <x:c r="H12" i="50"/>
  <x:c r="G24" i="50"/>
  <x:c r="I24" i="50"/>
  <x:c r="H24" i="50"/>
  <x:c r="G19" i="50"/>
  <x:c r="I19" i="50"/>
  <x:c r="H19" i="50"/>
  <x:c r="G14" i="50"/>
  <x:c r="I14" i="50"/>
  <x:c r="H14" i="50"/>
  <x:c r="G20" i="50"/>
  <x:c r="I20" i="50"/>
  <x:c r="H20" i="50"/>
  <x:c r="A10" i="66"/>
  <x:c r="A11" i="66" s="1"/>
  <x:c r="A12" i="66" s="1"/>
  <x:c r="A13" i="66" s="1"/>
  <x:c r="A14" i="66" s="1"/>
  <x:c r="A15" i="66" s="1"/>
  <x:c r="A16" i="66" s="1"/>
  <x:c r="A17" i="66" s="1"/>
  <x:c r="A18" i="66" s="1"/>
  <x:c r="A19" i="66" s="1"/>
  <x:c r="A20" i="66" s="1"/>
  <x:c r="A21" i="66" s="1"/>
  <x:c r="A22" i="66" s="1"/>
  <x:c r="A23" i="66" s="1"/>
  <x:c r="A24" i="66" s="1"/>
  <x:c r="A25" i="66" s="1"/>
  <x:c r="A26" i="66" s="1"/>
  <x:c r="A27" i="66" s="1"/>
  <x:c r="A28" i="66" s="1"/>
  <x:c r="A29" i="66" s="1"/>
  <x:c r="A30" i="66" s="1"/>
  <x:c r="A31" i="66" s="1"/>
  <x:c r="A32" i="66" s="1"/>
  <x:c r="A33" i="66" s="1"/>
  <x:c r="A10" i="64"/>
  <x:c r="A11" i="64" s="1"/>
  <x:c r="A12" i="64" s="1"/>
  <x:c r="A13" i="64" s="1"/>
  <x:c r="A14" i="64" s="1"/>
  <x:c r="A15" i="64" s="1"/>
  <x:c r="A16" i="64" s="1"/>
  <x:c r="A17" i="64" s="1"/>
  <x:c r="A18" i="64" s="1"/>
  <x:c r="A19" i="64" s="1"/>
  <x:c r="A20" i="64" s="1"/>
  <x:c r="A21" i="64" s="1"/>
  <x:c r="A22" i="64" s="1"/>
  <x:c r="A23" i="64" s="1"/>
  <x:c r="A24" i="64" s="1"/>
  <x:c r="A25" i="64" s="1"/>
  <x:c r="A26" i="64" s="1"/>
  <x:c r="A27" i="64" s="1"/>
  <x:c r="A28" i="64" s="1"/>
  <x:c r="A29" i="64" s="1"/>
  <x:c r="A30" i="64" s="1"/>
  <x:c r="A31" i="64" s="1"/>
  <x:c r="A32" i="64" s="1"/>
  <x:c r="A33" i="64" s="1"/>
  <x:c r="G25" i="64"/>
  <x:c r="G28" i="64"/>
  <x:c r="G31" i="64"/>
  <x:c r="G26" i="64"/>
  <x:c r="K27" i="64"/>
  <x:c r="I27" i="64"/>
  <x:c r="J27" i="64"/>
  <x:c r="L27" i="64"/>
  <x:c r="Q27" i="64"/>
  <x:c r="G29" i="64"/>
  <x:c r="G30" i="64"/>
  <x:c r="K30" i="64" s="1"/>
  <x:c r="G32" i="64"/>
  <x:c r="Q32" i="64" s="1"/>
  <x:c r="J33" i="64"/>
  <x:c r="I33" i="64"/>
  <x:c r="Q33" i="64"/>
  <x:c r="A10" i="62"/>
  <x:c r="A11" i="62" s="1"/>
  <x:c r="A12" i="62" s="1"/>
  <x:c r="A13" i="62" s="1"/>
  <x:c r="A14" i="62" s="1"/>
  <x:c r="A15" i="62" s="1"/>
  <x:c r="A16" i="62" s="1"/>
  <x:c r="A17" i="62" s="1"/>
  <x:c r="A18" i="62" s="1"/>
  <x:c r="A19" i="62" s="1"/>
  <x:c r="A20" i="62" s="1"/>
  <x:c r="A21" i="62" s="1"/>
  <x:c r="A22" i="62" s="1"/>
  <x:c r="A23" i="62" s="1"/>
  <x:c r="A24" i="62" s="1"/>
  <x:c r="A25" i="62" s="1"/>
  <x:c r="A26" i="62" s="1"/>
  <x:c r="A27" i="62" s="1"/>
  <x:c r="A28" i="62" s="1"/>
  <x:c r="A29" i="62" s="1"/>
  <x:c r="A30" i="62" s="1"/>
  <x:c r="A31" i="62" s="1"/>
  <x:c r="A32" i="62" s="1"/>
  <x:c r="A33" i="62" s="1"/>
  <x:c r="B45" i="60"/>
  <x:c r="B12" i="60"/>
  <x:c r="B46" i="60" s="1"/>
  <x:c r="A10" i="60"/>
  <x:c r="A11" i="60" s="1"/>
  <x:c r="A12" i="60" s="1"/>
  <x:c r="A13" i="60" s="1"/>
  <x:c r="A14" i="60" s="1"/>
  <x:c r="A15" i="60" s="1"/>
  <x:c r="A16" i="60" s="1"/>
  <x:c r="A17" i="60" s="1"/>
  <x:c r="A18" i="60" s="1"/>
  <x:c r="A19" i="60" s="1"/>
  <x:c r="A20" i="60" s="1"/>
  <x:c r="A21" i="60" s="1"/>
  <x:c r="A22" i="60" s="1"/>
  <x:c r="A23" i="60" s="1"/>
  <x:c r="A24" i="60" s="1"/>
  <x:c r="A25" i="60" s="1"/>
  <x:c r="A26" i="60" s="1"/>
  <x:c r="A27" i="60" s="1"/>
  <x:c r="A28" i="60" s="1"/>
  <x:c r="A29" i="60" s="1"/>
  <x:c r="A30" i="60" s="1"/>
  <x:c r="A31" i="60" s="1"/>
  <x:c r="A32" i="60" s="1"/>
  <x:c r="A33" i="60" s="1"/>
  <x:c r="A34" i="60" s="1"/>
  <x:c r="A35" i="60" s="1"/>
  <x:c r="A36" i="60" s="1"/>
  <x:c r="A37" i="60" s="1"/>
  <x:c r="A38" i="60" s="1"/>
  <x:c r="A39" i="60" s="1"/>
  <x:c r="A40" i="60" s="1"/>
  <x:c r="A41" i="60" s="1"/>
  <x:c r="A42" i="60" s="1"/>
  <x:c r="A43" i="60" s="1"/>
  <x:c r="A44" i="60" s="1"/>
  <x:c r="A45" i="60" s="1"/>
  <x:c r="A46" i="60" s="1"/>
  <x:c r="A47" i="60" s="1"/>
  <x:c r="A48" i="60" s="1"/>
  <x:c r="A49" i="60" s="1"/>
  <x:c r="A50" i="60" s="1"/>
  <x:c r="A51" i="60" s="1"/>
  <x:c r="A52" i="60" s="1"/>
  <x:c r="A53" i="60" s="1"/>
  <x:c r="A54" i="60" s="1"/>
  <x:c r="A55" i="60" s="1"/>
  <x:c r="A56" i="60" s="1"/>
  <x:c r="A57" i="60" s="1"/>
  <x:c r="A58" i="60" s="1"/>
  <x:c r="A59" i="60" s="1"/>
  <x:c r="A60" i="60" s="1"/>
  <x:c r="A61" i="60" s="1"/>
  <x:c r="A62" i="60" s="1"/>
  <x:c r="A63" i="60" s="1"/>
  <x:c r="A64" i="60" s="1"/>
  <x:c r="A65" i="60" s="1"/>
  <x:c r="A66" i="60" s="1"/>
  <x:c r="A67" i="60" s="1"/>
  <x:c r="A68" i="60" s="1"/>
  <x:c r="A69" i="60" s="1"/>
  <x:c r="A70" i="60" s="1"/>
  <x:c r="A71" i="60" s="1"/>
  <x:c r="A72" i="60" s="1"/>
  <x:c r="A73" i="60" s="1"/>
  <x:c r="A74" i="60" s="1"/>
  <x:c r="A75" i="60" s="1"/>
  <x:c r="B45" i="59"/>
  <x:c r="B12" i="59"/>
  <x:c r="B46" i="59" s="1"/>
  <x:c r="A11" i="59"/>
  <x:c r="A12" i="59" s="1"/>
  <x:c r="A13" i="59" s="1"/>
  <x:c r="A14" i="59" s="1"/>
  <x:c r="A15" i="59" s="1"/>
  <x:c r="A16" i="59" s="1"/>
  <x:c r="A17" i="59" s="1"/>
  <x:c r="A18" i="59" s="1"/>
  <x:c r="A19" i="59" s="1"/>
  <x:c r="A20" i="59" s="1"/>
  <x:c r="A21" i="59" s="1"/>
  <x:c r="A22" i="59" s="1"/>
  <x:c r="A23" i="59" s="1"/>
  <x:c r="A24" i="59" s="1"/>
  <x:c r="A25" i="59" s="1"/>
  <x:c r="A26" i="59" s="1"/>
  <x:c r="A27" i="59" s="1"/>
  <x:c r="A28" i="59" s="1"/>
  <x:c r="A29" i="59" s="1"/>
  <x:c r="A30" i="59" s="1"/>
  <x:c r="A31" i="59" s="1"/>
  <x:c r="A32" i="59" s="1"/>
  <x:c r="A33" i="59" s="1"/>
  <x:c r="A34" i="59" s="1"/>
  <x:c r="A35" i="59" s="1"/>
  <x:c r="A36" i="59" s="1"/>
  <x:c r="A37" i="59" s="1"/>
  <x:c r="A38" i="59" s="1"/>
  <x:c r="A39" i="59" s="1"/>
  <x:c r="A40" i="59" s="1"/>
  <x:c r="A41" i="59" s="1"/>
  <x:c r="A42" i="59" s="1"/>
  <x:c r="A43" i="59" s="1"/>
  <x:c r="A44" i="59" s="1"/>
  <x:c r="A45" i="59" s="1"/>
  <x:c r="A46" i="59" s="1"/>
  <x:c r="A47" i="59" s="1"/>
  <x:c r="A48" i="59" s="1"/>
  <x:c r="A49" i="59" s="1"/>
  <x:c r="A50" i="59" s="1"/>
  <x:c r="A51" i="59" s="1"/>
  <x:c r="A52" i="59" s="1"/>
  <x:c r="A53" i="59" s="1"/>
  <x:c r="A54" i="59" s="1"/>
  <x:c r="A55" i="59" s="1"/>
  <x:c r="A56" i="59" s="1"/>
  <x:c r="A57" i="59" s="1"/>
  <x:c r="A58" i="59" s="1"/>
  <x:c r="A59" i="59" s="1"/>
  <x:c r="A60" i="59" s="1"/>
  <x:c r="A61" i="59" s="1"/>
  <x:c r="A62" i="59" s="1"/>
  <x:c r="A63" i="59" s="1"/>
  <x:c r="A64" i="59" s="1"/>
  <x:c r="A65" i="59" s="1"/>
  <x:c r="A66" i="59" s="1"/>
  <x:c r="A67" i="59" s="1"/>
  <x:c r="A68" i="59" s="1"/>
  <x:c r="A69" i="59" s="1"/>
  <x:c r="A70" i="59" s="1"/>
  <x:c r="A71" i="59" s="1"/>
  <x:c r="A72" i="59" s="1"/>
  <x:c r="A73" i="59" s="1"/>
  <x:c r="A74" i="59" s="1"/>
  <x:c r="A75" i="59" s="1"/>
  <x:c r="A10" i="59"/>
  <x:c r="G50" i="58"/>
  <x:c r="B45" i="58"/>
  <x:c r="B12" i="58"/>
  <x:c r="B46" i="58" s="1"/>
  <x:c r="A10" i="58"/>
  <x:c r="A11" i="58" s="1"/>
  <x:c r="A12" i="58" s="1"/>
  <x:c r="A13" i="58" s="1"/>
  <x:c r="A14" i="58" s="1"/>
  <x:c r="A15" i="58" s="1"/>
  <x:c r="A16" i="58" s="1"/>
  <x:c r="A17" i="58" s="1"/>
  <x:c r="A18" i="58" s="1"/>
  <x:c r="A19" i="58" s="1"/>
  <x:c r="A20" i="58" s="1"/>
  <x:c r="A21" i="58" s="1"/>
  <x:c r="A22" i="58" s="1"/>
  <x:c r="A23" i="58" s="1"/>
  <x:c r="A24" i="58" s="1"/>
  <x:c r="A25" i="58" s="1"/>
  <x:c r="A26" i="58" s="1"/>
  <x:c r="A27" i="58" s="1"/>
  <x:c r="A28" i="58" s="1"/>
  <x:c r="A29" i="58" s="1"/>
  <x:c r="A30" i="58" s="1"/>
  <x:c r="A31" i="58" s="1"/>
  <x:c r="A32" i="58" s="1"/>
  <x:c r="A33" i="58" s="1"/>
  <x:c r="A34" i="58" s="1"/>
  <x:c r="A35" i="58" s="1"/>
  <x:c r="A36" i="58" s="1"/>
  <x:c r="A37" i="58" s="1"/>
  <x:c r="A38" i="58" s="1"/>
  <x:c r="A39" i="58" s="1"/>
  <x:c r="A40" i="58" s="1"/>
  <x:c r="A41" i="58" s="1"/>
  <x:c r="A42" i="58" s="1"/>
  <x:c r="A43" i="58" s="1"/>
  <x:c r="A44" i="58" s="1"/>
  <x:c r="A45" i="58" s="1"/>
  <x:c r="A46" i="58" s="1"/>
  <x:c r="A47" i="58" s="1"/>
  <x:c r="A48" i="58" s="1"/>
  <x:c r="A49" i="58" s="1"/>
  <x:c r="A50" i="58" s="1"/>
  <x:c r="A51" i="58" s="1"/>
  <x:c r="A52" i="58" s="1"/>
  <x:c r="A53" i="58" s="1"/>
  <x:c r="A54" i="58" s="1"/>
  <x:c r="A55" i="58" s="1"/>
  <x:c r="A56" i="58" s="1"/>
  <x:c r="A57" i="58" s="1"/>
  <x:c r="A58" i="58" s="1"/>
  <x:c r="A59" i="58" s="1"/>
  <x:c r="A60" i="58" s="1"/>
  <x:c r="A61" i="58" s="1"/>
  <x:c r="A62" i="58" s="1"/>
  <x:c r="A63" i="58" s="1"/>
  <x:c r="A64" i="58" s="1"/>
  <x:c r="A65" i="58" s="1"/>
  <x:c r="A66" i="58" s="1"/>
  <x:c r="A67" i="58" s="1"/>
  <x:c r="A68" i="58" s="1"/>
  <x:c r="A69" i="58" s="1"/>
  <x:c r="A70" i="58" s="1"/>
  <x:c r="A71" i="58" s="1"/>
  <x:c r="A72" i="58" s="1"/>
  <x:c r="A73" i="58" s="1"/>
  <x:c r="A74" i="58" s="1"/>
  <x:c r="A75" i="58" s="1"/>
  <x:c r="G29" i="66" l="1"/>
  <x:c r="Q30" i="64"/>
  <x:c r="G28" i="47"/>
  <x:c r="K28" i="47" s="1"/>
  <x:c r="G27" i="62"/>
  <x:c r="P27" i="62" s="1"/>
  <x:c r="G33" i="62"/>
  <x:c r="I33" i="62" s="1"/>
  <x:c r="G30" i="62"/>
  <x:c r="N30" i="62" s="1"/>
  <x:c r="B13" i="60"/>
  <x:c r="B47" i="60" s="1"/>
  <x:c r="G53" i="60"/>
  <x:c r="G65" i="60"/>
  <x:c r="G65" i="59"/>
  <x:c r="G53" i="59"/>
  <x:c r="G53" i="58"/>
  <x:c r="G61" i="58"/>
  <x:c r="G73" i="58"/>
  <x:c r="G67" i="58"/>
  <x:c r="G63" i="58"/>
  <x:c r="G52" i="58"/>
  <x:c r="G47" i="58"/>
  <x:c r="G46" i="58"/>
  <x:c r="G62" i="58"/>
  <x:c r="G72" i="59"/>
  <x:c r="H72" i="59" s="1"/>
  <x:c r="G62" i="60"/>
  <x:c r="N62" i="60" s="1"/>
  <x:c r="G51" i="58"/>
  <x:c r="Q26" i="64"/>
  <x:c r="G26" i="66"/>
  <x:c r="I26" i="66" s="1"/>
  <x:c r="G24" i="66"/>
  <x:c r="K24" i="66" s="1"/>
  <x:c r="G70" i="60"/>
  <x:c r="G64" i="60"/>
  <x:c r="G58" i="60"/>
  <x:c r="G55" i="60"/>
  <x:c r="I55" i="60" s="1"/>
  <x:c r="G46" i="60"/>
  <x:c r="R46" i="60" s="1"/>
  <x:c r="G27" i="66"/>
  <x:c r="O27" i="66" s="1"/>
  <x:c r="G67" i="60"/>
  <x:c r="G54" i="50"/>
  <x:c r="G25" i="62"/>
  <x:c r="Q25" i="62" s="1"/>
  <x:c r="L30" i="64"/>
  <x:c r="G30" i="66"/>
  <x:c r="I30" i="66" s="1"/>
  <x:c r="G46" i="59"/>
  <x:c r="G59" i="59"/>
  <x:c r="G47" i="59"/>
  <x:c r="G49" i="60"/>
  <x:c r="G49" i="58"/>
  <x:c r="G74" i="59"/>
  <x:c r="G71" i="59"/>
  <x:c r="P71" i="59" s="1"/>
  <x:c r="G68" i="59"/>
  <x:c r="Q68" i="59" s="1"/>
  <x:c r="G62" i="59"/>
  <x:c r="H62" i="59" s="1"/>
  <x:c r="G56" i="59"/>
  <x:c r="I56" i="59" s="1"/>
  <x:c r="G31" i="62"/>
  <x:c r="I31" i="62" s="1"/>
  <x:c r="G31" i="66"/>
  <x:c r="I31" i="66" s="1"/>
  <x:c r="G25" i="66"/>
  <x:c r="I25" i="66" s="1"/>
  <x:c r="G63" i="59"/>
  <x:c r="G71" i="60"/>
  <x:c r="G28" i="62"/>
  <x:c r="Q28" i="62" s="1"/>
  <x:c r="G32" i="66"/>
  <x:c r="K32" i="66" s="1"/>
  <x:c r="G28" i="66"/>
  <x:c r="G49" i="59"/>
  <x:c r="G57" i="59"/>
  <x:c r="P57" i="59" s="1"/>
  <x:c r="G50" i="59"/>
  <x:c r="N50" i="59" s="1"/>
  <x:c r="G75" i="58"/>
  <x:c r="G71" i="58"/>
  <x:c r="N71" i="58" s="1"/>
  <x:c r="G68" i="58"/>
  <x:c r="G65" i="58"/>
  <x:c r="I65" i="58" s="1"/>
  <x:c r="G59" i="58"/>
  <x:c r="G55" i="58"/>
  <x:c r="G24" i="47"/>
  <x:c r="G25" i="47"/>
  <x:c r="M25" i="47" s="1"/>
  <x:c r="G27" i="47"/>
  <x:c r="N27" i="47" s="1"/>
  <x:c r="G29" i="47"/>
  <x:c r="N29" i="47" s="1"/>
  <x:c r="G30" i="47"/>
  <x:c r="N30" i="47" s="1"/>
  <x:c r="G31" i="47"/>
  <x:c r="N31" i="47" s="1"/>
  <x:c r="G33" i="47"/>
  <x:c r="M33" i="47" s="1"/>
  <x:c r="G29" i="62"/>
  <x:c r="M29" i="62" s="1"/>
  <x:c r="G33" i="66"/>
  <x:c r="Q33" i="66" s="1"/>
  <x:c r="G67" i="59"/>
  <x:c r="G61" i="59"/>
  <x:c r="G54" i="59"/>
  <x:c r="G48" i="59"/>
  <x:c r="G68" i="60"/>
  <x:c r="K68" i="60" s="1"/>
  <x:c r="G56" i="60"/>
  <x:c r="I56" i="60" s="1"/>
  <x:c r="G50" i="60"/>
  <x:c r="L50" i="60" s="1"/>
  <x:c r="G70" i="59"/>
  <x:c r="G55" i="59"/>
  <x:c r="G75" i="59"/>
  <x:c r="Q75" i="59" s="1"/>
  <x:c r="G52" i="59"/>
  <x:c r="I52" i="59" s="1"/>
  <x:c r="H54" i="50"/>
  <x:c r="G56" i="58"/>
  <x:c r="G73" i="59"/>
  <x:c r="O73" i="59" s="1"/>
  <x:c r="G66" i="59"/>
  <x:c r="L66" i="59" s="1"/>
  <x:c r="G60" i="59"/>
  <x:c r="G74" i="60"/>
  <x:c r="H74" i="60" s="1"/>
  <x:c r="G61" i="60"/>
  <x:c r="P61" i="60" s="1"/>
  <x:c r="G52" i="60"/>
  <x:c r="P52" i="60" s="1"/>
  <x:c r="G32" i="62"/>
  <x:c r="I32" i="62" s="1"/>
  <x:c r="G26" i="62"/>
  <x:c r="L26" i="62" s="1"/>
  <x:c r="N58" i="59"/>
  <x:c r="G24" i="62"/>
  <x:c r="J24" i="62" s="1"/>
  <x:c r="G64" i="59"/>
  <x:c r="R64" i="59" s="1"/>
  <x:c r="G73" i="60"/>
  <x:c r="G72" i="58"/>
  <x:c r="G69" i="58"/>
  <x:c r="I69" i="58" s="1"/>
  <x:c r="G66" i="58"/>
  <x:c r="G60" i="58"/>
  <x:c r="G57" i="58"/>
  <x:c r="G54" i="58"/>
  <x:c r="G48" i="58"/>
  <x:c r="G26" i="47"/>
  <x:c r="K26" i="47" s="1"/>
  <x:c r="G32" i="47"/>
  <x:c r="M32" i="47" s="1"/>
  <x:c r="G54" i="29"/>
  <x:c r="I54" i="29"/>
  <x:c r="H54" i="29"/>
  <x:c r="I54" i="50"/>
  <x:c r="I31" i="50"/>
  <x:c r="H31" i="50"/>
  <x:c r="G31" i="50"/>
  <x:c r="J30" i="64"/>
  <x:c r="I30" i="64"/>
  <x:c r="Q26" i="66"/>
  <x:c r="R26" i="66"/>
  <x:c r="L26" i="66"/>
  <x:c r="O26" i="66"/>
  <x:c r="P26" i="66"/>
  <x:c r="J24" i="66"/>
  <x:c r="M24" i="66"/>
  <x:c r="N24" i="66"/>
  <x:c r="K27" i="66"/>
  <x:c r="N27" i="66"/>
  <x:c r="P27" i="66"/>
  <x:c r="Q27" i="66"/>
  <x:c r="H27" i="66"/>
  <x:c r="Q29" i="66"/>
  <x:c r="R29" i="66"/>
  <x:c r="H29" i="66"/>
  <x:c r="J29" i="66"/>
  <x:c r="K29" i="66"/>
  <x:c r="L29" i="66"/>
  <x:c r="M29" i="66"/>
  <x:c r="O29" i="66"/>
  <x:c r="P29" i="66"/>
  <x:c r="J30" i="66"/>
  <x:c r="L30" i="66"/>
  <x:c r="O30" i="66"/>
  <x:c r="P30" i="66"/>
  <x:c r="Q30" i="66"/>
  <x:c r="R30" i="66"/>
  <x:c r="H30" i="66"/>
  <x:c r="N31" i="66"/>
  <x:c r="Q31" i="66"/>
  <x:c r="R31" i="66"/>
  <x:c r="L31" i="66"/>
  <x:c r="H25" i="66"/>
  <x:c r="J25" i="66"/>
  <x:c r="I32" i="66"/>
  <x:c r="J32" i="66"/>
  <x:c r="M32" i="66"/>
  <x:c r="O28" i="66"/>
  <x:c r="P28" i="66"/>
  <x:c r="K33" i="66"/>
  <x:c r="L33" i="66"/>
  <x:c r="M33" i="66"/>
  <x:c r="O33" i="66"/>
  <x:c r="P33" i="66"/>
  <x:c r="R33" i="66"/>
  <x:c r="N31" i="64"/>
  <x:c r="O31" i="64"/>
  <x:c r="P31" i="64"/>
  <x:c r="Q31" i="64"/>
  <x:c r="R31" i="64"/>
  <x:c r="H31" i="64"/>
  <x:c r="I31" i="64"/>
  <x:c r="J31" i="64"/>
  <x:c r="L31" i="64"/>
  <x:c r="K31" i="64"/>
  <x:c r="M31" i="64"/>
  <x:c r="M28" i="64"/>
  <x:c r="N28" i="64"/>
  <x:c r="O28" i="64"/>
  <x:c r="P28" i="64"/>
  <x:c r="Q28" i="64"/>
  <x:c r="R28" i="64"/>
  <x:c r="H28" i="64"/>
  <x:c r="I28" i="64"/>
  <x:c r="J28" i="64"/>
  <x:c r="L28" i="64"/>
  <x:c r="K28" i="64"/>
  <x:c r="M25" i="64"/>
  <x:c r="N25" i="64"/>
  <x:c r="O25" i="64"/>
  <x:c r="P25" i="64"/>
  <x:c r="Q25" i="64"/>
  <x:c r="R25" i="64"/>
  <x:c r="H25" i="64"/>
  <x:c r="I25" i="64"/>
  <x:c r="J25" i="64"/>
  <x:c r="K25" i="64"/>
  <x:c r="L25" i="64"/>
  <x:c r="I24" i="64"/>
  <x:c r="J24" i="64"/>
  <x:c r="K24" i="64"/>
  <x:c r="L24" i="64"/>
  <x:c r="M24" i="64"/>
  <x:c r="N24" i="64"/>
  <x:c r="O24" i="64"/>
  <x:c r="P24" i="64"/>
  <x:c r="Q24" i="64"/>
  <x:c r="R24" i="64"/>
  <x:c r="P26" i="64"/>
  <x:c r="H33" i="64"/>
  <x:c r="O32" i="64"/>
  <x:c r="H30" i="64"/>
  <x:c r="O29" i="64"/>
  <x:c r="H27" i="64"/>
  <x:c r="O26" i="64"/>
  <x:c r="Q29" i="64"/>
  <x:c r="P32" i="64"/>
  <x:c r="P29" i="64"/>
  <x:c r="R33" i="64"/>
  <x:c r="N32" i="64"/>
  <x:c r="R30" i="64"/>
  <x:c r="N29" i="64"/>
  <x:c r="R27" i="64"/>
  <x:c r="N26" i="64"/>
  <x:c r="M32" i="64"/>
  <x:c r="M29" i="64"/>
  <x:c r="M26" i="64"/>
  <x:c r="P33" i="64"/>
  <x:c r="L32" i="64"/>
  <x:c r="P30" i="64"/>
  <x:c r="L29" i="64"/>
  <x:c r="P27" i="64"/>
  <x:c r="L26" i="64"/>
  <x:c r="O33" i="64"/>
  <x:c r="K32" i="64"/>
  <x:c r="O30" i="64"/>
  <x:c r="K29" i="64"/>
  <x:c r="O27" i="64"/>
  <x:c r="K26" i="64"/>
  <x:c r="N33" i="64"/>
  <x:c r="J32" i="64"/>
  <x:c r="N30" i="64"/>
  <x:c r="J29" i="64"/>
  <x:c r="N27" i="64"/>
  <x:c r="J26" i="64"/>
  <x:c r="M33" i="64"/>
  <x:c r="I32" i="64"/>
  <x:c r="M30" i="64"/>
  <x:c r="I29" i="64"/>
  <x:c r="M27" i="64"/>
  <x:c r="I26" i="64"/>
  <x:c r="L33" i="64"/>
  <x:c r="K33" i="64"/>
  <x:c r="H32" i="64"/>
  <x:c r="H29" i="64"/>
  <x:c r="H26" i="64"/>
  <x:c r="R32" i="64"/>
  <x:c r="R29" i="64"/>
  <x:c r="R26" i="64"/>
  <x:c r="O29" i="62"/>
  <x:c r="Q26" i="62"/>
  <x:c r="N26" i="62"/>
  <x:c r="O26" i="62"/>
  <x:c r="P33" i="62"/>
  <x:c r="P30" i="62"/>
  <x:c r="J33" i="62"/>
  <x:c r="K24" i="47"/>
  <x:c r="M24" i="47"/>
  <x:c r="M31" i="47"/>
  <x:c r="N32" i="47"/>
  <x:c r="N26" i="47"/>
  <x:c r="N24" i="47"/>
  <x:c r="G72" i="60"/>
  <x:c r="R72" i="60" s="1"/>
  <x:c r="G69" i="60"/>
  <x:c r="R69" i="60" s="1"/>
  <x:c r="G66" i="60"/>
  <x:c r="J66" i="60" s="1"/>
  <x:c r="G54" i="60"/>
  <x:c r="J54" i="60" s="1"/>
  <x:c r="G63" i="60"/>
  <x:c r="I63" i="60" s="1"/>
  <x:c r="G51" i="60"/>
  <x:c r="I51" i="60" s="1"/>
  <x:c r="G75" i="60"/>
  <x:c r="I75" i="60" s="1"/>
  <x:c r="G60" i="60"/>
  <x:c r="O60" i="60" s="1"/>
  <x:c r="G59" i="60"/>
  <x:c r="G57" i="60"/>
  <x:c r="R57" i="60" s="1"/>
  <x:c r="G48" i="60"/>
  <x:c r="I48" i="60" s="1"/>
  <x:c r="G47" i="60"/>
  <x:c r="N47" i="60" s="1"/>
  <x:c r="G45" i="60"/>
  <x:c r="N45" i="60" s="1"/>
  <x:c r="M66" i="60"/>
  <x:c r="H66" i="60"/>
  <x:c r="L72" i="60"/>
  <x:c r="J72" i="60"/>
  <x:c r="I72" i="60"/>
  <x:c r="P72" i="60"/>
  <x:c r="O72" i="60"/>
  <x:c r="I47" i="60"/>
  <x:c r="M47" i="60"/>
  <x:c r="K47" i="60"/>
  <x:c r="P50" i="60"/>
  <x:c r="O50" i="60"/>
  <x:c r="N50" i="60"/>
  <x:c r="O53" i="60"/>
  <x:c r="N53" i="60"/>
  <x:c r="M53" i="60"/>
  <x:c r="L53" i="60"/>
  <x:c r="K53" i="60"/>
  <x:c r="J53" i="60"/>
  <x:c r="I53" i="60"/>
  <x:c r="H53" i="60"/>
  <x:c r="R53" i="60"/>
  <x:c r="Q53" i="60"/>
  <x:c r="P53" i="60"/>
  <x:c r="H56" i="60"/>
  <x:c r="O65" i="60"/>
  <x:c r="N65" i="60"/>
  <x:c r="M65" i="60"/>
  <x:c r="L65" i="60"/>
  <x:c r="K65" i="60"/>
  <x:c r="J65" i="60"/>
  <x:c r="I65" i="60"/>
  <x:c r="H65" i="60"/>
  <x:c r="R65" i="60"/>
  <x:c r="P65" i="60"/>
  <x:c r="Q65" i="60"/>
  <x:c r="I71" i="60"/>
  <x:c r="H71" i="60"/>
  <x:c r="R71" i="60"/>
  <x:c r="Q71" i="60"/>
  <x:c r="P71" i="60"/>
  <x:c r="O71" i="60"/>
  <x:c r="N71" i="60"/>
  <x:c r="M71" i="60"/>
  <x:c r="L71" i="60"/>
  <x:c r="J71" i="60"/>
  <x:c r="K71" i="60"/>
  <x:c r="M74" i="60"/>
  <x:c r="L74" i="60"/>
  <x:c r="J74" i="60"/>
  <x:c r="K46" i="60"/>
  <x:c r="O49" i="60"/>
  <x:c r="N49" i="60"/>
  <x:c r="M49" i="60"/>
  <x:c r="L49" i="60"/>
  <x:c r="K49" i="60"/>
  <x:c r="J49" i="60"/>
  <x:c r="I49" i="60"/>
  <x:c r="H49" i="60"/>
  <x:c r="R49" i="60"/>
  <x:c r="Q49" i="60"/>
  <x:c r="P49" i="60"/>
  <x:c r="H52" i="60"/>
  <x:c r="R52" i="60"/>
  <x:c r="N55" i="60"/>
  <x:c r="M55" i="60"/>
  <x:c r="J55" i="60"/>
  <x:c r="R58" i="60"/>
  <x:c r="Q58" i="60"/>
  <x:c r="P58" i="60"/>
  <x:c r="O58" i="60"/>
  <x:c r="N58" i="60"/>
  <x:c r="M58" i="60"/>
  <x:c r="L58" i="60"/>
  <x:c r="K58" i="60"/>
  <x:c r="J58" i="60"/>
  <x:c r="I58" i="60"/>
  <x:c r="H58" i="60"/>
  <x:c r="I61" i="60"/>
  <x:c r="L64" i="60"/>
  <x:c r="K64" i="60"/>
  <x:c r="J64" i="60"/>
  <x:c r="I64" i="60"/>
  <x:c r="H64" i="60"/>
  <x:c r="R64" i="60"/>
  <x:c r="Q64" i="60"/>
  <x:c r="P64" i="60"/>
  <x:c r="O64" i="60"/>
  <x:c r="M64" i="60"/>
  <x:c r="N64" i="60"/>
  <x:c r="R70" i="60"/>
  <x:c r="Q70" i="60"/>
  <x:c r="P70" i="60"/>
  <x:c r="O70" i="60"/>
  <x:c r="N70" i="60"/>
  <x:c r="M70" i="60"/>
  <x:c r="L70" i="60"/>
  <x:c r="K70" i="60"/>
  <x:c r="J70" i="60"/>
  <x:c r="I70" i="60"/>
  <x:c r="H70" i="60"/>
  <x:c r="O73" i="60"/>
  <x:c r="N73" i="60"/>
  <x:c r="M73" i="60"/>
  <x:c r="L73" i="60"/>
  <x:c r="K73" i="60"/>
  <x:c r="J73" i="60"/>
  <x:c r="I73" i="60"/>
  <x:c r="H73" i="60"/>
  <x:c r="R73" i="60"/>
  <x:c r="Q73" i="60"/>
  <x:c r="P73" i="60"/>
  <x:c r="O45" i="60"/>
  <x:c r="K45" i="60"/>
  <x:c r="J45" i="60"/>
  <x:c r="I45" i="60"/>
  <x:c r="H45" i="60"/>
  <x:c r="R45" i="60"/>
  <x:c r="P45" i="60"/>
  <x:c r="K51" i="60"/>
  <x:c r="R63" i="60"/>
  <x:c r="Q63" i="60"/>
  <x:c r="P63" i="60"/>
  <x:c r="O63" i="60"/>
  <x:c r="N63" i="60"/>
  <x:c r="M63" i="60"/>
  <x:c r="L63" i="60"/>
  <x:c r="K63" i="60"/>
  <x:c r="N69" i="60"/>
  <x:c r="M69" i="60"/>
  <x:c r="L69" i="60"/>
  <x:c r="J69" i="60"/>
  <x:c r="I69" i="60"/>
  <x:c r="H69" i="60"/>
  <x:c r="Q69" i="60"/>
  <x:c r="B14" i="60"/>
  <x:c r="G69" i="59"/>
  <x:c r="O69" i="59" s="1"/>
  <x:c r="G51" i="59"/>
  <x:c r="Q51" i="59" s="1"/>
  <x:c r="G45" i="59"/>
  <x:c r="J45" i="59" s="1"/>
  <x:c r="I48" i="59"/>
  <x:c r="M48" i="59"/>
  <x:c r="P51" i="59"/>
  <x:c r="O57" i="59"/>
  <x:c r="N57" i="59"/>
  <x:c r="L57" i="59"/>
  <x:c r="K57" i="59"/>
  <x:c r="J57" i="59"/>
  <x:c r="I57" i="59"/>
  <x:c r="H57" i="59"/>
  <x:c r="R57" i="59"/>
  <x:c r="Q57" i="59"/>
  <x:c r="L60" i="59"/>
  <x:c r="K60" i="59"/>
  <x:c r="J60" i="59"/>
  <x:c r="M60" i="59"/>
  <x:c r="I60" i="59"/>
  <x:c r="H60" i="59"/>
  <x:c r="R60" i="59"/>
  <x:c r="Q60" i="59"/>
  <x:c r="P60" i="59"/>
  <x:c r="O60" i="59"/>
  <x:c r="N60" i="59"/>
  <x:c r="I63" i="59"/>
  <x:c r="J63" i="59"/>
  <x:c r="H63" i="59"/>
  <x:c r="R63" i="59"/>
  <x:c r="Q63" i="59"/>
  <x:c r="P63" i="59"/>
  <x:c r="O63" i="59"/>
  <x:c r="N63" i="59"/>
  <x:c r="M63" i="59"/>
  <x:c r="L63" i="59"/>
  <x:c r="K63" i="59"/>
  <x:c r="N66" i="59"/>
  <x:c r="I72" i="59"/>
  <x:c r="R75" i="59"/>
  <x:c r="O53" i="59"/>
  <x:c r="N53" i="59"/>
  <x:c r="M53" i="59"/>
  <x:c r="L53" i="59"/>
  <x:c r="K53" i="59"/>
  <x:c r="J53" i="59"/>
  <x:c r="I53" i="59"/>
  <x:c r="P53" i="59"/>
  <x:c r="H53" i="59"/>
  <x:c r="R53" i="59"/>
  <x:c r="Q53" i="59"/>
  <x:c r="L56" i="59"/>
  <x:c r="K56" i="59"/>
  <x:c r="O56" i="59"/>
  <x:c r="N56" i="59"/>
  <x:c r="O62" i="59"/>
  <x:c r="N62" i="59"/>
  <x:c r="M62" i="59"/>
  <x:c r="L62" i="59"/>
  <x:c r="K62" i="59"/>
  <x:c r="J62" i="59"/>
  <x:c r="R74" i="59"/>
  <x:c r="Q74" i="59"/>
  <x:c r="P74" i="59"/>
  <x:c r="O74" i="59"/>
  <x:c r="N74" i="59"/>
  <x:c r="M74" i="59"/>
  <x:c r="L74" i="59"/>
  <x:c r="H74" i="59"/>
  <x:c r="K74" i="59"/>
  <x:c r="J74" i="59"/>
  <x:c r="I74" i="59"/>
  <x:c r="I47" i="59"/>
  <x:c r="H47" i="59"/>
  <x:c r="R47" i="59"/>
  <x:c r="Q47" i="59"/>
  <x:c r="P47" i="59"/>
  <x:c r="O47" i="59"/>
  <x:c r="N47" i="59"/>
  <x:c r="J47" i="59"/>
  <x:c r="M47" i="59"/>
  <x:c r="L47" i="59"/>
  <x:c r="K47" i="59"/>
  <x:c r="R50" i="59"/>
  <x:c r="Q50" i="59"/>
  <x:c r="P50" i="59"/>
  <x:c r="O50" i="59"/>
  <x:c r="K50" i="59"/>
  <x:c r="H50" i="59"/>
  <x:c r="J50" i="59"/>
  <x:c r="I50" i="59"/>
  <x:c r="I59" i="59"/>
  <x:c r="H59" i="59"/>
  <x:c r="R59" i="59"/>
  <x:c r="Q59" i="59"/>
  <x:c r="P59" i="59"/>
  <x:c r="J59" i="59"/>
  <x:c r="O59" i="59"/>
  <x:c r="N59" i="59"/>
  <x:c r="M59" i="59"/>
  <x:c r="L59" i="59"/>
  <x:c r="K59" i="59"/>
  <x:c r="O65" i="59"/>
  <x:c r="N65" i="59"/>
  <x:c r="P65" i="59"/>
  <x:c r="M65" i="59"/>
  <x:c r="L65" i="59"/>
  <x:c r="K65" i="59"/>
  <x:c r="J65" i="59"/>
  <x:c r="I65" i="59"/>
  <x:c r="H65" i="59"/>
  <x:c r="R65" i="59"/>
  <x:c r="Q65" i="59"/>
  <x:c r="R68" i="59"/>
  <x:c r="R71" i="59"/>
  <x:c r="R46" i="59"/>
  <x:c r="H46" i="59"/>
  <x:c r="Q46" i="59"/>
  <x:c r="P46" i="59"/>
  <x:c r="O46" i="59"/>
  <x:c r="N46" i="59"/>
  <x:c r="M46" i="59"/>
  <x:c r="L46" i="59"/>
  <x:c r="K46" i="59"/>
  <x:c r="J46" i="59"/>
  <x:c r="I46" i="59"/>
  <x:c r="O49" i="59"/>
  <x:c r="N49" i="59"/>
  <x:c r="M49" i="59"/>
  <x:c r="L49" i="59"/>
  <x:c r="K49" i="59"/>
  <x:c r="J49" i="59"/>
  <x:c r="P49" i="59"/>
  <x:c r="I49" i="59"/>
  <x:c r="H49" i="59"/>
  <x:c r="R49" i="59"/>
  <x:c r="Q49" i="59"/>
  <x:c r="I55" i="59"/>
  <x:c r="R55" i="59"/>
  <x:c r="Q55" i="59"/>
  <x:c r="P55" i="59"/>
  <x:c r="O55" i="59"/>
  <x:c r="N55" i="59"/>
  <x:c r="M55" i="59"/>
  <x:c r="L55" i="59"/>
  <x:c r="K55" i="59"/>
  <x:c r="J55" i="59"/>
  <x:c r="R58" i="59"/>
  <x:c r="P58" i="59"/>
  <x:c r="O58" i="59"/>
  <x:c r="O61" i="59"/>
  <x:c r="N61" i="59"/>
  <x:c r="P61" i="59"/>
  <x:c r="M61" i="59"/>
  <x:c r="L61" i="59"/>
  <x:c r="K61" i="59"/>
  <x:c r="J61" i="59"/>
  <x:c r="I61" i="59"/>
  <x:c r="H61" i="59"/>
  <x:c r="R61" i="59"/>
  <x:c r="Q61" i="59"/>
  <x:c r="H64" i="59"/>
  <x:c r="I67" i="59"/>
  <x:c r="J67" i="59"/>
  <x:c r="H67" i="59"/>
  <x:c r="R67" i="59"/>
  <x:c r="Q67" i="59"/>
  <x:c r="P67" i="59"/>
  <x:c r="O67" i="59"/>
  <x:c r="N67" i="59"/>
  <x:c r="M67" i="59"/>
  <x:c r="L67" i="59"/>
  <x:c r="K67" i="59"/>
  <x:c r="R70" i="59"/>
  <x:c r="Q70" i="59"/>
  <x:c r="P70" i="59"/>
  <x:c r="O70" i="59"/>
  <x:c r="N70" i="59"/>
  <x:c r="M70" i="59"/>
  <x:c r="L70" i="59"/>
  <x:c r="K70" i="59"/>
  <x:c r="J70" i="59"/>
  <x:c r="I70" i="59"/>
  <x:c r="H70" i="59"/>
  <x:c r="H73" i="59"/>
  <x:c r="M45" i="59"/>
  <x:c r="K45" i="59"/>
  <x:c r="R45" i="59"/>
  <x:c r="R54" i="59"/>
  <x:c r="Q54" i="59"/>
  <x:c r="P54" i="59"/>
  <x:c r="O54" i="59"/>
  <x:c r="N54" i="59"/>
  <x:c r="M54" i="59"/>
  <x:c r="L54" i="59"/>
  <x:c r="K54" i="59"/>
  <x:c r="J54" i="59"/>
  <x:c r="H54" i="59"/>
  <x:c r="I54" i="59"/>
  <x:c r="N69" i="59"/>
  <x:c r="P69" i="59"/>
  <x:c r="M69" i="59"/>
  <x:c r="J69" i="59"/>
  <x:c r="I69" i="59"/>
  <x:c r="H69" i="59"/>
  <x:c r="R69" i="59"/>
  <x:c r="Q69" i="59"/>
  <x:c r="B13" i="59"/>
  <x:c r="G74" i="58"/>
  <x:c r="Q74" i="58" s="1"/>
  <x:c r="G58" i="58"/>
  <x:c r="K58" i="58" s="1"/>
  <x:c r="G70" i="58"/>
  <x:c r="G64" i="58"/>
  <x:c r="G45" i="58"/>
  <x:c r="K45" i="58" s="1"/>
  <x:c r="I51" i="58"/>
  <x:c r="H51" i="58"/>
  <x:c r="R51" i="58"/>
  <x:c r="Q51" i="58"/>
  <x:c r="P51" i="58"/>
  <x:c r="O51" i="58"/>
  <x:c r="N51" i="58"/>
  <x:c r="M51" i="58"/>
  <x:c r="L51" i="58"/>
  <x:c r="K51" i="58"/>
  <x:c r="J51" i="58"/>
  <x:c r="O57" i="58"/>
  <x:c r="N57" i="58"/>
  <x:c r="M57" i="58"/>
  <x:c r="L57" i="58"/>
  <x:c r="K57" i="58"/>
  <x:c r="J57" i="58"/>
  <x:c r="I57" i="58"/>
  <x:c r="H57" i="58"/>
  <x:c r="R57" i="58"/>
  <x:c r="Q57" i="58"/>
  <x:c r="P57" i="58"/>
  <x:c r="I63" i="58"/>
  <x:c r="R63" i="58"/>
  <x:c r="Q63" i="58"/>
  <x:c r="P63" i="58"/>
  <x:c r="O63" i="58"/>
  <x:c r="N63" i="58"/>
  <x:c r="M63" i="58"/>
  <x:c r="L63" i="58"/>
  <x:c r="H63" i="58"/>
  <x:c r="K63" i="58"/>
  <x:c r="J63" i="58"/>
  <x:c r="K69" i="58"/>
  <x:c r="K72" i="58"/>
  <x:c r="I72" i="58"/>
  <x:c r="J72" i="58"/>
  <x:c r="R62" i="58"/>
  <x:c r="Q62" i="58"/>
  <x:c r="O62" i="58"/>
  <x:c r="N62" i="58"/>
  <x:c r="M62" i="58"/>
  <x:c r="L62" i="58"/>
  <x:c r="P62" i="58"/>
  <x:c r="K62" i="58"/>
  <x:c r="J62" i="58"/>
  <x:c r="I62" i="58"/>
  <x:c r="H62" i="58"/>
  <x:c r="P45" i="58"/>
  <x:c r="L48" i="58"/>
  <x:c r="K48" i="58"/>
  <x:c r="I48" i="58"/>
  <x:c r="H48" i="58"/>
  <x:c r="J48" i="58"/>
  <x:c r="R48" i="58"/>
  <x:c r="Q48" i="58"/>
  <x:c r="P48" i="58"/>
  <x:c r="O48" i="58"/>
  <x:c r="N48" i="58"/>
  <x:c r="M48" i="58"/>
  <x:c r="R54" i="58"/>
  <x:c r="Q54" i="58"/>
  <x:c r="O54" i="58"/>
  <x:c r="N54" i="58"/>
  <x:c r="M54" i="58"/>
  <x:c r="L54" i="58"/>
  <x:c r="P54" i="58"/>
  <x:c r="K54" i="58"/>
  <x:c r="J54" i="58"/>
  <x:c r="I54" i="58"/>
  <x:c r="H54" i="58"/>
  <x:c r="L60" i="58"/>
  <x:c r="J60" i="58"/>
  <x:c r="K60" i="58"/>
  <x:c r="I60" i="58"/>
  <x:c r="H60" i="58"/>
  <x:c r="R60" i="58"/>
  <x:c r="Q60" i="58"/>
  <x:c r="P60" i="58"/>
  <x:c r="O60" i="58"/>
  <x:c r="N60" i="58"/>
  <x:c r="M60" i="58"/>
  <x:c r="R66" i="58"/>
  <x:c r="Q66" i="58"/>
  <x:c r="P66" i="58"/>
  <x:c r="O66" i="58"/>
  <x:c r="N66" i="58"/>
  <x:c r="M66" i="58"/>
  <x:c r="L66" i="58"/>
  <x:c r="K66" i="58"/>
  <x:c r="J66" i="58"/>
  <x:c r="I66" i="58"/>
  <x:c r="H66" i="58"/>
  <x:c r="I75" i="58"/>
  <x:c r="R75" i="58"/>
  <x:c r="Q75" i="58"/>
  <x:c r="P75" i="58"/>
  <x:c r="O75" i="58"/>
  <x:c r="N75" i="58"/>
  <x:c r="H75" i="58"/>
  <x:c r="M75" i="58"/>
  <x:c r="L75" i="58"/>
  <x:c r="K75" i="58"/>
  <x:c r="J75" i="58"/>
  <x:c r="I47" i="58"/>
  <x:c r="R47" i="58"/>
  <x:c r="Q47" i="58"/>
  <x:c r="P47" i="58"/>
  <x:c r="O47" i="58"/>
  <x:c r="N47" i="58"/>
  <x:c r="H47" i="58"/>
  <x:c r="M47" i="58"/>
  <x:c r="L47" i="58"/>
  <x:c r="K47" i="58"/>
  <x:c r="J47" i="58"/>
  <x:c r="R74" i="58"/>
  <x:c r="N74" i="58"/>
  <x:c r="M74" i="58"/>
  <x:c r="L74" i="58"/>
  <x:c r="H74" i="58"/>
  <x:c r="Q71" i="58"/>
  <x:c r="O71" i="58"/>
  <x:c r="L65" i="58"/>
  <x:c r="K65" i="58"/>
  <x:c r="L56" i="58"/>
  <x:c r="I56" i="58"/>
  <x:c r="N56" i="58"/>
  <x:c r="L68" i="58"/>
  <x:c r="K68" i="58"/>
  <x:c r="J68" i="58"/>
  <x:c r="I68" i="58"/>
  <x:c r="H68" i="58"/>
  <x:c r="R68" i="58"/>
  <x:c r="Q68" i="58"/>
  <x:c r="P68" i="58"/>
  <x:c r="O68" i="58"/>
  <x:c r="N68" i="58"/>
  <x:c r="M68" i="58"/>
  <x:c r="R46" i="58"/>
  <x:c r="Q46" i="58"/>
  <x:c r="O46" i="58"/>
  <x:c r="N46" i="58"/>
  <x:c r="P46" i="58"/>
  <x:c r="M46" i="58"/>
  <x:c r="L46" i="58"/>
  <x:c r="K46" i="58"/>
  <x:c r="J46" i="58"/>
  <x:c r="I46" i="58"/>
  <x:c r="H46" i="58"/>
  <x:c r="O49" i="58"/>
  <x:c r="N49" i="58"/>
  <x:c r="L49" i="58"/>
  <x:c r="M49" i="58"/>
  <x:c r="K49" i="58"/>
  <x:c r="J49" i="58"/>
  <x:c r="I49" i="58"/>
  <x:c r="H49" i="58"/>
  <x:c r="R49" i="58"/>
  <x:c r="Q49" i="58"/>
  <x:c r="P49" i="58"/>
  <x:c r="L52" i="58"/>
  <x:c r="K52" i="58"/>
  <x:c r="I52" i="58"/>
  <x:c r="H52" i="58"/>
  <x:c r="R52" i="58"/>
  <x:c r="Q52" i="58"/>
  <x:c r="P52" i="58"/>
  <x:c r="O52" i="58"/>
  <x:c r="N52" i="58"/>
  <x:c r="M52" i="58"/>
  <x:c r="J52" i="58"/>
  <x:c r="I55" i="58"/>
  <x:c r="H55" i="58"/>
  <x:c r="R55" i="58"/>
  <x:c r="Q55" i="58"/>
  <x:c r="P55" i="58"/>
  <x:c r="O55" i="58"/>
  <x:c r="N55" i="58"/>
  <x:c r="M55" i="58"/>
  <x:c r="L55" i="58"/>
  <x:c r="K55" i="58"/>
  <x:c r="J55" i="58"/>
  <x:c r="R58" i="58"/>
  <x:c r="M58" i="58"/>
  <x:c r="P58" i="58"/>
  <x:c r="L58" i="58"/>
  <x:c r="H58" i="58"/>
  <x:c r="O61" i="58"/>
  <x:c r="N61" i="58"/>
  <x:c r="L61" i="58"/>
  <x:c r="K61" i="58"/>
  <x:c r="M61" i="58"/>
  <x:c r="J61" i="58"/>
  <x:c r="I61" i="58"/>
  <x:c r="H61" i="58"/>
  <x:c r="R61" i="58"/>
  <x:c r="Q61" i="58"/>
  <x:c r="P61" i="58"/>
  <x:c r="I67" i="58"/>
  <x:c r="H67" i="58"/>
  <x:c r="R67" i="58"/>
  <x:c r="Q67" i="58"/>
  <x:c r="P67" i="58"/>
  <x:c r="O67" i="58"/>
  <x:c r="N67" i="58"/>
  <x:c r="M67" i="58"/>
  <x:c r="L67" i="58"/>
  <x:c r="K67" i="58"/>
  <x:c r="J67" i="58"/>
  <x:c r="N70" i="58"/>
  <x:c r="M70" i="58"/>
  <x:c r="O73" i="58"/>
  <x:c r="N73" i="58"/>
  <x:c r="L73" i="58"/>
  <x:c r="K73" i="58"/>
  <x:c r="J73" i="58"/>
  <x:c r="I73" i="58"/>
  <x:c r="H73" i="58"/>
  <x:c r="R73" i="58"/>
  <x:c r="M73" i="58"/>
  <x:c r="Q73" i="58"/>
  <x:c r="P73" i="58"/>
  <x:c r="O53" i="58"/>
  <x:c r="N53" i="58"/>
  <x:c r="L53" i="58"/>
  <x:c r="K53" i="58"/>
  <x:c r="J53" i="58"/>
  <x:c r="M53" i="58"/>
  <x:c r="I53" i="58"/>
  <x:c r="H53" i="58"/>
  <x:c r="R53" i="58"/>
  <x:c r="Q53" i="58"/>
  <x:c r="P53" i="58"/>
  <x:c r="I59" i="58"/>
  <x:c r="R59" i="58"/>
  <x:c r="H59" i="58"/>
  <x:c r="Q59" i="58"/>
  <x:c r="P59" i="58"/>
  <x:c r="O59" i="58"/>
  <x:c r="N59" i="58"/>
  <x:c r="M59" i="58"/>
  <x:c r="L59" i="58"/>
  <x:c r="K59" i="58"/>
  <x:c r="J59" i="58"/>
  <x:c r="R50" i="58"/>
  <x:c r="Q50" i="58"/>
  <x:c r="P50" i="58"/>
  <x:c r="O50" i="58"/>
  <x:c r="N50" i="58"/>
  <x:c r="M50" i="58"/>
  <x:c r="L50" i="58"/>
  <x:c r="K50" i="58"/>
  <x:c r="J50" i="58"/>
  <x:c r="I50" i="58"/>
  <x:c r="H50" i="58"/>
  <x:c r="B13" i="58"/>
  <x:c r="L29" i="62" l="1"/>
  <x:c r="R29" i="62"/>
  <x:c r="O24" i="62"/>
  <x:c r="Q29" i="62"/>
  <x:c r="P32" i="62"/>
  <x:c r="O32" i="62"/>
  <x:c r="L31" i="62"/>
  <x:c r="N32" i="62"/>
  <x:c r="M31" i="62"/>
  <x:c r="M32" i="62"/>
  <x:c r="M33" i="62"/>
  <x:c r="H32" i="62"/>
  <x:c r="R32" i="62"/>
  <x:c r="N33" i="62"/>
  <x:c r="Q32" i="62"/>
  <x:c r="N33" i="47"/>
  <x:c r="K33" i="47"/>
  <x:c r="M29" i="47"/>
  <x:c r="M28" i="47"/>
  <x:c r="M26" i="47"/>
  <x:c r="K32" i="47"/>
  <x:c r="N33" i="66"/>
  <x:c r="H32" i="66"/>
  <x:c r="H31" i="66"/>
  <x:c r="N29" i="66"/>
  <x:c r="L24" i="66"/>
  <x:c r="H26" i="66"/>
  <x:c r="J33" i="66"/>
  <x:c r="R25" i="66"/>
  <x:c r="P31" i="66"/>
  <x:c r="N30" i="66"/>
  <x:c r="N26" i="66"/>
  <x:c r="H33" i="66"/>
  <x:c r="I33" i="66"/>
  <x:c r="Q25" i="66"/>
  <x:c r="O31" i="66"/>
  <x:c r="M30" i="66"/>
  <x:c r="I29" i="66"/>
  <x:c r="L27" i="66"/>
  <x:c r="M26" i="66"/>
  <x:c r="K31" i="66"/>
  <x:c r="M31" i="66"/>
  <x:c r="K30" i="66"/>
  <x:c r="J27" i="66"/>
  <x:c r="K26" i="66"/>
  <x:c r="J31" i="66"/>
  <x:c r="J26" i="66"/>
  <x:c r="P24" i="66"/>
  <x:c r="P25" i="66"/>
  <x:c r="I24" i="66"/>
  <x:c r="O25" i="66"/>
  <x:c r="R27" i="66"/>
  <x:c r="H24" i="66"/>
  <x:c r="R32" i="66"/>
  <x:c r="P32" i="66"/>
  <x:c r="Q32" i="66"/>
  <x:c r="N25" i="66"/>
  <x:c r="R24" i="66"/>
  <x:c r="O32" i="66"/>
  <x:c r="L25" i="66"/>
  <x:c r="M25" i="66"/>
  <x:c r="N32" i="66"/>
  <x:c r="K25" i="66"/>
  <x:c r="Q24" i="66"/>
  <x:c r="L32" i="66"/>
  <x:c r="M27" i="66"/>
  <x:c r="O24" i="66"/>
  <x:c r="I27" i="66"/>
  <x:c r="K31" i="47"/>
  <x:c r="K30" i="47"/>
  <x:c r="M30" i="47"/>
  <x:c r="K29" i="47"/>
  <x:c r="N28" i="47"/>
  <x:c r="O30" i="62"/>
  <x:c r="O28" i="62"/>
  <x:c r="J30" i="62"/>
  <x:c r="O33" i="62"/>
  <x:c r="Q24" i="62"/>
  <x:c r="N28" i="62"/>
  <x:c r="M24" i="62"/>
  <x:c r="L30" i="62"/>
  <x:c r="R33" i="62"/>
  <x:c r="J29" i="62"/>
  <x:c r="H31" i="62"/>
  <x:c r="N24" i="62"/>
  <x:c r="K33" i="62"/>
  <x:c r="R30" i="62"/>
  <x:c r="K29" i="62"/>
  <x:c r="L33" i="62"/>
  <x:c r="H30" i="62"/>
  <x:c r="I29" i="62"/>
  <x:c r="K28" i="62"/>
  <x:c r="R31" i="62"/>
  <x:c r="K30" i="62"/>
  <x:c r="M27" i="62"/>
  <x:c r="K32" i="62"/>
  <x:c r="Q31" i="62"/>
  <x:c r="M30" i="62"/>
  <x:c r="H33" i="62"/>
  <x:c r="H28" i="62"/>
  <x:c r="P31" i="62"/>
  <x:c r="Q27" i="62"/>
  <x:c r="H29" i="62"/>
  <x:c r="R28" i="62"/>
  <x:c r="O31" i="62"/>
  <x:c r="P28" i="62"/>
  <x:c r="P25" i="62"/>
  <x:c r="M26" i="62"/>
  <x:c r="O25" i="62"/>
  <x:c r="N25" i="62"/>
  <x:c r="K26" i="62"/>
  <x:c r="K25" i="62"/>
  <x:c r="M25" i="62"/>
  <x:c r="J26" i="62"/>
  <x:c r="L32" i="62"/>
  <x:c r="J25" i="62"/>
  <x:c r="P29" i="62"/>
  <x:c r="L28" i="62"/>
  <x:c r="M28" i="62"/>
  <x:c r="N31" i="62"/>
  <x:c r="Q30" i="62"/>
  <x:c r="I26" i="62"/>
  <x:c r="I25" i="62"/>
  <x:c r="I30" i="62"/>
  <x:c r="J32" i="62"/>
  <x:c r="N29" i="62"/>
  <x:c r="J28" i="62"/>
  <x:c r="K31" i="62"/>
  <x:c r="Q33" i="62"/>
  <x:c r="L25" i="62"/>
  <x:c r="I28" i="62"/>
  <x:c r="J31" i="62"/>
  <x:c r="H26" i="62"/>
  <x:c r="H25" i="62"/>
  <x:c r="R26" i="62"/>
  <x:c r="R25" i="62"/>
  <x:c r="R24" i="62"/>
  <x:c r="P26" i="62"/>
  <x:c r="R27" i="62"/>
  <x:c r="I27" i="62"/>
  <x:c r="J27" i="62"/>
  <x:c r="N27" i="62"/>
  <x:c r="P24" i="62"/>
  <x:c r="K27" i="62"/>
  <x:c r="O27" i="62"/>
  <x:c r="H27" i="62"/>
  <x:c r="L24" i="62"/>
  <x:c r="K24" i="62"/>
  <x:c r="L27" i="62"/>
  <x:c r="J61" i="60"/>
  <x:c r="M75" i="60"/>
  <x:c r="Q61" i="60"/>
  <x:c r="K55" i="60"/>
  <x:c r="H46" i="60"/>
  <x:c r="I74" i="60"/>
  <x:c r="P56" i="60"/>
  <x:c r="R61" i="60"/>
  <x:c r="I46" i="60"/>
  <x:c r="Q56" i="60"/>
  <x:c r="H61" i="60"/>
  <x:c r="L55" i="60"/>
  <x:c r="J46" i="60"/>
  <x:c r="K74" i="60"/>
  <x:c r="R56" i="60"/>
  <x:c r="J56" i="60"/>
  <x:c r="L51" i="60"/>
  <x:c r="K61" i="60"/>
  <x:c r="O55" i="60"/>
  <x:c r="M46" i="60"/>
  <x:c r="N74" i="60"/>
  <x:c r="K56" i="60"/>
  <x:c r="L46" i="60"/>
  <x:c r="L61" i="60"/>
  <x:c r="P55" i="60"/>
  <x:c r="N46" i="60"/>
  <x:c r="O74" i="60"/>
  <x:c r="L56" i="60"/>
  <x:c r="M61" i="60"/>
  <x:c r="Q55" i="60"/>
  <x:c r="O46" i="60"/>
  <x:c r="P74" i="60"/>
  <x:c r="N61" i="60"/>
  <x:c r="R55" i="60"/>
  <x:c r="P46" i="60"/>
  <x:c r="Q74" i="60"/>
  <x:c r="R66" i="60"/>
  <x:c r="O61" i="60"/>
  <x:c r="H55" i="60"/>
  <x:c r="Q46" i="60"/>
  <x:c r="R74" i="60"/>
  <x:c r="O68" i="60"/>
  <x:c r="N56" i="60"/>
  <x:c r="M56" i="60"/>
  <x:c r="O56" i="60"/>
  <x:c r="N72" i="60"/>
  <x:c r="P60" i="60"/>
  <x:c r="N48" i="60"/>
  <x:c r="O48" i="60"/>
  <x:c r="Q48" i="60"/>
  <x:c r="R48" i="60"/>
  <x:c r="H48" i="60"/>
  <x:c r="Q52" i="60"/>
  <x:c r="M50" i="60"/>
  <x:c r="Q50" i="60"/>
  <x:c r="H60" i="60"/>
  <x:c r="I52" i="60"/>
  <x:c r="R50" i="60"/>
  <x:c r="I60" i="60"/>
  <x:c r="J52" i="60"/>
  <x:c r="H50" i="60"/>
  <x:c r="J48" i="60"/>
  <x:c r="M52" i="60"/>
  <x:c r="K52" i="60"/>
  <x:c r="I50" i="60"/>
  <x:c r="K54" i="60"/>
  <x:c r="K48" i="60"/>
  <x:c r="Q60" i="60"/>
  <x:c r="N52" i="60"/>
  <x:c r="L52" i="60"/>
  <x:c r="P62" i="60"/>
  <x:c r="J50" i="60"/>
  <x:c r="K66" i="60"/>
  <x:c r="M54" i="60"/>
  <x:c r="L48" i="60"/>
  <x:c r="H67" i="60"/>
  <x:c r="O52" i="60"/>
  <x:c r="J59" i="60"/>
  <x:c r="K50" i="60"/>
  <x:c r="N54" i="60"/>
  <x:c r="R59" i="60"/>
  <x:c r="Q66" i="60"/>
  <x:c r="M48" i="60"/>
  <x:c r="Q58" i="59"/>
  <x:c r="J56" i="59"/>
  <x:c r="J75" i="59"/>
  <x:c r="I58" i="59"/>
  <x:c r="M52" i="59"/>
  <x:c r="P56" i="59"/>
  <x:c r="H75" i="59"/>
  <x:c r="J58" i="59"/>
  <x:c r="J52" i="59"/>
  <x:c r="M56" i="59"/>
  <x:c r="Q56" i="59"/>
  <x:c r="K75" i="59"/>
  <x:c r="K58" i="59"/>
  <x:c r="L75" i="59"/>
  <x:c r="I75" i="59"/>
  <x:c r="L58" i="59"/>
  <x:c r="R56" i="59"/>
  <x:c r="M75" i="59"/>
  <x:c r="M58" i="59"/>
  <x:c r="H56" i="59"/>
  <x:c r="N75" i="59"/>
  <x:c r="O75" i="59"/>
  <x:c r="P75" i="59"/>
  <x:c r="N52" i="59"/>
  <x:c r="K52" i="59"/>
  <x:c r="I64" i="59"/>
  <x:c r="J64" i="59"/>
  <x:c r="P52" i="59"/>
  <x:c r="Q52" i="59"/>
  <x:c r="M64" i="59"/>
  <x:c r="N64" i="59"/>
  <x:c r="K64" i="59"/>
  <x:c r="P62" i="59"/>
  <x:c r="O52" i="59"/>
  <x:c r="O64" i="59"/>
  <x:c r="L64" i="59"/>
  <x:c r="R52" i="59"/>
  <x:c r="Q62" i="59"/>
  <x:c r="L52" i="59"/>
  <x:c r="P64" i="59"/>
  <x:c r="H52" i="59"/>
  <x:c r="Q64" i="59"/>
  <x:c r="L50" i="59"/>
  <x:c r="H55" i="59"/>
  <x:c r="M50" i="59"/>
  <x:c r="I62" i="59"/>
  <x:c r="R62" i="59"/>
  <x:c r="M57" i="59"/>
  <x:c r="J65" i="58"/>
  <x:c r="M56" i="58"/>
  <x:c r="K56" i="58"/>
  <x:c r="M65" i="58"/>
  <x:c r="P71" i="58"/>
  <x:c r="J56" i="58"/>
  <x:c r="P65" i="58"/>
  <x:c r="N65" i="58"/>
  <x:c r="O56" i="58"/>
  <x:c r="Q65" i="58"/>
  <x:c r="O65" i="58"/>
  <x:c r="R71" i="58"/>
  <x:c r="O45" i="58"/>
  <x:c r="P56" i="58"/>
  <x:c r="J71" i="58"/>
  <x:c r="Q56" i="58"/>
  <x:c r="R65" i="58"/>
  <x:c r="K71" i="58"/>
  <x:c r="I71" i="58"/>
  <x:c r="H65" i="58"/>
  <x:c r="L71" i="58"/>
  <x:c r="R56" i="58"/>
  <x:c r="H71" i="58"/>
  <x:c r="H56" i="58"/>
  <x:c r="M71" i="58"/>
  <x:c r="I70" i="58"/>
  <x:c r="H64" i="58"/>
  <x:c r="J69" i="58"/>
  <x:c r="R73" i="59"/>
  <x:c r="Q71" i="59"/>
  <x:c r="M66" i="59"/>
  <x:c r="L75" i="60"/>
  <x:c r="J51" i="60"/>
  <x:c r="R67" i="60"/>
  <x:c r="M68" i="60"/>
  <x:c r="L68" i="60"/>
  <x:c r="O62" i="60"/>
  <x:c r="I54" i="60"/>
  <x:c r="Q28" i="66"/>
  <x:c r="N75" i="60"/>
  <x:c r="J64" i="58"/>
  <x:c r="M72" i="58"/>
  <x:c r="L72" i="58"/>
  <x:c r="N69" i="58"/>
  <x:c r="H71" i="59"/>
  <x:c r="J72" i="59"/>
  <x:c r="P66" i="59"/>
  <x:c r="J48" i="59"/>
  <x:c r="O75" i="60"/>
  <x:c r="M51" i="60"/>
  <x:c r="K67" i="60"/>
  <x:c r="Q68" i="60"/>
  <x:c r="M27" i="47"/>
  <x:c r="L28" i="66"/>
  <x:c r="N28" i="66"/>
  <x:c r="N72" i="58"/>
  <x:c r="P69" i="58"/>
  <x:c r="M69" i="58"/>
  <x:c r="I73" i="59"/>
  <x:c r="N72" i="59"/>
  <x:c r="K72" i="59"/>
  <x:c r="H66" i="59"/>
  <x:c r="N48" i="59"/>
  <x:c r="K48" i="59"/>
  <x:c r="P75" i="60"/>
  <x:c r="N51" i="60"/>
  <x:c r="J67" i="60"/>
  <x:c r="I67" i="60"/>
  <x:c r="R62" i="60"/>
  <x:c r="K27" i="47"/>
  <x:c r="K28" i="66"/>
  <x:c r="M28" i="66"/>
  <x:c r="L64" i="58"/>
  <x:c r="Q45" i="58"/>
  <x:c r="O72" i="58"/>
  <x:c r="Q69" i="58"/>
  <x:c r="O69" i="58"/>
  <x:c r="J73" i="59"/>
  <x:c r="I68" i="59"/>
  <x:c r="O72" i="59"/>
  <x:c r="L72" i="59"/>
  <x:c r="Q66" i="59"/>
  <x:c r="O48" i="59"/>
  <x:c r="L48" i="59"/>
  <x:c r="Q75" i="60"/>
  <x:c r="O51" i="60"/>
  <x:c r="L67" i="60"/>
  <x:c r="R68" i="60"/>
  <x:c r="H62" i="60"/>
  <x:c r="R60" i="60"/>
  <x:c r="O54" i="60"/>
  <x:c r="J28" i="66"/>
  <x:c r="K73" i="59"/>
  <x:c r="K71" i="59"/>
  <x:c r="J71" i="59"/>
  <x:c r="J68" i="59"/>
  <x:c r="M72" i="59"/>
  <x:c r="P48" i="59"/>
  <x:c r="P51" i="60"/>
  <x:c r="M67" i="60"/>
  <x:c r="H68" i="60"/>
  <x:c r="I62" i="60"/>
  <x:c r="R54" i="60"/>
  <x:c r="I28" i="66"/>
  <x:c r="P72" i="58"/>
  <x:c r="M64" i="58"/>
  <x:c r="Q72" i="58"/>
  <x:c r="R69" i="58"/>
  <x:c r="L73" i="59"/>
  <x:c r="L71" i="59"/>
  <x:c r="I71" i="59"/>
  <x:c r="M68" i="59"/>
  <x:c r="P72" i="59"/>
  <x:c r="I66" i="59"/>
  <x:c r="R66" i="59"/>
  <x:c r="Q48" i="59"/>
  <x:c r="R75" i="60"/>
  <x:c r="H63" i="60"/>
  <x:c r="Q51" i="60"/>
  <x:c r="N67" i="60"/>
  <x:c r="J62" i="60"/>
  <x:c r="L66" i="60"/>
  <x:c r="N25" i="47"/>
  <x:c r="L69" i="58"/>
  <x:c r="H68" i="59"/>
  <x:c r="P68" i="60"/>
  <x:c r="O70" i="58"/>
  <x:c r="N64" i="58"/>
  <x:c r="H69" i="58"/>
  <x:c r="P73" i="59"/>
  <x:c r="M71" i="59"/>
  <x:c r="N68" i="59"/>
  <x:c r="K68" i="59"/>
  <x:c r="Q72" i="59"/>
  <x:c r="J66" i="59"/>
  <x:c r="H75" i="60"/>
  <x:c r="O67" i="60"/>
  <x:c r="K62" i="60"/>
  <x:c r="K25" i="47"/>
  <x:c r="I64" i="58"/>
  <x:c r="O66" i="59"/>
  <x:c r="Q64" i="58"/>
  <x:c r="L45" i="58"/>
  <x:c r="R72" i="58"/>
  <x:c r="M73" i="59"/>
  <x:c r="N71" i="59"/>
  <x:c r="O68" i="59"/>
  <x:c r="L68" i="59"/>
  <x:c r="R48" i="59"/>
  <x:c r="R51" i="60"/>
  <x:c r="P67" i="60"/>
  <x:c r="I68" i="60"/>
  <x:c r="L62" i="60"/>
  <x:c r="N66" i="60"/>
  <x:c r="J60" i="60"/>
  <x:c r="H28" i="66"/>
  <x:c r="Q62" i="60"/>
  <x:c r="R70" i="58"/>
  <x:c r="P70" i="58"/>
  <x:c r="N45" i="58"/>
  <x:c r="H72" i="58"/>
  <x:c r="Q73" i="59"/>
  <x:c r="N73" i="59"/>
  <x:c r="O71" i="59"/>
  <x:c r="P68" i="59"/>
  <x:c r="R72" i="59"/>
  <x:c r="K66" i="59"/>
  <x:c r="H48" i="59"/>
  <x:c r="K75" i="60"/>
  <x:c r="J63" i="60"/>
  <x:c r="H51" i="60"/>
  <x:c r="Q67" i="60"/>
  <x:c r="J68" i="60"/>
  <x:c r="M62" i="60"/>
  <x:c r="H72" i="60"/>
  <x:c r="O66" i="60"/>
  <x:c r="P48" i="60"/>
  <x:c r="R28" i="66"/>
  <x:c r="K64" i="58"/>
  <x:c r="R64" i="58"/>
  <x:c r="J75" i="60"/>
  <x:c r="N68" i="60"/>
  <x:c r="H54" i="60"/>
  <x:c r="H57" i="60"/>
  <x:c r="K69" i="60"/>
  <x:c r="H59" i="60"/>
  <x:c r="L47" i="60"/>
  <x:c r="M72" i="60"/>
  <x:c r="K72" i="60"/>
  <x:c r="P66" i="60"/>
  <x:c r="L54" i="60"/>
  <x:c r="I57" i="60"/>
  <x:c r="J57" i="60"/>
  <x:c r="K59" i="60"/>
  <x:c r="I59" i="60"/>
  <x:c r="O47" i="60"/>
  <x:c r="P69" i="60"/>
  <x:c r="O69" i="60"/>
  <x:c r="K57" i="60"/>
  <x:c r="L59" i="60"/>
  <x:c r="P47" i="60"/>
  <x:c r="Q72" i="60"/>
  <x:c r="M60" i="60"/>
  <x:c r="K60" i="60"/>
  <x:c r="P54" i="60"/>
  <x:c r="L57" i="60"/>
  <x:c r="M59" i="60"/>
  <x:c r="Q47" i="60"/>
  <x:c r="I66" i="60"/>
  <x:c r="N60" i="60"/>
  <x:c r="L60" i="60"/>
  <x:c r="Q54" i="60"/>
  <x:c r="M57" i="60"/>
  <x:c r="N59" i="60"/>
  <x:c r="Q57" i="60"/>
  <x:c r="N57" i="60"/>
  <x:c r="O59" i="60"/>
  <x:c r="R47" i="60"/>
  <x:c r="P57" i="60"/>
  <x:c r="O57" i="60"/>
  <x:c r="P59" i="60"/>
  <x:c r="H47" i="60"/>
  <x:c r="Q59" i="60"/>
  <x:c r="J47" i="60"/>
  <x:c r="L45" i="60"/>
  <x:c r="M45" i="60"/>
  <x:c r="Q45" i="60"/>
  <x:c r="B48" i="60"/>
  <x:c r="B15" i="60"/>
  <x:c r="K69" i="59"/>
  <x:c r="R51" i="59"/>
  <x:c r="L69" i="59"/>
  <x:c r="H51" i="59"/>
  <x:c r="K51" i="59"/>
  <x:c r="J51" i="59"/>
  <x:c r="L51" i="59"/>
  <x:c r="I51" i="59"/>
  <x:c r="M51" i="59"/>
  <x:c r="N51" i="59"/>
  <x:c r="O51" i="59"/>
  <x:c r="L45" i="59"/>
  <x:c r="P45" i="59"/>
  <x:c r="Q45" i="59"/>
  <x:c r="N45" i="59"/>
  <x:c r="O45" i="59"/>
  <x:c r="I45" i="59"/>
  <x:c r="B47" i="59"/>
  <x:c r="B14" i="59"/>
  <x:c r="N58" i="58"/>
  <x:c r="K70" i="58"/>
  <x:c r="O64" i="58"/>
  <x:c r="O58" i="58"/>
  <x:c r="J74" i="58"/>
  <x:c r="J70" i="58"/>
  <x:c r="I74" i="58"/>
  <x:c r="L70" i="58"/>
  <x:c r="P64" i="58"/>
  <x:c r="Q58" i="58"/>
  <x:c r="K74" i="58"/>
  <x:c r="Q70" i="58"/>
  <x:c r="I58" i="58"/>
  <x:c r="P74" i="58"/>
  <x:c r="H70" i="58"/>
  <x:c r="J58" i="58"/>
  <x:c r="O74" i="58"/>
  <x:c r="R45" i="58"/>
  <x:c r="H45" i="58"/>
  <x:c r="M45" i="58"/>
  <x:c r="I45" i="58"/>
  <x:c r="J45" i="58"/>
  <x:c r="J77" i="58" s="1"/>
  <x:c r="B47" i="58"/>
  <x:c r="B14" i="58"/>
  <x:c r="N77" i="60" l="1"/>
  <x:c r="R77" i="60"/>
  <x:c r="K77" i="60"/>
  <x:c r="O77" i="59"/>
  <x:c r="H77" i="59"/>
  <x:c r="K77" i="59"/>
  <x:c r="R77" i="59"/>
  <x:c r="P77" i="59"/>
  <x:c r="N77" i="58"/>
  <x:c r="K77" i="58"/>
  <x:c r="Q77" i="58"/>
  <x:c r="R77" i="58"/>
  <x:c r="N77" i="59"/>
  <x:c r="Q77" i="59"/>
  <x:c r="P77" i="58"/>
  <x:c r="M77" i="58"/>
  <x:c r="M77" i="59"/>
  <x:c r="J77" i="60"/>
  <x:c r="L77" i="58"/>
  <x:c r="I77" i="59"/>
  <x:c r="H77" i="60"/>
  <x:c r="I77" i="60"/>
  <x:c r="O77" i="60"/>
  <x:c r="O77" i="58"/>
  <x:c r="J77" i="59"/>
  <x:c r="P77" i="60"/>
  <x:c r="Q77" i="60"/>
  <x:c r="M77" i="60"/>
  <x:c r="L77" i="60"/>
  <x:c r="B16" i="60"/>
  <x:c r="B49" i="60"/>
  <x:c r="L77" i="59"/>
  <x:c r="B48" i="59"/>
  <x:c r="B15" i="59"/>
  <x:c r="I77" i="58"/>
  <x:c r="H77" i="58"/>
  <x:c r="B48" i="58"/>
  <x:c r="B15" i="58"/>
  <x:c r="B17" i="60" l="1"/>
  <x:c r="B50" i="60"/>
  <x:c r="B16" i="59"/>
  <x:c r="B49" i="59"/>
  <x:c r="B49" i="58"/>
  <x:c r="B16" i="58"/>
  <x:c r="B18" i="60" l="1"/>
  <x:c r="B51" i="60"/>
  <x:c r="B17" i="59"/>
  <x:c r="B50" i="59"/>
  <x:c r="B17" i="58"/>
  <x:c r="B50" i="58"/>
  <x:c r="B52" i="60" l="1"/>
  <x:c r="B19" i="60"/>
  <x:c r="B18" i="59"/>
  <x:c r="B51" i="59"/>
  <x:c r="B18" i="58"/>
  <x:c r="B51" i="58"/>
  <x:c r="B53" i="60" l="1"/>
  <x:c r="B20" i="60"/>
  <x:c r="B52" i="59"/>
  <x:c r="B19" i="59"/>
  <x:c r="B52" i="58"/>
  <x:c r="B19" i="58"/>
  <x:c r="B21" i="60" l="1"/>
  <x:c r="B54" i="60"/>
  <x:c r="B53" i="59"/>
  <x:c r="B20" i="59"/>
  <x:c r="B53" i="58"/>
  <x:c r="B20" i="58"/>
  <x:c r="B22" i="60" l="1"/>
  <x:c r="B55" i="60"/>
  <x:c r="B21" i="59"/>
  <x:c r="B54" i="59"/>
  <x:c r="B21" i="58"/>
  <x:c r="B54" i="58"/>
  <x:c r="B56" i="60" l="1"/>
  <x:c r="B23" i="60"/>
  <x:c r="B22" i="59"/>
  <x:c r="B55" i="59"/>
  <x:c r="B22" i="58"/>
  <x:c r="B55" i="58"/>
  <x:c r="B57" i="60" l="1"/>
  <x:c r="B24" i="60"/>
  <x:c r="B56" i="59"/>
  <x:c r="B23" i="59"/>
  <x:c r="B56" i="58"/>
  <x:c r="B23" i="58"/>
  <x:c r="B58" i="60" l="1"/>
  <x:c r="B25" i="60"/>
  <x:c r="B57" i="59"/>
  <x:c r="B24" i="59"/>
  <x:c r="B57" i="58"/>
  <x:c r="B24" i="58"/>
  <x:c r="B59" i="60" l="1"/>
  <x:c r="B26" i="60"/>
  <x:c r="B58" i="59"/>
  <x:c r="B25" i="59"/>
  <x:c r="B58" i="58"/>
  <x:c r="B25" i="58"/>
  <x:c r="B60" i="60" l="1"/>
  <x:c r="B27" i="60"/>
  <x:c r="B59" i="59"/>
  <x:c r="B26" i="59"/>
  <x:c r="B59" i="58"/>
  <x:c r="B26" i="58"/>
  <x:c r="B28" i="60" l="1"/>
  <x:c r="B61" i="60"/>
  <x:c r="B60" i="59"/>
  <x:c r="B27" i="59"/>
  <x:c r="B60" i="58"/>
  <x:c r="B27" i="58"/>
  <x:c r="B29" i="60" l="1"/>
  <x:c r="B62" i="60"/>
  <x:c r="B28" i="59"/>
  <x:c r="B61" i="59"/>
  <x:c r="B61" i="58"/>
  <x:c r="B28" i="58"/>
  <x:c r="B30" i="60" l="1"/>
  <x:c r="B63" i="60"/>
  <x:c r="B29" i="59"/>
  <x:c r="B62" i="59"/>
  <x:c r="B29" i="58"/>
  <x:c r="B62" i="58"/>
  <x:c r="B64" i="60" l="1"/>
  <x:c r="B31" i="60"/>
  <x:c r="B30" i="59"/>
  <x:c r="B63" i="59"/>
  <x:c r="B30" i="58"/>
  <x:c r="B63" i="58"/>
  <x:c r="B65" i="60" l="1"/>
  <x:c r="B32" i="60"/>
  <x:c r="B64" i="59"/>
  <x:c r="B31" i="59"/>
  <x:c r="B64" i="58"/>
  <x:c r="B31" i="58"/>
  <x:c r="B33" i="60" l="1"/>
  <x:c r="B66" i="60"/>
  <x:c r="B65" i="59"/>
  <x:c r="B32" i="59"/>
  <x:c r="B65" i="58"/>
  <x:c r="B32" i="58"/>
  <x:c r="B34" i="60" l="1"/>
  <x:c r="B67" i="60"/>
  <x:c r="B33" i="59"/>
  <x:c r="B66" i="59"/>
  <x:c r="B33" i="58"/>
  <x:c r="B66" i="58"/>
  <x:c r="B68" i="60" l="1"/>
  <x:c r="B35" i="60"/>
  <x:c r="B34" i="59"/>
  <x:c r="B67" i="59"/>
  <x:c r="B34" i="58"/>
  <x:c r="B67" i="58"/>
  <x:c r="B69" i="60" l="1"/>
  <x:c r="B36" i="60"/>
  <x:c r="B68" i="59"/>
  <x:c r="B35" i="59"/>
  <x:c r="B68" i="58"/>
  <x:c r="B35" i="58"/>
  <x:c r="B70" i="60" l="1"/>
  <x:c r="B37" i="60"/>
  <x:c r="B69" i="59"/>
  <x:c r="B36" i="59"/>
  <x:c r="B69" i="58"/>
  <x:c r="B36" i="58"/>
  <x:c r="B71" i="60" l="1"/>
  <x:c r="B38" i="60"/>
  <x:c r="B70" i="59"/>
  <x:c r="B37" i="59"/>
  <x:c r="B70" i="58"/>
  <x:c r="B37" i="58"/>
  <x:c r="B72" i="60" l="1"/>
  <x:c r="B39" i="60"/>
  <x:c r="B71" i="59"/>
  <x:c r="B38" i="59"/>
  <x:c r="B71" i="58"/>
  <x:c r="B38" i="58"/>
  <x:c r="B40" i="60" l="1"/>
  <x:c r="B73" i="60"/>
  <x:c r="B72" i="59"/>
  <x:c r="B39" i="59"/>
  <x:c r="B72" i="58"/>
  <x:c r="B39" i="58"/>
  <x:c r="B41" i="60" l="1"/>
  <x:c r="B75" i="60" s="1"/>
  <x:c r="B74" i="60"/>
  <x:c r="B40" i="59"/>
  <x:c r="B73" i="59"/>
  <x:c r="B73" i="58"/>
  <x:c r="B40" i="58"/>
  <x:c r="B41" i="59" l="1"/>
  <x:c r="B75" i="59" s="1"/>
  <x:c r="B74" i="59"/>
  <x:c r="B41" i="58"/>
  <x:c r="B75" i="58" s="1"/>
  <x:c r="B74" i="58"/>
  <x:c r="G50" i="45" l="1"/>
  <x:c r="G54" i="45"/>
  <x:c r="N54" i="45" s="1"/>
  <x:c r="G56" i="45"/>
  <x:c r="K56" i="45" s="1"/>
  <x:c r="G58" i="45"/>
  <x:c r="G60" i="45"/>
  <x:c r="G62" i="45"/>
  <x:c r="J62" i="45" s="1"/>
  <x:c r="G66" i="45"/>
  <x:c r="N66" i="45" s="1"/>
  <x:c r="G68" i="45"/>
  <x:c r="N68" i="45" s="1"/>
  <x:c r="G70" i="45"/>
  <x:c r="I70" i="45" s="1"/>
  <x:c r="G72" i="45"/>
  <x:c r="N72" i="45" s="1"/>
  <x:c r="G74" i="45"/>
  <x:c r="K74" i="45" s="1"/>
  <x:c r="G46" i="45"/>
  <x:c r="G48" i="45"/>
  <x:c r="M48" i="45" s="1"/>
  <x:c r="G52" i="45"/>
  <x:c r="K52" i="45" s="1"/>
  <x:c r="N62" i="45"/>
  <x:c r="M62" i="45"/>
  <x:c r="J66" i="45"/>
  <x:c r="I66" i="45"/>
  <x:c r="K66" i="45"/>
  <x:c r="M58" i="45"/>
  <x:c r="N58" i="45"/>
  <x:c r="I58" i="45"/>
  <x:c r="K58" i="45"/>
  <x:c r="J58" i="45"/>
  <x:c r="G49" i="45"/>
  <x:c r="G53" i="45"/>
  <x:c r="G57" i="45"/>
  <x:c r="G59" i="45"/>
  <x:c r="G61" i="45"/>
  <x:c r="G63" i="45"/>
  <x:c r="G65" i="45"/>
  <x:c r="G67" i="45"/>
  <x:c r="G69" i="45"/>
  <x:c r="G71" i="45"/>
  <x:c r="G73" i="45"/>
  <x:c r="G75" i="45"/>
  <x:c r="J72" i="45"/>
  <x:c r="K72" i="45"/>
  <x:c r="I72" i="45"/>
  <x:c r="G47" i="45"/>
  <x:c r="G45" i="45"/>
  <x:c r="I45" i="45" s="1"/>
  <x:c r="G64" i="45"/>
  <x:c r="G55" i="45"/>
  <x:c r="M60" i="45"/>
  <x:c r="K60" i="45"/>
  <x:c r="J60" i="45"/>
  <x:c r="N60" i="45"/>
  <x:c r="I60" i="45"/>
  <x:c r="G51" i="45"/>
  <x:c r="A12" i="57"/>
  <x:c r="A13" i="57" s="1"/>
  <x:c r="A14" i="57" s="1"/>
  <x:c r="A15" i="57" s="1"/>
  <x:c r="A16" i="57" s="1"/>
  <x:c r="A17" i="57" s="1"/>
  <x:c r="A18" i="57" s="1"/>
  <x:c r="A19" i="57" s="1"/>
  <x:c r="A20" i="57" s="1"/>
  <x:c r="A21" i="57" s="1"/>
  <x:c r="A22" i="57" s="1"/>
  <x:c r="A23" i="57" s="1"/>
  <x:c r="A24" i="57" s="1"/>
  <x:c r="A25" i="57" s="1"/>
  <x:c r="A26" i="57" s="1"/>
  <x:c r="A27" i="57" s="1"/>
  <x:c r="A28" i="57" s="1"/>
  <x:c r="A29" i="57" s="1"/>
  <x:c r="A30" i="57" s="1"/>
  <x:c r="A31" i="57" s="1"/>
  <x:c r="A32" i="57" s="1"/>
  <x:c r="A33" i="57" s="1"/>
  <x:c r="A34" i="57" s="1"/>
  <x:c r="A35" i="57" s="1"/>
  <x:c r="A36" i="57" s="1"/>
  <x:c r="A37" i="57" s="1"/>
  <x:c r="A38" i="57" s="1"/>
  <x:c r="A39" i="57" s="1"/>
  <x:c r="A40" i="57" s="1"/>
  <x:c r="A12" i="56"/>
  <x:c r="A13" i="56" s="1"/>
  <x:c r="A14" i="56" s="1"/>
  <x:c r="A15" i="56" s="1"/>
  <x:c r="A16" i="56" s="1"/>
  <x:c r="A17" i="56" s="1"/>
  <x:c r="A18" i="56" s="1"/>
  <x:c r="A19" i="56" s="1"/>
  <x:c r="A20" i="56" s="1"/>
  <x:c r="A21" i="56" s="1"/>
  <x:c r="A22" i="56" s="1"/>
  <x:c r="A23" i="56" s="1"/>
  <x:c r="A24" i="56" s="1"/>
  <x:c r="A25" i="56" s="1"/>
  <x:c r="A26" i="56" s="1"/>
  <x:c r="A27" i="56" s="1"/>
  <x:c r="A28" i="56" s="1"/>
  <x:c r="A29" i="56" s="1"/>
  <x:c r="A30" i="56" s="1"/>
  <x:c r="A31" i="56" s="1"/>
  <x:c r="A32" i="56" s="1"/>
  <x:c r="A33" i="56" s="1"/>
  <x:c r="A34" i="56" s="1"/>
  <x:c r="A35" i="56" s="1"/>
  <x:c r="A36" i="56" s="1"/>
  <x:c r="A37" i="56" s="1"/>
  <x:c r="A38" i="56" s="1"/>
  <x:c r="A39" i="56" s="1"/>
  <x:c r="A40" i="56" s="1"/>
  <x:c r="J52" i="45" l="1"/>
  <x:c r="J74" i="45"/>
  <x:c r="I52" i="45"/>
  <x:c r="M52" i="45"/>
  <x:c r="M54" i="45"/>
  <x:c r="J54" i="45"/>
  <x:c r="K54" i="45"/>
  <x:c r="K70" i="45"/>
  <x:c r="N52" i="45"/>
  <x:c r="I54" i="45"/>
  <x:c r="M72" i="45"/>
  <x:c r="N56" i="45"/>
  <x:c r="J56" i="45"/>
  <x:c r="I74" i="45"/>
  <x:c r="N70" i="45"/>
  <x:c r="M70" i="45"/>
  <x:c r="N46" i="45"/>
  <x:c r="I56" i="45"/>
  <x:c r="M56" i="45"/>
  <x:c r="M50" i="45"/>
  <x:c r="N74" i="45"/>
  <x:c r="N50" i="45"/>
  <x:c r="M74" i="45"/>
  <x:c r="J50" i="45"/>
  <x:c r="J48" i="45"/>
  <x:c r="K68" i="45"/>
  <x:c r="I50" i="45"/>
  <x:c r="I48" i="45"/>
  <x:c r="I68" i="45"/>
  <x:c r="K50" i="45"/>
  <x:c r="J68" i="45"/>
  <x:c r="K46" i="45"/>
  <x:c r="K62" i="45"/>
  <x:c r="K48" i="45"/>
  <x:c r="M68" i="45"/>
  <x:c r="N48" i="45"/>
  <x:c r="I46" i="45"/>
  <x:c r="J70" i="45"/>
  <x:c r="I62" i="45"/>
  <x:c r="J46" i="45"/>
  <x:c r="M66" i="45"/>
  <x:c r="M46" i="45"/>
  <x:c r="M55" i="45"/>
  <x:c r="I55" i="45"/>
  <x:c r="N55" i="45"/>
  <x:c r="J55" i="45"/>
  <x:c r="K55" i="45"/>
  <x:c r="M59" i="45"/>
  <x:c r="N59" i="45"/>
  <x:c r="K59" i="45"/>
  <x:c r="J59" i="45"/>
  <x:c r="I59" i="45"/>
  <x:c r="N64" i="45"/>
  <x:c r="J64" i="45"/>
  <x:c r="I64" i="45"/>
  <x:c r="K64" i="45"/>
  <x:c r="M64" i="45"/>
  <x:c r="K57" i="45"/>
  <x:c r="J57" i="45"/>
  <x:c r="N57" i="45"/>
  <x:c r="I57" i="45"/>
  <x:c r="M57" i="45"/>
  <x:c r="N53" i="45"/>
  <x:c r="I53" i="45"/>
  <x:c r="J53" i="45"/>
  <x:c r="K53" i="45"/>
  <x:c r="M53" i="45"/>
  <x:c r="N61" i="45"/>
  <x:c r="I61" i="45"/>
  <x:c r="M61" i="45"/>
  <x:c r="K61" i="45"/>
  <x:c r="J61" i="45"/>
  <x:c r="K49" i="45"/>
  <x:c r="N49" i="45"/>
  <x:c r="J49" i="45"/>
  <x:c r="I49" i="45"/>
  <x:c r="M49" i="45"/>
  <x:c r="I75" i="45"/>
  <x:c r="M75" i="45"/>
  <x:c r="N75" i="45"/>
  <x:c r="J75" i="45"/>
  <x:c r="K75" i="45"/>
  <x:c r="J51" i="45"/>
  <x:c r="M51" i="45"/>
  <x:c r="K51" i="45"/>
  <x:c r="N51" i="45"/>
  <x:c r="I51" i="45"/>
  <x:c r="K73" i="45"/>
  <x:c r="I73" i="45"/>
  <x:c r="J73" i="45"/>
  <x:c r="M73" i="45"/>
  <x:c r="N73" i="45"/>
  <x:c r="M71" i="45"/>
  <x:c r="J71" i="45"/>
  <x:c r="K71" i="45"/>
  <x:c r="N71" i="45"/>
  <x:c r="I71" i="45"/>
  <x:c r="N69" i="45"/>
  <x:c r="M69" i="45"/>
  <x:c r="J69" i="45"/>
  <x:c r="I69" i="45"/>
  <x:c r="K69" i="45"/>
  <x:c r="M45" i="45"/>
  <x:c r="N45" i="45"/>
  <x:c r="K45" i="45"/>
  <x:c r="J45" i="45"/>
  <x:c r="J67" i="45"/>
  <x:c r="I67" i="45"/>
  <x:c r="K67" i="45"/>
  <x:c r="M67" i="45"/>
  <x:c r="N67" i="45"/>
  <x:c r="J47" i="45"/>
  <x:c r="N47" i="45"/>
  <x:c r="I47" i="45"/>
  <x:c r="M47" i="45"/>
  <x:c r="K47" i="45"/>
  <x:c r="N65" i="45"/>
  <x:c r="I65" i="45"/>
  <x:c r="K65" i="45"/>
  <x:c r="M65" i="45"/>
  <x:c r="J65" i="45"/>
  <x:c r="I63" i="45"/>
  <x:c r="M63" i="45"/>
  <x:c r="J63" i="45"/>
  <x:c r="N63" i="45"/>
  <x:c r="K63" i="45"/>
  <x:c r="J23" i="56" l="1"/>
  <x:c r="K23" i="56"/>
  <x:c r="K77" i="45"/>
  <x:c r="I77" i="45"/>
  <x:c r="N77" i="45"/>
  <x:c r="M77" i="45"/>
  <x:c r="E23" i="57"/>
  <x:c r="F23" i="57"/>
  <x:c r="I23" i="57"/>
  <x:c r="J23" i="57"/>
  <x:c r="K23" i="57"/>
  <x:c r="G23" i="57"/>
  <x:c r="L23" i="57"/>
  <x:c r="H23" i="57"/>
  <x:c r="C23" i="57"/>
  <x:c r="D23" i="57"/>
  <x:c r="I23" i="56"/>
  <x:c r="H23" i="56"/>
  <x:c r="L23" i="56"/>
  <x:c r="F23" i="56"/>
  <x:c r="D23" i="56"/>
  <x:c r="G23" i="56"/>
  <x:c r="E23" i="56"/>
  <x:c r="C23" i="56"/>
  <x:c r="F40" i="57" l="1"/>
  <x:c r="H40" i="56"/>
  <x:c r="C40" i="57"/>
  <x:c r="G40" i="56"/>
  <x:c r="H40" i="57"/>
  <x:c r="D40" i="56"/>
  <x:c r="I40" i="56"/>
  <x:c r="C40" i="56"/>
  <x:c r="E40" i="56"/>
  <x:c r="E40" i="57"/>
  <x:c r="J40" i="57"/>
  <x:c r="D40" i="57"/>
  <x:c r="L40" i="56"/>
  <x:c r="F40" i="56"/>
  <x:c r="J40" i="56"/>
  <x:c r="G40" i="57"/>
  <x:c r="K40" i="56"/>
  <x:c r="L40" i="57"/>
  <x:c r="K40" i="57"/>
  <x:c r="I40" i="57"/>
  <x:c r="E35" i="50"/>
  <x:c r="E36" i="50"/>
  <x:c r="E37" i="50"/>
  <x:c r="E38" i="50"/>
  <x:c r="E39" i="50"/>
  <x:c r="E40" i="50"/>
  <x:c r="E41" i="50"/>
  <x:c r="E42" i="50"/>
  <x:c r="E43" i="50"/>
  <x:c r="E44" i="50"/>
  <x:c r="E45" i="50"/>
  <x:c r="E46" i="50"/>
  <x:c r="E47" i="50"/>
  <x:c r="E48" i="50"/>
  <x:c r="E49" i="50"/>
  <x:c r="E50" i="50"/>
  <x:c r="E51" i="50"/>
  <x:c r="E52" i="50"/>
  <x:c r="E53" i="50"/>
  <x:c r="E34" i="50"/>
  <x:c r="D53" i="50"/>
  <x:c r="D52" i="50"/>
  <x:c r="D51" i="50"/>
  <x:c r="D50" i="50"/>
  <x:c r="D49" i="50"/>
  <x:c r="D48" i="50"/>
  <x:c r="D47" i="50"/>
  <x:c r="D46" i="50"/>
  <x:c r="D45" i="50"/>
  <x:c r="D44" i="50"/>
  <x:c r="D43" i="50"/>
  <x:c r="D42" i="50"/>
  <x:c r="D41" i="50"/>
  <x:c r="D40" i="50"/>
  <x:c r="D39" i="50"/>
  <x:c r="D38" i="50"/>
  <x:c r="D37" i="50"/>
  <x:c r="D36" i="50"/>
  <x:c r="D35" i="50"/>
  <x:c r="D34" i="50"/>
  <x:c r="E35" i="29"/>
  <x:c r="E36" i="29"/>
  <x:c r="E37" i="29"/>
  <x:c r="E38" i="29"/>
  <x:c r="E39" i="29"/>
  <x:c r="E40" i="29"/>
  <x:c r="E41" i="29"/>
  <x:c r="E42" i="29"/>
  <x:c r="E43" i="29"/>
  <x:c r="E44" i="29"/>
  <x:c r="E45" i="29"/>
  <x:c r="E46" i="29"/>
  <x:c r="E47" i="29"/>
  <x:c r="E48" i="29"/>
  <x:c r="E49" i="29"/>
  <x:c r="E50" i="29"/>
  <x:c r="E51" i="29"/>
  <x:c r="E52" i="29"/>
  <x:c r="E53" i="29"/>
  <x:c r="E34" i="29"/>
  <x:c r="D53" i="29"/>
  <x:c r="D52" i="29"/>
  <x:c r="D51" i="29"/>
  <x:c r="D50" i="29"/>
  <x:c r="D49" i="29"/>
  <x:c r="D48" i="29"/>
  <x:c r="D47" i="29"/>
  <x:c r="D46" i="29"/>
  <x:c r="D45" i="29"/>
  <x:c r="D44" i="29"/>
  <x:c r="D43" i="29"/>
  <x:c r="D42" i="29"/>
  <x:c r="D41" i="29"/>
  <x:c r="D40" i="29"/>
  <x:c r="D39" i="29"/>
  <x:c r="D38" i="29"/>
  <x:c r="D37" i="29"/>
  <x:c r="D36" i="29"/>
  <x:c r="D35" i="29"/>
  <x:c r="D34" i="29"/>
  <x:c r="E12" i="29"/>
  <x:c r="E13" i="29"/>
  <x:c r="E14" i="29"/>
  <x:c r="E15" i="29"/>
  <x:c r="E16" i="29"/>
  <x:c r="E17" i="29"/>
  <x:c r="E18" i="29"/>
  <x:c r="E19" i="29"/>
  <x:c r="E20" i="29"/>
  <x:c r="E21" i="29"/>
  <x:c r="E22" i="29"/>
  <x:c r="E23" i="29"/>
  <x:c r="E24" i="29"/>
  <x:c r="E25" i="29"/>
  <x:c r="E26" i="29"/>
  <x:c r="E27" i="29"/>
  <x:c r="E28" i="29"/>
  <x:c r="E29" i="29"/>
  <x:c r="E30" i="29"/>
  <x:c r="E11" i="29"/>
  <x:c r="D30" i="29"/>
  <x:c r="D29" i="29"/>
  <x:c r="D28" i="29"/>
  <x:c r="D27" i="29"/>
  <x:c r="D26" i="29"/>
  <x:c r="D25" i="29"/>
  <x:c r="D24" i="29"/>
  <x:c r="D23" i="29"/>
  <x:c r="D22" i="29"/>
  <x:c r="D19" i="29"/>
  <x:c r="D18" i="29"/>
  <x:c r="D17" i="29"/>
  <x:c r="D16" i="29"/>
  <x:c r="D15" i="29"/>
  <x:c r="D14" i="29"/>
  <x:c r="D13" i="29"/>
  <x:c r="D12" i="29"/>
  <x:c r="D11" i="29"/>
  <x:c r="E27" i="50" l="1"/>
  <x:c r="E21" i="50"/>
  <x:c r="E26" i="50"/>
  <x:c r="E20" i="50"/>
  <x:c r="E14" i="50"/>
  <x:c r="E15" i="50"/>
  <x:c r="E25" i="50"/>
  <x:c r="E19" i="50"/>
  <x:c r="E13" i="50"/>
  <x:c r="E11" i="50"/>
  <x:c r="E30" i="50"/>
  <x:c r="E24" i="50"/>
  <x:c r="E18" i="50"/>
  <x:c r="E12" i="50"/>
  <x:c r="E29" i="50"/>
  <x:c r="M23" i="50"/>
  <x:c r="E23" i="50"/>
  <x:c r="E17" i="50"/>
  <x:c r="E28" i="50"/>
  <x:c r="E22" i="50"/>
  <x:c r="E16" i="50"/>
  <x:c r="A12" i="54" l="1"/>
  <x:c r="A13" i="54" s="1"/>
  <x:c r="A14" i="54" s="1"/>
  <x:c r="A15" i="54" s="1"/>
  <x:c r="A16" i="54" s="1"/>
  <x:c r="A17" i="54" s="1"/>
  <x:c r="A18" i="54" s="1"/>
  <x:c r="A19" i="54" s="1"/>
  <x:c r="A20" i="54" s="1"/>
  <x:c r="A21" i="54" s="1"/>
  <x:c r="A22" i="54" s="1"/>
  <x:c r="A23" i="54" s="1"/>
  <x:c r="A24" i="54" s="1"/>
  <x:c r="A25" i="54" s="1"/>
  <x:c r="A26" i="54" s="1"/>
  <x:c r="A27" i="54" s="1"/>
  <x:c r="A28" i="54" s="1"/>
  <x:c r="A29" i="54" s="1"/>
  <x:c r="A30" i="54" s="1"/>
  <x:c r="A31" i="54" s="1"/>
  <x:c r="A32" i="54" s="1"/>
  <x:c r="A33" i="54" s="1"/>
  <x:c r="A34" i="54" s="1"/>
  <x:c r="A35" i="54" s="1"/>
  <x:c r="A36" i="54" s="1"/>
  <x:c r="A37" i="54" s="1"/>
  <x:c r="A38" i="54" s="1"/>
  <x:c r="A39" i="54" s="1"/>
  <x:c r="A40" i="54" s="1"/>
  <x:c r="D40" i="54" l="1"/>
  <x:c r="F40" i="54"/>
  <x:c r="L40" i="54"/>
  <x:c r="J40" i="54"/>
  <x:c r="H40" i="54"/>
  <x:c r="E40" i="54"/>
  <x:c r="K40" i="54"/>
  <x:c r="C40" i="54"/>
  <x:c r="G40" i="54"/>
  <x:c r="H23" i="54"/>
  <x:c r="K23" i="54"/>
  <x:c r="C23" i="54"/>
  <x:c r="I23" i="54"/>
  <x:c r="E23" i="54"/>
  <x:c r="F23" i="54"/>
  <x:c r="J23" i="54"/>
  <x:c r="L23" i="54"/>
  <x:c r="D23" i="54"/>
  <x:c r="G23" i="54"/>
  <x:c r="I40" i="54"/>
  <x:c r="Y72" i="53"/>
  <x:c r="Y71" i="53"/>
  <x:c r="Y70" i="53"/>
  <x:c r="Y69" i="53"/>
  <x:c r="Y68" i="53"/>
  <x:c r="Y67" i="53"/>
  <x:c r="Y66" i="53"/>
  <x:c r="Y65" i="53"/>
  <x:c r="Y64" i="53"/>
  <x:c r="Y63" i="53"/>
  <x:c r="Y62" i="53"/>
  <x:c r="Y61" i="53"/>
  <x:c r="Y55" i="53"/>
  <x:c r="Y54" i="53"/>
  <x:c r="Y53" i="53"/>
  <x:c r="Y52" i="53"/>
  <x:c r="Y51" i="53"/>
  <x:c r="Y50" i="53"/>
  <x:c r="Y49" i="53"/>
  <x:c r="Y48" i="53"/>
  <x:c r="Y47" i="53"/>
  <x:c r="Y46" i="53"/>
  <x:c r="Y45" i="53"/>
  <x:c r="Y44" i="53"/>
  <x:c r="A12" i="53"/>
  <x:c r="A13" i="53" s="1"/>
  <x:c r="A14" i="53" s="1"/>
  <x:c r="A15" i="53" s="1"/>
  <x:c r="A16" i="53" s="1"/>
  <x:c r="A17" i="53" s="1"/>
  <x:c r="A18" i="53" s="1"/>
  <x:c r="A19" i="53" s="1"/>
  <x:c r="A20" i="53" s="1"/>
  <x:c r="A21" i="53" s="1"/>
  <x:c r="A22" i="53" s="1"/>
  <x:c r="A23" i="53" s="1"/>
  <x:c r="A24" i="53" s="1"/>
  <x:c r="A25" i="53" s="1"/>
  <x:c r="A26" i="53" s="1"/>
  <x:c r="A27" i="53" s="1"/>
  <x:c r="A28" i="53" s="1"/>
  <x:c r="A29" i="53" s="1"/>
  <x:c r="A30" i="53" s="1"/>
  <x:c r="A31" i="53" s="1"/>
  <x:c r="A32" i="53" s="1"/>
  <x:c r="A33" i="53" s="1"/>
  <x:c r="A34" i="53" s="1"/>
  <x:c r="A35" i="53" s="1"/>
  <x:c r="A36" i="53" s="1"/>
  <x:c r="A37" i="53" s="1"/>
  <x:c r="A38" i="53" s="1"/>
  <x:c r="A39" i="53" s="1"/>
  <x:c r="A40" i="53" s="1"/>
  <x:c r="H40" i="53" l="1"/>
  <x:c r="F40" i="53"/>
  <x:c r="K40" i="53"/>
  <x:c r="D40" i="53"/>
  <x:c r="I40" i="53"/>
  <x:c r="J40" i="53"/>
  <x:c r="C40" i="53"/>
  <x:c r="E40" i="53"/>
  <x:c r="L40" i="53"/>
  <x:c r="G40" i="53"/>
  <x:c r="K23" i="53"/>
  <x:c r="H23" i="53"/>
  <x:c r="I23" i="53"/>
  <x:c r="C23" i="53"/>
  <x:c r="F23" i="53"/>
  <x:c r="G23" i="53"/>
  <x:c r="J23" i="53"/>
  <x:c r="D23" i="53"/>
  <x:c r="E23" i="53"/>
  <x:c r="L23" i="53"/>
  <x:c r="A12" i="51" l="1"/>
  <x:c r="A13" i="51" s="1"/>
  <x:c r="A14" i="51" s="1"/>
  <x:c r="A15" i="51" s="1"/>
  <x:c r="A16" i="51" s="1"/>
  <x:c r="A17" i="51" s="1"/>
  <x:c r="A18" i="51" s="1"/>
  <x:c r="A19" i="51" s="1"/>
  <x:c r="A20" i="51" s="1"/>
  <x:c r="A21" i="51" s="1"/>
  <x:c r="A22" i="51" s="1"/>
  <x:c r="A23" i="51" s="1"/>
  <x:c r="A24" i="51" s="1"/>
  <x:c r="A25" i="51" s="1"/>
  <x:c r="A26" i="51" s="1"/>
  <x:c r="A27" i="51" s="1"/>
  <x:c r="A28" i="51" s="1"/>
  <x:c r="A29" i="51" s="1"/>
  <x:c r="A30" i="51" s="1"/>
  <x:c r="A31" i="51" s="1"/>
  <x:c r="A32" i="51" s="1"/>
  <x:c r="A33" i="51" s="1"/>
  <x:c r="A34" i="51" s="1"/>
  <x:c r="A35" i="51" s="1"/>
  <x:c r="A36" i="51" s="1"/>
  <x:c r="A37" i="51" s="1"/>
  <x:c r="A38" i="51" s="1"/>
  <x:c r="A39" i="51" s="1"/>
  <x:c r="A40" i="51" s="1"/>
  <x:c r="A41" i="51" s="1"/>
  <x:c r="A42" i="51" s="1"/>
  <x:c r="A12" i="50"/>
  <x:c r="A13" i="50" s="1"/>
  <x:c r="A14" i="50" s="1"/>
  <x:c r="A15" i="50" s="1"/>
  <x:c r="A16" i="50" s="1"/>
  <x:c r="A17" i="50" s="1"/>
  <x:c r="A18" i="50" s="1"/>
  <x:c r="A19" i="50" s="1"/>
  <x:c r="A20" i="50" s="1"/>
  <x:c r="A21" i="50" s="1"/>
  <x:c r="A22" i="50" s="1"/>
  <x:c r="A23" i="50" s="1"/>
  <x:c r="A24" i="50" s="1"/>
  <x:c r="A25" i="50" s="1"/>
  <x:c r="A26" i="50" s="1"/>
  <x:c r="A27" i="50" s="1"/>
  <x:c r="A28" i="50" s="1"/>
  <x:c r="A29" i="50" s="1"/>
  <x:c r="A30" i="50" s="1"/>
  <x:c r="A31" i="50" s="1"/>
  <x:c r="A32" i="50" s="1"/>
  <x:c r="A33" i="50" s="1"/>
  <x:c r="A34" i="50" s="1"/>
  <x:c r="A35" i="50" s="1"/>
  <x:c r="A36" i="50" s="1"/>
  <x:c r="A37" i="50" s="1"/>
  <x:c r="A38" i="50" s="1"/>
  <x:c r="A39" i="50" s="1"/>
  <x:c r="A40" i="50" s="1"/>
  <x:c r="A41" i="50" s="1"/>
  <x:c r="A42" i="50" s="1"/>
  <x:c r="A43" i="50" s="1"/>
  <x:c r="A44" i="50" s="1"/>
  <x:c r="A45" i="50" s="1"/>
  <x:c r="A46" i="50" s="1"/>
  <x:c r="A47" i="50" s="1"/>
  <x:c r="A48" i="50" s="1"/>
  <x:c r="A49" i="50" s="1"/>
  <x:c r="A50" i="50" s="1"/>
  <x:c r="A51" i="50" s="1"/>
  <x:c r="A52" i="50" s="1"/>
  <x:c r="A53" i="50" s="1"/>
  <x:c r="A10" i="47"/>
  <x:c r="A11" i="47" s="1"/>
  <x:c r="A12" i="47" s="1"/>
  <x:c r="A13" i="47" s="1"/>
  <x:c r="A14" i="47" s="1"/>
  <x:c r="A15" i="47" s="1"/>
  <x:c r="A16" i="47" s="1"/>
  <x:c r="A17" i="47" s="1"/>
  <x:c r="A18" i="47" s="1"/>
  <x:c r="A19" i="47" s="1"/>
  <x:c r="A20" i="47" s="1"/>
  <x:c r="A21" i="47" s="1"/>
  <x:c r="A22" i="47" s="1"/>
  <x:c r="A23" i="47" s="1"/>
  <x:c r="A24" i="47" s="1"/>
  <x:c r="A25" i="47" s="1"/>
  <x:c r="A26" i="47" s="1"/>
  <x:c r="A27" i="47" s="1"/>
  <x:c r="A28" i="47" s="1"/>
  <x:c r="A29" i="47" s="1"/>
  <x:c r="A30" i="47" s="1"/>
  <x:c r="A31" i="47" s="1"/>
  <x:c r="A32" i="47" s="1"/>
  <x:c r="A33" i="47" s="1"/>
  <x:c r="B45" i="45"/>
  <x:c r="B12" i="45"/>
  <x:c r="B46" i="45" s="1"/>
  <x:c r="A10" i="45"/>
  <x:c r="A11" i="45" s="1"/>
  <x:c r="A12" i="45" s="1"/>
  <x:c r="A13" i="45" s="1"/>
  <x:c r="A14" i="45" s="1"/>
  <x:c r="A15" i="45" s="1"/>
  <x:c r="A16" i="45" s="1"/>
  <x:c r="A17" i="45" s="1"/>
  <x:c r="A18" i="45" s="1"/>
  <x:c r="A19" i="45" s="1"/>
  <x:c r="A20" i="45" s="1"/>
  <x:c r="A21" i="45" s="1"/>
  <x:c r="A22" i="45" s="1"/>
  <x:c r="A23" i="45" s="1"/>
  <x:c r="A24" i="45" s="1"/>
  <x:c r="A25" i="45" s="1"/>
  <x:c r="A26" i="45" s="1"/>
  <x:c r="A27" i="45" s="1"/>
  <x:c r="A28" i="45" s="1"/>
  <x:c r="A29" i="45" s="1"/>
  <x:c r="A30" i="45" s="1"/>
  <x:c r="A31" i="45" s="1"/>
  <x:c r="A32" i="45" s="1"/>
  <x:c r="A33" i="45" s="1"/>
  <x:c r="A34" i="45" s="1"/>
  <x:c r="A35" i="45" s="1"/>
  <x:c r="A36" i="45" s="1"/>
  <x:c r="A37" i="45" s="1"/>
  <x:c r="A38" i="45" s="1"/>
  <x:c r="A39" i="45" s="1"/>
  <x:c r="A40" i="45" s="1"/>
  <x:c r="A41" i="45" s="1"/>
  <x:c r="A42" i="45" s="1"/>
  <x:c r="A43" i="45" s="1"/>
  <x:c r="A44" i="45" s="1"/>
  <x:c r="A45" i="45" s="1"/>
  <x:c r="A46" i="45" s="1"/>
  <x:c r="A47" i="45" s="1"/>
  <x:c r="A48" i="45" s="1"/>
  <x:c r="A49" i="45" s="1"/>
  <x:c r="A50" i="45" s="1"/>
  <x:c r="A51" i="45" s="1"/>
  <x:c r="A52" i="45" s="1"/>
  <x:c r="A53" i="45" s="1"/>
  <x:c r="A54" i="45" s="1"/>
  <x:c r="A55" i="45" s="1"/>
  <x:c r="A56" i="45" s="1"/>
  <x:c r="A57" i="45" s="1"/>
  <x:c r="A58" i="45" s="1"/>
  <x:c r="A59" i="45" s="1"/>
  <x:c r="A60" i="45" s="1"/>
  <x:c r="A61" i="45" s="1"/>
  <x:c r="A62" i="45" s="1"/>
  <x:c r="A63" i="45" s="1"/>
  <x:c r="A64" i="45" s="1"/>
  <x:c r="A65" i="45" s="1"/>
  <x:c r="A66" i="45" s="1"/>
  <x:c r="A67" i="45" s="1"/>
  <x:c r="A68" i="45" s="1"/>
  <x:c r="A69" i="45" s="1"/>
  <x:c r="A70" i="45" s="1"/>
  <x:c r="A71" i="45" s="1"/>
  <x:c r="A72" i="45" s="1"/>
  <x:c r="A73" i="45" s="1"/>
  <x:c r="A74" i="45" s="1"/>
  <x:c r="A75" i="45" s="1"/>
  <x:c r="A12" i="43"/>
  <x:c r="A13" i="43"/>
  <x:c r="A14" i="43" s="1"/>
  <x:c r="A15" i="43" s="1"/>
  <x:c r="A16" i="43" s="1"/>
  <x:c r="A17" i="43" s="1"/>
  <x:c r="A18" i="43" s="1"/>
  <x:c r="A19" i="43" s="1"/>
  <x:c r="A20" i="43" s="1"/>
  <x:c r="A21" i="43" s="1"/>
  <x:c r="A22" i="43" s="1"/>
  <x:c r="A23" i="43" s="1"/>
  <x:c r="A24" i="43" s="1"/>
  <x:c r="A25" i="43" s="1"/>
  <x:c r="A26" i="43" s="1"/>
  <x:c r="A27" i="43" s="1"/>
  <x:c r="A28" i="43" s="1"/>
  <x:c r="A29" i="43" s="1"/>
  <x:c r="A30" i="43" s="1"/>
  <x:c r="A31" i="43" s="1"/>
  <x:c r="A32" i="43" s="1"/>
  <x:c r="A33" i="43" s="1"/>
  <x:c r="A34" i="43" s="1"/>
  <x:c r="A35" i="43" s="1"/>
  <x:c r="A36" i="43" s="1"/>
  <x:c r="A37" i="43" s="1"/>
  <x:c r="A38" i="43" s="1"/>
  <x:c r="A39" i="43" s="1"/>
  <x:c r="A40" i="43" s="1"/>
  <x:c r="AA34" i="29"/>
  <x:c r="AA11" i="29"/>
  <x:c r="A12" i="38"/>
  <x:c r="A13" i="38" s="1"/>
  <x:c r="A14" i="38" s="1"/>
  <x:c r="A15" i="38" s="1"/>
  <x:c r="A16" i="38" s="1"/>
  <x:c r="A17" i="38" s="1"/>
  <x:c r="A18" i="38" s="1"/>
  <x:c r="A19" i="38" s="1"/>
  <x:c r="A20" i="38" s="1"/>
  <x:c r="A21" i="38" s="1"/>
  <x:c r="A22" i="38" s="1"/>
  <x:c r="A23" i="38" s="1"/>
  <x:c r="A24" i="38" s="1"/>
  <x:c r="A25" i="38" s="1"/>
  <x:c r="A26" i="38" s="1"/>
  <x:c r="A27" i="38" s="1"/>
  <x:c r="A28" i="38" s="1"/>
  <x:c r="A29" i="38" s="1"/>
  <x:c r="A30" i="38" s="1"/>
  <x:c r="A31" i="38" s="1"/>
  <x:c r="A32" i="38" s="1"/>
  <x:c r="A33" i="38" s="1"/>
  <x:c r="A34" i="38" s="1"/>
  <x:c r="A35" i="38" s="1"/>
  <x:c r="A36" i="38" s="1"/>
  <x:c r="A37" i="38" s="1"/>
  <x:c r="A38" i="38" s="1"/>
  <x:c r="A39" i="38" s="1"/>
  <x:c r="A40" i="38" s="1"/>
  <x:c r="A12" i="37"/>
  <x:c r="A13" i="37" s="1"/>
  <x:c r="A14" i="37" s="1"/>
  <x:c r="A15" i="37" s="1"/>
  <x:c r="A16" i="37" s="1"/>
  <x:c r="A17" i="37" s="1"/>
  <x:c r="A18" i="37" s="1"/>
  <x:c r="A19" i="37" s="1"/>
  <x:c r="A20" i="37" s="1"/>
  <x:c r="A21" i="37" s="1"/>
  <x:c r="A22" i="37" s="1"/>
  <x:c r="A23" i="37" s="1"/>
  <x:c r="A24" i="37" s="1"/>
  <x:c r="A25" i="37" s="1"/>
  <x:c r="A26" i="37" s="1"/>
  <x:c r="A27" i="37" s="1"/>
  <x:c r="A28" i="37" s="1"/>
  <x:c r="A29" i="37" s="1"/>
  <x:c r="A30" i="37" s="1"/>
  <x:c r="A31" i="37" s="1"/>
  <x:c r="A32" i="37" s="1"/>
  <x:c r="A33" i="37" s="1"/>
  <x:c r="A34" i="37" s="1"/>
  <x:c r="A35" i="37" s="1"/>
  <x:c r="A36" i="37" s="1"/>
  <x:c r="A37" i="37" s="1"/>
  <x:c r="A38" i="37" s="1"/>
  <x:c r="A39" i="37" s="1"/>
  <x:c r="A40" i="37" s="1"/>
  <x:c r="A12" i="36"/>
  <x:c r="A13" i="36" s="1"/>
  <x:c r="A14" i="36" s="1"/>
  <x:c r="A15" i="36" s="1"/>
  <x:c r="A16" i="36" s="1"/>
  <x:c r="A17" i="36" s="1"/>
  <x:c r="A18" i="36" s="1"/>
  <x:c r="A19" i="36" s="1"/>
  <x:c r="A20" i="36" s="1"/>
  <x:c r="A21" i="36" s="1"/>
  <x:c r="A22" i="36" s="1"/>
  <x:c r="A23" i="36" s="1"/>
  <x:c r="A24" i="36" s="1"/>
  <x:c r="A25" i="36" s="1"/>
  <x:c r="A26" i="36" s="1"/>
  <x:c r="A27" i="36" s="1"/>
  <x:c r="A28" i="36" s="1"/>
  <x:c r="A29" i="36" s="1"/>
  <x:c r="A30" i="36" s="1"/>
  <x:c r="A31" i="36" s="1"/>
  <x:c r="A32" i="36" s="1"/>
  <x:c r="A33" i="36" s="1"/>
  <x:c r="A34" i="36" s="1"/>
  <x:c r="A35" i="36" s="1"/>
  <x:c r="A36" i="36" s="1"/>
  <x:c r="A37" i="36" s="1"/>
  <x:c r="A38" i="36" s="1"/>
  <x:c r="A39" i="36" s="1"/>
  <x:c r="A40" i="36" s="1"/>
  <x:c r="A12" i="33"/>
  <x:c r="A13" i="33" s="1"/>
  <x:c r="A14" i="33" s="1"/>
  <x:c r="A15" i="33" s="1"/>
  <x:c r="A16" i="33" s="1"/>
  <x:c r="A17" i="33" s="1"/>
  <x:c r="A18" i="33" s="1"/>
  <x:c r="A19" i="33" s="1"/>
  <x:c r="A20" i="33" s="1"/>
  <x:c r="A21" i="33" s="1"/>
  <x:c r="A22" i="33" s="1"/>
  <x:c r="A23" i="33" s="1"/>
  <x:c r="A24" i="33" s="1"/>
  <x:c r="A25" i="33" s="1"/>
  <x:c r="A26" i="33" s="1"/>
  <x:c r="A27" i="33" s="1"/>
  <x:c r="A28" i="33" s="1"/>
  <x:c r="A29" i="33" s="1"/>
  <x:c r="A30" i="33" s="1"/>
  <x:c r="A31" i="33" s="1"/>
  <x:c r="A32" i="33" s="1"/>
  <x:c r="A33" i="33" s="1"/>
  <x:c r="A34" i="33" s="1"/>
  <x:c r="A35" i="33" s="1"/>
  <x:c r="A36" i="33" s="1"/>
  <x:c r="A37" i="33" s="1"/>
  <x:c r="A38" i="33" s="1"/>
  <x:c r="A39" i="33" s="1"/>
  <x:c r="A40" i="33" s="1"/>
  <x:c r="A12" i="32"/>
  <x:c r="A13" i="32" s="1"/>
  <x:c r="A14" i="32" s="1"/>
  <x:c r="A15" i="32" s="1"/>
  <x:c r="A16" i="32" s="1"/>
  <x:c r="A17" i="32" s="1"/>
  <x:c r="A18" i="32" s="1"/>
  <x:c r="A19" i="32" s="1"/>
  <x:c r="A20" i="32" s="1"/>
  <x:c r="A21" i="32" s="1"/>
  <x:c r="A22" i="32" s="1"/>
  <x:c r="A23" i="32" s="1"/>
  <x:c r="A24" i="32" s="1"/>
  <x:c r="A25" i="32" s="1"/>
  <x:c r="A26" i="32" s="1"/>
  <x:c r="A27" i="32" s="1"/>
  <x:c r="A28" i="32" s="1"/>
  <x:c r="A29" i="32" s="1"/>
  <x:c r="A30" i="32" s="1"/>
  <x:c r="A31" i="32" s="1"/>
  <x:c r="A32" i="32" s="1"/>
  <x:c r="A33" i="32" s="1"/>
  <x:c r="A34" i="32" s="1"/>
  <x:c r="A35" i="32" s="1"/>
  <x:c r="A36" i="32" s="1"/>
  <x:c r="A37" i="32" s="1"/>
  <x:c r="A38" i="32" s="1"/>
  <x:c r="A39" i="32" s="1"/>
  <x:c r="A40" i="32" s="1"/>
  <x:c r="A12" i="6"/>
  <x:c r="A13" i="6" s="1"/>
  <x:c r="A14" i="6" s="1"/>
  <x:c r="A15" i="6" s="1"/>
  <x:c r="A16" i="6" s="1"/>
  <x:c r="A17" i="6" s="1"/>
  <x:c r="A18" i="6" s="1"/>
  <x:c r="A19" i="6" s="1"/>
  <x:c r="A20" i="6" s="1"/>
  <x:c r="A21" i="6" s="1"/>
  <x:c r="A22" i="6" s="1"/>
  <x:c r="A23" i="6" s="1"/>
  <x:c r="A24" i="6" s="1"/>
  <x:c r="A25" i="6" s="1"/>
  <x:c r="A26" i="6" s="1"/>
  <x:c r="A27" i="6" s="1"/>
  <x:c r="A28" i="6" s="1"/>
  <x:c r="A29" i="6" s="1"/>
  <x:c r="A30" i="6" s="1"/>
  <x:c r="A31" i="6" s="1"/>
  <x:c r="A32" i="6" s="1"/>
  <x:c r="A33" i="6" s="1"/>
  <x:c r="A34" i="6" s="1"/>
  <x:c r="A35" i="6" s="1"/>
  <x:c r="A36" i="6" s="1"/>
  <x:c r="A37" i="6" s="1"/>
  <x:c r="A38" i="6" s="1"/>
  <x:c r="A39" i="6" s="1"/>
  <x:c r="A40" i="6" s="1"/>
  <x:c r="G23" i="7"/>
  <x:c r="A12" i="30"/>
  <x:c r="A13" i="30" s="1"/>
  <x:c r="A14" i="30" s="1"/>
  <x:c r="A15" i="30" s="1"/>
  <x:c r="A16" i="30" s="1"/>
  <x:c r="A17" i="30" s="1"/>
  <x:c r="A18" i="30" s="1"/>
  <x:c r="A19" i="30" s="1"/>
  <x:c r="A20" i="30" s="1"/>
  <x:c r="A21" i="30" s="1"/>
  <x:c r="A22" i="30" s="1"/>
  <x:c r="A23" i="30" s="1"/>
  <x:c r="A24" i="30" s="1"/>
  <x:c r="A25" i="30" s="1"/>
  <x:c r="A26" i="30" s="1"/>
  <x:c r="A27" i="30" s="1"/>
  <x:c r="A28" i="30" s="1"/>
  <x:c r="A29" i="30" s="1"/>
  <x:c r="A30" i="30" s="1"/>
  <x:c r="A31" i="30" s="1"/>
  <x:c r="A32" i="30" s="1"/>
  <x:c r="A33" i="30" s="1"/>
  <x:c r="A34" i="30" s="1"/>
  <x:c r="A35" i="30" s="1"/>
  <x:c r="A36" i="30" s="1"/>
  <x:c r="A37" i="30" s="1"/>
  <x:c r="A38" i="30" s="1"/>
  <x:c r="A39" i="30" s="1"/>
  <x:c r="A40" i="30" s="1"/>
  <x:c r="A41" i="30" s="1"/>
  <x:c r="A42" i="30" s="1"/>
  <x:c r="A12" i="29"/>
  <x:c r="A13" i="29" s="1"/>
  <x:c r="A14" i="29" s="1"/>
  <x:c r="A15" i="29" s="1"/>
  <x:c r="A16" i="29" s="1"/>
  <x:c r="A17" i="29" s="1"/>
  <x:c r="A18" i="29" s="1"/>
  <x:c r="A19" i="29" s="1"/>
  <x:c r="A20" i="29" s="1"/>
  <x:c r="A21" i="29" s="1"/>
  <x:c r="A22" i="29" s="1"/>
  <x:c r="A23" i="29" s="1"/>
  <x:c r="A24" i="29" s="1"/>
  <x:c r="A25" i="29" s="1"/>
  <x:c r="A26" i="29" s="1"/>
  <x:c r="A27" i="29" s="1"/>
  <x:c r="A28" i="29" s="1"/>
  <x:c r="A29" i="29" s="1"/>
  <x:c r="A30" i="29" s="1"/>
  <x:c r="A31" i="29" s="1"/>
  <x:c r="A32" i="29" s="1"/>
  <x:c r="A33" i="29" s="1"/>
  <x:c r="A34" i="29" s="1"/>
  <x:c r="A35" i="29" s="1"/>
  <x:c r="A36" i="29" s="1"/>
  <x:c r="A37" i="29" s="1"/>
  <x:c r="A38" i="29" s="1"/>
  <x:c r="A39" i="29" s="1"/>
  <x:c r="A40" i="29" s="1"/>
  <x:c r="A41" i="29" s="1"/>
  <x:c r="A42" i="29" s="1"/>
  <x:c r="A43" i="29" s="1"/>
  <x:c r="A44" i="29" s="1"/>
  <x:c r="A45" i="29" s="1"/>
  <x:c r="A46" i="29" s="1"/>
  <x:c r="A47" i="29" s="1"/>
  <x:c r="A48" i="29" s="1"/>
  <x:c r="A49" i="29" s="1"/>
  <x:c r="A50" i="29" s="1"/>
  <x:c r="A51" i="29" s="1"/>
  <x:c r="A52" i="29" s="1"/>
  <x:c r="A53" i="29" s="1"/>
  <x:c r="C23" i="7"/>
  <x:c r="E23" i="7"/>
  <x:c r="H23" i="7"/>
  <x:c r="K23" i="7"/>
  <x:c r="C39" i="7"/>
  <x:c r="D39" i="7"/>
  <x:c r="E39" i="7"/>
  <x:c r="F39" i="7"/>
  <x:c r="G39" i="7"/>
  <x:c r="H39" i="7"/>
  <x:c r="I39" i="7"/>
  <x:c r="J39" i="7"/>
  <x:c r="K39" i="7"/>
  <x:c r="L39" i="7"/>
  <x:c r="C71" i="7"/>
  <x:c r="D71" i="7"/>
  <x:c r="E71" i="7"/>
  <x:c r="F71" i="7"/>
  <x:c r="G71" i="7"/>
  <x:c r="H71" i="7"/>
  <x:c r="I71" i="7"/>
  <x:c r="J71" i="7"/>
  <x:c r="K71" i="7"/>
  <x:c r="L71" i="7"/>
  <x:c r="F55" i="7"/>
  <x:c r="D55" i="7"/>
  <x:c r="H55" i="7"/>
  <x:c r="J55" i="7"/>
  <x:c r="L55" i="7"/>
  <x:c r="E55" i="7"/>
  <x:c r="K55" i="7"/>
  <x:c r="G55" i="7"/>
  <x:c r="C55" i="7"/>
  <x:c r="I55" i="7"/>
  <x:c r="I23" i="7"/>
  <x:c r="L23" i="7"/>
  <x:c r="D23" i="7"/>
  <x:c r="F23" i="7"/>
  <x:c r="J23" i="7"/>
  <x:c r="B13" i="45" l="1"/>
  <x:c r="B14" i="45" s="1"/>
  <x:c r="H69" i="45"/>
  <x:c r="H73" i="45"/>
  <x:c r="H48" i="45"/>
  <x:c r="B48" i="45"/>
  <x:c r="B15" i="45"/>
  <x:c r="B47" i="45"/>
  <x:c r="Q69" i="45"/>
  <x:c r="L73" i="45"/>
  <x:c r="C43" i="51"/>
  <x:c r="AA12" i="29"/>
  <x:c r="R73" i="45"/>
  <x:c r="Q73" i="45"/>
  <x:c r="P73" i="45"/>
  <x:c r="L48" i="45"/>
  <x:c r="P48" i="45"/>
  <x:c r="O48" i="45"/>
  <x:c r="Q29" i="47"/>
  <x:c r="D43" i="51"/>
  <x:c r="E43" i="30"/>
  <x:c r="I43" i="30"/>
  <x:c r="I43" i="51"/>
  <x:c r="M43" i="30"/>
  <x:c r="L43" i="30"/>
  <x:c r="K43" i="30"/>
  <x:c r="M43" i="51"/>
  <x:c r="E43" i="51"/>
  <x:c r="D43" i="30"/>
  <x:c r="N38" i="50"/>
  <x:c r="L15" i="50"/>
  <x:c r="AA35" i="29"/>
  <x:c r="O69" i="45"/>
  <x:c r="P69" i="45"/>
  <x:c r="L69" i="45"/>
  <x:c r="R69" i="45"/>
  <x:c r="O53" i="45"/>
  <x:c r="L50" i="45"/>
  <x:c r="O73" i="45"/>
  <x:c r="Q48" i="45"/>
  <x:c r="R48" i="45"/>
  <x:c r="P74" i="45"/>
  <x:c r="O74" i="45"/>
  <x:c r="L74" i="45"/>
  <x:c r="J43" i="30"/>
  <x:c r="C43" i="30"/>
  <x:c r="K43" i="51"/>
  <x:c r="L43" i="51"/>
  <x:c r="J43" i="51"/>
  <x:c r="C40" i="38" l="1"/>
  <x:c r="G40" i="38"/>
  <x:c r="J40" i="38"/>
  <x:c r="I40" i="38"/>
  <x:c r="L40" i="38"/>
  <x:c r="K40" i="38"/>
  <x:c r="L40" i="32"/>
  <x:c r="G40" i="32"/>
  <x:c r="H40" i="32"/>
  <x:c r="C40" i="32"/>
  <x:c r="D40" i="32"/>
  <x:c r="K40" i="36"/>
  <x:c r="G40" i="36"/>
  <x:c r="F40" i="36"/>
  <x:c r="F40" i="33"/>
  <x:c r="D40" i="33"/>
  <x:c r="C23" i="33"/>
  <x:c r="D23" i="33"/>
  <x:c r="G23" i="33"/>
  <x:c r="H23" i="33"/>
  <x:c r="J23" i="33"/>
  <x:c r="K23" i="33"/>
  <x:c r="L23" i="33"/>
  <x:c r="J23" i="32"/>
  <x:c r="K23" i="32"/>
  <x:c r="C23" i="32"/>
  <x:c r="F23" i="32"/>
  <x:c r="G23" i="32"/>
  <x:c r="H23" i="32"/>
  <x:c r="I23" i="32"/>
  <x:c r="K23" i="38"/>
  <x:c r="J23" i="38"/>
  <x:c r="C23" i="37"/>
  <x:c r="H49" i="45"/>
  <x:c r="H72" i="45"/>
  <x:c r="H57" i="45"/>
  <x:c r="H68" i="45"/>
  <x:c r="H66" i="45"/>
  <x:c r="R67" i="45"/>
  <x:c r="H67" i="45"/>
  <x:c r="H65" i="45"/>
  <x:c r="H58" i="45"/>
  <x:c r="H56" i="45"/>
  <x:c r="H71" i="45"/>
  <x:c r="R52" i="45"/>
  <x:c r="H52" i="45"/>
  <x:c r="H75" i="45"/>
  <x:c r="H62" i="45"/>
  <x:c r="L61" i="45"/>
  <x:c r="H61" i="45"/>
  <x:c r="L63" i="45"/>
  <x:c r="H63" i="45"/>
  <x:c r="P60" i="45"/>
  <x:c r="H60" i="45"/>
  <x:c r="R64" i="45"/>
  <x:c r="H64" i="45"/>
  <x:c r="H59" i="45"/>
  <x:c r="H55" i="45"/>
  <x:c r="R72" i="45"/>
  <x:c r="H53" i="45"/>
  <x:c r="R50" i="45"/>
  <x:c r="H50" i="45"/>
  <x:c r="H70" i="45"/>
  <x:c r="P47" i="45"/>
  <x:c r="H47" i="45"/>
  <x:c r="R54" i="45"/>
  <x:c r="H54" i="45"/>
  <x:c r="H46" i="45"/>
  <x:c r="H74" i="45"/>
  <x:c r="H51" i="45"/>
  <x:c r="I30" i="47"/>
  <x:c r="H30" i="47"/>
  <x:c r="H26" i="47"/>
  <x:c r="I26" i="47"/>
  <x:c r="H25" i="47"/>
  <x:c r="I25" i="47"/>
  <x:c r="H32" i="47"/>
  <x:c r="I32" i="47"/>
  <x:c r="R24" i="47"/>
  <x:c r="H24" i="47"/>
  <x:c r="I24" i="47"/>
  <x:c r="I33" i="47"/>
  <x:c r="H33" i="47"/>
  <x:c r="Q24" i="47"/>
  <x:c r="J29" i="47"/>
  <x:c r="I29" i="47"/>
  <x:c r="H29" i="47"/>
  <x:c r="H31" i="47"/>
  <x:c r="I31" i="47"/>
  <x:c r="L29" i="47"/>
  <x:c r="L24" i="47"/>
  <x:c r="I27" i="47"/>
  <x:c r="H27" i="47"/>
  <x:c r="P24" i="47"/>
  <x:c r="H28" i="47"/>
  <x:c r="I28" i="47"/>
  <x:c r="M15" i="50"/>
  <x:c r="M14" i="50"/>
  <x:c r="K14" i="50"/>
  <x:c r="N14" i="50"/>
  <x:c r="J15" i="50"/>
  <x:c r="N15" i="50"/>
  <x:c r="N36" i="50"/>
  <x:c r="F16" i="50"/>
  <x:c r="J24" i="47"/>
  <x:c r="R29" i="47"/>
  <x:c r="O24" i="47"/>
  <x:c r="Q53" i="45"/>
  <x:c r="Q74" i="45"/>
  <x:c r="L52" i="45"/>
  <x:c r="P53" i="45"/>
  <x:c r="R53" i="45"/>
  <x:c r="P54" i="45"/>
  <x:c r="L54" i="45"/>
  <x:c r="Q54" i="45"/>
  <x:c r="P50" i="45"/>
  <x:c r="O50" i="45"/>
  <x:c r="O54" i="45"/>
  <x:c r="Q67" i="45"/>
  <x:c r="B49" i="45"/>
  <x:c r="B16" i="45"/>
  <x:c r="Q66" i="45"/>
  <x:c r="Q68" i="45"/>
  <x:c r="R66" i="45"/>
  <x:c r="Q64" i="45"/>
  <x:c r="R68" i="45"/>
  <x:c r="P61" i="45"/>
  <x:c r="P64" i="45"/>
  <x:c r="O65" i="45"/>
  <x:c r="O61" i="45"/>
  <x:c r="O71" i="45"/>
  <x:c r="L71" i="45"/>
  <x:c r="Q71" i="45"/>
  <x:c r="L60" i="45"/>
  <x:c r="O52" i="45"/>
  <x:c r="L64" i="45"/>
  <x:c r="O64" i="45"/>
  <x:c r="O63" i="45"/>
  <x:c r="P63" i="45"/>
  <x:c r="O60" i="45"/>
  <x:c r="R74" i="45"/>
  <x:c r="Q63" i="45"/>
  <x:c r="Q65" i="45"/>
  <x:c r="Q61" i="45"/>
  <x:c r="P71" i="45"/>
  <x:c r="P52" i="45"/>
  <x:c r="L47" i="45"/>
  <x:c r="Q52" i="45"/>
  <x:c r="R63" i="45"/>
  <x:c r="O47" i="45"/>
  <x:c r="R65" i="45"/>
  <x:c r="L53" i="45"/>
  <x:c r="Q50" i="45"/>
  <x:c r="Q60" i="45"/>
  <x:c r="R61" i="45"/>
  <x:c r="R71" i="45"/>
  <x:c r="K38" i="50"/>
  <x:c r="I40" i="32"/>
  <x:c r="H23" i="38"/>
  <x:c r="O72" i="45"/>
  <x:c r="L72" i="45"/>
  <x:c r="Q72" i="45"/>
  <x:c r="P72" i="45"/>
  <x:c r="P68" i="45"/>
  <x:c r="O68" i="45"/>
  <x:c r="L68" i="45"/>
  <x:c r="Q75" i="45"/>
  <x:c r="P75" i="45"/>
  <x:c r="O75" i="45"/>
  <x:c r="L75" i="45"/>
  <x:c r="R75" i="45"/>
  <x:c r="O67" i="45"/>
  <x:c r="P67" i="45"/>
  <x:c r="L67" i="45"/>
  <x:c r="R60" i="45"/>
  <x:c r="AA13" i="29"/>
  <x:c r="P29" i="47"/>
  <x:c r="O29" i="47"/>
  <x:c r="O66" i="45"/>
  <x:c r="L66" i="45"/>
  <x:c r="P66" i="45"/>
  <x:c r="Q47" i="45"/>
  <x:c r="R47" i="45"/>
  <x:c r="L65" i="45"/>
  <x:c r="P65" i="45"/>
  <x:c r="R46" i="45"/>
  <x:c r="P46" i="45"/>
  <x:c r="O46" i="45"/>
  <x:c r="L46" i="45"/>
  <x:c r="Q46" i="45"/>
  <x:c r="O58" i="45"/>
  <x:c r="L58" i="45"/>
  <x:c r="Q58" i="45"/>
  <x:c r="P58" i="45"/>
  <x:c r="R58" i="45"/>
  <x:c r="L56" i="45"/>
  <x:c r="R56" i="45"/>
  <x:c r="Q56" i="45"/>
  <x:c r="P56" i="45"/>
  <x:c r="O56" i="45"/>
  <x:c r="L26" i="47"/>
  <x:c r="O26" i="47"/>
  <x:c r="R26" i="47"/>
  <x:c r="Q26" i="47"/>
  <x:c r="J26" i="47"/>
  <x:c r="P26" i="47"/>
  <x:c r="F40" i="6"/>
  <x:c r="G40" i="6"/>
  <x:c r="H40" i="6"/>
  <x:c r="E40" i="32"/>
  <x:c r="I40" i="6"/>
  <x:c r="L40" i="6"/>
  <x:c r="F40" i="32"/>
  <x:c r="C40" i="6"/>
  <x:c r="D40" i="6"/>
  <x:c r="J40" i="6"/>
  <x:c r="E40" i="36"/>
  <x:c r="K40" i="6"/>
  <x:c r="E40" i="6"/>
  <x:c r="M16" i="50"/>
  <x:c r="L16" i="50"/>
  <x:c r="F15" i="50"/>
  <x:c r="K15" i="50"/>
  <x:c r="K34" i="29"/>
  <x:c r="F34" i="29"/>
  <x:c r="L34" i="29"/>
  <x:c r="M34" i="29"/>
  <x:c r="N34" i="29"/>
  <x:c r="J34" i="29"/>
  <x:c r="F38" i="50"/>
  <x:c r="L38" i="50"/>
  <x:c r="K35" i="50"/>
  <x:c r="M35" i="50"/>
  <x:c r="J35" i="50"/>
  <x:c r="F35" i="50"/>
  <x:c r="M38" i="50"/>
  <x:c r="K16" i="50"/>
  <x:c r="J12" i="29"/>
  <x:c r="M12" i="29"/>
  <x:c r="K12" i="29"/>
  <x:c r="L12" i="29"/>
  <x:c r="N12" i="29"/>
  <x:c r="F12" i="29"/>
  <x:c r="J38" i="50"/>
  <x:c r="J11" i="29"/>
  <x:c r="N11" i="29"/>
  <x:c r="K11" i="29"/>
  <x:c r="F11" i="29"/>
  <x:c r="L11" i="29"/>
  <x:c r="M11" i="29"/>
  <x:c r="J34" i="50"/>
  <x:c r="L34" i="50"/>
  <x:c r="K34" i="50"/>
  <x:c r="N34" i="50"/>
  <x:c r="M34" i="50"/>
  <x:c r="F34" i="50"/>
  <x:c r="J14" i="50"/>
  <x:c r="L14" i="50"/>
  <x:c r="F14" i="50"/>
  <x:c r="J16" i="50"/>
  <x:c r="F11" i="50"/>
  <x:c r="M11" i="50"/>
  <x:c r="J11" i="50"/>
  <x:c r="K11" i="50"/>
  <x:c r="L11" i="50"/>
  <x:c r="N11" i="50"/>
  <x:c r="H23" i="6"/>
  <x:c r="F23" i="33"/>
  <x:c r="E23" i="6"/>
  <x:c r="C23" i="6"/>
  <x:c r="I23" i="6"/>
  <x:c r="K23" i="6"/>
  <x:c r="F23" i="6"/>
  <x:c r="G23" i="6"/>
  <x:c r="D23" i="6"/>
  <x:c r="J23" i="6"/>
  <x:c r="E23" i="33"/>
  <x:c r="L23" i="6"/>
  <x:c r="I23" i="33"/>
  <x:c r="Q28" i="47"/>
  <x:c r="P28" i="47"/>
  <x:c r="L28" i="47"/>
  <x:c r="O28" i="47"/>
  <x:c r="J28" i="47"/>
  <x:c r="R28" i="47"/>
  <x:c r="R30" i="47"/>
  <x:c r="Q30" i="47"/>
  <x:c r="P30" i="47"/>
  <x:c r="O30" i="47"/>
  <x:c r="J30" i="47"/>
  <x:c r="L30" i="47"/>
  <x:c r="O32" i="47"/>
  <x:c r="P32" i="47"/>
  <x:c r="L32" i="47"/>
  <x:c r="J32" i="47"/>
  <x:c r="R32" i="47"/>
  <x:c r="Q32" i="47"/>
  <x:c r="R57" i="45"/>
  <x:c r="Q57" i="45"/>
  <x:c r="P57" i="45"/>
  <x:c r="L57" i="45"/>
  <x:c r="O57" i="45"/>
  <x:c r="O25" i="47"/>
  <x:c r="R25" i="47"/>
  <x:c r="Q25" i="47"/>
  <x:c r="L25" i="47"/>
  <x:c r="J25" i="47"/>
  <x:c r="P25" i="47"/>
  <x:c r="Q31" i="47"/>
  <x:c r="P31" i="47"/>
  <x:c r="O31" i="47"/>
  <x:c r="J31" i="47"/>
  <x:c r="L31" i="47"/>
  <x:c r="R31" i="47"/>
  <x:c r="P59" i="45"/>
  <x:c r="R59" i="45"/>
  <x:c r="Q59" i="45"/>
  <x:c r="O59" i="45"/>
  <x:c r="L59" i="45"/>
  <x:c r="L49" i="45"/>
  <x:c r="P49" i="45"/>
  <x:c r="O49" i="45"/>
  <x:c r="R49" i="45"/>
  <x:c r="Q49" i="45"/>
  <x:c r="F35" i="29"/>
  <x:c r="M35" i="29"/>
  <x:c r="N35" i="29"/>
  <x:c r="L35" i="29"/>
  <x:c r="J35" i="29"/>
  <x:c r="K35" i="29"/>
  <x:c r="Q33" i="47"/>
  <x:c r="L33" i="47"/>
  <x:c r="J33" i="47"/>
  <x:c r="P33" i="47"/>
  <x:c r="O33" i="47"/>
  <x:c r="R33" i="47"/>
  <x:c r="O45" i="45"/>
  <x:c r="R45" i="45"/>
  <x:c r="L45" i="45"/>
  <x:c r="Q45" i="45"/>
  <x:c r="P45" i="45"/>
  <x:c r="N13" i="50"/>
  <x:c r="L13" i="50"/>
  <x:c r="M13" i="50"/>
  <x:c r="F13" i="50"/>
  <x:c r="J13" i="50"/>
  <x:c r="K13" i="50"/>
  <x:c r="Q27" i="47"/>
  <x:c r="P27" i="47"/>
  <x:c r="O27" i="47"/>
  <x:c r="L27" i="47"/>
  <x:c r="J27" i="47"/>
  <x:c r="R27" i="47"/>
  <x:c r="R70" i="45"/>
  <x:c r="Q70" i="45"/>
  <x:c r="P70" i="45"/>
  <x:c r="O70" i="45"/>
  <x:c r="L70" i="45"/>
  <x:c r="D40" i="38"/>
  <x:c r="E40" i="38"/>
  <x:c r="F40" i="38"/>
  <x:c r="P62" i="45"/>
  <x:c r="Q62" i="45"/>
  <x:c r="L62" i="45"/>
  <x:c r="R62" i="45"/>
  <x:c r="O62" i="45"/>
  <x:c r="R55" i="45"/>
  <x:c r="Q55" i="45"/>
  <x:c r="P55" i="45"/>
  <x:c r="L55" i="45"/>
  <x:c r="O55" i="45"/>
  <x:c r="R51" i="45"/>
  <x:c r="Q51" i="45"/>
  <x:c r="P51" i="45"/>
  <x:c r="O51" i="45"/>
  <x:c r="L51" i="45"/>
  <x:c r="J12" i="50"/>
  <x:c r="L12" i="50"/>
  <x:c r="K12" i="50"/>
  <x:c r="N12" i="50"/>
  <x:c r="M12" i="50"/>
  <x:c r="F12" i="50"/>
  <x:c r="K40" i="37" l="1"/>
  <x:c r="J40" i="32"/>
  <x:c r="L40" i="33"/>
  <x:c r="H40" i="33"/>
  <x:c r="H40" i="36"/>
  <x:c r="K40" i="32"/>
  <x:c r="H40" i="38"/>
  <x:c r="G23" i="37"/>
  <x:c r="D23" i="36"/>
  <x:c r="I23" i="36"/>
  <x:c r="K23" i="36"/>
  <x:c r="G23" i="38"/>
  <x:c r="K23" i="37"/>
  <x:c r="C23" i="36"/>
  <x:c r="L23" i="32"/>
  <x:c r="D23" i="38"/>
  <x:c r="F23" i="38"/>
  <x:c r="E23" i="38"/>
  <x:c r="I23" i="38"/>
  <x:c r="C23" i="38"/>
  <x:c r="L23" i="38"/>
  <x:c r="C40" i="37"/>
  <x:c r="J40" i="37"/>
  <x:c r="H40" i="37"/>
  <x:c r="L40" i="37"/>
  <x:c r="D23" i="37"/>
  <x:c r="F23" i="37"/>
  <x:c r="I23" i="37"/>
  <x:c r="E23" i="37"/>
  <x:c r="L23" i="37"/>
  <x:c r="J23" i="37"/>
  <x:c r="H23" i="37"/>
  <x:c r="I40" i="36"/>
  <x:c r="J40" i="36"/>
  <x:c r="C40" i="36"/>
  <x:c r="L40" i="36"/>
  <x:c r="D40" i="36"/>
  <x:c r="E23" i="36"/>
  <x:c r="H23" i="36"/>
  <x:c r="L23" i="36"/>
  <x:c r="G23" i="36"/>
  <x:c r="J23" i="36"/>
  <x:c r="F23" i="36"/>
  <x:c r="G40" i="33"/>
  <x:c r="C40" i="33"/>
  <x:c r="I40" i="33"/>
  <x:c r="J40" i="33"/>
  <x:c r="K40" i="33"/>
  <x:c r="E40" i="33"/>
  <x:c r="E23" i="32"/>
  <x:c r="D23" i="32"/>
  <x:c r="G40" i="37"/>
  <x:c r="D40" i="37"/>
  <x:c r="E40" i="37"/>
  <x:c r="F40" i="37"/>
  <x:c r="I40" i="37"/>
  <x:c r="L36" i="50"/>
  <x:c r="K36" i="50"/>
  <x:c r="F36" i="50"/>
  <x:c r="J36" i="50"/>
  <x:c r="M36" i="50"/>
  <x:c r="N16" i="50"/>
  <x:c r="L37" i="50"/>
  <x:c r="F37" i="50"/>
  <x:c r="N35" i="50"/>
  <x:c r="K37" i="50"/>
  <x:c r="J37" i="50"/>
  <x:c r="L35" i="50"/>
  <x:c r="N37" i="50"/>
  <x:c r="M37" i="50"/>
  <x:c r="B50" i="45"/>
  <x:c r="B17" i="45"/>
  <x:c r="D40" i="43"/>
  <x:c r="C40" i="43"/>
  <x:c r="E23" i="43"/>
  <x:c r="L40" i="43"/>
  <x:c r="L13" i="29"/>
  <x:c r="I23" i="43"/>
  <x:c r="H23" i="43"/>
  <x:c r="K40" i="43"/>
  <x:c r="N13" i="29"/>
  <x:c r="AA36" i="29"/>
  <x:c r="K23" i="43"/>
  <x:c r="J40" i="43"/>
  <x:c r="I40" i="43"/>
  <x:c r="D23" i="43"/>
  <x:c r="H40" i="43"/>
  <x:c r="F23" i="43"/>
  <x:c r="G40" i="43"/>
  <x:c r="C23" i="43"/>
  <x:c r="F13" i="29"/>
  <x:c r="J23" i="43"/>
  <x:c r="M13" i="29"/>
  <x:c r="G23" i="43"/>
  <x:c r="L23" i="43"/>
  <x:c r="F40" i="43"/>
  <x:c r="K13" i="29"/>
  <x:c r="R77" i="45"/>
  <x:c r="E40" i="43"/>
  <x:c r="AA14" i="29"/>
  <x:c r="J13" i="29"/>
  <x:c r="O77" i="45"/>
  <x:c r="P77" i="45"/>
  <x:c r="Q77" i="45"/>
  <x:c r="L77" i="45"/>
  <x:c r="H77" i="45"/>
  <x:c r="J77" i="45"/>
  <x:c r="K39" i="50" l="1"/>
  <x:c r="J39" i="50"/>
  <x:c r="M39" i="50"/>
  <x:c r="L39" i="50"/>
  <x:c r="F39" i="50"/>
  <x:c r="N39" i="50"/>
  <x:c r="K17" i="50"/>
  <x:c r="N17" i="50"/>
  <x:c r="J17" i="50"/>
  <x:c r="M17" i="50"/>
  <x:c r="L17" i="50"/>
  <x:c r="F17" i="50"/>
  <x:c r="B18" i="45"/>
  <x:c r="B51" i="45"/>
  <x:c r="F36" i="29"/>
  <x:c r="M36" i="29"/>
  <x:c r="L36" i="29"/>
  <x:c r="J36" i="29"/>
  <x:c r="N36" i="29"/>
  <x:c r="K36" i="29"/>
  <x:c r="F14" i="29"/>
  <x:c r="J14" i="29"/>
  <x:c r="N14" i="29"/>
  <x:c r="L14" i="29"/>
  <x:c r="M14" i="29"/>
  <x:c r="K14" i="29"/>
  <x:c r="AA15" i="29"/>
  <x:c r="AA37" i="29"/>
  <x:c r="F40" i="50" l="1"/>
  <x:c r="K40" i="50"/>
  <x:c r="M40" i="50"/>
  <x:c r="N40" i="50"/>
  <x:c r="L40" i="50"/>
  <x:c r="J40" i="50"/>
  <x:c r="L18" i="50"/>
  <x:c r="K18" i="50"/>
  <x:c r="N18" i="50"/>
  <x:c r="M18" i="50"/>
  <x:c r="F18" i="50"/>
  <x:c r="J18" i="50"/>
  <x:c r="B52" i="45"/>
  <x:c r="B19" i="45"/>
  <x:c r="M37" i="29"/>
  <x:c r="N37" i="29"/>
  <x:c r="F37" i="29"/>
  <x:c r="J37" i="29"/>
  <x:c r="L37" i="29"/>
  <x:c r="K37" i="29"/>
  <x:c r="AA38" i="29"/>
  <x:c r="J15" i="29"/>
  <x:c r="M15" i="29"/>
  <x:c r="L15" i="29"/>
  <x:c r="F15" i="29"/>
  <x:c r="N15" i="29"/>
  <x:c r="K15" i="29"/>
  <x:c r="AA16" i="29"/>
  <x:c r="L41" i="50" l="1"/>
  <x:c r="J41" i="50"/>
  <x:c r="N41" i="50"/>
  <x:c r="F41" i="50"/>
  <x:c r="M41" i="50"/>
  <x:c r="K41" i="50"/>
  <x:c r="J19" i="50"/>
  <x:c r="M19" i="50"/>
  <x:c r="L19" i="50"/>
  <x:c r="K19" i="50"/>
  <x:c r="N19" i="50"/>
  <x:c r="F19" i="50"/>
  <x:c r="B53" i="45"/>
  <x:c r="B20" i="45"/>
  <x:c r="K38" i="29"/>
  <x:c r="M38" i="29"/>
  <x:c r="L38" i="29"/>
  <x:c r="J38" i="29"/>
  <x:c r="N38" i="29"/>
  <x:c r="F38" i="29"/>
  <x:c r="K16" i="29"/>
  <x:c r="L16" i="29"/>
  <x:c r="J16" i="29"/>
  <x:c r="F16" i="29"/>
  <x:c r="M16" i="29"/>
  <x:c r="N16" i="29"/>
  <x:c r="AA39" i="29"/>
  <x:c r="AA17" i="29"/>
  <x:c r="N42" i="50" l="1"/>
  <x:c r="K42" i="50"/>
  <x:c r="M42" i="50"/>
  <x:c r="F42" i="50"/>
  <x:c r="J42" i="50"/>
  <x:c r="L42" i="50"/>
  <x:c r="M20" i="50"/>
  <x:c r="N20" i="50"/>
  <x:c r="K20" i="50"/>
  <x:c r="L20" i="50"/>
  <x:c r="J20" i="50"/>
  <x:c r="F20" i="50"/>
  <x:c r="B21" i="45"/>
  <x:c r="B54" i="45"/>
  <x:c r="L17" i="29"/>
  <x:c r="M17" i="29"/>
  <x:c r="J17" i="29"/>
  <x:c r="F17" i="29"/>
  <x:c r="N17" i="29"/>
  <x:c r="K17" i="29"/>
  <x:c r="AA18" i="29"/>
  <x:c r="AA40" i="29"/>
  <x:c r="F39" i="29"/>
  <x:c r="M39" i="29"/>
  <x:c r="L39" i="29"/>
  <x:c r="J39" i="29"/>
  <x:c r="N39" i="29"/>
  <x:c r="K39" i="29"/>
  <x:c r="K43" i="50" l="1"/>
  <x:c r="J43" i="50"/>
  <x:c r="M43" i="50"/>
  <x:c r="L43" i="50"/>
  <x:c r="F43" i="50"/>
  <x:c r="N43" i="50"/>
  <x:c r="F21" i="50"/>
  <x:c r="N21" i="50"/>
  <x:c r="L21" i="50"/>
  <x:c r="K21" i="50"/>
  <x:c r="M21" i="50"/>
  <x:c r="J21" i="50"/>
  <x:c r="B55" i="45"/>
  <x:c r="B22" i="45"/>
  <x:c r="M40" i="29"/>
  <x:c r="J40" i="29"/>
  <x:c r="L40" i="29"/>
  <x:c r="N40" i="29"/>
  <x:c r="K40" i="29"/>
  <x:c r="F40" i="29"/>
  <x:c r="F18" i="29"/>
  <x:c r="M18" i="29"/>
  <x:c r="L18" i="29"/>
  <x:c r="N18" i="29"/>
  <x:c r="J18" i="29"/>
  <x:c r="K18" i="29"/>
  <x:c r="AA19" i="29"/>
  <x:c r="AA41" i="29"/>
  <x:c r="M22" i="50" l="1"/>
  <x:c r="L22" i="50"/>
  <x:c r="F22" i="50"/>
  <x:c r="J22" i="50"/>
  <x:c r="N22" i="50"/>
  <x:c r="K22" i="50"/>
  <x:c r="L44" i="50"/>
  <x:c r="J44" i="50"/>
  <x:c r="M44" i="50"/>
  <x:c r="K44" i="50"/>
  <x:c r="F44" i="50"/>
  <x:c r="N44" i="50"/>
  <x:c r="B23" i="45"/>
  <x:c r="B56" i="45"/>
  <x:c r="L41" i="29"/>
  <x:c r="M41" i="29"/>
  <x:c r="K41" i="29"/>
  <x:c r="J41" i="29"/>
  <x:c r="N41" i="29"/>
  <x:c r="F41" i="29"/>
  <x:c r="AA42" i="29"/>
  <x:c r="F19" i="29"/>
  <x:c r="K19" i="29"/>
  <x:c r="L19" i="29"/>
  <x:c r="N19" i="29"/>
  <x:c r="M19" i="29"/>
  <x:c r="J19" i="29"/>
  <x:c r="AA20" i="29"/>
  <x:c r="L23" i="50" l="1"/>
  <x:c r="F23" i="50"/>
  <x:c r="N23" i="50"/>
  <x:c r="K23" i="50"/>
  <x:c r="J23" i="50"/>
  <x:c r="K45" i="50"/>
  <x:c r="N45" i="50"/>
  <x:c r="L45" i="50"/>
  <x:c r="M45" i="50"/>
  <x:c r="J45" i="50"/>
  <x:c r="F45" i="50"/>
  <x:c r="B24" i="45"/>
  <x:c r="B57" i="45"/>
  <x:c r="F42" i="29"/>
  <x:c r="K42" i="29"/>
  <x:c r="J42" i="29"/>
  <x:c r="N42" i="29"/>
  <x:c r="L42" i="29"/>
  <x:c r="M42" i="29"/>
  <x:c r="AA43" i="29"/>
  <x:c r="AA21" i="29"/>
  <x:c r="L20" i="29"/>
  <x:c r="K20" i="29"/>
  <x:c r="N20" i="29"/>
  <x:c r="J20" i="29"/>
  <x:c r="F20" i="29"/>
  <x:c r="M20" i="29"/>
  <x:c r="K46" i="50" l="1"/>
  <x:c r="L46" i="50"/>
  <x:c r="M46" i="50"/>
  <x:c r="N46" i="50"/>
  <x:c r="F46" i="50"/>
  <x:c r="J46" i="50"/>
  <x:c r="K24" i="50"/>
  <x:c r="J24" i="50"/>
  <x:c r="N24" i="50"/>
  <x:c r="L24" i="50"/>
  <x:c r="F24" i="50"/>
  <x:c r="M24" i="50"/>
  <x:c r="B25" i="45"/>
  <x:c r="B58" i="45"/>
  <x:c r="N43" i="29"/>
  <x:c r="F43" i="29"/>
  <x:c r="K43" i="29"/>
  <x:c r="M43" i="29"/>
  <x:c r="L43" i="29"/>
  <x:c r="J43" i="29"/>
  <x:c r="AA44" i="29"/>
  <x:c r="F21" i="29"/>
  <x:c r="J21" i="29"/>
  <x:c r="M21" i="29"/>
  <x:c r="L21" i="29"/>
  <x:c r="K21" i="29"/>
  <x:c r="N21" i="29"/>
  <x:c r="AA22" i="29"/>
  <x:c r="K47" i="50" l="1"/>
  <x:c r="J47" i="50"/>
  <x:c r="F47" i="50"/>
  <x:c r="M47" i="50"/>
  <x:c r="N47" i="50"/>
  <x:c r="L47" i="50"/>
  <x:c r="F25" i="50"/>
  <x:c r="K25" i="50"/>
  <x:c r="L25" i="50"/>
  <x:c r="M25" i="50"/>
  <x:c r="J25" i="50"/>
  <x:c r="N25" i="50"/>
  <x:c r="B59" i="45"/>
  <x:c r="B26" i="45"/>
  <x:c r="M22" i="29"/>
  <x:c r="N22" i="29"/>
  <x:c r="F22" i="29"/>
  <x:c r="L22" i="29"/>
  <x:c r="K22" i="29"/>
  <x:c r="J22" i="29"/>
  <x:c r="M44" i="29"/>
  <x:c r="F44" i="29"/>
  <x:c r="N44" i="29"/>
  <x:c r="L44" i="29"/>
  <x:c r="J44" i="29"/>
  <x:c r="K44" i="29"/>
  <x:c r="AA45" i="29"/>
  <x:c r="AA23" i="29"/>
  <x:c r="K26" i="50" l="1"/>
  <x:c r="N26" i="50"/>
  <x:c r="L26" i="50"/>
  <x:c r="J26" i="50"/>
  <x:c r="M26" i="50"/>
  <x:c r="F26" i="50"/>
  <x:c r="K48" i="50"/>
  <x:c r="N48" i="50"/>
  <x:c r="M48" i="50"/>
  <x:c r="F48" i="50"/>
  <x:c r="L48" i="50"/>
  <x:c r="J48" i="50"/>
  <x:c r="B27" i="45"/>
  <x:c r="B60" i="45"/>
  <x:c r="N45" i="29"/>
  <x:c r="J45" i="29"/>
  <x:c r="M45" i="29"/>
  <x:c r="L45" i="29"/>
  <x:c r="K45" i="29"/>
  <x:c r="F45" i="29"/>
  <x:c r="AA24" i="29"/>
  <x:c r="AA46" i="29"/>
  <x:c r="L23" i="29"/>
  <x:c r="N23" i="29"/>
  <x:c r="J23" i="29"/>
  <x:c r="F23" i="29"/>
  <x:c r="K23" i="29"/>
  <x:c r="M23" i="29"/>
  <x:c r="M27" i="50" l="1"/>
  <x:c r="L27" i="50"/>
  <x:c r="J27" i="50"/>
  <x:c r="F27" i="50"/>
  <x:c r="K27" i="50"/>
  <x:c r="N27" i="50"/>
  <x:c r="K49" i="50"/>
  <x:c r="F49" i="50"/>
  <x:c r="J49" i="50"/>
  <x:c r="L49" i="50"/>
  <x:c r="M49" i="50"/>
  <x:c r="N49" i="50"/>
  <x:c r="B28" i="45"/>
  <x:c r="B61" i="45"/>
  <x:c r="N24" i="29"/>
  <x:c r="F24" i="29"/>
  <x:c r="M24" i="29"/>
  <x:c r="L24" i="29"/>
  <x:c r="K24" i="29"/>
  <x:c r="J24" i="29"/>
  <x:c r="AA47" i="29"/>
  <x:c r="F46" i="29"/>
  <x:c r="J46" i="29"/>
  <x:c r="N46" i="29"/>
  <x:c r="M46" i="29"/>
  <x:c r="L46" i="29"/>
  <x:c r="K46" i="29"/>
  <x:c r="AA25" i="29"/>
  <x:c r="F50" i="50" l="1"/>
  <x:c r="L50" i="50"/>
  <x:c r="K50" i="50"/>
  <x:c r="N50" i="50"/>
  <x:c r="M50" i="50"/>
  <x:c r="J50" i="50"/>
  <x:c r="F28" i="50"/>
  <x:c r="N28" i="50"/>
  <x:c r="L28" i="50"/>
  <x:c r="M28" i="50"/>
  <x:c r="K28" i="50"/>
  <x:c r="J28" i="50"/>
  <x:c r="B62" i="45"/>
  <x:c r="B29" i="45"/>
  <x:c r="K47" i="29"/>
  <x:c r="M47" i="29"/>
  <x:c r="J47" i="29"/>
  <x:c r="L47" i="29"/>
  <x:c r="F47" i="29"/>
  <x:c r="N47" i="29"/>
  <x:c r="AA48" i="29"/>
  <x:c r="J25" i="29"/>
  <x:c r="K25" i="29"/>
  <x:c r="N25" i="29"/>
  <x:c r="L25" i="29"/>
  <x:c r="M25" i="29"/>
  <x:c r="F25" i="29"/>
  <x:c r="AA26" i="29"/>
  <x:c r="J29" i="50" l="1"/>
  <x:c r="K29" i="50"/>
  <x:c r="M29" i="50"/>
  <x:c r="F29" i="50"/>
  <x:c r="L29" i="50"/>
  <x:c r="N29" i="50"/>
  <x:c r="J51" i="50"/>
  <x:c r="N51" i="50"/>
  <x:c r="L51" i="50"/>
  <x:c r="K51" i="50"/>
  <x:c r="M51" i="50"/>
  <x:c r="F51" i="50"/>
  <x:c r="B63" i="45"/>
  <x:c r="B30" i="45"/>
  <x:c r="N26" i="29"/>
  <x:c r="M26" i="29"/>
  <x:c r="K26" i="29"/>
  <x:c r="F26" i="29"/>
  <x:c r="L26" i="29"/>
  <x:c r="J26" i="29"/>
  <x:c r="AA27" i="29"/>
  <x:c r="AA49" i="29"/>
  <x:c r="M48" i="29"/>
  <x:c r="F48" i="29"/>
  <x:c r="K48" i="29"/>
  <x:c r="J48" i="29"/>
  <x:c r="L48" i="29"/>
  <x:c r="N48" i="29"/>
  <x:c r="F52" i="50" l="1"/>
  <x:c r="N52" i="50"/>
  <x:c r="M52" i="50"/>
  <x:c r="K52" i="50"/>
  <x:c r="J52" i="50"/>
  <x:c r="L52" i="50"/>
  <x:c r="L30" i="50"/>
  <x:c r="M30" i="50"/>
  <x:c r="K30" i="50"/>
  <x:c r="J30" i="50"/>
  <x:c r="N30" i="50"/>
  <x:c r="E31" i="50"/>
  <x:c r="F30" i="50"/>
  <x:c r="B31" i="45"/>
  <x:c r="B64" i="45"/>
  <x:c r="L49" i="29"/>
  <x:c r="N49" i="29"/>
  <x:c r="J49" i="29"/>
  <x:c r="M49" i="29"/>
  <x:c r="F49" i="29"/>
  <x:c r="K49" i="29"/>
  <x:c r="K27" i="29"/>
  <x:c r="M27" i="29"/>
  <x:c r="L27" i="29"/>
  <x:c r="F27" i="29"/>
  <x:c r="N27" i="29"/>
  <x:c r="J27" i="29"/>
  <x:c r="AA28" i="29"/>
  <x:c r="AA50" i="29"/>
  <x:c r="L31" i="50" l="1"/>
  <x:c r="K31" i="50"/>
  <x:c r="M31" i="50"/>
  <x:c r="N31" i="50"/>
  <x:c r="J31" i="50"/>
  <x:c r="F31" i="50"/>
  <x:c r="D54" i="50"/>
  <x:c r="F53" i="50"/>
  <x:c r="J53" i="50"/>
  <x:c r="N53" i="50"/>
  <x:c r="K53" i="50"/>
  <x:c r="M53" i="50"/>
  <x:c r="L53" i="50"/>
  <x:c r="E54" i="50"/>
  <x:c r="B65" i="45"/>
  <x:c r="B32" i="45"/>
  <x:c r="F28" i="29"/>
  <x:c r="N28" i="29"/>
  <x:c r="L28" i="29"/>
  <x:c r="K28" i="29"/>
  <x:c r="J28" i="29"/>
  <x:c r="M28" i="29"/>
  <x:c r="M50" i="29"/>
  <x:c r="J50" i="29"/>
  <x:c r="K50" i="29"/>
  <x:c r="F50" i="29"/>
  <x:c r="L50" i="29"/>
  <x:c r="N50" i="29"/>
  <x:c r="AA29" i="29"/>
  <x:c r="AA51" i="29"/>
  <x:c r="L54" i="50" l="1"/>
  <x:c r="M54" i="50"/>
  <x:c r="J54" i="50"/>
  <x:c r="K54" i="50"/>
  <x:c r="F54" i="50"/>
  <x:c r="N54" i="50"/>
  <x:c r="B66" i="45"/>
  <x:c r="B33" i="45"/>
  <x:c r="AA30" i="29"/>
  <x:c r="K29" i="29"/>
  <x:c r="F29" i="29"/>
  <x:c r="N29" i="29"/>
  <x:c r="J29" i="29"/>
  <x:c r="M29" i="29"/>
  <x:c r="L29" i="29"/>
  <x:c r="M51" i="29"/>
  <x:c r="K51" i="29"/>
  <x:c r="F51" i="29"/>
  <x:c r="N51" i="29"/>
  <x:c r="J51" i="29"/>
  <x:c r="L51" i="29"/>
  <x:c r="AA52" i="29"/>
  <x:c r="B67" i="45" l="1"/>
  <x:c r="B34" i="45"/>
  <x:c r="M52" i="29"/>
  <x:c r="L52" i="29"/>
  <x:c r="K52" i="29"/>
  <x:c r="F52" i="29"/>
  <x:c r="J52" i="29"/>
  <x:c r="N52" i="29"/>
  <x:c r="AA53" i="29"/>
  <x:c r="K30" i="29"/>
  <x:c r="K31" i="29" s="1"/>
  <x:c r="F30" i="29"/>
  <x:c r="F31" i="29" s="1"/>
  <x:c r="L30" i="29"/>
  <x:c r="L31" i="29" s="1"/>
  <x:c r="N30" i="29"/>
  <x:c r="N31" i="29" s="1"/>
  <x:c r="J30" i="29"/>
  <x:c r="J31" i="29" s="1"/>
  <x:c r="E31" i="29"/>
  <x:c r="M30" i="29"/>
  <x:c r="M31" i="29" s="1"/>
  <x:c r="B35" i="45" l="1"/>
  <x:c r="B68" i="45"/>
  <x:c r="F53" i="29"/>
  <x:c r="F54" i="29" s="1"/>
  <x:c r="K53" i="29"/>
  <x:c r="K54" i="29" s="1"/>
  <x:c r="M53" i="29"/>
  <x:c r="M54" i="29" s="1"/>
  <x:c r="E54" i="29"/>
  <x:c r="L53" i="29"/>
  <x:c r="L54" i="29" s="1"/>
  <x:c r="N53" i="29"/>
  <x:c r="N54" i="29" s="1"/>
  <x:c r="D54" i="29"/>
  <x:c r="J53" i="29"/>
  <x:c r="J54" i="29" s="1"/>
  <x:c r="B69" i="45" l="1"/>
  <x:c r="B36" i="45"/>
  <x:c r="B70" i="45" l="1"/>
  <x:c r="B37" i="45"/>
  <x:c r="B38" i="45" l="1"/>
  <x:c r="B71" i="45"/>
  <x:c r="B72" i="45" l="1"/>
  <x:c r="B39" i="45"/>
  <x:c r="B73" i="45" l="1"/>
  <x:c r="B40" i="45"/>
  <x:c r="B41" i="45" l="1"/>
  <x:c r="B75" i="45" s="1"/>
  <x:c r="B74" i="45"/>
</x:calcChain>
</file>

<file path=xl/sharedStrings.xml><?xml version="1.0" encoding="utf-8"?>
<sst xmlns="http://schemas.openxmlformats.org/spreadsheetml/2006/main" count="828" uniqueCount="124">
  <si>
    <t>ONCOR ELECTRIC DELIVERY</t>
  </si>
  <si>
    <t>WEATHER STATION DATA</t>
  </si>
  <si>
    <t>FOR THE TEST YEAR ENDING DECEMBER 31, 2007</t>
  </si>
  <si>
    <t>SPONSOR: G. L. GOBLE</t>
  </si>
  <si>
    <t>Line              No.</t>
  </si>
  <si>
    <t>Metroplex (MX)</t>
  </si>
  <si>
    <t>Lufkin (LU)</t>
  </si>
  <si>
    <t>Austin (AU)</t>
  </si>
  <si>
    <t>Killeen (KI)</t>
  </si>
  <si>
    <t>Longview (LO)</t>
  </si>
  <si>
    <t>Waco (WO)</t>
  </si>
  <si>
    <t>Abilene (AE)</t>
  </si>
  <si>
    <t>Wichita Falls (WF)</t>
  </si>
  <si>
    <t>Midland/ Odessa (MO)</t>
  </si>
  <si>
    <t>Denison (DE)</t>
  </si>
  <si>
    <t>Annual</t>
  </si>
  <si>
    <t>Calendar Actual Heating Degree Days by Weather Sites (Base 45)</t>
  </si>
  <si>
    <t>Calendar Normal Heating Degree Days by Weather Sites (Base 45)</t>
  </si>
  <si>
    <t>Calendar Normal Heating Degree Days by Weather Sites (Base 35)</t>
  </si>
  <si>
    <t>Calendar Actual Heating Degree Days by Weather Sites (Base 35)</t>
  </si>
  <si>
    <t>Calendar Actual Cooling Degree Days by Weather Sites (Base 75)</t>
  </si>
  <si>
    <t>Calendar Actual Cooling Degree Days by Weather Sites (Base 70)</t>
  </si>
  <si>
    <t>Calendar Actual Cooling Degree Days by Weather Sites (Base 65)</t>
  </si>
  <si>
    <t>Calendar Actual  Cooling Degree Days by Weather Sites (Base 35)</t>
  </si>
  <si>
    <t>Calendar Actual Cooling Degree Days by Weather Sites (Base 35)</t>
  </si>
  <si>
    <t xml:space="preserve">PUC DOCKET NO. </t>
  </si>
  <si>
    <t>Calendar Normal Cooling Degree Days by Weather Sites (Base 65)</t>
  </si>
  <si>
    <t>Abilene</t>
  </si>
  <si>
    <t>DATE</t>
  </si>
  <si>
    <t>HR1</t>
  </si>
  <si>
    <t>HR2</t>
  </si>
  <si>
    <t>HR3</t>
  </si>
  <si>
    <t>HR4</t>
  </si>
  <si>
    <t>HR5</t>
  </si>
  <si>
    <t>HR6</t>
  </si>
  <si>
    <t>HR7</t>
  </si>
  <si>
    <t>HR8</t>
  </si>
  <si>
    <t>HR9</t>
  </si>
  <si>
    <t>HR10</t>
  </si>
  <si>
    <t>HR11</t>
  </si>
  <si>
    <t>HR12</t>
  </si>
  <si>
    <t>HR13</t>
  </si>
  <si>
    <t>HR14</t>
  </si>
  <si>
    <t>HR15</t>
  </si>
  <si>
    <t>HR16</t>
  </si>
  <si>
    <t>HR17</t>
  </si>
  <si>
    <t>HR18</t>
  </si>
  <si>
    <t>HR19</t>
  </si>
  <si>
    <t>HR20</t>
  </si>
  <si>
    <t>HR21</t>
  </si>
  <si>
    <t>HR22</t>
  </si>
  <si>
    <t>HR23</t>
  </si>
  <si>
    <t>HR24</t>
  </si>
  <si>
    <t>DAILY AVG</t>
  </si>
  <si>
    <t>JANUARY</t>
  </si>
  <si>
    <t>Dallas/ Fort Worth (MX)</t>
  </si>
  <si>
    <t>Calendar Normal Cooling Degree Days by Weather Sites (Base 75)</t>
  </si>
  <si>
    <t>Calendar Normal Cooling Degree Days by Weather Sites (Base 70)</t>
  </si>
  <si>
    <t>Year</t>
  </si>
  <si>
    <t>Month</t>
  </si>
  <si>
    <t>HDD45</t>
  </si>
  <si>
    <t>HDD60</t>
  </si>
  <si>
    <t>CDD65</t>
  </si>
  <si>
    <t>CDD70</t>
  </si>
  <si>
    <t>CDD75</t>
  </si>
  <si>
    <t>Austin</t>
  </si>
  <si>
    <t>Dallas-Ft. Worth</t>
  </si>
  <si>
    <t>Kileen-Temple</t>
  </si>
  <si>
    <t>Station</t>
  </si>
  <si>
    <t>Longview</t>
  </si>
  <si>
    <t>Lufkin</t>
  </si>
  <si>
    <t>Midland-Odessa</t>
  </si>
  <si>
    <t>Waco</t>
  </si>
  <si>
    <t>Wichita Falls</t>
  </si>
  <si>
    <t>Sherman-Denison</t>
  </si>
  <si>
    <t>Average</t>
  </si>
  <si>
    <t>NHDD60</t>
  </si>
  <si>
    <t>NHDD45</t>
  </si>
  <si>
    <t>NCDD65</t>
  </si>
  <si>
    <t>NCDD70</t>
  </si>
  <si>
    <t>NCDD75</t>
  </si>
  <si>
    <t>SPONSOR: D. E. NELSON</t>
  </si>
  <si>
    <t>Calendar Actual Heating Degree Days by Weather Sites (Base 60)</t>
  </si>
  <si>
    <t>Calendar Normal Heating Degree Days by Weather Sites (Base 60)</t>
  </si>
  <si>
    <t>Calendar Actual Cooling Degree Days by Weather Sites (Base 50)</t>
  </si>
  <si>
    <t>Calendar Normal Cooling Degree Days by Weather Sites (Base 50)</t>
  </si>
  <si>
    <t>Calendar Actual Cooling Degree Days by Weather Sites (Base 80)</t>
  </si>
  <si>
    <t>Calendar Normal Cooling Degree Days by Weather Sites (Base 80)</t>
  </si>
  <si>
    <t>CDD50</t>
  </si>
  <si>
    <t>CDD80</t>
  </si>
  <si>
    <t>NCDD80</t>
  </si>
  <si>
    <t>SIMPLE TWENTY YEAR AVERAGE CALCULATION FOR ABILENE</t>
  </si>
  <si>
    <t>JANUARY MONTHLY NORMAL WEATHER SUMMATION FOR ABILENE</t>
  </si>
  <si>
    <t>Calendar Actual Cooling Degree Days by Weather Sites (Base 60)</t>
  </si>
  <si>
    <t>Calendar Normal Cooling Degree Days by Weather Sites (Base 60)</t>
  </si>
  <si>
    <t>NCDD60</t>
  </si>
  <si>
    <t>ONCOR ELECTRIC DELIVERY COMPANY LLC</t>
  </si>
  <si>
    <t>JULY MONTHLY NORMAL WEATHER SUMMATION FOR ABILENE</t>
  </si>
  <si>
    <t>CDD60</t>
  </si>
  <si>
    <t>JULY</t>
  </si>
  <si>
    <t>Calendar Actual Cooling Degree Days by Weather Sites (Base 55)</t>
  </si>
  <si>
    <t>Calendar Normal Cooling Degree Days by Weather Sites (Base 55)</t>
  </si>
  <si>
    <t>HDD55</t>
  </si>
  <si>
    <t>NHDD55</t>
  </si>
  <si>
    <t>Calendar Actual Heating Degree Days by Weather Sites (Base 65)</t>
  </si>
  <si>
    <t>Calendar Normal Heating Degree Days by Weather Sites (Base 65)</t>
  </si>
  <si>
    <t>HDD65</t>
  </si>
  <si>
    <t>CDD55</t>
  </si>
  <si>
    <t>Daily Actual Weather Calculation By Site for July 14, 2021</t>
  </si>
  <si>
    <t>July 14</t>
  </si>
  <si>
    <t>July 20</t>
  </si>
  <si>
    <t>January 21</t>
  </si>
  <si>
    <t>NHDD65</t>
  </si>
  <si>
    <t>NCDD55</t>
  </si>
  <si>
    <t>NCDD50</t>
  </si>
  <si>
    <t>January 14</t>
  </si>
  <si>
    <t>FOR THE TEST YEAR ENDING DECEMBER 31, 2024</t>
  </si>
  <si>
    <t>Abilene Daily Actual Weather Calculation for January 2023</t>
  </si>
  <si>
    <t>Abilene Daily Actual Weather Calculation for July 2023</t>
  </si>
  <si>
    <t>Abilene Daily Actual Weather Calculation for January 2024</t>
  </si>
  <si>
    <t>Abilene Daily Actual Weather Calculation for July 2024</t>
  </si>
  <si>
    <t>Daily Actual Weather Calculation By Site for January 21, 2023</t>
  </si>
  <si>
    <t>Daily Actual Weather Calculation By Site for July 20, 2023</t>
  </si>
  <si>
    <t>Daily Actual Weather Calculation By Site for January 14,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</si>
</sst>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[$-409]mmm\-yy;@"/>
    <numFmt numFmtId="166" formatCode="mmm\-\-dd\-yy"/>
    <numFmt numFmtId="167" formatCode="[$-409]d\-mmm;@"/>
    <numFmt numFmtId="168" formatCode="0.0000"/>
    <numFmt numFmtId="169" formatCode="0.000"/>
  </numFmts>
  <fonts count="10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0"/>
      <name val="MS Sans Serif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0" fontId="5" fillId="0" borderId="0"/>
    <xf numFmtId="9" fontId="9" fillId="0" borderId="0" applyFont="0" applyFill="0" applyBorder="0" applyAlignment="0" applyProtection="0"/>
    <xf numFmtId="0" fontId="7" fillId="0" borderId="0"/>
  </cellStyleXfs>
  <cellXfs count="9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wrapText="1"/>
    </xf>
    <xf numFmtId="165" fontId="2" fillId="0" borderId="0" xfId="0" applyNumberFormat="1" applyFont="1"/>
    <xf numFmtId="1" fontId="2" fillId="0" borderId="0" xfId="0" applyNumberFormat="1" applyFont="1"/>
    <xf numFmtId="165" fontId="2" fillId="0" borderId="2" xfId="0" applyNumberFormat="1" applyFont="1" applyBorder="1"/>
    <xf numFmtId="1" fontId="2" fillId="0" borderId="2" xfId="0" applyNumberFormat="1" applyFont="1" applyBorder="1"/>
    <xf numFmtId="0" fontId="2" fillId="0" borderId="0" xfId="0" applyFont="1" applyAlignment="1">
      <alignment horizontal="right"/>
    </xf>
    <xf numFmtId="0" fontId="0" fillId="0" borderId="0" xfId="0" applyAlignment="1"/>
    <xf numFmtId="0" fontId="0" fillId="0" borderId="0" xfId="0" applyAlignment="1">
      <alignment horizontal="right"/>
    </xf>
    <xf numFmtId="166" fontId="0" fillId="0" borderId="0" xfId="0" applyNumberFormat="1"/>
    <xf numFmtId="2" fontId="0" fillId="0" borderId="0" xfId="0" applyNumberFormat="1"/>
    <xf numFmtId="0" fontId="6" fillId="0" borderId="0" xfId="0" applyFont="1"/>
    <xf numFmtId="0" fontId="5" fillId="0" borderId="0" xfId="1" quotePrefix="1" applyNumberFormat="1"/>
    <xf numFmtId="0" fontId="5" fillId="0" borderId="0" xfId="1" applyNumberFormat="1"/>
    <xf numFmtId="0" fontId="0" fillId="0" borderId="3" xfId="0" applyBorder="1"/>
    <xf numFmtId="0" fontId="2" fillId="0" borderId="0" xfId="0" applyFont="1" applyAlignment="1"/>
    <xf numFmtId="0" fontId="0" fillId="0" borderId="0" xfId="0" applyFill="1"/>
    <xf numFmtId="2" fontId="0" fillId="0" borderId="0" xfId="0" applyNumberFormat="1" applyFill="1"/>
    <xf numFmtId="164" fontId="0" fillId="0" borderId="3" xfId="0" applyNumberFormat="1" applyBorder="1"/>
    <xf numFmtId="166" fontId="0" fillId="0" borderId="0" xfId="0" applyNumberFormat="1" applyAlignment="1">
      <alignment horizontal="right"/>
    </xf>
    <xf numFmtId="0" fontId="5" fillId="0" borderId="0" xfId="1" applyNumberFormat="1" applyFont="1" applyAlignment="1">
      <alignment horizontal="right"/>
    </xf>
    <xf numFmtId="0" fontId="0" fillId="0" borderId="4" xfId="0" applyBorder="1" applyAlignment="1"/>
    <xf numFmtId="2" fontId="0" fillId="0" borderId="4" xfId="0" applyNumberFormat="1" applyFill="1" applyBorder="1"/>
    <xf numFmtId="165" fontId="2" fillId="0" borderId="0" xfId="0" applyNumberFormat="1" applyFont="1" applyBorder="1"/>
    <xf numFmtId="1" fontId="2" fillId="0" borderId="0" xfId="0" applyNumberFormat="1" applyFont="1" applyBorder="1"/>
    <xf numFmtId="0" fontId="8" fillId="0" borderId="0" xfId="0" applyFont="1" applyAlignment="1">
      <alignment horizontal="right"/>
    </xf>
    <xf numFmtId="0" fontId="8" fillId="0" borderId="0" xfId="0" applyFont="1"/>
    <xf numFmtId="167" fontId="0" fillId="0" borderId="0" xfId="0" applyNumberFormat="1"/>
    <xf numFmtId="0" fontId="0" fillId="0" borderId="0" xfId="0" applyBorder="1"/>
    <xf numFmtId="0" fontId="0" fillId="0" borderId="0" xfId="0" applyBorder="1" applyAlignment="1">
      <alignment horizontal="right"/>
    </xf>
    <xf numFmtId="0" fontId="2" fillId="0" borderId="3" xfId="0" applyFont="1" applyBorder="1" applyAlignment="1">
      <alignment horizontal="right"/>
    </xf>
    <xf numFmtId="1" fontId="2" fillId="0" borderId="3" xfId="0" applyNumberFormat="1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right"/>
    </xf>
    <xf numFmtId="16" fontId="7" fillId="0" borderId="0" xfId="0" quotePrefix="1" applyNumberFormat="1" applyFont="1" applyAlignment="1">
      <alignment horizontal="right"/>
    </xf>
    <xf numFmtId="2" fontId="5" fillId="0" borderId="0" xfId="1" quotePrefix="1" applyNumberFormat="1"/>
    <xf numFmtId="0" fontId="7" fillId="0" borderId="0" xfId="0" quotePrefix="1" applyFont="1" applyAlignment="1">
      <alignment horizontal="right"/>
    </xf>
    <xf numFmtId="0" fontId="7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right"/>
    </xf>
    <xf numFmtId="0" fontId="7" fillId="0" borderId="2" xfId="0" applyFont="1" applyBorder="1" applyAlignment="1">
      <alignment horizontal="right"/>
    </xf>
    <xf numFmtId="0" fontId="8" fillId="0" borderId="2" xfId="0" applyFont="1" applyBorder="1" applyAlignment="1">
      <alignment horizontal="right"/>
    </xf>
    <xf numFmtId="2" fontId="5" fillId="0" borderId="3" xfId="1" applyNumberFormat="1" applyBorder="1"/>
    <xf numFmtId="0" fontId="7" fillId="0" borderId="3" xfId="0" applyFont="1" applyBorder="1"/>
    <xf numFmtId="0" fontId="5" fillId="0" borderId="3" xfId="1" applyNumberFormat="1" applyFont="1" applyBorder="1" applyAlignment="1">
      <alignment horizontal="right"/>
    </xf>
    <xf numFmtId="2" fontId="0" fillId="0" borderId="0" xfId="0" applyNumberFormat="1" applyAlignment="1">
      <alignment horizontal="right"/>
    </xf>
    <xf numFmtId="10" fontId="2" fillId="0" borderId="0" xfId="2" applyNumberFormat="1" applyFont="1"/>
    <xf numFmtId="2" fontId="2" fillId="0" borderId="0" xfId="0" applyNumberFormat="1" applyFont="1"/>
    <xf numFmtId="2" fontId="2" fillId="0" borderId="0" xfId="2" applyNumberFormat="1" applyFont="1"/>
    <xf numFmtId="0" fontId="0" fillId="0" borderId="0" xfId="0" applyAlignment="1">
      <alignment horizontal="right"/>
    </xf>
    <xf numFmtId="1" fontId="2" fillId="0" borderId="0" xfId="0" applyNumberFormat="1" applyFont="1" applyFill="1"/>
    <xf numFmtId="0" fontId="0" fillId="0" borderId="0" xfId="0" applyAlignment="1"/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0" fontId="7" fillId="0" borderId="0" xfId="3"/>
    <xf numFmtId="0" fontId="7" fillId="0" borderId="0" xfId="3" applyAlignment="1"/>
    <xf numFmtId="2" fontId="7" fillId="0" borderId="0" xfId="3" applyNumberFormat="1"/>
    <xf numFmtId="166" fontId="7" fillId="0" borderId="0" xfId="3" applyNumberFormat="1" applyAlignment="1">
      <alignment horizontal="right"/>
    </xf>
    <xf numFmtId="0" fontId="7" fillId="0" borderId="0" xfId="3" applyFont="1" applyAlignment="1">
      <alignment horizontal="right"/>
    </xf>
    <xf numFmtId="0" fontId="7" fillId="0" borderId="0" xfId="3" applyAlignment="1">
      <alignment horizontal="right"/>
    </xf>
    <xf numFmtId="0" fontId="2" fillId="0" borderId="1" xfId="3" applyFont="1" applyBorder="1" applyAlignment="1">
      <alignment horizontal="center" wrapText="1"/>
    </xf>
    <xf numFmtId="0" fontId="2" fillId="0" borderId="0" xfId="3" applyFont="1"/>
    <xf numFmtId="0" fontId="2" fillId="0" borderId="0" xfId="3" applyFont="1" applyAlignment="1"/>
    <xf numFmtId="0" fontId="5" fillId="0" borderId="0" xfId="1" applyNumberFormat="1" applyFont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 applyAlignment="1"/>
    <xf numFmtId="1" fontId="0" fillId="0" borderId="0" xfId="0" applyNumberFormat="1"/>
    <xf numFmtId="0" fontId="2" fillId="0" borderId="1" xfId="0" applyFont="1" applyFill="1" applyBorder="1" applyAlignment="1">
      <alignment horizontal="center" wrapText="1"/>
    </xf>
    <xf numFmtId="168" fontId="0" fillId="0" borderId="0" xfId="0" applyNumberFormat="1" applyAlignment="1"/>
    <xf numFmtId="169" fontId="0" fillId="0" borderId="0" xfId="0" applyNumberFormat="1"/>
    <xf numFmtId="0" fontId="0" fillId="0" borderId="0" xfId="0" applyAlignment="1"/>
    <xf numFmtId="0" fontId="0" fillId="0" borderId="0" xfId="0" applyAlignment="1"/>
    <xf numFmtId="0" fontId="0" fillId="0" borderId="0" xfId="0" applyFill="1" applyAlignment="1">
      <alignment horizontal="right"/>
    </xf>
    <xf numFmtId="0" fontId="8" fillId="0" borderId="0" xfId="0" applyFont="1" applyFill="1" applyAlignment="1">
      <alignment horizontal="right"/>
    </xf>
    <xf numFmtId="0" fontId="7" fillId="0" borderId="0" xfId="0" applyFont="1" applyFill="1" applyAlignment="1">
      <alignment horizontal="right"/>
    </xf>
    <xf numFmtId="0" fontId="7" fillId="0" borderId="0" xfId="0" applyFont="1" applyBorder="1" applyAlignment="1">
      <alignment horizontal="right"/>
    </xf>
    <xf numFmtId="2" fontId="0" fillId="0" borderId="0" xfId="0" applyNumberFormat="1" applyBorder="1"/>
    <xf numFmtId="164" fontId="0" fillId="0" borderId="0" xfId="0" applyNumberFormat="1" applyBorder="1"/>
    <xf numFmtId="0" fontId="7" fillId="0" borderId="0" xfId="3" applyFont="1" applyFill="1" applyAlignment="1">
      <alignment horizontal="right"/>
    </xf>
    <xf numFmtId="2" fontId="5" fillId="0" borderId="0" xfId="1" applyNumberFormat="1" applyBorder="1"/>
    <xf numFmtId="0" fontId="7" fillId="0" borderId="2" xfId="0" applyFont="1" applyFill="1" applyBorder="1" applyAlignment="1">
      <alignment horizontal="right"/>
    </xf>
    <xf numFmtId="169" fontId="0" fillId="0" borderId="0" xfId="0" applyNumberFormat="1" applyAlignment="1"/>
    <xf numFmtId="0" fontId="7" fillId="0" borderId="0" xfId="3" applyFill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0" xfId="0" applyAlignment="1"/>
    <xf numFmtId="0" fontId="6" fillId="0" borderId="0" xfId="3" applyFont="1" applyAlignment="1">
      <alignment horizontal="center" vertical="center"/>
    </xf>
  </cellXfs>
  <cellStyles count="4">
    <cellStyle name="Normal" xfId="0" builtinId="0"/>
    <cellStyle name="Normal 2" xfId="3" xr:uid="{00000000-0005-0000-0000-000001000000}"/>
    <cellStyle name="Normal_DailyNormalBase65" xfId="1" xr:uid="{00000000-0005-0000-0000-000002000000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L71"/>
  <x:sheetViews>
    <x:sheetView workbookViewId="0">
      <x:selection activeCell="D20" sqref="D20"/>
    </x:sheetView>
  </x:sheetViews>
  <x:sheetFormatPr defaultColWidth="9.109375" defaultRowHeight="11.4" x14ac:dyDescent="0.2"/>
  <x:cols>
    <x:col min="1" max="1" width="9.109375" style="1"/>
    <x:col min="2" max="2" width="10.44140625" style="2" bestFit="1" customWidth="1"/>
    <x:col min="3" max="3" width="11.44140625" style="2" customWidth="1"/>
    <x:col min="4" max="4" width="9.5546875" style="2" bestFit="1" customWidth="1"/>
    <x:col min="5" max="5" width="9.6640625" style="2" bestFit="1" customWidth="1"/>
    <x:col min="6" max="6" width="9.5546875" style="2" bestFit="1" customWidth="1"/>
    <x:col min="7" max="7" width="12.33203125" style="2" bestFit="1" customWidth="1"/>
    <x:col min="8" max="8" width="9.88671875" style="2" bestFit="1" customWidth="1"/>
    <x:col min="9" max="9" width="10.5546875" style="2" bestFit="1" customWidth="1"/>
    <x:col min="10" max="10" width="11.33203125" style="2" customWidth="1"/>
    <x:col min="11" max="11" width="10.44140625" style="2" customWidth="1"/>
    <x:col min="12" max="16384" width="9.109375" style="2"/>
  </x:cols>
  <x:sheetData>
    <x:row r="1" spans="1:12" ht="15.6" x14ac:dyDescent="0.3">
      <x:c r="B1" s="88" t="s">
        <x:v>25</x:v>
      </x:c>
      <x:c r="C1" s="88"/>
      <x:c r="D1" s="88"/>
      <x:c r="E1" s="88"/>
      <x:c r="F1" s="88"/>
      <x:c r="G1" s="88"/>
      <x:c r="H1" s="88"/>
      <x:c r="I1" s="88"/>
      <x:c r="J1" s="88"/>
      <x:c r="K1" s="88"/>
      <x:c r="L1" s="88"/>
    </x:row>
    <x:row r="2" spans="1:12" ht="15.6" x14ac:dyDescent="0.3">
      <x:c r="B2" s="88" t="s">
        <x:v>0</x:v>
      </x:c>
      <x:c r="C2" s="88"/>
      <x:c r="D2" s="88"/>
      <x:c r="E2" s="88"/>
      <x:c r="F2" s="88"/>
      <x:c r="G2" s="88"/>
      <x:c r="H2" s="88"/>
      <x:c r="I2" s="88"/>
      <x:c r="J2" s="88"/>
      <x:c r="K2" s="88"/>
      <x:c r="L2" s="88"/>
    </x:row>
    <x:row r="3" spans="1:12" ht="15.6" x14ac:dyDescent="0.3">
      <x:c r="B3" s="88" t="s">
        <x:v>1</x:v>
      </x:c>
      <x:c r="C3" s="88"/>
      <x:c r="D3" s="88"/>
      <x:c r="E3" s="88"/>
      <x:c r="F3" s="88"/>
      <x:c r="G3" s="88"/>
      <x:c r="H3" s="88"/>
      <x:c r="I3" s="88"/>
      <x:c r="J3" s="88"/>
      <x:c r="K3" s="88"/>
      <x:c r="L3" s="88"/>
    </x:row>
    <x:row r="4" spans="1:12" ht="15.6" x14ac:dyDescent="0.3">
      <x:c r="B4" s="88" t="s">
        <x:v>2</x:v>
      </x:c>
      <x:c r="C4" s="88"/>
      <x:c r="D4" s="88"/>
      <x:c r="E4" s="88"/>
      <x:c r="F4" s="88"/>
      <x:c r="G4" s="88"/>
      <x:c r="H4" s="88"/>
      <x:c r="I4" s="88"/>
      <x:c r="J4" s="88"/>
      <x:c r="K4" s="88"/>
      <x:c r="L4" s="88"/>
    </x:row>
    <x:row r="6" spans="1:12" ht="15.6" x14ac:dyDescent="0.3">
      <x:c r="B6" s="88" t="s">
        <x:v>3</x:v>
      </x:c>
      <x:c r="C6" s="88"/>
      <x:c r="D6" s="88"/>
      <x:c r="E6" s="88"/>
      <x:c r="F6" s="88"/>
      <x:c r="G6" s="88"/>
      <x:c r="H6" s="88"/>
      <x:c r="I6" s="88"/>
      <x:c r="J6" s="88"/>
      <x:c r="K6" s="88"/>
      <x:c r="L6" s="88"/>
    </x:row>
    <x:row r="9" spans="1:12" ht="12" x14ac:dyDescent="0.25">
      <x:c r="B9" s="89" t="s">
        <x:v>19</x:v>
      </x:c>
      <x:c r="C9" s="89"/>
      <x:c r="D9" s="89"/>
      <x:c r="E9" s="89"/>
      <x:c r="F9" s="89"/>
      <x:c r="G9" s="89"/>
      <x:c r="H9" s="89"/>
      <x:c r="I9" s="89"/>
      <x:c r="J9" s="89"/>
      <x:c r="K9" s="89"/>
      <x:c r="L9" s="89"/>
    </x:row>
    <x:row r="10" spans="1:12" ht="34.799999999999997" thickBot="1" x14ac:dyDescent="0.25">
      <x:c r="A10" s="3" t="s">
        <x:v>4</x:v>
      </x:c>
      <x:c r="C10" s="3" t="s">
        <x:v>5</x:v>
      </x:c>
      <x:c r="D10" s="3" t="s">
        <x:v>6</x:v>
      </x:c>
      <x:c r="E10" s="3" t="s">
        <x:v>7</x:v>
      </x:c>
      <x:c r="F10" s="3" t="s">
        <x:v>8</x:v>
      </x:c>
      <x:c r="G10" s="3" t="s">
        <x:v>9</x:v>
      </x:c>
      <x:c r="H10" s="3" t="s">
        <x:v>10</x:v>
      </x:c>
      <x:c r="I10" s="3" t="s">
        <x:v>11</x:v>
      </x:c>
      <x:c r="J10" s="3" t="s">
        <x:v>12</x:v>
      </x:c>
      <x:c r="K10" s="3" t="s">
        <x:v>13</x:v>
      </x:c>
      <x:c r="L10" s="3" t="s">
        <x:v>14</x:v>
      </x:c>
    </x:row>
    <x:row r="11" spans="1:12" x14ac:dyDescent="0.2">
      <x:c r="A11" s="1">
        <x:v>1</x:v>
      </x:c>
      <x:c r="B11" s="4">
        <x:v>39083</x:v>
      </x:c>
      <x:c r="C11" s="5">
        <x:v>22.749999000000003</x:v>
      </x:c>
      <x:c r="D11" s="5">
        <x:v>7.3800000000000026</x:v>
      </x:c>
      <x:c r="E11" s="5">
        <x:v>11.333330000000004</x:v>
      </x:c>
      <x:c r="F11" s="5">
        <x:v>18.330000000000002</x:v>
      </x:c>
      <x:c r="G11" s="5">
        <x:v>14.239999999999998</x:v>
      </x:c>
      <x:c r="H11" s="5">
        <x:v>16.625</x:v>
      </x:c>
      <x:c r="I11" s="5">
        <x:v>47.239999999999995</x:v>
      </x:c>
      <x:c r="J11" s="5">
        <x:v>42.29</x:v>
      </x:c>
      <x:c r="K11" s="5">
        <x:v>54.030000000000008</x:v>
      </x:c>
      <x:c r="L11" s="5">
        <x:v>41.32</x:v>
      </x:c>
    </x:row>
    <x:row r="12" spans="1:12" x14ac:dyDescent="0.2">
      <x:c r="A12" s="1">
        <x:v>2</x:v>
      </x:c>
      <x:c r="B12" s="4">
        <x:v>39114</x:v>
      </x:c>
      <x:c r="C12" s="5">
        <x:v>14.958333000000003</x:v>
      </x:c>
      <x:c r="D12" s="5">
        <x:v>3.5</x:v>
      </x:c>
      <x:c r="E12" s="5">
        <x:v>1.375</x:v>
      </x:c>
      <x:c r="F12" s="5">
        <x:v>10.829999999999998</x:v>
      </x:c>
      <x:c r="G12" s="5">
        <x:v>9.8800000000000026</x:v>
      </x:c>
      <x:c r="H12" s="5">
        <x:v>6.8750000000000036</x:v>
      </x:c>
      <x:c r="I12" s="5">
        <x:v>25.250000000000004</x:v>
      </x:c>
      <x:c r="J12" s="5">
        <x:v>27.71</x:v>
      </x:c>
      <x:c r="K12" s="5">
        <x:v>14.239999999999998</x:v>
      </x:c>
      <x:c r="L12" s="5">
        <x:v>29.95</x:v>
      </x:c>
    </x:row>
    <x:row r="13" spans="1:12" x14ac:dyDescent="0.2">
      <x:c r="A13" s="1">
        <x:v>3</x:v>
      </x:c>
      <x:c r="B13" s="4">
        <x:v>39142</x:v>
      </x:c>
      <x:c r="C13" s="5">
        <x:v>0</x:v>
      </x:c>
      <x:c r="D13" s="5">
        <x:v>0</x:v>
      </x:c>
      <x:c r="E13" s="5">
        <x:v>0</x:v>
      </x:c>
      <x:c r="F13" s="5">
        <x:v>0</x:v>
      </x:c>
      <x:c r="G13" s="5">
        <x:v>0</x:v>
      </x:c>
      <x:c r="H13" s="5">
        <x:v>0</x:v>
      </x:c>
      <x:c r="I13" s="5">
        <x:v>0</x:v>
      </x:c>
      <x:c r="J13" s="5">
        <x:v>0</x:v>
      </x:c>
      <x:c r="K13" s="5">
        <x:v>0</x:v>
      </x:c>
      <x:c r="L13" s="5">
        <x:v>0</x:v>
      </x:c>
    </x:row>
    <x:row r="14" spans="1:12" x14ac:dyDescent="0.2">
      <x:c r="A14" s="1">
        <x:v>4</x:v>
      </x:c>
      <x:c r="B14" s="4">
        <x:v>39173</x:v>
      </x:c>
      <x:c r="C14" s="5">
        <x:v>0</x:v>
      </x:c>
      <x:c r="D14" s="5">
        <x:v>0</x:v>
      </x:c>
      <x:c r="E14" s="5">
        <x:v>0</x:v>
      </x:c>
      <x:c r="F14" s="5">
        <x:v>0</x:v>
      </x:c>
      <x:c r="G14" s="5">
        <x:v>0</x:v>
      </x:c>
      <x:c r="H14" s="5">
        <x:v>0</x:v>
      </x:c>
      <x:c r="I14" s="5">
        <x:v>3.370000000000001</x:v>
      </x:c>
      <x:c r="J14" s="5">
        <x:v>0</x:v>
      </x:c>
      <x:c r="K14" s="5">
        <x:v>6.6599999999999966</x:v>
      </x:c>
      <x:c r="L14" s="5">
        <x:v>0</x:v>
      </x:c>
    </x:row>
    <x:row r="15" spans="1:12" x14ac:dyDescent="0.2">
      <x:c r="A15" s="1">
        <x:v>5</x:v>
      </x:c>
      <x:c r="B15" s="4">
        <x:v>39203</x:v>
      </x:c>
      <x:c r="C15" s="5">
        <x:v>0</x:v>
      </x:c>
      <x:c r="D15" s="5">
        <x:v>0</x:v>
      </x:c>
      <x:c r="E15" s="5">
        <x:v>0</x:v>
      </x:c>
      <x:c r="F15" s="5">
        <x:v>0</x:v>
      </x:c>
      <x:c r="G15" s="5">
        <x:v>0</x:v>
      </x:c>
      <x:c r="H15" s="5">
        <x:v>0</x:v>
      </x:c>
      <x:c r="I15" s="5">
        <x:v>0</x:v>
      </x:c>
      <x:c r="J15" s="5">
        <x:v>0</x:v>
      </x:c>
      <x:c r="K15" s="5">
        <x:v>0</x:v>
      </x:c>
      <x:c r="L15" s="5">
        <x:v>0</x:v>
      </x:c>
    </x:row>
    <x:row r="16" spans="1:12" x14ac:dyDescent="0.2">
      <x:c r="A16" s="1">
        <x:v>6</x:v>
      </x:c>
      <x:c r="B16" s="4">
        <x:v>39234</x:v>
      </x:c>
      <x:c r="C16" s="5">
        <x:v>0</x:v>
      </x:c>
      <x:c r="D16" s="5">
        <x:v>0</x:v>
      </x:c>
      <x:c r="E16" s="5">
        <x:v>0</x:v>
      </x:c>
      <x:c r="F16" s="5">
        <x:v>0</x:v>
      </x:c>
      <x:c r="G16" s="5">
        <x:v>0</x:v>
      </x:c>
      <x:c r="H16" s="5">
        <x:v>0</x:v>
      </x:c>
      <x:c r="I16" s="5">
        <x:v>0</x:v>
      </x:c>
      <x:c r="J16" s="5">
        <x:v>0</x:v>
      </x:c>
      <x:c r="K16" s="5">
        <x:v>0</x:v>
      </x:c>
      <x:c r="L16" s="5">
        <x:v>0</x:v>
      </x:c>
    </x:row>
    <x:row r="17" spans="1:12" x14ac:dyDescent="0.2">
      <x:c r="A17" s="1">
        <x:v>7</x:v>
      </x:c>
      <x:c r="B17" s="4">
        <x:v>39264</x:v>
      </x:c>
      <x:c r="C17" s="5">
        <x:v>0</x:v>
      </x:c>
      <x:c r="D17" s="5">
        <x:v>0</x:v>
      </x:c>
      <x:c r="E17" s="5">
        <x:v>0</x:v>
      </x:c>
      <x:c r="F17" s="5">
        <x:v>0</x:v>
      </x:c>
      <x:c r="G17" s="5">
        <x:v>0</x:v>
      </x:c>
      <x:c r="H17" s="5">
        <x:v>0</x:v>
      </x:c>
      <x:c r="I17" s="5">
        <x:v>0</x:v>
      </x:c>
      <x:c r="J17" s="5">
        <x:v>0</x:v>
      </x:c>
      <x:c r="K17" s="5">
        <x:v>0</x:v>
      </x:c>
      <x:c r="L17" s="5">
        <x:v>0</x:v>
      </x:c>
    </x:row>
    <x:row r="18" spans="1:12" x14ac:dyDescent="0.2">
      <x:c r="A18" s="1">
        <x:v>8</x:v>
      </x:c>
      <x:c r="B18" s="4">
        <x:v>39295</x:v>
      </x:c>
      <x:c r="C18" s="5">
        <x:v>0</x:v>
      </x:c>
      <x:c r="D18" s="5">
        <x:v>0</x:v>
      </x:c>
      <x:c r="E18" s="5">
        <x:v>0</x:v>
      </x:c>
      <x:c r="F18" s="5">
        <x:v>0</x:v>
      </x:c>
      <x:c r="G18" s="5">
        <x:v>0</x:v>
      </x:c>
      <x:c r="H18" s="5">
        <x:v>0</x:v>
      </x:c>
      <x:c r="I18" s="5">
        <x:v>0</x:v>
      </x:c>
      <x:c r="J18" s="5">
        <x:v>0</x:v>
      </x:c>
      <x:c r="K18" s="5">
        <x:v>0</x:v>
      </x:c>
      <x:c r="L18" s="5">
        <x:v>0</x:v>
      </x:c>
    </x:row>
    <x:row r="19" spans="1:12" x14ac:dyDescent="0.2">
      <x:c r="A19" s="1">
        <x:v>9</x:v>
      </x:c>
      <x:c r="B19" s="4">
        <x:v>39326</x:v>
      </x:c>
      <x:c r="C19" s="5">
        <x:v>0</x:v>
      </x:c>
      <x:c r="D19" s="5">
        <x:v>0</x:v>
      </x:c>
      <x:c r="E19" s="5">
        <x:v>0</x:v>
      </x:c>
      <x:c r="F19" s="5">
        <x:v>0</x:v>
      </x:c>
      <x:c r="G19" s="5">
        <x:v>0</x:v>
      </x:c>
      <x:c r="H19" s="5">
        <x:v>0</x:v>
      </x:c>
      <x:c r="I19" s="5">
        <x:v>0</x:v>
      </x:c>
      <x:c r="J19" s="5">
        <x:v>0</x:v>
      </x:c>
      <x:c r="K19" s="5">
        <x:v>0</x:v>
      </x:c>
      <x:c r="L19" s="5">
        <x:v>0</x:v>
      </x:c>
    </x:row>
    <x:row r="20" spans="1:12" x14ac:dyDescent="0.2">
      <x:c r="A20" s="1">
        <x:v>10</x:v>
      </x:c>
      <x:c r="B20" s="4">
        <x:v>39356</x:v>
      </x:c>
      <x:c r="C20" s="5">
        <x:v>0</x:v>
      </x:c>
      <x:c r="D20" s="5">
        <x:v>0</x:v>
      </x:c>
      <x:c r="E20" s="5">
        <x:v>0</x:v>
      </x:c>
      <x:c r="F20" s="5">
        <x:v>0</x:v>
      </x:c>
      <x:c r="G20" s="5">
        <x:v>0</x:v>
      </x:c>
      <x:c r="H20" s="5">
        <x:v>0</x:v>
      </x:c>
      <x:c r="I20" s="5">
        <x:v>0</x:v>
      </x:c>
      <x:c r="J20" s="5">
        <x:v>0</x:v>
      </x:c>
      <x:c r="K20" s="5">
        <x:v>0</x:v>
      </x:c>
      <x:c r="L20" s="5">
        <x:v>0</x:v>
      </x:c>
    </x:row>
    <x:row r="21" spans="1:12" x14ac:dyDescent="0.2">
      <x:c r="A21" s="1">
        <x:v>11</x:v>
      </x:c>
      <x:c r="B21" s="4">
        <x:v>39387</x:v>
      </x:c>
      <x:c r="C21" s="5">
        <x:v>0</x:v>
      </x:c>
      <x:c r="D21" s="5">
        <x:v>0</x:v>
      </x:c>
      <x:c r="E21" s="5">
        <x:v>0</x:v>
      </x:c>
      <x:c r="F21" s="5">
        <x:v>0</x:v>
      </x:c>
      <x:c r="G21" s="5">
        <x:v>0</x:v>
      </x:c>
      <x:c r="H21" s="5">
        <x:v>0</x:v>
      </x:c>
      <x:c r="I21" s="5">
        <x:v>4.120000000000001</x:v>
      </x:c>
      <x:c r="J21" s="5">
        <x:v>0</x:v>
      </x:c>
      <x:c r="K21" s="5">
        <x:v>7.4099999999999966</x:v>
      </x:c>
      <x:c r="L21" s="5">
        <x:v>0</x:v>
      </x:c>
    </x:row>
    <x:row r="22" spans="1:12" x14ac:dyDescent="0.2">
      <x:c r="A22" s="1">
        <x:v>12</x:v>
      </x:c>
      <x:c r="B22" s="6">
        <x:v>39417</x:v>
      </x:c>
      <x:c r="C22" s="7">
        <x:v>0</x:v>
      </x:c>
      <x:c r="D22" s="7">
        <x:v>0</x:v>
      </x:c>
      <x:c r="E22" s="7">
        <x:v>0</x:v>
      </x:c>
      <x:c r="F22" s="7">
        <x:v>0</x:v>
      </x:c>
      <x:c r="G22" s="7">
        <x:v>0</x:v>
      </x:c>
      <x:c r="H22" s="7">
        <x:v>0</x:v>
      </x:c>
      <x:c r="I22" s="7">
        <x:v>3.3800000000000026</x:v>
      </x:c>
      <x:c r="J22" s="7">
        <x:v>6.25</x:v>
      </x:c>
      <x:c r="K22" s="7">
        <x:v>2.3699999999999974</x:v>
      </x:c>
      <x:c r="L22" s="7">
        <x:v>1.2899999999999991</x:v>
      </x:c>
    </x:row>
    <x:row r="23" spans="1:12" x14ac:dyDescent="0.2">
      <x:c r="A23" s="1">
        <x:v>13</x:v>
      </x:c>
      <x:c r="B23" s="8" t="s">
        <x:v>15</x:v>
      </x:c>
      <x:c r="C23" s="5">
        <x:f t="shared" ref="C23:L23" si="0">SUM(C11:C22)</x:f>
        <x:v>37.708332000000006</x:v>
      </x:c>
      <x:c r="D23" s="5">
        <x:f t="shared" si="0"/>
        <x:v>10.880000000000003</x:v>
      </x:c>
      <x:c r="E23" s="5">
        <x:f t="shared" si="0"/>
        <x:v>12.708330000000004</x:v>
      </x:c>
      <x:c r="F23" s="5">
        <x:f t="shared" si="0"/>
        <x:v>29.16</x:v>
      </x:c>
      <x:c r="G23" s="5">
        <x:f t="shared" si="0"/>
        <x:v>24.12</x:v>
      </x:c>
      <x:c r="H23" s="5">
        <x:f t="shared" si="0"/>
        <x:v>23.500000000000004</x:v>
      </x:c>
      <x:c r="I23" s="5">
        <x:f t="shared" si="0"/>
        <x:v>83.360000000000014</x:v>
      </x:c>
      <x:c r="J23" s="5">
        <x:f t="shared" si="0"/>
        <x:v>76.25</x:v>
      </x:c>
      <x:c r="K23" s="5">
        <x:f t="shared" si="0"/>
        <x:v>84.710000000000008</x:v>
      </x:c>
      <x:c r="L23" s="5">
        <x:f t="shared" si="0"/>
        <x:v>72.56</x:v>
      </x:c>
    </x:row>
    <x:row r="24" spans="1:12" x14ac:dyDescent="0.2">
      <x:c r="A24" s="1">
        <x:v>14</x:v>
      </x:c>
    </x:row>
    <x:row r="25" spans="1:12" ht="12" x14ac:dyDescent="0.25">
      <x:c r="A25" s="1">
        <x:v>15</x:v>
      </x:c>
      <x:c r="B25" s="89" t="s">
        <x:v>23</x:v>
      </x:c>
      <x:c r="C25" s="89"/>
      <x:c r="D25" s="89"/>
      <x:c r="E25" s="89"/>
      <x:c r="F25" s="89"/>
      <x:c r="G25" s="89"/>
      <x:c r="H25" s="89"/>
      <x:c r="I25" s="89"/>
      <x:c r="J25" s="89"/>
      <x:c r="K25" s="89"/>
      <x:c r="L25" s="89"/>
    </x:row>
    <x:row r="26" spans="1:12" ht="34.799999999999997" thickBot="1" x14ac:dyDescent="0.25">
      <x:c r="A26" s="1">
        <x:v>16</x:v>
      </x:c>
      <x:c r="C26" s="3" t="s">
        <x:v>5</x:v>
      </x:c>
      <x:c r="D26" s="3" t="s">
        <x:v>6</x:v>
      </x:c>
      <x:c r="E26" s="3" t="s">
        <x:v>7</x:v>
      </x:c>
      <x:c r="F26" s="3" t="s">
        <x:v>8</x:v>
      </x:c>
      <x:c r="G26" s="3" t="s">
        <x:v>9</x:v>
      </x:c>
      <x:c r="H26" s="3" t="s">
        <x:v>10</x:v>
      </x:c>
      <x:c r="I26" s="3" t="s">
        <x:v>11</x:v>
      </x:c>
      <x:c r="J26" s="3" t="s">
        <x:v>12</x:v>
      </x:c>
      <x:c r="K26" s="3" t="s">
        <x:v>13</x:v>
      </x:c>
      <x:c r="L26" s="3" t="s">
        <x:v>14</x:v>
      </x:c>
    </x:row>
    <x:row r="27" spans="1:12" x14ac:dyDescent="0.2">
      <x:c r="A27" s="1">
        <x:v>17</x:v>
      </x:c>
      <x:c r="B27" s="4">
        <x:v>39083</x:v>
      </x:c>
      <x:c r="C27" s="5"/>
      <x:c r="D27" s="5"/>
      <x:c r="E27" s="5"/>
      <x:c r="F27" s="5"/>
      <x:c r="G27" s="5"/>
      <x:c r="H27" s="5"/>
      <x:c r="I27" s="5"/>
      <x:c r="J27" s="5"/>
      <x:c r="K27" s="5"/>
      <x:c r="L27" s="5"/>
    </x:row>
    <x:row r="28" spans="1:12" x14ac:dyDescent="0.2">
      <x:c r="A28" s="1">
        <x:v>18</x:v>
      </x:c>
      <x:c r="B28" s="4">
        <x:v>39114</x:v>
      </x:c>
      <x:c r="C28" s="5"/>
      <x:c r="D28" s="5"/>
      <x:c r="E28" s="5"/>
      <x:c r="F28" s="5"/>
      <x:c r="G28" s="5"/>
      <x:c r="H28" s="5"/>
      <x:c r="I28" s="5"/>
      <x:c r="J28" s="5"/>
      <x:c r="K28" s="5"/>
      <x:c r="L28" s="5"/>
    </x:row>
    <x:row r="29" spans="1:12" x14ac:dyDescent="0.2">
      <x:c r="A29" s="1">
        <x:v>19</x:v>
      </x:c>
      <x:c r="B29" s="4">
        <x:v>39142</x:v>
      </x:c>
      <x:c r="C29" s="5"/>
      <x:c r="D29" s="5"/>
      <x:c r="E29" s="5"/>
      <x:c r="F29" s="5"/>
      <x:c r="G29" s="5"/>
      <x:c r="H29" s="5"/>
      <x:c r="I29" s="5"/>
      <x:c r="J29" s="5"/>
      <x:c r="K29" s="5"/>
      <x:c r="L29" s="5"/>
    </x:row>
    <x:row r="30" spans="1:12" x14ac:dyDescent="0.2">
      <x:c r="A30" s="1">
        <x:v>20</x:v>
      </x:c>
      <x:c r="B30" s="4">
        <x:v>39173</x:v>
      </x:c>
      <x:c r="C30" s="5"/>
      <x:c r="D30" s="5"/>
      <x:c r="E30" s="5"/>
      <x:c r="F30" s="5"/>
      <x:c r="G30" s="5"/>
      <x:c r="H30" s="5"/>
      <x:c r="I30" s="5"/>
      <x:c r="J30" s="5"/>
      <x:c r="K30" s="5"/>
      <x:c r="L30" s="5"/>
    </x:row>
    <x:row r="31" spans="1:12" x14ac:dyDescent="0.2">
      <x:c r="A31" s="1">
        <x:v>21</x:v>
      </x:c>
      <x:c r="B31" s="4">
        <x:v>39203</x:v>
      </x:c>
      <x:c r="C31" s="5"/>
      <x:c r="D31" s="5"/>
      <x:c r="E31" s="5"/>
      <x:c r="F31" s="5"/>
      <x:c r="G31" s="5"/>
      <x:c r="H31" s="5"/>
      <x:c r="I31" s="5"/>
      <x:c r="J31" s="5"/>
      <x:c r="K31" s="5"/>
      <x:c r="L31" s="5"/>
    </x:row>
    <x:row r="32" spans="1:12" x14ac:dyDescent="0.2">
      <x:c r="A32" s="1">
        <x:v>22</x:v>
      </x:c>
      <x:c r="B32" s="4">
        <x:v>39234</x:v>
      </x:c>
      <x:c r="C32" s="5"/>
      <x:c r="D32" s="5"/>
      <x:c r="E32" s="5"/>
      <x:c r="F32" s="5"/>
      <x:c r="G32" s="5"/>
      <x:c r="H32" s="5"/>
      <x:c r="I32" s="5"/>
      <x:c r="J32" s="5"/>
      <x:c r="K32" s="5"/>
      <x:c r="L32" s="5"/>
    </x:row>
    <x:row r="33" spans="1:12" x14ac:dyDescent="0.2">
      <x:c r="A33" s="1">
        <x:v>23</x:v>
      </x:c>
      <x:c r="B33" s="4">
        <x:v>39264</x:v>
      </x:c>
      <x:c r="C33" s="5"/>
      <x:c r="D33" s="5"/>
      <x:c r="E33" s="5"/>
      <x:c r="F33" s="5"/>
      <x:c r="G33" s="5"/>
      <x:c r="H33" s="5"/>
      <x:c r="I33" s="5"/>
      <x:c r="J33" s="5"/>
      <x:c r="K33" s="5"/>
      <x:c r="L33" s="5"/>
    </x:row>
    <x:row r="34" spans="1:12" x14ac:dyDescent="0.2">
      <x:c r="A34" s="1">
        <x:v>24</x:v>
      </x:c>
      <x:c r="B34" s="4">
        <x:v>39295</x:v>
      </x:c>
      <x:c r="C34" s="5"/>
      <x:c r="D34" s="5"/>
      <x:c r="E34" s="5"/>
      <x:c r="F34" s="5"/>
      <x:c r="G34" s="5"/>
      <x:c r="H34" s="5"/>
      <x:c r="I34" s="5"/>
      <x:c r="J34" s="5"/>
      <x:c r="K34" s="5"/>
      <x:c r="L34" s="5"/>
    </x:row>
    <x:row r="35" spans="1:12" x14ac:dyDescent="0.2">
      <x:c r="A35" s="1">
        <x:v>25</x:v>
      </x:c>
      <x:c r="B35" s="4">
        <x:v>39326</x:v>
      </x:c>
      <x:c r="C35" s="5"/>
      <x:c r="D35" s="5"/>
      <x:c r="E35" s="5"/>
      <x:c r="F35" s="5"/>
      <x:c r="G35" s="5"/>
      <x:c r="H35" s="5"/>
      <x:c r="I35" s="5"/>
      <x:c r="J35" s="5"/>
      <x:c r="K35" s="5"/>
      <x:c r="L35" s="5"/>
    </x:row>
    <x:row r="36" spans="1:12" x14ac:dyDescent="0.2">
      <x:c r="A36" s="1">
        <x:v>26</x:v>
      </x:c>
      <x:c r="B36" s="4">
        <x:v>39356</x:v>
      </x:c>
      <x:c r="C36" s="5"/>
      <x:c r="D36" s="5"/>
      <x:c r="E36" s="5"/>
      <x:c r="F36" s="5"/>
      <x:c r="G36" s="5"/>
      <x:c r="H36" s="5"/>
      <x:c r="I36" s="5"/>
      <x:c r="J36" s="5"/>
      <x:c r="K36" s="5"/>
      <x:c r="L36" s="5"/>
    </x:row>
    <x:row r="37" spans="1:12" x14ac:dyDescent="0.2">
      <x:c r="A37" s="1">
        <x:v>27</x:v>
      </x:c>
      <x:c r="B37" s="4">
        <x:v>39387</x:v>
      </x:c>
      <x:c r="C37" s="5"/>
      <x:c r="D37" s="5"/>
      <x:c r="E37" s="5"/>
      <x:c r="F37" s="5"/>
      <x:c r="G37" s="5"/>
      <x:c r="H37" s="5"/>
      <x:c r="I37" s="5"/>
      <x:c r="J37" s="5"/>
      <x:c r="K37" s="5"/>
      <x:c r="L37" s="5"/>
    </x:row>
    <x:row r="38" spans="1:12" x14ac:dyDescent="0.2">
      <x:c r="A38" s="1">
        <x:v>28</x:v>
      </x:c>
      <x:c r="B38" s="6">
        <x:v>39417</x:v>
      </x:c>
      <x:c r="C38" s="7"/>
      <x:c r="D38" s="7"/>
      <x:c r="E38" s="7"/>
      <x:c r="F38" s="7"/>
      <x:c r="G38" s="7"/>
      <x:c r="H38" s="7"/>
      <x:c r="I38" s="7"/>
      <x:c r="J38" s="7"/>
      <x:c r="K38" s="7"/>
      <x:c r="L38" s="7"/>
    </x:row>
    <x:row r="39" spans="1:12" x14ac:dyDescent="0.2">
      <x:c r="A39" s="1">
        <x:v>29</x:v>
      </x:c>
      <x:c r="B39" s="8" t="s">
        <x:v>15</x:v>
      </x:c>
      <x:c r="C39" s="5">
        <x:f t="shared" ref="C39:L39" si="1">SUM(C27:C38)</x:f>
        <x:v>0</x:v>
      </x:c>
      <x:c r="D39" s="5">
        <x:f t="shared" si="1"/>
        <x:v>0</x:v>
      </x:c>
      <x:c r="E39" s="5">
        <x:f t="shared" si="1"/>
        <x:v>0</x:v>
      </x:c>
      <x:c r="F39" s="5">
        <x:f t="shared" si="1"/>
        <x:v>0</x:v>
      </x:c>
      <x:c r="G39" s="5">
        <x:f t="shared" si="1"/>
        <x:v>0</x:v>
      </x:c>
      <x:c r="H39" s="5">
        <x:f t="shared" si="1"/>
        <x:v>0</x:v>
      </x:c>
      <x:c r="I39" s="5">
        <x:f t="shared" si="1"/>
        <x:v>0</x:v>
      </x:c>
      <x:c r="J39" s="5">
        <x:f t="shared" si="1"/>
        <x:v>0</x:v>
      </x:c>
      <x:c r="K39" s="5">
        <x:f t="shared" si="1"/>
        <x:v>0</x:v>
      </x:c>
      <x:c r="L39" s="5">
        <x:f t="shared" si="1"/>
        <x:v>0</x:v>
      </x:c>
    </x:row>
    <x:row r="40" spans="1:12" x14ac:dyDescent="0.2">
      <x:c r="A40" s="1">
        <x:v>30</x:v>
      </x:c>
    </x:row>
    <x:row r="41" spans="1:12" ht="12" x14ac:dyDescent="0.25">
      <x:c r="A41" s="1">
        <x:v>31</x:v>
      </x:c>
      <x:c r="B41" s="89" t="s">
        <x:v>18</x:v>
      </x:c>
      <x:c r="C41" s="89"/>
      <x:c r="D41" s="89"/>
      <x:c r="E41" s="89"/>
      <x:c r="F41" s="89"/>
      <x:c r="G41" s="89"/>
      <x:c r="H41" s="89"/>
      <x:c r="I41" s="89"/>
      <x:c r="J41" s="89"/>
      <x:c r="K41" s="89"/>
      <x:c r="L41" s="89"/>
    </x:row>
    <x:row r="42" spans="1:12" ht="34.799999999999997" thickBot="1" x14ac:dyDescent="0.25">
      <x:c r="A42" s="1">
        <x:v>32</x:v>
      </x:c>
      <x:c r="C42" s="3" t="s">
        <x:v>5</x:v>
      </x:c>
      <x:c r="D42" s="3" t="s">
        <x:v>6</x:v>
      </x:c>
      <x:c r="E42" s="3" t="s">
        <x:v>7</x:v>
      </x:c>
      <x:c r="F42" s="3" t="s">
        <x:v>8</x:v>
      </x:c>
      <x:c r="G42" s="3" t="s">
        <x:v>9</x:v>
      </x:c>
      <x:c r="H42" s="3" t="s">
        <x:v>10</x:v>
      </x:c>
      <x:c r="I42" s="3" t="s">
        <x:v>11</x:v>
      </x:c>
      <x:c r="J42" s="3" t="s">
        <x:v>12</x:v>
      </x:c>
      <x:c r="K42" s="3" t="s">
        <x:v>13</x:v>
      </x:c>
      <x:c r="L42" s="3" t="s">
        <x:v>14</x:v>
      </x:c>
    </x:row>
    <x:row r="43" spans="1:12" x14ac:dyDescent="0.2">
      <x:c r="A43" s="1">
        <x:v>33</x:v>
      </x:c>
      <x:c r="B43" s="4">
        <x:v>39083</x:v>
      </x:c>
      <x:c r="C43" s="5">
        <x:v>18.940253357059476</x:v>
      </x:c>
      <x:c r="D43" s="5">
        <x:v>6.5763019401700067</x:v>
      </x:c>
      <x:c r="E43" s="5">
        <x:v>5.4461725839858666</x:v>
      </x:c>
      <x:c r="F43" s="5">
        <x:v>10.407794408728497</x:v>
      </x:c>
      <x:c r="G43" s="5">
        <x:v>14.486214727883985</x:v>
      </x:c>
      <x:c r="H43" s="5">
        <x:v>12.030748410574706</x:v>
      </x:c>
      <x:c r="I43" s="5">
        <x:v>27.387565717525945</x:v>
      </x:c>
      <x:c r="J43" s="5">
        <x:v>39.312964975351591</x:v>
      </x:c>
      <x:c r="K43" s="5">
        <x:v>24.32393791710469</x:v>
      </x:c>
      <x:c r="L43" s="5">
        <x:v>32.568949521303374</x:v>
      </x:c>
    </x:row>
    <x:row r="44" spans="1:12" x14ac:dyDescent="0.2">
      <x:c r="A44" s="1">
        <x:v>34</x:v>
      </x:c>
      <x:c r="B44" s="4">
        <x:v>39114</x:v>
      </x:c>
      <x:c r="C44" s="5">
        <x:v>10.95741666666666</x:v>
      </x:c>
      <x:c r="D44" s="5">
        <x:v>3.9201250000000019</x:v>
      </x:c>
      <x:c r="E44" s="5">
        <x:v>3.4057222222222121</x:v>
      </x:c>
      <x:c r="F44" s="5">
        <x:v>6.3753304166666576</x:v>
      </x:c>
      <x:c r="G44" s="5">
        <x:v>7.8758145138888818</x:v>
      </x:c>
      <x:c r="H44" s="5">
        <x:v>7.1338194444444536</x:v>
      </x:c>
      <x:c r="I44" s="5">
        <x:v>16.123194444444437</x:v>
      </x:c>
      <x:c r="J44" s="5">
        <x:v>23.067250000000012</x:v>
      </x:c>
      <x:c r="K44" s="5">
        <x:v>12.805777777777783</x:v>
      </x:c>
      <x:c r="L44" s="5">
        <x:v>18.483665158318704</x:v>
      </x:c>
    </x:row>
    <x:row r="45" spans="1:12" x14ac:dyDescent="0.2">
      <x:c r="A45" s="1">
        <x:v>35</x:v>
      </x:c>
      <x:c r="B45" s="4">
        <x:v>39142</x:v>
      </x:c>
      <x:c r="C45" s="5">
        <x:v>2.5334305555555519</x:v>
      </x:c>
      <x:c r="D45" s="5">
        <x:v>0.33471326388888772</x:v>
      </x:c>
      <x:c r="E45" s="5">
        <x:v>0.34188888888888791</x:v>
      </x:c>
      <x:c r="F45" s="5">
        <x:v>1.0002905555555572</x:v>
      </x:c>
      <x:c r="G45" s="5">
        <x:v>1.2825813888888866</x:v>
      </x:c>
      <x:c r="H45" s="5">
        <x:v>1.4013333333333347</x:v>
      </x:c>
      <x:c r="I45" s="5">
        <x:v>4.8123194444444453</x:v>
      </x:c>
      <x:c r="J45" s="5">
        <x:v>7.0874583333333359</x:v>
      </x:c>
      <x:c r="K45" s="5">
        <x:v>3.9547361111111221</x:v>
      </x:c>
      <x:c r="L45" s="5">
        <x:v>4.6761461111111071</x:v>
      </x:c>
    </x:row>
    <x:row r="46" spans="1:12" x14ac:dyDescent="0.2">
      <x:c r="A46" s="1">
        <x:v>36</x:v>
      </x:c>
      <x:c r="B46" s="4">
        <x:v>39173</x:v>
      </x:c>
      <x:c r="C46" s="5">
        <x:v>0</x:v>
      </x:c>
      <x:c r="D46" s="5">
        <x:v>0</x:v>
      </x:c>
      <x:c r="E46" s="5">
        <x:v>0</x:v>
      </x:c>
      <x:c r="F46" s="5">
        <x:v>0</x:v>
      </x:c>
      <x:c r="G46" s="5">
        <x:v>0</x:v>
      </x:c>
      <x:c r="H46" s="5">
        <x:v>0</x:v>
      </x:c>
      <x:c r="I46" s="5">
        <x:v>0.29872222222222217</x:v>
      </x:c>
      <x:c r="J46" s="5">
        <x:v>0.11152777777777866</x:v>
      </x:c>
      <x:c r="K46" s="5">
        <x:v>0.37726388888888907</x:v>
      </x:c>
      <x:c r="L46" s="5">
        <x:v>8.8577777777773762E-3</x:v>
      </x:c>
    </x:row>
    <x:row r="47" spans="1:12" x14ac:dyDescent="0.2">
      <x:c r="A47" s="1">
        <x:v>37</x:v>
      </x:c>
      <x:c r="B47" s="4">
        <x:v>39203</x:v>
      </x:c>
      <x:c r="C47" s="5">
        <x:v>0</x:v>
      </x:c>
      <x:c r="D47" s="5">
        <x:v>0</x:v>
      </x:c>
      <x:c r="E47" s="5">
        <x:v>0</x:v>
      </x:c>
      <x:c r="F47" s="5">
        <x:v>0</x:v>
      </x:c>
      <x:c r="G47" s="5">
        <x:v>0</x:v>
      </x:c>
      <x:c r="H47" s="5">
        <x:v>0</x:v>
      </x:c>
      <x:c r="I47" s="5">
        <x:v>0</x:v>
      </x:c>
      <x:c r="J47" s="5">
        <x:v>0</x:v>
      </x:c>
      <x:c r="K47" s="5">
        <x:v>0</x:v>
      </x:c>
      <x:c r="L47" s="5">
        <x:v>0</x:v>
      </x:c>
    </x:row>
    <x:row r="48" spans="1:12" x14ac:dyDescent="0.2">
      <x:c r="A48" s="1">
        <x:v>38</x:v>
      </x:c>
      <x:c r="B48" s="4">
        <x:v>39234</x:v>
      </x:c>
      <x:c r="C48" s="5">
        <x:v>0</x:v>
      </x:c>
      <x:c r="D48" s="5">
        <x:v>0</x:v>
      </x:c>
      <x:c r="E48" s="5">
        <x:v>0</x:v>
      </x:c>
      <x:c r="F48" s="5">
        <x:v>0</x:v>
      </x:c>
      <x:c r="G48" s="5">
        <x:v>0</x:v>
      </x:c>
      <x:c r="H48" s="5">
        <x:v>0</x:v>
      </x:c>
      <x:c r="I48" s="5">
        <x:v>0</x:v>
      </x:c>
      <x:c r="J48" s="5">
        <x:v>0</x:v>
      </x:c>
      <x:c r="K48" s="5">
        <x:v>0</x:v>
      </x:c>
      <x:c r="L48" s="5">
        <x:v>0</x:v>
      </x:c>
    </x:row>
    <x:row r="49" spans="1:12" x14ac:dyDescent="0.2">
      <x:c r="A49" s="1">
        <x:v>39</x:v>
      </x:c>
      <x:c r="B49" s="4">
        <x:v>39264</x:v>
      </x:c>
      <x:c r="C49" s="5">
        <x:v>0</x:v>
      </x:c>
      <x:c r="D49" s="5">
        <x:v>0</x:v>
      </x:c>
      <x:c r="E49" s="5">
        <x:v>0</x:v>
      </x:c>
      <x:c r="F49" s="5">
        <x:v>0</x:v>
      </x:c>
      <x:c r="G49" s="5">
        <x:v>0</x:v>
      </x:c>
      <x:c r="H49" s="5">
        <x:v>0</x:v>
      </x:c>
      <x:c r="I49" s="5">
        <x:v>0</x:v>
      </x:c>
      <x:c r="J49" s="5">
        <x:v>0</x:v>
      </x:c>
      <x:c r="K49" s="5">
        <x:v>0</x:v>
      </x:c>
      <x:c r="L49" s="5">
        <x:v>0</x:v>
      </x:c>
    </x:row>
    <x:row r="50" spans="1:12" x14ac:dyDescent="0.2">
      <x:c r="A50" s="1">
        <x:v>40</x:v>
      </x:c>
      <x:c r="B50" s="4">
        <x:v>39295</x:v>
      </x:c>
      <x:c r="C50" s="5">
        <x:v>0</x:v>
      </x:c>
      <x:c r="D50" s="5">
        <x:v>0</x:v>
      </x:c>
      <x:c r="E50" s="5">
        <x:v>0</x:v>
      </x:c>
      <x:c r="F50" s="5">
        <x:v>0</x:v>
      </x:c>
      <x:c r="G50" s="5">
        <x:v>0</x:v>
      </x:c>
      <x:c r="H50" s="5">
        <x:v>0</x:v>
      </x:c>
      <x:c r="I50" s="5">
        <x:v>0</x:v>
      </x:c>
      <x:c r="J50" s="5">
        <x:v>0</x:v>
      </x:c>
      <x:c r="K50" s="5">
        <x:v>0</x:v>
      </x:c>
      <x:c r="L50" s="5">
        <x:v>0</x:v>
      </x:c>
    </x:row>
    <x:row r="51" spans="1:12" x14ac:dyDescent="0.2">
      <x:c r="A51" s="1">
        <x:v>41</x:v>
      </x:c>
      <x:c r="B51" s="4">
        <x:v>39326</x:v>
      </x:c>
      <x:c r="C51" s="5">
        <x:v>0</x:v>
      </x:c>
      <x:c r="D51" s="5">
        <x:v>0</x:v>
      </x:c>
      <x:c r="E51" s="5">
        <x:v>0</x:v>
      </x:c>
      <x:c r="F51" s="5">
        <x:v>0</x:v>
      </x:c>
      <x:c r="G51" s="5">
        <x:v>0</x:v>
      </x:c>
      <x:c r="H51" s="5">
        <x:v>0</x:v>
      </x:c>
      <x:c r="I51" s="5">
        <x:v>0</x:v>
      </x:c>
      <x:c r="J51" s="5">
        <x:v>0</x:v>
      </x:c>
      <x:c r="K51" s="5">
        <x:v>0</x:v>
      </x:c>
      <x:c r="L51" s="5">
        <x:v>0</x:v>
      </x:c>
    </x:row>
    <x:row r="52" spans="1:12" x14ac:dyDescent="0.2">
      <x:c r="A52" s="1">
        <x:v>42</x:v>
      </x:c>
      <x:c r="B52" s="4">
        <x:v>39356</x:v>
      </x:c>
      <x:c r="C52" s="5">
        <x:v>6.4861111111111161E-2</x:v>
      </x:c>
      <x:c r="D52" s="5">
        <x:v>0</x:v>
      </x:c>
      <x:c r="E52" s="5">
        <x:v>0</x:v>
      </x:c>
      <x:c r="F52" s="5">
        <x:v>3.006249999999729E-4</x:v>
      </x:c>
      <x:c r="G52" s="5">
        <x:v>4.1759791666666622E-2</x:v>
      </x:c>
      <x:c r="H52" s="5">
        <x:v>2.6180555555554832E-2</x:v>
      </x:c>
      <x:c r="I52" s="5">
        <x:v>0.36756944444444195</x:v>
      </x:c>
      <x:c r="J52" s="5">
        <x:v>0.40362500000000012</x:v>
      </x:c>
      <x:c r="K52" s="5">
        <x:v>0.43368055555555435</x:v>
      </x:c>
      <x:c r="L52" s="5">
        <x:v>0.28431500000000126</x:v>
      </x:c>
    </x:row>
    <x:row r="53" spans="1:12" x14ac:dyDescent="0.2">
      <x:c r="A53" s="1">
        <x:v>43</x:v>
      </x:c>
      <x:c r="B53" s="4">
        <x:v>39387</x:v>
      </x:c>
      <x:c r="C53" s="5">
        <x:v>1.4336111111111118</x:v>
      </x:c>
      <x:c r="D53" s="5">
        <x:v>9.3544722222221724E-2</x:v>
      </x:c>
      <x:c r="E53" s="5">
        <x:v>0.1493611111111125</x:v>
      </x:c>
      <x:c r="F53" s="5">
        <x:v>0.67955881944444518</x:v>
      </x:c>
      <x:c r="G53" s="5">
        <x:v>0.83912048611111245</x:v>
      </x:c>
      <x:c r="H53" s="5">
        <x:v>0.86630555555555422</x:v>
      </x:c>
      <x:c r="I53" s="5">
        <x:v>3.6043750000000032</x:v>
      </x:c>
      <x:c r="J53" s="5">
        <x:v>4.4630555555555578</x:v>
      </x:c>
      <x:c r="K53" s="5">
        <x:v>3.9734861111111042</x:v>
      </x:c>
      <x:c r="L53" s="5">
        <x:v>2.7461384759089715</x:v>
      </x:c>
    </x:row>
    <x:row r="54" spans="1:12" x14ac:dyDescent="0.2">
      <x:c r="A54" s="1">
        <x:v>44</x:v>
      </x:c>
      <x:c r="B54" s="6">
        <x:v>39417</x:v>
      </x:c>
      <x:c r="C54" s="7">
        <x:v>18.751913092951465</x:v>
      </x:c>
      <x:c r="D54" s="7">
        <x:v>7.4770205729914574</x:v>
      </x:c>
      <x:c r="E54" s="7">
        <x:v>7.0996597174667686</x:v>
      </x:c>
      <x:c r="F54" s="7">
        <x:v>11.464053138159622</x:v>
      </x:c>
      <x:c r="G54" s="7">
        <x:v>14.25182724806578</x:v>
      </x:c>
      <x:c r="H54" s="7">
        <x:v>13.221696554634093</x:v>
      </x:c>
      <x:c r="I54" s="7">
        <x:v>25.002075169820756</x:v>
      </x:c>
      <x:c r="J54" s="7">
        <x:v>33.76936999134584</x:v>
      </x:c>
      <x:c r="K54" s="7">
        <x:v>23.53831858398485</x:v>
      </x:c>
      <x:c r="L54" s="7">
        <x:v>27.240599469801083</x:v>
      </x:c>
    </x:row>
    <x:row r="55" spans="1:12" x14ac:dyDescent="0.2">
      <x:c r="A55" s="1">
        <x:v>45</x:v>
      </x:c>
      <x:c r="B55" s="8" t="s">
        <x:v>15</x:v>
      </x:c>
      <x:c r="C55" s="5">
        <x:f t="shared" ref="C55:L55" si="2">SUM(C43:C54)</x:f>
        <x:v>52.681485894455378</x:v>
      </x:c>
      <x:c r="D55" s="5">
        <x:f t="shared" si="2"/>
        <x:v>18.401705499272577</x:v>
      </x:c>
      <x:c r="E55" s="5">
        <x:f t="shared" si="2"/>
        <x:v>16.442804523674848</x:v>
      </x:c>
      <x:c r="F55" s="5">
        <x:f t="shared" si="2"/>
        <x:v>29.927327963554781</x:v>
      </x:c>
      <x:c r="G55" s="5">
        <x:f t="shared" si="2"/>
        <x:v>38.777318156505316</x:v>
      </x:c>
      <x:c r="H55" s="5">
        <x:f t="shared" si="2"/>
        <x:v>34.680083854097695</x:v>
      </x:c>
      <x:c r="I55" s="5">
        <x:f t="shared" si="2"/>
        <x:v>77.595821442902263</x:v>
      </x:c>
      <x:c r="J55" s="5">
        <x:f t="shared" si="2"/>
        <x:v>108.21525163336412</x:v>
      </x:c>
      <x:c r="K55" s="5">
        <x:f t="shared" si="2"/>
        <x:v>69.407200945534001</x:v>
      </x:c>
      <x:c r="L55" s="5">
        <x:f t="shared" si="2"/>
        <x:v>86.008671514221021</x:v>
      </x:c>
    </x:row>
    <x:row r="56" spans="1:12" x14ac:dyDescent="0.2">
      <x:c r="A56" s="1">
        <x:v>46</x:v>
      </x:c>
    </x:row>
    <x:row r="57" spans="1:12" ht="12" x14ac:dyDescent="0.25">
      <x:c r="A57" s="1">
        <x:v>47</x:v>
      </x:c>
      <x:c r="B57" s="89" t="s">
        <x:v>24</x:v>
      </x:c>
      <x:c r="C57" s="89"/>
      <x:c r="D57" s="89"/>
      <x:c r="E57" s="89"/>
      <x:c r="F57" s="89"/>
      <x:c r="G57" s="89"/>
      <x:c r="H57" s="89"/>
      <x:c r="I57" s="89"/>
      <x:c r="J57" s="89"/>
      <x:c r="K57" s="89"/>
      <x:c r="L57" s="89"/>
    </x:row>
    <x:row r="58" spans="1:12" ht="34.799999999999997" thickBot="1" x14ac:dyDescent="0.25">
      <x:c r="A58" s="1">
        <x:v>48</x:v>
      </x:c>
      <x:c r="C58" s="3" t="s">
        <x:v>5</x:v>
      </x:c>
      <x:c r="D58" s="3" t="s">
        <x:v>6</x:v>
      </x:c>
      <x:c r="E58" s="3" t="s">
        <x:v>7</x:v>
      </x:c>
      <x:c r="F58" s="3" t="s">
        <x:v>8</x:v>
      </x:c>
      <x:c r="G58" s="3" t="s">
        <x:v>9</x:v>
      </x:c>
      <x:c r="H58" s="3" t="s">
        <x:v>10</x:v>
      </x:c>
      <x:c r="I58" s="3" t="s">
        <x:v>11</x:v>
      </x:c>
      <x:c r="J58" s="3" t="s">
        <x:v>12</x:v>
      </x:c>
      <x:c r="K58" s="3" t="s">
        <x:v>13</x:v>
      </x:c>
      <x:c r="L58" s="3" t="s">
        <x:v>14</x:v>
      </x:c>
    </x:row>
    <x:row r="59" spans="1:12" x14ac:dyDescent="0.2">
      <x:c r="A59" s="1">
        <x:v>49</x:v>
      </x:c>
      <x:c r="B59" s="4">
        <x:v>39083</x:v>
      </x:c>
      <x:c r="C59" s="5"/>
      <x:c r="D59" s="5"/>
      <x:c r="E59" s="5"/>
      <x:c r="F59" s="5"/>
      <x:c r="G59" s="5"/>
      <x:c r="H59" s="5"/>
      <x:c r="I59" s="5"/>
      <x:c r="J59" s="5"/>
      <x:c r="K59" s="5"/>
      <x:c r="L59" s="5"/>
    </x:row>
    <x:row r="60" spans="1:12" x14ac:dyDescent="0.2">
      <x:c r="A60" s="1">
        <x:v>50</x:v>
      </x:c>
      <x:c r="B60" s="4">
        <x:v>39114</x:v>
      </x:c>
      <x:c r="C60" s="5"/>
      <x:c r="D60" s="5"/>
      <x:c r="E60" s="5"/>
      <x:c r="F60" s="5"/>
      <x:c r="G60" s="5"/>
      <x:c r="H60" s="5"/>
      <x:c r="I60" s="5"/>
      <x:c r="J60" s="5"/>
      <x:c r="K60" s="5"/>
      <x:c r="L60" s="5"/>
    </x:row>
    <x:row r="61" spans="1:12" x14ac:dyDescent="0.2">
      <x:c r="A61" s="1">
        <x:v>51</x:v>
      </x:c>
      <x:c r="B61" s="4">
        <x:v>39142</x:v>
      </x:c>
      <x:c r="C61" s="5"/>
      <x:c r="D61" s="5"/>
      <x:c r="E61" s="5"/>
      <x:c r="F61" s="5"/>
      <x:c r="G61" s="5"/>
      <x:c r="H61" s="5"/>
      <x:c r="I61" s="5"/>
      <x:c r="J61" s="5"/>
      <x:c r="K61" s="5"/>
      <x:c r="L61" s="5"/>
    </x:row>
    <x:row r="62" spans="1:12" x14ac:dyDescent="0.2">
      <x:c r="A62" s="1">
        <x:v>52</x:v>
      </x:c>
      <x:c r="B62" s="4">
        <x:v>39173</x:v>
      </x:c>
      <x:c r="C62" s="5"/>
      <x:c r="D62" s="5"/>
      <x:c r="E62" s="5"/>
      <x:c r="F62" s="5"/>
      <x:c r="G62" s="5"/>
      <x:c r="H62" s="5"/>
      <x:c r="I62" s="5"/>
      <x:c r="J62" s="5"/>
      <x:c r="K62" s="5"/>
      <x:c r="L62" s="5"/>
    </x:row>
    <x:row r="63" spans="1:12" x14ac:dyDescent="0.2">
      <x:c r="A63" s="1">
        <x:v>53</x:v>
      </x:c>
      <x:c r="B63" s="4">
        <x:v>39203</x:v>
      </x:c>
      <x:c r="C63" s="5"/>
      <x:c r="D63" s="5"/>
      <x:c r="E63" s="5"/>
      <x:c r="F63" s="5"/>
      <x:c r="G63" s="5"/>
      <x:c r="H63" s="5"/>
      <x:c r="I63" s="5"/>
      <x:c r="J63" s="5"/>
      <x:c r="K63" s="5"/>
      <x:c r="L63" s="5"/>
    </x:row>
    <x:row r="64" spans="1:12" x14ac:dyDescent="0.2">
      <x:c r="A64" s="1">
        <x:v>54</x:v>
      </x:c>
      <x:c r="B64" s="4">
        <x:v>39234</x:v>
      </x:c>
      <x:c r="C64" s="5"/>
      <x:c r="D64" s="5"/>
      <x:c r="E64" s="5"/>
      <x:c r="F64" s="5"/>
      <x:c r="G64" s="5"/>
      <x:c r="H64" s="5"/>
      <x:c r="I64" s="5"/>
      <x:c r="J64" s="5"/>
      <x:c r="K64" s="5"/>
      <x:c r="L64" s="5"/>
    </x:row>
    <x:row r="65" spans="1:12" x14ac:dyDescent="0.2">
      <x:c r="A65" s="1">
        <x:v>55</x:v>
      </x:c>
      <x:c r="B65" s="4">
        <x:v>39264</x:v>
      </x:c>
      <x:c r="C65" s="5"/>
      <x:c r="D65" s="5"/>
      <x:c r="E65" s="5"/>
      <x:c r="F65" s="5"/>
      <x:c r="G65" s="5"/>
      <x:c r="H65" s="5"/>
      <x:c r="I65" s="5"/>
      <x:c r="J65" s="5"/>
      <x:c r="K65" s="5"/>
      <x:c r="L65" s="5"/>
    </x:row>
    <x:row r="66" spans="1:12" x14ac:dyDescent="0.2">
      <x:c r="A66" s="1">
        <x:v>56</x:v>
      </x:c>
      <x:c r="B66" s="4">
        <x:v>39295</x:v>
      </x:c>
      <x:c r="C66" s="5"/>
      <x:c r="D66" s="5"/>
      <x:c r="E66" s="5"/>
      <x:c r="F66" s="5"/>
      <x:c r="G66" s="5"/>
      <x:c r="H66" s="5"/>
      <x:c r="I66" s="5"/>
      <x:c r="J66" s="5"/>
      <x:c r="K66" s="5"/>
      <x:c r="L66" s="5"/>
    </x:row>
    <x:row r="67" spans="1:12" x14ac:dyDescent="0.2">
      <x:c r="A67" s="1">
        <x:v>57</x:v>
      </x:c>
      <x:c r="B67" s="4">
        <x:v>39326</x:v>
      </x:c>
      <x:c r="C67" s="5"/>
      <x:c r="D67" s="5"/>
      <x:c r="E67" s="5"/>
      <x:c r="F67" s="5"/>
      <x:c r="G67" s="5"/>
      <x:c r="H67" s="5"/>
      <x:c r="I67" s="5"/>
      <x:c r="J67" s="5"/>
      <x:c r="K67" s="5"/>
      <x:c r="L67" s="5"/>
    </x:row>
    <x:row r="68" spans="1:12" x14ac:dyDescent="0.2">
      <x:c r="A68" s="1">
        <x:v>58</x:v>
      </x:c>
      <x:c r="B68" s="4">
        <x:v>39356</x:v>
      </x:c>
      <x:c r="C68" s="5"/>
      <x:c r="D68" s="5"/>
      <x:c r="E68" s="5"/>
      <x:c r="F68" s="5"/>
      <x:c r="G68" s="5"/>
      <x:c r="H68" s="5"/>
      <x:c r="I68" s="5"/>
      <x:c r="J68" s="5"/>
      <x:c r="K68" s="5"/>
      <x:c r="L68" s="5"/>
    </x:row>
    <x:row r="69" spans="1:12" x14ac:dyDescent="0.2">
      <x:c r="A69" s="1">
        <x:v>59</x:v>
      </x:c>
      <x:c r="B69" s="4">
        <x:v>39387</x:v>
      </x:c>
      <x:c r="C69" s="5"/>
      <x:c r="D69" s="5"/>
      <x:c r="E69" s="5"/>
      <x:c r="F69" s="5"/>
      <x:c r="G69" s="5"/>
      <x:c r="H69" s="5"/>
      <x:c r="I69" s="5"/>
      <x:c r="J69" s="5"/>
      <x:c r="K69" s="5"/>
      <x:c r="L69" s="5"/>
    </x:row>
    <x:row r="70" spans="1:12" x14ac:dyDescent="0.2">
      <x:c r="A70" s="1">
        <x:v>60</x:v>
      </x:c>
      <x:c r="B70" s="6">
        <x:v>39417</x:v>
      </x:c>
      <x:c r="C70" s="7"/>
      <x:c r="D70" s="7"/>
      <x:c r="E70" s="7"/>
      <x:c r="F70" s="7"/>
      <x:c r="G70" s="7"/>
      <x:c r="H70" s="7"/>
      <x:c r="I70" s="7"/>
      <x:c r="J70" s="7"/>
      <x:c r="K70" s="7"/>
      <x:c r="L70" s="7"/>
    </x:row>
    <x:row r="71" spans="1:12" x14ac:dyDescent="0.2">
      <x:c r="A71" s="1">
        <x:v>61</x:v>
      </x:c>
      <x:c r="B71" s="8" t="s">
        <x:v>15</x:v>
      </x:c>
      <x:c r="C71" s="5">
        <x:f t="shared" ref="C71:L71" si="3">SUM(C59:C70)</x:f>
        <x:v>0</x:v>
      </x:c>
      <x:c r="D71" s="5">
        <x:f t="shared" si="3"/>
        <x:v>0</x:v>
      </x:c>
      <x:c r="E71" s="5">
        <x:f t="shared" si="3"/>
        <x:v>0</x:v>
      </x:c>
      <x:c r="F71" s="5">
        <x:f t="shared" si="3"/>
        <x:v>0</x:v>
      </x:c>
      <x:c r="G71" s="5">
        <x:f t="shared" si="3"/>
        <x:v>0</x:v>
      </x:c>
      <x:c r="H71" s="5">
        <x:f t="shared" si="3"/>
        <x:v>0</x:v>
      </x:c>
      <x:c r="I71" s="5">
        <x:f t="shared" si="3"/>
        <x:v>0</x:v>
      </x:c>
      <x:c r="J71" s="5">
        <x:f t="shared" si="3"/>
        <x:v>0</x:v>
      </x:c>
      <x:c r="K71" s="5">
        <x:f t="shared" si="3"/>
        <x:v>0</x:v>
      </x:c>
      <x:c r="L71" s="5">
        <x:f t="shared" si="3"/>
        <x:v>0</x:v>
      </x:c>
    </x:row>
  </x:sheetData>
  <x:mergeCells count="9">
    <x:mergeCell ref="B1:L1"/>
    <x:mergeCell ref="B4:L4"/>
    <x:mergeCell ref="B41:L41"/>
    <x:mergeCell ref="B57:L57"/>
    <x:mergeCell ref="B9:L9"/>
    <x:mergeCell ref="B25:L25"/>
    <x:mergeCell ref="B6:L6"/>
    <x:mergeCell ref="B2:L2"/>
    <x:mergeCell ref="B3:L3"/>
  </x:mergeCells>
  <x:phoneticPr fontId="1" type="noConversion"/>
  <x:pageMargins left="0.75" right="0.75" top="1" bottom="1" header="0.5" footer="0.5"/>
  <x:pageSetup scale="66" orientation="portrait" r:id="rId1"/>
  <x:headerFooter alignWithMargins="0">
    <x:oddHeader>&amp;RSchedule II-H-5.1
Page 4 of 265</x:oddHeader>
  </x:headerFooter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pageSetUpPr fitToPage="1"/>
  </x:sheetPr>
  <x:dimension ref="A1:L40"/>
  <x:sheetViews>
    <x:sheetView tabSelected="1" zoomScaleNormal="100" workbookViewId="0"/>
  </x:sheetViews>
  <x:sheetFormatPr defaultColWidth="9.109375" defaultRowHeight="11.4" x14ac:dyDescent="0.2"/>
  <x:cols>
    <x:col min="1" max="1" width="9.109375" style="1"/>
    <x:col min="2" max="2" width="10.44140625" style="2" bestFit="1" customWidth="1"/>
    <x:col min="3" max="3" width="11.44140625" style="2" customWidth="1"/>
    <x:col min="4" max="4" width="9.5546875" style="2" bestFit="1" customWidth="1"/>
    <x:col min="5" max="5" width="9.6640625" style="2" bestFit="1" customWidth="1"/>
    <x:col min="6" max="6" width="9.5546875" style="2" bestFit="1" customWidth="1"/>
    <x:col min="7" max="7" width="12.33203125" style="2" bestFit="1" customWidth="1"/>
    <x:col min="8" max="8" width="9.88671875" style="2" bestFit="1" customWidth="1"/>
    <x:col min="9" max="9" width="10.5546875" style="2" bestFit="1" customWidth="1"/>
    <x:col min="10" max="10" width="11.33203125" style="2" customWidth="1"/>
    <x:col min="11" max="11" width="10.44140625" style="2" customWidth="1"/>
    <x:col min="12" max="16384" width="9.109375" style="2"/>
  </x:cols>
  <x:sheetData>
    <x:row r="1" spans="1:12" ht="15.6" x14ac:dyDescent="0.3">
      <x:c r="B1" s="88" t="s">
        <x:v>25</x:v>
      </x:c>
      <x:c r="C1" s="88"/>
      <x:c r="D1" s="88"/>
      <x:c r="E1" s="88"/>
      <x:c r="F1" s="88"/>
      <x:c r="G1" s="88"/>
      <x:c r="H1" s="88"/>
      <x:c r="I1" s="88"/>
      <x:c r="J1" s="88"/>
      <x:c r="K1" s="88"/>
      <x:c r="L1" s="88"/>
    </x:row>
    <x:row r="2" spans="1:12" ht="15.6" x14ac:dyDescent="0.3">
      <x:c r="B2" s="88" t="s">
        <x:v>96</x:v>
      </x:c>
      <x:c r="C2" s="88"/>
      <x:c r="D2" s="88"/>
      <x:c r="E2" s="88"/>
      <x:c r="F2" s="88"/>
      <x:c r="G2" s="88"/>
      <x:c r="H2" s="88"/>
      <x:c r="I2" s="88"/>
      <x:c r="J2" s="88"/>
      <x:c r="K2" s="88"/>
      <x:c r="L2" s="88"/>
    </x:row>
    <x:row r="3" spans="1:12" ht="15.6" x14ac:dyDescent="0.3">
      <x:c r="B3" s="88" t="s">
        <x:v>1</x:v>
      </x:c>
      <x:c r="C3" s="88"/>
      <x:c r="D3" s="88"/>
      <x:c r="E3" s="88"/>
      <x:c r="F3" s="88"/>
      <x:c r="G3" s="88"/>
      <x:c r="H3" s="88"/>
      <x:c r="I3" s="88"/>
      <x:c r="J3" s="88"/>
      <x:c r="K3" s="88"/>
      <x:c r="L3" s="88"/>
    </x:row>
    <x:row r="4" spans="1:12" ht="15.6" x14ac:dyDescent="0.3">
      <x:c r="B4" s="88" t="s">
        <x:v>116</x:v>
      </x:c>
      <x:c r="C4" s="88"/>
      <x:c r="D4" s="88"/>
      <x:c r="E4" s="88"/>
      <x:c r="F4" s="88"/>
      <x:c r="G4" s="88"/>
      <x:c r="H4" s="88"/>
      <x:c r="I4" s="88"/>
      <x:c r="J4" s="88"/>
      <x:c r="K4" s="88"/>
      <x:c r="L4" s="88"/>
    </x:row>
    <x:row r="6" spans="1:12" ht="15.6" x14ac:dyDescent="0.3">
      <x:c r="B6" s="88" t="s">
        <x:v>81</x:v>
      </x:c>
      <x:c r="C6" s="88"/>
      <x:c r="D6" s="88"/>
      <x:c r="E6" s="88"/>
      <x:c r="F6" s="88"/>
      <x:c r="G6" s="88"/>
      <x:c r="H6" s="88"/>
      <x:c r="I6" s="88"/>
      <x:c r="J6" s="88"/>
      <x:c r="K6" s="88"/>
      <x:c r="L6" s="88"/>
    </x:row>
    <x:row r="9" spans="1:12" ht="12" x14ac:dyDescent="0.25">
      <x:c r="B9" s="89" t="s">
        <x:v>16</x:v>
      </x:c>
      <x:c r="C9" s="89"/>
      <x:c r="D9" s="89"/>
      <x:c r="E9" s="89"/>
      <x:c r="F9" s="89"/>
      <x:c r="G9" s="89"/>
      <x:c r="H9" s="89"/>
      <x:c r="I9" s="89"/>
      <x:c r="J9" s="89"/>
      <x:c r="K9" s="89"/>
      <x:c r="L9" s="89"/>
    </x:row>
    <x:row r="10" spans="1:12" ht="34.799999999999997" thickBot="1" x14ac:dyDescent="0.25">
      <x:c r="A10" s="3" t="s">
        <x:v>4</x:v>
      </x:c>
      <x:c r="C10" s="3" t="s">
        <x:v>55</x:v>
      </x:c>
      <x:c r="D10" s="3" t="s">
        <x:v>6</x:v>
      </x:c>
      <x:c r="E10" s="3" t="s">
        <x:v>7</x:v>
      </x:c>
      <x:c r="F10" s="3" t="s">
        <x:v>8</x:v>
      </x:c>
      <x:c r="G10" s="3" t="s">
        <x:v>9</x:v>
      </x:c>
      <x:c r="H10" s="3" t="s">
        <x:v>10</x:v>
      </x:c>
      <x:c r="I10" s="3" t="s">
        <x:v>11</x:v>
      </x:c>
      <x:c r="J10" s="3" t="s">
        <x:v>12</x:v>
      </x:c>
      <x:c r="K10" s="3" t="s">
        <x:v>13</x:v>
      </x:c>
      <x:c r="L10" s="3" t="s">
        <x:v>14</x:v>
      </x:c>
    </x:row>
    <x:row r="11" spans="1:12" x14ac:dyDescent="0.2">
      <x:c r="A11" s="1">
        <x:v>1</x:v>
      </x:c>
      <x:c r="B11" s="4">
        <x:v>45292</x:v>
      </x:c>
      <x:c r="C11" s="5">
        <x:v>173.6</x:v>
      </x:c>
      <x:c r="D11" s="5">
        <x:v>98.299999999999983</x:v>
      </x:c>
      <x:c r="E11" s="5">
        <x:v>99.499999999999986</x:v>
      </x:c>
      <x:c r="F11" s="5">
        <x:v>129.6</x:v>
      </x:c>
      <x:c r="G11" s="5">
        <x:v>141.89999999999998</x:v>
      </x:c>
      <x:c r="H11" s="5">
        <x:v>146.29999999999995</x:v>
      </x:c>
      <x:c r="I11" s="5">
        <x:v>185.79999999999993</x:v>
      </x:c>
      <x:c r="J11" s="5">
        <x:v>248.39999999999995</x:v>
      </x:c>
      <x:c r="K11" s="5">
        <x:v>183.29999999999995</x:v>
      </x:c>
      <x:c r="L11" s="5">
        <x:v>226.09999999999994</x:v>
      </x:c>
    </x:row>
    <x:row r="12" spans="1:12" x14ac:dyDescent="0.2">
      <x:c r="A12" s="1">
        <x:f>+A11+1</x:f>
        <x:v>2</x:v>
      </x:c>
      <x:c r="B12" s="4">
        <x:v>45323</x:v>
      </x:c>
      <x:c r="C12" s="5">
        <x:v>10.399999999999999</x:v>
      </x:c>
      <x:c r="D12" s="5">
        <x:v>4.1999999999999957</x:v>
      </x:c>
      <x:c r="E12" s="5">
        <x:v>3.8999999999999986</x:v>
      </x:c>
      <x:c r="F12" s="5">
        <x:v>9.9999999999999929</x:v>
      </x:c>
      <x:c r="G12" s="5">
        <x:v>7.6000000000000014</x:v>
      </x:c>
      <x:c r="H12" s="5">
        <x:v>8.7999999999999972</x:v>
      </x:c>
      <x:c r="I12" s="5">
        <x:v>30.899999999999991</x:v>
      </x:c>
      <x:c r="J12" s="5">
        <x:v>42.399999999999984</x:v>
      </x:c>
      <x:c r="K12" s="5">
        <x:v>29.699999999999996</x:v>
      </x:c>
      <x:c r="L12" s="5">
        <x:v>27.099999999999987</x:v>
      </x:c>
    </x:row>
    <x:row r="13" spans="1:12" x14ac:dyDescent="0.2">
      <x:c r="A13" s="1">
        <x:f t="shared" ref="A13:A40" si="0">+A12+1</x:f>
        <x:v>3</x:v>
      </x:c>
      <x:c r="B13" s="4">
        <x:v>45352</x:v>
      </x:c>
      <x:c r="C13" s="5">
        <x:v>0</x:v>
      </x:c>
      <x:c r="D13" s="5">
        <x:v>0</x:v>
      </x:c>
      <x:c r="E13" s="5">
        <x:v>0</x:v>
      </x:c>
      <x:c r="F13" s="5">
        <x:v>0</x:v>
      </x:c>
      <x:c r="G13" s="5">
        <x:v>0</x:v>
      </x:c>
      <x:c r="H13" s="5">
        <x:v>0</x:v>
      </x:c>
      <x:c r="I13" s="5">
        <x:v>0</x:v>
      </x:c>
      <x:c r="J13" s="5">
        <x:v>1.6999999999999957</x:v>
      </x:c>
      <x:c r="K13" s="5">
        <x:v>1.6000000000000014</x:v>
      </x:c>
      <x:c r="L13" s="5">
        <x:v>0</x:v>
      </x:c>
    </x:row>
    <x:row r="14" spans="1:12" x14ac:dyDescent="0.2">
      <x:c r="A14" s="1">
        <x:f t="shared" si="0"/>
        <x:v>4</x:v>
      </x:c>
      <x:c r="B14" s="4">
        <x:v>45383</x:v>
      </x:c>
      <x:c r="C14" s="5">
        <x:v>0</x:v>
      </x:c>
      <x:c r="D14" s="5">
        <x:v>0</x:v>
      </x:c>
      <x:c r="E14" s="5">
        <x:v>0</x:v>
      </x:c>
      <x:c r="F14" s="5">
        <x:v>0</x:v>
      </x:c>
      <x:c r="G14" s="5">
        <x:v>0</x:v>
      </x:c>
      <x:c r="H14" s="5">
        <x:v>0</x:v>
      </x:c>
      <x:c r="I14" s="5">
        <x:v>0</x:v>
      </x:c>
      <x:c r="J14" s="5">
        <x:v>0</x:v>
      </x:c>
      <x:c r="K14" s="5">
        <x:v>0</x:v>
      </x:c>
      <x:c r="L14" s="5">
        <x:v>0</x:v>
      </x:c>
    </x:row>
    <x:row r="15" spans="1:12" x14ac:dyDescent="0.2">
      <x:c r="A15" s="1">
        <x:f t="shared" si="0"/>
        <x:v>5</x:v>
      </x:c>
      <x:c r="B15" s="4">
        <x:v>45413</x:v>
      </x:c>
      <x:c r="C15" s="5">
        <x:v>0</x:v>
      </x:c>
      <x:c r="D15" s="5">
        <x:v>0</x:v>
      </x:c>
      <x:c r="E15" s="5">
        <x:v>0</x:v>
      </x:c>
      <x:c r="F15" s="5">
        <x:v>0</x:v>
      </x:c>
      <x:c r="G15" s="5">
        <x:v>0</x:v>
      </x:c>
      <x:c r="H15" s="5">
        <x:v>0</x:v>
      </x:c>
      <x:c r="I15" s="5">
        <x:v>0</x:v>
      </x:c>
      <x:c r="J15" s="5">
        <x:v>0</x:v>
      </x:c>
      <x:c r="K15" s="5">
        <x:v>0</x:v>
      </x:c>
      <x:c r="L15" s="5">
        <x:v>0</x:v>
      </x:c>
    </x:row>
    <x:row r="16" spans="1:12" x14ac:dyDescent="0.2">
      <x:c r="A16" s="1">
        <x:f t="shared" si="0"/>
        <x:v>6</x:v>
      </x:c>
      <x:c r="B16" s="4">
        <x:v>45444</x:v>
      </x:c>
      <x:c r="C16" s="5">
        <x:v>0</x:v>
      </x:c>
      <x:c r="D16" s="5">
        <x:v>0</x:v>
      </x:c>
      <x:c r="E16" s="5">
        <x:v>0</x:v>
      </x:c>
      <x:c r="F16" s="5">
        <x:v>0</x:v>
      </x:c>
      <x:c r="G16" s="5">
        <x:v>0</x:v>
      </x:c>
      <x:c r="H16" s="5">
        <x:v>0</x:v>
      </x:c>
      <x:c r="I16" s="5">
        <x:v>0</x:v>
      </x:c>
      <x:c r="J16" s="5">
        <x:v>0</x:v>
      </x:c>
      <x:c r="K16" s="5">
        <x:v>0</x:v>
      </x:c>
      <x:c r="L16" s="5">
        <x:v>0</x:v>
      </x:c>
    </x:row>
    <x:row r="17" spans="1:12" x14ac:dyDescent="0.2">
      <x:c r="A17" s="1">
        <x:f t="shared" si="0"/>
        <x:v>7</x:v>
      </x:c>
      <x:c r="B17" s="4">
        <x:v>45474</x:v>
      </x:c>
      <x:c r="C17" s="5">
        <x:v>0</x:v>
      </x:c>
      <x:c r="D17" s="5">
        <x:v>0</x:v>
      </x:c>
      <x:c r="E17" s="5">
        <x:v>0</x:v>
      </x:c>
      <x:c r="F17" s="5">
        <x:v>0</x:v>
      </x:c>
      <x:c r="G17" s="5">
        <x:v>0</x:v>
      </x:c>
      <x:c r="H17" s="5">
        <x:v>0</x:v>
      </x:c>
      <x:c r="I17" s="5">
        <x:v>0</x:v>
      </x:c>
      <x:c r="J17" s="5">
        <x:v>0</x:v>
      </x:c>
      <x:c r="K17" s="5">
        <x:v>0</x:v>
      </x:c>
      <x:c r="L17" s="5">
        <x:v>0</x:v>
      </x:c>
    </x:row>
    <x:row r="18" spans="1:12" x14ac:dyDescent="0.2">
      <x:c r="A18" s="1">
        <x:f t="shared" si="0"/>
        <x:v>8</x:v>
      </x:c>
      <x:c r="B18" s="4">
        <x:v>45505</x:v>
      </x:c>
      <x:c r="C18" s="5">
        <x:v>0</x:v>
      </x:c>
      <x:c r="D18" s="5">
        <x:v>0</x:v>
      </x:c>
      <x:c r="E18" s="5">
        <x:v>0</x:v>
      </x:c>
      <x:c r="F18" s="5">
        <x:v>0</x:v>
      </x:c>
      <x:c r="G18" s="5">
        <x:v>0</x:v>
      </x:c>
      <x:c r="H18" s="5">
        <x:v>0</x:v>
      </x:c>
      <x:c r="I18" s="5">
        <x:v>0</x:v>
      </x:c>
      <x:c r="J18" s="5">
        <x:v>0</x:v>
      </x:c>
      <x:c r="K18" s="5">
        <x:v>0</x:v>
      </x:c>
      <x:c r="L18" s="5">
        <x:v>0</x:v>
      </x:c>
    </x:row>
    <x:row r="19" spans="1:12" x14ac:dyDescent="0.2">
      <x:c r="A19" s="1">
        <x:f t="shared" si="0"/>
        <x:v>9</x:v>
      </x:c>
      <x:c r="B19" s="4">
        <x:v>45536</x:v>
      </x:c>
      <x:c r="C19" s="5">
        <x:v>0</x:v>
      </x:c>
      <x:c r="D19" s="5">
        <x:v>0</x:v>
      </x:c>
      <x:c r="E19" s="5">
        <x:v>0</x:v>
      </x:c>
      <x:c r="F19" s="5">
        <x:v>0</x:v>
      </x:c>
      <x:c r="G19" s="5">
        <x:v>0</x:v>
      </x:c>
      <x:c r="H19" s="5">
        <x:v>0</x:v>
      </x:c>
      <x:c r="I19" s="5">
        <x:v>0</x:v>
      </x:c>
      <x:c r="J19" s="5">
        <x:v>0</x:v>
      </x:c>
      <x:c r="K19" s="5">
        <x:v>0</x:v>
      </x:c>
      <x:c r="L19" s="5">
        <x:v>0</x:v>
      </x:c>
    </x:row>
    <x:row r="20" spans="1:12" x14ac:dyDescent="0.2">
      <x:c r="A20" s="1">
        <x:f t="shared" si="0"/>
        <x:v>10</x:v>
      </x:c>
      <x:c r="B20" s="4">
        <x:v>45566</x:v>
      </x:c>
      <x:c r="C20" s="5">
        <x:v>0</x:v>
      </x:c>
      <x:c r="D20" s="5">
        <x:v>0</x:v>
      </x:c>
      <x:c r="E20" s="5">
        <x:v>0</x:v>
      </x:c>
      <x:c r="F20" s="5">
        <x:v>0</x:v>
      </x:c>
      <x:c r="G20" s="5">
        <x:v>0</x:v>
      </x:c>
      <x:c r="H20" s="5">
        <x:v>0</x:v>
      </x:c>
      <x:c r="I20" s="5">
        <x:v>0</x:v>
      </x:c>
      <x:c r="J20" s="5">
        <x:v>0</x:v>
      </x:c>
      <x:c r="K20" s="5">
        <x:v>0</x:v>
      </x:c>
      <x:c r="L20" s="5">
        <x:v>0</x:v>
      </x:c>
    </x:row>
    <x:row r="21" spans="1:12" x14ac:dyDescent="0.2">
      <x:c r="A21" s="1">
        <x:f t="shared" si="0"/>
        <x:v>11</x:v>
      </x:c>
      <x:c r="B21" s="4">
        <x:v>45597</x:v>
      </x:c>
      <x:c r="C21" s="5">
        <x:v>1.1000000000000014</x:v>
      </x:c>
      <x:c r="D21" s="5">
        <x:v>2.8999999999999986</x:v>
      </x:c>
      <x:c r="E21" s="5">
        <x:v>0</x:v>
      </x:c>
      <x:c r="F21" s="5">
        <x:v>0.10000000000000142</x:v>
      </x:c>
      <x:c r="G21" s="5">
        <x:v>4.1999999999999957</x:v>
      </x:c>
      <x:c r="H21" s="5">
        <x:v>0</x:v>
      </x:c>
      <x:c r="I21" s="5">
        <x:v>1.6999999999999957</x:v>
      </x:c>
      <x:c r="J21" s="5">
        <x:v>7.8999999999999986</x:v>
      </x:c>
      <x:c r="K21" s="5">
        <x:v>3.6000000000000014</x:v>
      </x:c>
      <x:c r="L21" s="5">
        <x:v>4.0999999999999943</x:v>
      </x:c>
    </x:row>
    <x:row r="22" spans="1:12" x14ac:dyDescent="0.2">
      <x:c r="A22" s="1">
        <x:f t="shared" si="0"/>
        <x:v>12</x:v>
      </x:c>
      <x:c r="B22" s="4">
        <x:v>45627</x:v>
      </x:c>
      <x:c r="C22" s="5">
        <x:v>4.7999999999999972</x:v>
      </x:c>
      <x:c r="D22" s="5">
        <x:v>5.5999999999999943</x:v>
      </x:c>
      <x:c r="E22" s="5">
        <x:v>0.10000000000000142</x:v>
      </x:c>
      <x:c r="F22" s="5">
        <x:v>2.2999999999999972</x:v>
      </x:c>
      <x:c r="G22" s="5">
        <x:v>14.299999999999983</x:v>
      </x:c>
      <x:c r="H22" s="5">
        <x:v>4.8999999999999915</x:v>
      </x:c>
      <x:c r="I22" s="5">
        <x:v>7.2999999999999972</x:v>
      </x:c>
      <x:c r="J22" s="5">
        <x:v>29.799999999999976</x:v>
      </x:c>
      <x:c r="K22" s="5">
        <x:v>9.1999999999999957</x:v>
      </x:c>
      <x:c r="L22" s="5">
        <x:v>21.399999999999991</x:v>
      </x:c>
    </x:row>
    <x:row r="23" spans="1:12" x14ac:dyDescent="0.2">
      <x:c r="A23" s="1">
        <x:f t="shared" si="0"/>
        <x:v>13</x:v>
      </x:c>
      <x:c r="B23" s="8" t="s">
        <x:v>15</x:v>
      </x:c>
      <x:c r="C23" s="33">
        <x:f>SUM(C11:C22)</x:f>
        <x:v>189.89999999999998</x:v>
      </x:c>
      <x:c r="D23" s="33">
        <x:f t="shared" ref="D23:L23" si="1">SUM(D11:D22)</x:f>
        <x:v>110.99999999999997</x:v>
      </x:c>
      <x:c r="E23" s="33">
        <x:f t="shared" si="1"/>
        <x:v>103.49999999999997</x:v>
      </x:c>
      <x:c r="F23" s="33">
        <x:f t="shared" si="1"/>
        <x:v>142</x:v>
      </x:c>
      <x:c r="G23" s="33">
        <x:f t="shared" si="1"/>
        <x:v>167.99999999999994</x:v>
      </x:c>
      <x:c r="H23" s="33">
        <x:f t="shared" si="1"/>
        <x:v>159.99999999999994</x:v>
      </x:c>
      <x:c r="I23" s="33">
        <x:f t="shared" si="1"/>
        <x:v>225.69999999999993</x:v>
      </x:c>
      <x:c r="J23" s="33">
        <x:f t="shared" si="1"/>
        <x:v>330.19999999999987</x:v>
      </x:c>
      <x:c r="K23" s="33">
        <x:f t="shared" si="1"/>
        <x:v>227.39999999999992</x:v>
      </x:c>
      <x:c r="L23" s="33">
        <x:f t="shared" si="1"/>
        <x:v>278.69999999999993</x:v>
      </x:c>
    </x:row>
    <x:row r="24" spans="1:12" x14ac:dyDescent="0.2">
      <x:c r="A24" s="1">
        <x:f t="shared" si="0"/>
        <x:v>14</x:v>
      </x:c>
    </x:row>
    <x:row r="25" spans="1:12" x14ac:dyDescent="0.2">
      <x:c r="A25" s="1">
        <x:f t="shared" si="0"/>
        <x:v>15</x:v>
      </x:c>
    </x:row>
    <x:row r="26" spans="1:12" ht="12" x14ac:dyDescent="0.25">
      <x:c r="A26" s="1">
        <x:f t="shared" si="0"/>
        <x:v>16</x:v>
      </x:c>
      <x:c r="B26" s="89" t="s">
        <x:v>17</x:v>
      </x:c>
      <x:c r="C26" s="89"/>
      <x:c r="D26" s="89"/>
      <x:c r="E26" s="89"/>
      <x:c r="F26" s="89"/>
      <x:c r="G26" s="89"/>
      <x:c r="H26" s="89"/>
      <x:c r="I26" s="89"/>
      <x:c r="J26" s="89"/>
      <x:c r="K26" s="89"/>
      <x:c r="L26" s="89"/>
    </x:row>
    <x:row r="27" spans="1:12" ht="34.799999999999997" thickBot="1" x14ac:dyDescent="0.25">
      <x:c r="A27" s="1">
        <x:f t="shared" si="0"/>
        <x:v>17</x:v>
      </x:c>
      <x:c r="C27" s="3" t="s">
        <x:v>55</x:v>
      </x:c>
      <x:c r="D27" s="3" t="s">
        <x:v>6</x:v>
      </x:c>
      <x:c r="E27" s="72" t="s">
        <x:v>7</x:v>
      </x:c>
      <x:c r="F27" s="72" t="s">
        <x:v>8</x:v>
      </x:c>
      <x:c r="G27" s="72" t="s">
        <x:v>9</x:v>
      </x:c>
      <x:c r="H27" s="72" t="s">
        <x:v>10</x:v>
      </x:c>
      <x:c r="I27" s="72" t="s">
        <x:v>11</x:v>
      </x:c>
      <x:c r="J27" s="72" t="s">
        <x:v>12</x:v>
      </x:c>
      <x:c r="K27" s="72" t="s">
        <x:v>13</x:v>
      </x:c>
      <x:c r="L27" s="72" t="s">
        <x:v>14</x:v>
      </x:c>
    </x:row>
    <x:row r="28" spans="1:12" x14ac:dyDescent="0.2">
      <x:c r="A28" s="1">
        <x:f t="shared" si="0"/>
        <x:v>18</x:v>
      </x:c>
      <x:c r="B28" s="4">
        <x:v>45292</x:v>
      </x:c>
      <x:c r="C28" s="5">
        <x:v>87.887916666666641</x:v>
      </x:c>
      <x:c r="D28" s="5">
        <x:v>56.637916666666655</x:v>
      </x:c>
      <x:c r="E28" s="5">
        <x:v>49.730833333333329</x:v>
      </x:c>
      <x:c r="F28" s="5">
        <x:v>67.992083333333326</x:v>
      </x:c>
      <x:c r="G28" s="5">
        <x:v>84.268333333333302</x:v>
      </x:c>
      <x:c r="H28" s="5">
        <x:v>78.414999999999992</x:v>
      </x:c>
      <x:c r="I28" s="5">
        <x:v>116.5183333333333</x:v>
      </x:c>
      <x:c r="J28" s="5">
        <x:v>156.0095833333333</x:v>
      </x:c>
      <x:c r="K28" s="5">
        <x:v>116.39375</x:v>
      </x:c>
      <x:c r="L28" s="5">
        <x:v>137.19916666666668</x:v>
      </x:c>
    </x:row>
    <x:row r="29" spans="1:12" x14ac:dyDescent="0.2">
      <x:c r="A29" s="1">
        <x:f t="shared" si="0"/>
        <x:v>19</x:v>
      </x:c>
      <x:c r="B29" s="4">
        <x:v>45323</x:v>
      </x:c>
      <x:c r="C29" s="5">
        <x:v>73.314999999999998</x:v>
      </x:c>
      <x:c r="D29" s="5">
        <x:v>38.424166666666672</x:v>
      </x:c>
      <x:c r="E29" s="5">
        <x:v>39.633749999999992</x:v>
      </x:c>
      <x:c r="F29" s="5">
        <x:v>56.760416666666657</x:v>
      </x:c>
      <x:c r="G29" s="5">
        <x:v>60.488749999999996</x:v>
      </x:c>
      <x:c r="H29" s="5">
        <x:v>60.543333333333322</x:v>
      </x:c>
      <x:c r="I29" s="5">
        <x:v>101.37166666666666</x:v>
      </x:c>
      <x:c r="J29" s="5">
        <x:v>130.22166666666669</x:v>
      </x:c>
      <x:c r="K29" s="5">
        <x:v>87.502916666666678</x:v>
      </x:c>
      <x:c r="L29" s="5">
        <x:v>108.42791666666668</x:v>
      </x:c>
    </x:row>
    <x:row r="30" spans="1:12" x14ac:dyDescent="0.2">
      <x:c r="A30" s="1">
        <x:f t="shared" si="0"/>
        <x:v>20</x:v>
      </x:c>
      <x:c r="B30" s="4">
        <x:v>45352</x:v>
      </x:c>
      <x:c r="C30" s="5">
        <x:v>11.575833333333339</x:v>
      </x:c>
      <x:c r="D30" s="5">
        <x:v>5.2758333333333347</x:v>
      </x:c>
      <x:c r="E30" s="5">
        <x:v>3.9041666666666637</x:v>
      </x:c>
      <x:c r="F30" s="5">
        <x:v>7.393749999999998</x:v>
      </x:c>
      <x:c r="G30" s="5">
        <x:v>10.438750000000001</x:v>
      </x:c>
      <x:c r="H30" s="5">
        <x:v>8.6958333333333346</x:v>
      </x:c>
      <x:c r="I30" s="5">
        <x:v>16.260833333333331</x:v>
      </x:c>
      <x:c r="J30" s="5">
        <x:v>22.047500000000007</x:v>
      </x:c>
      <x:c r="K30" s="5">
        <x:v>15.648333333333323</x:v>
      </x:c>
      <x:c r="L30" s="5">
        <x:v>20.634999999999991</x:v>
      </x:c>
    </x:row>
    <x:row r="31" spans="1:12" x14ac:dyDescent="0.2">
      <x:c r="A31" s="1">
        <x:f t="shared" si="0"/>
        <x:v>21</x:v>
      </x:c>
      <x:c r="B31" s="4">
        <x:v>45383</x:v>
      </x:c>
      <x:c r="C31" s="5">
        <x:v>0.53583333333333483</x:v>
      </x:c>
      <x:c r="D31" s="5">
        <x:v>0.37375000000000008</x:v>
      </x:c>
      <x:c r="E31" s="5">
        <x:v>0.4</x:v>
      </x:c>
      <x:c r="F31" s="5">
        <x:v>0.93249999999999988</x:v>
      </x:c>
      <x:c r="G31" s="5">
        <x:v>0.3216666666666651</x:v>
      </x:c>
      <x:c r="H31" s="5">
        <x:v>0.65</x:v>
      </x:c>
      <x:c r="I31" s="5">
        <x:v>2.3462499999999995</x:v>
      </x:c>
      <x:c r="J31" s="5">
        <x:v>2.553333333333335</x:v>
      </x:c>
      <x:c r="K31" s="5">
        <x:v>1.5499999999999947</x:v>
      </x:c>
      <x:c r="L31" s="5">
        <x:v>1.577500000000005</x:v>
      </x:c>
    </x:row>
    <x:row r="32" spans="1:12" x14ac:dyDescent="0.2">
      <x:c r="A32" s="1">
        <x:f t="shared" si="0"/>
        <x:v>22</x:v>
      </x:c>
      <x:c r="B32" s="4">
        <x:v>45413</x:v>
      </x:c>
      <x:c r="C32" s="5">
        <x:v>0</x:v>
      </x:c>
      <x:c r="D32" s="5">
        <x:v>0</x:v>
      </x:c>
      <x:c r="E32" s="5">
        <x:v>0</x:v>
      </x:c>
      <x:c r="F32" s="5">
        <x:v>0</x:v>
      </x:c>
      <x:c r="G32" s="5">
        <x:v>0</x:v>
      </x:c>
      <x:c r="H32" s="5">
        <x:v>0</x:v>
      </x:c>
      <x:c r="I32" s="5">
        <x:v>1.0000000000000142E-2</x:v>
      </x:c>
      <x:c r="J32" s="5">
        <x:v>1.4999999999999857E-2</x:v>
      </x:c>
      <x:c r="K32" s="5">
        <x:v>0</x:v>
      </x:c>
      <x:c r="L32" s="5">
        <x:v>0</x:v>
      </x:c>
    </x:row>
    <x:row r="33" spans="1:12" x14ac:dyDescent="0.2">
      <x:c r="A33" s="1">
        <x:f t="shared" si="0"/>
        <x:v>23</x:v>
      </x:c>
      <x:c r="B33" s="4">
        <x:v>45444</x:v>
      </x:c>
      <x:c r="C33" s="5">
        <x:v>0</x:v>
      </x:c>
      <x:c r="D33" s="5">
        <x:v>0</x:v>
      </x:c>
      <x:c r="E33" s="5">
        <x:v>0</x:v>
      </x:c>
      <x:c r="F33" s="5">
        <x:v>0</x:v>
      </x:c>
      <x:c r="G33" s="5">
        <x:v>0</x:v>
      </x:c>
      <x:c r="H33" s="5">
        <x:v>0</x:v>
      </x:c>
      <x:c r="I33" s="5">
        <x:v>0</x:v>
      </x:c>
      <x:c r="J33" s="5">
        <x:v>0</x:v>
      </x:c>
      <x:c r="K33" s="5">
        <x:v>0</x:v>
      </x:c>
      <x:c r="L33" s="5">
        <x:v>0</x:v>
      </x:c>
    </x:row>
    <x:row r="34" spans="1:12" x14ac:dyDescent="0.2">
      <x:c r="A34" s="1">
        <x:f t="shared" si="0"/>
        <x:v>24</x:v>
      </x:c>
      <x:c r="B34" s="4">
        <x:v>45474</x:v>
      </x:c>
      <x:c r="C34" s="5">
        <x:v>0</x:v>
      </x:c>
      <x:c r="D34" s="5">
        <x:v>0</x:v>
      </x:c>
      <x:c r="E34" s="5">
        <x:v>0</x:v>
      </x:c>
      <x:c r="F34" s="5">
        <x:v>0</x:v>
      </x:c>
      <x:c r="G34" s="5">
        <x:v>0</x:v>
      </x:c>
      <x:c r="H34" s="5">
        <x:v>0</x:v>
      </x:c>
      <x:c r="I34" s="5">
        <x:v>0</x:v>
      </x:c>
      <x:c r="J34" s="5">
        <x:v>0</x:v>
      </x:c>
      <x:c r="K34" s="5">
        <x:v>0</x:v>
      </x:c>
      <x:c r="L34" s="5">
        <x:v>0</x:v>
      </x:c>
    </x:row>
    <x:row r="35" spans="1:12" x14ac:dyDescent="0.2">
      <x:c r="A35" s="1">
        <x:f t="shared" si="0"/>
        <x:v>25</x:v>
      </x:c>
      <x:c r="B35" s="4">
        <x:v>45505</x:v>
      </x:c>
      <x:c r="C35" s="5">
        <x:v>0</x:v>
      </x:c>
      <x:c r="D35" s="5">
        <x:v>0</x:v>
      </x:c>
      <x:c r="E35" s="5">
        <x:v>0</x:v>
      </x:c>
      <x:c r="F35" s="5">
        <x:v>0</x:v>
      </x:c>
      <x:c r="G35" s="5">
        <x:v>0</x:v>
      </x:c>
      <x:c r="H35" s="5">
        <x:v>0</x:v>
      </x:c>
      <x:c r="I35" s="5">
        <x:v>0</x:v>
      </x:c>
      <x:c r="J35" s="5">
        <x:v>0</x:v>
      </x:c>
      <x:c r="K35" s="5">
        <x:v>0</x:v>
      </x:c>
      <x:c r="L35" s="5">
        <x:v>0</x:v>
      </x:c>
    </x:row>
    <x:row r="36" spans="1:12" x14ac:dyDescent="0.2">
      <x:c r="A36" s="1">
        <x:f t="shared" si="0"/>
        <x:v>26</x:v>
      </x:c>
      <x:c r="B36" s="4">
        <x:v>45536</x:v>
      </x:c>
      <x:c r="C36" s="5">
        <x:v>0</x:v>
      </x:c>
      <x:c r="D36" s="5">
        <x:v>0</x:v>
      </x:c>
      <x:c r="E36" s="5">
        <x:v>0</x:v>
      </x:c>
      <x:c r="F36" s="5">
        <x:v>0</x:v>
      </x:c>
      <x:c r="G36" s="5">
        <x:v>0</x:v>
      </x:c>
      <x:c r="H36" s="5">
        <x:v>0</x:v>
      </x:c>
      <x:c r="I36" s="5">
        <x:v>0</x:v>
      </x:c>
      <x:c r="J36" s="5">
        <x:v>0</x:v>
      </x:c>
      <x:c r="K36" s="5">
        <x:v>0</x:v>
      </x:c>
      <x:c r="L36" s="5">
        <x:v>0</x:v>
      </x:c>
    </x:row>
    <x:row r="37" spans="1:12" x14ac:dyDescent="0.2">
      <x:c r="A37" s="1">
        <x:f t="shared" si="0"/>
        <x:v>27</x:v>
      </x:c>
      <x:c r="B37" s="4">
        <x:v>45566</x:v>
      </x:c>
      <x:c r="C37" s="5">
        <x:v>1.0549999999999993</x:v>
      </x:c>
      <x:c r="D37" s="5">
        <x:v>0.15499999999999972</x:v>
      </x:c>
      <x:c r="E37" s="5">
        <x:v>0.23999999999999988</x:v>
      </x:c>
      <x:c r="F37" s="5">
        <x:v>0.97999999999999943</x:v>
      </x:c>
      <x:c r="G37" s="5">
        <x:v>0.30999999999999978</x:v>
      </x:c>
      <x:c r="H37" s="5">
        <x:v>0.80999999999999983</x:v>
      </x:c>
      <x:c r="I37" s="5">
        <x:v>3.9949999999999992</x:v>
      </x:c>
      <x:c r="J37" s="5">
        <x:v>4.2399999999999984</x:v>
      </x:c>
      <x:c r="K37" s="5">
        <x:v>4.2</x:v>
      </x:c>
      <x:c r="L37" s="5">
        <x:v>1.7949999999999995</x:v>
      </x:c>
    </x:row>
    <x:row r="38" spans="1:12" x14ac:dyDescent="0.2">
      <x:c r="A38" s="1">
        <x:f t="shared" si="0"/>
        <x:v>28</x:v>
      </x:c>
      <x:c r="B38" s="4">
        <x:v>45597</x:v>
      </x:c>
      <x:c r="C38" s="5">
        <x:v>12.894583333333332</x:v>
      </x:c>
      <x:c r="D38" s="5">
        <x:v>7.2600000000000007</x:v>
      </x:c>
      <x:c r="E38" s="5">
        <x:v>6.5704166666666621</x:v>
      </x:c>
      <x:c r="F38" s="5">
        <x:v>11.864583333333332</x:v>
      </x:c>
      <x:c r="G38" s="5">
        <x:v>14.072500000000003</x:v>
      </x:c>
      <x:c r="H38" s="5">
        <x:v>12.858333333333334</x:v>
      </x:c>
      <x:c r="I38" s="5">
        <x:v>24.366250000000004</x:v>
      </x:c>
      <x:c r="J38" s="5">
        <x:v>28.792499999999993</x:v>
      </x:c>
      <x:c r="K38" s="5">
        <x:v>26.357083333333318</x:v>
      </x:c>
      <x:c r="L38" s="5">
        <x:v>19.990416666666661</x:v>
      </x:c>
    </x:row>
    <x:row r="39" spans="1:12" x14ac:dyDescent="0.2">
      <x:c r="A39" s="1">
        <x:f t="shared" si="0"/>
        <x:v>29</x:v>
      </x:c>
      <x:c r="B39" s="4">
        <x:v>45627</x:v>
      </x:c>
      <x:c r="C39" s="5">
        <x:v>63.360833333333332</x:v>
      </x:c>
      <x:c r="D39" s="5">
        <x:v>40.386249999999997</x:v>
      </x:c>
      <x:c r="E39" s="5">
        <x:v>34.463749999999997</x:v>
      </x:c>
      <x:c r="F39" s="5">
        <x:v>50.732916666666647</x:v>
      </x:c>
      <x:c r="G39" s="5">
        <x:v>61.67708333333335</x:v>
      </x:c>
      <x:c r="H39" s="5">
        <x:v>57.064999999999991</x:v>
      </x:c>
      <x:c r="I39" s="5">
        <x:v>102.18916666666667</x:v>
      </x:c>
      <x:c r="J39" s="5">
        <x:v>132.99333333333325</x:v>
      </x:c>
      <x:c r="K39" s="5">
        <x:v>101.13500000000002</x:v>
      </x:c>
      <x:c r="L39" s="5">
        <x:v>100.01583333333333</x:v>
      </x:c>
    </x:row>
    <x:row r="40" spans="1:12" x14ac:dyDescent="0.2">
      <x:c r="A40" s="1">
        <x:f t="shared" si="0"/>
        <x:v>30</x:v>
      </x:c>
      <x:c r="B40" s="32" t="s">
        <x:v>15</x:v>
      </x:c>
      <x:c r="C40" s="33">
        <x:f>SUM(C28:C39)</x:f>
        <x:v>250.625</x:v>
      </x:c>
      <x:c r="D40" s="33">
        <x:f t="shared" ref="D40:L40" si="2">SUM(D28:D39)</x:f>
        <x:v>148.51291666666668</x:v>
      </x:c>
      <x:c r="E40" s="33">
        <x:f t="shared" si="2"/>
        <x:v>134.94291666666663</x:v>
      </x:c>
      <x:c r="F40" s="33">
        <x:f t="shared" si="2"/>
        <x:v>196.65624999999997</x:v>
      </x:c>
      <x:c r="G40" s="33">
        <x:f t="shared" si="2"/>
        <x:v>231.57708333333329</x:v>
      </x:c>
      <x:c r="H40" s="33">
        <x:f t="shared" si="2"/>
        <x:v>219.03749999999997</x:v>
      </x:c>
      <x:c r="I40" s="33">
        <x:f t="shared" si="2"/>
        <x:v>367.05749999999995</x:v>
      </x:c>
      <x:c r="J40" s="33">
        <x:f t="shared" si="2"/>
        <x:v>476.87291666666658</x:v>
      </x:c>
      <x:c r="K40" s="33">
        <x:f t="shared" si="2"/>
        <x:v>352.78708333333327</x:v>
      </x:c>
      <x:c r="L40" s="33">
        <x:f t="shared" si="2"/>
        <x:v>389.64083333333332</x:v>
      </x:c>
    </x:row>
  </x:sheetData>
  <x:mergeCells count="7">
    <x:mergeCell ref="B1:L1"/>
    <x:mergeCell ref="B4:L4"/>
    <x:mergeCell ref="B26:L26"/>
    <x:mergeCell ref="B9:L9"/>
    <x:mergeCell ref="B6:L6"/>
    <x:mergeCell ref="B2:L2"/>
    <x:mergeCell ref="B3:L3"/>
  </x:mergeCells>
  <x:phoneticPr fontId="1" type="noConversion"/>
  <x:pageMargins left="0.75" right="0.75" top="1" bottom="1" header="0.5" footer="0.5"/>
  <x:pageSetup scale="73" firstPageNumber="3" orientation="portrait" useFirstPageNumber="1" r:id="rId1"/>
  <x:headerFooter alignWithMargins="0">
    <x:oddHeader>&amp;RSchedule II-H-5.1
Page &amp;P of  25</x:oddHeader>
  </x:headerFooter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pageSetUpPr fitToPage="1"/>
  </x:sheetPr>
  <x:dimension ref="A1:Y73"/>
  <x:sheetViews>
    <x:sheetView zoomScaleNormal="100" workbookViewId="0"/>
  </x:sheetViews>
  <x:sheetFormatPr defaultColWidth="9.109375" defaultRowHeight="11.4" x14ac:dyDescent="0.2"/>
  <x:cols>
    <x:col min="1" max="1" width="9.109375" style="1"/>
    <x:col min="2" max="2" width="10.44140625" style="2" bestFit="1" customWidth="1"/>
    <x:col min="3" max="3" width="11.44140625" style="2" customWidth="1"/>
    <x:col min="4" max="4" width="9.5546875" style="2" bestFit="1" customWidth="1"/>
    <x:col min="5" max="5" width="9.6640625" style="2" bestFit="1" customWidth="1"/>
    <x:col min="6" max="6" width="9.5546875" style="2" bestFit="1" customWidth="1"/>
    <x:col min="7" max="7" width="12.33203125" style="2" bestFit="1" customWidth="1"/>
    <x:col min="8" max="8" width="9.88671875" style="2" bestFit="1" customWidth="1"/>
    <x:col min="9" max="9" width="10.5546875" style="2" bestFit="1" customWidth="1"/>
    <x:col min="10" max="10" width="11.33203125" style="2" customWidth="1"/>
    <x:col min="11" max="11" width="10.44140625" style="2" customWidth="1"/>
    <x:col min="12" max="16384" width="9.109375" style="2"/>
  </x:cols>
  <x:sheetData>
    <x:row r="1" spans="1:12" ht="15.6" x14ac:dyDescent="0.3">
      <x:c r="B1" s="88" t="str">
        <x:f>+Base45h!B1</x:f>
        <x:v xml:space="preserve">PUC DOCKET NO. </x:v>
      </x:c>
      <x:c r="C1" s="88"/>
      <x:c r="D1" s="88"/>
      <x:c r="E1" s="88"/>
      <x:c r="F1" s="88"/>
      <x:c r="G1" s="88"/>
      <x:c r="H1" s="88"/>
      <x:c r="I1" s="88"/>
      <x:c r="J1" s="88"/>
      <x:c r="K1" s="88"/>
      <x:c r="L1" s="88"/>
    </x:row>
    <x:row r="2" spans="1:12" ht="15.6" x14ac:dyDescent="0.3">
      <x:c r="B2" s="88" t="str">
        <x:f>+Base45h!B2</x:f>
        <x:v>ONCOR ELECTRIC DELIVERY COMPANY LLC</x:v>
      </x:c>
      <x:c r="C2" s="88"/>
      <x:c r="D2" s="88"/>
      <x:c r="E2" s="88"/>
      <x:c r="F2" s="88"/>
      <x:c r="G2" s="88"/>
      <x:c r="H2" s="88"/>
      <x:c r="I2" s="88"/>
      <x:c r="J2" s="88"/>
      <x:c r="K2" s="88"/>
      <x:c r="L2" s="88"/>
    </x:row>
    <x:row r="3" spans="1:12" ht="15.6" x14ac:dyDescent="0.3">
      <x:c r="B3" s="88" t="str">
        <x:f>+Base45h!B3</x:f>
        <x:v>WEATHER STATION DATA</x:v>
      </x:c>
      <x:c r="C3" s="88"/>
      <x:c r="D3" s="88"/>
      <x:c r="E3" s="88"/>
      <x:c r="F3" s="88"/>
      <x:c r="G3" s="88"/>
      <x:c r="H3" s="88"/>
      <x:c r="I3" s="88"/>
      <x:c r="J3" s="88"/>
      <x:c r="K3" s="88"/>
      <x:c r="L3" s="88"/>
    </x:row>
    <x:row r="4" spans="1:12" ht="15.6" x14ac:dyDescent="0.3">
      <x:c r="B4" s="88" t="str">
        <x:f>+Base45h!B4</x:f>
        <x:v>FOR THE TEST YEAR ENDING DECEMBER 31, 2024</x:v>
      </x:c>
      <x:c r="C4" s="88"/>
      <x:c r="D4" s="88"/>
      <x:c r="E4" s="88"/>
      <x:c r="F4" s="88"/>
      <x:c r="G4" s="88"/>
      <x:c r="H4" s="88"/>
      <x:c r="I4" s="88"/>
      <x:c r="J4" s="88"/>
      <x:c r="K4" s="88"/>
      <x:c r="L4" s="88"/>
    </x:row>
    <x:row r="6" spans="1:12" ht="15.6" x14ac:dyDescent="0.3">
      <x:c r="B6" s="88" t="str">
        <x:f>+Base45h!B6</x:f>
        <x:v>SPONSOR: D. E. NELSON</x:v>
      </x:c>
      <x:c r="C6" s="88"/>
      <x:c r="D6" s="88"/>
      <x:c r="E6" s="88"/>
      <x:c r="F6" s="88"/>
      <x:c r="G6" s="88"/>
      <x:c r="H6" s="88"/>
      <x:c r="I6" s="88"/>
      <x:c r="J6" s="88"/>
      <x:c r="K6" s="88"/>
      <x:c r="L6" s="88"/>
    </x:row>
    <x:row r="9" spans="1:12" ht="12" x14ac:dyDescent="0.25">
      <x:c r="B9" s="89" t="s">
        <x:v>100</x:v>
      </x:c>
      <x:c r="C9" s="89"/>
      <x:c r="D9" s="89"/>
      <x:c r="E9" s="89"/>
      <x:c r="F9" s="89"/>
      <x:c r="G9" s="89"/>
      <x:c r="H9" s="89"/>
      <x:c r="I9" s="89"/>
      <x:c r="J9" s="89"/>
      <x:c r="K9" s="89"/>
      <x:c r="L9" s="89"/>
    </x:row>
    <x:row r="10" spans="1:12" ht="34.799999999999997" thickBot="1" x14ac:dyDescent="0.25">
      <x:c r="A10" s="3" t="s">
        <x:v>4</x:v>
      </x:c>
      <x:c r="C10" s="3" t="s">
        <x:v>55</x:v>
      </x:c>
      <x:c r="D10" s="3" t="s">
        <x:v>6</x:v>
      </x:c>
      <x:c r="E10" s="3" t="s">
        <x:v>7</x:v>
      </x:c>
      <x:c r="F10" s="3" t="s">
        <x:v>8</x:v>
      </x:c>
      <x:c r="G10" s="3" t="s">
        <x:v>9</x:v>
      </x:c>
      <x:c r="H10" s="3" t="s">
        <x:v>10</x:v>
      </x:c>
      <x:c r="I10" s="3" t="s">
        <x:v>11</x:v>
      </x:c>
      <x:c r="J10" s="3" t="s">
        <x:v>12</x:v>
      </x:c>
      <x:c r="K10" s="3" t="s">
        <x:v>13</x:v>
      </x:c>
      <x:c r="L10" s="3" t="s">
        <x:v>14</x:v>
      </x:c>
    </x:row>
    <x:row r="11" spans="1:12" x14ac:dyDescent="0.2">
      <x:c r="A11" s="1">
        <x:v>1</x:v>
      </x:c>
      <x:c r="B11" s="4">
        <x:f>+Base45h!B11</x:f>
        <x:v>45292</x:v>
      </x:c>
      <x:c r="C11" s="5">
        <x:v>405.29999999999995</x:v>
      </x:c>
      <x:c r="D11" s="5">
        <x:v>284.29999999999995</x:v>
      </x:c>
      <x:c r="E11" s="5">
        <x:v>269.69999999999987</x:v>
      </x:c>
      <x:c r="F11" s="5">
        <x:v>331.10000000000008</x:v>
      </x:c>
      <x:c r="G11" s="5">
        <x:v>351.59999999999985</x:v>
      </x:c>
      <x:c r="H11" s="5">
        <x:v>374.2</x:v>
      </x:c>
      <x:c r="I11" s="5">
        <x:v>417.2000000000001</x:v>
      </x:c>
      <x:c r="J11" s="5">
        <x:v>514.6</x:v>
      </x:c>
      <x:c r="K11" s="5">
        <x:v>439.29999999999995</x:v>
      </x:c>
      <x:c r="L11" s="5">
        <x:v>485.8</x:v>
      </x:c>
    </x:row>
    <x:row r="12" spans="1:12" x14ac:dyDescent="0.2">
      <x:c r="A12" s="1">
        <x:f t="shared" ref="A12:A40" si="0">+A11+1</x:f>
        <x:v>2</x:v>
      </x:c>
      <x:c r="B12" s="4">
        <x:f>+Base45h!B12</x:f>
        <x:v>45323</x:v>
      </x:c>
      <x:c r="C12" s="5">
        <x:v>78.099999999999994</x:v>
      </x:c>
      <x:c r="D12" s="5">
        <x:v>55.299999999999983</x:v>
      </x:c>
      <x:c r="E12" s="5">
        <x:v>57.099999999999987</x:v>
      </x:c>
      <x:c r="F12" s="5">
        <x:v>67.099999999999994</x:v>
      </x:c>
      <x:c r="G12" s="5">
        <x:v>70.899999999999977</x:v>
      </x:c>
      <x:c r="H12" s="5">
        <x:v>74.899999999999977</x:v>
      </x:c>
      <x:c r="I12" s="5">
        <x:v>106.19999999999997</x:v>
      </x:c>
      <x:c r="J12" s="5">
        <x:v>145.49999999999997</x:v>
      </x:c>
      <x:c r="K12" s="5">
        <x:v>128.1</x:v>
      </x:c>
      <x:c r="L12" s="5">
        <x:v>117.19999999999997</x:v>
      </x:c>
    </x:row>
    <x:row r="13" spans="1:12" x14ac:dyDescent="0.2">
      <x:c r="A13" s="1">
        <x:f t="shared" si="0"/>
        <x:v>3</x:v>
      </x:c>
      <x:c r="B13" s="4">
        <x:f>+Base45h!B13</x:f>
        <x:v>45352</x:v>
      </x:c>
      <x:c r="C13" s="5">
        <x:v>20.199999999999996</x:v>
      </x:c>
      <x:c r="D13" s="5">
        <x:v>7.4999999999999929</x:v>
      </x:c>
      <x:c r="E13" s="5">
        <x:v>8.2999999999999972</x:v>
      </x:c>
      <x:c r="F13" s="5">
        <x:v>14.799999999999997</x:v>
      </x:c>
      <x:c r="G13" s="5">
        <x:v>26.199999999999996</x:v>
      </x:c>
      <x:c r="H13" s="5">
        <x:v>24.399999999999984</x:v>
      </x:c>
      <x:c r="I13" s="5">
        <x:v>39.299999999999983</x:v>
      </x:c>
      <x:c r="J13" s="5">
        <x:v>65.399999999999977</x:v>
      </x:c>
      <x:c r="K13" s="5">
        <x:v>50.399999999999984</x:v>
      </x:c>
      <x:c r="L13" s="5">
        <x:v>46.199999999999982</x:v>
      </x:c>
    </x:row>
    <x:row r="14" spans="1:12" x14ac:dyDescent="0.2">
      <x:c r="A14" s="1">
        <x:f t="shared" si="0"/>
        <x:v>4</x:v>
      </x:c>
      <x:c r="B14" s="4">
        <x:f>+Base45h!B14</x:f>
        <x:v>45383</x:v>
      </x:c>
      <x:c r="C14" s="5">
        <x:v>0.69999999999999574</x:v>
      </x:c>
      <x:c r="D14" s="5">
        <x:v>0</x:v>
      </x:c>
      <x:c r="E14" s="5">
        <x:v>0</x:v>
      </x:c>
      <x:c r="F14" s="5">
        <x:v>0</x:v>
      </x:c>
      <x:c r="G14" s="5">
        <x:v>0.5</x:v>
      </x:c>
      <x:c r="H14" s="5">
        <x:v>0</x:v>
      </x:c>
      <x:c r="I14" s="5">
        <x:v>4.2999999999999972</x:v>
      </x:c>
      <x:c r="J14" s="5">
        <x:v>4.3999999999999986</x:v>
      </x:c>
      <x:c r="K14" s="5">
        <x:v>12.699999999999989</x:v>
      </x:c>
      <x:c r="L14" s="5">
        <x:v>4.1999999999999957</x:v>
      </x:c>
    </x:row>
    <x:row r="15" spans="1:12" x14ac:dyDescent="0.2">
      <x:c r="A15" s="1">
        <x:f t="shared" si="0"/>
        <x:v>5</x:v>
      </x:c>
      <x:c r="B15" s="4">
        <x:f>+Base45h!B15</x:f>
        <x:v>45413</x:v>
      </x:c>
      <x:c r="C15" s="5">
        <x:v>0</x:v>
      </x:c>
      <x:c r="D15" s="5">
        <x:v>0</x:v>
      </x:c>
      <x:c r="E15" s="5">
        <x:v>0</x:v>
      </x:c>
      <x:c r="F15" s="5">
        <x:v>0</x:v>
      </x:c>
      <x:c r="G15" s="5">
        <x:v>0</x:v>
      </x:c>
      <x:c r="H15" s="5">
        <x:v>0</x:v>
      </x:c>
      <x:c r="I15" s="5">
        <x:v>0</x:v>
      </x:c>
      <x:c r="J15" s="5">
        <x:v>0</x:v>
      </x:c>
      <x:c r="K15" s="5">
        <x:v>0</x:v>
      </x:c>
      <x:c r="L15" s="5">
        <x:v>0</x:v>
      </x:c>
    </x:row>
    <x:row r="16" spans="1:12" x14ac:dyDescent="0.2">
      <x:c r="A16" s="1">
        <x:f t="shared" si="0"/>
        <x:v>6</x:v>
      </x:c>
      <x:c r="B16" s="4">
        <x:f>+Base45h!B16</x:f>
        <x:v>45444</x:v>
      </x:c>
      <x:c r="C16" s="5">
        <x:v>0</x:v>
      </x:c>
      <x:c r="D16" s="5">
        <x:v>0</x:v>
      </x:c>
      <x:c r="E16" s="5">
        <x:v>0</x:v>
      </x:c>
      <x:c r="F16" s="5">
        <x:v>0</x:v>
      </x:c>
      <x:c r="G16" s="5">
        <x:v>0</x:v>
      </x:c>
      <x:c r="H16" s="5">
        <x:v>0</x:v>
      </x:c>
      <x:c r="I16" s="5">
        <x:v>0</x:v>
      </x:c>
      <x:c r="J16" s="5">
        <x:v>0</x:v>
      </x:c>
      <x:c r="K16" s="5">
        <x:v>0</x:v>
      </x:c>
      <x:c r="L16" s="5">
        <x:v>0</x:v>
      </x:c>
    </x:row>
    <x:row r="17" spans="1:12" x14ac:dyDescent="0.2">
      <x:c r="A17" s="1">
        <x:f t="shared" si="0"/>
        <x:v>7</x:v>
      </x:c>
      <x:c r="B17" s="4">
        <x:f>+Base45h!B17</x:f>
        <x:v>45474</x:v>
      </x:c>
      <x:c r="C17" s="5">
        <x:v>0</x:v>
      </x:c>
      <x:c r="D17" s="5">
        <x:v>0</x:v>
      </x:c>
      <x:c r="E17" s="5">
        <x:v>0</x:v>
      </x:c>
      <x:c r="F17" s="5">
        <x:v>0</x:v>
      </x:c>
      <x:c r="G17" s="5">
        <x:v>0</x:v>
      </x:c>
      <x:c r="H17" s="5">
        <x:v>0</x:v>
      </x:c>
      <x:c r="I17" s="5">
        <x:v>0</x:v>
      </x:c>
      <x:c r="J17" s="5">
        <x:v>0</x:v>
      </x:c>
      <x:c r="K17" s="5">
        <x:v>0</x:v>
      </x:c>
      <x:c r="L17" s="5">
        <x:v>0</x:v>
      </x:c>
    </x:row>
    <x:row r="18" spans="1:12" x14ac:dyDescent="0.2">
      <x:c r="A18" s="1">
        <x:f t="shared" si="0"/>
        <x:v>8</x:v>
      </x:c>
      <x:c r="B18" s="4">
        <x:f>+Base45h!B18</x:f>
        <x:v>45505</x:v>
      </x:c>
      <x:c r="C18" s="5">
        <x:v>0</x:v>
      </x:c>
      <x:c r="D18" s="5">
        <x:v>0</x:v>
      </x:c>
      <x:c r="E18" s="5">
        <x:v>0</x:v>
      </x:c>
      <x:c r="F18" s="5">
        <x:v>0</x:v>
      </x:c>
      <x:c r="G18" s="5">
        <x:v>0</x:v>
      </x:c>
      <x:c r="H18" s="5">
        <x:v>0</x:v>
      </x:c>
      <x:c r="I18" s="5">
        <x:v>0</x:v>
      </x:c>
      <x:c r="J18" s="5">
        <x:v>0</x:v>
      </x:c>
      <x:c r="K18" s="5">
        <x:v>0</x:v>
      </x:c>
      <x:c r="L18" s="5">
        <x:v>0</x:v>
      </x:c>
    </x:row>
    <x:row r="19" spans="1:12" x14ac:dyDescent="0.2">
      <x:c r="A19" s="1">
        <x:f t="shared" si="0"/>
        <x:v>9</x:v>
      </x:c>
      <x:c r="B19" s="4">
        <x:f>+Base45h!B19</x:f>
        <x:v>45536</x:v>
      </x:c>
      <x:c r="C19" s="5">
        <x:v>0</x:v>
      </x:c>
      <x:c r="D19" s="5">
        <x:v>0</x:v>
      </x:c>
      <x:c r="E19" s="5">
        <x:v>0</x:v>
      </x:c>
      <x:c r="F19" s="5">
        <x:v>0</x:v>
      </x:c>
      <x:c r="G19" s="5">
        <x:v>0</x:v>
      </x:c>
      <x:c r="H19" s="5">
        <x:v>0</x:v>
      </x:c>
      <x:c r="I19" s="5">
        <x:v>0</x:v>
      </x:c>
      <x:c r="J19" s="5">
        <x:v>0</x:v>
      </x:c>
      <x:c r="K19" s="5">
        <x:v>0</x:v>
      </x:c>
      <x:c r="L19" s="5">
        <x:v>0</x:v>
      </x:c>
    </x:row>
    <x:row r="20" spans="1:12" x14ac:dyDescent="0.2">
      <x:c r="A20" s="1">
        <x:f t="shared" si="0"/>
        <x:v>10</x:v>
      </x:c>
      <x:c r="B20" s="4">
        <x:f>+Base45h!B20</x:f>
        <x:v>45566</x:v>
      </x:c>
      <x:c r="C20" s="5">
        <x:v>0</x:v>
      </x:c>
      <x:c r="D20" s="5">
        <x:v>0</x:v>
      </x:c>
      <x:c r="E20" s="5">
        <x:v>0</x:v>
      </x:c>
      <x:c r="F20" s="5">
        <x:v>0</x:v>
      </x:c>
      <x:c r="G20" s="5">
        <x:v>0</x:v>
      </x:c>
      <x:c r="H20" s="5">
        <x:v>0</x:v>
      </x:c>
      <x:c r="I20" s="5">
        <x:v>0</x:v>
      </x:c>
      <x:c r="J20" s="5">
        <x:v>0</x:v>
      </x:c>
      <x:c r="K20" s="5">
        <x:v>0</x:v>
      </x:c>
      <x:c r="L20" s="5">
        <x:v>0</x:v>
      </x:c>
    </x:row>
    <x:row r="21" spans="1:12" x14ac:dyDescent="0.2">
      <x:c r="A21" s="1">
        <x:f t="shared" si="0"/>
        <x:v>11</x:v>
      </x:c>
      <x:c r="B21" s="4">
        <x:f>+Base45h!B21</x:f>
        <x:v>45597</x:v>
      </x:c>
      <x:c r="C21" s="5">
        <x:v>34.399999999999991</x:v>
      </x:c>
      <x:c r="D21" s="5">
        <x:v>33.899999999999984</x:v>
      </x:c>
      <x:c r="E21" s="5">
        <x:v>16.199999999999996</x:v>
      </x:c>
      <x:c r="F21" s="5">
        <x:v>27.399999999999991</x:v>
      </x:c>
      <x:c r="G21" s="5">
        <x:v>46.999999999999979</x:v>
      </x:c>
      <x:c r="H21" s="5">
        <x:v>36.199999999999989</x:v>
      </x:c>
      <x:c r="I21" s="5">
        <x:v>49.999999999999986</x:v>
      </x:c>
      <x:c r="J21" s="5">
        <x:v>71.599999999999994</x:v>
      </x:c>
      <x:c r="K21" s="5">
        <x:v>69.199999999999989</x:v>
      </x:c>
      <x:c r="L21" s="5">
        <x:v>56.79999999999999</x:v>
      </x:c>
    </x:row>
    <x:row r="22" spans="1:12" x14ac:dyDescent="0.2">
      <x:c r="A22" s="1">
        <x:f t="shared" si="0"/>
        <x:v>12</x:v>
      </x:c>
      <x:c r="B22" s="4">
        <x:f>+Base45h!B22</x:f>
        <x:v>45627</x:v>
      </x:c>
      <x:c r="C22" s="5">
        <x:v>107.19999999999999</x:v>
      </x:c>
      <x:c r="D22" s="5">
        <x:v>98.799999999999969</x:v>
      </x:c>
      <x:c r="E22" s="5">
        <x:v>55.699999999999982</x:v>
      </x:c>
      <x:c r="F22" s="5">
        <x:v>74.799999999999969</x:v>
      </x:c>
      <x:c r="G22" s="5">
        <x:v>135.1</x:v>
      </x:c>
      <x:c r="H22" s="5">
        <x:v>97.499999999999972</x:v>
      </x:c>
      <x:c r="I22" s="5">
        <x:v>120.19999999999996</x:v>
      </x:c>
      <x:c r="J22" s="5">
        <x:v>197.99999999999989</x:v>
      </x:c>
      <x:c r="K22" s="5">
        <x:v>142.29999999999995</x:v>
      </x:c>
      <x:c r="L22" s="5">
        <x:v>167.39999999999992</x:v>
      </x:c>
    </x:row>
    <x:row r="23" spans="1:12" x14ac:dyDescent="0.2">
      <x:c r="A23" s="1">
        <x:f t="shared" si="0"/>
        <x:v>13</x:v>
      </x:c>
      <x:c r="B23" s="32" t="s">
        <x:v>15</x:v>
      </x:c>
      <x:c r="C23" s="33">
        <x:f>SUM(C11:C22)</x:f>
        <x:v>645.89999999999986</x:v>
      </x:c>
      <x:c r="D23" s="33">
        <x:f t="shared" ref="D23:L23" si="1">SUM(D11:D22)</x:f>
        <x:v>479.79999999999984</x:v>
      </x:c>
      <x:c r="E23" s="33">
        <x:f t="shared" si="1"/>
        <x:v>406.99999999999983</x:v>
      </x:c>
      <x:c r="F23" s="33">
        <x:f t="shared" si="1"/>
        <x:v>515.20000000000005</x:v>
      </x:c>
      <x:c r="G23" s="33">
        <x:f t="shared" si="1"/>
        <x:v>631.29999999999984</x:v>
      </x:c>
      <x:c r="H23" s="33">
        <x:f t="shared" si="1"/>
        <x:v>607.19999999999993</x:v>
      </x:c>
      <x:c r="I23" s="33">
        <x:f t="shared" si="1"/>
        <x:v>737.19999999999993</x:v>
      </x:c>
      <x:c r="J23" s="33">
        <x:f t="shared" si="1"/>
        <x:v>999.49999999999989</x:v>
      </x:c>
      <x:c r="K23" s="33">
        <x:f t="shared" si="1"/>
        <x:v>842</x:v>
      </x:c>
      <x:c r="L23" s="33">
        <x:f t="shared" si="1"/>
        <x:v>877.59999999999991</x:v>
      </x:c>
    </x:row>
    <x:row r="24" spans="1:12" x14ac:dyDescent="0.2">
      <x:c r="A24" s="1">
        <x:f t="shared" si="0"/>
        <x:v>14</x:v>
      </x:c>
    </x:row>
    <x:row r="25" spans="1:12" x14ac:dyDescent="0.2">
      <x:c r="A25" s="1">
        <x:f t="shared" si="0"/>
        <x:v>15</x:v>
      </x:c>
    </x:row>
    <x:row r="26" spans="1:12" ht="12" x14ac:dyDescent="0.25">
      <x:c r="A26" s="1">
        <x:f t="shared" si="0"/>
        <x:v>16</x:v>
      </x:c>
      <x:c r="B26" s="89" t="s">
        <x:v>101</x:v>
      </x:c>
      <x:c r="C26" s="89"/>
      <x:c r="D26" s="89"/>
      <x:c r="E26" s="89"/>
      <x:c r="F26" s="89"/>
      <x:c r="G26" s="89"/>
      <x:c r="H26" s="89"/>
      <x:c r="I26" s="89"/>
      <x:c r="J26" s="89"/>
      <x:c r="K26" s="89"/>
      <x:c r="L26" s="89"/>
    </x:row>
    <x:row r="27" spans="1:12" ht="34.799999999999997" thickBot="1" x14ac:dyDescent="0.25">
      <x:c r="A27" s="1">
        <x:f t="shared" si="0"/>
        <x:v>17</x:v>
      </x:c>
      <x:c r="C27" s="3" t="s">
        <x:v>55</x:v>
      </x:c>
      <x:c r="D27" s="3" t="s">
        <x:v>6</x:v>
      </x:c>
      <x:c r="E27" s="72" t="s">
        <x:v>7</x:v>
      </x:c>
      <x:c r="F27" s="72" t="s">
        <x:v>8</x:v>
      </x:c>
      <x:c r="G27" s="72" t="s">
        <x:v>9</x:v>
      </x:c>
      <x:c r="H27" s="72" t="s">
        <x:v>10</x:v>
      </x:c>
      <x:c r="I27" s="72" t="s">
        <x:v>11</x:v>
      </x:c>
      <x:c r="J27" s="72" t="s">
        <x:v>12</x:v>
      </x:c>
      <x:c r="K27" s="72" t="s">
        <x:v>13</x:v>
      </x:c>
      <x:c r="L27" s="72" t="s">
        <x:v>14</x:v>
      </x:c>
    </x:row>
    <x:row r="28" spans="1:12" x14ac:dyDescent="0.2">
      <x:c r="A28" s="1">
        <x:f t="shared" si="0"/>
        <x:v>18</x:v>
      </x:c>
      <x:c r="B28" s="4">
        <x:f>+Base45h!B28</x:f>
        <x:v>45292</x:v>
      </x:c>
      <x:c r="C28" s="5">
        <x:v>275.14833333333326</x:v>
      </x:c>
      <x:c r="D28" s="5">
        <x:v>223.51249999999996</x:v>
      </x:c>
      <x:c r="E28" s="5">
        <x:v>201.28291666666669</x:v>
      </x:c>
      <x:c r="F28" s="5">
        <x:v>233.87124999999992</x:v>
      </x:c>
      <x:c r="G28" s="5">
        <x:v>275.1295833333333</x:v>
      </x:c>
      <x:c r="H28" s="5">
        <x:v>264.63083333333327</x:v>
      </x:c>
      <x:c r="I28" s="5">
        <x:v>322.91291666666655</x:v>
      </x:c>
      <x:c r="J28" s="5">
        <x:v>392.18041666666676</x:v>
      </x:c>
      <x:c r="K28" s="5">
        <x:v>338.14541666666668</x:v>
      </x:c>
      <x:c r="L28" s="5">
        <x:v>361.41083333333341</x:v>
      </x:c>
    </x:row>
    <x:row r="29" spans="1:12" x14ac:dyDescent="0.2">
      <x:c r="A29" s="1">
        <x:f t="shared" si="0"/>
        <x:v>19</x:v>
      </x:c>
      <x:c r="B29" s="4">
        <x:f>+Base45h!B29</x:f>
        <x:v>45323</x:v>
      </x:c>
      <x:c r="C29" s="5">
        <x:v>215.81624999999997</x:v>
      </x:c>
      <x:c r="D29" s="5">
        <x:v>153.15875000000003</x:v>
      </x:c>
      <x:c r="E29" s="5">
        <x:v>143.58750000000001</x:v>
      </x:c>
      <x:c r="F29" s="5">
        <x:v>178.33624999999995</x:v>
      </x:c>
      <x:c r="G29" s="5">
        <x:v>202.3783333333333</x:v>
      </x:c>
      <x:c r="H29" s="5">
        <x:v>194.63624999999996</x:v>
      </x:c>
      <x:c r="I29" s="5">
        <x:v>256.32833333333332</x:v>
      </x:c>
      <x:c r="J29" s="5">
        <x:v>313.16958333333338</x:v>
      </x:c>
      <x:c r="K29" s="5">
        <x:v>241.84624999999997</x:v>
      </x:c>
      <x:c r="L29" s="5">
        <x:v>282.02041666666662</x:v>
      </x:c>
    </x:row>
    <x:row r="30" spans="1:12" x14ac:dyDescent="0.2">
      <x:c r="A30" s="1">
        <x:f t="shared" si="0"/>
        <x:v>20</x:v>
      </x:c>
      <x:c r="B30" s="4">
        <x:f>+Base45h!B30</x:f>
        <x:v>45352</x:v>
      </x:c>
      <x:c r="C30" s="5">
        <x:v>56.721249999999998</x:v>
      </x:c>
      <x:c r="D30" s="5">
        <x:v>40.860416666666637</x:v>
      </x:c>
      <x:c r="E30" s="5">
        <x:v>33.915416666666665</x:v>
      </x:c>
      <x:c r="F30" s="5">
        <x:v>45.306666666666679</x:v>
      </x:c>
      <x:c r="G30" s="5">
        <x:v>59.830833333333331</x:v>
      </x:c>
      <x:c r="H30" s="5">
        <x:v>53.717500000000001</x:v>
      </x:c>
      <x:c r="I30" s="5">
        <x:v>78.590416666666698</x:v>
      </x:c>
      <x:c r="J30" s="5">
        <x:v>101.50666666666665</x:v>
      </x:c>
      <x:c r="K30" s="5">
        <x:v>77.392083333333304</x:v>
      </x:c>
      <x:c r="L30" s="5">
        <x:v>94.18708333333332</x:v>
      </x:c>
    </x:row>
    <x:row r="31" spans="1:12" x14ac:dyDescent="0.2">
      <x:c r="A31" s="1">
        <x:f t="shared" si="0"/>
        <x:v>21</x:v>
      </x:c>
      <x:c r="B31" s="4">
        <x:f>+Base45h!B31</x:f>
        <x:v>45383</x:v>
      </x:c>
      <x:c r="C31" s="5">
        <x:v>10.326249999999991</x:v>
      </x:c>
      <x:c r="D31" s="5">
        <x:v>5.8341666666666692</x:v>
      </x:c>
      <x:c r="E31" s="5">
        <x:v>4.5845833333333346</x:v>
      </x:c>
      <x:c r="F31" s="5">
        <x:v>8.204583333333332</x:v>
      </x:c>
      <x:c r="G31" s="5">
        <x:v>10.568333333333321</x:v>
      </x:c>
      <x:c r="H31" s="5">
        <x:v>9.5724999999999998</x:v>
      </x:c>
      <x:c r="I31" s="5">
        <x:v>19.664166666666659</x:v>
      </x:c>
      <x:c r="J31" s="5">
        <x:v>24.458333333333339</x:v>
      </x:c>
      <x:c r="K31" s="5">
        <x:v>16.574166666666653</x:v>
      </x:c>
      <x:c r="L31" s="5">
        <x:v>21.453749999999999</x:v>
      </x:c>
    </x:row>
    <x:row r="32" spans="1:12" x14ac:dyDescent="0.2">
      <x:c r="A32" s="1">
        <x:f t="shared" si="0"/>
        <x:v>22</x:v>
      </x:c>
      <x:c r="B32" s="4">
        <x:f>+Base45h!B32</x:f>
        <x:v>45413</x:v>
      </x:c>
      <x:c r="C32" s="5">
        <x:v>0.63375000000000015</x:v>
      </x:c>
      <x:c r="D32" s="5">
        <x:v>0.05</x:v>
      </x:c>
      <x:c r="E32" s="5">
        <x:v>0.15500000000000008</x:v>
      </x:c>
      <x:c r="F32" s="5">
        <x:v>0.46000000000000019</x:v>
      </x:c>
      <x:c r="G32" s="5">
        <x:v>0.33999999999999986</x:v>
      </x:c>
      <x:c r="H32" s="5">
        <x:v>0.41499999999999981</x:v>
      </x:c>
      <x:c r="I32" s="5">
        <x:v>1.7795833333333348</x:v>
      </x:c>
      <x:c r="J32" s="5">
        <x:v>2.0083333333333298</x:v>
      </x:c>
      <x:c r="K32" s="5">
        <x:v>1.9283333333333297</x:v>
      </x:c>
      <x:c r="L32" s="5">
        <x:v>2.3474999999999997</x:v>
      </x:c>
    </x:row>
    <x:row r="33" spans="1:25" x14ac:dyDescent="0.2">
      <x:c r="A33" s="1">
        <x:f t="shared" si="0"/>
        <x:v>23</x:v>
      </x:c>
      <x:c r="B33" s="4">
        <x:f>+Base45h!B33</x:f>
        <x:v>45444</x:v>
      </x:c>
      <x:c r="C33" s="5">
        <x:v>0</x:v>
      </x:c>
      <x:c r="D33" s="5">
        <x:v>0</x:v>
      </x:c>
      <x:c r="E33" s="5">
        <x:v>0</x:v>
      </x:c>
      <x:c r="F33" s="5">
        <x:v>0</x:v>
      </x:c>
      <x:c r="G33" s="5">
        <x:v>0</x:v>
      </x:c>
      <x:c r="H33" s="5">
        <x:v>0</x:v>
      </x:c>
      <x:c r="I33" s="5">
        <x:v>0</x:v>
      </x:c>
      <x:c r="J33" s="5">
        <x:v>0</x:v>
      </x:c>
      <x:c r="K33" s="5">
        <x:v>0</x:v>
      </x:c>
      <x:c r="L33" s="5">
        <x:v>0</x:v>
      </x:c>
    </x:row>
    <x:row r="34" spans="1:25" x14ac:dyDescent="0.2">
      <x:c r="A34" s="1">
        <x:f t="shared" si="0"/>
        <x:v>24</x:v>
      </x:c>
      <x:c r="B34" s="4">
        <x:f>+Base45h!B34</x:f>
        <x:v>45474</x:v>
      </x:c>
      <x:c r="C34" s="5">
        <x:v>0</x:v>
      </x:c>
      <x:c r="D34" s="5">
        <x:v>0</x:v>
      </x:c>
      <x:c r="E34" s="5">
        <x:v>0</x:v>
      </x:c>
      <x:c r="F34" s="5">
        <x:v>0</x:v>
      </x:c>
      <x:c r="G34" s="5">
        <x:v>0</x:v>
      </x:c>
      <x:c r="H34" s="5">
        <x:v>0</x:v>
      </x:c>
      <x:c r="I34" s="5">
        <x:v>0</x:v>
      </x:c>
      <x:c r="J34" s="5">
        <x:v>0</x:v>
      </x:c>
      <x:c r="K34" s="5">
        <x:v>0</x:v>
      </x:c>
      <x:c r="L34" s="5">
        <x:v>0</x:v>
      </x:c>
    </x:row>
    <x:row r="35" spans="1:25" x14ac:dyDescent="0.2">
      <x:c r="A35" s="1">
        <x:f t="shared" si="0"/>
        <x:v>25</x:v>
      </x:c>
      <x:c r="B35" s="4">
        <x:f>+Base45h!B35</x:f>
        <x:v>45505</x:v>
      </x:c>
      <x:c r="C35" s="5">
        <x:v>0</x:v>
      </x:c>
      <x:c r="D35" s="5">
        <x:v>0</x:v>
      </x:c>
      <x:c r="E35" s="5">
        <x:v>0</x:v>
      </x:c>
      <x:c r="F35" s="5">
        <x:v>0</x:v>
      </x:c>
      <x:c r="G35" s="5">
        <x:v>0</x:v>
      </x:c>
      <x:c r="H35" s="5">
        <x:v>0</x:v>
      </x:c>
      <x:c r="I35" s="5">
        <x:v>0</x:v>
      </x:c>
      <x:c r="J35" s="5">
        <x:v>0</x:v>
      </x:c>
      <x:c r="K35" s="5">
        <x:v>0</x:v>
      </x:c>
      <x:c r="L35" s="5">
        <x:v>0</x:v>
      </x:c>
    </x:row>
    <x:row r="36" spans="1:25" x14ac:dyDescent="0.2">
      <x:c r="A36" s="1">
        <x:f t="shared" si="0"/>
        <x:v>26</x:v>
      </x:c>
      <x:c r="B36" s="4">
        <x:f>+Base45h!B36</x:f>
        <x:v>45536</x:v>
      </x:c>
      <x:c r="C36" s="5">
        <x:v>0</x:v>
      </x:c>
      <x:c r="D36" s="5">
        <x:v>0</x:v>
      </x:c>
      <x:c r="E36" s="5">
        <x:v>0</x:v>
      </x:c>
      <x:c r="F36" s="5">
        <x:v>0</x:v>
      </x:c>
      <x:c r="G36" s="5">
        <x:v>0</x:v>
      </x:c>
      <x:c r="H36" s="5">
        <x:v>0</x:v>
      </x:c>
      <x:c r="I36" s="5">
        <x:v>0.34999999999999964</x:v>
      </x:c>
      <x:c r="J36" s="5">
        <x:v>7.4999999999999997E-2</x:v>
      </x:c>
      <x:c r="K36" s="5">
        <x:v>0.68999999999999984</x:v>
      </x:c>
      <x:c r="L36" s="5">
        <x:v>0</x:v>
      </x:c>
    </x:row>
    <x:row r="37" spans="1:25" x14ac:dyDescent="0.2">
      <x:c r="A37" s="1">
        <x:f t="shared" si="0"/>
        <x:v>27</x:v>
      </x:c>
      <x:c r="B37" s="4">
        <x:f>+Base45h!B37</x:f>
        <x:v>45566</x:v>
      </x:c>
      <x:c r="C37" s="5">
        <x:v>10.382083333333334</x:v>
      </x:c>
      <x:c r="D37" s="5">
        <x:v>5.7229166666666629</x:v>
      </x:c>
      <x:c r="E37" s="5">
        <x:v>5.4645833333333291</x:v>
      </x:c>
      <x:c r="F37" s="5">
        <x:v>9.1991666666666632</x:v>
      </x:c>
      <x:c r="G37" s="5">
        <x:v>10.168333333333328</x:v>
      </x:c>
      <x:c r="H37" s="5">
        <x:v>9.6945833333333375</x:v>
      </x:c>
      <x:c r="I37" s="5">
        <x:v>22.47291666666667</x:v>
      </x:c>
      <x:c r="J37" s="5">
        <x:v>24.224999999999998</x:v>
      </x:c>
      <x:c r="K37" s="5">
        <x:v>21.649583333333329</x:v>
      </x:c>
      <x:c r="L37" s="5">
        <x:v>18.150416666666658</x:v>
      </x:c>
    </x:row>
    <x:row r="38" spans="1:25" x14ac:dyDescent="0.2">
      <x:c r="A38" s="1">
        <x:f t="shared" si="0"/>
        <x:v>28</x:v>
      </x:c>
      <x:c r="B38" s="4">
        <x:f>+Base45h!B38</x:f>
        <x:v>45597</x:v>
      </x:c>
      <x:c r="C38" s="5">
        <x:v>77.440833333333345</x:v>
      </x:c>
      <x:c r="D38" s="5">
        <x:v>70.749166666666639</x:v>
      </x:c>
      <x:c r="E38" s="5">
        <x:v>59.311666666666682</x:v>
      </x:c>
      <x:c r="F38" s="5">
        <x:v>73.604583333333309</x:v>
      </x:c>
      <x:c r="G38" s="5">
        <x:v>93.92625000000001</x:v>
      </x:c>
      <x:c r="H38" s="5">
        <x:v>80.865833333333313</x:v>
      </x:c>
      <x:c r="I38" s="5">
        <x:v>112.43625000000003</x:v>
      </x:c>
      <x:c r="J38" s="5">
        <x:v>133.83333333333331</x:v>
      </x:c>
      <x:c r="K38" s="5">
        <x:v>124.63999999999996</x:v>
      </x:c>
      <x:c r="L38" s="5">
        <x:v>109.07708333333332</x:v>
      </x:c>
    </x:row>
    <x:row r="39" spans="1:25" x14ac:dyDescent="0.2">
      <x:c r="A39" s="1">
        <x:f t="shared" si="0"/>
        <x:v>29</x:v>
      </x:c>
      <x:c r="B39" s="4">
        <x:f>+Base45h!B39</x:f>
        <x:v>45627</x:v>
      </x:c>
      <x:c r="C39" s="5">
        <x:v>230.0575</x:v>
      </x:c>
      <x:c r="D39" s="5">
        <x:v>186.58166666666662</x:v>
      </x:c>
      <x:c r="E39" s="5">
        <x:v>170.68458333333331</x:v>
      </x:c>
      <x:c r="F39" s="5">
        <x:v>203.35499999999996</x:v>
      </x:c>
      <x:c r="G39" s="5">
        <x:v>232.59791666666669</x:v>
      </x:c>
      <x:c r="H39" s="5">
        <x:v>224.46208333333334</x:v>
      </x:c>
      <x:c r="I39" s="5">
        <x:v>286</x:v>
      </x:c>
      <x:c r="J39" s="5">
        <x:v>353.0520833333332</x:v>
      </x:c>
      <x:c r="K39" s="5">
        <x:v>304.24333333333334</x:v>
      </x:c>
      <x:c r="L39" s="5">
        <x:v>297.57958333333335</x:v>
      </x:c>
    </x:row>
    <x:row r="40" spans="1:25" x14ac:dyDescent="0.2">
      <x:c r="A40" s="1">
        <x:f t="shared" si="0"/>
        <x:v>30</x:v>
      </x:c>
      <x:c r="B40" s="32" t="s">
        <x:v>15</x:v>
      </x:c>
      <x:c r="C40" s="33">
        <x:f>SUM(C28:C39)</x:f>
        <x:v>876.52624999999978</x:v>
      </x:c>
      <x:c r="D40" s="33">
        <x:f t="shared" ref="D40:L40" si="2">SUM(D28:D39)</x:f>
        <x:v>686.46958333333316</x:v>
      </x:c>
      <x:c r="E40" s="33">
        <x:f t="shared" si="2"/>
        <x:v>618.98624999999993</x:v>
      </x:c>
      <x:c r="F40" s="33">
        <x:f t="shared" si="2"/>
        <x:v>752.33749999999986</x:v>
      </x:c>
      <x:c r="G40" s="33">
        <x:f t="shared" si="2"/>
        <x:v>884.93958333333319</x:v>
      </x:c>
      <x:c r="H40" s="33">
        <x:f t="shared" si="2"/>
        <x:v>837.99458333333314</x:v>
      </x:c>
      <x:c r="I40" s="33">
        <x:f t="shared" si="2"/>
        <x:v>1100.5345833333333</x:v>
      </x:c>
      <x:c r="J40" s="33">
        <x:f t="shared" si="2"/>
        <x:v>1344.5087500000002</x:v>
      </x:c>
      <x:c r="K40" s="33">
        <x:f t="shared" si="2"/>
        <x:v>1127.1091666666666</x:v>
      </x:c>
      <x:c r="L40" s="33">
        <x:f t="shared" si="2"/>
        <x:v>1186.2266666666667</x:v>
      </x:c>
    </x:row>
    <x:row r="41" spans="1:25" x14ac:dyDescent="0.2">
      <x:c r="A41" s="34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</x:row>
    <x:row r="42" spans="1:25" ht="12" x14ac:dyDescent="0.25">
      <x:c r="A42" s="34"/>
      <x:c r="B42" s="90"/>
      <x:c r="C42" s="90"/>
      <x:c r="D42" s="90"/>
      <x:c r="E42" s="90"/>
      <x:c r="F42" s="90"/>
      <x:c r="G42" s="90"/>
      <x:c r="H42" s="90"/>
      <x:c r="I42" s="90"/>
      <x:c r="J42" s="90"/>
      <x:c r="K42" s="90"/>
      <x:c r="L42" s="90"/>
    </x:row>
    <x:row r="43" spans="1:25" x14ac:dyDescent="0.2">
      <x:c r="A43" s="34"/>
      <x:c r="B43" s="35"/>
      <x:c r="C43" s="36"/>
      <x:c r="D43" s="36"/>
      <x:c r="E43" s="36"/>
      <x:c r="F43" s="36"/>
      <x:c r="G43" s="36"/>
      <x:c r="H43" s="36"/>
      <x:c r="I43" s="36"/>
      <x:c r="J43" s="36"/>
      <x:c r="K43" s="36"/>
      <x:c r="L43" s="36"/>
    </x:row>
    <x:row r="44" spans="1:25" x14ac:dyDescent="0.2">
      <x:c r="A44" s="34"/>
      <x:c r="B44" s="25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Y44" s="2" t="str">
        <x:f t="shared" ref="Y44:Y55" si="3">MONTH(B44)&amp;YEAR(B44)</x:f>
        <x:v>11900</x:v>
      </x:c>
    </x:row>
    <x:row r="45" spans="1:25" x14ac:dyDescent="0.2">
      <x:c r="A45" s="34"/>
      <x:c r="B45" s="25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Y45" s="2" t="str">
        <x:f t="shared" si="3"/>
        <x:v>11900</x:v>
      </x:c>
    </x:row>
    <x:row r="46" spans="1:25" x14ac:dyDescent="0.2">
      <x:c r="A46" s="34"/>
      <x:c r="B46" s="25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Y46" s="2" t="str">
        <x:f t="shared" si="3"/>
        <x:v>11900</x:v>
      </x:c>
    </x:row>
    <x:row r="47" spans="1:25" x14ac:dyDescent="0.2">
      <x:c r="A47" s="34"/>
      <x:c r="B47" s="25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Y47" s="2" t="str">
        <x:f t="shared" si="3"/>
        <x:v>11900</x:v>
      </x:c>
    </x:row>
    <x:row r="48" spans="1:25" x14ac:dyDescent="0.2">
      <x:c r="A48" s="34"/>
      <x:c r="B48" s="25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Y48" s="2" t="str">
        <x:f t="shared" si="3"/>
        <x:v>11900</x:v>
      </x:c>
    </x:row>
    <x:row r="49" spans="1:25" x14ac:dyDescent="0.2">
      <x:c r="A49" s="34"/>
      <x:c r="B49" s="25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Y49" s="2" t="str">
        <x:f t="shared" si="3"/>
        <x:v>11900</x:v>
      </x:c>
    </x:row>
    <x:row r="50" spans="1:25" x14ac:dyDescent="0.2">
      <x:c r="A50" s="34"/>
      <x:c r="B50" s="25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Y50" s="2" t="str">
        <x:f t="shared" si="3"/>
        <x:v>11900</x:v>
      </x:c>
    </x:row>
    <x:row r="51" spans="1:25" x14ac:dyDescent="0.2">
      <x:c r="A51" s="34"/>
      <x:c r="B51" s="25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Y51" s="2" t="str">
        <x:f t="shared" si="3"/>
        <x:v>11900</x:v>
      </x:c>
    </x:row>
    <x:row r="52" spans="1:25" x14ac:dyDescent="0.2">
      <x:c r="A52" s="34"/>
      <x:c r="B52" s="25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Y52" s="2" t="str">
        <x:f t="shared" si="3"/>
        <x:v>11900</x:v>
      </x:c>
    </x:row>
    <x:row r="53" spans="1:25" x14ac:dyDescent="0.2">
      <x:c r="A53" s="34"/>
      <x:c r="B53" s="25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Y53" s="2" t="str">
        <x:f t="shared" si="3"/>
        <x:v>11900</x:v>
      </x:c>
    </x:row>
    <x:row r="54" spans="1:25" x14ac:dyDescent="0.2">
      <x:c r="A54" s="34"/>
      <x:c r="B54" s="25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Y54" s="2" t="str">
        <x:f t="shared" si="3"/>
        <x:v>11900</x:v>
      </x:c>
    </x:row>
    <x:row r="55" spans="1:25" x14ac:dyDescent="0.2">
      <x:c r="A55" s="34"/>
      <x:c r="B55" s="25"/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  <x:c r="Y55" s="2" t="str">
        <x:f t="shared" si="3"/>
        <x:v>11900</x:v>
      </x:c>
    </x:row>
    <x:row r="56" spans="1:25" x14ac:dyDescent="0.2">
      <x:c r="A56" s="34"/>
      <x:c r="B56" s="37"/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</x:row>
    <x:row r="57" spans="1:25" x14ac:dyDescent="0.2">
      <x:c r="A57" s="34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</x:row>
    <x:row r="58" spans="1:25" x14ac:dyDescent="0.2">
      <x:c r="A58" s="34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</x:row>
    <x:row r="59" spans="1:25" ht="12" x14ac:dyDescent="0.25">
      <x:c r="A59" s="34"/>
      <x:c r="B59" s="90"/>
      <x:c r="C59" s="90"/>
      <x:c r="D59" s="90"/>
      <x:c r="E59" s="90"/>
      <x:c r="F59" s="90"/>
      <x:c r="G59" s="90"/>
      <x:c r="H59" s="90"/>
      <x:c r="I59" s="90"/>
      <x:c r="J59" s="90"/>
      <x:c r="K59" s="90"/>
      <x:c r="L59" s="90"/>
    </x:row>
    <x:row r="60" spans="1:25" x14ac:dyDescent="0.2">
      <x:c r="A60" s="34"/>
      <x:c r="B60" s="35"/>
      <x:c r="C60" s="36"/>
      <x:c r="D60" s="36"/>
      <x:c r="E60" s="36"/>
      <x:c r="F60" s="36"/>
      <x:c r="G60" s="36"/>
      <x:c r="H60" s="36"/>
      <x:c r="I60" s="36"/>
      <x:c r="J60" s="36"/>
      <x:c r="K60" s="36"/>
      <x:c r="L60" s="36"/>
    </x:row>
    <x:row r="61" spans="1:25" x14ac:dyDescent="0.2">
      <x:c r="A61" s="34"/>
      <x:c r="B61" s="25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Y61" s="2">
        <x:f>MONTH(B61)</x:f>
        <x:v>1</x:v>
      </x:c>
    </x:row>
    <x:row r="62" spans="1:25" x14ac:dyDescent="0.2">
      <x:c r="A62" s="34"/>
      <x:c r="B62" s="25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Y62" s="2">
        <x:f>MONTH(B62)</x:f>
        <x:v>1</x:v>
      </x:c>
    </x:row>
    <x:row r="63" spans="1:25" x14ac:dyDescent="0.2">
      <x:c r="A63" s="34"/>
      <x:c r="B63" s="25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Y63" s="2">
        <x:f>MONTH(B63)</x:f>
        <x:v>1</x:v>
      </x:c>
    </x:row>
    <x:row r="64" spans="1:25" x14ac:dyDescent="0.2">
      <x:c r="A64" s="34"/>
      <x:c r="B64" s="25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Y64" s="2">
        <x:f>MONTH(B64)</x:f>
        <x:v>1</x:v>
      </x:c>
    </x:row>
    <x:row r="65" spans="1:25" x14ac:dyDescent="0.2">
      <x:c r="A65" s="34"/>
      <x:c r="B65" s="25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Y65" s="2">
        <x:f>MONTH(B65)</x:f>
        <x:v>1</x:v>
      </x:c>
    </x:row>
    <x:row r="66" spans="1:25" x14ac:dyDescent="0.2">
      <x:c r="A66" s="34"/>
      <x:c r="B66" s="25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Y66" s="2">
        <x:f t="shared" ref="Y66:Y72" si="4">MONTH(B66)</x:f>
        <x:v>1</x:v>
      </x:c>
    </x:row>
    <x:row r="67" spans="1:25" x14ac:dyDescent="0.2">
      <x:c r="A67" s="34"/>
      <x:c r="B67" s="25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Y67" s="2">
        <x:f t="shared" si="4"/>
        <x:v>1</x:v>
      </x:c>
    </x:row>
    <x:row r="68" spans="1:25" x14ac:dyDescent="0.2">
      <x:c r="A68" s="34"/>
      <x:c r="B68" s="25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Y68" s="2">
        <x:f t="shared" si="4"/>
        <x:v>1</x:v>
      </x:c>
    </x:row>
    <x:row r="69" spans="1:25" x14ac:dyDescent="0.2">
      <x:c r="A69" s="34"/>
      <x:c r="B69" s="25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Y69" s="2">
        <x:f t="shared" si="4"/>
        <x:v>1</x:v>
      </x:c>
    </x:row>
    <x:row r="70" spans="1:25" x14ac:dyDescent="0.2">
      <x:c r="A70" s="34"/>
      <x:c r="B70" s="25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Y70" s="2">
        <x:f t="shared" si="4"/>
        <x:v>1</x:v>
      </x:c>
    </x:row>
    <x:row r="71" spans="1:25" x14ac:dyDescent="0.2">
      <x:c r="A71" s="34"/>
      <x:c r="B71" s="25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Y71" s="2">
        <x:f t="shared" si="4"/>
        <x:v>1</x:v>
      </x:c>
    </x:row>
    <x:row r="72" spans="1:25" x14ac:dyDescent="0.2">
      <x:c r="A72" s="34"/>
      <x:c r="B72" s="25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Y72" s="2">
        <x:f t="shared" si="4"/>
        <x:v>1</x:v>
      </x:c>
    </x:row>
    <x:row r="73" spans="1:25" x14ac:dyDescent="0.2">
      <x:c r="A73" s="34"/>
      <x:c r="B73" s="37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</x:row>
  </x:sheetData>
  <x:mergeCells count="9">
    <x:mergeCell ref="B26:L26"/>
    <x:mergeCell ref="B42:L42"/>
    <x:mergeCell ref="B59:L59"/>
    <x:mergeCell ref="B1:L1"/>
    <x:mergeCell ref="B2:L2"/>
    <x:mergeCell ref="B3:L3"/>
    <x:mergeCell ref="B4:L4"/>
    <x:mergeCell ref="B6:L6"/>
    <x:mergeCell ref="B9:L9"/>
  </x:mergeCells>
  <x:pageMargins left="0.75" right="0.75" top="1" bottom="1" header="0.5" footer="0.5"/>
  <x:pageSetup scale="73" firstPageNumber="3" orientation="portrait" r:id="rId1"/>
  <x:headerFooter alignWithMargins="0">
    <x:oddHeader>&amp;RSchedule II-H-5.1
Page &amp;P of  25</x:oddHeader>
  </x:headerFooter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pageSetUpPr fitToPage="1"/>
  </x:sheetPr>
  <x:dimension ref="A1:L40"/>
  <x:sheetViews>
    <x:sheetView zoomScaleNormal="100" workbookViewId="0"/>
  </x:sheetViews>
  <x:sheetFormatPr defaultColWidth="9.109375" defaultRowHeight="11.4" x14ac:dyDescent="0.2"/>
  <x:cols>
    <x:col min="1" max="1" width="9.109375" style="1"/>
    <x:col min="2" max="2" width="10.44140625" style="2" bestFit="1" customWidth="1"/>
    <x:col min="3" max="3" width="11.44140625" style="2" customWidth="1"/>
    <x:col min="4" max="4" width="9.5546875" style="2" bestFit="1" customWidth="1"/>
    <x:col min="5" max="5" width="9.6640625" style="2" bestFit="1" customWidth="1"/>
    <x:col min="6" max="6" width="9.5546875" style="2" bestFit="1" customWidth="1"/>
    <x:col min="7" max="7" width="12.33203125" style="2" bestFit="1" customWidth="1"/>
    <x:col min="8" max="8" width="9.88671875" style="2" bestFit="1" customWidth="1"/>
    <x:col min="9" max="9" width="10.5546875" style="2" bestFit="1" customWidth="1"/>
    <x:col min="10" max="10" width="11.33203125" style="2" customWidth="1"/>
    <x:col min="11" max="11" width="10.44140625" style="2" customWidth="1"/>
    <x:col min="12" max="16384" width="9.109375" style="2"/>
  </x:cols>
  <x:sheetData>
    <x:row r="1" spans="1:12" ht="15.6" x14ac:dyDescent="0.3">
      <x:c r="B1" s="88" t="str">
        <x:f>+Base45h!B1</x:f>
        <x:v xml:space="preserve">PUC DOCKET NO. </x:v>
      </x:c>
      <x:c r="C1" s="88"/>
      <x:c r="D1" s="88"/>
      <x:c r="E1" s="88"/>
      <x:c r="F1" s="88"/>
      <x:c r="G1" s="88"/>
      <x:c r="H1" s="88"/>
      <x:c r="I1" s="88"/>
      <x:c r="J1" s="88"/>
      <x:c r="K1" s="88"/>
      <x:c r="L1" s="88"/>
    </x:row>
    <x:row r="2" spans="1:12" ht="15.6" x14ac:dyDescent="0.3">
      <x:c r="B2" s="88" t="str">
        <x:f>+Base45h!B2</x:f>
        <x:v>ONCOR ELECTRIC DELIVERY COMPANY LLC</x:v>
      </x:c>
      <x:c r="C2" s="88"/>
      <x:c r="D2" s="88"/>
      <x:c r="E2" s="88"/>
      <x:c r="F2" s="88"/>
      <x:c r="G2" s="88"/>
      <x:c r="H2" s="88"/>
      <x:c r="I2" s="88"/>
      <x:c r="J2" s="88"/>
      <x:c r="K2" s="88"/>
      <x:c r="L2" s="88"/>
    </x:row>
    <x:row r="3" spans="1:12" ht="15.6" x14ac:dyDescent="0.3">
      <x:c r="B3" s="88" t="str">
        <x:f>+Base45h!B3</x:f>
        <x:v>WEATHER STATION DATA</x:v>
      </x:c>
      <x:c r="C3" s="88"/>
      <x:c r="D3" s="88"/>
      <x:c r="E3" s="88"/>
      <x:c r="F3" s="88"/>
      <x:c r="G3" s="88"/>
      <x:c r="H3" s="88"/>
      <x:c r="I3" s="88"/>
      <x:c r="J3" s="88"/>
      <x:c r="K3" s="88"/>
      <x:c r="L3" s="88"/>
    </x:row>
    <x:row r="4" spans="1:12" ht="15.6" x14ac:dyDescent="0.3">
      <x:c r="B4" s="88" t="str">
        <x:f>+Base45h!B4</x:f>
        <x:v>FOR THE TEST YEAR ENDING DECEMBER 31, 2024</x:v>
      </x:c>
      <x:c r="C4" s="88"/>
      <x:c r="D4" s="88"/>
      <x:c r="E4" s="88"/>
      <x:c r="F4" s="88"/>
      <x:c r="G4" s="88"/>
      <x:c r="H4" s="88"/>
      <x:c r="I4" s="88"/>
      <x:c r="J4" s="88"/>
      <x:c r="K4" s="88"/>
      <x:c r="L4" s="88"/>
    </x:row>
    <x:row r="6" spans="1:12" ht="15.6" x14ac:dyDescent="0.3">
      <x:c r="B6" s="88" t="str">
        <x:f>+Base45h!B6</x:f>
        <x:v>SPONSOR: D. E. NELSON</x:v>
      </x:c>
      <x:c r="C6" s="88"/>
      <x:c r="D6" s="88"/>
      <x:c r="E6" s="88"/>
      <x:c r="F6" s="88"/>
      <x:c r="G6" s="88"/>
      <x:c r="H6" s="88"/>
      <x:c r="I6" s="88"/>
      <x:c r="J6" s="88"/>
      <x:c r="K6" s="88"/>
      <x:c r="L6" s="88"/>
    </x:row>
    <x:row r="9" spans="1:12" ht="12" x14ac:dyDescent="0.25">
      <x:c r="B9" s="89" t="s">
        <x:v>82</x:v>
      </x:c>
      <x:c r="C9" s="89"/>
      <x:c r="D9" s="89"/>
      <x:c r="E9" s="89"/>
      <x:c r="F9" s="89"/>
      <x:c r="G9" s="89"/>
      <x:c r="H9" s="89"/>
      <x:c r="I9" s="89"/>
      <x:c r="J9" s="89"/>
      <x:c r="K9" s="89"/>
      <x:c r="L9" s="89"/>
    </x:row>
    <x:row r="10" spans="1:12" ht="34.799999999999997" thickBot="1" x14ac:dyDescent="0.25">
      <x:c r="A10" s="3" t="s">
        <x:v>4</x:v>
      </x:c>
      <x:c r="C10" s="3" t="s">
        <x:v>55</x:v>
      </x:c>
      <x:c r="D10" s="3" t="s">
        <x:v>6</x:v>
      </x:c>
      <x:c r="E10" s="3" t="s">
        <x:v>7</x:v>
      </x:c>
      <x:c r="F10" s="3" t="s">
        <x:v>8</x:v>
      </x:c>
      <x:c r="G10" s="3" t="s">
        <x:v>9</x:v>
      </x:c>
      <x:c r="H10" s="3" t="s">
        <x:v>10</x:v>
      </x:c>
      <x:c r="I10" s="3" t="s">
        <x:v>11</x:v>
      </x:c>
      <x:c r="J10" s="3" t="s">
        <x:v>12</x:v>
      </x:c>
      <x:c r="K10" s="3" t="s">
        <x:v>13</x:v>
      </x:c>
      <x:c r="L10" s="3" t="s">
        <x:v>14</x:v>
      </x:c>
    </x:row>
    <x:row r="11" spans="1:12" x14ac:dyDescent="0.2">
      <x:c r="A11" s="1">
        <x:v>1</x:v>
      </x:c>
      <x:c r="B11" s="4">
        <x:f>+Base45h!B11</x:f>
        <x:v>45292</x:v>
      </x:c>
      <x:c r="C11" s="5">
        <x:v>550.00000000000011</x:v>
      </x:c>
      <x:c r="D11" s="5">
        <x:v>414.49999999999989</x:v>
      </x:c>
      <x:c r="E11" s="5">
        <x:v>419.29999999999984</x:v>
      </x:c>
      <x:c r="F11" s="5">
        <x:v>475.8</x:v>
      </x:c>
      <x:c r="G11" s="5">
        <x:v>487.39999999999986</x:v>
      </x:c>
      <x:c r="H11" s="5">
        <x:v>529.09999999999991</x:v>
      </x:c>
      <x:c r="I11" s="5">
        <x:v>568.20000000000005</x:v>
      </x:c>
      <x:c r="J11" s="5">
        <x:v>668.8</x:v>
      </x:c>
      <x:c r="K11" s="5">
        <x:v>594.29999999999995</x:v>
      </x:c>
      <x:c r="L11" s="5">
        <x:v>638.1</x:v>
      </x:c>
    </x:row>
    <x:row r="12" spans="1:12" x14ac:dyDescent="0.2">
      <x:c r="A12" s="1">
        <x:f>+A11+1</x:f>
        <x:v>2</x:v>
      </x:c>
      <x:c r="B12" s="4">
        <x:f>+Base45h!B12</x:f>
        <x:v>45323</x:v>
      </x:c>
      <x:c r="C12" s="5">
        <x:v>147.59999999999997</x:v>
      </x:c>
      <x:c r="D12" s="5">
        <x:v>109.59999999999997</x:v>
      </x:c>
      <x:c r="E12" s="5">
        <x:v>119.89999999999995</x:v>
      </x:c>
      <x:c r="F12" s="5">
        <x:v>127.99999999999997</x:v>
      </x:c>
      <x:c r="G12" s="5">
        <x:v>140.69999999999996</x:v>
      </x:c>
      <x:c r="H12" s="5">
        <x:v>146.99999999999997</x:v>
      </x:c>
      <x:c r="I12" s="5">
        <x:v>194.39999999999992</x:v>
      </x:c>
      <x:c r="J12" s="5">
        <x:v>247.59999999999997</x:v>
      </x:c>
      <x:c r="K12" s="5">
        <x:v>231.59999999999997</x:v>
      </x:c>
      <x:c r="L12" s="5">
        <x:v>200.09999999999991</x:v>
      </x:c>
    </x:row>
    <x:row r="13" spans="1:12" x14ac:dyDescent="0.2">
      <x:c r="A13" s="1">
        <x:f t="shared" ref="A13:A40" si="0">+A12+1</x:f>
        <x:v>3</x:v>
      </x:c>
      <x:c r="B13" s="4">
        <x:f>+Base45h!B13</x:f>
        <x:v>45352</x:v>
      </x:c>
      <x:c r="C13" s="5">
        <x:v>62.899999999999984</x:v>
      </x:c>
      <x:c r="D13" s="5">
        <x:v>42.299999999999983</x:v>
      </x:c>
      <x:c r="E13" s="5">
        <x:v>39.299999999999997</x:v>
      </x:c>
      <x:c r="F13" s="5">
        <x:v>53.599999999999994</x:v>
      </x:c>
      <x:c r="G13" s="5">
        <x:v>75.199999999999974</x:v>
      </x:c>
      <x:c r="H13" s="5">
        <x:v>66.59999999999998</x:v>
      </x:c>
      <x:c r="I13" s="5">
        <x:v>104.69999999999999</x:v>
      </x:c>
      <x:c r="J13" s="5">
        <x:v>143.89999999999998</x:v>
      </x:c>
      <x:c r="K13" s="5">
        <x:v>116.39999999999995</x:v>
      </x:c>
      <x:c r="L13" s="5">
        <x:v>106.69999999999996</x:v>
      </x:c>
    </x:row>
    <x:row r="14" spans="1:12" x14ac:dyDescent="0.2">
      <x:c r="A14" s="1">
        <x:f t="shared" si="0"/>
        <x:v>4</x:v>
      </x:c>
      <x:c r="B14" s="4">
        <x:f>+Base45h!B14</x:f>
        <x:v>45383</x:v>
      </x:c>
      <x:c r="C14" s="5">
        <x:v>8.0999999999999943</x:v>
      </x:c>
      <x:c r="D14" s="5">
        <x:v>3.5</x:v>
      </x:c>
      <x:c r="E14" s="5">
        <x:v>1.6000000000000014</x:v>
      </x:c>
      <x:c r="F14" s="5">
        <x:v>4.8999999999999915</x:v>
      </x:c>
      <x:c r="G14" s="5">
        <x:v>12.299999999999997</x:v>
      </x:c>
      <x:c r="H14" s="5">
        <x:v>5.9999999999999929</x:v>
      </x:c>
      <x:c r="I14" s="5">
        <x:v>23.999999999999986</x:v>
      </x:c>
      <x:c r="J14" s="5">
        <x:v>31.199999999999989</x:v>
      </x:c>
      <x:c r="K14" s="5">
        <x:v>41.199999999999982</x:v>
      </x:c>
      <x:c r="L14" s="5">
        <x:v>29.199999999999989</x:v>
      </x:c>
    </x:row>
    <x:row r="15" spans="1:12" x14ac:dyDescent="0.2">
      <x:c r="A15" s="1">
        <x:f t="shared" si="0"/>
        <x:v>5</x:v>
      </x:c>
      <x:c r="B15" s="4">
        <x:f>+Base45h!B15</x:f>
        <x:v>45413</x:v>
      </x:c>
      <x:c r="C15" s="5">
        <x:v>0</x:v>
      </x:c>
      <x:c r="D15" s="5">
        <x:v>0</x:v>
      </x:c>
      <x:c r="E15" s="5">
        <x:v>0</x:v>
      </x:c>
      <x:c r="F15" s="5">
        <x:v>0</x:v>
      </x:c>
      <x:c r="G15" s="5">
        <x:v>0</x:v>
      </x:c>
      <x:c r="H15" s="5">
        <x:v>0</x:v>
      </x:c>
      <x:c r="I15" s="5">
        <x:v>0</x:v>
      </x:c>
      <x:c r="J15" s="5">
        <x:v>0</x:v>
      </x:c>
      <x:c r="K15" s="5">
        <x:v>0</x:v>
      </x:c>
      <x:c r="L15" s="5">
        <x:v>0</x:v>
      </x:c>
    </x:row>
    <x:row r="16" spans="1:12" x14ac:dyDescent="0.2">
      <x:c r="A16" s="1">
        <x:f t="shared" si="0"/>
        <x:v>6</x:v>
      </x:c>
      <x:c r="B16" s="4">
        <x:f>+Base45h!B16</x:f>
        <x:v>45444</x:v>
      </x:c>
      <x:c r="C16" s="5">
        <x:v>0</x:v>
      </x:c>
      <x:c r="D16" s="5">
        <x:v>0</x:v>
      </x:c>
      <x:c r="E16" s="5">
        <x:v>0</x:v>
      </x:c>
      <x:c r="F16" s="5">
        <x:v>0</x:v>
      </x:c>
      <x:c r="G16" s="5">
        <x:v>0</x:v>
      </x:c>
      <x:c r="H16" s="5">
        <x:v>0</x:v>
      </x:c>
      <x:c r="I16" s="5">
        <x:v>0</x:v>
      </x:c>
      <x:c r="J16" s="5">
        <x:v>0</x:v>
      </x:c>
      <x:c r="K16" s="5">
        <x:v>0</x:v>
      </x:c>
      <x:c r="L16" s="5">
        <x:v>0</x:v>
      </x:c>
    </x:row>
    <x:row r="17" spans="1:12" x14ac:dyDescent="0.2">
      <x:c r="A17" s="1">
        <x:f t="shared" si="0"/>
        <x:v>7</x:v>
      </x:c>
      <x:c r="B17" s="4">
        <x:f>+Base45h!B17</x:f>
        <x:v>45474</x:v>
      </x:c>
      <x:c r="C17" s="5">
        <x:v>0</x:v>
      </x:c>
      <x:c r="D17" s="5">
        <x:v>0</x:v>
      </x:c>
      <x:c r="E17" s="5">
        <x:v>0</x:v>
      </x:c>
      <x:c r="F17" s="5">
        <x:v>0</x:v>
      </x:c>
      <x:c r="G17" s="5">
        <x:v>0</x:v>
      </x:c>
      <x:c r="H17" s="5">
        <x:v>0</x:v>
      </x:c>
      <x:c r="I17" s="5">
        <x:v>0</x:v>
      </x:c>
      <x:c r="J17" s="5">
        <x:v>0</x:v>
      </x:c>
      <x:c r="K17" s="5">
        <x:v>0</x:v>
      </x:c>
      <x:c r="L17" s="5">
        <x:v>0</x:v>
      </x:c>
    </x:row>
    <x:row r="18" spans="1:12" x14ac:dyDescent="0.2">
      <x:c r="A18" s="1">
        <x:f t="shared" si="0"/>
        <x:v>8</x:v>
      </x:c>
      <x:c r="B18" s="4">
        <x:f>+Base45h!B18</x:f>
        <x:v>45505</x:v>
      </x:c>
      <x:c r="C18" s="5">
        <x:v>0</x:v>
      </x:c>
      <x:c r="D18" s="5">
        <x:v>0</x:v>
      </x:c>
      <x:c r="E18" s="5">
        <x:v>0</x:v>
      </x:c>
      <x:c r="F18" s="5">
        <x:v>0</x:v>
      </x:c>
      <x:c r="G18" s="5">
        <x:v>0</x:v>
      </x:c>
      <x:c r="H18" s="5">
        <x:v>0</x:v>
      </x:c>
      <x:c r="I18" s="5">
        <x:v>0</x:v>
      </x:c>
      <x:c r="J18" s="5">
        <x:v>0</x:v>
      </x:c>
      <x:c r="K18" s="5">
        <x:v>0</x:v>
      </x:c>
      <x:c r="L18" s="5">
        <x:v>0</x:v>
      </x:c>
    </x:row>
    <x:row r="19" spans="1:12" x14ac:dyDescent="0.2">
      <x:c r="A19" s="1">
        <x:f t="shared" si="0"/>
        <x:v>9</x:v>
      </x:c>
      <x:c r="B19" s="4">
        <x:f>+Base45h!B19</x:f>
        <x:v>45536</x:v>
      </x:c>
      <x:c r="C19" s="5">
        <x:v>0</x:v>
      </x:c>
      <x:c r="D19" s="5">
        <x:v>0</x:v>
      </x:c>
      <x:c r="E19" s="5">
        <x:v>0</x:v>
      </x:c>
      <x:c r="F19" s="5">
        <x:v>0</x:v>
      </x:c>
      <x:c r="G19" s="5">
        <x:v>0</x:v>
      </x:c>
      <x:c r="H19" s="5">
        <x:v>0</x:v>
      </x:c>
      <x:c r="I19" s="5">
        <x:v>0</x:v>
      </x:c>
      <x:c r="J19" s="5">
        <x:v>0</x:v>
      </x:c>
      <x:c r="K19" s="5">
        <x:v>0</x:v>
      </x:c>
      <x:c r="L19" s="5">
        <x:v>0</x:v>
      </x:c>
    </x:row>
    <x:row r="20" spans="1:12" x14ac:dyDescent="0.2">
      <x:c r="A20" s="1">
        <x:f t="shared" si="0"/>
        <x:v>10</x:v>
      </x:c>
      <x:c r="B20" s="4">
        <x:f>+Base45h!B20</x:f>
        <x:v>45566</x:v>
      </x:c>
      <x:c r="C20" s="5">
        <x:v>0</x:v>
      </x:c>
      <x:c r="D20" s="5">
        <x:v>4.5999999999999943</x:v>
      </x:c>
      <x:c r="E20" s="5">
        <x:v>0</x:v>
      </x:c>
      <x:c r="F20" s="5">
        <x:v>0</x:v>
      </x:c>
      <x:c r="G20" s="5">
        <x:v>7.9999999999999929</x:v>
      </x:c>
      <x:c r="H20" s="5">
        <x:v>1.3999999999999986</x:v>
      </x:c>
      <x:c r="I20" s="5">
        <x:v>0</x:v>
      </x:c>
      <x:c r="J20" s="5">
        <x:v>9.0999999999999943</x:v>
      </x:c>
      <x:c r="K20" s="5">
        <x:v>2.2999999999999972</x:v>
      </x:c>
      <x:c r="L20" s="5">
        <x:v>4.3999999999999915</x:v>
      </x:c>
    </x:row>
    <x:row r="21" spans="1:12" x14ac:dyDescent="0.2">
      <x:c r="A21" s="1">
        <x:f t="shared" si="0"/>
        <x:v>11</x:v>
      </x:c>
      <x:c r="B21" s="4">
        <x:f>+Base45h!B21</x:f>
        <x:v>45597</x:v>
      </x:c>
      <x:c r="C21" s="5">
        <x:v>76.599999999999994</x:v>
      </x:c>
      <x:c r="D21" s="5">
        <x:v>79.299999999999983</x:v>
      </x:c>
      <x:c r="E21" s="5">
        <x:v>56.899999999999991</x:v>
      </x:c>
      <x:c r="F21" s="5">
        <x:v>65.09999999999998</x:v>
      </x:c>
      <x:c r="G21" s="5">
        <x:v>96.1</x:v>
      </x:c>
      <x:c r="H21" s="5">
        <x:v>82.199999999999989</x:v>
      </x:c>
      <x:c r="I21" s="5">
        <x:v>104.1</x:v>
      </x:c>
      <x:c r="J21" s="5">
        <x:v>142.69999999999996</x:v>
      </x:c>
      <x:c r="K21" s="5">
        <x:v>151.59999999999997</x:v>
      </x:c>
      <x:c r="L21" s="5">
        <x:v>108.79999999999997</x:v>
      </x:c>
    </x:row>
    <x:row r="22" spans="1:12" x14ac:dyDescent="0.2">
      <x:c r="A22" s="1">
        <x:f t="shared" si="0"/>
        <x:v>12</x:v>
      </x:c>
      <x:c r="B22" s="4">
        <x:f>+Base45h!B22</x:f>
        <x:v>45627</x:v>
      </x:c>
      <x:c r="C22" s="5">
        <x:v>214.19999999999996</x:v>
      </x:c>
      <x:c r="D22" s="5">
        <x:v>187.39999999999998</x:v>
      </x:c>
      <x:c r="E22" s="5">
        <x:v>131.09999999999997</x:v>
      </x:c>
      <x:c r="F22" s="5">
        <x:v>157.79999999999998</x:v>
      </x:c>
      <x:c r="G22" s="5">
        <x:v>232.09999999999994</x:v>
      </x:c>
      <x:c r="H22" s="5">
        <x:v>190.99999999999994</x:v>
      </x:c>
      <x:c r="I22" s="5">
        <x:v>226.69999999999996</x:v>
      </x:c>
      <x:c r="J22" s="5">
        <x:v>331.4</x:v>
      </x:c>
      <x:c r="K22" s="5">
        <x:v>274.29999999999995</x:v>
      </x:c>
      <x:c r="L22" s="5">
        <x:v>291.79999999999995</x:v>
      </x:c>
    </x:row>
    <x:row r="23" spans="1:12" x14ac:dyDescent="0.2">
      <x:c r="A23" s="1">
        <x:f t="shared" si="0"/>
        <x:v>13</x:v>
      </x:c>
      <x:c r="B23" s="32" t="s">
        <x:v>15</x:v>
      </x:c>
      <x:c r="C23" s="33">
        <x:f>SUM(C11:C22)</x:f>
        <x:v>1059.4000000000001</x:v>
      </x:c>
      <x:c r="D23" s="33">
        <x:f t="shared" ref="D23:L23" si="1">SUM(D11:D22)</x:f>
        <x:v>841.19999999999982</x:v>
      </x:c>
      <x:c r="E23" s="33">
        <x:f t="shared" si="1"/>
        <x:v>768.09999999999968</x:v>
      </x:c>
      <x:c r="F23" s="33">
        <x:f t="shared" si="1"/>
        <x:v>885.19999999999993</x:v>
      </x:c>
      <x:c r="G23" s="33">
        <x:f t="shared" si="1"/>
        <x:v>1051.7999999999997</x:v>
      </x:c>
      <x:c r="H23" s="33">
        <x:f t="shared" si="1"/>
        <x:v>1023.3</x:v>
      </x:c>
      <x:c r="I23" s="33">
        <x:f t="shared" si="1"/>
        <x:v>1222.0999999999999</x:v>
      </x:c>
      <x:c r="J23" s="33">
        <x:f t="shared" si="1"/>
        <x:v>1574.6999999999998</x:v>
      </x:c>
      <x:c r="K23" s="33">
        <x:f t="shared" si="1"/>
        <x:v>1411.6999999999996</x:v>
      </x:c>
      <x:c r="L23" s="33">
        <x:f t="shared" si="1"/>
        <x:v>1379.1</x:v>
      </x:c>
    </x:row>
    <x:row r="24" spans="1:12" x14ac:dyDescent="0.2">
      <x:c r="A24" s="1">
        <x:f t="shared" si="0"/>
        <x:v>14</x:v>
      </x:c>
    </x:row>
    <x:row r="25" spans="1:12" x14ac:dyDescent="0.2">
      <x:c r="A25" s="1">
        <x:f t="shared" si="0"/>
        <x:v>15</x:v>
      </x:c>
    </x:row>
    <x:row r="26" spans="1:12" ht="12" x14ac:dyDescent="0.25">
      <x:c r="A26" s="1">
        <x:f t="shared" si="0"/>
        <x:v>16</x:v>
      </x:c>
      <x:c r="B26" s="89" t="s">
        <x:v>83</x:v>
      </x:c>
      <x:c r="C26" s="89"/>
      <x:c r="D26" s="89"/>
      <x:c r="E26" s="89"/>
      <x:c r="F26" s="89"/>
      <x:c r="G26" s="89"/>
      <x:c r="H26" s="89"/>
      <x:c r="I26" s="89"/>
      <x:c r="J26" s="89"/>
      <x:c r="K26" s="89"/>
      <x:c r="L26" s="89"/>
    </x:row>
    <x:row r="27" spans="1:12" ht="34.799999999999997" thickBot="1" x14ac:dyDescent="0.25">
      <x:c r="A27" s="1">
        <x:f t="shared" si="0"/>
        <x:v>17</x:v>
      </x:c>
      <x:c r="C27" s="3" t="s">
        <x:v>55</x:v>
      </x:c>
      <x:c r="D27" s="3" t="s">
        <x:v>6</x:v>
      </x:c>
      <x:c r="E27" s="72" t="s">
        <x:v>7</x:v>
      </x:c>
      <x:c r="F27" s="72" t="s">
        <x:v>8</x:v>
      </x:c>
      <x:c r="G27" s="72" t="s">
        <x:v>9</x:v>
      </x:c>
      <x:c r="H27" s="72" t="s">
        <x:v>10</x:v>
      </x:c>
      <x:c r="I27" s="72" t="s">
        <x:v>11</x:v>
      </x:c>
      <x:c r="J27" s="72" t="s">
        <x:v>12</x:v>
      </x:c>
      <x:c r="K27" s="72" t="s">
        <x:v>13</x:v>
      </x:c>
      <x:c r="L27" s="72" t="s">
        <x:v>14</x:v>
      </x:c>
    </x:row>
    <x:row r="28" spans="1:12" x14ac:dyDescent="0.2">
      <x:c r="A28" s="1">
        <x:f t="shared" si="0"/>
        <x:v>18</x:v>
      </x:c>
      <x:c r="B28" s="4">
        <x:f>+Base45h!B28</x:f>
        <x:v>45292</x:v>
      </x:c>
      <x:c r="C28" s="5">
        <x:v>405.65875000000011</x:v>
      </x:c>
      <x:c r="D28" s="5">
        <x:v>342.16624999999993</x:v>
      </x:c>
      <x:c r="E28" s="5">
        <x:v>320.07583333333332</x:v>
      </x:c>
      <x:c r="F28" s="5">
        <x:v>357.19333333333344</x:v>
      </x:c>
      <x:c r="G28" s="5">
        <x:v>402.64208333333323</x:v>
      </x:c>
      <x:c r="H28" s="5">
        <x:v>393.47375</x:v>
      </x:c>
      <x:c r="I28" s="5">
        <x:v>458.14708333333323</x:v>
      </x:c>
      <x:c r="J28" s="5">
        <x:v>534.62166666666667</x:v>
      </x:c>
      <x:c r="K28" s="5">
        <x:v>483.25166666666672</x:v>
      </x:c>
      <x:c r="L28" s="5">
        <x:v>500.53333333333325</x:v>
      </x:c>
    </x:row>
    <x:row r="29" spans="1:12" x14ac:dyDescent="0.2">
      <x:c r="A29" s="1">
        <x:f t="shared" si="0"/>
        <x:v>19</x:v>
      </x:c>
      <x:c r="B29" s="4">
        <x:f>+Base45h!B29</x:f>
        <x:v>45323</x:v>
      </x:c>
      <x:c r="C29" s="5">
        <x:v>318.68666666666667</x:v>
      </x:c>
      <x:c r="D29" s="5">
        <x:v>245.81333333333336</x:v>
      </x:c>
      <x:c r="E29" s="5">
        <x:v>234.44166666666666</x:v>
      </x:c>
      <x:c r="F29" s="5">
        <x:v>274.31541666666658</x:v>
      </x:c>
      <x:c r="G29" s="5">
        <x:v>306.21374999999989</x:v>
      </x:c>
      <x:c r="H29" s="5">
        <x:v>295.77041666666662</x:v>
      </x:c>
      <x:c r="I29" s="5">
        <x:v>364.28916666666663</x:v>
      </x:c>
      <x:c r="J29" s="5">
        <x:v>434.52624999999983</x:v>
      </x:c>
      <x:c r="K29" s="5">
        <x:v>355.93458333333331</x:v>
      </x:c>
      <x:c r="L29" s="5">
        <x:v>398.28666666666663</x:v>
      </x:c>
    </x:row>
    <x:row r="30" spans="1:12" x14ac:dyDescent="0.2">
      <x:c r="A30" s="1">
        <x:f t="shared" si="0"/>
        <x:v>20</x:v>
      </x:c>
      <x:c r="B30" s="4">
        <x:f>+Base45h!B30</x:f>
        <x:v>45352</x:v>
      </x:c>
      <x:c r="C30" s="5">
        <x:v>114.42958333333334</x:v>
      </x:c>
      <x:c r="D30" s="5">
        <x:v>89.799999999999983</x:v>
      </x:c>
      <x:c r="E30" s="5">
        <x:v>76.623750000000015</x:v>
      </x:c>
      <x:c r="F30" s="5">
        <x:v>94.947083333333339</x:v>
      </x:c>
      <x:c r="G30" s="5">
        <x:v>122.01624999999999</x:v>
      </x:c>
      <x:c r="H30" s="5">
        <x:v>109.03083333333336</x:v>
      </x:c>
      <x:c r="I30" s="5">
        <x:v>148.77833333333331</x:v>
      </x:c>
      <x:c r="J30" s="5">
        <x:v>185.94541666666663</x:v>
      </x:c>
      <x:c r="K30" s="5">
        <x:v>148.03499999999997</x:v>
      </x:c>
      <x:c r="L30" s="5">
        <x:v>174.74083333333323</x:v>
      </x:c>
    </x:row>
    <x:row r="31" spans="1:12" x14ac:dyDescent="0.2">
      <x:c r="A31" s="1">
        <x:f t="shared" si="0"/>
        <x:v>21</x:v>
      </x:c>
      <x:c r="B31" s="4">
        <x:f>+Base45h!B31</x:f>
        <x:v>45383</x:v>
      </x:c>
      <x:c r="C31" s="5">
        <x:v>28.067499999999995</x:v>
      </x:c>
      <x:c r="D31" s="5">
        <x:v>20.742083333333341</x:v>
      </x:c>
      <x:c r="E31" s="5">
        <x:v>17.025416666666668</x:v>
      </x:c>
      <x:c r="F31" s="5">
        <x:v>23.677499999999995</x:v>
      </x:c>
      <x:c r="G31" s="5">
        <x:v>31.901666666666657</x:v>
      </x:c>
      <x:c r="H31" s="5">
        <x:v>27.290416666666655</x:v>
      </x:c>
      <x:c r="I31" s="5">
        <x:v>46.679999999999993</x:v>
      </x:c>
      <x:c r="J31" s="5">
        <x:v>59.253333333333337</x:v>
      </x:c>
      <x:c r="K31" s="5">
        <x:v>40.965416666666663</x:v>
      </x:c>
      <x:c r="L31" s="5">
        <x:v>57.69583333333334</x:v>
      </x:c>
    </x:row>
    <x:row r="32" spans="1:12" x14ac:dyDescent="0.2">
      <x:c r="A32" s="1">
        <x:f t="shared" si="0"/>
        <x:v>22</x:v>
      </x:c>
      <x:c r="B32" s="4">
        <x:f>+Base45h!B32</x:f>
        <x:v>45413</x:v>
      </x:c>
      <x:c r="C32" s="5">
        <x:v>3.1375000000000002</x:v>
      </x:c>
      <x:c r="D32" s="5">
        <x:v>0.69958333333333023</x:v>
      </x:c>
      <x:c r="E32" s="5">
        <x:v>0.8570833333333352</x:v>
      </x:c>
      <x:c r="F32" s="5">
        <x:v>1.9937500000000001</x:v>
      </x:c>
      <x:c r="G32" s="5">
        <x:v>1.9308333333333343</x:v>
      </x:c>
      <x:c r="H32" s="5">
        <x:v>1.9458333333333346</x:v>
      </x:c>
      <x:c r="I32" s="5">
        <x:v>6.9558333333333344</x:v>
      </x:c>
      <x:c r="J32" s="5">
        <x:v>7.9624999999999932</x:v>
      </x:c>
      <x:c r="K32" s="5">
        <x:v>6.6958333333333311</x:v>
      </x:c>
      <x:c r="L32" s="5">
        <x:v>8.2362499999999983</x:v>
      </x:c>
    </x:row>
    <x:row r="33" spans="1:12" x14ac:dyDescent="0.2">
      <x:c r="A33" s="1">
        <x:f t="shared" si="0"/>
        <x:v>23</x:v>
      </x:c>
      <x:c r="B33" s="4">
        <x:f>+Base45h!B33</x:f>
        <x:v>45444</x:v>
      </x:c>
      <x:c r="C33" s="5">
        <x:v>0</x:v>
      </x:c>
      <x:c r="D33" s="5">
        <x:v>0</x:v>
      </x:c>
      <x:c r="E33" s="5">
        <x:v>0</x:v>
      </x:c>
      <x:c r="F33" s="5">
        <x:v>0</x:v>
      </x:c>
      <x:c r="G33" s="5">
        <x:v>0</x:v>
      </x:c>
      <x:c r="H33" s="5">
        <x:v>0</x:v>
      </x:c>
      <x:c r="I33" s="5">
        <x:v>0</x:v>
      </x:c>
      <x:c r="J33" s="5">
        <x:v>0</x:v>
      </x:c>
      <x:c r="K33" s="5">
        <x:v>0</x:v>
      </x:c>
      <x:c r="L33" s="5">
        <x:v>0</x:v>
      </x:c>
    </x:row>
    <x:row r="34" spans="1:12" x14ac:dyDescent="0.2">
      <x:c r="A34" s="1">
        <x:f t="shared" si="0"/>
        <x:v>24</x:v>
      </x:c>
      <x:c r="B34" s="4">
        <x:f>+Base45h!B34</x:f>
        <x:v>45474</x:v>
      </x:c>
      <x:c r="C34" s="5">
        <x:v>0</x:v>
      </x:c>
      <x:c r="D34" s="5">
        <x:v>0</x:v>
      </x:c>
      <x:c r="E34" s="5">
        <x:v>0</x:v>
      </x:c>
      <x:c r="F34" s="5">
        <x:v>0</x:v>
      </x:c>
      <x:c r="G34" s="5">
        <x:v>0</x:v>
      </x:c>
      <x:c r="H34" s="5">
        <x:v>0</x:v>
      </x:c>
      <x:c r="I34" s="5">
        <x:v>0</x:v>
      </x:c>
      <x:c r="J34" s="5">
        <x:v>0</x:v>
      </x:c>
      <x:c r="K34" s="5">
        <x:v>0</x:v>
      </x:c>
      <x:c r="L34" s="5">
        <x:v>0</x:v>
      </x:c>
    </x:row>
    <x:row r="35" spans="1:12" x14ac:dyDescent="0.2">
      <x:c r="A35" s="1">
        <x:f t="shared" si="0"/>
        <x:v>25</x:v>
      </x:c>
      <x:c r="B35" s="4">
        <x:f>+Base45h!B35</x:f>
        <x:v>45505</x:v>
      </x:c>
      <x:c r="C35" s="5">
        <x:v>0</x:v>
      </x:c>
      <x:c r="D35" s="5">
        <x:v>0</x:v>
      </x:c>
      <x:c r="E35" s="5">
        <x:v>0</x:v>
      </x:c>
      <x:c r="F35" s="5">
        <x:v>0</x:v>
      </x:c>
      <x:c r="G35" s="5">
        <x:v>0</x:v>
      </x:c>
      <x:c r="H35" s="5">
        <x:v>0</x:v>
      </x:c>
      <x:c r="I35" s="5">
        <x:v>0</x:v>
      </x:c>
      <x:c r="J35" s="5">
        <x:v>0</x:v>
      </x:c>
      <x:c r="K35" s="5">
        <x:v>0</x:v>
      </x:c>
      <x:c r="L35" s="5">
        <x:v>0</x:v>
      </x:c>
    </x:row>
    <x:row r="36" spans="1:12" x14ac:dyDescent="0.2">
      <x:c r="A36" s="1">
        <x:f t="shared" si="0"/>
        <x:v>26</x:v>
      </x:c>
      <x:c r="B36" s="4">
        <x:f>+Base45h!B36</x:f>
        <x:v>45536</x:v>
      </x:c>
      <x:c r="C36" s="5">
        <x:v>0</x:v>
      </x:c>
      <x:c r="D36" s="5">
        <x:v>0</x:v>
      </x:c>
      <x:c r="E36" s="5">
        <x:v>0</x:v>
      </x:c>
      <x:c r="F36" s="5">
        <x:v>3.9999999999999855E-2</x:v>
      </x:c>
      <x:c r="G36" s="5">
        <x:v>0</x:v>
      </x:c>
      <x:c r="H36" s="5">
        <x:v>0</x:v>
      </x:c>
      <x:c r="I36" s="5">
        <x:v>1.0999999999999999</x:v>
      </x:c>
      <x:c r="J36" s="5">
        <x:v>0.63499999999999979</x:v>
      </x:c>
      <x:c r="K36" s="5">
        <x:v>1.7049999999999996</x:v>
      </x:c>
      <x:c r="L36" s="5">
        <x:v>1.0000000000000142E-2</x:v>
      </x:c>
    </x:row>
    <x:row r="37" spans="1:12" x14ac:dyDescent="0.2">
      <x:c r="A37" s="1">
        <x:f t="shared" si="0"/>
        <x:v>27</x:v>
      </x:c>
      <x:c r="B37" s="4">
        <x:f>+Base45h!B37</x:f>
        <x:v>45566</x:v>
      </x:c>
      <x:c r="C37" s="5">
        <x:v>27.022083333333327</x:v>
      </x:c>
      <x:c r="D37" s="5">
        <x:v>22.682499999999987</x:v>
      </x:c>
      <x:c r="E37" s="5">
        <x:v>18.510833333333331</x:v>
      </x:c>
      <x:c r="F37" s="5">
        <x:v>25.192916666666662</x:v>
      </x:c>
      <x:c r="G37" s="5">
        <x:v>33.06333333333334</x:v>
      </x:c>
      <x:c r="H37" s="5">
        <x:v>27.174583333333345</x:v>
      </x:c>
      <x:c r="I37" s="5">
        <x:v>47.822083333333332</x:v>
      </x:c>
      <x:c r="J37" s="5">
        <x:v>55.975416666666661</x:v>
      </x:c>
      <x:c r="K37" s="5">
        <x:v>47.869583333333317</x:v>
      </x:c>
      <x:c r="L37" s="5">
        <x:v>46.326666666666661</x:v>
      </x:c>
    </x:row>
    <x:row r="38" spans="1:12" x14ac:dyDescent="0.2">
      <x:c r="A38" s="1">
        <x:f t="shared" si="0"/>
        <x:v>28</x:v>
      </x:c>
      <x:c r="B38" s="4">
        <x:f>+Base45h!B38</x:f>
        <x:v>45597</x:v>
      </x:c>
      <x:c r="C38" s="5">
        <x:v>148.88999999999999</x:v>
      </x:c>
      <x:c r="D38" s="5">
        <x:v>140.79208333333335</x:v>
      </x:c>
      <x:c r="E38" s="5">
        <x:v>121.35166666666667</x:v>
      </x:c>
      <x:c r="F38" s="5">
        <x:v>141.31833333333327</x:v>
      </x:c>
      <x:c r="G38" s="5">
        <x:v>174.25916666666666</x:v>
      </x:c>
      <x:c r="H38" s="5">
        <x:v>151.34541666666661</x:v>
      </x:c>
      <x:c r="I38" s="5">
        <x:v>196.29916666666665</x:v>
      </x:c>
      <x:c r="J38" s="5">
        <x:v>231.06625</x:v>
      </x:c>
      <x:c r="K38" s="5">
        <x:v>220.3679166666667</x:v>
      </x:c>
      <x:c r="L38" s="5">
        <x:v>194.27541666666667</x:v>
      </x:c>
    </x:row>
    <x:row r="39" spans="1:12" x14ac:dyDescent="0.2">
      <x:c r="A39" s="1">
        <x:f t="shared" si="0"/>
        <x:v>29</x:v>
      </x:c>
      <x:c r="B39" s="4">
        <x:f>+Base45h!B39</x:f>
        <x:v>45627</x:v>
      </x:c>
      <x:c r="C39" s="5">
        <x:v>350.60541666666666</x:v>
      </x:c>
      <x:c r="D39" s="5">
        <x:v>294.0670833333333</x:v>
      </x:c>
      <x:c r="E39" s="5">
        <x:v>277.81666666666672</x:v>
      </x:c>
      <x:c r="F39" s="5">
        <x:v>316.19166666666661</x:v>
      </x:c>
      <x:c r="G39" s="5">
        <x:v>347.85541666666671</x:v>
      </x:c>
      <x:c r="H39" s="5">
        <x:v>342.0645833333333</x:v>
      </x:c>
      <x:c r="I39" s="5">
        <x:v>414.43124999999992</x:v>
      </x:c>
      <x:c r="J39" s="5">
        <x:v>493.71125000000018</x:v>
      </x:c>
      <x:c r="K39" s="5">
        <x:v>442.71666666666664</x:v>
      </x:c>
      <x:c r="L39" s="5">
        <x:v>429.12874999999997</x:v>
      </x:c>
    </x:row>
    <x:row r="40" spans="1:12" x14ac:dyDescent="0.2">
      <x:c r="A40" s="1">
        <x:f t="shared" si="0"/>
        <x:v>30</x:v>
      </x:c>
      <x:c r="B40" s="32" t="s">
        <x:v>15</x:v>
      </x:c>
      <x:c r="C40" s="33">
        <x:f>SUM(C28:C39)</x:f>
        <x:v>1396.4974999999999</x:v>
      </x:c>
      <x:c r="D40" s="33">
        <x:f t="shared" ref="D40:L40" si="2">SUM(D28:D39)</x:f>
        <x:v>1156.7629166666666</x:v>
      </x:c>
      <x:c r="E40" s="33">
        <x:f t="shared" si="2"/>
        <x:v>1066.7029166666666</x:v>
      </x:c>
      <x:c r="F40" s="33">
        <x:f t="shared" si="2"/>
        <x:v>1234.8699999999999</x:v>
      </x:c>
      <x:c r="G40" s="33">
        <x:f t="shared" si="2"/>
        <x:v>1419.8824999999999</x:v>
      </x:c>
      <x:c r="H40" s="33">
        <x:f t="shared" si="2"/>
        <x:v>1348.0958333333331</x:v>
      </x:c>
      <x:c r="I40" s="33">
        <x:f t="shared" si="2"/>
        <x:v>1684.5029166666661</x:v>
      </x:c>
      <x:c r="J40" s="33">
        <x:f t="shared" si="2"/>
        <x:v>2003.6970833333335</x:v>
      </x:c>
      <x:c r="K40" s="33">
        <x:f t="shared" si="2"/>
        <x:v>1747.5416666666665</x:v>
      </x:c>
      <x:c r="L40" s="33">
        <x:f t="shared" si="2"/>
        <x:v>1809.2337499999999</x:v>
      </x:c>
    </x:row>
  </x:sheetData>
  <x:mergeCells count="7">
    <x:mergeCell ref="B26:L26"/>
    <x:mergeCell ref="B1:L1"/>
    <x:mergeCell ref="B2:L2"/>
    <x:mergeCell ref="B3:L3"/>
    <x:mergeCell ref="B4:L4"/>
    <x:mergeCell ref="B6:L6"/>
    <x:mergeCell ref="B9:L9"/>
  </x:mergeCells>
  <x:pageMargins left="0.75" right="0.75" top="1" bottom="1" header="0.5" footer="0.5"/>
  <x:pageSetup scale="73" firstPageNumber="3" orientation="portrait" r:id="rId1"/>
  <x:headerFooter alignWithMargins="0">
    <x:oddHeader>&amp;RSchedule II-H-5.1
Page &amp;P of  25</x:oddHeader>
  </x:headerFooter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pageSetUpPr fitToPage="1"/>
  </x:sheetPr>
  <x:dimension ref="A1:L40"/>
  <x:sheetViews>
    <x:sheetView zoomScaleNormal="100" workbookViewId="0"/>
  </x:sheetViews>
  <x:sheetFormatPr defaultColWidth="9.109375" defaultRowHeight="11.4" x14ac:dyDescent="0.2"/>
  <x:cols>
    <x:col min="1" max="1" width="9.109375" style="1"/>
    <x:col min="2" max="2" width="10.44140625" style="2" bestFit="1" customWidth="1"/>
    <x:col min="3" max="3" width="11.44140625" style="2" customWidth="1"/>
    <x:col min="4" max="4" width="9.5546875" style="2" bestFit="1" customWidth="1"/>
    <x:col min="5" max="5" width="9.6640625" style="2" bestFit="1" customWidth="1"/>
    <x:col min="6" max="6" width="9.5546875" style="2" bestFit="1" customWidth="1"/>
    <x:col min="7" max="7" width="12.33203125" style="2" bestFit="1" customWidth="1"/>
    <x:col min="8" max="8" width="9.88671875" style="2" bestFit="1" customWidth="1"/>
    <x:col min="9" max="9" width="10.5546875" style="2" bestFit="1" customWidth="1"/>
    <x:col min="10" max="10" width="11.33203125" style="2" customWidth="1"/>
    <x:col min="11" max="11" width="10.44140625" style="2" customWidth="1"/>
    <x:col min="12" max="16384" width="9.109375" style="2"/>
  </x:cols>
  <x:sheetData>
    <x:row r="1" spans="1:12" ht="15.6" x14ac:dyDescent="0.3">
      <x:c r="B1" s="88" t="str">
        <x:f>+Base45h!B1</x:f>
        <x:v xml:space="preserve">PUC DOCKET NO. </x:v>
      </x:c>
      <x:c r="C1" s="88"/>
      <x:c r="D1" s="88"/>
      <x:c r="E1" s="88"/>
      <x:c r="F1" s="88"/>
      <x:c r="G1" s="88"/>
      <x:c r="H1" s="88"/>
      <x:c r="I1" s="88"/>
      <x:c r="J1" s="88"/>
      <x:c r="K1" s="88"/>
      <x:c r="L1" s="88"/>
    </x:row>
    <x:row r="2" spans="1:12" ht="15.6" x14ac:dyDescent="0.3">
      <x:c r="B2" s="88" t="str">
        <x:f>+Base45h!B2</x:f>
        <x:v>ONCOR ELECTRIC DELIVERY COMPANY LLC</x:v>
      </x:c>
      <x:c r="C2" s="88"/>
      <x:c r="D2" s="88"/>
      <x:c r="E2" s="88"/>
      <x:c r="F2" s="88"/>
      <x:c r="G2" s="88"/>
      <x:c r="H2" s="88"/>
      <x:c r="I2" s="88"/>
      <x:c r="J2" s="88"/>
      <x:c r="K2" s="88"/>
      <x:c r="L2" s="88"/>
    </x:row>
    <x:row r="3" spans="1:12" ht="15.6" x14ac:dyDescent="0.3">
      <x:c r="B3" s="88" t="str">
        <x:f>+Base45h!B3</x:f>
        <x:v>WEATHER STATION DATA</x:v>
      </x:c>
      <x:c r="C3" s="88"/>
      <x:c r="D3" s="88"/>
      <x:c r="E3" s="88"/>
      <x:c r="F3" s="88"/>
      <x:c r="G3" s="88"/>
      <x:c r="H3" s="88"/>
      <x:c r="I3" s="88"/>
      <x:c r="J3" s="88"/>
      <x:c r="K3" s="88"/>
      <x:c r="L3" s="88"/>
    </x:row>
    <x:row r="4" spans="1:12" ht="15.6" x14ac:dyDescent="0.3">
      <x:c r="B4" s="88" t="str">
        <x:f>+Base45h!B4</x:f>
        <x:v>FOR THE TEST YEAR ENDING DECEMBER 31, 2024</x:v>
      </x:c>
      <x:c r="C4" s="88"/>
      <x:c r="D4" s="88"/>
      <x:c r="E4" s="88"/>
      <x:c r="F4" s="88"/>
      <x:c r="G4" s="88"/>
      <x:c r="H4" s="88"/>
      <x:c r="I4" s="88"/>
      <x:c r="J4" s="88"/>
      <x:c r="K4" s="88"/>
      <x:c r="L4" s="88"/>
    </x:row>
    <x:row r="6" spans="1:12" ht="15.6" x14ac:dyDescent="0.3">
      <x:c r="B6" s="88" t="str">
        <x:f>+Base45h!B6</x:f>
        <x:v>SPONSOR: D. E. NELSON</x:v>
      </x:c>
      <x:c r="C6" s="88"/>
      <x:c r="D6" s="88"/>
      <x:c r="E6" s="88"/>
      <x:c r="F6" s="88"/>
      <x:c r="G6" s="88"/>
      <x:c r="H6" s="88"/>
      <x:c r="I6" s="88"/>
      <x:c r="J6" s="88"/>
      <x:c r="K6" s="88"/>
      <x:c r="L6" s="88"/>
    </x:row>
    <x:row r="9" spans="1:12" ht="12" x14ac:dyDescent="0.25">
      <x:c r="B9" s="89" t="s">
        <x:v>104</x:v>
      </x:c>
      <x:c r="C9" s="89"/>
      <x:c r="D9" s="89"/>
      <x:c r="E9" s="89"/>
      <x:c r="F9" s="89"/>
      <x:c r="G9" s="89"/>
      <x:c r="H9" s="89"/>
      <x:c r="I9" s="89"/>
      <x:c r="J9" s="89"/>
      <x:c r="K9" s="89"/>
      <x:c r="L9" s="89"/>
    </x:row>
    <x:row r="10" spans="1:12" ht="34.799999999999997" thickBot="1" x14ac:dyDescent="0.25">
      <x:c r="A10" s="3" t="s">
        <x:v>4</x:v>
      </x:c>
      <x:c r="C10" s="3" t="s">
        <x:v>55</x:v>
      </x:c>
      <x:c r="D10" s="3" t="s">
        <x:v>6</x:v>
      </x:c>
      <x:c r="E10" s="3" t="s">
        <x:v>7</x:v>
      </x:c>
      <x:c r="F10" s="3" t="s">
        <x:v>8</x:v>
      </x:c>
      <x:c r="G10" s="3" t="s">
        <x:v>9</x:v>
      </x:c>
      <x:c r="H10" s="3" t="s">
        <x:v>10</x:v>
      </x:c>
      <x:c r="I10" s="3" t="s">
        <x:v>11</x:v>
      </x:c>
      <x:c r="J10" s="3" t="s">
        <x:v>12</x:v>
      </x:c>
      <x:c r="K10" s="3" t="s">
        <x:v>13</x:v>
      </x:c>
      <x:c r="L10" s="3" t="s">
        <x:v>14</x:v>
      </x:c>
    </x:row>
    <x:row r="11" spans="1:12" x14ac:dyDescent="0.2">
      <x:c r="A11" s="1">
        <x:v>1</x:v>
      </x:c>
      <x:c r="B11" s="4">
        <x:f>+Base45h!B11</x:f>
        <x:v>45292</x:v>
      </x:c>
      <x:c r="C11" s="5">
        <x:v>704.30000000000007</x:v>
      </x:c>
      <x:c r="D11" s="5">
        <x:v>564.09999999999991</x:v>
      </x:c>
      <x:c r="E11" s="5">
        <x:v>574.29999999999995</x:v>
      </x:c>
      <x:c r="F11" s="5">
        <x:v>630.79999999999984</x:v>
      </x:c>
      <x:c r="G11" s="5">
        <x:v>642.40000000000009</x:v>
      </x:c>
      <x:c r="H11" s="5">
        <x:v>684.0999999999998</x:v>
      </x:c>
      <x:c r="I11" s="5">
        <x:v>723.2</x:v>
      </x:c>
      <x:c r="J11" s="5">
        <x:v>823.8</x:v>
      </x:c>
      <x:c r="K11" s="5">
        <x:v>749.30000000000007</x:v>
      </x:c>
      <x:c r="L11" s="5">
        <x:v>793.10000000000014</x:v>
      </x:c>
    </x:row>
    <x:row r="12" spans="1:12" x14ac:dyDescent="0.2">
      <x:c r="A12" s="1">
        <x:f>+A11+1</x:f>
        <x:v>2</x:v>
      </x:c>
      <x:c r="B12" s="4">
        <x:f>+Base45h!B12</x:f>
        <x:v>45323</x:v>
      </x:c>
      <x:c r="C12" s="5">
        <x:v>253.39999999999992</x:v>
      </x:c>
      <x:c r="D12" s="5">
        <x:v>207.39999999999992</x:v>
      </x:c>
      <x:c r="E12" s="5">
        <x:v>212.59999999999994</x:v>
      </x:c>
      <x:c r="F12" s="5">
        <x:v>229.89999999999992</x:v>
      </x:c>
      <x:c r="G12" s="5">
        <x:v>247.19999999999993</x:v>
      </x:c>
      <x:c r="H12" s="5">
        <x:v>258</x:v>
      </x:c>
      <x:c r="I12" s="5">
        <x:v>307</x:v>
      </x:c>
      <x:c r="J12" s="5">
        <x:v>370.49999999999994</x:v>
      </x:c>
      <x:c r="K12" s="5">
        <x:v>353.9</x:v>
      </x:c>
      <x:c r="L12" s="5">
        <x:v>319.79999999999995</x:v>
      </x:c>
    </x:row>
    <x:row r="13" spans="1:12" x14ac:dyDescent="0.2">
      <x:c r="A13" s="1">
        <x:f t="shared" ref="A13:A40" si="0">+A12+1</x:f>
        <x:v>3</x:v>
      </x:c>
      <x:c r="B13" s="4">
        <x:f>+Base45h!B13</x:f>
        <x:v>45352</x:v>
      </x:c>
      <x:c r="C13" s="5">
        <x:v>153.09999999999994</x:v>
      </x:c>
      <x:c r="D13" s="5">
        <x:v>115.39999999999998</x:v>
      </x:c>
      <x:c r="E13" s="5">
        <x:v>104.6</x:v>
      </x:c>
      <x:c r="F13" s="5">
        <x:v>126.29999999999995</x:v>
      </x:c>
      <x:c r="G13" s="5">
        <x:v>160.99999999999994</x:v>
      </x:c>
      <x:c r="H13" s="5">
        <x:v>145.19999999999993</x:v>
      </x:c>
      <x:c r="I13" s="5">
        <x:v>206.59999999999994</x:v>
      </x:c>
      <x:c r="J13" s="5">
        <x:v>248.39999999999998</x:v>
      </x:c>
      <x:c r="K13" s="5">
        <x:v>218.9</x:v>
      </x:c>
      <x:c r="L13" s="5">
        <x:v>211.99999999999991</x:v>
      </x:c>
    </x:row>
    <x:row r="14" spans="1:12" x14ac:dyDescent="0.2">
      <x:c r="A14" s="1">
        <x:f t="shared" si="0"/>
        <x:v>4</x:v>
      </x:c>
      <x:c r="B14" s="4">
        <x:f>+Base45h!B14</x:f>
        <x:v>45383</x:v>
      </x:c>
      <x:c r="C14" s="5">
        <x:v>40.899999999999991</x:v>
      </x:c>
      <x:c r="D14" s="5">
        <x:v>29.399999999999991</x:v>
      </x:c>
      <x:c r="E14" s="5">
        <x:v>16.100000000000001</x:v>
      </x:c>
      <x:c r="F14" s="5">
        <x:v>29.699999999999996</x:v>
      </x:c>
      <x:c r="G14" s="5">
        <x:v>44.399999999999984</x:v>
      </x:c>
      <x:c r="H14" s="5">
        <x:v>43.599999999999987</x:v>
      </x:c>
      <x:c r="I14" s="5">
        <x:v>67.399999999999977</x:v>
      </x:c>
      <x:c r="J14" s="5">
        <x:v>82.5</x:v>
      </x:c>
      <x:c r="K14" s="5">
        <x:v>88.899999999999977</x:v>
      </x:c>
      <x:c r="L14" s="5">
        <x:v>76.699999999999989</x:v>
      </x:c>
    </x:row>
    <x:row r="15" spans="1:12" x14ac:dyDescent="0.2">
      <x:c r="A15" s="1">
        <x:f t="shared" si="0"/>
        <x:v>5</x:v>
      </x:c>
      <x:c r="B15" s="4">
        <x:f>+Base45h!B15</x:f>
        <x:v>45413</x:v>
      </x:c>
      <x:c r="C15" s="5">
        <x:v>0</x:v>
      </x:c>
      <x:c r="D15" s="5">
        <x:v>0</x:v>
      </x:c>
      <x:c r="E15" s="5">
        <x:v>0</x:v>
      </x:c>
      <x:c r="F15" s="5">
        <x:v>0</x:v>
      </x:c>
      <x:c r="G15" s="5">
        <x:v>0</x:v>
      </x:c>
      <x:c r="H15" s="5">
        <x:v>0</x:v>
      </x:c>
      <x:c r="I15" s="5">
        <x:v>0</x:v>
      </x:c>
      <x:c r="J15" s="5">
        <x:v>1.3999999999999986</x:v>
      </x:c>
      <x:c r="K15" s="5">
        <x:v>1.5</x:v>
      </x:c>
      <x:c r="L15" s="5">
        <x:v>0</x:v>
      </x:c>
    </x:row>
    <x:row r="16" spans="1:12" x14ac:dyDescent="0.2">
      <x:c r="A16" s="1">
        <x:f t="shared" si="0"/>
        <x:v>6</x:v>
      </x:c>
      <x:c r="B16" s="4">
        <x:f>+Base45h!B16</x:f>
        <x:v>45444</x:v>
      </x:c>
      <x:c r="C16" s="5">
        <x:v>0</x:v>
      </x:c>
      <x:c r="D16" s="5">
        <x:v>0</x:v>
      </x:c>
      <x:c r="E16" s="5">
        <x:v>0</x:v>
      </x:c>
      <x:c r="F16" s="5">
        <x:v>0</x:v>
      </x:c>
      <x:c r="G16" s="5">
        <x:v>0</x:v>
      </x:c>
      <x:c r="H16" s="5">
        <x:v>0</x:v>
      </x:c>
      <x:c r="I16" s="5">
        <x:v>0</x:v>
      </x:c>
      <x:c r="J16" s="5">
        <x:v>0</x:v>
      </x:c>
      <x:c r="K16" s="5">
        <x:v>0</x:v>
      </x:c>
      <x:c r="L16" s="5">
        <x:v>0</x:v>
      </x:c>
    </x:row>
    <x:row r="17" spans="1:12" x14ac:dyDescent="0.2">
      <x:c r="A17" s="1">
        <x:f t="shared" si="0"/>
        <x:v>7</x:v>
      </x:c>
      <x:c r="B17" s="4">
        <x:f>+Base45h!B17</x:f>
        <x:v>45474</x:v>
      </x:c>
      <x:c r="C17" s="5">
        <x:v>0</x:v>
      </x:c>
      <x:c r="D17" s="5">
        <x:v>0</x:v>
      </x:c>
      <x:c r="E17" s="5">
        <x:v>0</x:v>
      </x:c>
      <x:c r="F17" s="5">
        <x:v>0</x:v>
      </x:c>
      <x:c r="G17" s="5">
        <x:v>0</x:v>
      </x:c>
      <x:c r="H17" s="5">
        <x:v>0</x:v>
      </x:c>
      <x:c r="I17" s="5">
        <x:v>0</x:v>
      </x:c>
      <x:c r="J17" s="5">
        <x:v>0</x:v>
      </x:c>
      <x:c r="K17" s="5">
        <x:v>0</x:v>
      </x:c>
      <x:c r="L17" s="5">
        <x:v>0</x:v>
      </x:c>
    </x:row>
    <x:row r="18" spans="1:12" x14ac:dyDescent="0.2">
      <x:c r="A18" s="1">
        <x:f t="shared" si="0"/>
        <x:v>8</x:v>
      </x:c>
      <x:c r="B18" s="4">
        <x:f>+Base45h!B18</x:f>
        <x:v>45505</x:v>
      </x:c>
      <x:c r="C18" s="5">
        <x:v>0</x:v>
      </x:c>
      <x:c r="D18" s="5">
        <x:v>0</x:v>
      </x:c>
      <x:c r="E18" s="5">
        <x:v>0</x:v>
      </x:c>
      <x:c r="F18" s="5">
        <x:v>0</x:v>
      </x:c>
      <x:c r="G18" s="5">
        <x:v>0</x:v>
      </x:c>
      <x:c r="H18" s="5">
        <x:v>0</x:v>
      </x:c>
      <x:c r="I18" s="5">
        <x:v>0</x:v>
      </x:c>
      <x:c r="J18" s="5">
        <x:v>0</x:v>
      </x:c>
      <x:c r="K18" s="5">
        <x:v>0</x:v>
      </x:c>
      <x:c r="L18" s="5">
        <x:v>0</x:v>
      </x:c>
    </x:row>
    <x:row r="19" spans="1:12" x14ac:dyDescent="0.2">
      <x:c r="A19" s="1">
        <x:f t="shared" si="0"/>
        <x:v>9</x:v>
      </x:c>
      <x:c r="B19" s="4">
        <x:f>+Base45h!B19</x:f>
        <x:v>45536</x:v>
      </x:c>
      <x:c r="C19" s="5">
        <x:v>0</x:v>
      </x:c>
      <x:c r="D19" s="5">
        <x:v>0</x:v>
      </x:c>
      <x:c r="E19" s="5">
        <x:v>0</x:v>
      </x:c>
      <x:c r="F19" s="5">
        <x:v>0</x:v>
      </x:c>
      <x:c r="G19" s="5">
        <x:v>0</x:v>
      </x:c>
      <x:c r="H19" s="5">
        <x:v>0</x:v>
      </x:c>
      <x:c r="I19" s="5">
        <x:v>0</x:v>
      </x:c>
      <x:c r="J19" s="5">
        <x:v>0</x:v>
      </x:c>
      <x:c r="K19" s="5">
        <x:v>0</x:v>
      </x:c>
      <x:c r="L19" s="5">
        <x:v>0</x:v>
      </x:c>
    </x:row>
    <x:row r="20" spans="1:12" x14ac:dyDescent="0.2">
      <x:c r="A20" s="1">
        <x:f t="shared" si="0"/>
        <x:v>10</x:v>
      </x:c>
      <x:c r="B20" s="4">
        <x:f>+Base45h!B20</x:f>
        <x:v>45566</x:v>
      </x:c>
      <x:c r="C20" s="5">
        <x:v>8.7999999999999972</x:v>
      </x:c>
      <x:c r="D20" s="5">
        <x:v>19.599999999999994</x:v>
      </x:c>
      <x:c r="E20" s="5">
        <x:v>3.2999999999999972</x:v>
      </x:c>
      <x:c r="F20" s="5">
        <x:v>5.9999999999999929</x:v>
      </x:c>
      <x:c r="G20" s="5">
        <x:v>28.29999999999999</x:v>
      </x:c>
      <x:c r="H20" s="5">
        <x:v>9</x:v>
      </x:c>
      <x:c r="I20" s="5">
        <x:v>12.399999999999999</x:v>
      </x:c>
      <x:c r="J20" s="5">
        <x:v>24.099999999999994</x:v>
      </x:c>
      <x:c r="K20" s="5">
        <x:v>17.79999999999999</x:v>
      </x:c>
      <x:c r="L20" s="5">
        <x:v>17.399999999999984</x:v>
      </x:c>
    </x:row>
    <x:row r="21" spans="1:12" x14ac:dyDescent="0.2">
      <x:c r="A21" s="1">
        <x:f t="shared" si="0"/>
        <x:v>11</x:v>
      </x:c>
      <x:c r="B21" s="4">
        <x:f>+Base45h!B21</x:f>
        <x:v>45597</x:v>
      </x:c>
      <x:c r="C21" s="5">
        <x:v>148.6</x:v>
      </x:c>
      <x:c r="D21" s="5">
        <x:v>141.89999999999998</x:v>
      </x:c>
      <x:c r="E21" s="5">
        <x:v>115.6</x:v>
      </x:c>
      <x:c r="F21" s="5">
        <x:v>129</x:v>
      </x:c>
      <x:c r="G21" s="5">
        <x:v>167.89999999999998</x:v>
      </x:c>
      <x:c r="H21" s="5">
        <x:v>154.99999999999994</x:v>
      </x:c>
      <x:c r="I21" s="5">
        <x:v>202.59999999999997</x:v>
      </x:c>
      <x:c r="J21" s="5">
        <x:v>260.29999999999995</x:v>
      </x:c>
      <x:c r="K21" s="5">
        <x:v>263.99999999999994</x:v>
      </x:c>
      <x:c r="L21" s="5">
        <x:v>213.5</x:v>
      </x:c>
    </x:row>
    <x:row r="22" spans="1:12" x14ac:dyDescent="0.2">
      <x:c r="A22" s="1">
        <x:f t="shared" si="0"/>
        <x:v>12</x:v>
      </x:c>
      <x:c r="B22" s="4">
        <x:f>+Base45h!B22</x:f>
        <x:v>45627</x:v>
      </x:c>
      <x:c r="C22" s="5">
        <x:v>347.49999999999994</x:v>
      </x:c>
      <x:c r="D22" s="5">
        <x:v>304.89999999999986</x:v>
      </x:c>
      <x:c r="E22" s="5">
        <x:v>236.6</x:v>
      </x:c>
      <x:c r="F22" s="5">
        <x:v>268.60000000000002</x:v>
      </x:c>
      <x:c r="G22" s="5">
        <x:v>362.09999999999991</x:v>
      </x:c>
      <x:c r="H22" s="5">
        <x:v>312.40000000000003</x:v>
      </x:c>
      <x:c r="I22" s="5">
        <x:v>364.09999999999997</x:v>
      </x:c>
      <x:c r="J22" s="5">
        <x:v>481.4</x:v>
      </x:c>
      <x:c r="K22" s="5">
        <x:v>423.09999999999997</x:v>
      </x:c>
      <x:c r="L22" s="5">
        <x:v>436.69999999999993</x:v>
      </x:c>
    </x:row>
    <x:row r="23" spans="1:12" x14ac:dyDescent="0.2">
      <x:c r="A23" s="1">
        <x:f t="shared" si="0"/>
        <x:v>13</x:v>
      </x:c>
      <x:c r="B23" s="32" t="s">
        <x:v>15</x:v>
      </x:c>
      <x:c r="C23" s="33">
        <x:f>SUM(C11:C22)</x:f>
        <x:v>1656.6</x:v>
      </x:c>
      <x:c r="D23" s="33">
        <x:f t="shared" ref="D23:L23" si="1">SUM(D11:D22)</x:f>
        <x:v>1382.6999999999996</x:v>
      </x:c>
      <x:c r="E23" s="33">
        <x:f t="shared" si="1"/>
        <x:v>1263.0999999999997</x:v>
      </x:c>
      <x:c r="F23" s="33">
        <x:f t="shared" si="1"/>
        <x:v>1420.2999999999997</x:v>
      </x:c>
      <x:c r="G23" s="33">
        <x:f t="shared" si="1"/>
        <x:v>1653.2999999999997</x:v>
      </x:c>
      <x:c r="H23" s="33">
        <x:f t="shared" si="1"/>
        <x:v>1607.2999999999997</x:v>
      </x:c>
      <x:c r="I23" s="33">
        <x:f t="shared" si="1"/>
        <x:v>1883.2999999999997</x:v>
      </x:c>
      <x:c r="J23" s="33">
        <x:f t="shared" si="1"/>
        <x:v>2292.3999999999996</x:v>
      </x:c>
      <x:c r="K23" s="33">
        <x:f t="shared" si="1"/>
        <x:v>2117.4</x:v>
      </x:c>
      <x:c r="L23" s="33">
        <x:f t="shared" si="1"/>
        <x:v>2069.2000000000003</x:v>
      </x:c>
    </x:row>
    <x:row r="24" spans="1:12" x14ac:dyDescent="0.2">
      <x:c r="A24" s="1">
        <x:f t="shared" si="0"/>
        <x:v>14</x:v>
      </x:c>
    </x:row>
    <x:row r="25" spans="1:12" x14ac:dyDescent="0.2">
      <x:c r="A25" s="1">
        <x:f t="shared" si="0"/>
        <x:v>15</x:v>
      </x:c>
    </x:row>
    <x:row r="26" spans="1:12" ht="12" x14ac:dyDescent="0.25">
      <x:c r="A26" s="1">
        <x:f t="shared" si="0"/>
        <x:v>16</x:v>
      </x:c>
      <x:c r="B26" s="89" t="s">
        <x:v>105</x:v>
      </x:c>
      <x:c r="C26" s="89"/>
      <x:c r="D26" s="89"/>
      <x:c r="E26" s="89"/>
      <x:c r="F26" s="89"/>
      <x:c r="G26" s="89"/>
      <x:c r="H26" s="89"/>
      <x:c r="I26" s="89"/>
      <x:c r="J26" s="89"/>
      <x:c r="K26" s="89"/>
      <x:c r="L26" s="89"/>
    </x:row>
    <x:row r="27" spans="1:12" ht="34.799999999999997" thickBot="1" x14ac:dyDescent="0.25">
      <x:c r="A27" s="1">
        <x:f t="shared" si="0"/>
        <x:v>17</x:v>
      </x:c>
      <x:c r="C27" s="3" t="s">
        <x:v>55</x:v>
      </x:c>
      <x:c r="D27" s="3" t="s">
        <x:v>6</x:v>
      </x:c>
      <x:c r="E27" s="72" t="s">
        <x:v>7</x:v>
      </x:c>
      <x:c r="F27" s="72" t="s">
        <x:v>8</x:v>
      </x:c>
      <x:c r="G27" s="72" t="s">
        <x:v>9</x:v>
      </x:c>
      <x:c r="H27" s="72" t="s">
        <x:v>10</x:v>
      </x:c>
      <x:c r="I27" s="72" t="s">
        <x:v>11</x:v>
      </x:c>
      <x:c r="J27" s="72" t="s">
        <x:v>12</x:v>
      </x:c>
      <x:c r="K27" s="72" t="s">
        <x:v>13</x:v>
      </x:c>
      <x:c r="L27" s="72" t="s">
        <x:v>14</x:v>
      </x:c>
    </x:row>
    <x:row r="28" spans="1:12" x14ac:dyDescent="0.2">
      <x:c r="A28" s="1">
        <x:f t="shared" si="0"/>
        <x:v>18</x:v>
      </x:c>
      <x:c r="B28" s="4">
        <x:f>+Base45h!B28</x:f>
        <x:v>45292</x:v>
      </x:c>
      <x:c r="C28" s="5">
        <x:v>549.26499999999999</x:v>
      </x:c>
      <x:c r="D28" s="5">
        <x:v>477.35875000000004</x:v>
      </x:c>
      <x:c r="E28" s="5">
        <x:v>455.7362500000001</x:v>
      </x:c>
      <x:c r="F28" s="5">
        <x:v>496.38791666666674</x:v>
      </x:c>
      <x:c r="G28" s="5">
        <x:v>543.44333333333338</x:v>
      </x:c>
      <x:c r="H28" s="5">
        <x:v>536.69458333333341</x:v>
      </x:c>
      <x:c r="I28" s="5">
        <x:v>606.49374999999998</x:v>
      </x:c>
      <x:c r="J28" s="5">
        <x:v>685.99124999999992</x:v>
      </x:c>
      <x:c r="K28" s="5">
        <x:v>637.11750000000006</x:v>
      </x:c>
      <x:c r="L28" s="5">
        <x:v>649.02958333333333</x:v>
      </x:c>
    </x:row>
    <x:row r="29" spans="1:12" x14ac:dyDescent="0.2">
      <x:c r="A29" s="1">
        <x:f t="shared" si="0"/>
        <x:v>19</x:v>
      </x:c>
      <x:c r="B29" s="4">
        <x:f>+Base45h!B29</x:f>
        <x:v>45323</x:v>
      </x:c>
      <x:c r="C29" s="5">
        <x:v>439.97375</x:v>
      </x:c>
      <x:c r="D29" s="5">
        <x:v>359.36666666666656</x:v>
      </x:c>
      <x:c r="E29" s="5">
        <x:v>344.97583333333324</x:v>
      </x:c>
      <x:c r="F29" s="5">
        <x:v>388.73291666666671</x:v>
      </x:c>
      <x:c r="G29" s="5">
        <x:v>428.10291666666666</x:v>
      </x:c>
      <x:c r="H29" s="5">
        <x:v>416.21124999999989</x:v>
      </x:c>
      <x:c r="I29" s="5">
        <x:v>492.3366666666667</x:v>
      </x:c>
      <x:c r="J29" s="5">
        <x:v>570.97666666666657</x:v>
      </x:c>
      <x:c r="K29" s="5">
        <x:v>488.87000000000006</x:v>
      </x:c>
      <x:c r="L29" s="5">
        <x:v>530.92624999999998</x:v>
      </x:c>
    </x:row>
    <x:row r="30" spans="1:12" x14ac:dyDescent="0.2">
      <x:c r="A30" s="1">
        <x:f t="shared" si="0"/>
        <x:v>20</x:v>
      </x:c>
      <x:c r="B30" s="4">
        <x:f>+Base45h!B30</x:f>
        <x:v>45352</x:v>
      </x:c>
      <x:c r="C30" s="5">
        <x:v>203.15124999999998</x:v>
      </x:c>
      <x:c r="D30" s="5">
        <x:v>170.41791666666657</x:v>
      </x:c>
      <x:c r="E30" s="5">
        <x:v>150.72416666666666</x:v>
      </x:c>
      <x:c r="F30" s="5">
        <x:v>177.35541666666666</x:v>
      </x:c>
      <x:c r="G30" s="5">
        <x:v>215.97166666666675</x:v>
      </x:c>
      <x:c r="H30" s="5">
        <x:v>196.99916666666664</x:v>
      </x:c>
      <x:c r="I30" s="5">
        <x:v>246.81749999999997</x:v>
      </x:c>
      <x:c r="J30" s="5">
        <x:v>296.81791666666663</x:v>
      </x:c>
      <x:c r="K30" s="5">
        <x:v>248.69666666666666</x:v>
      </x:c>
      <x:c r="L30" s="5">
        <x:v>285.47708333333321</x:v>
      </x:c>
    </x:row>
    <x:row r="31" spans="1:12" x14ac:dyDescent="0.2">
      <x:c r="A31" s="1">
        <x:f t="shared" si="0"/>
        <x:v>21</x:v>
      </x:c>
      <x:c r="B31" s="4">
        <x:f>+Base45h!B31</x:f>
        <x:v>45383</x:v>
      </x:c>
      <x:c r="C31" s="5">
        <x:v>68.119583333333352</x:v>
      </x:c>
      <x:c r="D31" s="5">
        <x:v>56.00916666666668</x:v>
      </x:c>
      <x:c r="E31" s="5">
        <x:v>46.183333333333323</x:v>
      </x:c>
      <x:c r="F31" s="5">
        <x:v>59.670833333333327</x:v>
      </x:c>
      <x:c r="G31" s="5">
        <x:v>79.762499999999989</x:v>
      </x:c>
      <x:c r="H31" s="5">
        <x:v>68.817916666666633</x:v>
      </x:c>
      <x:c r="I31" s="5">
        <x:v>98.90291666666667</x:v>
      </x:c>
      <x:c r="J31" s="5">
        <x:v>124.71291666666667</x:v>
      </x:c>
      <x:c r="K31" s="5">
        <x:v>87.338749999999976</x:v>
      </x:c>
      <x:c r="L31" s="5">
        <x:v>123.325</x:v>
      </x:c>
    </x:row>
    <x:row r="32" spans="1:12" x14ac:dyDescent="0.2">
      <x:c r="A32" s="1">
        <x:f t="shared" si="0"/>
        <x:v>22</x:v>
      </x:c>
      <x:c r="B32" s="4">
        <x:f>+Base45h!B32</x:f>
        <x:v>45413</x:v>
      </x:c>
      <x:c r="C32" s="5">
        <x:v>10.884583333333328</x:v>
      </x:c>
      <x:c r="D32" s="5">
        <x:v>5.0233333333333308</x:v>
      </x:c>
      <x:c r="E32" s="5">
        <x:v>4.4745833333333298</x:v>
      </x:c>
      <x:c r="F32" s="5">
        <x:v>7.9079166666666705</x:v>
      </x:c>
      <x:c r="G32" s="5">
        <x:v>10.304583333333337</x:v>
      </x:c>
      <x:c r="H32" s="5">
        <x:v>8.4366666666666639</x:v>
      </x:c>
      <x:c r="I32" s="5">
        <x:v>21.136249999999997</x:v>
      </x:c>
      <x:c r="J32" s="5">
        <x:v>25.149166666666659</x:v>
      </x:c>
      <x:c r="K32" s="5">
        <x:v>19.078333333333326</x:v>
      </x:c>
      <x:c r="L32" s="5">
        <x:v>25.625833333333333</x:v>
      </x:c>
    </x:row>
    <x:row r="33" spans="1:12" x14ac:dyDescent="0.2">
      <x:c r="A33" s="1">
        <x:f t="shared" si="0"/>
        <x:v>23</x:v>
      </x:c>
      <x:c r="B33" s="4">
        <x:f>+Base45h!B33</x:f>
        <x:v>45444</x:v>
      </x:c>
      <x:c r="C33" s="5">
        <x:v>0</x:v>
      </x:c>
      <x:c r="D33" s="5">
        <x:v>0</x:v>
      </x:c>
      <x:c r="E33" s="5">
        <x:v>0</x:v>
      </x:c>
      <x:c r="F33" s="5">
        <x:v>0</x:v>
      </x:c>
      <x:c r="G33" s="5">
        <x:v>0</x:v>
      </x:c>
      <x:c r="H33" s="5">
        <x:v>0</x:v>
      </x:c>
      <x:c r="I33" s="5">
        <x:v>0</x:v>
      </x:c>
      <x:c r="J33" s="5">
        <x:v>0</x:v>
      </x:c>
      <x:c r="K33" s="5">
        <x:v>0</x:v>
      </x:c>
      <x:c r="L33" s="5">
        <x:v>0</x:v>
      </x:c>
    </x:row>
    <x:row r="34" spans="1:12" x14ac:dyDescent="0.2">
      <x:c r="A34" s="1">
        <x:f t="shared" si="0"/>
        <x:v>24</x:v>
      </x:c>
      <x:c r="B34" s="4">
        <x:f>+Base45h!B34</x:f>
        <x:v>45474</x:v>
      </x:c>
      <x:c r="C34" s="5">
        <x:v>0</x:v>
      </x:c>
      <x:c r="D34" s="5">
        <x:v>0</x:v>
      </x:c>
      <x:c r="E34" s="5">
        <x:v>0</x:v>
      </x:c>
      <x:c r="F34" s="5">
        <x:v>0</x:v>
      </x:c>
      <x:c r="G34" s="5">
        <x:v>0</x:v>
      </x:c>
      <x:c r="H34" s="5">
        <x:v>0</x:v>
      </x:c>
      <x:c r="I34" s="5">
        <x:v>0</x:v>
      </x:c>
      <x:c r="J34" s="5">
        <x:v>0</x:v>
      </x:c>
      <x:c r="K34" s="5">
        <x:v>8.7499999999999994E-2</x:v>
      </x:c>
      <x:c r="L34" s="5">
        <x:v>0</x:v>
      </x:c>
    </x:row>
    <x:row r="35" spans="1:12" x14ac:dyDescent="0.2">
      <x:c r="A35" s="1">
        <x:f t="shared" si="0"/>
        <x:v>25</x:v>
      </x:c>
      <x:c r="B35" s="4">
        <x:f>+Base45h!B35</x:f>
        <x:v>45505</x:v>
      </x:c>
      <x:c r="C35" s="5">
        <x:v>0</x:v>
      </x:c>
      <x:c r="D35" s="5">
        <x:v>0</x:v>
      </x:c>
      <x:c r="E35" s="5">
        <x:v>0</x:v>
      </x:c>
      <x:c r="F35" s="5">
        <x:v>0</x:v>
      </x:c>
      <x:c r="G35" s="5">
        <x:v>0</x:v>
      </x:c>
      <x:c r="H35" s="5">
        <x:v>0</x:v>
      </x:c>
      <x:c r="I35" s="5">
        <x:v>0</x:v>
      </x:c>
      <x:c r="J35" s="5">
        <x:v>0</x:v>
      </x:c>
      <x:c r="K35" s="5">
        <x:v>0</x:v>
      </x:c>
      <x:c r="L35" s="5">
        <x:v>0</x:v>
      </x:c>
    </x:row>
    <x:row r="36" spans="1:12" x14ac:dyDescent="0.2">
      <x:c r="A36" s="1">
        <x:f t="shared" si="0"/>
        <x:v>26</x:v>
      </x:c>
      <x:c r="B36" s="4">
        <x:f>+Base45h!B36</x:f>
        <x:v>45536</x:v>
      </x:c>
      <x:c r="C36" s="5">
        <x:v>0.37000000000000022</x:v>
      </x:c>
      <x:c r="D36" s="5">
        <x:v>8.9999999999999858E-2</x:v>
      </x:c>
      <x:c r="E36" s="5">
        <x:v>0.39999999999999997</x:v>
      </x:c>
      <x:c r="F36" s="5">
        <x:v>0.88499999999999979</x:v>
      </x:c>
      <x:c r="G36" s="5">
        <x:v>0.42499999999999971</x:v>
      </x:c>
      <x:c r="H36" s="5">
        <x:v>0.50500000000000012</x:v>
      </x:c>
      <x:c r="I36" s="5">
        <x:v>4.6566666666666636</x:v>
      </x:c>
      <x:c r="J36" s="5">
        <x:v>3.9220833333333345</x:v>
      </x:c>
      <x:c r="K36" s="5">
        <x:v>6.0449999999999982</x:v>
      </x:c>
      <x:c r="L36" s="5">
        <x:v>1.5208333333333346</x:v>
      </x:c>
    </x:row>
    <x:row r="37" spans="1:12" x14ac:dyDescent="0.2">
      <x:c r="A37" s="1">
        <x:f t="shared" si="0"/>
        <x:v>27</x:v>
      </x:c>
      <x:c r="B37" s="4">
        <x:f>+Base45h!B37</x:f>
        <x:v>45566</x:v>
      </x:c>
      <x:c r="C37" s="5">
        <x:v>63.20958333333332</x:v>
      </x:c>
      <x:c r="D37" s="5">
        <x:v>58.909166666666657</x:v>
      </x:c>
      <x:c r="E37" s="5">
        <x:v>48.348749999999995</x:v>
      </x:c>
      <x:c r="F37" s="5">
        <x:v>59.027916666666663</x:v>
      </x:c>
      <x:c r="G37" s="5">
        <x:v>79.891249999999999</x:v>
      </x:c>
      <x:c r="H37" s="5">
        <x:v>63.472500000000004</x:v>
      </x:c>
      <x:c r="I37" s="5">
        <x:v>96.646249999999995</x:v>
      </x:c>
      <x:c r="J37" s="5">
        <x:v>115.07</x:v>
      </x:c>
      <x:c r="K37" s="5">
        <x:v>98.086249999999978</x:v>
      </x:c>
      <x:c r="L37" s="5">
        <x:v>98.635833333333323</x:v>
      </x:c>
    </x:row>
    <x:row r="38" spans="1:12" x14ac:dyDescent="0.2">
      <x:c r="A38" s="1">
        <x:f t="shared" si="0"/>
        <x:v>28</x:v>
      </x:c>
      <x:c r="B38" s="4">
        <x:f>+Base45h!B38</x:f>
        <x:v>45597</x:v>
      </x:c>
      <x:c r="C38" s="5">
        <x:v>250.21166666666662</x:v>
      </x:c>
      <x:c r="D38" s="5">
        <x:v>238.42333333333335</x:v>
      </x:c>
      <x:c r="E38" s="5">
        <x:v>212.04583333333326</x:v>
      </x:c>
      <x:c r="F38" s="5">
        <x:v>237.6991666666666</x:v>
      </x:c>
      <x:c r="G38" s="5">
        <x:v>282.67708333333331</x:v>
      </x:c>
      <x:c r="H38" s="5">
        <x:v>250.54041666666666</x:v>
      </x:c>
      <x:c r="I38" s="5">
        <x:v>309.62541666666658</x:v>
      </x:c>
      <x:c r="J38" s="5">
        <x:v>355.04916666666668</x:v>
      </x:c>
      <x:c r="K38" s="5">
        <x:v>344.54333333333329</x:v>
      </x:c>
      <x:c r="L38" s="5">
        <x:v>308.61666666666662</x:v>
      </x:c>
    </x:row>
    <x:row r="39" spans="1:12" x14ac:dyDescent="0.2">
      <x:c r="A39" s="1">
        <x:f t="shared" si="0"/>
        <x:v>29</x:v>
      </x:c>
      <x:c r="B39" s="4">
        <x:f>+Base45h!B39</x:f>
        <x:v>45627</x:v>
      </x:c>
      <x:c r="C39" s="5">
        <x:v>488.51874999999995</x:v>
      </x:c>
      <x:c r="D39" s="5">
        <x:v>419.45291666666657</x:v>
      </x:c>
      <x:c r="E39" s="5">
        <x:v>404.69499999999994</x:v>
      </x:c>
      <x:c r="F39" s="5">
        <x:v>449.3</x:v>
      </x:c>
      <x:c r="G39" s="5">
        <x:v>480.93666666666672</x:v>
      </x:c>
      <x:c r="H39" s="5">
        <x:v>478.19541666666669</x:v>
      </x:c>
      <x:c r="I39" s="5">
        <x:v>557.61416666666662</x:v>
      </x:c>
      <x:c r="J39" s="5">
        <x:v>643.64916666666682</x:v>
      </x:c>
      <x:c r="K39" s="5">
        <x:v>593.71374999999989</x:v>
      </x:c>
      <x:c r="L39" s="5">
        <x:v>574.10541666666677</x:v>
      </x:c>
    </x:row>
    <x:row r="40" spans="1:12" x14ac:dyDescent="0.2">
      <x:c r="A40" s="1">
        <x:f t="shared" si="0"/>
        <x:v>30</x:v>
      </x:c>
      <x:c r="B40" s="32" t="s">
        <x:v>15</x:v>
      </x:c>
      <x:c r="C40" s="33">
        <x:f>SUM(C28:C39)</x:f>
        <x:v>2073.7041666666664</x:v>
      </x:c>
      <x:c r="D40" s="33">
        <x:f t="shared" ref="D40:L40" si="2">SUM(D28:D39)</x:f>
        <x:v>1785.0512499999998</x:v>
      </x:c>
      <x:c r="E40" s="33">
        <x:f t="shared" si="2"/>
        <x:v>1667.5837499999998</x:v>
      </x:c>
      <x:c r="F40" s="33">
        <x:f t="shared" si="2"/>
        <x:v>1876.9670833333334</x:v>
      </x:c>
      <x:c r="G40" s="33">
        <x:f t="shared" si="2"/>
        <x:v>2121.5150000000003</x:v>
      </x:c>
      <x:c r="H40" s="33">
        <x:f t="shared" si="2"/>
        <x:v>2019.8729166666669</x:v>
      </x:c>
      <x:c r="I40" s="33">
        <x:f t="shared" si="2"/>
        <x:v>2434.2295833333333</x:v>
      </x:c>
      <x:c r="J40" s="33">
        <x:f t="shared" si="2"/>
        <x:v>2821.3383333333331</x:v>
      </x:c>
      <x:c r="K40" s="33">
        <x:f t="shared" si="2"/>
        <x:v>2523.5770833333336</x:v>
      </x:c>
      <x:c r="L40" s="33">
        <x:f t="shared" si="2"/>
        <x:v>2597.2624999999998</x:v>
      </x:c>
    </x:row>
  </x:sheetData>
  <x:mergeCells count="7">
    <x:mergeCell ref="B26:L26"/>
    <x:mergeCell ref="B1:L1"/>
    <x:mergeCell ref="B2:L2"/>
    <x:mergeCell ref="B3:L3"/>
    <x:mergeCell ref="B4:L4"/>
    <x:mergeCell ref="B6:L6"/>
    <x:mergeCell ref="B9:L9"/>
  </x:mergeCells>
  <x:pageMargins left="0.75" right="0.75" top="1" bottom="1" header="0.5" footer="0.5"/>
  <x:pageSetup scale="73" firstPageNumber="3" orientation="portrait" r:id="rId1"/>
  <x:headerFooter alignWithMargins="0">
    <x:oddHeader>&amp;RSchedule II-H-5.1
Page &amp;P of  25</x:oddHeader>
  </x:headerFooter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pageSetUpPr fitToPage="1"/>
  </x:sheetPr>
  <x:dimension ref="A1:M46"/>
  <x:sheetViews>
    <x:sheetView zoomScaleNormal="100" workbookViewId="0"/>
  </x:sheetViews>
  <x:sheetFormatPr defaultColWidth="9.109375" defaultRowHeight="11.4" x14ac:dyDescent="0.2"/>
  <x:cols>
    <x:col min="1" max="1" width="9.109375" style="1"/>
    <x:col min="2" max="2" width="10.44140625" style="2" bestFit="1" customWidth="1"/>
    <x:col min="3" max="3" width="11.44140625" style="2" customWidth="1"/>
    <x:col min="4" max="4" width="9.5546875" style="2" bestFit="1" customWidth="1"/>
    <x:col min="5" max="5" width="9.6640625" style="2" bestFit="1" customWidth="1"/>
    <x:col min="6" max="6" width="9.5546875" style="2" bestFit="1" customWidth="1"/>
    <x:col min="7" max="7" width="12.33203125" style="2" bestFit="1" customWidth="1"/>
    <x:col min="8" max="8" width="9.88671875" style="2" bestFit="1" customWidth="1"/>
    <x:col min="9" max="9" width="10.5546875" style="2" bestFit="1" customWidth="1"/>
    <x:col min="10" max="10" width="11.33203125" style="2" customWidth="1"/>
    <x:col min="11" max="11" width="10.44140625" style="2" customWidth="1"/>
    <x:col min="12" max="16384" width="9.109375" style="2"/>
  </x:cols>
  <x:sheetData>
    <x:row r="1" spans="1:12" ht="15.6" x14ac:dyDescent="0.3">
      <x:c r="B1" s="88" t="str">
        <x:f>+Base45h!B1</x:f>
        <x:v xml:space="preserve">PUC DOCKET NO. </x:v>
      </x:c>
      <x:c r="C1" s="88"/>
      <x:c r="D1" s="88"/>
      <x:c r="E1" s="88"/>
      <x:c r="F1" s="88"/>
      <x:c r="G1" s="88"/>
      <x:c r="H1" s="88"/>
      <x:c r="I1" s="88"/>
      <x:c r="J1" s="88"/>
      <x:c r="K1" s="88"/>
      <x:c r="L1" s="88"/>
    </x:row>
    <x:row r="2" spans="1:12" ht="15.6" x14ac:dyDescent="0.3">
      <x:c r="B2" s="88" t="str">
        <x:f>+Base45h!B2</x:f>
        <x:v>ONCOR ELECTRIC DELIVERY COMPANY LLC</x:v>
      </x:c>
      <x:c r="C2" s="88"/>
      <x:c r="D2" s="88"/>
      <x:c r="E2" s="88"/>
      <x:c r="F2" s="88"/>
      <x:c r="G2" s="88"/>
      <x:c r="H2" s="88"/>
      <x:c r="I2" s="88"/>
      <x:c r="J2" s="88"/>
      <x:c r="K2" s="88"/>
      <x:c r="L2" s="88"/>
    </x:row>
    <x:row r="3" spans="1:12" ht="15.6" x14ac:dyDescent="0.3">
      <x:c r="B3" s="88" t="str">
        <x:f>+Base45h!B3</x:f>
        <x:v>WEATHER STATION DATA</x:v>
      </x:c>
      <x:c r="C3" s="88"/>
      <x:c r="D3" s="88"/>
      <x:c r="E3" s="88"/>
      <x:c r="F3" s="88"/>
      <x:c r="G3" s="88"/>
      <x:c r="H3" s="88"/>
      <x:c r="I3" s="88"/>
      <x:c r="J3" s="88"/>
      <x:c r="K3" s="88"/>
      <x:c r="L3" s="88"/>
    </x:row>
    <x:row r="4" spans="1:12" ht="15.6" x14ac:dyDescent="0.3">
      <x:c r="B4" s="88" t="str">
        <x:f>+Base45h!B4</x:f>
        <x:v>FOR THE TEST YEAR ENDING DECEMBER 31, 2024</x:v>
      </x:c>
      <x:c r="C4" s="88"/>
      <x:c r="D4" s="88"/>
      <x:c r="E4" s="88"/>
      <x:c r="F4" s="88"/>
      <x:c r="G4" s="88"/>
      <x:c r="H4" s="88"/>
      <x:c r="I4" s="88"/>
      <x:c r="J4" s="88"/>
      <x:c r="K4" s="88"/>
      <x:c r="L4" s="88"/>
    </x:row>
    <x:row r="6" spans="1:12" ht="15.6" x14ac:dyDescent="0.3">
      <x:c r="B6" s="88" t="str">
        <x:f>+Base45h!B6</x:f>
        <x:v>SPONSOR: D. E. NELSON</x:v>
      </x:c>
      <x:c r="C6" s="88"/>
      <x:c r="D6" s="88"/>
      <x:c r="E6" s="88"/>
      <x:c r="F6" s="88"/>
      <x:c r="G6" s="88"/>
      <x:c r="H6" s="88"/>
      <x:c r="I6" s="88"/>
      <x:c r="J6" s="88"/>
      <x:c r="K6" s="88"/>
      <x:c r="L6" s="88"/>
    </x:row>
    <x:row r="9" spans="1:12" ht="12" x14ac:dyDescent="0.25">
      <x:c r="B9" s="89" t="s">
        <x:v>84</x:v>
      </x:c>
      <x:c r="C9" s="89"/>
      <x:c r="D9" s="89"/>
      <x:c r="E9" s="89"/>
      <x:c r="F9" s="89"/>
      <x:c r="G9" s="89"/>
      <x:c r="H9" s="89"/>
      <x:c r="I9" s="89"/>
      <x:c r="J9" s="89"/>
      <x:c r="K9" s="89"/>
      <x:c r="L9" s="89"/>
    </x:row>
    <x:row r="10" spans="1:12" ht="34.799999999999997" thickBot="1" x14ac:dyDescent="0.25">
      <x:c r="A10" s="3" t="s">
        <x:v>4</x:v>
      </x:c>
      <x:c r="C10" s="3" t="s">
        <x:v>55</x:v>
      </x:c>
      <x:c r="D10" s="3" t="s">
        <x:v>6</x:v>
      </x:c>
      <x:c r="E10" s="3" t="s">
        <x:v>7</x:v>
      </x:c>
      <x:c r="F10" s="3" t="s">
        <x:v>8</x:v>
      </x:c>
      <x:c r="G10" s="3" t="s">
        <x:v>9</x:v>
      </x:c>
      <x:c r="H10" s="3" t="s">
        <x:v>10</x:v>
      </x:c>
      <x:c r="I10" s="3" t="s">
        <x:v>11</x:v>
      </x:c>
      <x:c r="J10" s="3" t="s">
        <x:v>12</x:v>
      </x:c>
      <x:c r="K10" s="3" t="s">
        <x:v>13</x:v>
      </x:c>
      <x:c r="L10" s="3" t="s">
        <x:v>14</x:v>
      </x:c>
    </x:row>
    <x:row r="11" spans="1:12" x14ac:dyDescent="0.2">
      <x:c r="A11" s="1">
        <x:v>1</x:v>
      </x:c>
      <x:c r="B11" s="4">
        <x:f>+Base45h!B11</x:f>
        <x:v>45292</x:v>
      </x:c>
      <x:c r="C11" s="5">
        <x:v>32.800000000000018</x:v>
      </x:c>
      <x:c r="D11" s="5">
        <x:v>74.900000000000034</x:v>
      </x:c>
      <x:c r="E11" s="5">
        <x:v>51.40000000000002</x:v>
      </x:c>
      <x:c r="F11" s="5">
        <x:v>41.40000000000002</x:v>
      </x:c>
      <x:c r="G11" s="5">
        <x:v>56.600000000000016</x:v>
      </x:c>
      <x:c r="H11" s="5">
        <x:v>20.500000000000021</x:v>
      </x:c>
      <x:c r="I11" s="5">
        <x:v>26.000000000000007</x:v>
      </x:c>
      <x:c r="J11" s="5">
        <x:v>14.800000000000004</x:v>
      </x:c>
      <x:c r="K11" s="5">
        <x:v>7.8000000000000043</x:v>
      </x:c>
      <x:c r="L11" s="5">
        <x:v>20.400000000000006</x:v>
      </x:c>
    </x:row>
    <x:row r="12" spans="1:12" x14ac:dyDescent="0.2">
      <x:c r="A12" s="1">
        <x:f>+A11+1</x:f>
        <x:v>2</x:v>
      </x:c>
      <x:c r="B12" s="4">
        <x:f>+Base45h!B12</x:f>
        <x:v>45323</x:v>
      </x:c>
      <x:c r="C12" s="5">
        <x:v>246.60000000000008</x:v>
      </x:c>
      <x:c r="D12" s="5">
        <x:v>275.3</x:v>
      </x:c>
      <x:c r="E12" s="5">
        <x:v>265.10000000000002</x:v>
      </x:c>
      <x:c r="F12" s="5">
        <x:v>260.70000000000005</x:v>
      </x:c>
      <x:c r="G12" s="5">
        <x:v>250.30000000000004</x:v>
      </x:c>
      <x:c r="H12" s="5">
        <x:v>226.40000000000009</x:v>
      </x:c>
      <x:c r="I12" s="5">
        <x:v>222.6</x:v>
      </x:c>
      <x:c r="J12" s="5">
        <x:v>160.40000000000003</x:v>
      </x:c>
      <x:c r="K12" s="5">
        <x:v>155.80000000000001</x:v>
      </x:c>
      <x:c r="L12" s="5">
        <x:v>196.60000000000008</x:v>
      </x:c>
    </x:row>
    <x:row r="13" spans="1:12" x14ac:dyDescent="0.2">
      <x:c r="A13" s="1">
        <x:f t="shared" ref="A13:A40" si="0">+A12+1</x:f>
        <x:v>3</x:v>
      </x:c>
      <x:c r="B13" s="4">
        <x:f>+Base45h!B13</x:f>
        <x:v>45352</x:v>
      </x:c>
      <x:c r="C13" s="5">
        <x:v>360.90000000000009</x:v>
      </x:c>
      <x:c r="D13" s="5">
        <x:v>410.3</x:v>
      </x:c>
      <x:c r="E13" s="5">
        <x:v>423.50000000000006</x:v>
      </x:c>
      <x:c r="F13" s="5">
        <x:v>395.50000000000011</x:v>
      </x:c>
      <x:c r="G13" s="5">
        <x:v>354.59999999999997</x:v>
      </x:c>
      <x:c r="H13" s="5">
        <x:v>366.9</x:v>
      </x:c>
      <x:c r="I13" s="5">
        <x:v>300.10000000000008</x:v>
      </x:c>
      <x:c r="J13" s="5">
        <x:v>260.00000000000006</x:v>
      </x:c>
      <x:c r="K13" s="5">
        <x:v>271.8</x:v>
      </x:c>
      <x:c r="L13" s="5">
        <x:v>297.50000000000006</x:v>
      </x:c>
    </x:row>
    <x:row r="14" spans="1:12" x14ac:dyDescent="0.2">
      <x:c r="A14" s="1">
        <x:f t="shared" si="0"/>
        <x:v>4</x:v>
      </x:c>
      <x:c r="B14" s="4">
        <x:f>+Base45h!B14</x:f>
        <x:v>45383</x:v>
      </x:c>
      <x:c r="C14" s="5">
        <x:v>561.60000000000014</x:v>
      </x:c>
      <x:c r="D14" s="5">
        <x:v>575.19999999999993</x:v>
      </x:c>
      <x:c r="E14" s="5">
        <x:v>612.4</x:v>
      </x:c>
      <x:c r="F14" s="5">
        <x:v>576.19999999999993</x:v>
      </x:c>
      <x:c r="G14" s="5">
        <x:v>548</x:v>
      </x:c>
      <x:c r="H14" s="5">
        <x:v>541.00000000000023</x:v>
      </x:c>
      <x:c r="I14" s="5">
        <x:v>544.40000000000009</x:v>
      </x:c>
      <x:c r="J14" s="5">
        <x:v>465.7000000000001</x:v>
      </x:c>
      <x:c r="K14" s="5">
        <x:v>495.7000000000001</x:v>
      </x:c>
      <x:c r="L14" s="5">
        <x:v>486.5</x:v>
      </x:c>
    </x:row>
    <x:row r="15" spans="1:12" x14ac:dyDescent="0.2">
      <x:c r="A15" s="1">
        <x:f t="shared" si="0"/>
        <x:v>5</x:v>
      </x:c>
      <x:c r="B15" s="4">
        <x:f>+Base45h!B15</x:f>
        <x:v>45413</x:v>
      </x:c>
      <x:c r="C15" s="5">
        <x:v>833.7</x:v>
      </x:c>
      <x:c r="D15" s="5">
        <x:v>809.60000000000014</x:v>
      </x:c>
      <x:c r="E15" s="5">
        <x:v>892.09999999999991</x:v>
      </x:c>
      <x:c r="F15" s="5">
        <x:v>817.29999999999984</x:v>
      </x:c>
      <x:c r="G15" s="5">
        <x:v>809.40000000000032</x:v>
      </x:c>
      <x:c r="H15" s="5">
        <x:v>805.00000000000011</x:v>
      </x:c>
      <x:c r="I15" s="5">
        <x:v>800.9</x:v>
      </x:c>
      <x:c r="J15" s="5">
        <x:v>744.10000000000014</x:v>
      </x:c>
      <x:c r="K15" s="5">
        <x:v>828.7</x:v>
      </x:c>
      <x:c r="L15" s="5">
        <x:v>762.40000000000009</x:v>
      </x:c>
    </x:row>
    <x:row r="16" spans="1:12" x14ac:dyDescent="0.2">
      <x:c r="A16" s="1">
        <x:f t="shared" si="0"/>
        <x:v>6</x:v>
      </x:c>
      <x:c r="B16" s="4">
        <x:f>+Base45h!B16</x:f>
        <x:v>45444</x:v>
      </x:c>
      <x:c r="C16" s="5">
        <x:v>1022.3000000000002</x:v>
      </x:c>
      <x:c r="D16" s="5">
        <x:v>953.00000000000011</x:v>
      </x:c>
      <x:c r="E16" s="5">
        <x:v>1012.2000000000003</x:v>
      </x:c>
      <x:c r="F16" s="5">
        <x:v>997.29999999999973</x:v>
      </x:c>
      <x:c r="G16" s="5">
        <x:v>943.9</x:v>
      </x:c>
      <x:c r="H16" s="5">
        <x:v>997.80000000000018</x:v>
      </x:c>
      <x:c r="I16" s="5">
        <x:v>1011.4</x:v>
      </x:c>
      <x:c r="J16" s="5">
        <x:v>890.9</x:v>
      </x:c>
      <x:c r="K16" s="5">
        <x:v>1024.6000000000004</x:v>
      </x:c>
      <x:c r="L16" s="5">
        <x:v>992.1</x:v>
      </x:c>
    </x:row>
    <x:row r="17" spans="1:12" x14ac:dyDescent="0.2">
      <x:c r="A17" s="1">
        <x:f t="shared" si="0"/>
        <x:v>7</x:v>
      </x:c>
      <x:c r="B17" s="4">
        <x:f>+Base45h!B17</x:f>
        <x:v>45474</x:v>
      </x:c>
      <x:c r="C17" s="5">
        <x:v>1078.2999999999997</x:v>
      </x:c>
      <x:c r="D17" s="5">
        <x:v>949.00000000000023</x:v>
      </x:c>
      <x:c r="E17" s="5">
        <x:v>1004.1</x:v>
      </x:c>
      <x:c r="F17" s="5">
        <x:v>1014.4</x:v>
      </x:c>
      <x:c r="G17" s="5">
        <x:v>958.80000000000007</x:v>
      </x:c>
      <x:c r="H17" s="5">
        <x:v>1031.2000000000003</x:v>
      </x:c>
      <x:c r="I17" s="5">
        <x:v>1071.5</x:v>
      </x:c>
      <x:c r="J17" s="5">
        <x:v>1046.6999999999998</x:v>
      </x:c>
      <x:c r="K17" s="5">
        <x:v>996.89999999999986</x:v>
      </x:c>
      <x:c r="L17" s="5">
        <x:v>1029.4999999999998</x:v>
      </x:c>
    </x:row>
    <x:row r="18" spans="1:12" x14ac:dyDescent="0.2">
      <x:c r="A18" s="1">
        <x:f t="shared" si="0"/>
        <x:v>8</x:v>
      </x:c>
      <x:c r="B18" s="4">
        <x:f>+Base45h!B18</x:f>
        <x:v>45505</x:v>
      </x:c>
      <x:c r="C18" s="5">
        <x:v>1195.3</x:v>
      </x:c>
      <x:c r="D18" s="5">
        <x:v>1055.8</x:v>
      </x:c>
      <x:c r="E18" s="5">
        <x:v>1095.5000000000002</x:v>
      </x:c>
      <x:c r="F18" s="5">
        <x:v>1134.0999999999999</x:v>
      </x:c>
      <x:c r="G18" s="5">
        <x:v>1047.1999999999998</x:v>
      </x:c>
      <x:c r="H18" s="5">
        <x:v>1137.4000000000003</x:v>
      </x:c>
      <x:c r="I18" s="5">
        <x:v>1205.8</x:v>
      </x:c>
      <x:c r="J18" s="5">
        <x:v>1191.1000000000001</x:v>
      </x:c>
      <x:c r="K18" s="5">
        <x:v>1125.8999999999999</x:v>
      </x:c>
      <x:c r="L18" s="5">
        <x:v>1115.0999999999999</x:v>
      </x:c>
    </x:row>
    <x:row r="19" spans="1:12" x14ac:dyDescent="0.2">
      <x:c r="A19" s="1">
        <x:f t="shared" si="0"/>
        <x:v>9</x:v>
      </x:c>
      <x:c r="B19" s="4">
        <x:f>+Base45h!B19</x:f>
        <x:v>45536</x:v>
      </x:c>
      <x:c r="C19" s="5">
        <x:v>877</x:v>
      </x:c>
      <x:c r="D19" s="5">
        <x:v>816.8</x:v>
      </x:c>
      <x:c r="E19" s="5">
        <x:v>931.9000000000002</x:v>
      </x:c>
      <x:c r="F19" s="5">
        <x:v>876.40000000000009</x:v>
      </x:c>
      <x:c r="G19" s="5">
        <x:v>793.7</x:v>
      </x:c>
      <x:c r="H19" s="5">
        <x:v>850.50000000000011</x:v>
      </x:c>
      <x:c r="I19" s="5">
        <x:v>796.10000000000025</x:v>
      </x:c>
      <x:c r="J19" s="5">
        <x:v>835.99999999999989</x:v>
      </x:c>
      <x:c r="K19" s="5">
        <x:v>740.9</x:v>
      </x:c>
      <x:c r="L19" s="5">
        <x:v>807.9</x:v>
      </x:c>
    </x:row>
    <x:row r="20" spans="1:12" x14ac:dyDescent="0.2">
      <x:c r="A20" s="1">
        <x:f t="shared" si="0"/>
        <x:v>10</x:v>
      </x:c>
      <x:c r="B20" s="4">
        <x:f>+Base45h!B20</x:f>
        <x:v>45566</x:v>
      </x:c>
      <x:c r="C20" s="5">
        <x:v>790.89999999999986</x:v>
      </x:c>
      <x:c r="D20" s="5">
        <x:v>671.9</x:v>
      </x:c>
      <x:c r="E20" s="5">
        <x:v>782.50000000000011</x:v>
      </x:c>
      <x:c r="F20" s="5">
        <x:v>786.99999999999989</x:v>
      </x:c>
      <x:c r="G20" s="5">
        <x:v>641.00000000000011</x:v>
      </x:c>
      <x:c r="H20" s="5">
        <x:v>757.6</x:v>
      </x:c>
      <x:c r="I20" s="5">
        <x:v>720.1</x:v>
      </x:c>
      <x:c r="J20" s="5">
        <x:v>703.80000000000007</x:v>
      </x:c>
      <x:c r="K20" s="5">
        <x:v>664.50000000000011</x:v>
      </x:c>
      <x:c r="L20" s="5">
        <x:v>717.7</x:v>
      </x:c>
    </x:row>
    <x:row r="21" spans="1:12" x14ac:dyDescent="0.2">
      <x:c r="A21" s="1">
        <x:f t="shared" si="0"/>
        <x:v>11</x:v>
      </x:c>
      <x:c r="B21" s="4">
        <x:f>+Base45h!B21</x:f>
        <x:v>45597</x:v>
      </x:c>
      <x:c r="C21" s="5">
        <x:v>356.6</x:v>
      </x:c>
      <x:c r="D21" s="5">
        <x:v>402.50000000000006</x:v>
      </x:c>
      <x:c r="E21" s="5">
        <x:v>432.7</x:v>
      </x:c>
      <x:c r="F21" s="5">
        <x:v>396.40000000000003</x:v>
      </x:c>
      <x:c r="G21" s="5">
        <x:v>343.6</x:v>
      </x:c>
      <x:c r="H21" s="5">
        <x:v>359.59999999999997</x:v>
      </x:c>
      <x:c r="I21" s="5">
        <x:v>281.10000000000014</x:v>
      </x:c>
      <x:c r="J21" s="5">
        <x:v>223.70000000000005</x:v>
      </x:c>
      <x:c r="K21" s="5">
        <x:v>222.50000000000006</x:v>
      </x:c>
      <x:c r="L21" s="5">
        <x:v>277.89999999999998</x:v>
      </x:c>
    </x:row>
    <x:row r="22" spans="1:12" x14ac:dyDescent="0.2">
      <x:c r="A22" s="1">
        <x:f t="shared" si="0"/>
        <x:v>12</x:v>
      </x:c>
      <x:c r="B22" s="4">
        <x:f>+Base45h!B22</x:f>
        <x:v>45627</x:v>
      </x:c>
      <x:c r="C22" s="5">
        <x:v>138.80000000000004</x:v>
      </x:c>
      <x:c r="D22" s="5">
        <x:v>201.5</x:v>
      </x:c>
      <x:c r="E22" s="5">
        <x:v>259.40000000000009</x:v>
      </x:c>
      <x:c r="F22" s="5">
        <x:v>223.8</x:v>
      </x:c>
      <x:c r="G22" s="5">
        <x:v>161.70000000000002</x:v>
      </x:c>
      <x:c r="H22" s="5">
        <x:v>181.2</x:v>
      </x:c>
      <x:c r="I22" s="5">
        <x:v>128.80000000000004</x:v>
      </x:c>
      <x:c r="J22" s="5">
        <x:v>61.500000000000028</x:v>
      </x:c>
      <x:c r="K22" s="5">
        <x:v>73.200000000000017</x:v>
      </x:c>
      <x:c r="L22" s="5">
        <x:v>91.400000000000063</x:v>
      </x:c>
    </x:row>
    <x:row r="23" spans="1:12" x14ac:dyDescent="0.2">
      <x:c r="A23" s="1">
        <x:f t="shared" si="0"/>
        <x:v>13</x:v>
      </x:c>
      <x:c r="B23" s="32" t="s">
        <x:v>15</x:v>
      </x:c>
      <x:c r="C23" s="33">
        <x:f>SUM(C11:C22)</x:f>
        <x:v>7494.8000000000011</x:v>
      </x:c>
      <x:c r="D23" s="33">
        <x:f t="shared" ref="D23:L23" si="1">SUM(D11:D22)</x:f>
        <x:v>7195.8</x:v>
      </x:c>
      <x:c r="E23" s="33">
        <x:f t="shared" si="1"/>
        <x:v>7762.8000000000011</x:v>
      </x:c>
      <x:c r="F23" s="33">
        <x:f t="shared" si="1"/>
        <x:v>7520.4999999999991</x:v>
      </x:c>
      <x:c r="G23" s="33">
        <x:f t="shared" si="1"/>
        <x:v>6908.8</x:v>
      </x:c>
      <x:c r="H23" s="33">
        <x:f t="shared" si="1"/>
        <x:v>7275.1000000000013</x:v>
      </x:c>
      <x:c r="I23" s="33">
        <x:f t="shared" si="1"/>
        <x:v>7108.8000000000011</x:v>
      </x:c>
      <x:c r="J23" s="33">
        <x:f t="shared" si="1"/>
        <x:v>6598.7000000000007</x:v>
      </x:c>
      <x:c r="K23" s="33">
        <x:f t="shared" si="1"/>
        <x:v>6608.2999999999993</x:v>
      </x:c>
      <x:c r="L23" s="33">
        <x:f t="shared" si="1"/>
        <x:v>6794.9999999999991</x:v>
      </x:c>
    </x:row>
    <x:row r="24" spans="1:12" x14ac:dyDescent="0.2">
      <x:c r="A24" s="1">
        <x:f t="shared" si="0"/>
        <x:v>14</x:v>
      </x:c>
    </x:row>
    <x:row r="25" spans="1:12" x14ac:dyDescent="0.2">
      <x:c r="A25" s="1">
        <x:f t="shared" si="0"/>
        <x:v>15</x:v>
      </x:c>
    </x:row>
    <x:row r="26" spans="1:12" ht="12" x14ac:dyDescent="0.25">
      <x:c r="A26" s="1">
        <x:f t="shared" si="0"/>
        <x:v>16</x:v>
      </x:c>
      <x:c r="B26" s="89" t="s">
        <x:v>85</x:v>
      </x:c>
      <x:c r="C26" s="89"/>
      <x:c r="D26" s="89"/>
      <x:c r="E26" s="89"/>
      <x:c r="F26" s="89"/>
      <x:c r="G26" s="89"/>
      <x:c r="H26" s="89"/>
      <x:c r="I26" s="89"/>
      <x:c r="J26" s="89"/>
      <x:c r="K26" s="89"/>
      <x:c r="L26" s="89"/>
    </x:row>
    <x:row r="27" spans="1:12" ht="34.799999999999997" thickBot="1" x14ac:dyDescent="0.25">
      <x:c r="A27" s="1">
        <x:f t="shared" si="0"/>
        <x:v>17</x:v>
      </x:c>
      <x:c r="C27" s="3" t="s">
        <x:v>55</x:v>
      </x:c>
      <x:c r="D27" s="3" t="s">
        <x:v>6</x:v>
      </x:c>
      <x:c r="E27" s="72" t="s">
        <x:v>7</x:v>
      </x:c>
      <x:c r="F27" s="72" t="s">
        <x:v>8</x:v>
      </x:c>
      <x:c r="G27" s="72" t="s">
        <x:v>9</x:v>
      </x:c>
      <x:c r="H27" s="72" t="s">
        <x:v>10</x:v>
      </x:c>
      <x:c r="I27" s="72" t="s">
        <x:v>11</x:v>
      </x:c>
      <x:c r="J27" s="72" t="s">
        <x:v>12</x:v>
      </x:c>
      <x:c r="K27" s="72" t="s">
        <x:v>13</x:v>
      </x:c>
      <x:c r="L27" s="72" t="s">
        <x:v>14</x:v>
      </x:c>
    </x:row>
    <x:row r="28" spans="1:12" x14ac:dyDescent="0.2">
      <x:c r="A28" s="1">
        <x:f t="shared" si="0"/>
        <x:v>18</x:v>
      </x:c>
      <x:c r="B28" s="4">
        <x:f>+Base45h!B28</x:f>
        <x:v>45292</x:v>
      </x:c>
      <x:c r="C28" s="5">
        <x:v>83.911666666666676</x:v>
      </x:c>
      <x:c r="D28" s="5">
        <x:v>122.98291666666667</x:v>
      </x:c>
      <x:c r="E28" s="5">
        <x:v>126.41</x:v>
      </x:c>
      <x:c r="F28" s="5">
        <x:v>108.12541666666665</x:v>
      </x:c>
      <x:c r="G28" s="5">
        <x:v>93.796249999999972</x:v>
      </x:c>
      <x:c r="H28" s="5">
        <x:v>87.374583333333348</x:v>
      </x:c>
      <x:c r="I28" s="5">
        <x:v>65.456666666666649</x:v>
      </x:c>
      <x:c r="J28" s="5">
        <x:v>41.679583333333333</x:v>
      </x:c>
      <x:c r="K28" s="5">
        <x:v>41.402500000000003</x:v>
      </x:c>
      <x:c r="L28" s="5">
        <x:v>54.042083333333323</x:v>
      </x:c>
    </x:row>
    <x:row r="29" spans="1:12" x14ac:dyDescent="0.2">
      <x:c r="A29" s="1">
        <x:f t="shared" si="0"/>
        <x:v>19</x:v>
      </x:c>
      <x:c r="B29" s="4">
        <x:f>+Base45h!B29</x:f>
        <x:v>45323</x:v>
      </x:c>
      <x:c r="C29" s="5">
        <x:v>137.63124999999999</x:v>
      </x:c>
      <x:c r="D29" s="5">
        <x:v>176.42375000000001</x:v>
      </x:c>
      <x:c r="E29" s="5">
        <x:v>189.89291666666665</x:v>
      </x:c>
      <x:c r="F29" s="5">
        <x:v>163.75083333333339</x:v>
      </x:c>
      <x:c r="G29" s="5">
        <x:v>137.37250000000003</x:v>
      </x:c>
      <x:c r="H29" s="5">
        <x:v>142.30583333333337</x:v>
      </x:c>
      <x:c r="I29" s="5">
        <x:v>115.70666666666668</x:v>
      </x:c>
      <x:c r="J29" s="5">
        <x:v>77.848333333333329</x:v>
      </x:c>
      <x:c r="K29" s="5">
        <x:v>101.72791666666669</x:v>
      </x:c>
      <x:c r="L29" s="5">
        <x:v>92.723333333333358</x:v>
      </x:c>
    </x:row>
    <x:row r="30" spans="1:12" x14ac:dyDescent="0.2">
      <x:c r="A30" s="1">
        <x:f t="shared" si="0"/>
        <x:v>20</x:v>
      </x:c>
      <x:c r="B30" s="4">
        <x:f>+Base45h!B30</x:f>
        <x:v>45352</x:v>
      </x:c>
      <x:c r="C30" s="5">
        <x:v>336.67166666666668</x:v>
      </x:c>
      <x:c r="D30" s="5">
        <x:v>366.06500000000011</x:v>
      </x:c>
      <x:c r="E30" s="5">
        <x:v>392.03208333333333</x:v>
      </x:c>
      <x:c r="F30" s="5">
        <x:v>357.84291666666661</x:v>
      </x:c>
      <x:c r="G30" s="5">
        <x:v>316.61458333333331</x:v>
      </x:c>
      <x:c r="H30" s="5">
        <x:v>335.82625000000007</x:v>
      </x:c>
      <x:c r="I30" s="5">
        <x:v>291.1808333333334</x:v>
      </x:c>
      <x:c r="J30" s="5">
        <x:v>244.70583333333337</x:v>
      </x:c>
      <x:c r="K30" s="5">
        <x:v>284.57791666666662</x:v>
      </x:c>
      <x:c r="L30" s="5">
        <x:v>248.37791666666669</x:v>
      </x:c>
    </x:row>
    <x:row r="31" spans="1:12" x14ac:dyDescent="0.2">
      <x:c r="A31" s="1">
        <x:f t="shared" si="0"/>
        <x:v>21</x:v>
      </x:c>
      <x:c r="B31" s="4">
        <x:f>+Base45h!B31</x:f>
        <x:v>45383</x:v>
      </x:c>
      <x:c r="C31" s="5">
        <x:v>499.44375000000014</x:v>
      </x:c>
      <x:c r="D31" s="5">
        <x:v>515.5575</x:v>
      </x:c>
      <x:c r="E31" s="5">
        <x:v>546.61374999999998</x:v>
      </x:c>
      <x:c r="F31" s="5">
        <x:v>514.84750000000008</x:v>
      </x:c>
      <x:c r="G31" s="5">
        <x:v>467.4595833333334</x:v>
      </x:c>
      <x:c r="H31" s="5">
        <x:v>498.9408333333335</x:v>
      </x:c>
      <x:c r="I31" s="5">
        <x:v>467.27666666666664</x:v>
      </x:c>
      <x:c r="J31" s="5">
        <x:v>416.37499999999994</x:v>
      </x:c>
      <x:c r="K31" s="5">
        <x:v>489.4787500000001</x:v>
      </x:c>
      <x:c r="L31" s="5">
        <x:v>401.34249999999997</x:v>
      </x:c>
    </x:row>
    <x:row r="32" spans="1:12" x14ac:dyDescent="0.2">
      <x:c r="A32" s="1">
        <x:f t="shared" si="0"/>
        <x:v>22</x:v>
      </x:c>
      <x:c r="B32" s="4">
        <x:f>+Base45h!B32</x:f>
        <x:v>45413</x:v>
      </x:c>
      <x:c r="C32" s="5">
        <x:v>763.28166666666675</x:v>
      </x:c>
      <x:c r="D32" s="5">
        <x:v>756.34624999999994</x:v>
      </x:c>
      <x:c r="E32" s="5">
        <x:v>788.43166666666684</x:v>
      </x:c>
      <x:c r="F32" s="5">
        <x:v>751.98625000000004</x:v>
      </x:c>
      <x:c r="G32" s="5">
        <x:v>722.05416666666667</x:v>
      </x:c>
      <x:c r="H32" s="5">
        <x:v>757.72500000000014</x:v>
      </x:c>
      <x:c r="I32" s="5">
        <x:v>717.75</x:v>
      </x:c>
      <x:c r="J32" s="5">
        <x:v>691.50750000000005</x:v>
      </x:c>
      <x:c r="K32" s="5">
        <x:v>755.78416666666681</x:v>
      </x:c>
      <x:c r="L32" s="5">
        <x:v>660.7750000000002</x:v>
      </x:c>
    </x:row>
    <x:row r="33" spans="1:13" x14ac:dyDescent="0.2">
      <x:c r="A33" s="1">
        <x:f t="shared" si="0"/>
        <x:v>23</x:v>
      </x:c>
      <x:c r="B33" s="4">
        <x:f>+Base45h!B33</x:f>
        <x:v>45444</x:v>
      </x:c>
      <x:c r="C33" s="5">
        <x:v>996.71833333333313</x:v>
      </x:c>
      <x:c r="D33" s="5">
        <x:v>932.33750000000009</x:v>
      </x:c>
      <x:c r="E33" s="5">
        <x:v>966.51791666666668</x:v>
      </x:c>
      <x:c r="F33" s="5">
        <x:v>958.32791666666662</x:v>
      </x:c>
      <x:c r="G33" s="5">
        <x:v>921.55625000000009</x:v>
      </x:c>
      <x:c r="H33" s="5">
        <x:v>979.61875000000009</x:v>
      </x:c>
      <x:c r="I33" s="5">
        <x:v>933.02041666666685</x:v>
      </x:c>
      <x:c r="J33" s="5">
        <x:v>939.89249999999981</x:v>
      </x:c>
      <x:c r="K33" s="5">
        <x:v>972.55081249999989</x:v>
      </x:c>
      <x:c r="L33" s="5">
        <x:v>917.34333333333336</x:v>
      </x:c>
    </x:row>
    <x:row r="34" spans="1:13" x14ac:dyDescent="0.2">
      <x:c r="A34" s="1">
        <x:f t="shared" si="0"/>
        <x:v>24</x:v>
      </x:c>
      <x:c r="B34" s="4">
        <x:f>+Base45h!B34</x:f>
        <x:v>45474</x:v>
      </x:c>
      <x:c r="C34" s="5">
        <x:v>1127.5962500000003</x:v>
      </x:c>
      <x:c r="D34" s="5">
        <x:v>1014.8316666666666</x:v>
      </x:c>
      <x:c r="E34" s="5">
        <x:v>1052.3508333333332</x:v>
      </x:c>
      <x:c r="F34" s="5">
        <x:v>1069.7254166666667</x:v>
      </x:c>
      <x:c r="G34" s="5">
        <x:v>1026.6125</x:v>
      </x:c>
      <x:c r="H34" s="5">
        <x:v>1102.9029166666667</x:v>
      </x:c>
      <x:c r="I34" s="5">
        <x:v>1048.7141666666666</x:v>
      </x:c>
      <x:c r="J34" s="5">
        <x:v>1079.7012500000003</x:v>
      </x:c>
      <x:c r="K34" s="5">
        <x:v>1036.2991666666667</x:v>
      </x:c>
      <x:c r="L34" s="5">
        <x:v>1054.5658333333336</x:v>
      </x:c>
    </x:row>
    <x:row r="35" spans="1:13" x14ac:dyDescent="0.2">
      <x:c r="A35" s="1">
        <x:f t="shared" si="0"/>
        <x:v>25</x:v>
      </x:c>
      <x:c r="B35" s="4">
        <x:f>+Base45h!B35</x:f>
        <x:v>45505</x:v>
      </x:c>
      <x:c r="C35" s="5">
        <x:v>1137.5504166666667</x:v>
      </x:c>
      <x:c r="D35" s="5">
        <x:v>1030.9583333333333</x:v>
      </x:c>
      <x:c r="E35" s="5">
        <x:v>1080.0345833333333</x:v>
      </x:c>
      <x:c r="F35" s="5">
        <x:v>1086.57</x:v>
      </x:c>
      <x:c r="G35" s="5">
        <x:v>1037.4962499999999</x:v>
      </x:c>
      <x:c r="H35" s="5">
        <x:v>1116.2929166666665</x:v>
      </x:c>
      <x:c r="I35" s="5">
        <x:v>1042.9479166666667</x:v>
      </x:c>
      <x:c r="J35" s="5">
        <x:v>1066.9420833333336</x:v>
      </x:c>
      <x:c r="K35" s="5">
        <x:v>1011.4916666666666</x:v>
      </x:c>
      <x:c r="L35" s="5">
        <x:v>1055.9662500000002</x:v>
      </x:c>
    </x:row>
    <x:row r="36" spans="1:13" x14ac:dyDescent="0.2">
      <x:c r="A36" s="1">
        <x:f t="shared" si="0"/>
        <x:v>26</x:v>
      </x:c>
      <x:c r="B36" s="4">
        <x:f>+Base45h!B36</x:f>
        <x:v>45536</x:v>
      </x:c>
      <x:c r="C36" s="5">
        <x:v>900.20124999999996</x:v>
      </x:c>
      <x:c r="D36" s="5">
        <x:v>842.16833333333352</x:v>
      </x:c>
      <x:c r="E36" s="5">
        <x:v>877.47250000000008</x:v>
      </x:c>
      <x:c r="F36" s="5">
        <x:v>860.82208333333335</x:v>
      </x:c>
      <x:c r="G36" s="5">
        <x:v>826.06041666666692</x:v>
      </x:c>
      <x:c r="H36" s="5">
        <x:v>881.95041666666657</x:v>
      </x:c>
      <x:c r="I36" s="5">
        <x:v>796.89249999999993</x:v>
      </x:c>
      <x:c r="J36" s="5">
        <x:v>806.47</x:v>
      </x:c>
      <x:c r="K36" s="5">
        <x:v>773.61041666666665</x:v>
      </x:c>
      <x:c r="L36" s="5">
        <x:v>821.96916666666664</x:v>
      </x:c>
    </x:row>
    <x:row r="37" spans="1:13" x14ac:dyDescent="0.2">
      <x:c r="A37" s="1">
        <x:f t="shared" si="0"/>
        <x:v>27</x:v>
      </x:c>
      <x:c r="B37" s="4">
        <x:f>+Base45h!B37</x:f>
        <x:v>45566</x:v>
      </x:c>
      <x:c r="C37" s="5">
        <x:v>582.83583333333343</x:v>
      </x:c>
      <x:c r="D37" s="5">
        <x:v>570.13583333333338</x:v>
      </x:c>
      <x:c r="E37" s="5">
        <x:v>613.57083333333333</x:v>
      </x:c>
      <x:c r="F37" s="5">
        <x:v>586.30791666666664</x:v>
      </x:c>
      <x:c r="G37" s="5">
        <x:v>524.54708333333338</x:v>
      </x:c>
      <x:c r="H37" s="5">
        <x:v>583.16583333333335</x:v>
      </x:c>
      <x:c r="I37" s="5">
        <x:v>512.22541666666677</x:v>
      </x:c>
      <x:c r="J37" s="5">
        <x:v>471.70916666666676</x:v>
      </x:c>
      <x:c r="K37" s="5">
        <x:v>493.85875000000004</x:v>
      </x:c>
      <x:c r="L37" s="5">
        <x:v>499.14125000000001</x:v>
      </x:c>
    </x:row>
    <x:row r="38" spans="1:13" x14ac:dyDescent="0.2">
      <x:c r="A38" s="1">
        <x:f t="shared" si="0"/>
        <x:v>28</x:v>
      </x:c>
      <x:c r="B38" s="4">
        <x:f>+Base45h!B38</x:f>
        <x:v>45597</x:v>
      </x:c>
      <x:c r="C38" s="5">
        <x:v>263.67250000000001</x:v>
      </x:c>
      <x:c r="D38" s="5">
        <x:v>276.87125000000003</x:v>
      </x:c>
      <x:c r="E38" s="5">
        <x:v>310.98541666666665</x:v>
      </x:c>
      <x:c r="F38" s="5">
        <x:v>278.62875000000014</x:v>
      </x:c>
      <x:c r="G38" s="5">
        <x:v>236.35208333333335</x:v>
      </x:c>
      <x:c r="H38" s="5">
        <x:v>269.33416666666676</x:v>
      </x:c>
      <x:c r="I38" s="5">
        <x:v>215.21125000000004</x:v>
      </x:c>
      <x:c r="J38" s="5">
        <x:v>173.66500000000005</x:v>
      </x:c>
      <x:c r="K38" s="5">
        <x:v>175.88750000000002</x:v>
      </x:c>
      <x:c r="L38" s="5">
        <x:v>210.01583333333335</x:v>
      </x:c>
    </x:row>
    <x:row r="39" spans="1:13" x14ac:dyDescent="0.2">
      <x:c r="A39" s="1">
        <x:f t="shared" si="0"/>
        <x:v>29</x:v>
      </x:c>
      <x:c r="B39" s="4">
        <x:f>+Base45h!B39</x:f>
        <x:v>45627</x:v>
      </x:c>
      <x:c r="C39" s="5">
        <x:v>118.36041666666665</x:v>
      </x:c>
      <x:c r="D39" s="5">
        <x:v>164.96125000000004</x:v>
      </x:c>
      <x:c r="E39" s="5">
        <x:v>164.23833333333337</x:v>
      </x:c>
      <x:c r="F39" s="5">
        <x:v>140.18250000000003</x:v>
      </x:c>
      <x:c r="G39" s="5">
        <x:v>131.23500000000001</x:v>
      </x:c>
      <x:c r="H39" s="5">
        <x:v>124.24583333333335</x:v>
      </x:c>
      <x:c r="I39" s="5">
        <x:v>92.296666666666667</x:v>
      </x:c>
      <x:c r="J39" s="5">
        <x:v>53.294166666666648</x:v>
      </x:c>
      <x:c r="K39" s="5">
        <x:v>58.870416666666692</x:v>
      </x:c>
      <x:c r="L39" s="5">
        <x:v>80.635000000000034</x:v>
      </x:c>
    </x:row>
    <x:row r="40" spans="1:13" x14ac:dyDescent="0.2">
      <x:c r="A40" s="1">
        <x:f t="shared" si="0"/>
        <x:v>30</x:v>
      </x:c>
      <x:c r="B40" s="32" t="s">
        <x:v>15</x:v>
      </x:c>
      <x:c r="C40" s="33">
        <x:f>SUM(C28:C39)</x:f>
        <x:v>6947.875</x:v>
      </x:c>
      <x:c r="D40" s="33">
        <x:f t="shared" ref="D40:L40" si="2">SUM(D28:D39)</x:f>
        <x:v>6769.6395833333336</x:v>
      </x:c>
      <x:c r="E40" s="33">
        <x:f t="shared" si="2"/>
        <x:v>7108.5508333333328</x:v>
      </x:c>
      <x:c r="F40" s="33">
        <x:f t="shared" si="2"/>
        <x:v>6877.1174999999994</x:v>
      </x:c>
      <x:c r="G40" s="33">
        <x:f t="shared" si="2"/>
        <x:v>6441.1566666666668</x:v>
      </x:c>
      <x:c r="H40" s="33">
        <x:f t="shared" si="2"/>
        <x:v>6879.6833333333334</x:v>
      </x:c>
      <x:c r="I40" s="33">
        <x:f t="shared" si="2"/>
        <x:v>6298.6791666666677</x:v>
      </x:c>
      <x:c r="J40" s="33">
        <x:f t="shared" si="2"/>
        <x:v>6063.7904166666667</x:v>
      </x:c>
      <x:c r="K40" s="33">
        <x:f t="shared" si="2"/>
        <x:v>6195.5399791666669</x:v>
      </x:c>
      <x:c r="L40" s="33">
        <x:f t="shared" si="2"/>
        <x:v>6096.8975</x:v>
      </x:c>
    </x:row>
    <x:row r="42" spans="1:13" x14ac:dyDescent="0.2">
      <x:c r="C42" s="51"/>
      <x:c r="D42" s="51"/>
      <x:c r="E42" s="51"/>
      <x:c r="F42" s="51"/>
      <x:c r="G42" s="51"/>
      <x:c r="H42" s="51"/>
      <x:c r="I42" s="51"/>
      <x:c r="J42" s="51"/>
      <x:c r="K42" s="51"/>
      <x:c r="L42" s="51"/>
      <x:c r="M42" s="51"/>
    </x:row>
    <x:row r="43" spans="1:13" x14ac:dyDescent="0.2">
      <x:c r="C43" s="52"/>
      <x:c r="D43" s="52"/>
      <x:c r="E43" s="52"/>
      <x:c r="F43" s="52"/>
      <x:c r="G43" s="52"/>
      <x:c r="H43" s="52"/>
      <x:c r="I43" s="52"/>
      <x:c r="J43" s="52"/>
      <x:c r="K43" s="52"/>
      <x:c r="L43" s="52"/>
      <x:c r="M43" s="53"/>
    </x:row>
    <x:row r="45" spans="1:13" x14ac:dyDescent="0.2">
      <x:c r="C45" s="51"/>
      <x:c r="D45" s="51"/>
      <x:c r="E45" s="51"/>
      <x:c r="F45" s="51"/>
      <x:c r="G45" s="51"/>
      <x:c r="H45" s="51"/>
      <x:c r="I45" s="51"/>
      <x:c r="J45" s="51"/>
      <x:c r="K45" s="51"/>
      <x:c r="L45" s="51"/>
      <x:c r="M45" s="51"/>
    </x:row>
    <x:row r="46" spans="1:13" x14ac:dyDescent="0.2">
      <x:c r="C46" s="52"/>
      <x:c r="D46" s="52"/>
      <x:c r="E46" s="52"/>
      <x:c r="F46" s="52"/>
      <x:c r="G46" s="52"/>
      <x:c r="H46" s="52"/>
      <x:c r="I46" s="52"/>
      <x:c r="J46" s="52"/>
      <x:c r="K46" s="52"/>
      <x:c r="L46" s="52"/>
      <x:c r="M46" s="53"/>
    </x:row>
  </x:sheetData>
  <x:mergeCells count="7">
    <x:mergeCell ref="B26:L26"/>
    <x:mergeCell ref="B1:L1"/>
    <x:mergeCell ref="B2:L2"/>
    <x:mergeCell ref="B3:L3"/>
    <x:mergeCell ref="B4:L4"/>
    <x:mergeCell ref="B6:L6"/>
    <x:mergeCell ref="B9:L9"/>
  </x:mergeCells>
  <x:pageMargins left="0.75" right="0.75" top="1" bottom="1" header="0.5" footer="0.5"/>
  <x:pageSetup scale="73" firstPageNumber="3" orientation="portrait" r:id="rId1"/>
  <x:headerFooter alignWithMargins="0">
    <x:oddHeader>&amp;RSchedule II-H-5.1
Page &amp;P of  25</x:oddHeader>
  </x:headerFooter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pageSetUpPr fitToPage="1"/>
  </x:sheetPr>
  <x:dimension ref="A1:M46"/>
  <x:sheetViews>
    <x:sheetView zoomScaleNormal="100" workbookViewId="0"/>
  </x:sheetViews>
  <x:sheetFormatPr defaultColWidth="9.109375" defaultRowHeight="11.4" x14ac:dyDescent="0.2"/>
  <x:cols>
    <x:col min="1" max="1" width="9.109375" style="1"/>
    <x:col min="2" max="2" width="10.44140625" style="2" bestFit="1" customWidth="1"/>
    <x:col min="3" max="3" width="11.44140625" style="2" customWidth="1"/>
    <x:col min="4" max="4" width="9.5546875" style="2" bestFit="1" customWidth="1"/>
    <x:col min="5" max="5" width="9.6640625" style="2" bestFit="1" customWidth="1"/>
    <x:col min="6" max="6" width="9.5546875" style="2" bestFit="1" customWidth="1"/>
    <x:col min="7" max="7" width="12.33203125" style="2" bestFit="1" customWidth="1"/>
    <x:col min="8" max="8" width="9.88671875" style="2" bestFit="1" customWidth="1"/>
    <x:col min="9" max="9" width="10.5546875" style="2" bestFit="1" customWidth="1"/>
    <x:col min="10" max="10" width="11.33203125" style="2" customWidth="1"/>
    <x:col min="11" max="11" width="10.44140625" style="2" customWidth="1"/>
    <x:col min="12" max="16384" width="9.109375" style="2"/>
  </x:cols>
  <x:sheetData>
    <x:row r="1" spans="1:12" ht="15.6" x14ac:dyDescent="0.3">
      <x:c r="B1" s="88" t="str">
        <x:f>+Base45h!B1</x:f>
        <x:v xml:space="preserve">PUC DOCKET NO. </x:v>
      </x:c>
      <x:c r="C1" s="88"/>
      <x:c r="D1" s="88"/>
      <x:c r="E1" s="88"/>
      <x:c r="F1" s="88"/>
      <x:c r="G1" s="88"/>
      <x:c r="H1" s="88"/>
      <x:c r="I1" s="88"/>
      <x:c r="J1" s="88"/>
      <x:c r="K1" s="88"/>
      <x:c r="L1" s="88"/>
    </x:row>
    <x:row r="2" spans="1:12" ht="15.6" x14ac:dyDescent="0.3">
      <x:c r="B2" s="88" t="str">
        <x:f>+Base45h!B2</x:f>
        <x:v>ONCOR ELECTRIC DELIVERY COMPANY LLC</x:v>
      </x:c>
      <x:c r="C2" s="88"/>
      <x:c r="D2" s="88"/>
      <x:c r="E2" s="88"/>
      <x:c r="F2" s="88"/>
      <x:c r="G2" s="88"/>
      <x:c r="H2" s="88"/>
      <x:c r="I2" s="88"/>
      <x:c r="J2" s="88"/>
      <x:c r="K2" s="88"/>
      <x:c r="L2" s="88"/>
    </x:row>
    <x:row r="3" spans="1:12" ht="15.6" x14ac:dyDescent="0.3">
      <x:c r="B3" s="88" t="str">
        <x:f>+Base45h!B3</x:f>
        <x:v>WEATHER STATION DATA</x:v>
      </x:c>
      <x:c r="C3" s="88"/>
      <x:c r="D3" s="88"/>
      <x:c r="E3" s="88"/>
      <x:c r="F3" s="88"/>
      <x:c r="G3" s="88"/>
      <x:c r="H3" s="88"/>
      <x:c r="I3" s="88"/>
      <x:c r="J3" s="88"/>
      <x:c r="K3" s="88"/>
      <x:c r="L3" s="88"/>
    </x:row>
    <x:row r="4" spans="1:12" ht="15.6" x14ac:dyDescent="0.3">
      <x:c r="B4" s="88" t="str">
        <x:f>+Base45h!B4</x:f>
        <x:v>FOR THE TEST YEAR ENDING DECEMBER 31, 2024</x:v>
      </x:c>
      <x:c r="C4" s="88"/>
      <x:c r="D4" s="88"/>
      <x:c r="E4" s="88"/>
      <x:c r="F4" s="88"/>
      <x:c r="G4" s="88"/>
      <x:c r="H4" s="88"/>
      <x:c r="I4" s="88"/>
      <x:c r="J4" s="88"/>
      <x:c r="K4" s="88"/>
      <x:c r="L4" s="88"/>
    </x:row>
    <x:row r="6" spans="1:12" ht="15.6" x14ac:dyDescent="0.3">
      <x:c r="B6" s="88" t="str">
        <x:f>+Base45h!B6</x:f>
        <x:v>SPONSOR: D. E. NELSON</x:v>
      </x:c>
      <x:c r="C6" s="88"/>
      <x:c r="D6" s="88"/>
      <x:c r="E6" s="88"/>
      <x:c r="F6" s="88"/>
      <x:c r="G6" s="88"/>
      <x:c r="H6" s="88"/>
      <x:c r="I6" s="88"/>
      <x:c r="J6" s="88"/>
      <x:c r="K6" s="88"/>
      <x:c r="L6" s="88"/>
    </x:row>
    <x:row r="9" spans="1:12" ht="12" x14ac:dyDescent="0.25">
      <x:c r="B9" s="89" t="s">
        <x:v>100</x:v>
      </x:c>
      <x:c r="C9" s="89"/>
      <x:c r="D9" s="89"/>
      <x:c r="E9" s="89"/>
      <x:c r="F9" s="89"/>
      <x:c r="G9" s="89"/>
      <x:c r="H9" s="89"/>
      <x:c r="I9" s="89"/>
      <x:c r="J9" s="89"/>
      <x:c r="K9" s="89"/>
      <x:c r="L9" s="89"/>
    </x:row>
    <x:row r="10" spans="1:12" ht="34.799999999999997" thickBot="1" x14ac:dyDescent="0.25">
      <x:c r="A10" s="3" t="s">
        <x:v>4</x:v>
      </x:c>
      <x:c r="C10" s="3" t="s">
        <x:v>55</x:v>
      </x:c>
      <x:c r="D10" s="3" t="s">
        <x:v>6</x:v>
      </x:c>
      <x:c r="E10" s="3" t="s">
        <x:v>7</x:v>
      </x:c>
      <x:c r="F10" s="3" t="s">
        <x:v>8</x:v>
      </x:c>
      <x:c r="G10" s="3" t="s">
        <x:v>9</x:v>
      </x:c>
      <x:c r="H10" s="3" t="s">
        <x:v>10</x:v>
      </x:c>
      <x:c r="I10" s="3" t="s">
        <x:v>11</x:v>
      </x:c>
      <x:c r="J10" s="3" t="s">
        <x:v>12</x:v>
      </x:c>
      <x:c r="K10" s="3" t="s">
        <x:v>13</x:v>
      </x:c>
      <x:c r="L10" s="3" t="s">
        <x:v>14</x:v>
      </x:c>
    </x:row>
    <x:row r="11" spans="1:12" x14ac:dyDescent="0.2">
      <x:c r="A11" s="1">
        <x:v>1</x:v>
      </x:c>
      <x:c r="B11" s="4">
        <x:f>+Base45h!B11</x:f>
        <x:v>45292</x:v>
      </x:c>
      <x:c r="C11" s="5">
        <x:v>11.000000000000007</x:v>
      </x:c>
      <x:c r="D11" s="5">
        <x:v>30.200000000000024</x:v>
      </x:c>
      <x:c r="E11" s="5">
        <x:v>5.4000000000000057</x:v>
      </x:c>
      <x:c r="F11" s="5">
        <x:v>10.300000000000004</x:v>
      </x:c>
      <x:c r="G11" s="5">
        <x:v>19.20000000000001</x:v>
      </x:c>
      <x:c r="H11" s="5">
        <x:v>0.10000000000000142</x:v>
      </x:c>
      <x:c r="I11" s="5">
        <x:v>4</x:v>
      </x:c>
      <x:c r="J11" s="5">
        <x:v>0.80000000000000426</x:v>
      </x:c>
      <x:c r="K11" s="5">
        <x:v>0</x:v>
      </x:c>
      <x:c r="L11" s="5">
        <x:v>2.7000000000000028</x:v>
      </x:c>
    </x:row>
    <x:row r="12" spans="1:12" x14ac:dyDescent="0.2">
      <x:c r="A12" s="1">
        <x:f>+A11+1</x:f>
        <x:v>2</x:v>
      </x:c>
      <x:c r="B12" s="4">
        <x:f>+Base45h!B12</x:f>
        <x:v>45323</x:v>
      </x:c>
      <x:c r="C12" s="5">
        <x:v>143.40000000000003</x:v>
      </x:c>
      <x:c r="D12" s="5">
        <x:v>163.60000000000008</x:v>
      </x:c>
      <x:c r="E12" s="5">
        <x:v>154.80000000000001</x:v>
      </x:c>
      <x:c r="F12" s="5">
        <x:v>154.30000000000001</x:v>
      </x:c>
      <x:c r="G12" s="5">
        <x:v>143.10000000000002</x:v>
      </x:c>
      <x:c r="H12" s="5">
        <x:v>125.90000000000002</x:v>
      </x:c>
      <x:c r="I12" s="5">
        <x:v>121.60000000000002</x:v>
      </x:c>
      <x:c r="J12" s="5">
        <x:v>80.40000000000002</x:v>
      </x:c>
      <x:c r="K12" s="5">
        <x:v>75.200000000000017</x:v>
      </x:c>
      <x:c r="L12" s="5">
        <x:v>106.50000000000006</x:v>
      </x:c>
    </x:row>
    <x:row r="13" spans="1:12" x14ac:dyDescent="0.2">
      <x:c r="A13" s="1">
        <x:f t="shared" ref="A13:A40" si="0">+A12+1</x:f>
        <x:v>3</x:v>
      </x:c>
      <x:c r="B13" s="4">
        <x:f>+Base45h!B13</x:f>
        <x:v>45352</x:v>
      </x:c>
      <x:c r="C13" s="5">
        <x:v>224.50000000000003</x:v>
      </x:c>
      <x:c r="D13" s="5">
        <x:v>262.8</x:v>
      </x:c>
      <x:c r="E13" s="5">
        <x:v>276.80000000000007</x:v>
      </x:c>
      <x:c r="F13" s="5">
        <x:v>254.40000000000006</x:v>
      </x:c>
      <x:c r="G13" s="5">
        <x:v>224.90000000000003</x:v>
      </x:c>
      <x:c r="H13" s="5">
        <x:v>236.00000000000003</x:v>
      </x:c>
      <x:c r="I13" s="5">
        <x:v>174.00000000000006</x:v>
      </x:c>
      <x:c r="J13" s="5">
        <x:v>154.5</x:v>
      </x:c>
      <x:c r="K13" s="5">
        <x:v>155.5</x:v>
      </x:c>
      <x:c r="L13" s="5">
        <x:v>176.8</x:v>
      </x:c>
    </x:row>
    <x:row r="14" spans="1:12" x14ac:dyDescent="0.2">
      <x:c r="A14" s="1">
        <x:f t="shared" si="0"/>
        <x:v>4</x:v>
      </x:c>
      <x:c r="B14" s="4">
        <x:f>+Base45h!B14</x:f>
        <x:v>45383</x:v>
      </x:c>
      <x:c r="C14" s="5">
        <x:v>412.30000000000007</x:v>
      </x:c>
      <x:c r="D14" s="5">
        <x:v>425.20000000000005</x:v>
      </x:c>
      <x:c r="E14" s="5">
        <x:v>462.40000000000009</x:v>
      </x:c>
      <x:c r="F14" s="5">
        <x:v>426.20000000000016</x:v>
      </x:c>
      <x:c r="G14" s="5">
        <x:v>398.50000000000011</x:v>
      </x:c>
      <x:c r="H14" s="5">
        <x:v>391.00000000000011</x:v>
      </x:c>
      <x:c r="I14" s="5">
        <x:v>398.70000000000022</x:v>
      </x:c>
      <x:c r="J14" s="5">
        <x:v>320.10000000000008</x:v>
      </x:c>
      <x:c r="K14" s="5">
        <x:v>358.10000000000008</x:v>
      </x:c>
      <x:c r="L14" s="5">
        <x:v>340.70000000000005</x:v>
      </x:c>
    </x:row>
    <x:row r="15" spans="1:12" x14ac:dyDescent="0.2">
      <x:c r="A15" s="1">
        <x:f t="shared" si="0"/>
        <x:v>5</x:v>
      </x:c>
      <x:c r="B15" s="4">
        <x:f>+Base45h!B15</x:f>
        <x:v>45413</x:v>
      </x:c>
      <x:c r="C15" s="5">
        <x:v>678.7</x:v>
      </x:c>
      <x:c r="D15" s="5">
        <x:v>654.60000000000014</x:v>
      </x:c>
      <x:c r="E15" s="5">
        <x:v>737.1</x:v>
      </x:c>
      <x:c r="F15" s="5">
        <x:v>662.30000000000007</x:v>
      </x:c>
      <x:c r="G15" s="5">
        <x:v>654.40000000000009</x:v>
      </x:c>
      <x:c r="H15" s="5">
        <x:v>650</x:v>
      </x:c>
      <x:c r="I15" s="5">
        <x:v>645.90000000000009</x:v>
      </x:c>
      <x:c r="J15" s="5">
        <x:v>589.1</x:v>
      </x:c>
      <x:c r="K15" s="5">
        <x:v>673.70000000000016</x:v>
      </x:c>
      <x:c r="L15" s="5">
        <x:v>607.40000000000009</x:v>
      </x:c>
    </x:row>
    <x:row r="16" spans="1:12" x14ac:dyDescent="0.2">
      <x:c r="A16" s="1">
        <x:f t="shared" si="0"/>
        <x:v>6</x:v>
      </x:c>
      <x:c r="B16" s="4">
        <x:f>+Base45h!B16</x:f>
        <x:v>45444</x:v>
      </x:c>
      <x:c r="C16" s="5">
        <x:v>872.30000000000018</x:v>
      </x:c>
      <x:c r="D16" s="5">
        <x:v>803.00000000000011</x:v>
      </x:c>
      <x:c r="E16" s="5">
        <x:v>862.20000000000027</x:v>
      </x:c>
      <x:c r="F16" s="5">
        <x:v>847.29999999999973</x:v>
      </x:c>
      <x:c r="G16" s="5">
        <x:v>793.9</x:v>
      </x:c>
      <x:c r="H16" s="5">
        <x:v>847.80000000000018</x:v>
      </x:c>
      <x:c r="I16" s="5">
        <x:v>861.40000000000009</x:v>
      </x:c>
      <x:c r="J16" s="5">
        <x:v>755.90000000000009</x:v>
      </x:c>
      <x:c r="K16" s="5">
        <x:v>874.60000000000025</x:v>
      </x:c>
      <x:c r="L16" s="5">
        <x:v>842.0999999999998</x:v>
      </x:c>
    </x:row>
    <x:row r="17" spans="1:12" x14ac:dyDescent="0.2">
      <x:c r="A17" s="1">
        <x:f t="shared" si="0"/>
        <x:v>7</x:v>
      </x:c>
      <x:c r="B17" s="4">
        <x:f>+Base45h!B17</x:f>
        <x:v>45474</x:v>
      </x:c>
      <x:c r="C17" s="5">
        <x:v>923.3</x:v>
      </x:c>
      <x:c r="D17" s="5">
        <x:v>794.00000000000023</x:v>
      </x:c>
      <x:c r="E17" s="5">
        <x:v>849.1</x:v>
      </x:c>
      <x:c r="F17" s="5">
        <x:v>859.4</x:v>
      </x:c>
      <x:c r="G17" s="5">
        <x:v>803.80000000000007</x:v>
      </x:c>
      <x:c r="H17" s="5">
        <x:v>876.20000000000016</x:v>
      </x:c>
      <x:c r="I17" s="5">
        <x:v>916.49999999999989</x:v>
      </x:c>
      <x:c r="J17" s="5">
        <x:v>891.69999999999993</x:v>
      </x:c>
      <x:c r="K17" s="5">
        <x:v>841.9</x:v>
      </x:c>
      <x:c r="L17" s="5">
        <x:v>874.49999999999989</x:v>
      </x:c>
    </x:row>
    <x:row r="18" spans="1:12" x14ac:dyDescent="0.2">
      <x:c r="A18" s="1">
        <x:f t="shared" si="0"/>
        <x:v>8</x:v>
      </x:c>
      <x:c r="B18" s="4">
        <x:f>+Base45h!B18</x:f>
        <x:v>45505</x:v>
      </x:c>
      <x:c r="C18" s="5">
        <x:v>1040.3</x:v>
      </x:c>
      <x:c r="D18" s="5">
        <x:v>900.80000000000018</x:v>
      </x:c>
      <x:c r="E18" s="5">
        <x:v>940.50000000000011</x:v>
      </x:c>
      <x:c r="F18" s="5">
        <x:v>979.1</x:v>
      </x:c>
      <x:c r="G18" s="5">
        <x:v>892.19999999999993</x:v>
      </x:c>
      <x:c r="H18" s="5">
        <x:v>982.40000000000032</x:v>
      </x:c>
      <x:c r="I18" s="5">
        <x:v>1050.8</x:v>
      </x:c>
      <x:c r="J18" s="5">
        <x:v>1036.1000000000001</x:v>
      </x:c>
      <x:c r="K18" s="5">
        <x:v>970.9</x:v>
      </x:c>
      <x:c r="L18" s="5">
        <x:v>960.0999999999998</x:v>
      </x:c>
    </x:row>
    <x:row r="19" spans="1:12" x14ac:dyDescent="0.2">
      <x:c r="A19" s="1">
        <x:f t="shared" si="0"/>
        <x:v>9</x:v>
      </x:c>
      <x:c r="B19" s="4">
        <x:f>+Base45h!B19</x:f>
        <x:v>45536</x:v>
      </x:c>
      <x:c r="C19" s="5">
        <x:v>727.00000000000011</x:v>
      </x:c>
      <x:c r="D19" s="5">
        <x:v>666.8</x:v>
      </x:c>
      <x:c r="E19" s="5">
        <x:v>781.90000000000009</x:v>
      </x:c>
      <x:c r="F19" s="5">
        <x:v>726.4000000000002</x:v>
      </x:c>
      <x:c r="G19" s="5">
        <x:v>643.70000000000005</x:v>
      </x:c>
      <x:c r="H19" s="5">
        <x:v>700.5</x:v>
      </x:c>
      <x:c r="I19" s="5">
        <x:v>646.10000000000025</x:v>
      </x:c>
      <x:c r="J19" s="5">
        <x:v>685.99999999999989</x:v>
      </x:c>
      <x:c r="K19" s="5">
        <x:v>590.90000000000009</x:v>
      </x:c>
      <x:c r="L19" s="5">
        <x:v>657.90000000000009</x:v>
      </x:c>
    </x:row>
    <x:row r="20" spans="1:12" x14ac:dyDescent="0.2">
      <x:c r="A20" s="1">
        <x:f t="shared" si="0"/>
        <x:v>10</x:v>
      </x:c>
      <x:c r="B20" s="4">
        <x:f>+Base45h!B20</x:f>
        <x:v>45566</x:v>
      </x:c>
      <x:c r="C20" s="5">
        <x:v>635.9</x:v>
      </x:c>
      <x:c r="D20" s="5">
        <x:v>516.90000000000009</x:v>
      </x:c>
      <x:c r="E20" s="5">
        <x:v>627.5</x:v>
      </x:c>
      <x:c r="F20" s="5">
        <x:v>632</x:v>
      </x:c>
      <x:c r="G20" s="5">
        <x:v>486</x:v>
      </x:c>
      <x:c r="H20" s="5">
        <x:v>602.60000000000014</x:v>
      </x:c>
      <x:c r="I20" s="5">
        <x:v>565.09999999999991</x:v>
      </x:c>
      <x:c r="J20" s="5">
        <x:v>548.80000000000018</x:v>
      </x:c>
      <x:c r="K20" s="5">
        <x:v>509.50000000000011</x:v>
      </x:c>
      <x:c r="L20" s="5">
        <x:v>562.70000000000027</x:v>
      </x:c>
    </x:row>
    <x:row r="21" spans="1:12" x14ac:dyDescent="0.2">
      <x:c r="A21" s="1">
        <x:f t="shared" si="0"/>
        <x:v>11</x:v>
      </x:c>
      <x:c r="B21" s="4">
        <x:f>+Base45h!B21</x:f>
        <x:v>45597</x:v>
      </x:c>
      <x:c r="C21" s="5">
        <x:v>228.40000000000003</x:v>
      </x:c>
      <x:c r="D21" s="5">
        <x:v>274.70000000000005</x:v>
      </x:c>
      <x:c r="E21" s="5">
        <x:v>296.5</x:v>
      </x:c>
      <x:c r="F21" s="5">
        <x:v>267.7</x:v>
      </x:c>
      <x:c r="G21" s="5">
        <x:v>225.60000000000005</x:v>
      </x:c>
      <x:c r="H21" s="5">
        <x:v>236</x:v>
      </x:c>
      <x:c r="I21" s="5">
        <x:v>164.9</x:v>
      </x:c>
      <x:c r="J21" s="5">
        <x:v>115.10000000000005</x:v>
      </x:c>
      <x:c r="K21" s="5">
        <x:v>120.10000000000005</x:v>
      </x:c>
      <x:c r="L21" s="5">
        <x:v>163.20000000000002</x:v>
      </x:c>
    </x:row>
    <x:row r="22" spans="1:12" x14ac:dyDescent="0.2">
      <x:c r="A22" s="1">
        <x:f t="shared" si="0"/>
        <x:v>12</x:v>
      </x:c>
      <x:c r="B22" s="4">
        <x:f>+Base45h!B22</x:f>
        <x:v>45627</x:v>
      </x:c>
      <x:c r="C22" s="5">
        <x:v>62.900000000000013</x:v>
      </x:c>
      <x:c r="D22" s="5">
        <x:v>109.90000000000003</x:v>
      </x:c>
      <x:c r="E22" s="5">
        <x:v>149.40000000000006</x:v>
      </x:c>
      <x:c r="F22" s="5">
        <x:v>127.1</x:v>
      </x:c>
      <x:c r="G22" s="5">
        <x:v>85.400000000000034</x:v>
      </x:c>
      <x:c r="H22" s="5">
        <x:v>93.700000000000017</x:v>
      </x:c>
      <x:c r="I22" s="5">
        <x:v>56.100000000000016</x:v>
      </x:c>
      <x:c r="J22" s="5">
        <x:v>16.600000000000009</x:v>
      </x:c>
      <x:c r="K22" s="5">
        <x:v>19.200000000000017</x:v>
      </x:c>
      <x:c r="L22" s="5">
        <x:v>31.70000000000001</x:v>
      </x:c>
    </x:row>
    <x:row r="23" spans="1:12" x14ac:dyDescent="0.2">
      <x:c r="A23" s="1">
        <x:f t="shared" si="0"/>
        <x:v>13</x:v>
      </x:c>
      <x:c r="B23" s="32" t="s">
        <x:v>15</x:v>
      </x:c>
      <x:c r="C23" s="33">
        <x:f>SUM(C11:C22)</x:f>
        <x:v>5959.9999999999991</x:v>
      </x:c>
      <x:c r="D23" s="33">
        <x:f t="shared" ref="D23:L23" si="1">SUM(D11:D22)</x:f>
        <x:v>5602.5000000000009</x:v>
      </x:c>
      <x:c r="E23" s="33">
        <x:f t="shared" si="1"/>
        <x:v>6143.6</x:v>
      </x:c>
      <x:c r="F23" s="33">
        <x:f t="shared" si="1"/>
        <x:v>5946.5000000000009</x:v>
      </x:c>
      <x:c r="G23" s="33">
        <x:f t="shared" si="1"/>
        <x:v>5370.7000000000007</x:v>
      </x:c>
      <x:c r="H23" s="33">
        <x:f t="shared" si="1"/>
        <x:v>5742.2000000000007</x:v>
      </x:c>
      <x:c r="I23" s="33">
        <x:f t="shared" si="1"/>
        <x:v>5605.1</x:v>
      </x:c>
      <x:c r="J23" s="33">
        <x:f t="shared" si="1"/>
        <x:v>5195.1000000000013</x:v>
      </x:c>
      <x:c r="K23" s="33">
        <x:f t="shared" si="1"/>
        <x:v>5189.6000000000013</x:v>
      </x:c>
      <x:c r="L23" s="33">
        <x:f t="shared" si="1"/>
        <x:v>5326.2999999999993</x:v>
      </x:c>
    </x:row>
    <x:row r="24" spans="1:12" x14ac:dyDescent="0.2">
      <x:c r="A24" s="1">
        <x:f t="shared" si="0"/>
        <x:v>14</x:v>
      </x:c>
    </x:row>
    <x:row r="25" spans="1:12" x14ac:dyDescent="0.2">
      <x:c r="A25" s="1">
        <x:f t="shared" si="0"/>
        <x:v>15</x:v>
      </x:c>
    </x:row>
    <x:row r="26" spans="1:12" ht="12" x14ac:dyDescent="0.25">
      <x:c r="A26" s="1">
        <x:f t="shared" si="0"/>
        <x:v>16</x:v>
      </x:c>
      <x:c r="B26" s="89" t="s">
        <x:v>101</x:v>
      </x:c>
      <x:c r="C26" s="89"/>
      <x:c r="D26" s="89"/>
      <x:c r="E26" s="89"/>
      <x:c r="F26" s="89"/>
      <x:c r="G26" s="89"/>
      <x:c r="H26" s="89"/>
      <x:c r="I26" s="89"/>
      <x:c r="J26" s="89"/>
      <x:c r="K26" s="89"/>
      <x:c r="L26" s="89"/>
    </x:row>
    <x:row r="27" spans="1:12" ht="34.799999999999997" thickBot="1" x14ac:dyDescent="0.25">
      <x:c r="A27" s="1">
        <x:f t="shared" si="0"/>
        <x:v>17</x:v>
      </x:c>
      <x:c r="C27" s="3" t="s">
        <x:v>55</x:v>
      </x:c>
      <x:c r="D27" s="3" t="s">
        <x:v>6</x:v>
      </x:c>
      <x:c r="E27" s="72" t="s">
        <x:v>7</x:v>
      </x:c>
      <x:c r="F27" s="72" t="s">
        <x:v>8</x:v>
      </x:c>
      <x:c r="G27" s="72" t="s">
        <x:v>9</x:v>
      </x:c>
      <x:c r="H27" s="72" t="s">
        <x:v>10</x:v>
      </x:c>
      <x:c r="I27" s="72" t="s">
        <x:v>11</x:v>
      </x:c>
      <x:c r="J27" s="72" t="s">
        <x:v>12</x:v>
      </x:c>
      <x:c r="K27" s="72" t="s">
        <x:v>13</x:v>
      </x:c>
      <x:c r="L27" s="72" t="s">
        <x:v>14</x:v>
      </x:c>
    </x:row>
    <x:row r="28" spans="1:12" x14ac:dyDescent="0.2">
      <x:c r="A28" s="1">
        <x:f t="shared" si="0"/>
        <x:v>18</x:v>
      </x:c>
      <x:c r="B28" s="4">
        <x:f>+Base45h!B28</x:f>
        <x:v>45292</x:v>
      </x:c>
      <x:c r="C28" s="5">
        <x:v>39.593333333333334</x:v>
      </x:c>
      <x:c r="D28" s="55">
        <x:v>65.260416666666671</x:v>
      </x:c>
      <x:c r="E28" s="5">
        <x:v>63.518750000000004</x:v>
      </x:c>
      <x:c r="F28" s="5">
        <x:v>52.130833333333328</x:v>
      </x:c>
      <x:c r="G28" s="5">
        <x:v>47.009583333333325</x:v>
      </x:c>
      <x:c r="H28" s="5">
        <x:v>41.225833333333313</x:v>
      </x:c>
      <x:c r="I28" s="5">
        <x:v>26.796249999999997</x:v>
      </x:c>
      <x:c r="J28" s="5">
        <x:v>16.69250000000001</x:v>
      </x:c>
      <x:c r="K28" s="5">
        <x:v>11.027916666666668</x:v>
      </x:c>
      <x:c r="L28" s="5">
        <x:v>23.476666666666663</x:v>
      </x:c>
    </x:row>
    <x:row r="29" spans="1:12" x14ac:dyDescent="0.2">
      <x:c r="A29" s="1">
        <x:f t="shared" si="0"/>
        <x:v>19</x:v>
      </x:c>
      <x:c r="B29" s="4">
        <x:f>+Base45h!B29</x:f>
        <x:v>45323</x:v>
      </x:c>
      <x:c r="C29" s="5">
        <x:v>75.829166666666652</x:v>
      </x:c>
      <x:c r="D29" s="55">
        <x:v>101.235</x:v>
      </x:c>
      <x:c r="E29" s="5">
        <x:v>108.44416666666667</x:v>
      </x:c>
      <x:c r="F29" s="5">
        <x:v>92.06874999999998</x:v>
      </x:c>
      <x:c r="G29" s="5">
        <x:v>75.668750000000017</x:v>
      </x:c>
      <x:c r="H29" s="5">
        <x:v>76.795416666666682</x:v>
      </x:c>
      <x:c r="I29" s="5">
        <x:v>58.535833333333343</x:v>
      </x:c>
      <x:c r="J29" s="5">
        <x:v>35.132916666666681</x:v>
      </x:c>
      <x:c r="K29" s="5">
        <x:v>45.251250000000006</x:v>
      </x:c>
      <x:c r="L29" s="5">
        <x:v>44.605000000000004</x:v>
      </x:c>
    </x:row>
    <x:row r="30" spans="1:12" x14ac:dyDescent="0.2">
      <x:c r="A30" s="1">
        <x:f t="shared" si="0"/>
        <x:v>20</x:v>
      </x:c>
      <x:c r="B30" s="4">
        <x:f>+Base45h!B30</x:f>
        <x:v>45352</x:v>
      </x:c>
      <x:c r="C30" s="5">
        <x:v>211.12583333333336</x:v>
      </x:c>
      <x:c r="D30" s="55">
        <x:v>236.30833333333337</x:v>
      </x:c>
      <x:c r="E30" s="5">
        <x:v>258.42041666666671</x:v>
      </x:c>
      <x:c r="F30" s="5">
        <x:v>228.22958333333338</x:v>
      </x:c>
      <x:c r="G30" s="5">
        <x:v>195.62333333333333</x:v>
      </x:c>
      <x:c r="H30" s="5">
        <x:v>211.12833333333336</x:v>
      </x:c>
      <x:c r="I30" s="5">
        <x:v>177.8195833333333</x:v>
      </x:c>
      <x:c r="J30" s="5">
        <x:v>141.74416666666667</x:v>
      </x:c>
      <x:c r="K30" s="5">
        <x:v>170.95708333333337</x:v>
      </x:c>
      <x:c r="L30" s="5">
        <x:v>142.48125000000005</x:v>
      </x:c>
    </x:row>
    <x:row r="31" spans="1:12" x14ac:dyDescent="0.2">
      <x:c r="A31" s="1">
        <x:f t="shared" si="0"/>
        <x:v>21</x:v>
      </x:c>
      <x:c r="B31" s="4">
        <x:f>+Base45h!B31</x:f>
        <x:v>45383</x:v>
      </x:c>
      <x:c r="C31" s="5">
        <x:v>356.90958333333339</x:v>
      </x:c>
      <x:c r="D31" s="55">
        <x:v>369.91791666666666</x:v>
      </x:c>
      <x:c r="E31" s="5">
        <x:v>400.07333333333338</x:v>
      </x:c>
      <x:c r="F31" s="5">
        <x:v>370.74708333333331</x:v>
      </x:c>
      <x:c r="G31" s="5">
        <x:v>325.75208333333347</x:v>
      </x:c>
      <x:c r="H31" s="5">
        <x:v>356.13333333333338</x:v>
      </x:c>
      <x:c r="I31" s="5">
        <x:v>329.86958333333331</x:v>
      </x:c>
      <x:c r="J31" s="5">
        <x:v>281.43250000000006</x:v>
      </x:c>
      <x:c r="K31" s="5">
        <x:v>350.41708333333344</x:v>
      </x:c>
      <x:c r="L31" s="5">
        <x:v>265.67374999999998</x:v>
      </x:c>
    </x:row>
    <x:row r="32" spans="1:12" x14ac:dyDescent="0.2">
      <x:c r="A32" s="1">
        <x:f t="shared" si="0"/>
        <x:v>22</x:v>
      </x:c>
      <x:c r="B32" s="4">
        <x:f>+Base45h!B32</x:f>
        <x:v>45413</x:v>
      </x:c>
      <x:c r="C32" s="5">
        <x:v>608.85541666666666</x:v>
      </x:c>
      <x:c r="D32" s="55">
        <x:v>601.39625000000001</x:v>
      </x:c>
      <x:c r="E32" s="5">
        <x:v>633.5866666666667</x:v>
      </x:c>
      <x:c r="F32" s="5">
        <x:v>597.36124999999993</x:v>
      </x:c>
      <x:c r="G32" s="5">
        <x:v>567.39416666666671</x:v>
      </x:c>
      <x:c r="H32" s="5">
        <x:v>603.14000000000021</x:v>
      </x:c>
      <x:c r="I32" s="5">
        <x:v>564.26958333333334</x:v>
      </x:c>
      <x:c r="J32" s="5">
        <x:v>538.19041666666681</x:v>
      </x:c>
      <x:c r="K32" s="5">
        <x:v>602.25750000000016</x:v>
      </x:c>
      <x:c r="L32" s="5">
        <x:v>507.78500000000008</x:v>
      </x:c>
    </x:row>
    <x:row r="33" spans="1:13" x14ac:dyDescent="0.2">
      <x:c r="A33" s="1">
        <x:f t="shared" si="0"/>
        <x:v>23</x:v>
      </x:c>
      <x:c r="B33" s="4">
        <x:f>+Base45h!B33</x:f>
        <x:v>45444</x:v>
      </x:c>
      <x:c r="C33" s="5">
        <x:v>846.71833333333325</x:v>
      </x:c>
      <x:c r="D33" s="55">
        <x:v>782.33750000000009</x:v>
      </x:c>
      <x:c r="E33" s="5">
        <x:v>816.51791666666679</x:v>
      </x:c>
      <x:c r="F33" s="5">
        <x:v>808.32791666666662</x:v>
      </x:c>
      <x:c r="G33" s="5">
        <x:v>771.55625000000009</x:v>
      </x:c>
      <x:c r="H33" s="5">
        <x:v>829.61875000000009</x:v>
      </x:c>
      <x:c r="I33" s="5">
        <x:v>783.02041666666685</x:v>
      </x:c>
      <x:c r="J33" s="5">
        <x:v>789.89249999999981</x:v>
      </x:c>
      <x:c r="K33" s="5">
        <x:v>822.55081250000001</x:v>
      </x:c>
      <x:c r="L33" s="5">
        <x:v>767.34333333333336</x:v>
      </x:c>
    </x:row>
    <x:row r="34" spans="1:13" x14ac:dyDescent="0.2">
      <x:c r="A34" s="1">
        <x:f t="shared" si="0"/>
        <x:v>24</x:v>
      </x:c>
      <x:c r="B34" s="4">
        <x:f>+Base45h!B34</x:f>
        <x:v>45474</x:v>
      </x:c>
      <x:c r="C34" s="5">
        <x:v>972.59625000000017</x:v>
      </x:c>
      <x:c r="D34" s="55">
        <x:v>859.83166666666659</x:v>
      </x:c>
      <x:c r="E34" s="5">
        <x:v>897.3508333333333</x:v>
      </x:c>
      <x:c r="F34" s="5">
        <x:v>914.72541666666655</x:v>
      </x:c>
      <x:c r="G34" s="5">
        <x:v>871.61249999999995</x:v>
      </x:c>
      <x:c r="H34" s="5">
        <x:v>947.9029166666669</x:v>
      </x:c>
      <x:c r="I34" s="5">
        <x:v>893.71416666666687</x:v>
      </x:c>
      <x:c r="J34" s="5">
        <x:v>924.70125000000019</x:v>
      </x:c>
      <x:c r="K34" s="5">
        <x:v>881.29916666666668</x:v>
      </x:c>
      <x:c r="L34" s="5">
        <x:v>899.56583333333367</x:v>
      </x:c>
    </x:row>
    <x:row r="35" spans="1:13" x14ac:dyDescent="0.2">
      <x:c r="A35" s="1">
        <x:f t="shared" si="0"/>
        <x:v>25</x:v>
      </x:c>
      <x:c r="B35" s="4">
        <x:f>+Base45h!B35</x:f>
        <x:v>45505</x:v>
      </x:c>
      <x:c r="C35" s="5">
        <x:v>982.55041666666682</x:v>
      </x:c>
      <x:c r="D35" s="55">
        <x:v>875.95833333333326</x:v>
      </x:c>
      <x:c r="E35" s="5">
        <x:v>925.03458333333344</x:v>
      </x:c>
      <x:c r="F35" s="5">
        <x:v>931.57000000000016</x:v>
      </x:c>
      <x:c r="G35" s="5">
        <x:v>882.49624999999992</x:v>
      </x:c>
      <x:c r="H35" s="5">
        <x:v>961.29291666666688</x:v>
      </x:c>
      <x:c r="I35" s="5">
        <x:v>887.94791666666686</x:v>
      </x:c>
      <x:c r="J35" s="5">
        <x:v>911.94208333333347</x:v>
      </x:c>
      <x:c r="K35" s="5">
        <x:v>856.49166666666679</x:v>
      </x:c>
      <x:c r="L35" s="5">
        <x:v>900.96625000000006</x:v>
      </x:c>
    </x:row>
    <x:row r="36" spans="1:13" x14ac:dyDescent="0.2">
      <x:c r="A36" s="1">
        <x:f t="shared" si="0"/>
        <x:v>26</x:v>
      </x:c>
      <x:c r="B36" s="4">
        <x:f>+Base45h!B36</x:f>
        <x:v>45536</x:v>
      </x:c>
      <x:c r="C36" s="5">
        <x:v>750.20125000000019</x:v>
      </x:c>
      <x:c r="D36" s="55">
        <x:v>692.16833333333329</x:v>
      </x:c>
      <x:c r="E36" s="5">
        <x:v>727.47249999999997</x:v>
      </x:c>
      <x:c r="F36" s="5">
        <x:v>710.82208333333347</x:v>
      </x:c>
      <x:c r="G36" s="5">
        <x:v>676.06041666666692</x:v>
      </x:c>
      <x:c r="H36" s="5">
        <x:v>731.95041666666668</x:v>
      </x:c>
      <x:c r="I36" s="5">
        <x:v>647.24249999999995</x:v>
      </x:c>
      <x:c r="J36" s="5">
        <x:v>656.54499999999996</x:v>
      </x:c>
      <x:c r="K36" s="5">
        <x:v>624.23041666666654</x:v>
      </x:c>
      <x:c r="L36" s="5">
        <x:v>671.96916666666664</x:v>
      </x:c>
    </x:row>
    <x:row r="37" spans="1:13" x14ac:dyDescent="0.2">
      <x:c r="A37" s="1">
        <x:f t="shared" si="0"/>
        <x:v>27</x:v>
      </x:c>
      <x:c r="B37" s="4">
        <x:f>+Base45h!B37</x:f>
        <x:v>45566</x:v>
      </x:c>
      <x:c r="C37" s="5">
        <x:v>434.29791666666677</x:v>
      </x:c>
      <x:c r="D37" s="55">
        <x:v>419.45875000000007</x:v>
      </x:c>
      <x:c r="E37" s="5">
        <x:v>462.69541666666669</x:v>
      </x:c>
      <x:c r="F37" s="5">
        <x:v>437.18208333333325</x:v>
      </x:c>
      <x:c r="G37" s="5">
        <x:v>377.32833333333343</x:v>
      </x:c>
      <x:c r="H37" s="5">
        <x:v>434.48541666666665</x:v>
      </x:c>
      <x:c r="I37" s="5">
        <x:v>370.03541666666661</x:v>
      </x:c>
      <x:c r="J37" s="5">
        <x:v>330.9187500000001</x:v>
      </x:c>
      <x:c r="K37" s="5">
        <x:v>351.10041666666655</x:v>
      </x:c>
      <x:c r="L37" s="5">
        <x:v>356.31166666666672</x:v>
      </x:c>
    </x:row>
    <x:row r="38" spans="1:13" x14ac:dyDescent="0.2">
      <x:c r="A38" s="1">
        <x:f t="shared" si="0"/>
        <x:v>28</x:v>
      </x:c>
      <x:c r="B38" s="4">
        <x:f>+Base45h!B38</x:f>
        <x:v>45597</x:v>
      </x:c>
      <x:c r="C38" s="5">
        <x:v>157.47916666666663</x:v>
      </x:c>
      <x:c r="D38" s="55">
        <x:v>169.49416666666662</x:v>
      </x:c>
      <x:c r="E38" s="5">
        <x:v>196.78083333333333</x:v>
      </x:c>
      <x:c r="F38" s="5">
        <x:v>170.39708333333334</x:v>
      </x:c>
      <x:c r="G38" s="5">
        <x:v>137.97000000000006</x:v>
      </x:c>
      <x:c r="H38" s="5">
        <x:v>164.39041666666671</x:v>
      </x:c>
      <x:c r="I38" s="5">
        <x:v>120.17208333333336</x:v>
      </x:c>
      <x:c r="J38" s="5">
        <x:v>90.39166666666668</x:v>
      </x:c>
      <x:c r="K38" s="5">
        <x:v>87.789999999999964</x:v>
      </x:c>
      <x:c r="L38" s="5">
        <x:v>117.16708333333337</x:v>
      </x:c>
    </x:row>
    <x:row r="39" spans="1:13" x14ac:dyDescent="0.2">
      <x:c r="A39" s="1">
        <x:f t="shared" si="0"/>
        <x:v>29</x:v>
      </x:c>
      <x:c r="B39" s="4">
        <x:f>+Base45h!B39</x:f>
        <x:v>45627</x:v>
      </x:c>
      <x:c r="C39" s="5">
        <x:v>60.008749999999992</x:v>
      </x:c>
      <x:c r="D39" s="55">
        <x:v>97.028333333333293</x:v>
      </x:c>
      <x:c r="E39" s="5">
        <x:v>92.021666666666661</x:v>
      </x:c>
      <x:c r="F39" s="5">
        <x:v>75.149583333333382</x:v>
      </x:c>
      <x:c r="G39" s="5">
        <x:v>74.210833333333355</x:v>
      </x:c>
      <x:c r="H39" s="5">
        <x:v>66.440833333333345</x:v>
      </x:c>
      <x:c r="I39" s="5">
        <x:v>41.421666666666674</x:v>
      </x:c>
      <x:c r="J39" s="5">
        <x:v>20.955000000000005</x:v>
      </x:c>
      <x:c r="K39" s="5">
        <x:v>20.781250000000018</x:v>
      </x:c>
      <x:c r="L39" s="5">
        <x:v>36.83124999999999</x:v>
      </x:c>
    </x:row>
    <x:row r="40" spans="1:13" x14ac:dyDescent="0.2">
      <x:c r="A40" s="1">
        <x:f t="shared" si="0"/>
        <x:v>30</x:v>
      </x:c>
      <x:c r="B40" s="32" t="s">
        <x:v>15</x:v>
      </x:c>
      <x:c r="C40" s="33">
        <x:f>SUM(C28:C39)</x:f>
        <x:v>5496.1654166666676</x:v>
      </x:c>
      <x:c r="D40" s="33">
        <x:f t="shared" ref="D40:L40" si="2">SUM(D28:D39)</x:f>
        <x:v>5270.3949999999995</x:v>
      </x:c>
      <x:c r="E40" s="33">
        <x:f t="shared" si="2"/>
        <x:v>5581.9170833333328</x:v>
      </x:c>
      <x:c r="F40" s="33">
        <x:f t="shared" si="2"/>
        <x:v>5388.711666666667</x:v>
      </x:c>
      <x:c r="G40" s="33">
        <x:f t="shared" si="2"/>
        <x:v>5002.6825000000017</x:v>
      </x:c>
      <x:c r="H40" s="33">
        <x:f t="shared" si="2"/>
        <x:v>5424.5045833333343</x:v>
      </x:c>
      <x:c r="I40" s="33">
        <x:f t="shared" si="2"/>
        <x:v>4900.8450000000012</x:v>
      </x:c>
      <x:c r="J40" s="33">
        <x:f t="shared" si="2"/>
        <x:v>4738.5387499999997</x:v>
      </x:c>
      <x:c r="K40" s="33">
        <x:f t="shared" si="2"/>
        <x:v>4824.1545624999999</x:v>
      </x:c>
      <x:c r="L40" s="33">
        <x:f t="shared" si="2"/>
        <x:v>4734.1762500000004</x:v>
      </x:c>
    </x:row>
    <x:row r="42" spans="1:13" x14ac:dyDescent="0.2">
      <x:c r="C42" s="51"/>
      <x:c r="D42" s="51"/>
      <x:c r="E42" s="51"/>
      <x:c r="F42" s="51"/>
      <x:c r="G42" s="51"/>
      <x:c r="H42" s="51"/>
      <x:c r="I42" s="51"/>
      <x:c r="J42" s="51"/>
      <x:c r="K42" s="51"/>
      <x:c r="L42" s="51"/>
      <x:c r="M42" s="51"/>
    </x:row>
    <x:row r="43" spans="1:13" x14ac:dyDescent="0.2">
      <x:c r="C43" s="52"/>
      <x:c r="D43" s="52"/>
      <x:c r="E43" s="52"/>
      <x:c r="F43" s="52"/>
      <x:c r="G43" s="52"/>
      <x:c r="H43" s="52"/>
      <x:c r="I43" s="52"/>
      <x:c r="J43" s="52"/>
      <x:c r="K43" s="52"/>
      <x:c r="L43" s="52"/>
      <x:c r="M43" s="53"/>
    </x:row>
    <x:row r="45" spans="1:13" x14ac:dyDescent="0.2">
      <x:c r="C45" s="51"/>
      <x:c r="D45" s="51"/>
      <x:c r="E45" s="51"/>
      <x:c r="F45" s="51"/>
      <x:c r="G45" s="51"/>
      <x:c r="H45" s="51"/>
      <x:c r="I45" s="51"/>
      <x:c r="J45" s="51"/>
      <x:c r="K45" s="51"/>
      <x:c r="L45" s="51"/>
      <x:c r="M45" s="51"/>
    </x:row>
    <x:row r="46" spans="1:13" x14ac:dyDescent="0.2">
      <x:c r="C46" s="52"/>
      <x:c r="D46" s="52"/>
      <x:c r="E46" s="52"/>
      <x:c r="F46" s="52"/>
      <x:c r="G46" s="52"/>
      <x:c r="H46" s="52"/>
      <x:c r="I46" s="52"/>
      <x:c r="J46" s="52"/>
      <x:c r="K46" s="52"/>
      <x:c r="L46" s="52"/>
      <x:c r="M46" s="53"/>
    </x:row>
  </x:sheetData>
  <x:mergeCells count="7">
    <x:mergeCell ref="B26:L26"/>
    <x:mergeCell ref="B1:L1"/>
    <x:mergeCell ref="B2:L2"/>
    <x:mergeCell ref="B3:L3"/>
    <x:mergeCell ref="B4:L4"/>
    <x:mergeCell ref="B6:L6"/>
    <x:mergeCell ref="B9:L9"/>
  </x:mergeCells>
  <x:pageMargins left="0.75" right="0.75" top="1" bottom="1" header="0.5" footer="0.5"/>
  <x:pageSetup scale="73" firstPageNumber="3" orientation="portrait" r:id="rId1"/>
  <x:headerFooter alignWithMargins="0">
    <x:oddHeader>&amp;RSchedule II-H-5.1
Page &amp;P of  25</x:oddHeader>
  </x:headerFooter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pageSetUpPr fitToPage="1"/>
  </x:sheetPr>
  <x:dimension ref="A1:L40"/>
  <x:sheetViews>
    <x:sheetView zoomScaleNormal="100" workbookViewId="0"/>
  </x:sheetViews>
  <x:sheetFormatPr defaultColWidth="9.109375" defaultRowHeight="11.4" x14ac:dyDescent="0.2"/>
  <x:cols>
    <x:col min="1" max="1" width="9.109375" style="1"/>
    <x:col min="2" max="2" width="10.44140625" style="2" bestFit="1" customWidth="1"/>
    <x:col min="3" max="3" width="11.44140625" style="2" customWidth="1"/>
    <x:col min="4" max="4" width="9.5546875" style="2" bestFit="1" customWidth="1"/>
    <x:col min="5" max="5" width="9.6640625" style="2" bestFit="1" customWidth="1"/>
    <x:col min="6" max="6" width="9.5546875" style="2" bestFit="1" customWidth="1"/>
    <x:col min="7" max="7" width="12.33203125" style="2" bestFit="1" customWidth="1"/>
    <x:col min="8" max="8" width="9.88671875" style="2" bestFit="1" customWidth="1"/>
    <x:col min="9" max="9" width="10.5546875" style="2" bestFit="1" customWidth="1"/>
    <x:col min="10" max="10" width="11.33203125" style="2" customWidth="1"/>
    <x:col min="11" max="11" width="10.44140625" style="2" customWidth="1"/>
    <x:col min="12" max="16384" width="9.109375" style="2"/>
  </x:cols>
  <x:sheetData>
    <x:row r="1" spans="1:12" ht="15.6" x14ac:dyDescent="0.3">
      <x:c r="B1" s="88" t="str">
        <x:f>+Base45h!B1</x:f>
        <x:v xml:space="preserve">PUC DOCKET NO. </x:v>
      </x:c>
      <x:c r="C1" s="88"/>
      <x:c r="D1" s="88"/>
      <x:c r="E1" s="88"/>
      <x:c r="F1" s="88"/>
      <x:c r="G1" s="88"/>
      <x:c r="H1" s="88"/>
      <x:c r="I1" s="88"/>
      <x:c r="J1" s="88"/>
      <x:c r="K1" s="88"/>
      <x:c r="L1" s="88"/>
    </x:row>
    <x:row r="2" spans="1:12" ht="15.6" x14ac:dyDescent="0.3">
      <x:c r="B2" s="88" t="str">
        <x:f>+Base45h!B2</x:f>
        <x:v>ONCOR ELECTRIC DELIVERY COMPANY LLC</x:v>
      </x:c>
      <x:c r="C2" s="88"/>
      <x:c r="D2" s="88"/>
      <x:c r="E2" s="88"/>
      <x:c r="F2" s="88"/>
      <x:c r="G2" s="88"/>
      <x:c r="H2" s="88"/>
      <x:c r="I2" s="88"/>
      <x:c r="J2" s="88"/>
      <x:c r="K2" s="88"/>
      <x:c r="L2" s="88"/>
    </x:row>
    <x:row r="3" spans="1:12" ht="15.6" x14ac:dyDescent="0.3">
      <x:c r="B3" s="88" t="str">
        <x:f>+Base45h!B3</x:f>
        <x:v>WEATHER STATION DATA</x:v>
      </x:c>
      <x:c r="C3" s="88"/>
      <x:c r="D3" s="88"/>
      <x:c r="E3" s="88"/>
      <x:c r="F3" s="88"/>
      <x:c r="G3" s="88"/>
      <x:c r="H3" s="88"/>
      <x:c r="I3" s="88"/>
      <x:c r="J3" s="88"/>
      <x:c r="K3" s="88"/>
      <x:c r="L3" s="88"/>
    </x:row>
    <x:row r="4" spans="1:12" ht="15.6" x14ac:dyDescent="0.3">
      <x:c r="B4" s="88" t="str">
        <x:f>+Base45h!B4</x:f>
        <x:v>FOR THE TEST YEAR ENDING DECEMBER 31, 2024</x:v>
      </x:c>
      <x:c r="C4" s="88"/>
      <x:c r="D4" s="88"/>
      <x:c r="E4" s="88"/>
      <x:c r="F4" s="88"/>
      <x:c r="G4" s="88"/>
      <x:c r="H4" s="88"/>
      <x:c r="I4" s="88"/>
      <x:c r="J4" s="88"/>
      <x:c r="K4" s="88"/>
      <x:c r="L4" s="88"/>
    </x:row>
    <x:row r="6" spans="1:12" ht="15.6" x14ac:dyDescent="0.3">
      <x:c r="B6" s="88" t="str">
        <x:f>+Base45h!B6</x:f>
        <x:v>SPONSOR: D. E. NELSON</x:v>
      </x:c>
      <x:c r="C6" s="88"/>
      <x:c r="D6" s="88"/>
      <x:c r="E6" s="88"/>
      <x:c r="F6" s="88"/>
      <x:c r="G6" s="88"/>
      <x:c r="H6" s="88"/>
      <x:c r="I6" s="88"/>
      <x:c r="J6" s="88"/>
      <x:c r="K6" s="88"/>
      <x:c r="L6" s="88"/>
    </x:row>
    <x:row r="9" spans="1:12" ht="12" x14ac:dyDescent="0.25">
      <x:c r="B9" s="89" t="s">
        <x:v>93</x:v>
      </x:c>
      <x:c r="C9" s="89"/>
      <x:c r="D9" s="89"/>
      <x:c r="E9" s="89"/>
      <x:c r="F9" s="89"/>
      <x:c r="G9" s="89"/>
      <x:c r="H9" s="89"/>
      <x:c r="I9" s="89"/>
      <x:c r="J9" s="89"/>
      <x:c r="K9" s="89"/>
      <x:c r="L9" s="89"/>
    </x:row>
    <x:row r="10" spans="1:12" ht="34.799999999999997" thickBot="1" x14ac:dyDescent="0.25">
      <x:c r="A10" s="3" t="s">
        <x:v>4</x:v>
      </x:c>
      <x:c r="C10" s="3" t="s">
        <x:v>55</x:v>
      </x:c>
      <x:c r="D10" s="3" t="s">
        <x:v>6</x:v>
      </x:c>
      <x:c r="E10" s="3" t="s">
        <x:v>7</x:v>
      </x:c>
      <x:c r="F10" s="3" t="s">
        <x:v>8</x:v>
      </x:c>
      <x:c r="G10" s="3" t="s">
        <x:v>9</x:v>
      </x:c>
      <x:c r="H10" s="3" t="s">
        <x:v>10</x:v>
      </x:c>
      <x:c r="I10" s="3" t="s">
        <x:v>11</x:v>
      </x:c>
      <x:c r="J10" s="3" t="s">
        <x:v>12</x:v>
      </x:c>
      <x:c r="K10" s="3" t="s">
        <x:v>13</x:v>
      </x:c>
      <x:c r="L10" s="3" t="s">
        <x:v>14</x:v>
      </x:c>
    </x:row>
    <x:row r="11" spans="1:12" x14ac:dyDescent="0.2">
      <x:c r="A11" s="1">
        <x:v>1</x:v>
      </x:c>
      <x:c r="B11" s="4">
        <x:f>+Base45h!B11</x:f>
        <x:v>45292</x:v>
      </x:c>
      <x:c r="C11" s="5">
        <x:v>0.70000000000000284</x:v>
      </x:c>
      <x:c r="D11" s="5">
        <x:v>5.4000000000000057</x:v>
      </x:c>
      <x:c r="E11" s="5">
        <x:v>0</x:v>
      </x:c>
      <x:c r="F11" s="5">
        <x:v>0</x:v>
      </x:c>
      <x:c r="G11" s="5">
        <x:v>0</x:v>
      </x:c>
      <x:c r="H11" s="5">
        <x:v>0</x:v>
      </x:c>
      <x:c r="I11" s="5">
        <x:v>0</x:v>
      </x:c>
      <x:c r="J11" s="5">
        <x:v>0</x:v>
      </x:c>
      <x:c r="K11" s="5">
        <x:v>0</x:v>
      </x:c>
      <x:c r="L11" s="5">
        <x:v>0</x:v>
      </x:c>
    </x:row>
    <x:row r="12" spans="1:12" x14ac:dyDescent="0.2">
      <x:c r="A12" s="1">
        <x:f>+A11+1</x:f>
        <x:v>2</x:v>
      </x:c>
      <x:c r="B12" s="4">
        <x:f>+Base45h!B12</x:f>
        <x:v>45323</x:v>
      </x:c>
      <x:c r="C12" s="5">
        <x:v>67.900000000000034</x:v>
      </x:c>
      <x:c r="D12" s="5">
        <x:v>72.900000000000034</x:v>
      </x:c>
      <x:c r="E12" s="5">
        <x:v>72.600000000000009</x:v>
      </x:c>
      <x:c r="F12" s="5">
        <x:v>70.200000000000017</x:v>
      </x:c>
      <x:c r="G12" s="5">
        <x:v>67.900000000000006</x:v>
      </x:c>
      <x:c r="H12" s="5">
        <x:v>53.000000000000014</x:v>
      </x:c>
      <x:c r="I12" s="5">
        <x:v>64.800000000000011</x:v>
      </x:c>
      <x:c r="J12" s="5">
        <x:v>37.500000000000014</x:v>
      </x:c>
      <x:c r="K12" s="5">
        <x:v>33.700000000000003</x:v>
      </x:c>
      <x:c r="L12" s="5">
        <x:v>44.400000000000027</x:v>
      </x:c>
    </x:row>
    <x:row r="13" spans="1:12" x14ac:dyDescent="0.2">
      <x:c r="A13" s="1">
        <x:f t="shared" ref="A13:A40" si="0">+A12+1</x:f>
        <x:v>3</x:v>
      </x:c>
      <x:c r="B13" s="4">
        <x:f>+Base45h!B13</x:f>
        <x:v>45352</x:v>
      </x:c>
      <x:c r="C13" s="5">
        <x:v>112.20000000000005</x:v>
      </x:c>
      <x:c r="D13" s="5">
        <x:v>142.60000000000002</x:v>
      </x:c>
      <x:c r="E13" s="5">
        <x:v>152.80000000000001</x:v>
      </x:c>
      <x:c r="F13" s="5">
        <x:v>138.20000000000002</x:v>
      </x:c>
      <x:c r="G13" s="5">
        <x:v>118.9</x:v>
      </x:c>
      <x:c r="H13" s="5">
        <x:v>123.20000000000003</x:v>
      </x:c>
      <x:c r="I13" s="5">
        <x:v>84.400000000000034</x:v>
      </x:c>
      <x:c r="J13" s="5">
        <x:v>78.000000000000014</x:v>
      </x:c>
      <x:c r="K13" s="5">
        <x:v>66.5</x:v>
      </x:c>
      <x:c r="L13" s="5">
        <x:v>82.300000000000026</x:v>
      </x:c>
    </x:row>
    <x:row r="14" spans="1:12" x14ac:dyDescent="0.2">
      <x:c r="A14" s="1">
        <x:f t="shared" si="0"/>
        <x:v>4</x:v>
      </x:c>
      <x:c r="B14" s="4">
        <x:f>+Base45h!B14</x:f>
        <x:v>45383</x:v>
      </x:c>
      <x:c r="C14" s="5">
        <x:v>269.70000000000005</x:v>
      </x:c>
      <x:c r="D14" s="5">
        <x:v>278.70000000000016</x:v>
      </x:c>
      <x:c r="E14" s="5">
        <x:v>314.00000000000011</x:v>
      </x:c>
      <x:c r="F14" s="5">
        <x:v>281.10000000000002</x:v>
      </x:c>
      <x:c r="G14" s="5">
        <x:v>260.30000000000013</x:v>
      </x:c>
      <x:c r="H14" s="5">
        <x:v>247.00000000000011</x:v>
      </x:c>
      <x:c r="I14" s="5">
        <x:v>268.40000000000015</x:v>
      </x:c>
      <x:c r="J14" s="5">
        <x:v>196.90000000000003</x:v>
      </x:c>
      <x:c r="K14" s="5">
        <x:v>236.59999999999997</x:v>
      </x:c>
      <x:c r="L14" s="5">
        <x:v>215.70000000000005</x:v>
      </x:c>
    </x:row>
    <x:row r="15" spans="1:12" x14ac:dyDescent="0.2">
      <x:c r="A15" s="1">
        <x:f t="shared" si="0"/>
        <x:v>5</x:v>
      </x:c>
      <x:c r="B15" s="4">
        <x:f>+Base45h!B15</x:f>
        <x:v>45413</x:v>
      </x:c>
      <x:c r="C15" s="5">
        <x:v>523.70000000000005</x:v>
      </x:c>
      <x:c r="D15" s="5">
        <x:v>499.60000000000008</x:v>
      </x:c>
      <x:c r="E15" s="5">
        <x:v>582.1</x:v>
      </x:c>
      <x:c r="F15" s="5">
        <x:v>507.30000000000024</x:v>
      </x:c>
      <x:c r="G15" s="5">
        <x:v>499.40000000000015</x:v>
      </x:c>
      <x:c r="H15" s="5">
        <x:v>495.00000000000006</x:v>
      </x:c>
      <x:c r="I15" s="5">
        <x:v>490.9000000000002</x:v>
      </x:c>
      <x:c r="J15" s="5">
        <x:v>434.10000000000014</x:v>
      </x:c>
      <x:c r="K15" s="5">
        <x:v>518.70000000000005</x:v>
      </x:c>
      <x:c r="L15" s="5">
        <x:v>452.40000000000003</x:v>
      </x:c>
    </x:row>
    <x:row r="16" spans="1:12" x14ac:dyDescent="0.2">
      <x:c r="A16" s="1">
        <x:f t="shared" si="0"/>
        <x:v>6</x:v>
      </x:c>
      <x:c r="B16" s="4">
        <x:f>+Base45h!B16</x:f>
        <x:v>45444</x:v>
      </x:c>
      <x:c r="C16" s="5">
        <x:v>722.30000000000018</x:v>
      </x:c>
      <x:c r="D16" s="5">
        <x:v>653.00000000000011</x:v>
      </x:c>
      <x:c r="E16" s="5">
        <x:v>712.20000000000016</x:v>
      </x:c>
      <x:c r="F16" s="5">
        <x:v>697.29999999999984</x:v>
      </x:c>
      <x:c r="G16" s="5">
        <x:v>643.90000000000009</x:v>
      </x:c>
      <x:c r="H16" s="5">
        <x:v>697.80000000000018</x:v>
      </x:c>
      <x:c r="I16" s="5">
        <x:v>711.40000000000009</x:v>
      </x:c>
      <x:c r="J16" s="5">
        <x:v>620.9</x:v>
      </x:c>
      <x:c r="K16" s="5">
        <x:v>724.60000000000036</x:v>
      </x:c>
      <x:c r="L16" s="5">
        <x:v>692.1</x:v>
      </x:c>
    </x:row>
    <x:row r="17" spans="1:12" x14ac:dyDescent="0.2">
      <x:c r="A17" s="1">
        <x:f t="shared" si="0"/>
        <x:v>7</x:v>
      </x:c>
      <x:c r="B17" s="4">
        <x:f>+Base45h!B17</x:f>
        <x:v>45474</x:v>
      </x:c>
      <x:c r="C17" s="5">
        <x:v>768.3</x:v>
      </x:c>
      <x:c r="D17" s="5">
        <x:v>639.00000000000023</x:v>
      </x:c>
      <x:c r="E17" s="5">
        <x:v>694.09999999999991</x:v>
      </x:c>
      <x:c r="F17" s="5">
        <x:v>704.4</x:v>
      </x:c>
      <x:c r="G17" s="5">
        <x:v>648.80000000000007</x:v>
      </x:c>
      <x:c r="H17" s="5">
        <x:v>721.20000000000027</x:v>
      </x:c>
      <x:c r="I17" s="5">
        <x:v>761.5</x:v>
      </x:c>
      <x:c r="J17" s="5">
        <x:v>736.69999999999993</x:v>
      </x:c>
      <x:c r="K17" s="5">
        <x:v>686.90000000000009</x:v>
      </x:c>
      <x:c r="L17" s="5">
        <x:v>719.5</x:v>
      </x:c>
    </x:row>
    <x:row r="18" spans="1:12" x14ac:dyDescent="0.2">
      <x:c r="A18" s="1">
        <x:f t="shared" si="0"/>
        <x:v>8</x:v>
      </x:c>
      <x:c r="B18" s="4">
        <x:f>+Base45h!B18</x:f>
        <x:v>45505</x:v>
      </x:c>
      <x:c r="C18" s="5">
        <x:v>885.3</x:v>
      </x:c>
      <x:c r="D18" s="5">
        <x:v>745.8000000000003</x:v>
      </x:c>
      <x:c r="E18" s="5">
        <x:v>785.50000000000011</x:v>
      </x:c>
      <x:c r="F18" s="5">
        <x:v>824.1</x:v>
      </x:c>
      <x:c r="G18" s="5">
        <x:v>737.2</x:v>
      </x:c>
      <x:c r="H18" s="5">
        <x:v>827.40000000000032</x:v>
      </x:c>
      <x:c r="I18" s="5">
        <x:v>895.8</x:v>
      </x:c>
      <x:c r="J18" s="5">
        <x:v>881.1</x:v>
      </x:c>
      <x:c r="K18" s="5">
        <x:v>815.9000000000002</x:v>
      </x:c>
      <x:c r="L18" s="5">
        <x:v>805.09999999999991</x:v>
      </x:c>
    </x:row>
    <x:row r="19" spans="1:12" x14ac:dyDescent="0.2">
      <x:c r="A19" s="1">
        <x:f t="shared" si="0"/>
        <x:v>9</x:v>
      </x:c>
      <x:c r="B19" s="4">
        <x:f>+Base45h!B19</x:f>
        <x:v>45536</x:v>
      </x:c>
      <x:c r="C19" s="5">
        <x:v>577.00000000000023</x:v>
      </x:c>
      <x:c r="D19" s="5">
        <x:v>516.80000000000007</x:v>
      </x:c>
      <x:c r="E19" s="5">
        <x:v>631.9000000000002</x:v>
      </x:c>
      <x:c r="F19" s="5">
        <x:v>576.40000000000009</x:v>
      </x:c>
      <x:c r="G19" s="5">
        <x:v>493.70000000000005</x:v>
      </x:c>
      <x:c r="H19" s="5">
        <x:v>550.50000000000011</x:v>
      </x:c>
      <x:c r="I19" s="5">
        <x:v>496.10000000000014</x:v>
      </x:c>
      <x:c r="J19" s="5">
        <x:v>536</x:v>
      </x:c>
      <x:c r="K19" s="5">
        <x:v>440.90000000000009</x:v>
      </x:c>
      <x:c r="L19" s="5">
        <x:v>507.9000000000002</x:v>
      </x:c>
    </x:row>
    <x:row r="20" spans="1:12" x14ac:dyDescent="0.2">
      <x:c r="A20" s="1">
        <x:f t="shared" si="0"/>
        <x:v>10</x:v>
      </x:c>
      <x:c r="B20" s="4">
        <x:f>+Base45h!B20</x:f>
        <x:v>45566</x:v>
      </x:c>
      <x:c r="C20" s="5">
        <x:v>480.9</x:v>
      </x:c>
      <x:c r="D20" s="5">
        <x:v>366.50000000000011</x:v>
      </x:c>
      <x:c r="E20" s="5">
        <x:v>472.49999999999994</x:v>
      </x:c>
      <x:c r="F20" s="5">
        <x:v>477.00000000000006</x:v>
      </x:c>
      <x:c r="G20" s="5">
        <x:v>339</x:v>
      </x:c>
      <x:c r="H20" s="5">
        <x:v>449.00000000000006</x:v>
      </x:c>
      <x:c r="I20" s="5">
        <x:v>410.10000000000008</x:v>
      </x:c>
      <x:c r="J20" s="5">
        <x:v>402.9000000000002</x:v>
      </x:c>
      <x:c r="K20" s="5">
        <x:v>356.80000000000018</x:v>
      </x:c>
      <x:c r="L20" s="5">
        <x:v>412.10000000000014</x:v>
      </x:c>
    </x:row>
    <x:row r="21" spans="1:12" x14ac:dyDescent="0.2">
      <x:c r="A21" s="1">
        <x:f t="shared" si="0"/>
        <x:v>11</x:v>
      </x:c>
      <x:c r="B21" s="4">
        <x:f>+Base45h!B21</x:f>
        <x:v>45597</x:v>
      </x:c>
      <x:c r="C21" s="5">
        <x:v>120.60000000000002</x:v>
      </x:c>
      <x:c r="D21" s="5">
        <x:v>170.10000000000002</x:v>
      </x:c>
      <x:c r="E21" s="5">
        <x:v>187.2</x:v>
      </x:c>
      <x:c r="F21" s="5">
        <x:v>155.40000000000003</x:v>
      </x:c>
      <x:c r="G21" s="5">
        <x:v>124.70000000000005</x:v>
      </x:c>
      <x:c r="H21" s="5">
        <x:v>132</x:v>
      </x:c>
      <x:c r="I21" s="5">
        <x:v>69.000000000000028</x:v>
      </x:c>
      <x:c r="J21" s="5">
        <x:v>36.20000000000001</x:v>
      </x:c>
      <x:c r="K21" s="5">
        <x:v>52.500000000000014</x:v>
      </x:c>
      <x:c r="L21" s="5">
        <x:v>65.200000000000017</x:v>
      </x:c>
    </x:row>
    <x:row r="22" spans="1:12" x14ac:dyDescent="0.2">
      <x:c r="A22" s="1">
        <x:f t="shared" si="0"/>
        <x:v>12</x:v>
      </x:c>
      <x:c r="B22" s="4">
        <x:f>+Base45h!B22</x:f>
        <x:v>45627</x:v>
      </x:c>
      <x:c r="C22" s="5">
        <x:v>19.900000000000006</x:v>
      </x:c>
      <x:c r="D22" s="5">
        <x:v>48.500000000000028</x:v>
      </x:c>
      <x:c r="E22" s="5">
        <x:v>74.80000000000004</x:v>
      </x:c>
      <x:c r="F22" s="5">
        <x:v>60.100000000000009</x:v>
      </x:c>
      <x:c r="G22" s="5">
        <x:v>32.400000000000013</x:v>
      </x:c>
      <x:c r="H22" s="5">
        <x:v>37.199999999999996</x:v>
      </x:c>
      <x:c r="I22" s="5">
        <x:v>12.600000000000016</x:v>
      </x:c>
      <x:c r="J22" s="5">
        <x:v>0</x:v>
      </x:c>
      <x:c r="K22" s="5">
        <x:v>1.2000000000000028</x:v>
      </x:c>
      <x:c r="L22" s="5">
        <x:v>6.1000000000000014</x:v>
      </x:c>
    </x:row>
    <x:row r="23" spans="1:12" x14ac:dyDescent="0.2">
      <x:c r="A23" s="1">
        <x:f t="shared" si="0"/>
        <x:v>13</x:v>
      </x:c>
      <x:c r="B23" s="32" t="s">
        <x:v>15</x:v>
      </x:c>
      <x:c r="C23" s="33">
        <x:f>SUM(C11:C22)</x:f>
        <x:v>4548.5</x:v>
      </x:c>
      <x:c r="D23" s="33">
        <x:f t="shared" ref="D23:L23" si="1">SUM(D11:D22)</x:f>
        <x:v>4138.9000000000015</x:v>
      </x:c>
      <x:c r="E23" s="33">
        <x:f t="shared" si="1"/>
        <x:v>4679.7</x:v>
      </x:c>
      <x:c r="F23" s="33">
        <x:f t="shared" si="1"/>
        <x:v>4491.5</x:v>
      </x:c>
      <x:c r="G23" s="33">
        <x:f t="shared" si="1"/>
        <x:v>3966.2000000000003</x:v>
      </x:c>
      <x:c r="H23" s="33">
        <x:f t="shared" si="1"/>
        <x:v>4333.3000000000011</x:v>
      </x:c>
      <x:c r="I23" s="33">
        <x:f t="shared" si="1"/>
        <x:v>4265.0000000000018</x:v>
      </x:c>
      <x:c r="J23" s="33">
        <x:f t="shared" si="1"/>
        <x:v>3960.2999999999997</x:v>
      </x:c>
      <x:c r="K23" s="33">
        <x:f t="shared" si="1"/>
        <x:v>3934.3000000000006</x:v>
      </x:c>
      <x:c r="L23" s="33">
        <x:f t="shared" si="1"/>
        <x:v>4002.7999999999997</x:v>
      </x:c>
    </x:row>
    <x:row r="24" spans="1:12" x14ac:dyDescent="0.2">
      <x:c r="A24" s="1">
        <x:f t="shared" si="0"/>
        <x:v>14</x:v>
      </x:c>
    </x:row>
    <x:row r="25" spans="1:12" x14ac:dyDescent="0.2">
      <x:c r="A25" s="1">
        <x:f t="shared" si="0"/>
        <x:v>15</x:v>
      </x:c>
    </x:row>
    <x:row r="26" spans="1:12" ht="12" x14ac:dyDescent="0.25">
      <x:c r="A26" s="1">
        <x:f t="shared" si="0"/>
        <x:v>16</x:v>
      </x:c>
      <x:c r="B26" s="89" t="s">
        <x:v>94</x:v>
      </x:c>
      <x:c r="C26" s="89"/>
      <x:c r="D26" s="89"/>
      <x:c r="E26" s="89"/>
      <x:c r="F26" s="89"/>
      <x:c r="G26" s="89"/>
      <x:c r="H26" s="89"/>
      <x:c r="I26" s="89"/>
      <x:c r="J26" s="89"/>
      <x:c r="K26" s="89"/>
      <x:c r="L26" s="89"/>
    </x:row>
    <x:row r="27" spans="1:12" ht="34.799999999999997" thickBot="1" x14ac:dyDescent="0.25">
      <x:c r="A27" s="1">
        <x:f t="shared" si="0"/>
        <x:v>17</x:v>
      </x:c>
      <x:c r="C27" s="3" t="s">
        <x:v>55</x:v>
      </x:c>
      <x:c r="D27" s="3" t="s">
        <x:v>6</x:v>
      </x:c>
      <x:c r="E27" s="72" t="s">
        <x:v>7</x:v>
      </x:c>
      <x:c r="F27" s="72" t="s">
        <x:v>8</x:v>
      </x:c>
      <x:c r="G27" s="72" t="s">
        <x:v>9</x:v>
      </x:c>
      <x:c r="H27" s="72" t="s">
        <x:v>10</x:v>
      </x:c>
      <x:c r="I27" s="72" t="s">
        <x:v>11</x:v>
      </x:c>
      <x:c r="J27" s="72" t="s">
        <x:v>12</x:v>
      </x:c>
      <x:c r="K27" s="72" t="s">
        <x:v>13</x:v>
      </x:c>
      <x:c r="L27" s="72" t="s">
        <x:v>14</x:v>
      </x:c>
    </x:row>
    <x:row r="28" spans="1:12" x14ac:dyDescent="0.2">
      <x:c r="A28" s="1">
        <x:f t="shared" si="0"/>
        <x:v>18</x:v>
      </x:c>
      <x:c r="B28" s="4">
        <x:f>+Base45h!B28</x:f>
        <x:v>45292</x:v>
      </x:c>
      <x:c r="C28" s="5">
        <x:v>15.103750000000002</x:v>
      </x:c>
      <x:c r="D28" s="5">
        <x:v>28.914166666666667</x:v>
      </x:c>
      <x:c r="E28" s="5">
        <x:v>27.311666666666675</x:v>
      </x:c>
      <x:c r="F28" s="5">
        <x:v>20.45291666666667</x:v>
      </x:c>
      <x:c r="G28" s="5">
        <x:v>19.522083333333317</x:v>
      </x:c>
      <x:c r="H28" s="5">
        <x:v>15.068749999999987</x:v>
      </x:c>
      <x:c r="I28" s="5">
        <x:v>7.0304166666666639</x:v>
      </x:c>
      <x:c r="J28" s="5">
        <x:v>4.1337500000000107</x:v>
      </x:c>
      <x:c r="K28" s="5">
        <x:v>1.1341666666666652</x:v>
      </x:c>
      <x:c r="L28" s="5">
        <x:v>7.5991666666666688</x:v>
      </x:c>
    </x:row>
    <x:row r="29" spans="1:12" x14ac:dyDescent="0.2">
      <x:c r="A29" s="1">
        <x:f t="shared" si="0"/>
        <x:v>19</x:v>
      </x:c>
      <x:c r="B29" s="4">
        <x:f>+Base45h!B29</x:f>
        <x:v>45323</x:v>
      </x:c>
      <x:c r="C29" s="5">
        <x:v>33.699583333333322</x:v>
      </x:c>
      <x:c r="D29" s="5">
        <x:v>48.889583333333356</x:v>
      </x:c>
      <x:c r="E29" s="5">
        <x:v>54.298333333333339</x:v>
      </x:c>
      <x:c r="F29" s="5">
        <x:v>43.04791666666668</x:v>
      </x:c>
      <x:c r="G29" s="5">
        <x:v>34.504166666666677</x:v>
      </x:c>
      <x:c r="H29" s="5">
        <x:v>32.929583333333348</x:v>
      </x:c>
      <x:c r="I29" s="5">
        <x:v>21.496666666666666</x:v>
      </x:c>
      <x:c r="J29" s="5">
        <x:v>11.489583333333337</x:v>
      </x:c>
      <x:c r="K29" s="5">
        <x:v>14.339583333333346</x:v>
      </x:c>
      <x:c r="L29" s="5">
        <x:v>15.871249999999995</x:v>
      </x:c>
    </x:row>
    <x:row r="30" spans="1:12" x14ac:dyDescent="0.2">
      <x:c r="A30" s="1">
        <x:f t="shared" si="0"/>
        <x:v>20</x:v>
      </x:c>
      <x:c r="B30" s="4">
        <x:f>+Base45h!B30</x:f>
        <x:v>45352</x:v>
      </x:c>
      <x:c r="C30" s="5">
        <x:v>113.83416666666669</x:v>
      </x:c>
      <x:c r="D30" s="5">
        <x:v>130.24791666666667</x:v>
      </x:c>
      <x:c r="E30" s="5">
        <x:v>146.12875000000003</x:v>
      </x:c>
      <x:c r="F30" s="5">
        <x:v>122.87000000000003</x:v>
      </x:c>
      <x:c r="G30" s="5">
        <x:v>102.80875000000003</x:v>
      </x:c>
      <x:c r="H30" s="5">
        <x:v>111.44166666666672</x:v>
      </x:c>
      <x:c r="I30" s="5">
        <x:v>93.007499999999993</x:v>
      </x:c>
      <x:c r="J30" s="5">
        <x:v>71.182916666666685</x:v>
      </x:c>
      <x:c r="K30" s="5">
        <x:v>86.600000000000009</x:v>
      </x:c>
      <x:c r="L30" s="5">
        <x:v>68.035000000000025</x:v>
      </x:c>
    </x:row>
    <x:row r="31" spans="1:12" x14ac:dyDescent="0.2">
      <x:c r="A31" s="1">
        <x:f t="shared" si="0"/>
        <x:v>21</x:v>
      </x:c>
      <x:c r="B31" s="4">
        <x:f>+Base45h!B31</x:f>
        <x:v>45383</x:v>
      </x:c>
      <x:c r="C31" s="5">
        <x:v>224.65083333333331</x:v>
      </x:c>
      <x:c r="D31" s="5">
        <x:v>234.82583333333335</x:v>
      </x:c>
      <x:c r="E31" s="5">
        <x:v>262.51416666666671</x:v>
      </x:c>
      <x:c r="F31" s="5">
        <x:v>236.22000000000003</x:v>
      </x:c>
      <x:c r="G31" s="5">
        <x:v>197.0854166666667</x:v>
      </x:c>
      <x:c r="H31" s="5">
        <x:v>223.85124999999999</x:v>
      </x:c>
      <x:c r="I31" s="5">
        <x:v>206.88541666666671</x:v>
      </x:c>
      <x:c r="J31" s="5">
        <x:v>166.22749999999996</x:v>
      </x:c>
      <x:c r="K31" s="5">
        <x:v>224.80833333333339</x:v>
      </x:c>
      <x:c r="L31" s="5">
        <x:v>151.91583333333332</x:v>
      </x:c>
    </x:row>
    <x:row r="32" spans="1:12" x14ac:dyDescent="0.2">
      <x:c r="A32" s="1">
        <x:f t="shared" si="0"/>
        <x:v>22</x:v>
      </x:c>
      <x:c r="B32" s="4">
        <x:f>+Base45h!B32</x:f>
        <x:v>45413</x:v>
      </x:c>
      <x:c r="C32" s="5">
        <x:v>456.35916666666662</x:v>
      </x:c>
      <x:c r="D32" s="5">
        <x:v>447.04583333333341</x:v>
      </x:c>
      <x:c r="E32" s="5">
        <x:v>479.28874999999999</x:v>
      </x:c>
      <x:c r="F32" s="5">
        <x:v>443.89500000000004</x:v>
      </x:c>
      <x:c r="G32" s="5">
        <x:v>413.98500000000018</x:v>
      </x:c>
      <x:c r="H32" s="5">
        <x:v>449.67083333333335</x:v>
      </x:c>
      <x:c r="I32" s="5">
        <x:v>414.44583333333333</x:v>
      </x:c>
      <x:c r="J32" s="5">
        <x:v>389.14458333333323</x:v>
      </x:c>
      <x:c r="K32" s="5">
        <x:v>452.02500000000009</x:v>
      </x:c>
      <x:c r="L32" s="5">
        <x:v>358.6737500000001</x:v>
      </x:c>
    </x:row>
    <x:row r="33" spans="1:12" x14ac:dyDescent="0.2">
      <x:c r="A33" s="1">
        <x:f t="shared" si="0"/>
        <x:v>23</x:v>
      </x:c>
      <x:c r="B33" s="4">
        <x:f>+Base45h!B33</x:f>
        <x:v>45444</x:v>
      </x:c>
      <x:c r="C33" s="5">
        <x:v>696.71833333333359</x:v>
      </x:c>
      <x:c r="D33" s="5">
        <x:v>632.33750000000009</x:v>
      </x:c>
      <x:c r="E33" s="5">
        <x:v>666.51791666666679</x:v>
      </x:c>
      <x:c r="F33" s="5">
        <x:v>658.32791666666662</x:v>
      </x:c>
      <x:c r="G33" s="5">
        <x:v>621.55625000000009</x:v>
      </x:c>
      <x:c r="H33" s="5">
        <x:v>679.61875000000009</x:v>
      </x:c>
      <x:c r="I33" s="5">
        <x:v>633.02041666666685</x:v>
      </x:c>
      <x:c r="J33" s="5">
        <x:v>639.89249999999981</x:v>
      </x:c>
      <x:c r="K33" s="5">
        <x:v>672.55081250000001</x:v>
      </x:c>
      <x:c r="L33" s="5">
        <x:v>617.34333333333348</x:v>
      </x:c>
    </x:row>
    <x:row r="34" spans="1:12" x14ac:dyDescent="0.2">
      <x:c r="A34" s="1">
        <x:f t="shared" si="0"/>
        <x:v>24</x:v>
      </x:c>
      <x:c r="B34" s="4">
        <x:f>+Base45h!B34</x:f>
        <x:v>45474</x:v>
      </x:c>
      <x:c r="C34" s="5">
        <x:v>817.59625000000005</x:v>
      </x:c>
      <x:c r="D34" s="5">
        <x:v>704.83166666666659</x:v>
      </x:c>
      <x:c r="E34" s="5">
        <x:v>742.35083333333318</x:v>
      </x:c>
      <x:c r="F34" s="5">
        <x:v>759.72541666666666</x:v>
      </x:c>
      <x:c r="G34" s="5">
        <x:v>716.61250000000018</x:v>
      </x:c>
      <x:c r="H34" s="5">
        <x:v>792.9029166666669</x:v>
      </x:c>
      <x:c r="I34" s="5">
        <x:v>738.71416666666676</x:v>
      </x:c>
      <x:c r="J34" s="5">
        <x:v>769.7012500000003</x:v>
      </x:c>
      <x:c r="K34" s="5">
        <x:v>726.29916666666691</x:v>
      </x:c>
      <x:c r="L34" s="5">
        <x:v>744.56583333333344</x:v>
      </x:c>
    </x:row>
    <x:row r="35" spans="1:12" x14ac:dyDescent="0.2">
      <x:c r="A35" s="1">
        <x:f t="shared" si="0"/>
        <x:v>25</x:v>
      </x:c>
      <x:c r="B35" s="4">
        <x:f>+Base45h!B35</x:f>
        <x:v>45505</x:v>
      </x:c>
      <x:c r="C35" s="5">
        <x:v>827.55041666666682</x:v>
      </x:c>
      <x:c r="D35" s="5">
        <x:v>720.95833333333337</x:v>
      </x:c>
      <x:c r="E35" s="5">
        <x:v>770.03458333333333</x:v>
      </x:c>
      <x:c r="F35" s="5">
        <x:v>776.57000000000016</x:v>
      </x:c>
      <x:c r="G35" s="5">
        <x:v>727.49624999999992</x:v>
      </x:c>
      <x:c r="H35" s="5">
        <x:v>806.29291666666677</x:v>
      </x:c>
      <x:c r="I35" s="5">
        <x:v>732.94791666666686</x:v>
      </x:c>
      <x:c r="J35" s="5">
        <x:v>756.94208333333358</x:v>
      </x:c>
      <x:c r="K35" s="5">
        <x:v>701.49166666666679</x:v>
      </x:c>
      <x:c r="L35" s="5">
        <x:v>745.96624999999995</x:v>
      </x:c>
    </x:row>
    <x:row r="36" spans="1:12" x14ac:dyDescent="0.2">
      <x:c r="A36" s="1">
        <x:f t="shared" si="0"/>
        <x:v>26</x:v>
      </x:c>
      <x:c r="B36" s="4">
        <x:f>+Base45h!B36</x:f>
        <x:v>45536</x:v>
      </x:c>
      <x:c r="C36" s="5">
        <x:v>600.20125000000019</x:v>
      </x:c>
      <x:c r="D36" s="5">
        <x:v>542.16833333333352</x:v>
      </x:c>
      <x:c r="E36" s="5">
        <x:v>577.4725000000002</x:v>
      </x:c>
      <x:c r="F36" s="5">
        <x:v>560.86208333333332</x:v>
      </x:c>
      <x:c r="G36" s="5">
        <x:v>526.0604166666667</x:v>
      </x:c>
      <x:c r="H36" s="5">
        <x:v>581.95041666666668</x:v>
      </x:c>
      <x:c r="I36" s="5">
        <x:v>497.99250000000001</x:v>
      </x:c>
      <x:c r="J36" s="5">
        <x:v>507.1049999999999</x:v>
      </x:c>
      <x:c r="K36" s="5">
        <x:v>475.24541666666681</x:v>
      </x:c>
      <x:c r="L36" s="5">
        <x:v>521.97916666666674</x:v>
      </x:c>
    </x:row>
    <x:row r="37" spans="1:12" x14ac:dyDescent="0.2">
      <x:c r="A37" s="1">
        <x:f t="shared" si="0"/>
        <x:v>27</x:v>
      </x:c>
      <x:c r="B37" s="4">
        <x:f>+Base45h!B37</x:f>
        <x:v>45566</x:v>
      </x:c>
      <x:c r="C37" s="5">
        <x:v>295.93791666666664</x:v>
      </x:c>
      <x:c r="D37" s="5">
        <x:v>281.41833333333341</x:v>
      </x:c>
      <x:c r="E37" s="5">
        <x:v>320.74166666666673</x:v>
      </x:c>
      <x:c r="F37" s="5">
        <x:v>298.17583333333329</x:v>
      </x:c>
      <x:c r="G37" s="5">
        <x:v>245.22333333333339</x:v>
      </x:c>
      <x:c r="H37" s="5">
        <x:v>296.96541666666673</x:v>
      </x:c>
      <x:c r="I37" s="5">
        <x:v>240.38458333333332</x:v>
      </x:c>
      <x:c r="J37" s="5">
        <x:v>207.66916666666665</x:v>
      </x:c>
      <x:c r="K37" s="5">
        <x:v>222.3204166666666</x:v>
      </x:c>
      <x:c r="L37" s="5">
        <x:v>229.48791666666665</x:v>
      </x:c>
    </x:row>
    <x:row r="38" spans="1:12" x14ac:dyDescent="0.2">
      <x:c r="A38" s="1">
        <x:f t="shared" si="0"/>
        <x:v>28</x:v>
      </x:c>
      <x:c r="B38" s="4">
        <x:f>+Base45h!B38</x:f>
        <x:v>45597</x:v>
      </x:c>
      <x:c r="C38" s="5">
        <x:v>78.928333333333342</x:v>
      </x:c>
      <x:c r="D38" s="5">
        <x:v>89.537083333333314</x:v>
      </x:c>
      <x:c r="E38" s="5">
        <x:v>108.82083333333334</x:v>
      </x:c>
      <x:c r="F38" s="5">
        <x:v>88.110833333333318</x:v>
      </x:c>
      <x:c r="G38" s="5">
        <x:v>68.30291666666669</x:v>
      </x:c>
      <x:c r="H38" s="5">
        <x:v>84.870000000000019</x:v>
      </x:c>
      <x:c r="I38" s="5">
        <x:v>54.035000000000004</x:v>
      </x:c>
      <x:c r="J38" s="5">
        <x:v>37.624583333333341</x:v>
      </x:c>
      <x:c r="K38" s="5">
        <x:v>33.517916666666657</x:v>
      </x:c>
      <x:c r="L38" s="5">
        <x:v>52.365416666666675</x:v>
      </x:c>
    </x:row>
    <x:row r="39" spans="1:12" x14ac:dyDescent="0.2">
      <x:c r="A39" s="1">
        <x:f t="shared" si="0"/>
        <x:v>29</x:v>
      </x:c>
      <x:c r="B39" s="4">
        <x:f>+Base45h!B39</x:f>
        <x:v>45627</x:v>
      </x:c>
      <x:c r="C39" s="5">
        <x:v>25.556666666666665</x:v>
      </x:c>
      <x:c r="D39" s="5">
        <x:v>49.513750000000009</x:v>
      </x:c>
      <x:c r="E39" s="5">
        <x:v>44.153750000000016</x:v>
      </x:c>
      <x:c r="F39" s="5">
        <x:v>32.986250000000005</x:v>
      </x:c>
      <x:c r="G39" s="5">
        <x:v>34.468333333333355</x:v>
      </x:c>
      <x:c r="H39" s="5">
        <x:v>29.043333333333344</x:v>
      </x:c>
      <x:c r="I39" s="5">
        <x:v>14.852916666666676</x:v>
      </x:c>
      <x:c r="J39" s="5">
        <x:v>6.6141666666666703</x:v>
      </x:c>
      <x:c r="K39" s="5">
        <x:v>4.2545833333333354</x:v>
      </x:c>
      <x:c r="L39" s="5">
        <x:v>13.380416666666667</x:v>
      </x:c>
    </x:row>
    <x:row r="40" spans="1:12" x14ac:dyDescent="0.2">
      <x:c r="A40" s="1">
        <x:f t="shared" si="0"/>
        <x:v>30</x:v>
      </x:c>
      <x:c r="B40" s="32" t="s">
        <x:v>15</x:v>
      </x:c>
      <x:c r="C40" s="33">
        <x:f>SUM(C28:C39)</x:f>
        <x:v>4186.1366666666672</x:v>
      </x:c>
      <x:c r="D40" s="33">
        <x:f t="shared" ref="D40:L40" si="2">SUM(D28:D39)</x:f>
        <x:v>3910.688333333334</x:v>
      </x:c>
      <x:c r="E40" s="33">
        <x:f t="shared" si="2"/>
        <x:v>4199.6337500000009</x:v>
      </x:c>
      <x:c r="F40" s="33">
        <x:f t="shared" si="2"/>
        <x:v>4041.2441666666664</x:v>
      </x:c>
      <x:c r="G40" s="33">
        <x:f t="shared" si="2"/>
        <x:v>3707.6254166666672</x:v>
      </x:c>
      <x:c r="H40" s="33">
        <x:f t="shared" si="2"/>
        <x:v>4104.605833333334</x:v>
      </x:c>
      <x:c r="I40" s="33">
        <x:f t="shared" si="2"/>
        <x:v>3654.813333333334</x:v>
      </x:c>
      <x:c r="J40" s="33">
        <x:f t="shared" si="2"/>
        <x:v>3567.7270833333332</x:v>
      </x:c>
      <x:c r="K40" s="33">
        <x:f t="shared" si="2"/>
        <x:v>3614.5870625000007</x:v>
      </x:c>
      <x:c r="L40" s="33">
        <x:f t="shared" si="2"/>
        <x:v>3527.1833333333338</x:v>
      </x:c>
    </x:row>
  </x:sheetData>
  <x:mergeCells count="7">
    <x:mergeCell ref="B26:L26"/>
    <x:mergeCell ref="B1:L1"/>
    <x:mergeCell ref="B2:L2"/>
    <x:mergeCell ref="B3:L3"/>
    <x:mergeCell ref="B4:L4"/>
    <x:mergeCell ref="B6:L6"/>
    <x:mergeCell ref="B9:L9"/>
  </x:mergeCells>
  <x:pageMargins left="0.75" right="0.75" top="1" bottom="1" header="0.5" footer="0.5"/>
  <x:pageSetup scale="73" firstPageNumber="3" orientation="portrait" r:id="rId1"/>
  <x:headerFooter alignWithMargins="0">
    <x:oddHeader>&amp;RSchedule II-H-5.1
Page &amp;P of  25</x:oddHeader>
  </x:headerFooter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>
    <x:pageSetUpPr fitToPage="1"/>
  </x:sheetPr>
  <x:dimension ref="A1:L40"/>
  <x:sheetViews>
    <x:sheetView zoomScaleNormal="100" workbookViewId="0"/>
  </x:sheetViews>
  <x:sheetFormatPr defaultColWidth="9.109375" defaultRowHeight="11.4" x14ac:dyDescent="0.2"/>
  <x:cols>
    <x:col min="1" max="1" width="9.109375" style="1"/>
    <x:col min="2" max="2" width="10.44140625" style="2" bestFit="1" customWidth="1"/>
    <x:col min="3" max="3" width="11.44140625" style="2" customWidth="1"/>
    <x:col min="4" max="4" width="9.5546875" style="2" bestFit="1" customWidth="1"/>
    <x:col min="5" max="5" width="9.6640625" style="2" bestFit="1" customWidth="1"/>
    <x:col min="6" max="6" width="9.5546875" style="2" bestFit="1" customWidth="1"/>
    <x:col min="7" max="7" width="12.33203125" style="2" bestFit="1" customWidth="1"/>
    <x:col min="8" max="8" width="9.88671875" style="2" bestFit="1" customWidth="1"/>
    <x:col min="9" max="9" width="10.5546875" style="2" bestFit="1" customWidth="1"/>
    <x:col min="10" max="10" width="11.33203125" style="2" customWidth="1"/>
    <x:col min="11" max="11" width="10.44140625" style="2" customWidth="1"/>
    <x:col min="12" max="16384" width="9.109375" style="2"/>
  </x:cols>
  <x:sheetData>
    <x:row r="1" spans="1:12" ht="15.6" x14ac:dyDescent="0.3">
      <x:c r="B1" s="88" t="str">
        <x:f>+Base45h!B1</x:f>
        <x:v xml:space="preserve">PUC DOCKET NO. </x:v>
      </x:c>
      <x:c r="C1" s="88"/>
      <x:c r="D1" s="88"/>
      <x:c r="E1" s="88"/>
      <x:c r="F1" s="88"/>
      <x:c r="G1" s="88"/>
      <x:c r="H1" s="88"/>
      <x:c r="I1" s="88"/>
      <x:c r="J1" s="88"/>
      <x:c r="K1" s="88"/>
      <x:c r="L1" s="88"/>
    </x:row>
    <x:row r="2" spans="1:12" ht="15.6" x14ac:dyDescent="0.3">
      <x:c r="B2" s="88" t="str">
        <x:f>+Base45h!B2</x:f>
        <x:v>ONCOR ELECTRIC DELIVERY COMPANY LLC</x:v>
      </x:c>
      <x:c r="C2" s="88"/>
      <x:c r="D2" s="88"/>
      <x:c r="E2" s="88"/>
      <x:c r="F2" s="88"/>
      <x:c r="G2" s="88"/>
      <x:c r="H2" s="88"/>
      <x:c r="I2" s="88"/>
      <x:c r="J2" s="88"/>
      <x:c r="K2" s="88"/>
      <x:c r="L2" s="88"/>
    </x:row>
    <x:row r="3" spans="1:12" ht="15.6" x14ac:dyDescent="0.3">
      <x:c r="B3" s="88" t="str">
        <x:f>+Base45h!B3</x:f>
        <x:v>WEATHER STATION DATA</x:v>
      </x:c>
      <x:c r="C3" s="88"/>
      <x:c r="D3" s="88"/>
      <x:c r="E3" s="88"/>
      <x:c r="F3" s="88"/>
      <x:c r="G3" s="88"/>
      <x:c r="H3" s="88"/>
      <x:c r="I3" s="88"/>
      <x:c r="J3" s="88"/>
      <x:c r="K3" s="88"/>
      <x:c r="L3" s="88"/>
    </x:row>
    <x:row r="4" spans="1:12" ht="15.6" x14ac:dyDescent="0.3">
      <x:c r="B4" s="88" t="str">
        <x:f>+Base45h!B4</x:f>
        <x:v>FOR THE TEST YEAR ENDING DECEMBER 31, 2024</x:v>
      </x:c>
      <x:c r="C4" s="88"/>
      <x:c r="D4" s="88"/>
      <x:c r="E4" s="88"/>
      <x:c r="F4" s="88"/>
      <x:c r="G4" s="88"/>
      <x:c r="H4" s="88"/>
      <x:c r="I4" s="88"/>
      <x:c r="J4" s="88"/>
      <x:c r="K4" s="88"/>
      <x:c r="L4" s="88"/>
    </x:row>
    <x:row r="6" spans="1:12" ht="15.6" x14ac:dyDescent="0.3">
      <x:c r="B6" s="88" t="str">
        <x:f>+Base45h!B6</x:f>
        <x:v>SPONSOR: D. E. NELSON</x:v>
      </x:c>
      <x:c r="C6" s="88"/>
      <x:c r="D6" s="88"/>
      <x:c r="E6" s="88"/>
      <x:c r="F6" s="88"/>
      <x:c r="G6" s="88"/>
      <x:c r="H6" s="88"/>
      <x:c r="I6" s="88"/>
      <x:c r="J6" s="88"/>
      <x:c r="K6" s="88"/>
      <x:c r="L6" s="88"/>
    </x:row>
    <x:row r="9" spans="1:12" ht="12" x14ac:dyDescent="0.25">
      <x:c r="B9" s="89" t="s">
        <x:v>22</x:v>
      </x:c>
      <x:c r="C9" s="89"/>
      <x:c r="D9" s="89"/>
      <x:c r="E9" s="89"/>
      <x:c r="F9" s="89"/>
      <x:c r="G9" s="89"/>
      <x:c r="H9" s="89"/>
      <x:c r="I9" s="89"/>
      <x:c r="J9" s="89"/>
      <x:c r="K9" s="89"/>
      <x:c r="L9" s="89"/>
    </x:row>
    <x:row r="10" spans="1:12" ht="34.799999999999997" thickBot="1" x14ac:dyDescent="0.25">
      <x:c r="A10" s="3" t="s">
        <x:v>4</x:v>
      </x:c>
      <x:c r="C10" s="3" t="s">
        <x:v>55</x:v>
      </x:c>
      <x:c r="D10" s="3" t="s">
        <x:v>6</x:v>
      </x:c>
      <x:c r="E10" s="3" t="s">
        <x:v>7</x:v>
      </x:c>
      <x:c r="F10" s="3" t="s">
        <x:v>8</x:v>
      </x:c>
      <x:c r="G10" s="3" t="s">
        <x:v>9</x:v>
      </x:c>
      <x:c r="H10" s="3" t="s">
        <x:v>10</x:v>
      </x:c>
      <x:c r="I10" s="3" t="s">
        <x:v>11</x:v>
      </x:c>
      <x:c r="J10" s="3" t="s">
        <x:v>12</x:v>
      </x:c>
      <x:c r="K10" s="3" t="s">
        <x:v>13</x:v>
      </x:c>
      <x:c r="L10" s="3" t="s">
        <x:v>14</x:v>
      </x:c>
    </x:row>
    <x:row r="11" spans="1:12" x14ac:dyDescent="0.2">
      <x:c r="A11" s="1">
        <x:v>1</x:v>
      </x:c>
      <x:c r="B11" s="4">
        <x:f>+Base45h!B11</x:f>
        <x:v>45292</x:v>
      </x:c>
      <x:c r="C11" s="5">
        <x:v>0</x:v>
      </x:c>
      <x:c r="D11" s="5">
        <x:v>0</x:v>
      </x:c>
      <x:c r="E11" s="5">
        <x:v>0</x:v>
      </x:c>
      <x:c r="F11" s="5">
        <x:v>0</x:v>
      </x:c>
      <x:c r="G11" s="5">
        <x:v>0</x:v>
      </x:c>
      <x:c r="H11" s="5">
        <x:v>0</x:v>
      </x:c>
      <x:c r="I11" s="5">
        <x:v>0</x:v>
      </x:c>
      <x:c r="J11" s="5">
        <x:v>0</x:v>
      </x:c>
      <x:c r="K11" s="5">
        <x:v>0</x:v>
      </x:c>
      <x:c r="L11" s="5">
        <x:v>0</x:v>
      </x:c>
    </x:row>
    <x:row r="12" spans="1:12" x14ac:dyDescent="0.2">
      <x:c r="A12" s="1">
        <x:f>+A11+1</x:f>
        <x:v>2</x:v>
      </x:c>
      <x:c r="B12" s="4">
        <x:f>+Base45h!B12</x:f>
        <x:v>45323</x:v>
      </x:c>
      <x:c r="C12" s="5">
        <x:v>28.700000000000017</x:v>
      </x:c>
      <x:c r="D12" s="5">
        <x:v>25.700000000000003</x:v>
      </x:c>
      <x:c r="E12" s="5">
        <x:v>20.299999999999997</x:v>
      </x:c>
      <x:c r="F12" s="5">
        <x:v>27.099999999999994</x:v>
      </x:c>
      <x:c r="G12" s="5">
        <x:v>29.399999999999991</x:v>
      </x:c>
      <x:c r="H12" s="5">
        <x:v>19</x:v>
      </x:c>
      <x:c r="I12" s="5">
        <x:v>32.400000000000006</x:v>
      </x:c>
      <x:c r="J12" s="5">
        <x:v>15.400000000000006</x:v>
      </x:c>
      <x:c r="K12" s="5">
        <x:v>11</x:v>
      </x:c>
      <x:c r="L12" s="5">
        <x:v>19.100000000000023</x:v>
      </x:c>
    </x:row>
    <x:row r="13" spans="1:12" x14ac:dyDescent="0.2">
      <x:c r="A13" s="1">
        <x:f t="shared" ref="A13:A40" si="0">+A12+1</x:f>
        <x:v>3</x:v>
      </x:c>
      <x:c r="B13" s="4">
        <x:f>+Base45h!B13</x:f>
        <x:v>45352</x:v>
      </x:c>
      <x:c r="C13" s="5">
        <x:v>47.400000000000006</x:v>
      </x:c>
      <x:c r="D13" s="5">
        <x:v>60.7</x:v>
      </x:c>
      <x:c r="E13" s="5">
        <x:v>63.100000000000009</x:v>
      </x:c>
      <x:c r="F13" s="5">
        <x:v>55.90000000000002</x:v>
      </x:c>
      <x:c r="G13" s="5">
        <x:v>49.7</x:v>
      </x:c>
      <x:c r="H13" s="5">
        <x:v>46.800000000000011</x:v>
      </x:c>
      <x:c r="I13" s="5">
        <x:v>31.300000000000026</x:v>
      </x:c>
      <x:c r="J13" s="5">
        <x:v>27.5</x:v>
      </x:c>
      <x:c r="K13" s="5">
        <x:v>14</x:v>
      </x:c>
      <x:c r="L13" s="5">
        <x:v>32.600000000000009</x:v>
      </x:c>
    </x:row>
    <x:row r="14" spans="1:12" x14ac:dyDescent="0.2">
      <x:c r="A14" s="1">
        <x:f t="shared" si="0"/>
        <x:v>4</x:v>
      </x:c>
      <x:c r="B14" s="4">
        <x:f>+Base45h!B14</x:f>
        <x:v>45383</x:v>
      </x:c>
      <x:c r="C14" s="5">
        <x:v>152.5</x:v>
      </x:c>
      <x:c r="D14" s="5">
        <x:v>154.60000000000005</x:v>
      </x:c>
      <x:c r="E14" s="5">
        <x:v>178.50000000000006</x:v>
      </x:c>
      <x:c r="F14" s="5">
        <x:v>155.9</x:v>
      </x:c>
      <x:c r="G14" s="5">
        <x:v>142.40000000000003</x:v>
      </x:c>
      <x:c r="H14" s="5">
        <x:v>134.60000000000002</x:v>
      </x:c>
      <x:c r="I14" s="5">
        <x:v>161.80000000000007</x:v>
      </x:c>
      <x:c r="J14" s="5">
        <x:v>98.200000000000045</x:v>
      </x:c>
      <x:c r="K14" s="5">
        <x:v>134.30000000000001</x:v>
      </x:c>
      <x:c r="L14" s="5">
        <x:v>113.20000000000002</x:v>
      </x:c>
    </x:row>
    <x:row r="15" spans="1:12" x14ac:dyDescent="0.2">
      <x:c r="A15" s="1">
        <x:f t="shared" si="0"/>
        <x:v>5</x:v>
      </x:c>
      <x:c r="B15" s="4">
        <x:f>+Base45h!B15</x:f>
        <x:v>45413</x:v>
      </x:c>
      <x:c r="C15" s="5">
        <x:v>368.70000000000005</x:v>
      </x:c>
      <x:c r="D15" s="5">
        <x:v>344.60000000000008</x:v>
      </x:c>
      <x:c r="E15" s="5">
        <x:v>427.10000000000014</x:v>
      </x:c>
      <x:c r="F15" s="5">
        <x:v>352.30000000000013</x:v>
      </x:c>
      <x:c r="G15" s="5">
        <x:v>344.40000000000015</x:v>
      </x:c>
      <x:c r="H15" s="5">
        <x:v>340.00000000000017</x:v>
      </x:c>
      <x:c r="I15" s="5">
        <x:v>335.90000000000015</x:v>
      </x:c>
      <x:c r="J15" s="5">
        <x:v>280.50000000000011</x:v>
      </x:c>
      <x:c r="K15" s="5">
        <x:v>365.2000000000001</x:v>
      </x:c>
      <x:c r="L15" s="5">
        <x:v>297.40000000000003</x:v>
      </x:c>
    </x:row>
    <x:row r="16" spans="1:12" x14ac:dyDescent="0.2">
      <x:c r="A16" s="1">
        <x:f t="shared" si="0"/>
        <x:v>6</x:v>
      </x:c>
      <x:c r="B16" s="4">
        <x:f>+Base45h!B16</x:f>
        <x:v>45444</x:v>
      </x:c>
      <x:c r="C16" s="5">
        <x:v>572.30000000000007</x:v>
      </x:c>
      <x:c r="D16" s="5">
        <x:v>503.00000000000017</x:v>
      </x:c>
      <x:c r="E16" s="5">
        <x:v>562.20000000000016</x:v>
      </x:c>
      <x:c r="F16" s="5">
        <x:v>547.29999999999995</x:v>
      </x:c>
      <x:c r="G16" s="5">
        <x:v>493.90000000000003</x:v>
      </x:c>
      <x:c r="H16" s="5">
        <x:v>547.80000000000018</x:v>
      </x:c>
      <x:c r="I16" s="5">
        <x:v>561.4000000000002</x:v>
      </x:c>
      <x:c r="J16" s="5">
        <x:v>485.9</x:v>
      </x:c>
      <x:c r="K16" s="5">
        <x:v>574.60000000000014</x:v>
      </x:c>
      <x:c r="L16" s="5">
        <x:v>542.10000000000014</x:v>
      </x:c>
    </x:row>
    <x:row r="17" spans="1:12" x14ac:dyDescent="0.2">
      <x:c r="A17" s="1">
        <x:f t="shared" si="0"/>
        <x:v>7</x:v>
      </x:c>
      <x:c r="B17" s="4">
        <x:f>+Base45h!B17</x:f>
        <x:v>45474</x:v>
      </x:c>
      <x:c r="C17" s="5">
        <x:v>613.30000000000018</x:v>
      </x:c>
      <x:c r="D17" s="5">
        <x:v>484.00000000000017</x:v>
      </x:c>
      <x:c r="E17" s="5">
        <x:v>539.10000000000014</x:v>
      </x:c>
      <x:c r="F17" s="5">
        <x:v>549.4000000000002</x:v>
      </x:c>
      <x:c r="G17" s="5">
        <x:v>493.80000000000007</x:v>
      </x:c>
      <x:c r="H17" s="5">
        <x:v>566.20000000000027</x:v>
      </x:c>
      <x:c r="I17" s="5">
        <x:v>606.50000000000011</x:v>
      </x:c>
      <x:c r="J17" s="5">
        <x:v>581.70000000000016</x:v>
      </x:c>
      <x:c r="K17" s="5">
        <x:v>531.9000000000002</x:v>
      </x:c>
      <x:c r="L17" s="5">
        <x:v>564.50000000000011</x:v>
      </x:c>
    </x:row>
    <x:row r="18" spans="1:12" x14ac:dyDescent="0.2">
      <x:c r="A18" s="1">
        <x:f t="shared" si="0"/>
        <x:v>8</x:v>
      </x:c>
      <x:c r="B18" s="4">
        <x:f>+Base45h!B18</x:f>
        <x:v>45505</x:v>
      </x:c>
      <x:c r="C18" s="5">
        <x:v>730.30000000000007</x:v>
      </x:c>
      <x:c r="D18" s="5">
        <x:v>590.8000000000003</x:v>
      </x:c>
      <x:c r="E18" s="5">
        <x:v>630.50000000000023</x:v>
      </x:c>
      <x:c r="F18" s="5">
        <x:v>669.1</x:v>
      </x:c>
      <x:c r="G18" s="5">
        <x:v>582.20000000000005</x:v>
      </x:c>
      <x:c r="H18" s="5">
        <x:v>672.4000000000002</x:v>
      </x:c>
      <x:c r="I18" s="5">
        <x:v>740.79999999999984</x:v>
      </x:c>
      <x:c r="J18" s="5">
        <x:v>726.1</x:v>
      </x:c>
      <x:c r="K18" s="5">
        <x:v>660.90000000000009</x:v>
      </x:c>
      <x:c r="L18" s="5">
        <x:v>650.1</x:v>
      </x:c>
    </x:row>
    <x:row r="19" spans="1:12" x14ac:dyDescent="0.2">
      <x:c r="A19" s="1">
        <x:f t="shared" si="0"/>
        <x:v>9</x:v>
      </x:c>
      <x:c r="B19" s="4">
        <x:f>+Base45h!B19</x:f>
        <x:v>45536</x:v>
      </x:c>
      <x:c r="C19" s="5">
        <x:v>427.00000000000017</x:v>
      </x:c>
      <x:c r="D19" s="5">
        <x:v>366.80000000000007</x:v>
      </x:c>
      <x:c r="E19" s="5">
        <x:v>481.90000000000009</x:v>
      </x:c>
      <x:c r="F19" s="5">
        <x:v>426.40000000000009</x:v>
      </x:c>
      <x:c r="G19" s="5">
        <x:v>343.70000000000005</x:v>
      </x:c>
      <x:c r="H19" s="5">
        <x:v>400.50000000000011</x:v>
      </x:c>
      <x:c r="I19" s="5">
        <x:v>346.1</x:v>
      </x:c>
      <x:c r="J19" s="5">
        <x:v>386</x:v>
      </x:c>
      <x:c r="K19" s="5">
        <x:v>290.90000000000009</x:v>
      </x:c>
      <x:c r="L19" s="5">
        <x:v>357.90000000000015</x:v>
      </x:c>
    </x:row>
    <x:row r="20" spans="1:12" x14ac:dyDescent="0.2">
      <x:c r="A20" s="1">
        <x:f t="shared" si="0"/>
        <x:v>10</x:v>
      </x:c>
      <x:c r="B20" s="4">
        <x:f>+Base45h!B20</x:f>
        <x:v>45566</x:v>
      </x:c>
      <x:c r="C20" s="5">
        <x:v>334.69999999999993</x:v>
      </x:c>
      <x:c r="D20" s="5">
        <x:v>226.50000000000011</x:v>
      </x:c>
      <x:c r="E20" s="5">
        <x:v>320.8</x:v>
      </x:c>
      <x:c r="F20" s="5">
        <x:v>328.00000000000006</x:v>
      </x:c>
      <x:c r="G20" s="5">
        <x:v>204.30000000000004</x:v>
      </x:c>
      <x:c r="H20" s="5">
        <x:v>301.60000000000019</x:v>
      </x:c>
      <x:c r="I20" s="5">
        <x:v>267.50000000000011</x:v>
      </x:c>
      <x:c r="J20" s="5">
        <x:v>262.9000000000002</x:v>
      </x:c>
      <x:c r="K20" s="5">
        <x:v>217.30000000000013</x:v>
      </x:c>
      <x:c r="L20" s="5">
        <x:v>270.10000000000019</x:v>
      </x:c>
    </x:row>
    <x:row r="21" spans="1:12" x14ac:dyDescent="0.2">
      <x:c r="A21" s="1">
        <x:f t="shared" si="0"/>
        <x:v>11</x:v>
      </x:c>
      <x:c r="B21" s="4">
        <x:f>+Base45h!B21</x:f>
        <x:v>45597</x:v>
      </x:c>
      <x:c r="C21" s="5">
        <x:v>42.600000000000023</x:v>
      </x:c>
      <x:c r="D21" s="5">
        <x:v>82.700000000000017</x:v>
      </x:c>
      <x:c r="E21" s="5">
        <x:v>95.899999999999991</x:v>
      </x:c>
      <x:c r="F21" s="5">
        <x:v>69.3</x:v>
      </x:c>
      <x:c r="G21" s="5">
        <x:v>46.500000000000028</x:v>
      </x:c>
      <x:c r="H21" s="5">
        <x:v>54.800000000000011</x:v>
      </x:c>
      <x:c r="I21" s="5">
        <x:v>17.500000000000014</x:v>
      </x:c>
      <x:c r="J21" s="5">
        <x:v>3.7999999999999972</x:v>
      </x:c>
      <x:c r="K21" s="5">
        <x:v>14.900000000000006</x:v>
      </x:c>
      <x:c r="L21" s="5">
        <x:v>19.900000000000006</x:v>
      </x:c>
    </x:row>
    <x:row r="22" spans="1:12" x14ac:dyDescent="0.2">
      <x:c r="A22" s="1">
        <x:f t="shared" si="0"/>
        <x:v>12</x:v>
      </x:c>
      <x:c r="B22" s="4">
        <x:f>+Base45h!B22</x:f>
        <x:v>45627</x:v>
      </x:c>
      <x:c r="C22" s="5">
        <x:v>3.2000000000000028</x:v>
      </x:c>
      <x:c r="D22" s="5">
        <x:v>16.000000000000014</x:v>
      </x:c>
      <x:c r="E22" s="5">
        <x:v>30.300000000000026</x:v>
      </x:c>
      <x:c r="F22" s="5">
        <x:v>20.900000000000006</x:v>
      </x:c>
      <x:c r="G22" s="5">
        <x:v>12.400000000000006</x:v>
      </x:c>
      <x:c r="H22" s="5">
        <x:v>8.5999999999999943</x:v>
      </x:c>
      <x:c r="I22" s="5">
        <x:v>0</x:v>
      </x:c>
      <x:c r="J22" s="5">
        <x:v>0</x:v>
      </x:c>
      <x:c r="K22" s="5">
        <x:v>0</x:v>
      </x:c>
      <x:c r="L22" s="5">
        <x:v>1</x:v>
      </x:c>
    </x:row>
    <x:row r="23" spans="1:12" x14ac:dyDescent="0.2">
      <x:c r="A23" s="1">
        <x:f t="shared" si="0"/>
        <x:v>13</x:v>
      </x:c>
      <x:c r="B23" s="32" t="s">
        <x:v>15</x:v>
      </x:c>
      <x:c r="C23" s="33">
        <x:f>SUM(C11:C22)</x:f>
        <x:v>3320.7</x:v>
      </x:c>
      <x:c r="D23" s="33">
        <x:f t="shared" ref="D23:L23" si="1">SUM(D11:D22)</x:f>
        <x:v>2855.400000000001</x:v>
      </x:c>
      <x:c r="E23" s="33">
        <x:f t="shared" si="1"/>
        <x:v>3349.7000000000012</x:v>
      </x:c>
      <x:c r="F23" s="33">
        <x:f t="shared" si="1"/>
        <x:v>3201.6000000000004</x:v>
      </x:c>
      <x:c r="G23" s="33">
        <x:f t="shared" si="1"/>
        <x:v>2742.7000000000003</x:v>
      </x:c>
      <x:c r="H23" s="33">
        <x:f t="shared" si="1"/>
        <x:v>3092.3000000000011</x:v>
      </x:c>
      <x:c r="I23" s="33">
        <x:f t="shared" si="1"/>
        <x:v>3101.2000000000003</x:v>
      </x:c>
      <x:c r="J23" s="33">
        <x:f t="shared" si="1"/>
        <x:v>2868.0000000000005</x:v>
      </x:c>
      <x:c r="K23" s="33">
        <x:f t="shared" si="1"/>
        <x:v>2815.0000000000009</x:v>
      </x:c>
      <x:c r="L23" s="33">
        <x:f t="shared" si="1"/>
        <x:v>2867.900000000001</x:v>
      </x:c>
    </x:row>
    <x:row r="24" spans="1:12" x14ac:dyDescent="0.2">
      <x:c r="A24" s="1">
        <x:f t="shared" si="0"/>
        <x:v>14</x:v>
      </x:c>
    </x:row>
    <x:row r="25" spans="1:12" x14ac:dyDescent="0.2">
      <x:c r="A25" s="1">
        <x:f t="shared" si="0"/>
        <x:v>15</x:v>
      </x:c>
    </x:row>
    <x:row r="26" spans="1:12" ht="12" x14ac:dyDescent="0.25">
      <x:c r="A26" s="1">
        <x:f t="shared" si="0"/>
        <x:v>16</x:v>
      </x:c>
      <x:c r="B26" s="89" t="s">
        <x:v>26</x:v>
      </x:c>
      <x:c r="C26" s="89"/>
      <x:c r="D26" s="89"/>
      <x:c r="E26" s="89"/>
      <x:c r="F26" s="89"/>
      <x:c r="G26" s="89"/>
      <x:c r="H26" s="89"/>
      <x:c r="I26" s="89"/>
      <x:c r="J26" s="89"/>
      <x:c r="K26" s="89"/>
      <x:c r="L26" s="89"/>
    </x:row>
    <x:row r="27" spans="1:12" ht="34.799999999999997" thickBot="1" x14ac:dyDescent="0.25">
      <x:c r="A27" s="1">
        <x:f t="shared" si="0"/>
        <x:v>17</x:v>
      </x:c>
      <x:c r="C27" s="3" t="s">
        <x:v>55</x:v>
      </x:c>
      <x:c r="D27" s="3" t="s">
        <x:v>6</x:v>
      </x:c>
      <x:c r="E27" s="72" t="s">
        <x:v>7</x:v>
      </x:c>
      <x:c r="F27" s="72" t="s">
        <x:v>8</x:v>
      </x:c>
      <x:c r="G27" s="72" t="s">
        <x:v>9</x:v>
      </x:c>
      <x:c r="H27" s="72" t="s">
        <x:v>10</x:v>
      </x:c>
      <x:c r="I27" s="72" t="s">
        <x:v>11</x:v>
      </x:c>
      <x:c r="J27" s="72" t="s">
        <x:v>12</x:v>
      </x:c>
      <x:c r="K27" s="72" t="s">
        <x:v>13</x:v>
      </x:c>
      <x:c r="L27" s="72" t="s">
        <x:v>14</x:v>
      </x:c>
    </x:row>
    <x:row r="28" spans="1:12" x14ac:dyDescent="0.2">
      <x:c r="A28" s="1">
        <x:f t="shared" si="0"/>
        <x:v>18</x:v>
      </x:c>
      <x:c r="B28" s="4">
        <x:f>+Base45h!B28</x:f>
        <x:v>45292</x:v>
      </x:c>
      <x:c r="C28" s="5">
        <x:v>3.7100000000000057</x:v>
      </x:c>
      <x:c r="D28" s="5">
        <x:v>9.1066666666666727</x:v>
      </x:c>
      <x:c r="E28" s="5">
        <x:v>7.9720833333333347</x:v>
      </x:c>
      <x:c r="F28" s="5">
        <x:v>4.6474999999999946</x:v>
      </x:c>
      <x:c r="G28" s="5">
        <x:v>5.3233333333333315</x:v>
      </x:c>
      <x:c r="H28" s="5">
        <x:v>3.2895833333333306</x:v>
      </x:c>
      <x:c r="I28" s="5">
        <x:v>0.37708333333333499</x:v>
      </x:c>
      <x:c r="J28" s="5">
        <x:v>0.50333333333333452</x:v>
      </x:c>
      <x:c r="K28" s="5">
        <x:v>0</x:v>
      </x:c>
      <x:c r="L28" s="5">
        <x:v>1.0954166666666694</x:v>
      </x:c>
    </x:row>
    <x:row r="29" spans="1:12" x14ac:dyDescent="0.2">
      <x:c r="A29" s="1">
        <x:f t="shared" si="0"/>
        <x:v>19</x:v>
      </x:c>
      <x:c r="B29" s="4">
        <x:f>+Base45h!B29</x:f>
        <x:v>45323</x:v>
      </x:c>
      <x:c r="C29" s="5">
        <x:v>9.9866666666666664</x:v>
      </x:c>
      <x:c r="D29" s="5">
        <x:v>17.44291666666668</x:v>
      </x:c>
      <x:c r="E29" s="5">
        <x:v>19.8325</x:v>
      </x:c>
      <x:c r="F29" s="5">
        <x:v>12.465416666666671</x:v>
      </x:c>
      <x:c r="G29" s="5">
        <x:v>11.39333333333334</x:v>
      </x:c>
      <x:c r="H29" s="5">
        <x:v>8.3704166666666708</x:v>
      </x:c>
      <x:c r="I29" s="5">
        <x:v>4.54416666666667</x:v>
      </x:c>
      <x:c r="J29" s="5">
        <x:v>2.9400000000000017</x:v>
      </x:c>
      <x:c r="K29" s="5">
        <x:v>2.2750000000000008</x:v>
      </x:c>
      <x:c r="L29" s="5">
        <x:v>3.5108333333333324</x:v>
      </x:c>
    </x:row>
    <x:row r="30" spans="1:12" x14ac:dyDescent="0.2">
      <x:c r="A30" s="1">
        <x:f t="shared" si="0"/>
        <x:v>20</x:v>
      </x:c>
      <x:c r="B30" s="4">
        <x:f>+Base45h!B30</x:f>
        <x:v>45352</x:v>
      </x:c>
      <x:c r="C30" s="5">
        <x:v>47.555833333333354</x:v>
      </x:c>
      <x:c r="D30" s="5">
        <x:v>55.865833333333327</x:v>
      </x:c>
      <x:c r="E30" s="5">
        <x:v>65.229166666666686</x:v>
      </x:c>
      <x:c r="F30" s="5">
        <x:v>50.278333333333336</x:v>
      </x:c>
      <x:c r="G30" s="5">
        <x:v>41.764166666666682</x:v>
      </x:c>
      <x:c r="H30" s="5">
        <x:v>44.410000000000018</x:v>
      </x:c>
      <x:c r="I30" s="5">
        <x:v>36.046666666666674</x:v>
      </x:c>
      <x:c r="J30" s="5">
        <x:v>27.055416666666691</x:v>
      </x:c>
      <x:c r="K30" s="5">
        <x:v>32.26166666666667</x:v>
      </x:c>
      <x:c r="L30" s="5">
        <x:v>23.771250000000016</x:v>
      </x:c>
    </x:row>
    <x:row r="31" spans="1:12" x14ac:dyDescent="0.2">
      <x:c r="A31" s="1">
        <x:f t="shared" si="0"/>
        <x:v>21</x:v>
      </x:c>
      <x:c r="B31" s="4">
        <x:f>+Base45h!B31</x:f>
        <x:v>45383</x:v>
      </x:c>
      <x:c r="C31" s="5">
        <x:v>114.70291666666668</x:v>
      </x:c>
      <x:c r="D31" s="5">
        <x:v>120.0929166666667</x:v>
      </x:c>
      <x:c r="E31" s="5">
        <x:v>141.67208333333338</x:v>
      </x:c>
      <x:c r="F31" s="5">
        <x:v>122.21333333333334</x:v>
      </x:c>
      <x:c r="G31" s="5">
        <x:v>94.94625000000002</x:v>
      </x:c>
      <x:c r="H31" s="5">
        <x:v>115.37874999999997</x:v>
      </x:c>
      <x:c r="I31" s="5">
        <x:v>109.10833333333335</x:v>
      </x:c>
      <x:c r="J31" s="5">
        <x:v>81.68708333333332</x:v>
      </x:c>
      <x:c r="K31" s="5">
        <x:v>121.1816666666667</x:v>
      </x:c>
      <x:c r="L31" s="5">
        <x:v>67.544999999999973</x:v>
      </x:c>
    </x:row>
    <x:row r="32" spans="1:12" x14ac:dyDescent="0.2">
      <x:c r="A32" s="1">
        <x:f t="shared" si="0"/>
        <x:v>22</x:v>
      </x:c>
      <x:c r="B32" s="4">
        <x:f>+Base45h!B32</x:f>
        <x:v>45413</x:v>
      </x:c>
      <x:c r="C32" s="5">
        <x:v>309.10625000000005</x:v>
      </x:c>
      <x:c r="D32" s="5">
        <x:v>296.36958333333342</x:v>
      </x:c>
      <x:c r="E32" s="5">
        <x:v>327.90625000000006</x:v>
      </x:c>
      <x:c r="F32" s="5">
        <x:v>294.80916666666673</x:v>
      </x:c>
      <x:c r="G32" s="5">
        <x:v>267.3587500000001</x:v>
      </x:c>
      <x:c r="H32" s="5">
        <x:v>301.16166666666663</x:v>
      </x:c>
      <x:c r="I32" s="5">
        <x:v>273.62625000000008</x:v>
      </x:c>
      <x:c r="J32" s="5">
        <x:v>251.33125000000007</x:v>
      </x:c>
      <x:c r="K32" s="5">
        <x:v>309.40750000000003</x:v>
      </x:c>
      <x:c r="L32" s="5">
        <x:v>221.06333333333339</x:v>
      </x:c>
    </x:row>
    <x:row r="33" spans="1:12" x14ac:dyDescent="0.2">
      <x:c r="A33" s="1">
        <x:f t="shared" si="0"/>
        <x:v>23</x:v>
      </x:c>
      <x:c r="B33" s="4">
        <x:f>+Base45h!B33</x:f>
        <x:v>45444</x:v>
      </x:c>
      <x:c r="C33" s="5">
        <x:v>546.71833333333336</x:v>
      </x:c>
      <x:c r="D33" s="5">
        <x:v>482.33750000000009</x:v>
      </x:c>
      <x:c r="E33" s="5">
        <x:v>516.51791666666679</x:v>
      </x:c>
      <x:c r="F33" s="5">
        <x:v>508.32791666666674</x:v>
      </x:c>
      <x:c r="G33" s="5">
        <x:v>471.55625000000003</x:v>
      </x:c>
      <x:c r="H33" s="5">
        <x:v>529.61875000000009</x:v>
      </x:c>
      <x:c r="I33" s="5">
        <x:v>483.02041666666679</x:v>
      </x:c>
      <x:c r="J33" s="5">
        <x:v>489.8925000000001</x:v>
      </x:c>
      <x:c r="K33" s="5">
        <x:v>522.55081249999989</x:v>
      </x:c>
      <x:c r="L33" s="5">
        <x:v>467.34333333333353</x:v>
      </x:c>
    </x:row>
    <x:row r="34" spans="1:12" x14ac:dyDescent="0.2">
      <x:c r="A34" s="1">
        <x:f t="shared" si="0"/>
        <x:v>24</x:v>
      </x:c>
      <x:c r="B34" s="4">
        <x:f>+Base45h!B34</x:f>
        <x:v>45474</x:v>
      </x:c>
      <x:c r="C34" s="5">
        <x:v>662.59624999999994</x:v>
      </x:c>
      <x:c r="D34" s="5">
        <x:v>549.83166666666682</x:v>
      </x:c>
      <x:c r="E34" s="5">
        <x:v>587.3508333333333</x:v>
      </x:c>
      <x:c r="F34" s="5">
        <x:v>604.72541666666666</x:v>
      </x:c>
      <x:c r="G34" s="5">
        <x:v>561.61250000000018</x:v>
      </x:c>
      <x:c r="H34" s="5">
        <x:v>637.90291666666678</x:v>
      </x:c>
      <x:c r="I34" s="5">
        <x:v>583.71416666666687</x:v>
      </x:c>
      <x:c r="J34" s="5">
        <x:v>614.70125000000019</x:v>
      </x:c>
      <x:c r="K34" s="5">
        <x:v>571.38666666666688</x:v>
      </x:c>
      <x:c r="L34" s="5">
        <x:v>589.56583333333333</x:v>
      </x:c>
    </x:row>
    <x:row r="35" spans="1:12" x14ac:dyDescent="0.2">
      <x:c r="A35" s="1">
        <x:f t="shared" si="0"/>
        <x:v>25</x:v>
      </x:c>
      <x:c r="B35" s="4">
        <x:f>+Base45h!B35</x:f>
        <x:v>45505</x:v>
      </x:c>
      <x:c r="C35" s="5">
        <x:v>672.55041666666693</x:v>
      </x:c>
      <x:c r="D35" s="5">
        <x:v>565.95833333333337</x:v>
      </x:c>
      <x:c r="E35" s="5">
        <x:v>615.03458333333333</x:v>
      </x:c>
      <x:c r="F35" s="5">
        <x:v>621.57000000000005</x:v>
      </x:c>
      <x:c r="G35" s="5">
        <x:v>572.49625000000015</x:v>
      </x:c>
      <x:c r="H35" s="5">
        <x:v>651.29291666666677</x:v>
      </x:c>
      <x:c r="I35" s="5">
        <x:v>577.94791666666686</x:v>
      </x:c>
      <x:c r="J35" s="5">
        <x:v>601.94208333333358</x:v>
      </x:c>
      <x:c r="K35" s="5">
        <x:v>546.49166666666679</x:v>
      </x:c>
      <x:c r="L35" s="5">
        <x:v>590.96625000000006</x:v>
      </x:c>
    </x:row>
    <x:row r="36" spans="1:12" x14ac:dyDescent="0.2">
      <x:c r="A36" s="1">
        <x:f t="shared" si="0"/>
        <x:v>26</x:v>
      </x:c>
      <x:c r="B36" s="4">
        <x:f>+Base45h!B36</x:f>
        <x:v>45536</x:v>
      </x:c>
      <x:c r="C36" s="5">
        <x:v>450.57125000000013</x:v>
      </x:c>
      <x:c r="D36" s="5">
        <x:v>392.25833333333344</x:v>
      </x:c>
      <x:c r="E36" s="5">
        <x:v>427.87250000000006</x:v>
      </x:c>
      <x:c r="F36" s="5">
        <x:v>411.70708333333329</x:v>
      </x:c>
      <x:c r="G36" s="5">
        <x:v>376.48541666666671</x:v>
      </x:c>
      <x:c r="H36" s="5">
        <x:v>432.45541666666679</x:v>
      </x:c>
      <x:c r="I36" s="5">
        <x:v>351.54916666666674</x:v>
      </x:c>
      <x:c r="J36" s="5">
        <x:v>360.39208333333329</x:v>
      </x:c>
      <x:c r="K36" s="5">
        <x:v>329.58541666666679</x:v>
      </x:c>
      <x:c r="L36" s="5">
        <x:v>373.49000000000024</x:v>
      </x:c>
    </x:row>
    <x:row r="37" spans="1:12" x14ac:dyDescent="0.2">
      <x:c r="A37" s="1">
        <x:f t="shared" si="0"/>
        <x:v>27</x:v>
      </x:c>
      <x:c r="B37" s="4">
        <x:f>+Base45h!B37</x:f>
        <x:v>45566</x:v>
      </x:c>
      <x:c r="C37" s="5">
        <x:v>177.12541666666664</x:v>
      </x:c>
      <x:c r="D37" s="5">
        <x:v>162.64499999999995</x:v>
      </x:c>
      <x:c r="E37" s="5">
        <x:v>195.57958333333329</x:v>
      </x:c>
      <x:c r="F37" s="5">
        <x:v>177.01083333333335</x:v>
      </x:c>
      <x:c r="G37" s="5">
        <x:v>137.05125000000001</x:v>
      </x:c>
      <x:c r="H37" s="5">
        <x:v>178.26333333333332</x:v>
      </x:c>
      <x:c r="I37" s="5">
        <x:v>134.20875000000007</x:v>
      </x:c>
      <x:c r="J37" s="5">
        <x:v>111.76375000000004</x:v>
      </x:c>
      <x:c r="K37" s="5">
        <x:v>117.53708333333333</x:v>
      </x:c>
      <x:c r="L37" s="5">
        <x:v>126.79708333333333</x:v>
      </x:c>
    </x:row>
    <x:row r="38" spans="1:12" x14ac:dyDescent="0.2">
      <x:c r="A38" s="1">
        <x:f t="shared" si="0"/>
        <x:v>28</x:v>
      </x:c>
      <x:c r="B38" s="4">
        <x:f>+Base45h!B38</x:f>
        <x:v>45597</x:v>
      </x:c>
      <x:c r="C38" s="5">
        <x:v>30.249999999999996</x:v>
      </x:c>
      <x:c r="D38" s="5">
        <x:v>37.168333333333344</x:v>
      </x:c>
      <x:c r="E38" s="5">
        <x:v>49.515000000000022</x:v>
      </x:c>
      <x:c r="F38" s="5">
        <x:v>34.491666666666674</x:v>
      </x:c>
      <x:c r="G38" s="5">
        <x:v>26.720833333333342</x:v>
      </x:c>
      <x:c r="H38" s="5">
        <x:v>34.065000000000005</x:v>
      </x:c>
      <x:c r="I38" s="5">
        <x:v>17.361250000000002</x:v>
      </x:c>
      <x:c r="J38" s="5">
        <x:v>11.607500000000005</x:v>
      </x:c>
      <x:c r="K38" s="5">
        <x:v>7.6933333333333334</x:v>
      </x:c>
      <x:c r="L38" s="5">
        <x:v>16.706666666666667</x:v>
      </x:c>
    </x:row>
    <x:row r="39" spans="1:12" x14ac:dyDescent="0.2">
      <x:c r="A39" s="1">
        <x:f t="shared" si="0"/>
        <x:v>29</x:v>
      </x:c>
      <x:c r="B39" s="4">
        <x:f>+Base45h!B39</x:f>
        <x:v>45627</x:v>
      </x:c>
      <x:c r="C39" s="5">
        <x:v>8.4699999999999971</x:v>
      </x:c>
      <x:c r="D39" s="5">
        <x:v>19.899583333333336</x:v>
      </x:c>
      <x:c r="E39" s="5">
        <x:v>16.032083333333336</x:v>
      </x:c>
      <x:c r="F39" s="5">
        <x:v>11.094583333333331</x:v>
      </x:c>
      <x:c r="G39" s="5">
        <x:v>12.549583333333329</x:v>
      </x:c>
      <x:c r="H39" s="5">
        <x:v>10.174166666666668</x:v>
      </x:c>
      <x:c r="I39" s="5">
        <x:v>3.0358333333333309</x:v>
      </x:c>
      <x:c r="J39" s="5">
        <x:v>1.5520833333333344</x:v>
      </x:c>
      <x:c r="K39" s="5">
        <x:v>0.25166666666666515</x:v>
      </x:c>
      <x:c r="L39" s="5">
        <x:v>3.3570833333333359</x:v>
      </x:c>
    </x:row>
    <x:row r="40" spans="1:12" x14ac:dyDescent="0.2">
      <x:c r="A40" s="1">
        <x:f t="shared" si="0"/>
        <x:v>30</x:v>
      </x:c>
      <x:c r="B40" s="32" t="s">
        <x:v>15</x:v>
      </x:c>
      <x:c r="C40" s="33">
        <x:f>SUM(C28:C39)</x:f>
        <x:v>3033.3433333333337</x:v>
      </x:c>
      <x:c r="D40" s="33">
        <x:f t="shared" ref="D40:L40" si="2">SUM(D28:D39)</x:f>
        <x:v>2708.9766666666678</x:v>
      </x:c>
      <x:c r="E40" s="33">
        <x:f t="shared" si="2"/>
        <x:v>2970.5145833333336</x:v>
      </x:c>
      <x:c r="F40" s="33">
        <x:f t="shared" si="2"/>
        <x:v>2853.3412500000004</x:v>
      </x:c>
      <x:c r="G40" s="33">
        <x:f t="shared" si="2"/>
        <x:v>2579.2579166666674</x:v>
      </x:c>
      <x:c r="H40" s="33">
        <x:f t="shared" si="2"/>
        <x:v>2946.3829166666669</x:v>
      </x:c>
      <x:c r="I40" s="33">
        <x:f t="shared" si="2"/>
        <x:v>2574.5400000000009</x:v>
      </x:c>
      <x:c r="J40" s="33">
        <x:f t="shared" si="2"/>
        <x:v>2555.3683333333342</x:v>
      </x:c>
      <x:c r="K40" s="33">
        <x:f t="shared" si="2"/>
        <x:v>2560.6224791666668</x:v>
      </x:c>
      <x:c r="L40" s="33">
        <x:f t="shared" si="2"/>
        <x:v>2485.2120833333338</x:v>
      </x:c>
    </x:row>
  </x:sheetData>
  <x:mergeCells count="7">
    <x:mergeCell ref="B26:L26"/>
    <x:mergeCell ref="B1:L1"/>
    <x:mergeCell ref="B2:L2"/>
    <x:mergeCell ref="B3:L3"/>
    <x:mergeCell ref="B4:L4"/>
    <x:mergeCell ref="B6:L6"/>
    <x:mergeCell ref="B9:L9"/>
  </x:mergeCells>
  <x:pageMargins left="0.75" right="0.75" top="1" bottom="1" header="0.5" footer="0.5"/>
  <x:pageSetup scale="73" firstPageNumber="3" orientation="portrait" r:id="rId1"/>
  <x:headerFooter alignWithMargins="0">
    <x:oddHeader>&amp;RSchedule II-H-5.1
Page &amp;P of  25</x:oddHeader>
  </x:headerFooter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pageSetUpPr fitToPage="1"/>
  </x:sheetPr>
  <x:dimension ref="A1:L40"/>
  <x:sheetViews>
    <x:sheetView zoomScaleNormal="100" workbookViewId="0"/>
  </x:sheetViews>
  <x:sheetFormatPr defaultColWidth="9.109375" defaultRowHeight="11.4" x14ac:dyDescent="0.2"/>
  <x:cols>
    <x:col min="1" max="1" width="9.109375" style="1"/>
    <x:col min="2" max="2" width="10.44140625" style="2" bestFit="1" customWidth="1"/>
    <x:col min="3" max="3" width="11.44140625" style="2" customWidth="1"/>
    <x:col min="4" max="4" width="9.5546875" style="2" bestFit="1" customWidth="1"/>
    <x:col min="5" max="5" width="9.6640625" style="2" bestFit="1" customWidth="1"/>
    <x:col min="6" max="6" width="9.5546875" style="2" bestFit="1" customWidth="1"/>
    <x:col min="7" max="7" width="12.33203125" style="2" bestFit="1" customWidth="1"/>
    <x:col min="8" max="8" width="9.88671875" style="2" bestFit="1" customWidth="1"/>
    <x:col min="9" max="9" width="10.5546875" style="2" bestFit="1" customWidth="1"/>
    <x:col min="10" max="10" width="11.33203125" style="2" customWidth="1"/>
    <x:col min="11" max="11" width="10.44140625" style="2" customWidth="1"/>
    <x:col min="12" max="16384" width="9.109375" style="2"/>
  </x:cols>
  <x:sheetData>
    <x:row r="1" spans="1:12" ht="15.6" x14ac:dyDescent="0.3">
      <x:c r="B1" s="88" t="str">
        <x:f>+Base45h!B1</x:f>
        <x:v xml:space="preserve">PUC DOCKET NO. </x:v>
      </x:c>
      <x:c r="C1" s="88"/>
      <x:c r="D1" s="88"/>
      <x:c r="E1" s="88"/>
      <x:c r="F1" s="88"/>
      <x:c r="G1" s="88"/>
      <x:c r="H1" s="88"/>
      <x:c r="I1" s="88"/>
      <x:c r="J1" s="88"/>
      <x:c r="K1" s="88"/>
      <x:c r="L1" s="88"/>
    </x:row>
    <x:row r="2" spans="1:12" ht="15.6" x14ac:dyDescent="0.3">
      <x:c r="B2" s="88" t="str">
        <x:f>+Base45h!B2</x:f>
        <x:v>ONCOR ELECTRIC DELIVERY COMPANY LLC</x:v>
      </x:c>
      <x:c r="C2" s="88"/>
      <x:c r="D2" s="88"/>
      <x:c r="E2" s="88"/>
      <x:c r="F2" s="88"/>
      <x:c r="G2" s="88"/>
      <x:c r="H2" s="88"/>
      <x:c r="I2" s="88"/>
      <x:c r="J2" s="88"/>
      <x:c r="K2" s="88"/>
      <x:c r="L2" s="88"/>
    </x:row>
    <x:row r="3" spans="1:12" ht="15.6" x14ac:dyDescent="0.3">
      <x:c r="B3" s="88" t="str">
        <x:f>+Base45h!B3</x:f>
        <x:v>WEATHER STATION DATA</x:v>
      </x:c>
      <x:c r="C3" s="88"/>
      <x:c r="D3" s="88"/>
      <x:c r="E3" s="88"/>
      <x:c r="F3" s="88"/>
      <x:c r="G3" s="88"/>
      <x:c r="H3" s="88"/>
      <x:c r="I3" s="88"/>
      <x:c r="J3" s="88"/>
      <x:c r="K3" s="88"/>
      <x:c r="L3" s="88"/>
    </x:row>
    <x:row r="4" spans="1:12" ht="15.6" x14ac:dyDescent="0.3">
      <x:c r="B4" s="88" t="str">
        <x:f>+Base45h!B4</x:f>
        <x:v>FOR THE TEST YEAR ENDING DECEMBER 31, 2024</x:v>
      </x:c>
      <x:c r="C4" s="88"/>
      <x:c r="D4" s="88"/>
      <x:c r="E4" s="88"/>
      <x:c r="F4" s="88"/>
      <x:c r="G4" s="88"/>
      <x:c r="H4" s="88"/>
      <x:c r="I4" s="88"/>
      <x:c r="J4" s="88"/>
      <x:c r="K4" s="88"/>
      <x:c r="L4" s="88"/>
    </x:row>
    <x:row r="6" spans="1:12" ht="15.6" x14ac:dyDescent="0.3">
      <x:c r="B6" s="88" t="str">
        <x:f>+Base45h!B6</x:f>
        <x:v>SPONSOR: D. E. NELSON</x:v>
      </x:c>
      <x:c r="C6" s="88"/>
      <x:c r="D6" s="88"/>
      <x:c r="E6" s="88"/>
      <x:c r="F6" s="88"/>
      <x:c r="G6" s="88"/>
      <x:c r="H6" s="88"/>
      <x:c r="I6" s="88"/>
      <x:c r="J6" s="88"/>
      <x:c r="K6" s="88"/>
      <x:c r="L6" s="88"/>
    </x:row>
    <x:row r="9" spans="1:12" ht="12" x14ac:dyDescent="0.25">
      <x:c r="B9" s="89" t="s">
        <x:v>21</x:v>
      </x:c>
      <x:c r="C9" s="89"/>
      <x:c r="D9" s="89"/>
      <x:c r="E9" s="89"/>
      <x:c r="F9" s="89"/>
      <x:c r="G9" s="89"/>
      <x:c r="H9" s="89"/>
      <x:c r="I9" s="89"/>
      <x:c r="J9" s="89"/>
      <x:c r="K9" s="89"/>
      <x:c r="L9" s="89"/>
    </x:row>
    <x:row r="10" spans="1:12" ht="34.799999999999997" thickBot="1" x14ac:dyDescent="0.25">
      <x:c r="A10" s="3" t="s">
        <x:v>4</x:v>
      </x:c>
      <x:c r="C10" s="3" t="s">
        <x:v>55</x:v>
      </x:c>
      <x:c r="D10" s="3" t="s">
        <x:v>6</x:v>
      </x:c>
      <x:c r="E10" s="3" t="s">
        <x:v>7</x:v>
      </x:c>
      <x:c r="F10" s="3" t="s">
        <x:v>8</x:v>
      </x:c>
      <x:c r="G10" s="3" t="s">
        <x:v>9</x:v>
      </x:c>
      <x:c r="H10" s="3" t="s">
        <x:v>10</x:v>
      </x:c>
      <x:c r="I10" s="3" t="s">
        <x:v>11</x:v>
      </x:c>
      <x:c r="J10" s="3" t="s">
        <x:v>12</x:v>
      </x:c>
      <x:c r="K10" s="3" t="s">
        <x:v>13</x:v>
      </x:c>
      <x:c r="L10" s="3" t="s">
        <x:v>14</x:v>
      </x:c>
    </x:row>
    <x:row r="11" spans="1:12" x14ac:dyDescent="0.2">
      <x:c r="A11" s="1">
        <x:v>1</x:v>
      </x:c>
      <x:c r="B11" s="4">
        <x:f>+Base45h!B11</x:f>
        <x:v>45292</x:v>
      </x:c>
      <x:c r="C11" s="5">
        <x:v>0</x:v>
      </x:c>
      <x:c r="D11" s="5">
        <x:v>0</x:v>
      </x:c>
      <x:c r="E11" s="5">
        <x:v>0</x:v>
      </x:c>
      <x:c r="F11" s="5">
        <x:v>0</x:v>
      </x:c>
      <x:c r="G11" s="5">
        <x:v>0</x:v>
      </x:c>
      <x:c r="H11" s="5">
        <x:v>0</x:v>
      </x:c>
      <x:c r="I11" s="5">
        <x:v>0</x:v>
      </x:c>
      <x:c r="J11" s="5">
        <x:v>0</x:v>
      </x:c>
      <x:c r="K11" s="5">
        <x:v>0</x:v>
      </x:c>
      <x:c r="L11" s="5">
        <x:v>0</x:v>
      </x:c>
    </x:row>
    <x:row r="12" spans="1:12" x14ac:dyDescent="0.2">
      <x:c r="A12" s="1">
        <x:f>+A11+1</x:f>
        <x:v>2</x:v>
      </x:c>
      <x:c r="B12" s="4">
        <x:f>+Base45h!B12</x:f>
        <x:v>45323</x:v>
      </x:c>
      <x:c r="C12" s="5">
        <x:v>6.9000000000000057</x:v>
      </x:c>
      <x:c r="D12" s="5">
        <x:v>8.1000000000000085</x:v>
      </x:c>
      <x:c r="E12" s="5">
        <x:v>3.5</x:v>
      </x:c>
      <x:c r="F12" s="5">
        <x:v>5</x:v>
      </x:c>
      <x:c r="G12" s="5">
        <x:v>8.7999999999999972</x:v>
      </x:c>
      <x:c r="H12" s="5">
        <x:v>1</x:v>
      </x:c>
      <x:c r="I12" s="5">
        <x:v>12.100000000000009</x:v>
      </x:c>
      <x:c r="J12" s="5">
        <x:v>3.2000000000000171</x:v>
      </x:c>
      <x:c r="K12" s="5">
        <x:v>0.20000000000000284</x:v>
      </x:c>
      <x:c r="L12" s="5">
        <x:v>2.7000000000000171</x:v>
      </x:c>
    </x:row>
    <x:row r="13" spans="1:12" x14ac:dyDescent="0.2">
      <x:c r="A13" s="1">
        <x:f t="shared" ref="A13:A40" si="0">+A12+1</x:f>
        <x:v>3</x:v>
      </x:c>
      <x:c r="B13" s="4">
        <x:f>+Base45h!B13</x:f>
        <x:v>45352</x:v>
      </x:c>
      <x:c r="C13" s="5">
        <x:v>11.100000000000009</x:v>
      </x:c>
      <x:c r="D13" s="5">
        <x:v>13.900000000000006</x:v>
      </x:c>
      <x:c r="E13" s="5">
        <x:v>11.90000000000002</x:v>
      </x:c>
      <x:c r="F13" s="5">
        <x:v>11.40000000000002</x:v>
      </x:c>
      <x:c r="G13" s="5">
        <x:v>10.400000000000006</x:v>
      </x:c>
      <x:c r="H13" s="5">
        <x:v>6.9000000000000199</x:v>
      </x:c>
      <x:c r="I13" s="5">
        <x:v>1.9000000000000057</x:v>
      </x:c>
      <x:c r="J13" s="5">
        <x:v>1.9000000000000057</x:v>
      </x:c>
      <x:c r="K13" s="5">
        <x:v>0.5</x:v>
      </x:c>
      <x:c r="L13" s="5">
        <x:v>5.4000000000000057</x:v>
      </x:c>
    </x:row>
    <x:row r="14" spans="1:12" x14ac:dyDescent="0.2">
      <x:c r="A14" s="1">
        <x:f t="shared" si="0"/>
        <x:v>4</x:v>
      </x:c>
      <x:c r="B14" s="4">
        <x:f>+Base45h!B14</x:f>
        <x:v>45383</x:v>
      </x:c>
      <x:c r="C14" s="5">
        <x:v>58.000000000000028</x:v>
      </x:c>
      <x:c r="D14" s="5">
        <x:v>58.900000000000048</x:v>
      </x:c>
      <x:c r="E14" s="5">
        <x:v>82.500000000000028</x:v>
      </x:c>
      <x:c r="F14" s="5">
        <x:v>60.200000000000031</x:v>
      </x:c>
      <x:c r="G14" s="5">
        <x:v>53.900000000000048</x:v>
      </x:c>
      <x:c r="H14" s="5">
        <x:v>46.900000000000034</x:v>
      </x:c>
      <x:c r="I14" s="5">
        <x:v>65.900000000000048</x:v>
      </x:c>
      <x:c r="J14" s="5">
        <x:v>26.500000000000028</x:v>
      </x:c>
      <x:c r="K14" s="5">
        <x:v>53.300000000000026</x:v>
      </x:c>
      <x:c r="L14" s="5">
        <x:v>33.300000000000011</x:v>
      </x:c>
    </x:row>
    <x:row r="15" spans="1:12" x14ac:dyDescent="0.2">
      <x:c r="A15" s="1">
        <x:f t="shared" si="0"/>
        <x:v>5</x:v>
      </x:c>
      <x:c r="B15" s="4">
        <x:f>+Base45h!B15</x:f>
        <x:v>45413</x:v>
      </x:c>
      <x:c r="C15" s="5">
        <x:v>217.50000000000006</x:v>
      </x:c>
      <x:c r="D15" s="5">
        <x:v>194.40000000000003</x:v>
      </x:c>
      <x:c r="E15" s="5">
        <x:v>272.10000000000008</x:v>
      </x:c>
      <x:c r="F15" s="5">
        <x:v>204.40000000000009</x:v>
      </x:c>
      <x:c r="G15" s="5">
        <x:v>193.60000000000014</x:v>
      </x:c>
      <x:c r="H15" s="5">
        <x:v>189.80000000000013</x:v>
      </x:c>
      <x:c r="I15" s="5">
        <x:v>193.60000000000008</x:v>
      </x:c>
      <x:c r="J15" s="5">
        <x:v>142.40000000000006</x:v>
      </x:c>
      <x:c r="K15" s="5">
        <x:v>227.00000000000011</x:v>
      </x:c>
      <x:c r="L15" s="5">
        <x:v>154.10000000000008</x:v>
      </x:c>
    </x:row>
    <x:row r="16" spans="1:12" x14ac:dyDescent="0.2">
      <x:c r="A16" s="1">
        <x:f t="shared" si="0"/>
        <x:v>6</x:v>
      </x:c>
      <x:c r="B16" s="4">
        <x:f>+Base45h!B16</x:f>
        <x:v>45444</x:v>
      </x:c>
      <x:c r="C16" s="5">
        <x:v>422.30000000000007</x:v>
      </x:c>
      <x:c r="D16" s="5">
        <x:v>353.00000000000006</x:v>
      </x:c>
      <x:c r="E16" s="5">
        <x:v>412.2000000000001</x:v>
      </x:c>
      <x:c r="F16" s="5">
        <x:v>397.30000000000013</x:v>
      </x:c>
      <x:c r="G16" s="5">
        <x:v>343.90000000000003</x:v>
      </x:c>
      <x:c r="H16" s="5">
        <x:v>397.80000000000007</x:v>
      </x:c>
      <x:c r="I16" s="5">
        <x:v>411.4000000000002</x:v>
      </x:c>
      <x:c r="J16" s="5">
        <x:v>350.9</x:v>
      </x:c>
      <x:c r="K16" s="5">
        <x:v>424.60000000000008</x:v>
      </x:c>
      <x:c r="L16" s="5">
        <x:v>392.10000000000008</x:v>
      </x:c>
    </x:row>
    <x:row r="17" spans="1:12" x14ac:dyDescent="0.2">
      <x:c r="A17" s="1">
        <x:f t="shared" si="0"/>
        <x:v>7</x:v>
      </x:c>
      <x:c r="B17" s="4">
        <x:f>+Base45h!B17</x:f>
        <x:v>45474</x:v>
      </x:c>
      <x:c r="C17" s="5">
        <x:v>458.30000000000018</x:v>
      </x:c>
      <x:c r="D17" s="5">
        <x:v>329.00000000000017</x:v>
      </x:c>
      <x:c r="E17" s="5">
        <x:v>384.10000000000019</x:v>
      </x:c>
      <x:c r="F17" s="5">
        <x:v>394.4000000000002</x:v>
      </x:c>
      <x:c r="G17" s="5">
        <x:v>338.80000000000007</x:v>
      </x:c>
      <x:c r="H17" s="5">
        <x:v>411.20000000000022</x:v>
      </x:c>
      <x:c r="I17" s="5">
        <x:v>451.50000000000023</x:v>
      </x:c>
      <x:c r="J17" s="5">
        <x:v>426.7000000000001</x:v>
      </x:c>
      <x:c r="K17" s="5">
        <x:v>377.50000000000023</x:v>
      </x:c>
      <x:c r="L17" s="5">
        <x:v>409.50000000000017</x:v>
      </x:c>
    </x:row>
    <x:row r="18" spans="1:12" x14ac:dyDescent="0.2">
      <x:c r="A18" s="1">
        <x:f t="shared" si="0"/>
        <x:v>8</x:v>
      </x:c>
      <x:c r="B18" s="4">
        <x:f>+Base45h!B18</x:f>
        <x:v>45505</x:v>
      </x:c>
      <x:c r="C18" s="5">
        <x:v>575.30000000000007</x:v>
      </x:c>
      <x:c r="D18" s="5">
        <x:v>435.80000000000018</x:v>
      </x:c>
      <x:c r="E18" s="5">
        <x:v>475.50000000000023</x:v>
      </x:c>
      <x:c r="F18" s="5">
        <x:v>514.10000000000014</x:v>
      </x:c>
      <x:c r="G18" s="5">
        <x:v>427.20000000000005</x:v>
      </x:c>
      <x:c r="H18" s="5">
        <x:v>517.4</x:v>
      </x:c>
      <x:c r="I18" s="5">
        <x:v>585.79999999999995</x:v>
      </x:c>
      <x:c r="J18" s="5">
        <x:v>571.1</x:v>
      </x:c>
      <x:c r="K18" s="5">
        <x:v>505.9000000000002</x:v>
      </x:c>
      <x:c r="L18" s="5">
        <x:v>495.1</x:v>
      </x:c>
    </x:row>
    <x:row r="19" spans="1:12" x14ac:dyDescent="0.2">
      <x:c r="A19" s="1">
        <x:f t="shared" si="0"/>
        <x:v>9</x:v>
      </x:c>
      <x:c r="B19" s="4">
        <x:f>+Base45h!B19</x:f>
        <x:v>45536</x:v>
      </x:c>
      <x:c r="C19" s="5">
        <x:v>277.00000000000006</x:v>
      </x:c>
      <x:c r="D19" s="5">
        <x:v>216.80000000000007</x:v>
      </x:c>
      <x:c r="E19" s="5">
        <x:v>331.90000000000009</x:v>
      </x:c>
      <x:c r="F19" s="5">
        <x:v>276.40000000000009</x:v>
      </x:c>
      <x:c r="G19" s="5">
        <x:v>194.10000000000011</x:v>
      </x:c>
      <x:c r="H19" s="5">
        <x:v>251.20000000000005</x:v>
      </x:c>
      <x:c r="I19" s="5">
        <x:v>200.30000000000007</x:v>
      </x:c>
      <x:c r="J19" s="5">
        <x:v>237.7000000000001</x:v>
      </x:c>
      <x:c r="K19" s="5">
        <x:v>152.10000000000008</x:v>
      </x:c>
      <x:c r="L19" s="5">
        <x:v>207.90000000000009</x:v>
      </x:c>
    </x:row>
    <x:row r="20" spans="1:12" x14ac:dyDescent="0.2">
      <x:c r="A20" s="1">
        <x:f t="shared" si="0"/>
        <x:v>10</x:v>
      </x:c>
      <x:c r="B20" s="4">
        <x:f>+Base45h!B20</x:f>
        <x:v>45566</x:v>
      </x:c>
      <x:c r="C20" s="5">
        <x:v>199.70000000000005</x:v>
      </x:c>
      <x:c r="D20" s="5">
        <x:v>107.60000000000007</x:v>
      </x:c>
      <x:c r="E20" s="5">
        <x:v>179.80000000000007</x:v>
      </x:c>
      <x:c r="F20" s="5">
        <x:v>187.30000000000007</x:v>
      </x:c>
      <x:c r="G20" s="5">
        <x:v>87.700000000000031</x:v>
      </x:c>
      <x:c r="H20" s="5">
        <x:v>166.80000000000007</x:v>
      </x:c>
      <x:c r="I20" s="5">
        <x:v>138.40000000000003</x:v>
      </x:c>
      <x:c r="J20" s="5">
        <x:v>142.50000000000009</x:v>
      </x:c>
      <x:c r="K20" s="5">
        <x:v>93.800000000000011</x:v>
      </x:c>
      <x:c r="L20" s="5">
        <x:v>142.00000000000011</x:v>
      </x:c>
    </x:row>
    <x:row r="21" spans="1:12" x14ac:dyDescent="0.2">
      <x:c r="A21" s="1">
        <x:f t="shared" si="0"/>
        <x:v>11</x:v>
      </x:c>
      <x:c r="B21" s="4">
        <x:f>+Base45h!B21</x:f>
        <x:v>45597</x:v>
      </x:c>
      <x:c r="C21" s="5">
        <x:v>10.800000000000011</x:v>
      </x:c>
      <x:c r="D21" s="5">
        <x:v>23.700000000000017</x:v>
      </x:c>
      <x:c r="E21" s="5">
        <x:v>40.900000000000006</x:v>
      </x:c>
      <x:c r="F21" s="5">
        <x:v>17.399999999999991</x:v>
      </x:c>
      <x:c r="G21" s="5">
        <x:v>13.300000000000011</x:v>
      </x:c>
      <x:c r="H21" s="5">
        <x:v>17.400000000000006</x:v>
      </x:c>
      <x:c r="I21" s="5">
        <x:v>2.5000000000000142</x:v>
      </x:c>
      <x:c r="J21" s="5">
        <x:v>0</x:v>
      </x:c>
      <x:c r="K21" s="5">
        <x:v>2.4000000000000057</x:v>
      </x:c>
      <x:c r="L21" s="5">
        <x:v>1.4000000000000057</x:v>
      </x:c>
    </x:row>
    <x:row r="22" spans="1:12" x14ac:dyDescent="0.2">
      <x:c r="A22" s="1">
        <x:f t="shared" si="0"/>
        <x:v>12</x:v>
      </x:c>
      <x:c r="B22" s="4">
        <x:f>+Base45h!B22</x:f>
        <x:v>45627</x:v>
      </x:c>
      <x:c r="C22" s="5">
        <x:v>0</x:v>
      </x:c>
      <x:c r="D22" s="5">
        <x:v>1.0000000000000142</x:v>
      </x:c>
      <x:c r="E22" s="5">
        <x:v>3.0000000000000142</x:v>
      </x:c>
      <x:c r="F22" s="5">
        <x:v>0.20000000000000284</x:v>
      </x:c>
      <x:c r="G22" s="5">
        <x:v>0</x:v>
      </x:c>
      <x:c r="H22" s="5">
        <x:v>0</x:v>
      </x:c>
      <x:c r="I22" s="5">
        <x:v>0</x:v>
      </x:c>
      <x:c r="J22" s="5">
        <x:v>0</x:v>
      </x:c>
      <x:c r="K22" s="5">
        <x:v>0</x:v>
      </x:c>
      <x:c r="L22" s="5">
        <x:v>0</x:v>
      </x:c>
    </x:row>
    <x:row r="23" spans="1:12" x14ac:dyDescent="0.2">
      <x:c r="A23" s="1">
        <x:f t="shared" si="0"/>
        <x:v>13</x:v>
      </x:c>
      <x:c r="B23" s="32" t="s">
        <x:v>15</x:v>
      </x:c>
      <x:c r="C23" s="33">
        <x:f>SUM(C11:C22)</x:f>
        <x:v>2236.9000000000005</x:v>
      </x:c>
      <x:c r="D23" s="33">
        <x:f t="shared" ref="D23:L23" si="1">SUM(D11:D22)</x:f>
        <x:v>1742.2000000000007</x:v>
      </x:c>
      <x:c r="E23" s="33">
        <x:f t="shared" si="1"/>
        <x:v>2197.400000000001</x:v>
      </x:c>
      <x:c r="F23" s="33">
        <x:f t="shared" si="1"/>
        <x:v>2068.1000000000004</x:v>
      </x:c>
      <x:c r="G23" s="33">
        <x:f t="shared" si="1"/>
        <x:v>1671.7000000000005</x:v>
      </x:c>
      <x:c r="H23" s="33">
        <x:f t="shared" si="1"/>
        <x:v>2006.4000000000005</x:v>
      </x:c>
      <x:c r="I23" s="33">
        <x:f t="shared" si="1"/>
        <x:v>2063.4000000000005</x:v>
      </x:c>
      <x:c r="J23" s="33">
        <x:f t="shared" si="1"/>
        <x:v>1902.9000000000003</x:v>
      </x:c>
      <x:c r="K23" s="33">
        <x:f t="shared" si="1"/>
        <x:v>1837.3000000000006</x:v>
      </x:c>
      <x:c r="L23" s="33">
        <x:f t="shared" si="1"/>
        <x:v>1843.5000000000005</x:v>
      </x:c>
    </x:row>
    <x:row r="24" spans="1:12" x14ac:dyDescent="0.2">
      <x:c r="A24" s="1">
        <x:f t="shared" si="0"/>
        <x:v>14</x:v>
      </x:c>
    </x:row>
    <x:row r="25" spans="1:12" x14ac:dyDescent="0.2">
      <x:c r="A25" s="1">
        <x:f t="shared" si="0"/>
        <x:v>15</x:v>
      </x:c>
    </x:row>
    <x:row r="26" spans="1:12" ht="12" x14ac:dyDescent="0.25">
      <x:c r="A26" s="1">
        <x:f t="shared" si="0"/>
        <x:v>16</x:v>
      </x:c>
      <x:c r="B26" s="89" t="s">
        <x:v>57</x:v>
      </x:c>
      <x:c r="C26" s="89"/>
      <x:c r="D26" s="89"/>
      <x:c r="E26" s="89"/>
      <x:c r="F26" s="89"/>
      <x:c r="G26" s="89"/>
      <x:c r="H26" s="89"/>
      <x:c r="I26" s="89"/>
      <x:c r="J26" s="89"/>
      <x:c r="K26" s="89"/>
      <x:c r="L26" s="89"/>
    </x:row>
    <x:row r="27" spans="1:12" ht="34.799999999999997" thickBot="1" x14ac:dyDescent="0.25">
      <x:c r="A27" s="1">
        <x:f t="shared" si="0"/>
        <x:v>17</x:v>
      </x:c>
      <x:c r="C27" s="3" t="s">
        <x:v>55</x:v>
      </x:c>
      <x:c r="D27" s="3" t="s">
        <x:v>6</x:v>
      </x:c>
      <x:c r="E27" s="72" t="s">
        <x:v>7</x:v>
      </x:c>
      <x:c r="F27" s="72" t="s">
        <x:v>8</x:v>
      </x:c>
      <x:c r="G27" s="72" t="s">
        <x:v>9</x:v>
      </x:c>
      <x:c r="H27" s="72" t="s">
        <x:v>10</x:v>
      </x:c>
      <x:c r="I27" s="72" t="s">
        <x:v>11</x:v>
      </x:c>
      <x:c r="J27" s="72" t="s">
        <x:v>12</x:v>
      </x:c>
      <x:c r="K27" s="72" t="s">
        <x:v>13</x:v>
      </x:c>
      <x:c r="L27" s="72" t="s">
        <x:v>14</x:v>
      </x:c>
    </x:row>
    <x:row r="28" spans="1:12" x14ac:dyDescent="0.2">
      <x:c r="A28" s="1">
        <x:f t="shared" si="0"/>
        <x:v>18</x:v>
      </x:c>
      <x:c r="B28" s="4">
        <x:f>+Base45h!B28</x:f>
        <x:v>45292</x:v>
      </x:c>
      <x:c r="C28" s="5">
        <x:v>0.31500000000000061</x:v>
      </x:c>
      <x:c r="D28" s="5">
        <x:v>1.3187500000000012</x:v>
      </x:c>
      <x:c r="E28" s="5">
        <x:v>1.0912500000000052</x:v>
      </x:c>
      <x:c r="F28" s="5">
        <x:v>0.31874999999999998</x:v>
      </x:c>
      <x:c r="G28" s="5">
        <x:v>0.19500000000000028</x:v>
      </x:c>
      <x:c r="H28" s="5">
        <x:v>8.5000000000000131E-2</x:v>
      </x:c>
      <x:c r="I28" s="5">
        <x:v>0</x:v>
      </x:c>
      <x:c r="J28" s="5">
        <x:v>0</x:v>
      </x:c>
      <x:c r="K28" s="5">
        <x:v>0</x:v>
      </x:c>
      <x:c r="L28" s="5">
        <x:v>0</x:v>
      </x:c>
    </x:row>
    <x:row r="29" spans="1:12" x14ac:dyDescent="0.2">
      <x:c r="A29" s="1">
        <x:f t="shared" si="0"/>
        <x:v>19</x:v>
      </x:c>
      <x:c r="B29" s="4">
        <x:f>+Base45h!B29</x:f>
        <x:v>45323</x:v>
      </x:c>
      <x:c r="C29" s="5">
        <x:v>1.749166666666665</x:v>
      </x:c>
      <x:c r="D29" s="5">
        <x:v>2.800000000000002</x:v>
      </x:c>
      <x:c r="E29" s="5">
        <x:v>3.2412500000000022</x:v>
      </x:c>
      <x:c r="F29" s="5">
        <x:v>0.97000000000000164</x:v>
      </x:c>
      <x:c r="G29" s="5">
        <x:v>1.5675000000000003</x:v>
      </x:c>
      <x:c r="H29" s="5">
        <x:v>0.57499999999999996</x:v>
      </x:c>
      <x:c r="I29" s="5">
        <x:v>0.3899999999999999</x:v>
      </x:c>
      <x:c r="J29" s="5">
        <x:v>0.2</x:v>
      </x:c>
      <x:c r="K29" s="5">
        <x:v>1.0000000000000142E-2</x:v>
      </x:c>
      <x:c r="L29" s="5">
        <x:v>0.21500000000000058</x:v>
      </x:c>
    </x:row>
    <x:row r="30" spans="1:12" x14ac:dyDescent="0.2">
      <x:c r="A30" s="1">
        <x:f t="shared" si="0"/>
        <x:v>20</x:v>
      </x:c>
      <x:c r="B30" s="4">
        <x:f>+Base45h!B30</x:f>
        <x:v>45352</x:v>
      </x:c>
      <x:c r="C30" s="5">
        <x:v>11.882916666666679</x:v>
      </x:c>
      <x:c r="D30" s="5">
        <x:v>13.007500000000002</x:v>
      </x:c>
      <x:c r="E30" s="5">
        <x:v>16.854166666666664</x:v>
      </x:c>
      <x:c r="F30" s="5">
        <x:v>9.4279166666666754</x:v>
      </x:c>
      <x:c r="G30" s="5">
        <x:v>8.5337500000000031</x:v>
      </x:c>
      <x:c r="H30" s="5">
        <x:v>8.5833333333333428</x:v>
      </x:c>
      <x:c r="I30" s="5">
        <x:v>7.3695833333333383</x:v>
      </x:c>
      <x:c r="J30" s="5">
        <x:v>5.6154166666666718</x:v>
      </x:c>
      <x:c r="K30" s="5">
        <x:v>6.3504166666666721</x:v>
      </x:c>
      <x:c r="L30" s="5">
        <x:v>3.7141666666666717</x:v>
      </x:c>
    </x:row>
    <x:row r="31" spans="1:12" x14ac:dyDescent="0.2">
      <x:c r="A31" s="1">
        <x:f t="shared" si="0"/>
        <x:v>21</x:v>
      </x:c>
      <x:c r="B31" s="4">
        <x:f>+Base45h!B31</x:f>
        <x:v>45383</x:v>
      </x:c>
      <x:c r="C31" s="5">
        <x:v>41.924166666666679</x:v>
      </x:c>
      <x:c r="D31" s="5">
        <x:v>43.18875000000002</x:v>
      </x:c>
      <x:c r="E31" s="5">
        <x:v>57.089583333333366</x:v>
      </x:c>
      <x:c r="F31" s="5">
        <x:v>45.02416666666668</x:v>
      </x:c>
      <x:c r="G31" s="5">
        <x:v>30.657500000000017</x:v>
      </x:c>
      <x:c r="H31" s="5">
        <x:v>42.055833333333347</x:v>
      </x:c>
      <x:c r="I31" s="5">
        <x:v>44.497500000000009</x:v>
      </x:c>
      <x:c r="J31" s="5">
        <x:v>29.981666666666662</x:v>
      </x:c>
      <x:c r="K31" s="5">
        <x:v>48.728750000000026</x:v>
      </x:c>
      <x:c r="L31" s="5">
        <x:v>19.164166666666649</x:v>
      </x:c>
    </x:row>
    <x:row r="32" spans="1:12" x14ac:dyDescent="0.2">
      <x:c r="A32" s="1">
        <x:f t="shared" si="0"/>
        <x:v>22</x:v>
      </x:c>
      <x:c r="B32" s="4">
        <x:f>+Base45h!B32</x:f>
        <x:v>45413</x:v>
      </x:c>
      <x:c r="C32" s="5">
        <x:v>173.93541666666675</x:v>
      </x:c>
      <x:c r="D32" s="5">
        <x:v>159.24916666666664</x:v>
      </x:c>
      <x:c r="E32" s="5">
        <x:v>186.45166666666665</x:v>
      </x:c>
      <x:c r="F32" s="5">
        <x:v>159.44541666666672</x:v>
      </x:c>
      <x:c r="G32" s="5">
        <x:v>138.32708333333338</x:v>
      </x:c>
      <x:c r="H32" s="5">
        <x:v>167.12333333333339</x:v>
      </x:c>
      <x:c r="I32" s="5">
        <x:v>153.24708333333336</x:v>
      </x:c>
      <x:c r="J32" s="5">
        <x:v>134.44416666666669</x:v>
      </x:c>
      <x:c r="K32" s="5">
        <x:v>184.95875000000004</x:v>
      </x:c>
      <x:c r="L32" s="5">
        <x:v>107.90708333333338</x:v>
      </x:c>
    </x:row>
    <x:row r="33" spans="1:12" x14ac:dyDescent="0.2">
      <x:c r="A33" s="1">
        <x:f t="shared" si="0"/>
        <x:v>23</x:v>
      </x:c>
      <x:c r="B33" s="4">
        <x:f>+Base45h!B33</x:f>
        <x:v>45444</x:v>
      </x:c>
      <x:c r="C33" s="5">
        <x:v>396.80333333333346</x:v>
      </x:c>
      <x:c r="D33" s="5">
        <x:v>332.33750000000003</x:v>
      </x:c>
      <x:c r="E33" s="5">
        <x:v>366.71791666666672</x:v>
      </x:c>
      <x:c r="F33" s="5">
        <x:v>358.46291666666673</x:v>
      </x:c>
      <x:c r="G33" s="5">
        <x:v>321.55625000000003</x:v>
      </x:c>
      <x:c r="H33" s="5">
        <x:v>379.61875000000009</x:v>
      </x:c>
      <x:c r="I33" s="5">
        <x:v>333.78416666666669</x:v>
      </x:c>
      <x:c r="J33" s="5">
        <x:v>340.48250000000013</x:v>
      </x:c>
      <x:c r="K33" s="5">
        <x:v>373.35581249999996</x:v>
      </x:c>
      <x:c r="L33" s="5">
        <x:v>318.19833333333349</x:v>
      </x:c>
    </x:row>
    <x:row r="34" spans="1:12" x14ac:dyDescent="0.2">
      <x:c r="A34" s="1">
        <x:f t="shared" si="0"/>
        <x:v>24</x:v>
      </x:c>
      <x:c r="B34" s="4">
        <x:f>+Base45h!B34</x:f>
        <x:v>45474</x:v>
      </x:c>
      <x:c r="C34" s="5">
        <x:v>507.59625000000005</x:v>
      </x:c>
      <x:c r="D34" s="5">
        <x:v>394.83166666666665</x:v>
      </x:c>
      <x:c r="E34" s="5">
        <x:v>432.3508333333333</x:v>
      </x:c>
      <x:c r="F34" s="5">
        <x:v>449.75041666666675</x:v>
      </x:c>
      <x:c r="G34" s="5">
        <x:v>406.71750000000009</x:v>
      </x:c>
      <x:c r="H34" s="5">
        <x:v>482.90291666666667</x:v>
      </x:c>
      <x:c r="I34" s="5">
        <x:v>429.15541666666678</x:v>
      </x:c>
      <x:c r="J34" s="5">
        <x:v>460.22125000000005</x:v>
      </x:c>
      <x:c r="K34" s="5">
        <x:v>417.64625000000007</x:v>
      </x:c>
      <x:c r="L34" s="5">
        <x:v>434.98708333333337</x:v>
      </x:c>
    </x:row>
    <x:row r="35" spans="1:12" x14ac:dyDescent="0.2">
      <x:c r="A35" s="1">
        <x:f t="shared" si="0"/>
        <x:v>25</x:v>
      </x:c>
      <x:c r="B35" s="4">
        <x:f>+Base45h!B35</x:f>
        <x:v>45505</x:v>
      </x:c>
      <x:c r="C35" s="5">
        <x:v>517.55041666666671</x:v>
      </x:c>
      <x:c r="D35" s="5">
        <x:v>411.0083333333335</x:v>
      </x:c>
      <x:c r="E35" s="5">
        <x:v>460.03458333333333</x:v>
      </x:c>
      <x:c r="F35" s="5">
        <x:v>466.56999999999994</x:v>
      </x:c>
      <x:c r="G35" s="5">
        <x:v>417.49625000000009</x:v>
      </x:c>
      <x:c r="H35" s="5">
        <x:v>496.29291666666683</x:v>
      </x:c>
      <x:c r="I35" s="5">
        <x:v>423.12375000000003</x:v>
      </x:c>
      <x:c r="J35" s="5">
        <x:v>446.96916666666681</x:v>
      </x:c>
      <x:c r="K35" s="5">
        <x:v>391.66458333333344</x:v>
      </x:c>
      <x:c r="L35" s="5">
        <x:v>435.96625000000012</x:v>
      </x:c>
    </x:row>
    <x:row r="36" spans="1:12" x14ac:dyDescent="0.2">
      <x:c r="A36" s="1">
        <x:f t="shared" si="0"/>
        <x:v>26</x:v>
      </x:c>
      <x:c r="B36" s="4">
        <x:f>+Base45h!B36</x:f>
        <x:v>45536</x:v>
      </x:c>
      <x:c r="C36" s="5">
        <x:v>304.2429166666667</x:v>
      </x:c>
      <x:c r="D36" s="5">
        <x:v>245.51166666666666</x:v>
      </x:c>
      <x:c r="E36" s="5">
        <x:v>280.70249999999999</x:v>
      </x:c>
      <x:c r="F36" s="5">
        <x:v>265.97375</x:v>
      </x:c>
      <x:c r="G36" s="5">
        <x:v>233.00791666666672</x:v>
      </x:c>
      <x:c r="H36" s="5">
        <x:v>286.46250000000003</x:v>
      </x:c>
      <x:c r="I36" s="5">
        <x:v>216.61249999999998</x:v>
      </x:c>
      <x:c r="J36" s="5">
        <x:v>222.82750000000004</x:v>
      </x:c>
      <x:c r="K36" s="5">
        <x:v>195.38125000000005</x:v>
      </x:c>
      <x:c r="L36" s="5">
        <x:v>234.97749999999999</x:v>
      </x:c>
    </x:row>
    <x:row r="37" spans="1:12" x14ac:dyDescent="0.2">
      <x:c r="A37" s="1">
        <x:f t="shared" si="0"/>
        <x:v>27</x:v>
      </x:c>
      <x:c r="B37" s="4">
        <x:f>+Base45h!B37</x:f>
        <x:v>45566</x:v>
      </x:c>
      <x:c r="C37" s="5">
        <x:v>86.375000000000014</x:v>
      </x:c>
      <x:c r="D37" s="5">
        <x:v>73.815000000000026</x:v>
      </x:c>
      <x:c r="E37" s="5">
        <x:v>95.365833333333342</x:v>
      </x:c>
      <x:c r="F37" s="5">
        <x:v>80.956250000000011</x:v>
      </x:c>
      <x:c r="G37" s="5">
        <x:v>59.44625000000002</x:v>
      </x:c>
      <x:c r="H37" s="5">
        <x:v>85.214583333333394</x:v>
      </x:c>
      <x:c r="I37" s="5">
        <x:v>55.192083333333365</x:v>
      </x:c>
      <x:c r="J37" s="5">
        <x:v>46.088333333333352</x:v>
      </x:c>
      <x:c r="K37" s="5">
        <x:v>46.264166666666668</x:v>
      </x:c>
      <x:c r="L37" s="5">
        <x:v>54.293333333333351</x:v>
      </x:c>
    </x:row>
    <x:row r="38" spans="1:12" x14ac:dyDescent="0.2">
      <x:c r="A38" s="1">
        <x:f t="shared" si="0"/>
        <x:v>28</x:v>
      </x:c>
      <x:c r="B38" s="4">
        <x:f>+Base45h!B38</x:f>
        <x:v>45597</x:v>
      </x:c>
      <x:c r="C38" s="5">
        <x:v>8.49583333333333</x:v>
      </x:c>
      <x:c r="D38" s="5">
        <x:v>9.4424999999999955</x:v>
      </x:c>
      <x:c r="E38" s="5">
        <x:v>15.199166666666677</x:v>
      </x:c>
      <x:c r="F38" s="5">
        <x:v>8.5512500000000049</x:v>
      </x:c>
      <x:c r="G38" s="5">
        <x:v>6.5008333333333352</x:v>
      </x:c>
      <x:c r="H38" s="5">
        <x:v>8.2587500000000098</x:v>
      </x:c>
      <x:c r="I38" s="5">
        <x:v>3.1195833333333356</x:v>
      </x:c>
      <x:c r="J38" s="5">
        <x:v>2.1545833333333371</x:v>
      </x:c>
      <x:c r="K38" s="5">
        <x:v>1.0350000000000001</x:v>
      </x:c>
      <x:c r="L38" s="5">
        <x:v>3.1825000000000014</x:v>
      </x:c>
    </x:row>
    <x:row r="39" spans="1:12" x14ac:dyDescent="0.2">
      <x:c r="A39" s="1">
        <x:f t="shared" si="0"/>
        <x:v>29</x:v>
      </x:c>
      <x:c r="B39" s="4">
        <x:f>+Base45h!B39</x:f>
        <x:v>45627</x:v>
      </x:c>
      <x:c r="C39" s="5">
        <x:v>1.4683333333333366</x:v>
      </x:c>
      <x:c r="D39" s="5">
        <x:v>3.8979166666666667</x:v>
      </x:c>
      <x:c r="E39" s="5">
        <x:v>3.5225000000000017</x:v>
      </x:c>
      <x:c r="F39" s="5">
        <x:v>1.7154166666666661</x:v>
      </x:c>
      <x:c r="G39" s="5">
        <x:v>1.7325000000000013</x:v>
      </x:c>
      <x:c r="H39" s="5">
        <x:v>1.5875000000000026</x:v>
      </x:c>
      <x:c r="I39" s="5">
        <x:v>0.33500000000000157</x:v>
      </x:c>
      <x:c r="J39" s="5">
        <x:v>0.18999999999999984</x:v>
      </x:c>
      <x:c r="K39" s="5">
        <x:v>0</x:v>
      </x:c>
      <x:c r="L39" s="5">
        <x:v>0.22000000000000028</x:v>
      </x:c>
    </x:row>
    <x:row r="40" spans="1:12" x14ac:dyDescent="0.2">
      <x:c r="A40" s="1">
        <x:f t="shared" si="0"/>
        <x:v>30</x:v>
      </x:c>
      <x:c r="B40" s="32" t="s">
        <x:v>15</x:v>
      </x:c>
      <x:c r="C40" s="33">
        <x:f>SUM(C28:C39)</x:f>
        <x:v>2052.3387500000003</x:v>
      </x:c>
      <x:c r="D40" s="33">
        <x:f t="shared" ref="D40:L40" si="2">SUM(D28:D39)</x:f>
        <x:v>1690.4087500000003</x:v>
      </x:c>
      <x:c r="E40" s="33">
        <x:f t="shared" si="2"/>
        <x:v>1918.6212500000001</x:v>
      </x:c>
      <x:c r="F40" s="33">
        <x:f t="shared" si="2"/>
        <x:v>1847.1662500000002</x:v>
      </x:c>
      <x:c r="G40" s="33">
        <x:f t="shared" si="2"/>
        <x:v>1625.7383333333337</x:v>
      </x:c>
      <x:c r="H40" s="33">
        <x:f t="shared" si="2"/>
        <x:v>1958.7604166666672</x:v>
      </x:c>
      <x:c r="I40" s="33">
        <x:f t="shared" si="2"/>
        <x:v>1666.8266666666668</x:v>
      </x:c>
      <x:c r="J40" s="33">
        <x:f t="shared" si="2"/>
        <x:v>1689.1745833333339</x:v>
      </x:c>
      <x:c r="K40" s="33">
        <x:f t="shared" si="2"/>
        <x:v>1665.3949791666671</x:v>
      </x:c>
      <x:c r="L40" s="33">
        <x:f t="shared" si="2"/>
        <x:v>1612.8254166666668</x:v>
      </x:c>
    </x:row>
  </x:sheetData>
  <x:mergeCells count="7">
    <x:mergeCell ref="B26:L26"/>
    <x:mergeCell ref="B1:L1"/>
    <x:mergeCell ref="B2:L2"/>
    <x:mergeCell ref="B3:L3"/>
    <x:mergeCell ref="B4:L4"/>
    <x:mergeCell ref="B6:L6"/>
    <x:mergeCell ref="B9:L9"/>
  </x:mergeCells>
  <x:pageMargins left="0.75" right="0.75" top="1" bottom="1" header="0.5" footer="0.5"/>
  <x:pageSetup scale="73" firstPageNumber="3" orientation="portrait" r:id="rId1"/>
  <x:headerFooter alignWithMargins="0">
    <x:oddHeader>&amp;RSchedule II-H-5.1
Page &amp;P of  25</x:oddHeader>
  </x:headerFooter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>
    <x:pageSetUpPr fitToPage="1"/>
  </x:sheetPr>
  <x:dimension ref="A1:L40"/>
  <x:sheetViews>
    <x:sheetView zoomScaleNormal="100" workbookViewId="0"/>
  </x:sheetViews>
  <x:sheetFormatPr defaultColWidth="9.109375" defaultRowHeight="11.4" x14ac:dyDescent="0.2"/>
  <x:cols>
    <x:col min="1" max="1" width="9.109375" style="1"/>
    <x:col min="2" max="2" width="10.44140625" style="2" bestFit="1" customWidth="1"/>
    <x:col min="3" max="3" width="11.44140625" style="2" customWidth="1"/>
    <x:col min="4" max="4" width="9.5546875" style="2" bestFit="1" customWidth="1"/>
    <x:col min="5" max="5" width="9.6640625" style="2" bestFit="1" customWidth="1"/>
    <x:col min="6" max="6" width="9.5546875" style="2" bestFit="1" customWidth="1"/>
    <x:col min="7" max="7" width="12.33203125" style="2" bestFit="1" customWidth="1"/>
    <x:col min="8" max="8" width="9.88671875" style="2" bestFit="1" customWidth="1"/>
    <x:col min="9" max="9" width="10.5546875" style="2" bestFit="1" customWidth="1"/>
    <x:col min="10" max="10" width="11.33203125" style="2" customWidth="1"/>
    <x:col min="11" max="11" width="10.44140625" style="2" customWidth="1"/>
    <x:col min="12" max="16384" width="9.109375" style="2"/>
  </x:cols>
  <x:sheetData>
    <x:row r="1" spans="1:12" ht="15.6" x14ac:dyDescent="0.3">
      <x:c r="B1" s="88" t="str">
        <x:f>+Base45h!B1</x:f>
        <x:v xml:space="preserve">PUC DOCKET NO. </x:v>
      </x:c>
      <x:c r="C1" s="88"/>
      <x:c r="D1" s="88"/>
      <x:c r="E1" s="88"/>
      <x:c r="F1" s="88"/>
      <x:c r="G1" s="88"/>
      <x:c r="H1" s="88"/>
      <x:c r="I1" s="88"/>
      <x:c r="J1" s="88"/>
      <x:c r="K1" s="88"/>
      <x:c r="L1" s="88"/>
    </x:row>
    <x:row r="2" spans="1:12" ht="15.6" x14ac:dyDescent="0.3">
      <x:c r="B2" s="88" t="str">
        <x:f>+Base45h!B2</x:f>
        <x:v>ONCOR ELECTRIC DELIVERY COMPANY LLC</x:v>
      </x:c>
      <x:c r="C2" s="88"/>
      <x:c r="D2" s="88"/>
      <x:c r="E2" s="88"/>
      <x:c r="F2" s="88"/>
      <x:c r="G2" s="88"/>
      <x:c r="H2" s="88"/>
      <x:c r="I2" s="88"/>
      <x:c r="J2" s="88"/>
      <x:c r="K2" s="88"/>
      <x:c r="L2" s="88"/>
    </x:row>
    <x:row r="3" spans="1:12" ht="15.6" x14ac:dyDescent="0.3">
      <x:c r="B3" s="88" t="str">
        <x:f>+Base45h!B3</x:f>
        <x:v>WEATHER STATION DATA</x:v>
      </x:c>
      <x:c r="C3" s="88"/>
      <x:c r="D3" s="88"/>
      <x:c r="E3" s="88"/>
      <x:c r="F3" s="88"/>
      <x:c r="G3" s="88"/>
      <x:c r="H3" s="88"/>
      <x:c r="I3" s="88"/>
      <x:c r="J3" s="88"/>
      <x:c r="K3" s="88"/>
      <x:c r="L3" s="88"/>
    </x:row>
    <x:row r="4" spans="1:12" ht="15.6" x14ac:dyDescent="0.3">
      <x:c r="B4" s="88" t="str">
        <x:f>+Base45h!B4</x:f>
        <x:v>FOR THE TEST YEAR ENDING DECEMBER 31, 2024</x:v>
      </x:c>
      <x:c r="C4" s="88"/>
      <x:c r="D4" s="88"/>
      <x:c r="E4" s="88"/>
      <x:c r="F4" s="88"/>
      <x:c r="G4" s="88"/>
      <x:c r="H4" s="88"/>
      <x:c r="I4" s="88"/>
      <x:c r="J4" s="88"/>
      <x:c r="K4" s="88"/>
      <x:c r="L4" s="88"/>
    </x:row>
    <x:row r="6" spans="1:12" ht="15.6" x14ac:dyDescent="0.3">
      <x:c r="B6" s="88" t="str">
        <x:f>+Base45h!B6</x:f>
        <x:v>SPONSOR: D. E. NELSON</x:v>
      </x:c>
      <x:c r="C6" s="88"/>
      <x:c r="D6" s="88"/>
      <x:c r="E6" s="88"/>
      <x:c r="F6" s="88"/>
      <x:c r="G6" s="88"/>
      <x:c r="H6" s="88"/>
      <x:c r="I6" s="88"/>
      <x:c r="J6" s="88"/>
      <x:c r="K6" s="88"/>
      <x:c r="L6" s="88"/>
    </x:row>
    <x:row r="9" spans="1:12" ht="12" x14ac:dyDescent="0.25">
      <x:c r="B9" s="89" t="s">
        <x:v>20</x:v>
      </x:c>
      <x:c r="C9" s="89"/>
      <x:c r="D9" s="89"/>
      <x:c r="E9" s="89"/>
      <x:c r="F9" s="89"/>
      <x:c r="G9" s="89"/>
      <x:c r="H9" s="89"/>
      <x:c r="I9" s="89"/>
      <x:c r="J9" s="89"/>
      <x:c r="K9" s="89"/>
      <x:c r="L9" s="89"/>
    </x:row>
    <x:row r="10" spans="1:12" ht="34.799999999999997" thickBot="1" x14ac:dyDescent="0.25">
      <x:c r="A10" s="3" t="s">
        <x:v>4</x:v>
      </x:c>
      <x:c r="C10" s="3" t="s">
        <x:v>55</x:v>
      </x:c>
      <x:c r="D10" s="3" t="s">
        <x:v>6</x:v>
      </x:c>
      <x:c r="E10" s="3" t="s">
        <x:v>7</x:v>
      </x:c>
      <x:c r="F10" s="3" t="s">
        <x:v>8</x:v>
      </x:c>
      <x:c r="G10" s="3" t="s">
        <x:v>9</x:v>
      </x:c>
      <x:c r="H10" s="3" t="s">
        <x:v>10</x:v>
      </x:c>
      <x:c r="I10" s="3" t="s">
        <x:v>11</x:v>
      </x:c>
      <x:c r="J10" s="3" t="s">
        <x:v>12</x:v>
      </x:c>
      <x:c r="K10" s="3" t="s">
        <x:v>13</x:v>
      </x:c>
      <x:c r="L10" s="3" t="s">
        <x:v>14</x:v>
      </x:c>
    </x:row>
    <x:row r="11" spans="1:12" x14ac:dyDescent="0.2">
      <x:c r="A11" s="1">
        <x:v>1</x:v>
      </x:c>
      <x:c r="B11" s="4">
        <x:f>+Base45h!B11</x:f>
        <x:v>45292</x:v>
      </x:c>
      <x:c r="C11" s="5">
        <x:v>0</x:v>
      </x:c>
      <x:c r="D11" s="5">
        <x:v>0</x:v>
      </x:c>
      <x:c r="E11" s="5">
        <x:v>0</x:v>
      </x:c>
      <x:c r="F11" s="5">
        <x:v>0</x:v>
      </x:c>
      <x:c r="G11" s="5">
        <x:v>0</x:v>
      </x:c>
      <x:c r="H11" s="5">
        <x:v>0</x:v>
      </x:c>
      <x:c r="I11" s="5">
        <x:v>0</x:v>
      </x:c>
      <x:c r="J11" s="5">
        <x:v>0</x:v>
      </x:c>
      <x:c r="K11" s="5">
        <x:v>0</x:v>
      </x:c>
      <x:c r="L11" s="5">
        <x:v>0</x:v>
      </x:c>
    </x:row>
    <x:row r="12" spans="1:12" x14ac:dyDescent="0.2">
      <x:c r="A12" s="1">
        <x:f>+A11+1</x:f>
        <x:v>2</x:v>
      </x:c>
      <x:c r="B12" s="4">
        <x:f>+Base45h!B12</x:f>
        <x:v>45323</x:v>
      </x:c>
      <x:c r="C12" s="5">
        <x:v>0</x:v>
      </x:c>
      <x:c r="D12" s="5">
        <x:v>0.10000000000000853</x:v>
      </x:c>
      <x:c r="E12" s="5">
        <x:v>0</x:v>
      </x:c>
      <x:c r="F12" s="5">
        <x:v>0</x:v>
      </x:c>
      <x:c r="G12" s="5">
        <x:v>0</x:v>
      </x:c>
      <x:c r="H12" s="5">
        <x:v>0</x:v>
      </x:c>
      <x:c r="I12" s="5">
        <x:v>0</x:v>
      </x:c>
      <x:c r="J12" s="5">
        <x:v>0</x:v>
      </x:c>
      <x:c r="K12" s="5">
        <x:v>0</x:v>
      </x:c>
      <x:c r="L12" s="5">
        <x:v>0</x:v>
      </x:c>
    </x:row>
    <x:row r="13" spans="1:12" x14ac:dyDescent="0.2">
      <x:c r="A13" s="1">
        <x:f t="shared" ref="A13:A40" si="0">+A12+1</x:f>
        <x:v>3</x:v>
      </x:c>
      <x:c r="B13" s="4">
        <x:f>+Base45h!B13</x:f>
        <x:v>45352</x:v>
      </x:c>
      <x:c r="C13" s="5">
        <x:v>0</x:v>
      </x:c>
      <x:c r="D13" s="5">
        <x:v>1.7999999999999972</x:v>
      </x:c>
      <x:c r="E13" s="5">
        <x:v>0</x:v>
      </x:c>
      <x:c r="F13" s="5">
        <x:v>0</x:v>
      </x:c>
      <x:c r="G13" s="5">
        <x:v>1.1000000000000085</x:v>
      </x:c>
      <x:c r="H13" s="5">
        <x:v>0</x:v>
      </x:c>
      <x:c r="I13" s="5">
        <x:v>0</x:v>
      </x:c>
      <x:c r="J13" s="5">
        <x:v>0</x:v>
      </x:c>
      <x:c r="K13" s="5">
        <x:v>0</x:v>
      </x:c>
      <x:c r="L13" s="5">
        <x:v>0</x:v>
      </x:c>
    </x:row>
    <x:row r="14" spans="1:12" x14ac:dyDescent="0.2">
      <x:c r="A14" s="1">
        <x:f t="shared" si="0"/>
        <x:v>4</x:v>
      </x:c>
      <x:c r="B14" s="4">
        <x:f>+Base45h!B14</x:f>
        <x:v>45383</x:v>
      </x:c>
      <x:c r="C14" s="5">
        <x:v>6.2000000000000171</x:v>
      </x:c>
      <x:c r="D14" s="5">
        <x:v>4.7000000000000171</x:v>
      </x:c>
      <x:c r="E14" s="5">
        <x:v>15.100000000000023</x:v>
      </x:c>
      <x:c r="F14" s="5">
        <x:v>6.9000000000000057</x:v>
      </x:c>
      <x:c r="G14" s="5">
        <x:v>7.0000000000000142</x:v>
      </x:c>
      <x:c r="H14" s="5">
        <x:v>4.4000000000000057</x:v>
      </x:c>
      <x:c r="I14" s="5">
        <x:v>10.600000000000037</x:v>
      </x:c>
      <x:c r="J14" s="5">
        <x:v>0.60000000000000853</x:v>
      </x:c>
      <x:c r="K14" s="5">
        <x:v>7.6000000000000085</x:v>
      </x:c>
      <x:c r="L14" s="5">
        <x:v>0.5</x:v>
      </x:c>
    </x:row>
    <x:row r="15" spans="1:12" x14ac:dyDescent="0.2">
      <x:c r="A15" s="1">
        <x:f t="shared" si="0"/>
        <x:v>5</x:v>
      </x:c>
      <x:c r="B15" s="4">
        <x:f>+Base45h!B15</x:f>
        <x:v>45413</x:v>
      </x:c>
      <x:c r="C15" s="5">
        <x:v>91.200000000000031</x:v>
      </x:c>
      <x:c r="D15" s="5">
        <x:v>74.800000000000011</x:v>
      </x:c>
      <x:c r="E15" s="5">
        <x:v>137.30000000000007</x:v>
      </x:c>
      <x:c r="F15" s="5">
        <x:v>96.000000000000057</x:v>
      </x:c>
      <x:c r="G15" s="5">
        <x:v>75.000000000000057</x:v>
      </x:c>
      <x:c r="H15" s="5">
        <x:v>83.400000000000034</x:v>
      </x:c>
      <x:c r="I15" s="5">
        <x:v>88.600000000000051</x:v>
      </x:c>
      <x:c r="J15" s="5">
        <x:v>52.200000000000017</x:v>
      </x:c>
      <x:c r="K15" s="5">
        <x:v>107.80000000000004</x:v>
      </x:c>
      <x:c r="L15" s="5">
        <x:v>56.800000000000011</x:v>
      </x:c>
    </x:row>
    <x:row r="16" spans="1:12" x14ac:dyDescent="0.2">
      <x:c r="A16" s="1">
        <x:f t="shared" si="0"/>
        <x:v>6</x:v>
      </x:c>
      <x:c r="B16" s="4">
        <x:f>+Base45h!B16</x:f>
        <x:v>45444</x:v>
      </x:c>
      <x:c r="C16" s="5">
        <x:v>274.40000000000009</x:v>
      </x:c>
      <x:c r="D16" s="5">
        <x:v>203.00000000000011</x:v>
      </x:c>
      <x:c r="E16" s="5">
        <x:v>262.20000000000005</x:v>
      </x:c>
      <x:c r="F16" s="5">
        <x:v>247.30000000000007</x:v>
      </x:c>
      <x:c r="G16" s="5">
        <x:v>197.10000000000002</x:v>
      </x:c>
      <x:c r="H16" s="5">
        <x:v>247.80000000000013</x:v>
      </x:c>
      <x:c r="I16" s="5">
        <x:v>261.40000000000009</x:v>
      </x:c>
      <x:c r="J16" s="5">
        <x:v>224.00000000000006</x:v>
      </x:c>
      <x:c r="K16" s="5">
        <x:v>277.09999999999997</x:v>
      </x:c>
      <x:c r="L16" s="5">
        <x:v>246.90000000000003</x:v>
      </x:c>
    </x:row>
    <x:row r="17" spans="1:12" x14ac:dyDescent="0.2">
      <x:c r="A17" s="1">
        <x:f t="shared" si="0"/>
        <x:v>7</x:v>
      </x:c>
      <x:c r="B17" s="4">
        <x:f>+Base45h!B17</x:f>
        <x:v>45474</x:v>
      </x:c>
      <x:c r="C17" s="5">
        <x:v>303.30000000000013</x:v>
      </x:c>
      <x:c r="D17" s="5">
        <x:v>174.80000000000007</x:v>
      </x:c>
      <x:c r="E17" s="5">
        <x:v>229.10000000000019</x:v>
      </x:c>
      <x:c r="F17" s="5">
        <x:v>239.40000000000015</x:v>
      </x:c>
      <x:c r="G17" s="5">
        <x:v>186.80000000000013</x:v>
      </x:c>
      <x:c r="H17" s="5">
        <x:v>256.20000000000022</x:v>
      </x:c>
      <x:c r="I17" s="5">
        <x:v>296.50000000000011</x:v>
      </x:c>
      <x:c r="J17" s="5">
        <x:v>275.30000000000013</x:v>
      </x:c>
      <x:c r="K17" s="5">
        <x:v>227.7000000000001</x:v>
      </x:c>
      <x:c r="L17" s="5">
        <x:v>255.10000000000014</x:v>
      </x:c>
    </x:row>
    <x:row r="18" spans="1:12" x14ac:dyDescent="0.2">
      <x:c r="A18" s="1">
        <x:f t="shared" si="0"/>
        <x:v>8</x:v>
      </x:c>
      <x:c r="B18" s="4">
        <x:f>+Base45h!B18</x:f>
        <x:v>45505</x:v>
      </x:c>
      <x:c r="C18" s="5">
        <x:v>420.30000000000018</x:v>
      </x:c>
      <x:c r="D18" s="5">
        <x:v>280.80000000000013</x:v>
      </x:c>
      <x:c r="E18" s="5">
        <x:v>320.50000000000017</x:v>
      </x:c>
      <x:c r="F18" s="5">
        <x:v>359.10000000000014</x:v>
      </x:c>
      <x:c r="G18" s="5">
        <x:v>272.2000000000001</x:v>
      </x:c>
      <x:c r="H18" s="5">
        <x:v>362.4</x:v>
      </x:c>
      <x:c r="I18" s="5">
        <x:v>430.80000000000013</x:v>
      </x:c>
      <x:c r="J18" s="5">
        <x:v>416.1</x:v>
      </x:c>
      <x:c r="K18" s="5">
        <x:v>350.9000000000002</x:v>
      </x:c>
      <x:c r="L18" s="5">
        <x:v>340.1</x:v>
      </x:c>
    </x:row>
    <x:row r="19" spans="1:12" x14ac:dyDescent="0.2">
      <x:c r="A19" s="1">
        <x:f t="shared" si="0"/>
        <x:v>9</x:v>
      </x:c>
      <x:c r="B19" s="4">
        <x:f>+Base45h!B19</x:f>
        <x:v>45536</x:v>
      </x:c>
      <x:c r="C19" s="5">
        <x:v>133.10000000000008</x:v>
      </x:c>
      <x:c r="D19" s="5">
        <x:v>83.100000000000037</x:v>
      </x:c>
      <x:c r="E19" s="5">
        <x:v>184.60000000000008</x:v>
      </x:c>
      <x:c r="F19" s="5">
        <x:v>136.40000000000003</x:v>
      </x:c>
      <x:c r="G19" s="5">
        <x:v>67.500000000000057</x:v>
      </x:c>
      <x:c r="H19" s="5">
        <x:v>119.70000000000005</x:v>
      </x:c>
      <x:c r="I19" s="5">
        <x:v>84.30000000000004</x:v>
      </x:c>
      <x:c r="J19" s="5">
        <x:v>108.10000000000007</x:v>
      </x:c>
      <x:c r="K19" s="5">
        <x:v>53.100000000000009</x:v>
      </x:c>
      <x:c r="L19" s="5">
        <x:v>90.100000000000009</x:v>
      </x:c>
    </x:row>
    <x:row r="20" spans="1:12" x14ac:dyDescent="0.2">
      <x:c r="A20" s="1">
        <x:f t="shared" si="0"/>
        <x:v>10</x:v>
      </x:c>
      <x:c r="B20" s="4">
        <x:f>+Base45h!B20</x:f>
        <x:v>45566</x:v>
      </x:c>
      <x:c r="C20" s="5">
        <x:v>80.30000000000004</x:v>
      </x:c>
      <x:c r="D20" s="5">
        <x:v>23.600000000000023</x:v>
      </x:c>
      <x:c r="E20" s="5">
        <x:v>59.500000000000043</x:v>
      </x:c>
      <x:c r="F20" s="5">
        <x:v>65.600000000000023</x:v>
      </x:c>
      <x:c r="G20" s="5">
        <x:v>11.700000000000003</x:v>
      </x:c>
      <x:c r="H20" s="5">
        <x:v>50.000000000000043</x:v>
      </x:c>
      <x:c r="I20" s="5">
        <x:v>39.300000000000054</x:v>
      </x:c>
      <x:c r="J20" s="5">
        <x:v>49.000000000000071</x:v>
      </x:c>
      <x:c r="K20" s="5">
        <x:v>15.600000000000009</x:v>
      </x:c>
      <x:c r="L20" s="5">
        <x:v>42.20000000000006</x:v>
      </x:c>
    </x:row>
    <x:row r="21" spans="1:12" x14ac:dyDescent="0.2">
      <x:c r="A21" s="1">
        <x:f t="shared" si="0"/>
        <x:v>11</x:v>
      </x:c>
      <x:c r="B21" s="4">
        <x:f>+Base45h!B21</x:f>
        <x:v>45597</x:v>
      </x:c>
      <x:c r="C21" s="5">
        <x:v>0</x:v>
      </x:c>
      <x:c r="D21" s="5">
        <x:v>2.2999999999999972</x:v>
      </x:c>
      <x:c r="E21" s="5">
        <x:v>9.5</x:v>
      </x:c>
      <x:c r="F21" s="5">
        <x:v>2</x:v>
      </x:c>
      <x:c r="G21" s="5">
        <x:v>1.7999999999999972</x:v>
      </x:c>
      <x:c r="H21" s="5">
        <x:v>1.7999999999999972</x:v>
      </x:c>
      <x:c r="I21" s="5">
        <x:v>0</x:v>
      </x:c>
      <x:c r="J21" s="5">
        <x:v>0</x:v>
      </x:c>
      <x:c r="K21" s="5">
        <x:v>0</x:v>
      </x:c>
      <x:c r="L21" s="5">
        <x:v>0</x:v>
      </x:c>
    </x:row>
    <x:row r="22" spans="1:12" x14ac:dyDescent="0.2">
      <x:c r="A22" s="1">
        <x:f t="shared" si="0"/>
        <x:v>12</x:v>
      </x:c>
      <x:c r="B22" s="4">
        <x:f>+Base45h!B22</x:f>
        <x:v>45627</x:v>
      </x:c>
      <x:c r="C22" s="5">
        <x:v>0</x:v>
      </x:c>
      <x:c r="D22" s="5">
        <x:v>0</x:v>
      </x:c>
      <x:c r="E22" s="5">
        <x:v>0</x:v>
      </x:c>
      <x:c r="F22" s="5">
        <x:v>0</x:v>
      </x:c>
      <x:c r="G22" s="5">
        <x:v>0</x:v>
      </x:c>
      <x:c r="H22" s="5">
        <x:v>0</x:v>
      </x:c>
      <x:c r="I22" s="5">
        <x:v>0</x:v>
      </x:c>
      <x:c r="J22" s="5">
        <x:v>0</x:v>
      </x:c>
      <x:c r="K22" s="5">
        <x:v>0</x:v>
      </x:c>
      <x:c r="L22" s="5">
        <x:v>0</x:v>
      </x:c>
    </x:row>
    <x:row r="23" spans="1:12" x14ac:dyDescent="0.2">
      <x:c r="A23" s="1">
        <x:f t="shared" si="0"/>
        <x:v>13</x:v>
      </x:c>
      <x:c r="B23" s="32" t="s">
        <x:v>15</x:v>
      </x:c>
      <x:c r="C23" s="33">
        <x:f>SUM(C11:C22)</x:f>
        <x:v>1308.8000000000006</x:v>
      </x:c>
      <x:c r="D23" s="33">
        <x:f t="shared" ref="D23:L23" si="1">SUM(D11:D22)</x:f>
        <x:v>849.00000000000034</x:v>
      </x:c>
      <x:c r="E23" s="33">
        <x:f t="shared" si="1"/>
        <x:v>1217.8000000000006</x:v>
      </x:c>
      <x:c r="F23" s="33">
        <x:f t="shared" si="1"/>
        <x:v>1152.7000000000007</x:v>
      </x:c>
      <x:c r="G23" s="33">
        <x:f t="shared" si="1"/>
        <x:v>820.20000000000027</x:v>
      </x:c>
      <x:c r="H23" s="33">
        <x:f t="shared" si="1"/>
        <x:v>1125.7000000000005</x:v>
      </x:c>
      <x:c r="I23" s="33">
        <x:f t="shared" si="1"/>
        <x:v>1211.5000000000005</x:v>
      </x:c>
      <x:c r="J23" s="33">
        <x:f t="shared" si="1"/>
        <x:v>1125.3000000000002</x:v>
      </x:c>
      <x:c r="K23" s="33">
        <x:f t="shared" si="1"/>
        <x:v>1039.8000000000002</x:v>
      </x:c>
      <x:c r="L23" s="33">
        <x:f t="shared" si="1"/>
        <x:v>1031.7000000000003</x:v>
      </x:c>
    </x:row>
    <x:row r="24" spans="1:12" x14ac:dyDescent="0.2">
      <x:c r="A24" s="1">
        <x:f t="shared" si="0"/>
        <x:v>14</x:v>
      </x:c>
    </x:row>
    <x:row r="25" spans="1:12" x14ac:dyDescent="0.2">
      <x:c r="A25" s="1">
        <x:f t="shared" si="0"/>
        <x:v>15</x:v>
      </x:c>
    </x:row>
    <x:row r="26" spans="1:12" ht="12" x14ac:dyDescent="0.25">
      <x:c r="A26" s="1">
        <x:f t="shared" si="0"/>
        <x:v>16</x:v>
      </x:c>
      <x:c r="B26" s="89" t="s">
        <x:v>56</x:v>
      </x:c>
      <x:c r="C26" s="89"/>
      <x:c r="D26" s="89"/>
      <x:c r="E26" s="89"/>
      <x:c r="F26" s="89"/>
      <x:c r="G26" s="89"/>
      <x:c r="H26" s="89"/>
      <x:c r="I26" s="89"/>
      <x:c r="J26" s="89"/>
      <x:c r="K26" s="89"/>
      <x:c r="L26" s="89"/>
    </x:row>
    <x:row r="27" spans="1:12" ht="34.799999999999997" thickBot="1" x14ac:dyDescent="0.25">
      <x:c r="A27" s="1">
        <x:f t="shared" si="0"/>
        <x:v>17</x:v>
      </x:c>
      <x:c r="C27" s="3" t="s">
        <x:v>55</x:v>
      </x:c>
      <x:c r="D27" s="3" t="s">
        <x:v>6</x:v>
      </x:c>
      <x:c r="E27" s="72" t="s">
        <x:v>7</x:v>
      </x:c>
      <x:c r="F27" s="72" t="s">
        <x:v>8</x:v>
      </x:c>
      <x:c r="G27" s="72" t="s">
        <x:v>9</x:v>
      </x:c>
      <x:c r="H27" s="72" t="s">
        <x:v>10</x:v>
      </x:c>
      <x:c r="I27" s="72" t="s">
        <x:v>11</x:v>
      </x:c>
      <x:c r="J27" s="72" t="s">
        <x:v>12</x:v>
      </x:c>
      <x:c r="K27" s="72" t="s">
        <x:v>13</x:v>
      </x:c>
      <x:c r="L27" s="72" t="s">
        <x:v>14</x:v>
      </x:c>
    </x:row>
    <x:row r="28" spans="1:12" x14ac:dyDescent="0.2">
      <x:c r="A28" s="1">
        <x:f t="shared" si="0"/>
        <x:v>18</x:v>
      </x:c>
      <x:c r="B28" s="4">
        <x:f>+Base45h!B28</x:f>
        <x:v>45292</x:v>
      </x:c>
      <x:c r="C28" s="5">
        <x:v>0</x:v>
      </x:c>
      <x:c r="D28" s="5">
        <x:v>0</x:v>
      </x:c>
      <x:c r="E28" s="5">
        <x:v>0</x:v>
      </x:c>
      <x:c r="F28" s="5">
        <x:v>0</x:v>
      </x:c>
      <x:c r="G28" s="5">
        <x:v>0</x:v>
      </x:c>
      <x:c r="H28" s="5">
        <x:v>0</x:v>
      </x:c>
      <x:c r="I28" s="5">
        <x:v>0</x:v>
      </x:c>
      <x:c r="J28" s="5">
        <x:v>0</x:v>
      </x:c>
      <x:c r="K28" s="5">
        <x:v>0</x:v>
      </x:c>
      <x:c r="L28" s="5">
        <x:v>0</x:v>
      </x:c>
    </x:row>
    <x:row r="29" spans="1:12" x14ac:dyDescent="0.2">
      <x:c r="A29" s="1">
        <x:f t="shared" si="0"/>
        <x:v>19</x:v>
      </x:c>
      <x:c r="B29" s="4">
        <x:f>+Base45h!B29</x:f>
        <x:v>45323</x:v>
      </x:c>
      <x:c r="C29" s="5">
        <x:v>4.9999999999997156E-3</x:v>
      </x:c>
      <x:c r="D29" s="5">
        <x:v>0</x:v>
      </x:c>
      <x:c r="E29" s="5">
        <x:v>0</x:v>
      </x:c>
      <x:c r="F29" s="5">
        <x:v>0</x:v>
      </x:c>
      <x:c r="G29" s="5">
        <x:v>0</x:v>
      </x:c>
      <x:c r="H29" s="5">
        <x:v>0</x:v>
      </x:c>
      <x:c r="I29" s="5">
        <x:v>0</x:v>
      </x:c>
      <x:c r="J29" s="5">
        <x:v>0</x:v>
      </x:c>
      <x:c r="K29" s="5">
        <x:v>0</x:v>
      </x:c>
      <x:c r="L29" s="5">
        <x:v>0</x:v>
      </x:c>
    </x:row>
    <x:row r="30" spans="1:12" x14ac:dyDescent="0.2">
      <x:c r="A30" s="1">
        <x:f t="shared" si="0"/>
        <x:v>20</x:v>
      </x:c>
      <x:c r="B30" s="4">
        <x:f>+Base45h!B30</x:f>
        <x:v>45352</x:v>
      </x:c>
      <x:c r="C30" s="5">
        <x:v>0.78208333333333113</x:v>
      </x:c>
      <x:c r="D30" s="5">
        <x:v>0.43458333333333599</x:v>
      </x:c>
      <x:c r="E30" s="5">
        <x:v>0.57291666666666652</x:v>
      </x:c>
      <x:c r="F30" s="5">
        <x:v>0.20208333333333497</x:v>
      </x:c>
      <x:c r="G30" s="5">
        <x:v>0.18208333333333043</x:v>
      </x:c>
      <x:c r="H30" s="5">
        <x:v>0.18041666666667028</x:v>
      </x:c>
      <x:c r="I30" s="5">
        <x:v>0.492916666666666</x:v>
      </x:c>
      <x:c r="J30" s="5">
        <x:v>0.37333333333333552</x:v>
      </x:c>
      <x:c r="K30" s="5">
        <x:v>0.30500000000000049</x:v>
      </x:c>
      <x:c r="L30" s="5">
        <x:v>6.7500000000000421E-2</x:v>
      </x:c>
    </x:row>
    <x:row r="31" spans="1:12" x14ac:dyDescent="0.2">
      <x:c r="A31" s="1">
        <x:f t="shared" si="0"/>
        <x:v>21</x:v>
      </x:c>
      <x:c r="B31" s="4">
        <x:f>+Base45h!B31</x:f>
        <x:v>45383</x:v>
      </x:c>
      <x:c r="C31" s="5">
        <x:v>7.9712500000000031</x:v>
      </x:c>
      <x:c r="D31" s="5">
        <x:v>7.342916666666663</x:v>
      </x:c>
      <x:c r="E31" s="5">
        <x:v>12.957500000000005</x:v>
      </x:c>
      <x:c r="F31" s="5">
        <x:v>8.4579166666666641</x:v>
      </x:c>
      <x:c r="G31" s="5">
        <x:v>5.0062500000000023</x:v>
      </x:c>
      <x:c r="H31" s="5">
        <x:v>8.1987499999999898</x:v>
      </x:c>
      <x:c r="I31" s="5">
        <x:v>11.384166666666665</x:v>
      </x:c>
      <x:c r="J31" s="5">
        <x:v>6.8508333333333313</x:v>
      </x:c>
      <x:c r="K31" s="5">
        <x:v>11.45583333333334</x:v>
      </x:c>
      <x:c r="L31" s="5">
        <x:v>2.2499999999999956</x:v>
      </x:c>
    </x:row>
    <x:row r="32" spans="1:12" x14ac:dyDescent="0.2">
      <x:c r="A32" s="1">
        <x:f t="shared" si="0"/>
        <x:v>22</x:v>
      </x:c>
      <x:c r="B32" s="4">
        <x:f>+Base45h!B32</x:f>
        <x:v>45413</x:v>
      </x:c>
      <x:c r="C32" s="5">
        <x:v>72.184166666666712</x:v>
      </x:c>
      <x:c r="D32" s="5">
        <x:v>54.855000000000004</x:v>
      </x:c>
      <x:c r="E32" s="5">
        <x:v>77.007500000000007</x:v>
      </x:c>
      <x:c r="F32" s="5">
        <x:v>59.975000000000023</x:v>
      </x:c>
      <x:c r="G32" s="5">
        <x:v>46.120833333333366</x:v>
      </x:c>
      <x:c r="H32" s="5">
        <x:v>67.464583333333351</x:v>
      </x:c>
      <x:c r="I32" s="5">
        <x:v>67.438333333333361</x:v>
      </x:c>
      <x:c r="J32" s="5">
        <x:v>55.774583333333339</x:v>
      </x:c>
      <x:c r="K32" s="5">
        <x:v>88.422500000000042</x:v>
      </x:c>
      <x:c r="L32" s="5">
        <x:v>34.703333333333347</x:v>
      </x:c>
    </x:row>
    <x:row r="33" spans="1:12" x14ac:dyDescent="0.2">
      <x:c r="A33" s="1">
        <x:f t="shared" si="0"/>
        <x:v>23</x:v>
      </x:c>
      <x:c r="B33" s="4">
        <x:f>+Base45h!B33</x:f>
        <x:v>45444</x:v>
      </x:c>
      <x:c r="C33" s="5">
        <x:v>249.25000000000011</x:v>
      </x:c>
      <x:c r="D33" s="5">
        <x:v>185.02583333333334</x:v>
      </x:c>
      <x:c r="E33" s="5">
        <x:v>218.24458333333334</x:v>
      </x:c>
      <x:c r="F33" s="5">
        <x:v>211.89791666666673</x:v>
      </x:c>
      <x:c r="G33" s="5">
        <x:v>176.13583333333338</x:v>
      </x:c>
      <x:c r="H33" s="5">
        <x:v>231.99708333333342</x:v>
      </x:c>
      <x:c r="I33" s="5">
        <x:v>193.57708333333332</x:v>
      </x:c>
      <x:c r="J33" s="5">
        <x:v>200.51583333333338</x:v>
      </x:c>
      <x:c r="K33" s="5">
        <x:v>230.95333333333332</x:v>
      </x:c>
      <x:c r="L33" s="5">
        <x:v>179.3991666666667</x:v>
      </x:c>
    </x:row>
    <x:row r="34" spans="1:12" x14ac:dyDescent="0.2">
      <x:c r="A34" s="1">
        <x:f t="shared" si="0"/>
        <x:v>24</x:v>
      </x:c>
      <x:c r="B34" s="4">
        <x:f>+Base45h!B34</x:f>
        <x:v>45474</x:v>
      </x:c>
      <x:c r="C34" s="5">
        <x:v>353.34416666666669</x:v>
      </x:c>
      <x:c r="D34" s="5">
        <x:v>240.12708333333339</x:v>
      </x:c>
      <x:c r="E34" s="5">
        <x:v>277.75166666666667</x:v>
      </x:c>
      <x:c r="F34" s="5">
        <x:v>295.31</x:v>
      </x:c>
      <x:c r="G34" s="5">
        <x:v>252.93500000000003</x:v>
      </x:c>
      <x:c r="H34" s="5">
        <x:v>328.40708333333328</x:v>
      </x:c>
      <x:c r="I34" s="5">
        <x:v>276.87625000000003</x:v>
      </x:c>
      <x:c r="J34" s="5">
        <x:v>307.43875000000003</x:v>
      </x:c>
      <x:c r="K34" s="5">
        <x:v>266.23000000000013</x:v>
      </x:c>
      <x:c r="L34" s="5">
        <x:v>282.36916666666673</x:v>
      </x:c>
    </x:row>
    <x:row r="35" spans="1:12" x14ac:dyDescent="0.2">
      <x:c r="A35" s="1">
        <x:f t="shared" si="0"/>
        <x:v>25</x:v>
      </x:c>
      <x:c r="B35" s="4">
        <x:f>+Base45h!B35</x:f>
        <x:v>45505</x:v>
      </x:c>
      <x:c r="C35" s="5">
        <x:v>363.07916666666671</x:v>
      </x:c>
      <x:c r="D35" s="5">
        <x:v>257.32416666666666</x:v>
      </x:c>
      <x:c r="E35" s="5">
        <x:v>305.16833333333341</x:v>
      </x:c>
      <x:c r="F35" s="5">
        <x:v>312.42666666666679</x:v>
      </x:c>
      <x:c r="G35" s="5">
        <x:v>264.09750000000003</x:v>
      </x:c>
      <x:c r="H35" s="5">
        <x:v>341.80833333333339</x:v>
      </x:c>
      <x:c r="I35" s="5">
        <x:v>272.5437500000001</x:v>
      </x:c>
      <x:c r="J35" s="5">
        <x:v>294.88083333333344</x:v>
      </x:c>
      <x:c r="K35" s="5">
        <x:v>241.27583333333342</x:v>
      </x:c>
      <x:c r="L35" s="5">
        <x:v>282.9979166666667</x:v>
      </x:c>
    </x:row>
    <x:row r="36" spans="1:12" x14ac:dyDescent="0.2">
      <x:c r="A36" s="1">
        <x:f t="shared" si="0"/>
        <x:v>26</x:v>
      </x:c>
      <x:c r="B36" s="4">
        <x:f>+Base45h!B36</x:f>
        <x:v>45536</x:v>
      </x:c>
      <x:c r="C36" s="5">
        <x:v>172.13541666666671</x:v>
      </x:c>
      <x:c r="D36" s="5">
        <x:v>114.63166666666672</x:v>
      </x:c>
      <x:c r="E36" s="5">
        <x:v>146.01250000000002</x:v>
      </x:c>
      <x:c r="F36" s="5">
        <x:v>136.53000000000003</x:v>
      </x:c>
      <x:c r="G36" s="5">
        <x:v>110.12208333333335</x:v>
      </x:c>
      <x:c r="H36" s="5">
        <x:v>156.03583333333339</x:v>
      </x:c>
      <x:c r="I36" s="5">
        <x:v>105.70500000000003</x:v>
      </x:c>
      <x:c r="J36" s="5">
        <x:v>109.9766666666667</x:v>
      </x:c>
      <x:c r="K36" s="5">
        <x:v>86.669583333333378</x:v>
      </x:c>
      <x:c r="L36" s="5">
        <x:v>118.08500000000002</x:v>
      </x:c>
    </x:row>
    <x:row r="37" spans="1:12" x14ac:dyDescent="0.2">
      <x:c r="A37" s="1">
        <x:f t="shared" si="0"/>
        <x:v>27</x:v>
      </x:c>
      <x:c r="B37" s="4">
        <x:f>+Base45h!B37</x:f>
        <x:v>45566</x:v>
      </x:c>
      <x:c r="C37" s="5">
        <x:v>28.913333333333338</x:v>
      </x:c>
      <x:c r="D37" s="5">
        <x:v>19.208333333333346</x:v>
      </x:c>
      <x:c r="E37" s="5">
        <x:v>31.134166666666655</x:v>
      </x:c>
      <x:c r="F37" s="5">
        <x:v>23.045000000000002</x:v>
      </x:c>
      <x:c r="G37" s="5">
        <x:v>14.427916666666682</x:v>
      </x:c>
      <x:c r="H37" s="5">
        <x:v>29.047500000000017</x:v>
      </x:c>
      <x:c r="I37" s="5">
        <x:v>14.46333333333334</x:v>
      </x:c>
      <x:c r="J37" s="5">
        <x:v>13.051250000000007</x:v>
      </x:c>
      <x:c r="K37" s="5">
        <x:v>10.966666666666672</x:v>
      </x:c>
      <x:c r="L37" s="5">
        <x:v>15.82166666666668</x:v>
      </x:c>
    </x:row>
    <x:row r="38" spans="1:12" x14ac:dyDescent="0.2">
      <x:c r="A38" s="1">
        <x:f t="shared" si="0"/>
        <x:v>28</x:v>
      </x:c>
      <x:c r="B38" s="4">
        <x:f>+Base45h!B38</x:f>
        <x:v>45597</x:v>
      </x:c>
      <x:c r="C38" s="5">
        <x:v>0.95541666666667091</x:v>
      </x:c>
      <x:c r="D38" s="5">
        <x:v>0.45333333333332959</x:v>
      </x:c>
      <x:c r="E38" s="5">
        <x:v>2.0429166666666672</x:v>
      </x:c>
      <x:c r="F38" s="5">
        <x:v>0.47750000000000614</x:v>
      </x:c>
      <x:c r="G38" s="5">
        <x:v>0.23499999999999877</x:v>
      </x:c>
      <x:c r="H38" s="5">
        <x:v>0.77791666666667181</x:v>
      </x:c>
      <x:c r="I38" s="5">
        <x:v>0.15500000000000042</x:v>
      </x:c>
      <x:c r="J38" s="5">
        <x:v>0</x:v>
      </x:c>
      <x:c r="K38" s="5">
        <x:v>1.4999999999999857E-2</x:v>
      </x:c>
      <x:c r="L38" s="5">
        <x:v>0.20458333333333556</x:v>
      </x:c>
    </x:row>
    <x:row r="39" spans="1:12" x14ac:dyDescent="0.2">
      <x:c r="A39" s="1">
        <x:f t="shared" si="0"/>
        <x:v>29</x:v>
      </x:c>
      <x:c r="B39" s="4">
        <x:f>+Base45h!B39</x:f>
        <x:v>45627</x:v>
      </x:c>
      <x:c r="C39" s="5">
        <x:v>0</x:v>
      </x:c>
      <x:c r="D39" s="5">
        <x:v>7.0000000000000284E-2</x:v>
      </x:c>
      <x:c r="E39" s="5">
        <x:v>0</x:v>
      </x:c>
      <x:c r="F39" s="5">
        <x:v>0</x:v>
      </x:c>
      <x:c r="G39" s="5">
        <x:v>3.9999999999999855E-2</x:v>
      </x:c>
      <x:c r="H39" s="5">
        <x:v>0</x:v>
      </x:c>
      <x:c r="I39" s="5">
        <x:v>0</x:v>
      </x:c>
      <x:c r="J39" s="5">
        <x:v>0</x:v>
      </x:c>
      <x:c r="K39" s="5">
        <x:v>0</x:v>
      </x:c>
      <x:c r="L39" s="5">
        <x:v>0</x:v>
      </x:c>
    </x:row>
    <x:row r="40" spans="1:12" x14ac:dyDescent="0.2">
      <x:c r="A40" s="1">
        <x:f t="shared" si="0"/>
        <x:v>30</x:v>
      </x:c>
      <x:c r="B40" s="32" t="s">
        <x:v>15</x:v>
      </x:c>
      <x:c r="C40" s="33">
        <x:f>SUM(C28:C39)</x:f>
        <x:v>1248.6200000000003</x:v>
      </x:c>
      <x:c r="D40" s="33">
        <x:f t="shared" ref="D40:L40" si="2">SUM(D28:D39)</x:f>
        <x:v>879.47291666666683</x:v>
      </x:c>
      <x:c r="E40" s="33">
        <x:f t="shared" si="2"/>
        <x:v>1070.8920833333336</x:v>
      </x:c>
      <x:c r="F40" s="33">
        <x:f t="shared" si="2"/>
        <x:v>1048.3220833333335</x:v>
      </x:c>
      <x:c r="G40" s="33">
        <x:f t="shared" si="2"/>
        <x:v>869.30250000000012</x:v>
      </x:c>
      <x:c r="H40" s="33">
        <x:f t="shared" si="2"/>
        <x:v>1163.9175000000002</x:v>
      </x:c>
      <x:c r="I40" s="33">
        <x:f t="shared" si="2"/>
        <x:v>942.63583333333361</x:v>
      </x:c>
      <x:c r="J40" s="33">
        <x:f t="shared" si="2"/>
        <x:v>988.86208333333343</x:v>
      </x:c>
      <x:c r="K40" s="33">
        <x:f t="shared" si="2"/>
        <x:v>936.29375000000016</x:v>
      </x:c>
      <x:c r="L40" s="33">
        <x:f t="shared" si="2"/>
        <x:v>915.89833333333354</x:v>
      </x:c>
    </x:row>
  </x:sheetData>
  <x:mergeCells count="7">
    <x:mergeCell ref="B26:L26"/>
    <x:mergeCell ref="B1:L1"/>
    <x:mergeCell ref="B2:L2"/>
    <x:mergeCell ref="B3:L3"/>
    <x:mergeCell ref="B4:L4"/>
    <x:mergeCell ref="B6:L6"/>
    <x:mergeCell ref="B9:L9"/>
  </x:mergeCells>
  <x:pageMargins left="0.75" right="0.75" top="1" bottom="1" header="0.5" footer="0.5"/>
  <x:pageSetup scale="73" firstPageNumber="3" orientation="portrait" r:id="rId1"/>
  <x:headerFooter alignWithMargins="0">
    <x:oddHeader>&amp;RSchedule II-H-5.1
Page &amp;P of  25</x:oddHeader>
  </x:headerFooter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sheetPr>
    <x:pageSetUpPr fitToPage="1"/>
  </x:sheetPr>
  <x:dimension ref="A1:L40"/>
  <x:sheetViews>
    <x:sheetView zoomScaleNormal="100" workbookViewId="0"/>
  </x:sheetViews>
  <x:sheetFormatPr defaultColWidth="9.109375" defaultRowHeight="11.4" x14ac:dyDescent="0.2"/>
  <x:cols>
    <x:col min="1" max="1" width="9.109375" style="1"/>
    <x:col min="2" max="2" width="10.44140625" style="2" bestFit="1" customWidth="1"/>
    <x:col min="3" max="3" width="11.44140625" style="2" customWidth="1"/>
    <x:col min="4" max="4" width="9.5546875" style="2" bestFit="1" customWidth="1"/>
    <x:col min="5" max="5" width="9.6640625" style="2" bestFit="1" customWidth="1"/>
    <x:col min="6" max="6" width="9.5546875" style="2" bestFit="1" customWidth="1"/>
    <x:col min="7" max="7" width="12.33203125" style="2" bestFit="1" customWidth="1"/>
    <x:col min="8" max="8" width="9.88671875" style="2" bestFit="1" customWidth="1"/>
    <x:col min="9" max="9" width="10.5546875" style="2" bestFit="1" customWidth="1"/>
    <x:col min="10" max="10" width="11.33203125" style="2" customWidth="1"/>
    <x:col min="11" max="11" width="10.44140625" style="2" customWidth="1"/>
    <x:col min="12" max="16384" width="9.109375" style="2"/>
  </x:cols>
  <x:sheetData>
    <x:row r="1" spans="1:12" ht="15.6" x14ac:dyDescent="0.3">
      <x:c r="B1" s="88" t="str">
        <x:f>+Base45h!B1</x:f>
        <x:v xml:space="preserve">PUC DOCKET NO. </x:v>
      </x:c>
      <x:c r="C1" s="88"/>
      <x:c r="D1" s="88"/>
      <x:c r="E1" s="88"/>
      <x:c r="F1" s="88"/>
      <x:c r="G1" s="88"/>
      <x:c r="H1" s="88"/>
      <x:c r="I1" s="88"/>
      <x:c r="J1" s="88"/>
      <x:c r="K1" s="88"/>
      <x:c r="L1" s="88"/>
    </x:row>
    <x:row r="2" spans="1:12" ht="15.6" x14ac:dyDescent="0.3">
      <x:c r="B2" s="88" t="str">
        <x:f>+Base45h!B2</x:f>
        <x:v>ONCOR ELECTRIC DELIVERY COMPANY LLC</x:v>
      </x:c>
      <x:c r="C2" s="88"/>
      <x:c r="D2" s="88"/>
      <x:c r="E2" s="88"/>
      <x:c r="F2" s="88"/>
      <x:c r="G2" s="88"/>
      <x:c r="H2" s="88"/>
      <x:c r="I2" s="88"/>
      <x:c r="J2" s="88"/>
      <x:c r="K2" s="88"/>
      <x:c r="L2" s="88"/>
    </x:row>
    <x:row r="3" spans="1:12" ht="15.6" x14ac:dyDescent="0.3">
      <x:c r="B3" s="88" t="str">
        <x:f>+Base45h!B3</x:f>
        <x:v>WEATHER STATION DATA</x:v>
      </x:c>
      <x:c r="C3" s="88"/>
      <x:c r="D3" s="88"/>
      <x:c r="E3" s="88"/>
      <x:c r="F3" s="88"/>
      <x:c r="G3" s="88"/>
      <x:c r="H3" s="88"/>
      <x:c r="I3" s="88"/>
      <x:c r="J3" s="88"/>
      <x:c r="K3" s="88"/>
      <x:c r="L3" s="88"/>
    </x:row>
    <x:row r="4" spans="1:12" ht="15.6" x14ac:dyDescent="0.3">
      <x:c r="B4" s="88" t="str">
        <x:f>+Base45h!B4</x:f>
        <x:v>FOR THE TEST YEAR ENDING DECEMBER 31, 2024</x:v>
      </x:c>
      <x:c r="C4" s="88"/>
      <x:c r="D4" s="88"/>
      <x:c r="E4" s="88"/>
      <x:c r="F4" s="88"/>
      <x:c r="G4" s="88"/>
      <x:c r="H4" s="88"/>
      <x:c r="I4" s="88"/>
      <x:c r="J4" s="88"/>
      <x:c r="K4" s="88"/>
      <x:c r="L4" s="88"/>
    </x:row>
    <x:row r="6" spans="1:12" ht="15.6" x14ac:dyDescent="0.3">
      <x:c r="B6" s="88" t="str">
        <x:f>+Base45h!B6</x:f>
        <x:v>SPONSOR: D. E. NELSON</x:v>
      </x:c>
      <x:c r="C6" s="88"/>
      <x:c r="D6" s="88"/>
      <x:c r="E6" s="88"/>
      <x:c r="F6" s="88"/>
      <x:c r="G6" s="88"/>
      <x:c r="H6" s="88"/>
      <x:c r="I6" s="88"/>
      <x:c r="J6" s="88"/>
      <x:c r="K6" s="88"/>
      <x:c r="L6" s="88"/>
    </x:row>
    <x:row r="9" spans="1:12" ht="12" x14ac:dyDescent="0.25">
      <x:c r="B9" s="89" t="s">
        <x:v>86</x:v>
      </x:c>
      <x:c r="C9" s="89"/>
      <x:c r="D9" s="89"/>
      <x:c r="E9" s="89"/>
      <x:c r="F9" s="89"/>
      <x:c r="G9" s="89"/>
      <x:c r="H9" s="89"/>
      <x:c r="I9" s="89"/>
      <x:c r="J9" s="89"/>
      <x:c r="K9" s="89"/>
      <x:c r="L9" s="89"/>
    </x:row>
    <x:row r="10" spans="1:12" ht="34.799999999999997" thickBot="1" x14ac:dyDescent="0.25">
      <x:c r="A10" s="3" t="s">
        <x:v>4</x:v>
      </x:c>
      <x:c r="C10" s="3" t="s">
        <x:v>55</x:v>
      </x:c>
      <x:c r="D10" s="3" t="s">
        <x:v>6</x:v>
      </x:c>
      <x:c r="E10" s="3" t="s">
        <x:v>7</x:v>
      </x:c>
      <x:c r="F10" s="3" t="s">
        <x:v>8</x:v>
      </x:c>
      <x:c r="G10" s="3" t="s">
        <x:v>9</x:v>
      </x:c>
      <x:c r="H10" s="3" t="s">
        <x:v>10</x:v>
      </x:c>
      <x:c r="I10" s="3" t="s">
        <x:v>11</x:v>
      </x:c>
      <x:c r="J10" s="3" t="s">
        <x:v>12</x:v>
      </x:c>
      <x:c r="K10" s="3" t="s">
        <x:v>13</x:v>
      </x:c>
      <x:c r="L10" s="3" t="s">
        <x:v>14</x:v>
      </x:c>
    </x:row>
    <x:row r="11" spans="1:12" x14ac:dyDescent="0.2">
      <x:c r="A11" s="1">
        <x:v>1</x:v>
      </x:c>
      <x:c r="B11" s="4">
        <x:f>+Base45h!B11</x:f>
        <x:v>45292</x:v>
      </x:c>
      <x:c r="C11" s="5">
        <x:v>0</x:v>
      </x:c>
      <x:c r="D11" s="5">
        <x:v>0</x:v>
      </x:c>
      <x:c r="E11" s="5">
        <x:v>0</x:v>
      </x:c>
      <x:c r="F11" s="5">
        <x:v>0</x:v>
      </x:c>
      <x:c r="G11" s="5">
        <x:v>0</x:v>
      </x:c>
      <x:c r="H11" s="5">
        <x:v>0</x:v>
      </x:c>
      <x:c r="I11" s="5">
        <x:v>0</x:v>
      </x:c>
      <x:c r="J11" s="5">
        <x:v>0</x:v>
      </x:c>
      <x:c r="K11" s="5">
        <x:v>0</x:v>
      </x:c>
      <x:c r="L11" s="5">
        <x:v>0</x:v>
      </x:c>
    </x:row>
    <x:row r="12" spans="1:12" x14ac:dyDescent="0.2">
      <x:c r="A12" s="1">
        <x:f>+A11+1</x:f>
        <x:v>2</x:v>
      </x:c>
      <x:c r="B12" s="4">
        <x:f>+Base45h!B12</x:f>
        <x:v>45323</x:v>
      </x:c>
      <x:c r="C12" s="5">
        <x:v>0</x:v>
      </x:c>
      <x:c r="D12" s="5">
        <x:v>0</x:v>
      </x:c>
      <x:c r="E12" s="5">
        <x:v>0</x:v>
      </x:c>
      <x:c r="F12" s="5">
        <x:v>0</x:v>
      </x:c>
      <x:c r="G12" s="5">
        <x:v>0</x:v>
      </x:c>
      <x:c r="H12" s="5">
        <x:v>0</x:v>
      </x:c>
      <x:c r="I12" s="5">
        <x:v>0</x:v>
      </x:c>
      <x:c r="J12" s="5">
        <x:v>0</x:v>
      </x:c>
      <x:c r="K12" s="5">
        <x:v>0</x:v>
      </x:c>
      <x:c r="L12" s="5">
        <x:v>0</x:v>
      </x:c>
    </x:row>
    <x:row r="13" spans="1:12" x14ac:dyDescent="0.2">
      <x:c r="A13" s="1">
        <x:f t="shared" ref="A13:A40" si="0">+A12+1</x:f>
        <x:v>3</x:v>
      </x:c>
      <x:c r="B13" s="4">
        <x:f>+Base45h!B13</x:f>
        <x:v>45352</x:v>
      </x:c>
      <x:c r="C13" s="5">
        <x:v>0</x:v>
      </x:c>
      <x:c r="D13" s="5">
        <x:v>0</x:v>
      </x:c>
      <x:c r="E13" s="5">
        <x:v>0</x:v>
      </x:c>
      <x:c r="F13" s="5">
        <x:v>0</x:v>
      </x:c>
      <x:c r="G13" s="5">
        <x:v>0</x:v>
      </x:c>
      <x:c r="H13" s="5">
        <x:v>0</x:v>
      </x:c>
      <x:c r="I13" s="5">
        <x:v>0</x:v>
      </x:c>
      <x:c r="J13" s="5">
        <x:v>0</x:v>
      </x:c>
      <x:c r="K13" s="5">
        <x:v>0</x:v>
      </x:c>
      <x:c r="L13" s="5">
        <x:v>0</x:v>
      </x:c>
    </x:row>
    <x:row r="14" spans="1:12" x14ac:dyDescent="0.2">
      <x:c r="A14" s="1">
        <x:f t="shared" si="0"/>
        <x:v>4</x:v>
      </x:c>
      <x:c r="B14" s="4">
        <x:f>+Base45h!B14</x:f>
        <x:v>45383</x:v>
      </x:c>
      <x:c r="C14" s="5">
        <x:v>0</x:v>
      </x:c>
      <x:c r="D14" s="5">
        <x:v>0</x:v>
      </x:c>
      <x:c r="E14" s="5">
        <x:v>0</x:v>
      </x:c>
      <x:c r="F14" s="5">
        <x:v>0</x:v>
      </x:c>
      <x:c r="G14" s="5">
        <x:v>0</x:v>
      </x:c>
      <x:c r="H14" s="5">
        <x:v>0</x:v>
      </x:c>
      <x:c r="I14" s="5">
        <x:v>0</x:v>
      </x:c>
      <x:c r="J14" s="5">
        <x:v>0</x:v>
      </x:c>
      <x:c r="K14" s="5">
        <x:v>0</x:v>
      </x:c>
      <x:c r="L14" s="5">
        <x:v>0</x:v>
      </x:c>
    </x:row>
    <x:row r="15" spans="1:12" x14ac:dyDescent="0.2">
      <x:c r="A15" s="1">
        <x:f t="shared" si="0"/>
        <x:v>5</x:v>
      </x:c>
      <x:c r="B15" s="4">
        <x:f>+Base45h!B15</x:f>
        <x:v>45413</x:v>
      </x:c>
      <x:c r="C15" s="5">
        <x:v>24.800000000000011</x:v>
      </x:c>
      <x:c r="D15" s="5">
        <x:v>14.100000000000009</x:v>
      </x:c>
      <x:c r="E15" s="5">
        <x:v>47.800000000000026</x:v>
      </x:c>
      <x:c r="F15" s="5">
        <x:v>18.100000000000023</x:v>
      </x:c>
      <x:c r="G15" s="5">
        <x:v>16.100000000000023</x:v>
      </x:c>
      <x:c r="H15" s="5">
        <x:v>16.000000000000028</x:v>
      </x:c>
      <x:c r="I15" s="5">
        <x:v>24.700000000000031</x:v>
      </x:c>
      <x:c r="J15" s="5">
        <x:v>12.799999999999997</x:v>
      </x:c>
      <x:c r="K15" s="5">
        <x:v>27.500000000000028</x:v>
      </x:c>
      <x:c r="L15" s="5">
        <x:v>7.5</x:v>
      </x:c>
    </x:row>
    <x:row r="16" spans="1:12" x14ac:dyDescent="0.2">
      <x:c r="A16" s="1">
        <x:f t="shared" si="0"/>
        <x:v>6</x:v>
      </x:c>
      <x:c r="B16" s="4">
        <x:f>+Base45h!B16</x:f>
        <x:v>45444</x:v>
      </x:c>
      <x:c r="C16" s="5">
        <x:v>142.30000000000007</x:v>
      </x:c>
      <x:c r="D16" s="5">
        <x:v>66.700000000000045</x:v>
      </x:c>
      <x:c r="E16" s="5">
        <x:v>116.20000000000007</x:v>
      </x:c>
      <x:c r="F16" s="5">
        <x:v>107.80000000000004</x:v>
      </x:c>
      <x:c r="G16" s="5">
        <x:v>71.200000000000031</x:v>
      </x:c>
      <x:c r="H16" s="5">
        <x:v>109.50000000000009</x:v>
      </x:c>
      <x:c r="I16" s="5">
        <x:v>127.20000000000005</x:v>
      </x:c>
      <x:c r="J16" s="5">
        <x:v>108.30000000000005</x:v>
      </x:c>
      <x:c r="K16" s="5">
        <x:v>143.30000000000001</x:v>
      </x:c>
      <x:c r="L16" s="5">
        <x:v>126.20000000000003</x:v>
      </x:c>
    </x:row>
    <x:row r="17" spans="1:12" x14ac:dyDescent="0.2">
      <x:c r="A17" s="1">
        <x:f t="shared" si="0"/>
        <x:v>7</x:v>
      </x:c>
      <x:c r="B17" s="4">
        <x:f>+Base45h!B17</x:f>
        <x:v>45474</x:v>
      </x:c>
      <x:c r="C17" s="5">
        <x:v>153.50000000000011</x:v>
      </x:c>
      <x:c r="D17" s="5">
        <x:v>60.600000000000037</x:v>
      </x:c>
      <x:c r="E17" s="5">
        <x:v>88.300000000000097</x:v>
      </x:c>
      <x:c r="F17" s="5">
        <x:v>95.600000000000051</x:v>
      </x:c>
      <x:c r="G17" s="5">
        <x:v>69.300000000000054</x:v>
      </x:c>
      <x:c r="H17" s="5">
        <x:v>113.20000000000009</x:v>
      </x:c>
      <x:c r="I17" s="5">
        <x:v>146.80000000000007</x:v>
      </x:c>
      <x:c r="J17" s="5">
        <x:v>132.60000000000005</x:v>
      </x:c>
      <x:c r="K17" s="5">
        <x:v>94.300000000000011</x:v>
      </x:c>
      <x:c r="L17" s="5">
        <x:v>118.70000000000005</x:v>
      </x:c>
    </x:row>
    <x:row r="18" spans="1:12" x14ac:dyDescent="0.2">
      <x:c r="A18" s="1">
        <x:f t="shared" si="0"/>
        <x:v>8</x:v>
      </x:c>
      <x:c r="B18" s="4">
        <x:f>+Base45h!B18</x:f>
        <x:v>45505</x:v>
      </x:c>
      <x:c r="C18" s="5">
        <x:v>265.30000000000007</x:v>
      </x:c>
      <x:c r="D18" s="5">
        <x:v>130.90000000000009</x:v>
      </x:c>
      <x:c r="E18" s="5">
        <x:v>169.30000000000007</x:v>
      </x:c>
      <x:c r="F18" s="5">
        <x:v>205.20000000000005</x:v>
      </x:c>
      <x:c r="G18" s="5">
        <x:v>119.10000000000002</x:v>
      </x:c>
      <x:c r="H18" s="5">
        <x:v>208.8</x:v>
      </x:c>
      <x:c r="I18" s="5">
        <x:v>278.90000000000009</x:v>
      </x:c>
      <x:c r="J18" s="5">
        <x:v>263.30000000000007</x:v>
      </x:c>
      <x:c r="K18" s="5">
        <x:v>207.90000000000003</x:v>
      </x:c>
      <x:c r="L18" s="5">
        <x:v>185.10000000000002</x:v>
      </x:c>
    </x:row>
    <x:row r="19" spans="1:12" x14ac:dyDescent="0.2">
      <x:c r="A19" s="1">
        <x:f t="shared" si="0"/>
        <x:v>9</x:v>
      </x:c>
      <x:c r="B19" s="4">
        <x:f>+Base45h!B19</x:f>
        <x:v>45536</x:v>
      </x:c>
      <x:c r="C19" s="5">
        <x:v>45.800000000000026</x:v>
      </x:c>
      <x:c r="D19" s="5">
        <x:v>11.800000000000026</x:v>
      </x:c>
      <x:c r="E19" s="5">
        <x:v>62.600000000000023</x:v>
      </x:c>
      <x:c r="F19" s="5">
        <x:v>45.600000000000023</x:v>
      </x:c>
      <x:c r="G19" s="5">
        <x:v>8.5000000000000142</x:v>
      </x:c>
      <x:c r="H19" s="5">
        <x:v>37.700000000000017</x:v>
      </x:c>
      <x:c r="I19" s="5">
        <x:v>28.300000000000026</x:v>
      </x:c>
      <x:c r="J19" s="5">
        <x:v>36.500000000000043</x:v>
      </x:c>
      <x:c r="K19" s="5">
        <x:v>9.5999999999999943</x:v>
      </x:c>
      <x:c r="L19" s="5">
        <x:v>27.799999999999997</x:v>
      </x:c>
    </x:row>
    <x:row r="20" spans="1:12" x14ac:dyDescent="0.2">
      <x:c r="A20" s="1">
        <x:f t="shared" si="0"/>
        <x:v>10</x:v>
      </x:c>
      <x:c r="B20" s="4">
        <x:f>+Base45h!B20</x:f>
        <x:v>45566</x:v>
      </x:c>
      <x:c r="C20" s="5">
        <x:v>3.6000000000000085</x:v>
      </x:c>
      <x:c r="D20" s="5">
        <x:v>0</x:v>
      </x:c>
      <x:c r="E20" s="5">
        <x:v>2.3000000000000114</x:v>
      </x:c>
      <x:c r="F20" s="5">
        <x:v>3.7999999999999972</x:v>
      </x:c>
      <x:c r="G20" s="5">
        <x:v>0</x:v>
      </x:c>
      <x:c r="H20" s="5">
        <x:v>2.8000000000000114</x:v>
      </x:c>
      <x:c r="I20" s="5">
        <x:v>2.2000000000000028</x:v>
      </x:c>
      <x:c r="J20" s="5">
        <x:v>2.2000000000000171</x:v>
      </x:c>
      <x:c r="K20" s="5">
        <x:v>0</x:v>
      </x:c>
      <x:c r="L20" s="5">
        <x:v>0</x:v>
      </x:c>
    </x:row>
    <x:row r="21" spans="1:12" x14ac:dyDescent="0.2">
      <x:c r="A21" s="1">
        <x:f t="shared" si="0"/>
        <x:v>11</x:v>
      </x:c>
      <x:c r="B21" s="4">
        <x:f>+Base45h!B21</x:f>
        <x:v>45597</x:v>
      </x:c>
      <x:c r="C21" s="5">
        <x:v>0</x:v>
      </x:c>
      <x:c r="D21" s="5">
        <x:v>0</x:v>
      </x:c>
      <x:c r="E21" s="5">
        <x:v>0</x:v>
      </x:c>
      <x:c r="F21" s="5">
        <x:v>0</x:v>
      </x:c>
      <x:c r="G21" s="5">
        <x:v>0</x:v>
      </x:c>
      <x:c r="H21" s="5">
        <x:v>0</x:v>
      </x:c>
      <x:c r="I21" s="5">
        <x:v>0</x:v>
      </x:c>
      <x:c r="J21" s="5">
        <x:v>0</x:v>
      </x:c>
      <x:c r="K21" s="5">
        <x:v>0</x:v>
      </x:c>
      <x:c r="L21" s="5">
        <x:v>0</x:v>
      </x:c>
    </x:row>
    <x:row r="22" spans="1:12" x14ac:dyDescent="0.2">
      <x:c r="A22" s="1">
        <x:f t="shared" si="0"/>
        <x:v>12</x:v>
      </x:c>
      <x:c r="B22" s="4">
        <x:f>+Base45h!B22</x:f>
        <x:v>45627</x:v>
      </x:c>
      <x:c r="C22" s="5">
        <x:v>0</x:v>
      </x:c>
      <x:c r="D22" s="5">
        <x:v>0</x:v>
      </x:c>
      <x:c r="E22" s="5">
        <x:v>0</x:v>
      </x:c>
      <x:c r="F22" s="5">
        <x:v>0</x:v>
      </x:c>
      <x:c r="G22" s="5">
        <x:v>0</x:v>
      </x:c>
      <x:c r="H22" s="5">
        <x:v>0</x:v>
      </x:c>
      <x:c r="I22" s="5">
        <x:v>0</x:v>
      </x:c>
      <x:c r="J22" s="5">
        <x:v>0</x:v>
      </x:c>
      <x:c r="K22" s="5">
        <x:v>0</x:v>
      </x:c>
      <x:c r="L22" s="5">
        <x:v>0</x:v>
      </x:c>
    </x:row>
    <x:row r="23" spans="1:12" x14ac:dyDescent="0.2">
      <x:c r="A23" s="1">
        <x:f t="shared" si="0"/>
        <x:v>13</x:v>
      </x:c>
      <x:c r="B23" s="32" t="s">
        <x:v>15</x:v>
      </x:c>
      <x:c r="C23" s="33">
        <x:f>SUM(C11:C22)</x:f>
        <x:v>635.30000000000041</x:v>
      </x:c>
      <x:c r="D23" s="33">
        <x:f t="shared" ref="D23:L23" si="1">SUM(D11:D22)</x:f>
        <x:v>284.10000000000019</x:v>
      </x:c>
      <x:c r="E23" s="33">
        <x:f t="shared" si="1"/>
        <x:v>486.50000000000028</x:v>
      </x:c>
      <x:c r="F23" s="33">
        <x:f t="shared" si="1"/>
        <x:v>476.10000000000019</x:v>
      </x:c>
      <x:c r="G23" s="33">
        <x:f t="shared" si="1"/>
        <x:v>284.20000000000016</x:v>
      </x:c>
      <x:c r="H23" s="33">
        <x:f t="shared" si="1"/>
        <x:v>488.00000000000028</x:v>
      </x:c>
      <x:c r="I23" s="33">
        <x:f t="shared" si="1"/>
        <x:v>608.10000000000036</x:v>
      </x:c>
      <x:c r="J23" s="33">
        <x:f t="shared" si="1"/>
        <x:v>555.70000000000027</x:v>
      </x:c>
      <x:c r="K23" s="33">
        <x:f t="shared" si="1"/>
        <x:v>482.6</x:v>
      </x:c>
      <x:c r="L23" s="33">
        <x:f t="shared" si="1"/>
        <x:v>465.30000000000013</x:v>
      </x:c>
    </x:row>
    <x:row r="24" spans="1:12" x14ac:dyDescent="0.2">
      <x:c r="A24" s="1">
        <x:f t="shared" si="0"/>
        <x:v>14</x:v>
      </x:c>
    </x:row>
    <x:row r="25" spans="1:12" x14ac:dyDescent="0.2">
      <x:c r="A25" s="1">
        <x:f t="shared" si="0"/>
        <x:v>15</x:v>
      </x:c>
    </x:row>
    <x:row r="26" spans="1:12" ht="12" x14ac:dyDescent="0.25">
      <x:c r="A26" s="1">
        <x:f t="shared" si="0"/>
        <x:v>16</x:v>
      </x:c>
      <x:c r="B26" s="89" t="s">
        <x:v>87</x:v>
      </x:c>
      <x:c r="C26" s="89"/>
      <x:c r="D26" s="89"/>
      <x:c r="E26" s="89"/>
      <x:c r="F26" s="89"/>
      <x:c r="G26" s="89"/>
      <x:c r="H26" s="89"/>
      <x:c r="I26" s="89"/>
      <x:c r="J26" s="89"/>
      <x:c r="K26" s="89"/>
      <x:c r="L26" s="89"/>
    </x:row>
    <x:row r="27" spans="1:12" ht="34.799999999999997" thickBot="1" x14ac:dyDescent="0.25">
      <x:c r="A27" s="1">
        <x:f t="shared" si="0"/>
        <x:v>17</x:v>
      </x:c>
      <x:c r="C27" s="3" t="s">
        <x:v>55</x:v>
      </x:c>
      <x:c r="D27" s="3" t="s">
        <x:v>6</x:v>
      </x:c>
      <x:c r="E27" s="72" t="s">
        <x:v>7</x:v>
      </x:c>
      <x:c r="F27" s="72" t="s">
        <x:v>8</x:v>
      </x:c>
      <x:c r="G27" s="72" t="s">
        <x:v>9</x:v>
      </x:c>
      <x:c r="H27" s="72" t="s">
        <x:v>10</x:v>
      </x:c>
      <x:c r="I27" s="72" t="s">
        <x:v>11</x:v>
      </x:c>
      <x:c r="J27" s="72" t="s">
        <x:v>12</x:v>
      </x:c>
      <x:c r="K27" s="72" t="s">
        <x:v>13</x:v>
      </x:c>
      <x:c r="L27" s="72" t="s">
        <x:v>14</x:v>
      </x:c>
    </x:row>
    <x:row r="28" spans="1:12" x14ac:dyDescent="0.2">
      <x:c r="A28" s="1">
        <x:f t="shared" si="0"/>
        <x:v>18</x:v>
      </x:c>
      <x:c r="B28" s="4">
        <x:f>+Base45h!B28</x:f>
        <x:v>45292</x:v>
      </x:c>
      <x:c r="C28" s="5">
        <x:v>0</x:v>
      </x:c>
      <x:c r="D28" s="5">
        <x:v>0</x:v>
      </x:c>
      <x:c r="E28" s="5">
        <x:v>0</x:v>
      </x:c>
      <x:c r="F28" s="5">
        <x:v>0</x:v>
      </x:c>
      <x:c r="G28" s="5">
        <x:v>0</x:v>
      </x:c>
      <x:c r="H28" s="5">
        <x:v>0</x:v>
      </x:c>
      <x:c r="I28" s="5">
        <x:v>0</x:v>
      </x:c>
      <x:c r="J28" s="5">
        <x:v>0</x:v>
      </x:c>
      <x:c r="K28" s="5">
        <x:v>0</x:v>
      </x:c>
      <x:c r="L28" s="5">
        <x:v>0</x:v>
      </x:c>
    </x:row>
    <x:row r="29" spans="1:12" x14ac:dyDescent="0.2">
      <x:c r="A29" s="1">
        <x:f t="shared" si="0"/>
        <x:v>19</x:v>
      </x:c>
      <x:c r="B29" s="4">
        <x:f>+Base45h!B29</x:f>
        <x:v>45323</x:v>
      </x:c>
      <x:c r="C29" s="5">
        <x:v>0</x:v>
      </x:c>
      <x:c r="D29" s="5">
        <x:v>0</x:v>
      </x:c>
      <x:c r="E29" s="5">
        <x:v>0</x:v>
      </x:c>
      <x:c r="F29" s="5">
        <x:v>0</x:v>
      </x:c>
      <x:c r="G29" s="5">
        <x:v>0</x:v>
      </x:c>
      <x:c r="H29" s="5">
        <x:v>0</x:v>
      </x:c>
      <x:c r="I29" s="5">
        <x:v>0</x:v>
      </x:c>
      <x:c r="J29" s="5">
        <x:v>0</x:v>
      </x:c>
      <x:c r="K29" s="5">
        <x:v>0</x:v>
      </x:c>
      <x:c r="L29" s="5">
        <x:v>0</x:v>
      </x:c>
    </x:row>
    <x:row r="30" spans="1:12" x14ac:dyDescent="0.2">
      <x:c r="A30" s="1">
        <x:f t="shared" si="0"/>
        <x:v>20</x:v>
      </x:c>
      <x:c r="B30" s="4">
        <x:f>+Base45h!B30</x:f>
        <x:v>45352</x:v>
      </x:c>
      <x:c r="C30" s="5">
        <x:v>0</x:v>
      </x:c>
      <x:c r="D30" s="5">
        <x:v>0</x:v>
      </x:c>
      <x:c r="E30" s="5">
        <x:v>0</x:v>
      </x:c>
      <x:c r="F30" s="5">
        <x:v>0</x:v>
      </x:c>
      <x:c r="G30" s="5">
        <x:v>0</x:v>
      </x:c>
      <x:c r="H30" s="5">
        <x:v>0</x:v>
      </x:c>
      <x:c r="I30" s="5">
        <x:v>0</x:v>
      </x:c>
      <x:c r="J30" s="5">
        <x:v>0</x:v>
      </x:c>
      <x:c r="K30" s="5">
        <x:v>0</x:v>
      </x:c>
      <x:c r="L30" s="5">
        <x:v>0</x:v>
      </x:c>
    </x:row>
    <x:row r="31" spans="1:12" x14ac:dyDescent="0.2">
      <x:c r="A31" s="1">
        <x:f t="shared" si="0"/>
        <x:v>21</x:v>
      </x:c>
      <x:c r="B31" s="4">
        <x:f>+Base45h!B31</x:f>
        <x:v>45383</x:v>
      </x:c>
      <x:c r="C31" s="5">
        <x:v>0.625</x:v>
      </x:c>
      <x:c r="D31" s="5">
        <x:v>0.1450000000000003</x:v>
      </x:c>
      <x:c r="E31" s="5">
        <x:v>0.62875000000000514</x:v>
      </x:c>
      <x:c r="F31" s="5">
        <x:v>0.35666666666666491</x:v>
      </x:c>
      <x:c r="G31" s="5">
        <x:v>0.17250000000000015</x:v>
      </x:c>
      <x:c r="H31" s="5">
        <x:v>0.56833333333332947</x:v>
      </x:c>
      <x:c r="I31" s="5">
        <x:v>1.2733333333333374</x:v>
      </x:c>
      <x:c r="J31" s="5">
        <x:v>0.54458333333333475</x:v>
      </x:c>
      <x:c r="K31" s="5">
        <x:v>0.96499999999999986</x:v>
      </x:c>
      <x:c r="L31" s="5">
        <x:v>0.10833333333333002</x:v>
      </x:c>
    </x:row>
    <x:row r="32" spans="1:12" x14ac:dyDescent="0.2">
      <x:c r="A32" s="1">
        <x:f t="shared" si="0"/>
        <x:v>22</x:v>
      </x:c>
      <x:c r="B32" s="4">
        <x:f>+Base45h!B32</x:f>
        <x:v>45413</x:v>
      </x:c>
      <x:c r="C32" s="5">
        <x:v>16.625416666666673</x:v>
      </x:c>
      <x:c r="D32" s="5">
        <x:v>6.0054166666666653</x:v>
      </x:c>
      <x:c r="E32" s="5">
        <x:v>15.208749999999997</x:v>
      </x:c>
      <x:c r="F32" s="5">
        <x:v>10.28708333333334</x:v>
      </x:c>
      <x:c r="G32" s="5">
        <x:v>5.6141666666666676</x:v>
      </x:c>
      <x:c r="H32" s="5">
        <x:v>15.090416666666664</x:v>
      </x:c>
      <x:c r="I32" s="5">
        <x:v>21.214166666666664</x:v>
      </x:c>
      <x:c r="J32" s="5">
        <x:v>15.812500000000007</x:v>
      </x:c>
      <x:c r="K32" s="5">
        <x:v>30.403750000000013</x:v>
      </x:c>
      <x:c r="L32" s="5">
        <x:v>3.7708333333333344</x:v>
      </x:c>
    </x:row>
    <x:row r="33" spans="1:12" x14ac:dyDescent="0.2">
      <x:c r="A33" s="1">
        <x:f t="shared" si="0"/>
        <x:v>23</x:v>
      </x:c>
      <x:c r="B33" s="4">
        <x:f>+Base45h!B33</x:f>
        <x:v>45444</x:v>
      </x:c>
      <x:c r="C33" s="5">
        <x:v>118.5404166666667</x:v>
      </x:c>
      <x:c r="D33" s="5">
        <x:v>65.316666666666677</x:v>
      </x:c>
      <x:c r="E33" s="5">
        <x:v>87.321666666666701</x:v>
      </x:c>
      <x:c r="F33" s="5">
        <x:v>87.274583333333325</x:v>
      </x:c>
      <x:c r="G33" s="5">
        <x:v>61.30000000000004</x:v>
      </x:c>
      <x:c r="H33" s="5">
        <x:v>104.05083333333339</x:v>
      </x:c>
      <x:c r="I33" s="5">
        <x:v>80.163750000000022</x:v>
      </x:c>
      <x:c r="J33" s="5">
        <x:v>88.597083333333359</x:v>
      </x:c>
      <x:c r="K33" s="5">
        <x:v>109.83958333333335</x:v>
      </x:c>
      <x:c r="L33" s="5">
        <x:v>71.182083333333352</x:v>
      </x:c>
    </x:row>
    <x:row r="34" spans="1:12" x14ac:dyDescent="0.2">
      <x:c r="A34" s="1">
        <x:f t="shared" si="0"/>
        <x:v>24</x:v>
      </x:c>
      <x:c r="B34" s="4">
        <x:f>+Base45h!B34</x:f>
        <x:v>45474</x:v>
      </x:c>
      <x:c r="C34" s="5">
        <x:v>203.14666666666673</x:v>
      </x:c>
      <x:c r="D34" s="5">
        <x:v>99.571666666666687</x:v>
      </x:c>
      <x:c r="E34" s="5">
        <x:v>132.34916666666669</x:v>
      </x:c>
      <x:c r="F34" s="5">
        <x:v>150.66250000000005</x:v>
      </x:c>
      <x:c r="G34" s="5">
        <x:v>111.6979166666667</x:v>
      </x:c>
      <x:c r="H34" s="5">
        <x:v>179.40458333333331</x:v>
      </x:c>
      <x:c r="I34" s="5">
        <x:v>139.06875000000005</x:v>
      </x:c>
      <x:c r="J34" s="5">
        <x:v>165.67541666666671</x:v>
      </x:c>
      <x:c r="K34" s="5">
        <x:v>131.84125000000003</x:v>
      </x:c>
      <x:c r="L34" s="5">
        <x:v>143.70125000000004</x:v>
      </x:c>
    </x:row>
    <x:row r="35" spans="1:12" x14ac:dyDescent="0.2">
      <x:c r="A35" s="1">
        <x:f t="shared" si="0"/>
        <x:v>25</x:v>
      </x:c>
      <x:c r="B35" s="4">
        <x:f>+Base45h!B35</x:f>
        <x:v>45505</x:v>
      </x:c>
      <x:c r="C35" s="5">
        <x:v>215.07333333333335</x:v>
      </x:c>
      <x:c r="D35" s="5">
        <x:v>115.59458333333335</x:v>
      </x:c>
      <x:c r="E35" s="5">
        <x:v>157.11250000000001</x:v>
      </x:c>
      <x:c r="F35" s="5">
        <x:v>166.58958333333331</x:v>
      </x:c>
      <x:c r="G35" s="5">
        <x:v>126.02916666666671</x:v>
      </x:c>
      <x:c r="H35" s="5">
        <x:v>194.49250000000004</x:v>
      </x:c>
      <x:c r="I35" s="5">
        <x:v>140.77375000000001</x:v>
      </x:c>
      <x:c r="J35" s="5">
        <x:v>159.7120833333334</x:v>
      </x:c>
      <x:c r="K35" s="5">
        <x:v>112.5379166666667</x:v>
      </x:c>
      <x:c r="L35" s="5">
        <x:v>149.51291666666668</x:v>
      </x:c>
    </x:row>
    <x:row r="36" spans="1:12" x14ac:dyDescent="0.2">
      <x:c r="A36" s="1">
        <x:f t="shared" si="0"/>
        <x:v>26</x:v>
      </x:c>
      <x:c r="B36" s="4">
        <x:f>+Base45h!B36</x:f>
        <x:v>45536</x:v>
      </x:c>
      <x:c r="C36" s="5">
        <x:v>68.603333333333367</x:v>
      </x:c>
      <x:c r="D36" s="5">
        <x:v>26.271666666666686</x:v>
      </x:c>
      <x:c r="E36" s="5">
        <x:v>47.355000000000018</x:v>
      </x:c>
      <x:c r="F36" s="5">
        <x:v>44.977083333333333</x:v>
      </x:c>
      <x:c r="G36" s="5">
        <x:v>28.815833333333352</x:v>
      </x:c>
      <x:c r="H36" s="5">
        <x:v>58.426666666666684</x:v>
      </x:c>
      <x:c r="I36" s="5">
        <x:v>32.884583333333353</x:v>
      </x:c>
      <x:c r="J36" s="5">
        <x:v>34.748333333333349</x:v>
      </x:c>
      <x:c r="K36" s="5">
        <x:v>23.047500000000003</x:v>
      </x:c>
      <x:c r="L36" s="5">
        <x:v>40.965416666666684</x:v>
      </x:c>
    </x:row>
    <x:row r="37" spans="1:12" x14ac:dyDescent="0.2">
      <x:c r="A37" s="1">
        <x:f t="shared" si="0"/>
        <x:v>27</x:v>
      </x:c>
      <x:c r="B37" s="4">
        <x:f>+Base45h!B37</x:f>
        <x:v>45566</x:v>
      </x:c>
      <x:c r="C37" s="5">
        <x:v>5.0020833333333314</x:v>
      </x:c>
      <x:c r="D37" s="5">
        <x:v>0.75916666666666976</x:v>
      </x:c>
      <x:c r="E37" s="5">
        <x:v>3.6241666666666648</x:v>
      </x:c>
      <x:c r="F37" s="5">
        <x:v>2.3075000000000072</x:v>
      </x:c>
      <x:c r="G37" s="5">
        <x:v>0.25333333333333524</x:v>
      </x:c>
      <x:c r="H37" s="5">
        <x:v>4.8091666666666697</x:v>
      </x:c>
      <x:c r="I37" s="5">
        <x:v>0.8933333333333322</x:v>
      </x:c>
      <x:c r="J37" s="5">
        <x:v>1.2308333333333408</x:v>
      </x:c>
      <x:c r="K37" s="5">
        <x:v>0.36083333333333478</x:v>
      </x:c>
      <x:c r="L37" s="5">
        <x:v>0.95166666666667232</x:v>
      </x:c>
    </x:row>
    <x:row r="38" spans="1:12" x14ac:dyDescent="0.2">
      <x:c r="A38" s="1">
        <x:f t="shared" si="0"/>
        <x:v>28</x:v>
      </x:c>
      <x:c r="B38" s="4">
        <x:f>+Base45h!B38</x:f>
        <x:v>45597</x:v>
      </x:c>
      <x:c r="C38" s="5">
        <x:v>1.4999999999999857E-2</x:v>
      </x:c>
      <x:c r="D38" s="5">
        <x:v>0</x:v>
      </x:c>
      <x:c r="E38" s="5">
        <x:v>0</x:v>
      </x:c>
      <x:c r="F38" s="5">
        <x:v>0</x:v>
      </x:c>
      <x:c r="G38" s="5">
        <x:v>0</x:v>
      </x:c>
      <x:c r="H38" s="5">
        <x:v>0</x:v>
      </x:c>
      <x:c r="I38" s="5">
        <x:v>0</x:v>
      </x:c>
      <x:c r="J38" s="5">
        <x:v>0</x:v>
      </x:c>
      <x:c r="K38" s="5">
        <x:v>0</x:v>
      </x:c>
      <x:c r="L38" s="5">
        <x:v>0</x:v>
      </x:c>
    </x:row>
    <x:row r="39" spans="1:12" x14ac:dyDescent="0.2">
      <x:c r="A39" s="1">
        <x:f t="shared" si="0"/>
        <x:v>29</x:v>
      </x:c>
      <x:c r="B39" s="4">
        <x:f>+Base45h!B39</x:f>
        <x:v>45627</x:v>
      </x:c>
      <x:c r="C39" s="5">
        <x:v>0</x:v>
      </x:c>
      <x:c r="D39" s="5">
        <x:v>0</x:v>
      </x:c>
      <x:c r="E39" s="5">
        <x:v>0</x:v>
      </x:c>
      <x:c r="F39" s="5">
        <x:v>0</x:v>
      </x:c>
      <x:c r="G39" s="5">
        <x:v>0</x:v>
      </x:c>
      <x:c r="H39" s="5">
        <x:v>0</x:v>
      </x:c>
      <x:c r="I39" s="5">
        <x:v>0</x:v>
      </x:c>
      <x:c r="J39" s="5">
        <x:v>0</x:v>
      </x:c>
      <x:c r="K39" s="5">
        <x:v>0</x:v>
      </x:c>
      <x:c r="L39" s="5">
        <x:v>0</x:v>
      </x:c>
    </x:row>
    <x:row r="40" spans="1:12" x14ac:dyDescent="0.2">
      <x:c r="A40" s="1">
        <x:f t="shared" si="0"/>
        <x:v>30</x:v>
      </x:c>
      <x:c r="B40" s="32" t="s">
        <x:v>15</x:v>
      </x:c>
      <x:c r="C40" s="33">
        <x:f>SUM(C28:C39)</x:f>
        <x:v>627.63125000000014</x:v>
      </x:c>
      <x:c r="D40" s="33">
        <x:f t="shared" ref="D40:L40" si="2">SUM(D28:D39)</x:f>
        <x:v>313.66416666666674</x:v>
      </x:c>
      <x:c r="E40" s="33">
        <x:f t="shared" si="2"/>
        <x:v>443.60000000000008</x:v>
      </x:c>
      <x:c r="F40" s="33">
        <x:f t="shared" si="2"/>
        <x:v>462.45500000000004</x:v>
      </x:c>
      <x:c r="G40" s="33">
        <x:f t="shared" si="2"/>
        <x:v>333.88291666666674</x:v>
      </x:c>
      <x:c r="H40" s="33">
        <x:f t="shared" si="2"/>
        <x:v>556.84250000000009</x:v>
      </x:c>
      <x:c r="I40" s="33">
        <x:f t="shared" si="2"/>
        <x:v>416.27166666666676</x:v>
      </x:c>
      <x:c r="J40" s="33">
        <x:f t="shared" si="2"/>
        <x:v>466.3208333333335</x:v>
      </x:c>
      <x:c r="K40" s="33">
        <x:f t="shared" si="2"/>
        <x:v>408.99583333333351</x:v>
      </x:c>
      <x:c r="L40" s="33">
        <x:f t="shared" si="2"/>
        <x:v>410.19250000000005</x:v>
      </x:c>
    </x:row>
  </x:sheetData>
  <x:mergeCells count="7">
    <x:mergeCell ref="B26:L26"/>
    <x:mergeCell ref="B1:L1"/>
    <x:mergeCell ref="B2:L2"/>
    <x:mergeCell ref="B3:L3"/>
    <x:mergeCell ref="B4:L4"/>
    <x:mergeCell ref="B6:L6"/>
    <x:mergeCell ref="B9:L9"/>
  </x:mergeCells>
  <x:pageMargins left="0.75" right="0.75" top="1" bottom="1" header="0.5" footer="0.5"/>
  <x:pageSetup scale="73" firstPageNumber="3" orientation="portrait" r:id="rId1"/>
  <x:headerFooter alignWithMargins="0">
    <x:oddHeader>&amp;RSchedule II-H-5.1
Page &amp;P of  25</x:oddHeader>
  </x:headerFooter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pageSetUpPr fitToPage="1"/>
  </x:sheetPr>
  <x:dimension ref="A1:AC77"/>
  <x:sheetViews>
    <x:sheetView zoomScaleNormal="100" workbookViewId="0"/>
  </x:sheetViews>
  <x:sheetFormatPr defaultRowHeight="13.2" x14ac:dyDescent="0.25"/>
  <x:cols>
    <x:col min="2" max="2" width="10" style="9" bestFit="1" customWidth="1"/>
    <x:col min="3" max="6" width="5.44140625" bestFit="1" customWidth="1"/>
    <x:col min="7" max="7" width="8.77734375" customWidth="1"/>
    <x:col min="8" max="14" width="6.88671875" bestFit="1" customWidth="1"/>
    <x:col min="15" max="23" width="7" bestFit="1" customWidth="1"/>
    <x:col min="24" max="29" width="11.44140625" customWidth="1"/>
  </x:cols>
  <x:sheetData>
    <x:row r="1" spans="1:29" s="2" customFormat="1" ht="15.6" x14ac:dyDescent="0.3">
      <x:c r="B1" s="88" t="str">
        <x:f>+Base45h!B1</x:f>
        <x:v xml:space="preserve">PUC DOCKET NO. </x:v>
      </x:c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  <x:c r="P1" s="92"/>
      <x:c r="Q1" s="92"/>
      <x:c r="R1" s="92"/>
      <x:c r="S1" s="92"/>
      <x:c r="T1" s="92"/>
      <x:c r="U1" s="9"/>
      <x:c r="V1" s="9"/>
      <x:c r="W1" s="9"/>
      <x:c r="X1" s="9"/>
      <x:c r="Y1" s="9"/>
      <x:c r="Z1" s="9"/>
      <x:c r="AA1" s="9"/>
      <x:c r="AB1" s="9"/>
      <x:c r="AC1" s="9"/>
    </x:row>
    <x:row r="2" spans="1:29" s="2" customFormat="1" ht="15.6" x14ac:dyDescent="0.3">
      <x:c r="B2" s="88" t="str">
        <x:f>+Base45h!B2</x:f>
        <x:v>ONCOR ELECTRIC DELIVERY COMPANY LLC</x:v>
      </x:c>
      <x:c r="C2" s="92"/>
      <x:c r="D2" s="92"/>
      <x:c r="E2" s="92"/>
      <x:c r="F2" s="92"/>
      <x:c r="G2" s="92"/>
      <x:c r="H2" s="92"/>
      <x:c r="I2" s="92"/>
      <x:c r="J2" s="92"/>
      <x:c r="K2" s="92"/>
      <x:c r="L2" s="92"/>
      <x:c r="M2" s="92"/>
      <x:c r="N2" s="92"/>
      <x:c r="O2" s="92"/>
      <x:c r="P2" s="92"/>
      <x:c r="Q2" s="92"/>
      <x:c r="R2" s="92"/>
      <x:c r="S2" s="92"/>
      <x:c r="T2" s="92"/>
      <x:c r="U2" s="9"/>
      <x:c r="V2" s="9"/>
      <x:c r="W2" s="9"/>
      <x:c r="X2" s="9"/>
      <x:c r="Y2" s="9"/>
      <x:c r="Z2" s="9"/>
      <x:c r="AA2" s="9"/>
      <x:c r="AB2" s="9"/>
      <x:c r="AC2" s="9"/>
    </x:row>
    <x:row r="3" spans="1:29" s="2" customFormat="1" ht="15.6" x14ac:dyDescent="0.3">
      <x:c r="B3" s="88" t="str">
        <x:f>+Base45h!B3</x:f>
        <x:v>WEATHER STATION DATA</x:v>
      </x:c>
      <x:c r="C3" s="92"/>
      <x:c r="D3" s="92"/>
      <x:c r="E3" s="92"/>
      <x:c r="F3" s="92"/>
      <x:c r="G3" s="92"/>
      <x:c r="H3" s="92"/>
      <x:c r="I3" s="92"/>
      <x:c r="J3" s="92"/>
      <x:c r="K3" s="92"/>
      <x:c r="L3" s="92"/>
      <x:c r="M3" s="92"/>
      <x:c r="N3" s="92"/>
      <x:c r="O3" s="92"/>
      <x:c r="P3" s="92"/>
      <x:c r="Q3" s="92"/>
      <x:c r="R3" s="92"/>
      <x:c r="S3" s="92"/>
      <x:c r="T3" s="92"/>
      <x:c r="U3" s="9"/>
      <x:c r="V3" s="9"/>
      <x:c r="W3" s="9"/>
      <x:c r="X3" s="9"/>
      <x:c r="Y3" s="9"/>
      <x:c r="Z3" s="9"/>
      <x:c r="AA3" s="9"/>
      <x:c r="AB3" s="9"/>
      <x:c r="AC3" s="9"/>
    </x:row>
    <x:row r="4" spans="1:29" s="2" customFormat="1" ht="15.6" x14ac:dyDescent="0.3">
      <x:c r="B4" s="88" t="str">
        <x:f>+Base45h!B4</x:f>
        <x:v>FOR THE TEST YEAR ENDING DECEMBER 31, 2024</x:v>
      </x:c>
      <x:c r="C4" s="92"/>
      <x:c r="D4" s="92"/>
      <x:c r="E4" s="92"/>
      <x:c r="F4" s="92"/>
      <x:c r="G4" s="92"/>
      <x:c r="H4" s="92"/>
      <x:c r="I4" s="92"/>
      <x:c r="J4" s="92"/>
      <x:c r="K4" s="92"/>
      <x:c r="L4" s="92"/>
      <x:c r="M4" s="92"/>
      <x:c r="N4" s="92"/>
      <x:c r="O4" s="92"/>
      <x:c r="P4" s="92"/>
      <x:c r="Q4" s="92"/>
      <x:c r="R4" s="92"/>
      <x:c r="S4" s="92"/>
      <x:c r="T4" s="92"/>
      <x:c r="U4" s="9"/>
      <x:c r="V4" s="9"/>
      <x:c r="W4" s="9"/>
      <x:c r="X4" s="9"/>
      <x:c r="Y4" s="9"/>
      <x:c r="Z4" s="9"/>
      <x:c r="AA4" s="9"/>
      <x:c r="AB4" s="9"/>
      <x:c r="AC4" s="9"/>
    </x:row>
    <x:row r="5" spans="1:29" s="2" customFormat="1" ht="11.4" x14ac:dyDescent="0.2">
      <x:c r="B5" s="1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7"/>
      <x:c r="V5" s="17"/>
      <x:c r="W5" s="17"/>
      <x:c r="X5" s="17"/>
      <x:c r="Y5" s="17"/>
      <x:c r="Z5" s="17"/>
      <x:c r="AA5" s="17"/>
      <x:c r="AB5" s="17"/>
      <x:c r="AC5" s="17"/>
    </x:row>
    <x:row r="6" spans="1:29" s="2" customFormat="1" ht="15.6" x14ac:dyDescent="0.3">
      <x:c r="B6" s="88" t="str">
        <x:f>+Base45h!B6</x:f>
        <x:v>SPONSOR: D. E. NELSON</x:v>
      </x:c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"/>
      <x:c r="V6" s="9"/>
      <x:c r="W6" s="9"/>
      <x:c r="X6" s="9"/>
      <x:c r="Y6" s="9"/>
      <x:c r="Z6" s="9"/>
      <x:c r="AA6" s="9"/>
      <x:c r="AB6" s="9"/>
      <x:c r="AC6" s="9"/>
    </x:row>
    <x:row r="7" spans="1:29" ht="24" thickBot="1" x14ac:dyDescent="0.3">
      <x:c r="A7" s="3" t="s">
        <x:v>4</x:v>
      </x:c>
    </x:row>
    <x:row r="9" spans="1:29" x14ac:dyDescent="0.25">
      <x:c r="A9">
        <x:v>1</x:v>
      </x:c>
      <x:c r="B9" s="91" t="s">
        <x:v>117</x:v>
      </x:c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</x:row>
    <x:row r="10" spans="1:29" s="10" customFormat="1" x14ac:dyDescent="0.25">
      <x:c r="A10" s="30">
        <x:f>+A9+1</x:f>
        <x:v>2</x:v>
      </x:c>
      <x:c r="B10" s="31" t="s">
        <x:v>28</x:v>
      </x:c>
      <x:c r="C10" s="31" t="s">
        <x:v>29</x:v>
      </x:c>
      <x:c r="D10" s="31" t="s">
        <x:v>30</x:v>
      </x:c>
      <x:c r="E10" s="31" t="s">
        <x:v>31</x:v>
      </x:c>
      <x:c r="F10" s="31" t="s">
        <x:v>32</x:v>
      </x:c>
      <x:c r="G10" s="31" t="s">
        <x:v>33</x:v>
      </x:c>
      <x:c r="H10" s="31" t="s">
        <x:v>34</x:v>
      </x:c>
      <x:c r="I10" s="31" t="s">
        <x:v>35</x:v>
      </x:c>
      <x:c r="J10" s="31" t="s">
        <x:v>36</x:v>
      </x:c>
      <x:c r="K10" s="31" t="s">
        <x:v>37</x:v>
      </x:c>
      <x:c r="L10" s="31" t="s">
        <x:v>38</x:v>
      </x:c>
      <x:c r="M10" s="31" t="s">
        <x:v>39</x:v>
      </x:c>
      <x:c r="N10" s="31" t="s">
        <x:v>40</x:v>
      </x:c>
      <x:c r="O10" s="31" t="s">
        <x:v>41</x:v>
      </x:c>
      <x:c r="P10" s="31" t="s">
        <x:v>42</x:v>
      </x:c>
      <x:c r="Q10" s="31" t="s">
        <x:v>43</x:v>
      </x:c>
      <x:c r="R10" s="31" t="s">
        <x:v>44</x:v>
      </x:c>
      <x:c r="S10" s="31" t="s">
        <x:v>45</x:v>
      </x:c>
      <x:c r="T10" s="10" t="s">
        <x:v>46</x:v>
      </x:c>
      <x:c r="U10" s="57" t="s">
        <x:v>47</x:v>
      </x:c>
      <x:c r="V10" s="57" t="s">
        <x:v>48</x:v>
      </x:c>
    </x:row>
    <x:row r="11" spans="1:29" x14ac:dyDescent="0.25">
      <x:c r="A11">
        <x:f t="shared" ref="A11:B26" si="0">+A10+1</x:f>
        <x:v>3</x:v>
      </x:c>
      <x:c r="B11" s="11">
        <x:v>44927</x:v>
      </x:c>
      <x:c r="C11">
        <x:v>58</x:v>
      </x:c>
      <x:c r="D11">
        <x:v>57</x:v>
      </x:c>
      <x:c r="E11">
        <x:v>54</x:v>
      </x:c>
      <x:c r="F11">
        <x:v>53</x:v>
      </x:c>
      <x:c r="G11">
        <x:v>52</x:v>
      </x:c>
      <x:c r="H11">
        <x:v>53</x:v>
      </x:c>
      <x:c r="I11">
        <x:v>51</x:v>
      </x:c>
      <x:c r="J11">
        <x:v>52</x:v>
      </x:c>
      <x:c r="K11">
        <x:v>51</x:v>
      </x:c>
      <x:c r="L11">
        <x:v>55</x:v>
      </x:c>
      <x:c r="M11">
        <x:v>59</x:v>
      </x:c>
      <x:c r="N11">
        <x:v>64</x:v>
      </x:c>
      <x:c r="O11">
        <x:v>69</x:v>
      </x:c>
      <x:c r="P11">
        <x:v>76</x:v>
      </x:c>
      <x:c r="Q11">
        <x:v>78</x:v>
      </x:c>
      <x:c r="R11">
        <x:v>77</x:v>
      </x:c>
      <x:c r="S11">
        <x:v>77</x:v>
      </x:c>
      <x:c r="T11">
        <x:v>74</x:v>
      </x:c>
      <x:c r="U11">
        <x:v>69</x:v>
      </x:c>
      <x:c r="V11">
        <x:v>62</x:v>
      </x:c>
    </x:row>
    <x:row r="12" spans="1:29" x14ac:dyDescent="0.25">
      <x:c r="A12">
        <x:f t="shared" si="0"/>
        <x:v>4</x:v>
      </x:c>
      <x:c r="B12" s="11">
        <x:f>+B11+1</x:f>
        <x:v>44928</x:v>
      </x:c>
      <x:c r="C12">
        <x:v>63</x:v>
      </x:c>
      <x:c r="D12">
        <x:v>62</x:v>
      </x:c>
      <x:c r="E12">
        <x:v>60</x:v>
      </x:c>
      <x:c r="F12">
        <x:v>59</x:v>
      </x:c>
      <x:c r="G12">
        <x:v>58</x:v>
      </x:c>
      <x:c r="H12">
        <x:v>60</x:v>
      </x:c>
      <x:c r="I12">
        <x:v>62</x:v>
      </x:c>
      <x:c r="J12">
        <x:v>62</x:v>
      </x:c>
      <x:c r="K12">
        <x:v>61</x:v>
      </x:c>
      <x:c r="L12">
        <x:v>64</x:v>
      </x:c>
      <x:c r="M12">
        <x:v>66</x:v>
      </x:c>
      <x:c r="N12">
        <x:v>68</x:v>
      </x:c>
      <x:c r="O12">
        <x:v>69</x:v>
      </x:c>
      <x:c r="P12">
        <x:v>71</x:v>
      </x:c>
      <x:c r="Q12">
        <x:v>73</x:v>
      </x:c>
      <x:c r="R12">
        <x:v>74</x:v>
      </x:c>
      <x:c r="S12">
        <x:v>75</x:v>
      </x:c>
      <x:c r="T12">
        <x:v>76</x:v>
      </x:c>
      <x:c r="U12">
        <x:v>65</x:v>
      </x:c>
      <x:c r="V12">
        <x:v>63</x:v>
      </x:c>
    </x:row>
    <x:row r="13" spans="1:29" x14ac:dyDescent="0.25">
      <x:c r="A13">
        <x:f t="shared" si="0"/>
        <x:v>5</x:v>
      </x:c>
      <x:c r="B13" s="11">
        <x:f t="shared" si="0"/>
        <x:v>44929</x:v>
      </x:c>
      <x:c r="C13">
        <x:v>52</x:v>
      </x:c>
      <x:c r="D13">
        <x:v>51</x:v>
      </x:c>
      <x:c r="E13">
        <x:v>49</x:v>
      </x:c>
      <x:c r="F13">
        <x:v>48</x:v>
      </x:c>
      <x:c r="G13">
        <x:v>48</x:v>
      </x:c>
      <x:c r="H13">
        <x:v>47</x:v>
      </x:c>
      <x:c r="I13">
        <x:v>45</x:v>
      </x:c>
      <x:c r="J13">
        <x:v>46</x:v>
      </x:c>
      <x:c r="K13">
        <x:v>46</x:v>
      </x:c>
      <x:c r="L13">
        <x:v>49</x:v>
      </x:c>
      <x:c r="M13">
        <x:v>53</x:v>
      </x:c>
      <x:c r="N13">
        <x:v>57</x:v>
      </x:c>
      <x:c r="O13">
        <x:v>57</x:v>
      </x:c>
      <x:c r="P13">
        <x:v>59</x:v>
      </x:c>
      <x:c r="Q13">
        <x:v>60</x:v>
      </x:c>
      <x:c r="R13">
        <x:v>60</x:v>
      </x:c>
      <x:c r="S13">
        <x:v>59</x:v>
      </x:c>
      <x:c r="T13">
        <x:v>57</x:v>
      </x:c>
      <x:c r="U13">
        <x:v>56</x:v>
      </x:c>
      <x:c r="V13">
        <x:v>53</x:v>
      </x:c>
    </x:row>
    <x:row r="14" spans="1:29" x14ac:dyDescent="0.25">
      <x:c r="A14">
        <x:f t="shared" si="0"/>
        <x:v>6</x:v>
      </x:c>
      <x:c r="B14" s="11">
        <x:f t="shared" si="0"/>
        <x:v>44930</x:v>
      </x:c>
      <x:c r="C14">
        <x:v>51</x:v>
      </x:c>
      <x:c r="D14">
        <x:v>49</x:v>
      </x:c>
      <x:c r="E14">
        <x:v>47</x:v>
      </x:c>
      <x:c r="F14">
        <x:v>44</x:v>
      </x:c>
      <x:c r="G14">
        <x:v>48</x:v>
      </x:c>
      <x:c r="H14">
        <x:v>47</x:v>
      </x:c>
      <x:c r="I14">
        <x:v>45</x:v>
      </x:c>
      <x:c r="J14">
        <x:v>44</x:v>
      </x:c>
      <x:c r="K14">
        <x:v>46</x:v>
      </x:c>
      <x:c r="L14">
        <x:v>50</x:v>
      </x:c>
      <x:c r="M14">
        <x:v>55</x:v>
      </x:c>
      <x:c r="N14">
        <x:v>57</x:v>
      </x:c>
      <x:c r="O14">
        <x:v>59</x:v>
      </x:c>
      <x:c r="P14">
        <x:v>61</x:v>
      </x:c>
      <x:c r="Q14">
        <x:v>63</x:v>
      </x:c>
      <x:c r="R14">
        <x:v>64</x:v>
      </x:c>
      <x:c r="S14">
        <x:v>64</x:v>
      </x:c>
      <x:c r="T14">
        <x:v>63</x:v>
      </x:c>
      <x:c r="U14">
        <x:v>59</x:v>
      </x:c>
      <x:c r="V14">
        <x:v>56</x:v>
      </x:c>
    </x:row>
    <x:row r="15" spans="1:29" x14ac:dyDescent="0.25">
      <x:c r="A15">
        <x:f t="shared" si="0"/>
        <x:v>7</x:v>
      </x:c>
      <x:c r="B15" s="11">
        <x:f t="shared" si="0"/>
        <x:v>44931</x:v>
      </x:c>
      <x:c r="C15">
        <x:v>41</x:v>
      </x:c>
      <x:c r="D15">
        <x:v>41</x:v>
      </x:c>
      <x:c r="E15">
        <x:v>38</x:v>
      </x:c>
      <x:c r="F15">
        <x:v>36</x:v>
      </x:c>
      <x:c r="G15">
        <x:v>37</x:v>
      </x:c>
      <x:c r="H15">
        <x:v>30</x:v>
      </x:c>
      <x:c r="I15">
        <x:v>31</x:v>
      </x:c>
      <x:c r="J15">
        <x:v>30</x:v>
      </x:c>
      <x:c r="K15">
        <x:v>32</x:v>
      </x:c>
      <x:c r="L15">
        <x:v>36</x:v>
      </x:c>
      <x:c r="M15">
        <x:v>41</x:v>
      </x:c>
      <x:c r="N15">
        <x:v>48</x:v>
      </x:c>
      <x:c r="O15">
        <x:v>53</x:v>
      </x:c>
      <x:c r="P15">
        <x:v>58</x:v>
      </x:c>
      <x:c r="Q15">
        <x:v>62</x:v>
      </x:c>
      <x:c r="R15">
        <x:v>62</x:v>
      </x:c>
      <x:c r="S15">
        <x:v>63</x:v>
      </x:c>
      <x:c r="T15">
        <x:v>63</x:v>
      </x:c>
      <x:c r="U15">
        <x:v>58</x:v>
      </x:c>
      <x:c r="V15">
        <x:v>52</x:v>
      </x:c>
    </x:row>
    <x:row r="16" spans="1:29" x14ac:dyDescent="0.25">
      <x:c r="A16">
        <x:f t="shared" si="0"/>
        <x:v>8</x:v>
      </x:c>
      <x:c r="B16" s="11">
        <x:f t="shared" si="0"/>
        <x:v>44932</x:v>
      </x:c>
      <x:c r="C16">
        <x:v>51</x:v>
      </x:c>
      <x:c r="D16">
        <x:v>50</x:v>
      </x:c>
      <x:c r="E16">
        <x:v>46</x:v>
      </x:c>
      <x:c r="F16">
        <x:v>50</x:v>
      </x:c>
      <x:c r="G16">
        <x:v>48</x:v>
      </x:c>
      <x:c r="H16">
        <x:v>47</x:v>
      </x:c>
      <x:c r="I16">
        <x:v>50</x:v>
      </x:c>
      <x:c r="J16">
        <x:v>51</x:v>
      </x:c>
      <x:c r="K16">
        <x:v>50</x:v>
      </x:c>
      <x:c r="L16">
        <x:v>57</x:v>
      </x:c>
      <x:c r="M16">
        <x:v>61</x:v>
      </x:c>
      <x:c r="N16">
        <x:v>64</x:v>
      </x:c>
      <x:c r="O16">
        <x:v>67</x:v>
      </x:c>
      <x:c r="P16">
        <x:v>71</x:v>
      </x:c>
      <x:c r="Q16">
        <x:v>76</x:v>
      </x:c>
      <x:c r="R16">
        <x:v>77</x:v>
      </x:c>
      <x:c r="S16">
        <x:v>76</x:v>
      </x:c>
      <x:c r="T16">
        <x:v>75</x:v>
      </x:c>
      <x:c r="U16">
        <x:v>73</x:v>
      </x:c>
      <x:c r="V16">
        <x:v>69</x:v>
      </x:c>
    </x:row>
    <x:row r="17" spans="1:22" x14ac:dyDescent="0.25">
      <x:c r="A17">
        <x:f t="shared" si="0"/>
        <x:v>9</x:v>
      </x:c>
      <x:c r="B17" s="11">
        <x:f t="shared" si="0"/>
        <x:v>44933</x:v>
      </x:c>
      <x:c r="C17">
        <x:v>63</x:v>
      </x:c>
      <x:c r="D17">
        <x:v>59</x:v>
      </x:c>
      <x:c r="E17">
        <x:v>57</x:v>
      </x:c>
      <x:c r="F17">
        <x:v>54</x:v>
      </x:c>
      <x:c r="G17">
        <x:v>54</x:v>
      </x:c>
      <x:c r="H17">
        <x:v>52</x:v>
      </x:c>
      <x:c r="I17">
        <x:v>46</x:v>
      </x:c>
      <x:c r="J17">
        <x:v>45</x:v>
      </x:c>
      <x:c r="K17">
        <x:v>44</x:v>
      </x:c>
      <x:c r="L17">
        <x:v>46</x:v>
      </x:c>
      <x:c r="M17">
        <x:v>44</x:v>
      </x:c>
      <x:c r="N17">
        <x:v>49</x:v>
      </x:c>
      <x:c r="O17">
        <x:v>52</x:v>
      </x:c>
      <x:c r="P17">
        <x:v>55</x:v>
      </x:c>
      <x:c r="Q17">
        <x:v>55</x:v>
      </x:c>
      <x:c r="R17">
        <x:v>56</x:v>
      </x:c>
      <x:c r="S17">
        <x:v>55</x:v>
      </x:c>
      <x:c r="T17">
        <x:v>53</x:v>
      </x:c>
      <x:c r="U17">
        <x:v>51</x:v>
      </x:c>
      <x:c r="V17">
        <x:v>46</x:v>
      </x:c>
    </x:row>
    <x:row r="18" spans="1:22" x14ac:dyDescent="0.25">
      <x:c r="A18">
        <x:f t="shared" si="0"/>
        <x:v>10</x:v>
      </x:c>
      <x:c r="B18" s="11">
        <x:f t="shared" si="0"/>
        <x:v>44934</x:v>
      </x:c>
      <x:c r="C18">
        <x:v>44</x:v>
      </x:c>
      <x:c r="D18">
        <x:v>44</x:v>
      </x:c>
      <x:c r="E18">
        <x:v>44</x:v>
      </x:c>
      <x:c r="F18">
        <x:v>42</x:v>
      </x:c>
      <x:c r="G18">
        <x:v>42</x:v>
      </x:c>
      <x:c r="H18">
        <x:v>42</x:v>
      </x:c>
      <x:c r="I18">
        <x:v>39</x:v>
      </x:c>
      <x:c r="J18">
        <x:v>34</x:v>
      </x:c>
      <x:c r="K18">
        <x:v>35</x:v>
      </x:c>
      <x:c r="L18">
        <x:v>41</x:v>
      </x:c>
      <x:c r="M18">
        <x:v>46</x:v>
      </x:c>
      <x:c r="N18">
        <x:v>50</x:v>
      </x:c>
      <x:c r="O18">
        <x:v>54</x:v>
      </x:c>
      <x:c r="P18">
        <x:v>58</x:v>
      </x:c>
      <x:c r="Q18">
        <x:v>61</x:v>
      </x:c>
      <x:c r="R18">
        <x:v>63</x:v>
      </x:c>
      <x:c r="S18">
        <x:v>63</x:v>
      </x:c>
      <x:c r="T18">
        <x:v>63</x:v>
      </x:c>
      <x:c r="U18">
        <x:v>57</x:v>
      </x:c>
      <x:c r="V18">
        <x:v>49</x:v>
      </x:c>
    </x:row>
    <x:row r="19" spans="1:22" x14ac:dyDescent="0.25">
      <x:c r="A19">
        <x:f t="shared" si="0"/>
        <x:v>11</x:v>
      </x:c>
      <x:c r="B19" s="11">
        <x:f t="shared" si="0"/>
        <x:v>44935</x:v>
      </x:c>
      <x:c r="C19">
        <x:v>51</x:v>
      </x:c>
      <x:c r="D19">
        <x:v>52</x:v>
      </x:c>
      <x:c r="E19">
        <x:v>52</x:v>
      </x:c>
      <x:c r="F19">
        <x:v>51</x:v>
      </x:c>
      <x:c r="G19">
        <x:v>51</x:v>
      </x:c>
      <x:c r="H19">
        <x:v>50</x:v>
      </x:c>
      <x:c r="I19">
        <x:v>51</x:v>
      </x:c>
      <x:c r="J19">
        <x:v>51</x:v>
      </x:c>
      <x:c r="K19">
        <x:v>51</x:v>
      </x:c>
      <x:c r="L19">
        <x:v>55</x:v>
      </x:c>
      <x:c r="M19">
        <x:v>58</x:v>
      </x:c>
      <x:c r="N19">
        <x:v>62</x:v>
      </x:c>
      <x:c r="O19">
        <x:v>66</x:v>
      </x:c>
      <x:c r="P19">
        <x:v>70</x:v>
      </x:c>
      <x:c r="Q19">
        <x:v>74</x:v>
      </x:c>
      <x:c r="R19">
        <x:v>76</x:v>
      </x:c>
      <x:c r="S19">
        <x:v>77</x:v>
      </x:c>
      <x:c r="T19">
        <x:v>75</x:v>
      </x:c>
      <x:c r="U19">
        <x:v>70</x:v>
      </x:c>
      <x:c r="V19">
        <x:v>61</x:v>
      </x:c>
    </x:row>
    <x:row r="20" spans="1:22" x14ac:dyDescent="0.25">
      <x:c r="A20">
        <x:f t="shared" si="0"/>
        <x:v>12</x:v>
      </x:c>
      <x:c r="B20" s="11">
        <x:f t="shared" si="0"/>
        <x:v>44936</x:v>
      </x:c>
      <x:c r="C20">
        <x:v>51</x:v>
      </x:c>
      <x:c r="D20">
        <x:v>54</x:v>
      </x:c>
      <x:c r="E20">
        <x:v>53</x:v>
      </x:c>
      <x:c r="F20">
        <x:v>53</x:v>
      </x:c>
      <x:c r="G20">
        <x:v>55</x:v>
      </x:c>
      <x:c r="H20">
        <x:v>55</x:v>
      </x:c>
      <x:c r="I20">
        <x:v>55</x:v>
      </x:c>
      <x:c r="J20">
        <x:v>55</x:v>
      </x:c>
      <x:c r="K20">
        <x:v>54</x:v>
      </x:c>
      <x:c r="L20">
        <x:v>57</x:v>
      </x:c>
      <x:c r="M20">
        <x:v>63</x:v>
      </x:c>
      <x:c r="N20">
        <x:v>68</x:v>
      </x:c>
      <x:c r="O20">
        <x:v>75</x:v>
      </x:c>
      <x:c r="P20">
        <x:v>81</x:v>
      </x:c>
      <x:c r="Q20">
        <x:v>82</x:v>
      </x:c>
      <x:c r="R20">
        <x:v>83</x:v>
      </x:c>
      <x:c r="S20">
        <x:v>82</x:v>
      </x:c>
      <x:c r="T20">
        <x:v>82</x:v>
      </x:c>
      <x:c r="U20">
        <x:v>75</x:v>
      </x:c>
      <x:c r="V20">
        <x:v>70</x:v>
      </x:c>
    </x:row>
    <x:row r="21" spans="1:22" x14ac:dyDescent="0.25">
      <x:c r="A21">
        <x:f t="shared" si="0"/>
        <x:v>13</x:v>
      </x:c>
      <x:c r="B21" s="11">
        <x:f t="shared" si="0"/>
        <x:v>44937</x:v>
      </x:c>
      <x:c r="C21">
        <x:v>62</x:v>
      </x:c>
      <x:c r="D21">
        <x:v>61</x:v>
      </x:c>
      <x:c r="E21">
        <x:v>56</x:v>
      </x:c>
      <x:c r="F21">
        <x:v>58</x:v>
      </x:c>
      <x:c r="G21">
        <x:v>58</x:v>
      </x:c>
      <x:c r="H21">
        <x:v>57</x:v>
      </x:c>
      <x:c r="I21">
        <x:v>57</x:v>
      </x:c>
      <x:c r="J21">
        <x:v>49</x:v>
      </x:c>
      <x:c r="K21">
        <x:v>54</x:v>
      </x:c>
      <x:c r="L21">
        <x:v>63</x:v>
      </x:c>
      <x:c r="M21">
        <x:v>68</x:v>
      </x:c>
      <x:c r="N21">
        <x:v>74</x:v>
      </x:c>
      <x:c r="O21">
        <x:v>76</x:v>
      </x:c>
      <x:c r="P21">
        <x:v>77</x:v>
      </x:c>
      <x:c r="Q21">
        <x:v>82</x:v>
      </x:c>
      <x:c r="R21">
        <x:v>83</x:v>
      </x:c>
      <x:c r="S21">
        <x:v>81</x:v>
      </x:c>
      <x:c r="T21">
        <x:v>77</x:v>
      </x:c>
      <x:c r="U21">
        <x:v>73</x:v>
      </x:c>
      <x:c r="V21">
        <x:v>73</x:v>
      </x:c>
    </x:row>
    <x:row r="22" spans="1:22" x14ac:dyDescent="0.25">
      <x:c r="A22">
        <x:f t="shared" si="0"/>
        <x:v>14</x:v>
      </x:c>
      <x:c r="B22" s="11">
        <x:f t="shared" si="0"/>
        <x:v>44938</x:v>
      </x:c>
      <x:c r="C22">
        <x:v>60</x:v>
      </x:c>
      <x:c r="D22">
        <x:v>57</x:v>
      </x:c>
      <x:c r="E22">
        <x:v>50</x:v>
      </x:c>
      <x:c r="F22">
        <x:v>48</x:v>
      </x:c>
      <x:c r="G22">
        <x:v>46</x:v>
      </x:c>
      <x:c r="H22">
        <x:v>45</x:v>
      </x:c>
      <x:c r="I22">
        <x:v>43</x:v>
      </x:c>
      <x:c r="J22">
        <x:v>42</x:v>
      </x:c>
      <x:c r="K22">
        <x:v>42</x:v>
      </x:c>
      <x:c r="L22">
        <x:v>44</x:v>
      </x:c>
      <x:c r="M22">
        <x:v>48</x:v>
      </x:c>
      <x:c r="N22">
        <x:v>51</x:v>
      </x:c>
      <x:c r="O22">
        <x:v>53</x:v>
      </x:c>
      <x:c r="P22">
        <x:v>55</x:v>
      </x:c>
      <x:c r="Q22">
        <x:v>57</x:v>
      </x:c>
      <x:c r="R22">
        <x:v>58</x:v>
      </x:c>
      <x:c r="S22">
        <x:v>58</x:v>
      </x:c>
      <x:c r="T22">
        <x:v>56</x:v>
      </x:c>
      <x:c r="U22">
        <x:v>53</x:v>
      </x:c>
      <x:c r="V22">
        <x:v>49</x:v>
      </x:c>
    </x:row>
    <x:row r="23" spans="1:22" x14ac:dyDescent="0.25">
      <x:c r="A23">
        <x:f t="shared" si="0"/>
        <x:v>15</x:v>
      </x:c>
      <x:c r="B23" s="11">
        <x:f t="shared" si="0"/>
        <x:v>44939</x:v>
      </x:c>
      <x:c r="C23">
        <x:v>35</x:v>
      </x:c>
      <x:c r="D23">
        <x:v>38</x:v>
      </x:c>
      <x:c r="E23">
        <x:v>33</x:v>
      </x:c>
      <x:c r="F23">
        <x:v>37</x:v>
      </x:c>
      <x:c r="G23">
        <x:v>34</x:v>
      </x:c>
      <x:c r="H23">
        <x:v>33</x:v>
      </x:c>
      <x:c r="I23">
        <x:v>32</x:v>
      </x:c>
      <x:c r="J23">
        <x:v>31</x:v>
      </x:c>
      <x:c r="K23">
        <x:v>31</x:v>
      </x:c>
      <x:c r="L23">
        <x:v>36</x:v>
      </x:c>
      <x:c r="M23">
        <x:v>47</x:v>
      </x:c>
      <x:c r="N23">
        <x:v>53</x:v>
      </x:c>
      <x:c r="O23">
        <x:v>56</x:v>
      </x:c>
      <x:c r="P23">
        <x:v>58</x:v>
      </x:c>
      <x:c r="Q23">
        <x:v>60</x:v>
      </x:c>
      <x:c r="R23">
        <x:v>63</x:v>
      </x:c>
      <x:c r="S23">
        <x:v>64</x:v>
      </x:c>
      <x:c r="T23">
        <x:v>62</x:v>
      </x:c>
      <x:c r="U23">
        <x:v>57</x:v>
      </x:c>
      <x:c r="V23">
        <x:v>52</x:v>
      </x:c>
    </x:row>
    <x:row r="24" spans="1:22" s="18" customFormat="1" x14ac:dyDescent="0.25">
      <x:c r="A24" s="18">
        <x:f t="shared" si="0"/>
        <x:v>16</x:v>
      </x:c>
      <x:c r="B24" s="11">
        <x:f t="shared" si="0"/>
        <x:v>44940</x:v>
      </x:c>
      <x:c r="C24">
        <x:v>42</x:v>
      </x:c>
      <x:c r="D24">
        <x:v>43</x:v>
      </x:c>
      <x:c r="E24">
        <x:v>45</x:v>
      </x:c>
      <x:c r="F24">
        <x:v>46</x:v>
      </x:c>
      <x:c r="G24">
        <x:v>47</x:v>
      </x:c>
      <x:c r="H24">
        <x:v>47</x:v>
      </x:c>
      <x:c r="I24">
        <x:v>47</x:v>
      </x:c>
      <x:c r="J24">
        <x:v>44</x:v>
      </x:c>
      <x:c r="K24">
        <x:v>44</x:v>
      </x:c>
      <x:c r="L24">
        <x:v>46</x:v>
      </x:c>
      <x:c r="M24">
        <x:v>52</x:v>
      </x:c>
      <x:c r="N24">
        <x:v>56</x:v>
      </x:c>
      <x:c r="O24">
        <x:v>59</x:v>
      </x:c>
      <x:c r="P24">
        <x:v>62</x:v>
      </x:c>
      <x:c r="Q24">
        <x:v>65</x:v>
      </x:c>
      <x:c r="R24">
        <x:v>66</x:v>
      </x:c>
      <x:c r="S24">
        <x:v>67</x:v>
      </x:c>
      <x:c r="T24">
        <x:v>67</x:v>
      </x:c>
      <x:c r="U24">
        <x:v>64</x:v>
      </x:c>
      <x:c r="V24">
        <x:v>60</x:v>
      </x:c>
    </x:row>
    <x:row r="25" spans="1:22" x14ac:dyDescent="0.25">
      <x:c r="A25">
        <x:f t="shared" si="0"/>
        <x:v>17</x:v>
      </x:c>
      <x:c r="B25" s="11">
        <x:f t="shared" si="0"/>
        <x:v>44941</x:v>
      </x:c>
      <x:c r="C25">
        <x:v>55</x:v>
      </x:c>
      <x:c r="D25">
        <x:v>54</x:v>
      </x:c>
      <x:c r="E25">
        <x:v>55</x:v>
      </x:c>
      <x:c r="F25">
        <x:v>53</x:v>
      </x:c>
      <x:c r="G25">
        <x:v>53</x:v>
      </x:c>
      <x:c r="H25">
        <x:v>52</x:v>
      </x:c>
      <x:c r="I25">
        <x:v>52</x:v>
      </x:c>
      <x:c r="J25">
        <x:v>52</x:v>
      </x:c>
      <x:c r="K25">
        <x:v>52</x:v>
      </x:c>
      <x:c r="L25">
        <x:v>54</x:v>
      </x:c>
      <x:c r="M25">
        <x:v>55</x:v>
      </x:c>
      <x:c r="N25">
        <x:v>56</x:v>
      </x:c>
      <x:c r="O25">
        <x:v>60</x:v>
      </x:c>
      <x:c r="P25">
        <x:v>61</x:v>
      </x:c>
      <x:c r="Q25">
        <x:v>65</x:v>
      </x:c>
      <x:c r="R25">
        <x:v>65</x:v>
      </x:c>
      <x:c r="S25">
        <x:v>67</x:v>
      </x:c>
      <x:c r="T25">
        <x:v>67</x:v>
      </x:c>
      <x:c r="U25">
        <x:v>66</x:v>
      </x:c>
      <x:c r="V25">
        <x:v>65</x:v>
      </x:c>
    </x:row>
    <x:row r="26" spans="1:22" x14ac:dyDescent="0.25">
      <x:c r="A26">
        <x:f t="shared" si="0"/>
        <x:v>18</x:v>
      </x:c>
      <x:c r="B26" s="11">
        <x:f t="shared" si="0"/>
        <x:v>44942</x:v>
      </x:c>
      <x:c r="C26">
        <x:v>62</x:v>
      </x:c>
      <x:c r="D26">
        <x:v>61</x:v>
      </x:c>
      <x:c r="E26">
        <x:v>61</x:v>
      </x:c>
      <x:c r="F26">
        <x:v>61</x:v>
      </x:c>
      <x:c r="G26">
        <x:v>60</x:v>
      </x:c>
      <x:c r="H26">
        <x:v>59</x:v>
      </x:c>
      <x:c r="I26">
        <x:v>58</x:v>
      </x:c>
      <x:c r="J26">
        <x:v>58</x:v>
      </x:c>
      <x:c r="K26">
        <x:v>57</x:v>
      </x:c>
      <x:c r="L26">
        <x:v>57</x:v>
      </x:c>
      <x:c r="M26">
        <x:v>62</x:v>
      </x:c>
      <x:c r="N26">
        <x:v>66</x:v>
      </x:c>
      <x:c r="O26">
        <x:v>69</x:v>
      </x:c>
      <x:c r="P26">
        <x:v>72</x:v>
      </x:c>
      <x:c r="Q26">
        <x:v>72</x:v>
      </x:c>
      <x:c r="R26">
        <x:v>72</x:v>
      </x:c>
      <x:c r="S26">
        <x:v>74</x:v>
      </x:c>
      <x:c r="T26">
        <x:v>72</x:v>
      </x:c>
      <x:c r="U26">
        <x:v>69</x:v>
      </x:c>
      <x:c r="V26">
        <x:v>64</x:v>
      </x:c>
    </x:row>
    <x:row r="27" spans="1:22" x14ac:dyDescent="0.25">
      <x:c r="A27">
        <x:f t="shared" ref="A27:B42" si="1">+A26+1</x:f>
        <x:v>19</x:v>
      </x:c>
      <x:c r="B27" s="11">
        <x:f t="shared" si="1"/>
        <x:v>44943</x:v>
      </x:c>
      <x:c r="C27">
        <x:v>54</x:v>
      </x:c>
      <x:c r="D27">
        <x:v>52</x:v>
      </x:c>
      <x:c r="E27">
        <x:v>51</x:v>
      </x:c>
      <x:c r="F27">
        <x:v>52</x:v>
      </x:c>
      <x:c r="G27">
        <x:v>53</x:v>
      </x:c>
      <x:c r="H27">
        <x:v>52</x:v>
      </x:c>
      <x:c r="I27">
        <x:v>53</x:v>
      </x:c>
      <x:c r="J27">
        <x:v>51</x:v>
      </x:c>
      <x:c r="K27">
        <x:v>49</x:v>
      </x:c>
      <x:c r="L27">
        <x:v>53</x:v>
      </x:c>
      <x:c r="M27">
        <x:v>60</x:v>
      </x:c>
      <x:c r="N27">
        <x:v>63</x:v>
      </x:c>
      <x:c r="O27">
        <x:v>67</x:v>
      </x:c>
      <x:c r="P27">
        <x:v>69</x:v>
      </x:c>
      <x:c r="Q27">
        <x:v>71</x:v>
      </x:c>
      <x:c r="R27">
        <x:v>72</x:v>
      </x:c>
      <x:c r="S27">
        <x:v>72</x:v>
      </x:c>
      <x:c r="T27">
        <x:v>72</x:v>
      </x:c>
      <x:c r="U27">
        <x:v>70</x:v>
      </x:c>
      <x:c r="V27">
        <x:v>63</x:v>
      </x:c>
    </x:row>
    <x:row r="28" spans="1:22" s="18" customFormat="1" x14ac:dyDescent="0.25">
      <x:c r="A28" s="18">
        <x:f t="shared" si="1"/>
        <x:v>20</x:v>
      </x:c>
      <x:c r="B28" s="11">
        <x:f t="shared" si="1"/>
        <x:v>44944</x:v>
      </x:c>
      <x:c r="C28">
        <x:v>59</x:v>
      </x:c>
      <x:c r="D28">
        <x:v>56</x:v>
      </x:c>
      <x:c r="E28">
        <x:v>58</x:v>
      </x:c>
      <x:c r="F28">
        <x:v>56</x:v>
      </x:c>
      <x:c r="G28">
        <x:v>57</x:v>
      </x:c>
      <x:c r="H28">
        <x:v>56</x:v>
      </x:c>
      <x:c r="I28">
        <x:v>55</x:v>
      </x:c>
      <x:c r="J28">
        <x:v>55</x:v>
      </x:c>
      <x:c r="K28">
        <x:v>55</x:v>
      </x:c>
      <x:c r="L28">
        <x:v>55</x:v>
      </x:c>
      <x:c r="M28">
        <x:v>58</x:v>
      </x:c>
      <x:c r="N28">
        <x:v>60</x:v>
      </x:c>
      <x:c r="O28">
        <x:v>62</x:v>
      </x:c>
      <x:c r="P28">
        <x:v>63</x:v>
      </x:c>
      <x:c r="Q28">
        <x:v>65</x:v>
      </x:c>
      <x:c r="R28">
        <x:v>65</x:v>
      </x:c>
      <x:c r="S28">
        <x:v>64</x:v>
      </x:c>
      <x:c r="T28">
        <x:v>62</x:v>
      </x:c>
      <x:c r="U28">
        <x:v>60</x:v>
      </x:c>
      <x:c r="V28">
        <x:v>58</x:v>
      </x:c>
    </x:row>
    <x:row r="29" spans="1:22" x14ac:dyDescent="0.25">
      <x:c r="A29">
        <x:f t="shared" si="1"/>
        <x:v>21</x:v>
      </x:c>
      <x:c r="B29" s="11">
        <x:f t="shared" si="1"/>
        <x:v>44945</x:v>
      </x:c>
      <x:c r="C29">
        <x:v>54</x:v>
      </x:c>
      <x:c r="D29">
        <x:v>53</x:v>
      </x:c>
      <x:c r="E29">
        <x:v>50</x:v>
      </x:c>
      <x:c r="F29">
        <x:v>50</x:v>
      </x:c>
      <x:c r="G29">
        <x:v>46</x:v>
      </x:c>
      <x:c r="H29">
        <x:v>43</x:v>
      </x:c>
      <x:c r="I29">
        <x:v>39</x:v>
      </x:c>
      <x:c r="J29">
        <x:v>35</x:v>
      </x:c>
      <x:c r="K29">
        <x:v>36</x:v>
      </x:c>
      <x:c r="L29">
        <x:v>43</x:v>
      </x:c>
      <x:c r="M29">
        <x:v>48</x:v>
      </x:c>
      <x:c r="N29">
        <x:v>51</x:v>
      </x:c>
      <x:c r="O29">
        <x:v>54</x:v>
      </x:c>
      <x:c r="P29">
        <x:v>56</x:v>
      </x:c>
      <x:c r="Q29">
        <x:v>57</x:v>
      </x:c>
      <x:c r="R29">
        <x:v>58</x:v>
      </x:c>
      <x:c r="S29">
        <x:v>59</x:v>
      </x:c>
      <x:c r="T29">
        <x:v>59</x:v>
      </x:c>
      <x:c r="U29">
        <x:v>57</x:v>
      </x:c>
      <x:c r="V29">
        <x:v>52</x:v>
      </x:c>
    </x:row>
    <x:row r="30" spans="1:22" x14ac:dyDescent="0.25">
      <x:c r="A30">
        <x:f t="shared" si="1"/>
        <x:v>22</x:v>
      </x:c>
      <x:c r="B30" s="11">
        <x:f t="shared" si="1"/>
        <x:v>44946</x:v>
      </x:c>
      <x:c r="C30">
        <x:v>43</x:v>
      </x:c>
      <x:c r="D30">
        <x:v>45</x:v>
      </x:c>
      <x:c r="E30">
        <x:v>45</x:v>
      </x:c>
      <x:c r="F30">
        <x:v>45</x:v>
      </x:c>
      <x:c r="G30">
        <x:v>44</x:v>
      </x:c>
      <x:c r="H30">
        <x:v>45</x:v>
      </x:c>
      <x:c r="I30">
        <x:v>45</x:v>
      </x:c>
      <x:c r="J30">
        <x:v>44</x:v>
      </x:c>
      <x:c r="K30">
        <x:v>45</x:v>
      </x:c>
      <x:c r="L30">
        <x:v>48</x:v>
      </x:c>
      <x:c r="M30">
        <x:v>51</x:v>
      </x:c>
      <x:c r="N30">
        <x:v>55</x:v>
      </x:c>
      <x:c r="O30">
        <x:v>57</x:v>
      </x:c>
      <x:c r="P30">
        <x:v>60</x:v>
      </x:c>
      <x:c r="Q30">
        <x:v>62</x:v>
      </x:c>
      <x:c r="R30">
        <x:v>63</x:v>
      </x:c>
      <x:c r="S30">
        <x:v>62</x:v>
      </x:c>
      <x:c r="T30">
        <x:v>60</x:v>
      </x:c>
      <x:c r="U30">
        <x:v>58</x:v>
      </x:c>
      <x:c r="V30">
        <x:v>53</x:v>
      </x:c>
    </x:row>
    <x:row r="31" spans="1:22" x14ac:dyDescent="0.25">
      <x:c r="A31">
        <x:f t="shared" si="1"/>
        <x:v>23</x:v>
      </x:c>
      <x:c r="B31" s="11">
        <x:f t="shared" si="1"/>
        <x:v>44947</x:v>
      </x:c>
      <x:c r="C31">
        <x:v>50</x:v>
      </x:c>
      <x:c r="D31">
        <x:v>47</x:v>
      </x:c>
      <x:c r="E31">
        <x:v>47</x:v>
      </x:c>
      <x:c r="F31">
        <x:v>48</x:v>
      </x:c>
      <x:c r="G31">
        <x:v>50</x:v>
      </x:c>
      <x:c r="H31">
        <x:v>48</x:v>
      </x:c>
      <x:c r="I31">
        <x:v>45</x:v>
      </x:c>
      <x:c r="J31">
        <x:v>47</x:v>
      </x:c>
      <x:c r="K31">
        <x:v>44</x:v>
      </x:c>
      <x:c r="L31">
        <x:v>49</x:v>
      </x:c>
      <x:c r="M31">
        <x:v>53</x:v>
      </x:c>
      <x:c r="N31">
        <x:v>57</x:v>
      </x:c>
      <x:c r="O31">
        <x:v>59</x:v>
      </x:c>
      <x:c r="P31">
        <x:v>61</x:v>
      </x:c>
      <x:c r="Q31">
        <x:v>62</x:v>
      </x:c>
      <x:c r="R31">
        <x:v>61</x:v>
      </x:c>
      <x:c r="S31">
        <x:v>61</x:v>
      </x:c>
      <x:c r="T31">
        <x:v>60</x:v>
      </x:c>
      <x:c r="U31">
        <x:v>57</x:v>
      </x:c>
      <x:c r="V31">
        <x:v>53</x:v>
      </x:c>
    </x:row>
    <x:row r="32" spans="1:22" x14ac:dyDescent="0.25">
      <x:c r="A32">
        <x:f t="shared" si="1"/>
        <x:v>24</x:v>
      </x:c>
      <x:c r="B32" s="11">
        <x:f t="shared" si="1"/>
        <x:v>44948</x:v>
      </x:c>
      <x:c r="C32">
        <x:v>41</x:v>
      </x:c>
      <x:c r="D32">
        <x:v>39</x:v>
      </x:c>
      <x:c r="E32">
        <x:v>37</x:v>
      </x:c>
      <x:c r="F32">
        <x:v>34</x:v>
      </x:c>
      <x:c r="G32">
        <x:v>33</x:v>
      </x:c>
      <x:c r="H32">
        <x:v>34</x:v>
      </x:c>
      <x:c r="I32">
        <x:v>33</x:v>
      </x:c>
      <x:c r="J32">
        <x:v>34</x:v>
      </x:c>
      <x:c r="K32">
        <x:v>32</x:v>
      </x:c>
      <x:c r="L32">
        <x:v>38</x:v>
      </x:c>
      <x:c r="M32">
        <x:v>42</x:v>
      </x:c>
      <x:c r="N32">
        <x:v>46</x:v>
      </x:c>
      <x:c r="O32">
        <x:v>48</x:v>
      </x:c>
      <x:c r="P32">
        <x:v>51</x:v>
      </x:c>
      <x:c r="Q32">
        <x:v>53</x:v>
      </x:c>
      <x:c r="R32">
        <x:v>54</x:v>
      </x:c>
      <x:c r="S32">
        <x:v>54</x:v>
      </x:c>
      <x:c r="T32">
        <x:v>54</x:v>
      </x:c>
      <x:c r="U32">
        <x:v>51</x:v>
      </x:c>
      <x:c r="V32">
        <x:v>48</x:v>
      </x:c>
    </x:row>
    <x:row r="33" spans="1:22" x14ac:dyDescent="0.25">
      <x:c r="A33">
        <x:f t="shared" si="1"/>
        <x:v>25</x:v>
      </x:c>
      <x:c r="B33" s="11">
        <x:f t="shared" si="1"/>
        <x:v>44949</x:v>
      </x:c>
      <x:c r="C33">
        <x:v>36</x:v>
      </x:c>
      <x:c r="D33">
        <x:v>36</x:v>
      </x:c>
      <x:c r="E33">
        <x:v>38</x:v>
      </x:c>
      <x:c r="F33">
        <x:v>34</x:v>
      </x:c>
      <x:c r="G33">
        <x:v>34</x:v>
      </x:c>
      <x:c r="H33">
        <x:v>32</x:v>
      </x:c>
      <x:c r="I33">
        <x:v>34</x:v>
      </x:c>
      <x:c r="J33">
        <x:v>33</x:v>
      </x:c>
      <x:c r="K33">
        <x:v>33</x:v>
      </x:c>
      <x:c r="L33">
        <x:v>39</x:v>
      </x:c>
      <x:c r="M33">
        <x:v>44</x:v>
      </x:c>
      <x:c r="N33">
        <x:v>49</x:v>
      </x:c>
      <x:c r="O33">
        <x:v>52</x:v>
      </x:c>
      <x:c r="P33">
        <x:v>55</x:v>
      </x:c>
      <x:c r="Q33">
        <x:v>54</x:v>
      </x:c>
      <x:c r="R33">
        <x:v>53</x:v>
      </x:c>
      <x:c r="S33">
        <x:v>53</x:v>
      </x:c>
      <x:c r="T33">
        <x:v>52</x:v>
      </x:c>
      <x:c r="U33">
        <x:v>51</x:v>
      </x:c>
      <x:c r="V33">
        <x:v>50</x:v>
      </x:c>
    </x:row>
    <x:row r="34" spans="1:22" x14ac:dyDescent="0.25">
      <x:c r="A34">
        <x:f t="shared" si="1"/>
        <x:v>26</x:v>
      </x:c>
      <x:c r="B34" s="11">
        <x:f t="shared" si="1"/>
        <x:v>44950</x:v>
      </x:c>
      <x:c r="C34">
        <x:v>46</x:v>
      </x:c>
      <x:c r="D34">
        <x:v>46</x:v>
      </x:c>
      <x:c r="E34">
        <x:v>43</x:v>
      </x:c>
      <x:c r="F34">
        <x:v>42</x:v>
      </x:c>
      <x:c r="G34">
        <x:v>40</x:v>
      </x:c>
      <x:c r="H34">
        <x:v>40</x:v>
      </x:c>
      <x:c r="I34">
        <x:v>39</x:v>
      </x:c>
      <x:c r="J34">
        <x:v>37</x:v>
      </x:c>
      <x:c r="K34">
        <x:v>37</x:v>
      </x:c>
      <x:c r="L34">
        <x:v>36</x:v>
      </x:c>
      <x:c r="M34">
        <x:v>37</x:v>
      </x:c>
      <x:c r="N34">
        <x:v>39</x:v>
      </x:c>
      <x:c r="O34">
        <x:v>39</x:v>
      </x:c>
      <x:c r="P34">
        <x:v>38</x:v>
      </x:c>
      <x:c r="Q34">
        <x:v>38</x:v>
      </x:c>
      <x:c r="R34">
        <x:v>39</x:v>
      </x:c>
      <x:c r="S34">
        <x:v>34</x:v>
      </x:c>
      <x:c r="T34">
        <x:v>35</x:v>
      </x:c>
      <x:c r="U34">
        <x:v>35</x:v>
      </x:c>
      <x:c r="V34">
        <x:v>35</x:v>
      </x:c>
    </x:row>
    <x:row r="35" spans="1:22" x14ac:dyDescent="0.25">
      <x:c r="A35">
        <x:f t="shared" si="1"/>
        <x:v>27</x:v>
      </x:c>
      <x:c r="B35" s="11">
        <x:f t="shared" si="1"/>
        <x:v>44951</x:v>
      </x:c>
      <x:c r="C35">
        <x:v>36</x:v>
      </x:c>
      <x:c r="D35">
        <x:v>36</x:v>
      </x:c>
      <x:c r="E35">
        <x:v>36</x:v>
      </x:c>
      <x:c r="F35">
        <x:v>36</x:v>
      </x:c>
      <x:c r="G35">
        <x:v>35</x:v>
      </x:c>
      <x:c r="H35">
        <x:v>34</x:v>
      </x:c>
      <x:c r="I35">
        <x:v>33</x:v>
      </x:c>
      <x:c r="J35">
        <x:v>32</x:v>
      </x:c>
      <x:c r="K35">
        <x:v>32</x:v>
      </x:c>
      <x:c r="L35">
        <x:v>34</x:v>
      </x:c>
      <x:c r="M35">
        <x:v>39</x:v>
      </x:c>
      <x:c r="N35">
        <x:v>41</x:v>
      </x:c>
      <x:c r="O35">
        <x:v>44</x:v>
      </x:c>
      <x:c r="P35">
        <x:v>46</x:v>
      </x:c>
      <x:c r="Q35">
        <x:v>48</x:v>
      </x:c>
      <x:c r="R35">
        <x:v>50</x:v>
      </x:c>
      <x:c r="S35">
        <x:v>50</x:v>
      </x:c>
      <x:c r="T35">
        <x:v>50</x:v>
      </x:c>
      <x:c r="U35">
        <x:v>46</x:v>
      </x:c>
      <x:c r="V35">
        <x:v>43</x:v>
      </x:c>
    </x:row>
    <x:row r="36" spans="1:22" x14ac:dyDescent="0.25">
      <x:c r="A36">
        <x:f t="shared" si="1"/>
        <x:v>28</x:v>
      </x:c>
      <x:c r="B36" s="11">
        <x:f t="shared" si="1"/>
        <x:v>44952</x:v>
      </x:c>
      <x:c r="C36">
        <x:v>34</x:v>
      </x:c>
      <x:c r="D36">
        <x:v>32</x:v>
      </x:c>
      <x:c r="E36">
        <x:v>33</x:v>
      </x:c>
      <x:c r="F36">
        <x:v>31</x:v>
      </x:c>
      <x:c r="G36">
        <x:v>29</x:v>
      </x:c>
      <x:c r="H36">
        <x:v>32</x:v>
      </x:c>
      <x:c r="I36">
        <x:v>31</x:v>
      </x:c>
      <x:c r="J36">
        <x:v>29</x:v>
      </x:c>
      <x:c r="K36">
        <x:v>29</x:v>
      </x:c>
      <x:c r="L36">
        <x:v>31</x:v>
      </x:c>
      <x:c r="M36">
        <x:v>39</x:v>
      </x:c>
      <x:c r="N36">
        <x:v>43</x:v>
      </x:c>
      <x:c r="O36">
        <x:v>46</x:v>
      </x:c>
      <x:c r="P36">
        <x:v>49</x:v>
      </x:c>
      <x:c r="Q36">
        <x:v>51</x:v>
      </x:c>
      <x:c r="R36">
        <x:v>52</x:v>
      </x:c>
      <x:c r="S36">
        <x:v>52</x:v>
      </x:c>
      <x:c r="T36">
        <x:v>50</x:v>
      </x:c>
      <x:c r="U36">
        <x:v>49</x:v>
      </x:c>
      <x:c r="V36">
        <x:v>46</x:v>
      </x:c>
    </x:row>
    <x:row r="37" spans="1:22" x14ac:dyDescent="0.25">
      <x:c r="A37">
        <x:f t="shared" si="1"/>
        <x:v>29</x:v>
      </x:c>
      <x:c r="B37" s="11">
        <x:f t="shared" si="1"/>
        <x:v>44953</x:v>
      </x:c>
      <x:c r="C37">
        <x:v>33</x:v>
      </x:c>
      <x:c r="D37">
        <x:v>34</x:v>
      </x:c>
      <x:c r="E37">
        <x:v>33</x:v>
      </x:c>
      <x:c r="F37">
        <x:v>34</x:v>
      </x:c>
      <x:c r="G37">
        <x:v>33</x:v>
      </x:c>
      <x:c r="H37">
        <x:v>35</x:v>
      </x:c>
      <x:c r="I37">
        <x:v>35</x:v>
      </x:c>
      <x:c r="J37">
        <x:v>37</x:v>
      </x:c>
      <x:c r="K37">
        <x:v>35</x:v>
      </x:c>
      <x:c r="L37">
        <x:v>39</x:v>
      </x:c>
      <x:c r="M37">
        <x:v>44</x:v>
      </x:c>
      <x:c r="N37">
        <x:v>50</x:v>
      </x:c>
      <x:c r="O37">
        <x:v>53</x:v>
      </x:c>
      <x:c r="P37">
        <x:v>56</x:v>
      </x:c>
      <x:c r="Q37">
        <x:v>58</x:v>
      </x:c>
      <x:c r="R37">
        <x:v>60</x:v>
      </x:c>
      <x:c r="S37">
        <x:v>60</x:v>
      </x:c>
      <x:c r="T37">
        <x:v>59</x:v>
      </x:c>
      <x:c r="U37">
        <x:v>56</x:v>
      </x:c>
      <x:c r="V37">
        <x:v>51</x:v>
      </x:c>
    </x:row>
    <x:row r="38" spans="1:22" x14ac:dyDescent="0.25">
      <x:c r="A38">
        <x:f t="shared" si="1"/>
        <x:v>30</x:v>
      </x:c>
      <x:c r="B38" s="11">
        <x:f t="shared" si="1"/>
        <x:v>44954</x:v>
      </x:c>
      <x:c r="C38">
        <x:v>46</x:v>
      </x:c>
      <x:c r="D38">
        <x:v>45</x:v>
      </x:c>
      <x:c r="E38">
        <x:v>45</x:v>
      </x:c>
      <x:c r="F38">
        <x:v>44</x:v>
      </x:c>
      <x:c r="G38">
        <x:v>43</x:v>
      </x:c>
      <x:c r="H38">
        <x:v>45</x:v>
      </x:c>
      <x:c r="I38">
        <x:v>45</x:v>
      </x:c>
      <x:c r="J38">
        <x:v>46</x:v>
      </x:c>
      <x:c r="K38">
        <x:v>47</x:v>
      </x:c>
      <x:c r="L38">
        <x:v>48</x:v>
      </x:c>
      <x:c r="M38">
        <x:v>51</x:v>
      </x:c>
      <x:c r="N38">
        <x:v>53</x:v>
      </x:c>
      <x:c r="O38">
        <x:v>57</x:v>
      </x:c>
      <x:c r="P38">
        <x:v>61</x:v>
      </x:c>
      <x:c r="Q38">
        <x:v>66</x:v>
      </x:c>
      <x:c r="R38">
        <x:v>66</x:v>
      </x:c>
      <x:c r="S38">
        <x:v>64</x:v>
      </x:c>
      <x:c r="T38">
        <x:v>63</x:v>
      </x:c>
      <x:c r="U38">
        <x:v>61</x:v>
      </x:c>
      <x:c r="V38">
        <x:v>59</x:v>
      </x:c>
    </x:row>
    <x:row r="39" spans="1:22" x14ac:dyDescent="0.25">
      <x:c r="A39">
        <x:f t="shared" si="1"/>
        <x:v>31</x:v>
      </x:c>
      <x:c r="B39" s="11">
        <x:f t="shared" si="1"/>
        <x:v>44955</x:v>
      </x:c>
      <x:c r="C39">
        <x:v>53</x:v>
      </x:c>
      <x:c r="D39">
        <x:v>52</x:v>
      </x:c>
      <x:c r="E39">
        <x:v>53</x:v>
      </x:c>
      <x:c r="F39">
        <x:v>52</x:v>
      </x:c>
      <x:c r="G39">
        <x:v>47</x:v>
      </x:c>
      <x:c r="H39">
        <x:v>49</x:v>
      </x:c>
      <x:c r="I39">
        <x:v>39</x:v>
      </x:c>
      <x:c r="J39">
        <x:v>35</x:v>
      </x:c>
      <x:c r="K39">
        <x:v>35</x:v>
      </x:c>
      <x:c r="L39">
        <x:v>34</x:v>
      </x:c>
      <x:c r="M39">
        <x:v>33</x:v>
      </x:c>
      <x:c r="N39">
        <x:v>32</x:v>
      </x:c>
      <x:c r="O39">
        <x:v>30</x:v>
      </x:c>
      <x:c r="P39">
        <x:v>30</x:v>
      </x:c>
      <x:c r="Q39">
        <x:v>31</x:v>
      </x:c>
      <x:c r="R39">
        <x:v>31</x:v>
      </x:c>
      <x:c r="S39">
        <x:v>31</x:v>
      </x:c>
      <x:c r="T39">
        <x:v>31</x:v>
      </x:c>
      <x:c r="U39">
        <x:v>29</x:v>
      </x:c>
      <x:c r="V39">
        <x:v>29</x:v>
      </x:c>
    </x:row>
    <x:row r="40" spans="1:22" x14ac:dyDescent="0.25">
      <x:c r="A40">
        <x:f t="shared" si="1"/>
        <x:v>32</x:v>
      </x:c>
      <x:c r="B40" s="11">
        <x:f t="shared" si="1"/>
        <x:v>44956</x:v>
      </x:c>
      <x:c r="C40">
        <x:v>27</x:v>
      </x:c>
      <x:c r="D40">
        <x:v>26</x:v>
      </x:c>
      <x:c r="E40">
        <x:v>25</x:v>
      </x:c>
      <x:c r="F40">
        <x:v>24</x:v>
      </x:c>
      <x:c r="G40">
        <x:v>23</x:v>
      </x:c>
      <x:c r="H40">
        <x:v>23</x:v>
      </x:c>
      <x:c r="I40">
        <x:v>22</x:v>
      </x:c>
      <x:c r="J40">
        <x:v>22</x:v>
      </x:c>
      <x:c r="K40">
        <x:v>21</x:v>
      </x:c>
      <x:c r="L40">
        <x:v>21</x:v>
      </x:c>
      <x:c r="M40">
        <x:v>21</x:v>
      </x:c>
      <x:c r="N40">
        <x:v>21</x:v>
      </x:c>
      <x:c r="O40">
        <x:v>22</x:v>
      </x:c>
      <x:c r="P40">
        <x:v>22</x:v>
      </x:c>
      <x:c r="Q40">
        <x:v>23</x:v>
      </x:c>
      <x:c r="R40">
        <x:v>23</x:v>
      </x:c>
      <x:c r="S40">
        <x:v>23</x:v>
      </x:c>
      <x:c r="T40">
        <x:v>23</x:v>
      </x:c>
      <x:c r="U40">
        <x:v>24</x:v>
      </x:c>
      <x:c r="V40">
        <x:v>24</x:v>
      </x:c>
    </x:row>
    <x:row r="41" spans="1:22" x14ac:dyDescent="0.25">
      <x:c r="A41">
        <x:f t="shared" si="1"/>
        <x:v>33</x:v>
      </x:c>
      <x:c r="B41" s="11">
        <x:f t="shared" si="1"/>
        <x:v>44957</x:v>
      </x:c>
      <x:c r="C41">
        <x:v>22</x:v>
      </x:c>
      <x:c r="D41">
        <x:v>23</x:v>
      </x:c>
      <x:c r="E41">
        <x:v>22</x:v>
      </x:c>
      <x:c r="F41">
        <x:v>22</x:v>
      </x:c>
      <x:c r="G41">
        <x:v>22</x:v>
      </x:c>
      <x:c r="H41">
        <x:v>22</x:v>
      </x:c>
      <x:c r="I41">
        <x:v>22</x:v>
      </x:c>
      <x:c r="J41">
        <x:v>21</x:v>
      </x:c>
      <x:c r="K41">
        <x:v>21</x:v>
      </x:c>
      <x:c r="L41">
        <x:v>21</x:v>
      </x:c>
      <x:c r="M41">
        <x:v>21</x:v>
      </x:c>
      <x:c r="N41">
        <x:v>21</x:v>
      </x:c>
      <x:c r="O41">
        <x:v>22</x:v>
      </x:c>
      <x:c r="P41">
        <x:v>23</x:v>
      </x:c>
      <x:c r="Q41">
        <x:v>24</x:v>
      </x:c>
      <x:c r="R41">
        <x:v>24</x:v>
      </x:c>
      <x:c r="S41">
        <x:v>26</x:v>
      </x:c>
      <x:c r="T41">
        <x:v>26</x:v>
      </x:c>
      <x:c r="U41">
        <x:v>26</x:v>
      </x:c>
      <x:c r="V41">
        <x:v>26</x:v>
      </x:c>
    </x:row>
    <x:row r="42" spans="1:22" x14ac:dyDescent="0.25">
      <x:c r="A42">
        <x:f t="shared" si="1"/>
        <x:v>34</x:v>
      </x:c>
      <x:c r="B42" s="11"/>
    </x:row>
    <x:row r="43" spans="1:22" x14ac:dyDescent="0.25">
      <x:c r="A43">
        <x:f t="shared" ref="A43:A58" si="2">+A42+1</x:f>
        <x:v>35</x:v>
      </x:c>
    </x:row>
    <x:row r="44" spans="1:22" ht="28.8" customHeight="1" x14ac:dyDescent="0.25">
      <x:c r="A44">
        <x:f t="shared" si="2"/>
        <x:v>36</x:v>
      </x:c>
      <x:c r="B44" s="10" t="s">
        <x:v>28</x:v>
      </x:c>
      <x:c r="C44" s="10" t="s">
        <x:v>49</x:v>
      </x:c>
      <x:c r="D44" s="10" t="s">
        <x:v>50</x:v>
      </x:c>
      <x:c r="E44" s="10" t="s">
        <x:v>51</x:v>
      </x:c>
      <x:c r="F44" s="10" t="s">
        <x:v>52</x:v>
      </x:c>
      <x:c r="G44" s="58" t="s">
        <x:v>53</x:v>
      </x:c>
      <x:c r="H44" s="54" t="s">
        <x:v>60</x:v>
      </x:c>
      <x:c r="I44" s="10" t="s">
        <x:v>102</x:v>
      </x:c>
      <x:c r="J44" s="10" t="s">
        <x:v>61</x:v>
      </x:c>
      <x:c r="K44" s="77" t="s">
        <x:v>106</x:v>
      </x:c>
      <x:c r="L44" s="78" t="s">
        <x:v>88</x:v>
      </x:c>
      <x:c r="M44" s="79" t="s">
        <x:v>107</x:v>
      </x:c>
      <x:c r="N44" s="79" t="s">
        <x:v>98</x:v>
      </x:c>
      <x:c r="O44" s="27" t="s">
        <x:v>62</x:v>
      </x:c>
      <x:c r="P44" s="27" t="s">
        <x:v>63</x:v>
      </x:c>
      <x:c r="Q44" s="27" t="s">
        <x:v>64</x:v>
      </x:c>
      <x:c r="R44" s="27" t="s">
        <x:v>89</x:v>
      </x:c>
      <x:c r="S44" s="80"/>
    </x:row>
    <x:row r="45" spans="1:22" x14ac:dyDescent="0.25">
      <x:c r="A45">
        <x:f t="shared" si="2"/>
        <x:v>37</x:v>
      </x:c>
      <x:c r="B45" s="11">
        <x:f>+B11</x:f>
        <x:v>44927</x:v>
      </x:c>
      <x:c r="C45">
        <x:v>60</x:v>
      </x:c>
      <x:c r="D45">
        <x:v>62</x:v>
      </x:c>
      <x:c r="E45">
        <x:v>58</x:v>
      </x:c>
      <x:c r="F45">
        <x:v>58</x:v>
      </x:c>
      <x:c r="G45" s="12">
        <x:f t="shared" ref="G45:G75" si="3">ROUND(AVERAGE(C11:V11,C45:F45),1)</x:f>
        <x:v>61.6</x:v>
      </x:c>
      <x:c r="H45" s="12">
        <x:f>MAX(45-$G45,0)</x:f>
        <x:v>0</x:v>
      </x:c>
      <x:c r="I45" s="12">
        <x:f>MAX(55-$G45,0)</x:f>
        <x:v>0</x:v>
      </x:c>
      <x:c r="J45" s="12">
        <x:f t="shared" ref="J45:J75" si="4">MAX(60-$G45,0)</x:f>
        <x:v>0</x:v>
      </x:c>
      <x:c r="K45" s="12">
        <x:f t="shared" ref="K45:K75" si="5">MAX(65-$G45,0)</x:f>
        <x:v>3.3999999999999986</x:v>
      </x:c>
      <x:c r="L45" s="12">
        <x:f t="shared" ref="L45:L75" si="6">MAX($G45-50,0)</x:f>
        <x:v>11.600000000000001</x:v>
      </x:c>
      <x:c r="M45" s="12">
        <x:f t="shared" ref="M45:M75" si="7">MAX($G45-55,0)</x:f>
        <x:v>6.6000000000000014</x:v>
      </x:c>
      <x:c r="N45" s="12">
        <x:f t="shared" ref="N45:N75" si="8">MAX($G45-60,0)</x:f>
        <x:v>1.6000000000000014</x:v>
      </x:c>
      <x:c r="O45" s="12">
        <x:f t="shared" ref="O45:O75" si="9">MAX($G45-65,0)</x:f>
        <x:v>0</x:v>
      </x:c>
      <x:c r="P45" s="12">
        <x:f t="shared" ref="P45:P75" si="10">MAX($G45-70,0)</x:f>
        <x:v>0</x:v>
      </x:c>
      <x:c r="Q45" s="12">
        <x:f t="shared" ref="Q45:Q75" si="11">MAX($G45-75,0)</x:f>
        <x:v>0</x:v>
      </x:c>
      <x:c r="R45" s="12">
        <x:f t="shared" ref="R45:R75" si="12">MAX($G45-80,0)</x:f>
        <x:v>0</x:v>
      </x:c>
      <x:c r="S45" s="81"/>
    </x:row>
    <x:row r="46" spans="1:22" x14ac:dyDescent="0.25">
      <x:c r="A46">
        <x:f t="shared" si="2"/>
        <x:v>38</x:v>
      </x:c>
      <x:c r="B46" s="11">
        <x:f t="shared" ref="B46:B75" si="13">+B12</x:f>
        <x:v>44928</x:v>
      </x:c>
      <x:c r="C46">
        <x:v>60</x:v>
      </x:c>
      <x:c r="D46">
        <x:v>57</x:v>
      </x:c>
      <x:c r="E46">
        <x:v>56</x:v>
      </x:c>
      <x:c r="F46">
        <x:v>55</x:v>
      </x:c>
      <x:c r="G46" s="12">
        <x:f t="shared" si="3"/>
        <x:v>64.099999999999994</x:v>
      </x:c>
      <x:c r="H46" s="12">
        <x:f t="shared" ref="H46:H75" si="14">MAX(45-$G46,0)</x:f>
        <x:v>0</x:v>
      </x:c>
      <x:c r="I46" s="12">
        <x:f t="shared" ref="I46:I75" si="15">MAX(55-$G46,0)</x:f>
        <x:v>0</x:v>
      </x:c>
      <x:c r="J46" s="12">
        <x:f t="shared" si="4"/>
        <x:v>0</x:v>
      </x:c>
      <x:c r="K46" s="12">
        <x:f t="shared" si="5"/>
        <x:v>0.90000000000000568</x:v>
      </x:c>
      <x:c r="L46" s="12">
        <x:f t="shared" si="6"/>
        <x:v>14.099999999999994</x:v>
      </x:c>
      <x:c r="M46" s="12">
        <x:f t="shared" si="7"/>
        <x:v>9.0999999999999943</x:v>
      </x:c>
      <x:c r="N46" s="12">
        <x:f t="shared" si="8"/>
        <x:v>4.0999999999999943</x:v>
      </x:c>
      <x:c r="O46" s="12">
        <x:f t="shared" si="9"/>
        <x:v>0</x:v>
      </x:c>
      <x:c r="P46" s="12">
        <x:f t="shared" si="10"/>
        <x:v>0</x:v>
      </x:c>
      <x:c r="Q46" s="12">
        <x:f t="shared" si="11"/>
        <x:v>0</x:v>
      </x:c>
      <x:c r="R46" s="12">
        <x:f t="shared" si="12"/>
        <x:v>0</x:v>
      </x:c>
      <x:c r="S46" s="81"/>
    </x:row>
    <x:row r="47" spans="1:22" x14ac:dyDescent="0.25">
      <x:c r="A47">
        <x:f t="shared" si="2"/>
        <x:v>39</x:v>
      </x:c>
      <x:c r="B47" s="11">
        <x:f t="shared" si="13"/>
        <x:v>44929</x:v>
      </x:c>
      <x:c r="C47">
        <x:v>53</x:v>
      </x:c>
      <x:c r="D47">
        <x:v>53</x:v>
      </x:c>
      <x:c r="E47">
        <x:v>53</x:v>
      </x:c>
      <x:c r="F47">
        <x:v>54</x:v>
      </x:c>
      <x:c r="G47" s="12">
        <x:f t="shared" si="3"/>
        <x:v>52.7</x:v>
      </x:c>
      <x:c r="H47" s="12">
        <x:f t="shared" si="14"/>
        <x:v>0</x:v>
      </x:c>
      <x:c r="I47" s="12">
        <x:f t="shared" si="15"/>
        <x:v>2.2999999999999972</x:v>
      </x:c>
      <x:c r="J47" s="12">
        <x:f t="shared" si="4"/>
        <x:v>7.2999999999999972</x:v>
      </x:c>
      <x:c r="K47" s="12">
        <x:f t="shared" si="5"/>
        <x:v>12.299999999999997</x:v>
      </x:c>
      <x:c r="L47" s="12">
        <x:f t="shared" si="6"/>
        <x:v>2.7000000000000028</x:v>
      </x:c>
      <x:c r="M47" s="12">
        <x:f t="shared" si="7"/>
        <x:v>0</x:v>
      </x:c>
      <x:c r="N47" s="12">
        <x:f t="shared" si="8"/>
        <x:v>0</x:v>
      </x:c>
      <x:c r="O47" s="12">
        <x:f t="shared" si="9"/>
        <x:v>0</x:v>
      </x:c>
      <x:c r="P47" s="12">
        <x:f t="shared" si="10"/>
        <x:v>0</x:v>
      </x:c>
      <x:c r="Q47" s="12">
        <x:f t="shared" si="11"/>
        <x:v>0</x:v>
      </x:c>
      <x:c r="R47" s="12">
        <x:f t="shared" si="12"/>
        <x:v>0</x:v>
      </x:c>
      <x:c r="S47" s="81"/>
    </x:row>
    <x:row r="48" spans="1:22" x14ac:dyDescent="0.25">
      <x:c r="A48">
        <x:f t="shared" si="2"/>
        <x:v>40</x:v>
      </x:c>
      <x:c r="B48" s="11">
        <x:f t="shared" si="13"/>
        <x:v>44930</x:v>
      </x:c>
      <x:c r="C48">
        <x:v>52</x:v>
      </x:c>
      <x:c r="D48">
        <x:v>44</x:v>
      </x:c>
      <x:c r="E48">
        <x:v>46</x:v>
      </x:c>
      <x:c r="F48">
        <x:v>42</x:v>
      </x:c>
      <x:c r="G48" s="12">
        <x:f t="shared" si="3"/>
        <x:v>52.3</x:v>
      </x:c>
      <x:c r="H48" s="12">
        <x:f t="shared" si="14"/>
        <x:v>0</x:v>
      </x:c>
      <x:c r="I48" s="12">
        <x:f t="shared" si="15"/>
        <x:v>2.7000000000000028</x:v>
      </x:c>
      <x:c r="J48" s="12">
        <x:f t="shared" si="4"/>
        <x:v>7.7000000000000028</x:v>
      </x:c>
      <x:c r="K48" s="12">
        <x:f t="shared" si="5"/>
        <x:v>12.700000000000003</x:v>
      </x:c>
      <x:c r="L48" s="12">
        <x:f t="shared" si="6"/>
        <x:v>2.2999999999999972</x:v>
      </x:c>
      <x:c r="M48" s="12">
        <x:f t="shared" si="7"/>
        <x:v>0</x:v>
      </x:c>
      <x:c r="N48" s="12">
        <x:f t="shared" si="8"/>
        <x:v>0</x:v>
      </x:c>
      <x:c r="O48" s="12">
        <x:f t="shared" si="9"/>
        <x:v>0</x:v>
      </x:c>
      <x:c r="P48" s="12">
        <x:f t="shared" si="10"/>
        <x:v>0</x:v>
      </x:c>
      <x:c r="Q48" s="12">
        <x:f t="shared" si="11"/>
        <x:v>0</x:v>
      </x:c>
      <x:c r="R48" s="12">
        <x:f t="shared" si="12"/>
        <x:v>0</x:v>
      </x:c>
      <x:c r="S48" s="81"/>
    </x:row>
    <x:row r="49" spans="1:19" x14ac:dyDescent="0.25">
      <x:c r="A49">
        <x:f t="shared" si="2"/>
        <x:v>41</x:v>
      </x:c>
      <x:c r="B49" s="11">
        <x:f t="shared" si="13"/>
        <x:v>44931</x:v>
      </x:c>
      <x:c r="C49">
        <x:v>49</x:v>
      </x:c>
      <x:c r="D49">
        <x:v>46</x:v>
      </x:c>
      <x:c r="E49">
        <x:v>49</x:v>
      </x:c>
      <x:c r="F49">
        <x:v>49</x:v>
      </x:c>
      <x:c r="G49" s="12">
        <x:f t="shared" si="3"/>
        <x:v>46</x:v>
      </x:c>
      <x:c r="H49" s="12">
        <x:f t="shared" si="14"/>
        <x:v>0</x:v>
      </x:c>
      <x:c r="I49" s="12">
        <x:f t="shared" si="15"/>
        <x:v>9</x:v>
      </x:c>
      <x:c r="J49" s="12">
        <x:f t="shared" si="4"/>
        <x:v>14</x:v>
      </x:c>
      <x:c r="K49" s="12">
        <x:f t="shared" si="5"/>
        <x:v>19</x:v>
      </x:c>
      <x:c r="L49" s="12">
        <x:f t="shared" si="6"/>
        <x:v>0</x:v>
      </x:c>
      <x:c r="M49" s="12">
        <x:f t="shared" si="7"/>
        <x:v>0</x:v>
      </x:c>
      <x:c r="N49" s="12">
        <x:f t="shared" si="8"/>
        <x:v>0</x:v>
      </x:c>
      <x:c r="O49" s="12">
        <x:f t="shared" si="9"/>
        <x:v>0</x:v>
      </x:c>
      <x:c r="P49" s="12">
        <x:f t="shared" si="10"/>
        <x:v>0</x:v>
      </x:c>
      <x:c r="Q49" s="12">
        <x:f t="shared" si="11"/>
        <x:v>0</x:v>
      </x:c>
      <x:c r="R49" s="12">
        <x:f t="shared" si="12"/>
        <x:v>0</x:v>
      </x:c>
      <x:c r="S49" s="81"/>
    </x:row>
    <x:row r="50" spans="1:19" x14ac:dyDescent="0.25">
      <x:c r="A50">
        <x:f t="shared" si="2"/>
        <x:v>42</x:v>
      </x:c>
      <x:c r="B50" s="11">
        <x:f t="shared" si="13"/>
        <x:v>44932</x:v>
      </x:c>
      <x:c r="C50">
        <x:v>69</x:v>
      </x:c>
      <x:c r="D50">
        <x:v>65</x:v>
      </x:c>
      <x:c r="E50">
        <x:v>65</x:v>
      </x:c>
      <x:c r="F50">
        <x:v>64</x:v>
      </x:c>
      <x:c r="G50" s="12">
        <x:f t="shared" si="3"/>
        <x:v>61.3</x:v>
      </x:c>
      <x:c r="H50" s="12">
        <x:f t="shared" si="14"/>
        <x:v>0</x:v>
      </x:c>
      <x:c r="I50" s="12">
        <x:f t="shared" si="15"/>
        <x:v>0</x:v>
      </x:c>
      <x:c r="J50" s="12">
        <x:f t="shared" si="4"/>
        <x:v>0</x:v>
      </x:c>
      <x:c r="K50" s="12">
        <x:f t="shared" si="5"/>
        <x:v>3.7000000000000028</x:v>
      </x:c>
      <x:c r="L50" s="12">
        <x:f t="shared" si="6"/>
        <x:v>11.299999999999997</x:v>
      </x:c>
      <x:c r="M50" s="12">
        <x:f t="shared" si="7"/>
        <x:v>6.2999999999999972</x:v>
      </x:c>
      <x:c r="N50" s="12">
        <x:f t="shared" si="8"/>
        <x:v>1.2999999999999972</x:v>
      </x:c>
      <x:c r="O50" s="12">
        <x:f t="shared" si="9"/>
        <x:v>0</x:v>
      </x:c>
      <x:c r="P50" s="12">
        <x:f t="shared" si="10"/>
        <x:v>0</x:v>
      </x:c>
      <x:c r="Q50" s="12">
        <x:f t="shared" si="11"/>
        <x:v>0</x:v>
      </x:c>
      <x:c r="R50" s="12">
        <x:f t="shared" si="12"/>
        <x:v>0</x:v>
      </x:c>
      <x:c r="S50" s="81"/>
    </x:row>
    <x:row r="51" spans="1:19" x14ac:dyDescent="0.25">
      <x:c r="A51">
        <x:f t="shared" si="2"/>
        <x:v>43</x:v>
      </x:c>
      <x:c r="B51" s="11">
        <x:f t="shared" si="13"/>
        <x:v>44933</x:v>
      </x:c>
      <x:c r="C51">
        <x:v>47</x:v>
      </x:c>
      <x:c r="D51">
        <x:v>42</x:v>
      </x:c>
      <x:c r="E51">
        <x:v>44</x:v>
      </x:c>
      <x:c r="F51">
        <x:v>44</x:v>
      </x:c>
      <x:c r="G51" s="12">
        <x:f t="shared" si="3"/>
        <x:v>50.5</x:v>
      </x:c>
      <x:c r="H51" s="12">
        <x:f t="shared" si="14"/>
        <x:v>0</x:v>
      </x:c>
      <x:c r="I51" s="12">
        <x:f t="shared" si="15"/>
        <x:v>4.5</x:v>
      </x:c>
      <x:c r="J51" s="12">
        <x:f t="shared" si="4"/>
        <x:v>9.5</x:v>
      </x:c>
      <x:c r="K51" s="12">
        <x:f t="shared" si="5"/>
        <x:v>14.5</x:v>
      </x:c>
      <x:c r="L51" s="12">
        <x:f t="shared" si="6"/>
        <x:v>0.5</x:v>
      </x:c>
      <x:c r="M51" s="12">
        <x:f t="shared" si="7"/>
        <x:v>0</x:v>
      </x:c>
      <x:c r="N51" s="12">
        <x:f t="shared" si="8"/>
        <x:v>0</x:v>
      </x:c>
      <x:c r="O51" s="12">
        <x:f t="shared" si="9"/>
        <x:v>0</x:v>
      </x:c>
      <x:c r="P51" s="12">
        <x:f t="shared" si="10"/>
        <x:v>0</x:v>
      </x:c>
      <x:c r="Q51" s="12">
        <x:f t="shared" si="11"/>
        <x:v>0</x:v>
      </x:c>
      <x:c r="R51" s="12">
        <x:f t="shared" si="12"/>
        <x:v>0</x:v>
      </x:c>
      <x:c r="S51" s="81"/>
    </x:row>
    <x:row r="52" spans="1:19" x14ac:dyDescent="0.25">
      <x:c r="A52">
        <x:f t="shared" si="2"/>
        <x:v>44</x:v>
      </x:c>
      <x:c r="B52" s="11">
        <x:f t="shared" si="13"/>
        <x:v>44934</x:v>
      </x:c>
      <x:c r="C52">
        <x:v>49</x:v>
      </x:c>
      <x:c r="D52">
        <x:v>46</x:v>
      </x:c>
      <x:c r="E52">
        <x:v>44</x:v>
      </x:c>
      <x:c r="F52">
        <x:v>46</x:v>
      </x:c>
      <x:c r="G52" s="12">
        <x:f t="shared" si="3"/>
        <x:v>48.2</x:v>
      </x:c>
      <x:c r="H52" s="12">
        <x:f t="shared" si="14"/>
        <x:v>0</x:v>
      </x:c>
      <x:c r="I52" s="12">
        <x:f t="shared" si="15"/>
        <x:v>6.7999999999999972</x:v>
      </x:c>
      <x:c r="J52" s="12">
        <x:f t="shared" si="4"/>
        <x:v>11.799999999999997</x:v>
      </x:c>
      <x:c r="K52" s="12">
        <x:f t="shared" si="5"/>
        <x:v>16.799999999999997</x:v>
      </x:c>
      <x:c r="L52" s="12">
        <x:f t="shared" si="6"/>
        <x:v>0</x:v>
      </x:c>
      <x:c r="M52" s="12">
        <x:f t="shared" si="7"/>
        <x:v>0</x:v>
      </x:c>
      <x:c r="N52" s="12">
        <x:f t="shared" si="8"/>
        <x:v>0</x:v>
      </x:c>
      <x:c r="O52" s="12">
        <x:f t="shared" si="9"/>
        <x:v>0</x:v>
      </x:c>
      <x:c r="P52" s="12">
        <x:f t="shared" si="10"/>
        <x:v>0</x:v>
      </x:c>
      <x:c r="Q52" s="12">
        <x:f t="shared" si="11"/>
        <x:v>0</x:v>
      </x:c>
      <x:c r="R52" s="12">
        <x:f t="shared" si="12"/>
        <x:v>0</x:v>
      </x:c>
      <x:c r="S52" s="81"/>
    </x:row>
    <x:row r="53" spans="1:19" x14ac:dyDescent="0.25">
      <x:c r="A53">
        <x:f t="shared" si="2"/>
        <x:v>45</x:v>
      </x:c>
      <x:c r="B53" s="11">
        <x:f t="shared" si="13"/>
        <x:v>44935</x:v>
      </x:c>
      <x:c r="C53">
        <x:v>58</x:v>
      </x:c>
      <x:c r="D53">
        <x:v>54</x:v>
      </x:c>
      <x:c r="E53">
        <x:v>54</x:v>
      </x:c>
      <x:c r="F53">
        <x:v>53</x:v>
      </x:c>
      <x:c r="G53" s="12">
        <x:f t="shared" si="3"/>
        <x:v>59.3</x:v>
      </x:c>
      <x:c r="H53" s="12">
        <x:f t="shared" si="14"/>
        <x:v>0</x:v>
      </x:c>
      <x:c r="I53" s="12">
        <x:f t="shared" si="15"/>
        <x:v>0</x:v>
      </x:c>
      <x:c r="J53" s="12">
        <x:f t="shared" si="4"/>
        <x:v>0.70000000000000284</x:v>
      </x:c>
      <x:c r="K53" s="12">
        <x:f t="shared" si="5"/>
        <x:v>5.7000000000000028</x:v>
      </x:c>
      <x:c r="L53" s="12">
        <x:f t="shared" si="6"/>
        <x:v>9.2999999999999972</x:v>
      </x:c>
      <x:c r="M53" s="12">
        <x:f t="shared" si="7"/>
        <x:v>4.2999999999999972</x:v>
      </x:c>
      <x:c r="N53" s="12">
        <x:f t="shared" si="8"/>
        <x:v>0</x:v>
      </x:c>
      <x:c r="O53" s="12">
        <x:f t="shared" si="9"/>
        <x:v>0</x:v>
      </x:c>
      <x:c r="P53" s="12">
        <x:f t="shared" si="10"/>
        <x:v>0</x:v>
      </x:c>
      <x:c r="Q53" s="12">
        <x:f t="shared" si="11"/>
        <x:v>0</x:v>
      </x:c>
      <x:c r="R53" s="12">
        <x:f t="shared" si="12"/>
        <x:v>0</x:v>
      </x:c>
      <x:c r="S53" s="81"/>
    </x:row>
    <x:row r="54" spans="1:19" x14ac:dyDescent="0.25">
      <x:c r="A54">
        <x:f t="shared" si="2"/>
        <x:v>46</x:v>
      </x:c>
      <x:c r="B54" s="11">
        <x:f t="shared" si="13"/>
        <x:v>44936</x:v>
      </x:c>
      <x:c r="C54">
        <x:v>66</x:v>
      </x:c>
      <x:c r="D54">
        <x:v>65</x:v>
      </x:c>
      <x:c r="E54">
        <x:v>67</x:v>
      </x:c>
      <x:c r="F54">
        <x:v>65</x:v>
      </x:c>
      <x:c r="G54" s="12">
        <x:f t="shared" si="3"/>
        <x:v>65.3</x:v>
      </x:c>
      <x:c r="H54" s="12">
        <x:f t="shared" si="14"/>
        <x:v>0</x:v>
      </x:c>
      <x:c r="I54" s="12">
        <x:f t="shared" si="15"/>
        <x:v>0</x:v>
      </x:c>
      <x:c r="J54" s="12">
        <x:f t="shared" si="4"/>
        <x:v>0</x:v>
      </x:c>
      <x:c r="K54" s="12">
        <x:f t="shared" si="5"/>
        <x:v>0</x:v>
      </x:c>
      <x:c r="L54" s="12">
        <x:f t="shared" si="6"/>
        <x:v>15.299999999999997</x:v>
      </x:c>
      <x:c r="M54" s="12">
        <x:f t="shared" si="7"/>
        <x:v>10.299999999999997</x:v>
      </x:c>
      <x:c r="N54" s="12">
        <x:f t="shared" si="8"/>
        <x:v>5.2999999999999972</x:v>
      </x:c>
      <x:c r="O54" s="12">
        <x:f t="shared" si="9"/>
        <x:v>0.29999999999999716</x:v>
      </x:c>
      <x:c r="P54" s="12">
        <x:f t="shared" si="10"/>
        <x:v>0</x:v>
      </x:c>
      <x:c r="Q54" s="12">
        <x:f t="shared" si="11"/>
        <x:v>0</x:v>
      </x:c>
      <x:c r="R54" s="12">
        <x:f t="shared" si="12"/>
        <x:v>0</x:v>
      </x:c>
      <x:c r="S54" s="81"/>
    </x:row>
    <x:row r="55" spans="1:19" x14ac:dyDescent="0.25">
      <x:c r="A55">
        <x:f t="shared" si="2"/>
        <x:v>47</x:v>
      </x:c>
      <x:c r="B55" s="11">
        <x:f t="shared" si="13"/>
        <x:v>44937</x:v>
      </x:c>
      <x:c r="C55">
        <x:v>71</x:v>
      </x:c>
      <x:c r="D55">
        <x:v>66</x:v>
      </x:c>
      <x:c r="E55">
        <x:v>63</x:v>
      </x:c>
      <x:c r="F55">
        <x:v>61</x:v>
      </x:c>
      <x:c r="G55" s="12">
        <x:f t="shared" si="3"/>
        <x:v>66.7</x:v>
      </x:c>
      <x:c r="H55" s="12">
        <x:f t="shared" si="14"/>
        <x:v>0</x:v>
      </x:c>
      <x:c r="I55" s="12">
        <x:f t="shared" si="15"/>
        <x:v>0</x:v>
      </x:c>
      <x:c r="J55" s="12">
        <x:f t="shared" si="4"/>
        <x:v>0</x:v>
      </x:c>
      <x:c r="K55" s="12">
        <x:f t="shared" si="5"/>
        <x:v>0</x:v>
      </x:c>
      <x:c r="L55" s="12">
        <x:f t="shared" si="6"/>
        <x:v>16.700000000000003</x:v>
      </x:c>
      <x:c r="M55" s="12">
        <x:f t="shared" si="7"/>
        <x:v>11.700000000000003</x:v>
      </x:c>
      <x:c r="N55" s="12">
        <x:f t="shared" si="8"/>
        <x:v>6.7000000000000028</x:v>
      </x:c>
      <x:c r="O55" s="12">
        <x:f t="shared" si="9"/>
        <x:v>1.7000000000000028</x:v>
      </x:c>
      <x:c r="P55" s="12">
        <x:f t="shared" si="10"/>
        <x:v>0</x:v>
      </x:c>
      <x:c r="Q55" s="12">
        <x:f t="shared" si="11"/>
        <x:v>0</x:v>
      </x:c>
      <x:c r="R55" s="12">
        <x:f t="shared" si="12"/>
        <x:v>0</x:v>
      </x:c>
      <x:c r="S55" s="81"/>
    </x:row>
    <x:row r="56" spans="1:19" x14ac:dyDescent="0.25">
      <x:c r="A56">
        <x:f t="shared" si="2"/>
        <x:v>48</x:v>
      </x:c>
      <x:c r="B56" s="11">
        <x:f t="shared" si="13"/>
        <x:v>44938</x:v>
      </x:c>
      <x:c r="C56">
        <x:v>48</x:v>
      </x:c>
      <x:c r="D56">
        <x:v>45</x:v>
      </x:c>
      <x:c r="E56">
        <x:v>40</x:v>
      </x:c>
      <x:c r="F56">
        <x:v>39</x:v>
      </x:c>
      <x:c r="G56" s="12">
        <x:f t="shared" si="3"/>
        <x:v>49.5</x:v>
      </x:c>
      <x:c r="H56" s="12">
        <x:f t="shared" si="14"/>
        <x:v>0</x:v>
      </x:c>
      <x:c r="I56" s="12">
        <x:f t="shared" si="15"/>
        <x:v>5.5</x:v>
      </x:c>
      <x:c r="J56" s="12">
        <x:f t="shared" si="4"/>
        <x:v>10.5</x:v>
      </x:c>
      <x:c r="K56" s="12">
        <x:f t="shared" si="5"/>
        <x:v>15.5</x:v>
      </x:c>
      <x:c r="L56" s="12">
        <x:f t="shared" si="6"/>
        <x:v>0</x:v>
      </x:c>
      <x:c r="M56" s="12">
        <x:f t="shared" si="7"/>
        <x:v>0</x:v>
      </x:c>
      <x:c r="N56" s="12">
        <x:f t="shared" si="8"/>
        <x:v>0</x:v>
      </x:c>
      <x:c r="O56" s="12">
        <x:f t="shared" si="9"/>
        <x:v>0</x:v>
      </x:c>
      <x:c r="P56" s="12">
        <x:f t="shared" si="10"/>
        <x:v>0</x:v>
      </x:c>
      <x:c r="Q56" s="12">
        <x:f t="shared" si="11"/>
        <x:v>0</x:v>
      </x:c>
      <x:c r="R56" s="12">
        <x:f t="shared" si="12"/>
        <x:v>0</x:v>
      </x:c>
      <x:c r="S56" s="81"/>
    </x:row>
    <x:row r="57" spans="1:19" x14ac:dyDescent="0.25">
      <x:c r="A57">
        <x:f t="shared" si="2"/>
        <x:v>49</x:v>
      </x:c>
      <x:c r="B57" s="11">
        <x:f t="shared" si="13"/>
        <x:v>44939</x:v>
      </x:c>
      <x:c r="C57">
        <x:v>48</x:v>
      </x:c>
      <x:c r="D57">
        <x:v>45</x:v>
      </x:c>
      <x:c r="E57">
        <x:v>44</x:v>
      </x:c>
      <x:c r="F57">
        <x:v>42</x:v>
      </x:c>
      <x:c r="G57" s="12">
        <x:f t="shared" si="3"/>
        <x:v>45.5</x:v>
      </x:c>
      <x:c r="H57" s="12">
        <x:f t="shared" si="14"/>
        <x:v>0</x:v>
      </x:c>
      <x:c r="I57" s="12">
        <x:f t="shared" si="15"/>
        <x:v>9.5</x:v>
      </x:c>
      <x:c r="J57" s="12">
        <x:f t="shared" si="4"/>
        <x:v>14.5</x:v>
      </x:c>
      <x:c r="K57" s="12">
        <x:f t="shared" si="5"/>
        <x:v>19.5</x:v>
      </x:c>
      <x:c r="L57" s="12">
        <x:f t="shared" si="6"/>
        <x:v>0</x:v>
      </x:c>
      <x:c r="M57" s="12">
        <x:f t="shared" si="7"/>
        <x:v>0</x:v>
      </x:c>
      <x:c r="N57" s="12">
        <x:f t="shared" si="8"/>
        <x:v>0</x:v>
      </x:c>
      <x:c r="O57" s="12">
        <x:f t="shared" si="9"/>
        <x:v>0</x:v>
      </x:c>
      <x:c r="P57" s="12">
        <x:f t="shared" si="10"/>
        <x:v>0</x:v>
      </x:c>
      <x:c r="Q57" s="12">
        <x:f t="shared" si="11"/>
        <x:v>0</x:v>
      </x:c>
      <x:c r="R57" s="12">
        <x:f t="shared" si="12"/>
        <x:v>0</x:v>
      </x:c>
      <x:c r="S57" s="81"/>
    </x:row>
    <x:row r="58" spans="1:19" x14ac:dyDescent="0.25">
      <x:c r="A58" s="18">
        <x:f t="shared" si="2"/>
        <x:v>50</x:v>
      </x:c>
      <x:c r="B58" s="11">
        <x:f t="shared" si="13"/>
        <x:v>44940</x:v>
      </x:c>
      <x:c r="C58">
        <x:v>60</x:v>
      </x:c>
      <x:c r="D58">
        <x:v>59</x:v>
      </x:c>
      <x:c r="E58">
        <x:v>57</x:v>
      </x:c>
      <x:c r="F58">
        <x:v>57</x:v>
      </x:c>
      <x:c r="G58" s="12">
        <x:f t="shared" si="3"/>
        <x:v>54.3</x:v>
      </x:c>
      <x:c r="H58" s="12">
        <x:f t="shared" si="14"/>
        <x:v>0</x:v>
      </x:c>
      <x:c r="I58" s="12">
        <x:f t="shared" si="15"/>
        <x:v>0.70000000000000284</x:v>
      </x:c>
      <x:c r="J58" s="12">
        <x:f t="shared" si="4"/>
        <x:v>5.7000000000000028</x:v>
      </x:c>
      <x:c r="K58" s="12">
        <x:f t="shared" si="5"/>
        <x:v>10.700000000000003</x:v>
      </x:c>
      <x:c r="L58" s="12">
        <x:f t="shared" si="6"/>
        <x:v>4.2999999999999972</x:v>
      </x:c>
      <x:c r="M58" s="12">
        <x:f t="shared" si="7"/>
        <x:v>0</x:v>
      </x:c>
      <x:c r="N58" s="12">
        <x:f t="shared" si="8"/>
        <x:v>0</x:v>
      </x:c>
      <x:c r="O58" s="12">
        <x:f t="shared" si="9"/>
        <x:v>0</x:v>
      </x:c>
      <x:c r="P58" s="12">
        <x:f t="shared" si="10"/>
        <x:v>0</x:v>
      </x:c>
      <x:c r="Q58" s="12">
        <x:f t="shared" si="11"/>
        <x:v>0</x:v>
      </x:c>
      <x:c r="R58" s="12">
        <x:f t="shared" si="12"/>
        <x:v>0</x:v>
      </x:c>
      <x:c r="S58" s="81"/>
    </x:row>
    <x:row r="59" spans="1:19" x14ac:dyDescent="0.25">
      <x:c r="A59">
        <x:f t="shared" ref="A59:A75" si="16">+A58+1</x:f>
        <x:v>51</x:v>
      </x:c>
      <x:c r="B59" s="11">
        <x:f t="shared" si="13"/>
        <x:v>44941</x:v>
      </x:c>
      <x:c r="C59">
        <x:v>65</x:v>
      </x:c>
      <x:c r="D59">
        <x:v>64</x:v>
      </x:c>
      <x:c r="E59">
        <x:v>63</x:v>
      </x:c>
      <x:c r="F59">
        <x:v>62</x:v>
      </x:c>
      <x:c r="G59" s="12">
        <x:f t="shared" si="3"/>
        <x:v>58.9</x:v>
      </x:c>
      <x:c r="H59" s="12">
        <x:f t="shared" si="14"/>
        <x:v>0</x:v>
      </x:c>
      <x:c r="I59" s="12">
        <x:f t="shared" si="15"/>
        <x:v>0</x:v>
      </x:c>
      <x:c r="J59" s="12">
        <x:f t="shared" si="4"/>
        <x:v>1.1000000000000014</x:v>
      </x:c>
      <x:c r="K59" s="12">
        <x:f t="shared" si="5"/>
        <x:v>6.1000000000000014</x:v>
      </x:c>
      <x:c r="L59" s="12">
        <x:f t="shared" si="6"/>
        <x:v>8.8999999999999986</x:v>
      </x:c>
      <x:c r="M59" s="12">
        <x:f t="shared" si="7"/>
        <x:v>3.8999999999999986</x:v>
      </x:c>
      <x:c r="N59" s="12">
        <x:f t="shared" si="8"/>
        <x:v>0</x:v>
      </x:c>
      <x:c r="O59" s="12">
        <x:f t="shared" si="9"/>
        <x:v>0</x:v>
      </x:c>
      <x:c r="P59" s="12">
        <x:f t="shared" si="10"/>
        <x:v>0</x:v>
      </x:c>
      <x:c r="Q59" s="12">
        <x:f t="shared" si="11"/>
        <x:v>0</x:v>
      </x:c>
      <x:c r="R59" s="12">
        <x:f t="shared" si="12"/>
        <x:v>0</x:v>
      </x:c>
      <x:c r="S59" s="81"/>
    </x:row>
    <x:row r="60" spans="1:19" x14ac:dyDescent="0.25">
      <x:c r="A60">
        <x:f t="shared" si="16"/>
        <x:v>52</x:v>
      </x:c>
      <x:c r="B60" s="11">
        <x:f t="shared" si="13"/>
        <x:v>44942</x:v>
      </x:c>
      <x:c r="C60">
        <x:v>61</x:v>
      </x:c>
      <x:c r="D60">
        <x:v>61</x:v>
      </x:c>
      <x:c r="E60">
        <x:v>59</x:v>
      </x:c>
      <x:c r="F60">
        <x:v>56</x:v>
      </x:c>
      <x:c r="G60" s="12">
        <x:f t="shared" si="3"/>
        <x:v>63.5</x:v>
      </x:c>
      <x:c r="H60" s="12">
        <x:f t="shared" si="14"/>
        <x:v>0</x:v>
      </x:c>
      <x:c r="I60" s="12">
        <x:f t="shared" si="15"/>
        <x:v>0</x:v>
      </x:c>
      <x:c r="J60" s="12">
        <x:f t="shared" si="4"/>
        <x:v>0</x:v>
      </x:c>
      <x:c r="K60" s="12">
        <x:f t="shared" si="5"/>
        <x:v>1.5</x:v>
      </x:c>
      <x:c r="L60" s="12">
        <x:f t="shared" si="6"/>
        <x:v>13.5</x:v>
      </x:c>
      <x:c r="M60" s="12">
        <x:f t="shared" si="7"/>
        <x:v>8.5</x:v>
      </x:c>
      <x:c r="N60" s="12">
        <x:f t="shared" si="8"/>
        <x:v>3.5</x:v>
      </x:c>
      <x:c r="O60" s="12">
        <x:f t="shared" si="9"/>
        <x:v>0</x:v>
      </x:c>
      <x:c r="P60" s="12">
        <x:f t="shared" si="10"/>
        <x:v>0</x:v>
      </x:c>
      <x:c r="Q60" s="12">
        <x:f t="shared" si="11"/>
        <x:v>0</x:v>
      </x:c>
      <x:c r="R60" s="12">
        <x:f t="shared" si="12"/>
        <x:v>0</x:v>
      </x:c>
      <x:c r="S60" s="81"/>
    </x:row>
    <x:row r="61" spans="1:19" x14ac:dyDescent="0.25">
      <x:c r="A61">
        <x:f t="shared" si="16"/>
        <x:v>53</x:v>
      </x:c>
      <x:c r="B61" s="11">
        <x:f t="shared" si="13"/>
        <x:v>44943</x:v>
      </x:c>
      <x:c r="C61">
        <x:v>58</x:v>
      </x:c>
      <x:c r="D61">
        <x:v>61</x:v>
      </x:c>
      <x:c r="E61">
        <x:v>62</x:v>
      </x:c>
      <x:c r="F61">
        <x:v>60</x:v>
      </x:c>
      <x:c r="G61" s="12">
        <x:f t="shared" si="3"/>
        <x:v>60</x:v>
      </x:c>
      <x:c r="H61" s="12">
        <x:f t="shared" si="14"/>
        <x:v>0</x:v>
      </x:c>
      <x:c r="I61" s="12">
        <x:f t="shared" si="15"/>
        <x:v>0</x:v>
      </x:c>
      <x:c r="J61" s="12">
        <x:f t="shared" si="4"/>
        <x:v>0</x:v>
      </x:c>
      <x:c r="K61" s="12">
        <x:f t="shared" si="5"/>
        <x:v>5</x:v>
      </x:c>
      <x:c r="L61" s="12">
        <x:f t="shared" si="6"/>
        <x:v>10</x:v>
      </x:c>
      <x:c r="M61" s="12">
        <x:f t="shared" si="7"/>
        <x:v>5</x:v>
      </x:c>
      <x:c r="N61" s="12">
        <x:f t="shared" si="8"/>
        <x:v>0</x:v>
      </x:c>
      <x:c r="O61" s="12">
        <x:f t="shared" si="9"/>
        <x:v>0</x:v>
      </x:c>
      <x:c r="P61" s="12">
        <x:f t="shared" si="10"/>
        <x:v>0</x:v>
      </x:c>
      <x:c r="Q61" s="12">
        <x:f t="shared" si="11"/>
        <x:v>0</x:v>
      </x:c>
      <x:c r="R61" s="12">
        <x:f t="shared" si="12"/>
        <x:v>0</x:v>
      </x:c>
      <x:c r="S61" s="81"/>
    </x:row>
    <x:row r="62" spans="1:19" x14ac:dyDescent="0.25">
      <x:c r="A62" s="18">
        <x:f t="shared" si="16"/>
        <x:v>54</x:v>
      </x:c>
      <x:c r="B62" s="11">
        <x:f t="shared" si="13"/>
        <x:v>44944</x:v>
      </x:c>
      <x:c r="C62">
        <x:v>56</x:v>
      </x:c>
      <x:c r="D62">
        <x:v>56</x:v>
      </x:c>
      <x:c r="E62">
        <x:v>57</x:v>
      </x:c>
      <x:c r="F62">
        <x:v>54</x:v>
      </x:c>
      <x:c r="G62" s="12">
        <x:f t="shared" si="3"/>
        <x:v>58.4</x:v>
      </x:c>
      <x:c r="H62" s="12">
        <x:f t="shared" si="14"/>
        <x:v>0</x:v>
      </x:c>
      <x:c r="I62" s="12">
        <x:f t="shared" si="15"/>
        <x:v>0</x:v>
      </x:c>
      <x:c r="J62" s="12">
        <x:f t="shared" si="4"/>
        <x:v>1.6000000000000014</x:v>
      </x:c>
      <x:c r="K62" s="12">
        <x:f t="shared" si="5"/>
        <x:v>6.6000000000000014</x:v>
      </x:c>
      <x:c r="L62" s="12">
        <x:f t="shared" si="6"/>
        <x:v>8.3999999999999986</x:v>
      </x:c>
      <x:c r="M62" s="12">
        <x:f t="shared" si="7"/>
        <x:v>3.3999999999999986</x:v>
      </x:c>
      <x:c r="N62" s="12">
        <x:f t="shared" si="8"/>
        <x:v>0</x:v>
      </x:c>
      <x:c r="O62" s="12">
        <x:f t="shared" si="9"/>
        <x:v>0</x:v>
      </x:c>
      <x:c r="P62" s="12">
        <x:f t="shared" si="10"/>
        <x:v>0</x:v>
      </x:c>
      <x:c r="Q62" s="12">
        <x:f t="shared" si="11"/>
        <x:v>0</x:v>
      </x:c>
      <x:c r="R62" s="12">
        <x:f t="shared" si="12"/>
        <x:v>0</x:v>
      </x:c>
      <x:c r="S62" s="81"/>
    </x:row>
    <x:row r="63" spans="1:19" x14ac:dyDescent="0.25">
      <x:c r="A63">
        <x:f t="shared" si="16"/>
        <x:v>55</x:v>
      </x:c>
      <x:c r="B63" s="11">
        <x:f t="shared" si="13"/>
        <x:v>44945</x:v>
      </x:c>
      <x:c r="C63">
        <x:v>50</x:v>
      </x:c>
      <x:c r="D63">
        <x:v>46</x:v>
      </x:c>
      <x:c r="E63">
        <x:v>44</x:v>
      </x:c>
      <x:c r="F63">
        <x:v>43</x:v>
      </x:c>
      <x:c r="G63" s="12">
        <x:f t="shared" si="3"/>
        <x:v>49.3</x:v>
      </x:c>
      <x:c r="H63" s="12">
        <x:f t="shared" si="14"/>
        <x:v>0</x:v>
      </x:c>
      <x:c r="I63" s="12">
        <x:f t="shared" si="15"/>
        <x:v>5.7000000000000028</x:v>
      </x:c>
      <x:c r="J63" s="12">
        <x:f t="shared" si="4"/>
        <x:v>10.700000000000003</x:v>
      </x:c>
      <x:c r="K63" s="12">
        <x:f t="shared" si="5"/>
        <x:v>15.700000000000003</x:v>
      </x:c>
      <x:c r="L63" s="12">
        <x:f t="shared" si="6"/>
        <x:v>0</x:v>
      </x:c>
      <x:c r="M63" s="12">
        <x:f t="shared" si="7"/>
        <x:v>0</x:v>
      </x:c>
      <x:c r="N63" s="12">
        <x:f t="shared" si="8"/>
        <x:v>0</x:v>
      </x:c>
      <x:c r="O63" s="12">
        <x:f t="shared" si="9"/>
        <x:v>0</x:v>
      </x:c>
      <x:c r="P63" s="12">
        <x:f t="shared" si="10"/>
        <x:v>0</x:v>
      </x:c>
      <x:c r="Q63" s="12">
        <x:f t="shared" si="11"/>
        <x:v>0</x:v>
      </x:c>
      <x:c r="R63" s="12">
        <x:f t="shared" si="12"/>
        <x:v>0</x:v>
      </x:c>
      <x:c r="S63" s="81"/>
    </x:row>
    <x:row r="64" spans="1:19" x14ac:dyDescent="0.25">
      <x:c r="A64">
        <x:f t="shared" si="16"/>
        <x:v>56</x:v>
      </x:c>
      <x:c r="B64" s="11">
        <x:f t="shared" si="13"/>
        <x:v>44946</x:v>
      </x:c>
      <x:c r="C64">
        <x:v>50</x:v>
      </x:c>
      <x:c r="D64">
        <x:v>49</x:v>
      </x:c>
      <x:c r="E64">
        <x:v>47</x:v>
      </x:c>
      <x:c r="F64">
        <x:v>46</x:v>
      </x:c>
      <x:c r="G64" s="12">
        <x:f t="shared" si="3"/>
        <x:v>50.9</x:v>
      </x:c>
      <x:c r="H64" s="12">
        <x:f t="shared" si="14"/>
        <x:v>0</x:v>
      </x:c>
      <x:c r="I64" s="12">
        <x:f t="shared" si="15"/>
        <x:v>4.1000000000000014</x:v>
      </x:c>
      <x:c r="J64" s="12">
        <x:f t="shared" si="4"/>
        <x:v>9.1000000000000014</x:v>
      </x:c>
      <x:c r="K64" s="12">
        <x:f t="shared" si="5"/>
        <x:v>14.100000000000001</x:v>
      </x:c>
      <x:c r="L64" s="12">
        <x:f t="shared" si="6"/>
        <x:v>0.89999999999999858</x:v>
      </x:c>
      <x:c r="M64" s="12">
        <x:f t="shared" si="7"/>
        <x:v>0</x:v>
      </x:c>
      <x:c r="N64" s="12">
        <x:f t="shared" si="8"/>
        <x:v>0</x:v>
      </x:c>
      <x:c r="O64" s="12">
        <x:f t="shared" si="9"/>
        <x:v>0</x:v>
      </x:c>
      <x:c r="P64" s="12">
        <x:f t="shared" si="10"/>
        <x:v>0</x:v>
      </x:c>
      <x:c r="Q64" s="12">
        <x:f t="shared" si="11"/>
        <x:v>0</x:v>
      </x:c>
      <x:c r="R64" s="12">
        <x:f t="shared" si="12"/>
        <x:v>0</x:v>
      </x:c>
      <x:c r="S64" s="81"/>
    </x:row>
    <x:row r="65" spans="1:19" x14ac:dyDescent="0.25">
      <x:c r="A65">
        <x:f t="shared" si="16"/>
        <x:v>57</x:v>
      </x:c>
      <x:c r="B65" s="11">
        <x:f t="shared" si="13"/>
        <x:v>44947</x:v>
      </x:c>
      <x:c r="C65">
        <x:v>50</x:v>
      </x:c>
      <x:c r="D65">
        <x:v>49</x:v>
      </x:c>
      <x:c r="E65">
        <x:v>46</x:v>
      </x:c>
      <x:c r="F65">
        <x:v>43</x:v>
      </x:c>
      <x:c r="G65" s="12">
        <x:f t="shared" si="3"/>
        <x:v>52</x:v>
      </x:c>
      <x:c r="H65" s="12">
        <x:f t="shared" si="14"/>
        <x:v>0</x:v>
      </x:c>
      <x:c r="I65" s="12">
        <x:f t="shared" si="15"/>
        <x:v>3</x:v>
      </x:c>
      <x:c r="J65" s="12">
        <x:f t="shared" si="4"/>
        <x:v>8</x:v>
      </x:c>
      <x:c r="K65" s="12">
        <x:f t="shared" si="5"/>
        <x:v>13</x:v>
      </x:c>
      <x:c r="L65" s="12">
        <x:f t="shared" si="6"/>
        <x:v>2</x:v>
      </x:c>
      <x:c r="M65" s="12">
        <x:f t="shared" si="7"/>
        <x:v>0</x:v>
      </x:c>
      <x:c r="N65" s="12">
        <x:f t="shared" si="8"/>
        <x:v>0</x:v>
      </x:c>
      <x:c r="O65" s="12">
        <x:f t="shared" si="9"/>
        <x:v>0</x:v>
      </x:c>
      <x:c r="P65" s="12">
        <x:f t="shared" si="10"/>
        <x:v>0</x:v>
      </x:c>
      <x:c r="Q65" s="12">
        <x:f t="shared" si="11"/>
        <x:v>0</x:v>
      </x:c>
      <x:c r="R65" s="12">
        <x:f t="shared" si="12"/>
        <x:v>0</x:v>
      </x:c>
      <x:c r="S65" s="81"/>
    </x:row>
    <x:row r="66" spans="1:19" x14ac:dyDescent="0.25">
      <x:c r="A66">
        <x:f t="shared" si="16"/>
        <x:v>58</x:v>
      </x:c>
      <x:c r="B66" s="11">
        <x:f t="shared" si="13"/>
        <x:v>44948</x:v>
      </x:c>
      <x:c r="C66">
        <x:v>43</x:v>
      </x:c>
      <x:c r="D66">
        <x:v>40</x:v>
      </x:c>
      <x:c r="E66">
        <x:v>37</x:v>
      </x:c>
      <x:c r="F66">
        <x:v>37</x:v>
      </x:c>
      <x:c r="G66" s="12">
        <x:f t="shared" si="3"/>
        <x:v>42.2</x:v>
      </x:c>
      <x:c r="H66" s="12">
        <x:f t="shared" si="14"/>
        <x:v>2.7999999999999972</x:v>
      </x:c>
      <x:c r="I66" s="12">
        <x:f t="shared" si="15"/>
        <x:v>12.799999999999997</x:v>
      </x:c>
      <x:c r="J66" s="12">
        <x:f t="shared" si="4"/>
        <x:v>17.799999999999997</x:v>
      </x:c>
      <x:c r="K66" s="12">
        <x:f t="shared" si="5"/>
        <x:v>22.799999999999997</x:v>
      </x:c>
      <x:c r="L66" s="12">
        <x:f t="shared" si="6"/>
        <x:v>0</x:v>
      </x:c>
      <x:c r="M66" s="12">
        <x:f t="shared" si="7"/>
        <x:v>0</x:v>
      </x:c>
      <x:c r="N66" s="12">
        <x:f t="shared" si="8"/>
        <x:v>0</x:v>
      </x:c>
      <x:c r="O66" s="12">
        <x:f t="shared" si="9"/>
        <x:v>0</x:v>
      </x:c>
      <x:c r="P66" s="12">
        <x:f t="shared" si="10"/>
        <x:v>0</x:v>
      </x:c>
      <x:c r="Q66" s="12">
        <x:f t="shared" si="11"/>
        <x:v>0</x:v>
      </x:c>
      <x:c r="R66" s="12">
        <x:f t="shared" si="12"/>
        <x:v>0</x:v>
      </x:c>
      <x:c r="S66" s="81"/>
    </x:row>
    <x:row r="67" spans="1:19" x14ac:dyDescent="0.25">
      <x:c r="A67">
        <x:f t="shared" si="16"/>
        <x:v>59</x:v>
      </x:c>
      <x:c r="B67" s="11">
        <x:f t="shared" si="13"/>
        <x:v>44949</x:v>
      </x:c>
      <x:c r="C67">
        <x:v>49</x:v>
      </x:c>
      <x:c r="D67">
        <x:v>48</x:v>
      </x:c>
      <x:c r="E67">
        <x:v>47</x:v>
      </x:c>
      <x:c r="F67">
        <x:v>46</x:v>
      </x:c>
      <x:c r="G67" s="12">
        <x:f t="shared" si="3"/>
        <x:v>43.8</x:v>
      </x:c>
      <x:c r="H67" s="12">
        <x:f t="shared" si="14"/>
        <x:v>1.2000000000000028</x:v>
      </x:c>
      <x:c r="I67" s="12">
        <x:f t="shared" si="15"/>
        <x:v>11.200000000000003</x:v>
      </x:c>
      <x:c r="J67" s="12">
        <x:f t="shared" si="4"/>
        <x:v>16.200000000000003</x:v>
      </x:c>
      <x:c r="K67" s="12">
        <x:f t="shared" si="5"/>
        <x:v>21.200000000000003</x:v>
      </x:c>
      <x:c r="L67" s="12">
        <x:f t="shared" si="6"/>
        <x:v>0</x:v>
      </x:c>
      <x:c r="M67" s="12">
        <x:f t="shared" si="7"/>
        <x:v>0</x:v>
      </x:c>
      <x:c r="N67" s="12">
        <x:f t="shared" si="8"/>
        <x:v>0</x:v>
      </x:c>
      <x:c r="O67" s="12">
        <x:f t="shared" si="9"/>
        <x:v>0</x:v>
      </x:c>
      <x:c r="P67" s="12">
        <x:f t="shared" si="10"/>
        <x:v>0</x:v>
      </x:c>
      <x:c r="Q67" s="12">
        <x:f t="shared" si="11"/>
        <x:v>0</x:v>
      </x:c>
      <x:c r="R67" s="12">
        <x:f t="shared" si="12"/>
        <x:v>0</x:v>
      </x:c>
      <x:c r="S67" s="81"/>
    </x:row>
    <x:row r="68" spans="1:19" x14ac:dyDescent="0.25">
      <x:c r="A68">
        <x:f t="shared" si="16"/>
        <x:v>60</x:v>
      </x:c>
      <x:c r="B68" s="11">
        <x:f t="shared" si="13"/>
        <x:v>44950</x:v>
      </x:c>
      <x:c r="C68">
        <x:v>35</x:v>
      </x:c>
      <x:c r="D68">
        <x:v>36</x:v>
      </x:c>
      <x:c r="E68">
        <x:v>36</x:v>
      </x:c>
      <x:c r="F68">
        <x:v>36</x:v>
      </x:c>
      <x:c r="G68" s="12">
        <x:f t="shared" si="3"/>
        <x:v>38.299999999999997</x:v>
      </x:c>
      <x:c r="H68" s="12">
        <x:f t="shared" si="14"/>
        <x:v>6.7000000000000028</x:v>
      </x:c>
      <x:c r="I68" s="12">
        <x:f t="shared" si="15"/>
        <x:v>16.700000000000003</x:v>
      </x:c>
      <x:c r="J68" s="12">
        <x:f t="shared" si="4"/>
        <x:v>21.700000000000003</x:v>
      </x:c>
      <x:c r="K68" s="12">
        <x:f t="shared" si="5"/>
        <x:v>26.700000000000003</x:v>
      </x:c>
      <x:c r="L68" s="12">
        <x:f t="shared" si="6"/>
        <x:v>0</x:v>
      </x:c>
      <x:c r="M68" s="12">
        <x:f t="shared" si="7"/>
        <x:v>0</x:v>
      </x:c>
      <x:c r="N68" s="12">
        <x:f t="shared" si="8"/>
        <x:v>0</x:v>
      </x:c>
      <x:c r="O68" s="12">
        <x:f t="shared" si="9"/>
        <x:v>0</x:v>
      </x:c>
      <x:c r="P68" s="12">
        <x:f t="shared" si="10"/>
        <x:v>0</x:v>
      </x:c>
      <x:c r="Q68" s="12">
        <x:f t="shared" si="11"/>
        <x:v>0</x:v>
      </x:c>
      <x:c r="R68" s="12">
        <x:f t="shared" si="12"/>
        <x:v>0</x:v>
      </x:c>
      <x:c r="S68" s="81"/>
    </x:row>
    <x:row r="69" spans="1:19" x14ac:dyDescent="0.25">
      <x:c r="A69">
        <x:f t="shared" si="16"/>
        <x:v>61</x:v>
      </x:c>
      <x:c r="B69" s="11">
        <x:f t="shared" si="13"/>
        <x:v>44951</x:v>
      </x:c>
      <x:c r="C69">
        <x:v>41</x:v>
      </x:c>
      <x:c r="D69">
        <x:v>39</x:v>
      </x:c>
      <x:c r="E69">
        <x:v>37</x:v>
      </x:c>
      <x:c r="F69">
        <x:v>36</x:v>
      </x:c>
      <x:c r="G69" s="12">
        <x:f t="shared" si="3"/>
        <x:v>39.799999999999997</x:v>
      </x:c>
      <x:c r="H69" s="12">
        <x:f t="shared" si="14"/>
        <x:v>5.2000000000000028</x:v>
      </x:c>
      <x:c r="I69" s="12">
        <x:f t="shared" si="15"/>
        <x:v>15.200000000000003</x:v>
      </x:c>
      <x:c r="J69" s="12">
        <x:f t="shared" si="4"/>
        <x:v>20.200000000000003</x:v>
      </x:c>
      <x:c r="K69" s="12">
        <x:f t="shared" si="5"/>
        <x:v>25.200000000000003</x:v>
      </x:c>
      <x:c r="L69" s="12">
        <x:f t="shared" si="6"/>
        <x:v>0</x:v>
      </x:c>
      <x:c r="M69" s="12">
        <x:f t="shared" si="7"/>
        <x:v>0</x:v>
      </x:c>
      <x:c r="N69" s="12">
        <x:f t="shared" si="8"/>
        <x:v>0</x:v>
      </x:c>
      <x:c r="O69" s="12">
        <x:f t="shared" si="9"/>
        <x:v>0</x:v>
      </x:c>
      <x:c r="P69" s="12">
        <x:f t="shared" si="10"/>
        <x:v>0</x:v>
      </x:c>
      <x:c r="Q69" s="12">
        <x:f t="shared" si="11"/>
        <x:v>0</x:v>
      </x:c>
      <x:c r="R69" s="12">
        <x:f t="shared" si="12"/>
        <x:v>0</x:v>
      </x:c>
      <x:c r="S69" s="81"/>
    </x:row>
    <x:row r="70" spans="1:19" x14ac:dyDescent="0.25">
      <x:c r="A70">
        <x:f t="shared" si="16"/>
        <x:v>62</x:v>
      </x:c>
      <x:c r="B70" s="11">
        <x:f t="shared" si="13"/>
        <x:v>44952</x:v>
      </x:c>
      <x:c r="C70">
        <x:v>40</x:v>
      </x:c>
      <x:c r="D70">
        <x:v>36</x:v>
      </x:c>
      <x:c r="E70">
        <x:v>34</x:v>
      </x:c>
      <x:c r="F70">
        <x:v>33</x:v>
      </x:c>
      <x:c r="G70" s="12">
        <x:f t="shared" si="3"/>
        <x:v>38.799999999999997</x:v>
      </x:c>
      <x:c r="H70" s="12">
        <x:f t="shared" si="14"/>
        <x:v>6.2000000000000028</x:v>
      </x:c>
      <x:c r="I70" s="12">
        <x:f t="shared" si="15"/>
        <x:v>16.200000000000003</x:v>
      </x:c>
      <x:c r="J70" s="12">
        <x:f t="shared" si="4"/>
        <x:v>21.200000000000003</x:v>
      </x:c>
      <x:c r="K70" s="12">
        <x:f t="shared" si="5"/>
        <x:v>26.200000000000003</x:v>
      </x:c>
      <x:c r="L70" s="12">
        <x:f t="shared" si="6"/>
        <x:v>0</x:v>
      </x:c>
      <x:c r="M70" s="12">
        <x:f t="shared" si="7"/>
        <x:v>0</x:v>
      </x:c>
      <x:c r="N70" s="12">
        <x:f t="shared" si="8"/>
        <x:v>0</x:v>
      </x:c>
      <x:c r="O70" s="12">
        <x:f t="shared" si="9"/>
        <x:v>0</x:v>
      </x:c>
      <x:c r="P70" s="12">
        <x:f t="shared" si="10"/>
        <x:v>0</x:v>
      </x:c>
      <x:c r="Q70" s="12">
        <x:f t="shared" si="11"/>
        <x:v>0</x:v>
      </x:c>
      <x:c r="R70" s="12">
        <x:f t="shared" si="12"/>
        <x:v>0</x:v>
      </x:c>
      <x:c r="S70" s="81"/>
    </x:row>
    <x:row r="71" spans="1:19" x14ac:dyDescent="0.25">
      <x:c r="A71">
        <x:f t="shared" si="16"/>
        <x:v>63</x:v>
      </x:c>
      <x:c r="B71" s="11">
        <x:f t="shared" si="13"/>
        <x:v>44953</x:v>
      </x:c>
      <x:c r="C71">
        <x:v>47</x:v>
      </x:c>
      <x:c r="D71">
        <x:v>47</x:v>
      </x:c>
      <x:c r="E71">
        <x:v>46</x:v>
      </x:c>
      <x:c r="F71">
        <x:v>47</x:v>
      </x:c>
      <x:c r="G71" s="12">
        <x:f t="shared" si="3"/>
        <x:v>45.1</x:v>
      </x:c>
      <x:c r="H71" s="12">
        <x:f t="shared" si="14"/>
        <x:v>0</x:v>
      </x:c>
      <x:c r="I71" s="12">
        <x:f t="shared" si="15"/>
        <x:v>9.8999999999999986</x:v>
      </x:c>
      <x:c r="J71" s="12">
        <x:f t="shared" si="4"/>
        <x:v>14.899999999999999</x:v>
      </x:c>
      <x:c r="K71" s="12">
        <x:f t="shared" si="5"/>
        <x:v>19.899999999999999</x:v>
      </x:c>
      <x:c r="L71" s="12">
        <x:f t="shared" si="6"/>
        <x:v>0</x:v>
      </x:c>
      <x:c r="M71" s="12">
        <x:f t="shared" si="7"/>
        <x:v>0</x:v>
      </x:c>
      <x:c r="N71" s="12">
        <x:f t="shared" si="8"/>
        <x:v>0</x:v>
      </x:c>
      <x:c r="O71" s="12">
        <x:f t="shared" si="9"/>
        <x:v>0</x:v>
      </x:c>
      <x:c r="P71" s="12">
        <x:f t="shared" si="10"/>
        <x:v>0</x:v>
      </x:c>
      <x:c r="Q71" s="12">
        <x:f t="shared" si="11"/>
        <x:v>0</x:v>
      </x:c>
      <x:c r="R71" s="12">
        <x:f t="shared" si="12"/>
        <x:v>0</x:v>
      </x:c>
      <x:c r="S71" s="81"/>
    </x:row>
    <x:row r="72" spans="1:19" x14ac:dyDescent="0.25">
      <x:c r="A72">
        <x:f t="shared" si="16"/>
        <x:v>64</x:v>
      </x:c>
      <x:c r="B72" s="11">
        <x:f t="shared" si="13"/>
        <x:v>44954</x:v>
      </x:c>
      <x:c r="C72">
        <x:v>58</x:v>
      </x:c>
      <x:c r="D72">
        <x:v>57</x:v>
      </x:c>
      <x:c r="E72">
        <x:v>54</x:v>
      </x:c>
      <x:c r="F72">
        <x:v>53</x:v>
      </x:c>
      <x:c r="G72" s="12">
        <x:f t="shared" si="3"/>
        <x:v>53.2</x:v>
      </x:c>
      <x:c r="H72" s="12">
        <x:f t="shared" si="14"/>
        <x:v>0</x:v>
      </x:c>
      <x:c r="I72" s="12">
        <x:f t="shared" si="15"/>
        <x:v>1.7999999999999972</x:v>
      </x:c>
      <x:c r="J72" s="12">
        <x:f t="shared" si="4"/>
        <x:v>6.7999999999999972</x:v>
      </x:c>
      <x:c r="K72" s="12">
        <x:f t="shared" si="5"/>
        <x:v>11.799999999999997</x:v>
      </x:c>
      <x:c r="L72" s="12">
        <x:f t="shared" si="6"/>
        <x:v>3.2000000000000028</x:v>
      </x:c>
      <x:c r="M72" s="12">
        <x:f t="shared" si="7"/>
        <x:v>0</x:v>
      </x:c>
      <x:c r="N72" s="12">
        <x:f t="shared" si="8"/>
        <x:v>0</x:v>
      </x:c>
      <x:c r="O72" s="12">
        <x:f t="shared" si="9"/>
        <x:v>0</x:v>
      </x:c>
      <x:c r="P72" s="12">
        <x:f t="shared" si="10"/>
        <x:v>0</x:v>
      </x:c>
      <x:c r="Q72" s="12">
        <x:f t="shared" si="11"/>
        <x:v>0</x:v>
      </x:c>
      <x:c r="R72" s="12">
        <x:f t="shared" si="12"/>
        <x:v>0</x:v>
      </x:c>
      <x:c r="S72" s="81"/>
    </x:row>
    <x:row r="73" spans="1:19" x14ac:dyDescent="0.25">
      <x:c r="A73">
        <x:f t="shared" si="16"/>
        <x:v>65</x:v>
      </x:c>
      <x:c r="B73" s="11">
        <x:f t="shared" si="13"/>
        <x:v>44955</x:v>
      </x:c>
      <x:c r="C73">
        <x:v>29</x:v>
      </x:c>
      <x:c r="D73">
        <x:v>29</x:v>
      </x:c>
      <x:c r="E73">
        <x:v>28</x:v>
      </x:c>
      <x:c r="F73">
        <x:v>28</x:v>
      </x:c>
      <x:c r="G73" s="12">
        <x:f t="shared" si="3"/>
        <x:v>36.299999999999997</x:v>
      </x:c>
      <x:c r="H73" s="12">
        <x:f t="shared" si="14"/>
        <x:v>8.7000000000000028</x:v>
      </x:c>
      <x:c r="I73" s="12">
        <x:f t="shared" si="15"/>
        <x:v>18.700000000000003</x:v>
      </x:c>
      <x:c r="J73" s="12">
        <x:f t="shared" si="4"/>
        <x:v>23.700000000000003</x:v>
      </x:c>
      <x:c r="K73" s="12">
        <x:f t="shared" si="5"/>
        <x:v>28.700000000000003</x:v>
      </x:c>
      <x:c r="L73" s="12">
        <x:f t="shared" si="6"/>
        <x:v>0</x:v>
      </x:c>
      <x:c r="M73" s="12">
        <x:f t="shared" si="7"/>
        <x:v>0</x:v>
      </x:c>
      <x:c r="N73" s="12">
        <x:f t="shared" si="8"/>
        <x:v>0</x:v>
      </x:c>
      <x:c r="O73" s="12">
        <x:f t="shared" si="9"/>
        <x:v>0</x:v>
      </x:c>
      <x:c r="P73" s="12">
        <x:f t="shared" si="10"/>
        <x:v>0</x:v>
      </x:c>
      <x:c r="Q73" s="12">
        <x:f t="shared" si="11"/>
        <x:v>0</x:v>
      </x:c>
      <x:c r="R73" s="12">
        <x:f t="shared" si="12"/>
        <x:v>0</x:v>
      </x:c>
      <x:c r="S73" s="81"/>
    </x:row>
    <x:row r="74" spans="1:19" x14ac:dyDescent="0.25">
      <x:c r="A74">
        <x:f t="shared" si="16"/>
        <x:v>66</x:v>
      </x:c>
      <x:c r="B74" s="11">
        <x:f t="shared" si="13"/>
        <x:v>44956</x:v>
      </x:c>
      <x:c r="C74">
        <x:v>24</x:v>
      </x:c>
      <x:c r="D74">
        <x:v>23</x:v>
      </x:c>
      <x:c r="E74">
        <x:v>23</x:v>
      </x:c>
      <x:c r="F74">
        <x:v>22</x:v>
      </x:c>
      <x:c r="G74" s="12">
        <x:f t="shared" si="3"/>
        <x:v>23</x:v>
      </x:c>
      <x:c r="H74" s="12">
        <x:f t="shared" si="14"/>
        <x:v>22</x:v>
      </x:c>
      <x:c r="I74" s="12">
        <x:f t="shared" si="15"/>
        <x:v>32</x:v>
      </x:c>
      <x:c r="J74" s="12">
        <x:f t="shared" si="4"/>
        <x:v>37</x:v>
      </x:c>
      <x:c r="K74" s="12">
        <x:f t="shared" si="5"/>
        <x:v>42</x:v>
      </x:c>
      <x:c r="L74" s="12">
        <x:f t="shared" si="6"/>
        <x:v>0</x:v>
      </x:c>
      <x:c r="M74" s="12">
        <x:f t="shared" si="7"/>
        <x:v>0</x:v>
      </x:c>
      <x:c r="N74" s="12">
        <x:f t="shared" si="8"/>
        <x:v>0</x:v>
      </x:c>
      <x:c r="O74" s="12">
        <x:f t="shared" si="9"/>
        <x:v>0</x:v>
      </x:c>
      <x:c r="P74" s="12">
        <x:f t="shared" si="10"/>
        <x:v>0</x:v>
      </x:c>
      <x:c r="Q74" s="12">
        <x:f t="shared" si="11"/>
        <x:v>0</x:v>
      </x:c>
      <x:c r="R74" s="12">
        <x:f t="shared" si="12"/>
        <x:v>0</x:v>
      </x:c>
      <x:c r="S74" s="81"/>
    </x:row>
    <x:row r="75" spans="1:19" x14ac:dyDescent="0.25">
      <x:c r="A75">
        <x:f t="shared" si="16"/>
        <x:v>67</x:v>
      </x:c>
      <x:c r="B75" s="11">
        <x:f t="shared" si="13"/>
        <x:v>44957</x:v>
      </x:c>
      <x:c r="C75">
        <x:v>26</x:v>
      </x:c>
      <x:c r="D75">
        <x:v>26</x:v>
      </x:c>
      <x:c r="E75">
        <x:v>26</x:v>
      </x:c>
      <x:c r="F75">
        <x:v>25</x:v>
      </x:c>
      <x:c r="G75" s="12">
        <x:f t="shared" si="3"/>
        <x:v>23.3</x:v>
      </x:c>
      <x:c r="H75" s="12">
        <x:f t="shared" si="14"/>
        <x:v>21.7</x:v>
      </x:c>
      <x:c r="I75" s="12">
        <x:f t="shared" si="15"/>
        <x:v>31.7</x:v>
      </x:c>
      <x:c r="J75" s="12">
        <x:f t="shared" si="4"/>
        <x:v>36.700000000000003</x:v>
      </x:c>
      <x:c r="K75" s="12">
        <x:f t="shared" si="5"/>
        <x:v>41.7</x:v>
      </x:c>
      <x:c r="L75" s="12">
        <x:f t="shared" si="6"/>
        <x:v>0</x:v>
      </x:c>
      <x:c r="M75" s="12">
        <x:f t="shared" si="7"/>
        <x:v>0</x:v>
      </x:c>
      <x:c r="N75" s="12">
        <x:f t="shared" si="8"/>
        <x:v>0</x:v>
      </x:c>
      <x:c r="O75" s="12">
        <x:f t="shared" si="9"/>
        <x:v>0</x:v>
      </x:c>
      <x:c r="P75" s="12">
        <x:f t="shared" si="10"/>
        <x:v>0</x:v>
      </x:c>
      <x:c r="Q75" s="12">
        <x:f t="shared" si="11"/>
        <x:v>0</x:v>
      </x:c>
      <x:c r="R75" s="12">
        <x:f t="shared" si="12"/>
        <x:v>0</x:v>
      </x:c>
      <x:c r="S75" s="81"/>
    </x:row>
    <x:row r="76" spans="1:19" x14ac:dyDescent="0.25"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S76" s="30"/>
    </x:row>
    <x:row r="77" spans="1:19" x14ac:dyDescent="0.25">
      <x:c r="G77" s="16" t="s">
        <x:v>54</x:v>
      </x:c>
      <x:c r="H77" s="20">
        <x:f t="shared" ref="H77" si="17">SUM(H45:H75)</x:f>
        <x:v>74.500000000000014</x:v>
      </x:c>
      <x:c r="I77" s="20">
        <x:f>SUM(I45:I75)</x:f>
        <x:v>220</x:v>
      </x:c>
      <x:c r="J77" s="20">
        <x:f>SUM(J45:J75)</x:f>
        <x:v>328.39999999999992</x:v>
      </x:c>
      <x:c r="K77" s="20">
        <x:f t="shared" ref="K77" si="18">SUM(K45:K75)</x:f>
        <x:v>462.89999999999986</x:v>
      </x:c>
      <x:c r="L77" s="20">
        <x:f>SUM(L45:L75)</x:f>
        <x:v>135</x:v>
      </x:c>
      <x:c r="M77" s="20">
        <x:f t="shared" ref="M77:N77" si="19">SUM(M45:M75)</x:f>
        <x:v>69.099999999999994</x:v>
      </x:c>
      <x:c r="N77" s="20">
        <x:f t="shared" si="19"/>
        <x:v>22.499999999999993</x:v>
      </x:c>
      <x:c r="O77" s="20">
        <x:f>SUM(O45:O75)</x:f>
        <x:v>2</x:v>
      </x:c>
      <x:c r="P77" s="20">
        <x:f>SUM(P45:P75)</x:f>
        <x:v>0</x:v>
      </x:c>
      <x:c r="Q77" s="20">
        <x:f>SUM(Q45:Q75)</x:f>
        <x:v>0</x:v>
      </x:c>
      <x:c r="R77" s="20">
        <x:f>SUM(R45:R75)</x:f>
        <x:v>0</x:v>
      </x:c>
      <x:c r="S77" s="82"/>
    </x:row>
  </x:sheetData>
  <x:mergeCells count="6">
    <x:mergeCell ref="B9:V9"/>
    <x:mergeCell ref="B1:T1"/>
    <x:mergeCell ref="B2:T2"/>
    <x:mergeCell ref="B3:T3"/>
    <x:mergeCell ref="B4:T4"/>
    <x:mergeCell ref="B6:T6"/>
  </x:mergeCells>
  <x:pageMargins left="0.75" right="0.75" top="1" bottom="1" header="0.5" footer="0.5"/>
  <x:pageSetup scale="59" firstPageNumber="3" orientation="portrait" r:id="rId1"/>
  <x:headerFooter alignWithMargins="0">
    <x:oddHeader>&amp;RSchedule II-H-5.1
Page &amp;P of  25</x:oddHeader>
  </x:headerFooter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pageSetUpPr fitToPage="1"/>
  </x:sheetPr>
  <x:dimension ref="A1:AC77"/>
  <x:sheetViews>
    <x:sheetView zoomScaleNormal="100" workbookViewId="0"/>
  </x:sheetViews>
  <x:sheetFormatPr defaultRowHeight="13.2" x14ac:dyDescent="0.25"/>
  <x:cols>
    <x:col min="2" max="2" width="10" style="56" bestFit="1" customWidth="1"/>
    <x:col min="3" max="6" width="5.44140625" bestFit="1" customWidth="1"/>
    <x:col min="7" max="7" width="8.77734375" customWidth="1"/>
    <x:col min="8" max="14" width="6.88671875" bestFit="1" customWidth="1"/>
    <x:col min="15" max="23" width="7" bestFit="1" customWidth="1"/>
    <x:col min="24" max="29" width="11.44140625" customWidth="1"/>
  </x:cols>
  <x:sheetData>
    <x:row r="1" spans="1:29" s="2" customFormat="1" ht="15.6" x14ac:dyDescent="0.3">
      <x:c r="B1" s="88" t="str">
        <x:f>+Base45h!B1</x:f>
        <x:v xml:space="preserve">PUC DOCKET NO. </x:v>
      </x:c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  <x:c r="P1" s="92"/>
      <x:c r="Q1" s="92"/>
      <x:c r="R1" s="92"/>
      <x:c r="S1" s="92"/>
      <x:c r="T1" s="92"/>
      <x:c r="U1" s="56"/>
      <x:c r="V1" s="56"/>
      <x:c r="W1" s="56"/>
      <x:c r="X1" s="56"/>
      <x:c r="Y1" s="56"/>
      <x:c r="Z1" s="56"/>
      <x:c r="AA1" s="56"/>
      <x:c r="AB1" s="56"/>
      <x:c r="AC1" s="56"/>
    </x:row>
    <x:row r="2" spans="1:29" s="2" customFormat="1" ht="15.6" x14ac:dyDescent="0.3">
      <x:c r="B2" s="88" t="str">
        <x:f>+Base45h!B2</x:f>
        <x:v>ONCOR ELECTRIC DELIVERY COMPANY LLC</x:v>
      </x:c>
      <x:c r="C2" s="92"/>
      <x:c r="D2" s="92"/>
      <x:c r="E2" s="92"/>
      <x:c r="F2" s="92"/>
      <x:c r="G2" s="92"/>
      <x:c r="H2" s="92"/>
      <x:c r="I2" s="92"/>
      <x:c r="J2" s="92"/>
      <x:c r="K2" s="92"/>
      <x:c r="L2" s="92"/>
      <x:c r="M2" s="92"/>
      <x:c r="N2" s="92"/>
      <x:c r="O2" s="92"/>
      <x:c r="P2" s="92"/>
      <x:c r="Q2" s="92"/>
      <x:c r="R2" s="92"/>
      <x:c r="S2" s="92"/>
      <x:c r="T2" s="92"/>
      <x:c r="U2" s="56"/>
      <x:c r="V2" s="56"/>
      <x:c r="W2" s="56"/>
      <x:c r="X2" s="56"/>
      <x:c r="Y2" s="56"/>
      <x:c r="Z2" s="56"/>
      <x:c r="AA2" s="56"/>
      <x:c r="AB2" s="56"/>
      <x:c r="AC2" s="56"/>
    </x:row>
    <x:row r="3" spans="1:29" s="2" customFormat="1" ht="15.6" x14ac:dyDescent="0.3">
      <x:c r="B3" s="88" t="str">
        <x:f>+Base45h!B3</x:f>
        <x:v>WEATHER STATION DATA</x:v>
      </x:c>
      <x:c r="C3" s="92"/>
      <x:c r="D3" s="92"/>
      <x:c r="E3" s="92"/>
      <x:c r="F3" s="92"/>
      <x:c r="G3" s="92"/>
      <x:c r="H3" s="92"/>
      <x:c r="I3" s="92"/>
      <x:c r="J3" s="92"/>
      <x:c r="K3" s="92"/>
      <x:c r="L3" s="92"/>
      <x:c r="M3" s="92"/>
      <x:c r="N3" s="92"/>
      <x:c r="O3" s="92"/>
      <x:c r="P3" s="92"/>
      <x:c r="Q3" s="92"/>
      <x:c r="R3" s="92"/>
      <x:c r="S3" s="92"/>
      <x:c r="T3" s="92"/>
      <x:c r="U3" s="56"/>
      <x:c r="V3" s="56"/>
      <x:c r="W3" s="56"/>
      <x:c r="X3" s="56"/>
      <x:c r="Y3" s="56"/>
      <x:c r="Z3" s="56"/>
      <x:c r="AA3" s="56"/>
      <x:c r="AB3" s="56"/>
      <x:c r="AC3" s="56"/>
    </x:row>
    <x:row r="4" spans="1:29" s="2" customFormat="1" ht="15.6" x14ac:dyDescent="0.3">
      <x:c r="B4" s="88" t="str">
        <x:f>+Base45h!B4</x:f>
        <x:v>FOR THE TEST YEAR ENDING DECEMBER 31, 2024</x:v>
      </x:c>
      <x:c r="C4" s="92"/>
      <x:c r="D4" s="92"/>
      <x:c r="E4" s="92"/>
      <x:c r="F4" s="92"/>
      <x:c r="G4" s="92"/>
      <x:c r="H4" s="92"/>
      <x:c r="I4" s="92"/>
      <x:c r="J4" s="92"/>
      <x:c r="K4" s="92"/>
      <x:c r="L4" s="92"/>
      <x:c r="M4" s="92"/>
      <x:c r="N4" s="92"/>
      <x:c r="O4" s="92"/>
      <x:c r="P4" s="92"/>
      <x:c r="Q4" s="92"/>
      <x:c r="R4" s="92"/>
      <x:c r="S4" s="92"/>
      <x:c r="T4" s="92"/>
      <x:c r="U4" s="56"/>
      <x:c r="V4" s="56"/>
      <x:c r="W4" s="56"/>
      <x:c r="X4" s="56"/>
      <x:c r="Y4" s="56"/>
      <x:c r="Z4" s="56"/>
      <x:c r="AA4" s="56"/>
      <x:c r="AB4" s="56"/>
      <x:c r="AC4" s="56"/>
    </x:row>
    <x:row r="5" spans="1:29" s="2" customFormat="1" ht="11.4" x14ac:dyDescent="0.2">
      <x:c r="B5" s="1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7"/>
      <x:c r="V5" s="17"/>
      <x:c r="W5" s="17"/>
      <x:c r="X5" s="17"/>
      <x:c r="Y5" s="17"/>
      <x:c r="Z5" s="17"/>
      <x:c r="AA5" s="17"/>
      <x:c r="AB5" s="17"/>
      <x:c r="AC5" s="17"/>
    </x:row>
    <x:row r="6" spans="1:29" s="2" customFormat="1" ht="15.6" x14ac:dyDescent="0.3">
      <x:c r="B6" s="88" t="str">
        <x:f>+Base45h!B6</x:f>
        <x:v>SPONSOR: D. E. NELSON</x:v>
      </x:c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56"/>
      <x:c r="V6" s="56"/>
      <x:c r="W6" s="56"/>
      <x:c r="X6" s="56"/>
      <x:c r="Y6" s="56"/>
      <x:c r="Z6" s="56"/>
      <x:c r="AA6" s="56"/>
      <x:c r="AB6" s="56"/>
      <x:c r="AC6" s="56"/>
    </x:row>
    <x:row r="7" spans="1:29" ht="24" thickBot="1" x14ac:dyDescent="0.3">
      <x:c r="A7" s="3" t="s">
        <x:v>4</x:v>
      </x:c>
    </x:row>
    <x:row r="9" spans="1:29" x14ac:dyDescent="0.25">
      <x:c r="A9">
        <x:v>1</x:v>
      </x:c>
      <x:c r="B9" s="91" t="s">
        <x:v>118</x:v>
      </x:c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</x:row>
    <x:row r="10" spans="1:29" s="57" customFormat="1" x14ac:dyDescent="0.25">
      <x:c r="A10" s="30">
        <x:f>+A9+1</x:f>
        <x:v>2</x:v>
      </x:c>
      <x:c r="B10" s="31" t="s">
        <x:v>28</x:v>
      </x:c>
      <x:c r="C10" s="31" t="s">
        <x:v>29</x:v>
      </x:c>
      <x:c r="D10" s="31" t="s">
        <x:v>30</x:v>
      </x:c>
      <x:c r="E10" s="31" t="s">
        <x:v>31</x:v>
      </x:c>
      <x:c r="F10" s="31" t="s">
        <x:v>32</x:v>
      </x:c>
      <x:c r="G10" s="31" t="s">
        <x:v>33</x:v>
      </x:c>
      <x:c r="H10" s="31" t="s">
        <x:v>34</x:v>
      </x:c>
      <x:c r="I10" s="31" t="s">
        <x:v>35</x:v>
      </x:c>
      <x:c r="J10" s="31" t="s">
        <x:v>36</x:v>
      </x:c>
      <x:c r="K10" s="31" t="s">
        <x:v>37</x:v>
      </x:c>
      <x:c r="L10" s="31" t="s">
        <x:v>38</x:v>
      </x:c>
      <x:c r="M10" s="31" t="s">
        <x:v>39</x:v>
      </x:c>
      <x:c r="N10" s="31" t="s">
        <x:v>40</x:v>
      </x:c>
      <x:c r="O10" s="31" t="s">
        <x:v>41</x:v>
      </x:c>
      <x:c r="P10" s="31" t="s">
        <x:v>42</x:v>
      </x:c>
      <x:c r="Q10" s="31" t="s">
        <x:v>43</x:v>
      </x:c>
      <x:c r="R10" s="31" t="s">
        <x:v>44</x:v>
      </x:c>
      <x:c r="S10" s="31" t="s">
        <x:v>45</x:v>
      </x:c>
      <x:c r="T10" s="57" t="s">
        <x:v>46</x:v>
      </x:c>
      <x:c r="U10" s="57" t="s">
        <x:v>47</x:v>
      </x:c>
      <x:c r="V10" s="57" t="s">
        <x:v>48</x:v>
      </x:c>
    </x:row>
    <x:row r="11" spans="1:29" x14ac:dyDescent="0.25">
      <x:c r="A11">
        <x:f t="shared" ref="A11:B26" si="0">+A10+1</x:f>
        <x:v>3</x:v>
      </x:c>
      <x:c r="B11" s="11">
        <x:v>45108</x:v>
      </x:c>
      <x:c r="C11">
        <x:v>72</x:v>
      </x:c>
      <x:c r="D11">
        <x:v>71</x:v>
      </x:c>
      <x:c r="E11">
        <x:v>70</x:v>
      </x:c>
      <x:c r="F11">
        <x:v>73</x:v>
      </x:c>
      <x:c r="G11">
        <x:v>71</x:v>
      </x:c>
      <x:c r="H11">
        <x:v>71</x:v>
      </x:c>
      <x:c r="I11">
        <x:v>71</x:v>
      </x:c>
      <x:c r="J11">
        <x:v>73</x:v>
      </x:c>
      <x:c r="K11">
        <x:v>71</x:v>
      </x:c>
      <x:c r="L11">
        <x:v>70</x:v>
      </x:c>
      <x:c r="M11">
        <x:v>71</x:v>
      </x:c>
      <x:c r="N11">
        <x:v>69</x:v>
      </x:c>
      <x:c r="O11">
        <x:v>68</x:v>
      </x:c>
      <x:c r="P11">
        <x:v>69</x:v>
      </x:c>
      <x:c r="Q11">
        <x:v>69</x:v>
      </x:c>
      <x:c r="R11">
        <x:v>70</x:v>
      </x:c>
      <x:c r="S11">
        <x:v>72</x:v>
      </x:c>
      <x:c r="T11">
        <x:v>76</x:v>
      </x:c>
      <x:c r="U11">
        <x:v>75</x:v>
      </x:c>
      <x:c r="V11">
        <x:v>75</x:v>
      </x:c>
    </x:row>
    <x:row r="12" spans="1:29" x14ac:dyDescent="0.25">
      <x:c r="A12">
        <x:f t="shared" si="0"/>
        <x:v>4</x:v>
      </x:c>
      <x:c r="B12" s="11">
        <x:f>+B11+1</x:f>
        <x:v>45109</x:v>
      </x:c>
      <x:c r="C12">
        <x:v>71</x:v>
      </x:c>
      <x:c r="D12">
        <x:v>68</x:v>
      </x:c>
      <x:c r="E12">
        <x:v>67</x:v>
      </x:c>
      <x:c r="F12">
        <x:v>67</x:v>
      </x:c>
      <x:c r="G12">
        <x:v>67</x:v>
      </x:c>
      <x:c r="H12">
        <x:v>67</x:v>
      </x:c>
      <x:c r="I12">
        <x:v>67</x:v>
      </x:c>
      <x:c r="J12">
        <x:v>71</x:v>
      </x:c>
      <x:c r="K12">
        <x:v>76</x:v>
      </x:c>
      <x:c r="L12">
        <x:v>80</x:v>
      </x:c>
      <x:c r="M12">
        <x:v>82</x:v>
      </x:c>
      <x:c r="N12">
        <x:v>86</x:v>
      </x:c>
      <x:c r="O12">
        <x:v>86</x:v>
      </x:c>
      <x:c r="P12">
        <x:v>89</x:v>
      </x:c>
      <x:c r="Q12">
        <x:v>90</x:v>
      </x:c>
      <x:c r="R12">
        <x:v>89</x:v>
      </x:c>
      <x:c r="S12">
        <x:v>90</x:v>
      </x:c>
      <x:c r="T12">
        <x:v>90</x:v>
      </x:c>
      <x:c r="U12">
        <x:v>90</x:v>
      </x:c>
      <x:c r="V12">
        <x:v>89</x:v>
      </x:c>
    </x:row>
    <x:row r="13" spans="1:29" x14ac:dyDescent="0.25">
      <x:c r="A13">
        <x:f t="shared" si="0"/>
        <x:v>5</x:v>
      </x:c>
      <x:c r="B13" s="11">
        <x:f t="shared" si="0"/>
        <x:v>45110</x:v>
      </x:c>
      <x:c r="C13">
        <x:v>77</x:v>
      </x:c>
      <x:c r="D13">
        <x:v>76</x:v>
      </x:c>
      <x:c r="E13">
        <x:v>73</x:v>
      </x:c>
      <x:c r="F13">
        <x:v>74</x:v>
      </x:c>
      <x:c r="G13">
        <x:v>74</x:v>
      </x:c>
      <x:c r="H13">
        <x:v>73</x:v>
      </x:c>
      <x:c r="I13">
        <x:v>71</x:v>
      </x:c>
      <x:c r="J13">
        <x:v>74</x:v>
      </x:c>
      <x:c r="K13">
        <x:v>79</x:v>
      </x:c>
      <x:c r="L13">
        <x:v>83</x:v>
      </x:c>
      <x:c r="M13">
        <x:v>86</x:v>
      </x:c>
      <x:c r="N13">
        <x:v>88</x:v>
      </x:c>
      <x:c r="O13">
        <x:v>90</x:v>
      </x:c>
      <x:c r="P13">
        <x:v>90</x:v>
      </x:c>
      <x:c r="Q13">
        <x:v>91</x:v>
      </x:c>
      <x:c r="R13">
        <x:v>92</x:v>
      </x:c>
      <x:c r="S13">
        <x:v>94</x:v>
      </x:c>
      <x:c r="T13">
        <x:v>94</x:v>
      </x:c>
      <x:c r="U13">
        <x:v>93</x:v>
      </x:c>
      <x:c r="V13">
        <x:v>90</x:v>
      </x:c>
    </x:row>
    <x:row r="14" spans="1:29" x14ac:dyDescent="0.25">
      <x:c r="A14">
        <x:f t="shared" si="0"/>
        <x:v>6</x:v>
      </x:c>
      <x:c r="B14" s="11">
        <x:f t="shared" si="0"/>
        <x:v>45111</x:v>
      </x:c>
      <x:c r="C14">
        <x:v>77</x:v>
      </x:c>
      <x:c r="D14">
        <x:v>76</x:v>
      </x:c>
      <x:c r="E14">
        <x:v>76</x:v>
      </x:c>
      <x:c r="F14">
        <x:v>75</x:v>
      </x:c>
      <x:c r="G14">
        <x:v>73</x:v>
      </x:c>
      <x:c r="H14">
        <x:v>72</x:v>
      </x:c>
      <x:c r="I14">
        <x:v>72</x:v>
      </x:c>
      <x:c r="J14">
        <x:v>75</x:v>
      </x:c>
      <x:c r="K14">
        <x:v>79</x:v>
      </x:c>
      <x:c r="L14">
        <x:v>82</x:v>
      </x:c>
      <x:c r="M14">
        <x:v>85</x:v>
      </x:c>
      <x:c r="N14">
        <x:v>87</x:v>
      </x:c>
      <x:c r="O14">
        <x:v>89</x:v>
      </x:c>
      <x:c r="P14">
        <x:v>91</x:v>
      </x:c>
      <x:c r="Q14">
        <x:v>93</x:v>
      </x:c>
      <x:c r="R14">
        <x:v>92</x:v>
      </x:c>
      <x:c r="S14">
        <x:v>91</x:v>
      </x:c>
      <x:c r="T14">
        <x:v>91</x:v>
      </x:c>
      <x:c r="U14">
        <x:v>89</x:v>
      </x:c>
      <x:c r="V14">
        <x:v>88</x:v>
      </x:c>
    </x:row>
    <x:row r="15" spans="1:29" x14ac:dyDescent="0.25">
      <x:c r="A15">
        <x:f t="shared" si="0"/>
        <x:v>7</x:v>
      </x:c>
      <x:c r="B15" s="11">
        <x:f t="shared" si="0"/>
        <x:v>45112</x:v>
      </x:c>
      <x:c r="C15">
        <x:v>79</x:v>
      </x:c>
      <x:c r="D15">
        <x:v>78</x:v>
      </x:c>
      <x:c r="E15">
        <x:v>76</x:v>
      </x:c>
      <x:c r="F15">
        <x:v>76</x:v>
      </x:c>
      <x:c r="G15">
        <x:v>76</x:v>
      </x:c>
      <x:c r="H15">
        <x:v>77</x:v>
      </x:c>
      <x:c r="I15">
        <x:v>76</x:v>
      </x:c>
      <x:c r="J15">
        <x:v>78</x:v>
      </x:c>
      <x:c r="K15">
        <x:v>81</x:v>
      </x:c>
      <x:c r="L15">
        <x:v>84</x:v>
      </x:c>
      <x:c r="M15">
        <x:v>87</x:v>
      </x:c>
      <x:c r="N15">
        <x:v>89</x:v>
      </x:c>
      <x:c r="O15">
        <x:v>91</x:v>
      </x:c>
      <x:c r="P15">
        <x:v>93</x:v>
      </x:c>
      <x:c r="Q15">
        <x:v>95</x:v>
      </x:c>
      <x:c r="R15">
        <x:v>95</x:v>
      </x:c>
      <x:c r="S15">
        <x:v>95</x:v>
      </x:c>
      <x:c r="T15">
        <x:v>94</x:v>
      </x:c>
      <x:c r="U15">
        <x:v>91</x:v>
      </x:c>
      <x:c r="V15">
        <x:v>90</x:v>
      </x:c>
    </x:row>
    <x:row r="16" spans="1:29" x14ac:dyDescent="0.25">
      <x:c r="A16">
        <x:f t="shared" si="0"/>
        <x:v>8</x:v>
      </x:c>
      <x:c r="B16" s="11">
        <x:f t="shared" si="0"/>
        <x:v>45113</x:v>
      </x:c>
      <x:c r="C16">
        <x:v>79</x:v>
      </x:c>
      <x:c r="D16">
        <x:v>78</x:v>
      </x:c>
      <x:c r="E16">
        <x:v>78</x:v>
      </x:c>
      <x:c r="F16">
        <x:v>76</x:v>
      </x:c>
      <x:c r="G16">
        <x:v>75</x:v>
      </x:c>
      <x:c r="H16">
        <x:v>73</x:v>
      </x:c>
      <x:c r="I16">
        <x:v>74</x:v>
      </x:c>
      <x:c r="J16">
        <x:v>77</x:v>
      </x:c>
      <x:c r="K16">
        <x:v>80</x:v>
      </x:c>
      <x:c r="L16">
        <x:v>83</x:v>
      </x:c>
      <x:c r="M16">
        <x:v>87</x:v>
      </x:c>
      <x:c r="N16">
        <x:v>90</x:v>
      </x:c>
      <x:c r="O16">
        <x:v>90</x:v>
      </x:c>
      <x:c r="P16">
        <x:v>82</x:v>
      </x:c>
      <x:c r="Q16">
        <x:v>82</x:v>
      </x:c>
      <x:c r="R16">
        <x:v>82</x:v>
      </x:c>
      <x:c r="S16">
        <x:v>85</x:v>
      </x:c>
      <x:c r="T16">
        <x:v>89</x:v>
      </x:c>
      <x:c r="U16">
        <x:v>90</x:v>
      </x:c>
      <x:c r="V16">
        <x:v>88</x:v>
      </x:c>
    </x:row>
    <x:row r="17" spans="1:22" x14ac:dyDescent="0.25">
      <x:c r="A17">
        <x:f t="shared" si="0"/>
        <x:v>9</x:v>
      </x:c>
      <x:c r="B17" s="11">
        <x:f t="shared" si="0"/>
        <x:v>45114</x:v>
      </x:c>
      <x:c r="C17">
        <x:v>79</x:v>
      </x:c>
      <x:c r="D17">
        <x:v>77</x:v>
      </x:c>
      <x:c r="E17">
        <x:v>76</x:v>
      </x:c>
      <x:c r="F17">
        <x:v>75</x:v>
      </x:c>
      <x:c r="G17">
        <x:v>74</x:v>
      </x:c>
      <x:c r="H17">
        <x:v>72</x:v>
      </x:c>
      <x:c r="I17">
        <x:v>72</x:v>
      </x:c>
      <x:c r="J17">
        <x:v>74</x:v>
      </x:c>
      <x:c r="K17">
        <x:v>78</x:v>
      </x:c>
      <x:c r="L17">
        <x:v>80</x:v>
      </x:c>
      <x:c r="M17">
        <x:v>82</x:v>
      </x:c>
      <x:c r="N17">
        <x:v>84</x:v>
      </x:c>
      <x:c r="O17">
        <x:v>86</x:v>
      </x:c>
      <x:c r="P17">
        <x:v>87</x:v>
      </x:c>
      <x:c r="Q17">
        <x:v>89</x:v>
      </x:c>
      <x:c r="R17">
        <x:v>91</x:v>
      </x:c>
      <x:c r="S17">
        <x:v>91</x:v>
      </x:c>
      <x:c r="T17">
        <x:v>91</x:v>
      </x:c>
      <x:c r="U17">
        <x:v>91</x:v>
      </x:c>
      <x:c r="V17">
        <x:v>89</x:v>
      </x:c>
    </x:row>
    <x:row r="18" spans="1:22" x14ac:dyDescent="0.25">
      <x:c r="A18">
        <x:f t="shared" si="0"/>
        <x:v>10</x:v>
      </x:c>
      <x:c r="B18" s="11">
        <x:f t="shared" si="0"/>
        <x:v>45115</x:v>
      </x:c>
      <x:c r="C18">
        <x:v>80</x:v>
      </x:c>
      <x:c r="D18">
        <x:v>78</x:v>
      </x:c>
      <x:c r="E18">
        <x:v>77</x:v>
      </x:c>
      <x:c r="F18">
        <x:v>77</x:v>
      </x:c>
      <x:c r="G18">
        <x:v>78</x:v>
      </x:c>
      <x:c r="H18">
        <x:v>78</x:v>
      </x:c>
      <x:c r="I18">
        <x:v>78</x:v>
      </x:c>
      <x:c r="J18">
        <x:v>78</x:v>
      </x:c>
      <x:c r="K18">
        <x:v>80</x:v>
      </x:c>
      <x:c r="L18">
        <x:v>81</x:v>
      </x:c>
      <x:c r="M18">
        <x:v>83</x:v>
      </x:c>
      <x:c r="N18">
        <x:v>87</x:v>
      </x:c>
      <x:c r="O18">
        <x:v>87</x:v>
      </x:c>
      <x:c r="P18">
        <x:v>90</x:v>
      </x:c>
      <x:c r="Q18">
        <x:v>92</x:v>
      </x:c>
      <x:c r="R18">
        <x:v>94</x:v>
      </x:c>
      <x:c r="S18">
        <x:v>95</x:v>
      </x:c>
      <x:c r="T18">
        <x:v>96</x:v>
      </x:c>
      <x:c r="U18">
        <x:v>96</x:v>
      </x:c>
      <x:c r="V18">
        <x:v>93</x:v>
      </x:c>
    </x:row>
    <x:row r="19" spans="1:22" x14ac:dyDescent="0.25">
      <x:c r="A19">
        <x:f t="shared" si="0"/>
        <x:v>11</x:v>
      </x:c>
      <x:c r="B19" s="11">
        <x:f t="shared" si="0"/>
        <x:v>45116</x:v>
      </x:c>
      <x:c r="C19">
        <x:v>80</x:v>
      </x:c>
      <x:c r="D19">
        <x:v>84</x:v>
      </x:c>
      <x:c r="E19">
        <x:v>83</x:v>
      </x:c>
      <x:c r="F19">
        <x:v>80</x:v>
      </x:c>
      <x:c r="G19">
        <x:v>78</x:v>
      </x:c>
      <x:c r="H19">
        <x:v>78</x:v>
      </x:c>
      <x:c r="I19">
        <x:v>79</x:v>
      </x:c>
      <x:c r="J19">
        <x:v>79</x:v>
      </x:c>
      <x:c r="K19">
        <x:v>82</x:v>
      </x:c>
      <x:c r="L19">
        <x:v>83</x:v>
      </x:c>
      <x:c r="M19">
        <x:v>84</x:v>
      </x:c>
      <x:c r="N19">
        <x:v>87</x:v>
      </x:c>
      <x:c r="O19">
        <x:v>89</x:v>
      </x:c>
      <x:c r="P19">
        <x:v>91</x:v>
      </x:c>
      <x:c r="Q19">
        <x:v>94</x:v>
      </x:c>
      <x:c r="R19">
        <x:v>95</x:v>
      </x:c>
      <x:c r="S19">
        <x:v>98</x:v>
      </x:c>
      <x:c r="T19">
        <x:v>96</x:v>
      </x:c>
      <x:c r="U19">
        <x:v>96</x:v>
      </x:c>
      <x:c r="V19">
        <x:v>93</x:v>
      </x:c>
    </x:row>
    <x:row r="20" spans="1:22" x14ac:dyDescent="0.25">
      <x:c r="A20">
        <x:f t="shared" si="0"/>
        <x:v>12</x:v>
      </x:c>
      <x:c r="B20" s="11">
        <x:f t="shared" si="0"/>
        <x:v>45117</x:v>
      </x:c>
      <x:c r="C20">
        <x:v>80</x:v>
      </x:c>
      <x:c r="D20">
        <x:v>78</x:v>
      </x:c>
      <x:c r="E20">
        <x:v>78</x:v>
      </x:c>
      <x:c r="F20">
        <x:v>75</x:v>
      </x:c>
      <x:c r="G20">
        <x:v>75</x:v>
      </x:c>
      <x:c r="H20">
        <x:v>73</x:v>
      </x:c>
      <x:c r="I20">
        <x:v>73</x:v>
      </x:c>
      <x:c r="J20">
        <x:v>75</x:v>
      </x:c>
      <x:c r="K20">
        <x:v>78</x:v>
      </x:c>
      <x:c r="L20">
        <x:v>83</x:v>
      </x:c>
      <x:c r="M20">
        <x:v>88</x:v>
      </x:c>
      <x:c r="N20">
        <x:v>91</x:v>
      </x:c>
      <x:c r="O20">
        <x:v>93</x:v>
      </x:c>
      <x:c r="P20">
        <x:v>97</x:v>
      </x:c>
      <x:c r="Q20">
        <x:v>98</x:v>
      </x:c>
      <x:c r="R20">
        <x:v>100</x:v>
      </x:c>
      <x:c r="S20">
        <x:v>101</x:v>
      </x:c>
      <x:c r="T20">
        <x:v>100</x:v>
      </x:c>
      <x:c r="U20">
        <x:v>100</x:v>
      </x:c>
      <x:c r="V20">
        <x:v>97</x:v>
      </x:c>
    </x:row>
    <x:row r="21" spans="1:22" x14ac:dyDescent="0.25">
      <x:c r="A21">
        <x:f t="shared" si="0"/>
        <x:v>13</x:v>
      </x:c>
      <x:c r="B21" s="11">
        <x:f t="shared" si="0"/>
        <x:v>45118</x:v>
      </x:c>
      <x:c r="C21">
        <x:v>82</x:v>
      </x:c>
      <x:c r="D21">
        <x:v>79</x:v>
      </x:c>
      <x:c r="E21">
        <x:v>84</x:v>
      </x:c>
      <x:c r="F21">
        <x:v>77</x:v>
      </x:c>
      <x:c r="G21">
        <x:v>75</x:v>
      </x:c>
      <x:c r="H21">
        <x:v>76</x:v>
      </x:c>
      <x:c r="I21">
        <x:v>77</x:v>
      </x:c>
      <x:c r="J21">
        <x:v>78</x:v>
      </x:c>
      <x:c r="K21">
        <x:v>81</x:v>
      </x:c>
      <x:c r="L21">
        <x:v>84</x:v>
      </x:c>
      <x:c r="M21">
        <x:v>85</x:v>
      </x:c>
      <x:c r="N21">
        <x:v>88</x:v>
      </x:c>
      <x:c r="O21">
        <x:v>90</x:v>
      </x:c>
      <x:c r="P21">
        <x:v>91</x:v>
      </x:c>
      <x:c r="Q21">
        <x:v>95</x:v>
      </x:c>
      <x:c r="R21">
        <x:v>98</x:v>
      </x:c>
      <x:c r="S21">
        <x:v>99</x:v>
      </x:c>
      <x:c r="T21">
        <x:v>100</x:v>
      </x:c>
      <x:c r="U21">
        <x:v>99</x:v>
      </x:c>
      <x:c r="V21">
        <x:v>97</x:v>
      </x:c>
    </x:row>
    <x:row r="22" spans="1:22" x14ac:dyDescent="0.25">
      <x:c r="A22">
        <x:f t="shared" si="0"/>
        <x:v>14</x:v>
      </x:c>
      <x:c r="B22" s="11">
        <x:f t="shared" si="0"/>
        <x:v>45119</x:v>
      </x:c>
      <x:c r="C22">
        <x:v>86</x:v>
      </x:c>
      <x:c r="D22">
        <x:v>87</x:v>
      </x:c>
      <x:c r="E22">
        <x:v>86</x:v>
      </x:c>
      <x:c r="F22">
        <x:v>85</x:v>
      </x:c>
      <x:c r="G22">
        <x:v>84</x:v>
      </x:c>
      <x:c r="H22">
        <x:v>82</x:v>
      </x:c>
      <x:c r="I22">
        <x:v>83</x:v>
      </x:c>
      <x:c r="J22">
        <x:v>83</x:v>
      </x:c>
      <x:c r="K22">
        <x:v>86</x:v>
      </x:c>
      <x:c r="L22">
        <x:v>89</x:v>
      </x:c>
      <x:c r="M22">
        <x:v>92</x:v>
      </x:c>
      <x:c r="N22">
        <x:v>96</x:v>
      </x:c>
      <x:c r="O22">
        <x:v>98</x:v>
      </x:c>
      <x:c r="P22">
        <x:v>101</x:v>
      </x:c>
      <x:c r="Q22">
        <x:v>103</x:v>
      </x:c>
      <x:c r="R22">
        <x:v>106</x:v>
      </x:c>
      <x:c r="S22">
        <x:v>106</x:v>
      </x:c>
      <x:c r="T22">
        <x:v>107</x:v>
      </x:c>
      <x:c r="U22">
        <x:v>105</x:v>
      </x:c>
      <x:c r="V22">
        <x:v>102</x:v>
      </x:c>
    </x:row>
    <x:row r="23" spans="1:22" x14ac:dyDescent="0.25">
      <x:c r="A23">
        <x:f t="shared" si="0"/>
        <x:v>15</x:v>
      </x:c>
      <x:c r="B23" s="11">
        <x:f t="shared" si="0"/>
        <x:v>45120</x:v>
      </x:c>
      <x:c r="C23">
        <x:v>92</x:v>
      </x:c>
      <x:c r="D23">
        <x:v>90</x:v>
      </x:c>
      <x:c r="E23">
        <x:v>88</x:v>
      </x:c>
      <x:c r="F23">
        <x:v>84</x:v>
      </x:c>
      <x:c r="G23">
        <x:v>84</x:v>
      </x:c>
      <x:c r="H23">
        <x:v>85</x:v>
      </x:c>
      <x:c r="I23">
        <x:v>85</x:v>
      </x:c>
      <x:c r="J23">
        <x:v>84</x:v>
      </x:c>
      <x:c r="K23">
        <x:v>84</x:v>
      </x:c>
      <x:c r="L23">
        <x:v>87</x:v>
      </x:c>
      <x:c r="M23">
        <x:v>92</x:v>
      </x:c>
      <x:c r="N23">
        <x:v>93</x:v>
      </x:c>
      <x:c r="O23">
        <x:v>97</x:v>
      </x:c>
      <x:c r="P23">
        <x:v>100</x:v>
      </x:c>
      <x:c r="Q23">
        <x:v>103</x:v>
      </x:c>
      <x:c r="R23">
        <x:v>106</x:v>
      </x:c>
      <x:c r="S23">
        <x:v>107</x:v>
      </x:c>
      <x:c r="T23">
        <x:v>106</x:v>
      </x:c>
      <x:c r="U23">
        <x:v>105</x:v>
      </x:c>
      <x:c r="V23">
        <x:v>101</x:v>
      </x:c>
    </x:row>
    <x:row r="24" spans="1:22" s="18" customFormat="1" x14ac:dyDescent="0.25">
      <x:c r="A24" s="18">
        <x:f t="shared" si="0"/>
        <x:v>16</x:v>
      </x:c>
      <x:c r="B24" s="11">
        <x:f t="shared" si="0"/>
        <x:v>45121</x:v>
      </x:c>
      <x:c r="C24">
        <x:v>92</x:v>
      </x:c>
      <x:c r="D24">
        <x:v>91</x:v>
      </x:c>
      <x:c r="E24">
        <x:v>88</x:v>
      </x:c>
      <x:c r="F24">
        <x:v>87</x:v>
      </x:c>
      <x:c r="G24">
        <x:v>84</x:v>
      </x:c>
      <x:c r="H24">
        <x:v>81</x:v>
      </x:c>
      <x:c r="I24">
        <x:v>80</x:v>
      </x:c>
      <x:c r="J24">
        <x:v>82</x:v>
      </x:c>
      <x:c r="K24">
        <x:v>84</x:v>
      </x:c>
      <x:c r="L24">
        <x:v>88</x:v>
      </x:c>
      <x:c r="M24">
        <x:v>91</x:v>
      </x:c>
      <x:c r="N24">
        <x:v>94</x:v>
      </x:c>
      <x:c r="O24">
        <x:v>97</x:v>
      </x:c>
      <x:c r="P24">
        <x:v>100</x:v>
      </x:c>
      <x:c r="Q24">
        <x:v>99</x:v>
      </x:c>
      <x:c r="R24">
        <x:v>102</x:v>
      </x:c>
      <x:c r="S24">
        <x:v>103</x:v>
      </x:c>
      <x:c r="T24">
        <x:v>102</x:v>
      </x:c>
      <x:c r="U24">
        <x:v>102</x:v>
      </x:c>
      <x:c r="V24">
        <x:v>100</x:v>
      </x:c>
    </x:row>
    <x:row r="25" spans="1:22" x14ac:dyDescent="0.25">
      <x:c r="A25">
        <x:f t="shared" si="0"/>
        <x:v>17</x:v>
      </x:c>
      <x:c r="B25" s="11">
        <x:f t="shared" si="0"/>
        <x:v>45122</x:v>
      </x:c>
      <x:c r="C25">
        <x:v>85</x:v>
      </x:c>
      <x:c r="D25">
        <x:v>84</x:v>
      </x:c>
      <x:c r="E25">
        <x:v>82</x:v>
      </x:c>
      <x:c r="F25">
        <x:v>82</x:v>
      </x:c>
      <x:c r="G25">
        <x:v>81</x:v>
      </x:c>
      <x:c r="H25">
        <x:v>82</x:v>
      </x:c>
      <x:c r="I25">
        <x:v>82</x:v>
      </x:c>
      <x:c r="J25">
        <x:v>83</x:v>
      </x:c>
      <x:c r="K25">
        <x:v>85</x:v>
      </x:c>
      <x:c r="L25">
        <x:v>85</x:v>
      </x:c>
      <x:c r="M25">
        <x:v>89</x:v>
      </x:c>
      <x:c r="N25">
        <x:v>94</x:v>
      </x:c>
      <x:c r="O25">
        <x:v>97</x:v>
      </x:c>
      <x:c r="P25">
        <x:v>97</x:v>
      </x:c>
      <x:c r="Q25">
        <x:v>97</x:v>
      </x:c>
      <x:c r="R25">
        <x:v>99</x:v>
      </x:c>
      <x:c r="S25">
        <x:v>98</x:v>
      </x:c>
      <x:c r="T25">
        <x:v>96</x:v>
      </x:c>
      <x:c r="U25">
        <x:v>91</x:v>
      </x:c>
      <x:c r="V25">
        <x:v>89</x:v>
      </x:c>
    </x:row>
    <x:row r="26" spans="1:22" x14ac:dyDescent="0.25">
      <x:c r="A26">
        <x:f t="shared" si="0"/>
        <x:v>18</x:v>
      </x:c>
      <x:c r="B26" s="11">
        <x:f t="shared" si="0"/>
        <x:v>45123</x:v>
      </x:c>
      <x:c r="C26">
        <x:v>85</x:v>
      </x:c>
      <x:c r="D26">
        <x:v>83</x:v>
      </x:c>
      <x:c r="E26">
        <x:v>82</x:v>
      </x:c>
      <x:c r="F26">
        <x:v>80</x:v>
      </x:c>
      <x:c r="G26">
        <x:v>78</x:v>
      </x:c>
      <x:c r="H26">
        <x:v>75</x:v>
      </x:c>
      <x:c r="I26">
        <x:v>73</x:v>
      </x:c>
      <x:c r="J26">
        <x:v>73</x:v>
      </x:c>
      <x:c r="K26">
        <x:v>75</x:v>
      </x:c>
      <x:c r="L26">
        <x:v>82</x:v>
      </x:c>
      <x:c r="M26">
        <x:v>86</x:v>
      </x:c>
      <x:c r="N26">
        <x:v>90</x:v>
      </x:c>
      <x:c r="O26">
        <x:v>96</x:v>
      </x:c>
      <x:c r="P26">
        <x:v>98</x:v>
      </x:c>
      <x:c r="Q26">
        <x:v>99</x:v>
      </x:c>
      <x:c r="R26">
        <x:v>100</x:v>
      </x:c>
      <x:c r="S26">
        <x:v>101</x:v>
      </x:c>
      <x:c r="T26">
        <x:v>102</x:v>
      </x:c>
      <x:c r="U26">
        <x:v>101</x:v>
      </x:c>
      <x:c r="V26">
        <x:v>98</x:v>
      </x:c>
    </x:row>
    <x:row r="27" spans="1:22" x14ac:dyDescent="0.25">
      <x:c r="A27">
        <x:f t="shared" ref="A27:B42" si="1">+A26+1</x:f>
        <x:v>19</x:v>
      </x:c>
      <x:c r="B27" s="11">
        <x:f t="shared" si="1"/>
        <x:v>45124</x:v>
      </x:c>
      <x:c r="C27">
        <x:v>84</x:v>
      </x:c>
      <x:c r="D27">
        <x:v>84</x:v>
      </x:c>
      <x:c r="E27">
        <x:v>81</x:v>
      </x:c>
      <x:c r="F27">
        <x:v>78</x:v>
      </x:c>
      <x:c r="G27">
        <x:v>78</x:v>
      </x:c>
      <x:c r="H27">
        <x:v>80</x:v>
      </x:c>
      <x:c r="I27">
        <x:v>80</x:v>
      </x:c>
      <x:c r="J27">
        <x:v>81</x:v>
      </x:c>
      <x:c r="K27">
        <x:v>85</x:v>
      </x:c>
      <x:c r="L27">
        <x:v>90</x:v>
      </x:c>
      <x:c r="M27">
        <x:v>94</x:v>
      </x:c>
      <x:c r="N27">
        <x:v>97</x:v>
      </x:c>
      <x:c r="O27">
        <x:v>100</x:v>
      </x:c>
      <x:c r="P27">
        <x:v>103</x:v>
      </x:c>
      <x:c r="Q27">
        <x:v>103</x:v>
      </x:c>
      <x:c r="R27">
        <x:v>105</x:v>
      </x:c>
      <x:c r="S27">
        <x:v>105</x:v>
      </x:c>
      <x:c r="T27">
        <x:v>104</x:v>
      </x:c>
      <x:c r="U27">
        <x:v>103</x:v>
      </x:c>
      <x:c r="V27">
        <x:v>100</x:v>
      </x:c>
    </x:row>
    <x:row r="28" spans="1:22" s="18" customFormat="1" x14ac:dyDescent="0.25">
      <x:c r="A28" s="18">
        <x:f t="shared" si="1"/>
        <x:v>20</x:v>
      </x:c>
      <x:c r="B28" s="11">
        <x:f t="shared" si="1"/>
        <x:v>45125</x:v>
      </x:c>
      <x:c r="C28">
        <x:v>91</x:v>
      </x:c>
      <x:c r="D28">
        <x:v>89</x:v>
      </x:c>
      <x:c r="E28">
        <x:v>88</x:v>
      </x:c>
      <x:c r="F28">
        <x:v>85</x:v>
      </x:c>
      <x:c r="G28">
        <x:v>80</x:v>
      </x:c>
      <x:c r="H28">
        <x:v>80</x:v>
      </x:c>
      <x:c r="I28">
        <x:v>77</x:v>
      </x:c>
      <x:c r="J28">
        <x:v>81</x:v>
      </x:c>
      <x:c r="K28">
        <x:v>85</x:v>
      </x:c>
      <x:c r="L28">
        <x:v>89</x:v>
      </x:c>
      <x:c r="M28">
        <x:v>93</x:v>
      </x:c>
      <x:c r="N28">
        <x:v>97</x:v>
      </x:c>
      <x:c r="O28">
        <x:v>102</x:v>
      </x:c>
      <x:c r="P28">
        <x:v>104</x:v>
      </x:c>
      <x:c r="Q28">
        <x:v>106</x:v>
      </x:c>
      <x:c r="R28">
        <x:v>107</x:v>
      </x:c>
      <x:c r="S28">
        <x:v>108</x:v>
      </x:c>
      <x:c r="T28">
        <x:v>107</x:v>
      </x:c>
      <x:c r="U28">
        <x:v>106</x:v>
      </x:c>
      <x:c r="V28">
        <x:v>103</x:v>
      </x:c>
    </x:row>
    <x:row r="29" spans="1:22" x14ac:dyDescent="0.25">
      <x:c r="A29">
        <x:f t="shared" si="1"/>
        <x:v>21</x:v>
      </x:c>
      <x:c r="B29" s="11">
        <x:f t="shared" si="1"/>
        <x:v>45126</x:v>
      </x:c>
      <x:c r="C29">
        <x:v>90</x:v>
      </x:c>
      <x:c r="D29">
        <x:v>90</x:v>
      </x:c>
      <x:c r="E29">
        <x:v>87</x:v>
      </x:c>
      <x:c r="F29">
        <x:v>83</x:v>
      </x:c>
      <x:c r="G29">
        <x:v>85</x:v>
      </x:c>
      <x:c r="H29">
        <x:v>83</x:v>
      </x:c>
      <x:c r="I29">
        <x:v>82</x:v>
      </x:c>
      <x:c r="J29">
        <x:v>83</x:v>
      </x:c>
      <x:c r="K29">
        <x:v>85</x:v>
      </x:c>
      <x:c r="L29">
        <x:v>89</x:v>
      </x:c>
      <x:c r="M29">
        <x:v>93</x:v>
      </x:c>
      <x:c r="N29">
        <x:v>97</x:v>
      </x:c>
      <x:c r="O29">
        <x:v>100</x:v>
      </x:c>
      <x:c r="P29">
        <x:v>103</x:v>
      </x:c>
      <x:c r="Q29">
        <x:v>103</x:v>
      </x:c>
      <x:c r="R29">
        <x:v>105</x:v>
      </x:c>
      <x:c r="S29">
        <x:v>106</x:v>
      </x:c>
      <x:c r="T29">
        <x:v>105</x:v>
      </x:c>
      <x:c r="U29">
        <x:v>104</x:v>
      </x:c>
      <x:c r="V29">
        <x:v>101</x:v>
      </x:c>
    </x:row>
    <x:row r="30" spans="1:22" x14ac:dyDescent="0.25">
      <x:c r="A30">
        <x:f t="shared" si="1"/>
        <x:v>22</x:v>
      </x:c>
      <x:c r="B30" s="11">
        <x:f t="shared" si="1"/>
        <x:v>45127</x:v>
      </x:c>
      <x:c r="C30">
        <x:v>90</x:v>
      </x:c>
      <x:c r="D30">
        <x:v>85</x:v>
      </x:c>
      <x:c r="E30">
        <x:v>85</x:v>
      </x:c>
      <x:c r="F30">
        <x:v>84</x:v>
      </x:c>
      <x:c r="G30">
        <x:v>82</x:v>
      </x:c>
      <x:c r="H30">
        <x:v>81</x:v>
      </x:c>
      <x:c r="I30">
        <x:v>77</x:v>
      </x:c>
      <x:c r="J30">
        <x:v>80</x:v>
      </x:c>
      <x:c r="K30">
        <x:v>85</x:v>
      </x:c>
      <x:c r="L30">
        <x:v>89</x:v>
      </x:c>
      <x:c r="M30">
        <x:v>92</x:v>
      </x:c>
      <x:c r="N30">
        <x:v>94</x:v>
      </x:c>
      <x:c r="O30">
        <x:v>98</x:v>
      </x:c>
      <x:c r="P30">
        <x:v>98</x:v>
      </x:c>
      <x:c r="Q30">
        <x:v>99</x:v>
      </x:c>
      <x:c r="R30">
        <x:v>101</x:v>
      </x:c>
      <x:c r="S30">
        <x:v>102</x:v>
      </x:c>
      <x:c r="T30">
        <x:v>102</x:v>
      </x:c>
      <x:c r="U30">
        <x:v>100</x:v>
      </x:c>
      <x:c r="V30">
        <x:v>96</x:v>
      </x:c>
    </x:row>
    <x:row r="31" spans="1:22" x14ac:dyDescent="0.25">
      <x:c r="A31">
        <x:f t="shared" si="1"/>
        <x:v>23</x:v>
      </x:c>
      <x:c r="B31" s="11">
        <x:f t="shared" si="1"/>
        <x:v>45128</x:v>
      </x:c>
      <x:c r="C31">
        <x:v>82</x:v>
      </x:c>
      <x:c r="D31">
        <x:v>81</x:v>
      </x:c>
      <x:c r="E31">
        <x:v>82</x:v>
      </x:c>
      <x:c r="F31">
        <x:v>78</x:v>
      </x:c>
      <x:c r="G31">
        <x:v>79</x:v>
      </x:c>
      <x:c r="H31">
        <x:v>75</x:v>
      </x:c>
      <x:c r="I31">
        <x:v>77</x:v>
      </x:c>
      <x:c r="J31">
        <x:v>80</x:v>
      </x:c>
      <x:c r="K31">
        <x:v>82</x:v>
      </x:c>
      <x:c r="L31">
        <x:v>87</x:v>
      </x:c>
      <x:c r="M31">
        <x:v>90</x:v>
      </x:c>
      <x:c r="N31">
        <x:v>92</x:v>
      </x:c>
      <x:c r="O31">
        <x:v>92</x:v>
      </x:c>
      <x:c r="P31">
        <x:v>96</x:v>
      </x:c>
      <x:c r="Q31">
        <x:v>97</x:v>
      </x:c>
      <x:c r="R31">
        <x:v>100</x:v>
      </x:c>
      <x:c r="S31">
        <x:v>100</x:v>
      </x:c>
      <x:c r="T31">
        <x:v>99</x:v>
      </x:c>
      <x:c r="U31">
        <x:v>97</x:v>
      </x:c>
      <x:c r="V31">
        <x:v>94</x:v>
      </x:c>
    </x:row>
    <x:row r="32" spans="1:22" x14ac:dyDescent="0.25">
      <x:c r="A32">
        <x:f t="shared" si="1"/>
        <x:v>24</x:v>
      </x:c>
      <x:c r="B32" s="11">
        <x:f t="shared" si="1"/>
        <x:v>45129</x:v>
      </x:c>
      <x:c r="C32">
        <x:v>82</x:v>
      </x:c>
      <x:c r="D32">
        <x:v>81</x:v>
      </x:c>
      <x:c r="E32">
        <x:v>79</x:v>
      </x:c>
      <x:c r="F32">
        <x:v>78</x:v>
      </x:c>
      <x:c r="G32">
        <x:v>77</x:v>
      </x:c>
      <x:c r="H32">
        <x:v>75</x:v>
      </x:c>
      <x:c r="I32">
        <x:v>74</x:v>
      </x:c>
      <x:c r="J32">
        <x:v>76</x:v>
      </x:c>
      <x:c r="K32">
        <x:v>79</x:v>
      </x:c>
      <x:c r="L32">
        <x:v>81</x:v>
      </x:c>
      <x:c r="M32">
        <x:v>85</x:v>
      </x:c>
      <x:c r="N32">
        <x:v>87</x:v>
      </x:c>
      <x:c r="O32">
        <x:v>89</x:v>
      </x:c>
      <x:c r="P32">
        <x:v>91</x:v>
      </x:c>
      <x:c r="Q32">
        <x:v>94</x:v>
      </x:c>
      <x:c r="R32">
        <x:v>93</x:v>
      </x:c>
      <x:c r="S32">
        <x:v>94</x:v>
      </x:c>
      <x:c r="T32">
        <x:v>96</x:v>
      </x:c>
      <x:c r="U32">
        <x:v>96</x:v>
      </x:c>
      <x:c r="V32">
        <x:v>93</x:v>
      </x:c>
    </x:row>
    <x:row r="33" spans="1:22" x14ac:dyDescent="0.25">
      <x:c r="A33">
        <x:f t="shared" si="1"/>
        <x:v>25</x:v>
      </x:c>
      <x:c r="B33" s="11">
        <x:f t="shared" si="1"/>
        <x:v>45130</x:v>
      </x:c>
      <x:c r="C33">
        <x:v>81</x:v>
      </x:c>
      <x:c r="D33">
        <x:v>80</x:v>
      </x:c>
      <x:c r="E33">
        <x:v>77</x:v>
      </x:c>
      <x:c r="F33">
        <x:v>75</x:v>
      </x:c>
      <x:c r="G33">
        <x:v>72</x:v>
      </x:c>
      <x:c r="H33">
        <x:v>72</x:v>
      </x:c>
      <x:c r="I33">
        <x:v>73</x:v>
      </x:c>
      <x:c r="J33">
        <x:v>74</x:v>
      </x:c>
      <x:c r="K33">
        <x:v>80</x:v>
      </x:c>
      <x:c r="L33">
        <x:v>84</x:v>
      </x:c>
      <x:c r="M33">
        <x:v>89</x:v>
      </x:c>
      <x:c r="N33">
        <x:v>91</x:v>
      </x:c>
      <x:c r="O33">
        <x:v>91</x:v>
      </x:c>
      <x:c r="P33">
        <x:v>94</x:v>
      </x:c>
      <x:c r="Q33">
        <x:v>96</x:v>
      </x:c>
      <x:c r="R33">
        <x:v>98</x:v>
      </x:c>
      <x:c r="S33">
        <x:v>100</x:v>
      </x:c>
      <x:c r="T33">
        <x:v>101</x:v>
      </x:c>
      <x:c r="U33">
        <x:v>99</x:v>
      </x:c>
      <x:c r="V33">
        <x:v>98</x:v>
      </x:c>
    </x:row>
    <x:row r="34" spans="1:22" x14ac:dyDescent="0.25">
      <x:c r="A34">
        <x:f t="shared" si="1"/>
        <x:v>26</x:v>
      </x:c>
      <x:c r="B34" s="11">
        <x:f t="shared" si="1"/>
        <x:v>45131</x:v>
      </x:c>
      <x:c r="C34">
        <x:v>84</x:v>
      </x:c>
      <x:c r="D34">
        <x:v>82</x:v>
      </x:c>
      <x:c r="E34">
        <x:v>80</x:v>
      </x:c>
      <x:c r="F34">
        <x:v>78</x:v>
      </x:c>
      <x:c r="G34">
        <x:v>78</x:v>
      </x:c>
      <x:c r="H34">
        <x:v>77</x:v>
      </x:c>
      <x:c r="I34">
        <x:v>76</x:v>
      </x:c>
      <x:c r="J34">
        <x:v>79</x:v>
      </x:c>
      <x:c r="K34">
        <x:v>85</x:v>
      </x:c>
      <x:c r="L34">
        <x:v>91</x:v>
      </x:c>
      <x:c r="M34">
        <x:v>94</x:v>
      </x:c>
      <x:c r="N34">
        <x:v>98</x:v>
      </x:c>
      <x:c r="O34">
        <x:v>99</x:v>
      </x:c>
      <x:c r="P34">
        <x:v>100</x:v>
      </x:c>
      <x:c r="Q34">
        <x:v>102</x:v>
      </x:c>
      <x:c r="R34">
        <x:v>103</x:v>
      </x:c>
      <x:c r="S34">
        <x:v>102</x:v>
      </x:c>
      <x:c r="T34">
        <x:v>102</x:v>
      </x:c>
      <x:c r="U34">
        <x:v>102</x:v>
      </x:c>
      <x:c r="V34">
        <x:v>99</x:v>
      </x:c>
    </x:row>
    <x:row r="35" spans="1:22" x14ac:dyDescent="0.25">
      <x:c r="A35">
        <x:f t="shared" si="1"/>
        <x:v>27</x:v>
      </x:c>
      <x:c r="B35" s="11">
        <x:f t="shared" si="1"/>
        <x:v>45132</x:v>
      </x:c>
      <x:c r="C35">
        <x:v>84</x:v>
      </x:c>
      <x:c r="D35">
        <x:v>82</x:v>
      </x:c>
      <x:c r="E35">
        <x:v>82</x:v>
      </x:c>
      <x:c r="F35">
        <x:v>83</x:v>
      </x:c>
      <x:c r="G35">
        <x:v>82</x:v>
      </x:c>
      <x:c r="H35">
        <x:v>80</x:v>
      </x:c>
      <x:c r="I35">
        <x:v>79</x:v>
      </x:c>
      <x:c r="J35">
        <x:v>82</x:v>
      </x:c>
      <x:c r="K35">
        <x:v>84</x:v>
      </x:c>
      <x:c r="L35">
        <x:v>89</x:v>
      </x:c>
      <x:c r="M35">
        <x:v>93</x:v>
      </x:c>
      <x:c r="N35">
        <x:v>97</x:v>
      </x:c>
      <x:c r="O35">
        <x:v>99</x:v>
      </x:c>
      <x:c r="P35">
        <x:v>101</x:v>
      </x:c>
      <x:c r="Q35">
        <x:v>101</x:v>
      </x:c>
      <x:c r="R35">
        <x:v>102</x:v>
      </x:c>
      <x:c r="S35">
        <x:v>103</x:v>
      </x:c>
      <x:c r="T35">
        <x:v>102</x:v>
      </x:c>
      <x:c r="U35">
        <x:v>100</x:v>
      </x:c>
      <x:c r="V35">
        <x:v>98</x:v>
      </x:c>
    </x:row>
    <x:row r="36" spans="1:22" x14ac:dyDescent="0.25">
      <x:c r="A36">
        <x:f t="shared" si="1"/>
        <x:v>28</x:v>
      </x:c>
      <x:c r="B36" s="11">
        <x:f t="shared" si="1"/>
        <x:v>45133</x:v>
      </x:c>
      <x:c r="C36">
        <x:v>82</x:v>
      </x:c>
      <x:c r="D36">
        <x:v>81</x:v>
      </x:c>
      <x:c r="E36">
        <x:v>79</x:v>
      </x:c>
      <x:c r="F36">
        <x:v>78</x:v>
      </x:c>
      <x:c r="G36">
        <x:v>77</x:v>
      </x:c>
      <x:c r="H36">
        <x:v>76</x:v>
      </x:c>
      <x:c r="I36">
        <x:v>76</x:v>
      </x:c>
      <x:c r="J36">
        <x:v>78</x:v>
      </x:c>
      <x:c r="K36">
        <x:v>84</x:v>
      </x:c>
      <x:c r="L36">
        <x:v>87</x:v>
      </x:c>
      <x:c r="M36">
        <x:v>91</x:v>
      </x:c>
      <x:c r="N36">
        <x:v>94</x:v>
      </x:c>
      <x:c r="O36">
        <x:v>96</x:v>
      </x:c>
      <x:c r="P36">
        <x:v>99</x:v>
      </x:c>
      <x:c r="Q36">
        <x:v>100</x:v>
      </x:c>
      <x:c r="R36">
        <x:v>101</x:v>
      </x:c>
      <x:c r="S36">
        <x:v>101</x:v>
      </x:c>
      <x:c r="T36">
        <x:v>102</x:v>
      </x:c>
      <x:c r="U36">
        <x:v>99</x:v>
      </x:c>
      <x:c r="V36">
        <x:v>97</x:v>
      </x:c>
    </x:row>
    <x:row r="37" spans="1:22" x14ac:dyDescent="0.25">
      <x:c r="A37">
        <x:f t="shared" si="1"/>
        <x:v>29</x:v>
      </x:c>
      <x:c r="B37" s="11">
        <x:f t="shared" si="1"/>
        <x:v>45134</x:v>
      </x:c>
      <x:c r="C37">
        <x:v>82</x:v>
      </x:c>
      <x:c r="D37">
        <x:v>81</x:v>
      </x:c>
      <x:c r="E37">
        <x:v>79</x:v>
      </x:c>
      <x:c r="F37">
        <x:v>78</x:v>
      </x:c>
      <x:c r="G37">
        <x:v>78</x:v>
      </x:c>
      <x:c r="H37">
        <x:v>76</x:v>
      </x:c>
      <x:c r="I37">
        <x:v>77</x:v>
      </x:c>
      <x:c r="J37">
        <x:v>79</x:v>
      </x:c>
      <x:c r="K37">
        <x:v>84</x:v>
      </x:c>
      <x:c r="L37">
        <x:v>88</x:v>
      </x:c>
      <x:c r="M37">
        <x:v>92</x:v>
      </x:c>
      <x:c r="N37">
        <x:v>96</x:v>
      </x:c>
      <x:c r="O37">
        <x:v>98</x:v>
      </x:c>
      <x:c r="P37">
        <x:v>100</x:v>
      </x:c>
      <x:c r="Q37">
        <x:v>100</x:v>
      </x:c>
      <x:c r="R37">
        <x:v>102</x:v>
      </x:c>
      <x:c r="S37">
        <x:v>103</x:v>
      </x:c>
      <x:c r="T37">
        <x:v>101</x:v>
      </x:c>
      <x:c r="U37">
        <x:v>100</x:v>
      </x:c>
      <x:c r="V37">
        <x:v>98</x:v>
      </x:c>
    </x:row>
    <x:row r="38" spans="1:22" x14ac:dyDescent="0.25">
      <x:c r="A38">
        <x:f t="shared" si="1"/>
        <x:v>30</x:v>
      </x:c>
      <x:c r="B38" s="11">
        <x:f t="shared" si="1"/>
        <x:v>45135</x:v>
      </x:c>
      <x:c r="C38">
        <x:v>82</x:v>
      </x:c>
      <x:c r="D38">
        <x:v>83</x:v>
      </x:c>
      <x:c r="E38">
        <x:v>82</x:v>
      </x:c>
      <x:c r="F38">
        <x:v>81</x:v>
      </x:c>
      <x:c r="G38">
        <x:v>81</x:v>
      </x:c>
      <x:c r="H38">
        <x:v>80</x:v>
      </x:c>
      <x:c r="I38">
        <x:v>79</x:v>
      </x:c>
      <x:c r="J38">
        <x:v>79</x:v>
      </x:c>
      <x:c r="K38">
        <x:v>84</x:v>
      </x:c>
      <x:c r="L38">
        <x:v>87</x:v>
      </x:c>
      <x:c r="M38">
        <x:v>91</x:v>
      </x:c>
      <x:c r="N38">
        <x:v>93</x:v>
      </x:c>
      <x:c r="O38">
        <x:v>96</x:v>
      </x:c>
      <x:c r="P38">
        <x:v>98</x:v>
      </x:c>
      <x:c r="Q38">
        <x:v>99</x:v>
      </x:c>
      <x:c r="R38">
        <x:v>100</x:v>
      </x:c>
      <x:c r="S38">
        <x:v>100</x:v>
      </x:c>
      <x:c r="T38">
        <x:v>101</x:v>
      </x:c>
      <x:c r="U38">
        <x:v>100</x:v>
      </x:c>
      <x:c r="V38">
        <x:v>97</x:v>
      </x:c>
    </x:row>
    <x:row r="39" spans="1:22" x14ac:dyDescent="0.25">
      <x:c r="A39">
        <x:f t="shared" si="1"/>
        <x:v>31</x:v>
      </x:c>
      <x:c r="B39" s="11">
        <x:f t="shared" si="1"/>
        <x:v>45136</x:v>
      </x:c>
      <x:c r="C39">
        <x:v>82</x:v>
      </x:c>
      <x:c r="D39">
        <x:v>79</x:v>
      </x:c>
      <x:c r="E39">
        <x:v>79</x:v>
      </x:c>
      <x:c r="F39">
        <x:v>78</x:v>
      </x:c>
      <x:c r="G39">
        <x:v>77</x:v>
      </x:c>
      <x:c r="H39">
        <x:v>77</x:v>
      </x:c>
      <x:c r="I39">
        <x:v>77</x:v>
      </x:c>
      <x:c r="J39">
        <x:v>79</x:v>
      </x:c>
      <x:c r="K39">
        <x:v>84</x:v>
      </x:c>
      <x:c r="L39">
        <x:v>88</x:v>
      </x:c>
      <x:c r="M39">
        <x:v>91</x:v>
      </x:c>
      <x:c r="N39">
        <x:v>94</x:v>
      </x:c>
      <x:c r="O39">
        <x:v>96</x:v>
      </x:c>
      <x:c r="P39">
        <x:v>97</x:v>
      </x:c>
      <x:c r="Q39">
        <x:v>99</x:v>
      </x:c>
      <x:c r="R39">
        <x:v>100</x:v>
      </x:c>
      <x:c r="S39">
        <x:v>101</x:v>
      </x:c>
      <x:c r="T39">
        <x:v>102</x:v>
      </x:c>
      <x:c r="U39">
        <x:v>100</x:v>
      </x:c>
      <x:c r="V39">
        <x:v>98</x:v>
      </x:c>
    </x:row>
    <x:row r="40" spans="1:22" x14ac:dyDescent="0.25">
      <x:c r="A40">
        <x:f t="shared" si="1"/>
        <x:v>32</x:v>
      </x:c>
      <x:c r="B40" s="11">
        <x:f t="shared" si="1"/>
        <x:v>45137</x:v>
      </x:c>
      <x:c r="C40">
        <x:v>81</x:v>
      </x:c>
      <x:c r="D40">
        <x:v>81</x:v>
      </x:c>
      <x:c r="E40">
        <x:v>78</x:v>
      </x:c>
      <x:c r="F40">
        <x:v>77</x:v>
      </x:c>
      <x:c r="G40">
        <x:v>77</x:v>
      </x:c>
      <x:c r="H40">
        <x:v>77</x:v>
      </x:c>
      <x:c r="I40">
        <x:v>75</x:v>
      </x:c>
      <x:c r="J40">
        <x:v>78</x:v>
      </x:c>
      <x:c r="K40">
        <x:v>84</x:v>
      </x:c>
      <x:c r="L40">
        <x:v>88</x:v>
      </x:c>
      <x:c r="M40">
        <x:v>93</x:v>
      </x:c>
      <x:c r="N40">
        <x:v>95</x:v>
      </x:c>
      <x:c r="O40">
        <x:v>97</x:v>
      </x:c>
      <x:c r="P40">
        <x:v>99</x:v>
      </x:c>
      <x:c r="Q40">
        <x:v>100</x:v>
      </x:c>
      <x:c r="R40">
        <x:v>103</x:v>
      </x:c>
      <x:c r="S40">
        <x:v>103</x:v>
      </x:c>
      <x:c r="T40">
        <x:v>101</x:v>
      </x:c>
      <x:c r="U40">
        <x:v>100</x:v>
      </x:c>
      <x:c r="V40">
        <x:v>98</x:v>
      </x:c>
    </x:row>
    <x:row r="41" spans="1:22" x14ac:dyDescent="0.25">
      <x:c r="A41">
        <x:f t="shared" si="1"/>
        <x:v>33</x:v>
      </x:c>
      <x:c r="B41" s="11">
        <x:f t="shared" si="1"/>
        <x:v>45138</x:v>
      </x:c>
      <x:c r="C41">
        <x:v>81</x:v>
      </x:c>
      <x:c r="D41">
        <x:v>81</x:v>
      </x:c>
      <x:c r="E41">
        <x:v>81</x:v>
      </x:c>
      <x:c r="F41">
        <x:v>80</x:v>
      </x:c>
      <x:c r="G41">
        <x:v>78</x:v>
      </x:c>
      <x:c r="H41">
        <x:v>77</x:v>
      </x:c>
      <x:c r="I41">
        <x:v>78</x:v>
      </x:c>
      <x:c r="J41">
        <x:v>79</x:v>
      </x:c>
      <x:c r="K41">
        <x:v>86</x:v>
      </x:c>
      <x:c r="L41">
        <x:v>90</x:v>
      </x:c>
      <x:c r="M41">
        <x:v>94</x:v>
      </x:c>
      <x:c r="N41">
        <x:v>96</x:v>
      </x:c>
      <x:c r="O41">
        <x:v>98</x:v>
      </x:c>
      <x:c r="P41">
        <x:v>99</x:v>
      </x:c>
      <x:c r="Q41">
        <x:v>100</x:v>
      </x:c>
      <x:c r="R41">
        <x:v>104</x:v>
      </x:c>
      <x:c r="S41">
        <x:v>104</x:v>
      </x:c>
      <x:c r="T41">
        <x:v>103</x:v>
      </x:c>
      <x:c r="U41">
        <x:v>101</x:v>
      </x:c>
      <x:c r="V41">
        <x:v>99</x:v>
      </x:c>
    </x:row>
    <x:row r="42" spans="1:22" x14ac:dyDescent="0.25">
      <x:c r="A42">
        <x:f t="shared" si="1"/>
        <x:v>34</x:v>
      </x:c>
      <x:c r="B42" s="11"/>
    </x:row>
    <x:row r="43" spans="1:22" x14ac:dyDescent="0.25">
      <x:c r="A43">
        <x:f t="shared" ref="A43:A75" si="2">+A42+1</x:f>
        <x:v>35</x:v>
      </x:c>
    </x:row>
    <x:row r="44" spans="1:22" ht="28.8" customHeight="1" x14ac:dyDescent="0.25">
      <x:c r="A44">
        <x:f t="shared" si="2"/>
        <x:v>36</x:v>
      </x:c>
      <x:c r="B44" s="57" t="s">
        <x:v>28</x:v>
      </x:c>
      <x:c r="C44" s="57" t="s">
        <x:v>49</x:v>
      </x:c>
      <x:c r="D44" s="57" t="s">
        <x:v>50</x:v>
      </x:c>
      <x:c r="E44" s="57" t="s">
        <x:v>51</x:v>
      </x:c>
      <x:c r="F44" s="57" t="s">
        <x:v>52</x:v>
      </x:c>
      <x:c r="G44" s="58" t="s">
        <x:v>53</x:v>
      </x:c>
      <x:c r="H44" s="57" t="s">
        <x:v>60</x:v>
      </x:c>
      <x:c r="I44" s="57" t="s">
        <x:v>102</x:v>
      </x:c>
      <x:c r="J44" s="57" t="s">
        <x:v>61</x:v>
      </x:c>
      <x:c r="K44" s="77" t="s">
        <x:v>106</x:v>
      </x:c>
      <x:c r="L44" s="78" t="s">
        <x:v>88</x:v>
      </x:c>
      <x:c r="M44" s="79" t="s">
        <x:v>107</x:v>
      </x:c>
      <x:c r="N44" s="79" t="s">
        <x:v>98</x:v>
      </x:c>
      <x:c r="O44" s="27" t="s">
        <x:v>62</x:v>
      </x:c>
      <x:c r="P44" s="27" t="s">
        <x:v>63</x:v>
      </x:c>
      <x:c r="Q44" s="27" t="s">
        <x:v>64</x:v>
      </x:c>
      <x:c r="R44" s="27" t="s">
        <x:v>89</x:v>
      </x:c>
      <x:c r="U44" s="80"/>
    </x:row>
    <x:row r="45" spans="1:22" x14ac:dyDescent="0.25">
      <x:c r="A45">
        <x:f t="shared" si="2"/>
        <x:v>37</x:v>
      </x:c>
      <x:c r="B45" s="11">
        <x:f>+B11</x:f>
        <x:v>45108</x:v>
      </x:c>
      <x:c r="C45">
        <x:v>73</x:v>
      </x:c>
      <x:c r="D45">
        <x:v>72</x:v>
      </x:c>
      <x:c r="E45">
        <x:v>73</x:v>
      </x:c>
      <x:c r="F45">
        <x:v>72</x:v>
      </x:c>
      <x:c r="G45" s="12">
        <x:f t="shared" ref="G45:G75" si="3">ROUND(AVERAGE(C11:V11,C45:F45),1)</x:f>
        <x:v>71.5</x:v>
      </x:c>
      <x:c r="H45" s="12">
        <x:f t="shared" ref="H45:H75" si="4">MAX(45-$G45,0)</x:f>
        <x:v>0</x:v>
      </x:c>
      <x:c r="I45" s="12">
        <x:f t="shared" ref="I45:I75" si="5">MAX(55-$G45,0)</x:f>
        <x:v>0</x:v>
      </x:c>
      <x:c r="J45" s="12">
        <x:f t="shared" ref="J45:J75" si="6">MAX(60-$G45,0)</x:f>
        <x:v>0</x:v>
      </x:c>
      <x:c r="K45" s="12">
        <x:f t="shared" ref="K45:K75" si="7">MAX(65-$G45,0)</x:f>
        <x:v>0</x:v>
      </x:c>
      <x:c r="L45" s="12">
        <x:f t="shared" ref="L45:L75" si="8">MAX($G45-50,0)</x:f>
        <x:v>21.5</x:v>
      </x:c>
      <x:c r="M45" s="12">
        <x:f t="shared" ref="M45:M75" si="9">MAX($G45-55,0)</x:f>
        <x:v>16.5</x:v>
      </x:c>
      <x:c r="N45" s="12">
        <x:f t="shared" ref="N45:N75" si="10">MAX($G45-60,0)</x:f>
        <x:v>11.5</x:v>
      </x:c>
      <x:c r="O45" s="12">
        <x:f t="shared" ref="O45:O75" si="11">MAX($G45-65,0)</x:f>
        <x:v>6.5</x:v>
      </x:c>
      <x:c r="P45" s="12">
        <x:f t="shared" ref="P45:P75" si="12">MAX($G45-70,0)</x:f>
        <x:v>1.5</x:v>
      </x:c>
      <x:c r="Q45" s="12">
        <x:f t="shared" ref="Q45:Q75" si="13">MAX($G45-75,0)</x:f>
        <x:v>0</x:v>
      </x:c>
      <x:c r="R45" s="12">
        <x:f t="shared" ref="R45:R75" si="14">MAX($G45-80,0)</x:f>
        <x:v>0</x:v>
      </x:c>
      <x:c r="U45" s="81"/>
    </x:row>
    <x:row r="46" spans="1:22" x14ac:dyDescent="0.25">
      <x:c r="A46">
        <x:f t="shared" si="2"/>
        <x:v>38</x:v>
      </x:c>
      <x:c r="B46" s="11">
        <x:f t="shared" ref="B46:B75" si="15">+B12</x:f>
        <x:v>45109</x:v>
      </x:c>
      <x:c r="C46">
        <x:v>87</x:v>
      </x:c>
      <x:c r="D46">
        <x:v>84</x:v>
      </x:c>
      <x:c r="E46">
        <x:v>80</x:v>
      </x:c>
      <x:c r="F46">
        <x:v>78</x:v>
      </x:c>
      <x:c r="G46" s="12">
        <x:f t="shared" si="3"/>
        <x:v>79.599999999999994</x:v>
      </x:c>
      <x:c r="H46" s="12">
        <x:f t="shared" si="4"/>
        <x:v>0</x:v>
      </x:c>
      <x:c r="I46" s="12">
        <x:f t="shared" si="5"/>
        <x:v>0</x:v>
      </x:c>
      <x:c r="J46" s="12">
        <x:f t="shared" si="6"/>
        <x:v>0</x:v>
      </x:c>
      <x:c r="K46" s="12">
        <x:f t="shared" si="7"/>
        <x:v>0</x:v>
      </x:c>
      <x:c r="L46" s="12">
        <x:f t="shared" si="8"/>
        <x:v>29.599999999999994</x:v>
      </x:c>
      <x:c r="M46" s="12">
        <x:f t="shared" si="9"/>
        <x:v>24.599999999999994</x:v>
      </x:c>
      <x:c r="N46" s="12">
        <x:f t="shared" si="10"/>
        <x:v>19.599999999999994</x:v>
      </x:c>
      <x:c r="O46" s="12">
        <x:f t="shared" si="11"/>
        <x:v>14.599999999999994</x:v>
      </x:c>
      <x:c r="P46" s="12">
        <x:f t="shared" si="12"/>
        <x:v>9.5999999999999943</x:v>
      </x:c>
      <x:c r="Q46" s="12">
        <x:f t="shared" si="13"/>
        <x:v>4.5999999999999943</x:v>
      </x:c>
      <x:c r="R46" s="12">
        <x:f t="shared" si="14"/>
        <x:v>0</x:v>
      </x:c>
      <x:c r="U46" s="81"/>
    </x:row>
    <x:row r="47" spans="1:22" x14ac:dyDescent="0.25">
      <x:c r="A47">
        <x:f t="shared" si="2"/>
        <x:v>39</x:v>
      </x:c>
      <x:c r="B47" s="11">
        <x:f t="shared" si="15"/>
        <x:v>45110</x:v>
      </x:c>
      <x:c r="C47">
        <x:v>85</x:v>
      </x:c>
      <x:c r="D47">
        <x:v>82</x:v>
      </x:c>
      <x:c r="E47">
        <x:v>79</x:v>
      </x:c>
      <x:c r="F47">
        <x:v>79</x:v>
      </x:c>
      <x:c r="G47" s="12">
        <x:f t="shared" si="3"/>
        <x:v>82.8</x:v>
      </x:c>
      <x:c r="H47" s="12">
        <x:f t="shared" si="4"/>
        <x:v>0</x:v>
      </x:c>
      <x:c r="I47" s="12">
        <x:f t="shared" si="5"/>
        <x:v>0</x:v>
      </x:c>
      <x:c r="J47" s="12">
        <x:f t="shared" si="6"/>
        <x:v>0</x:v>
      </x:c>
      <x:c r="K47" s="12">
        <x:f t="shared" si="7"/>
        <x:v>0</x:v>
      </x:c>
      <x:c r="L47" s="12">
        <x:f t="shared" si="8"/>
        <x:v>32.799999999999997</x:v>
      </x:c>
      <x:c r="M47" s="12">
        <x:f t="shared" si="9"/>
        <x:v>27.799999999999997</x:v>
      </x:c>
      <x:c r="N47" s="12">
        <x:f t="shared" si="10"/>
        <x:v>22.799999999999997</x:v>
      </x:c>
      <x:c r="O47" s="12">
        <x:f t="shared" si="11"/>
        <x:v>17.799999999999997</x:v>
      </x:c>
      <x:c r="P47" s="12">
        <x:f t="shared" si="12"/>
        <x:v>12.799999999999997</x:v>
      </x:c>
      <x:c r="Q47" s="12">
        <x:f t="shared" si="13"/>
        <x:v>7.7999999999999972</x:v>
      </x:c>
      <x:c r="R47" s="12">
        <x:f t="shared" si="14"/>
        <x:v>2.7999999999999972</x:v>
      </x:c>
      <x:c r="U47" s="81"/>
    </x:row>
    <x:row r="48" spans="1:22" x14ac:dyDescent="0.25">
      <x:c r="A48">
        <x:f t="shared" si="2"/>
        <x:v>40</x:v>
      </x:c>
      <x:c r="B48" s="11">
        <x:f t="shared" si="15"/>
        <x:v>45111</x:v>
      </x:c>
      <x:c r="C48">
        <x:v>85</x:v>
      </x:c>
      <x:c r="D48">
        <x:v>82</x:v>
      </x:c>
      <x:c r="E48">
        <x:v>80</x:v>
      </x:c>
      <x:c r="F48">
        <x:v>81</x:v>
      </x:c>
      <x:c r="G48" s="12">
        <x:f t="shared" si="3"/>
        <x:v>82.5</x:v>
      </x:c>
      <x:c r="H48" s="12">
        <x:f t="shared" si="4"/>
        <x:v>0</x:v>
      </x:c>
      <x:c r="I48" s="12">
        <x:f t="shared" si="5"/>
        <x:v>0</x:v>
      </x:c>
      <x:c r="J48" s="12">
        <x:f t="shared" si="6"/>
        <x:v>0</x:v>
      </x:c>
      <x:c r="K48" s="12">
        <x:f t="shared" si="7"/>
        <x:v>0</x:v>
      </x:c>
      <x:c r="L48" s="12">
        <x:f t="shared" si="8"/>
        <x:v>32.5</x:v>
      </x:c>
      <x:c r="M48" s="12">
        <x:f t="shared" si="9"/>
        <x:v>27.5</x:v>
      </x:c>
      <x:c r="N48" s="12">
        <x:f t="shared" si="10"/>
        <x:v>22.5</x:v>
      </x:c>
      <x:c r="O48" s="12">
        <x:f t="shared" si="11"/>
        <x:v>17.5</x:v>
      </x:c>
      <x:c r="P48" s="12">
        <x:f t="shared" si="12"/>
        <x:v>12.5</x:v>
      </x:c>
      <x:c r="Q48" s="12">
        <x:f t="shared" si="13"/>
        <x:v>7.5</x:v>
      </x:c>
      <x:c r="R48" s="12">
        <x:f t="shared" si="14"/>
        <x:v>2.5</x:v>
      </x:c>
      <x:c r="U48" s="81"/>
    </x:row>
    <x:row r="49" spans="1:21" x14ac:dyDescent="0.25">
      <x:c r="A49">
        <x:f t="shared" si="2"/>
        <x:v>41</x:v>
      </x:c>
      <x:c r="B49" s="11">
        <x:f t="shared" si="15"/>
        <x:v>45112</x:v>
      </x:c>
      <x:c r="C49">
        <x:v>87</x:v>
      </x:c>
      <x:c r="D49">
        <x:v>84</x:v>
      </x:c>
      <x:c r="E49">
        <x:v>82</x:v>
      </x:c>
      <x:c r="F49">
        <x:v>80</x:v>
      </x:c>
      <x:c r="G49" s="12">
        <x:f t="shared" si="3"/>
        <x:v>84.8</x:v>
      </x:c>
      <x:c r="H49" s="12">
        <x:f t="shared" si="4"/>
        <x:v>0</x:v>
      </x:c>
      <x:c r="I49" s="12">
        <x:f t="shared" si="5"/>
        <x:v>0</x:v>
      </x:c>
      <x:c r="J49" s="12">
        <x:f t="shared" si="6"/>
        <x:v>0</x:v>
      </x:c>
      <x:c r="K49" s="12">
        <x:f t="shared" si="7"/>
        <x:v>0</x:v>
      </x:c>
      <x:c r="L49" s="12">
        <x:f t="shared" si="8"/>
        <x:v>34.799999999999997</x:v>
      </x:c>
      <x:c r="M49" s="12">
        <x:f t="shared" si="9"/>
        <x:v>29.799999999999997</x:v>
      </x:c>
      <x:c r="N49" s="12">
        <x:f t="shared" si="10"/>
        <x:v>24.799999999999997</x:v>
      </x:c>
      <x:c r="O49" s="12">
        <x:f t="shared" si="11"/>
        <x:v>19.799999999999997</x:v>
      </x:c>
      <x:c r="P49" s="12">
        <x:f t="shared" si="12"/>
        <x:v>14.799999999999997</x:v>
      </x:c>
      <x:c r="Q49" s="12">
        <x:f t="shared" si="13"/>
        <x:v>9.7999999999999972</x:v>
      </x:c>
      <x:c r="R49" s="12">
        <x:f t="shared" si="14"/>
        <x:v>4.7999999999999972</x:v>
      </x:c>
      <x:c r="U49" s="81"/>
    </x:row>
    <x:row r="50" spans="1:21" x14ac:dyDescent="0.25">
      <x:c r="A50">
        <x:f t="shared" si="2"/>
        <x:v>42</x:v>
      </x:c>
      <x:c r="B50" s="11">
        <x:f t="shared" si="15"/>
        <x:v>45113</x:v>
      </x:c>
      <x:c r="C50">
        <x:v>85</x:v>
      </x:c>
      <x:c r="D50">
        <x:v>81</x:v>
      </x:c>
      <x:c r="E50">
        <x:v>81</x:v>
      </x:c>
      <x:c r="F50">
        <x:v>81</x:v>
      </x:c>
      <x:c r="G50" s="12">
        <x:f t="shared" si="3"/>
        <x:v>81.900000000000006</x:v>
      </x:c>
      <x:c r="H50" s="12">
        <x:f t="shared" si="4"/>
        <x:v>0</x:v>
      </x:c>
      <x:c r="I50" s="12">
        <x:f t="shared" si="5"/>
        <x:v>0</x:v>
      </x:c>
      <x:c r="J50" s="12">
        <x:f t="shared" si="6"/>
        <x:v>0</x:v>
      </x:c>
      <x:c r="K50" s="12">
        <x:f t="shared" si="7"/>
        <x:v>0</x:v>
      </x:c>
      <x:c r="L50" s="12">
        <x:f t="shared" si="8"/>
        <x:v>31.900000000000006</x:v>
      </x:c>
      <x:c r="M50" s="12">
        <x:f t="shared" si="9"/>
        <x:v>26.900000000000006</x:v>
      </x:c>
      <x:c r="N50" s="12">
        <x:f t="shared" si="10"/>
        <x:v>21.900000000000006</x:v>
      </x:c>
      <x:c r="O50" s="12">
        <x:f t="shared" si="11"/>
        <x:v>16.900000000000006</x:v>
      </x:c>
      <x:c r="P50" s="12">
        <x:f t="shared" si="12"/>
        <x:v>11.900000000000006</x:v>
      </x:c>
      <x:c r="Q50" s="12">
        <x:f t="shared" si="13"/>
        <x:v>6.9000000000000057</x:v>
      </x:c>
      <x:c r="R50" s="12">
        <x:f t="shared" si="14"/>
        <x:v>1.9000000000000057</x:v>
      </x:c>
      <x:c r="U50" s="81"/>
    </x:row>
    <x:row r="51" spans="1:21" x14ac:dyDescent="0.25">
      <x:c r="A51">
        <x:f t="shared" si="2"/>
        <x:v>43</x:v>
      </x:c>
      <x:c r="B51" s="11">
        <x:f t="shared" si="15"/>
        <x:v>45114</x:v>
      </x:c>
      <x:c r="C51">
        <x:v>86</x:v>
      </x:c>
      <x:c r="D51">
        <x:v>82</x:v>
      </x:c>
      <x:c r="E51">
        <x:v>83</x:v>
      </x:c>
      <x:c r="F51">
        <x:v>80</x:v>
      </x:c>
      <x:c r="G51" s="12">
        <x:f t="shared" si="3"/>
        <x:v>82</x:v>
      </x:c>
      <x:c r="H51" s="12">
        <x:f t="shared" si="4"/>
        <x:v>0</x:v>
      </x:c>
      <x:c r="I51" s="12">
        <x:f t="shared" si="5"/>
        <x:v>0</x:v>
      </x:c>
      <x:c r="J51" s="12">
        <x:f t="shared" si="6"/>
        <x:v>0</x:v>
      </x:c>
      <x:c r="K51" s="12">
        <x:f t="shared" si="7"/>
        <x:v>0</x:v>
      </x:c>
      <x:c r="L51" s="12">
        <x:f t="shared" si="8"/>
        <x:v>32</x:v>
      </x:c>
      <x:c r="M51" s="12">
        <x:f t="shared" si="9"/>
        <x:v>27</x:v>
      </x:c>
      <x:c r="N51" s="12">
        <x:f t="shared" si="10"/>
        <x:v>22</x:v>
      </x:c>
      <x:c r="O51" s="12">
        <x:f t="shared" si="11"/>
        <x:v>17</x:v>
      </x:c>
      <x:c r="P51" s="12">
        <x:f t="shared" si="12"/>
        <x:v>12</x:v>
      </x:c>
      <x:c r="Q51" s="12">
        <x:f t="shared" si="13"/>
        <x:v>7</x:v>
      </x:c>
      <x:c r="R51" s="12">
        <x:f t="shared" si="14"/>
        <x:v>2</x:v>
      </x:c>
      <x:c r="U51" s="81"/>
    </x:row>
    <x:row r="52" spans="1:21" x14ac:dyDescent="0.25">
      <x:c r="A52">
        <x:f t="shared" si="2"/>
        <x:v>44</x:v>
      </x:c>
      <x:c r="B52" s="11">
        <x:f t="shared" si="15"/>
        <x:v>45115</x:v>
      </x:c>
      <x:c r="C52">
        <x:v>89</x:v>
      </x:c>
      <x:c r="D52">
        <x:v>86</x:v>
      </x:c>
      <x:c r="E52">
        <x:v>83</x:v>
      </x:c>
      <x:c r="F52">
        <x:v>81</x:v>
      </x:c>
      <x:c r="G52" s="12">
        <x:f t="shared" si="3"/>
        <x:v>84.9</x:v>
      </x:c>
      <x:c r="H52" s="12">
        <x:f t="shared" si="4"/>
        <x:v>0</x:v>
      </x:c>
      <x:c r="I52" s="12">
        <x:f t="shared" si="5"/>
        <x:v>0</x:v>
      </x:c>
      <x:c r="J52" s="12">
        <x:f t="shared" si="6"/>
        <x:v>0</x:v>
      </x:c>
      <x:c r="K52" s="12">
        <x:f t="shared" si="7"/>
        <x:v>0</x:v>
      </x:c>
      <x:c r="L52" s="12">
        <x:f t="shared" si="8"/>
        <x:v>34.900000000000006</x:v>
      </x:c>
      <x:c r="M52" s="12">
        <x:f t="shared" si="9"/>
        <x:v>29.900000000000006</x:v>
      </x:c>
      <x:c r="N52" s="12">
        <x:f t="shared" si="10"/>
        <x:v>24.900000000000006</x:v>
      </x:c>
      <x:c r="O52" s="12">
        <x:f t="shared" si="11"/>
        <x:v>19.900000000000006</x:v>
      </x:c>
      <x:c r="P52" s="12">
        <x:f t="shared" si="12"/>
        <x:v>14.900000000000006</x:v>
      </x:c>
      <x:c r="Q52" s="12">
        <x:f t="shared" si="13"/>
        <x:v>9.9000000000000057</x:v>
      </x:c>
      <x:c r="R52" s="12">
        <x:f t="shared" si="14"/>
        <x:v>4.9000000000000057</x:v>
      </x:c>
      <x:c r="U52" s="81"/>
    </x:row>
    <x:row r="53" spans="1:21" x14ac:dyDescent="0.25">
      <x:c r="A53">
        <x:f t="shared" si="2"/>
        <x:v>45</x:v>
      </x:c>
      <x:c r="B53" s="11">
        <x:f t="shared" si="15"/>
        <x:v>45116</x:v>
      </x:c>
      <x:c r="C53">
        <x:v>87</x:v>
      </x:c>
      <x:c r="D53">
        <x:v>84</x:v>
      </x:c>
      <x:c r="E53">
        <x:v>82</x:v>
      </x:c>
      <x:c r="F53">
        <x:v>81</x:v>
      </x:c>
      <x:c r="G53" s="12">
        <x:f t="shared" si="3"/>
        <x:v>86</x:v>
      </x:c>
      <x:c r="H53" s="12">
        <x:f t="shared" si="4"/>
        <x:v>0</x:v>
      </x:c>
      <x:c r="I53" s="12">
        <x:f t="shared" si="5"/>
        <x:v>0</x:v>
      </x:c>
      <x:c r="J53" s="12">
        <x:f t="shared" si="6"/>
        <x:v>0</x:v>
      </x:c>
      <x:c r="K53" s="12">
        <x:f t="shared" si="7"/>
        <x:v>0</x:v>
      </x:c>
      <x:c r="L53" s="12">
        <x:f t="shared" si="8"/>
        <x:v>36</x:v>
      </x:c>
      <x:c r="M53" s="12">
        <x:f t="shared" si="9"/>
        <x:v>31</x:v>
      </x:c>
      <x:c r="N53" s="12">
        <x:f t="shared" si="10"/>
        <x:v>26</x:v>
      </x:c>
      <x:c r="O53" s="12">
        <x:f t="shared" si="11"/>
        <x:v>21</x:v>
      </x:c>
      <x:c r="P53" s="12">
        <x:f t="shared" si="12"/>
        <x:v>16</x:v>
      </x:c>
      <x:c r="Q53" s="12">
        <x:f t="shared" si="13"/>
        <x:v>11</x:v>
      </x:c>
      <x:c r="R53" s="12">
        <x:f t="shared" si="14"/>
        <x:v>6</x:v>
      </x:c>
      <x:c r="U53" s="81"/>
    </x:row>
    <x:row r="54" spans="1:21" x14ac:dyDescent="0.25">
      <x:c r="A54">
        <x:f t="shared" si="2"/>
        <x:v>46</x:v>
      </x:c>
      <x:c r="B54" s="11">
        <x:f t="shared" si="15"/>
        <x:v>45117</x:v>
      </x:c>
      <x:c r="C54">
        <x:v>91</x:v>
      </x:c>
      <x:c r="D54">
        <x:v>87</x:v>
      </x:c>
      <x:c r="E54">
        <x:v>81</x:v>
      </x:c>
      <x:c r="F54">
        <x:v>83</x:v>
      </x:c>
      <x:c r="G54" s="12">
        <x:f t="shared" si="3"/>
        <x:v>86.5</x:v>
      </x:c>
      <x:c r="H54" s="12">
        <x:f t="shared" si="4"/>
        <x:v>0</x:v>
      </x:c>
      <x:c r="I54" s="12">
        <x:f t="shared" si="5"/>
        <x:v>0</x:v>
      </x:c>
      <x:c r="J54" s="12">
        <x:f t="shared" si="6"/>
        <x:v>0</x:v>
      </x:c>
      <x:c r="K54" s="12">
        <x:f t="shared" si="7"/>
        <x:v>0</x:v>
      </x:c>
      <x:c r="L54" s="12">
        <x:f t="shared" si="8"/>
        <x:v>36.5</x:v>
      </x:c>
      <x:c r="M54" s="12">
        <x:f t="shared" si="9"/>
        <x:v>31.5</x:v>
      </x:c>
      <x:c r="N54" s="12">
        <x:f t="shared" si="10"/>
        <x:v>26.5</x:v>
      </x:c>
      <x:c r="O54" s="12">
        <x:f t="shared" si="11"/>
        <x:v>21.5</x:v>
      </x:c>
      <x:c r="P54" s="12">
        <x:f t="shared" si="12"/>
        <x:v>16.5</x:v>
      </x:c>
      <x:c r="Q54" s="12">
        <x:f t="shared" si="13"/>
        <x:v>11.5</x:v>
      </x:c>
      <x:c r="R54" s="12">
        <x:f t="shared" si="14"/>
        <x:v>6.5</x:v>
      </x:c>
      <x:c r="U54" s="81"/>
    </x:row>
    <x:row r="55" spans="1:21" x14ac:dyDescent="0.25">
      <x:c r="A55">
        <x:f t="shared" si="2"/>
        <x:v>47</x:v>
      </x:c>
      <x:c r="B55" s="11">
        <x:f t="shared" si="15"/>
        <x:v>45118</x:v>
      </x:c>
      <x:c r="C55">
        <x:v>90</x:v>
      </x:c>
      <x:c r="D55">
        <x:v>86</x:v>
      </x:c>
      <x:c r="E55">
        <x:v>84</x:v>
      </x:c>
      <x:c r="F55">
        <x:v>85</x:v>
      </x:c>
      <x:c r="G55" s="12">
        <x:f t="shared" si="3"/>
        <x:v>86.7</x:v>
      </x:c>
      <x:c r="H55" s="12">
        <x:f t="shared" si="4"/>
        <x:v>0</x:v>
      </x:c>
      <x:c r="I55" s="12">
        <x:f t="shared" si="5"/>
        <x:v>0</x:v>
      </x:c>
      <x:c r="J55" s="12">
        <x:f t="shared" si="6"/>
        <x:v>0</x:v>
      </x:c>
      <x:c r="K55" s="12">
        <x:f t="shared" si="7"/>
        <x:v>0</x:v>
      </x:c>
      <x:c r="L55" s="12">
        <x:f t="shared" si="8"/>
        <x:v>36.700000000000003</x:v>
      </x:c>
      <x:c r="M55" s="12">
        <x:f t="shared" si="9"/>
        <x:v>31.700000000000003</x:v>
      </x:c>
      <x:c r="N55" s="12">
        <x:f t="shared" si="10"/>
        <x:v>26.700000000000003</x:v>
      </x:c>
      <x:c r="O55" s="12">
        <x:f t="shared" si="11"/>
        <x:v>21.700000000000003</x:v>
      </x:c>
      <x:c r="P55" s="12">
        <x:f t="shared" si="12"/>
        <x:v>16.700000000000003</x:v>
      </x:c>
      <x:c r="Q55" s="12">
        <x:f t="shared" si="13"/>
        <x:v>11.700000000000003</x:v>
      </x:c>
      <x:c r="R55" s="12">
        <x:f t="shared" si="14"/>
        <x:v>6.7000000000000028</x:v>
      </x:c>
      <x:c r="U55" s="81"/>
    </x:row>
    <x:row r="56" spans="1:21" x14ac:dyDescent="0.25">
      <x:c r="A56">
        <x:f t="shared" si="2"/>
        <x:v>48</x:v>
      </x:c>
      <x:c r="B56" s="11">
        <x:f t="shared" si="15"/>
        <x:v>45119</x:v>
      </x:c>
      <x:c r="C56">
        <x:v>94</x:v>
      </x:c>
      <x:c r="D56">
        <x:v>90</x:v>
      </x:c>
      <x:c r="E56">
        <x:v>90</x:v>
      </x:c>
      <x:c r="F56">
        <x:v>93</x:v>
      </x:c>
      <x:c r="G56" s="12">
        <x:f t="shared" si="3"/>
        <x:v>93.1</x:v>
      </x:c>
      <x:c r="H56" s="12">
        <x:f t="shared" si="4"/>
        <x:v>0</x:v>
      </x:c>
      <x:c r="I56" s="12">
        <x:f t="shared" si="5"/>
        <x:v>0</x:v>
      </x:c>
      <x:c r="J56" s="12">
        <x:f t="shared" si="6"/>
        <x:v>0</x:v>
      </x:c>
      <x:c r="K56" s="12">
        <x:f t="shared" si="7"/>
        <x:v>0</x:v>
      </x:c>
      <x:c r="L56" s="12">
        <x:f t="shared" si="8"/>
        <x:v>43.099999999999994</x:v>
      </x:c>
      <x:c r="M56" s="12">
        <x:f t="shared" si="9"/>
        <x:v>38.099999999999994</x:v>
      </x:c>
      <x:c r="N56" s="12">
        <x:f t="shared" si="10"/>
        <x:v>33.099999999999994</x:v>
      </x:c>
      <x:c r="O56" s="12">
        <x:f t="shared" si="11"/>
        <x:v>28.099999999999994</x:v>
      </x:c>
      <x:c r="P56" s="12">
        <x:f t="shared" si="12"/>
        <x:v>23.099999999999994</x:v>
      </x:c>
      <x:c r="Q56" s="12">
        <x:f t="shared" si="13"/>
        <x:v>18.099999999999994</x:v>
      </x:c>
      <x:c r="R56" s="12">
        <x:f t="shared" si="14"/>
        <x:v>13.099999999999994</x:v>
      </x:c>
      <x:c r="U56" s="81"/>
    </x:row>
    <x:row r="57" spans="1:21" x14ac:dyDescent="0.25">
      <x:c r="A57">
        <x:f t="shared" si="2"/>
        <x:v>49</x:v>
      </x:c>
      <x:c r="B57" s="11">
        <x:f t="shared" si="15"/>
        <x:v>45120</x:v>
      </x:c>
      <x:c r="C57">
        <x:v>95</x:v>
      </x:c>
      <x:c r="D57">
        <x:v>90</x:v>
      </x:c>
      <x:c r="E57">
        <x:v>90</x:v>
      </x:c>
      <x:c r="F57">
        <x:v>93</x:v>
      </x:c>
      <x:c r="G57" s="12">
        <x:f t="shared" si="3"/>
        <x:v>93.4</x:v>
      </x:c>
      <x:c r="H57" s="12">
        <x:f t="shared" si="4"/>
        <x:v>0</x:v>
      </x:c>
      <x:c r="I57" s="12">
        <x:f t="shared" si="5"/>
        <x:v>0</x:v>
      </x:c>
      <x:c r="J57" s="12">
        <x:f t="shared" si="6"/>
        <x:v>0</x:v>
      </x:c>
      <x:c r="K57" s="12">
        <x:f t="shared" si="7"/>
        <x:v>0</x:v>
      </x:c>
      <x:c r="L57" s="12">
        <x:f t="shared" si="8"/>
        <x:v>43.400000000000006</x:v>
      </x:c>
      <x:c r="M57" s="12">
        <x:f t="shared" si="9"/>
        <x:v>38.400000000000006</x:v>
      </x:c>
      <x:c r="N57" s="12">
        <x:f t="shared" si="10"/>
        <x:v>33.400000000000006</x:v>
      </x:c>
      <x:c r="O57" s="12">
        <x:f t="shared" si="11"/>
        <x:v>28.400000000000006</x:v>
      </x:c>
      <x:c r="P57" s="12">
        <x:f t="shared" si="12"/>
        <x:v>23.400000000000006</x:v>
      </x:c>
      <x:c r="Q57" s="12">
        <x:f t="shared" si="13"/>
        <x:v>18.400000000000006</x:v>
      </x:c>
      <x:c r="R57" s="12">
        <x:f t="shared" si="14"/>
        <x:v>13.400000000000006</x:v>
      </x:c>
      <x:c r="U57" s="81"/>
    </x:row>
    <x:row r="58" spans="1:21" x14ac:dyDescent="0.25">
      <x:c r="A58" s="18">
        <x:f t="shared" si="2"/>
        <x:v>50</x:v>
      </x:c>
      <x:c r="B58" s="11">
        <x:f t="shared" si="15"/>
        <x:v>45121</x:v>
      </x:c>
      <x:c r="C58">
        <x:v>94</x:v>
      </x:c>
      <x:c r="D58">
        <x:v>89</x:v>
      </x:c>
      <x:c r="E58">
        <x:v>88</x:v>
      </x:c>
      <x:c r="F58">
        <x:v>88</x:v>
      </x:c>
      <x:c r="G58" s="12">
        <x:f t="shared" si="3"/>
        <x:v>91.9</x:v>
      </x:c>
      <x:c r="H58" s="12">
        <x:f t="shared" si="4"/>
        <x:v>0</x:v>
      </x:c>
      <x:c r="I58" s="12">
        <x:f t="shared" si="5"/>
        <x:v>0</x:v>
      </x:c>
      <x:c r="J58" s="12">
        <x:f t="shared" si="6"/>
        <x:v>0</x:v>
      </x:c>
      <x:c r="K58" s="12">
        <x:f t="shared" si="7"/>
        <x:v>0</x:v>
      </x:c>
      <x:c r="L58" s="12">
        <x:f t="shared" si="8"/>
        <x:v>41.900000000000006</x:v>
      </x:c>
      <x:c r="M58" s="12">
        <x:f t="shared" si="9"/>
        <x:v>36.900000000000006</x:v>
      </x:c>
      <x:c r="N58" s="12">
        <x:f t="shared" si="10"/>
        <x:v>31.900000000000006</x:v>
      </x:c>
      <x:c r="O58" s="12">
        <x:f t="shared" si="11"/>
        <x:v>26.900000000000006</x:v>
      </x:c>
      <x:c r="P58" s="12">
        <x:f t="shared" si="12"/>
        <x:v>21.900000000000006</x:v>
      </x:c>
      <x:c r="Q58" s="12">
        <x:f t="shared" si="13"/>
        <x:v>16.900000000000006</x:v>
      </x:c>
      <x:c r="R58" s="12">
        <x:f t="shared" si="14"/>
        <x:v>11.900000000000006</x:v>
      </x:c>
      <x:c r="U58" s="81"/>
    </x:row>
    <x:row r="59" spans="1:21" x14ac:dyDescent="0.25">
      <x:c r="A59">
        <x:f t="shared" si="2"/>
        <x:v>51</x:v>
      </x:c>
      <x:c r="B59" s="11">
        <x:f t="shared" si="15"/>
        <x:v>45122</x:v>
      </x:c>
      <x:c r="C59">
        <x:v>89</x:v>
      </x:c>
      <x:c r="D59">
        <x:v>88</x:v>
      </x:c>
      <x:c r="E59">
        <x:v>87</x:v>
      </x:c>
      <x:c r="F59">
        <x:v>86</x:v>
      </x:c>
      <x:c r="G59" s="12">
        <x:f t="shared" si="3"/>
        <x:v>88.7</x:v>
      </x:c>
      <x:c r="H59" s="12">
        <x:f t="shared" si="4"/>
        <x:v>0</x:v>
      </x:c>
      <x:c r="I59" s="12">
        <x:f t="shared" si="5"/>
        <x:v>0</x:v>
      </x:c>
      <x:c r="J59" s="12">
        <x:f t="shared" si="6"/>
        <x:v>0</x:v>
      </x:c>
      <x:c r="K59" s="12">
        <x:f t="shared" si="7"/>
        <x:v>0</x:v>
      </x:c>
      <x:c r="L59" s="12">
        <x:f t="shared" si="8"/>
        <x:v>38.700000000000003</x:v>
      </x:c>
      <x:c r="M59" s="12">
        <x:f t="shared" si="9"/>
        <x:v>33.700000000000003</x:v>
      </x:c>
      <x:c r="N59" s="12">
        <x:f t="shared" si="10"/>
        <x:v>28.700000000000003</x:v>
      </x:c>
      <x:c r="O59" s="12">
        <x:f t="shared" si="11"/>
        <x:v>23.700000000000003</x:v>
      </x:c>
      <x:c r="P59" s="12">
        <x:f t="shared" si="12"/>
        <x:v>18.700000000000003</x:v>
      </x:c>
      <x:c r="Q59" s="12">
        <x:f t="shared" si="13"/>
        <x:v>13.700000000000003</x:v>
      </x:c>
      <x:c r="R59" s="12">
        <x:f t="shared" si="14"/>
        <x:v>8.7000000000000028</x:v>
      </x:c>
      <x:c r="U59" s="81"/>
    </x:row>
    <x:row r="60" spans="1:21" x14ac:dyDescent="0.25">
      <x:c r="A60">
        <x:f t="shared" si="2"/>
        <x:v>52</x:v>
      </x:c>
      <x:c r="B60" s="11">
        <x:f t="shared" si="15"/>
        <x:v>45123</x:v>
      </x:c>
      <x:c r="C60">
        <x:v>96</x:v>
      </x:c>
      <x:c r="D60">
        <x:v>89</x:v>
      </x:c>
      <x:c r="E60">
        <x:v>87</x:v>
      </x:c>
      <x:c r="F60">
        <x:v>83</x:v>
      </x:c>
      <x:c r="G60" s="12">
        <x:f t="shared" si="3"/>
        <x:v>88</x:v>
      </x:c>
      <x:c r="H60" s="12">
        <x:f t="shared" si="4"/>
        <x:v>0</x:v>
      </x:c>
      <x:c r="I60" s="12">
        <x:f t="shared" si="5"/>
        <x:v>0</x:v>
      </x:c>
      <x:c r="J60" s="12">
        <x:f t="shared" si="6"/>
        <x:v>0</x:v>
      </x:c>
      <x:c r="K60" s="12">
        <x:f t="shared" si="7"/>
        <x:v>0</x:v>
      </x:c>
      <x:c r="L60" s="12">
        <x:f t="shared" si="8"/>
        <x:v>38</x:v>
      </x:c>
      <x:c r="M60" s="12">
        <x:f t="shared" si="9"/>
        <x:v>33</x:v>
      </x:c>
      <x:c r="N60" s="12">
        <x:f t="shared" si="10"/>
        <x:v>28</x:v>
      </x:c>
      <x:c r="O60" s="12">
        <x:f t="shared" si="11"/>
        <x:v>23</x:v>
      </x:c>
      <x:c r="P60" s="12">
        <x:f t="shared" si="12"/>
        <x:v>18</x:v>
      </x:c>
      <x:c r="Q60" s="12">
        <x:f t="shared" si="13"/>
        <x:v>13</x:v>
      </x:c>
      <x:c r="R60" s="12">
        <x:f t="shared" si="14"/>
        <x:v>8</x:v>
      </x:c>
      <x:c r="U60" s="81"/>
    </x:row>
    <x:row r="61" spans="1:21" x14ac:dyDescent="0.25">
      <x:c r="A61">
        <x:f t="shared" si="2"/>
        <x:v>53</x:v>
      </x:c>
      <x:c r="B61" s="11">
        <x:f t="shared" si="15"/>
        <x:v>45124</x:v>
      </x:c>
      <x:c r="C61">
        <x:v>94</x:v>
      </x:c>
      <x:c r="D61">
        <x:v>88</x:v>
      </x:c>
      <x:c r="E61">
        <x:v>85</x:v>
      </x:c>
      <x:c r="F61">
        <x:v>86</x:v>
      </x:c>
      <x:c r="G61" s="12">
        <x:f t="shared" si="3"/>
        <x:v>91.2</x:v>
      </x:c>
      <x:c r="H61" s="12">
        <x:f t="shared" si="4"/>
        <x:v>0</x:v>
      </x:c>
      <x:c r="I61" s="12">
        <x:f t="shared" si="5"/>
        <x:v>0</x:v>
      </x:c>
      <x:c r="J61" s="12">
        <x:f t="shared" si="6"/>
        <x:v>0</x:v>
      </x:c>
      <x:c r="K61" s="12">
        <x:f t="shared" si="7"/>
        <x:v>0</x:v>
      </x:c>
      <x:c r="L61" s="12">
        <x:f t="shared" si="8"/>
        <x:v>41.2</x:v>
      </x:c>
      <x:c r="M61" s="12">
        <x:f t="shared" si="9"/>
        <x:v>36.200000000000003</x:v>
      </x:c>
      <x:c r="N61" s="12">
        <x:f t="shared" si="10"/>
        <x:v>31.200000000000003</x:v>
      </x:c>
      <x:c r="O61" s="12">
        <x:f t="shared" si="11"/>
        <x:v>26.200000000000003</x:v>
      </x:c>
      <x:c r="P61" s="12">
        <x:f t="shared" si="12"/>
        <x:v>21.200000000000003</x:v>
      </x:c>
      <x:c r="Q61" s="12">
        <x:f t="shared" si="13"/>
        <x:v>16.200000000000003</x:v>
      </x:c>
      <x:c r="R61" s="12">
        <x:f t="shared" si="14"/>
        <x:v>11.200000000000003</x:v>
      </x:c>
      <x:c r="U61" s="81"/>
    </x:row>
    <x:row r="62" spans="1:21" x14ac:dyDescent="0.25">
      <x:c r="A62" s="18">
        <x:f t="shared" si="2"/>
        <x:v>54</x:v>
      </x:c>
      <x:c r="B62" s="11">
        <x:f t="shared" si="15"/>
        <x:v>45125</x:v>
      </x:c>
      <x:c r="C62">
        <x:v>96</x:v>
      </x:c>
      <x:c r="D62">
        <x:v>90</x:v>
      </x:c>
      <x:c r="E62">
        <x:v>87</x:v>
      </x:c>
      <x:c r="F62">
        <x:v>91</x:v>
      </x:c>
      <x:c r="G62" s="12">
        <x:f t="shared" si="3"/>
        <x:v>93.4</x:v>
      </x:c>
      <x:c r="H62" s="12">
        <x:f t="shared" si="4"/>
        <x:v>0</x:v>
      </x:c>
      <x:c r="I62" s="12">
        <x:f t="shared" si="5"/>
        <x:v>0</x:v>
      </x:c>
      <x:c r="J62" s="12">
        <x:f t="shared" si="6"/>
        <x:v>0</x:v>
      </x:c>
      <x:c r="K62" s="12">
        <x:f t="shared" si="7"/>
        <x:v>0</x:v>
      </x:c>
      <x:c r="L62" s="12">
        <x:f t="shared" si="8"/>
        <x:v>43.400000000000006</x:v>
      </x:c>
      <x:c r="M62" s="12">
        <x:f t="shared" si="9"/>
        <x:v>38.400000000000006</x:v>
      </x:c>
      <x:c r="N62" s="12">
        <x:f t="shared" si="10"/>
        <x:v>33.400000000000006</x:v>
      </x:c>
      <x:c r="O62" s="12">
        <x:f t="shared" si="11"/>
        <x:v>28.400000000000006</x:v>
      </x:c>
      <x:c r="P62" s="12">
        <x:f t="shared" si="12"/>
        <x:v>23.400000000000006</x:v>
      </x:c>
      <x:c r="Q62" s="12">
        <x:f t="shared" si="13"/>
        <x:v>18.400000000000006</x:v>
      </x:c>
      <x:c r="R62" s="12">
        <x:f t="shared" si="14"/>
        <x:v>13.400000000000006</x:v>
      </x:c>
      <x:c r="U62" s="81"/>
    </x:row>
    <x:row r="63" spans="1:21" x14ac:dyDescent="0.25">
      <x:c r="A63">
        <x:f t="shared" si="2"/>
        <x:v>55</x:v>
      </x:c>
      <x:c r="B63" s="11">
        <x:f t="shared" si="15"/>
        <x:v>45126</x:v>
      </x:c>
      <x:c r="C63">
        <x:v>94</x:v>
      </x:c>
      <x:c r="D63">
        <x:v>87</x:v>
      </x:c>
      <x:c r="E63">
        <x:v>85</x:v>
      </x:c>
      <x:c r="F63">
        <x:v>86</x:v>
      </x:c>
      <x:c r="G63" s="12">
        <x:f t="shared" si="3"/>
        <x:v>92.8</x:v>
      </x:c>
      <x:c r="H63" s="12">
        <x:f t="shared" si="4"/>
        <x:v>0</x:v>
      </x:c>
      <x:c r="I63" s="12">
        <x:f t="shared" si="5"/>
        <x:v>0</x:v>
      </x:c>
      <x:c r="J63" s="12">
        <x:f t="shared" si="6"/>
        <x:v>0</x:v>
      </x:c>
      <x:c r="K63" s="12">
        <x:f t="shared" si="7"/>
        <x:v>0</x:v>
      </x:c>
      <x:c r="L63" s="12">
        <x:f t="shared" si="8"/>
        <x:v>42.8</x:v>
      </x:c>
      <x:c r="M63" s="12">
        <x:f t="shared" si="9"/>
        <x:v>37.799999999999997</x:v>
      </x:c>
      <x:c r="N63" s="12">
        <x:f t="shared" si="10"/>
        <x:v>32.799999999999997</x:v>
      </x:c>
      <x:c r="O63" s="12">
        <x:f t="shared" si="11"/>
        <x:v>27.799999999999997</x:v>
      </x:c>
      <x:c r="P63" s="12">
        <x:f t="shared" si="12"/>
        <x:v>22.799999999999997</x:v>
      </x:c>
      <x:c r="Q63" s="12">
        <x:f t="shared" si="13"/>
        <x:v>17.799999999999997</x:v>
      </x:c>
      <x:c r="R63" s="12">
        <x:f t="shared" si="14"/>
        <x:v>12.799999999999997</x:v>
      </x:c>
      <x:c r="U63" s="81"/>
    </x:row>
    <x:row r="64" spans="1:21" x14ac:dyDescent="0.25">
      <x:c r="A64">
        <x:f t="shared" si="2"/>
        <x:v>56</x:v>
      </x:c>
      <x:c r="B64" s="11">
        <x:f t="shared" si="15"/>
        <x:v>45127</x:v>
      </x:c>
      <x:c r="C64">
        <x:v>94</x:v>
      </x:c>
      <x:c r="D64">
        <x:v>89</x:v>
      </x:c>
      <x:c r="E64">
        <x:v>83</x:v>
      </x:c>
      <x:c r="F64">
        <x:v>80</x:v>
      </x:c>
      <x:c r="G64" s="12">
        <x:f t="shared" si="3"/>
        <x:v>90.3</x:v>
      </x:c>
      <x:c r="H64" s="12">
        <x:f t="shared" si="4"/>
        <x:v>0</x:v>
      </x:c>
      <x:c r="I64" s="12">
        <x:f t="shared" si="5"/>
        <x:v>0</x:v>
      </x:c>
      <x:c r="J64" s="12">
        <x:f t="shared" si="6"/>
        <x:v>0</x:v>
      </x:c>
      <x:c r="K64" s="12">
        <x:f t="shared" si="7"/>
        <x:v>0</x:v>
      </x:c>
      <x:c r="L64" s="12">
        <x:f t="shared" si="8"/>
        <x:v>40.299999999999997</x:v>
      </x:c>
      <x:c r="M64" s="12">
        <x:f t="shared" si="9"/>
        <x:v>35.299999999999997</x:v>
      </x:c>
      <x:c r="N64" s="12">
        <x:f t="shared" si="10"/>
        <x:v>30.299999999999997</x:v>
      </x:c>
      <x:c r="O64" s="12">
        <x:f t="shared" si="11"/>
        <x:v>25.299999999999997</x:v>
      </x:c>
      <x:c r="P64" s="12">
        <x:f t="shared" si="12"/>
        <x:v>20.299999999999997</x:v>
      </x:c>
      <x:c r="Q64" s="12">
        <x:f t="shared" si="13"/>
        <x:v>15.299999999999997</x:v>
      </x:c>
      <x:c r="R64" s="12">
        <x:f t="shared" si="14"/>
        <x:v>10.299999999999997</x:v>
      </x:c>
      <x:c r="U64" s="81"/>
    </x:row>
    <x:row r="65" spans="1:21" x14ac:dyDescent="0.25">
      <x:c r="A65">
        <x:f t="shared" si="2"/>
        <x:v>57</x:v>
      </x:c>
      <x:c r="B65" s="11">
        <x:f t="shared" si="15"/>
        <x:v>45128</x:v>
      </x:c>
      <x:c r="C65">
        <x:v>91</x:v>
      </x:c>
      <x:c r="D65">
        <x:v>88</x:v>
      </x:c>
      <x:c r="E65">
        <x:v>86</x:v>
      </x:c>
      <x:c r="F65">
        <x:v>84</x:v>
      </x:c>
      <x:c r="G65" s="12">
        <x:f t="shared" si="3"/>
        <x:v>87.9</x:v>
      </x:c>
      <x:c r="H65" s="12">
        <x:f t="shared" si="4"/>
        <x:v>0</x:v>
      </x:c>
      <x:c r="I65" s="12">
        <x:f t="shared" si="5"/>
        <x:v>0</x:v>
      </x:c>
      <x:c r="J65" s="12">
        <x:f t="shared" si="6"/>
        <x:v>0</x:v>
      </x:c>
      <x:c r="K65" s="12">
        <x:f t="shared" si="7"/>
        <x:v>0</x:v>
      </x:c>
      <x:c r="L65" s="12">
        <x:f t="shared" si="8"/>
        <x:v>37.900000000000006</x:v>
      </x:c>
      <x:c r="M65" s="12">
        <x:f t="shared" si="9"/>
        <x:v>32.900000000000006</x:v>
      </x:c>
      <x:c r="N65" s="12">
        <x:f t="shared" si="10"/>
        <x:v>27.900000000000006</x:v>
      </x:c>
      <x:c r="O65" s="12">
        <x:f t="shared" si="11"/>
        <x:v>22.900000000000006</x:v>
      </x:c>
      <x:c r="P65" s="12">
        <x:f t="shared" si="12"/>
        <x:v>17.900000000000006</x:v>
      </x:c>
      <x:c r="Q65" s="12">
        <x:f t="shared" si="13"/>
        <x:v>12.900000000000006</x:v>
      </x:c>
      <x:c r="R65" s="12">
        <x:f t="shared" si="14"/>
        <x:v>7.9000000000000057</x:v>
      </x:c>
      <x:c r="U65" s="81"/>
    </x:row>
    <x:row r="66" spans="1:21" x14ac:dyDescent="0.25">
      <x:c r="A66">
        <x:f t="shared" si="2"/>
        <x:v>58</x:v>
      </x:c>
      <x:c r="B66" s="11">
        <x:f t="shared" si="15"/>
        <x:v>45129</x:v>
      </x:c>
      <x:c r="C66">
        <x:v>89</x:v>
      </x:c>
      <x:c r="D66">
        <x:v>85</x:v>
      </x:c>
      <x:c r="E66">
        <x:v>83</x:v>
      </x:c>
      <x:c r="F66">
        <x:v>80</x:v>
      </x:c>
      <x:c r="G66" s="12">
        <x:f t="shared" si="3"/>
        <x:v>84.9</x:v>
      </x:c>
      <x:c r="H66" s="12">
        <x:f t="shared" si="4"/>
        <x:v>0</x:v>
      </x:c>
      <x:c r="I66" s="12">
        <x:f t="shared" si="5"/>
        <x:v>0</x:v>
      </x:c>
      <x:c r="J66" s="12">
        <x:f t="shared" si="6"/>
        <x:v>0</x:v>
      </x:c>
      <x:c r="K66" s="12">
        <x:f t="shared" si="7"/>
        <x:v>0</x:v>
      </x:c>
      <x:c r="L66" s="12">
        <x:f t="shared" si="8"/>
        <x:v>34.900000000000006</x:v>
      </x:c>
      <x:c r="M66" s="12">
        <x:f t="shared" si="9"/>
        <x:v>29.900000000000006</x:v>
      </x:c>
      <x:c r="N66" s="12">
        <x:f t="shared" si="10"/>
        <x:v>24.900000000000006</x:v>
      </x:c>
      <x:c r="O66" s="12">
        <x:f t="shared" si="11"/>
        <x:v>19.900000000000006</x:v>
      </x:c>
      <x:c r="P66" s="12">
        <x:f t="shared" si="12"/>
        <x:v>14.900000000000006</x:v>
      </x:c>
      <x:c r="Q66" s="12">
        <x:f t="shared" si="13"/>
        <x:v>9.9000000000000057</x:v>
      </x:c>
      <x:c r="R66" s="12">
        <x:f t="shared" si="14"/>
        <x:v>4.9000000000000057</x:v>
      </x:c>
      <x:c r="U66" s="81"/>
    </x:row>
    <x:row r="67" spans="1:21" x14ac:dyDescent="0.25">
      <x:c r="A67">
        <x:f t="shared" si="2"/>
        <x:v>59</x:v>
      </x:c>
      <x:c r="B67" s="11">
        <x:f t="shared" si="15"/>
        <x:v>45130</x:v>
      </x:c>
      <x:c r="C67">
        <x:v>91</x:v>
      </x:c>
      <x:c r="D67">
        <x:v>88</x:v>
      </x:c>
      <x:c r="E67">
        <x:v>82</x:v>
      </x:c>
      <x:c r="F67">
        <x:v>83</x:v>
      </x:c>
      <x:c r="G67" s="12">
        <x:f t="shared" si="3"/>
        <x:v>86.2</x:v>
      </x:c>
      <x:c r="H67" s="12">
        <x:f t="shared" si="4"/>
        <x:v>0</x:v>
      </x:c>
      <x:c r="I67" s="12">
        <x:f t="shared" si="5"/>
        <x:v>0</x:v>
      </x:c>
      <x:c r="J67" s="12">
        <x:f t="shared" si="6"/>
        <x:v>0</x:v>
      </x:c>
      <x:c r="K67" s="12">
        <x:f t="shared" si="7"/>
        <x:v>0</x:v>
      </x:c>
      <x:c r="L67" s="12">
        <x:f t="shared" si="8"/>
        <x:v>36.200000000000003</x:v>
      </x:c>
      <x:c r="M67" s="12">
        <x:f t="shared" si="9"/>
        <x:v>31.200000000000003</x:v>
      </x:c>
      <x:c r="N67" s="12">
        <x:f t="shared" si="10"/>
        <x:v>26.200000000000003</x:v>
      </x:c>
      <x:c r="O67" s="12">
        <x:f t="shared" si="11"/>
        <x:v>21.200000000000003</x:v>
      </x:c>
      <x:c r="P67" s="12">
        <x:f t="shared" si="12"/>
        <x:v>16.200000000000003</x:v>
      </x:c>
      <x:c r="Q67" s="12">
        <x:f t="shared" si="13"/>
        <x:v>11.200000000000003</x:v>
      </x:c>
      <x:c r="R67" s="12">
        <x:f t="shared" si="14"/>
        <x:v>6.2000000000000028</x:v>
      </x:c>
      <x:c r="U67" s="81"/>
    </x:row>
    <x:row r="68" spans="1:21" x14ac:dyDescent="0.25">
      <x:c r="A68">
        <x:f t="shared" si="2"/>
        <x:v>60</x:v>
      </x:c>
      <x:c r="B68" s="11">
        <x:f t="shared" si="15"/>
        <x:v>45131</x:v>
      </x:c>
      <x:c r="C68">
        <x:v>92</x:v>
      </x:c>
      <x:c r="D68">
        <x:v>88</x:v>
      </x:c>
      <x:c r="E68">
        <x:v>85</x:v>
      </x:c>
      <x:c r="F68">
        <x:v>86</x:v>
      </x:c>
      <x:c r="G68" s="12">
        <x:f t="shared" si="3"/>
        <x:v>90.1</x:v>
      </x:c>
      <x:c r="H68" s="12">
        <x:f t="shared" si="4"/>
        <x:v>0</x:v>
      </x:c>
      <x:c r="I68" s="12">
        <x:f t="shared" si="5"/>
        <x:v>0</x:v>
      </x:c>
      <x:c r="J68" s="12">
        <x:f t="shared" si="6"/>
        <x:v>0</x:v>
      </x:c>
      <x:c r="K68" s="12">
        <x:f t="shared" si="7"/>
        <x:v>0</x:v>
      </x:c>
      <x:c r="L68" s="12">
        <x:f t="shared" si="8"/>
        <x:v>40.099999999999994</x:v>
      </x:c>
      <x:c r="M68" s="12">
        <x:f t="shared" si="9"/>
        <x:v>35.099999999999994</x:v>
      </x:c>
      <x:c r="N68" s="12">
        <x:f t="shared" si="10"/>
        <x:v>30.099999999999994</x:v>
      </x:c>
      <x:c r="O68" s="12">
        <x:f t="shared" si="11"/>
        <x:v>25.099999999999994</x:v>
      </x:c>
      <x:c r="P68" s="12">
        <x:f t="shared" si="12"/>
        <x:v>20.099999999999994</x:v>
      </x:c>
      <x:c r="Q68" s="12">
        <x:f t="shared" si="13"/>
        <x:v>15.099999999999994</x:v>
      </x:c>
      <x:c r="R68" s="12">
        <x:f t="shared" si="14"/>
        <x:v>10.099999999999994</x:v>
      </x:c>
      <x:c r="U68" s="81"/>
    </x:row>
    <x:row r="69" spans="1:21" x14ac:dyDescent="0.25">
      <x:c r="A69">
        <x:f t="shared" si="2"/>
        <x:v>61</x:v>
      </x:c>
      <x:c r="B69" s="11">
        <x:f t="shared" si="15"/>
        <x:v>45132</x:v>
      </x:c>
      <x:c r="C69">
        <x:v>92</x:v>
      </x:c>
      <x:c r="D69">
        <x:v>86</x:v>
      </x:c>
      <x:c r="E69">
        <x:v>83</x:v>
      </x:c>
      <x:c r="F69">
        <x:v>81</x:v>
      </x:c>
      <x:c r="G69" s="12">
        <x:f t="shared" si="3"/>
        <x:v>90.2</x:v>
      </x:c>
      <x:c r="H69" s="12">
        <x:f t="shared" si="4"/>
        <x:v>0</x:v>
      </x:c>
      <x:c r="I69" s="12">
        <x:f t="shared" si="5"/>
        <x:v>0</x:v>
      </x:c>
      <x:c r="J69" s="12">
        <x:f t="shared" si="6"/>
        <x:v>0</x:v>
      </x:c>
      <x:c r="K69" s="12">
        <x:f t="shared" si="7"/>
        <x:v>0</x:v>
      </x:c>
      <x:c r="L69" s="12">
        <x:f t="shared" si="8"/>
        <x:v>40.200000000000003</x:v>
      </x:c>
      <x:c r="M69" s="12">
        <x:f t="shared" si="9"/>
        <x:v>35.200000000000003</x:v>
      </x:c>
      <x:c r="N69" s="12">
        <x:f t="shared" si="10"/>
        <x:v>30.200000000000003</x:v>
      </x:c>
      <x:c r="O69" s="12">
        <x:f t="shared" si="11"/>
        <x:v>25.200000000000003</x:v>
      </x:c>
      <x:c r="P69" s="12">
        <x:f t="shared" si="12"/>
        <x:v>20.200000000000003</x:v>
      </x:c>
      <x:c r="Q69" s="12">
        <x:f t="shared" si="13"/>
        <x:v>15.200000000000003</x:v>
      </x:c>
      <x:c r="R69" s="12">
        <x:f t="shared" si="14"/>
        <x:v>10.200000000000003</x:v>
      </x:c>
      <x:c r="U69" s="81"/>
    </x:row>
    <x:row r="70" spans="1:21" x14ac:dyDescent="0.25">
      <x:c r="A70">
        <x:f t="shared" si="2"/>
        <x:v>62</x:v>
      </x:c>
      <x:c r="B70" s="11">
        <x:f t="shared" si="15"/>
        <x:v>45133</x:v>
      </x:c>
      <x:c r="C70">
        <x:v>92</x:v>
      </x:c>
      <x:c r="D70">
        <x:v>89</x:v>
      </x:c>
      <x:c r="E70">
        <x:v>84</x:v>
      </x:c>
      <x:c r="F70">
        <x:v>83</x:v>
      </x:c>
      <x:c r="G70" s="12">
        <x:f t="shared" si="3"/>
        <x:v>88.6</x:v>
      </x:c>
      <x:c r="H70" s="12">
        <x:f t="shared" si="4"/>
        <x:v>0</x:v>
      </x:c>
      <x:c r="I70" s="12">
        <x:f t="shared" si="5"/>
        <x:v>0</x:v>
      </x:c>
      <x:c r="J70" s="12">
        <x:f t="shared" si="6"/>
        <x:v>0</x:v>
      </x:c>
      <x:c r="K70" s="12">
        <x:f t="shared" si="7"/>
        <x:v>0</x:v>
      </x:c>
      <x:c r="L70" s="12">
        <x:f t="shared" si="8"/>
        <x:v>38.599999999999994</x:v>
      </x:c>
      <x:c r="M70" s="12">
        <x:f t="shared" si="9"/>
        <x:v>33.599999999999994</x:v>
      </x:c>
      <x:c r="N70" s="12">
        <x:f t="shared" si="10"/>
        <x:v>28.599999999999994</x:v>
      </x:c>
      <x:c r="O70" s="12">
        <x:f t="shared" si="11"/>
        <x:v>23.599999999999994</x:v>
      </x:c>
      <x:c r="P70" s="12">
        <x:f t="shared" si="12"/>
        <x:v>18.599999999999994</x:v>
      </x:c>
      <x:c r="Q70" s="12">
        <x:f t="shared" si="13"/>
        <x:v>13.599999999999994</x:v>
      </x:c>
      <x:c r="R70" s="12">
        <x:f t="shared" si="14"/>
        <x:v>8.5999999999999943</x:v>
      </x:c>
      <x:c r="U70" s="81"/>
    </x:row>
    <x:row r="71" spans="1:21" x14ac:dyDescent="0.25">
      <x:c r="A71">
        <x:f t="shared" si="2"/>
        <x:v>63</x:v>
      </x:c>
      <x:c r="B71" s="11">
        <x:f t="shared" si="15"/>
        <x:v>45134</x:v>
      </x:c>
      <x:c r="C71">
        <x:v>93</x:v>
      </x:c>
      <x:c r="D71">
        <x:v>88</x:v>
      </x:c>
      <x:c r="E71">
        <x:v>84</x:v>
      </x:c>
      <x:c r="F71">
        <x:v>83</x:v>
      </x:c>
      <x:c r="G71" s="12">
        <x:f t="shared" si="3"/>
        <x:v>89.2</x:v>
      </x:c>
      <x:c r="H71" s="12">
        <x:f t="shared" si="4"/>
        <x:v>0</x:v>
      </x:c>
      <x:c r="I71" s="12">
        <x:f t="shared" si="5"/>
        <x:v>0</x:v>
      </x:c>
      <x:c r="J71" s="12">
        <x:f t="shared" si="6"/>
        <x:v>0</x:v>
      </x:c>
      <x:c r="K71" s="12">
        <x:f t="shared" si="7"/>
        <x:v>0</x:v>
      </x:c>
      <x:c r="L71" s="12">
        <x:f t="shared" si="8"/>
        <x:v>39.200000000000003</x:v>
      </x:c>
      <x:c r="M71" s="12">
        <x:f t="shared" si="9"/>
        <x:v>34.200000000000003</x:v>
      </x:c>
      <x:c r="N71" s="12">
        <x:f t="shared" si="10"/>
        <x:v>29.200000000000003</x:v>
      </x:c>
      <x:c r="O71" s="12">
        <x:f t="shared" si="11"/>
        <x:v>24.200000000000003</x:v>
      </x:c>
      <x:c r="P71" s="12">
        <x:f t="shared" si="12"/>
        <x:v>19.200000000000003</x:v>
      </x:c>
      <x:c r="Q71" s="12">
        <x:f t="shared" si="13"/>
        <x:v>14.200000000000003</x:v>
      </x:c>
      <x:c r="R71" s="12">
        <x:f t="shared" si="14"/>
        <x:v>9.2000000000000028</x:v>
      </x:c>
      <x:c r="U71" s="81"/>
    </x:row>
    <x:row r="72" spans="1:21" x14ac:dyDescent="0.25">
      <x:c r="A72">
        <x:f t="shared" si="2"/>
        <x:v>64</x:v>
      </x:c>
      <x:c r="B72" s="11">
        <x:f t="shared" si="15"/>
        <x:v>45135</x:v>
      </x:c>
      <x:c r="C72">
        <x:v>91</x:v>
      </x:c>
      <x:c r="D72">
        <x:v>90</x:v>
      </x:c>
      <x:c r="E72">
        <x:v>86</x:v>
      </x:c>
      <x:c r="F72">
        <x:v>83</x:v>
      </x:c>
      <x:c r="G72" s="12">
        <x:f t="shared" si="3"/>
        <x:v>89.3</x:v>
      </x:c>
      <x:c r="H72" s="12">
        <x:f t="shared" si="4"/>
        <x:v>0</x:v>
      </x:c>
      <x:c r="I72" s="12">
        <x:f t="shared" si="5"/>
        <x:v>0</x:v>
      </x:c>
      <x:c r="J72" s="12">
        <x:f t="shared" si="6"/>
        <x:v>0</x:v>
      </x:c>
      <x:c r="K72" s="12">
        <x:f t="shared" si="7"/>
        <x:v>0</x:v>
      </x:c>
      <x:c r="L72" s="12">
        <x:f t="shared" si="8"/>
        <x:v>39.299999999999997</x:v>
      </x:c>
      <x:c r="M72" s="12">
        <x:f t="shared" si="9"/>
        <x:v>34.299999999999997</x:v>
      </x:c>
      <x:c r="N72" s="12">
        <x:f t="shared" si="10"/>
        <x:v>29.299999999999997</x:v>
      </x:c>
      <x:c r="O72" s="12">
        <x:f t="shared" si="11"/>
        <x:v>24.299999999999997</x:v>
      </x:c>
      <x:c r="P72" s="12">
        <x:f t="shared" si="12"/>
        <x:v>19.299999999999997</x:v>
      </x:c>
      <x:c r="Q72" s="12">
        <x:f t="shared" si="13"/>
        <x:v>14.299999999999997</x:v>
      </x:c>
      <x:c r="R72" s="12">
        <x:f t="shared" si="14"/>
        <x:v>9.2999999999999972</x:v>
      </x:c>
      <x:c r="U72" s="81"/>
    </x:row>
    <x:row r="73" spans="1:21" x14ac:dyDescent="0.25">
      <x:c r="A73">
        <x:f t="shared" si="2"/>
        <x:v>65</x:v>
      </x:c>
      <x:c r="B73" s="11">
        <x:f t="shared" si="15"/>
        <x:v>45136</x:v>
      </x:c>
      <x:c r="C73">
        <x:v>93</x:v>
      </x:c>
      <x:c r="D73">
        <x:v>88</x:v>
      </x:c>
      <x:c r="E73">
        <x:v>83</x:v>
      </x:c>
      <x:c r="F73">
        <x:v>82</x:v>
      </x:c>
      <x:c r="G73" s="12">
        <x:f t="shared" si="3"/>
        <x:v>88.5</x:v>
      </x:c>
      <x:c r="H73" s="12">
        <x:f t="shared" si="4"/>
        <x:v>0</x:v>
      </x:c>
      <x:c r="I73" s="12">
        <x:f t="shared" si="5"/>
        <x:v>0</x:v>
      </x:c>
      <x:c r="J73" s="12">
        <x:f t="shared" si="6"/>
        <x:v>0</x:v>
      </x:c>
      <x:c r="K73" s="12">
        <x:f t="shared" si="7"/>
        <x:v>0</x:v>
      </x:c>
      <x:c r="L73" s="12">
        <x:f t="shared" si="8"/>
        <x:v>38.5</x:v>
      </x:c>
      <x:c r="M73" s="12">
        <x:f t="shared" si="9"/>
        <x:v>33.5</x:v>
      </x:c>
      <x:c r="N73" s="12">
        <x:f t="shared" si="10"/>
        <x:v>28.5</x:v>
      </x:c>
      <x:c r="O73" s="12">
        <x:f t="shared" si="11"/>
        <x:v>23.5</x:v>
      </x:c>
      <x:c r="P73" s="12">
        <x:f t="shared" si="12"/>
        <x:v>18.5</x:v>
      </x:c>
      <x:c r="Q73" s="12">
        <x:f t="shared" si="13"/>
        <x:v>13.5</x:v>
      </x:c>
      <x:c r="R73" s="12">
        <x:f t="shared" si="14"/>
        <x:v>8.5</x:v>
      </x:c>
      <x:c r="U73" s="81"/>
    </x:row>
    <x:row r="74" spans="1:21" x14ac:dyDescent="0.25">
      <x:c r="A74">
        <x:f t="shared" si="2"/>
        <x:v>66</x:v>
      </x:c>
      <x:c r="B74" s="11">
        <x:f t="shared" si="15"/>
        <x:v>45137</x:v>
      </x:c>
      <x:c r="C74">
        <x:v>93</x:v>
      </x:c>
      <x:c r="D74">
        <x:v>90</x:v>
      </x:c>
      <x:c r="E74">
        <x:v>85</x:v>
      </x:c>
      <x:c r="F74">
        <x:v>84</x:v>
      </x:c>
      <x:c r="G74" s="12">
        <x:f t="shared" si="3"/>
        <x:v>89</x:v>
      </x:c>
      <x:c r="H74" s="12">
        <x:f t="shared" si="4"/>
        <x:v>0</x:v>
      </x:c>
      <x:c r="I74" s="12">
        <x:f t="shared" si="5"/>
        <x:v>0</x:v>
      </x:c>
      <x:c r="J74" s="12">
        <x:f t="shared" si="6"/>
        <x:v>0</x:v>
      </x:c>
      <x:c r="K74" s="12">
        <x:f t="shared" si="7"/>
        <x:v>0</x:v>
      </x:c>
      <x:c r="L74" s="12">
        <x:f t="shared" si="8"/>
        <x:v>39</x:v>
      </x:c>
      <x:c r="M74" s="12">
        <x:f t="shared" si="9"/>
        <x:v>34</x:v>
      </x:c>
      <x:c r="N74" s="12">
        <x:f t="shared" si="10"/>
        <x:v>29</x:v>
      </x:c>
      <x:c r="O74" s="12">
        <x:f t="shared" si="11"/>
        <x:v>24</x:v>
      </x:c>
      <x:c r="P74" s="12">
        <x:f t="shared" si="12"/>
        <x:v>19</x:v>
      </x:c>
      <x:c r="Q74" s="12">
        <x:f t="shared" si="13"/>
        <x:v>14</x:v>
      </x:c>
      <x:c r="R74" s="12">
        <x:f t="shared" si="14"/>
        <x:v>9</x:v>
      </x:c>
      <x:c r="U74" s="81"/>
    </x:row>
    <x:row r="75" spans="1:21" x14ac:dyDescent="0.25">
      <x:c r="A75">
        <x:f t="shared" si="2"/>
        <x:v>67</x:v>
      </x:c>
      <x:c r="B75" s="11">
        <x:f t="shared" si="15"/>
        <x:v>45138</x:v>
      </x:c>
      <x:c r="C75">
        <x:v>94</x:v>
      </x:c>
      <x:c r="D75">
        <x:v>90</x:v>
      </x:c>
      <x:c r="E75">
        <x:v>86</x:v>
      </x:c>
      <x:c r="F75">
        <x:v>88</x:v>
      </x:c>
      <x:c r="G75" s="12">
        <x:f t="shared" si="3"/>
        <x:v>90.3</x:v>
      </x:c>
      <x:c r="H75" s="12">
        <x:f t="shared" si="4"/>
        <x:v>0</x:v>
      </x:c>
      <x:c r="I75" s="12">
        <x:f t="shared" si="5"/>
        <x:v>0</x:v>
      </x:c>
      <x:c r="J75" s="12">
        <x:f t="shared" si="6"/>
        <x:v>0</x:v>
      </x:c>
      <x:c r="K75" s="12">
        <x:f t="shared" si="7"/>
        <x:v>0</x:v>
      </x:c>
      <x:c r="L75" s="12">
        <x:f t="shared" si="8"/>
        <x:v>40.299999999999997</x:v>
      </x:c>
      <x:c r="M75" s="12">
        <x:f t="shared" si="9"/>
        <x:v>35.299999999999997</x:v>
      </x:c>
      <x:c r="N75" s="12">
        <x:f t="shared" si="10"/>
        <x:v>30.299999999999997</x:v>
      </x:c>
      <x:c r="O75" s="12">
        <x:f t="shared" si="11"/>
        <x:v>25.299999999999997</x:v>
      </x:c>
      <x:c r="P75" s="12">
        <x:f t="shared" si="12"/>
        <x:v>20.299999999999997</x:v>
      </x:c>
      <x:c r="Q75" s="12">
        <x:f t="shared" si="13"/>
        <x:v>15.299999999999997</x:v>
      </x:c>
      <x:c r="R75" s="12">
        <x:f t="shared" si="14"/>
        <x:v>10.299999999999997</x:v>
      </x:c>
      <x:c r="U75" s="81"/>
    </x:row>
    <x:row r="76" spans="1:21" x14ac:dyDescent="0.25"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U76" s="30"/>
    </x:row>
    <x:row r="77" spans="1:21" x14ac:dyDescent="0.25">
      <x:c r="G77" s="48" t="s">
        <x:v>99</x:v>
      </x:c>
      <x:c r="H77" s="20">
        <x:f t="shared" ref="H77" si="16">SUM(H45:H75)</x:f>
        <x:v>0</x:v>
      </x:c>
      <x:c r="I77" s="20">
        <x:f>SUM(I45:I75)</x:f>
        <x:v>0</x:v>
      </x:c>
      <x:c r="J77" s="20">
        <x:f>SUM(J45:J75)</x:f>
        <x:v>0</x:v>
      </x:c>
      <x:c r="K77" s="20">
        <x:f>SUM(K45:K75)</x:f>
        <x:v>0</x:v>
      </x:c>
      <x:c r="L77" s="20">
        <x:f>SUM(L45:L75)</x:f>
        <x:v>1156.2</x:v>
      </x:c>
      <x:c r="M77" s="20">
        <x:f t="shared" ref="M77:N77" si="17">SUM(M45:M75)</x:f>
        <x:v>1001.1999999999998</x:v>
      </x:c>
      <x:c r="N77" s="20">
        <x:f t="shared" si="17"/>
        <x:v>846.19999999999993</x:v>
      </x:c>
      <x:c r="O77" s="20">
        <x:f>SUM(O45:O75)</x:f>
        <x:v>691.19999999999993</x:v>
      </x:c>
      <x:c r="P77" s="20">
        <x:f>SUM(P45:P75)</x:f>
        <x:v>536.19999999999982</x:v>
      </x:c>
      <x:c r="Q77" s="20">
        <x:f>SUM(Q45:Q75)</x:f>
        <x:v>384.7</x:v>
      </x:c>
      <x:c r="R77" s="20">
        <x:f>SUM(R45:R75)</x:f>
        <x:v>235.10000000000008</x:v>
      </x:c>
      <x:c r="U77" s="82"/>
    </x:row>
  </x:sheetData>
  <x:mergeCells count="6">
    <x:mergeCell ref="B9:V9"/>
    <x:mergeCell ref="B1:T1"/>
    <x:mergeCell ref="B2:T2"/>
    <x:mergeCell ref="B3:T3"/>
    <x:mergeCell ref="B4:T4"/>
    <x:mergeCell ref="B6:T6"/>
  </x:mergeCells>
  <x:pageMargins left="0.75" right="0.75" top="1" bottom="1" header="0.5" footer="0.5"/>
  <x:pageSetup scale="59" firstPageNumber="3" orientation="portrait" r:id="rId1"/>
  <x:headerFooter alignWithMargins="0">
    <x:oddHeader>&amp;RSchedule II-H-5.1
Page &amp;P of  25</x:oddHeader>
  </x:headerFooter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pageSetUpPr fitToPage="1"/>
  </x:sheetPr>
  <x:dimension ref="A1:AC77"/>
  <x:sheetViews>
    <x:sheetView zoomScaleNormal="100" workbookViewId="0"/>
  </x:sheetViews>
  <x:sheetFormatPr defaultRowHeight="13.2" x14ac:dyDescent="0.25"/>
  <x:cols>
    <x:col min="2" max="2" width="10" style="56" bestFit="1" customWidth="1"/>
    <x:col min="3" max="6" width="5.44140625" bestFit="1" customWidth="1"/>
    <x:col min="7" max="7" width="8.77734375" customWidth="1"/>
    <x:col min="8" max="14" width="6.88671875" bestFit="1" customWidth="1"/>
    <x:col min="15" max="23" width="7" bestFit="1" customWidth="1"/>
    <x:col min="24" max="29" width="11.44140625" customWidth="1"/>
  </x:cols>
  <x:sheetData>
    <x:row r="1" spans="1:29" s="2" customFormat="1" ht="15.6" x14ac:dyDescent="0.3">
      <x:c r="B1" s="88" t="str">
        <x:f>+Base45h!B1</x:f>
        <x:v xml:space="preserve">PUC DOCKET NO. </x:v>
      </x:c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  <x:c r="P1" s="92"/>
      <x:c r="Q1" s="92"/>
      <x:c r="R1" s="92"/>
      <x:c r="S1" s="92"/>
      <x:c r="T1" s="92"/>
      <x:c r="U1" s="56"/>
      <x:c r="V1" s="56"/>
      <x:c r="W1" s="56"/>
      <x:c r="X1" s="56"/>
      <x:c r="Y1" s="56"/>
      <x:c r="Z1" s="56"/>
      <x:c r="AA1" s="56"/>
      <x:c r="AB1" s="56"/>
      <x:c r="AC1" s="56"/>
    </x:row>
    <x:row r="2" spans="1:29" s="2" customFormat="1" ht="15.6" x14ac:dyDescent="0.3">
      <x:c r="B2" s="88" t="str">
        <x:f>+Base45h!B2</x:f>
        <x:v>ONCOR ELECTRIC DELIVERY COMPANY LLC</x:v>
      </x:c>
      <x:c r="C2" s="92"/>
      <x:c r="D2" s="92"/>
      <x:c r="E2" s="92"/>
      <x:c r="F2" s="92"/>
      <x:c r="G2" s="92"/>
      <x:c r="H2" s="92"/>
      <x:c r="I2" s="92"/>
      <x:c r="J2" s="92"/>
      <x:c r="K2" s="92"/>
      <x:c r="L2" s="92"/>
      <x:c r="M2" s="92"/>
      <x:c r="N2" s="92"/>
      <x:c r="O2" s="92"/>
      <x:c r="P2" s="92"/>
      <x:c r="Q2" s="92"/>
      <x:c r="R2" s="92"/>
      <x:c r="S2" s="92"/>
      <x:c r="T2" s="92"/>
      <x:c r="U2" s="56"/>
      <x:c r="V2" s="56"/>
      <x:c r="W2" s="56"/>
      <x:c r="X2" s="56"/>
      <x:c r="Y2" s="56"/>
      <x:c r="Z2" s="56"/>
      <x:c r="AA2" s="56"/>
      <x:c r="AB2" s="56"/>
      <x:c r="AC2" s="56"/>
    </x:row>
    <x:row r="3" spans="1:29" s="2" customFormat="1" ht="15.6" x14ac:dyDescent="0.3">
      <x:c r="B3" s="88" t="str">
        <x:f>+Base45h!B3</x:f>
        <x:v>WEATHER STATION DATA</x:v>
      </x:c>
      <x:c r="C3" s="92"/>
      <x:c r="D3" s="92"/>
      <x:c r="E3" s="92"/>
      <x:c r="F3" s="92"/>
      <x:c r="G3" s="92"/>
      <x:c r="H3" s="92"/>
      <x:c r="I3" s="92"/>
      <x:c r="J3" s="92"/>
      <x:c r="K3" s="92"/>
      <x:c r="L3" s="92"/>
      <x:c r="M3" s="92"/>
      <x:c r="N3" s="92"/>
      <x:c r="O3" s="92"/>
      <x:c r="P3" s="92"/>
      <x:c r="Q3" s="92"/>
      <x:c r="R3" s="92"/>
      <x:c r="S3" s="92"/>
      <x:c r="T3" s="92"/>
      <x:c r="U3" s="56"/>
      <x:c r="V3" s="56"/>
      <x:c r="W3" s="56"/>
      <x:c r="X3" s="56"/>
      <x:c r="Y3" s="56"/>
      <x:c r="Z3" s="56"/>
      <x:c r="AA3" s="56"/>
      <x:c r="AB3" s="56"/>
      <x:c r="AC3" s="56"/>
    </x:row>
    <x:row r="4" spans="1:29" s="2" customFormat="1" ht="15.6" x14ac:dyDescent="0.3">
      <x:c r="B4" s="88" t="str">
        <x:f>+Base45h!B4</x:f>
        <x:v>FOR THE TEST YEAR ENDING DECEMBER 31, 2024</x:v>
      </x:c>
      <x:c r="C4" s="92"/>
      <x:c r="D4" s="92"/>
      <x:c r="E4" s="92"/>
      <x:c r="F4" s="92"/>
      <x:c r="G4" s="92"/>
      <x:c r="H4" s="92"/>
      <x:c r="I4" s="92"/>
      <x:c r="J4" s="92"/>
      <x:c r="K4" s="92"/>
      <x:c r="L4" s="92"/>
      <x:c r="M4" s="92"/>
      <x:c r="N4" s="92"/>
      <x:c r="O4" s="92"/>
      <x:c r="P4" s="92"/>
      <x:c r="Q4" s="92"/>
      <x:c r="R4" s="92"/>
      <x:c r="S4" s="92"/>
      <x:c r="T4" s="92"/>
      <x:c r="U4" s="56"/>
      <x:c r="V4" s="56"/>
      <x:c r="W4" s="56"/>
      <x:c r="X4" s="56"/>
      <x:c r="Y4" s="56"/>
      <x:c r="Z4" s="56"/>
      <x:c r="AA4" s="56"/>
      <x:c r="AB4" s="56"/>
      <x:c r="AC4" s="56"/>
    </x:row>
    <x:row r="5" spans="1:29" s="2" customFormat="1" ht="11.4" x14ac:dyDescent="0.2">
      <x:c r="B5" s="1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7"/>
      <x:c r="V5" s="17"/>
      <x:c r="W5" s="17"/>
      <x:c r="X5" s="17"/>
      <x:c r="Y5" s="17"/>
      <x:c r="Z5" s="17"/>
      <x:c r="AA5" s="17"/>
      <x:c r="AB5" s="17"/>
      <x:c r="AC5" s="17"/>
    </x:row>
    <x:row r="6" spans="1:29" s="2" customFormat="1" ht="15.6" x14ac:dyDescent="0.3">
      <x:c r="B6" s="88" t="str">
        <x:f>+Base45h!B6</x:f>
        <x:v>SPONSOR: D. E. NELSON</x:v>
      </x:c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56"/>
      <x:c r="V6" s="56"/>
      <x:c r="W6" s="56"/>
      <x:c r="X6" s="56"/>
      <x:c r="Y6" s="56"/>
      <x:c r="Z6" s="56"/>
      <x:c r="AA6" s="56"/>
      <x:c r="AB6" s="56"/>
      <x:c r="AC6" s="56"/>
    </x:row>
    <x:row r="7" spans="1:29" ht="24" thickBot="1" x14ac:dyDescent="0.3">
      <x:c r="A7" s="3" t="s">
        <x:v>4</x:v>
      </x:c>
    </x:row>
    <x:row r="9" spans="1:29" x14ac:dyDescent="0.25">
      <x:c r="A9">
        <x:v>1</x:v>
      </x:c>
      <x:c r="B9" s="91" t="s">
        <x:v>119</x:v>
      </x:c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</x:row>
    <x:row r="10" spans="1:29" s="57" customFormat="1" x14ac:dyDescent="0.25">
      <x:c r="A10" s="30">
        <x:f>+A9+1</x:f>
        <x:v>2</x:v>
      </x:c>
      <x:c r="B10" s="31" t="s">
        <x:v>28</x:v>
      </x:c>
      <x:c r="C10" s="31" t="s">
        <x:v>29</x:v>
      </x:c>
      <x:c r="D10" s="31" t="s">
        <x:v>30</x:v>
      </x:c>
      <x:c r="E10" s="31" t="s">
        <x:v>31</x:v>
      </x:c>
      <x:c r="F10" s="31" t="s">
        <x:v>32</x:v>
      </x:c>
      <x:c r="G10" s="31" t="s">
        <x:v>33</x:v>
      </x:c>
      <x:c r="H10" s="31" t="s">
        <x:v>34</x:v>
      </x:c>
      <x:c r="I10" s="31" t="s">
        <x:v>35</x:v>
      </x:c>
      <x:c r="J10" s="31" t="s">
        <x:v>36</x:v>
      </x:c>
      <x:c r="K10" s="31" t="s">
        <x:v>37</x:v>
      </x:c>
      <x:c r="L10" s="31" t="s">
        <x:v>38</x:v>
      </x:c>
      <x:c r="M10" s="31" t="s">
        <x:v>39</x:v>
      </x:c>
      <x:c r="N10" s="31" t="s">
        <x:v>40</x:v>
      </x:c>
      <x:c r="O10" s="31" t="s">
        <x:v>41</x:v>
      </x:c>
      <x:c r="P10" s="31" t="s">
        <x:v>42</x:v>
      </x:c>
      <x:c r="Q10" s="31" t="s">
        <x:v>43</x:v>
      </x:c>
      <x:c r="R10" s="31" t="s">
        <x:v>44</x:v>
      </x:c>
      <x:c r="S10" s="31" t="s">
        <x:v>45</x:v>
      </x:c>
      <x:c r="T10" s="57" t="s">
        <x:v>46</x:v>
      </x:c>
      <x:c r="U10" s="57" t="s">
        <x:v>47</x:v>
      </x:c>
      <x:c r="V10" s="57" t="s">
        <x:v>48</x:v>
      </x:c>
    </x:row>
    <x:row r="11" spans="1:29" x14ac:dyDescent="0.25">
      <x:c r="A11">
        <x:f t="shared" ref="A11:B26" si="0">+A10+1</x:f>
        <x:v>3</x:v>
      </x:c>
      <x:c r="B11" s="11">
        <x:v>45292</x:v>
      </x:c>
      <x:c r="C11">
        <x:v>37</x:v>
      </x:c>
      <x:c r="D11">
        <x:v>36</x:v>
      </x:c>
      <x:c r="E11">
        <x:v>35</x:v>
      </x:c>
      <x:c r="F11">
        <x:v>33</x:v>
      </x:c>
      <x:c r="G11">
        <x:v>32</x:v>
      </x:c>
      <x:c r="H11">
        <x:v>32</x:v>
      </x:c>
      <x:c r="I11">
        <x:v>31</x:v>
      </x:c>
      <x:c r="J11">
        <x:v>31</x:v>
      </x:c>
      <x:c r="K11">
        <x:v>30</x:v>
      </x:c>
      <x:c r="L11">
        <x:v>30</x:v>
      </x:c>
      <x:c r="M11">
        <x:v>31</x:v>
      </x:c>
      <x:c r="N11">
        <x:v>32</x:v>
      </x:c>
      <x:c r="O11">
        <x:v>33</x:v>
      </x:c>
      <x:c r="P11">
        <x:v>36</x:v>
      </x:c>
      <x:c r="Q11">
        <x:v>40</x:v>
      </x:c>
      <x:c r="R11">
        <x:v>41</x:v>
      </x:c>
      <x:c r="S11">
        <x:v>43</x:v>
      </x:c>
      <x:c r="T11">
        <x:v>43</x:v>
      </x:c>
      <x:c r="U11">
        <x:v>40</x:v>
      </x:c>
      <x:c r="V11">
        <x:v>38</x:v>
      </x:c>
    </x:row>
    <x:row r="12" spans="1:29" x14ac:dyDescent="0.25">
      <x:c r="A12">
        <x:f t="shared" si="0"/>
        <x:v>4</x:v>
      </x:c>
      <x:c r="B12" s="11">
        <x:f>+B11+1</x:f>
        <x:v>45293</x:v>
      </x:c>
      <x:c r="C12">
        <x:v>30</x:v>
      </x:c>
      <x:c r="D12">
        <x:v>30</x:v>
      </x:c>
      <x:c r="E12">
        <x:v>31</x:v>
      </x:c>
      <x:c r="F12">
        <x:v>31</x:v>
      </x:c>
      <x:c r="G12">
        <x:v>31</x:v>
      </x:c>
      <x:c r="H12">
        <x:v>31</x:v>
      </x:c>
      <x:c r="I12">
        <x:v>34</x:v>
      </x:c>
      <x:c r="J12">
        <x:v>34</x:v>
      </x:c>
      <x:c r="K12">
        <x:v>36</x:v>
      </x:c>
      <x:c r="L12">
        <x:v>37</x:v>
      </x:c>
      <x:c r="M12">
        <x:v>38</x:v>
      </x:c>
      <x:c r="N12">
        <x:v>40</x:v>
      </x:c>
      <x:c r="O12">
        <x:v>42</x:v>
      </x:c>
      <x:c r="P12">
        <x:v>40</x:v>
      </x:c>
      <x:c r="Q12">
        <x:v>39</x:v>
      </x:c>
      <x:c r="R12">
        <x:v>38</x:v>
      </x:c>
      <x:c r="S12">
        <x:v>39</x:v>
      </x:c>
      <x:c r="T12">
        <x:v>39</x:v>
      </x:c>
      <x:c r="U12">
        <x:v>40</x:v>
      </x:c>
      <x:c r="V12">
        <x:v>40</x:v>
      </x:c>
    </x:row>
    <x:row r="13" spans="1:29" x14ac:dyDescent="0.25">
      <x:c r="A13">
        <x:f t="shared" si="0"/>
        <x:v>5</x:v>
      </x:c>
      <x:c r="B13" s="11">
        <x:f t="shared" si="0"/>
        <x:v>45294</x:v>
      </x:c>
      <x:c r="C13">
        <x:v>40</x:v>
      </x:c>
      <x:c r="D13">
        <x:v>40</x:v>
      </x:c>
      <x:c r="E13">
        <x:v>40</x:v>
      </x:c>
      <x:c r="F13">
        <x:v>40</x:v>
      </x:c>
      <x:c r="G13">
        <x:v>40</x:v>
      </x:c>
      <x:c r="H13">
        <x:v>41</x:v>
      </x:c>
      <x:c r="I13">
        <x:v>41</x:v>
      </x:c>
      <x:c r="J13">
        <x:v>41</x:v>
      </x:c>
      <x:c r="K13">
        <x:v>41</x:v>
      </x:c>
      <x:c r="L13">
        <x:v>42</x:v>
      </x:c>
      <x:c r="M13">
        <x:v>43</x:v>
      </x:c>
      <x:c r="N13">
        <x:v>43</x:v>
      </x:c>
      <x:c r="O13">
        <x:v>45</x:v>
      </x:c>
      <x:c r="P13">
        <x:v>47</x:v>
      </x:c>
      <x:c r="Q13">
        <x:v>48</x:v>
      </x:c>
      <x:c r="R13">
        <x:v>49</x:v>
      </x:c>
      <x:c r="S13">
        <x:v>50</x:v>
      </x:c>
      <x:c r="T13">
        <x:v>51</x:v>
      </x:c>
      <x:c r="U13">
        <x:v>50</x:v>
      </x:c>
      <x:c r="V13">
        <x:v>46</x:v>
      </x:c>
    </x:row>
    <x:row r="14" spans="1:29" x14ac:dyDescent="0.25">
      <x:c r="A14">
        <x:f t="shared" si="0"/>
        <x:v>6</x:v>
      </x:c>
      <x:c r="B14" s="11">
        <x:f t="shared" si="0"/>
        <x:v>45295</x:v>
      </x:c>
      <x:c r="C14">
        <x:v>38</x:v>
      </x:c>
      <x:c r="D14">
        <x:v>37</x:v>
      </x:c>
      <x:c r="E14">
        <x:v>36</x:v>
      </x:c>
      <x:c r="F14">
        <x:v>36</x:v>
      </x:c>
      <x:c r="G14">
        <x:v>35</x:v>
      </x:c>
      <x:c r="H14">
        <x:v>37</x:v>
      </x:c>
      <x:c r="I14">
        <x:v>38</x:v>
      </x:c>
      <x:c r="J14">
        <x:v>38</x:v>
      </x:c>
      <x:c r="K14">
        <x:v>39</x:v>
      </x:c>
      <x:c r="L14">
        <x:v>40</x:v>
      </x:c>
      <x:c r="M14">
        <x:v>42</x:v>
      </x:c>
      <x:c r="N14">
        <x:v>44</x:v>
      </x:c>
      <x:c r="O14">
        <x:v>44</x:v>
      </x:c>
      <x:c r="P14">
        <x:v>44</x:v>
      </x:c>
      <x:c r="Q14">
        <x:v>45</x:v>
      </x:c>
      <x:c r="R14">
        <x:v>46</x:v>
      </x:c>
      <x:c r="S14">
        <x:v>46</x:v>
      </x:c>
      <x:c r="T14">
        <x:v>46</x:v>
      </x:c>
      <x:c r="U14">
        <x:v>45</x:v>
      </x:c>
      <x:c r="V14">
        <x:v>45</x:v>
      </x:c>
    </x:row>
    <x:row r="15" spans="1:29" x14ac:dyDescent="0.25">
      <x:c r="A15">
        <x:f t="shared" si="0"/>
        <x:v>7</x:v>
      </x:c>
      <x:c r="B15" s="11">
        <x:f t="shared" si="0"/>
        <x:v>45296</x:v>
      </x:c>
      <x:c r="C15">
        <x:v>44</x:v>
      </x:c>
      <x:c r="D15">
        <x:v>43</x:v>
      </x:c>
      <x:c r="E15">
        <x:v>42</x:v>
      </x:c>
      <x:c r="F15">
        <x:v>42</x:v>
      </x:c>
      <x:c r="G15">
        <x:v>41</x:v>
      </x:c>
      <x:c r="H15">
        <x:v>40</x:v>
      </x:c>
      <x:c r="I15">
        <x:v>39</x:v>
      </x:c>
      <x:c r="J15">
        <x:v>38</x:v>
      </x:c>
      <x:c r="K15">
        <x:v>37</x:v>
      </x:c>
      <x:c r="L15">
        <x:v>41</x:v>
      </x:c>
      <x:c r="M15">
        <x:v>48</x:v>
      </x:c>
      <x:c r="N15">
        <x:v>51</x:v>
      </x:c>
      <x:c r="O15">
        <x:v>52</x:v>
      </x:c>
      <x:c r="P15">
        <x:v>54</x:v>
      </x:c>
      <x:c r="Q15">
        <x:v>56</x:v>
      </x:c>
      <x:c r="R15">
        <x:v>55</x:v>
      </x:c>
      <x:c r="S15">
        <x:v>54</x:v>
      </x:c>
      <x:c r="T15">
        <x:v>53</x:v>
      </x:c>
      <x:c r="U15">
        <x:v>48</x:v>
      </x:c>
      <x:c r="V15">
        <x:v>46</x:v>
      </x:c>
    </x:row>
    <x:row r="16" spans="1:29" x14ac:dyDescent="0.25">
      <x:c r="A16">
        <x:f t="shared" si="0"/>
        <x:v>8</x:v>
      </x:c>
      <x:c r="B16" s="11">
        <x:f t="shared" si="0"/>
        <x:v>45297</x:v>
      </x:c>
      <x:c r="C16">
        <x:v>35</x:v>
      </x:c>
      <x:c r="D16">
        <x:v>36</x:v>
      </x:c>
      <x:c r="E16">
        <x:v>34</x:v>
      </x:c>
      <x:c r="F16">
        <x:v>34</x:v>
      </x:c>
      <x:c r="G16">
        <x:v>33</x:v>
      </x:c>
      <x:c r="H16">
        <x:v>33</x:v>
      </x:c>
      <x:c r="I16">
        <x:v>33</x:v>
      </x:c>
      <x:c r="J16">
        <x:v>32</x:v>
      </x:c>
      <x:c r="K16">
        <x:v>32</x:v>
      </x:c>
      <x:c r="L16">
        <x:v>36</x:v>
      </x:c>
      <x:c r="M16">
        <x:v>41</x:v>
      </x:c>
      <x:c r="N16">
        <x:v>43</x:v>
      </x:c>
      <x:c r="O16">
        <x:v>45</x:v>
      </x:c>
      <x:c r="P16">
        <x:v>46</x:v>
      </x:c>
      <x:c r="Q16">
        <x:v>50</x:v>
      </x:c>
      <x:c r="R16">
        <x:v>51</x:v>
      </x:c>
      <x:c r="S16">
        <x:v>51</x:v>
      </x:c>
      <x:c r="T16">
        <x:v>51</x:v>
      </x:c>
      <x:c r="U16">
        <x:v>46</x:v>
      </x:c>
      <x:c r="V16">
        <x:v>44</x:v>
      </x:c>
    </x:row>
    <x:row r="17" spans="1:22" x14ac:dyDescent="0.25">
      <x:c r="A17">
        <x:f t="shared" si="0"/>
        <x:v>9</x:v>
      </x:c>
      <x:c r="B17" s="11">
        <x:f t="shared" si="0"/>
        <x:v>45298</x:v>
      </x:c>
      <x:c r="C17">
        <x:v>36</x:v>
      </x:c>
      <x:c r="D17">
        <x:v>36</x:v>
      </x:c>
      <x:c r="E17">
        <x:v>36</x:v>
      </x:c>
      <x:c r="F17">
        <x:v>33</x:v>
      </x:c>
      <x:c r="G17">
        <x:v>32</x:v>
      </x:c>
      <x:c r="H17">
        <x:v>31</x:v>
      </x:c>
      <x:c r="I17">
        <x:v>33</x:v>
      </x:c>
      <x:c r="J17">
        <x:v>33</x:v>
      </x:c>
      <x:c r="K17">
        <x:v>33</x:v>
      </x:c>
      <x:c r="L17">
        <x:v>41</x:v>
      </x:c>
      <x:c r="M17">
        <x:v>46</x:v>
      </x:c>
      <x:c r="N17">
        <x:v>50</x:v>
      </x:c>
      <x:c r="O17">
        <x:v>56</x:v>
      </x:c>
      <x:c r="P17">
        <x:v>58</x:v>
      </x:c>
      <x:c r="Q17">
        <x:v>60</x:v>
      </x:c>
      <x:c r="R17">
        <x:v>61</x:v>
      </x:c>
      <x:c r="S17">
        <x:v>62</x:v>
      </x:c>
      <x:c r="T17">
        <x:v>60</x:v>
      </x:c>
      <x:c r="U17">
        <x:v>57</x:v>
      </x:c>
      <x:c r="V17">
        <x:v>54</x:v>
      </x:c>
    </x:row>
    <x:row r="18" spans="1:22" x14ac:dyDescent="0.25">
      <x:c r="A18">
        <x:f t="shared" si="0"/>
        <x:v>10</x:v>
      </x:c>
      <x:c r="B18" s="11">
        <x:f t="shared" si="0"/>
        <x:v>45299</x:v>
      </x:c>
      <x:c r="C18">
        <x:v>53</x:v>
      </x:c>
      <x:c r="D18">
        <x:v>54</x:v>
      </x:c>
      <x:c r="E18">
        <x:v>57</x:v>
      </x:c>
      <x:c r="F18">
        <x:v>57</x:v>
      </x:c>
      <x:c r="G18">
        <x:v>57</x:v>
      </x:c>
      <x:c r="H18">
        <x:v>58</x:v>
      </x:c>
      <x:c r="I18">
        <x:v>56</x:v>
      </x:c>
      <x:c r="J18">
        <x:v>53</x:v>
      </x:c>
      <x:c r="K18">
        <x:v>54</x:v>
      </x:c>
      <x:c r="L18">
        <x:v>50</x:v>
      </x:c>
      <x:c r="M18">
        <x:v>51</x:v>
      </x:c>
      <x:c r="N18">
        <x:v>50</x:v>
      </x:c>
      <x:c r="O18">
        <x:v>52</x:v>
      </x:c>
      <x:c r="P18">
        <x:v>54</x:v>
      </x:c>
      <x:c r="Q18">
        <x:v>53</x:v>
      </x:c>
      <x:c r="R18">
        <x:v>50</x:v>
      </x:c>
      <x:c r="S18">
        <x:v>54</x:v>
      </x:c>
      <x:c r="T18">
        <x:v>51</x:v>
      </x:c>
      <x:c r="U18">
        <x:v>47</x:v>
      </x:c>
      <x:c r="V18">
        <x:v>44</x:v>
      </x:c>
    </x:row>
    <x:row r="19" spans="1:22" x14ac:dyDescent="0.25">
      <x:c r="A19">
        <x:f t="shared" si="0"/>
        <x:v>11</x:v>
      </x:c>
      <x:c r="B19" s="11">
        <x:f t="shared" si="0"/>
        <x:v>45300</x:v>
      </x:c>
      <x:c r="C19">
        <x:v>36</x:v>
      </x:c>
      <x:c r="D19">
        <x:v>35</x:v>
      </x:c>
      <x:c r="E19">
        <x:v>35</x:v>
      </x:c>
      <x:c r="F19">
        <x:v>35</x:v>
      </x:c>
      <x:c r="G19">
        <x:v>35</x:v>
      </x:c>
      <x:c r="H19">
        <x:v>34</x:v>
      </x:c>
      <x:c r="I19">
        <x:v>34</x:v>
      </x:c>
      <x:c r="J19">
        <x:v>34</x:v>
      </x:c>
      <x:c r="K19">
        <x:v>34</x:v>
      </x:c>
      <x:c r="L19">
        <x:v>36</x:v>
      </x:c>
      <x:c r="M19">
        <x:v>40</x:v>
      </x:c>
      <x:c r="N19">
        <x:v>44</x:v>
      </x:c>
      <x:c r="O19">
        <x:v>47</x:v>
      </x:c>
      <x:c r="P19">
        <x:v>48</x:v>
      </x:c>
      <x:c r="Q19">
        <x:v>50</x:v>
      </x:c>
      <x:c r="R19">
        <x:v>51</x:v>
      </x:c>
      <x:c r="S19">
        <x:v>51</x:v>
      </x:c>
      <x:c r="T19">
        <x:v>50</x:v>
      </x:c>
      <x:c r="U19">
        <x:v>45</x:v>
      </x:c>
      <x:c r="V19">
        <x:v>43</x:v>
      </x:c>
    </x:row>
    <x:row r="20" spans="1:22" x14ac:dyDescent="0.25">
      <x:c r="A20">
        <x:f t="shared" si="0"/>
        <x:v>12</x:v>
      </x:c>
      <x:c r="B20" s="11">
        <x:f t="shared" si="0"/>
        <x:v>45301</x:v>
      </x:c>
      <x:c r="C20">
        <x:v>35</x:v>
      </x:c>
      <x:c r="D20">
        <x:v>39</x:v>
      </x:c>
      <x:c r="E20">
        <x:v>40</x:v>
      </x:c>
      <x:c r="F20">
        <x:v>40</x:v>
      </x:c>
      <x:c r="G20">
        <x:v>39</x:v>
      </x:c>
      <x:c r="H20">
        <x:v>41</x:v>
      </x:c>
      <x:c r="I20">
        <x:v>40</x:v>
      </x:c>
      <x:c r="J20">
        <x:v>40</x:v>
      </x:c>
      <x:c r="K20">
        <x:v>40</x:v>
      </x:c>
      <x:c r="L20">
        <x:v>44</x:v>
      </x:c>
      <x:c r="M20">
        <x:v>49</x:v>
      </x:c>
      <x:c r="N20">
        <x:v>55</x:v>
      </x:c>
      <x:c r="O20">
        <x:v>60</x:v>
      </x:c>
      <x:c r="P20">
        <x:v>66</x:v>
      </x:c>
      <x:c r="Q20">
        <x:v>68</x:v>
      </x:c>
      <x:c r="R20">
        <x:v>68</x:v>
      </x:c>
      <x:c r="S20">
        <x:v>68</x:v>
      </x:c>
      <x:c r="T20">
        <x:v>67</x:v>
      </x:c>
      <x:c r="U20">
        <x:v>60</x:v>
      </x:c>
      <x:c r="V20">
        <x:v>53</x:v>
      </x:c>
    </x:row>
    <x:row r="21" spans="1:22" x14ac:dyDescent="0.25">
      <x:c r="A21">
        <x:f t="shared" si="0"/>
        <x:v>13</x:v>
      </x:c>
      <x:c r="B21" s="11">
        <x:f t="shared" si="0"/>
        <x:v>45302</x:v>
      </x:c>
      <x:c r="C21">
        <x:v>51</x:v>
      </x:c>
      <x:c r="D21">
        <x:v>50</x:v>
      </x:c>
      <x:c r="E21">
        <x:v>47</x:v>
      </x:c>
      <x:c r="F21">
        <x:v>46</x:v>
      </x:c>
      <x:c r="G21">
        <x:v>47</x:v>
      </x:c>
      <x:c r="H21">
        <x:v>45</x:v>
      </x:c>
      <x:c r="I21">
        <x:v>45</x:v>
      </x:c>
      <x:c r="J21">
        <x:v>43</x:v>
      </x:c>
      <x:c r="K21">
        <x:v>46</x:v>
      </x:c>
      <x:c r="L21">
        <x:v>49</x:v>
      </x:c>
      <x:c r="M21">
        <x:v>54</x:v>
      </x:c>
      <x:c r="N21">
        <x:v>61</x:v>
      </x:c>
      <x:c r="O21">
        <x:v>65</x:v>
      </x:c>
      <x:c r="P21">
        <x:v>68</x:v>
      </x:c>
      <x:c r="Q21">
        <x:v>72</x:v>
      </x:c>
      <x:c r="R21">
        <x:v>74</x:v>
      </x:c>
      <x:c r="S21">
        <x:v>73</x:v>
      </x:c>
      <x:c r="T21">
        <x:v>71</x:v>
      </x:c>
      <x:c r="U21">
        <x:v>64</x:v>
      </x:c>
      <x:c r="V21">
        <x:v>60</x:v>
      </x:c>
    </x:row>
    <x:row r="22" spans="1:22" x14ac:dyDescent="0.25">
      <x:c r="A22">
        <x:f t="shared" si="0"/>
        <x:v>14</x:v>
      </x:c>
      <x:c r="B22" s="11">
        <x:f t="shared" si="0"/>
        <x:v>45303</x:v>
      </x:c>
      <x:c r="C22">
        <x:v>55</x:v>
      </x:c>
      <x:c r="D22">
        <x:v>53</x:v>
      </x:c>
      <x:c r="E22">
        <x:v>35</x:v>
      </x:c>
      <x:c r="F22">
        <x:v>32</x:v>
      </x:c>
      <x:c r="G22">
        <x:v>30</x:v>
      </x:c>
      <x:c r="H22">
        <x:v>29</x:v>
      </x:c>
      <x:c r="I22">
        <x:v>28</x:v>
      </x:c>
      <x:c r="J22">
        <x:v>27</x:v>
      </x:c>
      <x:c r="K22">
        <x:v>28</x:v>
      </x:c>
      <x:c r="L22">
        <x:v>30</x:v>
      </x:c>
      <x:c r="M22">
        <x:v>34</x:v>
      </x:c>
      <x:c r="N22">
        <x:v>39</x:v>
      </x:c>
      <x:c r="O22">
        <x:v>39</x:v>
      </x:c>
      <x:c r="P22">
        <x:v>46</x:v>
      </x:c>
      <x:c r="Q22">
        <x:v>48</x:v>
      </x:c>
      <x:c r="R22">
        <x:v>52</x:v>
      </x:c>
      <x:c r="S22">
        <x:v>51</x:v>
      </x:c>
      <x:c r="T22">
        <x:v>51</x:v>
      </x:c>
      <x:c r="U22">
        <x:v>47</x:v>
      </x:c>
      <x:c r="V22">
        <x:v>43</x:v>
      </x:c>
    </x:row>
    <x:row r="23" spans="1:22" x14ac:dyDescent="0.25">
      <x:c r="A23">
        <x:f t="shared" si="0"/>
        <x:v>15</x:v>
      </x:c>
      <x:c r="B23" s="11">
        <x:f t="shared" si="0"/>
        <x:v>45304</x:v>
      </x:c>
      <x:c r="C23">
        <x:v>33</x:v>
      </x:c>
      <x:c r="D23">
        <x:v>31</x:v>
      </x:c>
      <x:c r="E23">
        <x:v>33</x:v>
      </x:c>
      <x:c r="F23">
        <x:v>37</x:v>
      </x:c>
      <x:c r="G23">
        <x:v>39</x:v>
      </x:c>
      <x:c r="H23">
        <x:v>42</x:v>
      </x:c>
      <x:c r="I23">
        <x:v>39</x:v>
      </x:c>
      <x:c r="J23">
        <x:v>36</x:v>
      </x:c>
      <x:c r="K23">
        <x:v>39</x:v>
      </x:c>
      <x:c r="L23">
        <x:v>44</x:v>
      </x:c>
      <x:c r="M23">
        <x:v>49</x:v>
      </x:c>
      <x:c r="N23">
        <x:v>54</x:v>
      </x:c>
      <x:c r="O23">
        <x:v>57</x:v>
      </x:c>
      <x:c r="P23">
        <x:v>62</x:v>
      </x:c>
      <x:c r="Q23">
        <x:v>64</x:v>
      </x:c>
      <x:c r="R23">
        <x:v>62</x:v>
      </x:c>
      <x:c r="S23">
        <x:v>53</x:v>
      </x:c>
      <x:c r="T23">
        <x:v>31</x:v>
      </x:c>
      <x:c r="U23">
        <x:v>28</x:v>
      </x:c>
      <x:c r="V23">
        <x:v>26</x:v>
      </x:c>
    </x:row>
    <x:row r="24" spans="1:22" s="18" customFormat="1" x14ac:dyDescent="0.25">
      <x:c r="A24" s="18">
        <x:f t="shared" si="0"/>
        <x:v>16</x:v>
      </x:c>
      <x:c r="B24" s="11">
        <x:f t="shared" si="0"/>
        <x:v>45305</x:v>
      </x:c>
      <x:c r="C24">
        <x:v>18</x:v>
      </x:c>
      <x:c r="D24">
        <x:v>17</x:v>
      </x:c>
      <x:c r="E24">
        <x:v>15</x:v>
      </x:c>
      <x:c r="F24">
        <x:v>13</x:v>
      </x:c>
      <x:c r="G24">
        <x:v>12</x:v>
      </x:c>
      <x:c r="H24">
        <x:v>11</x:v>
      </x:c>
      <x:c r="I24">
        <x:v>11</x:v>
      </x:c>
      <x:c r="J24">
        <x:v>11</x:v>
      </x:c>
      <x:c r="K24">
        <x:v>11</x:v>
      </x:c>
      <x:c r="L24">
        <x:v>10</x:v>
      </x:c>
      <x:c r="M24">
        <x:v>10</x:v>
      </x:c>
      <x:c r="N24">
        <x:v>11</x:v>
      </x:c>
      <x:c r="O24">
        <x:v>12</x:v>
      </x:c>
      <x:c r="P24">
        <x:v>12</x:v>
      </x:c>
      <x:c r="Q24">
        <x:v>11</x:v>
      </x:c>
      <x:c r="R24">
        <x:v>12</x:v>
      </x:c>
      <x:c r="S24">
        <x:v>12</x:v>
      </x:c>
      <x:c r="T24">
        <x:v>13</x:v>
      </x:c>
      <x:c r="U24">
        <x:v>11</x:v>
      </x:c>
      <x:c r="V24">
        <x:v>11</x:v>
      </x:c>
    </x:row>
    <x:row r="25" spans="1:22" x14ac:dyDescent="0.25">
      <x:c r="A25">
        <x:f t="shared" si="0"/>
        <x:v>17</x:v>
      </x:c>
      <x:c r="B25" s="11">
        <x:f t="shared" si="0"/>
        <x:v>45306</x:v>
      </x:c>
      <x:c r="C25">
        <x:v>12</x:v>
      </x:c>
      <x:c r="D25">
        <x:v>12</x:v>
      </x:c>
      <x:c r="E25">
        <x:v>12</x:v>
      </x:c>
      <x:c r="F25">
        <x:v>11</x:v>
      </x:c>
      <x:c r="G25">
        <x:v>11</x:v>
      </x:c>
      <x:c r="H25">
        <x:v>11</x:v>
      </x:c>
      <x:c r="I25">
        <x:v>10</x:v>
      </x:c>
      <x:c r="J25">
        <x:v>8</x:v>
      </x:c>
      <x:c r="K25">
        <x:v>8</x:v>
      </x:c>
      <x:c r="L25">
        <x:v>9</x:v>
      </x:c>
      <x:c r="M25">
        <x:v>12</x:v>
      </x:c>
      <x:c r="N25">
        <x:v>15</x:v>
      </x:c>
      <x:c r="O25">
        <x:v>19</x:v>
      </x:c>
      <x:c r="P25">
        <x:v>22</x:v>
      </x:c>
      <x:c r="Q25">
        <x:v>25</x:v>
      </x:c>
      <x:c r="R25">
        <x:v>26</x:v>
      </x:c>
      <x:c r="S25">
        <x:v>28</x:v>
      </x:c>
      <x:c r="T25">
        <x:v>25</x:v>
      </x:c>
      <x:c r="U25">
        <x:v>22</x:v>
      </x:c>
      <x:c r="V25">
        <x:v>19</x:v>
      </x:c>
    </x:row>
    <x:row r="26" spans="1:22" x14ac:dyDescent="0.25">
      <x:c r="A26">
        <x:f t="shared" si="0"/>
        <x:v>18</x:v>
      </x:c>
      <x:c r="B26" s="11">
        <x:f t="shared" si="0"/>
        <x:v>45307</x:v>
      </x:c>
      <x:c r="C26">
        <x:v>15</x:v>
      </x:c>
      <x:c r="D26">
        <x:v>16</x:v>
      </x:c>
      <x:c r="E26">
        <x:v>14</x:v>
      </x:c>
      <x:c r="F26">
        <x:v>14</x:v>
      </x:c>
      <x:c r="G26">
        <x:v>14</x:v>
      </x:c>
      <x:c r="H26">
        <x:v>13</x:v>
      </x:c>
      <x:c r="I26">
        <x:v>13</x:v>
      </x:c>
      <x:c r="J26">
        <x:v>12</x:v>
      </x:c>
      <x:c r="K26">
        <x:v>11</x:v>
      </x:c>
      <x:c r="L26">
        <x:v>13</x:v>
      </x:c>
      <x:c r="M26">
        <x:v>15</x:v>
      </x:c>
      <x:c r="N26">
        <x:v>18</x:v>
      </x:c>
      <x:c r="O26">
        <x:v>20</x:v>
      </x:c>
      <x:c r="P26">
        <x:v>22</x:v>
      </x:c>
      <x:c r="Q26">
        <x:v>24</x:v>
      </x:c>
      <x:c r="R26">
        <x:v>26</x:v>
      </x:c>
      <x:c r="S26">
        <x:v>28</x:v>
      </x:c>
      <x:c r="T26">
        <x:v>28</x:v>
      </x:c>
      <x:c r="U26">
        <x:v>26</x:v>
      </x:c>
      <x:c r="V26">
        <x:v>24</x:v>
      </x:c>
    </x:row>
    <x:row r="27" spans="1:22" x14ac:dyDescent="0.25">
      <x:c r="A27">
        <x:f t="shared" ref="A27:B42" si="1">+A26+1</x:f>
        <x:v>19</x:v>
      </x:c>
      <x:c r="B27" s="11">
        <x:f t="shared" si="1"/>
        <x:v>45308</x:v>
      </x:c>
      <x:c r="C27">
        <x:v>16</x:v>
      </x:c>
      <x:c r="D27">
        <x:v>18</x:v>
      </x:c>
      <x:c r="E27">
        <x:v>18</x:v>
      </x:c>
      <x:c r="F27">
        <x:v>20</x:v>
      </x:c>
      <x:c r="G27">
        <x:v>20</x:v>
      </x:c>
      <x:c r="H27">
        <x:v>20</x:v>
      </x:c>
      <x:c r="I27">
        <x:v>20</x:v>
      </x:c>
      <x:c r="J27">
        <x:v>20</x:v>
      </x:c>
      <x:c r="K27">
        <x:v>25</x:v>
      </x:c>
      <x:c r="L27">
        <x:v>28</x:v>
      </x:c>
      <x:c r="M27">
        <x:v>29</x:v>
      </x:c>
      <x:c r="N27">
        <x:v>35</x:v>
      </x:c>
      <x:c r="O27">
        <x:v>41</x:v>
      </x:c>
      <x:c r="P27">
        <x:v>45</x:v>
      </x:c>
      <x:c r="Q27">
        <x:v>50</x:v>
      </x:c>
      <x:c r="R27">
        <x:v>52</x:v>
      </x:c>
      <x:c r="S27">
        <x:v>54</x:v>
      </x:c>
      <x:c r="T27">
        <x:v>54</x:v>
      </x:c>
      <x:c r="U27">
        <x:v>51</x:v>
      </x:c>
      <x:c r="V27">
        <x:v>50</x:v>
      </x:c>
    </x:row>
    <x:row r="28" spans="1:22" s="18" customFormat="1" x14ac:dyDescent="0.25">
      <x:c r="A28" s="18">
        <x:f t="shared" si="1"/>
        <x:v>20</x:v>
      </x:c>
      <x:c r="B28" s="11">
        <x:f t="shared" si="1"/>
        <x:v>45309</x:v>
      </x:c>
      <x:c r="C28">
        <x:v>40</x:v>
      </x:c>
      <x:c r="D28">
        <x:v>40</x:v>
      </x:c>
      <x:c r="E28">
        <x:v>38</x:v>
      </x:c>
      <x:c r="F28">
        <x:v>39</x:v>
      </x:c>
      <x:c r="G28">
        <x:v>39</x:v>
      </x:c>
      <x:c r="H28">
        <x:v>38</x:v>
      </x:c>
      <x:c r="I28">
        <x:v>40</x:v>
      </x:c>
      <x:c r="J28">
        <x:v>40</x:v>
      </x:c>
      <x:c r="K28">
        <x:v>41</x:v>
      </x:c>
      <x:c r="L28">
        <x:v>43</x:v>
      </x:c>
      <x:c r="M28">
        <x:v>53</x:v>
      </x:c>
      <x:c r="N28">
        <x:v>58</x:v>
      </x:c>
      <x:c r="O28">
        <x:v>60</x:v>
      </x:c>
      <x:c r="P28">
        <x:v>62</x:v>
      </x:c>
      <x:c r="Q28">
        <x:v>64</x:v>
      </x:c>
      <x:c r="R28">
        <x:v>64</x:v>
      </x:c>
      <x:c r="S28">
        <x:v>66</x:v>
      </x:c>
      <x:c r="T28">
        <x:v>64</x:v>
      </x:c>
      <x:c r="U28">
        <x:v>59</x:v>
      </x:c>
      <x:c r="V28">
        <x:v>54</x:v>
      </x:c>
    </x:row>
    <x:row r="29" spans="1:22" x14ac:dyDescent="0.25">
      <x:c r="A29">
        <x:f t="shared" si="1"/>
        <x:v>21</x:v>
      </x:c>
      <x:c r="B29" s="11">
        <x:f t="shared" si="1"/>
        <x:v>45310</x:v>
      </x:c>
      <x:c r="C29">
        <x:v>41</x:v>
      </x:c>
      <x:c r="D29">
        <x:v>43</x:v>
      </x:c>
      <x:c r="E29">
        <x:v>35</x:v>
      </x:c>
      <x:c r="F29">
        <x:v>34</x:v>
      </x:c>
      <x:c r="G29">
        <x:v>30</x:v>
      </x:c>
      <x:c r="H29">
        <x:v>27</x:v>
      </x:c>
      <x:c r="I29">
        <x:v>25</x:v>
      </x:c>
      <x:c r="J29">
        <x:v>22</x:v>
      </x:c>
      <x:c r="K29">
        <x:v>22</x:v>
      </x:c>
      <x:c r="L29">
        <x:v>23</x:v>
      </x:c>
      <x:c r="M29">
        <x:v>26</x:v>
      </x:c>
      <x:c r="N29">
        <x:v>27</x:v>
      </x:c>
      <x:c r="O29">
        <x:v>31</x:v>
      </x:c>
      <x:c r="P29">
        <x:v>30</x:v>
      </x:c>
      <x:c r="Q29">
        <x:v>36</x:v>
      </x:c>
      <x:c r="R29">
        <x:v>32</x:v>
      </x:c>
      <x:c r="S29">
        <x:v>37</x:v>
      </x:c>
      <x:c r="T29">
        <x:v>35</x:v>
      </x:c>
      <x:c r="U29">
        <x:v>32</x:v>
      </x:c>
      <x:c r="V29">
        <x:v>29</x:v>
      </x:c>
    </x:row>
    <x:row r="30" spans="1:22" x14ac:dyDescent="0.25">
      <x:c r="A30">
        <x:f t="shared" si="1"/>
        <x:v>22</x:v>
      </x:c>
      <x:c r="B30" s="11">
        <x:f t="shared" si="1"/>
        <x:v>45311</x:v>
      </x:c>
      <x:c r="C30">
        <x:v>22</x:v>
      </x:c>
      <x:c r="D30">
        <x:v>22</x:v>
      </x:c>
      <x:c r="E30">
        <x:v>21</x:v>
      </x:c>
      <x:c r="F30">
        <x:v>20</x:v>
      </x:c>
      <x:c r="G30">
        <x:v>18</x:v>
      </x:c>
      <x:c r="H30">
        <x:v>19</x:v>
      </x:c>
      <x:c r="I30">
        <x:v>18</x:v>
      </x:c>
      <x:c r="J30">
        <x:v>18</x:v>
      </x:c>
      <x:c r="K30">
        <x:v>17</x:v>
      </x:c>
      <x:c r="L30">
        <x:v>20</x:v>
      </x:c>
      <x:c r="M30">
        <x:v>24</x:v>
      </x:c>
      <x:c r="N30">
        <x:v>28</x:v>
      </x:c>
      <x:c r="O30">
        <x:v>31</x:v>
      </x:c>
      <x:c r="P30">
        <x:v>34</x:v>
      </x:c>
      <x:c r="Q30">
        <x:v>37</x:v>
      </x:c>
      <x:c r="R30">
        <x:v>37</x:v>
      </x:c>
      <x:c r="S30">
        <x:v>39</x:v>
      </x:c>
      <x:c r="T30">
        <x:v>38</x:v>
      </x:c>
      <x:c r="U30">
        <x:v>37</x:v>
      </x:c>
      <x:c r="V30">
        <x:v>34</x:v>
      </x:c>
    </x:row>
    <x:row r="31" spans="1:22" x14ac:dyDescent="0.25">
      <x:c r="A31">
        <x:f t="shared" si="1"/>
        <x:v>23</x:v>
      </x:c>
      <x:c r="B31" s="11">
        <x:f t="shared" si="1"/>
        <x:v>45312</x:v>
      </x:c>
      <x:c r="C31">
        <x:v>31</x:v>
      </x:c>
      <x:c r="D31">
        <x:v>31</x:v>
      </x:c>
      <x:c r="E31">
        <x:v>29</x:v>
      </x:c>
      <x:c r="F31">
        <x:v>30</x:v>
      </x:c>
      <x:c r="G31">
        <x:v>32</x:v>
      </x:c>
      <x:c r="H31">
        <x:v>33</x:v>
      </x:c>
      <x:c r="I31">
        <x:v>33</x:v>
      </x:c>
      <x:c r="J31">
        <x:v>33</x:v>
      </x:c>
      <x:c r="K31">
        <x:v>33</x:v>
      </x:c>
      <x:c r="L31">
        <x:v>34</x:v>
      </x:c>
      <x:c r="M31">
        <x:v>35</x:v>
      </x:c>
      <x:c r="N31">
        <x:v>39</x:v>
      </x:c>
      <x:c r="O31">
        <x:v>39</x:v>
      </x:c>
      <x:c r="P31">
        <x:v>39</x:v>
      </x:c>
      <x:c r="Q31">
        <x:v>42</x:v>
      </x:c>
      <x:c r="R31">
        <x:v>42</x:v>
      </x:c>
      <x:c r="S31">
        <x:v>40</x:v>
      </x:c>
      <x:c r="T31">
        <x:v>39</x:v>
      </x:c>
      <x:c r="U31">
        <x:v>38</x:v>
      </x:c>
      <x:c r="V31">
        <x:v>39</x:v>
      </x:c>
    </x:row>
    <x:row r="32" spans="1:22" x14ac:dyDescent="0.25">
      <x:c r="A32">
        <x:f t="shared" si="1"/>
        <x:v>24</x:v>
      </x:c>
      <x:c r="B32" s="11">
        <x:f t="shared" si="1"/>
        <x:v>45313</x:v>
      </x:c>
      <x:c r="C32">
        <x:v>39</x:v>
      </x:c>
      <x:c r="D32">
        <x:v>39</x:v>
      </x:c>
      <x:c r="E32">
        <x:v>39</x:v>
      </x:c>
      <x:c r="F32">
        <x:v>39</x:v>
      </x:c>
      <x:c r="G32">
        <x:v>38</x:v>
      </x:c>
      <x:c r="H32">
        <x:v>39</x:v>
      </x:c>
      <x:c r="I32">
        <x:v>39</x:v>
      </x:c>
      <x:c r="J32">
        <x:v>39</x:v>
      </x:c>
      <x:c r="K32">
        <x:v>38</x:v>
      </x:c>
      <x:c r="L32">
        <x:v>39</x:v>
      </x:c>
      <x:c r="M32">
        <x:v>40</x:v>
      </x:c>
      <x:c r="N32">
        <x:v>42</x:v>
      </x:c>
      <x:c r="O32">
        <x:v>46</x:v>
      </x:c>
      <x:c r="P32">
        <x:v>50</x:v>
      </x:c>
      <x:c r="Q32">
        <x:v>50</x:v>
      </x:c>
      <x:c r="R32">
        <x:v>51</x:v>
      </x:c>
      <x:c r="S32">
        <x:v>49</x:v>
      </x:c>
      <x:c r="T32">
        <x:v>48</x:v>
      </x:c>
      <x:c r="U32">
        <x:v>47</x:v>
      </x:c>
      <x:c r="V32">
        <x:v>46</x:v>
      </x:c>
    </x:row>
    <x:row r="33" spans="1:22" x14ac:dyDescent="0.25">
      <x:c r="A33">
        <x:f t="shared" si="1"/>
        <x:v>25</x:v>
      </x:c>
      <x:c r="B33" s="11">
        <x:f t="shared" si="1"/>
        <x:v>45314</x:v>
      </x:c>
      <x:c r="C33">
        <x:v>45</x:v>
      </x:c>
      <x:c r="D33">
        <x:v>46</x:v>
      </x:c>
      <x:c r="E33">
        <x:v>47</x:v>
      </x:c>
      <x:c r="F33">
        <x:v>47</x:v>
      </x:c>
      <x:c r="G33">
        <x:v>47</x:v>
      </x:c>
      <x:c r="H33">
        <x:v>47</x:v>
      </x:c>
      <x:c r="I33">
        <x:v>47</x:v>
      </x:c>
      <x:c r="J33">
        <x:v>46</x:v>
      </x:c>
      <x:c r="K33">
        <x:v>45</x:v>
      </x:c>
      <x:c r="L33">
        <x:v>45</x:v>
      </x:c>
      <x:c r="M33">
        <x:v>45</x:v>
      </x:c>
      <x:c r="N33">
        <x:v>47</x:v>
      </x:c>
      <x:c r="O33">
        <x:v>48</x:v>
      </x:c>
      <x:c r="P33">
        <x:v>49</x:v>
      </x:c>
      <x:c r="Q33">
        <x:v>51</x:v>
      </x:c>
      <x:c r="R33">
        <x:v>52</x:v>
      </x:c>
      <x:c r="S33">
        <x:v>52</x:v>
      </x:c>
      <x:c r="T33">
        <x:v>51</x:v>
      </x:c>
      <x:c r="U33">
        <x:v>50</x:v>
      </x:c>
      <x:c r="V33">
        <x:v>48</x:v>
      </x:c>
    </x:row>
    <x:row r="34" spans="1:22" x14ac:dyDescent="0.25">
      <x:c r="A34">
        <x:f t="shared" si="1"/>
        <x:v>26</x:v>
      </x:c>
      <x:c r="B34" s="11">
        <x:f t="shared" si="1"/>
        <x:v>45315</x:v>
      </x:c>
      <x:c r="C34">
        <x:v>44</x:v>
      </x:c>
      <x:c r="D34">
        <x:v>43</x:v>
      </x:c>
      <x:c r="E34">
        <x:v>43</x:v>
      </x:c>
      <x:c r="F34">
        <x:v>43</x:v>
      </x:c>
      <x:c r="G34">
        <x:v>43</x:v>
      </x:c>
      <x:c r="H34">
        <x:v>43</x:v>
      </x:c>
      <x:c r="I34">
        <x:v>43</x:v>
      </x:c>
      <x:c r="J34">
        <x:v>43</x:v>
      </x:c>
      <x:c r="K34">
        <x:v>42</x:v>
      </x:c>
      <x:c r="L34">
        <x:v>42</x:v>
      </x:c>
      <x:c r="M34">
        <x:v>43</x:v>
      </x:c>
      <x:c r="N34">
        <x:v>44</x:v>
      </x:c>
      <x:c r="O34">
        <x:v>46</x:v>
      </x:c>
      <x:c r="P34">
        <x:v>46</x:v>
      </x:c>
      <x:c r="Q34">
        <x:v>46</x:v>
      </x:c>
      <x:c r="R34">
        <x:v>45</x:v>
      </x:c>
      <x:c r="S34">
        <x:v>46</x:v>
      </x:c>
      <x:c r="T34">
        <x:v>46</x:v>
      </x:c>
      <x:c r="U34">
        <x:v>46</x:v>
      </x:c>
      <x:c r="V34">
        <x:v>46</x:v>
      </x:c>
    </x:row>
    <x:row r="35" spans="1:22" x14ac:dyDescent="0.25">
      <x:c r="A35">
        <x:f t="shared" si="1"/>
        <x:v>27</x:v>
      </x:c>
      <x:c r="B35" s="11">
        <x:f t="shared" si="1"/>
        <x:v>45316</x:v>
      </x:c>
      <x:c r="C35">
        <x:v>45</x:v>
      </x:c>
      <x:c r="D35">
        <x:v>45</x:v>
      </x:c>
      <x:c r="E35">
        <x:v>44</x:v>
      </x:c>
      <x:c r="F35">
        <x:v>44</x:v>
      </x:c>
      <x:c r="G35">
        <x:v>45</x:v>
      </x:c>
      <x:c r="H35">
        <x:v>45</x:v>
      </x:c>
      <x:c r="I35">
        <x:v>45</x:v>
      </x:c>
      <x:c r="J35">
        <x:v>45</x:v>
      </x:c>
      <x:c r="K35">
        <x:v>45</x:v>
      </x:c>
      <x:c r="L35">
        <x:v>47</x:v>
      </x:c>
      <x:c r="M35">
        <x:v>50</x:v>
      </x:c>
      <x:c r="N35">
        <x:v>50</x:v>
      </x:c>
      <x:c r="O35">
        <x:v>54</x:v>
      </x:c>
      <x:c r="P35">
        <x:v>57</x:v>
      </x:c>
      <x:c r="Q35">
        <x:v>62</x:v>
      </x:c>
      <x:c r="R35">
        <x:v>65</x:v>
      </x:c>
      <x:c r="S35">
        <x:v>66</x:v>
      </x:c>
      <x:c r="T35">
        <x:v>64</x:v>
      </x:c>
      <x:c r="U35">
        <x:v>62</x:v>
      </x:c>
      <x:c r="V35">
        <x:v>55</x:v>
      </x:c>
    </x:row>
    <x:row r="36" spans="1:22" x14ac:dyDescent="0.25">
      <x:c r="A36">
        <x:f t="shared" si="1"/>
        <x:v>28</x:v>
      </x:c>
      <x:c r="B36" s="11">
        <x:f t="shared" si="1"/>
        <x:v>45317</x:v>
      </x:c>
      <x:c r="C36">
        <x:v>50</x:v>
      </x:c>
      <x:c r="D36">
        <x:v>50</x:v>
      </x:c>
      <x:c r="E36">
        <x:v>50</x:v>
      </x:c>
      <x:c r="F36">
        <x:v>50</x:v>
      </x:c>
      <x:c r="G36">
        <x:v>49</x:v>
      </x:c>
      <x:c r="H36">
        <x:v>48</x:v>
      </x:c>
      <x:c r="I36">
        <x:v>50</x:v>
      </x:c>
      <x:c r="J36">
        <x:v>50</x:v>
      </x:c>
      <x:c r="K36">
        <x:v>51</x:v>
      </x:c>
      <x:c r="L36">
        <x:v>51</x:v>
      </x:c>
      <x:c r="M36">
        <x:v>53</x:v>
      </x:c>
      <x:c r="N36">
        <x:v>53</x:v>
      </x:c>
      <x:c r="O36">
        <x:v>51</x:v>
      </x:c>
      <x:c r="P36">
        <x:v>50</x:v>
      </x:c>
      <x:c r="Q36">
        <x:v>49</x:v>
      </x:c>
      <x:c r="R36">
        <x:v>50</x:v>
      </x:c>
      <x:c r="S36">
        <x:v>50</x:v>
      </x:c>
      <x:c r="T36">
        <x:v>49</x:v>
      </x:c>
      <x:c r="U36">
        <x:v>49</x:v>
      </x:c>
      <x:c r="V36">
        <x:v>49</x:v>
      </x:c>
    </x:row>
    <x:row r="37" spans="1:22" x14ac:dyDescent="0.25">
      <x:c r="A37">
        <x:f t="shared" si="1"/>
        <x:v>29</x:v>
      </x:c>
      <x:c r="B37" s="11">
        <x:f t="shared" si="1"/>
        <x:v>45318</x:v>
      </x:c>
      <x:c r="C37">
        <x:v>46</x:v>
      </x:c>
      <x:c r="D37">
        <x:v>45</x:v>
      </x:c>
      <x:c r="E37">
        <x:v>44</x:v>
      </x:c>
      <x:c r="F37">
        <x:v>44</x:v>
      </x:c>
      <x:c r="G37">
        <x:v>42</x:v>
      </x:c>
      <x:c r="H37">
        <x:v>42</x:v>
      </x:c>
      <x:c r="I37">
        <x:v>42</x:v>
      </x:c>
      <x:c r="J37">
        <x:v>43</x:v>
      </x:c>
      <x:c r="K37">
        <x:v>43</x:v>
      </x:c>
      <x:c r="L37">
        <x:v>44</x:v>
      </x:c>
      <x:c r="M37">
        <x:v>46</x:v>
      </x:c>
      <x:c r="N37">
        <x:v>50</x:v>
      </x:c>
      <x:c r="O37">
        <x:v>51</x:v>
      </x:c>
      <x:c r="P37">
        <x:v>54</x:v>
      </x:c>
      <x:c r="Q37">
        <x:v>57</x:v>
      </x:c>
      <x:c r="R37">
        <x:v>59</x:v>
      </x:c>
      <x:c r="S37">
        <x:v>59</x:v>
      </x:c>
      <x:c r="T37">
        <x:v>59</x:v>
      </x:c>
      <x:c r="U37">
        <x:v>56</x:v>
      </x:c>
      <x:c r="V37">
        <x:v>52</x:v>
      </x:c>
    </x:row>
    <x:row r="38" spans="1:22" x14ac:dyDescent="0.25">
      <x:c r="A38">
        <x:f t="shared" si="1"/>
        <x:v>30</x:v>
      </x:c>
      <x:c r="B38" s="11">
        <x:f t="shared" si="1"/>
        <x:v>45319</x:v>
      </x:c>
      <x:c r="C38">
        <x:v>42</x:v>
      </x:c>
      <x:c r="D38">
        <x:v>39</x:v>
      </x:c>
      <x:c r="E38">
        <x:v>38</x:v>
      </x:c>
      <x:c r="F38">
        <x:v>35</x:v>
      </x:c>
      <x:c r="G38">
        <x:v>37</x:v>
      </x:c>
      <x:c r="H38">
        <x:v>38</x:v>
      </x:c>
      <x:c r="I38">
        <x:v>34</x:v>
      </x:c>
      <x:c r="J38">
        <x:v>34</x:v>
      </x:c>
      <x:c r="K38">
        <x:v>34</x:v>
      </x:c>
      <x:c r="L38">
        <x:v>42</x:v>
      </x:c>
      <x:c r="M38">
        <x:v>51</x:v>
      </x:c>
      <x:c r="N38">
        <x:v>58</x:v>
      </x:c>
      <x:c r="O38">
        <x:v>61</x:v>
      </x:c>
      <x:c r="P38">
        <x:v>64</x:v>
      </x:c>
      <x:c r="Q38">
        <x:v>65</x:v>
      </x:c>
      <x:c r="R38">
        <x:v>66</x:v>
      </x:c>
      <x:c r="S38">
        <x:v>67</x:v>
      </x:c>
      <x:c r="T38">
        <x:v>66</x:v>
      </x:c>
      <x:c r="U38">
        <x:v>64</x:v>
      </x:c>
      <x:c r="V38">
        <x:v>60</x:v>
      </x:c>
    </x:row>
    <x:row r="39" spans="1:22" x14ac:dyDescent="0.25">
      <x:c r="A39">
        <x:f t="shared" si="1"/>
        <x:v>31</x:v>
      </x:c>
      <x:c r="B39" s="11">
        <x:f t="shared" si="1"/>
        <x:v>45320</x:v>
      </x:c>
      <x:c r="C39">
        <x:v>45</x:v>
      </x:c>
      <x:c r="D39">
        <x:v>46</x:v>
      </x:c>
      <x:c r="E39">
        <x:v>47</x:v>
      </x:c>
      <x:c r="F39">
        <x:v>46</x:v>
      </x:c>
      <x:c r="G39">
        <x:v>47</x:v>
      </x:c>
      <x:c r="H39">
        <x:v>47</x:v>
      </x:c>
      <x:c r="I39">
        <x:v>46</x:v>
      </x:c>
      <x:c r="J39">
        <x:v>46</x:v>
      </x:c>
      <x:c r="K39">
        <x:v>44</x:v>
      </x:c>
      <x:c r="L39">
        <x:v>50</x:v>
      </x:c>
      <x:c r="M39">
        <x:v>57</x:v>
      </x:c>
      <x:c r="N39">
        <x:v>63</x:v>
      </x:c>
      <x:c r="O39">
        <x:v>67</x:v>
      </x:c>
      <x:c r="P39">
        <x:v>68</x:v>
      </x:c>
      <x:c r="Q39">
        <x:v>69</x:v>
      </x:c>
      <x:c r="R39">
        <x:v>69</x:v>
      </x:c>
      <x:c r="S39">
        <x:v>70</x:v>
      </x:c>
      <x:c r="T39">
        <x:v>69</x:v>
      </x:c>
      <x:c r="U39">
        <x:v>63</x:v>
      </x:c>
      <x:c r="V39">
        <x:v>57</x:v>
      </x:c>
    </x:row>
    <x:row r="40" spans="1:22" x14ac:dyDescent="0.25">
      <x:c r="A40">
        <x:f t="shared" si="1"/>
        <x:v>32</x:v>
      </x:c>
      <x:c r="B40" s="11">
        <x:f t="shared" si="1"/>
        <x:v>45321</x:v>
      </x:c>
      <x:c r="C40">
        <x:v>47</x:v>
      </x:c>
      <x:c r="D40">
        <x:v>47</x:v>
      </x:c>
      <x:c r="E40">
        <x:v>45</x:v>
      </x:c>
      <x:c r="F40">
        <x:v>43</x:v>
      </x:c>
      <x:c r="G40">
        <x:v>44</x:v>
      </x:c>
      <x:c r="H40">
        <x:v>44</x:v>
      </x:c>
      <x:c r="I40">
        <x:v>46</x:v>
      </x:c>
      <x:c r="J40">
        <x:v>46</x:v>
      </x:c>
      <x:c r="K40">
        <x:v>43</x:v>
      </x:c>
      <x:c r="L40">
        <x:v>50</x:v>
      </x:c>
      <x:c r="M40">
        <x:v>58</x:v>
      </x:c>
      <x:c r="N40">
        <x:v>63</x:v>
      </x:c>
      <x:c r="O40">
        <x:v>67</x:v>
      </x:c>
      <x:c r="P40">
        <x:v>69</x:v>
      </x:c>
      <x:c r="Q40">
        <x:v>71</x:v>
      </x:c>
      <x:c r="R40">
        <x:v>72</x:v>
      </x:c>
      <x:c r="S40">
        <x:v>72</x:v>
      </x:c>
      <x:c r="T40">
        <x:v>70</x:v>
      </x:c>
      <x:c r="U40">
        <x:v>66</x:v>
      </x:c>
      <x:c r="V40">
        <x:v>60</x:v>
      </x:c>
    </x:row>
    <x:row r="41" spans="1:22" x14ac:dyDescent="0.25">
      <x:c r="A41">
        <x:f t="shared" si="1"/>
        <x:v>33</x:v>
      </x:c>
      <x:c r="B41" s="11">
        <x:f t="shared" si="1"/>
        <x:v>45322</x:v>
      </x:c>
      <x:c r="C41">
        <x:v>47</x:v>
      </x:c>
      <x:c r="D41">
        <x:v>46</x:v>
      </x:c>
      <x:c r="E41">
        <x:v>45</x:v>
      </x:c>
      <x:c r="F41">
        <x:v>44</x:v>
      </x:c>
      <x:c r="G41">
        <x:v>47</x:v>
      </x:c>
      <x:c r="H41">
        <x:v>45</x:v>
      </x:c>
      <x:c r="I41">
        <x:v>46</x:v>
      </x:c>
      <x:c r="J41">
        <x:v>46</x:v>
      </x:c>
      <x:c r="K41">
        <x:v>48</x:v>
      </x:c>
      <x:c r="L41">
        <x:v>52</x:v>
      </x:c>
      <x:c r="M41">
        <x:v>59</x:v>
      </x:c>
      <x:c r="N41">
        <x:v>66</x:v>
      </x:c>
      <x:c r="O41">
        <x:v>70</x:v>
      </x:c>
      <x:c r="P41">
        <x:v>70</x:v>
      </x:c>
      <x:c r="Q41">
        <x:v>72</x:v>
      </x:c>
      <x:c r="R41">
        <x:v>71</x:v>
      </x:c>
      <x:c r="S41">
        <x:v>71</x:v>
      </x:c>
      <x:c r="T41">
        <x:v>69</x:v>
      </x:c>
      <x:c r="U41">
        <x:v>65</x:v>
      </x:c>
      <x:c r="V41">
        <x:v>59</x:v>
      </x:c>
    </x:row>
    <x:row r="42" spans="1:22" x14ac:dyDescent="0.25">
      <x:c r="A42">
        <x:f t="shared" si="1"/>
        <x:v>34</x:v>
      </x:c>
      <x:c r="B42" s="11"/>
    </x:row>
    <x:row r="43" spans="1:22" x14ac:dyDescent="0.25">
      <x:c r="A43">
        <x:f t="shared" ref="A43:A75" si="2">+A42+1</x:f>
        <x:v>35</x:v>
      </x:c>
    </x:row>
    <x:row r="44" spans="1:22" ht="28.8" customHeight="1" x14ac:dyDescent="0.25">
      <x:c r="A44">
        <x:f t="shared" si="2"/>
        <x:v>36</x:v>
      </x:c>
      <x:c r="B44" s="57" t="s">
        <x:v>28</x:v>
      </x:c>
      <x:c r="C44" s="57" t="s">
        <x:v>49</x:v>
      </x:c>
      <x:c r="D44" s="57" t="s">
        <x:v>50</x:v>
      </x:c>
      <x:c r="E44" s="57" t="s">
        <x:v>51</x:v>
      </x:c>
      <x:c r="F44" s="57" t="s">
        <x:v>52</x:v>
      </x:c>
      <x:c r="G44" s="58" t="s">
        <x:v>53</x:v>
      </x:c>
      <x:c r="H44" s="57" t="s">
        <x:v>60</x:v>
      </x:c>
      <x:c r="I44" s="57" t="s">
        <x:v>102</x:v>
      </x:c>
      <x:c r="J44" s="57" t="s">
        <x:v>61</x:v>
      </x:c>
      <x:c r="K44" s="77" t="s">
        <x:v>106</x:v>
      </x:c>
      <x:c r="L44" s="78" t="s">
        <x:v>88</x:v>
      </x:c>
      <x:c r="M44" s="79" t="s">
        <x:v>107</x:v>
      </x:c>
      <x:c r="N44" s="79" t="s">
        <x:v>98</x:v>
      </x:c>
      <x:c r="O44" s="27" t="s">
        <x:v>62</x:v>
      </x:c>
      <x:c r="P44" s="27" t="s">
        <x:v>63</x:v>
      </x:c>
      <x:c r="Q44" s="27" t="s">
        <x:v>64</x:v>
      </x:c>
      <x:c r="R44" s="27" t="s">
        <x:v>89</x:v>
      </x:c>
      <x:c r="U44" s="80"/>
    </x:row>
    <x:row r="45" spans="1:22" x14ac:dyDescent="0.25">
      <x:c r="A45">
        <x:f t="shared" si="2"/>
        <x:v>37</x:v>
      </x:c>
      <x:c r="B45" s="11">
        <x:f>+B11</x:f>
        <x:v>45292</x:v>
      </x:c>
      <x:c r="C45">
        <x:v>37</x:v>
      </x:c>
      <x:c r="D45">
        <x:v>35</x:v>
      </x:c>
      <x:c r="E45">
        <x:v>31</x:v>
      </x:c>
      <x:c r="F45">
        <x:v>30</x:v>
      </x:c>
      <x:c r="G45" s="12">
        <x:f t="shared" ref="G45:G75" si="3">ROUND(AVERAGE(C11:V11,C45:F45),1)</x:f>
        <x:v>34.9</x:v>
      </x:c>
      <x:c r="H45" s="12">
        <x:f>MAX(45-$G45,0)</x:f>
        <x:v>10.100000000000001</x:v>
      </x:c>
      <x:c r="I45" s="12">
        <x:f t="shared" ref="I45:I75" si="4">MAX(55-$G45,0)</x:f>
        <x:v>20.100000000000001</x:v>
      </x:c>
      <x:c r="J45" s="12">
        <x:f t="shared" ref="J45:J75" si="5">MAX(60-$G45,0)</x:f>
        <x:v>25.1</x:v>
      </x:c>
      <x:c r="K45" s="12">
        <x:f t="shared" ref="K45:K75" si="6">MAX(65-$G45,0)</x:f>
        <x:v>30.1</x:v>
      </x:c>
      <x:c r="L45" s="12">
        <x:f t="shared" ref="L45:L75" si="7">MAX($G45-50,0)</x:f>
        <x:v>0</x:v>
      </x:c>
      <x:c r="M45" s="12">
        <x:f t="shared" ref="M45:M75" si="8">MAX($G45-55,0)</x:f>
        <x:v>0</x:v>
      </x:c>
      <x:c r="N45" s="12">
        <x:f t="shared" ref="N45:N75" si="9">MAX($G45-60,0)</x:f>
        <x:v>0</x:v>
      </x:c>
      <x:c r="O45" s="12">
        <x:f t="shared" ref="O45:O75" si="10">MAX($G45-65,0)</x:f>
        <x:v>0</x:v>
      </x:c>
      <x:c r="P45" s="12">
        <x:f t="shared" ref="P45:P75" si="11">MAX($G45-70,0)</x:f>
        <x:v>0</x:v>
      </x:c>
      <x:c r="Q45" s="12">
        <x:f t="shared" ref="Q45:Q75" si="12">MAX($G45-75,0)</x:f>
        <x:v>0</x:v>
      </x:c>
      <x:c r="R45" s="12">
        <x:f t="shared" ref="R45:R75" si="13">MAX($G45-80,0)</x:f>
        <x:v>0</x:v>
      </x:c>
      <x:c r="U45" s="81"/>
    </x:row>
    <x:row r="46" spans="1:22" x14ac:dyDescent="0.25">
      <x:c r="A46">
        <x:f t="shared" si="2"/>
        <x:v>38</x:v>
      </x:c>
      <x:c r="B46" s="11">
        <x:f t="shared" ref="B46:B75" si="14">+B12</x:f>
        <x:v>45293</x:v>
      </x:c>
      <x:c r="C46">
        <x:v>40</x:v>
      </x:c>
      <x:c r="D46">
        <x:v>40</x:v>
      </x:c>
      <x:c r="E46">
        <x:v>40</x:v>
      </x:c>
      <x:c r="F46">
        <x:v>40</x:v>
      </x:c>
      <x:c r="G46" s="12">
        <x:f t="shared" si="3"/>
        <x:v>36.700000000000003</x:v>
      </x:c>
      <x:c r="H46" s="12">
        <x:f t="shared" ref="H46:H75" si="15">MAX(45-$G46,0)</x:f>
        <x:v>8.2999999999999972</x:v>
      </x:c>
      <x:c r="I46" s="12">
        <x:f t="shared" si="4"/>
        <x:v>18.299999999999997</x:v>
      </x:c>
      <x:c r="J46" s="12">
        <x:f t="shared" si="5"/>
        <x:v>23.299999999999997</x:v>
      </x:c>
      <x:c r="K46" s="12">
        <x:f t="shared" si="6"/>
        <x:v>28.299999999999997</x:v>
      </x:c>
      <x:c r="L46" s="12">
        <x:f t="shared" si="7"/>
        <x:v>0</x:v>
      </x:c>
      <x:c r="M46" s="12">
        <x:f t="shared" si="8"/>
        <x:v>0</x:v>
      </x:c>
      <x:c r="N46" s="12">
        <x:f t="shared" si="9"/>
        <x:v>0</x:v>
      </x:c>
      <x:c r="O46" s="12">
        <x:f t="shared" si="10"/>
        <x:v>0</x:v>
      </x:c>
      <x:c r="P46" s="12">
        <x:f t="shared" si="11"/>
        <x:v>0</x:v>
      </x:c>
      <x:c r="Q46" s="12">
        <x:f t="shared" si="12"/>
        <x:v>0</x:v>
      </x:c>
      <x:c r="R46" s="12">
        <x:f t="shared" si="13"/>
        <x:v>0</x:v>
      </x:c>
      <x:c r="U46" s="81"/>
    </x:row>
    <x:row r="47" spans="1:22" x14ac:dyDescent="0.25">
      <x:c r="A47">
        <x:f t="shared" si="2"/>
        <x:v>39</x:v>
      </x:c>
      <x:c r="B47" s="11">
        <x:f t="shared" si="14"/>
        <x:v>45294</x:v>
      </x:c>
      <x:c r="C47">
        <x:v>43</x:v>
      </x:c>
      <x:c r="D47">
        <x:v>40</x:v>
      </x:c>
      <x:c r="E47">
        <x:v>40</x:v>
      </x:c>
      <x:c r="F47">
        <x:v>39</x:v>
      </x:c>
      <x:c r="G47" s="12">
        <x:f t="shared" si="3"/>
        <x:v>43.3</x:v>
      </x:c>
      <x:c r="H47" s="12">
        <x:f t="shared" si="15"/>
        <x:v>1.7000000000000028</x:v>
      </x:c>
      <x:c r="I47" s="12">
        <x:f t="shared" si="4"/>
        <x:v>11.700000000000003</x:v>
      </x:c>
      <x:c r="J47" s="12">
        <x:f t="shared" si="5"/>
        <x:v>16.700000000000003</x:v>
      </x:c>
      <x:c r="K47" s="12">
        <x:f t="shared" si="6"/>
        <x:v>21.700000000000003</x:v>
      </x:c>
      <x:c r="L47" s="12">
        <x:f t="shared" si="7"/>
        <x:v>0</x:v>
      </x:c>
      <x:c r="M47" s="12">
        <x:f t="shared" si="8"/>
        <x:v>0</x:v>
      </x:c>
      <x:c r="N47" s="12">
        <x:f t="shared" si="9"/>
        <x:v>0</x:v>
      </x:c>
      <x:c r="O47" s="12">
        <x:f t="shared" si="10"/>
        <x:v>0</x:v>
      </x:c>
      <x:c r="P47" s="12">
        <x:f t="shared" si="11"/>
        <x:v>0</x:v>
      </x:c>
      <x:c r="Q47" s="12">
        <x:f t="shared" si="12"/>
        <x:v>0</x:v>
      </x:c>
      <x:c r="R47" s="12">
        <x:f t="shared" si="13"/>
        <x:v>0</x:v>
      </x:c>
      <x:c r="U47" s="81"/>
    </x:row>
    <x:row r="48" spans="1:22" x14ac:dyDescent="0.25">
      <x:c r="A48">
        <x:f t="shared" si="2"/>
        <x:v>40</x:v>
      </x:c>
      <x:c r="B48" s="11">
        <x:f t="shared" si="14"/>
        <x:v>45295</x:v>
      </x:c>
      <x:c r="C48">
        <x:v>45</x:v>
      </x:c>
      <x:c r="D48">
        <x:v>45</x:v>
      </x:c>
      <x:c r="E48">
        <x:v>45</x:v>
      </x:c>
      <x:c r="F48">
        <x:v>44</x:v>
      </x:c>
      <x:c r="G48" s="12">
        <x:f t="shared" si="3"/>
        <x:v>41.7</x:v>
      </x:c>
      <x:c r="H48" s="12">
        <x:f t="shared" si="15"/>
        <x:v>3.2999999999999972</x:v>
      </x:c>
      <x:c r="I48" s="12">
        <x:f t="shared" si="4"/>
        <x:v>13.299999999999997</x:v>
      </x:c>
      <x:c r="J48" s="12">
        <x:f t="shared" si="5"/>
        <x:v>18.299999999999997</x:v>
      </x:c>
      <x:c r="K48" s="12">
        <x:f t="shared" si="6"/>
        <x:v>23.299999999999997</x:v>
      </x:c>
      <x:c r="L48" s="12">
        <x:f t="shared" si="7"/>
        <x:v>0</x:v>
      </x:c>
      <x:c r="M48" s="12">
        <x:f t="shared" si="8"/>
        <x:v>0</x:v>
      </x:c>
      <x:c r="N48" s="12">
        <x:f t="shared" si="9"/>
        <x:v>0</x:v>
      </x:c>
      <x:c r="O48" s="12">
        <x:f t="shared" si="10"/>
        <x:v>0</x:v>
      </x:c>
      <x:c r="P48" s="12">
        <x:f t="shared" si="11"/>
        <x:v>0</x:v>
      </x:c>
      <x:c r="Q48" s="12">
        <x:f t="shared" si="12"/>
        <x:v>0</x:v>
      </x:c>
      <x:c r="R48" s="12">
        <x:f t="shared" si="13"/>
        <x:v>0</x:v>
      </x:c>
      <x:c r="U48" s="81"/>
    </x:row>
    <x:row r="49" spans="1:21" x14ac:dyDescent="0.25">
      <x:c r="A49">
        <x:f t="shared" si="2"/>
        <x:v>41</x:v>
      </x:c>
      <x:c r="B49" s="11">
        <x:f t="shared" si="14"/>
        <x:v>45296</x:v>
      </x:c>
      <x:c r="C49">
        <x:v>43</x:v>
      </x:c>
      <x:c r="D49">
        <x:v>41</x:v>
      </x:c>
      <x:c r="E49">
        <x:v>39</x:v>
      </x:c>
      <x:c r="F49">
        <x:v>39</x:v>
      </x:c>
      <x:c r="G49" s="12">
        <x:f t="shared" si="3"/>
        <x:v>45.3</x:v>
      </x:c>
      <x:c r="H49" s="12">
        <x:f t="shared" si="15"/>
        <x:v>0</x:v>
      </x:c>
      <x:c r="I49" s="12">
        <x:f t="shared" si="4"/>
        <x:v>9.7000000000000028</x:v>
      </x:c>
      <x:c r="J49" s="12">
        <x:f t="shared" si="5"/>
        <x:v>14.700000000000003</x:v>
      </x:c>
      <x:c r="K49" s="12">
        <x:f t="shared" si="6"/>
        <x:v>19.700000000000003</x:v>
      </x:c>
      <x:c r="L49" s="12">
        <x:f t="shared" si="7"/>
        <x:v>0</x:v>
      </x:c>
      <x:c r="M49" s="12">
        <x:f t="shared" si="8"/>
        <x:v>0</x:v>
      </x:c>
      <x:c r="N49" s="12">
        <x:f t="shared" si="9"/>
        <x:v>0</x:v>
      </x:c>
      <x:c r="O49" s="12">
        <x:f t="shared" si="10"/>
        <x:v>0</x:v>
      </x:c>
      <x:c r="P49" s="12">
        <x:f t="shared" si="11"/>
        <x:v>0</x:v>
      </x:c>
      <x:c r="Q49" s="12">
        <x:f t="shared" si="12"/>
        <x:v>0</x:v>
      </x:c>
      <x:c r="R49" s="12">
        <x:f t="shared" si="13"/>
        <x:v>0</x:v>
      </x:c>
      <x:c r="U49" s="81"/>
    </x:row>
    <x:row r="50" spans="1:21" x14ac:dyDescent="0.25">
      <x:c r="A50">
        <x:f t="shared" si="2"/>
        <x:v>42</x:v>
      </x:c>
      <x:c r="B50" s="11">
        <x:f t="shared" si="14"/>
        <x:v>45297</x:v>
      </x:c>
      <x:c r="C50">
        <x:v>42</x:v>
      </x:c>
      <x:c r="D50">
        <x:v>39</x:v>
      </x:c>
      <x:c r="E50">
        <x:v>38</x:v>
      </x:c>
      <x:c r="F50">
        <x:v>37</x:v>
      </x:c>
      <x:c r="G50" s="12">
        <x:f t="shared" si="3"/>
        <x:v>40.1</x:v>
      </x:c>
      <x:c r="H50" s="12">
        <x:f t="shared" si="15"/>
        <x:v>4.8999999999999986</x:v>
      </x:c>
      <x:c r="I50" s="12">
        <x:f t="shared" si="4"/>
        <x:v>14.899999999999999</x:v>
      </x:c>
      <x:c r="J50" s="12">
        <x:f t="shared" si="5"/>
        <x:v>19.899999999999999</x:v>
      </x:c>
      <x:c r="K50" s="12">
        <x:f t="shared" si="6"/>
        <x:v>24.9</x:v>
      </x:c>
      <x:c r="L50" s="12">
        <x:f t="shared" si="7"/>
        <x:v>0</x:v>
      </x:c>
      <x:c r="M50" s="12">
        <x:f t="shared" si="8"/>
        <x:v>0</x:v>
      </x:c>
      <x:c r="N50" s="12">
        <x:f t="shared" si="9"/>
        <x:v>0</x:v>
      </x:c>
      <x:c r="O50" s="12">
        <x:f t="shared" si="10"/>
        <x:v>0</x:v>
      </x:c>
      <x:c r="P50" s="12">
        <x:f t="shared" si="11"/>
        <x:v>0</x:v>
      </x:c>
      <x:c r="Q50" s="12">
        <x:f t="shared" si="12"/>
        <x:v>0</x:v>
      </x:c>
      <x:c r="R50" s="12">
        <x:f t="shared" si="13"/>
        <x:v>0</x:v>
      </x:c>
      <x:c r="U50" s="81"/>
    </x:row>
    <x:row r="51" spans="1:21" x14ac:dyDescent="0.25">
      <x:c r="A51">
        <x:f t="shared" si="2"/>
        <x:v>43</x:v>
      </x:c>
      <x:c r="B51" s="11">
        <x:f t="shared" si="14"/>
        <x:v>45298</x:v>
      </x:c>
      <x:c r="C51">
        <x:v>53</x:v>
      </x:c>
      <x:c r="D51">
        <x:v>53</x:v>
      </x:c>
      <x:c r="E51">
        <x:v>52</x:v>
      </x:c>
      <x:c r="F51">
        <x:v>51</x:v>
      </x:c>
      <x:c r="G51" s="12">
        <x:f t="shared" si="3"/>
        <x:v>46.5</x:v>
      </x:c>
      <x:c r="H51" s="12">
        <x:f t="shared" si="15"/>
        <x:v>0</x:v>
      </x:c>
      <x:c r="I51" s="12">
        <x:f t="shared" si="4"/>
        <x:v>8.5</x:v>
      </x:c>
      <x:c r="J51" s="12">
        <x:f t="shared" si="5"/>
        <x:v>13.5</x:v>
      </x:c>
      <x:c r="K51" s="12">
        <x:f t="shared" si="6"/>
        <x:v>18.5</x:v>
      </x:c>
      <x:c r="L51" s="12">
        <x:f t="shared" si="7"/>
        <x:v>0</x:v>
      </x:c>
      <x:c r="M51" s="12">
        <x:f t="shared" si="8"/>
        <x:v>0</x:v>
      </x:c>
      <x:c r="N51" s="12">
        <x:f t="shared" si="9"/>
        <x:v>0</x:v>
      </x:c>
      <x:c r="O51" s="12">
        <x:f t="shared" si="10"/>
        <x:v>0</x:v>
      </x:c>
      <x:c r="P51" s="12">
        <x:f t="shared" si="11"/>
        <x:v>0</x:v>
      </x:c>
      <x:c r="Q51" s="12">
        <x:f t="shared" si="12"/>
        <x:v>0</x:v>
      </x:c>
      <x:c r="R51" s="12">
        <x:f t="shared" si="13"/>
        <x:v>0</x:v>
      </x:c>
      <x:c r="U51" s="81"/>
    </x:row>
    <x:row r="52" spans="1:21" x14ac:dyDescent="0.25">
      <x:c r="A52">
        <x:f t="shared" si="2"/>
        <x:v>44</x:v>
      </x:c>
      <x:c r="B52" s="11">
        <x:f t="shared" si="14"/>
        <x:v>45299</x:v>
      </x:c>
      <x:c r="C52">
        <x:v>40</x:v>
      </x:c>
      <x:c r="D52">
        <x:v>39</x:v>
      </x:c>
      <x:c r="E52">
        <x:v>36</x:v>
      </x:c>
      <x:c r="F52">
        <x:v>36</x:v>
      </x:c>
      <x:c r="G52" s="12">
        <x:f t="shared" si="3"/>
        <x:v>50.3</x:v>
      </x:c>
      <x:c r="H52" s="12">
        <x:f t="shared" si="15"/>
        <x:v>0</x:v>
      </x:c>
      <x:c r="I52" s="12">
        <x:f t="shared" si="4"/>
        <x:v>4.7000000000000028</x:v>
      </x:c>
      <x:c r="J52" s="12">
        <x:f t="shared" si="5"/>
        <x:v>9.7000000000000028</x:v>
      </x:c>
      <x:c r="K52" s="12">
        <x:f t="shared" si="6"/>
        <x:v>14.700000000000003</x:v>
      </x:c>
      <x:c r="L52" s="12">
        <x:f t="shared" si="7"/>
        <x:v>0.29999999999999716</x:v>
      </x:c>
      <x:c r="M52" s="12">
        <x:f t="shared" si="8"/>
        <x:v>0</x:v>
      </x:c>
      <x:c r="N52" s="12">
        <x:f t="shared" si="9"/>
        <x:v>0</x:v>
      </x:c>
      <x:c r="O52" s="12">
        <x:f t="shared" si="10"/>
        <x:v>0</x:v>
      </x:c>
      <x:c r="P52" s="12">
        <x:f t="shared" si="11"/>
        <x:v>0</x:v>
      </x:c>
      <x:c r="Q52" s="12">
        <x:f t="shared" si="12"/>
        <x:v>0</x:v>
      </x:c>
      <x:c r="R52" s="12">
        <x:f t="shared" si="13"/>
        <x:v>0</x:v>
      </x:c>
      <x:c r="U52" s="81"/>
    </x:row>
    <x:row r="53" spans="1:21" x14ac:dyDescent="0.25">
      <x:c r="A53">
        <x:f t="shared" si="2"/>
        <x:v>45</x:v>
      </x:c>
      <x:c r="B53" s="11">
        <x:f t="shared" si="14"/>
        <x:v>45300</x:v>
      </x:c>
      <x:c r="C53">
        <x:v>37</x:v>
      </x:c>
      <x:c r="D53">
        <x:v>35</x:v>
      </x:c>
      <x:c r="E53">
        <x:v>34</x:v>
      </x:c>
      <x:c r="F53">
        <x:v>35</x:v>
      </x:c>
      <x:c r="G53" s="12">
        <x:f t="shared" si="3"/>
        <x:v>39.9</x:v>
      </x:c>
      <x:c r="H53" s="12">
        <x:f t="shared" si="15"/>
        <x:v>5.1000000000000014</x:v>
      </x:c>
      <x:c r="I53" s="12">
        <x:f t="shared" si="4"/>
        <x:v>15.100000000000001</x:v>
      </x:c>
      <x:c r="J53" s="12">
        <x:f t="shared" si="5"/>
        <x:v>20.100000000000001</x:v>
      </x:c>
      <x:c r="K53" s="12">
        <x:f t="shared" si="6"/>
        <x:v>25.1</x:v>
      </x:c>
      <x:c r="L53" s="12">
        <x:f t="shared" si="7"/>
        <x:v>0</x:v>
      </x:c>
      <x:c r="M53" s="12">
        <x:f t="shared" si="8"/>
        <x:v>0</x:v>
      </x:c>
      <x:c r="N53" s="12">
        <x:f t="shared" si="9"/>
        <x:v>0</x:v>
      </x:c>
      <x:c r="O53" s="12">
        <x:f t="shared" si="10"/>
        <x:v>0</x:v>
      </x:c>
      <x:c r="P53" s="12">
        <x:f t="shared" si="11"/>
        <x:v>0</x:v>
      </x:c>
      <x:c r="Q53" s="12">
        <x:f t="shared" si="12"/>
        <x:v>0</x:v>
      </x:c>
      <x:c r="R53" s="12">
        <x:f t="shared" si="13"/>
        <x:v>0</x:v>
      </x:c>
      <x:c r="U53" s="81"/>
    </x:row>
    <x:row r="54" spans="1:21" x14ac:dyDescent="0.25">
      <x:c r="A54">
        <x:f t="shared" si="2"/>
        <x:v>46</x:v>
      </x:c>
      <x:c r="B54" s="11">
        <x:f t="shared" si="14"/>
        <x:v>45301</x:v>
      </x:c>
      <x:c r="C54">
        <x:v>49</x:v>
      </x:c>
      <x:c r="D54">
        <x:v>48</x:v>
      </x:c>
      <x:c r="E54">
        <x:v>48</x:v>
      </x:c>
      <x:c r="F54">
        <x:v>45</x:v>
      </x:c>
      <x:c r="G54" s="12">
        <x:f t="shared" si="3"/>
        <x:v>50.1</x:v>
      </x:c>
      <x:c r="H54" s="12">
        <x:f t="shared" si="15"/>
        <x:v>0</x:v>
      </x:c>
      <x:c r="I54" s="12">
        <x:f t="shared" si="4"/>
        <x:v>4.8999999999999986</x:v>
      </x:c>
      <x:c r="J54" s="12">
        <x:f t="shared" si="5"/>
        <x:v>9.8999999999999986</x:v>
      </x:c>
      <x:c r="K54" s="12">
        <x:f t="shared" si="6"/>
        <x:v>14.899999999999999</x:v>
      </x:c>
      <x:c r="L54" s="12">
        <x:f t="shared" si="7"/>
        <x:v>0.10000000000000142</x:v>
      </x:c>
      <x:c r="M54" s="12">
        <x:f t="shared" si="8"/>
        <x:v>0</x:v>
      </x:c>
      <x:c r="N54" s="12">
        <x:f t="shared" si="9"/>
        <x:v>0</x:v>
      </x:c>
      <x:c r="O54" s="12">
        <x:f t="shared" si="10"/>
        <x:v>0</x:v>
      </x:c>
      <x:c r="P54" s="12">
        <x:f t="shared" si="11"/>
        <x:v>0</x:v>
      </x:c>
      <x:c r="Q54" s="12">
        <x:f t="shared" si="12"/>
        <x:v>0</x:v>
      </x:c>
      <x:c r="R54" s="12">
        <x:f t="shared" si="13"/>
        <x:v>0</x:v>
      </x:c>
      <x:c r="U54" s="81"/>
    </x:row>
    <x:row r="55" spans="1:21" x14ac:dyDescent="0.25">
      <x:c r="A55">
        <x:f t="shared" si="2"/>
        <x:v>47</x:v>
      </x:c>
      <x:c r="B55" s="11">
        <x:f t="shared" si="14"/>
        <x:v>45302</x:v>
      </x:c>
      <x:c r="C55">
        <x:v>59</x:v>
      </x:c>
      <x:c r="D55">
        <x:v>61</x:v>
      </x:c>
      <x:c r="E55">
        <x:v>62</x:v>
      </x:c>
      <x:c r="F55">
        <x:v>58</x:v>
      </x:c>
      <x:c r="G55" s="12">
        <x:f t="shared" si="3"/>
        <x:v>57.1</x:v>
      </x:c>
      <x:c r="H55" s="12">
        <x:f t="shared" si="15"/>
        <x:v>0</x:v>
      </x:c>
      <x:c r="I55" s="12">
        <x:f t="shared" si="4"/>
        <x:v>0</x:v>
      </x:c>
      <x:c r="J55" s="12">
        <x:f t="shared" si="5"/>
        <x:v>2.8999999999999986</x:v>
      </x:c>
      <x:c r="K55" s="12">
        <x:f t="shared" si="6"/>
        <x:v>7.8999999999999986</x:v>
      </x:c>
      <x:c r="L55" s="12">
        <x:f t="shared" si="7"/>
        <x:v>7.1000000000000014</x:v>
      </x:c>
      <x:c r="M55" s="12">
        <x:f t="shared" si="8"/>
        <x:v>2.1000000000000014</x:v>
      </x:c>
      <x:c r="N55" s="12">
        <x:f t="shared" si="9"/>
        <x:v>0</x:v>
      </x:c>
      <x:c r="O55" s="12">
        <x:f t="shared" si="10"/>
        <x:v>0</x:v>
      </x:c>
      <x:c r="P55" s="12">
        <x:f t="shared" si="11"/>
        <x:v>0</x:v>
      </x:c>
      <x:c r="Q55" s="12">
        <x:f t="shared" si="12"/>
        <x:v>0</x:v>
      </x:c>
      <x:c r="R55" s="12">
        <x:f t="shared" si="13"/>
        <x:v>0</x:v>
      </x:c>
      <x:c r="U55" s="81"/>
    </x:row>
    <x:row r="56" spans="1:21" x14ac:dyDescent="0.25">
      <x:c r="A56">
        <x:f t="shared" si="2"/>
        <x:v>48</x:v>
      </x:c>
      <x:c r="B56" s="11">
        <x:f t="shared" si="14"/>
        <x:v>45303</x:v>
      </x:c>
      <x:c r="C56">
        <x:v>42</x:v>
      </x:c>
      <x:c r="D56">
        <x:v>38</x:v>
      </x:c>
      <x:c r="E56">
        <x:v>40</x:v>
      </x:c>
      <x:c r="F56">
        <x:v>35</x:v>
      </x:c>
      <x:c r="G56" s="12">
        <x:f t="shared" si="3"/>
        <x:v>39.700000000000003</x:v>
      </x:c>
      <x:c r="H56" s="12">
        <x:f t="shared" si="15"/>
        <x:v>5.2999999999999972</x:v>
      </x:c>
      <x:c r="I56" s="12">
        <x:f t="shared" si="4"/>
        <x:v>15.299999999999997</x:v>
      </x:c>
      <x:c r="J56" s="12">
        <x:f t="shared" si="5"/>
        <x:v>20.299999999999997</x:v>
      </x:c>
      <x:c r="K56" s="12">
        <x:f t="shared" si="6"/>
        <x:v>25.299999999999997</x:v>
      </x:c>
      <x:c r="L56" s="12">
        <x:f t="shared" si="7"/>
        <x:v>0</x:v>
      </x:c>
      <x:c r="M56" s="12">
        <x:f t="shared" si="8"/>
        <x:v>0</x:v>
      </x:c>
      <x:c r="N56" s="12">
        <x:f t="shared" si="9"/>
        <x:v>0</x:v>
      </x:c>
      <x:c r="O56" s="12">
        <x:f t="shared" si="10"/>
        <x:v>0</x:v>
      </x:c>
      <x:c r="P56" s="12">
        <x:f t="shared" si="11"/>
        <x:v>0</x:v>
      </x:c>
      <x:c r="Q56" s="12">
        <x:f t="shared" si="12"/>
        <x:v>0</x:v>
      </x:c>
      <x:c r="R56" s="12">
        <x:f t="shared" si="13"/>
        <x:v>0</x:v>
      </x:c>
      <x:c r="U56" s="81"/>
    </x:row>
    <x:row r="57" spans="1:21" x14ac:dyDescent="0.25">
      <x:c r="A57">
        <x:f t="shared" si="2"/>
        <x:v>49</x:v>
      </x:c>
      <x:c r="B57" s="11">
        <x:f t="shared" si="14"/>
        <x:v>45304</x:v>
      </x:c>
      <x:c r="C57">
        <x:v>25</x:v>
      </x:c>
      <x:c r="D57">
        <x:v>22</x:v>
      </x:c>
      <x:c r="E57">
        <x:v>20</x:v>
      </x:c>
      <x:c r="F57">
        <x:v>19</x:v>
      </x:c>
      <x:c r="G57" s="12">
        <x:f t="shared" si="3"/>
        <x:v>39.4</x:v>
      </x:c>
      <x:c r="H57" s="12">
        <x:f t="shared" si="15"/>
        <x:v>5.6000000000000014</x:v>
      </x:c>
      <x:c r="I57" s="12">
        <x:f t="shared" si="4"/>
        <x:v>15.600000000000001</x:v>
      </x:c>
      <x:c r="J57" s="12">
        <x:f t="shared" si="5"/>
        <x:v>20.6</x:v>
      </x:c>
      <x:c r="K57" s="12">
        <x:f t="shared" si="6"/>
        <x:v>25.6</x:v>
      </x:c>
      <x:c r="L57" s="12">
        <x:f t="shared" si="7"/>
        <x:v>0</x:v>
      </x:c>
      <x:c r="M57" s="12">
        <x:f t="shared" si="8"/>
        <x:v>0</x:v>
      </x:c>
      <x:c r="N57" s="12">
        <x:f t="shared" si="9"/>
        <x:v>0</x:v>
      </x:c>
      <x:c r="O57" s="12">
        <x:f t="shared" si="10"/>
        <x:v>0</x:v>
      </x:c>
      <x:c r="P57" s="12">
        <x:f t="shared" si="11"/>
        <x:v>0</x:v>
      </x:c>
      <x:c r="Q57" s="12">
        <x:f t="shared" si="12"/>
        <x:v>0</x:v>
      </x:c>
      <x:c r="R57" s="12">
        <x:f t="shared" si="13"/>
        <x:v>0</x:v>
      </x:c>
      <x:c r="U57" s="81"/>
    </x:row>
    <x:row r="58" spans="1:21" x14ac:dyDescent="0.25">
      <x:c r="A58" s="18">
        <x:f t="shared" si="2"/>
        <x:v>50</x:v>
      </x:c>
      <x:c r="B58" s="11">
        <x:f t="shared" si="14"/>
        <x:v>45305</x:v>
      </x:c>
      <x:c r="C58">
        <x:v>11</x:v>
      </x:c>
      <x:c r="D58">
        <x:v>12</x:v>
      </x:c>
      <x:c r="E58">
        <x:v>12</x:v>
      </x:c>
      <x:c r="F58">
        <x:v>12</x:v>
      </x:c>
      <x:c r="G58" s="12">
        <x:f>ROUND(AVERAGE(C24:V24,C58:F58),1)</x:f>
        <x:v>12.1</x:v>
      </x:c>
      <x:c r="H58" s="12">
        <x:f>MAX(45-$G58,0)</x:f>
        <x:v>32.9</x:v>
      </x:c>
      <x:c r="I58" s="12">
        <x:f t="shared" si="4"/>
        <x:v>42.9</x:v>
      </x:c>
      <x:c r="J58" s="12">
        <x:f t="shared" si="5"/>
        <x:v>47.9</x:v>
      </x:c>
      <x:c r="K58" s="12">
        <x:f t="shared" si="6"/>
        <x:v>52.9</x:v>
      </x:c>
      <x:c r="L58" s="12">
        <x:f t="shared" si="7"/>
        <x:v>0</x:v>
      </x:c>
      <x:c r="M58" s="12">
        <x:f t="shared" si="8"/>
        <x:v>0</x:v>
      </x:c>
      <x:c r="N58" s="12">
        <x:f t="shared" si="9"/>
        <x:v>0</x:v>
      </x:c>
      <x:c r="O58" s="12">
        <x:f t="shared" si="10"/>
        <x:v>0</x:v>
      </x:c>
      <x:c r="P58" s="12">
        <x:f t="shared" si="11"/>
        <x:v>0</x:v>
      </x:c>
      <x:c r="Q58" s="12">
        <x:f t="shared" si="12"/>
        <x:v>0</x:v>
      </x:c>
      <x:c r="R58" s="12">
        <x:f t="shared" si="13"/>
        <x:v>0</x:v>
      </x:c>
      <x:c r="U58" s="81"/>
    </x:row>
    <x:row r="59" spans="1:21" x14ac:dyDescent="0.25">
      <x:c r="A59">
        <x:f t="shared" si="2"/>
        <x:v>51</x:v>
      </x:c>
      <x:c r="B59" s="11">
        <x:f t="shared" si="14"/>
        <x:v>45306</x:v>
      </x:c>
      <x:c r="C59">
        <x:v>19</x:v>
      </x:c>
      <x:c r="D59">
        <x:v>17</x:v>
      </x:c>
      <x:c r="E59">
        <x:v>15</x:v>
      </x:c>
      <x:c r="F59">
        <x:v>15</x:v>
      </x:c>
      <x:c r="G59" s="12">
        <x:f t="shared" si="3"/>
        <x:v>16</x:v>
      </x:c>
      <x:c r="H59" s="12">
        <x:f t="shared" si="15"/>
        <x:v>29</x:v>
      </x:c>
      <x:c r="I59" s="12">
        <x:f t="shared" si="4"/>
        <x:v>39</x:v>
      </x:c>
      <x:c r="J59" s="12">
        <x:f t="shared" si="5"/>
        <x:v>44</x:v>
      </x:c>
      <x:c r="K59" s="12">
        <x:f t="shared" si="6"/>
        <x:v>49</x:v>
      </x:c>
      <x:c r="L59" s="12">
        <x:f t="shared" si="7"/>
        <x:v>0</x:v>
      </x:c>
      <x:c r="M59" s="12">
        <x:f t="shared" si="8"/>
        <x:v>0</x:v>
      </x:c>
      <x:c r="N59" s="12">
        <x:f t="shared" si="9"/>
        <x:v>0</x:v>
      </x:c>
      <x:c r="O59" s="12">
        <x:f t="shared" si="10"/>
        <x:v>0</x:v>
      </x:c>
      <x:c r="P59" s="12">
        <x:f t="shared" si="11"/>
        <x:v>0</x:v>
      </x:c>
      <x:c r="Q59" s="12">
        <x:f t="shared" si="12"/>
        <x:v>0</x:v>
      </x:c>
      <x:c r="R59" s="12">
        <x:f t="shared" si="13"/>
        <x:v>0</x:v>
      </x:c>
      <x:c r="U59" s="81"/>
    </x:row>
    <x:row r="60" spans="1:21" x14ac:dyDescent="0.25">
      <x:c r="A60">
        <x:f t="shared" si="2"/>
        <x:v>52</x:v>
      </x:c>
      <x:c r="B60" s="11">
        <x:f t="shared" si="14"/>
        <x:v>45307</x:v>
      </x:c>
      <x:c r="C60">
        <x:v>22</x:v>
      </x:c>
      <x:c r="D60">
        <x:v>19</x:v>
      </x:c>
      <x:c r="E60">
        <x:v>18</x:v>
      </x:c>
      <x:c r="F60">
        <x:v>17</x:v>
      </x:c>
      <x:c r="G60" s="12">
        <x:f t="shared" si="3"/>
        <x:v>18.399999999999999</x:v>
      </x:c>
      <x:c r="H60" s="12">
        <x:f t="shared" si="15"/>
        <x:v>26.6</x:v>
      </x:c>
      <x:c r="I60" s="12">
        <x:f t="shared" si="4"/>
        <x:v>36.6</x:v>
      </x:c>
      <x:c r="J60" s="12">
        <x:f t="shared" si="5"/>
        <x:v>41.6</x:v>
      </x:c>
      <x:c r="K60" s="12">
        <x:f t="shared" si="6"/>
        <x:v>46.6</x:v>
      </x:c>
      <x:c r="L60" s="12">
        <x:f t="shared" si="7"/>
        <x:v>0</x:v>
      </x:c>
      <x:c r="M60" s="12">
        <x:f t="shared" si="8"/>
        <x:v>0</x:v>
      </x:c>
      <x:c r="N60" s="12">
        <x:f t="shared" si="9"/>
        <x:v>0</x:v>
      </x:c>
      <x:c r="O60" s="12">
        <x:f t="shared" si="10"/>
        <x:v>0</x:v>
      </x:c>
      <x:c r="P60" s="12">
        <x:f t="shared" si="11"/>
        <x:v>0</x:v>
      </x:c>
      <x:c r="Q60" s="12">
        <x:f t="shared" si="12"/>
        <x:v>0</x:v>
      </x:c>
      <x:c r="R60" s="12">
        <x:f t="shared" si="13"/>
        <x:v>0</x:v>
      </x:c>
      <x:c r="U60" s="81"/>
    </x:row>
    <x:row r="61" spans="1:21" x14ac:dyDescent="0.25">
      <x:c r="A61">
        <x:f t="shared" si="2"/>
        <x:v>53</x:v>
      </x:c>
      <x:c r="B61" s="11">
        <x:f t="shared" si="14"/>
        <x:v>45308</x:v>
      </x:c>
      <x:c r="C61">
        <x:v>48</x:v>
      </x:c>
      <x:c r="D61">
        <x:v>46</x:v>
      </x:c>
      <x:c r="E61">
        <x:v>44</x:v>
      </x:c>
      <x:c r="F61">
        <x:v>42</x:v>
      </x:c>
      <x:c r="G61" s="12">
        <x:f t="shared" si="3"/>
        <x:v>35.299999999999997</x:v>
      </x:c>
      <x:c r="H61" s="12">
        <x:f t="shared" si="15"/>
        <x:v>9.7000000000000028</x:v>
      </x:c>
      <x:c r="I61" s="12">
        <x:f t="shared" si="4"/>
        <x:v>19.700000000000003</x:v>
      </x:c>
      <x:c r="J61" s="12">
        <x:f t="shared" si="5"/>
        <x:v>24.700000000000003</x:v>
      </x:c>
      <x:c r="K61" s="12">
        <x:f t="shared" si="6"/>
        <x:v>29.700000000000003</x:v>
      </x:c>
      <x:c r="L61" s="12">
        <x:f t="shared" si="7"/>
        <x:v>0</x:v>
      </x:c>
      <x:c r="M61" s="12">
        <x:f t="shared" si="8"/>
        <x:v>0</x:v>
      </x:c>
      <x:c r="N61" s="12">
        <x:f t="shared" si="9"/>
        <x:v>0</x:v>
      </x:c>
      <x:c r="O61" s="12">
        <x:f t="shared" si="10"/>
        <x:v>0</x:v>
      </x:c>
      <x:c r="P61" s="12">
        <x:f t="shared" si="11"/>
        <x:v>0</x:v>
      </x:c>
      <x:c r="Q61" s="12">
        <x:f t="shared" si="12"/>
        <x:v>0</x:v>
      </x:c>
      <x:c r="R61" s="12">
        <x:f t="shared" si="13"/>
        <x:v>0</x:v>
      </x:c>
      <x:c r="U61" s="81"/>
    </x:row>
    <x:row r="62" spans="1:21" x14ac:dyDescent="0.25">
      <x:c r="A62" s="18">
        <x:f t="shared" si="2"/>
        <x:v>54</x:v>
      </x:c>
      <x:c r="B62" s="11">
        <x:f t="shared" si="14"/>
        <x:v>45309</x:v>
      </x:c>
      <x:c r="C62">
        <x:v>50</x:v>
      </x:c>
      <x:c r="D62">
        <x:v>48</x:v>
      </x:c>
      <x:c r="E62">
        <x:v>45</x:v>
      </x:c>
      <x:c r="F62">
        <x:v>43</x:v>
      </x:c>
      <x:c r="G62" s="12">
        <x:f t="shared" si="3"/>
        <x:v>49.5</x:v>
      </x:c>
      <x:c r="H62" s="12">
        <x:f t="shared" si="15"/>
        <x:v>0</x:v>
      </x:c>
      <x:c r="I62" s="12">
        <x:f t="shared" si="4"/>
        <x:v>5.5</x:v>
      </x:c>
      <x:c r="J62" s="12">
        <x:f t="shared" si="5"/>
        <x:v>10.5</x:v>
      </x:c>
      <x:c r="K62" s="12">
        <x:f t="shared" si="6"/>
        <x:v>15.5</x:v>
      </x:c>
      <x:c r="L62" s="12">
        <x:f t="shared" si="7"/>
        <x:v>0</x:v>
      </x:c>
      <x:c r="M62" s="12">
        <x:f t="shared" si="8"/>
        <x:v>0</x:v>
      </x:c>
      <x:c r="N62" s="12">
        <x:f t="shared" si="9"/>
        <x:v>0</x:v>
      </x:c>
      <x:c r="O62" s="12">
        <x:f t="shared" si="10"/>
        <x:v>0</x:v>
      </x:c>
      <x:c r="P62" s="12">
        <x:f t="shared" si="11"/>
        <x:v>0</x:v>
      </x:c>
      <x:c r="Q62" s="12">
        <x:f t="shared" si="12"/>
        <x:v>0</x:v>
      </x:c>
      <x:c r="R62" s="12">
        <x:f t="shared" si="13"/>
        <x:v>0</x:v>
      </x:c>
      <x:c r="U62" s="81"/>
    </x:row>
    <x:row r="63" spans="1:21" x14ac:dyDescent="0.25">
      <x:c r="A63">
        <x:f t="shared" si="2"/>
        <x:v>55</x:v>
      </x:c>
      <x:c r="B63" s="11">
        <x:f t="shared" si="14"/>
        <x:v>45310</x:v>
      </x:c>
      <x:c r="C63">
        <x:v>27</x:v>
      </x:c>
      <x:c r="D63">
        <x:v>27</x:v>
      </x:c>
      <x:c r="E63">
        <x:v>24</x:v>
      </x:c>
      <x:c r="F63">
        <x:v>23</x:v>
      </x:c>
      <x:c r="G63" s="12">
        <x:f t="shared" si="3"/>
        <x:v>29.9</x:v>
      </x:c>
      <x:c r="H63" s="12">
        <x:f t="shared" si="15"/>
        <x:v>15.100000000000001</x:v>
      </x:c>
      <x:c r="I63" s="12">
        <x:f t="shared" si="4"/>
        <x:v>25.1</x:v>
      </x:c>
      <x:c r="J63" s="12">
        <x:f t="shared" si="5"/>
        <x:v>30.1</x:v>
      </x:c>
      <x:c r="K63" s="12">
        <x:f t="shared" si="6"/>
        <x:v>35.1</x:v>
      </x:c>
      <x:c r="L63" s="12">
        <x:f t="shared" si="7"/>
        <x:v>0</x:v>
      </x:c>
      <x:c r="M63" s="12">
        <x:f t="shared" si="8"/>
        <x:v>0</x:v>
      </x:c>
      <x:c r="N63" s="12">
        <x:f t="shared" si="9"/>
        <x:v>0</x:v>
      </x:c>
      <x:c r="O63" s="12">
        <x:f t="shared" si="10"/>
        <x:v>0</x:v>
      </x:c>
      <x:c r="P63" s="12">
        <x:f t="shared" si="11"/>
        <x:v>0</x:v>
      </x:c>
      <x:c r="Q63" s="12">
        <x:f t="shared" si="12"/>
        <x:v>0</x:v>
      </x:c>
      <x:c r="R63" s="12">
        <x:f t="shared" si="13"/>
        <x:v>0</x:v>
      </x:c>
      <x:c r="U63" s="81"/>
    </x:row>
    <x:row r="64" spans="1:21" x14ac:dyDescent="0.25">
      <x:c r="A64">
        <x:f t="shared" si="2"/>
        <x:v>56</x:v>
      </x:c>
      <x:c r="B64" s="11">
        <x:f t="shared" si="14"/>
        <x:v>45311</x:v>
      </x:c>
      <x:c r="C64">
        <x:v>34</x:v>
      </x:c>
      <x:c r="D64">
        <x:v>35</x:v>
      </x:c>
      <x:c r="E64">
        <x:v>35</x:v>
      </x:c>
      <x:c r="F64">
        <x:v>32</x:v>
      </x:c>
      <x:c r="G64" s="12">
        <x:f t="shared" si="3"/>
        <x:v>27.9</x:v>
      </x:c>
      <x:c r="H64" s="12">
        <x:f t="shared" si="15"/>
        <x:v>17.100000000000001</x:v>
      </x:c>
      <x:c r="I64" s="12">
        <x:f t="shared" si="4"/>
        <x:v>27.1</x:v>
      </x:c>
      <x:c r="J64" s="12">
        <x:f t="shared" si="5"/>
        <x:v>32.1</x:v>
      </x:c>
      <x:c r="K64" s="12">
        <x:f t="shared" si="6"/>
        <x:v>37.1</x:v>
      </x:c>
      <x:c r="L64" s="12">
        <x:f t="shared" si="7"/>
        <x:v>0</x:v>
      </x:c>
      <x:c r="M64" s="12">
        <x:f t="shared" si="8"/>
        <x:v>0</x:v>
      </x:c>
      <x:c r="N64" s="12">
        <x:f t="shared" si="9"/>
        <x:v>0</x:v>
      </x:c>
      <x:c r="O64" s="12">
        <x:f t="shared" si="10"/>
        <x:v>0</x:v>
      </x:c>
      <x:c r="P64" s="12">
        <x:f t="shared" si="11"/>
        <x:v>0</x:v>
      </x:c>
      <x:c r="Q64" s="12">
        <x:f t="shared" si="12"/>
        <x:v>0</x:v>
      </x:c>
      <x:c r="R64" s="12">
        <x:f t="shared" si="13"/>
        <x:v>0</x:v>
      </x:c>
      <x:c r="U64" s="81"/>
    </x:row>
    <x:row r="65" spans="1:21" x14ac:dyDescent="0.25">
      <x:c r="A65">
        <x:f t="shared" si="2"/>
        <x:v>57</x:v>
      </x:c>
      <x:c r="B65" s="11">
        <x:f t="shared" si="14"/>
        <x:v>45312</x:v>
      </x:c>
      <x:c r="C65">
        <x:v>39</x:v>
      </x:c>
      <x:c r="D65">
        <x:v>40</x:v>
      </x:c>
      <x:c r="E65">
        <x:v>40</x:v>
      </x:c>
      <x:c r="F65">
        <x:v>40</x:v>
      </x:c>
      <x:c r="G65" s="12">
        <x:f t="shared" si="3"/>
        <x:v>36.299999999999997</x:v>
      </x:c>
      <x:c r="H65" s="12">
        <x:f t="shared" si="15"/>
        <x:v>8.7000000000000028</x:v>
      </x:c>
      <x:c r="I65" s="12">
        <x:f t="shared" si="4"/>
        <x:v>18.700000000000003</x:v>
      </x:c>
      <x:c r="J65" s="12">
        <x:f t="shared" si="5"/>
        <x:v>23.700000000000003</x:v>
      </x:c>
      <x:c r="K65" s="12">
        <x:f t="shared" si="6"/>
        <x:v>28.700000000000003</x:v>
      </x:c>
      <x:c r="L65" s="12">
        <x:f t="shared" si="7"/>
        <x:v>0</x:v>
      </x:c>
      <x:c r="M65" s="12">
        <x:f t="shared" si="8"/>
        <x:v>0</x:v>
      </x:c>
      <x:c r="N65" s="12">
        <x:f t="shared" si="9"/>
        <x:v>0</x:v>
      </x:c>
      <x:c r="O65" s="12">
        <x:f t="shared" si="10"/>
        <x:v>0</x:v>
      </x:c>
      <x:c r="P65" s="12">
        <x:f t="shared" si="11"/>
        <x:v>0</x:v>
      </x:c>
      <x:c r="Q65" s="12">
        <x:f t="shared" si="12"/>
        <x:v>0</x:v>
      </x:c>
      <x:c r="R65" s="12">
        <x:f t="shared" si="13"/>
        <x:v>0</x:v>
      </x:c>
      <x:c r="U65" s="81"/>
    </x:row>
    <x:row r="66" spans="1:21" x14ac:dyDescent="0.25">
      <x:c r="A66">
        <x:f t="shared" si="2"/>
        <x:v>58</x:v>
      </x:c>
      <x:c r="B66" s="11">
        <x:f t="shared" si="14"/>
        <x:v>45313</x:v>
      </x:c>
      <x:c r="C66">
        <x:v>46</x:v>
      </x:c>
      <x:c r="D66">
        <x:v>45</x:v>
      </x:c>
      <x:c r="E66">
        <x:v>45</x:v>
      </x:c>
      <x:c r="F66">
        <x:v>44</x:v>
      </x:c>
      <x:c r="G66" s="12">
        <x:f t="shared" si="3"/>
        <x:v>43.2</x:v>
      </x:c>
      <x:c r="H66" s="12">
        <x:f t="shared" si="15"/>
        <x:v>1.7999999999999972</x:v>
      </x:c>
      <x:c r="I66" s="12">
        <x:f t="shared" si="4"/>
        <x:v>11.799999999999997</x:v>
      </x:c>
      <x:c r="J66" s="12">
        <x:f t="shared" si="5"/>
        <x:v>16.799999999999997</x:v>
      </x:c>
      <x:c r="K66" s="12">
        <x:f t="shared" si="6"/>
        <x:v>21.799999999999997</x:v>
      </x:c>
      <x:c r="L66" s="12">
        <x:f t="shared" si="7"/>
        <x:v>0</x:v>
      </x:c>
      <x:c r="M66" s="12">
        <x:f t="shared" si="8"/>
        <x:v>0</x:v>
      </x:c>
      <x:c r="N66" s="12">
        <x:f t="shared" si="9"/>
        <x:v>0</x:v>
      </x:c>
      <x:c r="O66" s="12">
        <x:f t="shared" si="10"/>
        <x:v>0</x:v>
      </x:c>
      <x:c r="P66" s="12">
        <x:f t="shared" si="11"/>
        <x:v>0</x:v>
      </x:c>
      <x:c r="Q66" s="12">
        <x:f t="shared" si="12"/>
        <x:v>0</x:v>
      </x:c>
      <x:c r="R66" s="12">
        <x:f t="shared" si="13"/>
        <x:v>0</x:v>
      </x:c>
      <x:c r="U66" s="81"/>
    </x:row>
    <x:row r="67" spans="1:21" x14ac:dyDescent="0.25">
      <x:c r="A67">
        <x:f t="shared" si="2"/>
        <x:v>59</x:v>
      </x:c>
      <x:c r="B67" s="11">
        <x:f t="shared" si="14"/>
        <x:v>45314</x:v>
      </x:c>
      <x:c r="C67">
        <x:v>47</x:v>
      </x:c>
      <x:c r="D67">
        <x:v>47</x:v>
      </x:c>
      <x:c r="E67">
        <x:v>47</x:v>
      </x:c>
      <x:c r="F67">
        <x:v>45</x:v>
      </x:c>
      <x:c r="G67" s="12">
        <x:f t="shared" si="3"/>
        <x:v>47.5</x:v>
      </x:c>
      <x:c r="H67" s="12">
        <x:f t="shared" si="15"/>
        <x:v>0</x:v>
      </x:c>
      <x:c r="I67" s="12">
        <x:f t="shared" si="4"/>
        <x:v>7.5</x:v>
      </x:c>
      <x:c r="J67" s="12">
        <x:f t="shared" si="5"/>
        <x:v>12.5</x:v>
      </x:c>
      <x:c r="K67" s="12">
        <x:f t="shared" si="6"/>
        <x:v>17.5</x:v>
      </x:c>
      <x:c r="L67" s="12">
        <x:f t="shared" si="7"/>
        <x:v>0</x:v>
      </x:c>
      <x:c r="M67" s="12">
        <x:f t="shared" si="8"/>
        <x:v>0</x:v>
      </x:c>
      <x:c r="N67" s="12">
        <x:f t="shared" si="9"/>
        <x:v>0</x:v>
      </x:c>
      <x:c r="O67" s="12">
        <x:f t="shared" si="10"/>
        <x:v>0</x:v>
      </x:c>
      <x:c r="P67" s="12">
        <x:f t="shared" si="11"/>
        <x:v>0</x:v>
      </x:c>
      <x:c r="Q67" s="12">
        <x:f t="shared" si="12"/>
        <x:v>0</x:v>
      </x:c>
      <x:c r="R67" s="12">
        <x:f t="shared" si="13"/>
        <x:v>0</x:v>
      </x:c>
      <x:c r="U67" s="81"/>
    </x:row>
    <x:row r="68" spans="1:21" x14ac:dyDescent="0.25">
      <x:c r="A68">
        <x:f t="shared" si="2"/>
        <x:v>60</x:v>
      </x:c>
      <x:c r="B68" s="11">
        <x:f t="shared" si="14"/>
        <x:v>45315</x:v>
      </x:c>
      <x:c r="C68">
        <x:v>46</x:v>
      </x:c>
      <x:c r="D68">
        <x:v>46</x:v>
      </x:c>
      <x:c r="E68">
        <x:v>45</x:v>
      </x:c>
      <x:c r="F68">
        <x:v>45</x:v>
      </x:c>
      <x:c r="G68" s="12">
        <x:f t="shared" si="3"/>
        <x:v>44.4</x:v>
      </x:c>
      <x:c r="H68" s="12">
        <x:f t="shared" si="15"/>
        <x:v>0.60000000000000142</x:v>
      </x:c>
      <x:c r="I68" s="12">
        <x:f t="shared" si="4"/>
        <x:v>10.600000000000001</x:v>
      </x:c>
      <x:c r="J68" s="12">
        <x:f t="shared" si="5"/>
        <x:v>15.600000000000001</x:v>
      </x:c>
      <x:c r="K68" s="12">
        <x:f t="shared" si="6"/>
        <x:v>20.6</x:v>
      </x:c>
      <x:c r="L68" s="12">
        <x:f t="shared" si="7"/>
        <x:v>0</x:v>
      </x:c>
      <x:c r="M68" s="12">
        <x:f t="shared" si="8"/>
        <x:v>0</x:v>
      </x:c>
      <x:c r="N68" s="12">
        <x:f t="shared" si="9"/>
        <x:v>0</x:v>
      </x:c>
      <x:c r="O68" s="12">
        <x:f t="shared" si="10"/>
        <x:v>0</x:v>
      </x:c>
      <x:c r="P68" s="12">
        <x:f t="shared" si="11"/>
        <x:v>0</x:v>
      </x:c>
      <x:c r="Q68" s="12">
        <x:f t="shared" si="12"/>
        <x:v>0</x:v>
      </x:c>
      <x:c r="R68" s="12">
        <x:f t="shared" si="13"/>
        <x:v>0</x:v>
      </x:c>
      <x:c r="U68" s="81"/>
    </x:row>
    <x:row r="69" spans="1:21" x14ac:dyDescent="0.25">
      <x:c r="A69">
        <x:f t="shared" si="2"/>
        <x:v>61</x:v>
      </x:c>
      <x:c r="B69" s="11">
        <x:f t="shared" si="14"/>
        <x:v>45316</x:v>
      </x:c>
      <x:c r="C69">
        <x:v>52</x:v>
      </x:c>
      <x:c r="D69">
        <x:v>54</x:v>
      </x:c>
      <x:c r="E69">
        <x:v>49</x:v>
      </x:c>
      <x:c r="F69">
        <x:v>50</x:v>
      </x:c>
      <x:c r="G69" s="12">
        <x:f t="shared" si="3"/>
        <x:v>51.7</x:v>
      </x:c>
      <x:c r="H69" s="12">
        <x:f t="shared" si="15"/>
        <x:v>0</x:v>
      </x:c>
      <x:c r="I69" s="12">
        <x:f t="shared" si="4"/>
        <x:v>3.2999999999999972</x:v>
      </x:c>
      <x:c r="J69" s="12">
        <x:f t="shared" si="5"/>
        <x:v>8.2999999999999972</x:v>
      </x:c>
      <x:c r="K69" s="12">
        <x:f t="shared" si="6"/>
        <x:v>13.299999999999997</x:v>
      </x:c>
      <x:c r="L69" s="12">
        <x:f t="shared" si="7"/>
        <x:v>1.7000000000000028</x:v>
      </x:c>
      <x:c r="M69" s="12">
        <x:f t="shared" si="8"/>
        <x:v>0</x:v>
      </x:c>
      <x:c r="N69" s="12">
        <x:f t="shared" si="9"/>
        <x:v>0</x:v>
      </x:c>
      <x:c r="O69" s="12">
        <x:f t="shared" si="10"/>
        <x:v>0</x:v>
      </x:c>
      <x:c r="P69" s="12">
        <x:f t="shared" si="11"/>
        <x:v>0</x:v>
      </x:c>
      <x:c r="Q69" s="12">
        <x:f t="shared" si="12"/>
        <x:v>0</x:v>
      </x:c>
      <x:c r="R69" s="12">
        <x:f t="shared" si="13"/>
        <x:v>0</x:v>
      </x:c>
      <x:c r="U69" s="81"/>
    </x:row>
    <x:row r="70" spans="1:21" x14ac:dyDescent="0.25">
      <x:c r="A70">
        <x:f t="shared" si="2"/>
        <x:v>62</x:v>
      </x:c>
      <x:c r="B70" s="11">
        <x:f t="shared" si="14"/>
        <x:v>45317</x:v>
      </x:c>
      <x:c r="C70">
        <x:v>48</x:v>
      </x:c>
      <x:c r="D70">
        <x:v>49</x:v>
      </x:c>
      <x:c r="E70">
        <x:v>48</x:v>
      </x:c>
      <x:c r="F70">
        <x:v>48</x:v>
      </x:c>
      <x:c r="G70" s="12">
        <x:f t="shared" si="3"/>
        <x:v>49.8</x:v>
      </x:c>
      <x:c r="H70" s="12">
        <x:f t="shared" si="15"/>
        <x:v>0</x:v>
      </x:c>
      <x:c r="I70" s="12">
        <x:f t="shared" si="4"/>
        <x:v>5.2000000000000028</x:v>
      </x:c>
      <x:c r="J70" s="12">
        <x:f t="shared" si="5"/>
        <x:v>10.200000000000003</x:v>
      </x:c>
      <x:c r="K70" s="12">
        <x:f t="shared" si="6"/>
        <x:v>15.200000000000003</x:v>
      </x:c>
      <x:c r="L70" s="12">
        <x:f t="shared" si="7"/>
        <x:v>0</x:v>
      </x:c>
      <x:c r="M70" s="12">
        <x:f t="shared" si="8"/>
        <x:v>0</x:v>
      </x:c>
      <x:c r="N70" s="12">
        <x:f t="shared" si="9"/>
        <x:v>0</x:v>
      </x:c>
      <x:c r="O70" s="12">
        <x:f t="shared" si="10"/>
        <x:v>0</x:v>
      </x:c>
      <x:c r="P70" s="12">
        <x:f t="shared" si="11"/>
        <x:v>0</x:v>
      </x:c>
      <x:c r="Q70" s="12">
        <x:f t="shared" si="12"/>
        <x:v>0</x:v>
      </x:c>
      <x:c r="R70" s="12">
        <x:f t="shared" si="13"/>
        <x:v>0</x:v>
      </x:c>
      <x:c r="U70" s="81"/>
    </x:row>
    <x:row r="71" spans="1:21" x14ac:dyDescent="0.25">
      <x:c r="A71">
        <x:f t="shared" si="2"/>
        <x:v>63</x:v>
      </x:c>
      <x:c r="B71" s="11">
        <x:f t="shared" si="14"/>
        <x:v>45318</x:v>
      </x:c>
      <x:c r="C71">
        <x:v>51</x:v>
      </x:c>
      <x:c r="D71">
        <x:v>47</x:v>
      </x:c>
      <x:c r="E71">
        <x:v>45</x:v>
      </x:c>
      <x:c r="F71">
        <x:v>40</x:v>
      </x:c>
      <x:c r="G71" s="12">
        <x:f t="shared" si="3"/>
        <x:v>48.4</x:v>
      </x:c>
      <x:c r="H71" s="12">
        <x:f t="shared" si="15"/>
        <x:v>0</x:v>
      </x:c>
      <x:c r="I71" s="12">
        <x:f t="shared" si="4"/>
        <x:v>6.6000000000000014</x:v>
      </x:c>
      <x:c r="J71" s="12">
        <x:f t="shared" si="5"/>
        <x:v>11.600000000000001</x:v>
      </x:c>
      <x:c r="K71" s="12">
        <x:f t="shared" si="6"/>
        <x:v>16.600000000000001</x:v>
      </x:c>
      <x:c r="L71" s="12">
        <x:f t="shared" si="7"/>
        <x:v>0</x:v>
      </x:c>
      <x:c r="M71" s="12">
        <x:f t="shared" si="8"/>
        <x:v>0</x:v>
      </x:c>
      <x:c r="N71" s="12">
        <x:f t="shared" si="9"/>
        <x:v>0</x:v>
      </x:c>
      <x:c r="O71" s="12">
        <x:f t="shared" si="10"/>
        <x:v>0</x:v>
      </x:c>
      <x:c r="P71" s="12">
        <x:f t="shared" si="11"/>
        <x:v>0</x:v>
      </x:c>
      <x:c r="Q71" s="12">
        <x:f t="shared" si="12"/>
        <x:v>0</x:v>
      </x:c>
      <x:c r="R71" s="12">
        <x:f t="shared" si="13"/>
        <x:v>0</x:v>
      </x:c>
      <x:c r="U71" s="81"/>
    </x:row>
    <x:row r="72" spans="1:21" x14ac:dyDescent="0.25">
      <x:c r="A72">
        <x:f t="shared" si="2"/>
        <x:v>64</x:v>
      </x:c>
      <x:c r="B72" s="11">
        <x:f t="shared" si="14"/>
        <x:v>45319</x:v>
      </x:c>
      <x:c r="C72">
        <x:v>52</x:v>
      </x:c>
      <x:c r="D72">
        <x:v>49</x:v>
      </x:c>
      <x:c r="E72">
        <x:v>48</x:v>
      </x:c>
      <x:c r="F72">
        <x:v>46</x:v>
      </x:c>
      <x:c r="G72" s="12">
        <x:f t="shared" si="3"/>
        <x:v>49.6</x:v>
      </x:c>
      <x:c r="H72" s="12">
        <x:f t="shared" si="15"/>
        <x:v>0</x:v>
      </x:c>
      <x:c r="I72" s="12">
        <x:f t="shared" si="4"/>
        <x:v>5.3999999999999986</x:v>
      </x:c>
      <x:c r="J72" s="12">
        <x:f t="shared" si="5"/>
        <x:v>10.399999999999999</x:v>
      </x:c>
      <x:c r="K72" s="12">
        <x:f t="shared" si="6"/>
        <x:v>15.399999999999999</x:v>
      </x:c>
      <x:c r="L72" s="12">
        <x:f t="shared" si="7"/>
        <x:v>0</x:v>
      </x:c>
      <x:c r="M72" s="12">
        <x:f t="shared" si="8"/>
        <x:v>0</x:v>
      </x:c>
      <x:c r="N72" s="12">
        <x:f t="shared" si="9"/>
        <x:v>0</x:v>
      </x:c>
      <x:c r="O72" s="12">
        <x:f t="shared" si="10"/>
        <x:v>0</x:v>
      </x:c>
      <x:c r="P72" s="12">
        <x:f t="shared" si="11"/>
        <x:v>0</x:v>
      </x:c>
      <x:c r="Q72" s="12">
        <x:f t="shared" si="12"/>
        <x:v>0</x:v>
      </x:c>
      <x:c r="R72" s="12">
        <x:f t="shared" si="13"/>
        <x:v>0</x:v>
      </x:c>
      <x:c r="U72" s="81"/>
    </x:row>
    <x:row r="73" spans="1:21" x14ac:dyDescent="0.25">
      <x:c r="A73">
        <x:f t="shared" si="2"/>
        <x:v>65</x:v>
      </x:c>
      <x:c r="B73" s="11">
        <x:f t="shared" si="14"/>
        <x:v>45320</x:v>
      </x:c>
      <x:c r="C73">
        <x:v>53</x:v>
      </x:c>
      <x:c r="D73">
        <x:v>51</x:v>
      </x:c>
      <x:c r="E73">
        <x:v>49</x:v>
      </x:c>
      <x:c r="F73">
        <x:v>49</x:v>
      </x:c>
      <x:c r="G73" s="12">
        <x:f t="shared" si="3"/>
        <x:v>54.9</x:v>
      </x:c>
      <x:c r="H73" s="12">
        <x:f t="shared" si="15"/>
        <x:v>0</x:v>
      </x:c>
      <x:c r="I73" s="12">
        <x:f t="shared" si="4"/>
        <x:v>0.10000000000000142</x:v>
      </x:c>
      <x:c r="J73" s="12">
        <x:f t="shared" si="5"/>
        <x:v>5.1000000000000014</x:v>
      </x:c>
      <x:c r="K73" s="12">
        <x:f t="shared" si="6"/>
        <x:v>10.100000000000001</x:v>
      </x:c>
      <x:c r="L73" s="12">
        <x:f t="shared" si="7"/>
        <x:v>4.8999999999999986</x:v>
      </x:c>
      <x:c r="M73" s="12">
        <x:f t="shared" si="8"/>
        <x:v>0</x:v>
      </x:c>
      <x:c r="N73" s="12">
        <x:f t="shared" si="9"/>
        <x:v>0</x:v>
      </x:c>
      <x:c r="O73" s="12">
        <x:f t="shared" si="10"/>
        <x:v>0</x:v>
      </x:c>
      <x:c r="P73" s="12">
        <x:f t="shared" si="11"/>
        <x:v>0</x:v>
      </x:c>
      <x:c r="Q73" s="12">
        <x:f t="shared" si="12"/>
        <x:v>0</x:v>
      </x:c>
      <x:c r="R73" s="12">
        <x:f t="shared" si="13"/>
        <x:v>0</x:v>
      </x:c>
      <x:c r="U73" s="81"/>
    </x:row>
    <x:row r="74" spans="1:21" x14ac:dyDescent="0.25">
      <x:c r="A74">
        <x:f t="shared" si="2"/>
        <x:v>66</x:v>
      </x:c>
      <x:c r="B74" s="11">
        <x:f t="shared" si="14"/>
        <x:v>45321</x:v>
      </x:c>
      <x:c r="C74">
        <x:v>54</x:v>
      </x:c>
      <x:c r="D74">
        <x:v>52</x:v>
      </x:c>
      <x:c r="E74">
        <x:v>50</x:v>
      </x:c>
      <x:c r="F74">
        <x:v>50</x:v>
      </x:c>
      <x:c r="G74" s="12">
        <x:f t="shared" si="3"/>
        <x:v>55.4</x:v>
      </x:c>
      <x:c r="H74" s="12">
        <x:f t="shared" si="15"/>
        <x:v>0</x:v>
      </x:c>
      <x:c r="I74" s="12">
        <x:f t="shared" si="4"/>
        <x:v>0</x:v>
      </x:c>
      <x:c r="J74" s="12">
        <x:f t="shared" si="5"/>
        <x:v>4.6000000000000014</x:v>
      </x:c>
      <x:c r="K74" s="12">
        <x:f t="shared" si="6"/>
        <x:v>9.6000000000000014</x:v>
      </x:c>
      <x:c r="L74" s="12">
        <x:f t="shared" si="7"/>
        <x:v>5.3999999999999986</x:v>
      </x:c>
      <x:c r="M74" s="12">
        <x:f t="shared" si="8"/>
        <x:v>0.39999999999999858</x:v>
      </x:c>
      <x:c r="N74" s="12">
        <x:f t="shared" si="9"/>
        <x:v>0</x:v>
      </x:c>
      <x:c r="O74" s="12">
        <x:f t="shared" si="10"/>
        <x:v>0</x:v>
      </x:c>
      <x:c r="P74" s="12">
        <x:f t="shared" si="11"/>
        <x:v>0</x:v>
      </x:c>
      <x:c r="Q74" s="12">
        <x:f t="shared" si="12"/>
        <x:v>0</x:v>
      </x:c>
      <x:c r="R74" s="12">
        <x:f t="shared" si="13"/>
        <x:v>0</x:v>
      </x:c>
      <x:c r="U74" s="81"/>
    </x:row>
    <x:row r="75" spans="1:21" x14ac:dyDescent="0.25">
      <x:c r="A75">
        <x:f t="shared" si="2"/>
        <x:v>67</x:v>
      </x:c>
      <x:c r="B75" s="11">
        <x:f t="shared" si="14"/>
        <x:v>45322</x:v>
      </x:c>
      <x:c r="C75">
        <x:v>57</x:v>
      </x:c>
      <x:c r="D75">
        <x:v>54</x:v>
      </x:c>
      <x:c r="E75">
        <x:v>52</x:v>
      </x:c>
      <x:c r="F75">
        <x:v>56</x:v>
      </x:c>
      <x:c r="G75" s="12">
        <x:f t="shared" si="3"/>
        <x:v>56.5</x:v>
      </x:c>
      <x:c r="H75" s="12">
        <x:f t="shared" si="15"/>
        <x:v>0</x:v>
      </x:c>
      <x:c r="I75" s="12">
        <x:f t="shared" si="4"/>
        <x:v>0</x:v>
      </x:c>
      <x:c r="J75" s="12">
        <x:f t="shared" si="5"/>
        <x:v>3.5</x:v>
      </x:c>
      <x:c r="K75" s="12">
        <x:f t="shared" si="6"/>
        <x:v>8.5</x:v>
      </x:c>
      <x:c r="L75" s="12">
        <x:f t="shared" si="7"/>
        <x:v>6.5</x:v>
      </x:c>
      <x:c r="M75" s="12">
        <x:f t="shared" si="8"/>
        <x:v>1.5</x:v>
      </x:c>
      <x:c r="N75" s="12">
        <x:f t="shared" si="9"/>
        <x:v>0</x:v>
      </x:c>
      <x:c r="O75" s="12">
        <x:f t="shared" si="10"/>
        <x:v>0</x:v>
      </x:c>
      <x:c r="P75" s="12">
        <x:f t="shared" si="11"/>
        <x:v>0</x:v>
      </x:c>
      <x:c r="Q75" s="12">
        <x:f t="shared" si="12"/>
        <x:v>0</x:v>
      </x:c>
      <x:c r="R75" s="12">
        <x:f t="shared" si="13"/>
        <x:v>0</x:v>
      </x:c>
      <x:c r="U75" s="81"/>
    </x:row>
    <x:row r="76" spans="1:21" x14ac:dyDescent="0.25"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U76" s="30"/>
    </x:row>
    <x:row r="77" spans="1:21" x14ac:dyDescent="0.25">
      <x:c r="G77" s="16" t="s">
        <x:v>54</x:v>
      </x:c>
      <x:c r="H77" s="20">
        <x:f t="shared" ref="H77" si="16">SUM(H45:H75)</x:f>
        <x:v>185.79999999999998</x:v>
      </x:c>
      <x:c r="I77" s="20">
        <x:f>SUM(I45:I75)</x:f>
        <x:v>417.2000000000001</x:v>
      </x:c>
      <x:c r="J77" s="20">
        <x:f>SUM(J45:J75)</x:f>
        <x:v>568.20000000000005</x:v>
      </x:c>
      <x:c r="K77" s="20">
        <x:f>SUM(K45:K75)</x:f>
        <x:v>723.2</x:v>
      </x:c>
      <x:c r="L77" s="20">
        <x:f>SUM(L45:L75)</x:f>
        <x:v>26</x:v>
      </x:c>
      <x:c r="M77" s="20">
        <x:f t="shared" ref="M77:N77" si="17">SUM(M45:M75)</x:f>
        <x:v>4</x:v>
      </x:c>
      <x:c r="N77" s="20">
        <x:f t="shared" si="17"/>
        <x:v>0</x:v>
      </x:c>
      <x:c r="O77" s="20">
        <x:f>SUM(O45:O75)</x:f>
        <x:v>0</x:v>
      </x:c>
      <x:c r="P77" s="20">
        <x:f>SUM(P45:P75)</x:f>
        <x:v>0</x:v>
      </x:c>
      <x:c r="Q77" s="20">
        <x:f>SUM(Q45:Q75)</x:f>
        <x:v>0</x:v>
      </x:c>
      <x:c r="R77" s="20">
        <x:f>SUM(R45:R75)</x:f>
        <x:v>0</x:v>
      </x:c>
      <x:c r="U77" s="82"/>
    </x:row>
  </x:sheetData>
  <x:mergeCells count="6">
    <x:mergeCell ref="B9:V9"/>
    <x:mergeCell ref="B1:T1"/>
    <x:mergeCell ref="B2:T2"/>
    <x:mergeCell ref="B3:T3"/>
    <x:mergeCell ref="B4:T4"/>
    <x:mergeCell ref="B6:T6"/>
  </x:mergeCells>
  <x:pageMargins left="0.75" right="0.75" top="1" bottom="1" header="0.5" footer="0.5"/>
  <x:pageSetup scale="59" firstPageNumber="3" orientation="portrait" r:id="rId1"/>
  <x:headerFooter alignWithMargins="0">
    <x:oddHeader>&amp;RSchedule II-H-5.1
Page &amp;P of  25</x:oddHeader>
  </x:headerFooter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200-000000000000}" mc:Ignorable="x14ac xr xr2 xr3">
  <x:sheetPr>
    <x:pageSetUpPr fitToPage="1"/>
  </x:sheetPr>
  <x:dimension ref="A1:AC77"/>
  <x:sheetViews>
    <x:sheetView zoomScaleNormal="100" workbookViewId="0"/>
  </x:sheetViews>
  <x:sheetFormatPr defaultRowHeight="13.2" x14ac:dyDescent="0.25"/>
  <x:cols>
    <x:col min="2" max="2" width="10" style="56" bestFit="1" customWidth="1"/>
    <x:col min="3" max="6" width="5.44140625" bestFit="1" customWidth="1"/>
    <x:col min="7" max="7" width="8.77734375" customWidth="1"/>
    <x:col min="8" max="14" width="6.88671875" bestFit="1" customWidth="1"/>
    <x:col min="15" max="23" width="7" bestFit="1" customWidth="1"/>
    <x:col min="24" max="29" width="11.44140625" customWidth="1"/>
  </x:cols>
  <x:sheetData>
    <x:row r="1" spans="1:29" s="2" customFormat="1" ht="15.6" x14ac:dyDescent="0.3">
      <x:c r="B1" s="88" t="str">
        <x:f>+Base45h!B1</x:f>
        <x:v xml:space="preserve">PUC DOCKET NO. </x:v>
      </x:c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  <x:c r="P1" s="92"/>
      <x:c r="Q1" s="92"/>
      <x:c r="R1" s="92"/>
      <x:c r="S1" s="92"/>
      <x:c r="T1" s="92"/>
      <x:c r="U1" s="56"/>
      <x:c r="V1" s="56"/>
      <x:c r="W1" s="56"/>
      <x:c r="X1" s="56"/>
      <x:c r="Y1" s="56"/>
      <x:c r="Z1" s="56"/>
      <x:c r="AA1" s="56"/>
      <x:c r="AB1" s="56"/>
      <x:c r="AC1" s="56"/>
    </x:row>
    <x:row r="2" spans="1:29" s="2" customFormat="1" ht="15.6" x14ac:dyDescent="0.3">
      <x:c r="B2" s="88" t="str">
        <x:f>+Base45h!B2</x:f>
        <x:v>ONCOR ELECTRIC DELIVERY COMPANY LLC</x:v>
      </x:c>
      <x:c r="C2" s="92"/>
      <x:c r="D2" s="92"/>
      <x:c r="E2" s="92"/>
      <x:c r="F2" s="92"/>
      <x:c r="G2" s="92"/>
      <x:c r="H2" s="92"/>
      <x:c r="I2" s="92"/>
      <x:c r="J2" s="92"/>
      <x:c r="K2" s="92"/>
      <x:c r="L2" s="92"/>
      <x:c r="M2" s="92"/>
      <x:c r="N2" s="92"/>
      <x:c r="O2" s="92"/>
      <x:c r="P2" s="92"/>
      <x:c r="Q2" s="92"/>
      <x:c r="R2" s="92"/>
      <x:c r="S2" s="92"/>
      <x:c r="T2" s="92"/>
      <x:c r="U2" s="56"/>
      <x:c r="V2" s="56"/>
      <x:c r="W2" s="56"/>
      <x:c r="X2" s="56"/>
      <x:c r="Y2" s="56"/>
      <x:c r="Z2" s="56"/>
      <x:c r="AA2" s="56"/>
      <x:c r="AB2" s="56"/>
      <x:c r="AC2" s="56"/>
    </x:row>
    <x:row r="3" spans="1:29" s="2" customFormat="1" ht="15.6" x14ac:dyDescent="0.3">
      <x:c r="B3" s="88" t="str">
        <x:f>+Base45h!B3</x:f>
        <x:v>WEATHER STATION DATA</x:v>
      </x:c>
      <x:c r="C3" s="92"/>
      <x:c r="D3" s="92"/>
      <x:c r="E3" s="92"/>
      <x:c r="F3" s="92"/>
      <x:c r="G3" s="92"/>
      <x:c r="H3" s="92"/>
      <x:c r="I3" s="92"/>
      <x:c r="J3" s="92"/>
      <x:c r="K3" s="92"/>
      <x:c r="L3" s="92"/>
      <x:c r="M3" s="92"/>
      <x:c r="N3" s="92"/>
      <x:c r="O3" s="92"/>
      <x:c r="P3" s="92"/>
      <x:c r="Q3" s="92"/>
      <x:c r="R3" s="92"/>
      <x:c r="S3" s="92"/>
      <x:c r="T3" s="92"/>
      <x:c r="U3" s="56"/>
      <x:c r="V3" s="56"/>
      <x:c r="W3" s="56"/>
      <x:c r="X3" s="56"/>
      <x:c r="Y3" s="56"/>
      <x:c r="Z3" s="56"/>
      <x:c r="AA3" s="56"/>
      <x:c r="AB3" s="56"/>
      <x:c r="AC3" s="56"/>
    </x:row>
    <x:row r="4" spans="1:29" s="2" customFormat="1" ht="15.6" x14ac:dyDescent="0.3">
      <x:c r="B4" s="88" t="str">
        <x:f>+Base45h!B4</x:f>
        <x:v>FOR THE TEST YEAR ENDING DECEMBER 31, 2024</x:v>
      </x:c>
      <x:c r="C4" s="92"/>
      <x:c r="D4" s="92"/>
      <x:c r="E4" s="92"/>
      <x:c r="F4" s="92"/>
      <x:c r="G4" s="92"/>
      <x:c r="H4" s="92"/>
      <x:c r="I4" s="92"/>
      <x:c r="J4" s="92"/>
      <x:c r="K4" s="92"/>
      <x:c r="L4" s="92"/>
      <x:c r="M4" s="92"/>
      <x:c r="N4" s="92"/>
      <x:c r="O4" s="92"/>
      <x:c r="P4" s="92"/>
      <x:c r="Q4" s="92"/>
      <x:c r="R4" s="92"/>
      <x:c r="S4" s="92"/>
      <x:c r="T4" s="92"/>
      <x:c r="U4" s="56"/>
      <x:c r="V4" s="56"/>
      <x:c r="W4" s="56"/>
      <x:c r="X4" s="56"/>
      <x:c r="Y4" s="56"/>
      <x:c r="Z4" s="56"/>
      <x:c r="AA4" s="56"/>
      <x:c r="AB4" s="56"/>
      <x:c r="AC4" s="56"/>
    </x:row>
    <x:row r="5" spans="1:29" s="2" customFormat="1" ht="11.4" x14ac:dyDescent="0.2">
      <x:c r="B5" s="1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7"/>
      <x:c r="V5" s="17"/>
      <x:c r="W5" s="17"/>
      <x:c r="X5" s="17"/>
      <x:c r="Y5" s="17"/>
      <x:c r="Z5" s="17"/>
      <x:c r="AA5" s="17"/>
      <x:c r="AB5" s="17"/>
      <x:c r="AC5" s="17"/>
    </x:row>
    <x:row r="6" spans="1:29" s="2" customFormat="1" ht="15.6" x14ac:dyDescent="0.3">
      <x:c r="B6" s="88" t="str">
        <x:f>+Base45h!B6</x:f>
        <x:v>SPONSOR: D. E. NELSON</x:v>
      </x:c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56"/>
      <x:c r="V6" s="56"/>
      <x:c r="W6" s="56"/>
      <x:c r="X6" s="56"/>
      <x:c r="Y6" s="56"/>
      <x:c r="Z6" s="56"/>
      <x:c r="AA6" s="56"/>
      <x:c r="AB6" s="56"/>
      <x:c r="AC6" s="56"/>
    </x:row>
    <x:row r="7" spans="1:29" ht="24" thickBot="1" x14ac:dyDescent="0.3">
      <x:c r="A7" s="3" t="s">
        <x:v>4</x:v>
      </x:c>
    </x:row>
    <x:row r="9" spans="1:29" x14ac:dyDescent="0.25">
      <x:c r="A9">
        <x:v>1</x:v>
      </x:c>
      <x:c r="B9" s="91" t="s">
        <x:v>120</x:v>
      </x:c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</x:row>
    <x:row r="10" spans="1:29" s="57" customFormat="1" x14ac:dyDescent="0.25">
      <x:c r="A10" s="30">
        <x:f>+A9+1</x:f>
        <x:v>2</x:v>
      </x:c>
      <x:c r="B10" s="31" t="s">
        <x:v>28</x:v>
      </x:c>
      <x:c r="C10" s="31" t="s">
        <x:v>29</x:v>
      </x:c>
      <x:c r="D10" s="31" t="s">
        <x:v>30</x:v>
      </x:c>
      <x:c r="E10" s="31" t="s">
        <x:v>31</x:v>
      </x:c>
      <x:c r="F10" s="31" t="s">
        <x:v>32</x:v>
      </x:c>
      <x:c r="G10" s="31" t="s">
        <x:v>33</x:v>
      </x:c>
      <x:c r="H10" s="31" t="s">
        <x:v>34</x:v>
      </x:c>
      <x:c r="I10" s="31" t="s">
        <x:v>35</x:v>
      </x:c>
      <x:c r="J10" s="31" t="s">
        <x:v>36</x:v>
      </x:c>
      <x:c r="K10" s="31" t="s">
        <x:v>37</x:v>
      </x:c>
      <x:c r="L10" s="31" t="s">
        <x:v>38</x:v>
      </x:c>
      <x:c r="M10" s="31" t="s">
        <x:v>39</x:v>
      </x:c>
      <x:c r="N10" s="31" t="s">
        <x:v>40</x:v>
      </x:c>
      <x:c r="O10" s="31" t="s">
        <x:v>41</x:v>
      </x:c>
      <x:c r="P10" s="31" t="s">
        <x:v>42</x:v>
      </x:c>
      <x:c r="Q10" s="31" t="s">
        <x:v>43</x:v>
      </x:c>
      <x:c r="R10" s="31" t="s">
        <x:v>44</x:v>
      </x:c>
      <x:c r="S10" s="31" t="s">
        <x:v>45</x:v>
      </x:c>
      <x:c r="T10" s="57" t="s">
        <x:v>46</x:v>
      </x:c>
      <x:c r="U10" s="57" t="s">
        <x:v>47</x:v>
      </x:c>
      <x:c r="V10" s="57" t="s">
        <x:v>48</x:v>
      </x:c>
    </x:row>
    <x:row r="11" spans="1:29" x14ac:dyDescent="0.25">
      <x:c r="A11">
        <x:f t="shared" ref="A11:B26" si="0">+A10+1</x:f>
        <x:v>3</x:v>
      </x:c>
      <x:c r="B11" s="11">
        <x:v>45474</x:v>
      </x:c>
      <x:c r="C11">
        <x:v>85</x:v>
      </x:c>
      <x:c r="D11">
        <x:v>83</x:v>
      </x:c>
      <x:c r="E11">
        <x:v>81</x:v>
      </x:c>
      <x:c r="F11">
        <x:v>80</x:v>
      </x:c>
      <x:c r="G11">
        <x:v>80</x:v>
      </x:c>
      <x:c r="H11">
        <x:v>79</x:v>
      </x:c>
      <x:c r="I11">
        <x:v>79</x:v>
      </x:c>
      <x:c r="J11">
        <x:v>81</x:v>
      </x:c>
      <x:c r="K11">
        <x:v>84</x:v>
      </x:c>
      <x:c r="L11">
        <x:v>87</x:v>
      </x:c>
      <x:c r="M11">
        <x:v>90</x:v>
      </x:c>
      <x:c r="N11">
        <x:v>93</x:v>
      </x:c>
      <x:c r="O11">
        <x:v>96</x:v>
      </x:c>
      <x:c r="P11">
        <x:v>98</x:v>
      </x:c>
      <x:c r="Q11">
        <x:v>98</x:v>
      </x:c>
      <x:c r="R11">
        <x:v>100</x:v>
      </x:c>
      <x:c r="S11">
        <x:v>101</x:v>
      </x:c>
      <x:c r="T11">
        <x:v>100</x:v>
      </x:c>
      <x:c r="U11">
        <x:v>99</x:v>
      </x:c>
      <x:c r="V11">
        <x:v>97</x:v>
      </x:c>
    </x:row>
    <x:row r="12" spans="1:29" x14ac:dyDescent="0.25">
      <x:c r="A12">
        <x:f t="shared" si="0"/>
        <x:v>4</x:v>
      </x:c>
      <x:c r="B12" s="11">
        <x:f>+B11+1</x:f>
        <x:v>45475</x:v>
      </x:c>
      <x:c r="C12">
        <x:v>87</x:v>
      </x:c>
      <x:c r="D12">
        <x:v>86</x:v>
      </x:c>
      <x:c r="E12">
        <x:v>83</x:v>
      </x:c>
      <x:c r="F12">
        <x:v>78</x:v>
      </x:c>
      <x:c r="G12">
        <x:v>78</x:v>
      </x:c>
      <x:c r="H12">
        <x:v>80</x:v>
      </x:c>
      <x:c r="I12">
        <x:v>80</x:v>
      </x:c>
      <x:c r="J12">
        <x:v>81</x:v>
      </x:c>
      <x:c r="K12">
        <x:v>84</x:v>
      </x:c>
      <x:c r="L12">
        <x:v>87</x:v>
      </x:c>
      <x:c r="M12">
        <x:v>90</x:v>
      </x:c>
      <x:c r="N12">
        <x:v>93</x:v>
      </x:c>
      <x:c r="O12">
        <x:v>97</x:v>
      </x:c>
      <x:c r="P12">
        <x:v>98</x:v>
      </x:c>
      <x:c r="Q12">
        <x:v>101</x:v>
      </x:c>
      <x:c r="R12">
        <x:v>103</x:v>
      </x:c>
      <x:c r="S12">
        <x:v>103</x:v>
      </x:c>
      <x:c r="T12">
        <x:v>103</x:v>
      </x:c>
      <x:c r="U12">
        <x:v>100</x:v>
      </x:c>
      <x:c r="V12">
        <x:v>99</x:v>
      </x:c>
    </x:row>
    <x:row r="13" spans="1:29" x14ac:dyDescent="0.25">
      <x:c r="A13">
        <x:f t="shared" si="0"/>
        <x:v>5</x:v>
      </x:c>
      <x:c r="B13" s="11">
        <x:f t="shared" si="0"/>
        <x:v>45476</x:v>
      </x:c>
      <x:c r="C13">
        <x:v>87</x:v>
      </x:c>
      <x:c r="D13">
        <x:v>85</x:v>
      </x:c>
      <x:c r="E13">
        <x:v>84</x:v>
      </x:c>
      <x:c r="F13">
        <x:v>84</x:v>
      </x:c>
      <x:c r="G13">
        <x:v>82</x:v>
      </x:c>
      <x:c r="H13">
        <x:v>80</x:v>
      </x:c>
      <x:c r="I13">
        <x:v>78</x:v>
      </x:c>
      <x:c r="J13">
        <x:v>80</x:v>
      </x:c>
      <x:c r="K13">
        <x:v>84</x:v>
      </x:c>
      <x:c r="L13">
        <x:v>87</x:v>
      </x:c>
      <x:c r="M13">
        <x:v>89</x:v>
      </x:c>
      <x:c r="N13">
        <x:v>93</x:v>
      </x:c>
      <x:c r="O13">
        <x:v>95</x:v>
      </x:c>
      <x:c r="P13">
        <x:v>97</x:v>
      </x:c>
      <x:c r="Q13">
        <x:v>98</x:v>
      </x:c>
      <x:c r="R13">
        <x:v>99</x:v>
      </x:c>
      <x:c r="S13">
        <x:v>100</x:v>
      </x:c>
      <x:c r="T13">
        <x:v>100</x:v>
      </x:c>
      <x:c r="U13">
        <x:v>99</x:v>
      </x:c>
      <x:c r="V13">
        <x:v>97</x:v>
      </x:c>
    </x:row>
    <x:row r="14" spans="1:29" x14ac:dyDescent="0.25">
      <x:c r="A14">
        <x:f t="shared" si="0"/>
        <x:v>6</x:v>
      </x:c>
      <x:c r="B14" s="11">
        <x:f t="shared" si="0"/>
        <x:v>45477</x:v>
      </x:c>
      <x:c r="C14">
        <x:v>85</x:v>
      </x:c>
      <x:c r="D14">
        <x:v>85</x:v>
      </x:c>
      <x:c r="E14">
        <x:v>84</x:v>
      </x:c>
      <x:c r="F14">
        <x:v>83</x:v>
      </x:c>
      <x:c r="G14">
        <x:v>82</x:v>
      </x:c>
      <x:c r="H14">
        <x:v>81</x:v>
      </x:c>
      <x:c r="I14">
        <x:v>78</x:v>
      </x:c>
      <x:c r="J14">
        <x:v>81</x:v>
      </x:c>
      <x:c r="K14">
        <x:v>84</x:v>
      </x:c>
      <x:c r="L14">
        <x:v>87</x:v>
      </x:c>
      <x:c r="M14">
        <x:v>90</x:v>
      </x:c>
      <x:c r="N14">
        <x:v>93</x:v>
      </x:c>
      <x:c r="O14">
        <x:v>97</x:v>
      </x:c>
      <x:c r="P14">
        <x:v>98</x:v>
      </x:c>
      <x:c r="Q14">
        <x:v>100</x:v>
      </x:c>
      <x:c r="R14">
        <x:v>101</x:v>
      </x:c>
      <x:c r="S14">
        <x:v>100</x:v>
      </x:c>
      <x:c r="T14">
        <x:v>101</x:v>
      </x:c>
      <x:c r="U14">
        <x:v>99</x:v>
      </x:c>
      <x:c r="V14">
        <x:v>99</x:v>
      </x:c>
    </x:row>
    <x:row r="15" spans="1:29" x14ac:dyDescent="0.25">
      <x:c r="A15">
        <x:f t="shared" si="0"/>
        <x:v>7</x:v>
      </x:c>
      <x:c r="B15" s="11">
        <x:f t="shared" si="0"/>
        <x:v>45478</x:v>
      </x:c>
      <x:c r="C15">
        <x:v>85</x:v>
      </x:c>
      <x:c r="D15">
        <x:v>84</x:v>
      </x:c>
      <x:c r="E15">
        <x:v>83</x:v>
      </x:c>
      <x:c r="F15">
        <x:v>82</x:v>
      </x:c>
      <x:c r="G15">
        <x:v>82</x:v>
      </x:c>
      <x:c r="H15">
        <x:v>81</x:v>
      </x:c>
      <x:c r="I15">
        <x:v>81</x:v>
      </x:c>
      <x:c r="J15">
        <x:v>81</x:v>
      </x:c>
      <x:c r="K15">
        <x:v>83</x:v>
      </x:c>
      <x:c r="L15">
        <x:v>84</x:v>
      </x:c>
      <x:c r="M15">
        <x:v>85</x:v>
      </x:c>
      <x:c r="N15">
        <x:v>86</x:v>
      </x:c>
      <x:c r="O15">
        <x:v>88</x:v>
      </x:c>
      <x:c r="P15">
        <x:v>87</x:v>
      </x:c>
      <x:c r="Q15">
        <x:v>75</x:v>
      </x:c>
      <x:c r="R15">
        <x:v>81</x:v>
      </x:c>
      <x:c r="S15">
        <x:v>82</x:v>
      </x:c>
      <x:c r="T15">
        <x:v>84</x:v>
      </x:c>
      <x:c r="U15">
        <x:v>84</x:v>
      </x:c>
      <x:c r="V15">
        <x:v>81</x:v>
      </x:c>
    </x:row>
    <x:row r="16" spans="1:29" x14ac:dyDescent="0.25">
      <x:c r="A16">
        <x:f t="shared" si="0"/>
        <x:v>8</x:v>
      </x:c>
      <x:c r="B16" s="11">
        <x:f t="shared" si="0"/>
        <x:v>45479</x:v>
      </x:c>
      <x:c r="C16">
        <x:v>70</x:v>
      </x:c>
      <x:c r="D16">
        <x:v>69</x:v>
      </x:c>
      <x:c r="E16">
        <x:v>69</x:v>
      </x:c>
      <x:c r="F16">
        <x:v>68</x:v>
      </x:c>
      <x:c r="G16">
        <x:v>69</x:v>
      </x:c>
      <x:c r="H16">
        <x:v>68</x:v>
      </x:c>
      <x:c r="I16">
        <x:v>69</x:v>
      </x:c>
      <x:c r="J16">
        <x:v>70</x:v>
      </x:c>
      <x:c r="K16">
        <x:v>73</x:v>
      </x:c>
      <x:c r="L16">
        <x:v>75</x:v>
      </x:c>
      <x:c r="M16">
        <x:v>81</x:v>
      </x:c>
      <x:c r="N16">
        <x:v>85</x:v>
      </x:c>
      <x:c r="O16">
        <x:v>88</x:v>
      </x:c>
      <x:c r="P16">
        <x:v>91</x:v>
      </x:c>
      <x:c r="Q16">
        <x:v>94</x:v>
      </x:c>
      <x:c r="R16">
        <x:v>94</x:v>
      </x:c>
      <x:c r="S16">
        <x:v>93</x:v>
      </x:c>
      <x:c r="T16">
        <x:v>94</x:v>
      </x:c>
      <x:c r="U16">
        <x:v>84</x:v>
      </x:c>
      <x:c r="V16">
        <x:v>80</x:v>
      </x:c>
    </x:row>
    <x:row r="17" spans="1:22" x14ac:dyDescent="0.25">
      <x:c r="A17">
        <x:f t="shared" si="0"/>
        <x:v>9</x:v>
      </x:c>
      <x:c r="B17" s="11">
        <x:f t="shared" si="0"/>
        <x:v>45480</x:v>
      </x:c>
      <x:c r="C17">
        <x:v>71</x:v>
      </x:c>
      <x:c r="D17">
        <x:v>69</x:v>
      </x:c>
      <x:c r="E17">
        <x:v>69</x:v>
      </x:c>
      <x:c r="F17">
        <x:v>70</x:v>
      </x:c>
      <x:c r="G17">
        <x:v>70</x:v>
      </x:c>
      <x:c r="H17">
        <x:v>67</x:v>
      </x:c>
      <x:c r="I17">
        <x:v>70</x:v>
      </x:c>
      <x:c r="J17">
        <x:v>74</x:v>
      </x:c>
      <x:c r="K17">
        <x:v>80</x:v>
      </x:c>
      <x:c r="L17">
        <x:v>84</x:v>
      </x:c>
      <x:c r="M17">
        <x:v>87</x:v>
      </x:c>
      <x:c r="N17">
        <x:v>90</x:v>
      </x:c>
      <x:c r="O17">
        <x:v>92</x:v>
      </x:c>
      <x:c r="P17">
        <x:v>95</x:v>
      </x:c>
      <x:c r="Q17">
        <x:v>95</x:v>
      </x:c>
      <x:c r="R17">
        <x:v>97</x:v>
      </x:c>
      <x:c r="S17">
        <x:v>96</x:v>
      </x:c>
      <x:c r="T17">
        <x:v>96</x:v>
      </x:c>
      <x:c r="U17">
        <x:v>94</x:v>
      </x:c>
      <x:c r="V17">
        <x:v>92</x:v>
      </x:c>
    </x:row>
    <x:row r="18" spans="1:22" x14ac:dyDescent="0.25">
      <x:c r="A18">
        <x:f t="shared" si="0"/>
        <x:v>10</x:v>
      </x:c>
      <x:c r="B18" s="11">
        <x:f t="shared" si="0"/>
        <x:v>45481</x:v>
      </x:c>
      <x:c r="C18">
        <x:v>69</x:v>
      </x:c>
      <x:c r="D18">
        <x:v>69</x:v>
      </x:c>
      <x:c r="E18">
        <x:v>69</x:v>
      </x:c>
      <x:c r="F18">
        <x:v>69</x:v>
      </x:c>
      <x:c r="G18">
        <x:v>70</x:v>
      </x:c>
      <x:c r="H18">
        <x:v>68</x:v>
      </x:c>
      <x:c r="I18">
        <x:v>69</x:v>
      </x:c>
      <x:c r="J18">
        <x:v>70</x:v>
      </x:c>
      <x:c r="K18">
        <x:v>73</x:v>
      </x:c>
      <x:c r="L18">
        <x:v>75</x:v>
      </x:c>
      <x:c r="M18">
        <x:v>78</x:v>
      </x:c>
      <x:c r="N18">
        <x:v>80</x:v>
      </x:c>
      <x:c r="O18">
        <x:v>84</x:v>
      </x:c>
      <x:c r="P18">
        <x:v>88</x:v>
      </x:c>
      <x:c r="Q18">
        <x:v>89</x:v>
      </x:c>
      <x:c r="R18">
        <x:v>90</x:v>
      </x:c>
      <x:c r="S18">
        <x:v>91</x:v>
      </x:c>
      <x:c r="T18">
        <x:v>90</x:v>
      </x:c>
      <x:c r="U18">
        <x:v>89</x:v>
      </x:c>
      <x:c r="V18">
        <x:v>86</x:v>
      </x:c>
    </x:row>
    <x:row r="19" spans="1:22" x14ac:dyDescent="0.25">
      <x:c r="A19">
        <x:f t="shared" si="0"/>
        <x:v>11</x:v>
      </x:c>
      <x:c r="B19" s="11">
        <x:f t="shared" si="0"/>
        <x:v>45482</x:v>
      </x:c>
      <x:c r="C19">
        <x:v>73</x:v>
      </x:c>
      <x:c r="D19">
        <x:v>74</x:v>
      </x:c>
      <x:c r="E19">
        <x:v>70</x:v>
      </x:c>
      <x:c r="F19">
        <x:v>70</x:v>
      </x:c>
      <x:c r="G19">
        <x:v>69</x:v>
      </x:c>
      <x:c r="H19">
        <x:v>70</x:v>
      </x:c>
      <x:c r="I19">
        <x:v>70</x:v>
      </x:c>
      <x:c r="J19">
        <x:v>72</x:v>
      </x:c>
      <x:c r="K19">
        <x:v>78</x:v>
      </x:c>
      <x:c r="L19">
        <x:v>83</x:v>
      </x:c>
      <x:c r="M19">
        <x:v>88</x:v>
      </x:c>
      <x:c r="N19">
        <x:v>90</x:v>
      </x:c>
      <x:c r="O19">
        <x:v>92</x:v>
      </x:c>
      <x:c r="P19">
        <x:v>93</x:v>
      </x:c>
      <x:c r="Q19">
        <x:v>92</x:v>
      </x:c>
      <x:c r="R19">
        <x:v>95</x:v>
      </x:c>
      <x:c r="S19">
        <x:v>95</x:v>
      </x:c>
      <x:c r="T19">
        <x:v>96</x:v>
      </x:c>
      <x:c r="U19">
        <x:v>93</x:v>
      </x:c>
      <x:c r="V19">
        <x:v>92</x:v>
      </x:c>
    </x:row>
    <x:row r="20" spans="1:22" x14ac:dyDescent="0.25">
      <x:c r="A20">
        <x:f t="shared" si="0"/>
        <x:v>12</x:v>
      </x:c>
      <x:c r="B20" s="11">
        <x:f t="shared" si="0"/>
        <x:v>45483</x:v>
      </x:c>
      <x:c r="C20">
        <x:v>76</x:v>
      </x:c>
      <x:c r="D20">
        <x:v>76</x:v>
      </x:c>
      <x:c r="E20">
        <x:v>75</x:v>
      </x:c>
      <x:c r="F20">
        <x:v>74</x:v>
      </x:c>
      <x:c r="G20">
        <x:v>76</x:v>
      </x:c>
      <x:c r="H20">
        <x:v>74</x:v>
      </x:c>
      <x:c r="I20">
        <x:v>74</x:v>
      </x:c>
      <x:c r="J20">
        <x:v>76</x:v>
      </x:c>
      <x:c r="K20">
        <x:v>82</x:v>
      </x:c>
      <x:c r="L20">
        <x:v>85</x:v>
      </x:c>
      <x:c r="M20">
        <x:v>90</x:v>
      </x:c>
      <x:c r="N20">
        <x:v>92</x:v>
      </x:c>
      <x:c r="O20">
        <x:v>95</x:v>
      </x:c>
      <x:c r="P20">
        <x:v>94</x:v>
      </x:c>
      <x:c r="Q20">
        <x:v>93</x:v>
      </x:c>
      <x:c r="R20">
        <x:v>96</x:v>
      </x:c>
      <x:c r="S20">
        <x:v>96</x:v>
      </x:c>
      <x:c r="T20">
        <x:v>96</x:v>
      </x:c>
      <x:c r="U20">
        <x:v>95</x:v>
      </x:c>
      <x:c r="V20">
        <x:v>94</x:v>
      </x:c>
    </x:row>
    <x:row r="21" spans="1:22" x14ac:dyDescent="0.25">
      <x:c r="A21">
        <x:f t="shared" si="0"/>
        <x:v>13</x:v>
      </x:c>
      <x:c r="B21" s="11">
        <x:f t="shared" si="0"/>
        <x:v>45484</x:v>
      </x:c>
      <x:c r="C21">
        <x:v>78</x:v>
      </x:c>
      <x:c r="D21">
        <x:v>79</x:v>
      </x:c>
      <x:c r="E21">
        <x:v>78</x:v>
      </x:c>
      <x:c r="F21">
        <x:v>78</x:v>
      </x:c>
      <x:c r="G21">
        <x:v>76</x:v>
      </x:c>
      <x:c r="H21">
        <x:v>75</x:v>
      </x:c>
      <x:c r="I21">
        <x:v>75</x:v>
      </x:c>
      <x:c r="J21">
        <x:v>76</x:v>
      </x:c>
      <x:c r="K21">
        <x:v>80</x:v>
      </x:c>
      <x:c r="L21">
        <x:v>86</x:v>
      </x:c>
      <x:c r="M21">
        <x:v>89</x:v>
      </x:c>
      <x:c r="N21">
        <x:v>92</x:v>
      </x:c>
      <x:c r="O21">
        <x:v>93</x:v>
      </x:c>
      <x:c r="P21">
        <x:v>97</x:v>
      </x:c>
      <x:c r="Q21">
        <x:v>96</x:v>
      </x:c>
      <x:c r="R21">
        <x:v>97</x:v>
      </x:c>
      <x:c r="S21">
        <x:v>97</x:v>
      </x:c>
      <x:c r="T21">
        <x:v>97</x:v>
      </x:c>
      <x:c r="U21">
        <x:v>95</x:v>
      </x:c>
      <x:c r="V21">
        <x:v>93</x:v>
      </x:c>
    </x:row>
    <x:row r="22" spans="1:22" x14ac:dyDescent="0.25">
      <x:c r="A22">
        <x:f t="shared" si="0"/>
        <x:v>14</x:v>
      </x:c>
      <x:c r="B22" s="11">
        <x:f t="shared" si="0"/>
        <x:v>45485</x:v>
      </x:c>
      <x:c r="C22">
        <x:v>80</x:v>
      </x:c>
      <x:c r="D22">
        <x:v>78</x:v>
      </x:c>
      <x:c r="E22">
        <x:v>77</x:v>
      </x:c>
      <x:c r="F22">
        <x:v>74</x:v>
      </x:c>
      <x:c r="G22">
        <x:v>73</x:v>
      </x:c>
      <x:c r="H22">
        <x:v>73</x:v>
      </x:c>
      <x:c r="I22">
        <x:v>73</x:v>
      </x:c>
      <x:c r="J22">
        <x:v>77</x:v>
      </x:c>
      <x:c r="K22">
        <x:v>81</x:v>
      </x:c>
      <x:c r="L22">
        <x:v>86</x:v>
      </x:c>
      <x:c r="M22">
        <x:v>88</x:v>
      </x:c>
      <x:c r="N22">
        <x:v>90</x:v>
      </x:c>
      <x:c r="O22">
        <x:v>92</x:v>
      </x:c>
      <x:c r="P22">
        <x:v>94</x:v>
      </x:c>
      <x:c r="Q22">
        <x:v>97</x:v>
      </x:c>
      <x:c r="R22">
        <x:v>97</x:v>
      </x:c>
      <x:c r="S22">
        <x:v>97</x:v>
      </x:c>
      <x:c r="T22">
        <x:v>96</x:v>
      </x:c>
      <x:c r="U22">
        <x:v>95</x:v>
      </x:c>
      <x:c r="V22">
        <x:v>93</x:v>
      </x:c>
    </x:row>
    <x:row r="23" spans="1:22" x14ac:dyDescent="0.25">
      <x:c r="A23">
        <x:f t="shared" si="0"/>
        <x:v>15</x:v>
      </x:c>
      <x:c r="B23" s="11">
        <x:f t="shared" si="0"/>
        <x:v>45486</x:v>
      </x:c>
      <x:c r="C23">
        <x:v>78</x:v>
      </x:c>
      <x:c r="D23">
        <x:v>76</x:v>
      </x:c>
      <x:c r="E23">
        <x:v>75</x:v>
      </x:c>
      <x:c r="F23">
        <x:v>74</x:v>
      </x:c>
      <x:c r="G23">
        <x:v>73</x:v>
      </x:c>
      <x:c r="H23">
        <x:v>72</x:v>
      </x:c>
      <x:c r="I23">
        <x:v>73</x:v>
      </x:c>
      <x:c r="J23">
        <x:v>75</x:v>
      </x:c>
      <x:c r="K23">
        <x:v>79</x:v>
      </x:c>
      <x:c r="L23">
        <x:v>82</x:v>
      </x:c>
      <x:c r="M23">
        <x:v>86</x:v>
      </x:c>
      <x:c r="N23">
        <x:v>88</x:v>
      </x:c>
      <x:c r="O23">
        <x:v>91</x:v>
      </x:c>
      <x:c r="P23">
        <x:v>93</x:v>
      </x:c>
      <x:c r="Q23">
        <x:v>94</x:v>
      </x:c>
      <x:c r="R23">
        <x:v>95</x:v>
      </x:c>
      <x:c r="S23">
        <x:v>96</x:v>
      </x:c>
      <x:c r="T23">
        <x:v>97</x:v>
      </x:c>
      <x:c r="U23">
        <x:v>96</x:v>
      </x:c>
      <x:c r="V23">
        <x:v>92</x:v>
      </x:c>
    </x:row>
    <x:row r="24" spans="1:22" s="18" customFormat="1" x14ac:dyDescent="0.25">
      <x:c r="A24" s="18">
        <x:f t="shared" si="0"/>
        <x:v>16</x:v>
      </x:c>
      <x:c r="B24" s="11">
        <x:f t="shared" si="0"/>
        <x:v>45487</x:v>
      </x:c>
      <x:c r="C24">
        <x:v>82</x:v>
      </x:c>
      <x:c r="D24">
        <x:v>81</x:v>
      </x:c>
      <x:c r="E24">
        <x:v>80</x:v>
      </x:c>
      <x:c r="F24">
        <x:v>78</x:v>
      </x:c>
      <x:c r="G24">
        <x:v>77</x:v>
      </x:c>
      <x:c r="H24">
        <x:v>76</x:v>
      </x:c>
      <x:c r="I24">
        <x:v>76</x:v>
      </x:c>
      <x:c r="J24">
        <x:v>77</x:v>
      </x:c>
      <x:c r="K24">
        <x:v>81</x:v>
      </x:c>
      <x:c r="L24">
        <x:v>84</x:v>
      </x:c>
      <x:c r="M24">
        <x:v>87</x:v>
      </x:c>
      <x:c r="N24">
        <x:v>90</x:v>
      </x:c>
      <x:c r="O24">
        <x:v>92</x:v>
      </x:c>
      <x:c r="P24">
        <x:v>94</x:v>
      </x:c>
      <x:c r="Q24">
        <x:v>96</x:v>
      </x:c>
      <x:c r="R24">
        <x:v>98</x:v>
      </x:c>
      <x:c r="S24">
        <x:v>99</x:v>
      </x:c>
      <x:c r="T24">
        <x:v>99</x:v>
      </x:c>
      <x:c r="U24">
        <x:v>97</x:v>
      </x:c>
      <x:c r="V24">
        <x:v>96</x:v>
      </x:c>
    </x:row>
    <x:row r="25" spans="1:22" x14ac:dyDescent="0.25">
      <x:c r="A25">
        <x:f t="shared" si="0"/>
        <x:v>17</x:v>
      </x:c>
      <x:c r="B25" s="11">
        <x:f t="shared" si="0"/>
        <x:v>45488</x:v>
      </x:c>
      <x:c r="C25">
        <x:v>85</x:v>
      </x:c>
      <x:c r="D25">
        <x:v>84</x:v>
      </x:c>
      <x:c r="E25">
        <x:v>82</x:v>
      </x:c>
      <x:c r="F25">
        <x:v>81</x:v>
      </x:c>
      <x:c r="G25">
        <x:v>80</x:v>
      </x:c>
      <x:c r="H25">
        <x:v>79</x:v>
      </x:c>
      <x:c r="I25">
        <x:v>78</x:v>
      </x:c>
      <x:c r="J25">
        <x:v>79</x:v>
      </x:c>
      <x:c r="K25">
        <x:v>82</x:v>
      </x:c>
      <x:c r="L25">
        <x:v>86</x:v>
      </x:c>
      <x:c r="M25">
        <x:v>90</x:v>
      </x:c>
      <x:c r="N25">
        <x:v>93</x:v>
      </x:c>
      <x:c r="O25">
        <x:v>95</x:v>
      </x:c>
      <x:c r="P25">
        <x:v>97</x:v>
      </x:c>
      <x:c r="Q25">
        <x:v>99</x:v>
      </x:c>
      <x:c r="R25">
        <x:v>101</x:v>
      </x:c>
      <x:c r="S25">
        <x:v>101</x:v>
      </x:c>
      <x:c r="T25">
        <x:v>103</x:v>
      </x:c>
      <x:c r="U25">
        <x:v>101</x:v>
      </x:c>
      <x:c r="V25">
        <x:v>98</x:v>
      </x:c>
    </x:row>
    <x:row r="26" spans="1:22" x14ac:dyDescent="0.25">
      <x:c r="A26">
        <x:f t="shared" si="0"/>
        <x:v>18</x:v>
      </x:c>
      <x:c r="B26" s="11">
        <x:f t="shared" si="0"/>
        <x:v>45489</x:v>
      </x:c>
      <x:c r="C26">
        <x:v>85</x:v>
      </x:c>
      <x:c r="D26">
        <x:v>84</x:v>
      </x:c>
      <x:c r="E26">
        <x:v>83</x:v>
      </x:c>
      <x:c r="F26">
        <x:v>82</x:v>
      </x:c>
      <x:c r="G26">
        <x:v>83</x:v>
      </x:c>
      <x:c r="H26">
        <x:v>81</x:v>
      </x:c>
      <x:c r="I26">
        <x:v>80</x:v>
      </x:c>
      <x:c r="J26">
        <x:v>81</x:v>
      </x:c>
      <x:c r="K26">
        <x:v>83</x:v>
      </x:c>
      <x:c r="L26">
        <x:v>87</x:v>
      </x:c>
      <x:c r="M26">
        <x:v>90</x:v>
      </x:c>
      <x:c r="N26">
        <x:v>94</x:v>
      </x:c>
      <x:c r="O26">
        <x:v>96</x:v>
      </x:c>
      <x:c r="P26">
        <x:v>98</x:v>
      </x:c>
      <x:c r="Q26">
        <x:v>102</x:v>
      </x:c>
      <x:c r="R26">
        <x:v>101</x:v>
      </x:c>
      <x:c r="S26">
        <x:v>102</x:v>
      </x:c>
      <x:c r="T26">
        <x:v>100</x:v>
      </x:c>
      <x:c r="U26">
        <x:v>101</x:v>
      </x:c>
      <x:c r="V26">
        <x:v>98</x:v>
      </x:c>
    </x:row>
    <x:row r="27" spans="1:22" x14ac:dyDescent="0.25">
      <x:c r="A27">
        <x:f t="shared" ref="A27:B42" si="1">+A26+1</x:f>
        <x:v>19</x:v>
      </x:c>
      <x:c r="B27" s="11">
        <x:f t="shared" si="1"/>
        <x:v>45490</x:v>
      </x:c>
      <x:c r="C27">
        <x:v>84</x:v>
      </x:c>
      <x:c r="D27">
        <x:v>85</x:v>
      </x:c>
      <x:c r="E27">
        <x:v>86</x:v>
      </x:c>
      <x:c r="F27">
        <x:v>85</x:v>
      </x:c>
      <x:c r="G27">
        <x:v>85</x:v>
      </x:c>
      <x:c r="H27">
        <x:v>82</x:v>
      </x:c>
      <x:c r="I27">
        <x:v>80</x:v>
      </x:c>
      <x:c r="J27">
        <x:v>81</x:v>
      </x:c>
      <x:c r="K27">
        <x:v>85</x:v>
      </x:c>
      <x:c r="L27">
        <x:v>87</x:v>
      </x:c>
      <x:c r="M27">
        <x:v>90</x:v>
      </x:c>
      <x:c r="N27">
        <x:v>92</x:v>
      </x:c>
      <x:c r="O27">
        <x:v>92</x:v>
      </x:c>
      <x:c r="P27">
        <x:v>96</x:v>
      </x:c>
      <x:c r="Q27">
        <x:v>94</x:v>
      </x:c>
      <x:c r="R27">
        <x:v>92</x:v>
      </x:c>
      <x:c r="S27">
        <x:v>90</x:v>
      </x:c>
      <x:c r="T27">
        <x:v>90</x:v>
      </x:c>
      <x:c r="U27">
        <x:v>90</x:v>
      </x:c>
      <x:c r="V27">
        <x:v>86</x:v>
      </x:c>
    </x:row>
    <x:row r="28" spans="1:22" s="18" customFormat="1" x14ac:dyDescent="0.25">
      <x:c r="A28" s="18">
        <x:f t="shared" si="1"/>
        <x:v>20</x:v>
      </x:c>
      <x:c r="B28" s="11">
        <x:f t="shared" si="1"/>
        <x:v>45491</x:v>
      </x:c>
      <x:c r="C28">
        <x:v>78</x:v>
      </x:c>
      <x:c r="D28">
        <x:v>76</x:v>
      </x:c>
      <x:c r="E28">
        <x:v>75</x:v>
      </x:c>
      <x:c r="F28">
        <x:v>76</x:v>
      </x:c>
      <x:c r="G28">
        <x:v>74</x:v>
      </x:c>
      <x:c r="H28">
        <x:v>73</x:v>
      </x:c>
      <x:c r="I28">
        <x:v>72</x:v>
      </x:c>
      <x:c r="J28">
        <x:v>73</x:v>
      </x:c>
      <x:c r="K28">
        <x:v>79</x:v>
      </x:c>
      <x:c r="L28">
        <x:v>82</x:v>
      </x:c>
      <x:c r="M28">
        <x:v>84</x:v>
      </x:c>
      <x:c r="N28">
        <x:v>88</x:v>
      </x:c>
      <x:c r="O28">
        <x:v>90</x:v>
      </x:c>
      <x:c r="P28">
        <x:v>91</x:v>
      </x:c>
      <x:c r="Q28">
        <x:v>93</x:v>
      </x:c>
      <x:c r="R28">
        <x:v>93</x:v>
      </x:c>
      <x:c r="S28">
        <x:v>94</x:v>
      </x:c>
      <x:c r="T28">
        <x:v>94</x:v>
      </x:c>
      <x:c r="U28">
        <x:v>93</x:v>
      </x:c>
      <x:c r="V28">
        <x:v>91</x:v>
      </x:c>
    </x:row>
    <x:row r="29" spans="1:22" x14ac:dyDescent="0.25">
      <x:c r="A29">
        <x:f t="shared" si="1"/>
        <x:v>21</x:v>
      </x:c>
      <x:c r="B29" s="11">
        <x:f t="shared" si="1"/>
        <x:v>45492</x:v>
      </x:c>
      <x:c r="C29">
        <x:v>78</x:v>
      </x:c>
      <x:c r="D29">
        <x:v>73</x:v>
      </x:c>
      <x:c r="E29">
        <x:v>75</x:v>
      </x:c>
      <x:c r="F29">
        <x:v>71</x:v>
      </x:c>
      <x:c r="G29">
        <x:v>72</x:v>
      </x:c>
      <x:c r="H29">
        <x:v>70</x:v>
      </x:c>
      <x:c r="I29">
        <x:v>67</x:v>
      </x:c>
      <x:c r="J29">
        <x:v>72</x:v>
      </x:c>
      <x:c r="K29">
        <x:v>80</x:v>
      </x:c>
      <x:c r="L29">
        <x:v>82</x:v>
      </x:c>
      <x:c r="M29">
        <x:v>86</x:v>
      </x:c>
      <x:c r="N29">
        <x:v>89</x:v>
      </x:c>
      <x:c r="O29">
        <x:v>91</x:v>
      </x:c>
      <x:c r="P29">
        <x:v>93</x:v>
      </x:c>
      <x:c r="Q29">
        <x:v>93</x:v>
      </x:c>
      <x:c r="R29">
        <x:v>93</x:v>
      </x:c>
      <x:c r="S29">
        <x:v>94</x:v>
      </x:c>
      <x:c r="T29">
        <x:v>91</x:v>
      </x:c>
      <x:c r="U29">
        <x:v>92</x:v>
      </x:c>
      <x:c r="V29">
        <x:v>92</x:v>
      </x:c>
    </x:row>
    <x:row r="30" spans="1:22" x14ac:dyDescent="0.25">
      <x:c r="A30">
        <x:f t="shared" si="1"/>
        <x:v>22</x:v>
      </x:c>
      <x:c r="B30" s="11">
        <x:f t="shared" si="1"/>
        <x:v>45493</x:v>
      </x:c>
      <x:c r="C30">
        <x:v>77</x:v>
      </x:c>
      <x:c r="D30">
        <x:v>77</x:v>
      </x:c>
      <x:c r="E30">
        <x:v>75</x:v>
      </x:c>
      <x:c r="F30">
        <x:v>75</x:v>
      </x:c>
      <x:c r="G30">
        <x:v>75</x:v>
      </x:c>
      <x:c r="H30">
        <x:v>75</x:v>
      </x:c>
      <x:c r="I30">
        <x:v>73</x:v>
      </x:c>
      <x:c r="J30">
        <x:v>75</x:v>
      </x:c>
      <x:c r="K30">
        <x:v>79</x:v>
      </x:c>
      <x:c r="L30">
        <x:v>82</x:v>
      </x:c>
      <x:c r="M30">
        <x:v>88</x:v>
      </x:c>
      <x:c r="N30">
        <x:v>91</x:v>
      </x:c>
      <x:c r="O30">
        <x:v>93</x:v>
      </x:c>
      <x:c r="P30">
        <x:v>97</x:v>
      </x:c>
      <x:c r="Q30">
        <x:v>97</x:v>
      </x:c>
      <x:c r="R30">
        <x:v>95</x:v>
      </x:c>
      <x:c r="S30">
        <x:v>82</x:v>
      </x:c>
      <x:c r="T30">
        <x:v>81</x:v>
      </x:c>
      <x:c r="U30">
        <x:v>75</x:v>
      </x:c>
      <x:c r="V30">
        <x:v>74</x:v>
      </x:c>
    </x:row>
    <x:row r="31" spans="1:22" x14ac:dyDescent="0.25">
      <x:c r="A31">
        <x:f t="shared" si="1"/>
        <x:v>23</x:v>
      </x:c>
      <x:c r="B31" s="11">
        <x:f t="shared" si="1"/>
        <x:v>45494</x:v>
      </x:c>
      <x:c r="C31">
        <x:v>73</x:v>
      </x:c>
      <x:c r="D31">
        <x:v>73</x:v>
      </x:c>
      <x:c r="E31">
        <x:v>72</x:v>
      </x:c>
      <x:c r="F31">
        <x:v>70</x:v>
      </x:c>
      <x:c r="G31">
        <x:v>70</x:v>
      </x:c>
      <x:c r="H31">
        <x:v>70</x:v>
      </x:c>
      <x:c r="I31">
        <x:v>71</x:v>
      </x:c>
      <x:c r="J31">
        <x:v>71</x:v>
      </x:c>
      <x:c r="K31">
        <x:v>74</x:v>
      </x:c>
      <x:c r="L31">
        <x:v>81</x:v>
      </x:c>
      <x:c r="M31">
        <x:v>85</x:v>
      </x:c>
      <x:c r="N31">
        <x:v>89</x:v>
      </x:c>
      <x:c r="O31">
        <x:v>91</x:v>
      </x:c>
      <x:c r="P31">
        <x:v>93</x:v>
      </x:c>
      <x:c r="Q31">
        <x:v>94</x:v>
      </x:c>
      <x:c r="R31">
        <x:v>94</x:v>
      </x:c>
      <x:c r="S31">
        <x:v>96</x:v>
      </x:c>
      <x:c r="T31">
        <x:v>93</x:v>
      </x:c>
      <x:c r="U31">
        <x:v>89</x:v>
      </x:c>
      <x:c r="V31">
        <x:v>80</x:v>
      </x:c>
    </x:row>
    <x:row r="32" spans="1:22" x14ac:dyDescent="0.25">
      <x:c r="A32">
        <x:f t="shared" si="1"/>
        <x:v>24</x:v>
      </x:c>
      <x:c r="B32" s="11">
        <x:f t="shared" si="1"/>
        <x:v>45495</x:v>
      </x:c>
      <x:c r="C32">
        <x:v>76</x:v>
      </x:c>
      <x:c r="D32">
        <x:v>75</x:v>
      </x:c>
      <x:c r="E32">
        <x:v>75</x:v>
      </x:c>
      <x:c r="F32">
        <x:v>74</x:v>
      </x:c>
      <x:c r="G32">
        <x:v>76</x:v>
      </x:c>
      <x:c r="H32">
        <x:v>74</x:v>
      </x:c>
      <x:c r="I32">
        <x:v>74</x:v>
      </x:c>
      <x:c r="J32">
        <x:v>74</x:v>
      </x:c>
      <x:c r="K32">
        <x:v>74</x:v>
      </x:c>
      <x:c r="L32">
        <x:v>76</x:v>
      </x:c>
      <x:c r="M32">
        <x:v>77</x:v>
      </x:c>
      <x:c r="N32">
        <x:v>78</x:v>
      </x:c>
      <x:c r="O32">
        <x:v>81</x:v>
      </x:c>
      <x:c r="P32">
        <x:v>82</x:v>
      </x:c>
      <x:c r="Q32">
        <x:v>86</x:v>
      </x:c>
      <x:c r="R32">
        <x:v>84</x:v>
      </x:c>
      <x:c r="S32">
        <x:v>84</x:v>
      </x:c>
      <x:c r="T32">
        <x:v>83</x:v>
      </x:c>
      <x:c r="U32">
        <x:v>83</x:v>
      </x:c>
      <x:c r="V32">
        <x:v>79</x:v>
      </x:c>
    </x:row>
    <x:row r="33" spans="1:22" x14ac:dyDescent="0.25">
      <x:c r="A33">
        <x:f t="shared" si="1"/>
        <x:v>25</x:v>
      </x:c>
      <x:c r="B33" s="11">
        <x:f t="shared" si="1"/>
        <x:v>45496</x:v>
      </x:c>
      <x:c r="C33">
        <x:v>73</x:v>
      </x:c>
      <x:c r="D33">
        <x:v>71</x:v>
      </x:c>
      <x:c r="E33">
        <x:v>70</x:v>
      </x:c>
      <x:c r="F33">
        <x:v>68</x:v>
      </x:c>
      <x:c r="G33">
        <x:v>67</x:v>
      </x:c>
      <x:c r="H33">
        <x:v>69</x:v>
      </x:c>
      <x:c r="I33">
        <x:v>69</x:v>
      </x:c>
      <x:c r="J33">
        <x:v>69</x:v>
      </x:c>
      <x:c r="K33">
        <x:v>74</x:v>
      </x:c>
      <x:c r="L33">
        <x:v>78</x:v>
      </x:c>
      <x:c r="M33">
        <x:v>83</x:v>
      </x:c>
      <x:c r="N33">
        <x:v>86</x:v>
      </x:c>
      <x:c r="O33">
        <x:v>89</x:v>
      </x:c>
      <x:c r="P33">
        <x:v>90</x:v>
      </x:c>
      <x:c r="Q33">
        <x:v>92</x:v>
      </x:c>
      <x:c r="R33">
        <x:v>90</x:v>
      </x:c>
      <x:c r="S33">
        <x:v>90</x:v>
      </x:c>
      <x:c r="T33">
        <x:v>91</x:v>
      </x:c>
      <x:c r="U33">
        <x:v>91</x:v>
      </x:c>
      <x:c r="V33">
        <x:v>90</x:v>
      </x:c>
    </x:row>
    <x:row r="34" spans="1:22" x14ac:dyDescent="0.25">
      <x:c r="A34">
        <x:f t="shared" si="1"/>
        <x:v>26</x:v>
      </x:c>
      <x:c r="B34" s="11">
        <x:f t="shared" si="1"/>
        <x:v>45497</x:v>
      </x:c>
      <x:c r="C34">
        <x:v>75</x:v>
      </x:c>
      <x:c r="D34">
        <x:v>72</x:v>
      </x:c>
      <x:c r="E34">
        <x:v>72</x:v>
      </x:c>
      <x:c r="F34">
        <x:v>71</x:v>
      </x:c>
      <x:c r="G34">
        <x:v>70</x:v>
      </x:c>
      <x:c r="H34">
        <x:v>70</x:v>
      </x:c>
      <x:c r="I34">
        <x:v>70</x:v>
      </x:c>
      <x:c r="J34">
        <x:v>71</x:v>
      </x:c>
      <x:c r="K34">
        <x:v>77</x:v>
      </x:c>
      <x:c r="L34">
        <x:v>83</x:v>
      </x:c>
      <x:c r="M34">
        <x:v>88</x:v>
      </x:c>
      <x:c r="N34">
        <x:v>90</x:v>
      </x:c>
      <x:c r="O34">
        <x:v>90</x:v>
      </x:c>
      <x:c r="P34">
        <x:v>90</x:v>
      </x:c>
      <x:c r="Q34">
        <x:v>94</x:v>
      </x:c>
      <x:c r="R34">
        <x:v>95</x:v>
      </x:c>
      <x:c r="S34">
        <x:v>95</x:v>
      </x:c>
      <x:c r="T34">
        <x:v>93</x:v>
      </x:c>
      <x:c r="U34">
        <x:v>93</x:v>
      </x:c>
      <x:c r="V34">
        <x:v>91</x:v>
      </x:c>
    </x:row>
    <x:row r="35" spans="1:22" x14ac:dyDescent="0.25">
      <x:c r="A35">
        <x:f t="shared" si="1"/>
        <x:v>27</x:v>
      </x:c>
      <x:c r="B35" s="11">
        <x:f t="shared" si="1"/>
        <x:v>45498</x:v>
      </x:c>
      <x:c r="C35">
        <x:v>76</x:v>
      </x:c>
      <x:c r="D35">
        <x:v>75</x:v>
      </x:c>
      <x:c r="E35">
        <x:v>73</x:v>
      </x:c>
      <x:c r="F35">
        <x:v>72</x:v>
      </x:c>
      <x:c r="G35">
        <x:v>71</x:v>
      </x:c>
      <x:c r="H35">
        <x:v>71</x:v>
      </x:c>
      <x:c r="I35">
        <x:v>70</x:v>
      </x:c>
      <x:c r="J35">
        <x:v>72</x:v>
      </x:c>
      <x:c r="K35">
        <x:v>79</x:v>
      </x:c>
      <x:c r="L35">
        <x:v>83</x:v>
      </x:c>
      <x:c r="M35">
        <x:v>87</x:v>
      </x:c>
      <x:c r="N35">
        <x:v>89</x:v>
      </x:c>
      <x:c r="O35">
        <x:v>90</x:v>
      </x:c>
      <x:c r="P35">
        <x:v>91</x:v>
      </x:c>
      <x:c r="Q35">
        <x:v>93</x:v>
      </x:c>
      <x:c r="R35">
        <x:v>95</x:v>
      </x:c>
      <x:c r="S35">
        <x:v>95</x:v>
      </x:c>
      <x:c r="T35">
        <x:v>94</x:v>
      </x:c>
      <x:c r="U35">
        <x:v>93</x:v>
      </x:c>
      <x:c r="V35">
        <x:v>91</x:v>
      </x:c>
    </x:row>
    <x:row r="36" spans="1:22" x14ac:dyDescent="0.25">
      <x:c r="A36">
        <x:f t="shared" si="1"/>
        <x:v>28</x:v>
      </x:c>
      <x:c r="B36" s="11">
        <x:f t="shared" si="1"/>
        <x:v>45499</x:v>
      </x:c>
      <x:c r="C36">
        <x:v>76</x:v>
      </x:c>
      <x:c r="D36">
        <x:v>75</x:v>
      </x:c>
      <x:c r="E36">
        <x:v>73</x:v>
      </x:c>
      <x:c r="F36">
        <x:v>73</x:v>
      </x:c>
      <x:c r="G36">
        <x:v>72</x:v>
      </x:c>
      <x:c r="H36">
        <x:v>72</x:v>
      </x:c>
      <x:c r="I36">
        <x:v>71</x:v>
      </x:c>
      <x:c r="J36">
        <x:v>72</x:v>
      </x:c>
      <x:c r="K36">
        <x:v>78</x:v>
      </x:c>
      <x:c r="L36">
        <x:v>83</x:v>
      </x:c>
      <x:c r="M36">
        <x:v>86</x:v>
      </x:c>
      <x:c r="N36">
        <x:v>88</x:v>
      </x:c>
      <x:c r="O36">
        <x:v>92</x:v>
      </x:c>
      <x:c r="P36">
        <x:v>92</x:v>
      </x:c>
      <x:c r="Q36">
        <x:v>94</x:v>
      </x:c>
      <x:c r="R36">
        <x:v>92</x:v>
      </x:c>
      <x:c r="S36">
        <x:v>93</x:v>
      </x:c>
      <x:c r="T36">
        <x:v>93</x:v>
      </x:c>
      <x:c r="U36">
        <x:v>92</x:v>
      </x:c>
      <x:c r="V36">
        <x:v>89</x:v>
      </x:c>
    </x:row>
    <x:row r="37" spans="1:22" x14ac:dyDescent="0.25">
      <x:c r="A37">
        <x:f t="shared" si="1"/>
        <x:v>29</x:v>
      </x:c>
      <x:c r="B37" s="11">
        <x:f t="shared" si="1"/>
        <x:v>45500</x:v>
      </x:c>
      <x:c r="C37">
        <x:v>77</x:v>
      </x:c>
      <x:c r="D37">
        <x:v>75</x:v>
      </x:c>
      <x:c r="E37">
        <x:v>74</x:v>
      </x:c>
      <x:c r="F37">
        <x:v>74</x:v>
      </x:c>
      <x:c r="G37">
        <x:v>73</x:v>
      </x:c>
      <x:c r="H37">
        <x:v>72</x:v>
      </x:c>
      <x:c r="I37">
        <x:v>72</x:v>
      </x:c>
      <x:c r="J37">
        <x:v>74</x:v>
      </x:c>
      <x:c r="K37">
        <x:v>78</x:v>
      </x:c>
      <x:c r="L37">
        <x:v>81</x:v>
      </x:c>
      <x:c r="M37">
        <x:v>84</x:v>
      </x:c>
      <x:c r="N37">
        <x:v>87</x:v>
      </x:c>
      <x:c r="O37">
        <x:v>88</x:v>
      </x:c>
      <x:c r="P37">
        <x:v>88</x:v>
      </x:c>
      <x:c r="Q37">
        <x:v>91</x:v>
      </x:c>
      <x:c r="R37">
        <x:v>94</x:v>
      </x:c>
      <x:c r="S37">
        <x:v>94</x:v>
      </x:c>
      <x:c r="T37">
        <x:v>94</x:v>
      </x:c>
      <x:c r="U37">
        <x:v>93</x:v>
      </x:c>
      <x:c r="V37">
        <x:v>90</x:v>
      </x:c>
    </x:row>
    <x:row r="38" spans="1:22" x14ac:dyDescent="0.25">
      <x:c r="A38">
        <x:f t="shared" si="1"/>
        <x:v>30</x:v>
      </x:c>
      <x:c r="B38" s="11">
        <x:f t="shared" si="1"/>
        <x:v>45501</x:v>
      </x:c>
      <x:c r="C38">
        <x:v>79</x:v>
      </x:c>
      <x:c r="D38">
        <x:v>78</x:v>
      </x:c>
      <x:c r="E38">
        <x:v>77</x:v>
      </x:c>
      <x:c r="F38">
        <x:v>75</x:v>
      </x:c>
      <x:c r="G38">
        <x:v>74</x:v>
      </x:c>
      <x:c r="H38">
        <x:v>73</x:v>
      </x:c>
      <x:c r="I38">
        <x:v>72</x:v>
      </x:c>
      <x:c r="J38">
        <x:v>74</x:v>
      </x:c>
      <x:c r="K38">
        <x:v>78</x:v>
      </x:c>
      <x:c r="L38">
        <x:v>81</x:v>
      </x:c>
      <x:c r="M38">
        <x:v>85</x:v>
      </x:c>
      <x:c r="N38">
        <x:v>88</x:v>
      </x:c>
      <x:c r="O38">
        <x:v>90</x:v>
      </x:c>
      <x:c r="P38">
        <x:v>93</x:v>
      </x:c>
      <x:c r="Q38">
        <x:v>94</x:v>
      </x:c>
      <x:c r="R38">
        <x:v>95</x:v>
      </x:c>
      <x:c r="S38">
        <x:v>96</x:v>
      </x:c>
      <x:c r="T38">
        <x:v>96</x:v>
      </x:c>
      <x:c r="U38">
        <x:v>95</x:v>
      </x:c>
      <x:c r="V38">
        <x:v>93</x:v>
      </x:c>
    </x:row>
    <x:row r="39" spans="1:22" x14ac:dyDescent="0.25">
      <x:c r="A39">
        <x:f t="shared" si="1"/>
        <x:v>31</x:v>
      </x:c>
      <x:c r="B39" s="11">
        <x:f t="shared" si="1"/>
        <x:v>45502</x:v>
      </x:c>
      <x:c r="C39">
        <x:v>81</x:v>
      </x:c>
      <x:c r="D39">
        <x:v>79</x:v>
      </x:c>
      <x:c r="E39">
        <x:v>78</x:v>
      </x:c>
      <x:c r="F39">
        <x:v>77</x:v>
      </x:c>
      <x:c r="G39">
        <x:v>76</x:v>
      </x:c>
      <x:c r="H39">
        <x:v>77</x:v>
      </x:c>
      <x:c r="I39">
        <x:v>77</x:v>
      </x:c>
      <x:c r="J39">
        <x:v>78</x:v>
      </x:c>
      <x:c r="K39">
        <x:v>81</x:v>
      </x:c>
      <x:c r="L39">
        <x:v>83</x:v>
      </x:c>
      <x:c r="M39">
        <x:v>87</x:v>
      </x:c>
      <x:c r="N39">
        <x:v>90</x:v>
      </x:c>
      <x:c r="O39">
        <x:v>93</x:v>
      </x:c>
      <x:c r="P39">
        <x:v>94</x:v>
      </x:c>
      <x:c r="Q39">
        <x:v>95</x:v>
      </x:c>
      <x:c r="R39">
        <x:v>96</x:v>
      </x:c>
      <x:c r="S39">
        <x:v>95</x:v>
      </x:c>
      <x:c r="T39">
        <x:v>96</x:v>
      </x:c>
      <x:c r="U39">
        <x:v>95</x:v>
      </x:c>
      <x:c r="V39">
        <x:v>92</x:v>
      </x:c>
    </x:row>
    <x:row r="40" spans="1:22" x14ac:dyDescent="0.25">
      <x:c r="A40">
        <x:f t="shared" si="1"/>
        <x:v>32</x:v>
      </x:c>
      <x:c r="B40" s="11">
        <x:f t="shared" si="1"/>
        <x:v>45503</x:v>
      </x:c>
      <x:c r="C40">
        <x:v>83</x:v>
      </x:c>
      <x:c r="D40">
        <x:v>82</x:v>
      </x:c>
      <x:c r="E40">
        <x:v>81</x:v>
      </x:c>
      <x:c r="F40">
        <x:v>80</x:v>
      </x:c>
      <x:c r="G40">
        <x:v>79</x:v>
      </x:c>
      <x:c r="H40">
        <x:v>78</x:v>
      </x:c>
      <x:c r="I40">
        <x:v>77</x:v>
      </x:c>
      <x:c r="J40">
        <x:v>78</x:v>
      </x:c>
      <x:c r="K40">
        <x:v>80</x:v>
      </x:c>
      <x:c r="L40">
        <x:v>82</x:v>
      </x:c>
      <x:c r="M40">
        <x:v>84</x:v>
      </x:c>
      <x:c r="N40">
        <x:v>86</x:v>
      </x:c>
      <x:c r="O40">
        <x:v>90</x:v>
      </x:c>
      <x:c r="P40">
        <x:v>94</x:v>
      </x:c>
      <x:c r="Q40">
        <x:v>96</x:v>
      </x:c>
      <x:c r="R40">
        <x:v>98</x:v>
      </x:c>
      <x:c r="S40">
        <x:v>99</x:v>
      </x:c>
      <x:c r="T40">
        <x:v>99</x:v>
      </x:c>
      <x:c r="U40">
        <x:v>98</x:v>
      </x:c>
      <x:c r="V40">
        <x:v>95</x:v>
      </x:c>
    </x:row>
    <x:row r="41" spans="1:22" x14ac:dyDescent="0.25">
      <x:c r="A41">
        <x:f t="shared" si="1"/>
        <x:v>33</x:v>
      </x:c>
      <x:c r="B41" s="11">
        <x:f t="shared" si="1"/>
        <x:v>45504</x:v>
      </x:c>
      <x:c r="C41">
        <x:v>84</x:v>
      </x:c>
      <x:c r="D41">
        <x:v>82</x:v>
      </x:c>
      <x:c r="E41">
        <x:v>81</x:v>
      </x:c>
      <x:c r="F41">
        <x:v>80</x:v>
      </x:c>
      <x:c r="G41">
        <x:v>79</x:v>
      </x:c>
      <x:c r="H41">
        <x:v>79</x:v>
      </x:c>
      <x:c r="I41">
        <x:v>78</x:v>
      </x:c>
      <x:c r="J41">
        <x:v>79</x:v>
      </x:c>
      <x:c r="K41">
        <x:v>82</x:v>
      </x:c>
      <x:c r="L41">
        <x:v>86</x:v>
      </x:c>
      <x:c r="M41">
        <x:v>88</x:v>
      </x:c>
      <x:c r="N41">
        <x:v>92</x:v>
      </x:c>
      <x:c r="O41">
        <x:v>96</x:v>
      </x:c>
      <x:c r="P41">
        <x:v>97</x:v>
      </x:c>
      <x:c r="Q41">
        <x:v>99</x:v>
      </x:c>
      <x:c r="R41">
        <x:v>101</x:v>
      </x:c>
      <x:c r="S41">
        <x:v>101</x:v>
      </x:c>
      <x:c r="T41">
        <x:v>100</x:v>
      </x:c>
      <x:c r="U41">
        <x:v>98</x:v>
      </x:c>
      <x:c r="V41">
        <x:v>95</x:v>
      </x:c>
    </x:row>
    <x:row r="42" spans="1:22" x14ac:dyDescent="0.25">
      <x:c r="A42">
        <x:f t="shared" si="1"/>
        <x:v>34</x:v>
      </x:c>
      <x:c r="B42" s="11"/>
    </x:row>
    <x:row r="43" spans="1:22" x14ac:dyDescent="0.25">
      <x:c r="A43">
        <x:f t="shared" ref="A43:A75" si="2">+A42+1</x:f>
        <x:v>35</x:v>
      </x:c>
    </x:row>
    <x:row r="44" spans="1:22" ht="28.8" customHeight="1" x14ac:dyDescent="0.25">
      <x:c r="A44">
        <x:f t="shared" si="2"/>
        <x:v>36</x:v>
      </x:c>
      <x:c r="B44" s="57" t="s">
        <x:v>28</x:v>
      </x:c>
      <x:c r="C44" s="57" t="s">
        <x:v>49</x:v>
      </x:c>
      <x:c r="D44" s="57" t="s">
        <x:v>50</x:v>
      </x:c>
      <x:c r="E44" s="57" t="s">
        <x:v>51</x:v>
      </x:c>
      <x:c r="F44" s="57" t="s">
        <x:v>52</x:v>
      </x:c>
      <x:c r="G44" s="58" t="s">
        <x:v>53</x:v>
      </x:c>
      <x:c r="H44" s="57" t="s">
        <x:v>60</x:v>
      </x:c>
      <x:c r="I44" s="57" t="s">
        <x:v>102</x:v>
      </x:c>
      <x:c r="J44" s="57" t="s">
        <x:v>61</x:v>
      </x:c>
      <x:c r="K44" s="77" t="s">
        <x:v>106</x:v>
      </x:c>
      <x:c r="L44" s="78" t="s">
        <x:v>88</x:v>
      </x:c>
      <x:c r="M44" s="79" t="s">
        <x:v>107</x:v>
      </x:c>
      <x:c r="N44" s="79" t="s">
        <x:v>98</x:v>
      </x:c>
      <x:c r="O44" s="27" t="s">
        <x:v>62</x:v>
      </x:c>
      <x:c r="P44" s="27" t="s">
        <x:v>63</x:v>
      </x:c>
      <x:c r="Q44" s="27" t="s">
        <x:v>64</x:v>
      </x:c>
      <x:c r="R44" s="27" t="s">
        <x:v>89</x:v>
      </x:c>
      <x:c r="T44" s="80"/>
    </x:row>
    <x:row r="45" spans="1:22" x14ac:dyDescent="0.25">
      <x:c r="A45">
        <x:f t="shared" si="2"/>
        <x:v>37</x:v>
      </x:c>
      <x:c r="B45" s="11">
        <x:f>+B11</x:f>
        <x:v>45474</x:v>
      </x:c>
      <x:c r="C45">
        <x:v>93</x:v>
      </x:c>
      <x:c r="D45">
        <x:v>90</x:v>
      </x:c>
      <x:c r="E45">
        <x:v>89</x:v>
      </x:c>
      <x:c r="F45">
        <x:v>89</x:v>
      </x:c>
      <x:c r="G45" s="12">
        <x:f t="shared" ref="G45:G75" si="3">ROUND(AVERAGE(C11:V11,C45:F45),1)</x:f>
        <x:v>89.7</x:v>
      </x:c>
      <x:c r="H45" s="12">
        <x:f t="shared" ref="H45:H75" si="4">MAX(45-$G45,0)</x:f>
        <x:v>0</x:v>
      </x:c>
      <x:c r="I45" s="12">
        <x:f t="shared" ref="I45:I75" si="5">MAX(55-$G45,0)</x:f>
        <x:v>0</x:v>
      </x:c>
      <x:c r="J45" s="12">
        <x:f t="shared" ref="J45:J75" si="6">MAX(60-$G45,0)</x:f>
        <x:v>0</x:v>
      </x:c>
      <x:c r="K45" s="12">
        <x:f t="shared" ref="K45:K75" si="7">MAX(65-$G45,0)</x:f>
        <x:v>0</x:v>
      </x:c>
      <x:c r="L45" s="12">
        <x:f t="shared" ref="L45:L75" si="8">MAX($G45-50,0)</x:f>
        <x:v>39.700000000000003</x:v>
      </x:c>
      <x:c r="M45" s="12">
        <x:f t="shared" ref="M45:M75" si="9">MAX($G45-55,0)</x:f>
        <x:v>34.700000000000003</x:v>
      </x:c>
      <x:c r="N45" s="12">
        <x:f t="shared" ref="N45:N75" si="10">MAX($G45-60,0)</x:f>
        <x:v>29.700000000000003</x:v>
      </x:c>
      <x:c r="O45" s="12">
        <x:f t="shared" ref="O45:O75" si="11">MAX($G45-65,0)</x:f>
        <x:v>24.700000000000003</x:v>
      </x:c>
      <x:c r="P45" s="12">
        <x:f t="shared" ref="P45:P75" si="12">MAX($G45-70,0)</x:f>
        <x:v>19.700000000000003</x:v>
      </x:c>
      <x:c r="Q45" s="12">
        <x:f t="shared" ref="Q45:Q75" si="13">MAX($G45-75,0)</x:f>
        <x:v>14.700000000000003</x:v>
      </x:c>
      <x:c r="R45" s="12">
        <x:f t="shared" ref="R45:R75" si="14">MAX($G45-80,0)</x:f>
        <x:v>9.7000000000000028</x:v>
      </x:c>
      <x:c r="T45" s="81"/>
    </x:row>
    <x:row r="46" spans="1:22" x14ac:dyDescent="0.25">
      <x:c r="A46">
        <x:f t="shared" si="2"/>
        <x:v>38</x:v>
      </x:c>
      <x:c r="B46" s="11">
        <x:f t="shared" ref="B46:B75" si="15">+B12</x:f>
        <x:v>45475</x:v>
      </x:c>
      <x:c r="C46">
        <x:v>94</x:v>
      </x:c>
      <x:c r="D46">
        <x:v>92</x:v>
      </x:c>
      <x:c r="E46">
        <x:v>91</x:v>
      </x:c>
      <x:c r="F46">
        <x:v>90</x:v>
      </x:c>
      <x:c r="G46" s="12">
        <x:f t="shared" si="3"/>
        <x:v>90.8</x:v>
      </x:c>
      <x:c r="H46" s="12">
        <x:f t="shared" si="4"/>
        <x:v>0</x:v>
      </x:c>
      <x:c r="I46" s="12">
        <x:f t="shared" si="5"/>
        <x:v>0</x:v>
      </x:c>
      <x:c r="J46" s="12">
        <x:f t="shared" si="6"/>
        <x:v>0</x:v>
      </x:c>
      <x:c r="K46" s="12">
        <x:f t="shared" si="7"/>
        <x:v>0</x:v>
      </x:c>
      <x:c r="L46" s="12">
        <x:f t="shared" si="8"/>
        <x:v>40.799999999999997</x:v>
      </x:c>
      <x:c r="M46" s="12">
        <x:f t="shared" si="9"/>
        <x:v>35.799999999999997</x:v>
      </x:c>
      <x:c r="N46" s="12">
        <x:f t="shared" si="10"/>
        <x:v>30.799999999999997</x:v>
      </x:c>
      <x:c r="O46" s="12">
        <x:f t="shared" si="11"/>
        <x:v>25.799999999999997</x:v>
      </x:c>
      <x:c r="P46" s="12">
        <x:f t="shared" si="12"/>
        <x:v>20.799999999999997</x:v>
      </x:c>
      <x:c r="Q46" s="12">
        <x:f t="shared" si="13"/>
        <x:v>15.799999999999997</x:v>
      </x:c>
      <x:c r="R46" s="12">
        <x:f t="shared" si="14"/>
        <x:v>10.799999999999997</x:v>
      </x:c>
      <x:c r="T46" s="81"/>
    </x:row>
    <x:row r="47" spans="1:22" x14ac:dyDescent="0.25">
      <x:c r="A47">
        <x:f t="shared" si="2"/>
        <x:v>39</x:v>
      </x:c>
      <x:c r="B47" s="11">
        <x:f t="shared" si="15"/>
        <x:v>45476</x:v>
      </x:c>
      <x:c r="C47">
        <x:v>93</x:v>
      </x:c>
      <x:c r="D47">
        <x:v>91</x:v>
      </x:c>
      <x:c r="E47">
        <x:v>89</x:v>
      </x:c>
      <x:c r="F47">
        <x:v>87</x:v>
      </x:c>
      <x:c r="G47" s="12">
        <x:f t="shared" si="3"/>
        <x:v>89.9</x:v>
      </x:c>
      <x:c r="H47" s="12">
        <x:f t="shared" si="4"/>
        <x:v>0</x:v>
      </x:c>
      <x:c r="I47" s="12">
        <x:f t="shared" si="5"/>
        <x:v>0</x:v>
      </x:c>
      <x:c r="J47" s="12">
        <x:f t="shared" si="6"/>
        <x:v>0</x:v>
      </x:c>
      <x:c r="K47" s="12">
        <x:f t="shared" si="7"/>
        <x:v>0</x:v>
      </x:c>
      <x:c r="L47" s="12">
        <x:f t="shared" si="8"/>
        <x:v>39.900000000000006</x:v>
      </x:c>
      <x:c r="M47" s="12">
        <x:f t="shared" si="9"/>
        <x:v>34.900000000000006</x:v>
      </x:c>
      <x:c r="N47" s="12">
        <x:f t="shared" si="10"/>
        <x:v>29.900000000000006</x:v>
      </x:c>
      <x:c r="O47" s="12">
        <x:f t="shared" si="11"/>
        <x:v>24.900000000000006</x:v>
      </x:c>
      <x:c r="P47" s="12">
        <x:f t="shared" si="12"/>
        <x:v>19.900000000000006</x:v>
      </x:c>
      <x:c r="Q47" s="12">
        <x:f t="shared" si="13"/>
        <x:v>14.900000000000006</x:v>
      </x:c>
      <x:c r="R47" s="12">
        <x:f t="shared" si="14"/>
        <x:v>9.9000000000000057</x:v>
      </x:c>
      <x:c r="T47" s="81"/>
    </x:row>
    <x:row r="48" spans="1:22" x14ac:dyDescent="0.25">
      <x:c r="A48">
        <x:f t="shared" si="2"/>
        <x:v>40</x:v>
      </x:c>
      <x:c r="B48" s="11">
        <x:f t="shared" si="15"/>
        <x:v>45477</x:v>
      </x:c>
      <x:c r="C48">
        <x:v>94</x:v>
      </x:c>
      <x:c r="D48">
        <x:v>91</x:v>
      </x:c>
      <x:c r="E48">
        <x:v>89</x:v>
      </x:c>
      <x:c r="F48">
        <x:v>87</x:v>
      </x:c>
      <x:c r="G48" s="12">
        <x:f t="shared" si="3"/>
        <x:v>90.4</x:v>
      </x:c>
      <x:c r="H48" s="12">
        <x:f t="shared" si="4"/>
        <x:v>0</x:v>
      </x:c>
      <x:c r="I48" s="12">
        <x:f t="shared" si="5"/>
        <x:v>0</x:v>
      </x:c>
      <x:c r="J48" s="12">
        <x:f t="shared" si="6"/>
        <x:v>0</x:v>
      </x:c>
      <x:c r="K48" s="12">
        <x:f t="shared" si="7"/>
        <x:v>0</x:v>
      </x:c>
      <x:c r="L48" s="12">
        <x:f t="shared" si="8"/>
        <x:v>40.400000000000006</x:v>
      </x:c>
      <x:c r="M48" s="12">
        <x:f t="shared" si="9"/>
        <x:v>35.400000000000006</x:v>
      </x:c>
      <x:c r="N48" s="12">
        <x:f t="shared" si="10"/>
        <x:v>30.400000000000006</x:v>
      </x:c>
      <x:c r="O48" s="12">
        <x:f t="shared" si="11"/>
        <x:v>25.400000000000006</x:v>
      </x:c>
      <x:c r="P48" s="12">
        <x:f t="shared" si="12"/>
        <x:v>20.400000000000006</x:v>
      </x:c>
      <x:c r="Q48" s="12">
        <x:f t="shared" si="13"/>
        <x:v>15.400000000000006</x:v>
      </x:c>
      <x:c r="R48" s="12">
        <x:f t="shared" si="14"/>
        <x:v>10.400000000000006</x:v>
      </x:c>
      <x:c r="T48" s="81"/>
    </x:row>
    <x:row r="49" spans="1:20" x14ac:dyDescent="0.25">
      <x:c r="A49">
        <x:f t="shared" si="2"/>
        <x:v>41</x:v>
      </x:c>
      <x:c r="B49" s="11">
        <x:f t="shared" si="15"/>
        <x:v>45478</x:v>
      </x:c>
      <x:c r="C49">
        <x:v>78</x:v>
      </x:c>
      <x:c r="D49">
        <x:v>75</x:v>
      </x:c>
      <x:c r="E49">
        <x:v>74</x:v>
      </x:c>
      <x:c r="F49">
        <x:v>71</x:v>
      </x:c>
      <x:c r="G49" s="12">
        <x:f t="shared" si="3"/>
        <x:v>81.5</x:v>
      </x:c>
      <x:c r="H49" s="12">
        <x:f t="shared" si="4"/>
        <x:v>0</x:v>
      </x:c>
      <x:c r="I49" s="12">
        <x:f t="shared" si="5"/>
        <x:v>0</x:v>
      </x:c>
      <x:c r="J49" s="12">
        <x:f t="shared" si="6"/>
        <x:v>0</x:v>
      </x:c>
      <x:c r="K49" s="12">
        <x:f t="shared" si="7"/>
        <x:v>0</x:v>
      </x:c>
      <x:c r="L49" s="12">
        <x:f t="shared" si="8"/>
        <x:v>31.5</x:v>
      </x:c>
      <x:c r="M49" s="12">
        <x:f t="shared" si="9"/>
        <x:v>26.5</x:v>
      </x:c>
      <x:c r="N49" s="12">
        <x:f t="shared" si="10"/>
        <x:v>21.5</x:v>
      </x:c>
      <x:c r="O49" s="12">
        <x:f t="shared" si="11"/>
        <x:v>16.5</x:v>
      </x:c>
      <x:c r="P49" s="12">
        <x:f t="shared" si="12"/>
        <x:v>11.5</x:v>
      </x:c>
      <x:c r="Q49" s="12">
        <x:f t="shared" si="13"/>
        <x:v>6.5</x:v>
      </x:c>
      <x:c r="R49" s="12">
        <x:f t="shared" si="14"/>
        <x:v>1.5</x:v>
      </x:c>
      <x:c r="T49" s="81"/>
    </x:row>
    <x:row r="50" spans="1:20" x14ac:dyDescent="0.25">
      <x:c r="A50">
        <x:f t="shared" si="2"/>
        <x:v>42</x:v>
      </x:c>
      <x:c r="B50" s="11">
        <x:f t="shared" si="15"/>
        <x:v>45479</x:v>
      </x:c>
      <x:c r="C50">
        <x:v>76</x:v>
      </x:c>
      <x:c r="D50">
        <x:v>75</x:v>
      </x:c>
      <x:c r="E50">
        <x:v>74</x:v>
      </x:c>
      <x:c r="F50">
        <x:v>73</x:v>
      </x:c>
      <x:c r="G50" s="12">
        <x:f t="shared" si="3"/>
        <x:v>78.400000000000006</x:v>
      </x:c>
      <x:c r="H50" s="12">
        <x:f t="shared" si="4"/>
        <x:v>0</x:v>
      </x:c>
      <x:c r="I50" s="12">
        <x:f t="shared" si="5"/>
        <x:v>0</x:v>
      </x:c>
      <x:c r="J50" s="12">
        <x:f t="shared" si="6"/>
        <x:v>0</x:v>
      </x:c>
      <x:c r="K50" s="12">
        <x:f t="shared" si="7"/>
        <x:v>0</x:v>
      </x:c>
      <x:c r="L50" s="12">
        <x:f t="shared" si="8"/>
        <x:v>28.400000000000006</x:v>
      </x:c>
      <x:c r="M50" s="12">
        <x:f t="shared" si="9"/>
        <x:v>23.400000000000006</x:v>
      </x:c>
      <x:c r="N50" s="12">
        <x:f t="shared" si="10"/>
        <x:v>18.400000000000006</x:v>
      </x:c>
      <x:c r="O50" s="12">
        <x:f t="shared" si="11"/>
        <x:v>13.400000000000006</x:v>
      </x:c>
      <x:c r="P50" s="12">
        <x:f t="shared" si="12"/>
        <x:v>8.4000000000000057</x:v>
      </x:c>
      <x:c r="Q50" s="12">
        <x:f t="shared" si="13"/>
        <x:v>3.4000000000000057</x:v>
      </x:c>
      <x:c r="R50" s="12">
        <x:f t="shared" si="14"/>
        <x:v>0</x:v>
      </x:c>
      <x:c r="T50" s="81"/>
    </x:row>
    <x:row r="51" spans="1:20" x14ac:dyDescent="0.25">
      <x:c r="A51">
        <x:f t="shared" si="2"/>
        <x:v>43</x:v>
      </x:c>
      <x:c r="B51" s="11">
        <x:f t="shared" si="15"/>
        <x:v>45480</x:v>
      </x:c>
      <x:c r="C51">
        <x:v>89</x:v>
      </x:c>
      <x:c r="D51">
        <x:v>86</x:v>
      </x:c>
      <x:c r="E51">
        <x:v>83</x:v>
      </x:c>
      <x:c r="F51">
        <x:v>71</x:v>
      </x:c>
      <x:c r="G51" s="12">
        <x:f t="shared" si="3"/>
        <x:v>82.8</x:v>
      </x:c>
      <x:c r="H51" s="12">
        <x:f t="shared" si="4"/>
        <x:v>0</x:v>
      </x:c>
      <x:c r="I51" s="12">
        <x:f t="shared" si="5"/>
        <x:v>0</x:v>
      </x:c>
      <x:c r="J51" s="12">
        <x:f t="shared" si="6"/>
        <x:v>0</x:v>
      </x:c>
      <x:c r="K51" s="12">
        <x:f t="shared" si="7"/>
        <x:v>0</x:v>
      </x:c>
      <x:c r="L51" s="12">
        <x:f t="shared" si="8"/>
        <x:v>32.799999999999997</x:v>
      </x:c>
      <x:c r="M51" s="12">
        <x:f t="shared" si="9"/>
        <x:v>27.799999999999997</x:v>
      </x:c>
      <x:c r="N51" s="12">
        <x:f t="shared" si="10"/>
        <x:v>22.799999999999997</x:v>
      </x:c>
      <x:c r="O51" s="12">
        <x:f t="shared" si="11"/>
        <x:v>17.799999999999997</x:v>
      </x:c>
      <x:c r="P51" s="12">
        <x:f t="shared" si="12"/>
        <x:v>12.799999999999997</x:v>
      </x:c>
      <x:c r="Q51" s="12">
        <x:f t="shared" si="13"/>
        <x:v>7.7999999999999972</x:v>
      </x:c>
      <x:c r="R51" s="12">
        <x:f t="shared" si="14"/>
        <x:v>2.7999999999999972</x:v>
      </x:c>
      <x:c r="T51" s="81"/>
    </x:row>
    <x:row r="52" spans="1:20" x14ac:dyDescent="0.25">
      <x:c r="A52">
        <x:f t="shared" si="2"/>
        <x:v>44</x:v>
      </x:c>
      <x:c r="B52" s="11">
        <x:f t="shared" si="15"/>
        <x:v>45481</x:v>
      </x:c>
      <x:c r="C52">
        <x:v>84</x:v>
      </x:c>
      <x:c r="D52">
        <x:v>82</x:v>
      </x:c>
      <x:c r="E52">
        <x:v>78</x:v>
      </x:c>
      <x:c r="F52">
        <x:v>75</x:v>
      </x:c>
      <x:c r="G52" s="12">
        <x:f t="shared" si="3"/>
        <x:v>78.5</x:v>
      </x:c>
      <x:c r="H52" s="12">
        <x:f t="shared" si="4"/>
        <x:v>0</x:v>
      </x:c>
      <x:c r="I52" s="12">
        <x:f t="shared" si="5"/>
        <x:v>0</x:v>
      </x:c>
      <x:c r="J52" s="12">
        <x:f t="shared" si="6"/>
        <x:v>0</x:v>
      </x:c>
      <x:c r="K52" s="12">
        <x:f t="shared" si="7"/>
        <x:v>0</x:v>
      </x:c>
      <x:c r="L52" s="12">
        <x:f t="shared" si="8"/>
        <x:v>28.5</x:v>
      </x:c>
      <x:c r="M52" s="12">
        <x:f t="shared" si="9"/>
        <x:v>23.5</x:v>
      </x:c>
      <x:c r="N52" s="12">
        <x:f t="shared" si="10"/>
        <x:v>18.5</x:v>
      </x:c>
      <x:c r="O52" s="12">
        <x:f t="shared" si="11"/>
        <x:v>13.5</x:v>
      </x:c>
      <x:c r="P52" s="12">
        <x:f t="shared" si="12"/>
        <x:v>8.5</x:v>
      </x:c>
      <x:c r="Q52" s="12">
        <x:f t="shared" si="13"/>
        <x:v>3.5</x:v>
      </x:c>
      <x:c r="R52" s="12">
        <x:f t="shared" si="14"/>
        <x:v>0</x:v>
      </x:c>
      <x:c r="T52" s="81"/>
    </x:row>
    <x:row r="53" spans="1:20" x14ac:dyDescent="0.25">
      <x:c r="A53">
        <x:f t="shared" si="2"/>
        <x:v>45</x:v>
      </x:c>
      <x:c r="B53" s="11">
        <x:f t="shared" si="15"/>
        <x:v>45482</x:v>
      </x:c>
      <x:c r="C53">
        <x:v>88</x:v>
      </x:c>
      <x:c r="D53">
        <x:v>84</x:v>
      </x:c>
      <x:c r="E53">
        <x:v>79</x:v>
      </x:c>
      <x:c r="F53">
        <x:v>79</x:v>
      </x:c>
      <x:c r="G53" s="12">
        <x:f t="shared" si="3"/>
        <x:v>82.7</x:v>
      </x:c>
      <x:c r="H53" s="12">
        <x:f t="shared" si="4"/>
        <x:v>0</x:v>
      </x:c>
      <x:c r="I53" s="12">
        <x:f t="shared" si="5"/>
        <x:v>0</x:v>
      </x:c>
      <x:c r="J53" s="12">
        <x:f t="shared" si="6"/>
        <x:v>0</x:v>
      </x:c>
      <x:c r="K53" s="12">
        <x:f t="shared" si="7"/>
        <x:v>0</x:v>
      </x:c>
      <x:c r="L53" s="12">
        <x:f t="shared" si="8"/>
        <x:v>32.700000000000003</x:v>
      </x:c>
      <x:c r="M53" s="12">
        <x:f t="shared" si="9"/>
        <x:v>27.700000000000003</x:v>
      </x:c>
      <x:c r="N53" s="12">
        <x:f t="shared" si="10"/>
        <x:v>22.700000000000003</x:v>
      </x:c>
      <x:c r="O53" s="12">
        <x:f t="shared" si="11"/>
        <x:v>17.700000000000003</x:v>
      </x:c>
      <x:c r="P53" s="12">
        <x:f t="shared" si="12"/>
        <x:v>12.700000000000003</x:v>
      </x:c>
      <x:c r="Q53" s="12">
        <x:f t="shared" si="13"/>
        <x:v>7.7000000000000028</x:v>
      </x:c>
      <x:c r="R53" s="12">
        <x:f t="shared" si="14"/>
        <x:v>2.7000000000000028</x:v>
      </x:c>
      <x:c r="T53" s="81"/>
    </x:row>
    <x:row r="54" spans="1:20" x14ac:dyDescent="0.25">
      <x:c r="A54">
        <x:f t="shared" si="2"/>
        <x:v>46</x:v>
      </x:c>
      <x:c r="B54" s="11">
        <x:f t="shared" si="15"/>
        <x:v>45483</x:v>
      </x:c>
      <x:c r="C54">
        <x:v>90</x:v>
      </x:c>
      <x:c r="D54">
        <x:v>85</x:v>
      </x:c>
      <x:c r="E54">
        <x:v>82</x:v>
      </x:c>
      <x:c r="F54">
        <x:v>79</x:v>
      </x:c>
      <x:c r="G54" s="12">
        <x:f t="shared" si="3"/>
        <x:v>85.2</x:v>
      </x:c>
      <x:c r="H54" s="12">
        <x:f t="shared" si="4"/>
        <x:v>0</x:v>
      </x:c>
      <x:c r="I54" s="12">
        <x:f t="shared" si="5"/>
        <x:v>0</x:v>
      </x:c>
      <x:c r="J54" s="12">
        <x:f t="shared" si="6"/>
        <x:v>0</x:v>
      </x:c>
      <x:c r="K54" s="12">
        <x:f t="shared" si="7"/>
        <x:v>0</x:v>
      </x:c>
      <x:c r="L54" s="12">
        <x:f t="shared" si="8"/>
        <x:v>35.200000000000003</x:v>
      </x:c>
      <x:c r="M54" s="12">
        <x:f t="shared" si="9"/>
        <x:v>30.200000000000003</x:v>
      </x:c>
      <x:c r="N54" s="12">
        <x:f t="shared" si="10"/>
        <x:v>25.200000000000003</x:v>
      </x:c>
      <x:c r="O54" s="12">
        <x:f t="shared" si="11"/>
        <x:v>20.200000000000003</x:v>
      </x:c>
      <x:c r="P54" s="12">
        <x:f t="shared" si="12"/>
        <x:v>15.200000000000003</x:v>
      </x:c>
      <x:c r="Q54" s="12">
        <x:f t="shared" si="13"/>
        <x:v>10.200000000000003</x:v>
      </x:c>
      <x:c r="R54" s="12">
        <x:f t="shared" si="14"/>
        <x:v>5.2000000000000028</x:v>
      </x:c>
      <x:c r="T54" s="81"/>
    </x:row>
    <x:row r="55" spans="1:20" x14ac:dyDescent="0.25">
      <x:c r="A55">
        <x:f t="shared" si="2"/>
        <x:v>47</x:v>
      </x:c>
      <x:c r="B55" s="11">
        <x:f t="shared" si="15"/>
        <x:v>45484</x:v>
      </x:c>
      <x:c r="C55">
        <x:v>89</x:v>
      </x:c>
      <x:c r="D55">
        <x:v>85</x:v>
      </x:c>
      <x:c r="E55">
        <x:v>83</x:v>
      </x:c>
      <x:c r="F55">
        <x:v>81</x:v>
      </x:c>
      <x:c r="G55" s="12">
        <x:f t="shared" si="3"/>
        <x:v>86</x:v>
      </x:c>
      <x:c r="H55" s="12">
        <x:f t="shared" si="4"/>
        <x:v>0</x:v>
      </x:c>
      <x:c r="I55" s="12">
        <x:f t="shared" si="5"/>
        <x:v>0</x:v>
      </x:c>
      <x:c r="J55" s="12">
        <x:f t="shared" si="6"/>
        <x:v>0</x:v>
      </x:c>
      <x:c r="K55" s="12">
        <x:f t="shared" si="7"/>
        <x:v>0</x:v>
      </x:c>
      <x:c r="L55" s="12">
        <x:f t="shared" si="8"/>
        <x:v>36</x:v>
      </x:c>
      <x:c r="M55" s="12">
        <x:f t="shared" si="9"/>
        <x:v>31</x:v>
      </x:c>
      <x:c r="N55" s="12">
        <x:f t="shared" si="10"/>
        <x:v>26</x:v>
      </x:c>
      <x:c r="O55" s="12">
        <x:f t="shared" si="11"/>
        <x:v>21</x:v>
      </x:c>
      <x:c r="P55" s="12">
        <x:f t="shared" si="12"/>
        <x:v>16</x:v>
      </x:c>
      <x:c r="Q55" s="12">
        <x:f t="shared" si="13"/>
        <x:v>11</x:v>
      </x:c>
      <x:c r="R55" s="12">
        <x:f t="shared" si="14"/>
        <x:v>6</x:v>
      </x:c>
      <x:c r="T55" s="81"/>
    </x:row>
    <x:row r="56" spans="1:20" x14ac:dyDescent="0.25">
      <x:c r="A56">
        <x:f t="shared" si="2"/>
        <x:v>48</x:v>
      </x:c>
      <x:c r="B56" s="11">
        <x:f t="shared" si="15"/>
        <x:v>45485</x:v>
      </x:c>
      <x:c r="C56">
        <x:v>89</x:v>
      </x:c>
      <x:c r="D56">
        <x:v>85</x:v>
      </x:c>
      <x:c r="E56">
        <x:v>82</x:v>
      </x:c>
      <x:c r="F56">
        <x:v>80</x:v>
      </x:c>
      <x:c r="G56" s="12">
        <x:f t="shared" si="3"/>
        <x:v>85.3</x:v>
      </x:c>
      <x:c r="H56" s="12">
        <x:f t="shared" si="4"/>
        <x:v>0</x:v>
      </x:c>
      <x:c r="I56" s="12">
        <x:f t="shared" si="5"/>
        <x:v>0</x:v>
      </x:c>
      <x:c r="J56" s="12">
        <x:f t="shared" si="6"/>
        <x:v>0</x:v>
      </x:c>
      <x:c r="K56" s="12">
        <x:f t="shared" si="7"/>
        <x:v>0</x:v>
      </x:c>
      <x:c r="L56" s="12">
        <x:f t="shared" si="8"/>
        <x:v>35.299999999999997</x:v>
      </x:c>
      <x:c r="M56" s="12">
        <x:f t="shared" si="9"/>
        <x:v>30.299999999999997</x:v>
      </x:c>
      <x:c r="N56" s="12">
        <x:f t="shared" si="10"/>
        <x:v>25.299999999999997</x:v>
      </x:c>
      <x:c r="O56" s="12">
        <x:f t="shared" si="11"/>
        <x:v>20.299999999999997</x:v>
      </x:c>
      <x:c r="P56" s="12">
        <x:f t="shared" si="12"/>
        <x:v>15.299999999999997</x:v>
      </x:c>
      <x:c r="Q56" s="12">
        <x:f t="shared" si="13"/>
        <x:v>10.299999999999997</x:v>
      </x:c>
      <x:c r="R56" s="12">
        <x:f t="shared" si="14"/>
        <x:v>5.2999999999999972</x:v>
      </x:c>
      <x:c r="T56" s="81"/>
    </x:row>
    <x:row r="57" spans="1:20" x14ac:dyDescent="0.25">
      <x:c r="A57">
        <x:f t="shared" si="2"/>
        <x:v>49</x:v>
      </x:c>
      <x:c r="B57" s="11">
        <x:f t="shared" si="15"/>
        <x:v>45486</x:v>
      </x:c>
      <x:c r="C57">
        <x:v>89</x:v>
      </x:c>
      <x:c r="D57">
        <x:v>86</x:v>
      </x:c>
      <x:c r="E57">
        <x:v>85</x:v>
      </x:c>
      <x:c r="F57">
        <x:v>83</x:v>
      </x:c>
      <x:c r="G57" s="12">
        <x:f t="shared" si="3"/>
        <x:v>84.5</x:v>
      </x:c>
      <x:c r="H57" s="12">
        <x:f t="shared" si="4"/>
        <x:v>0</x:v>
      </x:c>
      <x:c r="I57" s="12">
        <x:f t="shared" si="5"/>
        <x:v>0</x:v>
      </x:c>
      <x:c r="J57" s="12">
        <x:f t="shared" si="6"/>
        <x:v>0</x:v>
      </x:c>
      <x:c r="K57" s="12">
        <x:f t="shared" si="7"/>
        <x:v>0</x:v>
      </x:c>
      <x:c r="L57" s="12">
        <x:f t="shared" si="8"/>
        <x:v>34.5</x:v>
      </x:c>
      <x:c r="M57" s="12">
        <x:f t="shared" si="9"/>
        <x:v>29.5</x:v>
      </x:c>
      <x:c r="N57" s="12">
        <x:f t="shared" si="10"/>
        <x:v>24.5</x:v>
      </x:c>
      <x:c r="O57" s="12">
        <x:f t="shared" si="11"/>
        <x:v>19.5</x:v>
      </x:c>
      <x:c r="P57" s="12">
        <x:f t="shared" si="12"/>
        <x:v>14.5</x:v>
      </x:c>
      <x:c r="Q57" s="12">
        <x:f t="shared" si="13"/>
        <x:v>9.5</x:v>
      </x:c>
      <x:c r="R57" s="12">
        <x:f t="shared" si="14"/>
        <x:v>4.5</x:v>
      </x:c>
      <x:c r="T57" s="81"/>
    </x:row>
    <x:row r="58" spans="1:20" x14ac:dyDescent="0.25">
      <x:c r="A58" s="18">
        <x:f t="shared" si="2"/>
        <x:v>50</x:v>
      </x:c>
      <x:c r="B58" s="11">
        <x:f t="shared" si="15"/>
        <x:v>45487</x:v>
      </x:c>
      <x:c r="C58">
        <x:v>93</x:v>
      </x:c>
      <x:c r="D58">
        <x:v>90</x:v>
      </x:c>
      <x:c r="E58">
        <x:v>89</x:v>
      </x:c>
      <x:c r="F58">
        <x:v>86</x:v>
      </x:c>
      <x:c r="G58" s="12">
        <x:f t="shared" si="3"/>
        <x:v>87.4</x:v>
      </x:c>
      <x:c r="H58" s="12">
        <x:f t="shared" si="4"/>
        <x:v>0</x:v>
      </x:c>
      <x:c r="I58" s="12">
        <x:f t="shared" si="5"/>
        <x:v>0</x:v>
      </x:c>
      <x:c r="J58" s="12">
        <x:f t="shared" si="6"/>
        <x:v>0</x:v>
      </x:c>
      <x:c r="K58" s="12">
        <x:f t="shared" si="7"/>
        <x:v>0</x:v>
      </x:c>
      <x:c r="L58" s="12">
        <x:f t="shared" si="8"/>
        <x:v>37.400000000000006</x:v>
      </x:c>
      <x:c r="M58" s="12">
        <x:f t="shared" si="9"/>
        <x:v>32.400000000000006</x:v>
      </x:c>
      <x:c r="N58" s="12">
        <x:f t="shared" si="10"/>
        <x:v>27.400000000000006</x:v>
      </x:c>
      <x:c r="O58" s="12">
        <x:f t="shared" si="11"/>
        <x:v>22.400000000000006</x:v>
      </x:c>
      <x:c r="P58" s="12">
        <x:f t="shared" si="12"/>
        <x:v>17.400000000000006</x:v>
      </x:c>
      <x:c r="Q58" s="12">
        <x:f t="shared" si="13"/>
        <x:v>12.400000000000006</x:v>
      </x:c>
      <x:c r="R58" s="12">
        <x:f t="shared" si="14"/>
        <x:v>7.4000000000000057</x:v>
      </x:c>
      <x:c r="T58" s="81"/>
    </x:row>
    <x:row r="59" spans="1:20" x14ac:dyDescent="0.25">
      <x:c r="A59">
        <x:f t="shared" si="2"/>
        <x:v>51</x:v>
      </x:c>
      <x:c r="B59" s="11">
        <x:f t="shared" si="15"/>
        <x:v>45488</x:v>
      </x:c>
      <x:c r="C59">
        <x:v>95</x:v>
      </x:c>
      <x:c r="D59">
        <x:v>90</x:v>
      </x:c>
      <x:c r="E59">
        <x:v>88</x:v>
      </x:c>
      <x:c r="F59">
        <x:v>86</x:v>
      </x:c>
      <x:c r="G59" s="12">
        <x:f t="shared" si="3"/>
        <x:v>89.7</x:v>
      </x:c>
      <x:c r="H59" s="12">
        <x:f t="shared" si="4"/>
        <x:v>0</x:v>
      </x:c>
      <x:c r="I59" s="12">
        <x:f t="shared" si="5"/>
        <x:v>0</x:v>
      </x:c>
      <x:c r="J59" s="12">
        <x:f t="shared" si="6"/>
        <x:v>0</x:v>
      </x:c>
      <x:c r="K59" s="12">
        <x:f t="shared" si="7"/>
        <x:v>0</x:v>
      </x:c>
      <x:c r="L59" s="12">
        <x:f t="shared" si="8"/>
        <x:v>39.700000000000003</x:v>
      </x:c>
      <x:c r="M59" s="12">
        <x:f t="shared" si="9"/>
        <x:v>34.700000000000003</x:v>
      </x:c>
      <x:c r="N59" s="12">
        <x:f t="shared" si="10"/>
        <x:v>29.700000000000003</x:v>
      </x:c>
      <x:c r="O59" s="12">
        <x:f t="shared" si="11"/>
        <x:v>24.700000000000003</x:v>
      </x:c>
      <x:c r="P59" s="12">
        <x:f t="shared" si="12"/>
        <x:v>19.700000000000003</x:v>
      </x:c>
      <x:c r="Q59" s="12">
        <x:f t="shared" si="13"/>
        <x:v>14.700000000000003</x:v>
      </x:c>
      <x:c r="R59" s="12">
        <x:f t="shared" si="14"/>
        <x:v>9.7000000000000028</x:v>
      </x:c>
      <x:c r="T59" s="81"/>
    </x:row>
    <x:row r="60" spans="1:20" x14ac:dyDescent="0.25">
      <x:c r="A60">
        <x:f t="shared" si="2"/>
        <x:v>52</x:v>
      </x:c>
      <x:c r="B60" s="11">
        <x:f t="shared" si="15"/>
        <x:v>45489</x:v>
      </x:c>
      <x:c r="C60">
        <x:v>93</x:v>
      </x:c>
      <x:c r="D60">
        <x:v>89</x:v>
      </x:c>
      <x:c r="E60">
        <x:v>89</x:v>
      </x:c>
      <x:c r="F60">
        <x:v>86</x:v>
      </x:c>
      <x:c r="G60" s="12">
        <x:f t="shared" si="3"/>
        <x:v>90.3</x:v>
      </x:c>
      <x:c r="H60" s="12">
        <x:f t="shared" si="4"/>
        <x:v>0</x:v>
      </x:c>
      <x:c r="I60" s="12">
        <x:f t="shared" si="5"/>
        <x:v>0</x:v>
      </x:c>
      <x:c r="J60" s="12">
        <x:f t="shared" si="6"/>
        <x:v>0</x:v>
      </x:c>
      <x:c r="K60" s="12">
        <x:f t="shared" si="7"/>
        <x:v>0</x:v>
      </x:c>
      <x:c r="L60" s="12">
        <x:f t="shared" si="8"/>
        <x:v>40.299999999999997</x:v>
      </x:c>
      <x:c r="M60" s="12">
        <x:f t="shared" si="9"/>
        <x:v>35.299999999999997</x:v>
      </x:c>
      <x:c r="N60" s="12">
        <x:f t="shared" si="10"/>
        <x:v>30.299999999999997</x:v>
      </x:c>
      <x:c r="O60" s="12">
        <x:f t="shared" si="11"/>
        <x:v>25.299999999999997</x:v>
      </x:c>
      <x:c r="P60" s="12">
        <x:f t="shared" si="12"/>
        <x:v>20.299999999999997</x:v>
      </x:c>
      <x:c r="Q60" s="12">
        <x:f t="shared" si="13"/>
        <x:v>15.299999999999997</x:v>
      </x:c>
      <x:c r="R60" s="12">
        <x:f t="shared" si="14"/>
        <x:v>10.299999999999997</x:v>
      </x:c>
      <x:c r="T60" s="81"/>
    </x:row>
    <x:row r="61" spans="1:20" x14ac:dyDescent="0.25">
      <x:c r="A61">
        <x:f t="shared" si="2"/>
        <x:v>53</x:v>
      </x:c>
      <x:c r="B61" s="11">
        <x:f t="shared" si="15"/>
        <x:v>45490</x:v>
      </x:c>
      <x:c r="C61">
        <x:v>83</x:v>
      </x:c>
      <x:c r="D61">
        <x:v>82</x:v>
      </x:c>
      <x:c r="E61">
        <x:v>78</x:v>
      </x:c>
      <x:c r="F61">
        <x:v>77</x:v>
      </x:c>
      <x:c r="G61" s="12">
        <x:f t="shared" si="3"/>
        <x:v>86.3</x:v>
      </x:c>
      <x:c r="H61" s="12">
        <x:f t="shared" si="4"/>
        <x:v>0</x:v>
      </x:c>
      <x:c r="I61" s="12">
        <x:f t="shared" si="5"/>
        <x:v>0</x:v>
      </x:c>
      <x:c r="J61" s="12">
        <x:f t="shared" si="6"/>
        <x:v>0</x:v>
      </x:c>
      <x:c r="K61" s="12">
        <x:f t="shared" si="7"/>
        <x:v>0</x:v>
      </x:c>
      <x:c r="L61" s="12">
        <x:f t="shared" si="8"/>
        <x:v>36.299999999999997</x:v>
      </x:c>
      <x:c r="M61" s="12">
        <x:f t="shared" si="9"/>
        <x:v>31.299999999999997</x:v>
      </x:c>
      <x:c r="N61" s="12">
        <x:f t="shared" si="10"/>
        <x:v>26.299999999999997</x:v>
      </x:c>
      <x:c r="O61" s="12">
        <x:f t="shared" si="11"/>
        <x:v>21.299999999999997</x:v>
      </x:c>
      <x:c r="P61" s="12">
        <x:f t="shared" si="12"/>
        <x:v>16.299999999999997</x:v>
      </x:c>
      <x:c r="Q61" s="12">
        <x:f t="shared" si="13"/>
        <x:v>11.299999999999997</x:v>
      </x:c>
      <x:c r="R61" s="12">
        <x:f t="shared" si="14"/>
        <x:v>6.2999999999999972</x:v>
      </x:c>
      <x:c r="T61" s="81"/>
    </x:row>
    <x:row r="62" spans="1:20" x14ac:dyDescent="0.25">
      <x:c r="A62" s="18">
        <x:f t="shared" si="2"/>
        <x:v>54</x:v>
      </x:c>
      <x:c r="B62" s="11">
        <x:f t="shared" si="15"/>
        <x:v>45491</x:v>
      </x:c>
      <x:c r="C62">
        <x:v>87</x:v>
      </x:c>
      <x:c r="D62">
        <x:v>83</x:v>
      </x:c>
      <x:c r="E62">
        <x:v>81</x:v>
      </x:c>
      <x:c r="F62">
        <x:v>80</x:v>
      </x:c>
      <x:c r="G62" s="12">
        <x:f t="shared" si="3"/>
        <x:v>83.3</x:v>
      </x:c>
      <x:c r="H62" s="12">
        <x:f t="shared" si="4"/>
        <x:v>0</x:v>
      </x:c>
      <x:c r="I62" s="12">
        <x:f t="shared" si="5"/>
        <x:v>0</x:v>
      </x:c>
      <x:c r="J62" s="12">
        <x:f t="shared" si="6"/>
        <x:v>0</x:v>
      </x:c>
      <x:c r="K62" s="12">
        <x:f t="shared" si="7"/>
        <x:v>0</x:v>
      </x:c>
      <x:c r="L62" s="12">
        <x:f t="shared" si="8"/>
        <x:v>33.299999999999997</x:v>
      </x:c>
      <x:c r="M62" s="12">
        <x:f t="shared" si="9"/>
        <x:v>28.299999999999997</x:v>
      </x:c>
      <x:c r="N62" s="12">
        <x:f t="shared" si="10"/>
        <x:v>23.299999999999997</x:v>
      </x:c>
      <x:c r="O62" s="12">
        <x:f t="shared" si="11"/>
        <x:v>18.299999999999997</x:v>
      </x:c>
      <x:c r="P62" s="12">
        <x:f t="shared" si="12"/>
        <x:v>13.299999999999997</x:v>
      </x:c>
      <x:c r="Q62" s="12">
        <x:f t="shared" si="13"/>
        <x:v>8.2999999999999972</x:v>
      </x:c>
      <x:c r="R62" s="12">
        <x:f t="shared" si="14"/>
        <x:v>3.2999999999999972</x:v>
      </x:c>
      <x:c r="T62" s="81"/>
    </x:row>
    <x:row r="63" spans="1:20" x14ac:dyDescent="0.25">
      <x:c r="A63">
        <x:f t="shared" si="2"/>
        <x:v>55</x:v>
      </x:c>
      <x:c r="B63" s="11">
        <x:f t="shared" si="15"/>
        <x:v>45492</x:v>
      </x:c>
      <x:c r="C63">
        <x:v>86</x:v>
      </x:c>
      <x:c r="D63">
        <x:v>83</x:v>
      </x:c>
      <x:c r="E63">
        <x:v>82</x:v>
      </x:c>
      <x:c r="F63">
        <x:v>80</x:v>
      </x:c>
      <x:c r="G63" s="12">
        <x:f t="shared" si="3"/>
        <x:v>82.7</x:v>
      </x:c>
      <x:c r="H63" s="12">
        <x:f t="shared" si="4"/>
        <x:v>0</x:v>
      </x:c>
      <x:c r="I63" s="12">
        <x:f t="shared" si="5"/>
        <x:v>0</x:v>
      </x:c>
      <x:c r="J63" s="12">
        <x:f t="shared" si="6"/>
        <x:v>0</x:v>
      </x:c>
      <x:c r="K63" s="12">
        <x:f t="shared" si="7"/>
        <x:v>0</x:v>
      </x:c>
      <x:c r="L63" s="12">
        <x:f t="shared" si="8"/>
        <x:v>32.700000000000003</x:v>
      </x:c>
      <x:c r="M63" s="12">
        <x:f t="shared" si="9"/>
        <x:v>27.700000000000003</x:v>
      </x:c>
      <x:c r="N63" s="12">
        <x:f t="shared" si="10"/>
        <x:v>22.700000000000003</x:v>
      </x:c>
      <x:c r="O63" s="12">
        <x:f t="shared" si="11"/>
        <x:v>17.700000000000003</x:v>
      </x:c>
      <x:c r="P63" s="12">
        <x:f t="shared" si="12"/>
        <x:v>12.700000000000003</x:v>
      </x:c>
      <x:c r="Q63" s="12">
        <x:f t="shared" si="13"/>
        <x:v>7.7000000000000028</x:v>
      </x:c>
      <x:c r="R63" s="12">
        <x:f t="shared" si="14"/>
        <x:v>2.7000000000000028</x:v>
      </x:c>
      <x:c r="T63" s="81"/>
    </x:row>
    <x:row r="64" spans="1:20" x14ac:dyDescent="0.25">
      <x:c r="A64">
        <x:f t="shared" si="2"/>
        <x:v>56</x:v>
      </x:c>
      <x:c r="B64" s="11">
        <x:f t="shared" si="15"/>
        <x:v>45493</x:v>
      </x:c>
      <x:c r="C64">
        <x:v>73</x:v>
      </x:c>
      <x:c r="D64">
        <x:v>73</x:v>
      </x:c>
      <x:c r="E64">
        <x:v>73</x:v>
      </x:c>
      <x:c r="F64">
        <x:v>74</x:v>
      </x:c>
      <x:c r="G64" s="12">
        <x:f t="shared" si="3"/>
        <x:v>80.400000000000006</x:v>
      </x:c>
      <x:c r="H64" s="12">
        <x:f t="shared" si="4"/>
        <x:v>0</x:v>
      </x:c>
      <x:c r="I64" s="12">
        <x:f t="shared" si="5"/>
        <x:v>0</x:v>
      </x:c>
      <x:c r="J64" s="12">
        <x:f t="shared" si="6"/>
        <x:v>0</x:v>
      </x:c>
      <x:c r="K64" s="12">
        <x:f t="shared" si="7"/>
        <x:v>0</x:v>
      </x:c>
      <x:c r="L64" s="12">
        <x:f t="shared" si="8"/>
        <x:v>30.400000000000006</x:v>
      </x:c>
      <x:c r="M64" s="12">
        <x:f t="shared" si="9"/>
        <x:v>25.400000000000006</x:v>
      </x:c>
      <x:c r="N64" s="12">
        <x:f t="shared" si="10"/>
        <x:v>20.400000000000006</x:v>
      </x:c>
      <x:c r="O64" s="12">
        <x:f t="shared" si="11"/>
        <x:v>15.400000000000006</x:v>
      </x:c>
      <x:c r="P64" s="12">
        <x:f t="shared" si="12"/>
        <x:v>10.400000000000006</x:v>
      </x:c>
      <x:c r="Q64" s="12">
        <x:f t="shared" si="13"/>
        <x:v>5.4000000000000057</x:v>
      </x:c>
      <x:c r="R64" s="12">
        <x:f t="shared" si="14"/>
        <x:v>0.40000000000000568</x:v>
      </x:c>
      <x:c r="T64" s="81"/>
    </x:row>
    <x:row r="65" spans="1:20" x14ac:dyDescent="0.25">
      <x:c r="A65">
        <x:f t="shared" si="2"/>
        <x:v>57</x:v>
      </x:c>
      <x:c r="B65" s="11">
        <x:f t="shared" si="15"/>
        <x:v>45494</x:v>
      </x:c>
      <x:c r="C65">
        <x:v>77</x:v>
      </x:c>
      <x:c r="D65">
        <x:v>77</x:v>
      </x:c>
      <x:c r="E65">
        <x:v>76</x:v>
      </x:c>
      <x:c r="F65">
        <x:v>76</x:v>
      </x:c>
      <x:c r="G65" s="12">
        <x:f t="shared" si="3"/>
        <x:v>80.599999999999994</x:v>
      </x:c>
      <x:c r="H65" s="12">
        <x:f t="shared" si="4"/>
        <x:v>0</x:v>
      </x:c>
      <x:c r="I65" s="12">
        <x:f t="shared" si="5"/>
        <x:v>0</x:v>
      </x:c>
      <x:c r="J65" s="12">
        <x:f t="shared" si="6"/>
        <x:v>0</x:v>
      </x:c>
      <x:c r="K65" s="12">
        <x:f t="shared" si="7"/>
        <x:v>0</x:v>
      </x:c>
      <x:c r="L65" s="12">
        <x:f t="shared" si="8"/>
        <x:v>30.599999999999994</x:v>
      </x:c>
      <x:c r="M65" s="12">
        <x:f t="shared" si="9"/>
        <x:v>25.599999999999994</x:v>
      </x:c>
      <x:c r="N65" s="12">
        <x:f t="shared" si="10"/>
        <x:v>20.599999999999994</x:v>
      </x:c>
      <x:c r="O65" s="12">
        <x:f t="shared" si="11"/>
        <x:v>15.599999999999994</x:v>
      </x:c>
      <x:c r="P65" s="12">
        <x:f t="shared" si="12"/>
        <x:v>10.599999999999994</x:v>
      </x:c>
      <x:c r="Q65" s="12">
        <x:f t="shared" si="13"/>
        <x:v>5.5999999999999943</x:v>
      </x:c>
      <x:c r="R65" s="12">
        <x:f t="shared" si="14"/>
        <x:v>0.59999999999999432</x:v>
      </x:c>
      <x:c r="T65" s="81"/>
    </x:row>
    <x:row r="66" spans="1:20" x14ac:dyDescent="0.25">
      <x:c r="A66">
        <x:f t="shared" si="2"/>
        <x:v>58</x:v>
      </x:c>
      <x:c r="B66" s="11">
        <x:f t="shared" si="15"/>
        <x:v>45495</x:v>
      </x:c>
      <x:c r="C66">
        <x:v>77</x:v>
      </x:c>
      <x:c r="D66">
        <x:v>76</x:v>
      </x:c>
      <x:c r="E66">
        <x:v>75</x:v>
      </x:c>
      <x:c r="F66">
        <x:v>74</x:v>
      </x:c>
      <x:c r="G66" s="12">
        <x:f t="shared" si="3"/>
        <x:v>77.8</x:v>
      </x:c>
      <x:c r="H66" s="12">
        <x:f t="shared" si="4"/>
        <x:v>0</x:v>
      </x:c>
      <x:c r="I66" s="12">
        <x:f t="shared" si="5"/>
        <x:v>0</x:v>
      </x:c>
      <x:c r="J66" s="12">
        <x:f t="shared" si="6"/>
        <x:v>0</x:v>
      </x:c>
      <x:c r="K66" s="12">
        <x:f t="shared" si="7"/>
        <x:v>0</x:v>
      </x:c>
      <x:c r="L66" s="12">
        <x:f t="shared" si="8"/>
        <x:v>27.799999999999997</x:v>
      </x:c>
      <x:c r="M66" s="12">
        <x:f t="shared" si="9"/>
        <x:v>22.799999999999997</x:v>
      </x:c>
      <x:c r="N66" s="12">
        <x:f t="shared" si="10"/>
        <x:v>17.799999999999997</x:v>
      </x:c>
      <x:c r="O66" s="12">
        <x:f t="shared" si="11"/>
        <x:v>12.799999999999997</x:v>
      </x:c>
      <x:c r="P66" s="12">
        <x:f t="shared" si="12"/>
        <x:v>7.7999999999999972</x:v>
      </x:c>
      <x:c r="Q66" s="12">
        <x:f t="shared" si="13"/>
        <x:v>2.7999999999999972</x:v>
      </x:c>
      <x:c r="R66" s="12">
        <x:f t="shared" si="14"/>
        <x:v>0</x:v>
      </x:c>
      <x:c r="T66" s="81"/>
    </x:row>
    <x:row r="67" spans="1:20" x14ac:dyDescent="0.25">
      <x:c r="A67">
        <x:f t="shared" si="2"/>
        <x:v>59</x:v>
      </x:c>
      <x:c r="B67" s="11">
        <x:f t="shared" si="15"/>
        <x:v>45496</x:v>
      </x:c>
      <x:c r="C67">
        <x:v>86</x:v>
      </x:c>
      <x:c r="D67">
        <x:v>81</x:v>
      </x:c>
      <x:c r="E67">
        <x:v>79</x:v>
      </x:c>
      <x:c r="F67">
        <x:v>76</x:v>
      </x:c>
      <x:c r="G67" s="12">
        <x:f t="shared" si="3"/>
        <x:v>80.099999999999994</x:v>
      </x:c>
      <x:c r="H67" s="12">
        <x:f t="shared" si="4"/>
        <x:v>0</x:v>
      </x:c>
      <x:c r="I67" s="12">
        <x:f t="shared" si="5"/>
        <x:v>0</x:v>
      </x:c>
      <x:c r="J67" s="12">
        <x:f t="shared" si="6"/>
        <x:v>0</x:v>
      </x:c>
      <x:c r="K67" s="12">
        <x:f t="shared" si="7"/>
        <x:v>0</x:v>
      </x:c>
      <x:c r="L67" s="12">
        <x:f t="shared" si="8"/>
        <x:v>30.099999999999994</x:v>
      </x:c>
      <x:c r="M67" s="12">
        <x:f t="shared" si="9"/>
        <x:v>25.099999999999994</x:v>
      </x:c>
      <x:c r="N67" s="12">
        <x:f t="shared" si="10"/>
        <x:v>20.099999999999994</x:v>
      </x:c>
      <x:c r="O67" s="12">
        <x:f t="shared" si="11"/>
        <x:v>15.099999999999994</x:v>
      </x:c>
      <x:c r="P67" s="12">
        <x:f t="shared" si="12"/>
        <x:v>10.099999999999994</x:v>
      </x:c>
      <x:c r="Q67" s="12">
        <x:f t="shared" si="13"/>
        <x:v>5.0999999999999943</x:v>
      </x:c>
      <x:c r="R67" s="12">
        <x:f t="shared" si="14"/>
        <x:v>9.9999999999994316E-2</x:v>
      </x:c>
      <x:c r="T67" s="81"/>
    </x:row>
    <x:row r="68" spans="1:20" x14ac:dyDescent="0.25">
      <x:c r="A68">
        <x:f t="shared" si="2"/>
        <x:v>60</x:v>
      </x:c>
      <x:c r="B68" s="11">
        <x:f t="shared" si="15"/>
        <x:v>45497</x:v>
      </x:c>
      <x:c r="C68">
        <x:v>87</x:v>
      </x:c>
      <x:c r="D68">
        <x:v>83</x:v>
      </x:c>
      <x:c r="E68">
        <x:v>80</x:v>
      </x:c>
      <x:c r="F68">
        <x:v>78</x:v>
      </x:c>
      <x:c r="G68" s="12">
        <x:f t="shared" si="3"/>
        <x:v>82.4</x:v>
      </x:c>
      <x:c r="H68" s="12">
        <x:f t="shared" si="4"/>
        <x:v>0</x:v>
      </x:c>
      <x:c r="I68" s="12">
        <x:f t="shared" si="5"/>
        <x:v>0</x:v>
      </x:c>
      <x:c r="J68" s="12">
        <x:f t="shared" si="6"/>
        <x:v>0</x:v>
      </x:c>
      <x:c r="K68" s="12">
        <x:f t="shared" si="7"/>
        <x:v>0</x:v>
      </x:c>
      <x:c r="L68" s="12">
        <x:f t="shared" si="8"/>
        <x:v>32.400000000000006</x:v>
      </x:c>
      <x:c r="M68" s="12">
        <x:f t="shared" si="9"/>
        <x:v>27.400000000000006</x:v>
      </x:c>
      <x:c r="N68" s="12">
        <x:f t="shared" si="10"/>
        <x:v>22.400000000000006</x:v>
      </x:c>
      <x:c r="O68" s="12">
        <x:f t="shared" si="11"/>
        <x:v>17.400000000000006</x:v>
      </x:c>
      <x:c r="P68" s="12">
        <x:f t="shared" si="12"/>
        <x:v>12.400000000000006</x:v>
      </x:c>
      <x:c r="Q68" s="12">
        <x:f t="shared" si="13"/>
        <x:v>7.4000000000000057</x:v>
      </x:c>
      <x:c r="R68" s="12">
        <x:f t="shared" si="14"/>
        <x:v>2.4000000000000057</x:v>
      </x:c>
      <x:c r="T68" s="81"/>
    </x:row>
    <x:row r="69" spans="1:20" x14ac:dyDescent="0.25">
      <x:c r="A69">
        <x:f t="shared" si="2"/>
        <x:v>61</x:v>
      </x:c>
      <x:c r="B69" s="11">
        <x:f t="shared" si="15"/>
        <x:v>45498</x:v>
      </x:c>
      <x:c r="C69">
        <x:v>87</x:v>
      </x:c>
      <x:c r="D69">
        <x:v>84</x:v>
      </x:c>
      <x:c r="E69">
        <x:v>81</x:v>
      </x:c>
      <x:c r="F69">
        <x:v>79</x:v>
      </x:c>
      <x:c r="G69" s="12">
        <x:f t="shared" si="3"/>
        <x:v>83</x:v>
      </x:c>
      <x:c r="H69" s="12">
        <x:f t="shared" si="4"/>
        <x:v>0</x:v>
      </x:c>
      <x:c r="I69" s="12">
        <x:f t="shared" si="5"/>
        <x:v>0</x:v>
      </x:c>
      <x:c r="J69" s="12">
        <x:f t="shared" si="6"/>
        <x:v>0</x:v>
      </x:c>
      <x:c r="K69" s="12">
        <x:f t="shared" si="7"/>
        <x:v>0</x:v>
      </x:c>
      <x:c r="L69" s="12">
        <x:f t="shared" si="8"/>
        <x:v>33</x:v>
      </x:c>
      <x:c r="M69" s="12">
        <x:f t="shared" si="9"/>
        <x:v>28</x:v>
      </x:c>
      <x:c r="N69" s="12">
        <x:f t="shared" si="10"/>
        <x:v>23</x:v>
      </x:c>
      <x:c r="O69" s="12">
        <x:f t="shared" si="11"/>
        <x:v>18</x:v>
      </x:c>
      <x:c r="P69" s="12">
        <x:f t="shared" si="12"/>
        <x:v>13</x:v>
      </x:c>
      <x:c r="Q69" s="12">
        <x:f t="shared" si="13"/>
        <x:v>8</x:v>
      </x:c>
      <x:c r="R69" s="12">
        <x:f t="shared" si="14"/>
        <x:v>3</x:v>
      </x:c>
      <x:c r="T69" s="81"/>
    </x:row>
    <x:row r="70" spans="1:20" x14ac:dyDescent="0.25">
      <x:c r="A70">
        <x:f t="shared" si="2"/>
        <x:v>62</x:v>
      </x:c>
      <x:c r="B70" s="11">
        <x:f t="shared" si="15"/>
        <x:v>45499</x:v>
      </x:c>
      <x:c r="C70">
        <x:v>86</x:v>
      </x:c>
      <x:c r="D70">
        <x:v>83</x:v>
      </x:c>
      <x:c r="E70">
        <x:v>80</x:v>
      </x:c>
      <x:c r="F70">
        <x:v>78</x:v>
      </x:c>
      <x:c r="G70" s="12">
        <x:f t="shared" si="3"/>
        <x:v>82.6</x:v>
      </x:c>
      <x:c r="H70" s="12">
        <x:f t="shared" si="4"/>
        <x:v>0</x:v>
      </x:c>
      <x:c r="I70" s="12">
        <x:f t="shared" si="5"/>
        <x:v>0</x:v>
      </x:c>
      <x:c r="J70" s="12">
        <x:f t="shared" si="6"/>
        <x:v>0</x:v>
      </x:c>
      <x:c r="K70" s="12">
        <x:f t="shared" si="7"/>
        <x:v>0</x:v>
      </x:c>
      <x:c r="L70" s="12">
        <x:f t="shared" si="8"/>
        <x:v>32.599999999999994</x:v>
      </x:c>
      <x:c r="M70" s="12">
        <x:f t="shared" si="9"/>
        <x:v>27.599999999999994</x:v>
      </x:c>
      <x:c r="N70" s="12">
        <x:f t="shared" si="10"/>
        <x:v>22.599999999999994</x:v>
      </x:c>
      <x:c r="O70" s="12">
        <x:f t="shared" si="11"/>
        <x:v>17.599999999999994</x:v>
      </x:c>
      <x:c r="P70" s="12">
        <x:f t="shared" si="12"/>
        <x:v>12.599999999999994</x:v>
      </x:c>
      <x:c r="Q70" s="12">
        <x:f t="shared" si="13"/>
        <x:v>7.5999999999999943</x:v>
      </x:c>
      <x:c r="R70" s="12">
        <x:f t="shared" si="14"/>
        <x:v>2.5999999999999943</x:v>
      </x:c>
      <x:c r="T70" s="81"/>
    </x:row>
    <x:row r="71" spans="1:20" x14ac:dyDescent="0.25">
      <x:c r="A71">
        <x:f t="shared" si="2"/>
        <x:v>63</x:v>
      </x:c>
      <x:c r="B71" s="11">
        <x:f t="shared" si="15"/>
        <x:v>45500</x:v>
      </x:c>
      <x:c r="C71">
        <x:v>87</x:v>
      </x:c>
      <x:c r="D71">
        <x:v>82</x:v>
      </x:c>
      <x:c r="E71">
        <x:v>81</x:v>
      </x:c>
      <x:c r="F71">
        <x:v>80</x:v>
      </x:c>
      <x:c r="G71" s="12">
        <x:f t="shared" si="3"/>
        <x:v>82.6</x:v>
      </x:c>
      <x:c r="H71" s="12">
        <x:f t="shared" si="4"/>
        <x:v>0</x:v>
      </x:c>
      <x:c r="I71" s="12">
        <x:f t="shared" si="5"/>
        <x:v>0</x:v>
      </x:c>
      <x:c r="J71" s="12">
        <x:f t="shared" si="6"/>
        <x:v>0</x:v>
      </x:c>
      <x:c r="K71" s="12">
        <x:f t="shared" si="7"/>
        <x:v>0</x:v>
      </x:c>
      <x:c r="L71" s="12">
        <x:f t="shared" si="8"/>
        <x:v>32.599999999999994</x:v>
      </x:c>
      <x:c r="M71" s="12">
        <x:f t="shared" si="9"/>
        <x:v>27.599999999999994</x:v>
      </x:c>
      <x:c r="N71" s="12">
        <x:f t="shared" si="10"/>
        <x:v>22.599999999999994</x:v>
      </x:c>
      <x:c r="O71" s="12">
        <x:f t="shared" si="11"/>
        <x:v>17.599999999999994</x:v>
      </x:c>
      <x:c r="P71" s="12">
        <x:f t="shared" si="12"/>
        <x:v>12.599999999999994</x:v>
      </x:c>
      <x:c r="Q71" s="12">
        <x:f t="shared" si="13"/>
        <x:v>7.5999999999999943</x:v>
      </x:c>
      <x:c r="R71" s="12">
        <x:f t="shared" si="14"/>
        <x:v>2.5999999999999943</x:v>
      </x:c>
      <x:c r="T71" s="81"/>
    </x:row>
    <x:row r="72" spans="1:20" x14ac:dyDescent="0.25">
      <x:c r="A72">
        <x:f t="shared" si="2"/>
        <x:v>64</x:v>
      </x:c>
      <x:c r="B72" s="11">
        <x:f t="shared" si="15"/>
        <x:v>45501</x:v>
      </x:c>
      <x:c r="C72">
        <x:v>89</x:v>
      </x:c>
      <x:c r="D72">
        <x:v>87</x:v>
      </x:c>
      <x:c r="E72">
        <x:v>85</x:v>
      </x:c>
      <x:c r="F72">
        <x:v>82</x:v>
      </x:c>
      <x:c r="G72" s="12">
        <x:f t="shared" si="3"/>
        <x:v>84.5</x:v>
      </x:c>
      <x:c r="H72" s="12">
        <x:f t="shared" si="4"/>
        <x:v>0</x:v>
      </x:c>
      <x:c r="I72" s="12">
        <x:f t="shared" si="5"/>
        <x:v>0</x:v>
      </x:c>
      <x:c r="J72" s="12">
        <x:f t="shared" si="6"/>
        <x:v>0</x:v>
      </x:c>
      <x:c r="K72" s="12">
        <x:f t="shared" si="7"/>
        <x:v>0</x:v>
      </x:c>
      <x:c r="L72" s="12">
        <x:f t="shared" si="8"/>
        <x:v>34.5</x:v>
      </x:c>
      <x:c r="M72" s="12">
        <x:f t="shared" si="9"/>
        <x:v>29.5</x:v>
      </x:c>
      <x:c r="N72" s="12">
        <x:f t="shared" si="10"/>
        <x:v>24.5</x:v>
      </x:c>
      <x:c r="O72" s="12">
        <x:f t="shared" si="11"/>
        <x:v>19.5</x:v>
      </x:c>
      <x:c r="P72" s="12">
        <x:f t="shared" si="12"/>
        <x:v>14.5</x:v>
      </x:c>
      <x:c r="Q72" s="12">
        <x:f t="shared" si="13"/>
        <x:v>9.5</x:v>
      </x:c>
      <x:c r="R72" s="12">
        <x:f t="shared" si="14"/>
        <x:v>4.5</x:v>
      </x:c>
      <x:c r="T72" s="81"/>
    </x:row>
    <x:row r="73" spans="1:20" x14ac:dyDescent="0.25">
      <x:c r="A73">
        <x:f t="shared" si="2"/>
        <x:v>65</x:v>
      </x:c>
      <x:c r="B73" s="11">
        <x:f t="shared" si="15"/>
        <x:v>45502</x:v>
      </x:c>
      <x:c r="C73">
        <x:v>89</x:v>
      </x:c>
      <x:c r="D73">
        <x:v>87</x:v>
      </x:c>
      <x:c r="E73">
        <x:v>85</x:v>
      </x:c>
      <x:c r="F73">
        <x:v>83</x:v>
      </x:c>
      <x:c r="G73" s="12">
        <x:f t="shared" si="3"/>
        <x:v>86</x:v>
      </x:c>
      <x:c r="H73" s="12">
        <x:f t="shared" si="4"/>
        <x:v>0</x:v>
      </x:c>
      <x:c r="I73" s="12">
        <x:f t="shared" si="5"/>
        <x:v>0</x:v>
      </x:c>
      <x:c r="J73" s="12">
        <x:f t="shared" si="6"/>
        <x:v>0</x:v>
      </x:c>
      <x:c r="K73" s="12">
        <x:f t="shared" si="7"/>
        <x:v>0</x:v>
      </x:c>
      <x:c r="L73" s="12">
        <x:f t="shared" si="8"/>
        <x:v>36</x:v>
      </x:c>
      <x:c r="M73" s="12">
        <x:f t="shared" si="9"/>
        <x:v>31</x:v>
      </x:c>
      <x:c r="N73" s="12">
        <x:f t="shared" si="10"/>
        <x:v>26</x:v>
      </x:c>
      <x:c r="O73" s="12">
        <x:f t="shared" si="11"/>
        <x:v>21</x:v>
      </x:c>
      <x:c r="P73" s="12">
        <x:f t="shared" si="12"/>
        <x:v>16</x:v>
      </x:c>
      <x:c r="Q73" s="12">
        <x:f t="shared" si="13"/>
        <x:v>11</x:v>
      </x:c>
      <x:c r="R73" s="12">
        <x:f t="shared" si="14"/>
        <x:v>6</x:v>
      </x:c>
      <x:c r="T73" s="81"/>
    </x:row>
    <x:row r="74" spans="1:20" x14ac:dyDescent="0.25">
      <x:c r="A74">
        <x:f t="shared" si="2"/>
        <x:v>66</x:v>
      </x:c>
      <x:c r="B74" s="11">
        <x:f t="shared" si="15"/>
        <x:v>45503</x:v>
      </x:c>
      <x:c r="C74">
        <x:v>92</x:v>
      </x:c>
      <x:c r="D74">
        <x:v>89</x:v>
      </x:c>
      <x:c r="E74">
        <x:v>88</x:v>
      </x:c>
      <x:c r="F74">
        <x:v>86</x:v>
      </x:c>
      <x:c r="G74" s="12">
        <x:f t="shared" si="3"/>
        <x:v>87.3</x:v>
      </x:c>
      <x:c r="H74" s="12">
        <x:f t="shared" si="4"/>
        <x:v>0</x:v>
      </x:c>
      <x:c r="I74" s="12">
        <x:f t="shared" si="5"/>
        <x:v>0</x:v>
      </x:c>
      <x:c r="J74" s="12">
        <x:f t="shared" si="6"/>
        <x:v>0</x:v>
      </x:c>
      <x:c r="K74" s="12">
        <x:f t="shared" si="7"/>
        <x:v>0</x:v>
      </x:c>
      <x:c r="L74" s="12">
        <x:f t="shared" si="8"/>
        <x:v>37.299999999999997</x:v>
      </x:c>
      <x:c r="M74" s="12">
        <x:f t="shared" si="9"/>
        <x:v>32.299999999999997</x:v>
      </x:c>
      <x:c r="N74" s="12">
        <x:f t="shared" si="10"/>
        <x:v>27.299999999999997</x:v>
      </x:c>
      <x:c r="O74" s="12">
        <x:f t="shared" si="11"/>
        <x:v>22.299999999999997</x:v>
      </x:c>
      <x:c r="P74" s="12">
        <x:f t="shared" si="12"/>
        <x:v>17.299999999999997</x:v>
      </x:c>
      <x:c r="Q74" s="12">
        <x:f t="shared" si="13"/>
        <x:v>12.299999999999997</x:v>
      </x:c>
      <x:c r="R74" s="12">
        <x:f t="shared" si="14"/>
        <x:v>7.2999999999999972</x:v>
      </x:c>
      <x:c r="T74" s="81"/>
    </x:row>
    <x:row r="75" spans="1:20" x14ac:dyDescent="0.25">
      <x:c r="A75">
        <x:f t="shared" si="2"/>
        <x:v>67</x:v>
      </x:c>
      <x:c r="B75" s="11">
        <x:f t="shared" si="15"/>
        <x:v>45504</x:v>
      </x:c>
      <x:c r="C75">
        <x:v>91</x:v>
      </x:c>
      <x:c r="D75">
        <x:v>90</x:v>
      </x:c>
      <x:c r="E75">
        <x:v>87</x:v>
      </x:c>
      <x:c r="F75">
        <x:v>86</x:v>
      </x:c>
      <x:c r="G75" s="12">
        <x:f t="shared" si="3"/>
        <x:v>88.8</x:v>
      </x:c>
      <x:c r="H75" s="12">
        <x:f t="shared" si="4"/>
        <x:v>0</x:v>
      </x:c>
      <x:c r="I75" s="12">
        <x:f t="shared" si="5"/>
        <x:v>0</x:v>
      </x:c>
      <x:c r="J75" s="12">
        <x:f t="shared" si="6"/>
        <x:v>0</x:v>
      </x:c>
      <x:c r="K75" s="12">
        <x:f t="shared" si="7"/>
        <x:v>0</x:v>
      </x:c>
      <x:c r="L75" s="12">
        <x:f t="shared" si="8"/>
        <x:v>38.799999999999997</x:v>
      </x:c>
      <x:c r="M75" s="12">
        <x:f t="shared" si="9"/>
        <x:v>33.799999999999997</x:v>
      </x:c>
      <x:c r="N75" s="12">
        <x:f t="shared" si="10"/>
        <x:v>28.799999999999997</x:v>
      </x:c>
      <x:c r="O75" s="12">
        <x:f t="shared" si="11"/>
        <x:v>23.799999999999997</x:v>
      </x:c>
      <x:c r="P75" s="12">
        <x:f t="shared" si="12"/>
        <x:v>18.799999999999997</x:v>
      </x:c>
      <x:c r="Q75" s="12">
        <x:f t="shared" si="13"/>
        <x:v>13.799999999999997</x:v>
      </x:c>
      <x:c r="R75" s="12">
        <x:f t="shared" si="14"/>
        <x:v>8.7999999999999972</x:v>
      </x:c>
      <x:c r="T75" s="81"/>
    </x:row>
    <x:row r="76" spans="1:20" x14ac:dyDescent="0.25"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T76" s="30"/>
    </x:row>
    <x:row r="77" spans="1:20" x14ac:dyDescent="0.25">
      <x:c r="G77" s="48" t="s">
        <x:v>99</x:v>
      </x:c>
      <x:c r="H77" s="20">
        <x:f t="shared" ref="H77" si="16">SUM(H45:H75)</x:f>
        <x:v>0</x:v>
      </x:c>
      <x:c r="I77" s="20">
        <x:f>SUM(I45:I75)</x:f>
        <x:v>0</x:v>
      </x:c>
      <x:c r="J77" s="20">
        <x:f>SUM(J45:J75)</x:f>
        <x:v>0</x:v>
      </x:c>
      <x:c r="K77" s="20">
        <x:f>SUM(K45:K75)</x:f>
        <x:v>0</x:v>
      </x:c>
      <x:c r="L77" s="20">
        <x:f>SUM(L45:L75)</x:f>
        <x:v>1071.5</x:v>
      </x:c>
      <x:c r="M77" s="20">
        <x:f t="shared" ref="M77:N77" si="17">SUM(M45:M75)</x:f>
        <x:v>916.49999999999989</x:v>
      </x:c>
      <x:c r="N77" s="20">
        <x:f t="shared" si="17"/>
        <x:v>761.5</x:v>
      </x:c>
      <x:c r="O77" s="20">
        <x:f>SUM(O45:O75)</x:f>
        <x:v>606.5</x:v>
      </x:c>
      <x:c r="P77" s="20">
        <x:f>SUM(P45:P75)</x:f>
        <x:v>451.50000000000011</x:v>
      </x:c>
      <x:c r="Q77" s="20">
        <x:f>SUM(Q45:Q75)</x:f>
        <x:v>296.50000000000006</x:v>
      </x:c>
      <x:c r="R77" s="20">
        <x:f>SUM(R45:R75)</x:f>
        <x:v>146.80000000000001</x:v>
      </x:c>
      <x:c r="T77" s="82"/>
    </x:row>
  </x:sheetData>
  <x:mergeCells count="6">
    <x:mergeCell ref="B9:V9"/>
    <x:mergeCell ref="B1:T1"/>
    <x:mergeCell ref="B2:T2"/>
    <x:mergeCell ref="B3:T3"/>
    <x:mergeCell ref="B4:T4"/>
    <x:mergeCell ref="B6:T6"/>
  </x:mergeCells>
  <x:pageMargins left="0.75" right="0.75" top="1" bottom="1" header="0.5" footer="0.5"/>
  <x:pageSetup scale="59" firstPageNumber="3" orientation="portrait" r:id="rId1"/>
  <x:headerFooter alignWithMargins="0">
    <x:oddHeader>&amp;RSchedule II-H-5.1
Page &amp;P of  25</x:oddHeader>
  </x:headerFooter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300-000000000000}" mc:Ignorable="x14ac xr xr2 xr3">
  <x:sheetPr>
    <x:pageSetUpPr fitToPage="1"/>
  </x:sheetPr>
  <x:dimension ref="A1:AF33"/>
  <x:sheetViews>
    <x:sheetView zoomScaleNormal="100" workbookViewId="0"/>
  </x:sheetViews>
  <x:sheetFormatPr defaultColWidth="8.88671875" defaultRowHeight="13.2" x14ac:dyDescent="0.25"/>
  <x:cols>
    <x:col min="1" max="1" width="9.109375" style="59" customWidth="1"/>
    <x:col min="2" max="2" width="15.77734375" style="60" bestFit="1" customWidth="1"/>
    <x:col min="3" max="6" width="5.44140625" style="59" bestFit="1" customWidth="1"/>
    <x:col min="7" max="7" width="10.6640625" style="59" bestFit="1" customWidth="1"/>
    <x:col min="8" max="14" width="6.88671875" style="59" bestFit="1" customWidth="1"/>
    <x:col min="15" max="23" width="7" style="59" bestFit="1" customWidth="1"/>
    <x:col min="24" max="29" width="11.44140625" style="59" customWidth="1"/>
    <x:col min="30" max="16384" width="8.88671875" style="59"/>
  </x:cols>
  <x:sheetData>
    <x:row r="1" spans="1:29" s="66" customFormat="1" ht="15.6" x14ac:dyDescent="0.3">
      <x:c r="B1" s="88" t="str">
        <x:f>+Base45h!B1</x:f>
        <x:v xml:space="preserve">PUC DOCKET NO. </x:v>
      </x:c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  <x:c r="P1" s="92"/>
      <x:c r="Q1" s="92"/>
      <x:c r="R1" s="92"/>
      <x:c r="S1" s="92"/>
      <x:c r="T1" s="92"/>
      <x:c r="U1" s="60"/>
      <x:c r="V1" s="60"/>
      <x:c r="W1" s="60"/>
      <x:c r="X1" s="60"/>
      <x:c r="Y1" s="60"/>
      <x:c r="Z1" s="60"/>
      <x:c r="AA1" s="60"/>
      <x:c r="AB1" s="60"/>
      <x:c r="AC1" s="60"/>
    </x:row>
    <x:row r="2" spans="1:29" s="66" customFormat="1" ht="15.6" x14ac:dyDescent="0.3">
      <x:c r="B2" s="88" t="str">
        <x:f>+Base45h!B2</x:f>
        <x:v>ONCOR ELECTRIC DELIVERY COMPANY LLC</x:v>
      </x:c>
      <x:c r="C2" s="92"/>
      <x:c r="D2" s="92"/>
      <x:c r="E2" s="92"/>
      <x:c r="F2" s="92"/>
      <x:c r="G2" s="92"/>
      <x:c r="H2" s="92"/>
      <x:c r="I2" s="92"/>
      <x:c r="J2" s="92"/>
      <x:c r="K2" s="92"/>
      <x:c r="L2" s="92"/>
      <x:c r="M2" s="92"/>
      <x:c r="N2" s="92"/>
      <x:c r="O2" s="92"/>
      <x:c r="P2" s="92"/>
      <x:c r="Q2" s="92"/>
      <x:c r="R2" s="92"/>
      <x:c r="S2" s="92"/>
      <x:c r="T2" s="92"/>
      <x:c r="U2" s="60"/>
      <x:c r="V2" s="60"/>
      <x:c r="W2" s="60"/>
      <x:c r="X2" s="60"/>
      <x:c r="Y2" s="60"/>
      <x:c r="Z2" s="60"/>
      <x:c r="AA2" s="60"/>
      <x:c r="AB2" s="60"/>
      <x:c r="AC2" s="60"/>
    </x:row>
    <x:row r="3" spans="1:29" s="66" customFormat="1" ht="15.6" x14ac:dyDescent="0.3">
      <x:c r="B3" s="88" t="str">
        <x:f>+Base45h!B3</x:f>
        <x:v>WEATHER STATION DATA</x:v>
      </x:c>
      <x:c r="C3" s="92"/>
      <x:c r="D3" s="92"/>
      <x:c r="E3" s="92"/>
      <x:c r="F3" s="92"/>
      <x:c r="G3" s="92"/>
      <x:c r="H3" s="92"/>
      <x:c r="I3" s="92"/>
      <x:c r="J3" s="92"/>
      <x:c r="K3" s="92"/>
      <x:c r="L3" s="92"/>
      <x:c r="M3" s="92"/>
      <x:c r="N3" s="92"/>
      <x:c r="O3" s="92"/>
      <x:c r="P3" s="92"/>
      <x:c r="Q3" s="92"/>
      <x:c r="R3" s="92"/>
      <x:c r="S3" s="92"/>
      <x:c r="T3" s="92"/>
      <x:c r="U3" s="60"/>
      <x:c r="V3" s="60"/>
      <x:c r="W3" s="60"/>
      <x:c r="X3" s="60"/>
      <x:c r="Y3" s="60"/>
      <x:c r="Z3" s="60"/>
      <x:c r="AA3" s="60"/>
      <x:c r="AB3" s="60"/>
      <x:c r="AC3" s="60"/>
    </x:row>
    <x:row r="4" spans="1:29" s="66" customFormat="1" ht="15.6" x14ac:dyDescent="0.3">
      <x:c r="B4" s="88" t="str">
        <x:f>+Base45h!B4</x:f>
        <x:v>FOR THE TEST YEAR ENDING DECEMBER 31, 2024</x:v>
      </x:c>
      <x:c r="C4" s="92"/>
      <x:c r="D4" s="92"/>
      <x:c r="E4" s="92"/>
      <x:c r="F4" s="92"/>
      <x:c r="G4" s="92"/>
      <x:c r="H4" s="92"/>
      <x:c r="I4" s="92"/>
      <x:c r="J4" s="92"/>
      <x:c r="K4" s="92"/>
      <x:c r="L4" s="92"/>
      <x:c r="M4" s="92"/>
      <x:c r="N4" s="92"/>
      <x:c r="O4" s="92"/>
      <x:c r="P4" s="92"/>
      <x:c r="Q4" s="92"/>
      <x:c r="R4" s="92"/>
      <x:c r="S4" s="92"/>
      <x:c r="T4" s="92"/>
      <x:c r="U4" s="60"/>
      <x:c r="V4" s="60"/>
      <x:c r="W4" s="60"/>
      <x:c r="X4" s="60"/>
      <x:c r="Y4" s="60"/>
      <x:c r="Z4" s="60"/>
      <x:c r="AA4" s="60"/>
      <x:c r="AB4" s="60"/>
      <x:c r="AC4" s="60"/>
    </x:row>
    <x:row r="5" spans="1:29" s="66" customFormat="1" ht="11.4" x14ac:dyDescent="0.2">
      <x:c r="B5" s="1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67"/>
      <x:c r="V5" s="67"/>
      <x:c r="W5" s="67"/>
      <x:c r="X5" s="67"/>
      <x:c r="Y5" s="67"/>
      <x:c r="Z5" s="67"/>
      <x:c r="AA5" s="67"/>
      <x:c r="AB5" s="67"/>
      <x:c r="AC5" s="67"/>
    </x:row>
    <x:row r="6" spans="1:29" s="66" customFormat="1" ht="15.6" x14ac:dyDescent="0.3">
      <x:c r="B6" s="88" t="str">
        <x:f>+Base45h!B6</x:f>
        <x:v>SPONSOR: D. E. NELSON</x:v>
      </x:c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60"/>
      <x:c r="V6" s="60"/>
      <x:c r="W6" s="60"/>
      <x:c r="X6" s="60"/>
      <x:c r="Y6" s="60"/>
      <x:c r="Z6" s="60"/>
      <x:c r="AA6" s="60"/>
      <x:c r="AB6" s="60"/>
      <x:c r="AC6" s="60"/>
    </x:row>
    <x:row r="7" spans="1:29" ht="24" thickBot="1" x14ac:dyDescent="0.3">
      <x:c r="A7" s="65" t="s">
        <x:v>4</x:v>
      </x:c>
    </x:row>
    <x:row r="9" spans="1:29" x14ac:dyDescent="0.25">
      <x:c r="A9" s="59">
        <x:v>1</x:v>
      </x:c>
      <x:c r="B9" s="93" t="s">
        <x:v>121</x:v>
      </x:c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</x:row>
    <x:row r="10" spans="1:29" s="64" customFormat="1" x14ac:dyDescent="0.25">
      <x:c r="A10" s="59">
        <x:f t="shared" ref="A10:A33" si="0">+A9+1</x:f>
        <x:v>2</x:v>
      </x:c>
      <x:c r="B10" s="64" t="s">
        <x:v>68</x:v>
      </x:c>
      <x:c r="C10" s="64" t="s">
        <x:v>29</x:v>
      </x:c>
      <x:c r="D10" s="64" t="s">
        <x:v>30</x:v>
      </x:c>
      <x:c r="E10" s="64" t="s">
        <x:v>31</x:v>
      </x:c>
      <x:c r="F10" s="64" t="s">
        <x:v>32</x:v>
      </x:c>
      <x:c r="G10" s="64" t="s">
        <x:v>33</x:v>
      </x:c>
      <x:c r="H10" s="64" t="s">
        <x:v>34</x:v>
      </x:c>
      <x:c r="I10" s="64" t="s">
        <x:v>35</x:v>
      </x:c>
      <x:c r="J10" s="64" t="s">
        <x:v>36</x:v>
      </x:c>
      <x:c r="K10" s="64" t="s">
        <x:v>37</x:v>
      </x:c>
      <x:c r="L10" s="64" t="s">
        <x:v>38</x:v>
      </x:c>
      <x:c r="M10" s="64" t="s">
        <x:v>39</x:v>
      </x:c>
      <x:c r="N10" s="64" t="s">
        <x:v>40</x:v>
      </x:c>
      <x:c r="O10" s="64" t="s">
        <x:v>41</x:v>
      </x:c>
      <x:c r="P10" s="64" t="s">
        <x:v>42</x:v>
      </x:c>
      <x:c r="Q10" s="64" t="s">
        <x:v>43</x:v>
      </x:c>
      <x:c r="R10" s="64" t="s">
        <x:v>44</x:v>
      </x:c>
      <x:c r="S10" s="64" t="s">
        <x:v>45</x:v>
      </x:c>
      <x:c r="T10" s="64" t="s">
        <x:v>46</x:v>
      </x:c>
      <x:c r="U10" s="64" t="s">
        <x:v>47</x:v>
      </x:c>
      <x:c r="V10" s="64" t="s">
        <x:v>48</x:v>
      </x:c>
    </x:row>
    <x:row r="11" spans="1:29" x14ac:dyDescent="0.25">
      <x:c r="A11" s="59">
        <x:f t="shared" si="0"/>
        <x:v>3</x:v>
      </x:c>
      <x:c r="B11" s="62" t="s">
        <x:v>27</x:v>
      </x:c>
      <x:c r="C11" s="59">
        <x:v>50</x:v>
      </x:c>
      <x:c r="D11" s="59">
        <x:v>47</x:v>
      </x:c>
      <x:c r="E11" s="59">
        <x:v>47</x:v>
      </x:c>
      <x:c r="F11" s="59">
        <x:v>48</x:v>
      </x:c>
      <x:c r="G11" s="59">
        <x:v>50</x:v>
      </x:c>
      <x:c r="H11" s="59">
        <x:v>48</x:v>
      </x:c>
      <x:c r="I11" s="59">
        <x:v>45</x:v>
      </x:c>
      <x:c r="J11" s="59">
        <x:v>47</x:v>
      </x:c>
      <x:c r="K11" s="59">
        <x:v>44</x:v>
      </x:c>
      <x:c r="L11" s="59">
        <x:v>49</x:v>
      </x:c>
      <x:c r="M11" s="59">
        <x:v>53</x:v>
      </x:c>
      <x:c r="N11" s="59">
        <x:v>57</x:v>
      </x:c>
      <x:c r="O11" s="59">
        <x:v>59</x:v>
      </x:c>
      <x:c r="P11" s="59">
        <x:v>61</x:v>
      </x:c>
      <x:c r="Q11" s="59">
        <x:v>62</x:v>
      </x:c>
      <x:c r="R11" s="59">
        <x:v>61</x:v>
      </x:c>
      <x:c r="S11" s="59">
        <x:v>61</x:v>
      </x:c>
      <x:c r="T11" s="59">
        <x:v>60</x:v>
      </x:c>
      <x:c r="U11" s="59">
        <x:v>57</x:v>
      </x:c>
      <x:c r="V11" s="59">
        <x:v>53</x:v>
      </x:c>
    </x:row>
    <x:row r="12" spans="1:29" x14ac:dyDescent="0.25">
      <x:c r="A12" s="59">
        <x:f t="shared" si="0"/>
        <x:v>4</x:v>
      </x:c>
      <x:c r="B12" s="62" t="s">
        <x:v>65</x:v>
      </x:c>
      <x:c r="C12" s="59">
        <x:v>51</x:v>
      </x:c>
      <x:c r="D12" s="59">
        <x:v>50</x:v>
      </x:c>
      <x:c r="E12" s="59">
        <x:v>51</x:v>
      </x:c>
      <x:c r="F12" s="59">
        <x:v>51</x:v>
      </x:c>
      <x:c r="G12" s="59">
        <x:v>51</x:v>
      </x:c>
      <x:c r="H12" s="59">
        <x:v>51</x:v>
      </x:c>
      <x:c r="I12" s="59">
        <x:v>51</x:v>
      </x:c>
      <x:c r="J12" s="59">
        <x:v>51</x:v>
      </x:c>
      <x:c r="K12" s="59">
        <x:v>51</x:v>
      </x:c>
      <x:c r="L12" s="59">
        <x:v>50</x:v>
      </x:c>
      <x:c r="M12" s="59">
        <x:v>51</x:v>
      </x:c>
      <x:c r="N12" s="59">
        <x:v>52</x:v>
      </x:c>
      <x:c r="O12" s="59">
        <x:v>53</x:v>
      </x:c>
      <x:c r="P12" s="59">
        <x:v>54</x:v>
      </x:c>
      <x:c r="Q12" s="59">
        <x:v>56</x:v>
      </x:c>
      <x:c r="R12" s="59">
        <x:v>59</x:v>
      </x:c>
      <x:c r="S12" s="59">
        <x:v>61</x:v>
      </x:c>
      <x:c r="T12" s="59">
        <x:v>60</x:v>
      </x:c>
      <x:c r="U12" s="59">
        <x:v>56</x:v>
      </x:c>
      <x:c r="V12" s="59">
        <x:v>54</x:v>
      </x:c>
    </x:row>
    <x:row r="13" spans="1:29" x14ac:dyDescent="0.25">
      <x:c r="A13" s="59">
        <x:f t="shared" si="0"/>
        <x:v>5</x:v>
      </x:c>
      <x:c r="B13" s="62" t="s">
        <x:v>66</x:v>
      </x:c>
      <x:c r="C13" s="59">
        <x:v>51</x:v>
      </x:c>
      <x:c r="D13" s="59">
        <x:v>51</x:v>
      </x:c>
      <x:c r="E13" s="59">
        <x:v>50</x:v>
      </x:c>
      <x:c r="F13" s="59">
        <x:v>47</x:v>
      </x:c>
      <x:c r="G13" s="59">
        <x:v>47</x:v>
      </x:c>
      <x:c r="H13" s="59">
        <x:v>47</x:v>
      </x:c>
      <x:c r="I13" s="59">
        <x:v>48</x:v>
      </x:c>
      <x:c r="J13" s="59">
        <x:v>47</x:v>
      </x:c>
      <x:c r="K13" s="59">
        <x:v>48</x:v>
      </x:c>
      <x:c r="L13" s="59">
        <x:v>48</x:v>
      </x:c>
      <x:c r="M13" s="59">
        <x:v>48</x:v>
      </x:c>
      <x:c r="N13" s="59">
        <x:v>49</x:v>
      </x:c>
      <x:c r="O13" s="59">
        <x:v>51</x:v>
      </x:c>
      <x:c r="P13" s="59">
        <x:v>53</x:v>
      </x:c>
      <x:c r="Q13" s="59">
        <x:v>56</x:v>
      </x:c>
      <x:c r="R13" s="59">
        <x:v>58</x:v>
      </x:c>
      <x:c r="S13" s="59">
        <x:v>59</x:v>
      </x:c>
      <x:c r="T13" s="59">
        <x:v>58</x:v>
      </x:c>
      <x:c r="U13" s="59">
        <x:v>53</x:v>
      </x:c>
      <x:c r="V13" s="59">
        <x:v>49</x:v>
      </x:c>
    </x:row>
    <x:row r="14" spans="1:29" x14ac:dyDescent="0.25">
      <x:c r="A14" s="59">
        <x:f t="shared" si="0"/>
        <x:v>6</x:v>
      </x:c>
      <x:c r="B14" s="62" t="s">
        <x:v>67</x:v>
      </x:c>
      <x:c r="C14" s="59">
        <x:v>48</x:v>
      </x:c>
      <x:c r="D14" s="59">
        <x:v>48</x:v>
      </x:c>
      <x:c r="E14" s="59">
        <x:v>48</x:v>
      </x:c>
      <x:c r="F14" s="59">
        <x:v>48</x:v>
      </x:c>
      <x:c r="G14" s="59">
        <x:v>48</x:v>
      </x:c>
      <x:c r="H14" s="59">
        <x:v>48</x:v>
      </x:c>
      <x:c r="I14" s="59">
        <x:v>48</x:v>
      </x:c>
      <x:c r="J14" s="59">
        <x:v>48</x:v>
      </x:c>
      <x:c r="K14" s="59">
        <x:v>48</x:v>
      </x:c>
      <x:c r="L14" s="59">
        <x:v>48</x:v>
      </x:c>
      <x:c r="M14" s="59">
        <x:v>51</x:v>
      </x:c>
      <x:c r="N14" s="59">
        <x:v>51</x:v>
      </x:c>
      <x:c r="O14" s="59">
        <x:v>54</x:v>
      </x:c>
      <x:c r="P14" s="59">
        <x:v>59</x:v>
      </x:c>
      <x:c r="Q14" s="59">
        <x:v>61</x:v>
      </x:c>
      <x:c r="R14" s="59">
        <x:v>65</x:v>
      </x:c>
      <x:c r="S14" s="59">
        <x:v>66</x:v>
      </x:c>
      <x:c r="T14" s="59">
        <x:v>66</x:v>
      </x:c>
      <x:c r="U14" s="59">
        <x:v>59</x:v>
      </x:c>
      <x:c r="V14" s="59">
        <x:v>55</x:v>
      </x:c>
    </x:row>
    <x:row r="15" spans="1:29" x14ac:dyDescent="0.25">
      <x:c r="A15" s="59">
        <x:f t="shared" si="0"/>
        <x:v>7</x:v>
      </x:c>
      <x:c r="B15" s="62" t="s">
        <x:v>69</x:v>
      </x:c>
      <x:c r="C15" s="59">
        <x:v>47</x:v>
      </x:c>
      <x:c r="D15" s="59">
        <x:v>46</x:v>
      </x:c>
      <x:c r="E15" s="59">
        <x:v>45</x:v>
      </x:c>
      <x:c r="F15" s="59">
        <x:v>47</x:v>
      </x:c>
      <x:c r="G15" s="59">
        <x:v>45</x:v>
      </x:c>
      <x:c r="H15" s="59">
        <x:v>45</x:v>
      </x:c>
      <x:c r="I15" s="59">
        <x:v>45</x:v>
      </x:c>
      <x:c r="J15" s="59">
        <x:v>44</x:v>
      </x:c>
      <x:c r="K15" s="59">
        <x:v>45</x:v>
      </x:c>
      <x:c r="L15" s="59">
        <x:v>47</x:v>
      </x:c>
      <x:c r="M15" s="59">
        <x:v>49</x:v>
      </x:c>
      <x:c r="N15" s="59">
        <x:v>51</x:v>
      </x:c>
      <x:c r="O15" s="59">
        <x:v>52</x:v>
      </x:c>
      <x:c r="P15" s="59">
        <x:v>52</x:v>
      </x:c>
      <x:c r="Q15" s="59">
        <x:v>51</x:v>
      </x:c>
      <x:c r="R15" s="59">
        <x:v>50</x:v>
      </x:c>
      <x:c r="S15" s="59">
        <x:v>49</x:v>
      </x:c>
      <x:c r="T15" s="59">
        <x:v>49</x:v>
      </x:c>
      <x:c r="U15" s="59">
        <x:v>48</x:v>
      </x:c>
      <x:c r="V15" s="59">
        <x:v>48</x:v>
      </x:c>
    </x:row>
    <x:row r="16" spans="1:29" x14ac:dyDescent="0.25">
      <x:c r="A16" s="59">
        <x:f t="shared" si="0"/>
        <x:v>8</x:v>
      </x:c>
      <x:c r="B16" s="62" t="s">
        <x:v>70</x:v>
      </x:c>
      <x:c r="C16" s="59">
        <x:v>47</x:v>
      </x:c>
      <x:c r="D16" s="59">
        <x:v>47</x:v>
      </x:c>
      <x:c r="E16" s="59">
        <x:v>47</x:v>
      </x:c>
      <x:c r="F16" s="59">
        <x:v>47</x:v>
      </x:c>
      <x:c r="G16" s="59">
        <x:v>47</x:v>
      </x:c>
      <x:c r="H16" s="59">
        <x:v>47</x:v>
      </x:c>
      <x:c r="I16" s="59">
        <x:v>47</x:v>
      </x:c>
      <x:c r="J16" s="59">
        <x:v>48</x:v>
      </x:c>
      <x:c r="K16" s="59">
        <x:v>48</x:v>
      </x:c>
      <x:c r="L16" s="59">
        <x:v>50</x:v>
      </x:c>
      <x:c r="M16" s="59">
        <x:v>51</x:v>
      </x:c>
      <x:c r="N16" s="59">
        <x:v>52</x:v>
      </x:c>
      <x:c r="O16" s="59">
        <x:v>52</x:v>
      </x:c>
      <x:c r="P16" s="59">
        <x:v>51</x:v>
      </x:c>
      <x:c r="Q16" s="59">
        <x:v>51</x:v>
      </x:c>
      <x:c r="R16" s="59">
        <x:v>51</x:v>
      </x:c>
      <x:c r="S16" s="59">
        <x:v>51</x:v>
      </x:c>
      <x:c r="T16" s="59">
        <x:v>51</x:v>
      </x:c>
      <x:c r="U16" s="59">
        <x:v>51</x:v>
      </x:c>
      <x:c r="V16" s="59">
        <x:v>51</x:v>
      </x:c>
    </x:row>
    <x:row r="17" spans="1:32" x14ac:dyDescent="0.25">
      <x:c r="A17" s="59">
        <x:f t="shared" si="0"/>
        <x:v>9</x:v>
      </x:c>
      <x:c r="B17" s="62" t="s">
        <x:v>71</x:v>
      </x:c>
      <x:c r="C17" s="59">
        <x:v>48</x:v>
      </x:c>
      <x:c r="D17" s="59">
        <x:v>46</x:v>
      </x:c>
      <x:c r="E17" s="59">
        <x:v>46</x:v>
      </x:c>
      <x:c r="F17" s="59">
        <x:v>42</x:v>
      </x:c>
      <x:c r="G17" s="59">
        <x:v>40</x:v>
      </x:c>
      <x:c r="H17" s="59">
        <x:v>37</x:v>
      </x:c>
      <x:c r="I17" s="59">
        <x:v>35</x:v>
      </x:c>
      <x:c r="J17" s="59">
        <x:v>32</x:v>
      </x:c>
      <x:c r="K17" s="59">
        <x:v>27</x:v>
      </x:c>
      <x:c r="L17" s="59">
        <x:v>37</x:v>
      </x:c>
      <x:c r="M17" s="59">
        <x:v>44</x:v>
      </x:c>
      <x:c r="N17" s="59">
        <x:v>49</x:v>
      </x:c>
      <x:c r="O17" s="59">
        <x:v>52</x:v>
      </x:c>
      <x:c r="P17" s="59">
        <x:v>55</x:v>
      </x:c>
      <x:c r="Q17" s="59">
        <x:v>56</x:v>
      </x:c>
      <x:c r="R17" s="59">
        <x:v>57</x:v>
      </x:c>
      <x:c r="S17" s="59">
        <x:v>57</x:v>
      </x:c>
      <x:c r="T17" s="59">
        <x:v>56</x:v>
      </x:c>
      <x:c r="U17" s="59">
        <x:v>52</x:v>
      </x:c>
      <x:c r="V17" s="59">
        <x:v>46</x:v>
      </x:c>
    </x:row>
    <x:row r="18" spans="1:32" x14ac:dyDescent="0.25">
      <x:c r="A18" s="59">
        <x:f t="shared" si="0"/>
        <x:v>10</x:v>
      </x:c>
      <x:c r="B18" s="62" t="s">
        <x:v>74</x:v>
      </x:c>
      <x:c r="C18" s="59">
        <x:v>48</x:v>
      </x:c>
      <x:c r="D18" s="59">
        <x:v>48</x:v>
      </x:c>
      <x:c r="E18" s="59">
        <x:v>48</x:v>
      </x:c>
      <x:c r="F18" s="59">
        <x:v>46</x:v>
      </x:c>
      <x:c r="G18" s="59">
        <x:v>45</x:v>
      </x:c>
      <x:c r="H18" s="59">
        <x:v>46</x:v>
      </x:c>
      <x:c r="I18" s="59">
        <x:v>46</x:v>
      </x:c>
      <x:c r="J18" s="59">
        <x:v>46</x:v>
      </x:c>
      <x:c r="K18" s="59">
        <x:v>46</x:v>
      </x:c>
      <x:c r="L18" s="59">
        <x:v>46</x:v>
      </x:c>
      <x:c r="M18" s="59">
        <x:v>46</x:v>
      </x:c>
      <x:c r="N18" s="59">
        <x:v>48</x:v>
      </x:c>
      <x:c r="O18" s="59">
        <x:v>46</x:v>
      </x:c>
      <x:c r="P18" s="59">
        <x:v>52</x:v>
      </x:c>
      <x:c r="Q18" s="59">
        <x:v>55</x:v>
      </x:c>
      <x:c r="R18" s="59">
        <x:v>57</x:v>
      </x:c>
      <x:c r="S18" s="59">
        <x:v>57</x:v>
      </x:c>
      <x:c r="T18" s="59">
        <x:v>57</x:v>
      </x:c>
      <x:c r="U18" s="59">
        <x:v>52</x:v>
      </x:c>
      <x:c r="V18" s="59">
        <x:v>48</x:v>
      </x:c>
    </x:row>
    <x:row r="19" spans="1:32" x14ac:dyDescent="0.25">
      <x:c r="A19" s="59">
        <x:f t="shared" si="0"/>
        <x:v>11</x:v>
      </x:c>
      <x:c r="B19" s="62" t="s">
        <x:v>72</x:v>
      </x:c>
      <x:c r="C19" s="59">
        <x:v>47</x:v>
      </x:c>
      <x:c r="D19" s="59">
        <x:v>47</x:v>
      </x:c>
      <x:c r="E19" s="59">
        <x:v>47</x:v>
      </x:c>
      <x:c r="F19" s="59">
        <x:v>44</x:v>
      </x:c>
      <x:c r="G19" s="59">
        <x:v>45</x:v>
      </x:c>
      <x:c r="H19" s="59">
        <x:v>42</x:v>
      </x:c>
      <x:c r="I19" s="59">
        <x:v>46</x:v>
      </x:c>
      <x:c r="J19" s="59">
        <x:v>46</x:v>
      </x:c>
      <x:c r="K19" s="59">
        <x:v>46</x:v>
      </x:c>
      <x:c r="L19" s="59">
        <x:v>47</x:v>
      </x:c>
      <x:c r="M19" s="59">
        <x:v>48</x:v>
      </x:c>
      <x:c r="N19" s="59">
        <x:v>50</x:v>
      </x:c>
      <x:c r="O19" s="59">
        <x:v>51</x:v>
      </x:c>
      <x:c r="P19" s="59">
        <x:v>53</x:v>
      </x:c>
      <x:c r="Q19" s="59">
        <x:v>57</x:v>
      </x:c>
      <x:c r="R19" s="59">
        <x:v>58</x:v>
      </x:c>
      <x:c r="S19" s="59">
        <x:v>60</x:v>
      </x:c>
      <x:c r="T19" s="59">
        <x:v>58</x:v>
      </x:c>
      <x:c r="U19" s="59">
        <x:v>53</x:v>
      </x:c>
      <x:c r="V19" s="59">
        <x:v>51</x:v>
      </x:c>
    </x:row>
    <x:row r="20" spans="1:32" x14ac:dyDescent="0.25">
      <x:c r="A20" s="59">
        <x:f t="shared" si="0"/>
        <x:v>12</x:v>
      </x:c>
      <x:c r="B20" s="62" t="s">
        <x:v>73</x:v>
      </x:c>
      <x:c r="C20" s="59">
        <x:v>46</x:v>
      </x:c>
      <x:c r="D20" s="59">
        <x:v>42</x:v>
      </x:c>
      <x:c r="E20" s="59">
        <x:v>42</x:v>
      </x:c>
      <x:c r="F20" s="59">
        <x:v>44</x:v>
      </x:c>
      <x:c r="G20" s="59">
        <x:v>48</x:v>
      </x:c>
      <x:c r="H20" s="59">
        <x:v>47</x:v>
      </x:c>
      <x:c r="I20" s="59">
        <x:v>47</x:v>
      </x:c>
      <x:c r="J20" s="59">
        <x:v>47</x:v>
      </x:c>
      <x:c r="K20" s="59">
        <x:v>47</x:v>
      </x:c>
      <x:c r="L20" s="59">
        <x:v>48</x:v>
      </x:c>
      <x:c r="M20" s="59">
        <x:v>52</x:v>
      </x:c>
      <x:c r="N20" s="59">
        <x:v>56</x:v>
      </x:c>
      <x:c r="O20" s="59">
        <x:v>60</x:v>
      </x:c>
      <x:c r="P20" s="59">
        <x:v>62</x:v>
      </x:c>
      <x:c r="Q20" s="59">
        <x:v>64</x:v>
      </x:c>
      <x:c r="R20" s="59">
        <x:v>63</x:v>
      </x:c>
      <x:c r="S20" s="59">
        <x:v>61</x:v>
      </x:c>
      <x:c r="T20" s="59">
        <x:v>59</x:v>
      </x:c>
      <x:c r="U20" s="59">
        <x:v>54</x:v>
      </x:c>
      <x:c r="V20" s="59">
        <x:v>52</x:v>
      </x:c>
    </x:row>
    <x:row r="21" spans="1:32" x14ac:dyDescent="0.25">
      <x:c r="A21" s="59">
        <x:f t="shared" si="0"/>
        <x:v>13</x:v>
      </x:c>
    </x:row>
    <x:row r="22" spans="1:32" x14ac:dyDescent="0.25">
      <x:c r="A22" s="59">
        <x:f t="shared" si="0"/>
        <x:v>14</x:v>
      </x:c>
    </x:row>
    <x:row r="23" spans="1:32" x14ac:dyDescent="0.25">
      <x:c r="A23" s="59">
        <x:f t="shared" si="0"/>
        <x:v>15</x:v>
      </x:c>
      <x:c r="B23" s="64" t="s">
        <x:v>68</x:v>
      </x:c>
      <x:c r="C23" s="64" t="s">
        <x:v>49</x:v>
      </x:c>
      <x:c r="D23" s="64" t="s">
        <x:v>50</x:v>
      </x:c>
      <x:c r="E23" s="64" t="s">
        <x:v>51</x:v>
      </x:c>
      <x:c r="F23" s="64" t="s">
        <x:v>52</x:v>
      </x:c>
      <x:c r="G23" s="64" t="s">
        <x:v>53</x:v>
      </x:c>
      <x:c r="H23" s="64" t="s">
        <x:v>60</x:v>
      </x:c>
      <x:c r="I23" s="64" t="s">
        <x:v>102</x:v>
      </x:c>
      <x:c r="J23" s="64" t="s">
        <x:v>61</x:v>
      </x:c>
      <x:c r="K23" s="83" t="s">
        <x:v>106</x:v>
      </x:c>
      <x:c r="L23" s="83" t="s">
        <x:v>88</x:v>
      </x:c>
      <x:c r="M23" s="83" t="s">
        <x:v>107</x:v>
      </x:c>
      <x:c r="N23" s="83" t="s">
        <x:v>98</x:v>
      </x:c>
      <x:c r="O23" s="63" t="s">
        <x:v>62</x:v>
      </x:c>
      <x:c r="P23" s="63" t="s">
        <x:v>63</x:v>
      </x:c>
      <x:c r="Q23" s="63" t="s">
        <x:v>64</x:v>
      </x:c>
      <x:c r="R23" s="63" t="s">
        <x:v>89</x:v>
      </x:c>
      <x:c r="S23" s="63"/>
    </x:row>
    <x:row r="24" spans="1:32" x14ac:dyDescent="0.25">
      <x:c r="A24" s="59">
        <x:f t="shared" si="0"/>
        <x:v>16</x:v>
      </x:c>
      <x:c r="B24" s="62" t="s">
        <x:v>27</x:v>
      </x:c>
      <x:c r="C24" s="59">
        <x:v>50</x:v>
      </x:c>
      <x:c r="D24" s="59">
        <x:v>49</x:v>
      </x:c>
      <x:c r="E24" s="59">
        <x:v>46</x:v>
      </x:c>
      <x:c r="F24" s="59">
        <x:v>43</x:v>
      </x:c>
      <x:c r="G24" s="61">
        <x:f>ROUND(AVERAGE(C11:V11,C24:F24),1)</x:f>
        <x:v>52</x:v>
      </x:c>
      <x:c r="H24" s="61">
        <x:f>MAX(45-$G24,0)</x:f>
        <x:v>0</x:v>
      </x:c>
      <x:c r="I24" s="61">
        <x:f>MAX(55-$G24,0)</x:f>
        <x:v>3</x:v>
      </x:c>
      <x:c r="J24" s="61">
        <x:f t="shared" ref="J24:J33" si="1">MAX(60-$G24,0)</x:f>
        <x:v>8</x:v>
      </x:c>
      <x:c r="K24" s="61">
        <x:f t="shared" ref="K24:K33" si="2">MAX(65-$G24,0)</x:f>
        <x:v>13</x:v>
      </x:c>
      <x:c r="L24" s="61">
        <x:f t="shared" ref="L24:L33" si="3">MAX($G24-50,0)</x:f>
        <x:v>2</x:v>
      </x:c>
      <x:c r="M24" s="61">
        <x:f t="shared" ref="M24:M33" si="4">MAX($G24-55,0)</x:f>
        <x:v>0</x:v>
      </x:c>
      <x:c r="N24" s="61">
        <x:f t="shared" ref="N24:N33" si="5">MAX($G24-60,0)</x:f>
        <x:v>0</x:v>
      </x:c>
      <x:c r="O24" s="61">
        <x:f t="shared" ref="O24:O33" si="6">MAX($G24-65,0)</x:f>
        <x:v>0</x:v>
      </x:c>
      <x:c r="P24" s="61">
        <x:f t="shared" ref="P24:P33" si="7">MAX($G24-70,0)</x:f>
        <x:v>0</x:v>
      </x:c>
      <x:c r="Q24" s="61">
        <x:f t="shared" ref="Q24:Q33" si="8">MAX($G24-75,0)</x:f>
        <x:v>0</x:v>
      </x:c>
      <x:c r="R24" s="61">
        <x:f t="shared" ref="R24:R33" si="9">MAX($G24-80,0)</x:f>
        <x:v>0</x:v>
      </x:c>
      <x:c r="S24" s="61"/>
      <x:c r="T24" s="61"/>
      <x:c r="U24" s="61"/>
      <x:c r="V24" s="61"/>
      <x:c r="W24" s="61"/>
      <x:c r="X24" s="61"/>
      <x:c r="Y24" s="61"/>
      <x:c r="Z24" s="61"/>
      <x:c r="AA24" s="61"/>
      <x:c r="AB24" s="61"/>
      <x:c r="AC24" s="61"/>
      <x:c r="AD24" s="61"/>
      <x:c r="AE24" s="61"/>
      <x:c r="AF24" s="61"/>
    </x:row>
    <x:row r="25" spans="1:32" x14ac:dyDescent="0.25">
      <x:c r="A25" s="59">
        <x:f t="shared" si="0"/>
        <x:v>17</x:v>
      </x:c>
      <x:c r="B25" s="62" t="s">
        <x:v>65</x:v>
      </x:c>
      <x:c r="C25" s="59">
        <x:v>46</x:v>
      </x:c>
      <x:c r="D25" s="59">
        <x:v>43</x:v>
      </x:c>
      <x:c r="E25" s="59">
        <x:v>38</x:v>
      </x:c>
      <x:c r="F25" s="59">
        <x:v>37</x:v>
      </x:c>
      <x:c r="G25" s="61">
        <x:f t="shared" ref="G25:G33" si="10">ROUND(AVERAGE(C12:V12,C25:F25),1)</x:f>
        <x:v>51.2</x:v>
      </x:c>
      <x:c r="H25" s="61">
        <x:f t="shared" ref="H25:H33" si="11">MAX(45-$G25,0)</x:f>
        <x:v>0</x:v>
      </x:c>
      <x:c r="I25" s="61">
        <x:f t="shared" ref="I25:I33" si="12">MAX(55-$G25,0)</x:f>
        <x:v>3.7999999999999972</x:v>
      </x:c>
      <x:c r="J25" s="61">
        <x:f t="shared" si="1"/>
        <x:v>8.7999999999999972</x:v>
      </x:c>
      <x:c r="K25" s="61">
        <x:f t="shared" si="2"/>
        <x:v>13.799999999999997</x:v>
      </x:c>
      <x:c r="L25" s="61">
        <x:f t="shared" si="3"/>
        <x:v>1.2000000000000028</x:v>
      </x:c>
      <x:c r="M25" s="61">
        <x:f t="shared" si="4"/>
        <x:v>0</x:v>
      </x:c>
      <x:c r="N25" s="61">
        <x:f t="shared" si="5"/>
        <x:v>0</x:v>
      </x:c>
      <x:c r="O25" s="61">
        <x:f t="shared" si="6"/>
        <x:v>0</x:v>
      </x:c>
      <x:c r="P25" s="61">
        <x:f t="shared" si="7"/>
        <x:v>0</x:v>
      </x:c>
      <x:c r="Q25" s="61">
        <x:f t="shared" si="8"/>
        <x:v>0</x:v>
      </x:c>
      <x:c r="R25" s="61">
        <x:f t="shared" si="9"/>
        <x:v>0</x:v>
      </x:c>
      <x:c r="S25" s="61"/>
    </x:row>
    <x:row r="26" spans="1:32" x14ac:dyDescent="0.25">
      <x:c r="A26" s="59">
        <x:f t="shared" si="0"/>
        <x:v>18</x:v>
      </x:c>
      <x:c r="B26" s="62" t="s">
        <x:v>66</x:v>
      </x:c>
      <x:c r="C26" s="59">
        <x:v>48</x:v>
      </x:c>
      <x:c r="D26" s="59">
        <x:v>47</x:v>
      </x:c>
      <x:c r="E26" s="59">
        <x:v>49</x:v>
      </x:c>
      <x:c r="F26" s="59">
        <x:v>48</x:v>
      </x:c>
      <x:c r="G26" s="61">
        <x:f t="shared" si="10"/>
        <x:v>50.4</x:v>
      </x:c>
      <x:c r="H26" s="61">
        <x:f t="shared" si="11"/>
        <x:v>0</x:v>
      </x:c>
      <x:c r="I26" s="61">
        <x:f t="shared" si="12"/>
        <x:v>4.6000000000000014</x:v>
      </x:c>
      <x:c r="J26" s="61">
        <x:f t="shared" si="1"/>
        <x:v>9.6000000000000014</x:v>
      </x:c>
      <x:c r="K26" s="61">
        <x:f t="shared" si="2"/>
        <x:v>14.600000000000001</x:v>
      </x:c>
      <x:c r="L26" s="61">
        <x:f t="shared" si="3"/>
        <x:v>0.39999999999999858</x:v>
      </x:c>
      <x:c r="M26" s="61">
        <x:f t="shared" si="4"/>
        <x:v>0</x:v>
      </x:c>
      <x:c r="N26" s="61">
        <x:f t="shared" si="5"/>
        <x:v>0</x:v>
      </x:c>
      <x:c r="O26" s="61">
        <x:f t="shared" si="6"/>
        <x:v>0</x:v>
      </x:c>
      <x:c r="P26" s="61">
        <x:f t="shared" si="7"/>
        <x:v>0</x:v>
      </x:c>
      <x:c r="Q26" s="61">
        <x:f t="shared" si="8"/>
        <x:v>0</x:v>
      </x:c>
      <x:c r="R26" s="61">
        <x:f t="shared" si="9"/>
        <x:v>0</x:v>
      </x:c>
      <x:c r="S26" s="61"/>
    </x:row>
    <x:row r="27" spans="1:32" x14ac:dyDescent="0.25">
      <x:c r="A27" s="59">
        <x:f t="shared" si="0"/>
        <x:v>19</x:v>
      </x:c>
      <x:c r="B27" s="62" t="s">
        <x:v>67</x:v>
      </x:c>
      <x:c r="C27" s="59">
        <x:v>51</x:v>
      </x:c>
      <x:c r="D27" s="59">
        <x:v>47</x:v>
      </x:c>
      <x:c r="E27" s="59">
        <x:v>47</x:v>
      </x:c>
      <x:c r="F27" s="59">
        <x:v>46</x:v>
      </x:c>
      <x:c r="G27" s="61">
        <x:f t="shared" si="10"/>
        <x:v>52.4</x:v>
      </x:c>
      <x:c r="H27" s="61">
        <x:f t="shared" si="11"/>
        <x:v>0</x:v>
      </x:c>
      <x:c r="I27" s="61">
        <x:f t="shared" si="12"/>
        <x:v>2.6000000000000014</x:v>
      </x:c>
      <x:c r="J27" s="61">
        <x:f t="shared" si="1"/>
        <x:v>7.6000000000000014</x:v>
      </x:c>
      <x:c r="K27" s="61">
        <x:f t="shared" si="2"/>
        <x:v>12.600000000000001</x:v>
      </x:c>
      <x:c r="L27" s="61">
        <x:f t="shared" si="3"/>
        <x:v>2.3999999999999986</x:v>
      </x:c>
      <x:c r="M27" s="61">
        <x:f t="shared" si="4"/>
        <x:v>0</x:v>
      </x:c>
      <x:c r="N27" s="61">
        <x:f t="shared" si="5"/>
        <x:v>0</x:v>
      </x:c>
      <x:c r="O27" s="61">
        <x:f t="shared" si="6"/>
        <x:v>0</x:v>
      </x:c>
      <x:c r="P27" s="61">
        <x:f t="shared" si="7"/>
        <x:v>0</x:v>
      </x:c>
      <x:c r="Q27" s="61">
        <x:f t="shared" si="8"/>
        <x:v>0</x:v>
      </x:c>
      <x:c r="R27" s="61">
        <x:f t="shared" si="9"/>
        <x:v>0</x:v>
      </x:c>
      <x:c r="S27" s="61"/>
    </x:row>
    <x:row r="28" spans="1:32" x14ac:dyDescent="0.25">
      <x:c r="A28" s="59">
        <x:f t="shared" si="0"/>
        <x:v>20</x:v>
      </x:c>
      <x:c r="B28" s="62" t="s">
        <x:v>69</x:v>
      </x:c>
      <x:c r="C28" s="59">
        <x:v>48</x:v>
      </x:c>
      <x:c r="D28" s="59">
        <x:v>48</x:v>
      </x:c>
      <x:c r="E28" s="59">
        <x:v>47</x:v>
      </x:c>
      <x:c r="F28" s="59">
        <x:v>48</x:v>
      </x:c>
      <x:c r="G28" s="61">
        <x:f t="shared" si="10"/>
        <x:v>47.8</x:v>
      </x:c>
      <x:c r="H28" s="61">
        <x:f t="shared" si="11"/>
        <x:v>0</x:v>
      </x:c>
      <x:c r="I28" s="61">
        <x:f t="shared" si="12"/>
        <x:v>7.2000000000000028</x:v>
      </x:c>
      <x:c r="J28" s="61">
        <x:f t="shared" si="1"/>
        <x:v>12.200000000000003</x:v>
      </x:c>
      <x:c r="K28" s="61">
        <x:f t="shared" si="2"/>
        <x:v>17.200000000000003</x:v>
      </x:c>
      <x:c r="L28" s="61">
        <x:f t="shared" si="3"/>
        <x:v>0</x:v>
      </x:c>
      <x:c r="M28" s="61">
        <x:f t="shared" si="4"/>
        <x:v>0</x:v>
      </x:c>
      <x:c r="N28" s="61">
        <x:f t="shared" si="5"/>
        <x:v>0</x:v>
      </x:c>
      <x:c r="O28" s="61">
        <x:f t="shared" si="6"/>
        <x:v>0</x:v>
      </x:c>
      <x:c r="P28" s="61">
        <x:f t="shared" si="7"/>
        <x:v>0</x:v>
      </x:c>
      <x:c r="Q28" s="61">
        <x:f t="shared" si="8"/>
        <x:v>0</x:v>
      </x:c>
      <x:c r="R28" s="61">
        <x:f t="shared" si="9"/>
        <x:v>0</x:v>
      </x:c>
      <x:c r="S28" s="61"/>
    </x:row>
    <x:row r="29" spans="1:32" x14ac:dyDescent="0.25">
      <x:c r="A29" s="59">
        <x:f t="shared" si="0"/>
        <x:v>21</x:v>
      </x:c>
      <x:c r="B29" s="62" t="s">
        <x:v>70</x:v>
      </x:c>
      <x:c r="C29" s="59">
        <x:v>51</x:v>
      </x:c>
      <x:c r="D29" s="59">
        <x:v>51</x:v>
      </x:c>
      <x:c r="E29" s="59">
        <x:v>51</x:v>
      </x:c>
      <x:c r="F29" s="59">
        <x:v>51</x:v>
      </x:c>
      <x:c r="G29" s="61">
        <x:f t="shared" si="10"/>
        <x:v>49.6</x:v>
      </x:c>
      <x:c r="H29" s="61">
        <x:f t="shared" si="11"/>
        <x:v>0</x:v>
      </x:c>
      <x:c r="I29" s="61">
        <x:f t="shared" si="12"/>
        <x:v>5.3999999999999986</x:v>
      </x:c>
      <x:c r="J29" s="61">
        <x:f t="shared" si="1"/>
        <x:v>10.399999999999999</x:v>
      </x:c>
      <x:c r="K29" s="61">
        <x:f t="shared" si="2"/>
        <x:v>15.399999999999999</x:v>
      </x:c>
      <x:c r="L29" s="61">
        <x:f t="shared" si="3"/>
        <x:v>0</x:v>
      </x:c>
      <x:c r="M29" s="61">
        <x:f t="shared" si="4"/>
        <x:v>0</x:v>
      </x:c>
      <x:c r="N29" s="61">
        <x:f t="shared" si="5"/>
        <x:v>0</x:v>
      </x:c>
      <x:c r="O29" s="61">
        <x:f t="shared" si="6"/>
        <x:v>0</x:v>
      </x:c>
      <x:c r="P29" s="61">
        <x:f t="shared" si="7"/>
        <x:v>0</x:v>
      </x:c>
      <x:c r="Q29" s="61">
        <x:f t="shared" si="8"/>
        <x:v>0</x:v>
      </x:c>
      <x:c r="R29" s="61">
        <x:f t="shared" si="9"/>
        <x:v>0</x:v>
      </x:c>
      <x:c r="S29" s="61"/>
    </x:row>
    <x:row r="30" spans="1:32" x14ac:dyDescent="0.25">
      <x:c r="A30" s="59">
        <x:f t="shared" si="0"/>
        <x:v>22</x:v>
      </x:c>
      <x:c r="B30" s="62" t="s">
        <x:v>71</x:v>
      </x:c>
      <x:c r="C30" s="59">
        <x:v>43</x:v>
      </x:c>
      <x:c r="D30" s="59">
        <x:v>42</x:v>
      </x:c>
      <x:c r="E30" s="59">
        <x:v>40</x:v>
      </x:c>
      <x:c r="F30" s="59">
        <x:v>38</x:v>
      </x:c>
      <x:c r="G30" s="61">
        <x:f t="shared" si="10"/>
        <x:v>44.9</x:v>
      </x:c>
      <x:c r="H30" s="61">
        <x:f t="shared" si="11"/>
        <x:v>0.10000000000000142</x:v>
      </x:c>
      <x:c r="I30" s="61">
        <x:f t="shared" si="12"/>
        <x:v>10.100000000000001</x:v>
      </x:c>
      <x:c r="J30" s="61">
        <x:f t="shared" si="1"/>
        <x:v>15.100000000000001</x:v>
      </x:c>
      <x:c r="K30" s="61">
        <x:f t="shared" si="2"/>
        <x:v>20.100000000000001</x:v>
      </x:c>
      <x:c r="L30" s="61">
        <x:f t="shared" si="3"/>
        <x:v>0</x:v>
      </x:c>
      <x:c r="M30" s="61">
        <x:f t="shared" si="4"/>
        <x:v>0</x:v>
      </x:c>
      <x:c r="N30" s="61">
        <x:f t="shared" si="5"/>
        <x:v>0</x:v>
      </x:c>
      <x:c r="O30" s="61">
        <x:f t="shared" si="6"/>
        <x:v>0</x:v>
      </x:c>
      <x:c r="P30" s="61">
        <x:f t="shared" si="7"/>
        <x:v>0</x:v>
      </x:c>
      <x:c r="Q30" s="61">
        <x:f t="shared" si="8"/>
        <x:v>0</x:v>
      </x:c>
      <x:c r="R30" s="61">
        <x:f t="shared" si="9"/>
        <x:v>0</x:v>
      </x:c>
      <x:c r="S30" s="61"/>
    </x:row>
    <x:row r="31" spans="1:32" x14ac:dyDescent="0.25">
      <x:c r="A31" s="59">
        <x:f t="shared" si="0"/>
        <x:v>23</x:v>
      </x:c>
      <x:c r="B31" s="62" t="s">
        <x:v>74</x:v>
      </x:c>
      <x:c r="C31" s="59">
        <x:v>45</x:v>
      </x:c>
      <x:c r="D31" s="59">
        <x:v>43</x:v>
      </x:c>
      <x:c r="E31" s="59">
        <x:v>43</x:v>
      </x:c>
      <x:c r="F31" s="59">
        <x:v>42</x:v>
      </x:c>
      <x:c r="G31" s="61">
        <x:f t="shared" si="10"/>
        <x:v>48.2</x:v>
      </x:c>
      <x:c r="H31" s="61">
        <x:f t="shared" si="11"/>
        <x:v>0</x:v>
      </x:c>
      <x:c r="I31" s="61">
        <x:f t="shared" si="12"/>
        <x:v>6.7999999999999972</x:v>
      </x:c>
      <x:c r="J31" s="61">
        <x:f t="shared" si="1"/>
        <x:v>11.799999999999997</x:v>
      </x:c>
      <x:c r="K31" s="61">
        <x:f t="shared" si="2"/>
        <x:v>16.799999999999997</x:v>
      </x:c>
      <x:c r="L31" s="61">
        <x:f t="shared" si="3"/>
        <x:v>0</x:v>
      </x:c>
      <x:c r="M31" s="61">
        <x:f t="shared" si="4"/>
        <x:v>0</x:v>
      </x:c>
      <x:c r="N31" s="61">
        <x:f t="shared" si="5"/>
        <x:v>0</x:v>
      </x:c>
      <x:c r="O31" s="61">
        <x:f t="shared" si="6"/>
        <x:v>0</x:v>
      </x:c>
      <x:c r="P31" s="61">
        <x:f t="shared" si="7"/>
        <x:v>0</x:v>
      </x:c>
      <x:c r="Q31" s="61">
        <x:f t="shared" si="8"/>
        <x:v>0</x:v>
      </x:c>
      <x:c r="R31" s="61">
        <x:f t="shared" si="9"/>
        <x:v>0</x:v>
      </x:c>
      <x:c r="S31" s="61"/>
    </x:row>
    <x:row r="32" spans="1:32" x14ac:dyDescent="0.25">
      <x:c r="A32" s="59">
        <x:f t="shared" si="0"/>
        <x:v>24</x:v>
      </x:c>
      <x:c r="B32" s="62" t="s">
        <x:v>72</x:v>
      </x:c>
      <x:c r="C32" s="59">
        <x:v>48</x:v>
      </x:c>
      <x:c r="D32" s="59">
        <x:v>45</x:v>
      </x:c>
      <x:c r="E32" s="59">
        <x:v>40</x:v>
      </x:c>
      <x:c r="F32" s="59">
        <x:v>41</x:v>
      </x:c>
      <x:c r="G32" s="61">
        <x:f t="shared" si="10"/>
        <x:v>48.8</x:v>
      </x:c>
      <x:c r="H32" s="61">
        <x:f t="shared" si="11"/>
        <x:v>0</x:v>
      </x:c>
      <x:c r="I32" s="61">
        <x:f t="shared" si="12"/>
        <x:v>6.2000000000000028</x:v>
      </x:c>
      <x:c r="J32" s="61">
        <x:f t="shared" si="1"/>
        <x:v>11.200000000000003</x:v>
      </x:c>
      <x:c r="K32" s="61">
        <x:f t="shared" si="2"/>
        <x:v>16.200000000000003</x:v>
      </x:c>
      <x:c r="L32" s="61">
        <x:f t="shared" si="3"/>
        <x:v>0</x:v>
      </x:c>
      <x:c r="M32" s="61">
        <x:f t="shared" si="4"/>
        <x:v>0</x:v>
      </x:c>
      <x:c r="N32" s="61">
        <x:f t="shared" si="5"/>
        <x:v>0</x:v>
      </x:c>
      <x:c r="O32" s="61">
        <x:f t="shared" si="6"/>
        <x:v>0</x:v>
      </x:c>
      <x:c r="P32" s="61">
        <x:f t="shared" si="7"/>
        <x:v>0</x:v>
      </x:c>
      <x:c r="Q32" s="61">
        <x:f t="shared" si="8"/>
        <x:v>0</x:v>
      </x:c>
      <x:c r="R32" s="61">
        <x:f t="shared" si="9"/>
        <x:v>0</x:v>
      </x:c>
      <x:c r="S32" s="61"/>
    </x:row>
    <x:row r="33" spans="1:19" x14ac:dyDescent="0.25">
      <x:c r="A33" s="59">
        <x:f t="shared" si="0"/>
        <x:v>25</x:v>
      </x:c>
      <x:c r="B33" s="62" t="s">
        <x:v>73</x:v>
      </x:c>
      <x:c r="C33" s="59">
        <x:v>49</x:v>
      </x:c>
      <x:c r="D33" s="59">
        <x:v>44</x:v>
      </x:c>
      <x:c r="E33" s="59">
        <x:v>42</x:v>
      </x:c>
      <x:c r="F33" s="59">
        <x:v>41</x:v>
      </x:c>
      <x:c r="G33" s="61">
        <x:f t="shared" si="10"/>
        <x:v>50.7</x:v>
      </x:c>
      <x:c r="H33" s="61">
        <x:f t="shared" si="11"/>
        <x:v>0</x:v>
      </x:c>
      <x:c r="I33" s="61">
        <x:f t="shared" si="12"/>
        <x:v>4.2999999999999972</x:v>
      </x:c>
      <x:c r="J33" s="61">
        <x:f t="shared" si="1"/>
        <x:v>9.2999999999999972</x:v>
      </x:c>
      <x:c r="K33" s="61">
        <x:f t="shared" si="2"/>
        <x:v>14.299999999999997</x:v>
      </x:c>
      <x:c r="L33" s="61">
        <x:f t="shared" si="3"/>
        <x:v>0.70000000000000284</x:v>
      </x:c>
      <x:c r="M33" s="61">
        <x:f t="shared" si="4"/>
        <x:v>0</x:v>
      </x:c>
      <x:c r="N33" s="61">
        <x:f t="shared" si="5"/>
        <x:v>0</x:v>
      </x:c>
      <x:c r="O33" s="61">
        <x:f t="shared" si="6"/>
        <x:v>0</x:v>
      </x:c>
      <x:c r="P33" s="61">
        <x:f t="shared" si="7"/>
        <x:v>0</x:v>
      </x:c>
      <x:c r="Q33" s="61">
        <x:f t="shared" si="8"/>
        <x:v>0</x:v>
      </x:c>
      <x:c r="R33" s="61">
        <x:f t="shared" si="9"/>
        <x:v>0</x:v>
      </x:c>
      <x:c r="S33" s="61"/>
    </x:row>
  </x:sheetData>
  <x:mergeCells count="6">
    <x:mergeCell ref="B9:V9"/>
    <x:mergeCell ref="B1:T1"/>
    <x:mergeCell ref="B2:T2"/>
    <x:mergeCell ref="B3:T3"/>
    <x:mergeCell ref="B4:T4"/>
    <x:mergeCell ref="B6:T6"/>
  </x:mergeCells>
  <x:pageMargins left="0.75" right="0.75" top="1" bottom="1" header="0.5" footer="0.5"/>
  <x:pageSetup scale="56" firstPageNumber="3" orientation="portrait" r:id="rId1"/>
  <x:headerFooter alignWithMargins="0">
    <x:oddHeader>&amp;RSchedule II-H-5.1
Page &amp;P of  25</x:oddHeader>
  </x:headerFooter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400-000000000000}" mc:Ignorable="x14ac xr xr2 xr3">
  <x:sheetPr>
    <x:pageSetUpPr fitToPage="1"/>
  </x:sheetPr>
  <x:dimension ref="A1:AF33"/>
  <x:sheetViews>
    <x:sheetView zoomScaleNormal="100" workbookViewId="0"/>
  </x:sheetViews>
  <x:sheetFormatPr defaultRowHeight="13.2" x14ac:dyDescent="0.25"/>
  <x:cols>
    <x:col min="1" max="1" width="9.109375" customWidth="1"/>
    <x:col min="2" max="2" width="15.77734375" style="9" bestFit="1" customWidth="1"/>
    <x:col min="3" max="6" width="5.44140625" bestFit="1" customWidth="1"/>
    <x:col min="7" max="7" width="10.6640625" bestFit="1" customWidth="1"/>
    <x:col min="8" max="14" width="6.88671875" bestFit="1" customWidth="1"/>
    <x:col min="15" max="23" width="7" bestFit="1" customWidth="1"/>
    <x:col min="24" max="29" width="11.44140625" customWidth="1"/>
  </x:cols>
  <x:sheetData>
    <x:row r="1" spans="1:29" s="2" customFormat="1" ht="15.6" x14ac:dyDescent="0.3">
      <x:c r="B1" s="88" t="str">
        <x:f>+Base45h!B1</x:f>
        <x:v xml:space="preserve">PUC DOCKET NO. </x:v>
      </x:c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  <x:c r="P1" s="92"/>
      <x:c r="Q1" s="92"/>
      <x:c r="R1" s="92"/>
      <x:c r="S1" s="92"/>
      <x:c r="T1" s="92"/>
      <x:c r="U1" s="9"/>
      <x:c r="V1" s="9"/>
      <x:c r="W1" s="9"/>
      <x:c r="X1" s="9"/>
      <x:c r="Y1" s="9"/>
      <x:c r="Z1" s="9"/>
      <x:c r="AA1" s="9"/>
      <x:c r="AB1" s="9"/>
      <x:c r="AC1" s="9"/>
    </x:row>
    <x:row r="2" spans="1:29" s="2" customFormat="1" ht="15.6" x14ac:dyDescent="0.3">
      <x:c r="B2" s="88" t="str">
        <x:f>+Base45h!B2</x:f>
        <x:v>ONCOR ELECTRIC DELIVERY COMPANY LLC</x:v>
      </x:c>
      <x:c r="C2" s="92"/>
      <x:c r="D2" s="92"/>
      <x:c r="E2" s="92"/>
      <x:c r="F2" s="92"/>
      <x:c r="G2" s="92"/>
      <x:c r="H2" s="92"/>
      <x:c r="I2" s="92"/>
      <x:c r="J2" s="92"/>
      <x:c r="K2" s="92"/>
      <x:c r="L2" s="92"/>
      <x:c r="M2" s="92"/>
      <x:c r="N2" s="92"/>
      <x:c r="O2" s="92"/>
      <x:c r="P2" s="92"/>
      <x:c r="Q2" s="92"/>
      <x:c r="R2" s="92"/>
      <x:c r="S2" s="92"/>
      <x:c r="T2" s="92"/>
      <x:c r="U2" s="9"/>
      <x:c r="V2" s="9"/>
      <x:c r="W2" s="9"/>
      <x:c r="X2" s="9"/>
      <x:c r="Y2" s="9"/>
      <x:c r="Z2" s="9"/>
      <x:c r="AA2" s="9"/>
      <x:c r="AB2" s="9"/>
      <x:c r="AC2" s="9"/>
    </x:row>
    <x:row r="3" spans="1:29" s="2" customFormat="1" ht="15.6" x14ac:dyDescent="0.3">
      <x:c r="B3" s="88" t="str">
        <x:f>+Base45h!B3</x:f>
        <x:v>WEATHER STATION DATA</x:v>
      </x:c>
      <x:c r="C3" s="92"/>
      <x:c r="D3" s="92"/>
      <x:c r="E3" s="92"/>
      <x:c r="F3" s="92"/>
      <x:c r="G3" s="92"/>
      <x:c r="H3" s="92"/>
      <x:c r="I3" s="92"/>
      <x:c r="J3" s="92"/>
      <x:c r="K3" s="92"/>
      <x:c r="L3" s="92"/>
      <x:c r="M3" s="92"/>
      <x:c r="N3" s="92"/>
      <x:c r="O3" s="92"/>
      <x:c r="P3" s="92"/>
      <x:c r="Q3" s="92"/>
      <x:c r="R3" s="92"/>
      <x:c r="S3" s="92"/>
      <x:c r="T3" s="92"/>
      <x:c r="U3" s="9"/>
      <x:c r="V3" s="9"/>
      <x:c r="W3" s="9"/>
      <x:c r="X3" s="9"/>
      <x:c r="Y3" s="9"/>
      <x:c r="Z3" s="9"/>
      <x:c r="AA3" s="9"/>
      <x:c r="AB3" s="9"/>
      <x:c r="AC3" s="9"/>
    </x:row>
    <x:row r="4" spans="1:29" s="2" customFormat="1" ht="15.6" x14ac:dyDescent="0.3">
      <x:c r="B4" s="88" t="str">
        <x:f>+Base45h!B4</x:f>
        <x:v>FOR THE TEST YEAR ENDING DECEMBER 31, 2024</x:v>
      </x:c>
      <x:c r="C4" s="92"/>
      <x:c r="D4" s="92"/>
      <x:c r="E4" s="92"/>
      <x:c r="F4" s="92"/>
      <x:c r="G4" s="92"/>
      <x:c r="H4" s="92"/>
      <x:c r="I4" s="92"/>
      <x:c r="J4" s="92"/>
      <x:c r="K4" s="92"/>
      <x:c r="L4" s="92"/>
      <x:c r="M4" s="92"/>
      <x:c r="N4" s="92"/>
      <x:c r="O4" s="92"/>
      <x:c r="P4" s="92"/>
      <x:c r="Q4" s="92"/>
      <x:c r="R4" s="92"/>
      <x:c r="S4" s="92"/>
      <x:c r="T4" s="92"/>
      <x:c r="U4" s="9"/>
      <x:c r="V4" s="9"/>
      <x:c r="W4" s="9"/>
      <x:c r="X4" s="9"/>
      <x:c r="Y4" s="9"/>
      <x:c r="Z4" s="9"/>
      <x:c r="AA4" s="9"/>
      <x:c r="AB4" s="9"/>
      <x:c r="AC4" s="9"/>
    </x:row>
    <x:row r="5" spans="1:29" s="2" customFormat="1" ht="11.4" x14ac:dyDescent="0.2">
      <x:c r="B5" s="1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7"/>
      <x:c r="V5" s="17"/>
      <x:c r="W5" s="17"/>
      <x:c r="X5" s="17"/>
      <x:c r="Y5" s="17"/>
      <x:c r="Z5" s="17"/>
      <x:c r="AA5" s="17"/>
      <x:c r="AB5" s="17"/>
      <x:c r="AC5" s="17"/>
    </x:row>
    <x:row r="6" spans="1:29" s="2" customFormat="1" ht="15.6" x14ac:dyDescent="0.3">
      <x:c r="B6" s="88" t="str">
        <x:f>+Base45h!B6</x:f>
        <x:v>SPONSOR: D. E. NELSON</x:v>
      </x:c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"/>
      <x:c r="V6" s="9"/>
      <x:c r="W6" s="9"/>
      <x:c r="X6" s="9"/>
      <x:c r="Y6" s="9"/>
      <x:c r="Z6" s="9"/>
      <x:c r="AA6" s="9"/>
      <x:c r="AB6" s="9"/>
      <x:c r="AC6" s="9"/>
    </x:row>
    <x:row r="7" spans="1:29" ht="24" thickBot="1" x14ac:dyDescent="0.3">
      <x:c r="A7" s="3" t="s">
        <x:v>4</x:v>
      </x:c>
    </x:row>
    <x:row r="9" spans="1:29" x14ac:dyDescent="0.25">
      <x:c r="A9">
        <x:v>1</x:v>
      </x:c>
      <x:c r="B9" s="91" t="s">
        <x:v>122</x:v>
      </x:c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</x:row>
    <x:row r="10" spans="1:29" s="10" customFormat="1" x14ac:dyDescent="0.25">
      <x:c r="A10">
        <x:f>+A9+1</x:f>
        <x:v>2</x:v>
      </x:c>
      <x:c r="B10" s="10" t="s">
        <x:v>68</x:v>
      </x:c>
      <x:c r="C10" s="10" t="s">
        <x:v>29</x:v>
      </x:c>
      <x:c r="D10" s="10" t="s">
        <x:v>30</x:v>
      </x:c>
      <x:c r="E10" s="10" t="s">
        <x:v>31</x:v>
      </x:c>
      <x:c r="F10" s="10" t="s">
        <x:v>32</x:v>
      </x:c>
      <x:c r="G10" s="10" t="s">
        <x:v>33</x:v>
      </x:c>
      <x:c r="H10" s="10" t="s">
        <x:v>34</x:v>
      </x:c>
      <x:c r="I10" s="10" t="s">
        <x:v>35</x:v>
      </x:c>
      <x:c r="J10" s="10" t="s">
        <x:v>36</x:v>
      </x:c>
      <x:c r="K10" s="10" t="s">
        <x:v>37</x:v>
      </x:c>
      <x:c r="L10" s="10" t="s">
        <x:v>38</x:v>
      </x:c>
      <x:c r="M10" s="10" t="s">
        <x:v>39</x:v>
      </x:c>
      <x:c r="N10" s="10" t="s">
        <x:v>40</x:v>
      </x:c>
      <x:c r="O10" s="10" t="s">
        <x:v>41</x:v>
      </x:c>
      <x:c r="P10" s="10" t="s">
        <x:v>42</x:v>
      </x:c>
      <x:c r="Q10" s="10" t="s">
        <x:v>43</x:v>
      </x:c>
      <x:c r="R10" s="10" t="s">
        <x:v>44</x:v>
      </x:c>
      <x:c r="S10" s="10" t="s">
        <x:v>45</x:v>
      </x:c>
      <x:c r="T10" s="10" t="s">
        <x:v>46</x:v>
      </x:c>
      <x:c r="U10" s="57" t="s">
        <x:v>47</x:v>
      </x:c>
      <x:c r="V10" s="57" t="s">
        <x:v>48</x:v>
      </x:c>
    </x:row>
    <x:row r="11" spans="1:29" x14ac:dyDescent="0.25">
      <x:c r="A11">
        <x:f t="shared" ref="A11:A33" si="0">+A10+1</x:f>
        <x:v>3</x:v>
      </x:c>
      <x:c r="B11" s="21" t="s">
        <x:v>27</x:v>
      </x:c>
      <x:c r="C11">
        <x:v>90</x:v>
      </x:c>
      <x:c r="D11">
        <x:v>85</x:v>
      </x:c>
      <x:c r="E11">
        <x:v>85</x:v>
      </x:c>
      <x:c r="F11">
        <x:v>84</x:v>
      </x:c>
      <x:c r="G11">
        <x:v>82</x:v>
      </x:c>
      <x:c r="H11">
        <x:v>81</x:v>
      </x:c>
      <x:c r="I11">
        <x:v>77</x:v>
      </x:c>
      <x:c r="J11">
        <x:v>80</x:v>
      </x:c>
      <x:c r="K11">
        <x:v>85</x:v>
      </x:c>
      <x:c r="L11">
        <x:v>89</x:v>
      </x:c>
      <x:c r="M11">
        <x:v>92</x:v>
      </x:c>
      <x:c r="N11">
        <x:v>94</x:v>
      </x:c>
      <x:c r="O11">
        <x:v>98</x:v>
      </x:c>
      <x:c r="P11">
        <x:v>98</x:v>
      </x:c>
      <x:c r="Q11">
        <x:v>99</x:v>
      </x:c>
      <x:c r="R11">
        <x:v>101</x:v>
      </x:c>
      <x:c r="S11">
        <x:v>102</x:v>
      </x:c>
      <x:c r="T11">
        <x:v>102</x:v>
      </x:c>
      <x:c r="U11">
        <x:v>100</x:v>
      </x:c>
      <x:c r="V11">
        <x:v>96</x:v>
      </x:c>
    </x:row>
    <x:row r="12" spans="1:29" x14ac:dyDescent="0.25">
      <x:c r="A12">
        <x:f t="shared" si="0"/>
        <x:v>4</x:v>
      </x:c>
      <x:c r="B12" s="21" t="s">
        <x:v>65</x:v>
      </x:c>
      <x:c r="C12">
        <x:v>83</x:v>
      </x:c>
      <x:c r="D12">
        <x:v>80</x:v>
      </x:c>
      <x:c r="E12">
        <x:v>80</x:v>
      </x:c>
      <x:c r="F12">
        <x:v>80</x:v>
      </x:c>
      <x:c r="G12">
        <x:v>79</x:v>
      </x:c>
      <x:c r="H12">
        <x:v>79</x:v>
      </x:c>
      <x:c r="I12">
        <x:v>78</x:v>
      </x:c>
      <x:c r="J12">
        <x:v>79</x:v>
      </x:c>
      <x:c r="K12">
        <x:v>81</x:v>
      </x:c>
      <x:c r="L12">
        <x:v>86</x:v>
      </x:c>
      <x:c r="M12">
        <x:v>89</x:v>
      </x:c>
      <x:c r="N12">
        <x:v>92</x:v>
      </x:c>
      <x:c r="O12">
        <x:v>94</x:v>
      </x:c>
      <x:c r="P12">
        <x:v>97</x:v>
      </x:c>
      <x:c r="Q12">
        <x:v>99</x:v>
      </x:c>
      <x:c r="R12">
        <x:v>100</x:v>
      </x:c>
      <x:c r="S12">
        <x:v>101</x:v>
      </x:c>
      <x:c r="T12">
        <x:v>102</x:v>
      </x:c>
      <x:c r="U12">
        <x:v>100</x:v>
      </x:c>
      <x:c r="V12">
        <x:v>97</x:v>
      </x:c>
    </x:row>
    <x:row r="13" spans="1:29" x14ac:dyDescent="0.25">
      <x:c r="A13">
        <x:f t="shared" si="0"/>
        <x:v>5</x:v>
      </x:c>
      <x:c r="B13" s="21" t="s">
        <x:v>66</x:v>
      </x:c>
      <x:c r="C13">
        <x:v>89</x:v>
      </x:c>
      <x:c r="D13">
        <x:v>89</x:v>
      </x:c>
      <x:c r="E13">
        <x:v>88</x:v>
      </x:c>
      <x:c r="F13">
        <x:v>86</x:v>
      </x:c>
      <x:c r="G13">
        <x:v>86</x:v>
      </x:c>
      <x:c r="H13">
        <x:v>85</x:v>
      </x:c>
      <x:c r="I13">
        <x:v>84</x:v>
      </x:c>
      <x:c r="J13">
        <x:v>83</x:v>
      </x:c>
      <x:c r="K13">
        <x:v>85</x:v>
      </x:c>
      <x:c r="L13">
        <x:v>88</x:v>
      </x:c>
      <x:c r="M13">
        <x:v>90</x:v>
      </x:c>
      <x:c r="N13">
        <x:v>94</x:v>
      </x:c>
      <x:c r="O13">
        <x:v>96</x:v>
      </x:c>
      <x:c r="P13">
        <x:v>99</x:v>
      </x:c>
      <x:c r="Q13">
        <x:v>100</x:v>
      </x:c>
      <x:c r="R13">
        <x:v>101</x:v>
      </x:c>
      <x:c r="S13">
        <x:v>102</x:v>
      </x:c>
      <x:c r="T13">
        <x:v>102</x:v>
      </x:c>
      <x:c r="U13">
        <x:v>101</x:v>
      </x:c>
      <x:c r="V13">
        <x:v>99</x:v>
      </x:c>
    </x:row>
    <x:row r="14" spans="1:29" x14ac:dyDescent="0.25">
      <x:c r="A14">
        <x:f t="shared" si="0"/>
        <x:v>6</x:v>
      </x:c>
      <x:c r="B14" s="21" t="s">
        <x:v>67</x:v>
      </x:c>
      <x:c r="C14">
        <x:v>87</x:v>
      </x:c>
      <x:c r="D14">
        <x:v>84</x:v>
      </x:c>
      <x:c r="E14">
        <x:v>83</x:v>
      </x:c>
      <x:c r="F14">
        <x:v>81</x:v>
      </x:c>
      <x:c r="G14">
        <x:v>79</x:v>
      </x:c>
      <x:c r="H14">
        <x:v>78</x:v>
      </x:c>
      <x:c r="I14">
        <x:v>78</x:v>
      </x:c>
      <x:c r="J14">
        <x:v>80</x:v>
      </x:c>
      <x:c r="K14">
        <x:v>84</x:v>
      </x:c>
      <x:c r="L14">
        <x:v>87</x:v>
      </x:c>
      <x:c r="M14">
        <x:v>90</x:v>
      </x:c>
      <x:c r="N14">
        <x:v>94</x:v>
      </x:c>
      <x:c r="O14">
        <x:v>97</x:v>
      </x:c>
      <x:c r="P14">
        <x:v>99</x:v>
      </x:c>
      <x:c r="Q14">
        <x:v>101</x:v>
      </x:c>
      <x:c r="R14">
        <x:v>104</x:v>
      </x:c>
      <x:c r="S14">
        <x:v>104</x:v>
      </x:c>
      <x:c r="T14">
        <x:v>104</x:v>
      </x:c>
      <x:c r="U14">
        <x:v>102</x:v>
      </x:c>
      <x:c r="V14">
        <x:v>99</x:v>
      </x:c>
    </x:row>
    <x:row r="15" spans="1:29" x14ac:dyDescent="0.25">
      <x:c r="A15">
        <x:f t="shared" si="0"/>
        <x:v>7</x:v>
      </x:c>
      <x:c r="B15" s="21" t="s">
        <x:v>69</x:v>
      </x:c>
      <x:c r="C15">
        <x:v>84</x:v>
      </x:c>
      <x:c r="D15">
        <x:v>83</x:v>
      </x:c>
      <x:c r="E15">
        <x:v>82</x:v>
      </x:c>
      <x:c r="F15">
        <x:v>81</x:v>
      </x:c>
      <x:c r="G15">
        <x:v>80</x:v>
      </x:c>
      <x:c r="H15">
        <x:v>80</x:v>
      </x:c>
      <x:c r="I15">
        <x:v>79</x:v>
      </x:c>
      <x:c r="J15">
        <x:v>80</x:v>
      </x:c>
      <x:c r="K15">
        <x:v>81</x:v>
      </x:c>
      <x:c r="L15">
        <x:v>85</x:v>
      </x:c>
      <x:c r="M15">
        <x:v>86</x:v>
      </x:c>
      <x:c r="N15">
        <x:v>87</x:v>
      </x:c>
      <x:c r="O15">
        <x:v>91</x:v>
      </x:c>
      <x:c r="P15">
        <x:v>94</x:v>
      </x:c>
      <x:c r="Q15">
        <x:v>97</x:v>
      </x:c>
      <x:c r="R15">
        <x:v>98</x:v>
      </x:c>
      <x:c r="S15">
        <x:v>98</x:v>
      </x:c>
      <x:c r="T15">
        <x:v>98</x:v>
      </x:c>
      <x:c r="U15">
        <x:v>96</x:v>
      </x:c>
      <x:c r="V15">
        <x:v>90</x:v>
      </x:c>
    </x:row>
    <x:row r="16" spans="1:29" x14ac:dyDescent="0.25">
      <x:c r="A16">
        <x:f t="shared" si="0"/>
        <x:v>8</x:v>
      </x:c>
      <x:c r="B16" s="21" t="s">
        <x:v>70</x:v>
      </x:c>
      <x:c r="C16">
        <x:v>83</x:v>
      </x:c>
      <x:c r="D16">
        <x:v>82</x:v>
      </x:c>
      <x:c r="E16">
        <x:v>81</x:v>
      </x:c>
      <x:c r="F16">
        <x:v>80</x:v>
      </x:c>
      <x:c r="G16">
        <x:v>78</x:v>
      </x:c>
      <x:c r="H16">
        <x:v>78</x:v>
      </x:c>
      <x:c r="I16">
        <x:v>77</x:v>
      </x:c>
      <x:c r="J16">
        <x:v>79</x:v>
      </x:c>
      <x:c r="K16">
        <x:v>83</x:v>
      </x:c>
      <x:c r="L16">
        <x:v>86</x:v>
      </x:c>
      <x:c r="M16">
        <x:v>89</x:v>
      </x:c>
      <x:c r="N16">
        <x:v>92</x:v>
      </x:c>
      <x:c r="O16">
        <x:v>94</x:v>
      </x:c>
      <x:c r="P16">
        <x:v>96</x:v>
      </x:c>
      <x:c r="Q16">
        <x:v>97</x:v>
      </x:c>
      <x:c r="R16">
        <x:v>100</x:v>
      </x:c>
      <x:c r="S16">
        <x:v>100</x:v>
      </x:c>
      <x:c r="T16">
        <x:v>100</x:v>
      </x:c>
      <x:c r="U16">
        <x:v>99</x:v>
      </x:c>
      <x:c r="V16">
        <x:v>96</x:v>
      </x:c>
    </x:row>
    <x:row r="17" spans="1:32" x14ac:dyDescent="0.25">
      <x:c r="A17">
        <x:f t="shared" si="0"/>
        <x:v>9</x:v>
      </x:c>
      <x:c r="B17" s="21" t="s">
        <x:v>71</x:v>
      </x:c>
      <x:c r="C17">
        <x:v>87</x:v>
      </x:c>
      <x:c r="D17">
        <x:v>83</x:v>
      </x:c>
      <x:c r="E17">
        <x:v>80</x:v>
      </x:c>
      <x:c r="F17">
        <x:v>78</x:v>
      </x:c>
      <x:c r="G17">
        <x:v>79</x:v>
      </x:c>
      <x:c r="H17">
        <x:v>77</x:v>
      </x:c>
      <x:c r="I17">
        <x:v>77</x:v>
      </x:c>
      <x:c r="J17">
        <x:v>78</x:v>
      </x:c>
      <x:c r="K17">
        <x:v>81</x:v>
      </x:c>
      <x:c r="L17">
        <x:v>84</x:v>
      </x:c>
      <x:c r="M17">
        <x:v>88</x:v>
      </x:c>
      <x:c r="N17">
        <x:v>91</x:v>
      </x:c>
      <x:c r="O17">
        <x:v>94</x:v>
      </x:c>
      <x:c r="P17">
        <x:v>96</x:v>
      </x:c>
      <x:c r="Q17">
        <x:v>98</x:v>
      </x:c>
      <x:c r="R17">
        <x:v>100</x:v>
      </x:c>
      <x:c r="S17">
        <x:v>99</x:v>
      </x:c>
      <x:c r="T17">
        <x:v>98</x:v>
      </x:c>
      <x:c r="U17">
        <x:v>99</x:v>
      </x:c>
      <x:c r="V17">
        <x:v>96</x:v>
      </x:c>
    </x:row>
    <x:row r="18" spans="1:32" x14ac:dyDescent="0.25">
      <x:c r="A18">
        <x:f t="shared" si="0"/>
        <x:v>10</x:v>
      </x:c>
      <x:c r="B18" s="21" t="s">
        <x:v>74</x:v>
      </x:c>
      <x:c r="C18">
        <x:v>84</x:v>
      </x:c>
      <x:c r="D18">
        <x:v>83</x:v>
      </x:c>
      <x:c r="E18">
        <x:v>82</x:v>
      </x:c>
      <x:c r="F18">
        <x:v>81</x:v>
      </x:c>
      <x:c r="G18">
        <x:v>78</x:v>
      </x:c>
      <x:c r="H18">
        <x:v>80</x:v>
      </x:c>
      <x:c r="I18">
        <x:v>81</x:v>
      </x:c>
      <x:c r="J18">
        <x:v>81</x:v>
      </x:c>
      <x:c r="K18">
        <x:v>86</x:v>
      </x:c>
      <x:c r="L18">
        <x:v>88</x:v>
      </x:c>
      <x:c r="M18">
        <x:v>91</x:v>
      </x:c>
      <x:c r="N18">
        <x:v>91</x:v>
      </x:c>
      <x:c r="O18">
        <x:v>93</x:v>
      </x:c>
      <x:c r="P18">
        <x:v>95</x:v>
      </x:c>
      <x:c r="Q18">
        <x:v>99</x:v>
      </x:c>
      <x:c r="R18">
        <x:v>100</x:v>
      </x:c>
      <x:c r="S18">
        <x:v>100</x:v>
      </x:c>
      <x:c r="T18">
        <x:v>99</x:v>
      </x:c>
      <x:c r="U18">
        <x:v>95</x:v>
      </x:c>
      <x:c r="V18">
        <x:v>94</x:v>
      </x:c>
    </x:row>
    <x:row r="19" spans="1:32" x14ac:dyDescent="0.25">
      <x:c r="A19">
        <x:f t="shared" si="0"/>
        <x:v>11</x:v>
      </x:c>
      <x:c r="B19" s="21" t="s">
        <x:v>72</x:v>
      </x:c>
      <x:c r="C19">
        <x:v>88</x:v>
      </x:c>
      <x:c r="D19">
        <x:v>86</x:v>
      </x:c>
      <x:c r="E19">
        <x:v>84</x:v>
      </x:c>
      <x:c r="F19">
        <x:v>83</x:v>
      </x:c>
      <x:c r="G19">
        <x:v>81</x:v>
      </x:c>
      <x:c r="H19">
        <x:v>80</x:v>
      </x:c>
      <x:c r="I19">
        <x:v>79</x:v>
      </x:c>
      <x:c r="J19">
        <x:v>80</x:v>
      </x:c>
      <x:c r="K19">
        <x:v>84</x:v>
      </x:c>
      <x:c r="L19">
        <x:v>87</x:v>
      </x:c>
      <x:c r="M19">
        <x:v>90</x:v>
      </x:c>
      <x:c r="N19">
        <x:v>95</x:v>
      </x:c>
      <x:c r="O19">
        <x:v>97</x:v>
      </x:c>
      <x:c r="P19">
        <x:v>99</x:v>
      </x:c>
      <x:c r="Q19">
        <x:v>102</x:v>
      </x:c>
      <x:c r="R19">
        <x:v>102</x:v>
      </x:c>
      <x:c r="S19">
        <x:v>103</x:v>
      </x:c>
      <x:c r="T19">
        <x:v>102</x:v>
      </x:c>
      <x:c r="U19">
        <x:v>101</x:v>
      </x:c>
      <x:c r="V19">
        <x:v>99</x:v>
      </x:c>
    </x:row>
    <x:row r="20" spans="1:32" x14ac:dyDescent="0.25">
      <x:c r="A20">
        <x:f t="shared" si="0"/>
        <x:v>12</x:v>
      </x:c>
      <x:c r="B20" s="21" t="s">
        <x:v>73</x:v>
      </x:c>
      <x:c r="C20">
        <x:v>83</x:v>
      </x:c>
      <x:c r="D20">
        <x:v>83</x:v>
      </x:c>
      <x:c r="E20">
        <x:v>80</x:v>
      </x:c>
      <x:c r="F20">
        <x:v>81</x:v>
      </x:c>
      <x:c r="G20">
        <x:v>83</x:v>
      </x:c>
      <x:c r="H20">
        <x:v>82</x:v>
      </x:c>
      <x:c r="I20">
        <x:v>80</x:v>
      </x:c>
      <x:c r="J20">
        <x:v>83</x:v>
      </x:c>
      <x:c r="K20">
        <x:v>85</x:v>
      </x:c>
      <x:c r="L20">
        <x:v>90</x:v>
      </x:c>
      <x:c r="M20">
        <x:v>95</x:v>
      </x:c>
      <x:c r="N20">
        <x:v>98</x:v>
      </x:c>
      <x:c r="O20">
        <x:v>99</x:v>
      </x:c>
      <x:c r="P20">
        <x:v>101</x:v>
      </x:c>
      <x:c r="Q20">
        <x:v>103</x:v>
      </x:c>
      <x:c r="R20">
        <x:v>104</x:v>
      </x:c>
      <x:c r="S20">
        <x:v>103</x:v>
      </x:c>
      <x:c r="T20">
        <x:v>103</x:v>
      </x:c>
      <x:c r="U20">
        <x:v>103</x:v>
      </x:c>
      <x:c r="V20">
        <x:v>98</x:v>
      </x:c>
    </x:row>
    <x:row r="21" spans="1:32" x14ac:dyDescent="0.25">
      <x:c r="A21">
        <x:f t="shared" si="0"/>
        <x:v>13</x:v>
      </x:c>
    </x:row>
    <x:row r="22" spans="1:32" x14ac:dyDescent="0.25">
      <x:c r="A22">
        <x:f t="shared" si="0"/>
        <x:v>14</x:v>
      </x:c>
    </x:row>
    <x:row r="23" spans="1:32" x14ac:dyDescent="0.25">
      <x:c r="A23">
        <x:f t="shared" si="0"/>
        <x:v>15</x:v>
      </x:c>
      <x:c r="B23" s="10" t="s">
        <x:v>68</x:v>
      </x:c>
      <x:c r="C23" s="10" t="s">
        <x:v>49</x:v>
      </x:c>
      <x:c r="D23" s="10" t="s">
        <x:v>50</x:v>
      </x:c>
      <x:c r="E23" s="10" t="s">
        <x:v>51</x:v>
      </x:c>
      <x:c r="F23" s="10" t="s">
        <x:v>52</x:v>
      </x:c>
      <x:c r="G23" s="10" t="s">
        <x:v>53</x:v>
      </x:c>
      <x:c r="H23" s="54" t="s">
        <x:v>60</x:v>
      </x:c>
      <x:c r="I23" s="10" t="s">
        <x:v>102</x:v>
      </x:c>
      <x:c r="J23" s="10" t="s">
        <x:v>61</x:v>
      </x:c>
      <x:c r="K23" s="79" t="s">
        <x:v>106</x:v>
      </x:c>
      <x:c r="L23" s="78" t="s">
        <x:v>88</x:v>
      </x:c>
      <x:c r="M23" s="79" t="s">
        <x:v>107</x:v>
      </x:c>
      <x:c r="N23" s="79" t="s">
        <x:v>98</x:v>
      </x:c>
      <x:c r="O23" s="27" t="s">
        <x:v>62</x:v>
      </x:c>
      <x:c r="P23" s="27" t="s">
        <x:v>63</x:v>
      </x:c>
      <x:c r="Q23" s="27" t="s">
        <x:v>64</x:v>
      </x:c>
      <x:c r="R23" s="27" t="s">
        <x:v>89</x:v>
      </x:c>
      <x:c r="S23" s="41"/>
    </x:row>
    <x:row r="24" spans="1:32" x14ac:dyDescent="0.25">
      <x:c r="A24">
        <x:f t="shared" si="0"/>
        <x:v>16</x:v>
      </x:c>
      <x:c r="B24" s="21" t="s">
        <x:v>27</x:v>
      </x:c>
      <x:c r="C24">
        <x:v>94</x:v>
      </x:c>
      <x:c r="D24">
        <x:v>89</x:v>
      </x:c>
      <x:c r="E24">
        <x:v>83</x:v>
      </x:c>
      <x:c r="F24">
        <x:v>80</x:v>
      </x:c>
      <x:c r="G24" s="12">
        <x:f t="shared" ref="G24:G33" si="1">ROUND(AVERAGE(C11:V11,C24:F24),1)</x:f>
        <x:v>90.3</x:v>
      </x:c>
      <x:c r="H24" s="12">
        <x:f t="shared" ref="H24:H33" si="2">MAX(45-$G24,0)</x:f>
        <x:v>0</x:v>
      </x:c>
      <x:c r="I24" s="12">
        <x:f t="shared" ref="I24:I33" si="3">MAX(55-$G24,0)</x:f>
        <x:v>0</x:v>
      </x:c>
      <x:c r="J24" s="12">
        <x:f t="shared" ref="J24:J33" si="4">MAX(60-$G24,0)</x:f>
        <x:v>0</x:v>
      </x:c>
      <x:c r="K24" s="12">
        <x:f t="shared" ref="K24:K33" si="5">MAX(65-$G24,0)</x:f>
        <x:v>0</x:v>
      </x:c>
      <x:c r="L24" s="12">
        <x:f t="shared" ref="L24:L33" si="6">MAX($G24-50,0)</x:f>
        <x:v>40.299999999999997</x:v>
      </x:c>
      <x:c r="M24" s="12">
        <x:f t="shared" ref="M24:M33" si="7">MAX($G24-55,0)</x:f>
        <x:v>35.299999999999997</x:v>
      </x:c>
      <x:c r="N24" s="12">
        <x:f t="shared" ref="N24:N33" si="8">MAX($G24-60,0)</x:f>
        <x:v>30.299999999999997</x:v>
      </x:c>
      <x:c r="O24" s="12">
        <x:f t="shared" ref="O24:O33" si="9">MAX($G24-65,0)</x:f>
        <x:v>25.299999999999997</x:v>
      </x:c>
      <x:c r="P24" s="12">
        <x:f t="shared" ref="P24:P33" si="10">MAX($G24-70,0)</x:f>
        <x:v>20.299999999999997</x:v>
      </x:c>
      <x:c r="Q24" s="12">
        <x:f t="shared" ref="Q24:Q33" si="11">MAX($G24-75,0)</x:f>
        <x:v>15.299999999999997</x:v>
      </x:c>
      <x:c r="R24" s="12">
        <x:f t="shared" ref="R24:R33" si="12">MAX($G24-80,0)</x:f>
        <x:v>10.299999999999997</x:v>
      </x:c>
      <x:c r="S24" s="12"/>
      <x:c r="T24" s="12"/>
      <x:c r="U24" s="12"/>
      <x:c r="V24" s="12"/>
      <x:c r="W24" s="12"/>
      <x:c r="X24" s="12"/>
      <x:c r="Y24" s="12"/>
      <x:c r="Z24" s="12"/>
      <x:c r="AA24" s="12"/>
      <x:c r="AB24" s="12"/>
      <x:c r="AC24" s="12"/>
      <x:c r="AD24" s="12"/>
      <x:c r="AF24" s="12"/>
    </x:row>
    <x:row r="25" spans="1:32" x14ac:dyDescent="0.25">
      <x:c r="A25">
        <x:f t="shared" si="0"/>
        <x:v>17</x:v>
      </x:c>
      <x:c r="B25" s="21" t="s">
        <x:v>65</x:v>
      </x:c>
      <x:c r="C25">
        <x:v>88</x:v>
      </x:c>
      <x:c r="D25">
        <x:v>90</x:v>
      </x:c>
      <x:c r="E25">
        <x:v>87</x:v>
      </x:c>
      <x:c r="F25">
        <x:v>84</x:v>
      </x:c>
      <x:c r="G25" s="12">
        <x:f t="shared" si="1"/>
        <x:v>88.5</x:v>
      </x:c>
      <x:c r="H25" s="12">
        <x:f t="shared" si="2"/>
        <x:v>0</x:v>
      </x:c>
      <x:c r="I25" s="12">
        <x:f t="shared" si="3"/>
        <x:v>0</x:v>
      </x:c>
      <x:c r="J25" s="12">
        <x:f t="shared" si="4"/>
        <x:v>0</x:v>
      </x:c>
      <x:c r="K25" s="12">
        <x:f t="shared" si="5"/>
        <x:v>0</x:v>
      </x:c>
      <x:c r="L25" s="12">
        <x:f t="shared" si="6"/>
        <x:v>38.5</x:v>
      </x:c>
      <x:c r="M25" s="12">
        <x:f t="shared" si="7"/>
        <x:v>33.5</x:v>
      </x:c>
      <x:c r="N25" s="12">
        <x:f t="shared" si="8"/>
        <x:v>28.5</x:v>
      </x:c>
      <x:c r="O25" s="12">
        <x:f t="shared" si="9"/>
        <x:v>23.5</x:v>
      </x:c>
      <x:c r="P25" s="12">
        <x:f t="shared" si="10"/>
        <x:v>18.5</x:v>
      </x:c>
      <x:c r="Q25" s="12">
        <x:f t="shared" si="11"/>
        <x:v>13.5</x:v>
      </x:c>
      <x:c r="R25" s="12">
        <x:f t="shared" si="12"/>
        <x:v>8.5</x:v>
      </x:c>
      <x:c r="S25" s="12"/>
    </x:row>
    <x:row r="26" spans="1:32" x14ac:dyDescent="0.25">
      <x:c r="A26">
        <x:f t="shared" si="0"/>
        <x:v>18</x:v>
      </x:c>
      <x:c r="B26" s="21" t="s">
        <x:v>66</x:v>
      </x:c>
      <x:c r="C26">
        <x:v>95</x:v>
      </x:c>
      <x:c r="D26">
        <x:v>94</x:v>
      </x:c>
      <x:c r="E26">
        <x:v>91</x:v>
      </x:c>
      <x:c r="F26">
        <x:v>90</x:v>
      </x:c>
      <x:c r="G26" s="12">
        <x:f t="shared" si="1"/>
        <x:v>92.4</x:v>
      </x:c>
      <x:c r="H26" s="12">
        <x:f t="shared" si="2"/>
        <x:v>0</x:v>
      </x:c>
      <x:c r="I26" s="12">
        <x:f t="shared" si="3"/>
        <x:v>0</x:v>
      </x:c>
      <x:c r="J26" s="12">
        <x:f t="shared" si="4"/>
        <x:v>0</x:v>
      </x:c>
      <x:c r="K26" s="12">
        <x:f t="shared" si="5"/>
        <x:v>0</x:v>
      </x:c>
      <x:c r="L26" s="12">
        <x:f t="shared" si="6"/>
        <x:v>42.400000000000006</x:v>
      </x:c>
      <x:c r="M26" s="12">
        <x:f t="shared" si="7"/>
        <x:v>37.400000000000006</x:v>
      </x:c>
      <x:c r="N26" s="12">
        <x:f t="shared" si="8"/>
        <x:v>32.400000000000006</x:v>
      </x:c>
      <x:c r="O26" s="12">
        <x:f t="shared" si="9"/>
        <x:v>27.400000000000006</x:v>
      </x:c>
      <x:c r="P26" s="12">
        <x:f t="shared" si="10"/>
        <x:v>22.400000000000006</x:v>
      </x:c>
      <x:c r="Q26" s="12">
        <x:f t="shared" si="11"/>
        <x:v>17.400000000000006</x:v>
      </x:c>
      <x:c r="R26" s="12">
        <x:f t="shared" si="12"/>
        <x:v>12.400000000000006</x:v>
      </x:c>
      <x:c r="S26" s="12"/>
    </x:row>
    <x:row r="27" spans="1:32" x14ac:dyDescent="0.25">
      <x:c r="A27">
        <x:f t="shared" si="0"/>
        <x:v>19</x:v>
      </x:c>
      <x:c r="B27" s="21" t="s">
        <x:v>67</x:v>
      </x:c>
      <x:c r="C27">
        <x:v>94</x:v>
      </x:c>
      <x:c r="D27">
        <x:v>91</x:v>
      </x:c>
      <x:c r="E27">
        <x:v>89</x:v>
      </x:c>
      <x:c r="F27">
        <x:v>87</x:v>
      </x:c>
      <x:c r="G27" s="12">
        <x:f t="shared" si="1"/>
        <x:v>90.7</x:v>
      </x:c>
      <x:c r="H27" s="12">
        <x:f t="shared" si="2"/>
        <x:v>0</x:v>
      </x:c>
      <x:c r="I27" s="12">
        <x:f t="shared" si="3"/>
        <x:v>0</x:v>
      </x:c>
      <x:c r="J27" s="12">
        <x:f t="shared" si="4"/>
        <x:v>0</x:v>
      </x:c>
      <x:c r="K27" s="12">
        <x:f t="shared" si="5"/>
        <x:v>0</x:v>
      </x:c>
      <x:c r="L27" s="12">
        <x:f t="shared" si="6"/>
        <x:v>40.700000000000003</x:v>
      </x:c>
      <x:c r="M27" s="12">
        <x:f t="shared" si="7"/>
        <x:v>35.700000000000003</x:v>
      </x:c>
      <x:c r="N27" s="12">
        <x:f t="shared" si="8"/>
        <x:v>30.700000000000003</x:v>
      </x:c>
      <x:c r="O27" s="12">
        <x:f t="shared" si="9"/>
        <x:v>25.700000000000003</x:v>
      </x:c>
      <x:c r="P27" s="12">
        <x:f t="shared" si="10"/>
        <x:v>20.700000000000003</x:v>
      </x:c>
      <x:c r="Q27" s="12">
        <x:f t="shared" si="11"/>
        <x:v>15.700000000000003</x:v>
      </x:c>
      <x:c r="R27" s="12">
        <x:f t="shared" si="12"/>
        <x:v>10.700000000000003</x:v>
      </x:c>
      <x:c r="S27" s="12"/>
    </x:row>
    <x:row r="28" spans="1:32" x14ac:dyDescent="0.25">
      <x:c r="A28">
        <x:f t="shared" si="0"/>
        <x:v>20</x:v>
      </x:c>
      <x:c r="B28" s="21" t="s">
        <x:v>69</x:v>
      </x:c>
      <x:c r="C28">
        <x:v>86</x:v>
      </x:c>
      <x:c r="D28">
        <x:v>84</x:v>
      </x:c>
      <x:c r="E28">
        <x:v>84</x:v>
      </x:c>
      <x:c r="F28">
        <x:v>83</x:v>
      </x:c>
      <x:c r="G28" s="12">
        <x:f t="shared" si="1"/>
        <x:v>87</x:v>
      </x:c>
      <x:c r="H28" s="12">
        <x:f t="shared" si="2"/>
        <x:v>0</x:v>
      </x:c>
      <x:c r="I28" s="12">
        <x:f t="shared" si="3"/>
        <x:v>0</x:v>
      </x:c>
      <x:c r="J28" s="12">
        <x:f t="shared" si="4"/>
        <x:v>0</x:v>
      </x:c>
      <x:c r="K28" s="12">
        <x:f t="shared" si="5"/>
        <x:v>0</x:v>
      </x:c>
      <x:c r="L28" s="12">
        <x:f t="shared" si="6"/>
        <x:v>37</x:v>
      </x:c>
      <x:c r="M28" s="12">
        <x:f t="shared" si="7"/>
        <x:v>32</x:v>
      </x:c>
      <x:c r="N28" s="12">
        <x:f t="shared" si="8"/>
        <x:v>27</x:v>
      </x:c>
      <x:c r="O28" s="12">
        <x:f t="shared" si="9"/>
        <x:v>22</x:v>
      </x:c>
      <x:c r="P28" s="12">
        <x:f t="shared" si="10"/>
        <x:v>17</x:v>
      </x:c>
      <x:c r="Q28" s="12">
        <x:f t="shared" si="11"/>
        <x:v>12</x:v>
      </x:c>
      <x:c r="R28" s="12">
        <x:f t="shared" si="12"/>
        <x:v>7</x:v>
      </x:c>
      <x:c r="S28" s="12"/>
    </x:row>
    <x:row r="29" spans="1:32" x14ac:dyDescent="0.25">
      <x:c r="A29">
        <x:f t="shared" si="0"/>
        <x:v>21</x:v>
      </x:c>
      <x:c r="B29" s="21" t="s">
        <x:v>70</x:v>
      </x:c>
      <x:c r="C29">
        <x:v>87</x:v>
      </x:c>
      <x:c r="D29">
        <x:v>90</x:v>
      </x:c>
      <x:c r="E29">
        <x:v>87</x:v>
      </x:c>
      <x:c r="F29">
        <x:v>85</x:v>
      </x:c>
      <x:c r="G29" s="12">
        <x:f t="shared" si="1"/>
        <x:v>88.3</x:v>
      </x:c>
      <x:c r="H29" s="12">
        <x:f t="shared" si="2"/>
        <x:v>0</x:v>
      </x:c>
      <x:c r="I29" s="12">
        <x:f t="shared" si="3"/>
        <x:v>0</x:v>
      </x:c>
      <x:c r="J29" s="12">
        <x:f t="shared" si="4"/>
        <x:v>0</x:v>
      </x:c>
      <x:c r="K29" s="12">
        <x:f t="shared" si="5"/>
        <x:v>0</x:v>
      </x:c>
      <x:c r="L29" s="12">
        <x:f t="shared" si="6"/>
        <x:v>38.299999999999997</x:v>
      </x:c>
      <x:c r="M29" s="12">
        <x:f t="shared" si="7"/>
        <x:v>33.299999999999997</x:v>
      </x:c>
      <x:c r="N29" s="12">
        <x:f t="shared" si="8"/>
        <x:v>28.299999999999997</x:v>
      </x:c>
      <x:c r="O29" s="12">
        <x:f t="shared" si="9"/>
        <x:v>23.299999999999997</x:v>
      </x:c>
      <x:c r="P29" s="12">
        <x:f t="shared" si="10"/>
        <x:v>18.299999999999997</x:v>
      </x:c>
      <x:c r="Q29" s="12">
        <x:f t="shared" si="11"/>
        <x:v>13.299999999999997</x:v>
      </x:c>
      <x:c r="R29" s="12">
        <x:f t="shared" si="12"/>
        <x:v>8.2999999999999972</x:v>
      </x:c>
      <x:c r="S29" s="12"/>
    </x:row>
    <x:row r="30" spans="1:32" x14ac:dyDescent="0.25">
      <x:c r="A30">
        <x:f t="shared" si="0"/>
        <x:v>22</x:v>
      </x:c>
      <x:c r="B30" s="21" t="s">
        <x:v>71</x:v>
      </x:c>
      <x:c r="C30">
        <x:v>94</x:v>
      </x:c>
      <x:c r="D30">
        <x:v>89</x:v>
      </x:c>
      <x:c r="E30">
        <x:v>86</x:v>
      </x:c>
      <x:c r="F30">
        <x:v>87</x:v>
      </x:c>
      <x:c r="G30" s="12">
        <x:f t="shared" si="1"/>
        <x:v>88.3</x:v>
      </x:c>
      <x:c r="H30" s="12">
        <x:f t="shared" si="2"/>
        <x:v>0</x:v>
      </x:c>
      <x:c r="I30" s="12">
        <x:f t="shared" si="3"/>
        <x:v>0</x:v>
      </x:c>
      <x:c r="J30" s="12">
        <x:f t="shared" si="4"/>
        <x:v>0</x:v>
      </x:c>
      <x:c r="K30" s="12">
        <x:f t="shared" si="5"/>
        <x:v>0</x:v>
      </x:c>
      <x:c r="L30" s="12">
        <x:f t="shared" si="6"/>
        <x:v>38.299999999999997</x:v>
      </x:c>
      <x:c r="M30" s="12">
        <x:f t="shared" si="7"/>
        <x:v>33.299999999999997</x:v>
      </x:c>
      <x:c r="N30" s="12">
        <x:f t="shared" si="8"/>
        <x:v>28.299999999999997</x:v>
      </x:c>
      <x:c r="O30" s="12">
        <x:f t="shared" si="9"/>
        <x:v>23.299999999999997</x:v>
      </x:c>
      <x:c r="P30" s="12">
        <x:f t="shared" si="10"/>
        <x:v>18.299999999999997</x:v>
      </x:c>
      <x:c r="Q30" s="12">
        <x:f t="shared" si="11"/>
        <x:v>13.299999999999997</x:v>
      </x:c>
      <x:c r="R30" s="12">
        <x:f t="shared" si="12"/>
        <x:v>8.2999999999999972</x:v>
      </x:c>
      <x:c r="S30" s="12"/>
    </x:row>
    <x:row r="31" spans="1:32" x14ac:dyDescent="0.25">
      <x:c r="A31">
        <x:f t="shared" si="0"/>
        <x:v>23</x:v>
      </x:c>
      <x:c r="B31" s="21" t="s">
        <x:v>74</x:v>
      </x:c>
      <x:c r="C31">
        <x:v>91</x:v>
      </x:c>
      <x:c r="D31">
        <x:v>88</x:v>
      </x:c>
      <x:c r="E31">
        <x:v>87</x:v>
      </x:c>
      <x:c r="F31">
        <x:v>85</x:v>
      </x:c>
      <x:c r="G31" s="12">
        <x:f t="shared" si="1"/>
        <x:v>88.8</x:v>
      </x:c>
      <x:c r="H31" s="12">
        <x:f t="shared" si="2"/>
        <x:v>0</x:v>
      </x:c>
      <x:c r="I31" s="12">
        <x:f t="shared" si="3"/>
        <x:v>0</x:v>
      </x:c>
      <x:c r="J31" s="12">
        <x:f t="shared" si="4"/>
        <x:v>0</x:v>
      </x:c>
      <x:c r="K31" s="12">
        <x:f t="shared" si="5"/>
        <x:v>0</x:v>
      </x:c>
      <x:c r="L31" s="12">
        <x:f t="shared" si="6"/>
        <x:v>38.799999999999997</x:v>
      </x:c>
      <x:c r="M31" s="12">
        <x:f t="shared" si="7"/>
        <x:v>33.799999999999997</x:v>
      </x:c>
      <x:c r="N31" s="12">
        <x:f t="shared" si="8"/>
        <x:v>28.799999999999997</x:v>
      </x:c>
      <x:c r="O31" s="12">
        <x:f t="shared" si="9"/>
        <x:v>23.799999999999997</x:v>
      </x:c>
      <x:c r="P31" s="12">
        <x:f t="shared" si="10"/>
        <x:v>18.799999999999997</x:v>
      </x:c>
      <x:c r="Q31" s="12">
        <x:f t="shared" si="11"/>
        <x:v>13.799999999999997</x:v>
      </x:c>
      <x:c r="R31" s="12">
        <x:f t="shared" si="12"/>
        <x:v>8.7999999999999972</x:v>
      </x:c>
      <x:c r="S31" s="12"/>
    </x:row>
    <x:row r="32" spans="1:32" x14ac:dyDescent="0.25">
      <x:c r="A32">
        <x:f t="shared" si="0"/>
        <x:v>24</x:v>
      </x:c>
      <x:c r="B32" s="21" t="s">
        <x:v>72</x:v>
      </x:c>
      <x:c r="C32">
        <x:v>94</x:v>
      </x:c>
      <x:c r="D32">
        <x:v>92</x:v>
      </x:c>
      <x:c r="E32">
        <x:v>91</x:v>
      </x:c>
      <x:c r="F32">
        <x:v>89</x:v>
      </x:c>
      <x:c r="G32" s="12">
        <x:f t="shared" si="1"/>
        <x:v>91.2</x:v>
      </x:c>
      <x:c r="H32" s="12">
        <x:f t="shared" si="2"/>
        <x:v>0</x:v>
      </x:c>
      <x:c r="I32" s="12">
        <x:f t="shared" si="3"/>
        <x:v>0</x:v>
      </x:c>
      <x:c r="J32" s="12">
        <x:f t="shared" si="4"/>
        <x:v>0</x:v>
      </x:c>
      <x:c r="K32" s="12">
        <x:f t="shared" si="5"/>
        <x:v>0</x:v>
      </x:c>
      <x:c r="L32" s="12">
        <x:f t="shared" si="6"/>
        <x:v>41.2</x:v>
      </x:c>
      <x:c r="M32" s="12">
        <x:f t="shared" si="7"/>
        <x:v>36.200000000000003</x:v>
      </x:c>
      <x:c r="N32" s="12">
        <x:f t="shared" si="8"/>
        <x:v>31.200000000000003</x:v>
      </x:c>
      <x:c r="O32" s="12">
        <x:f t="shared" si="9"/>
        <x:v>26.200000000000003</x:v>
      </x:c>
      <x:c r="P32" s="12">
        <x:f t="shared" si="10"/>
        <x:v>21.200000000000003</x:v>
      </x:c>
      <x:c r="Q32" s="12">
        <x:f t="shared" si="11"/>
        <x:v>16.200000000000003</x:v>
      </x:c>
      <x:c r="R32" s="12">
        <x:f t="shared" si="12"/>
        <x:v>11.200000000000003</x:v>
      </x:c>
      <x:c r="S32" s="12"/>
    </x:row>
    <x:row r="33" spans="1:19" x14ac:dyDescent="0.25">
      <x:c r="A33">
        <x:f t="shared" si="0"/>
        <x:v>25</x:v>
      </x:c>
      <x:c r="B33" s="21" t="s">
        <x:v>73</x:v>
      </x:c>
      <x:c r="C33">
        <x:v>94</x:v>
      </x:c>
      <x:c r="D33">
        <x:v>90</x:v>
      </x:c>
      <x:c r="E33">
        <x:v>86</x:v>
      </x:c>
      <x:c r="F33">
        <x:v>84</x:v>
      </x:c>
      <x:c r="G33" s="12">
        <x:f t="shared" si="1"/>
        <x:v>91.3</x:v>
      </x:c>
      <x:c r="H33" s="12">
        <x:f t="shared" si="2"/>
        <x:v>0</x:v>
      </x:c>
      <x:c r="I33" s="12">
        <x:f t="shared" si="3"/>
        <x:v>0</x:v>
      </x:c>
      <x:c r="J33" s="12">
        <x:f t="shared" si="4"/>
        <x:v>0</x:v>
      </x:c>
      <x:c r="K33" s="12">
        <x:f t="shared" si="5"/>
        <x:v>0</x:v>
      </x:c>
      <x:c r="L33" s="12">
        <x:f t="shared" si="6"/>
        <x:v>41.3</x:v>
      </x:c>
      <x:c r="M33" s="12">
        <x:f t="shared" si="7"/>
        <x:v>36.299999999999997</x:v>
      </x:c>
      <x:c r="N33" s="12">
        <x:f t="shared" si="8"/>
        <x:v>31.299999999999997</x:v>
      </x:c>
      <x:c r="O33" s="12">
        <x:f t="shared" si="9"/>
        <x:v>26.299999999999997</x:v>
      </x:c>
      <x:c r="P33" s="12">
        <x:f t="shared" si="10"/>
        <x:v>21.299999999999997</x:v>
      </x:c>
      <x:c r="Q33" s="12">
        <x:f t="shared" si="11"/>
        <x:v>16.299999999999997</x:v>
      </x:c>
      <x:c r="R33" s="12">
        <x:f t="shared" si="12"/>
        <x:v>11.299999999999997</x:v>
      </x:c>
      <x:c r="S33" s="12"/>
    </x:row>
  </x:sheetData>
  <x:mergeCells count="6">
    <x:mergeCell ref="B9:V9"/>
    <x:mergeCell ref="B1:T1"/>
    <x:mergeCell ref="B2:T2"/>
    <x:mergeCell ref="B3:T3"/>
    <x:mergeCell ref="B4:T4"/>
    <x:mergeCell ref="B6:T6"/>
  </x:mergeCells>
  <x:pageMargins left="0.75" right="0.75" top="1" bottom="1" header="0.5" footer="0.5"/>
  <x:pageSetup scale="56" firstPageNumber="3" orientation="portrait" r:id="rId1"/>
  <x:headerFooter alignWithMargins="0">
    <x:oddHeader>&amp;RSchedule II-H-5.1
Page &amp;P of  25</x:oddHeader>
  </x:headerFooter>
</x:worksheet>
</file>

<file path=xl/worksheets/sheet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500-000000000000}" mc:Ignorable="x14ac xr xr2 xr3">
  <x:sheetPr>
    <x:pageSetUpPr fitToPage="1"/>
  </x:sheetPr>
  <x:dimension ref="A1:AH33"/>
  <x:sheetViews>
    <x:sheetView zoomScaleNormal="100" workbookViewId="0"/>
  </x:sheetViews>
  <x:sheetFormatPr defaultColWidth="8.88671875" defaultRowHeight="13.2" x14ac:dyDescent="0.25"/>
  <x:cols>
    <x:col min="1" max="1" width="9.109375" style="59" customWidth="1"/>
    <x:col min="2" max="2" width="15.77734375" style="60" bestFit="1" customWidth="1"/>
    <x:col min="3" max="6" width="5.44140625" style="59" bestFit="1" customWidth="1"/>
    <x:col min="7" max="7" width="10.6640625" style="59" bestFit="1" customWidth="1"/>
    <x:col min="8" max="14" width="6.88671875" style="59" bestFit="1" customWidth="1"/>
    <x:col min="15" max="23" width="7" style="59" bestFit="1" customWidth="1"/>
    <x:col min="24" max="29" width="11.44140625" style="59" customWidth="1"/>
    <x:col min="30" max="16384" width="8.88671875" style="59"/>
  </x:cols>
  <x:sheetData>
    <x:row r="1" spans="1:29" s="66" customFormat="1" ht="15.6" x14ac:dyDescent="0.3">
      <x:c r="B1" s="88" t="str">
        <x:f>+Base45h!B1</x:f>
        <x:v xml:space="preserve">PUC DOCKET NO. </x:v>
      </x:c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  <x:c r="P1" s="92"/>
      <x:c r="Q1" s="92"/>
      <x:c r="R1" s="92"/>
      <x:c r="S1" s="92"/>
      <x:c r="T1" s="92"/>
      <x:c r="U1" s="60"/>
      <x:c r="V1" s="60"/>
      <x:c r="W1" s="60"/>
      <x:c r="X1" s="60"/>
      <x:c r="Y1" s="60"/>
      <x:c r="Z1" s="60"/>
      <x:c r="AA1" s="60"/>
      <x:c r="AB1" s="60"/>
      <x:c r="AC1" s="60"/>
    </x:row>
    <x:row r="2" spans="1:29" s="66" customFormat="1" ht="15.6" x14ac:dyDescent="0.3">
      <x:c r="B2" s="88" t="str">
        <x:f>+Base45h!B2</x:f>
        <x:v>ONCOR ELECTRIC DELIVERY COMPANY LLC</x:v>
      </x:c>
      <x:c r="C2" s="92"/>
      <x:c r="D2" s="92"/>
      <x:c r="E2" s="92"/>
      <x:c r="F2" s="92"/>
      <x:c r="G2" s="92"/>
      <x:c r="H2" s="92"/>
      <x:c r="I2" s="92"/>
      <x:c r="J2" s="92"/>
      <x:c r="K2" s="92"/>
      <x:c r="L2" s="92"/>
      <x:c r="M2" s="92"/>
      <x:c r="N2" s="92"/>
      <x:c r="O2" s="92"/>
      <x:c r="P2" s="92"/>
      <x:c r="Q2" s="92"/>
      <x:c r="R2" s="92"/>
      <x:c r="S2" s="92"/>
      <x:c r="T2" s="92"/>
      <x:c r="U2" s="60"/>
      <x:c r="V2" s="60"/>
      <x:c r="W2" s="60"/>
      <x:c r="X2" s="60"/>
      <x:c r="Y2" s="60"/>
      <x:c r="Z2" s="60"/>
      <x:c r="AA2" s="60"/>
      <x:c r="AB2" s="60"/>
      <x:c r="AC2" s="60"/>
    </x:row>
    <x:row r="3" spans="1:29" s="66" customFormat="1" ht="15.6" x14ac:dyDescent="0.3">
      <x:c r="B3" s="88" t="str">
        <x:f>+Base45h!B3</x:f>
        <x:v>WEATHER STATION DATA</x:v>
      </x:c>
      <x:c r="C3" s="92"/>
      <x:c r="D3" s="92"/>
      <x:c r="E3" s="92"/>
      <x:c r="F3" s="92"/>
      <x:c r="G3" s="92"/>
      <x:c r="H3" s="92"/>
      <x:c r="I3" s="92"/>
      <x:c r="J3" s="92"/>
      <x:c r="K3" s="92"/>
      <x:c r="L3" s="92"/>
      <x:c r="M3" s="92"/>
      <x:c r="N3" s="92"/>
      <x:c r="O3" s="92"/>
      <x:c r="P3" s="92"/>
      <x:c r="Q3" s="92"/>
      <x:c r="R3" s="92"/>
      <x:c r="S3" s="92"/>
      <x:c r="T3" s="92"/>
      <x:c r="U3" s="60"/>
      <x:c r="V3" s="60"/>
      <x:c r="W3" s="60"/>
      <x:c r="X3" s="60"/>
      <x:c r="Y3" s="60"/>
      <x:c r="Z3" s="60"/>
      <x:c r="AA3" s="60"/>
      <x:c r="AB3" s="60"/>
      <x:c r="AC3" s="60"/>
    </x:row>
    <x:row r="4" spans="1:29" s="66" customFormat="1" ht="15.6" x14ac:dyDescent="0.3">
      <x:c r="B4" s="88" t="str">
        <x:f>+Base45h!B4</x:f>
        <x:v>FOR THE TEST YEAR ENDING DECEMBER 31, 2024</x:v>
      </x:c>
      <x:c r="C4" s="92"/>
      <x:c r="D4" s="92"/>
      <x:c r="E4" s="92"/>
      <x:c r="F4" s="92"/>
      <x:c r="G4" s="92"/>
      <x:c r="H4" s="92"/>
      <x:c r="I4" s="92"/>
      <x:c r="J4" s="92"/>
      <x:c r="K4" s="92"/>
      <x:c r="L4" s="92"/>
      <x:c r="M4" s="92"/>
      <x:c r="N4" s="92"/>
      <x:c r="O4" s="92"/>
      <x:c r="P4" s="92"/>
      <x:c r="Q4" s="92"/>
      <x:c r="R4" s="92"/>
      <x:c r="S4" s="92"/>
      <x:c r="T4" s="92"/>
      <x:c r="U4" s="60"/>
      <x:c r="V4" s="60"/>
      <x:c r="W4" s="60"/>
      <x:c r="X4" s="60"/>
      <x:c r="Y4" s="60"/>
      <x:c r="Z4" s="60"/>
      <x:c r="AA4" s="60"/>
      <x:c r="AB4" s="60"/>
      <x:c r="AC4" s="60"/>
    </x:row>
    <x:row r="5" spans="1:29" s="66" customFormat="1" ht="11.4" x14ac:dyDescent="0.2">
      <x:c r="B5" s="1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67"/>
      <x:c r="V5" s="67"/>
      <x:c r="W5" s="67"/>
      <x:c r="X5" s="67"/>
      <x:c r="Y5" s="67"/>
      <x:c r="Z5" s="67"/>
      <x:c r="AA5" s="67"/>
      <x:c r="AB5" s="67"/>
      <x:c r="AC5" s="67"/>
    </x:row>
    <x:row r="6" spans="1:29" s="66" customFormat="1" ht="15.6" x14ac:dyDescent="0.3">
      <x:c r="B6" s="88" t="str">
        <x:f>+Base45h!B6</x:f>
        <x:v>SPONSOR: D. E. NELSON</x:v>
      </x:c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60"/>
      <x:c r="V6" s="60"/>
      <x:c r="W6" s="60"/>
      <x:c r="X6" s="60"/>
      <x:c r="Y6" s="60"/>
      <x:c r="Z6" s="60"/>
      <x:c r="AA6" s="60"/>
      <x:c r="AB6" s="60"/>
      <x:c r="AC6" s="60"/>
    </x:row>
    <x:row r="7" spans="1:29" ht="24" thickBot="1" x14ac:dyDescent="0.3">
      <x:c r="A7" s="65" t="s">
        <x:v>4</x:v>
      </x:c>
    </x:row>
    <x:row r="9" spans="1:29" x14ac:dyDescent="0.25">
      <x:c r="A9" s="59">
        <x:v>1</x:v>
      </x:c>
      <x:c r="B9" s="93" t="s">
        <x:v>123</x:v>
      </x:c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</x:row>
    <x:row r="10" spans="1:29" s="64" customFormat="1" x14ac:dyDescent="0.25">
      <x:c r="A10" s="59">
        <x:f t="shared" ref="A10:A33" si="0">+A9+1</x:f>
        <x:v>2</x:v>
      </x:c>
      <x:c r="B10" s="64" t="s">
        <x:v>68</x:v>
      </x:c>
      <x:c r="C10" s="64" t="s">
        <x:v>29</x:v>
      </x:c>
      <x:c r="D10" s="64" t="s">
        <x:v>30</x:v>
      </x:c>
      <x:c r="E10" s="64" t="s">
        <x:v>31</x:v>
      </x:c>
      <x:c r="F10" s="64" t="s">
        <x:v>32</x:v>
      </x:c>
      <x:c r="G10" s="64" t="s">
        <x:v>33</x:v>
      </x:c>
      <x:c r="H10" s="64" t="s">
        <x:v>34</x:v>
      </x:c>
      <x:c r="I10" s="64" t="s">
        <x:v>35</x:v>
      </x:c>
      <x:c r="J10" s="64" t="s">
        <x:v>36</x:v>
      </x:c>
      <x:c r="K10" s="64" t="s">
        <x:v>37</x:v>
      </x:c>
      <x:c r="L10" s="64" t="s">
        <x:v>38</x:v>
      </x:c>
      <x:c r="M10" s="64" t="s">
        <x:v>39</x:v>
      </x:c>
      <x:c r="N10" s="64" t="s">
        <x:v>40</x:v>
      </x:c>
      <x:c r="O10" s="64" t="s">
        <x:v>41</x:v>
      </x:c>
      <x:c r="P10" s="64" t="s">
        <x:v>42</x:v>
      </x:c>
      <x:c r="Q10" s="64" t="s">
        <x:v>43</x:v>
      </x:c>
      <x:c r="R10" s="64" t="s">
        <x:v>44</x:v>
      </x:c>
      <x:c r="S10" s="64" t="s">
        <x:v>45</x:v>
      </x:c>
      <x:c r="T10" s="64" t="s">
        <x:v>46</x:v>
      </x:c>
      <x:c r="U10" s="64" t="s">
        <x:v>47</x:v>
      </x:c>
      <x:c r="V10" s="64" t="s">
        <x:v>48</x:v>
      </x:c>
    </x:row>
    <x:row r="11" spans="1:29" x14ac:dyDescent="0.25">
      <x:c r="A11" s="59">
        <x:f t="shared" si="0"/>
        <x:v>3</x:v>
      </x:c>
      <x:c r="B11" s="62" t="s">
        <x:v>27</x:v>
      </x:c>
      <x:c r="C11" s="59">
        <x:v>18</x:v>
      </x:c>
      <x:c r="D11" s="59">
        <x:v>17</x:v>
      </x:c>
      <x:c r="E11" s="59">
        <x:v>15</x:v>
      </x:c>
      <x:c r="F11" s="59">
        <x:v>13</x:v>
      </x:c>
      <x:c r="G11" s="59">
        <x:v>12</x:v>
      </x:c>
      <x:c r="H11" s="59">
        <x:v>11</x:v>
      </x:c>
      <x:c r="I11" s="59">
        <x:v>11</x:v>
      </x:c>
      <x:c r="J11" s="59">
        <x:v>11</x:v>
      </x:c>
      <x:c r="K11" s="59">
        <x:v>11</x:v>
      </x:c>
      <x:c r="L11" s="59">
        <x:v>10</x:v>
      </x:c>
      <x:c r="M11" s="59">
        <x:v>10</x:v>
      </x:c>
      <x:c r="N11" s="59">
        <x:v>11</x:v>
      </x:c>
      <x:c r="O11" s="59">
        <x:v>12</x:v>
      </x:c>
      <x:c r="P11" s="59">
        <x:v>12</x:v>
      </x:c>
      <x:c r="Q11" s="59">
        <x:v>11</x:v>
      </x:c>
      <x:c r="R11" s="59">
        <x:v>12</x:v>
      </x:c>
      <x:c r="S11" s="59">
        <x:v>12</x:v>
      </x:c>
      <x:c r="T11" s="59">
        <x:v>13</x:v>
      </x:c>
      <x:c r="U11" s="59">
        <x:v>11</x:v>
      </x:c>
      <x:c r="V11" s="59">
        <x:v>11</x:v>
      </x:c>
    </x:row>
    <x:row r="12" spans="1:29" x14ac:dyDescent="0.25">
      <x:c r="A12" s="59">
        <x:f t="shared" si="0"/>
        <x:v>4</x:v>
      </x:c>
      <x:c r="B12" s="62" t="s">
        <x:v>65</x:v>
      </x:c>
      <x:c r="C12" s="59">
        <x:v>37</x:v>
      </x:c>
      <x:c r="D12" s="59">
        <x:v>35</x:v>
      </x:c>
      <x:c r="E12" s="59">
        <x:v>33</x:v>
      </x:c>
      <x:c r="F12" s="59">
        <x:v>33</x:v>
      </x:c>
      <x:c r="G12" s="59">
        <x:v>32</x:v>
      </x:c>
      <x:c r="H12" s="59">
        <x:v>30</x:v>
      </x:c>
      <x:c r="I12" s="59">
        <x:v>28</x:v>
      </x:c>
      <x:c r="J12" s="59">
        <x:v>27</x:v>
      </x:c>
      <x:c r="K12" s="59">
        <x:v>25</x:v>
      </x:c>
      <x:c r="L12" s="59">
        <x:v>25</x:v>
      </x:c>
      <x:c r="M12" s="59">
        <x:v>25</x:v>
      </x:c>
      <x:c r="N12" s="59">
        <x:v>25</x:v>
      </x:c>
      <x:c r="O12" s="59">
        <x:v>25</x:v>
      </x:c>
      <x:c r="P12" s="59">
        <x:v>26</x:v>
      </x:c>
      <x:c r="Q12" s="59">
        <x:v>27</x:v>
      </x:c>
      <x:c r="R12" s="59">
        <x:v>28</x:v>
      </x:c>
      <x:c r="S12" s="59">
        <x:v>27</x:v>
      </x:c>
      <x:c r="T12" s="59">
        <x:v>26</x:v>
      </x:c>
      <x:c r="U12" s="59">
        <x:v>23</x:v>
      </x:c>
      <x:c r="V12" s="59">
        <x:v>22</x:v>
      </x:c>
    </x:row>
    <x:row r="13" spans="1:29" x14ac:dyDescent="0.25">
      <x:c r="A13" s="59">
        <x:f t="shared" si="0"/>
        <x:v>5</x:v>
      </x:c>
      <x:c r="B13" s="62" t="s">
        <x:v>66</x:v>
      </x:c>
      <x:c r="C13" s="59">
        <x:v>23</x:v>
      </x:c>
      <x:c r="D13" s="59">
        <x:v>21</x:v>
      </x:c>
      <x:c r="E13" s="59">
        <x:v>19</x:v>
      </x:c>
      <x:c r="F13" s="59">
        <x:v>17</x:v>
      </x:c>
      <x:c r="G13" s="59">
        <x:v>16</x:v>
      </x:c>
      <x:c r="H13" s="59">
        <x:v>16</x:v>
      </x:c>
      <x:c r="I13" s="59">
        <x:v>15</x:v>
      </x:c>
      <x:c r="J13" s="59">
        <x:v>14</x:v>
      </x:c>
      <x:c r="K13" s="59">
        <x:v>14</x:v>
      </x:c>
      <x:c r="L13" s="59">
        <x:v>13</x:v>
      </x:c>
      <x:c r="M13" s="59">
        <x:v>14</x:v>
      </x:c>
      <x:c r="N13" s="59">
        <x:v>14</x:v>
      </x:c>
      <x:c r="O13" s="59">
        <x:v>15</x:v>
      </x:c>
      <x:c r="P13" s="59">
        <x:v>14</x:v>
      </x:c>
      <x:c r="Q13" s="59">
        <x:v>15</x:v>
      </x:c>
      <x:c r="R13" s="59">
        <x:v>15</x:v>
      </x:c>
      <x:c r="S13" s="59">
        <x:v>15</x:v>
      </x:c>
      <x:c r="T13" s="59">
        <x:v>15</x:v>
      </x:c>
      <x:c r="U13" s="59">
        <x:v>14</x:v>
      </x:c>
      <x:c r="V13" s="59">
        <x:v>14</x:v>
      </x:c>
    </x:row>
    <x:row r="14" spans="1:29" x14ac:dyDescent="0.25">
      <x:c r="A14" s="59">
        <x:f t="shared" si="0"/>
        <x:v>6</x:v>
      </x:c>
      <x:c r="B14" s="62" t="s">
        <x:v>67</x:v>
      </x:c>
      <x:c r="C14" s="59">
        <x:v>29</x:v>
      </x:c>
      <x:c r="D14" s="59">
        <x:v>27</x:v>
      </x:c>
      <x:c r="E14" s="59">
        <x:v>26</x:v>
      </x:c>
      <x:c r="F14" s="59">
        <x:v>25</x:v>
      </x:c>
      <x:c r="G14" s="59">
        <x:v>23</x:v>
      </x:c>
      <x:c r="H14" s="59">
        <x:v>22</x:v>
      </x:c>
      <x:c r="I14" s="59">
        <x:v>20</x:v>
      </x:c>
      <x:c r="J14" s="59">
        <x:v>19</x:v>
      </x:c>
      <x:c r="K14" s="59">
        <x:v>19</x:v>
      </x:c>
      <x:c r="L14" s="59">
        <x:v>18</x:v>
      </x:c>
      <x:c r="M14" s="59">
        <x:v>19</x:v>
      </x:c>
      <x:c r="N14" s="59">
        <x:v>20</x:v>
      </x:c>
      <x:c r="O14" s="59">
        <x:v>21</x:v>
      </x:c>
      <x:c r="P14" s="59">
        <x:v>21</x:v>
      </x:c>
      <x:c r="Q14" s="59">
        <x:v>21</x:v>
      </x:c>
      <x:c r="R14" s="59">
        <x:v>21</x:v>
      </x:c>
      <x:c r="S14" s="59">
        <x:v>20</x:v>
      </x:c>
      <x:c r="T14" s="59">
        <x:v>19</x:v>
      </x:c>
      <x:c r="U14" s="59">
        <x:v>17</x:v>
      </x:c>
      <x:c r="V14" s="59">
        <x:v>16</x:v>
      </x:c>
    </x:row>
    <x:row r="15" spans="1:29" x14ac:dyDescent="0.25">
      <x:c r="A15" s="59">
        <x:f t="shared" si="0"/>
        <x:v>7</x:v>
      </x:c>
      <x:c r="B15" s="62" t="s">
        <x:v>69</x:v>
      </x:c>
      <x:c r="C15" s="59">
        <x:v>30</x:v>
      </x:c>
      <x:c r="D15" s="59">
        <x:v>29</x:v>
      </x:c>
      <x:c r="E15" s="59">
        <x:v>28</x:v>
      </x:c>
      <x:c r="F15" s="59">
        <x:v>28</x:v>
      </x:c>
      <x:c r="G15" s="59">
        <x:v>27</x:v>
      </x:c>
      <x:c r="H15" s="59">
        <x:v>26</x:v>
      </x:c>
      <x:c r="I15" s="59">
        <x:v>25</x:v>
      </x:c>
      <x:c r="J15" s="59">
        <x:v>25</x:v>
      </x:c>
      <x:c r="K15" s="59">
        <x:v>24</x:v>
      </x:c>
      <x:c r="L15" s="59">
        <x:v>24</x:v>
      </x:c>
      <x:c r="M15" s="59">
        <x:v>24</x:v>
      </x:c>
      <x:c r="N15" s="59">
        <x:v>24</x:v>
      </x:c>
      <x:c r="O15" s="59">
        <x:v>23</x:v>
      </x:c>
      <x:c r="P15" s="59">
        <x:v>24</x:v>
      </x:c>
      <x:c r="Q15" s="59">
        <x:v>24</x:v>
      </x:c>
      <x:c r="R15" s="59">
        <x:v>24</x:v>
      </x:c>
      <x:c r="S15" s="59">
        <x:v>23</x:v>
      </x:c>
      <x:c r="T15" s="59">
        <x:v>24</x:v>
      </x:c>
      <x:c r="U15" s="59">
        <x:v>24</x:v>
      </x:c>
      <x:c r="V15" s="59">
        <x:v>24</x:v>
      </x:c>
    </x:row>
    <x:row r="16" spans="1:29" x14ac:dyDescent="0.25">
      <x:c r="A16" s="59">
        <x:f t="shared" si="0"/>
        <x:v>8</x:v>
      </x:c>
      <x:c r="B16" s="62" t="s">
        <x:v>70</x:v>
      </x:c>
      <x:c r="C16" s="59">
        <x:v>43</x:v>
      </x:c>
      <x:c r="D16" s="59">
        <x:v>45</x:v>
      </x:c>
      <x:c r="E16" s="59">
        <x:v>42</x:v>
      </x:c>
      <x:c r="F16" s="59">
        <x:v>38</x:v>
      </x:c>
      <x:c r="G16" s="59">
        <x:v>35</x:v>
      </x:c>
      <x:c r="H16" s="59">
        <x:v>34</x:v>
      </x:c>
      <x:c r="I16" s="59">
        <x:v>33</x:v>
      </x:c>
      <x:c r="J16" s="59">
        <x:v>32</x:v>
      </x:c>
      <x:c r="K16" s="59">
        <x:v>32</x:v>
      </x:c>
      <x:c r="L16" s="59">
        <x:v>33</x:v>
      </x:c>
      <x:c r="M16" s="59">
        <x:v>34</x:v>
      </x:c>
      <x:c r="N16" s="59">
        <x:v>34</x:v>
      </x:c>
      <x:c r="O16" s="59">
        <x:v>35</x:v>
      </x:c>
      <x:c r="P16" s="59">
        <x:v>35</x:v>
      </x:c>
      <x:c r="Q16" s="59">
        <x:v>35</x:v>
      </x:c>
      <x:c r="R16" s="59">
        <x:v>35</x:v>
      </x:c>
      <x:c r="S16" s="59">
        <x:v>35</x:v>
      </x:c>
      <x:c r="T16" s="59">
        <x:v>34</x:v>
      </x:c>
      <x:c r="U16" s="59">
        <x:v>33</x:v>
      </x:c>
      <x:c r="V16" s="59">
        <x:v>30</x:v>
      </x:c>
    </x:row>
    <x:row r="17" spans="1:34" x14ac:dyDescent="0.25">
      <x:c r="A17" s="59">
        <x:f t="shared" si="0"/>
        <x:v>9</x:v>
      </x:c>
      <x:c r="B17" s="62" t="s">
        <x:v>71</x:v>
      </x:c>
      <x:c r="C17" s="59">
        <x:v>21</x:v>
      </x:c>
      <x:c r="D17" s="59">
        <x:v>19</x:v>
      </x:c>
      <x:c r="E17" s="59">
        <x:v>17</x:v>
      </x:c>
      <x:c r="F17" s="59">
        <x:v>16</x:v>
      </x:c>
      <x:c r="G17" s="59">
        <x:v>15</x:v>
      </x:c>
      <x:c r="H17" s="59">
        <x:v>14</x:v>
      </x:c>
      <x:c r="I17" s="59">
        <x:v>13</x:v>
      </x:c>
      <x:c r="J17" s="59">
        <x:v>12</x:v>
      </x:c>
      <x:c r="K17" s="59">
        <x:v>11</x:v>
      </x:c>
      <x:c r="L17" s="59">
        <x:v>12</x:v>
      </x:c>
      <x:c r="M17" s="59">
        <x:v>13</x:v>
      </x:c>
      <x:c r="N17" s="59">
        <x:v>14</x:v>
      </x:c>
      <x:c r="O17" s="59">
        <x:v>18</x:v>
      </x:c>
      <x:c r="P17" s="59">
        <x:v>18</x:v>
      </x:c>
      <x:c r="Q17" s="59">
        <x:v>21</x:v>
      </x:c>
      <x:c r="R17" s="59">
        <x:v>22</x:v>
      </x:c>
      <x:c r="S17" s="59">
        <x:v>23</x:v>
      </x:c>
      <x:c r="T17" s="59">
        <x:v>22</x:v>
      </x:c>
      <x:c r="U17" s="59">
        <x:v>21</x:v>
      </x:c>
      <x:c r="V17" s="59">
        <x:v>18</x:v>
      </x:c>
    </x:row>
    <x:row r="18" spans="1:34" x14ac:dyDescent="0.25">
      <x:c r="A18" s="59">
        <x:f t="shared" si="0"/>
        <x:v>10</x:v>
      </x:c>
      <x:c r="B18" s="62" t="s">
        <x:v>74</x:v>
      </x:c>
      <x:c r="C18" s="59">
        <x:v>18</x:v>
      </x:c>
      <x:c r="D18" s="59">
        <x:v>17</x:v>
      </x:c>
      <x:c r="E18" s="59">
        <x:v>15</x:v>
      </x:c>
      <x:c r="F18" s="59">
        <x:v>13</x:v>
      </x:c>
      <x:c r="G18" s="59">
        <x:v>12</x:v>
      </x:c>
      <x:c r="H18" s="59">
        <x:v>11</x:v>
      </x:c>
      <x:c r="I18" s="59">
        <x:v>10</x:v>
      </x:c>
      <x:c r="J18" s="59">
        <x:v>10</x:v>
      </x:c>
      <x:c r="K18" s="59">
        <x:v>10</x:v>
      </x:c>
      <x:c r="L18" s="59">
        <x:v>10</x:v>
      </x:c>
      <x:c r="M18" s="59">
        <x:v>10</x:v>
      </x:c>
      <x:c r="N18" s="59">
        <x:v>10</x:v>
      </x:c>
      <x:c r="O18" s="59">
        <x:v>12</x:v>
      </x:c>
      <x:c r="P18" s="59">
        <x:v>12</x:v>
      </x:c>
      <x:c r="Q18" s="59">
        <x:v>12</x:v>
      </x:c>
      <x:c r="R18" s="59">
        <x:v>12</x:v>
      </x:c>
      <x:c r="S18" s="59">
        <x:v>12</x:v>
      </x:c>
      <x:c r="T18" s="59">
        <x:v>12</x:v>
      </x:c>
      <x:c r="U18" s="59">
        <x:v>10</x:v>
      </x:c>
      <x:c r="V18" s="59">
        <x:v>10</x:v>
      </x:c>
    </x:row>
    <x:row r="19" spans="1:34" x14ac:dyDescent="0.25">
      <x:c r="A19" s="59">
        <x:f t="shared" si="0"/>
        <x:v>11</x:v>
      </x:c>
      <x:c r="B19" s="62" t="s">
        <x:v>72</x:v>
      </x:c>
      <x:c r="C19" s="59">
        <x:v>28</x:v>
      </x:c>
      <x:c r="D19" s="59">
        <x:v>26</x:v>
      </x:c>
      <x:c r="E19" s="59">
        <x:v>24</x:v>
      </x:c>
      <x:c r="F19" s="59">
        <x:v>24</x:v>
      </x:c>
      <x:c r="G19" s="59">
        <x:v>23</x:v>
      </x:c>
      <x:c r="H19" s="59">
        <x:v>21</x:v>
      </x:c>
      <x:c r="I19" s="59">
        <x:v>20</x:v>
      </x:c>
      <x:c r="J19" s="59">
        <x:v>19</x:v>
      </x:c>
      <x:c r="K19" s="59">
        <x:v>19</x:v>
      </x:c>
      <x:c r="L19" s="59">
        <x:v>19</x:v>
      </x:c>
      <x:c r="M19" s="59">
        <x:v>19</x:v>
      </x:c>
      <x:c r="N19" s="59">
        <x:v>19</x:v>
      </x:c>
      <x:c r="O19" s="59">
        <x:v>19</x:v>
      </x:c>
      <x:c r="P19" s="59">
        <x:v>20</x:v>
      </x:c>
      <x:c r="Q19" s="59">
        <x:v>20</x:v>
      </x:c>
      <x:c r="R19" s="59">
        <x:v>20</x:v>
      </x:c>
      <x:c r="S19" s="59">
        <x:v>19</x:v>
      </x:c>
      <x:c r="T19" s="59">
        <x:v>17</x:v>
      </x:c>
      <x:c r="U19" s="59">
        <x:v>16</x:v>
      </x:c>
      <x:c r="V19" s="59">
        <x:v>17</x:v>
      </x:c>
    </x:row>
    <x:row r="20" spans="1:34" x14ac:dyDescent="0.25">
      <x:c r="A20" s="59">
        <x:f t="shared" si="0"/>
        <x:v>12</x:v>
      </x:c>
      <x:c r="B20" s="62" t="s">
        <x:v>73</x:v>
      </x:c>
      <x:c r="C20" s="59">
        <x:v>12</x:v>
      </x:c>
      <x:c r="D20" s="59">
        <x:v>10</x:v>
      </x:c>
      <x:c r="E20" s="59">
        <x:v>9</x:v>
      </x:c>
      <x:c r="F20" s="59">
        <x:v>8</x:v>
      </x:c>
      <x:c r="G20" s="59">
        <x:v>7</x:v>
      </x:c>
      <x:c r="H20" s="59">
        <x:v>7</x:v>
      </x:c>
      <x:c r="I20" s="59">
        <x:v>7</x:v>
      </x:c>
      <x:c r="J20" s="59">
        <x:v>7</x:v>
      </x:c>
      <x:c r="K20" s="59">
        <x:v>7</x:v>
      </x:c>
      <x:c r="L20" s="59">
        <x:v>7</x:v>
      </x:c>
      <x:c r="M20" s="59">
        <x:v>8</x:v>
      </x:c>
      <x:c r="N20" s="59">
        <x:v>9</x:v>
      </x:c>
      <x:c r="O20" s="59">
        <x:v>10</x:v>
      </x:c>
      <x:c r="P20" s="59">
        <x:v>11</x:v>
      </x:c>
      <x:c r="Q20" s="59">
        <x:v>13</x:v>
      </x:c>
      <x:c r="R20" s="59">
        <x:v>14</x:v>
      </x:c>
      <x:c r="S20" s="59">
        <x:v>14</x:v>
      </x:c>
      <x:c r="T20" s="59">
        <x:v>14</x:v>
      </x:c>
      <x:c r="U20" s="59">
        <x:v>12</x:v>
      </x:c>
      <x:c r="V20" s="59">
        <x:v>12</x:v>
      </x:c>
    </x:row>
    <x:row r="21" spans="1:34" x14ac:dyDescent="0.25">
      <x:c r="A21" s="59">
        <x:f t="shared" si="0"/>
        <x:v>13</x:v>
      </x:c>
    </x:row>
    <x:row r="22" spans="1:34" x14ac:dyDescent="0.25">
      <x:c r="A22" s="59">
        <x:f t="shared" si="0"/>
        <x:v>14</x:v>
      </x:c>
    </x:row>
    <x:row r="23" spans="1:34" x14ac:dyDescent="0.25">
      <x:c r="A23" s="59">
        <x:f t="shared" si="0"/>
        <x:v>15</x:v>
      </x:c>
      <x:c r="B23" s="64" t="s">
        <x:v>68</x:v>
      </x:c>
      <x:c r="C23" s="64" t="s">
        <x:v>49</x:v>
      </x:c>
      <x:c r="D23" s="64" t="s">
        <x:v>50</x:v>
      </x:c>
      <x:c r="E23" s="64" t="s">
        <x:v>51</x:v>
      </x:c>
      <x:c r="F23" s="64" t="s">
        <x:v>52</x:v>
      </x:c>
      <x:c r="G23" s="64" t="s">
        <x:v>53</x:v>
      </x:c>
      <x:c r="H23" s="64" t="s">
        <x:v>60</x:v>
      </x:c>
      <x:c r="I23" s="64" t="s">
        <x:v>102</x:v>
      </x:c>
      <x:c r="J23" s="64" t="s">
        <x:v>61</x:v>
      </x:c>
      <x:c r="K23" s="83" t="s">
        <x:v>106</x:v>
      </x:c>
      <x:c r="L23" s="83" t="s">
        <x:v>88</x:v>
      </x:c>
      <x:c r="M23" s="83" t="s">
        <x:v>107</x:v>
      </x:c>
      <x:c r="N23" s="83" t="s">
        <x:v>98</x:v>
      </x:c>
      <x:c r="O23" s="63" t="s">
        <x:v>62</x:v>
      </x:c>
      <x:c r="P23" s="63" t="s">
        <x:v>63</x:v>
      </x:c>
      <x:c r="Q23" s="63" t="s">
        <x:v>64</x:v>
      </x:c>
      <x:c r="R23" s="63" t="s">
        <x:v>89</x:v>
      </x:c>
      <x:c r="S23" s="63"/>
    </x:row>
    <x:row r="24" spans="1:34" x14ac:dyDescent="0.25">
      <x:c r="A24" s="59">
        <x:f t="shared" si="0"/>
        <x:v>16</x:v>
      </x:c>
      <x:c r="B24" s="62" t="s">
        <x:v>27</x:v>
      </x:c>
      <x:c r="C24" s="59">
        <x:v>11</x:v>
      </x:c>
      <x:c r="D24" s="59">
        <x:v>12</x:v>
      </x:c>
      <x:c r="E24" s="59">
        <x:v>12</x:v>
      </x:c>
      <x:c r="F24" s="59">
        <x:v>12</x:v>
      </x:c>
      <x:c r="G24" s="61">
        <x:f>ROUND(AVERAGE(C11:V11,C24:F24),1)</x:f>
        <x:v>12.1</x:v>
      </x:c>
      <x:c r="H24" s="61">
        <x:f>MAX(45-$G24,0)</x:f>
        <x:v>32.9</x:v>
      </x:c>
      <x:c r="I24" s="61">
        <x:f t="shared" ref="I24:I33" si="1">MAX(55-$G24,0)</x:f>
        <x:v>42.9</x:v>
      </x:c>
      <x:c r="J24" s="61">
        <x:f t="shared" ref="J24:J33" si="2">MAX(60-$G24,0)</x:f>
        <x:v>47.9</x:v>
      </x:c>
      <x:c r="K24" s="61">
        <x:f t="shared" ref="K24:K33" si="3">MAX(65-$G24,0)</x:f>
        <x:v>52.9</x:v>
      </x:c>
      <x:c r="L24" s="61">
        <x:f t="shared" ref="L24:L33" si="4">MAX($G24-50,0)</x:f>
        <x:v>0</x:v>
      </x:c>
      <x:c r="M24" s="61">
        <x:f t="shared" ref="M24:M33" si="5">MAX($G24-55,0)</x:f>
        <x:v>0</x:v>
      </x:c>
      <x:c r="N24" s="61">
        <x:f t="shared" ref="N24:N33" si="6">MAX($G24-60,0)</x:f>
        <x:v>0</x:v>
      </x:c>
      <x:c r="O24" s="61">
        <x:f t="shared" ref="O24:O33" si="7">MAX($G24-65,0)</x:f>
        <x:v>0</x:v>
      </x:c>
      <x:c r="P24" s="61">
        <x:f t="shared" ref="P24:P33" si="8">MAX($G24-70,0)</x:f>
        <x:v>0</x:v>
      </x:c>
      <x:c r="Q24" s="61">
        <x:f t="shared" ref="Q24:Q33" si="9">MAX($G24-75,0)</x:f>
        <x:v>0</x:v>
      </x:c>
      <x:c r="R24" s="61">
        <x:f t="shared" ref="R24:R33" si="10">MAX($G24-80,0)</x:f>
        <x:v>0</x:v>
      </x:c>
      <x:c r="S24" s="61"/>
      <x:c r="T24" s="61"/>
      <x:c r="U24" s="61"/>
      <x:c r="V24" s="61"/>
      <x:c r="W24" s="61"/>
      <x:c r="X24" s="61"/>
      <x:c r="Y24" s="61"/>
      <x:c r="Z24" s="61"/>
      <x:c r="AA24" s="61"/>
      <x:c r="AB24" s="61"/>
      <x:c r="AC24" s="61"/>
      <x:c r="AD24" s="61"/>
      <x:c r="AF24" s="61"/>
      <x:c r="AG24" s="61"/>
      <x:c r="AH24" s="61"/>
    </x:row>
    <x:row r="25" spans="1:34" x14ac:dyDescent="0.25">
      <x:c r="A25" s="59">
        <x:f t="shared" si="0"/>
        <x:v>17</x:v>
      </x:c>
      <x:c r="B25" s="62" t="s">
        <x:v>65</x:v>
      </x:c>
      <x:c r="C25" s="59">
        <x:v>21</x:v>
      </x:c>
      <x:c r="D25" s="59">
        <x:v>20</x:v>
      </x:c>
      <x:c r="E25" s="59">
        <x:v>20</x:v>
      </x:c>
      <x:c r="F25" s="59">
        <x:v>19</x:v>
      </x:c>
      <x:c r="G25" s="61">
        <x:f t="shared" ref="G25:G32" si="11">ROUND(AVERAGE(C12:V12,C25:F25),1)</x:f>
        <x:v>26.6</x:v>
      </x:c>
      <x:c r="H25" s="61">
        <x:f t="shared" ref="H25:H33" si="12">MAX(45-$G25,0)</x:f>
        <x:v>18.399999999999999</x:v>
      </x:c>
      <x:c r="I25" s="61">
        <x:f t="shared" si="1"/>
        <x:v>28.4</x:v>
      </x:c>
      <x:c r="J25" s="61">
        <x:f t="shared" si="2"/>
        <x:v>33.4</x:v>
      </x:c>
      <x:c r="K25" s="61">
        <x:f t="shared" si="3"/>
        <x:v>38.4</x:v>
      </x:c>
      <x:c r="L25" s="61">
        <x:f t="shared" si="4"/>
        <x:v>0</x:v>
      </x:c>
      <x:c r="M25" s="61">
        <x:f t="shared" si="5"/>
        <x:v>0</x:v>
      </x:c>
      <x:c r="N25" s="61">
        <x:f t="shared" si="6"/>
        <x:v>0</x:v>
      </x:c>
      <x:c r="O25" s="61">
        <x:f t="shared" si="7"/>
        <x:v>0</x:v>
      </x:c>
      <x:c r="P25" s="61">
        <x:f t="shared" si="8"/>
        <x:v>0</x:v>
      </x:c>
      <x:c r="Q25" s="61">
        <x:f t="shared" si="9"/>
        <x:v>0</x:v>
      </x:c>
      <x:c r="R25" s="61">
        <x:f t="shared" si="10"/>
        <x:v>0</x:v>
      </x:c>
      <x:c r="S25" s="61"/>
      <x:c r="T25" s="61"/>
      <x:c r="U25" s="61"/>
      <x:c r="V25" s="61"/>
      <x:c r="W25" s="61"/>
      <x:c r="X25" s="61"/>
      <x:c r="Y25" s="61"/>
      <x:c r="Z25" s="61"/>
      <x:c r="AA25" s="61"/>
      <x:c r="AB25" s="61"/>
      <x:c r="AC25" s="61"/>
      <x:c r="AD25" s="61"/>
    </x:row>
    <x:row r="26" spans="1:34" x14ac:dyDescent="0.25">
      <x:c r="A26" s="59">
        <x:f t="shared" si="0"/>
        <x:v>18</x:v>
      </x:c>
      <x:c r="B26" s="62" t="s">
        <x:v>66</x:v>
      </x:c>
      <x:c r="C26" s="59">
        <x:v>14</x:v>
      </x:c>
      <x:c r="D26" s="59">
        <x:v>13</x:v>
      </x:c>
      <x:c r="E26" s="59">
        <x:v>13</x:v>
      </x:c>
      <x:c r="F26" s="59">
        <x:v>13</x:v>
      </x:c>
      <x:c r="G26" s="61">
        <x:f t="shared" si="11"/>
        <x:v>15.3</x:v>
      </x:c>
      <x:c r="H26" s="61">
        <x:f t="shared" si="12"/>
        <x:v>29.7</x:v>
      </x:c>
      <x:c r="I26" s="61">
        <x:f t="shared" si="1"/>
        <x:v>39.700000000000003</x:v>
      </x:c>
      <x:c r="J26" s="61">
        <x:f t="shared" si="2"/>
        <x:v>44.7</x:v>
      </x:c>
      <x:c r="K26" s="61">
        <x:f t="shared" si="3"/>
        <x:v>49.7</x:v>
      </x:c>
      <x:c r="L26" s="61">
        <x:f t="shared" si="4"/>
        <x:v>0</x:v>
      </x:c>
      <x:c r="M26" s="61">
        <x:f t="shared" si="5"/>
        <x:v>0</x:v>
      </x:c>
      <x:c r="N26" s="61">
        <x:f t="shared" si="6"/>
        <x:v>0</x:v>
      </x:c>
      <x:c r="O26" s="61">
        <x:f t="shared" si="7"/>
        <x:v>0</x:v>
      </x:c>
      <x:c r="P26" s="61">
        <x:f t="shared" si="8"/>
        <x:v>0</x:v>
      </x:c>
      <x:c r="Q26" s="61">
        <x:f t="shared" si="9"/>
        <x:v>0</x:v>
      </x:c>
      <x:c r="R26" s="61">
        <x:f t="shared" si="10"/>
        <x:v>0</x:v>
      </x:c>
      <x:c r="S26" s="61"/>
    </x:row>
    <x:row r="27" spans="1:34" x14ac:dyDescent="0.25">
      <x:c r="A27" s="59">
        <x:f t="shared" si="0"/>
        <x:v>19</x:v>
      </x:c>
      <x:c r="B27" s="62" t="s">
        <x:v>67</x:v>
      </x:c>
      <x:c r="C27" s="59">
        <x:v>15</x:v>
      </x:c>
      <x:c r="D27" s="59">
        <x:v>15</x:v>
      </x:c>
      <x:c r="E27" s="59">
        <x:v>15</x:v>
      </x:c>
      <x:c r="F27" s="59">
        <x:v>15</x:v>
      </x:c>
      <x:c r="G27" s="61">
        <x:f>ROUND(AVERAGE(C14:V14,C27:F27),1)</x:f>
        <x:v>20.100000000000001</x:v>
      </x:c>
      <x:c r="H27" s="61">
        <x:f t="shared" si="12"/>
        <x:v>24.9</x:v>
      </x:c>
      <x:c r="I27" s="61">
        <x:f t="shared" si="1"/>
        <x:v>34.9</x:v>
      </x:c>
      <x:c r="J27" s="61">
        <x:f t="shared" si="2"/>
        <x:v>39.9</x:v>
      </x:c>
      <x:c r="K27" s="61">
        <x:f t="shared" si="3"/>
        <x:v>44.9</x:v>
      </x:c>
      <x:c r="L27" s="61">
        <x:f t="shared" si="4"/>
        <x:v>0</x:v>
      </x:c>
      <x:c r="M27" s="61">
        <x:f t="shared" si="5"/>
        <x:v>0</x:v>
      </x:c>
      <x:c r="N27" s="61">
        <x:f t="shared" si="6"/>
        <x:v>0</x:v>
      </x:c>
      <x:c r="O27" s="61">
        <x:f t="shared" si="7"/>
        <x:v>0</x:v>
      </x:c>
      <x:c r="P27" s="61">
        <x:f t="shared" si="8"/>
        <x:v>0</x:v>
      </x:c>
      <x:c r="Q27" s="61">
        <x:f t="shared" si="9"/>
        <x:v>0</x:v>
      </x:c>
      <x:c r="R27" s="61">
        <x:f t="shared" si="10"/>
        <x:v>0</x:v>
      </x:c>
      <x:c r="S27" s="61"/>
    </x:row>
    <x:row r="28" spans="1:34" x14ac:dyDescent="0.25">
      <x:c r="A28" s="59">
        <x:f t="shared" si="0"/>
        <x:v>20</x:v>
      </x:c>
      <x:c r="B28" s="62" t="s">
        <x:v>69</x:v>
      </x:c>
      <x:c r="C28" s="59">
        <x:v>25</x:v>
      </x:c>
      <x:c r="D28" s="59">
        <x:v>24</x:v>
      </x:c>
      <x:c r="E28" s="59">
        <x:v>24</x:v>
      </x:c>
      <x:c r="F28" s="59">
        <x:v>23</x:v>
      </x:c>
      <x:c r="G28" s="61">
        <x:f t="shared" si="11"/>
        <x:v>25</x:v>
      </x:c>
      <x:c r="H28" s="61">
        <x:f t="shared" si="12"/>
        <x:v>20</x:v>
      </x:c>
      <x:c r="I28" s="61">
        <x:f t="shared" si="1"/>
        <x:v>30</x:v>
      </x:c>
      <x:c r="J28" s="61">
        <x:f t="shared" si="2"/>
        <x:v>35</x:v>
      </x:c>
      <x:c r="K28" s="61">
        <x:f t="shared" si="3"/>
        <x:v>40</x:v>
      </x:c>
      <x:c r="L28" s="61">
        <x:f t="shared" si="4"/>
        <x:v>0</x:v>
      </x:c>
      <x:c r="M28" s="61">
        <x:f t="shared" si="5"/>
        <x:v>0</x:v>
      </x:c>
      <x:c r="N28" s="61">
        <x:f t="shared" si="6"/>
        <x:v>0</x:v>
      </x:c>
      <x:c r="O28" s="61">
        <x:f t="shared" si="7"/>
        <x:v>0</x:v>
      </x:c>
      <x:c r="P28" s="61">
        <x:f t="shared" si="8"/>
        <x:v>0</x:v>
      </x:c>
      <x:c r="Q28" s="61">
        <x:f t="shared" si="9"/>
        <x:v>0</x:v>
      </x:c>
      <x:c r="R28" s="61">
        <x:f t="shared" si="10"/>
        <x:v>0</x:v>
      </x:c>
      <x:c r="S28" s="61"/>
    </x:row>
    <x:row r="29" spans="1:34" x14ac:dyDescent="0.25">
      <x:c r="A29" s="59">
        <x:f t="shared" si="0"/>
        <x:v>21</x:v>
      </x:c>
      <x:c r="B29" s="62" t="s">
        <x:v>70</x:v>
      </x:c>
      <x:c r="C29" s="59">
        <x:v>29</x:v>
      </x:c>
      <x:c r="D29" s="59">
        <x:v>29</x:v>
      </x:c>
      <x:c r="E29" s="59">
        <x:v>29</x:v>
      </x:c>
      <x:c r="F29" s="59">
        <x:v>29</x:v>
      </x:c>
      <x:c r="G29" s="61">
        <x:f t="shared" si="11"/>
        <x:v>34.299999999999997</x:v>
      </x:c>
      <x:c r="H29" s="61">
        <x:f t="shared" si="12"/>
        <x:v>10.700000000000003</x:v>
      </x:c>
      <x:c r="I29" s="61">
        <x:f t="shared" si="1"/>
        <x:v>20.700000000000003</x:v>
      </x:c>
      <x:c r="J29" s="61">
        <x:f t="shared" si="2"/>
        <x:v>25.700000000000003</x:v>
      </x:c>
      <x:c r="K29" s="61">
        <x:f t="shared" si="3"/>
        <x:v>30.700000000000003</x:v>
      </x:c>
      <x:c r="L29" s="61">
        <x:f t="shared" si="4"/>
        <x:v>0</x:v>
      </x:c>
      <x:c r="M29" s="61">
        <x:f t="shared" si="5"/>
        <x:v>0</x:v>
      </x:c>
      <x:c r="N29" s="61">
        <x:f t="shared" si="6"/>
        <x:v>0</x:v>
      </x:c>
      <x:c r="O29" s="61">
        <x:f t="shared" si="7"/>
        <x:v>0</x:v>
      </x:c>
      <x:c r="P29" s="61">
        <x:f t="shared" si="8"/>
        <x:v>0</x:v>
      </x:c>
      <x:c r="Q29" s="61">
        <x:f t="shared" si="9"/>
        <x:v>0</x:v>
      </x:c>
      <x:c r="R29" s="61">
        <x:f t="shared" si="10"/>
        <x:v>0</x:v>
      </x:c>
      <x:c r="S29" s="61"/>
    </x:row>
    <x:row r="30" spans="1:34" x14ac:dyDescent="0.25">
      <x:c r="A30" s="59">
        <x:f t="shared" si="0"/>
        <x:v>22</x:v>
      </x:c>
      <x:c r="B30" s="62" t="s">
        <x:v>71</x:v>
      </x:c>
      <x:c r="C30" s="59">
        <x:v>16</x:v>
      </x:c>
      <x:c r="D30" s="59">
        <x:v>14</x:v>
      </x:c>
      <x:c r="E30" s="59">
        <x:v>13</x:v>
      </x:c>
      <x:c r="F30" s="59">
        <x:v>12</x:v>
      </x:c>
      <x:c r="G30" s="61">
        <x:f t="shared" si="11"/>
        <x:v>16.5</x:v>
      </x:c>
      <x:c r="H30" s="61">
        <x:f t="shared" si="12"/>
        <x:v>28.5</x:v>
      </x:c>
      <x:c r="I30" s="61">
        <x:f t="shared" si="1"/>
        <x:v>38.5</x:v>
      </x:c>
      <x:c r="J30" s="61">
        <x:f t="shared" si="2"/>
        <x:v>43.5</x:v>
      </x:c>
      <x:c r="K30" s="61">
        <x:f t="shared" si="3"/>
        <x:v>48.5</x:v>
      </x:c>
      <x:c r="L30" s="61">
        <x:f t="shared" si="4"/>
        <x:v>0</x:v>
      </x:c>
      <x:c r="M30" s="61">
        <x:f t="shared" si="5"/>
        <x:v>0</x:v>
      </x:c>
      <x:c r="N30" s="61">
        <x:f t="shared" si="6"/>
        <x:v>0</x:v>
      </x:c>
      <x:c r="O30" s="61">
        <x:f t="shared" si="7"/>
        <x:v>0</x:v>
      </x:c>
      <x:c r="P30" s="61">
        <x:f t="shared" si="8"/>
        <x:v>0</x:v>
      </x:c>
      <x:c r="Q30" s="61">
        <x:f t="shared" si="9"/>
        <x:v>0</x:v>
      </x:c>
      <x:c r="R30" s="61">
        <x:f t="shared" si="10"/>
        <x:v>0</x:v>
      </x:c>
      <x:c r="S30" s="61"/>
    </x:row>
    <x:row r="31" spans="1:34" x14ac:dyDescent="0.25">
      <x:c r="A31" s="59">
        <x:f t="shared" si="0"/>
        <x:v>23</x:v>
      </x:c>
      <x:c r="B31" s="62" t="s">
        <x:v>74</x:v>
      </x:c>
      <x:c r="C31" s="59">
        <x:v>10</x:v>
      </x:c>
      <x:c r="D31" s="59">
        <x:v>10</x:v>
      </x:c>
      <x:c r="E31" s="59">
        <x:v>10</x:v>
      </x:c>
      <x:c r="F31" s="59">
        <x:v>10</x:v>
      </x:c>
      <x:c r="G31" s="61">
        <x:f t="shared" si="11"/>
        <x:v>11.6</x:v>
      </x:c>
      <x:c r="H31" s="61">
        <x:f t="shared" si="12"/>
        <x:v>33.4</x:v>
      </x:c>
      <x:c r="I31" s="61">
        <x:f t="shared" si="1"/>
        <x:v>43.4</x:v>
      </x:c>
      <x:c r="J31" s="61">
        <x:f t="shared" si="2"/>
        <x:v>48.4</x:v>
      </x:c>
      <x:c r="K31" s="61">
        <x:f t="shared" si="3"/>
        <x:v>53.4</x:v>
      </x:c>
      <x:c r="L31" s="61">
        <x:f t="shared" si="4"/>
        <x:v>0</x:v>
      </x:c>
      <x:c r="M31" s="61">
        <x:f t="shared" si="5"/>
        <x:v>0</x:v>
      </x:c>
      <x:c r="N31" s="61">
        <x:f t="shared" si="6"/>
        <x:v>0</x:v>
      </x:c>
      <x:c r="O31" s="61">
        <x:f t="shared" si="7"/>
        <x:v>0</x:v>
      </x:c>
      <x:c r="P31" s="61">
        <x:f t="shared" si="8"/>
        <x:v>0</x:v>
      </x:c>
      <x:c r="Q31" s="61">
        <x:f t="shared" si="9"/>
        <x:v>0</x:v>
      </x:c>
      <x:c r="R31" s="61">
        <x:f t="shared" si="10"/>
        <x:v>0</x:v>
      </x:c>
      <x:c r="S31" s="61"/>
    </x:row>
    <x:row r="32" spans="1:34" x14ac:dyDescent="0.25">
      <x:c r="A32" s="59">
        <x:f t="shared" si="0"/>
        <x:v>24</x:v>
      </x:c>
      <x:c r="B32" s="62" t="s">
        <x:v>72</x:v>
      </x:c>
      <x:c r="C32" s="59">
        <x:v>17</x:v>
      </x:c>
      <x:c r="D32" s="59">
        <x:v>17</x:v>
      </x:c>
      <x:c r="E32" s="59">
        <x:v>17</x:v>
      </x:c>
      <x:c r="F32" s="59">
        <x:v>17</x:v>
      </x:c>
      <x:c r="G32" s="61">
        <x:f t="shared" si="11"/>
        <x:v>19.899999999999999</x:v>
      </x:c>
      <x:c r="H32" s="61">
        <x:f t="shared" si="12"/>
        <x:v>25.1</x:v>
      </x:c>
      <x:c r="I32" s="61">
        <x:f t="shared" si="1"/>
        <x:v>35.1</x:v>
      </x:c>
      <x:c r="J32" s="61">
        <x:f t="shared" si="2"/>
        <x:v>40.1</x:v>
      </x:c>
      <x:c r="K32" s="61">
        <x:f t="shared" si="3"/>
        <x:v>45.1</x:v>
      </x:c>
      <x:c r="L32" s="61">
        <x:f t="shared" si="4"/>
        <x:v>0</x:v>
      </x:c>
      <x:c r="M32" s="61">
        <x:f t="shared" si="5"/>
        <x:v>0</x:v>
      </x:c>
      <x:c r="N32" s="61">
        <x:f t="shared" si="6"/>
        <x:v>0</x:v>
      </x:c>
      <x:c r="O32" s="61">
        <x:f t="shared" si="7"/>
        <x:v>0</x:v>
      </x:c>
      <x:c r="P32" s="61">
        <x:f t="shared" si="8"/>
        <x:v>0</x:v>
      </x:c>
      <x:c r="Q32" s="61">
        <x:f t="shared" si="9"/>
        <x:v>0</x:v>
      </x:c>
      <x:c r="R32" s="61">
        <x:f t="shared" si="10"/>
        <x:v>0</x:v>
      </x:c>
      <x:c r="S32" s="61"/>
    </x:row>
    <x:row r="33" spans="1:19" x14ac:dyDescent="0.25">
      <x:c r="A33" s="59">
        <x:f t="shared" si="0"/>
        <x:v>25</x:v>
      </x:c>
      <x:c r="B33" s="62" t="s">
        <x:v>73</x:v>
      </x:c>
      <x:c r="C33" s="59">
        <x:v>11</x:v>
      </x:c>
      <x:c r="D33" s="59">
        <x:v>11</x:v>
      </x:c>
      <x:c r="E33" s="59">
        <x:v>9</x:v>
      </x:c>
      <x:c r="F33" s="59">
        <x:v>10</x:v>
      </x:c>
      <x:c r="G33" s="61">
        <x:f>ROUND(AVERAGE(C20:V20,C33:F33),1)</x:f>
        <x:v>10</x:v>
      </x:c>
      <x:c r="H33" s="61">
        <x:f t="shared" si="12"/>
        <x:v>35</x:v>
      </x:c>
      <x:c r="I33" s="61">
        <x:f t="shared" si="1"/>
        <x:v>45</x:v>
      </x:c>
      <x:c r="J33" s="61">
        <x:f t="shared" si="2"/>
        <x:v>50</x:v>
      </x:c>
      <x:c r="K33" s="61">
        <x:f t="shared" si="3"/>
        <x:v>55</x:v>
      </x:c>
      <x:c r="L33" s="61">
        <x:f t="shared" si="4"/>
        <x:v>0</x:v>
      </x:c>
      <x:c r="M33" s="61">
        <x:f t="shared" si="5"/>
        <x:v>0</x:v>
      </x:c>
      <x:c r="N33" s="61">
        <x:f t="shared" si="6"/>
        <x:v>0</x:v>
      </x:c>
      <x:c r="O33" s="61">
        <x:f t="shared" si="7"/>
        <x:v>0</x:v>
      </x:c>
      <x:c r="P33" s="61">
        <x:f t="shared" si="8"/>
        <x:v>0</x:v>
      </x:c>
      <x:c r="Q33" s="61">
        <x:f t="shared" si="9"/>
        <x:v>0</x:v>
      </x:c>
      <x:c r="R33" s="61">
        <x:f t="shared" si="10"/>
        <x:v>0</x:v>
      </x:c>
      <x:c r="S33" s="61"/>
    </x:row>
  </x:sheetData>
  <x:mergeCells count="6">
    <x:mergeCell ref="B9:V9"/>
    <x:mergeCell ref="B1:T1"/>
    <x:mergeCell ref="B2:T2"/>
    <x:mergeCell ref="B3:T3"/>
    <x:mergeCell ref="B4:T4"/>
    <x:mergeCell ref="B6:T6"/>
  </x:mergeCells>
  <x:pageMargins left="0.75" right="0.75" top="1" bottom="1" header="0.5" footer="0.5"/>
  <x:pageSetup scale="56" firstPageNumber="3" orientation="portrait" r:id="rId1"/>
  <x:headerFooter alignWithMargins="0">
    <x:oddHeader>&amp;RSchedule II-H-5.1
Page &amp;P of  25</x:oddHeader>
  </x:headerFooter>
</x:worksheet>
</file>

<file path=xl/worksheets/sheet2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600-000000000000}" mc:Ignorable="x14ac xr xr2 xr3">
  <x:sheetPr>
    <x:pageSetUpPr fitToPage="1"/>
  </x:sheetPr>
  <x:dimension ref="A1:AJ33"/>
  <x:sheetViews>
    <x:sheetView zoomScaleNormal="100" workbookViewId="0"/>
  </x:sheetViews>
  <x:sheetFormatPr defaultColWidth="8.88671875" defaultRowHeight="13.2" x14ac:dyDescent="0.25"/>
  <x:cols>
    <x:col min="1" max="1" width="9.109375" style="59" customWidth="1"/>
    <x:col min="2" max="2" width="15.77734375" style="60" bestFit="1" customWidth="1"/>
    <x:col min="3" max="6" width="5.44140625" style="59" bestFit="1" customWidth="1"/>
    <x:col min="7" max="7" width="10.6640625" style="59" bestFit="1" customWidth="1"/>
    <x:col min="8" max="14" width="6.88671875" style="59" bestFit="1" customWidth="1"/>
    <x:col min="15" max="23" width="7" style="59" bestFit="1" customWidth="1"/>
    <x:col min="24" max="29" width="11.44140625" style="59" customWidth="1"/>
    <x:col min="30" max="16384" width="8.88671875" style="59"/>
  </x:cols>
  <x:sheetData>
    <x:row r="1" spans="1:29" s="66" customFormat="1" ht="15.6" x14ac:dyDescent="0.3">
      <x:c r="B1" s="88" t="str">
        <x:f>+Base45h!B1</x:f>
        <x:v xml:space="preserve">PUC DOCKET NO. </x:v>
      </x:c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  <x:c r="P1" s="92"/>
      <x:c r="Q1" s="92"/>
      <x:c r="R1" s="92"/>
      <x:c r="S1" s="92"/>
      <x:c r="T1" s="92"/>
      <x:c r="U1" s="60"/>
      <x:c r="V1" s="60"/>
      <x:c r="W1" s="60"/>
      <x:c r="X1" s="60"/>
      <x:c r="Y1" s="60"/>
      <x:c r="Z1" s="60"/>
      <x:c r="AA1" s="60"/>
      <x:c r="AB1" s="60"/>
      <x:c r="AC1" s="60"/>
    </x:row>
    <x:row r="2" spans="1:29" s="66" customFormat="1" ht="15.6" x14ac:dyDescent="0.3">
      <x:c r="B2" s="88" t="str">
        <x:f>+Base45h!B2</x:f>
        <x:v>ONCOR ELECTRIC DELIVERY COMPANY LLC</x:v>
      </x:c>
      <x:c r="C2" s="92"/>
      <x:c r="D2" s="92"/>
      <x:c r="E2" s="92"/>
      <x:c r="F2" s="92"/>
      <x:c r="G2" s="92"/>
      <x:c r="H2" s="92"/>
      <x:c r="I2" s="92"/>
      <x:c r="J2" s="92"/>
      <x:c r="K2" s="92"/>
      <x:c r="L2" s="92"/>
      <x:c r="M2" s="92"/>
      <x:c r="N2" s="92"/>
      <x:c r="O2" s="92"/>
      <x:c r="P2" s="92"/>
      <x:c r="Q2" s="92"/>
      <x:c r="R2" s="92"/>
      <x:c r="S2" s="92"/>
      <x:c r="T2" s="92"/>
      <x:c r="U2" s="60"/>
      <x:c r="V2" s="60"/>
      <x:c r="W2" s="60"/>
      <x:c r="X2" s="60"/>
      <x:c r="Y2" s="60"/>
      <x:c r="Z2" s="60"/>
      <x:c r="AA2" s="60"/>
      <x:c r="AB2" s="60"/>
      <x:c r="AC2" s="60"/>
    </x:row>
    <x:row r="3" spans="1:29" s="66" customFormat="1" ht="15.6" x14ac:dyDescent="0.3">
      <x:c r="B3" s="88" t="str">
        <x:f>+Base45h!B3</x:f>
        <x:v>WEATHER STATION DATA</x:v>
      </x:c>
      <x:c r="C3" s="92"/>
      <x:c r="D3" s="92"/>
      <x:c r="E3" s="92"/>
      <x:c r="F3" s="92"/>
      <x:c r="G3" s="92"/>
      <x:c r="H3" s="92"/>
      <x:c r="I3" s="92"/>
      <x:c r="J3" s="92"/>
      <x:c r="K3" s="92"/>
      <x:c r="L3" s="92"/>
      <x:c r="M3" s="92"/>
      <x:c r="N3" s="92"/>
      <x:c r="O3" s="92"/>
      <x:c r="P3" s="92"/>
      <x:c r="Q3" s="92"/>
      <x:c r="R3" s="92"/>
      <x:c r="S3" s="92"/>
      <x:c r="T3" s="92"/>
      <x:c r="U3" s="60"/>
      <x:c r="V3" s="60"/>
      <x:c r="W3" s="60"/>
      <x:c r="X3" s="60"/>
      <x:c r="Y3" s="60"/>
      <x:c r="Z3" s="60"/>
      <x:c r="AA3" s="60"/>
      <x:c r="AB3" s="60"/>
      <x:c r="AC3" s="60"/>
    </x:row>
    <x:row r="4" spans="1:29" s="66" customFormat="1" ht="15.6" x14ac:dyDescent="0.3">
      <x:c r="B4" s="88" t="str">
        <x:f>+Base45h!B4</x:f>
        <x:v>FOR THE TEST YEAR ENDING DECEMBER 31, 2024</x:v>
      </x:c>
      <x:c r="C4" s="92"/>
      <x:c r="D4" s="92"/>
      <x:c r="E4" s="92"/>
      <x:c r="F4" s="92"/>
      <x:c r="G4" s="92"/>
      <x:c r="H4" s="92"/>
      <x:c r="I4" s="92"/>
      <x:c r="J4" s="92"/>
      <x:c r="K4" s="92"/>
      <x:c r="L4" s="92"/>
      <x:c r="M4" s="92"/>
      <x:c r="N4" s="92"/>
      <x:c r="O4" s="92"/>
      <x:c r="P4" s="92"/>
      <x:c r="Q4" s="92"/>
      <x:c r="R4" s="92"/>
      <x:c r="S4" s="92"/>
      <x:c r="T4" s="92"/>
      <x:c r="U4" s="60"/>
      <x:c r="V4" s="60"/>
      <x:c r="W4" s="60"/>
      <x:c r="X4" s="60"/>
      <x:c r="Y4" s="60"/>
      <x:c r="Z4" s="60"/>
      <x:c r="AA4" s="60"/>
      <x:c r="AB4" s="60"/>
      <x:c r="AC4" s="60"/>
    </x:row>
    <x:row r="5" spans="1:29" s="66" customFormat="1" ht="11.4" x14ac:dyDescent="0.2">
      <x:c r="B5" s="1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67"/>
      <x:c r="V5" s="67"/>
      <x:c r="W5" s="67"/>
      <x:c r="X5" s="67"/>
      <x:c r="Y5" s="67"/>
      <x:c r="Z5" s="67"/>
      <x:c r="AA5" s="67"/>
      <x:c r="AB5" s="67"/>
      <x:c r="AC5" s="67"/>
    </x:row>
    <x:row r="6" spans="1:29" s="66" customFormat="1" ht="15.6" x14ac:dyDescent="0.3">
      <x:c r="B6" s="88" t="str">
        <x:f>+Base45h!B6</x:f>
        <x:v>SPONSOR: D. E. NELSON</x:v>
      </x:c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60"/>
      <x:c r="V6" s="60"/>
      <x:c r="W6" s="60"/>
      <x:c r="X6" s="60"/>
      <x:c r="Y6" s="60"/>
      <x:c r="Z6" s="60"/>
      <x:c r="AA6" s="60"/>
      <x:c r="AB6" s="60"/>
      <x:c r="AC6" s="60"/>
    </x:row>
    <x:row r="7" spans="1:29" ht="24" thickBot="1" x14ac:dyDescent="0.3">
      <x:c r="A7" s="65" t="s">
        <x:v>4</x:v>
      </x:c>
    </x:row>
    <x:row r="9" spans="1:29" x14ac:dyDescent="0.25">
      <x:c r="A9" s="59">
        <x:v>1</x:v>
      </x:c>
      <x:c r="B9" s="93" t="s">
        <x:v>108</x:v>
      </x:c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</x:row>
    <x:row r="10" spans="1:29" s="64" customFormat="1" x14ac:dyDescent="0.25">
      <x:c r="A10" s="59">
        <x:f t="shared" ref="A10:A33" si="0">+A9+1</x:f>
        <x:v>2</x:v>
      </x:c>
      <x:c r="B10" s="64" t="s">
        <x:v>68</x:v>
      </x:c>
      <x:c r="C10" s="64" t="s">
        <x:v>29</x:v>
      </x:c>
      <x:c r="D10" s="64" t="s">
        <x:v>30</x:v>
      </x:c>
      <x:c r="E10" s="64" t="s">
        <x:v>31</x:v>
      </x:c>
      <x:c r="F10" s="64" t="s">
        <x:v>32</x:v>
      </x:c>
      <x:c r="G10" s="64" t="s">
        <x:v>33</x:v>
      </x:c>
      <x:c r="H10" s="64" t="s">
        <x:v>34</x:v>
      </x:c>
      <x:c r="I10" s="64" t="s">
        <x:v>35</x:v>
      </x:c>
      <x:c r="J10" s="64" t="s">
        <x:v>36</x:v>
      </x:c>
      <x:c r="K10" s="64" t="s">
        <x:v>37</x:v>
      </x:c>
      <x:c r="L10" s="64" t="s">
        <x:v>38</x:v>
      </x:c>
      <x:c r="M10" s="64" t="s">
        <x:v>39</x:v>
      </x:c>
      <x:c r="N10" s="64" t="s">
        <x:v>40</x:v>
      </x:c>
      <x:c r="O10" s="64" t="s">
        <x:v>41</x:v>
      </x:c>
      <x:c r="P10" s="64" t="s">
        <x:v>42</x:v>
      </x:c>
      <x:c r="Q10" s="64" t="s">
        <x:v>43</x:v>
      </x:c>
      <x:c r="R10" s="64" t="s">
        <x:v>44</x:v>
      </x:c>
      <x:c r="S10" s="64" t="s">
        <x:v>45</x:v>
      </x:c>
      <x:c r="T10" s="64" t="s">
        <x:v>46</x:v>
      </x:c>
      <x:c r="U10" s="64" t="s">
        <x:v>47</x:v>
      </x:c>
      <x:c r="V10" s="64" t="s">
        <x:v>48</x:v>
      </x:c>
    </x:row>
    <x:row r="11" spans="1:29" x14ac:dyDescent="0.25">
      <x:c r="A11" s="59">
        <x:f t="shared" si="0"/>
        <x:v>3</x:v>
      </x:c>
      <x:c r="B11" s="62" t="s">
        <x:v>27</x:v>
      </x:c>
      <x:c r="C11" s="87">
        <x:v>82</x:v>
      </x:c>
      <x:c r="D11" s="59">
        <x:v>81</x:v>
      </x:c>
      <x:c r="E11" s="59">
        <x:v>80</x:v>
      </x:c>
      <x:c r="F11" s="59">
        <x:v>78</x:v>
      </x:c>
      <x:c r="G11" s="59">
        <x:v>77</x:v>
      </x:c>
      <x:c r="H11" s="59">
        <x:v>76</x:v>
      </x:c>
      <x:c r="I11" s="59">
        <x:v>76</x:v>
      </x:c>
      <x:c r="J11" s="59">
        <x:v>77</x:v>
      </x:c>
      <x:c r="K11" s="59">
        <x:v>81</x:v>
      </x:c>
      <x:c r="L11" s="59">
        <x:v>84</x:v>
      </x:c>
      <x:c r="M11" s="59">
        <x:v>87</x:v>
      </x:c>
      <x:c r="N11" s="59">
        <x:v>90</x:v>
      </x:c>
      <x:c r="O11" s="59">
        <x:v>92</x:v>
      </x:c>
      <x:c r="P11" s="59">
        <x:v>94</x:v>
      </x:c>
      <x:c r="Q11" s="59">
        <x:v>96</x:v>
      </x:c>
      <x:c r="R11" s="59">
        <x:v>98</x:v>
      </x:c>
      <x:c r="S11" s="59">
        <x:v>99</x:v>
      </x:c>
      <x:c r="T11" s="59">
        <x:v>99</x:v>
      </x:c>
      <x:c r="U11" s="59">
        <x:v>97</x:v>
      </x:c>
      <x:c r="V11" s="59">
        <x:v>96</x:v>
      </x:c>
    </x:row>
    <x:row r="12" spans="1:29" x14ac:dyDescent="0.25">
      <x:c r="A12" s="59">
        <x:f t="shared" si="0"/>
        <x:v>4</x:v>
      </x:c>
      <x:c r="B12" s="62" t="s">
        <x:v>65</x:v>
      </x:c>
      <x:c r="C12" s="87">
        <x:v>75</x:v>
      </x:c>
      <x:c r="D12" s="59">
        <x:v>73</x:v>
      </x:c>
      <x:c r="E12" s="59">
        <x:v>75</x:v>
      </x:c>
      <x:c r="F12" s="59">
        <x:v>76</x:v>
      </x:c>
      <x:c r="G12" s="59">
        <x:v>76</x:v>
      </x:c>
      <x:c r="H12" s="59">
        <x:v>76</x:v>
      </x:c>
      <x:c r="I12" s="59">
        <x:v>76</x:v>
      </x:c>
      <x:c r="J12" s="59">
        <x:v>77</x:v>
      </x:c>
      <x:c r="K12" s="59">
        <x:v>79</x:v>
      </x:c>
      <x:c r="L12" s="59">
        <x:v>80</x:v>
      </x:c>
      <x:c r="M12" s="59">
        <x:v>81</x:v>
      </x:c>
      <x:c r="N12" s="59">
        <x:v>84</x:v>
      </x:c>
      <x:c r="O12" s="59">
        <x:v>87</x:v>
      </x:c>
      <x:c r="P12" s="59">
        <x:v>88</x:v>
      </x:c>
      <x:c r="Q12" s="59">
        <x:v>89</x:v>
      </x:c>
      <x:c r="R12" s="59">
        <x:v>90</x:v>
      </x:c>
      <x:c r="S12" s="59">
        <x:v>91</x:v>
      </x:c>
      <x:c r="T12" s="59">
        <x:v>90</x:v>
      </x:c>
      <x:c r="U12" s="59">
        <x:v>89</x:v>
      </x:c>
      <x:c r="V12" s="59">
        <x:v>86</x:v>
      </x:c>
    </x:row>
    <x:row r="13" spans="1:29" x14ac:dyDescent="0.25">
      <x:c r="A13" s="59">
        <x:f t="shared" si="0"/>
        <x:v>5</x:v>
      </x:c>
      <x:c r="B13" s="62" t="s">
        <x:v>66</x:v>
      </x:c>
      <x:c r="C13" s="87">
        <x:v>81</x:v>
      </x:c>
      <x:c r="D13" s="59">
        <x:v>80</x:v>
      </x:c>
      <x:c r="E13" s="59">
        <x:v>80</x:v>
      </x:c>
      <x:c r="F13" s="59">
        <x:v>78</x:v>
      </x:c>
      <x:c r="G13" s="59">
        <x:v>78</x:v>
      </x:c>
      <x:c r="H13" s="59">
        <x:v>78</x:v>
      </x:c>
      <x:c r="I13" s="59">
        <x:v>77</x:v>
      </x:c>
      <x:c r="J13" s="59">
        <x:v>79</x:v>
      </x:c>
      <x:c r="K13" s="59">
        <x:v>82</x:v>
      </x:c>
      <x:c r="L13" s="59">
        <x:v>85</x:v>
      </x:c>
      <x:c r="M13" s="59">
        <x:v>88</x:v>
      </x:c>
      <x:c r="N13" s="59">
        <x:v>91</x:v>
      </x:c>
      <x:c r="O13" s="59">
        <x:v>93</x:v>
      </x:c>
      <x:c r="P13" s="59">
        <x:v>95</x:v>
      </x:c>
      <x:c r="Q13" s="59">
        <x:v>97</x:v>
      </x:c>
      <x:c r="R13" s="59">
        <x:v>97</x:v>
      </x:c>
      <x:c r="S13" s="59">
        <x:v>98</x:v>
      </x:c>
      <x:c r="T13" s="59">
        <x:v>97</x:v>
      </x:c>
      <x:c r="U13" s="59">
        <x:v>96</x:v>
      </x:c>
      <x:c r="V13" s="59">
        <x:v>94</x:v>
      </x:c>
    </x:row>
    <x:row r="14" spans="1:29" x14ac:dyDescent="0.25">
      <x:c r="A14" s="59">
        <x:f t="shared" si="0"/>
        <x:v>6</x:v>
      </x:c>
      <x:c r="B14" s="62" t="s">
        <x:v>67</x:v>
      </x:c>
      <x:c r="C14" s="87">
        <x:v>76</x:v>
      </x:c>
      <x:c r="D14" s="59">
        <x:v>76</x:v>
      </x:c>
      <x:c r="E14" s="59">
        <x:v>75</x:v>
      </x:c>
      <x:c r="F14" s="59">
        <x:v>75</x:v>
      </x:c>
      <x:c r="G14" s="59">
        <x:v>75</x:v>
      </x:c>
      <x:c r="H14" s="59">
        <x:v>75</x:v>
      </x:c>
      <x:c r="I14" s="59">
        <x:v>74</x:v>
      </x:c>
      <x:c r="J14" s="59">
        <x:v>76</x:v>
      </x:c>
      <x:c r="K14" s="59">
        <x:v>81</x:v>
      </x:c>
      <x:c r="L14" s="59">
        <x:v>84</x:v>
      </x:c>
      <x:c r="M14" s="59">
        <x:v>87</x:v>
      </x:c>
      <x:c r="N14" s="59">
        <x:v>90</x:v>
      </x:c>
      <x:c r="O14" s="59">
        <x:v>92</x:v>
      </x:c>
      <x:c r="P14" s="59">
        <x:v>94</x:v>
      </x:c>
      <x:c r="Q14" s="59">
        <x:v>95</x:v>
      </x:c>
      <x:c r="R14" s="59">
        <x:v>95</x:v>
      </x:c>
      <x:c r="S14" s="59">
        <x:v>95</x:v>
      </x:c>
      <x:c r="T14" s="59">
        <x:v>94</x:v>
      </x:c>
      <x:c r="U14" s="59">
        <x:v>92</x:v>
      </x:c>
      <x:c r="V14" s="59">
        <x:v>89</x:v>
      </x:c>
    </x:row>
    <x:row r="15" spans="1:29" x14ac:dyDescent="0.25">
      <x:c r="A15" s="59">
        <x:f t="shared" si="0"/>
        <x:v>7</x:v>
      </x:c>
      <x:c r="B15" s="62" t="s">
        <x:v>69</x:v>
      </x:c>
      <x:c r="C15" s="87">
        <x:v>75</x:v>
      </x:c>
      <x:c r="D15" s="59">
        <x:v>74</x:v>
      </x:c>
      <x:c r="E15" s="59">
        <x:v>73</x:v>
      </x:c>
      <x:c r="F15" s="59">
        <x:v>74</x:v>
      </x:c>
      <x:c r="G15" s="59">
        <x:v>74</x:v>
      </x:c>
      <x:c r="H15" s="59">
        <x:v>73</x:v>
      </x:c>
      <x:c r="I15" s="59">
        <x:v>74</x:v>
      </x:c>
      <x:c r="J15" s="59">
        <x:v>76</x:v>
      </x:c>
      <x:c r="K15" s="59">
        <x:v>81</x:v>
      </x:c>
      <x:c r="L15" s="59">
        <x:v>83</x:v>
      </x:c>
      <x:c r="M15" s="59">
        <x:v>86</x:v>
      </x:c>
      <x:c r="N15" s="59">
        <x:v>87</x:v>
      </x:c>
      <x:c r="O15" s="59">
        <x:v>89</x:v>
      </x:c>
      <x:c r="P15" s="59">
        <x:v>90</x:v>
      </x:c>
      <x:c r="Q15" s="59">
        <x:v>92</x:v>
      </x:c>
      <x:c r="R15" s="59">
        <x:v>93</x:v>
      </x:c>
      <x:c r="S15" s="59">
        <x:v>93</x:v>
      </x:c>
      <x:c r="T15" s="59">
        <x:v>92</x:v>
      </x:c>
      <x:c r="U15" s="59">
        <x:v>90</x:v>
      </x:c>
      <x:c r="V15" s="59">
        <x:v>88</x:v>
      </x:c>
    </x:row>
    <x:row r="16" spans="1:29" x14ac:dyDescent="0.25">
      <x:c r="A16" s="59">
        <x:f t="shared" si="0"/>
        <x:v>8</x:v>
      </x:c>
      <x:c r="B16" s="62" t="s">
        <x:v>70</x:v>
      </x:c>
      <x:c r="C16" s="87">
        <x:v>75</x:v>
      </x:c>
      <x:c r="D16" s="59">
        <x:v>74</x:v>
      </x:c>
      <x:c r="E16" s="59">
        <x:v>73</x:v>
      </x:c>
      <x:c r="F16" s="59">
        <x:v>73</x:v>
      </x:c>
      <x:c r="G16" s="59">
        <x:v>73</x:v>
      </x:c>
      <x:c r="H16" s="59">
        <x:v>73</x:v>
      </x:c>
      <x:c r="I16" s="59">
        <x:v>73</x:v>
      </x:c>
      <x:c r="J16" s="59">
        <x:v>75</x:v>
      </x:c>
      <x:c r="K16" s="59">
        <x:v>77</x:v>
      </x:c>
      <x:c r="L16" s="59">
        <x:v>80</x:v>
      </x:c>
      <x:c r="M16" s="59">
        <x:v>85</x:v>
      </x:c>
      <x:c r="N16" s="59">
        <x:v>85</x:v>
      </x:c>
      <x:c r="O16" s="59">
        <x:v>86</x:v>
      </x:c>
      <x:c r="P16" s="59">
        <x:v>90</x:v>
      </x:c>
      <x:c r="Q16" s="59">
        <x:v>89</x:v>
      </x:c>
      <x:c r="R16" s="59">
        <x:v>81</x:v>
      </x:c>
      <x:c r="S16" s="59">
        <x:v>89</x:v>
      </x:c>
      <x:c r="T16" s="59">
        <x:v>89</x:v>
      </x:c>
      <x:c r="U16" s="59">
        <x:v>88</x:v>
      </x:c>
      <x:c r="V16" s="59">
        <x:v>85</x:v>
      </x:c>
    </x:row>
    <x:row r="17" spans="1:36" x14ac:dyDescent="0.25">
      <x:c r="A17" s="59">
        <x:f t="shared" si="0"/>
        <x:v>9</x:v>
      </x:c>
      <x:c r="B17" s="62" t="s">
        <x:v>71</x:v>
      </x:c>
      <x:c r="C17" s="87">
        <x:v>76</x:v>
      </x:c>
      <x:c r="D17" s="59">
        <x:v>75</x:v>
      </x:c>
      <x:c r="E17" s="59">
        <x:v>74</x:v>
      </x:c>
      <x:c r="F17" s="59">
        <x:v>74</x:v>
      </x:c>
      <x:c r="G17" s="59">
        <x:v>73</x:v>
      </x:c>
      <x:c r="H17" s="59">
        <x:v>72</x:v>
      </x:c>
      <x:c r="I17" s="59">
        <x:v>72</x:v>
      </x:c>
      <x:c r="J17" s="59">
        <x:v>73</x:v>
      </x:c>
      <x:c r="K17" s="59">
        <x:v>75</x:v>
      </x:c>
      <x:c r="L17" s="59">
        <x:v>78</x:v>
      </x:c>
      <x:c r="M17" s="59">
        <x:v>82</x:v>
      </x:c>
      <x:c r="N17" s="59">
        <x:v>85</x:v>
      </x:c>
      <x:c r="O17" s="59">
        <x:v>87</x:v>
      </x:c>
      <x:c r="P17" s="59">
        <x:v>89</x:v>
      </x:c>
      <x:c r="Q17" s="59">
        <x:v>91</x:v>
      </x:c>
      <x:c r="R17" s="59">
        <x:v>93</x:v>
      </x:c>
      <x:c r="S17" s="59">
        <x:v>95</x:v>
      </x:c>
      <x:c r="T17" s="59">
        <x:v>94</x:v>
      </x:c>
      <x:c r="U17" s="59">
        <x:v>93</x:v>
      </x:c>
      <x:c r="V17" s="59">
        <x:v>90</x:v>
      </x:c>
    </x:row>
    <x:row r="18" spans="1:36" x14ac:dyDescent="0.25">
      <x:c r="A18" s="59">
        <x:f t="shared" si="0"/>
        <x:v>10</x:v>
      </x:c>
      <x:c r="B18" s="62" t="s">
        <x:v>74</x:v>
      </x:c>
      <x:c r="C18" s="87">
        <x:v>81</x:v>
      </x:c>
      <x:c r="D18" s="59">
        <x:v>79</x:v>
      </x:c>
      <x:c r="E18" s="59">
        <x:v>77</x:v>
      </x:c>
      <x:c r="F18" s="59">
        <x:v>76</x:v>
      </x:c>
      <x:c r="G18" s="59">
        <x:v>76</x:v>
      </x:c>
      <x:c r="H18" s="59">
        <x:v>75</x:v>
      </x:c>
      <x:c r="I18" s="59">
        <x:v>77</x:v>
      </x:c>
      <x:c r="J18" s="59">
        <x:v>79</x:v>
      </x:c>
      <x:c r="K18" s="59">
        <x:v>82</x:v>
      </x:c>
      <x:c r="L18" s="59">
        <x:v>86</x:v>
      </x:c>
      <x:c r="M18" s="59">
        <x:v>90</x:v>
      </x:c>
      <x:c r="N18" s="59">
        <x:v>90</x:v>
      </x:c>
      <x:c r="O18" s="59">
        <x:v>91</x:v>
      </x:c>
      <x:c r="P18" s="59">
        <x:v>95</x:v>
      </x:c>
      <x:c r="Q18" s="59">
        <x:v>95</x:v>
      </x:c>
      <x:c r="R18" s="59">
        <x:v>95</x:v>
      </x:c>
      <x:c r="S18" s="59">
        <x:v>97</x:v>
      </x:c>
      <x:c r="T18" s="59">
        <x:v>97</x:v>
      </x:c>
      <x:c r="U18" s="59">
        <x:v>95</x:v>
      </x:c>
      <x:c r="V18" s="59">
        <x:v>93</x:v>
      </x:c>
    </x:row>
    <x:row r="19" spans="1:36" x14ac:dyDescent="0.25">
      <x:c r="A19" s="59">
        <x:f t="shared" si="0"/>
        <x:v>11</x:v>
      </x:c>
      <x:c r="B19" s="62" t="s">
        <x:v>72</x:v>
      </x:c>
      <x:c r="C19" s="87">
        <x:v>77</x:v>
      </x:c>
      <x:c r="D19" s="59">
        <x:v>76</x:v>
      </x:c>
      <x:c r="E19" s="59">
        <x:v>76</x:v>
      </x:c>
      <x:c r="F19" s="59">
        <x:v>75</x:v>
      </x:c>
      <x:c r="G19" s="59">
        <x:v>75</x:v>
      </x:c>
      <x:c r="H19" s="59">
        <x:v>74</x:v>
      </x:c>
      <x:c r="I19" s="59">
        <x:v>76</x:v>
      </x:c>
      <x:c r="J19" s="59">
        <x:v>78</x:v>
      </x:c>
      <x:c r="K19" s="59">
        <x:v>80</x:v>
      </x:c>
      <x:c r="L19" s="59">
        <x:v>84</x:v>
      </x:c>
      <x:c r="M19" s="59">
        <x:v>87</x:v>
      </x:c>
      <x:c r="N19" s="59">
        <x:v>91</x:v>
      </x:c>
      <x:c r="O19" s="59">
        <x:v>93</x:v>
      </x:c>
      <x:c r="P19" s="59">
        <x:v>95</x:v>
      </x:c>
      <x:c r="Q19" s="59">
        <x:v>96</x:v>
      </x:c>
      <x:c r="R19" s="59">
        <x:v>97</x:v>
      </x:c>
      <x:c r="S19" s="59">
        <x:v>96</x:v>
      </x:c>
      <x:c r="T19" s="59">
        <x:v>95</x:v>
      </x:c>
      <x:c r="U19" s="59">
        <x:v>92</x:v>
      </x:c>
      <x:c r="V19" s="59">
        <x:v>90</x:v>
      </x:c>
    </x:row>
    <x:row r="20" spans="1:36" x14ac:dyDescent="0.25">
      <x:c r="A20" s="59">
        <x:f t="shared" si="0"/>
        <x:v>12</x:v>
      </x:c>
      <x:c r="B20" s="62" t="s">
        <x:v>73</x:v>
      </x:c>
      <x:c r="C20" s="87">
        <x:v>81</x:v>
      </x:c>
      <x:c r="D20" s="59">
        <x:v>79</x:v>
      </x:c>
      <x:c r="E20" s="59">
        <x:v>77</x:v>
      </x:c>
      <x:c r="F20" s="59">
        <x:v>78</x:v>
      </x:c>
      <x:c r="G20" s="59">
        <x:v>76</x:v>
      </x:c>
      <x:c r="H20" s="59">
        <x:v>76</x:v>
      </x:c>
      <x:c r="I20" s="59">
        <x:v>76</x:v>
      </x:c>
      <x:c r="J20" s="59">
        <x:v>78</x:v>
      </x:c>
      <x:c r="K20" s="59">
        <x:v>81</x:v>
      </x:c>
      <x:c r="L20" s="59">
        <x:v>86</x:v>
      </x:c>
      <x:c r="M20" s="59">
        <x:v>89</x:v>
      </x:c>
      <x:c r="N20" s="59">
        <x:v>91</x:v>
      </x:c>
      <x:c r="O20" s="59">
        <x:v>93</x:v>
      </x:c>
      <x:c r="P20" s="59">
        <x:v>95</x:v>
      </x:c>
      <x:c r="Q20" s="59">
        <x:v>97</x:v>
      </x:c>
      <x:c r="R20" s="59">
        <x:v>97</x:v>
      </x:c>
      <x:c r="S20" s="59">
        <x:v>98</x:v>
      </x:c>
      <x:c r="T20" s="59">
        <x:v>98</x:v>
      </x:c>
      <x:c r="U20" s="59">
        <x:v>97</x:v>
      </x:c>
      <x:c r="V20" s="59">
        <x:v>94</x:v>
      </x:c>
    </x:row>
    <x:row r="21" spans="1:36" x14ac:dyDescent="0.25">
      <x:c r="A21" s="59">
        <x:f t="shared" si="0"/>
        <x:v>13</x:v>
      </x:c>
    </x:row>
    <x:row r="22" spans="1:36" x14ac:dyDescent="0.25">
      <x:c r="A22" s="59">
        <x:f t="shared" si="0"/>
        <x:v>14</x:v>
      </x:c>
    </x:row>
    <x:row r="23" spans="1:36" x14ac:dyDescent="0.25">
      <x:c r="A23" s="59">
        <x:f t="shared" si="0"/>
        <x:v>15</x:v>
      </x:c>
      <x:c r="B23" s="64" t="s">
        <x:v>68</x:v>
      </x:c>
      <x:c r="C23" s="64" t="s">
        <x:v>49</x:v>
      </x:c>
      <x:c r="D23" s="64" t="s">
        <x:v>50</x:v>
      </x:c>
      <x:c r="E23" s="64" t="s">
        <x:v>51</x:v>
      </x:c>
      <x:c r="F23" s="64" t="s">
        <x:v>52</x:v>
      </x:c>
      <x:c r="G23" s="64" t="s">
        <x:v>53</x:v>
      </x:c>
      <x:c r="H23" s="64" t="s">
        <x:v>60</x:v>
      </x:c>
      <x:c r="I23" s="64" t="s">
        <x:v>102</x:v>
      </x:c>
      <x:c r="J23" s="64" t="s">
        <x:v>61</x:v>
      </x:c>
      <x:c r="K23" s="83" t="s">
        <x:v>106</x:v>
      </x:c>
      <x:c r="L23" s="83" t="s">
        <x:v>88</x:v>
      </x:c>
      <x:c r="M23" s="83" t="s">
        <x:v>107</x:v>
      </x:c>
      <x:c r="N23" s="83" t="s">
        <x:v>98</x:v>
      </x:c>
      <x:c r="O23" s="63" t="s">
        <x:v>62</x:v>
      </x:c>
      <x:c r="P23" s="63" t="s">
        <x:v>63</x:v>
      </x:c>
      <x:c r="Q23" s="63" t="s">
        <x:v>64</x:v>
      </x:c>
      <x:c r="R23" s="63" t="s">
        <x:v>89</x:v>
      </x:c>
      <x:c r="S23" s="63"/>
    </x:row>
    <x:row r="24" spans="1:36" x14ac:dyDescent="0.25">
      <x:c r="A24" s="59">
        <x:f t="shared" si="0"/>
        <x:v>16</x:v>
      </x:c>
      <x:c r="B24" s="62" t="s">
        <x:v>27</x:v>
      </x:c>
      <x:c r="C24" s="59">
        <x:v>93</x:v>
      </x:c>
      <x:c r="D24" s="59">
        <x:v>90</x:v>
      </x:c>
      <x:c r="E24" s="59">
        <x:v>89</x:v>
      </x:c>
      <x:c r="F24" s="59">
        <x:v>86</x:v>
      </x:c>
      <x:c r="G24" s="61">
        <x:f t="shared" ref="G24:G33" si="1">ROUND(AVERAGE(C11:V11,C24:F24),1)</x:f>
        <x:v>87.4</x:v>
      </x:c>
      <x:c r="H24" s="61">
        <x:f t="shared" ref="H24:H33" si="2">MAX(45-$G24,0)</x:f>
        <x:v>0</x:v>
      </x:c>
      <x:c r="I24" s="61">
        <x:f t="shared" ref="I24:I33" si="3">MAX(55-$G24,0)</x:f>
        <x:v>0</x:v>
      </x:c>
      <x:c r="J24" s="61">
        <x:f t="shared" ref="J24:J33" si="4">MAX(60-$G24,0)</x:f>
        <x:v>0</x:v>
      </x:c>
      <x:c r="K24" s="61">
        <x:f t="shared" ref="K24:K33" si="5">MAX(65-$G24,0)</x:f>
        <x:v>0</x:v>
      </x:c>
      <x:c r="L24" s="61">
        <x:f t="shared" ref="L24:L33" si="6">MAX($G24-50,0)</x:f>
        <x:v>37.400000000000006</x:v>
      </x:c>
      <x:c r="M24" s="61">
        <x:f t="shared" ref="M24:M33" si="7">MAX($G24-55,0)</x:f>
        <x:v>32.400000000000006</x:v>
      </x:c>
      <x:c r="N24" s="61">
        <x:f t="shared" ref="N24:N33" si="8">MAX($G24-60,0)</x:f>
        <x:v>27.400000000000006</x:v>
      </x:c>
      <x:c r="O24" s="61">
        <x:f t="shared" ref="O24:O33" si="9">MAX($G24-65,0)</x:f>
        <x:v>22.400000000000006</x:v>
      </x:c>
      <x:c r="P24" s="61">
        <x:f t="shared" ref="P24:P33" si="10">MAX($G24-70,0)</x:f>
        <x:v>17.400000000000006</x:v>
      </x:c>
      <x:c r="Q24" s="61">
        <x:f t="shared" ref="Q24:Q33" si="11">MAX($G24-75,0)</x:f>
        <x:v>12.400000000000006</x:v>
      </x:c>
      <x:c r="R24" s="61">
        <x:f t="shared" ref="R24:R33" si="12">MAX($G24-80,0)</x:f>
        <x:v>7.4000000000000057</x:v>
      </x:c>
      <x:c r="S24" s="61"/>
      <x:c r="T24" s="61"/>
      <x:c r="U24" s="61"/>
      <x:c r="V24" s="61"/>
      <x:c r="W24" s="61"/>
      <x:c r="X24" s="61"/>
      <x:c r="Y24" s="61"/>
      <x:c r="Z24" s="61"/>
      <x:c r="AA24" s="61"/>
      <x:c r="AB24" s="61"/>
      <x:c r="AC24" s="61"/>
      <x:c r="AD24" s="61"/>
      <x:c r="AJ24" s="61"/>
    </x:row>
    <x:row r="25" spans="1:36" x14ac:dyDescent="0.25">
      <x:c r="A25" s="59">
        <x:f t="shared" si="0"/>
        <x:v>17</x:v>
      </x:c>
      <x:c r="B25" s="62" t="s">
        <x:v>65</x:v>
      </x:c>
      <x:c r="C25" s="59">
        <x:v>80</x:v>
      </x:c>
      <x:c r="D25" s="59">
        <x:v>79</x:v>
      </x:c>
      <x:c r="E25" s="59">
        <x:v>79</x:v>
      </x:c>
      <x:c r="F25" s="59">
        <x:v>77</x:v>
      </x:c>
      <x:c r="G25" s="61">
        <x:f t="shared" si="1"/>
        <x:v>81.400000000000006</x:v>
      </x:c>
      <x:c r="H25" s="61">
        <x:f t="shared" si="2"/>
        <x:v>0</x:v>
      </x:c>
      <x:c r="I25" s="61">
        <x:f t="shared" si="3"/>
        <x:v>0</x:v>
      </x:c>
      <x:c r="J25" s="61">
        <x:f t="shared" si="4"/>
        <x:v>0</x:v>
      </x:c>
      <x:c r="K25" s="61">
        <x:f t="shared" si="5"/>
        <x:v>0</x:v>
      </x:c>
      <x:c r="L25" s="61">
        <x:f t="shared" si="6"/>
        <x:v>31.400000000000006</x:v>
      </x:c>
      <x:c r="M25" s="61">
        <x:f t="shared" si="7"/>
        <x:v>26.400000000000006</x:v>
      </x:c>
      <x:c r="N25" s="61">
        <x:f t="shared" si="8"/>
        <x:v>21.400000000000006</x:v>
      </x:c>
      <x:c r="O25" s="61">
        <x:f t="shared" si="9"/>
        <x:v>16.400000000000006</x:v>
      </x:c>
      <x:c r="P25" s="61">
        <x:f t="shared" si="10"/>
        <x:v>11.400000000000006</x:v>
      </x:c>
      <x:c r="Q25" s="61">
        <x:f t="shared" si="11"/>
        <x:v>6.4000000000000057</x:v>
      </x:c>
      <x:c r="R25" s="61">
        <x:f t="shared" si="12"/>
        <x:v>1.4000000000000057</x:v>
      </x:c>
      <x:c r="S25" s="61"/>
    </x:row>
    <x:row r="26" spans="1:36" x14ac:dyDescent="0.25">
      <x:c r="A26" s="59">
        <x:f t="shared" si="0"/>
        <x:v>18</x:v>
      </x:c>
      <x:c r="B26" s="62" t="s">
        <x:v>66</x:v>
      </x:c>
      <x:c r="C26" s="59">
        <x:v>92</x:v>
      </x:c>
      <x:c r="D26" s="59">
        <x:v>90</x:v>
      </x:c>
      <x:c r="E26" s="59">
        <x:v>88</x:v>
      </x:c>
      <x:c r="F26" s="59">
        <x:v>86</x:v>
      </x:c>
      <x:c r="G26" s="61">
        <x:f t="shared" si="1"/>
        <x:v>87.5</x:v>
      </x:c>
      <x:c r="H26" s="61">
        <x:f t="shared" si="2"/>
        <x:v>0</x:v>
      </x:c>
      <x:c r="I26" s="61">
        <x:f t="shared" si="3"/>
        <x:v>0</x:v>
      </x:c>
      <x:c r="J26" s="61">
        <x:f t="shared" si="4"/>
        <x:v>0</x:v>
      </x:c>
      <x:c r="K26" s="61">
        <x:f t="shared" si="5"/>
        <x:v>0</x:v>
      </x:c>
      <x:c r="L26" s="61">
        <x:f t="shared" si="6"/>
        <x:v>37.5</x:v>
      </x:c>
      <x:c r="M26" s="61">
        <x:f t="shared" si="7"/>
        <x:v>32.5</x:v>
      </x:c>
      <x:c r="N26" s="61">
        <x:f t="shared" si="8"/>
        <x:v>27.5</x:v>
      </x:c>
      <x:c r="O26" s="61">
        <x:f t="shared" si="9"/>
        <x:v>22.5</x:v>
      </x:c>
      <x:c r="P26" s="61">
        <x:f t="shared" si="10"/>
        <x:v>17.5</x:v>
      </x:c>
      <x:c r="Q26" s="61">
        <x:f t="shared" si="11"/>
        <x:v>12.5</x:v>
      </x:c>
      <x:c r="R26" s="61">
        <x:f t="shared" si="12"/>
        <x:v>7.5</x:v>
      </x:c>
      <x:c r="S26" s="61"/>
    </x:row>
    <x:row r="27" spans="1:36" x14ac:dyDescent="0.25">
      <x:c r="A27" s="59">
        <x:f t="shared" si="0"/>
        <x:v>19</x:v>
      </x:c>
      <x:c r="B27" s="62" t="s">
        <x:v>67</x:v>
      </x:c>
      <x:c r="C27" s="59">
        <x:v>85</x:v>
      </x:c>
      <x:c r="D27" s="59">
        <x:v>83</x:v>
      </x:c>
      <x:c r="E27" s="59">
        <x:v>80</x:v>
      </x:c>
      <x:c r="F27" s="59">
        <x:v>79</x:v>
      </x:c>
      <x:c r="G27" s="61">
        <x:f t="shared" si="1"/>
        <x:v>84</x:v>
      </x:c>
      <x:c r="H27" s="61">
        <x:f t="shared" si="2"/>
        <x:v>0</x:v>
      </x:c>
      <x:c r="I27" s="61">
        <x:f t="shared" si="3"/>
        <x:v>0</x:v>
      </x:c>
      <x:c r="J27" s="61">
        <x:f t="shared" si="4"/>
        <x:v>0</x:v>
      </x:c>
      <x:c r="K27" s="61">
        <x:f t="shared" si="5"/>
        <x:v>0</x:v>
      </x:c>
      <x:c r="L27" s="61">
        <x:f t="shared" si="6"/>
        <x:v>34</x:v>
      </x:c>
      <x:c r="M27" s="61">
        <x:f t="shared" si="7"/>
        <x:v>29</x:v>
      </x:c>
      <x:c r="N27" s="61">
        <x:f t="shared" si="8"/>
        <x:v>24</x:v>
      </x:c>
      <x:c r="O27" s="61">
        <x:f t="shared" si="9"/>
        <x:v>19</x:v>
      </x:c>
      <x:c r="P27" s="61">
        <x:f t="shared" si="10"/>
        <x:v>14</x:v>
      </x:c>
      <x:c r="Q27" s="61">
        <x:f t="shared" si="11"/>
        <x:v>9</x:v>
      </x:c>
      <x:c r="R27" s="61">
        <x:f t="shared" si="12"/>
        <x:v>4</x:v>
      </x:c>
      <x:c r="S27" s="61"/>
    </x:row>
    <x:row r="28" spans="1:36" x14ac:dyDescent="0.25">
      <x:c r="A28" s="59">
        <x:f t="shared" si="0"/>
        <x:v>20</x:v>
      </x:c>
      <x:c r="B28" s="62" t="s">
        <x:v>69</x:v>
      </x:c>
      <x:c r="C28" s="59">
        <x:v>84</x:v>
      </x:c>
      <x:c r="D28" s="59">
        <x:v>82</x:v>
      </x:c>
      <x:c r="E28" s="59">
        <x:v>81</x:v>
      </x:c>
      <x:c r="F28" s="59">
        <x:v>80</x:v>
      </x:c>
      <x:c r="G28" s="61">
        <x:f t="shared" si="1"/>
        <x:v>82.7</x:v>
      </x:c>
      <x:c r="H28" s="61">
        <x:f t="shared" si="2"/>
        <x:v>0</x:v>
      </x:c>
      <x:c r="I28" s="61">
        <x:f t="shared" si="3"/>
        <x:v>0</x:v>
      </x:c>
      <x:c r="J28" s="61">
        <x:f t="shared" si="4"/>
        <x:v>0</x:v>
      </x:c>
      <x:c r="K28" s="61">
        <x:f t="shared" si="5"/>
        <x:v>0</x:v>
      </x:c>
      <x:c r="L28" s="61">
        <x:f t="shared" si="6"/>
        <x:v>32.700000000000003</x:v>
      </x:c>
      <x:c r="M28" s="61">
        <x:f t="shared" si="7"/>
        <x:v>27.700000000000003</x:v>
      </x:c>
      <x:c r="N28" s="61">
        <x:f t="shared" si="8"/>
        <x:v>22.700000000000003</x:v>
      </x:c>
      <x:c r="O28" s="61">
        <x:f t="shared" si="9"/>
        <x:v>17.700000000000003</x:v>
      </x:c>
      <x:c r="P28" s="61">
        <x:f t="shared" si="10"/>
        <x:v>12.700000000000003</x:v>
      </x:c>
      <x:c r="Q28" s="61">
        <x:f t="shared" si="11"/>
        <x:v>7.7000000000000028</x:v>
      </x:c>
      <x:c r="R28" s="61">
        <x:f t="shared" si="12"/>
        <x:v>2.7000000000000028</x:v>
      </x:c>
      <x:c r="S28" s="61"/>
    </x:row>
    <x:row r="29" spans="1:36" x14ac:dyDescent="0.25">
      <x:c r="A29" s="59">
        <x:f t="shared" si="0"/>
        <x:v>21</x:v>
      </x:c>
      <x:c r="B29" s="62" t="s">
        <x:v>70</x:v>
      </x:c>
      <x:c r="C29" s="59">
        <x:v>83</x:v>
      </x:c>
      <x:c r="D29" s="59">
        <x:v>80</x:v>
      </x:c>
      <x:c r="E29" s="59">
        <x:v>79</x:v>
      </x:c>
      <x:c r="F29" s="59">
        <x:v>79</x:v>
      </x:c>
      <x:c r="G29" s="61">
        <x:f t="shared" si="1"/>
        <x:v>80.599999999999994</x:v>
      </x:c>
      <x:c r="H29" s="61">
        <x:f t="shared" si="2"/>
        <x:v>0</x:v>
      </x:c>
      <x:c r="I29" s="61">
        <x:f t="shared" si="3"/>
        <x:v>0</x:v>
      </x:c>
      <x:c r="J29" s="61">
        <x:f t="shared" si="4"/>
        <x:v>0</x:v>
      </x:c>
      <x:c r="K29" s="61">
        <x:f t="shared" si="5"/>
        <x:v>0</x:v>
      </x:c>
      <x:c r="L29" s="61">
        <x:f t="shared" si="6"/>
        <x:v>30.599999999999994</x:v>
      </x:c>
      <x:c r="M29" s="61">
        <x:f t="shared" si="7"/>
        <x:v>25.599999999999994</x:v>
      </x:c>
      <x:c r="N29" s="61">
        <x:f t="shared" si="8"/>
        <x:v>20.599999999999994</x:v>
      </x:c>
      <x:c r="O29" s="61">
        <x:f t="shared" si="9"/>
        <x:v>15.599999999999994</x:v>
      </x:c>
      <x:c r="P29" s="61">
        <x:f t="shared" si="10"/>
        <x:v>10.599999999999994</x:v>
      </x:c>
      <x:c r="Q29" s="61">
        <x:f t="shared" si="11"/>
        <x:v>5.5999999999999943</x:v>
      </x:c>
      <x:c r="R29" s="61">
        <x:f t="shared" si="12"/>
        <x:v>0.59999999999999432</x:v>
      </x:c>
      <x:c r="S29" s="61"/>
    </x:row>
    <x:row r="30" spans="1:36" x14ac:dyDescent="0.25">
      <x:c r="A30" s="59">
        <x:f t="shared" si="0"/>
        <x:v>22</x:v>
      </x:c>
      <x:c r="B30" s="62" t="s">
        <x:v>71</x:v>
      </x:c>
      <x:c r="C30" s="59">
        <x:v>87</x:v>
      </x:c>
      <x:c r="D30" s="59">
        <x:v>85</x:v>
      </x:c>
      <x:c r="E30" s="59">
        <x:v>82</x:v>
      </x:c>
      <x:c r="F30" s="59">
        <x:v>81</x:v>
      </x:c>
      <x:c r="G30" s="61">
        <x:f t="shared" si="1"/>
        <x:v>82.3</x:v>
      </x:c>
      <x:c r="H30" s="61">
        <x:f t="shared" si="2"/>
        <x:v>0</x:v>
      </x:c>
      <x:c r="I30" s="61">
        <x:f t="shared" si="3"/>
        <x:v>0</x:v>
      </x:c>
      <x:c r="J30" s="61">
        <x:f t="shared" si="4"/>
        <x:v>0</x:v>
      </x:c>
      <x:c r="K30" s="61">
        <x:f t="shared" si="5"/>
        <x:v>0</x:v>
      </x:c>
      <x:c r="L30" s="61">
        <x:f t="shared" si="6"/>
        <x:v>32.299999999999997</x:v>
      </x:c>
      <x:c r="M30" s="61">
        <x:f t="shared" si="7"/>
        <x:v>27.299999999999997</x:v>
      </x:c>
      <x:c r="N30" s="61">
        <x:f t="shared" si="8"/>
        <x:v>22.299999999999997</x:v>
      </x:c>
      <x:c r="O30" s="61">
        <x:f t="shared" si="9"/>
        <x:v>17.299999999999997</x:v>
      </x:c>
      <x:c r="P30" s="61">
        <x:f t="shared" si="10"/>
        <x:v>12.299999999999997</x:v>
      </x:c>
      <x:c r="Q30" s="61">
        <x:f t="shared" si="11"/>
        <x:v>7.2999999999999972</x:v>
      </x:c>
      <x:c r="R30" s="61">
        <x:f t="shared" si="12"/>
        <x:v>2.2999999999999972</x:v>
      </x:c>
      <x:c r="S30" s="61"/>
    </x:row>
    <x:row r="31" spans="1:36" x14ac:dyDescent="0.25">
      <x:c r="A31" s="59">
        <x:f t="shared" si="0"/>
        <x:v>23</x:v>
      </x:c>
      <x:c r="B31" s="62" t="s">
        <x:v>74</x:v>
      </x:c>
      <x:c r="C31" s="59">
        <x:v>91</x:v>
      </x:c>
      <x:c r="D31" s="59">
        <x:v>90</x:v>
      </x:c>
      <x:c r="E31" s="59">
        <x:v>88</x:v>
      </x:c>
      <x:c r="F31" s="59">
        <x:v>86</x:v>
      </x:c>
      <x:c r="G31" s="61">
        <x:f t="shared" si="1"/>
        <x:v>86.7</x:v>
      </x:c>
      <x:c r="H31" s="61">
        <x:f t="shared" si="2"/>
        <x:v>0</x:v>
      </x:c>
      <x:c r="I31" s="61">
        <x:f t="shared" si="3"/>
        <x:v>0</x:v>
      </x:c>
      <x:c r="J31" s="61">
        <x:f t="shared" si="4"/>
        <x:v>0</x:v>
      </x:c>
      <x:c r="K31" s="61">
        <x:f t="shared" si="5"/>
        <x:v>0</x:v>
      </x:c>
      <x:c r="L31" s="61">
        <x:f t="shared" si="6"/>
        <x:v>36.700000000000003</x:v>
      </x:c>
      <x:c r="M31" s="61">
        <x:f t="shared" si="7"/>
        <x:v>31.700000000000003</x:v>
      </x:c>
      <x:c r="N31" s="61">
        <x:f t="shared" si="8"/>
        <x:v>26.700000000000003</x:v>
      </x:c>
      <x:c r="O31" s="61">
        <x:f t="shared" si="9"/>
        <x:v>21.700000000000003</x:v>
      </x:c>
      <x:c r="P31" s="61">
        <x:f t="shared" si="10"/>
        <x:v>16.700000000000003</x:v>
      </x:c>
      <x:c r="Q31" s="61">
        <x:f t="shared" si="11"/>
        <x:v>11.700000000000003</x:v>
      </x:c>
      <x:c r="R31" s="61">
        <x:f t="shared" si="12"/>
        <x:v>6.7000000000000028</x:v>
      </x:c>
      <x:c r="S31" s="61"/>
    </x:row>
    <x:row r="32" spans="1:36" x14ac:dyDescent="0.25">
      <x:c r="A32" s="59">
        <x:f t="shared" si="0"/>
        <x:v>24</x:v>
      </x:c>
      <x:c r="B32" s="62" t="s">
        <x:v>72</x:v>
      </x:c>
      <x:c r="C32" s="59">
        <x:v>87</x:v>
      </x:c>
      <x:c r="D32" s="59">
        <x:v>86</x:v>
      </x:c>
      <x:c r="E32" s="59">
        <x:v>84</x:v>
      </x:c>
      <x:c r="F32" s="59">
        <x:v>82</x:v>
      </x:c>
      <x:c r="G32" s="61">
        <x:f t="shared" si="1"/>
        <x:v>85.1</x:v>
      </x:c>
      <x:c r="H32" s="61">
        <x:f t="shared" si="2"/>
        <x:v>0</x:v>
      </x:c>
      <x:c r="I32" s="61">
        <x:f t="shared" si="3"/>
        <x:v>0</x:v>
      </x:c>
      <x:c r="J32" s="61">
        <x:f t="shared" si="4"/>
        <x:v>0</x:v>
      </x:c>
      <x:c r="K32" s="61">
        <x:f t="shared" si="5"/>
        <x:v>0</x:v>
      </x:c>
      <x:c r="L32" s="61">
        <x:f t="shared" si="6"/>
        <x:v>35.099999999999994</x:v>
      </x:c>
      <x:c r="M32" s="61">
        <x:f t="shared" si="7"/>
        <x:v>30.099999999999994</x:v>
      </x:c>
      <x:c r="N32" s="61">
        <x:f t="shared" si="8"/>
        <x:v>25.099999999999994</x:v>
      </x:c>
      <x:c r="O32" s="61">
        <x:f t="shared" si="9"/>
        <x:v>20.099999999999994</x:v>
      </x:c>
      <x:c r="P32" s="61">
        <x:f t="shared" si="10"/>
        <x:v>15.099999999999994</x:v>
      </x:c>
      <x:c r="Q32" s="61">
        <x:f t="shared" si="11"/>
        <x:v>10.099999999999994</x:v>
      </x:c>
      <x:c r="R32" s="61">
        <x:f t="shared" si="12"/>
        <x:v>5.0999999999999943</x:v>
      </x:c>
      <x:c r="S32" s="61"/>
    </x:row>
    <x:row r="33" spans="1:19" x14ac:dyDescent="0.25">
      <x:c r="A33" s="59">
        <x:f t="shared" si="0"/>
        <x:v>25</x:v>
      </x:c>
      <x:c r="B33" s="62" t="s">
        <x:v>73</x:v>
      </x:c>
      <x:c r="C33" s="59">
        <x:v>88</x:v>
      </x:c>
      <x:c r="D33" s="59">
        <x:v>86</x:v>
      </x:c>
      <x:c r="E33" s="59">
        <x:v>82</x:v>
      </x:c>
      <x:c r="F33" s="59">
        <x:v>83</x:v>
      </x:c>
      <x:c r="G33" s="61">
        <x:f t="shared" si="1"/>
        <x:v>86.5</x:v>
      </x:c>
      <x:c r="H33" s="61">
        <x:f t="shared" si="2"/>
        <x:v>0</x:v>
      </x:c>
      <x:c r="I33" s="61">
        <x:f t="shared" si="3"/>
        <x:v>0</x:v>
      </x:c>
      <x:c r="J33" s="61">
        <x:f t="shared" si="4"/>
        <x:v>0</x:v>
      </x:c>
      <x:c r="K33" s="61">
        <x:f t="shared" si="5"/>
        <x:v>0</x:v>
      </x:c>
      <x:c r="L33" s="61">
        <x:f t="shared" si="6"/>
        <x:v>36.5</x:v>
      </x:c>
      <x:c r="M33" s="61">
        <x:f t="shared" si="7"/>
        <x:v>31.5</x:v>
      </x:c>
      <x:c r="N33" s="61">
        <x:f t="shared" si="8"/>
        <x:v>26.5</x:v>
      </x:c>
      <x:c r="O33" s="61">
        <x:f t="shared" si="9"/>
        <x:v>21.5</x:v>
      </x:c>
      <x:c r="P33" s="61">
        <x:f t="shared" si="10"/>
        <x:v>16.5</x:v>
      </x:c>
      <x:c r="Q33" s="61">
        <x:f t="shared" si="11"/>
        <x:v>11.5</x:v>
      </x:c>
      <x:c r="R33" s="61">
        <x:f t="shared" si="12"/>
        <x:v>6.5</x:v>
      </x:c>
      <x:c r="S33" s="61"/>
    </x:row>
  </x:sheetData>
  <x:mergeCells count="6">
    <x:mergeCell ref="B9:V9"/>
    <x:mergeCell ref="B1:T1"/>
    <x:mergeCell ref="B2:T2"/>
    <x:mergeCell ref="B3:T3"/>
    <x:mergeCell ref="B4:T4"/>
    <x:mergeCell ref="B6:T6"/>
  </x:mergeCells>
  <x:pageMargins left="0.75" right="0.75" top="1" bottom="1" header="0.5" footer="0.5"/>
  <x:pageSetup scale="56" firstPageNumber="3" orientation="portrait" r:id="rId1"/>
  <x:headerFooter alignWithMargins="0">
    <x:oddHeader>&amp;RSchedule II-H-5.1
Page &amp;P of  25</x:oddHeader>
  </x:headerFooter>
</x:worksheet>
</file>

<file path=xl/worksheets/sheet2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700-000000000000}" mc:Ignorable="x14ac xr xr2 xr3">
  <x:sheetPr>
    <x:pageSetUpPr fitToPage="1"/>
  </x:sheetPr>
  <x:dimension ref="A1:AF73"/>
  <x:sheetViews>
    <x:sheetView zoomScaleNormal="100" workbookViewId="0"/>
  </x:sheetViews>
  <x:sheetFormatPr defaultRowHeight="13.2" x14ac:dyDescent="0.25"/>
  <x:cols>
    <x:col min="2" max="2" width="5" bestFit="1" customWidth="1"/>
    <x:col min="3" max="3" width="10.21875" bestFit="1" customWidth="1"/>
    <x:col min="4" max="8" width="6.88671875" bestFit="1" customWidth="1"/>
    <x:col min="9" max="11" width="6.88671875" customWidth="1"/>
    <x:col min="12" max="17" width="7" bestFit="1" customWidth="1"/>
    <x:col min="28" max="28" width="9.88671875" bestFit="1" customWidth="1"/>
  </x:cols>
  <x:sheetData>
    <x:row r="1" spans="1:28" s="2" customFormat="1" ht="15.6" x14ac:dyDescent="0.3">
      <x:c r="A1" s="1"/>
      <x:c r="B1" s="88" t="str">
        <x:f>+Base45h!B1</x:f>
        <x:v xml:space="preserve">PUC DOCKET NO. </x:v>
      </x:c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75"/>
      <x:c r="P1" s="75"/>
      <x:c r="Q1" s="75"/>
      <x:c r="R1" s="75"/>
      <x:c r="S1" s="75"/>
      <x:c r="T1" s="75"/>
    </x:row>
    <x:row r="2" spans="1:28" s="2" customFormat="1" ht="15.6" x14ac:dyDescent="0.3">
      <x:c r="A2" s="1"/>
      <x:c r="B2" s="88" t="str">
        <x:f>+Base45h!B2</x:f>
        <x:v>ONCOR ELECTRIC DELIVERY COMPANY LLC</x:v>
      </x:c>
      <x:c r="C2" s="92"/>
      <x:c r="D2" s="92"/>
      <x:c r="E2" s="92"/>
      <x:c r="F2" s="92"/>
      <x:c r="G2" s="92"/>
      <x:c r="H2" s="92"/>
      <x:c r="I2" s="92"/>
      <x:c r="J2" s="92"/>
      <x:c r="K2" s="92"/>
      <x:c r="L2" s="92"/>
      <x:c r="M2" s="92"/>
      <x:c r="N2" s="92"/>
      <x:c r="O2" s="75"/>
      <x:c r="P2" s="75"/>
      <x:c r="Q2" s="75"/>
      <x:c r="R2" s="75"/>
      <x:c r="S2" s="75"/>
      <x:c r="T2" s="75"/>
    </x:row>
    <x:row r="3" spans="1:28" s="2" customFormat="1" ht="15.6" x14ac:dyDescent="0.3">
      <x:c r="A3" s="1"/>
      <x:c r="B3" s="88" t="str">
        <x:f>+Base45h!B3</x:f>
        <x:v>WEATHER STATION DATA</x:v>
      </x:c>
      <x:c r="C3" s="92"/>
      <x:c r="D3" s="92"/>
      <x:c r="E3" s="92"/>
      <x:c r="F3" s="92"/>
      <x:c r="G3" s="92"/>
      <x:c r="H3" s="92"/>
      <x:c r="I3" s="92"/>
      <x:c r="J3" s="92"/>
      <x:c r="K3" s="92"/>
      <x:c r="L3" s="92"/>
      <x:c r="M3" s="92"/>
      <x:c r="N3" s="92"/>
      <x:c r="O3" s="75"/>
      <x:c r="P3" s="75"/>
      <x:c r="Q3" s="75"/>
      <x:c r="R3" s="75"/>
      <x:c r="S3" s="75"/>
      <x:c r="T3" s="75"/>
    </x:row>
    <x:row r="4" spans="1:28" s="2" customFormat="1" ht="15.6" x14ac:dyDescent="0.3">
      <x:c r="A4" s="1"/>
      <x:c r="B4" s="88" t="str">
        <x:f>+Base45h!B4</x:f>
        <x:v>FOR THE TEST YEAR ENDING DECEMBER 31, 2024</x:v>
      </x:c>
      <x:c r="C4" s="92"/>
      <x:c r="D4" s="92"/>
      <x:c r="E4" s="92"/>
      <x:c r="F4" s="92"/>
      <x:c r="G4" s="92"/>
      <x:c r="H4" s="92"/>
      <x:c r="I4" s="92"/>
      <x:c r="J4" s="92"/>
      <x:c r="K4" s="92"/>
      <x:c r="L4" s="92"/>
      <x:c r="M4" s="92"/>
      <x:c r="N4" s="92"/>
      <x:c r="O4" s="75"/>
      <x:c r="P4" s="75"/>
      <x:c r="Q4" s="75"/>
      <x:c r="R4" s="75"/>
      <x:c r="S4" s="75"/>
      <x:c r="T4" s="75"/>
    </x:row>
    <x:row r="5" spans="1:28" s="2" customFormat="1" ht="11.4" x14ac:dyDescent="0.2">
      <x:c r="A5" s="1"/>
      <x:c r="B5" s="1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</x:row>
    <x:row r="6" spans="1:28" s="2" customFormat="1" ht="15.6" x14ac:dyDescent="0.3">
      <x:c r="A6" s="1"/>
      <x:c r="B6" s="88" t="str">
        <x:f>+Base45h!B6</x:f>
        <x:v>SPONSOR: D. E. NELSON</x:v>
      </x:c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75"/>
      <x:c r="P6" s="75"/>
      <x:c r="Q6" s="75"/>
      <x:c r="R6" s="75"/>
      <x:c r="S6" s="75"/>
      <x:c r="T6" s="75"/>
    </x:row>
    <x:row r="7" spans="1:28" x14ac:dyDescent="0.25">
      <x:c r="B7" s="75"/>
      <x:c r="C7" s="75"/>
      <x:c r="D7" s="75"/>
      <x:c r="E7" s="75"/>
      <x:c r="F7" s="75"/>
      <x:c r="G7" s="75"/>
      <x:c r="H7" s="75"/>
      <x:c r="I7" s="75"/>
      <x:c r="J7" s="75"/>
      <x:c r="K7" s="75"/>
      <x:c r="L7" s="75"/>
      <x:c r="M7" s="75"/>
      <x:c r="N7" s="75"/>
      <x:c r="O7" s="75"/>
      <x:c r="P7" s="75"/>
      <x:c r="Q7" s="75"/>
    </x:row>
    <x:row r="8" spans="1:28" ht="15.6" x14ac:dyDescent="0.3">
      <x:c r="B8" s="88" t="s">
        <x:v>91</x:v>
      </x:c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75"/>
      <x:c r="P8" s="75"/>
      <x:c r="Q8" s="75"/>
    </x:row>
    <x:row r="9" spans="1:28" ht="24" thickBot="1" x14ac:dyDescent="0.3">
      <x:c r="A9" s="3" t="s">
        <x:v>4</x:v>
      </x:c>
      <x:c r="B9" s="13"/>
      <x:c r="C9" s="13"/>
    </x:row>
    <x:row r="10" spans="1:28" x14ac:dyDescent="0.25">
      <x:c r="A10">
        <x:v>1</x:v>
      </x:c>
      <x:c r="B10" t="s">
        <x:v>58</x:v>
      </x:c>
      <x:c r="C10" s="38" t="s">
        <x:v>111</x:v>
      </x:c>
      <x:c r="D10" s="54" t="s">
        <x:v>60</x:v>
      </x:c>
      <x:c r="E10" s="10" t="s">
        <x:v>102</x:v>
      </x:c>
      <x:c r="F10" s="10" t="s">
        <x:v>61</x:v>
      </x:c>
      <x:c r="G10" s="77" t="s">
        <x:v>106</x:v>
      </x:c>
      <x:c r="H10" s="79" t="s">
        <x:v>88</x:v>
      </x:c>
      <x:c r="I10" s="79" t="s">
        <x:v>107</x:v>
      </x:c>
      <x:c r="J10" s="41" t="s">
        <x:v>98</x:v>
      </x:c>
      <x:c r="K10" s="27" t="s">
        <x:v>62</x:v>
      </x:c>
      <x:c r="L10" s="27" t="s">
        <x:v>63</x:v>
      </x:c>
      <x:c r="M10" s="27" t="s">
        <x:v>64</x:v>
      </x:c>
      <x:c r="N10" s="27" t="s">
        <x:v>89</x:v>
      </x:c>
      <x:c r="Q10" s="80"/>
    </x:row>
    <x:row r="11" spans="1:28" x14ac:dyDescent="0.25">
      <x:c r="A11">
        <x:v>3</x:v>
      </x:c>
      <x:c r="B11" s="14">
        <x:v>2004</x:v>
      </x:c>
      <x:c r="C11" s="39">
        <x:v>39.0416666666667</x:v>
      </x:c>
      <x:c r="D11" s="12">
        <x:f t="shared" ref="D11:D30" si="0">MAX(45-$C11,0)</x:f>
        <x:v>5.9583333333333002</x:v>
      </x:c>
      <x:c r="E11" s="12">
        <x:f>MAX(55-$C11,0)</x:f>
        <x:v>15.9583333333333</x:v>
      </x:c>
      <x:c r="F11" s="12">
        <x:f>MAX(60-$C11,0)</x:f>
        <x:v>20.9583333333333</x:v>
      </x:c>
      <x:c r="G11" s="12">
        <x:f>MAX(65-$C11,0)</x:f>
        <x:v>25.9583333333333</x:v>
      </x:c>
      <x:c r="H11" s="12">
        <x:f>MAX($C11-50,0)</x:f>
        <x:v>0</x:v>
      </x:c>
      <x:c r="I11" s="12">
        <x:f>MAX($C11-55,0)</x:f>
        <x:v>0</x:v>
      </x:c>
      <x:c r="J11" s="12">
        <x:f>MAX($C11-60,0)</x:f>
        <x:v>0</x:v>
      </x:c>
      <x:c r="K11" s="12">
        <x:f>MAX($C11-65,0)</x:f>
        <x:v>0</x:v>
      </x:c>
      <x:c r="L11" s="12">
        <x:f>MAX($C11-70,0)</x:f>
        <x:v>0</x:v>
      </x:c>
      <x:c r="M11" s="12">
        <x:f>MAX($C11-75,0)</x:f>
        <x:v>0</x:v>
      </x:c>
      <x:c r="N11" s="12">
        <x:f>MAX($C11-80,0)</x:f>
        <x:v>0</x:v>
      </x:c>
      <x:c r="Q11" s="81"/>
      <x:c r="AB11" s="28"/>
    </x:row>
    <x:row r="12" spans="1:28" x14ac:dyDescent="0.25">
      <x:c r="A12">
        <x:f t="shared" ref="A12:A27" si="1">+A11+1</x:f>
        <x:v>4</x:v>
      </x:c>
      <x:c r="B12" s="14">
        <x:v>2005</x:v>
      </x:c>
      <x:c r="C12" s="39">
        <x:v>58.1666666666667</x:v>
      </x:c>
      <x:c r="D12" s="12">
        <x:f t="shared" si="0"/>
        <x:v>0</x:v>
      </x:c>
      <x:c r="E12" s="12">
        <x:f t="shared" ref="E12:E30" si="2">MAX(55-$C12,0)</x:f>
        <x:v>0</x:v>
      </x:c>
      <x:c r="F12" s="12">
        <x:f t="shared" ref="F12:F30" si="3">MAX(60-$C12,0)</x:f>
        <x:v>1.8333333333333002</x:v>
      </x:c>
      <x:c r="G12" s="12">
        <x:f t="shared" ref="G12:G30" si="4">MAX(65-$C12,0)</x:f>
        <x:v>6.8333333333333002</x:v>
      </x:c>
      <x:c r="H12" s="12">
        <x:f t="shared" ref="H12:H30" si="5">MAX($C12-50,0)</x:f>
        <x:v>8.1666666666666998</x:v>
      </x:c>
      <x:c r="I12" s="12">
        <x:f t="shared" ref="I12:I30" si="6">MAX($C12-55,0)</x:f>
        <x:v>3.1666666666666998</x:v>
      </x:c>
      <x:c r="J12" s="12">
        <x:f t="shared" ref="J12:J30" si="7">MAX($C12-60,0)</x:f>
        <x:v>0</x:v>
      </x:c>
      <x:c r="K12" s="12">
        <x:f t="shared" ref="K12:K30" si="8">MAX($C12-65,0)</x:f>
        <x:v>0</x:v>
      </x:c>
      <x:c r="L12" s="12">
        <x:f t="shared" ref="L12:L30" si="9">MAX($C12-70,0)</x:f>
        <x:v>0</x:v>
      </x:c>
      <x:c r="M12" s="12">
        <x:f t="shared" ref="M12:M30" si="10">MAX($C12-75,0)</x:f>
        <x:v>0</x:v>
      </x:c>
      <x:c r="N12" s="12">
        <x:f t="shared" ref="N12:N30" si="11">MAX($C12-80,0)</x:f>
        <x:v>0</x:v>
      </x:c>
      <x:c r="Q12" s="81"/>
      <x:c r="AB12" s="28"/>
    </x:row>
    <x:row r="13" spans="1:28" x14ac:dyDescent="0.25">
      <x:c r="A13">
        <x:f t="shared" si="1"/>
        <x:v>5</x:v>
      </x:c>
      <x:c r="B13" s="14">
        <x:v>2006</x:v>
      </x:c>
      <x:c r="C13" s="39">
        <x:v>41.75</x:v>
      </x:c>
      <x:c r="D13" s="12">
        <x:f t="shared" si="0"/>
        <x:v>3.25</x:v>
      </x:c>
      <x:c r="E13" s="12">
        <x:f t="shared" si="2"/>
        <x:v>13.25</x:v>
      </x:c>
      <x:c r="F13" s="12">
        <x:f t="shared" si="3"/>
        <x:v>18.25</x:v>
      </x:c>
      <x:c r="G13" s="12">
        <x:f t="shared" si="4"/>
        <x:v>23.25</x:v>
      </x:c>
      <x:c r="H13" s="12">
        <x:f t="shared" si="5"/>
        <x:v>0</x:v>
      </x:c>
      <x:c r="I13" s="12">
        <x:f t="shared" si="6"/>
        <x:v>0</x:v>
      </x:c>
      <x:c r="J13" s="12">
        <x:f t="shared" si="7"/>
        <x:v>0</x:v>
      </x:c>
      <x:c r="K13" s="12">
        <x:f t="shared" si="8"/>
        <x:v>0</x:v>
      </x:c>
      <x:c r="L13" s="12">
        <x:f t="shared" si="9"/>
        <x:v>0</x:v>
      </x:c>
      <x:c r="M13" s="12">
        <x:f t="shared" si="10"/>
        <x:v>0</x:v>
      </x:c>
      <x:c r="N13" s="12">
        <x:f t="shared" si="11"/>
        <x:v>0</x:v>
      </x:c>
      <x:c r="Q13" s="81"/>
      <x:c r="AB13" s="28"/>
    </x:row>
    <x:row r="14" spans="1:28" x14ac:dyDescent="0.25">
      <x:c r="A14">
        <x:f t="shared" si="1"/>
        <x:v>6</x:v>
      </x:c>
      <x:c r="B14" s="14">
        <x:v>2007</x:v>
      </x:c>
      <x:c r="C14" s="39">
        <x:v>43.9583333333333</x:v>
      </x:c>
      <x:c r="D14" s="12">
        <x:f t="shared" si="0"/>
        <x:v>1.0416666666666998</x:v>
      </x:c>
      <x:c r="E14" s="12">
        <x:f t="shared" si="2"/>
        <x:v>11.0416666666667</x:v>
      </x:c>
      <x:c r="F14" s="12">
        <x:f t="shared" si="3"/>
        <x:v>16.0416666666667</x:v>
      </x:c>
      <x:c r="G14" s="12">
        <x:f t="shared" si="4"/>
        <x:v>21.0416666666667</x:v>
      </x:c>
      <x:c r="H14" s="12">
        <x:f t="shared" si="5"/>
        <x:v>0</x:v>
      </x:c>
      <x:c r="I14" s="12">
        <x:f t="shared" si="6"/>
        <x:v>0</x:v>
      </x:c>
      <x:c r="J14" s="12">
        <x:f t="shared" si="7"/>
        <x:v>0</x:v>
      </x:c>
      <x:c r="K14" s="12">
        <x:f t="shared" si="8"/>
        <x:v>0</x:v>
      </x:c>
      <x:c r="L14" s="12">
        <x:f t="shared" si="9"/>
        <x:v>0</x:v>
      </x:c>
      <x:c r="M14" s="12">
        <x:f t="shared" si="10"/>
        <x:v>0</x:v>
      </x:c>
      <x:c r="N14" s="12">
        <x:f t="shared" si="11"/>
        <x:v>0</x:v>
      </x:c>
      <x:c r="Q14" s="81"/>
      <x:c r="AB14" s="28"/>
    </x:row>
    <x:row r="15" spans="1:28" x14ac:dyDescent="0.25">
      <x:c r="A15">
        <x:f t="shared" si="1"/>
        <x:v>7</x:v>
      </x:c>
      <x:c r="B15" s="14">
        <x:v>2008</x:v>
      </x:c>
      <x:c r="C15" s="39">
        <x:v>47.2</x:v>
      </x:c>
      <x:c r="D15" s="12">
        <x:f t="shared" si="0"/>
        <x:v>0</x:v>
      </x:c>
      <x:c r="E15" s="12">
        <x:f t="shared" si="2"/>
        <x:v>7.7999999999999972</x:v>
      </x:c>
      <x:c r="F15" s="12">
        <x:f t="shared" si="3"/>
        <x:v>12.799999999999997</x:v>
      </x:c>
      <x:c r="G15" s="12">
        <x:f t="shared" si="4"/>
        <x:v>17.799999999999997</x:v>
      </x:c>
      <x:c r="H15" s="12">
        <x:f t="shared" si="5"/>
        <x:v>0</x:v>
      </x:c>
      <x:c r="I15" s="12">
        <x:f t="shared" si="6"/>
        <x:v>0</x:v>
      </x:c>
      <x:c r="J15" s="12">
        <x:f t="shared" si="7"/>
        <x:v>0</x:v>
      </x:c>
      <x:c r="K15" s="12">
        <x:f t="shared" si="8"/>
        <x:v>0</x:v>
      </x:c>
      <x:c r="L15" s="12">
        <x:f t="shared" si="9"/>
        <x:v>0</x:v>
      </x:c>
      <x:c r="M15" s="12">
        <x:f t="shared" si="10"/>
        <x:v>0</x:v>
      </x:c>
      <x:c r="N15" s="12">
        <x:f t="shared" si="11"/>
        <x:v>0</x:v>
      </x:c>
      <x:c r="Q15" s="81"/>
      <x:c r="AB15" s="28"/>
    </x:row>
    <x:row r="16" spans="1:28" x14ac:dyDescent="0.25">
      <x:c r="A16">
        <x:f t="shared" si="1"/>
        <x:v>8</x:v>
      </x:c>
      <x:c r="B16" s="14">
        <x:v>2009</x:v>
      </x:c>
      <x:c r="C16" s="39">
        <x:v>53.5</x:v>
      </x:c>
      <x:c r="D16" s="12">
        <x:f t="shared" si="0"/>
        <x:v>0</x:v>
      </x:c>
      <x:c r="E16" s="12">
        <x:f t="shared" si="2"/>
        <x:v>1.5</x:v>
      </x:c>
      <x:c r="F16" s="12">
        <x:f t="shared" si="3"/>
        <x:v>6.5</x:v>
      </x:c>
      <x:c r="G16" s="12">
        <x:f t="shared" si="4"/>
        <x:v>11.5</x:v>
      </x:c>
      <x:c r="H16" s="12">
        <x:f t="shared" si="5"/>
        <x:v>3.5</x:v>
      </x:c>
      <x:c r="I16" s="12">
        <x:f t="shared" si="6"/>
        <x:v>0</x:v>
      </x:c>
      <x:c r="J16" s="12">
        <x:f t="shared" si="7"/>
        <x:v>0</x:v>
      </x:c>
      <x:c r="K16" s="12">
        <x:f t="shared" si="8"/>
        <x:v>0</x:v>
      </x:c>
      <x:c r="L16" s="12">
        <x:f t="shared" si="9"/>
        <x:v>0</x:v>
      </x:c>
      <x:c r="M16" s="12">
        <x:f t="shared" si="10"/>
        <x:v>0</x:v>
      </x:c>
      <x:c r="N16" s="12">
        <x:f t="shared" si="11"/>
        <x:v>0</x:v>
      </x:c>
      <x:c r="Q16" s="81"/>
      <x:c r="AB16" s="28"/>
    </x:row>
    <x:row r="17" spans="1:32" x14ac:dyDescent="0.25">
      <x:c r="A17">
        <x:f t="shared" si="1"/>
        <x:v>9</x:v>
      </x:c>
      <x:c r="B17" s="14">
        <x:v>2010</x:v>
      </x:c>
      <x:c r="C17" s="39">
        <x:v>55.3</x:v>
      </x:c>
      <x:c r="D17" s="12">
        <x:f t="shared" si="0"/>
        <x:v>0</x:v>
      </x:c>
      <x:c r="E17" s="12">
        <x:f t="shared" si="2"/>
        <x:v>0</x:v>
      </x:c>
      <x:c r="F17" s="12">
        <x:f t="shared" si="3"/>
        <x:v>4.7000000000000028</x:v>
      </x:c>
      <x:c r="G17" s="12">
        <x:f t="shared" si="4"/>
        <x:v>9.7000000000000028</x:v>
      </x:c>
      <x:c r="H17" s="12">
        <x:f t="shared" si="5"/>
        <x:v>5.2999999999999972</x:v>
      </x:c>
      <x:c r="I17" s="12">
        <x:f t="shared" si="6"/>
        <x:v>0.29999999999999716</x:v>
      </x:c>
      <x:c r="J17" s="12">
        <x:f t="shared" si="7"/>
        <x:v>0</x:v>
      </x:c>
      <x:c r="K17" s="12">
        <x:f t="shared" si="8"/>
        <x:v>0</x:v>
      </x:c>
      <x:c r="L17" s="12">
        <x:f t="shared" si="9"/>
        <x:v>0</x:v>
      </x:c>
      <x:c r="M17" s="12">
        <x:f t="shared" si="10"/>
        <x:v>0</x:v>
      </x:c>
      <x:c r="N17" s="12">
        <x:f t="shared" si="11"/>
        <x:v>0</x:v>
      </x:c>
      <x:c r="Q17" s="81"/>
      <x:c r="AB17" s="28"/>
    </x:row>
    <x:row r="18" spans="1:32" x14ac:dyDescent="0.25">
      <x:c r="A18">
        <x:f t="shared" si="1"/>
        <x:v>10</x:v>
      </x:c>
      <x:c r="B18" s="14">
        <x:v>2011</x:v>
      </x:c>
      <x:c r="C18" s="39">
        <x:v>34.799999999999997</x:v>
      </x:c>
      <x:c r="D18" s="12">
        <x:f t="shared" si="0"/>
        <x:v>10.200000000000003</x:v>
      </x:c>
      <x:c r="E18" s="12">
        <x:f t="shared" si="2"/>
        <x:v>20.200000000000003</x:v>
      </x:c>
      <x:c r="F18" s="12">
        <x:f t="shared" si="3"/>
        <x:v>25.200000000000003</x:v>
      </x:c>
      <x:c r="G18" s="12">
        <x:f t="shared" si="4"/>
        <x:v>30.200000000000003</x:v>
      </x:c>
      <x:c r="H18" s="12">
        <x:f t="shared" si="5"/>
        <x:v>0</x:v>
      </x:c>
      <x:c r="I18" s="12">
        <x:f t="shared" si="6"/>
        <x:v>0</x:v>
      </x:c>
      <x:c r="J18" s="12">
        <x:f t="shared" si="7"/>
        <x:v>0</x:v>
      </x:c>
      <x:c r="K18" s="12">
        <x:f t="shared" si="8"/>
        <x:v>0</x:v>
      </x:c>
      <x:c r="L18" s="12">
        <x:f t="shared" si="9"/>
        <x:v>0</x:v>
      </x:c>
      <x:c r="M18" s="12">
        <x:f t="shared" si="10"/>
        <x:v>0</x:v>
      </x:c>
      <x:c r="N18" s="12">
        <x:f t="shared" si="11"/>
        <x:v>0</x:v>
      </x:c>
      <x:c r="Q18" s="81"/>
      <x:c r="AB18" s="28"/>
    </x:row>
    <x:row r="19" spans="1:32" x14ac:dyDescent="0.25">
      <x:c r="A19">
        <x:f t="shared" si="1"/>
        <x:v>11</x:v>
      </x:c>
      <x:c r="B19" s="14">
        <x:v>2012</x:v>
      </x:c>
      <x:c r="C19" s="39">
        <x:v>41.5</x:v>
      </x:c>
      <x:c r="D19" s="12">
        <x:f t="shared" si="0"/>
        <x:v>3.5</x:v>
      </x:c>
      <x:c r="E19" s="12">
        <x:f t="shared" si="2"/>
        <x:v>13.5</x:v>
      </x:c>
      <x:c r="F19" s="12">
        <x:f t="shared" si="3"/>
        <x:v>18.5</x:v>
      </x:c>
      <x:c r="G19" s="12">
        <x:f t="shared" si="4"/>
        <x:v>23.5</x:v>
      </x:c>
      <x:c r="H19" s="12">
        <x:f t="shared" si="5"/>
        <x:v>0</x:v>
      </x:c>
      <x:c r="I19" s="12">
        <x:f t="shared" si="6"/>
        <x:v>0</x:v>
      </x:c>
      <x:c r="J19" s="12">
        <x:f t="shared" si="7"/>
        <x:v>0</x:v>
      </x:c>
      <x:c r="K19" s="12">
        <x:f t="shared" si="8"/>
        <x:v>0</x:v>
      </x:c>
      <x:c r="L19" s="12">
        <x:f t="shared" si="9"/>
        <x:v>0</x:v>
      </x:c>
      <x:c r="M19" s="12">
        <x:f t="shared" si="10"/>
        <x:v>0</x:v>
      </x:c>
      <x:c r="N19" s="12">
        <x:f t="shared" si="11"/>
        <x:v>0</x:v>
      </x:c>
      <x:c r="Q19" s="81"/>
      <x:c r="AB19" s="28"/>
    </x:row>
    <x:row r="20" spans="1:32" x14ac:dyDescent="0.25">
      <x:c r="A20">
        <x:f t="shared" si="1"/>
        <x:v>12</x:v>
      </x:c>
      <x:c r="B20" s="14">
        <x:v>2013</x:v>
      </x:c>
      <x:c r="C20" s="39">
        <x:v>40</x:v>
      </x:c>
      <x:c r="D20" s="12">
        <x:f t="shared" si="0"/>
        <x:v>5</x:v>
      </x:c>
      <x:c r="E20" s="12">
        <x:f t="shared" si="2"/>
        <x:v>15</x:v>
      </x:c>
      <x:c r="F20" s="12">
        <x:f t="shared" si="3"/>
        <x:v>20</x:v>
      </x:c>
      <x:c r="G20" s="12">
        <x:f t="shared" si="4"/>
        <x:v>25</x:v>
      </x:c>
      <x:c r="H20" s="12">
        <x:f t="shared" si="5"/>
        <x:v>0</x:v>
      </x:c>
      <x:c r="I20" s="12">
        <x:f t="shared" si="6"/>
        <x:v>0</x:v>
      </x:c>
      <x:c r="J20" s="12">
        <x:f t="shared" si="7"/>
        <x:v>0</x:v>
      </x:c>
      <x:c r="K20" s="12">
        <x:f t="shared" si="8"/>
        <x:v>0</x:v>
      </x:c>
      <x:c r="L20" s="12">
        <x:f t="shared" si="9"/>
        <x:v>0</x:v>
      </x:c>
      <x:c r="M20" s="12">
        <x:f t="shared" si="10"/>
        <x:v>0</x:v>
      </x:c>
      <x:c r="N20" s="12">
        <x:f t="shared" si="11"/>
        <x:v>0</x:v>
      </x:c>
      <x:c r="Q20" s="81"/>
      <x:c r="AB20" s="28"/>
    </x:row>
    <x:row r="21" spans="1:32" x14ac:dyDescent="0.25">
      <x:c r="A21">
        <x:f t="shared" si="1"/>
        <x:v>13</x:v>
      </x:c>
      <x:c r="B21" s="14">
        <x:v>2014</x:v>
      </x:c>
      <x:c r="C21" s="39">
        <x:v>43.9</x:v>
      </x:c>
      <x:c r="D21" s="12">
        <x:f t="shared" si="0"/>
        <x:v>1.1000000000000014</x:v>
      </x:c>
      <x:c r="E21" s="12">
        <x:f t="shared" si="2"/>
        <x:v>11.100000000000001</x:v>
      </x:c>
      <x:c r="F21" s="12">
        <x:f t="shared" si="3"/>
        <x:v>16.100000000000001</x:v>
      </x:c>
      <x:c r="G21" s="12">
        <x:f t="shared" si="4"/>
        <x:v>21.1</x:v>
      </x:c>
      <x:c r="H21" s="12">
        <x:f t="shared" si="5"/>
        <x:v>0</x:v>
      </x:c>
      <x:c r="I21" s="12">
        <x:f t="shared" si="6"/>
        <x:v>0</x:v>
      </x:c>
      <x:c r="J21" s="12">
        <x:f t="shared" si="7"/>
        <x:v>0</x:v>
      </x:c>
      <x:c r="K21" s="12">
        <x:f t="shared" si="8"/>
        <x:v>0</x:v>
      </x:c>
      <x:c r="L21" s="12">
        <x:f t="shared" si="9"/>
        <x:v>0</x:v>
      </x:c>
      <x:c r="M21" s="12">
        <x:f t="shared" si="10"/>
        <x:v>0</x:v>
      </x:c>
      <x:c r="N21" s="12">
        <x:f t="shared" si="11"/>
        <x:v>0</x:v>
      </x:c>
      <x:c r="Q21" s="81"/>
      <x:c r="AB21" s="28"/>
    </x:row>
    <x:row r="22" spans="1:32" x14ac:dyDescent="0.25">
      <x:c r="A22">
        <x:f t="shared" si="1"/>
        <x:v>14</x:v>
      </x:c>
      <x:c r="B22" s="14">
        <x:v>2015</x:v>
      </x:c>
      <x:c r="C22" s="39">
        <x:v>42.5</x:v>
      </x:c>
      <x:c r="D22" s="12">
        <x:f t="shared" si="0"/>
        <x:v>2.5</x:v>
      </x:c>
      <x:c r="E22" s="12">
        <x:f t="shared" si="2"/>
        <x:v>12.5</x:v>
      </x:c>
      <x:c r="F22" s="12">
        <x:f t="shared" si="3"/>
        <x:v>17.5</x:v>
      </x:c>
      <x:c r="G22" s="12">
        <x:f t="shared" si="4"/>
        <x:v>22.5</x:v>
      </x:c>
      <x:c r="H22" s="12">
        <x:f t="shared" si="5"/>
        <x:v>0</x:v>
      </x:c>
      <x:c r="I22" s="12">
        <x:f t="shared" si="6"/>
        <x:v>0</x:v>
      </x:c>
      <x:c r="J22" s="12">
        <x:f t="shared" si="7"/>
        <x:v>0</x:v>
      </x:c>
      <x:c r="K22" s="12">
        <x:f t="shared" si="8"/>
        <x:v>0</x:v>
      </x:c>
      <x:c r="L22" s="12">
        <x:f t="shared" si="9"/>
        <x:v>0</x:v>
      </x:c>
      <x:c r="M22" s="12">
        <x:f t="shared" si="10"/>
        <x:v>0</x:v>
      </x:c>
      <x:c r="N22" s="12">
        <x:f t="shared" si="11"/>
        <x:v>0</x:v>
      </x:c>
      <x:c r="Q22" s="81"/>
      <x:c r="AB22" s="28"/>
    </x:row>
    <x:row r="23" spans="1:32" x14ac:dyDescent="0.25">
      <x:c r="A23">
        <x:f t="shared" si="1"/>
        <x:v>15</x:v>
      </x:c>
      <x:c r="B23" s="14">
        <x:v>2016</x:v>
      </x:c>
      <x:c r="C23" s="39">
        <x:v>44.4</x:v>
      </x:c>
      <x:c r="D23" s="12">
        <x:f t="shared" si="0"/>
        <x:v>0.60000000000000142</x:v>
      </x:c>
      <x:c r="E23" s="12">
        <x:f t="shared" si="2"/>
        <x:v>10.600000000000001</x:v>
      </x:c>
      <x:c r="F23" s="12">
        <x:f t="shared" si="3"/>
        <x:v>15.600000000000001</x:v>
      </x:c>
      <x:c r="G23" s="12">
        <x:f t="shared" si="4"/>
        <x:v>20.6</x:v>
      </x:c>
      <x:c r="H23" s="12">
        <x:f t="shared" si="5"/>
        <x:v>0</x:v>
      </x:c>
      <x:c r="I23" s="12">
        <x:f t="shared" si="6"/>
        <x:v>0</x:v>
      </x:c>
      <x:c r="J23" s="12">
        <x:f t="shared" si="7"/>
        <x:v>0</x:v>
      </x:c>
      <x:c r="K23" s="12">
        <x:f t="shared" si="8"/>
        <x:v>0</x:v>
      </x:c>
      <x:c r="L23" s="12">
        <x:f t="shared" si="9"/>
        <x:v>0</x:v>
      </x:c>
      <x:c r="M23" s="12">
        <x:f t="shared" si="10"/>
        <x:v>0</x:v>
      </x:c>
      <x:c r="N23" s="12">
        <x:f t="shared" si="11"/>
        <x:v>0</x:v>
      </x:c>
      <x:c r="Q23" s="81"/>
      <x:c r="AB23" s="28"/>
    </x:row>
    <x:row r="24" spans="1:32" x14ac:dyDescent="0.25">
      <x:c r="A24">
        <x:f t="shared" si="1"/>
        <x:v>16</x:v>
      </x:c>
      <x:c r="B24" s="14">
        <x:v>2017</x:v>
      </x:c>
      <x:c r="C24" s="39">
        <x:v>54</x:v>
      </x:c>
      <x:c r="D24" s="12">
        <x:f t="shared" si="0"/>
        <x:v>0</x:v>
      </x:c>
      <x:c r="E24" s="12">
        <x:f t="shared" si="2"/>
        <x:v>1</x:v>
      </x:c>
      <x:c r="F24" s="12">
        <x:f t="shared" si="3"/>
        <x:v>6</x:v>
      </x:c>
      <x:c r="G24" s="12">
        <x:f t="shared" si="4"/>
        <x:v>11</x:v>
      </x:c>
      <x:c r="H24" s="12">
        <x:f t="shared" si="5"/>
        <x:v>4</x:v>
      </x:c>
      <x:c r="I24" s="12">
        <x:f t="shared" si="6"/>
        <x:v>0</x:v>
      </x:c>
      <x:c r="J24" s="12">
        <x:f t="shared" si="7"/>
        <x:v>0</x:v>
      </x:c>
      <x:c r="K24" s="12">
        <x:f t="shared" si="8"/>
        <x:v>0</x:v>
      </x:c>
      <x:c r="L24" s="12">
        <x:f t="shared" si="9"/>
        <x:v>0</x:v>
      </x:c>
      <x:c r="M24" s="12">
        <x:f t="shared" si="10"/>
        <x:v>0</x:v>
      </x:c>
      <x:c r="N24" s="12">
        <x:f t="shared" si="11"/>
        <x:v>0</x:v>
      </x:c>
      <x:c r="Q24" s="81"/>
      <x:c r="AB24" s="28"/>
    </x:row>
    <x:row r="25" spans="1:32" x14ac:dyDescent="0.25">
      <x:c r="A25">
        <x:f t="shared" si="1"/>
        <x:v>17</x:v>
      </x:c>
      <x:c r="B25" s="14">
        <x:v>2018</x:v>
      </x:c>
      <x:c r="C25" s="39">
        <x:v>58.800000000000004</x:v>
      </x:c>
      <x:c r="D25" s="12">
        <x:f t="shared" si="0"/>
        <x:v>0</x:v>
      </x:c>
      <x:c r="E25" s="12">
        <x:f t="shared" si="2"/>
        <x:v>0</x:v>
      </x:c>
      <x:c r="F25" s="12">
        <x:f t="shared" si="3"/>
        <x:v>1.1999999999999957</x:v>
      </x:c>
      <x:c r="G25" s="12">
        <x:f t="shared" si="4"/>
        <x:v>6.1999999999999957</x:v>
      </x:c>
      <x:c r="H25" s="12">
        <x:f t="shared" si="5"/>
        <x:v>8.8000000000000043</x:v>
      </x:c>
      <x:c r="I25" s="12">
        <x:f t="shared" si="6"/>
        <x:v>3.8000000000000043</x:v>
      </x:c>
      <x:c r="J25" s="12">
        <x:f t="shared" si="7"/>
        <x:v>0</x:v>
      </x:c>
      <x:c r="K25" s="12">
        <x:f t="shared" si="8"/>
        <x:v>0</x:v>
      </x:c>
      <x:c r="L25" s="12">
        <x:f t="shared" si="9"/>
        <x:v>0</x:v>
      </x:c>
      <x:c r="M25" s="12">
        <x:f t="shared" si="10"/>
        <x:v>0</x:v>
      </x:c>
      <x:c r="N25" s="12">
        <x:f t="shared" si="11"/>
        <x:v>0</x:v>
      </x:c>
      <x:c r="Q25" s="81"/>
      <x:c r="AB25" s="28"/>
    </x:row>
    <x:row r="26" spans="1:32" x14ac:dyDescent="0.25">
      <x:c r="A26">
        <x:f t="shared" si="1"/>
        <x:v>18</x:v>
      </x:c>
      <x:c r="B26" s="14">
        <x:v>2019</x:v>
      </x:c>
      <x:c r="C26" s="39">
        <x:v>53.800000000000004</x:v>
      </x:c>
      <x:c r="D26" s="12">
        <x:f t="shared" si="0"/>
        <x:v>0</x:v>
      </x:c>
      <x:c r="E26" s="12">
        <x:f t="shared" si="2"/>
        <x:v>1.1999999999999957</x:v>
      </x:c>
      <x:c r="F26" s="12">
        <x:f t="shared" si="3"/>
        <x:v>6.1999999999999957</x:v>
      </x:c>
      <x:c r="G26" s="12">
        <x:f t="shared" si="4"/>
        <x:v>11.199999999999996</x:v>
      </x:c>
      <x:c r="H26" s="12">
        <x:f t="shared" si="5"/>
        <x:v>3.8000000000000043</x:v>
      </x:c>
      <x:c r="I26" s="12">
        <x:f t="shared" si="6"/>
        <x:v>0</x:v>
      </x:c>
      <x:c r="J26" s="12">
        <x:f t="shared" si="7"/>
        <x:v>0</x:v>
      </x:c>
      <x:c r="K26" s="12">
        <x:f t="shared" si="8"/>
        <x:v>0</x:v>
      </x:c>
      <x:c r="L26" s="12">
        <x:f t="shared" si="9"/>
        <x:v>0</x:v>
      </x:c>
      <x:c r="M26" s="12">
        <x:f t="shared" si="10"/>
        <x:v>0</x:v>
      </x:c>
      <x:c r="N26" s="12">
        <x:f t="shared" si="11"/>
        <x:v>0</x:v>
      </x:c>
      <x:c r="Q26" s="81"/>
      <x:c r="AB26" s="28"/>
    </x:row>
    <x:row r="27" spans="1:32" x14ac:dyDescent="0.25">
      <x:c r="A27">
        <x:f t="shared" si="1"/>
        <x:v>19</x:v>
      </x:c>
      <x:c r="B27" s="14">
        <x:v>2020</x:v>
      </x:c>
      <x:c r="C27" s="39">
        <x:v>48.1</x:v>
      </x:c>
      <x:c r="D27" s="12">
        <x:f t="shared" si="0"/>
        <x:v>0</x:v>
      </x:c>
      <x:c r="E27" s="12">
        <x:f t="shared" si="2"/>
        <x:v>6.8999999999999986</x:v>
      </x:c>
      <x:c r="F27" s="12">
        <x:f t="shared" si="3"/>
        <x:v>11.899999999999999</x:v>
      </x:c>
      <x:c r="G27" s="12">
        <x:f t="shared" si="4"/>
        <x:v>16.899999999999999</x:v>
      </x:c>
      <x:c r="H27" s="12">
        <x:f t="shared" si="5"/>
        <x:v>0</x:v>
      </x:c>
      <x:c r="I27" s="12">
        <x:f t="shared" si="6"/>
        <x:v>0</x:v>
      </x:c>
      <x:c r="J27" s="12">
        <x:f t="shared" si="7"/>
        <x:v>0</x:v>
      </x:c>
      <x:c r="K27" s="12">
        <x:f t="shared" si="8"/>
        <x:v>0</x:v>
      </x:c>
      <x:c r="L27" s="12">
        <x:f t="shared" si="9"/>
        <x:v>0</x:v>
      </x:c>
      <x:c r="M27" s="12">
        <x:f t="shared" si="10"/>
        <x:v>0</x:v>
      </x:c>
      <x:c r="N27" s="12">
        <x:f t="shared" si="11"/>
        <x:v>0</x:v>
      </x:c>
      <x:c r="Q27" s="81"/>
      <x:c r="AB27" s="28"/>
    </x:row>
    <x:row r="28" spans="1:32" x14ac:dyDescent="0.25">
      <x:c r="A28">
        <x:f t="shared" ref="A28:A43" si="12">+A27+1</x:f>
        <x:v>20</x:v>
      </x:c>
      <x:c r="B28" s="14">
        <x:v>2021</x:v>
      </x:c>
      <x:c r="C28" s="39">
        <x:v>52.800000000000004</x:v>
      </x:c>
      <x:c r="D28" s="12">
        <x:f t="shared" si="0"/>
        <x:v>0</x:v>
      </x:c>
      <x:c r="E28" s="12">
        <x:f t="shared" si="2"/>
        <x:v>2.1999999999999957</x:v>
      </x:c>
      <x:c r="F28" s="12">
        <x:f t="shared" si="3"/>
        <x:v>7.1999999999999957</x:v>
      </x:c>
      <x:c r="G28" s="12">
        <x:f t="shared" si="4"/>
        <x:v>12.199999999999996</x:v>
      </x:c>
      <x:c r="H28" s="12">
        <x:f t="shared" si="5"/>
        <x:v>2.8000000000000043</x:v>
      </x:c>
      <x:c r="I28" s="12">
        <x:f t="shared" si="6"/>
        <x:v>0</x:v>
      </x:c>
      <x:c r="J28" s="12">
        <x:f t="shared" si="7"/>
        <x:v>0</x:v>
      </x:c>
      <x:c r="K28" s="12">
        <x:f t="shared" si="8"/>
        <x:v>0</x:v>
      </x:c>
      <x:c r="L28" s="12">
        <x:f t="shared" si="9"/>
        <x:v>0</x:v>
      </x:c>
      <x:c r="M28" s="12">
        <x:f t="shared" si="10"/>
        <x:v>0</x:v>
      </x:c>
      <x:c r="N28" s="12">
        <x:f t="shared" si="11"/>
        <x:v>0</x:v>
      </x:c>
      <x:c r="Q28" s="81"/>
      <x:c r="AB28" s="28"/>
    </x:row>
    <x:row r="29" spans="1:32" x14ac:dyDescent="0.25">
      <x:c r="A29">
        <x:f t="shared" si="12"/>
        <x:v>21</x:v>
      </x:c>
      <x:c r="B29" s="14">
        <x:v>2022</x:v>
      </x:c>
      <x:c r="C29" s="39">
        <x:v>31.5</x:v>
      </x:c>
      <x:c r="D29" s="12">
        <x:f t="shared" si="0"/>
        <x:v>13.5</x:v>
      </x:c>
      <x:c r="E29" s="12">
        <x:f t="shared" si="2"/>
        <x:v>23.5</x:v>
      </x:c>
      <x:c r="F29" s="12">
        <x:f t="shared" si="3"/>
        <x:v>28.5</x:v>
      </x:c>
      <x:c r="G29" s="12">
        <x:f t="shared" si="4"/>
        <x:v>33.5</x:v>
      </x:c>
      <x:c r="H29" s="12">
        <x:f t="shared" si="5"/>
        <x:v>0</x:v>
      </x:c>
      <x:c r="I29" s="12">
        <x:f t="shared" si="6"/>
        <x:v>0</x:v>
      </x:c>
      <x:c r="J29" s="12">
        <x:f t="shared" si="7"/>
        <x:v>0</x:v>
      </x:c>
      <x:c r="K29" s="12">
        <x:f t="shared" si="8"/>
        <x:v>0</x:v>
      </x:c>
      <x:c r="L29" s="12">
        <x:f t="shared" si="9"/>
        <x:v>0</x:v>
      </x:c>
      <x:c r="M29" s="12">
        <x:f t="shared" si="10"/>
        <x:v>0</x:v>
      </x:c>
      <x:c r="N29" s="12">
        <x:f t="shared" si="11"/>
        <x:v>0</x:v>
      </x:c>
      <x:c r="Q29" s="81"/>
      <x:c r="AB29" s="28"/>
    </x:row>
    <x:row r="30" spans="1:32" x14ac:dyDescent="0.25">
      <x:c r="A30">
        <x:f t="shared" si="12"/>
        <x:v>22</x:v>
      </x:c>
      <x:c r="B30" s="14">
        <x:v>2023</x:v>
      </x:c>
      <x:c r="C30" s="39">
        <x:v>52</x:v>
      </x:c>
      <x:c r="D30" s="12">
        <x:f t="shared" si="0"/>
        <x:v>0</x:v>
      </x:c>
      <x:c r="E30" s="12">
        <x:f t="shared" si="2"/>
        <x:v>3</x:v>
      </x:c>
      <x:c r="F30" s="12">
        <x:f t="shared" si="3"/>
        <x:v>8</x:v>
      </x:c>
      <x:c r="G30" s="12">
        <x:f t="shared" si="4"/>
        <x:v>13</x:v>
      </x:c>
      <x:c r="H30" s="12">
        <x:f t="shared" si="5"/>
        <x:v>2</x:v>
      </x:c>
      <x:c r="I30" s="12">
        <x:f t="shared" si="6"/>
        <x:v>0</x:v>
      </x:c>
      <x:c r="J30" s="12">
        <x:f t="shared" si="7"/>
        <x:v>0</x:v>
      </x:c>
      <x:c r="K30" s="12">
        <x:f t="shared" si="8"/>
        <x:v>0</x:v>
      </x:c>
      <x:c r="L30" s="12">
        <x:f t="shared" si="9"/>
        <x:v>0</x:v>
      </x:c>
      <x:c r="M30" s="12">
        <x:f t="shared" si="10"/>
        <x:v>0</x:v>
      </x:c>
      <x:c r="N30" s="12">
        <x:f t="shared" si="11"/>
        <x:v>0</x:v>
      </x:c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  <x:c r="Z30" s="12"/>
      <x:c r="AE30" s="12"/>
      <x:c r="AF30" s="12"/>
    </x:row>
    <x:row r="31" spans="1:32" x14ac:dyDescent="0.25">
      <x:c r="A31">
        <x:f t="shared" si="12"/>
        <x:v>23</x:v>
      </x:c>
      <x:c r="B31" s="14"/>
      <x:c r="C31" s="22" t="s">
        <x:v>75</x:v>
      </x:c>
      <x:c r="D31" s="47">
        <x:f>AVERAGE(D11:D30)</x:f>
        <x:v>2.3325000000000005</x:v>
      </x:c>
      <x:c r="E31" s="47">
        <x:f t="shared" ref="E31:N31" si="13">AVERAGE(E11:E30)</x:f>
        <x:v>8.5124999999999993</x:v>
      </x:c>
      <x:c r="F31" s="47">
        <x:f t="shared" si="13"/>
        <x:v>13.149166666666662</x:v>
      </x:c>
      <x:c r="G31" s="47">
        <x:f t="shared" si="13"/>
        <x:v>18.149166666666662</x:v>
      </x:c>
      <x:c r="H31" s="47">
        <x:f t="shared" si="13"/>
        <x:v>1.9183333333333354</x:v>
      </x:c>
      <x:c r="I31" s="47">
        <x:f t="shared" si="13"/>
        <x:v>0.36333333333333506</x:v>
      </x:c>
      <x:c r="J31" s="47">
        <x:f t="shared" si="13"/>
        <x:v>0</x:v>
      </x:c>
      <x:c r="K31" s="47">
        <x:f t="shared" si="13"/>
        <x:v>0</x:v>
      </x:c>
      <x:c r="L31" s="47">
        <x:f t="shared" si="13"/>
        <x:v>0</x:v>
      </x:c>
      <x:c r="M31" s="47">
        <x:f t="shared" si="13"/>
        <x:v>0</x:v>
      </x:c>
      <x:c r="N31" s="47">
        <x:f t="shared" si="13"/>
        <x:v>0</x:v>
      </x:c>
      <x:c r="Q31" s="84"/>
      <x:c r="AB31" s="28"/>
    </x:row>
    <x:row r="32" spans="1:32" x14ac:dyDescent="0.25">
      <x:c r="A32">
        <x:f t="shared" si="12"/>
        <x:v>24</x:v>
      </x:c>
      <x:c r="B32" s="22"/>
      <x:c r="C32" s="50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Q32" s="30"/>
    </x:row>
    <x:row r="33" spans="1:28" x14ac:dyDescent="0.25">
      <x:c r="A33">
        <x:f t="shared" si="12"/>
        <x:v>25</x:v>
      </x:c>
      <x:c r="B33" t="s">
        <x:v>58</x:v>
      </x:c>
      <x:c r="C33" s="40" t="s">
        <x:v>110</x:v>
      </x:c>
      <x:c r="D33" s="54" t="s">
        <x:v>60</x:v>
      </x:c>
      <x:c r="E33" s="10" t="s">
        <x:v>102</x:v>
      </x:c>
      <x:c r="F33" s="10" t="s">
        <x:v>61</x:v>
      </x:c>
      <x:c r="G33" s="69" t="s">
        <x:v>106</x:v>
      </x:c>
      <x:c r="H33" s="41" t="s">
        <x:v>88</x:v>
      </x:c>
      <x:c r="I33" s="41" t="s">
        <x:v>107</x:v>
      </x:c>
      <x:c r="J33" s="41" t="s">
        <x:v>98</x:v>
      </x:c>
      <x:c r="K33" s="27" t="s">
        <x:v>62</x:v>
      </x:c>
      <x:c r="L33" s="27" t="s">
        <x:v>63</x:v>
      </x:c>
      <x:c r="M33" s="27" t="s">
        <x:v>64</x:v>
      </x:c>
      <x:c r="N33" s="27" t="s">
        <x:v>89</x:v>
      </x:c>
      <x:c r="Q33" s="80"/>
    </x:row>
    <x:row r="34" spans="1:28" x14ac:dyDescent="0.25">
      <x:c r="A34">
        <x:f t="shared" si="12"/>
        <x:v>26</x:v>
      </x:c>
      <x:c r="B34" s="14">
        <x:v>2004</x:v>
      </x:c>
      <x:c r="C34" s="39">
        <x:v>83.5</x:v>
      </x:c>
      <x:c r="D34" s="12">
        <x:f t="shared" ref="D34:D53" si="14">MAX(45-$C34,0)</x:f>
        <x:v>0</x:v>
      </x:c>
      <x:c r="E34" s="12">
        <x:f>MAX(55-$C34,0)</x:f>
        <x:v>0</x:v>
      </x:c>
      <x:c r="F34" s="12">
        <x:f>MAX(60-$C34,0)</x:f>
        <x:v>0</x:v>
      </x:c>
      <x:c r="G34" s="12">
        <x:f>MAX(65-$C34,0)</x:f>
        <x:v>0</x:v>
      </x:c>
      <x:c r="H34" s="12">
        <x:f>MAX($C34-50,0)</x:f>
        <x:v>33.5</x:v>
      </x:c>
      <x:c r="I34" s="12">
        <x:f>MAX($C34-55,0)</x:f>
        <x:v>28.5</x:v>
      </x:c>
      <x:c r="J34" s="12">
        <x:f>MAX($C34-60,0)</x:f>
        <x:v>23.5</x:v>
      </x:c>
      <x:c r="K34" s="12">
        <x:f>MAX($C34-65,0)</x:f>
        <x:v>18.5</x:v>
      </x:c>
      <x:c r="L34" s="12">
        <x:f>MAX($C34-70,0)</x:f>
        <x:v>13.5</x:v>
      </x:c>
      <x:c r="M34" s="12">
        <x:f>MAX($C34-75,0)</x:f>
        <x:v>8.5</x:v>
      </x:c>
      <x:c r="N34" s="12">
        <x:f>MAX($C34-80,0)</x:f>
        <x:v>3.5</x:v>
      </x:c>
      <x:c r="Q34" s="81"/>
      <x:c r="AB34" s="28"/>
    </x:row>
    <x:row r="35" spans="1:28" x14ac:dyDescent="0.25">
      <x:c r="A35">
        <x:f t="shared" si="12"/>
        <x:v>27</x:v>
      </x:c>
      <x:c r="B35" s="14">
        <x:v>2005</x:v>
      </x:c>
      <x:c r="C35" s="39">
        <x:v>83.125</x:v>
      </x:c>
      <x:c r="D35" s="12">
        <x:f t="shared" si="14"/>
        <x:v>0</x:v>
      </x:c>
      <x:c r="E35" s="12">
        <x:f t="shared" ref="E35:E53" si="15">MAX(55-$C35,0)</x:f>
        <x:v>0</x:v>
      </x:c>
      <x:c r="F35" s="12">
        <x:f t="shared" ref="F35:F53" si="16">MAX(60-$C35,0)</x:f>
        <x:v>0</x:v>
      </x:c>
      <x:c r="G35" s="12">
        <x:f t="shared" ref="G35:G53" si="17">MAX(65-$C35,0)</x:f>
        <x:v>0</x:v>
      </x:c>
      <x:c r="H35" s="12">
        <x:f t="shared" ref="H35:H53" si="18">MAX($C35-50,0)</x:f>
        <x:v>33.125</x:v>
      </x:c>
      <x:c r="I35" s="12">
        <x:f t="shared" ref="I35:I53" si="19">MAX($C35-55,0)</x:f>
        <x:v>28.125</x:v>
      </x:c>
      <x:c r="J35" s="12">
        <x:f t="shared" ref="J35:J53" si="20">MAX($C35-60,0)</x:f>
        <x:v>23.125</x:v>
      </x:c>
      <x:c r="K35" s="12">
        <x:f t="shared" ref="K35:K53" si="21">MAX($C35-65,0)</x:f>
        <x:v>18.125</x:v>
      </x:c>
      <x:c r="L35" s="12">
        <x:f t="shared" ref="L35:L53" si="22">MAX($C35-70,0)</x:f>
        <x:v>13.125</x:v>
      </x:c>
      <x:c r="M35" s="12">
        <x:f t="shared" ref="M35:M53" si="23">MAX($C35-75,0)</x:f>
        <x:v>8.125</x:v>
      </x:c>
      <x:c r="N35" s="12">
        <x:f t="shared" ref="N35:N53" si="24">MAX($C35-80,0)</x:f>
        <x:v>3.125</x:v>
      </x:c>
      <x:c r="Q35" s="81"/>
      <x:c r="AB35" s="28"/>
    </x:row>
    <x:row r="36" spans="1:28" x14ac:dyDescent="0.25">
      <x:c r="A36">
        <x:f t="shared" si="12"/>
        <x:v>28</x:v>
      </x:c>
      <x:c r="B36" s="14">
        <x:v>2006</x:v>
      </x:c>
      <x:c r="C36" s="39">
        <x:v>86.7083333333333</x:v>
      </x:c>
      <x:c r="D36" s="12">
        <x:f t="shared" si="14"/>
        <x:v>0</x:v>
      </x:c>
      <x:c r="E36" s="12">
        <x:f t="shared" si="15"/>
        <x:v>0</x:v>
      </x:c>
      <x:c r="F36" s="12">
        <x:f t="shared" si="16"/>
        <x:v>0</x:v>
      </x:c>
      <x:c r="G36" s="12">
        <x:f t="shared" si="17"/>
        <x:v>0</x:v>
      </x:c>
      <x:c r="H36" s="12">
        <x:f t="shared" si="18"/>
        <x:v>36.7083333333333</x:v>
      </x:c>
      <x:c r="I36" s="12">
        <x:f t="shared" si="19"/>
        <x:v>31.7083333333333</x:v>
      </x:c>
      <x:c r="J36" s="12">
        <x:f t="shared" si="20"/>
        <x:v>26.7083333333333</x:v>
      </x:c>
      <x:c r="K36" s="12">
        <x:f t="shared" si="21"/>
        <x:v>21.7083333333333</x:v>
      </x:c>
      <x:c r="L36" s="12">
        <x:f t="shared" si="22"/>
        <x:v>16.7083333333333</x:v>
      </x:c>
      <x:c r="M36" s="12">
        <x:f t="shared" si="23"/>
        <x:v>11.7083333333333</x:v>
      </x:c>
      <x:c r="N36" s="12">
        <x:f t="shared" si="24"/>
        <x:v>6.7083333333333002</x:v>
      </x:c>
      <x:c r="Q36" s="81"/>
      <x:c r="AB36" s="28"/>
    </x:row>
    <x:row r="37" spans="1:28" x14ac:dyDescent="0.25">
      <x:c r="A37">
        <x:f t="shared" si="12"/>
        <x:v>29</x:v>
      </x:c>
      <x:c r="B37" s="14">
        <x:v>2007</x:v>
      </x:c>
      <x:c r="C37" s="39">
        <x:v>75.4583333333333</x:v>
      </x:c>
      <x:c r="D37" s="12">
        <x:f t="shared" si="14"/>
        <x:v>0</x:v>
      </x:c>
      <x:c r="E37" s="12">
        <x:f t="shared" si="15"/>
        <x:v>0</x:v>
      </x:c>
      <x:c r="F37" s="12">
        <x:f t="shared" si="16"/>
        <x:v>0</x:v>
      </x:c>
      <x:c r="G37" s="12">
        <x:f t="shared" si="17"/>
        <x:v>0</x:v>
      </x:c>
      <x:c r="H37" s="12">
        <x:f t="shared" si="18"/>
        <x:v>25.4583333333333</x:v>
      </x:c>
      <x:c r="I37" s="12">
        <x:f t="shared" si="19"/>
        <x:v>20.4583333333333</x:v>
      </x:c>
      <x:c r="J37" s="12">
        <x:f t="shared" si="20"/>
        <x:v>15.4583333333333</x:v>
      </x:c>
      <x:c r="K37" s="12">
        <x:f t="shared" si="21"/>
        <x:v>10.4583333333333</x:v>
      </x:c>
      <x:c r="L37" s="12">
        <x:f t="shared" si="22"/>
        <x:v>5.4583333333333002</x:v>
      </x:c>
      <x:c r="M37" s="12">
        <x:f t="shared" si="23"/>
        <x:v>0.45833333333330017</x:v>
      </x:c>
      <x:c r="N37" s="12">
        <x:f t="shared" si="24"/>
        <x:v>0</x:v>
      </x:c>
      <x:c r="Q37" s="81"/>
      <x:c r="AB37" s="28"/>
    </x:row>
    <x:row r="38" spans="1:28" x14ac:dyDescent="0.25">
      <x:c r="A38">
        <x:f t="shared" si="12"/>
        <x:v>30</x:v>
      </x:c>
      <x:c r="B38" s="14">
        <x:v>2008</x:v>
      </x:c>
      <x:c r="C38" s="39">
        <x:v>83.1</x:v>
      </x:c>
      <x:c r="D38" s="12">
        <x:f t="shared" si="14"/>
        <x:v>0</x:v>
      </x:c>
      <x:c r="E38" s="12">
        <x:f t="shared" si="15"/>
        <x:v>0</x:v>
      </x:c>
      <x:c r="F38" s="12">
        <x:f t="shared" si="16"/>
        <x:v>0</x:v>
      </x:c>
      <x:c r="G38" s="12">
        <x:f t="shared" si="17"/>
        <x:v>0</x:v>
      </x:c>
      <x:c r="H38" s="12">
        <x:f t="shared" si="18"/>
        <x:v>33.099999999999994</x:v>
      </x:c>
      <x:c r="I38" s="12">
        <x:f t="shared" si="19"/>
        <x:v>28.099999999999994</x:v>
      </x:c>
      <x:c r="J38" s="12">
        <x:f t="shared" si="20"/>
        <x:v>23.099999999999994</x:v>
      </x:c>
      <x:c r="K38" s="12">
        <x:f t="shared" si="21"/>
        <x:v>18.099999999999994</x:v>
      </x:c>
      <x:c r="L38" s="12">
        <x:f t="shared" si="22"/>
        <x:v>13.099999999999994</x:v>
      </x:c>
      <x:c r="M38" s="12">
        <x:f t="shared" si="23"/>
        <x:v>8.0999999999999943</x:v>
      </x:c>
      <x:c r="N38" s="12">
        <x:f t="shared" si="24"/>
        <x:v>3.0999999999999943</x:v>
      </x:c>
      <x:c r="Q38" s="81"/>
      <x:c r="AB38" s="28"/>
    </x:row>
    <x:row r="39" spans="1:28" x14ac:dyDescent="0.25">
      <x:c r="A39">
        <x:f t="shared" si="12"/>
        <x:v>31</x:v>
      </x:c>
      <x:c r="B39" s="14">
        <x:v>2009</x:v>
      </x:c>
      <x:c r="C39" s="39">
        <x:v>78.400000000000006</x:v>
      </x:c>
      <x:c r="D39" s="12">
        <x:f t="shared" si="14"/>
        <x:v>0</x:v>
      </x:c>
      <x:c r="E39" s="12">
        <x:f t="shared" si="15"/>
        <x:v>0</x:v>
      </x:c>
      <x:c r="F39" s="12">
        <x:f t="shared" si="16"/>
        <x:v>0</x:v>
      </x:c>
      <x:c r="G39" s="12">
        <x:f t="shared" si="17"/>
        <x:v>0</x:v>
      </x:c>
      <x:c r="H39" s="12">
        <x:f t="shared" si="18"/>
        <x:v>28.400000000000006</x:v>
      </x:c>
      <x:c r="I39" s="12">
        <x:f t="shared" si="19"/>
        <x:v>23.400000000000006</x:v>
      </x:c>
      <x:c r="J39" s="12">
        <x:f t="shared" si="20"/>
        <x:v>18.400000000000006</x:v>
      </x:c>
      <x:c r="K39" s="12">
        <x:f t="shared" si="21"/>
        <x:v>13.400000000000006</x:v>
      </x:c>
      <x:c r="L39" s="12">
        <x:f t="shared" si="22"/>
        <x:v>8.4000000000000057</x:v>
      </x:c>
      <x:c r="M39" s="12">
        <x:f t="shared" si="23"/>
        <x:v>3.4000000000000057</x:v>
      </x:c>
      <x:c r="N39" s="12">
        <x:f t="shared" si="24"/>
        <x:v>0</x:v>
      </x:c>
      <x:c r="Q39" s="81"/>
      <x:c r="AB39" s="28"/>
    </x:row>
    <x:row r="40" spans="1:28" x14ac:dyDescent="0.25">
      <x:c r="A40">
        <x:f t="shared" si="12"/>
        <x:v>32</x:v>
      </x:c>
      <x:c r="B40" s="14">
        <x:v>2010</x:v>
      </x:c>
      <x:c r="C40" s="39">
        <x:v>85.2</x:v>
      </x:c>
      <x:c r="D40" s="12">
        <x:f t="shared" si="14"/>
        <x:v>0</x:v>
      </x:c>
      <x:c r="E40" s="12">
        <x:f t="shared" si="15"/>
        <x:v>0</x:v>
      </x:c>
      <x:c r="F40" s="12">
        <x:f t="shared" si="16"/>
        <x:v>0</x:v>
      </x:c>
      <x:c r="G40" s="12">
        <x:f t="shared" si="17"/>
        <x:v>0</x:v>
      </x:c>
      <x:c r="H40" s="12">
        <x:f t="shared" si="18"/>
        <x:v>35.200000000000003</x:v>
      </x:c>
      <x:c r="I40" s="12">
        <x:f t="shared" si="19"/>
        <x:v>30.200000000000003</x:v>
      </x:c>
      <x:c r="J40" s="12">
        <x:f t="shared" si="20"/>
        <x:v>25.200000000000003</x:v>
      </x:c>
      <x:c r="K40" s="12">
        <x:f t="shared" si="21"/>
        <x:v>20.200000000000003</x:v>
      </x:c>
      <x:c r="L40" s="12">
        <x:f t="shared" si="22"/>
        <x:v>15.200000000000003</x:v>
      </x:c>
      <x:c r="M40" s="12">
        <x:f t="shared" si="23"/>
        <x:v>10.200000000000003</x:v>
      </x:c>
      <x:c r="N40" s="12">
        <x:f t="shared" si="24"/>
        <x:v>5.2000000000000028</x:v>
      </x:c>
      <x:c r="Q40" s="81"/>
      <x:c r="AB40" s="28"/>
    </x:row>
    <x:row r="41" spans="1:28" x14ac:dyDescent="0.25">
      <x:c r="A41">
        <x:f t="shared" si="12"/>
        <x:v>33</x:v>
      </x:c>
      <x:c r="B41" s="14">
        <x:v>2011</x:v>
      </x:c>
      <x:c r="C41" s="39">
        <x:v>88.6</x:v>
      </x:c>
      <x:c r="D41" s="12">
        <x:f t="shared" si="14"/>
        <x:v>0</x:v>
      </x:c>
      <x:c r="E41" s="12">
        <x:f t="shared" si="15"/>
        <x:v>0</x:v>
      </x:c>
      <x:c r="F41" s="12">
        <x:f t="shared" si="16"/>
        <x:v>0</x:v>
      </x:c>
      <x:c r="G41" s="12">
        <x:f t="shared" si="17"/>
        <x:v>0</x:v>
      </x:c>
      <x:c r="H41" s="12">
        <x:f t="shared" si="18"/>
        <x:v>38.599999999999994</x:v>
      </x:c>
      <x:c r="I41" s="12">
        <x:f t="shared" si="19"/>
        <x:v>33.599999999999994</x:v>
      </x:c>
      <x:c r="J41" s="12">
        <x:f t="shared" si="20"/>
        <x:v>28.599999999999994</x:v>
      </x:c>
      <x:c r="K41" s="12">
        <x:f t="shared" si="21"/>
        <x:v>23.599999999999994</x:v>
      </x:c>
      <x:c r="L41" s="12">
        <x:f t="shared" si="22"/>
        <x:v>18.599999999999994</x:v>
      </x:c>
      <x:c r="M41" s="12">
        <x:f t="shared" si="23"/>
        <x:v>13.599999999999994</x:v>
      </x:c>
      <x:c r="N41" s="12">
        <x:f t="shared" si="24"/>
        <x:v>8.5999999999999943</x:v>
      </x:c>
      <x:c r="Q41" s="81"/>
      <x:c r="AB41" s="28"/>
    </x:row>
    <x:row r="42" spans="1:28" x14ac:dyDescent="0.25">
      <x:c r="A42">
        <x:f t="shared" si="12"/>
        <x:v>34</x:v>
      </x:c>
      <x:c r="B42" s="14">
        <x:v>2012</x:v>
      </x:c>
      <x:c r="C42" s="39">
        <x:v>87.4</x:v>
      </x:c>
      <x:c r="D42" s="12">
        <x:f t="shared" si="14"/>
        <x:v>0</x:v>
      </x:c>
      <x:c r="E42" s="12">
        <x:f t="shared" si="15"/>
        <x:v>0</x:v>
      </x:c>
      <x:c r="F42" s="12">
        <x:f t="shared" si="16"/>
        <x:v>0</x:v>
      </x:c>
      <x:c r="G42" s="12">
        <x:f t="shared" si="17"/>
        <x:v>0</x:v>
      </x:c>
      <x:c r="H42" s="12">
        <x:f t="shared" si="18"/>
        <x:v>37.400000000000006</x:v>
      </x:c>
      <x:c r="I42" s="12">
        <x:f t="shared" si="19"/>
        <x:v>32.400000000000006</x:v>
      </x:c>
      <x:c r="J42" s="12">
        <x:f t="shared" si="20"/>
        <x:v>27.400000000000006</x:v>
      </x:c>
      <x:c r="K42" s="12">
        <x:f t="shared" si="21"/>
        <x:v>22.400000000000006</x:v>
      </x:c>
      <x:c r="L42" s="12">
        <x:f t="shared" si="22"/>
        <x:v>17.400000000000006</x:v>
      </x:c>
      <x:c r="M42" s="12">
        <x:f t="shared" si="23"/>
        <x:v>12.400000000000006</x:v>
      </x:c>
      <x:c r="N42" s="12">
        <x:f t="shared" si="24"/>
        <x:v>7.4000000000000057</x:v>
      </x:c>
      <x:c r="Q42" s="81"/>
      <x:c r="AB42" s="28"/>
    </x:row>
    <x:row r="43" spans="1:28" x14ac:dyDescent="0.25">
      <x:c r="A43">
        <x:f t="shared" si="12"/>
        <x:v>35</x:v>
      </x:c>
      <x:c r="B43" s="14">
        <x:v>2013</x:v>
      </x:c>
      <x:c r="C43" s="39">
        <x:v>81.7</x:v>
      </x:c>
      <x:c r="D43" s="12">
        <x:f t="shared" si="14"/>
        <x:v>0</x:v>
      </x:c>
      <x:c r="E43" s="12">
        <x:f t="shared" si="15"/>
        <x:v>0</x:v>
      </x:c>
      <x:c r="F43" s="12">
        <x:f t="shared" si="16"/>
        <x:v>0</x:v>
      </x:c>
      <x:c r="G43" s="12">
        <x:f t="shared" si="17"/>
        <x:v>0</x:v>
      </x:c>
      <x:c r="H43" s="12">
        <x:f t="shared" si="18"/>
        <x:v>31.700000000000003</x:v>
      </x:c>
      <x:c r="I43" s="12">
        <x:f t="shared" si="19"/>
        <x:v>26.700000000000003</x:v>
      </x:c>
      <x:c r="J43" s="12">
        <x:f t="shared" si="20"/>
        <x:v>21.700000000000003</x:v>
      </x:c>
      <x:c r="K43" s="12">
        <x:f t="shared" si="21"/>
        <x:v>16.700000000000003</x:v>
      </x:c>
      <x:c r="L43" s="12">
        <x:f t="shared" si="22"/>
        <x:v>11.700000000000003</x:v>
      </x:c>
      <x:c r="M43" s="12">
        <x:f t="shared" si="23"/>
        <x:v>6.7000000000000028</x:v>
      </x:c>
      <x:c r="N43" s="12">
        <x:f t="shared" si="24"/>
        <x:v>1.7000000000000028</x:v>
      </x:c>
      <x:c r="Q43" s="81"/>
      <x:c r="AB43" s="28"/>
    </x:row>
    <x:row r="44" spans="1:28" x14ac:dyDescent="0.25">
      <x:c r="A44">
        <x:f t="shared" ref="A44:A53" si="25">+A43+1</x:f>
        <x:v>36</x:v>
      </x:c>
      <x:c r="B44" s="14">
        <x:v>2014</x:v>
      </x:c>
      <x:c r="C44" s="39">
        <x:v>82.2</x:v>
      </x:c>
      <x:c r="D44" s="12">
        <x:f t="shared" si="14"/>
        <x:v>0</x:v>
      </x:c>
      <x:c r="E44" s="12">
        <x:f t="shared" si="15"/>
        <x:v>0</x:v>
      </x:c>
      <x:c r="F44" s="12">
        <x:f t="shared" si="16"/>
        <x:v>0</x:v>
      </x:c>
      <x:c r="G44" s="12">
        <x:f t="shared" si="17"/>
        <x:v>0</x:v>
      </x:c>
      <x:c r="H44" s="12">
        <x:f t="shared" si="18"/>
        <x:v>32.200000000000003</x:v>
      </x:c>
      <x:c r="I44" s="12">
        <x:f t="shared" si="19"/>
        <x:v>27.200000000000003</x:v>
      </x:c>
      <x:c r="J44" s="12">
        <x:f t="shared" si="20"/>
        <x:v>22.200000000000003</x:v>
      </x:c>
      <x:c r="K44" s="12">
        <x:f t="shared" si="21"/>
        <x:v>17.200000000000003</x:v>
      </x:c>
      <x:c r="L44" s="12">
        <x:f t="shared" si="22"/>
        <x:v>12.200000000000003</x:v>
      </x:c>
      <x:c r="M44" s="12">
        <x:f t="shared" si="23"/>
        <x:v>7.2000000000000028</x:v>
      </x:c>
      <x:c r="N44" s="12">
        <x:f t="shared" si="24"/>
        <x:v>2.2000000000000028</x:v>
      </x:c>
      <x:c r="Q44" s="81"/>
      <x:c r="AB44" s="28"/>
    </x:row>
    <x:row r="45" spans="1:28" x14ac:dyDescent="0.25">
      <x:c r="A45">
        <x:f t="shared" si="25"/>
        <x:v>37</x:v>
      </x:c>
      <x:c r="B45" s="14">
        <x:v>2015</x:v>
      </x:c>
      <x:c r="C45" s="39">
        <x:v>86.3</x:v>
      </x:c>
      <x:c r="D45" s="12">
        <x:f t="shared" si="14"/>
        <x:v>0</x:v>
      </x:c>
      <x:c r="E45" s="12">
        <x:f t="shared" si="15"/>
        <x:v>0</x:v>
      </x:c>
      <x:c r="F45" s="12">
        <x:f t="shared" si="16"/>
        <x:v>0</x:v>
      </x:c>
      <x:c r="G45" s="12">
        <x:f t="shared" si="17"/>
        <x:v>0</x:v>
      </x:c>
      <x:c r="H45" s="12">
        <x:f t="shared" si="18"/>
        <x:v>36.299999999999997</x:v>
      </x:c>
      <x:c r="I45" s="12">
        <x:f t="shared" si="19"/>
        <x:v>31.299999999999997</x:v>
      </x:c>
      <x:c r="J45" s="12">
        <x:f t="shared" si="20"/>
        <x:v>26.299999999999997</x:v>
      </x:c>
      <x:c r="K45" s="12">
        <x:f t="shared" si="21"/>
        <x:v>21.299999999999997</x:v>
      </x:c>
      <x:c r="L45" s="12">
        <x:f t="shared" si="22"/>
        <x:v>16.299999999999997</x:v>
      </x:c>
      <x:c r="M45" s="12">
        <x:f t="shared" si="23"/>
        <x:v>11.299999999999997</x:v>
      </x:c>
      <x:c r="N45" s="12">
        <x:f t="shared" si="24"/>
        <x:v>6.2999999999999972</x:v>
      </x:c>
      <x:c r="Q45" s="81"/>
      <x:c r="AB45" s="28"/>
    </x:row>
    <x:row r="46" spans="1:28" x14ac:dyDescent="0.25">
      <x:c r="A46">
        <x:f t="shared" si="25"/>
        <x:v>38</x:v>
      </x:c>
      <x:c r="B46" s="14">
        <x:v>2016</x:v>
      </x:c>
      <x:c r="C46" s="39">
        <x:v>86.5</x:v>
      </x:c>
      <x:c r="D46" s="12">
        <x:f t="shared" si="14"/>
        <x:v>0</x:v>
      </x:c>
      <x:c r="E46" s="12">
        <x:f t="shared" si="15"/>
        <x:v>0</x:v>
      </x:c>
      <x:c r="F46" s="12">
        <x:f t="shared" si="16"/>
        <x:v>0</x:v>
      </x:c>
      <x:c r="G46" s="12">
        <x:f t="shared" si="17"/>
        <x:v>0</x:v>
      </x:c>
      <x:c r="H46" s="12">
        <x:f t="shared" si="18"/>
        <x:v>36.5</x:v>
      </x:c>
      <x:c r="I46" s="12">
        <x:f t="shared" si="19"/>
        <x:v>31.5</x:v>
      </x:c>
      <x:c r="J46" s="12">
        <x:f t="shared" si="20"/>
        <x:v>26.5</x:v>
      </x:c>
      <x:c r="K46" s="12">
        <x:f t="shared" si="21"/>
        <x:v>21.5</x:v>
      </x:c>
      <x:c r="L46" s="12">
        <x:f t="shared" si="22"/>
        <x:v>16.5</x:v>
      </x:c>
      <x:c r="M46" s="12">
        <x:f t="shared" si="23"/>
        <x:v>11.5</x:v>
      </x:c>
      <x:c r="N46" s="12">
        <x:f t="shared" si="24"/>
        <x:v>6.5</x:v>
      </x:c>
      <x:c r="Q46" s="81"/>
      <x:c r="AB46" s="28"/>
    </x:row>
    <x:row r="47" spans="1:28" x14ac:dyDescent="0.25">
      <x:c r="A47">
        <x:f t="shared" si="25"/>
        <x:v>39</x:v>
      </x:c>
      <x:c r="B47" s="14">
        <x:v>2017</x:v>
      </x:c>
      <x:c r="C47" s="39">
        <x:v>86</x:v>
      </x:c>
      <x:c r="D47" s="12">
        <x:f t="shared" si="14"/>
        <x:v>0</x:v>
      </x:c>
      <x:c r="E47" s="12">
        <x:f t="shared" si="15"/>
        <x:v>0</x:v>
      </x:c>
      <x:c r="F47" s="12">
        <x:f t="shared" si="16"/>
        <x:v>0</x:v>
      </x:c>
      <x:c r="G47" s="12">
        <x:f t="shared" si="17"/>
        <x:v>0</x:v>
      </x:c>
      <x:c r="H47" s="12">
        <x:f t="shared" si="18"/>
        <x:v>36</x:v>
      </x:c>
      <x:c r="I47" s="12">
        <x:f t="shared" si="19"/>
        <x:v>31</x:v>
      </x:c>
      <x:c r="J47" s="12">
        <x:f t="shared" si="20"/>
        <x:v>26</x:v>
      </x:c>
      <x:c r="K47" s="12">
        <x:f t="shared" si="21"/>
        <x:v>21</x:v>
      </x:c>
      <x:c r="L47" s="12">
        <x:f t="shared" si="22"/>
        <x:v>16</x:v>
      </x:c>
      <x:c r="M47" s="12">
        <x:f t="shared" si="23"/>
        <x:v>11</x:v>
      </x:c>
      <x:c r="N47" s="12">
        <x:f t="shared" si="24"/>
        <x:v>6</x:v>
      </x:c>
      <x:c r="Q47" s="81"/>
      <x:c r="AB47" s="28"/>
    </x:row>
    <x:row r="48" spans="1:28" x14ac:dyDescent="0.25">
      <x:c r="A48">
        <x:f t="shared" si="25"/>
        <x:v>40</x:v>
      </x:c>
      <x:c r="B48" s="14">
        <x:v>2018</x:v>
      </x:c>
      <x:c r="C48" s="39">
        <x:v>92</x:v>
      </x:c>
      <x:c r="D48" s="12">
        <x:f t="shared" si="14"/>
        <x:v>0</x:v>
      </x:c>
      <x:c r="E48" s="12">
        <x:f t="shared" si="15"/>
        <x:v>0</x:v>
      </x:c>
      <x:c r="F48" s="12">
        <x:f t="shared" si="16"/>
        <x:v>0</x:v>
      </x:c>
      <x:c r="G48" s="12">
        <x:f t="shared" si="17"/>
        <x:v>0</x:v>
      </x:c>
      <x:c r="H48" s="12">
        <x:f t="shared" si="18"/>
        <x:v>42</x:v>
      </x:c>
      <x:c r="I48" s="12">
        <x:f t="shared" si="19"/>
        <x:v>37</x:v>
      </x:c>
      <x:c r="J48" s="12">
        <x:f t="shared" si="20"/>
        <x:v>32</x:v>
      </x:c>
      <x:c r="K48" s="12">
        <x:f t="shared" si="21"/>
        <x:v>27</x:v>
      </x:c>
      <x:c r="L48" s="12">
        <x:f t="shared" si="22"/>
        <x:v>22</x:v>
      </x:c>
      <x:c r="M48" s="12">
        <x:f t="shared" si="23"/>
        <x:v>17</x:v>
      </x:c>
      <x:c r="N48" s="12">
        <x:f t="shared" si="24"/>
        <x:v>12</x:v>
      </x:c>
      <x:c r="Q48" s="81"/>
      <x:c r="AB48" s="28"/>
    </x:row>
    <x:row r="49" spans="1:32" x14ac:dyDescent="0.25">
      <x:c r="A49">
        <x:f t="shared" si="25"/>
        <x:v>41</x:v>
      </x:c>
      <x:c r="B49" s="14">
        <x:v>2019</x:v>
      </x:c>
      <x:c r="C49" s="39">
        <x:v>87.5</x:v>
      </x:c>
      <x:c r="D49" s="12">
        <x:f t="shared" si="14"/>
        <x:v>0</x:v>
      </x:c>
      <x:c r="E49" s="12">
        <x:f t="shared" si="15"/>
        <x:v>0</x:v>
      </x:c>
      <x:c r="F49" s="12">
        <x:f t="shared" si="16"/>
        <x:v>0</x:v>
      </x:c>
      <x:c r="G49" s="12">
        <x:f t="shared" si="17"/>
        <x:v>0</x:v>
      </x:c>
      <x:c r="H49" s="12">
        <x:f t="shared" si="18"/>
        <x:v>37.5</x:v>
      </x:c>
      <x:c r="I49" s="12">
        <x:f t="shared" si="19"/>
        <x:v>32.5</x:v>
      </x:c>
      <x:c r="J49" s="12">
        <x:f t="shared" si="20"/>
        <x:v>27.5</x:v>
      </x:c>
      <x:c r="K49" s="12">
        <x:f t="shared" si="21"/>
        <x:v>22.5</x:v>
      </x:c>
      <x:c r="L49" s="12">
        <x:f t="shared" si="22"/>
        <x:v>17.5</x:v>
      </x:c>
      <x:c r="M49" s="12">
        <x:f t="shared" si="23"/>
        <x:v>12.5</x:v>
      </x:c>
      <x:c r="N49" s="12">
        <x:f t="shared" si="24"/>
        <x:v>7.5</x:v>
      </x:c>
      <x:c r="Q49" s="81"/>
      <x:c r="AB49" s="28"/>
    </x:row>
    <x:row r="50" spans="1:32" x14ac:dyDescent="0.25">
      <x:c r="A50">
        <x:f t="shared" si="25"/>
        <x:v>42</x:v>
      </x:c>
      <x:c r="B50" s="14">
        <x:v>2020</x:v>
      </x:c>
      <x:c r="C50" s="39">
        <x:v>85.8</x:v>
      </x:c>
      <x:c r="D50" s="12">
        <x:f t="shared" si="14"/>
        <x:v>0</x:v>
      </x:c>
      <x:c r="E50" s="12">
        <x:f t="shared" si="15"/>
        <x:v>0</x:v>
      </x:c>
      <x:c r="F50" s="12">
        <x:f t="shared" si="16"/>
        <x:v>0</x:v>
      </x:c>
      <x:c r="G50" s="12">
        <x:f t="shared" si="17"/>
        <x:v>0</x:v>
      </x:c>
      <x:c r="H50" s="12">
        <x:f t="shared" si="18"/>
        <x:v>35.799999999999997</x:v>
      </x:c>
      <x:c r="I50" s="12">
        <x:f t="shared" si="19"/>
        <x:v>30.799999999999997</x:v>
      </x:c>
      <x:c r="J50" s="12">
        <x:f t="shared" si="20"/>
        <x:v>25.799999999999997</x:v>
      </x:c>
      <x:c r="K50" s="12">
        <x:f t="shared" si="21"/>
        <x:v>20.799999999999997</x:v>
      </x:c>
      <x:c r="L50" s="12">
        <x:f t="shared" si="22"/>
        <x:v>15.799999999999997</x:v>
      </x:c>
      <x:c r="M50" s="12">
        <x:f t="shared" si="23"/>
        <x:v>10.799999999999997</x:v>
      </x:c>
      <x:c r="N50" s="12">
        <x:f t="shared" si="24"/>
        <x:v>5.7999999999999972</x:v>
      </x:c>
      <x:c r="Q50" s="81"/>
      <x:c r="AB50" s="28"/>
    </x:row>
    <x:row r="51" spans="1:32" x14ac:dyDescent="0.25">
      <x:c r="A51">
        <x:f t="shared" si="25"/>
        <x:v>43</x:v>
      </x:c>
      <x:c r="B51" s="14">
        <x:v>2021</x:v>
      </x:c>
      <x:c r="C51" s="39">
        <x:v>79.400000000000006</x:v>
      </x:c>
      <x:c r="D51" s="12">
        <x:f t="shared" si="14"/>
        <x:v>0</x:v>
      </x:c>
      <x:c r="E51" s="12">
        <x:f t="shared" si="15"/>
        <x:v>0</x:v>
      </x:c>
      <x:c r="F51" s="12">
        <x:f t="shared" si="16"/>
        <x:v>0</x:v>
      </x:c>
      <x:c r="G51" s="12">
        <x:f t="shared" si="17"/>
        <x:v>0</x:v>
      </x:c>
      <x:c r="H51" s="12">
        <x:f t="shared" si="18"/>
        <x:v>29.400000000000006</x:v>
      </x:c>
      <x:c r="I51" s="12">
        <x:f t="shared" si="19"/>
        <x:v>24.400000000000006</x:v>
      </x:c>
      <x:c r="J51" s="12">
        <x:f t="shared" si="20"/>
        <x:v>19.400000000000006</x:v>
      </x:c>
      <x:c r="K51" s="12">
        <x:f t="shared" si="21"/>
        <x:v>14.400000000000006</x:v>
      </x:c>
      <x:c r="L51" s="12">
        <x:f t="shared" si="22"/>
        <x:v>9.4000000000000057</x:v>
      </x:c>
      <x:c r="M51" s="12">
        <x:f t="shared" si="23"/>
        <x:v>4.4000000000000057</x:v>
      </x:c>
      <x:c r="N51" s="12">
        <x:f t="shared" si="24"/>
        <x:v>0</x:v>
      </x:c>
      <x:c r="Q51" s="81"/>
      <x:c r="AB51" s="28"/>
    </x:row>
    <x:row r="52" spans="1:32" x14ac:dyDescent="0.25">
      <x:c r="A52">
        <x:f t="shared" si="25"/>
        <x:v>44</x:v>
      </x:c>
      <x:c r="B52" s="14">
        <x:v>2022</x:v>
      </x:c>
      <x:c r="C52" s="39">
        <x:v>96.100000000000009</x:v>
      </x:c>
      <x:c r="D52" s="12">
        <x:f t="shared" si="14"/>
        <x:v>0</x:v>
      </x:c>
      <x:c r="E52" s="12">
        <x:f t="shared" si="15"/>
        <x:v>0</x:v>
      </x:c>
      <x:c r="F52" s="12">
        <x:f t="shared" si="16"/>
        <x:v>0</x:v>
      </x:c>
      <x:c r="G52" s="12">
        <x:f t="shared" si="17"/>
        <x:v>0</x:v>
      </x:c>
      <x:c r="H52" s="12">
        <x:f t="shared" si="18"/>
        <x:v>46.100000000000009</x:v>
      </x:c>
      <x:c r="I52" s="12">
        <x:f t="shared" si="19"/>
        <x:v>41.100000000000009</x:v>
      </x:c>
      <x:c r="J52" s="12">
        <x:f t="shared" si="20"/>
        <x:v>36.100000000000009</x:v>
      </x:c>
      <x:c r="K52" s="12">
        <x:f t="shared" si="21"/>
        <x:v>31.100000000000009</x:v>
      </x:c>
      <x:c r="L52" s="12">
        <x:f t="shared" si="22"/>
        <x:v>26.100000000000009</x:v>
      </x:c>
      <x:c r="M52" s="12">
        <x:f t="shared" si="23"/>
        <x:v>21.100000000000009</x:v>
      </x:c>
      <x:c r="N52" s="12">
        <x:f t="shared" si="24"/>
        <x:v>16.100000000000009</x:v>
      </x:c>
      <x:c r="Q52" s="81"/>
      <x:c r="AB52" s="28"/>
    </x:row>
    <x:row r="53" spans="1:32" x14ac:dyDescent="0.25">
      <x:c r="A53">
        <x:f t="shared" si="25"/>
        <x:v>45</x:v>
      </x:c>
      <x:c r="B53" s="14">
        <x:v>2023</x:v>
      </x:c>
      <x:c r="C53" s="39">
        <x:v>90.3</x:v>
      </x:c>
      <x:c r="D53" s="12">
        <x:f t="shared" si="14"/>
        <x:v>0</x:v>
      </x:c>
      <x:c r="E53" s="12">
        <x:f t="shared" si="15"/>
        <x:v>0</x:v>
      </x:c>
      <x:c r="F53" s="12">
        <x:f t="shared" si="16"/>
        <x:v>0</x:v>
      </x:c>
      <x:c r="G53" s="12">
        <x:f t="shared" si="17"/>
        <x:v>0</x:v>
      </x:c>
      <x:c r="H53" s="12">
        <x:f t="shared" si="18"/>
        <x:v>40.299999999999997</x:v>
      </x:c>
      <x:c r="I53" s="12">
        <x:f t="shared" si="19"/>
        <x:v>35.299999999999997</x:v>
      </x:c>
      <x:c r="J53" s="12">
        <x:f t="shared" si="20"/>
        <x:v>30.299999999999997</x:v>
      </x:c>
      <x:c r="K53" s="12">
        <x:f t="shared" si="21"/>
        <x:v>25.299999999999997</x:v>
      </x:c>
      <x:c r="L53" s="12">
        <x:f t="shared" si="22"/>
        <x:v>20.299999999999997</x:v>
      </x:c>
      <x:c r="M53" s="12">
        <x:f t="shared" si="23"/>
        <x:v>15.299999999999997</x:v>
      </x:c>
      <x:c r="N53" s="12">
        <x:f t="shared" si="24"/>
        <x:v>10.299999999999997</x:v>
      </x:c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  <x:c r="AE53" s="12"/>
      <x:c r="AF53" s="12"/>
    </x:row>
    <x:row r="54" spans="1:32" x14ac:dyDescent="0.25">
      <x:c r="B54" s="14"/>
      <x:c r="C54" s="22" t="s">
        <x:v>75</x:v>
      </x:c>
      <x:c r="D54" s="47">
        <x:f t="shared" ref="D54" si="26">AVERAGE(D34:D53)</x:f>
        <x:v>0</x:v>
      </x:c>
      <x:c r="E54" s="47">
        <x:f t="shared" ref="E54:N54" si="27">AVERAGE(E34:E53)</x:f>
        <x:v>0</x:v>
      </x:c>
      <x:c r="F54" s="47">
        <x:f t="shared" si="27"/>
        <x:v>0</x:v>
      </x:c>
      <x:c r="G54" s="47">
        <x:f t="shared" si="27"/>
        <x:v>0</x:v>
      </x:c>
      <x:c r="H54" s="47">
        <x:f t="shared" si="27"/>
        <x:v>35.264583333333327</x:v>
      </x:c>
      <x:c r="I54" s="47">
        <x:f t="shared" si="27"/>
        <x:v>30.264583333333331</x:v>
      </x:c>
      <x:c r="J54" s="47">
        <x:f t="shared" si="27"/>
        <x:v>25.264583333333334</x:v>
      </x:c>
      <x:c r="K54" s="47">
        <x:f t="shared" si="27"/>
        <x:v>20.264583333333334</x:v>
      </x:c>
      <x:c r="L54" s="47">
        <x:f t="shared" si="27"/>
        <x:v>15.264583333333334</x:v>
      </x:c>
      <x:c r="M54" s="47">
        <x:f t="shared" si="27"/>
        <x:v>10.264583333333331</x:v>
      </x:c>
      <x:c r="N54" s="47">
        <x:f t="shared" si="27"/>
        <x:v>5.6016666666666648</x:v>
      </x:c>
      <x:c r="Q54" s="84"/>
    </x:row>
    <x:row r="55" spans="1:32" x14ac:dyDescent="0.25">
      <x:c r="B55" s="14"/>
      <x:c r="C55" s="14"/>
      <x:c r="D55" s="14"/>
      <x:c r="E55" s="15"/>
    </x:row>
    <x:row r="56" spans="1:32" x14ac:dyDescent="0.25">
      <x:c r="B56" s="14"/>
      <x:c r="C56" s="14"/>
      <x:c r="D56" s="14"/>
      <x:c r="E56" s="15"/>
    </x:row>
    <x:row r="57" spans="1:32" x14ac:dyDescent="0.25">
      <x:c r="B57" s="14"/>
      <x:c r="C57" s="14"/>
      <x:c r="D57" s="14"/>
      <x:c r="E57" s="15"/>
    </x:row>
    <x:row r="58" spans="1:32" x14ac:dyDescent="0.25">
      <x:c r="B58" s="14"/>
      <x:c r="C58" s="14"/>
      <x:c r="D58" s="14"/>
      <x:c r="E58" s="15"/>
    </x:row>
    <x:row r="59" spans="1:32" x14ac:dyDescent="0.25">
      <x:c r="B59" s="14"/>
      <x:c r="C59" s="14"/>
      <x:c r="D59" s="14"/>
      <x:c r="E59" s="15"/>
    </x:row>
    <x:row r="60" spans="1:32" x14ac:dyDescent="0.25">
      <x:c r="B60" s="14"/>
      <x:c r="C60" s="14"/>
      <x:c r="D60" s="14"/>
      <x:c r="E60" s="15"/>
    </x:row>
    <x:row r="61" spans="1:32" x14ac:dyDescent="0.25">
      <x:c r="B61" s="14"/>
      <x:c r="C61" s="14"/>
      <x:c r="D61" s="14"/>
      <x:c r="E61" s="15"/>
    </x:row>
    <x:row r="62" spans="1:32" x14ac:dyDescent="0.25">
      <x:c r="B62" s="14"/>
      <x:c r="C62" s="14"/>
      <x:c r="D62" s="14"/>
      <x:c r="E62" s="15"/>
    </x:row>
    <x:row r="63" spans="1:32" x14ac:dyDescent="0.25">
      <x:c r="B63" s="14"/>
      <x:c r="C63" s="14"/>
      <x:c r="D63" s="14"/>
      <x:c r="E63" s="15"/>
    </x:row>
    <x:row r="64" spans="1:32" x14ac:dyDescent="0.25">
      <x:c r="B64" s="14"/>
      <x:c r="C64" s="14"/>
      <x:c r="D64" s="14"/>
      <x:c r="E64" s="15"/>
    </x:row>
    <x:row r="65" spans="2:5" x14ac:dyDescent="0.25">
      <x:c r="B65" s="14"/>
      <x:c r="C65" s="14"/>
      <x:c r="D65" s="14"/>
      <x:c r="E65" s="15"/>
    </x:row>
    <x:row r="66" spans="2:5" x14ac:dyDescent="0.25">
      <x:c r="B66" s="14"/>
      <x:c r="C66" s="14"/>
      <x:c r="D66" s="14"/>
      <x:c r="E66" s="15"/>
    </x:row>
    <x:row r="67" spans="2:5" x14ac:dyDescent="0.25">
      <x:c r="B67" s="14"/>
      <x:c r="C67" s="14"/>
      <x:c r="D67" s="14"/>
      <x:c r="E67" s="15"/>
    </x:row>
    <x:row r="68" spans="2:5" x14ac:dyDescent="0.25">
      <x:c r="B68" s="14"/>
      <x:c r="C68" s="14"/>
      <x:c r="D68" s="14"/>
      <x:c r="E68" s="15"/>
    </x:row>
    <x:row r="69" spans="2:5" x14ac:dyDescent="0.25">
      <x:c r="B69" s="14"/>
      <x:c r="C69" s="14"/>
      <x:c r="D69" s="14"/>
      <x:c r="E69" s="15"/>
    </x:row>
    <x:row r="70" spans="2:5" x14ac:dyDescent="0.25">
      <x:c r="B70" s="14"/>
      <x:c r="C70" s="14"/>
      <x:c r="D70" s="14"/>
      <x:c r="E70" s="15"/>
    </x:row>
    <x:row r="71" spans="2:5" x14ac:dyDescent="0.25">
      <x:c r="B71" s="14"/>
      <x:c r="C71" s="14"/>
      <x:c r="D71" s="14"/>
      <x:c r="E71" s="15"/>
    </x:row>
    <x:row r="72" spans="2:5" x14ac:dyDescent="0.25">
      <x:c r="B72" s="14"/>
      <x:c r="C72" s="14"/>
      <x:c r="D72" s="14"/>
      <x:c r="E72" s="15"/>
    </x:row>
    <x:row r="73" spans="2:5" x14ac:dyDescent="0.25">
      <x:c r="B73" s="14"/>
      <x:c r="C73" s="14"/>
      <x:c r="D73" s="14"/>
    </x:row>
  </x:sheetData>
  <x:mergeCells count="6">
    <x:mergeCell ref="B8:N8"/>
    <x:mergeCell ref="B1:N1"/>
    <x:mergeCell ref="B2:N2"/>
    <x:mergeCell ref="B3:N3"/>
    <x:mergeCell ref="B4:N4"/>
    <x:mergeCell ref="B6:N6"/>
  </x:mergeCells>
  <x:pageMargins left="0.75" right="0.75" top="1" bottom="1" header="0.5" footer="0.5"/>
  <x:pageSetup scale="84" firstPageNumber="3" orientation="portrait" r:id="rId1"/>
  <x:headerFooter alignWithMargins="0">
    <x:oddHeader>&amp;RSchedule II-H-5.1
Page &amp;P of  25</x:oddHeader>
  </x:headerFooter>
</x:worksheet>
</file>

<file path=xl/worksheets/sheet2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800-000000000000}" mc:Ignorable="x14ac xr xr2 xr3">
  <x:sheetPr>
    <x:pageSetUpPr fitToPage="1"/>
  </x:sheetPr>
  <x:dimension ref="A1:AA73"/>
  <x:sheetViews>
    <x:sheetView zoomScaleNormal="100" workbookViewId="0"/>
  </x:sheetViews>
  <x:sheetFormatPr defaultRowHeight="13.2" x14ac:dyDescent="0.25"/>
  <x:cols>
    <x:col min="2" max="2" width="5" bestFit="1" customWidth="1"/>
    <x:col min="3" max="3" width="9.21875" bestFit="1" customWidth="1"/>
    <x:col min="4" max="6" width="6.88671875" bestFit="1" customWidth="1"/>
    <x:col min="7" max="9" width="6.88671875" customWidth="1"/>
    <x:col min="10" max="14" width="7" bestFit="1" customWidth="1"/>
    <x:col min="27" max="27" width="9.88671875" bestFit="1" customWidth="1"/>
  </x:cols>
  <x:sheetData>
    <x:row r="1" spans="1:27" s="2" customFormat="1" ht="15.6" x14ac:dyDescent="0.3">
      <x:c r="A1" s="1"/>
      <x:c r="B1" s="88" t="str">
        <x:f>+Base45h!B1</x:f>
        <x:v xml:space="preserve">PUC DOCKET NO. </x:v>
      </x:c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</x:row>
    <x:row r="2" spans="1:27" s="2" customFormat="1" ht="15.6" x14ac:dyDescent="0.3">
      <x:c r="A2" s="1"/>
      <x:c r="B2" s="88" t="str">
        <x:f>+Base45h!B2</x:f>
        <x:v>ONCOR ELECTRIC DELIVERY COMPANY LLC</x:v>
      </x:c>
      <x:c r="C2" s="92"/>
      <x:c r="D2" s="92"/>
      <x:c r="E2" s="92"/>
      <x:c r="F2" s="92"/>
      <x:c r="G2" s="92"/>
      <x:c r="H2" s="92"/>
      <x:c r="I2" s="92"/>
      <x:c r="J2" s="92"/>
      <x:c r="K2" s="92"/>
      <x:c r="L2" s="92"/>
      <x:c r="M2" s="92"/>
      <x:c r="N2" s="92"/>
    </x:row>
    <x:row r="3" spans="1:27" s="2" customFormat="1" ht="15.6" x14ac:dyDescent="0.3">
      <x:c r="A3" s="1"/>
      <x:c r="B3" s="88" t="str">
        <x:f>+Base45h!B3</x:f>
        <x:v>WEATHER STATION DATA</x:v>
      </x:c>
      <x:c r="C3" s="92"/>
      <x:c r="D3" s="92"/>
      <x:c r="E3" s="92"/>
      <x:c r="F3" s="92"/>
      <x:c r="G3" s="92"/>
      <x:c r="H3" s="92"/>
      <x:c r="I3" s="92"/>
      <x:c r="J3" s="92"/>
      <x:c r="K3" s="92"/>
      <x:c r="L3" s="92"/>
      <x:c r="M3" s="92"/>
      <x:c r="N3" s="92"/>
    </x:row>
    <x:row r="4" spans="1:27" s="2" customFormat="1" ht="15.6" x14ac:dyDescent="0.3">
      <x:c r="A4" s="1"/>
      <x:c r="B4" s="88" t="str">
        <x:f>+Base45h!B4</x:f>
        <x:v>FOR THE TEST YEAR ENDING DECEMBER 31, 2024</x:v>
      </x:c>
      <x:c r="C4" s="92"/>
      <x:c r="D4" s="92"/>
      <x:c r="E4" s="92"/>
      <x:c r="F4" s="92"/>
      <x:c r="G4" s="92"/>
      <x:c r="H4" s="92"/>
      <x:c r="I4" s="92"/>
      <x:c r="J4" s="92"/>
      <x:c r="K4" s="92"/>
      <x:c r="L4" s="92"/>
      <x:c r="M4" s="92"/>
      <x:c r="N4" s="92"/>
    </x:row>
    <x:row r="5" spans="1:27" s="2" customFormat="1" ht="11.4" x14ac:dyDescent="0.2">
      <x:c r="A5" s="1"/>
      <x:c r="B5" s="1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M5" s="17"/>
      <x:c r="N5" s="17"/>
    </x:row>
    <x:row r="6" spans="1:27" s="2" customFormat="1" ht="15.6" x14ac:dyDescent="0.3">
      <x:c r="A6" s="1"/>
      <x:c r="B6" s="88" t="str">
        <x:f>+Base45h!B6</x:f>
        <x:v>SPONSOR: D. E. NELSON</x:v>
      </x:c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</x:row>
    <x:row r="8" spans="1:27" ht="15.6" x14ac:dyDescent="0.3">
      <x:c r="B8" s="88" t="s">
        <x:v>91</x:v>
      </x:c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</x:row>
    <x:row r="9" spans="1:27" ht="24" thickBot="1" x14ac:dyDescent="0.3">
      <x:c r="A9" s="3" t="s">
        <x:v>4</x:v>
      </x:c>
      <x:c r="B9" s="13"/>
      <x:c r="C9" s="13"/>
      <x:c r="D9" s="13"/>
    </x:row>
    <x:row r="10" spans="1:27" x14ac:dyDescent="0.25">
      <x:c r="A10">
        <x:v>1</x:v>
      </x:c>
      <x:c r="B10" t="s">
        <x:v>58</x:v>
      </x:c>
      <x:c r="C10" s="38" t="s">
        <x:v>115</x:v>
      </x:c>
      <x:c r="D10" s="54" t="s">
        <x:v>60</x:v>
      </x:c>
      <x:c r="E10" s="10" t="s">
        <x:v>102</x:v>
      </x:c>
      <x:c r="F10" s="10" t="s">
        <x:v>61</x:v>
      </x:c>
      <x:c r="G10" s="77" t="s">
        <x:v>106</x:v>
      </x:c>
      <x:c r="H10" s="79" t="s">
        <x:v>88</x:v>
      </x:c>
      <x:c r="I10" s="79" t="s">
        <x:v>107</x:v>
      </x:c>
      <x:c r="J10" s="79" t="s">
        <x:v>98</x:v>
      </x:c>
      <x:c r="K10" s="27" t="s">
        <x:v>62</x:v>
      </x:c>
      <x:c r="L10" s="27" t="s">
        <x:v>63</x:v>
      </x:c>
      <x:c r="M10" s="27" t="s">
        <x:v>64</x:v>
      </x:c>
      <x:c r="N10" s="27" t="s">
        <x:v>89</x:v>
      </x:c>
    </x:row>
    <x:row r="11" spans="1:27" x14ac:dyDescent="0.25">
      <x:c r="A11">
        <x:v>3</x:v>
      </x:c>
      <x:c r="B11" s="14">
        <x:v>2004</x:v>
      </x:c>
      <x:c r="C11" s="39">
        <x:v>53.7916666666667</x:v>
      </x:c>
      <x:c r="D11" s="12">
        <x:f t="shared" ref="D11:D30" si="0">MAX(45-$C11,0)</x:f>
        <x:v>0</x:v>
      </x:c>
      <x:c r="E11" s="12">
        <x:f>MAX(55-$C11,0)</x:f>
        <x:v>1.2083333333333002</x:v>
      </x:c>
      <x:c r="F11" s="12">
        <x:f>MAX(60-$C11,0)</x:f>
        <x:v>6.2083333333333002</x:v>
      </x:c>
      <x:c r="G11" s="12">
        <x:f>MAX(65-$C11,0)</x:f>
        <x:v>11.2083333333333</x:v>
      </x:c>
      <x:c r="H11" s="12">
        <x:f>MAX($C11-50,0)</x:f>
        <x:v>3.7916666666666998</x:v>
      </x:c>
      <x:c r="I11" s="12">
        <x:f>MAX($C11-55,0)</x:f>
        <x:v>0</x:v>
      </x:c>
      <x:c r="J11" s="12">
        <x:f>MAX($C11-60,0)</x:f>
        <x:v>0</x:v>
      </x:c>
      <x:c r="K11" s="12">
        <x:f>MAX($C11-65,0)</x:f>
        <x:v>0</x:v>
      </x:c>
      <x:c r="L11" s="12">
        <x:f>MAX($C11-70,0)</x:f>
        <x:v>0</x:v>
      </x:c>
      <x:c r="M11" s="12">
        <x:f>MAX($C11-75,0)</x:f>
        <x:v>0</x:v>
      </x:c>
      <x:c r="N11" s="12">
        <x:f>MAX($C11-80,0)</x:f>
        <x:v>0</x:v>
      </x:c>
      <x:c r="P11" s="12"/>
      <x:c r="Q11" s="12"/>
      <x:c r="AA11" s="28">
        <x:f t="shared" ref="AA11:AA30" si="1">+(7*10^6)+(B11*100)+29</x:f>
        <x:v>7200429</x:v>
      </x:c>
    </x:row>
    <x:row r="12" spans="1:27" x14ac:dyDescent="0.25">
      <x:c r="A12">
        <x:f t="shared" ref="A12:A53" si="2">+A11+1</x:f>
        <x:v>4</x:v>
      </x:c>
      <x:c r="B12" s="14">
        <x:v>2005</x:v>
      </x:c>
      <x:c r="C12" s="39">
        <x:v>41.8333333333333</x:v>
      </x:c>
      <x:c r="D12" s="12">
        <x:f t="shared" si="0"/>
        <x:v>3.1666666666666998</x:v>
      </x:c>
      <x:c r="E12" s="12">
        <x:f t="shared" ref="E12:E30" si="3">MAX(55-$C12,0)</x:f>
        <x:v>13.1666666666667</x:v>
      </x:c>
      <x:c r="F12" s="12">
        <x:f t="shared" ref="F12:F30" si="4">MAX(60-$C12,0)</x:f>
        <x:v>18.1666666666667</x:v>
      </x:c>
      <x:c r="G12" s="12">
        <x:f t="shared" ref="G12:G30" si="5">MAX(65-$C12,0)</x:f>
        <x:v>23.1666666666667</x:v>
      </x:c>
      <x:c r="H12" s="12">
        <x:f t="shared" ref="H12:H30" si="6">MAX($C12-50,0)</x:f>
        <x:v>0</x:v>
      </x:c>
      <x:c r="I12" s="12">
        <x:f t="shared" ref="I12:I30" si="7">MAX($C12-55,0)</x:f>
        <x:v>0</x:v>
      </x:c>
      <x:c r="J12" s="12">
        <x:f t="shared" ref="J12:J30" si="8">MAX($C12-60,0)</x:f>
        <x:v>0</x:v>
      </x:c>
      <x:c r="K12" s="12">
        <x:f t="shared" ref="K12:K30" si="9">MAX($C12-65,0)</x:f>
        <x:v>0</x:v>
      </x:c>
      <x:c r="L12" s="12">
        <x:f t="shared" ref="L12:L30" si="10">MAX($C12-70,0)</x:f>
        <x:v>0</x:v>
      </x:c>
      <x:c r="M12" s="12">
        <x:f t="shared" ref="M12:M30" si="11">MAX($C12-75,0)</x:f>
        <x:v>0</x:v>
      </x:c>
      <x:c r="N12" s="12">
        <x:f t="shared" ref="N12:N30" si="12">MAX($C12-80,0)</x:f>
        <x:v>0</x:v>
      </x:c>
      <x:c r="P12" s="12"/>
      <x:c r="Q12" s="12"/>
      <x:c r="AA12" s="28">
        <x:f t="shared" si="1"/>
        <x:v>7200529</x:v>
      </x:c>
    </x:row>
    <x:row r="13" spans="1:27" x14ac:dyDescent="0.25">
      <x:c r="A13">
        <x:f t="shared" si="2"/>
        <x:v>5</x:v>
      </x:c>
      <x:c r="B13" s="14">
        <x:v>2006</x:v>
      </x:c>
      <x:c r="C13" s="39">
        <x:v>49.5</x:v>
      </x:c>
      <x:c r="D13" s="12">
        <x:f t="shared" si="0"/>
        <x:v>0</x:v>
      </x:c>
      <x:c r="E13" s="12">
        <x:f t="shared" si="3"/>
        <x:v>5.5</x:v>
      </x:c>
      <x:c r="F13" s="12">
        <x:f t="shared" si="4"/>
        <x:v>10.5</x:v>
      </x:c>
      <x:c r="G13" s="12">
        <x:f t="shared" si="5"/>
        <x:v>15.5</x:v>
      </x:c>
      <x:c r="H13" s="12">
        <x:f t="shared" si="6"/>
        <x:v>0</x:v>
      </x:c>
      <x:c r="I13" s="12">
        <x:f t="shared" si="7"/>
        <x:v>0</x:v>
      </x:c>
      <x:c r="J13" s="12">
        <x:f t="shared" si="8"/>
        <x:v>0</x:v>
      </x:c>
      <x:c r="K13" s="12">
        <x:f t="shared" si="9"/>
        <x:v>0</x:v>
      </x:c>
      <x:c r="L13" s="12">
        <x:f t="shared" si="10"/>
        <x:v>0</x:v>
      </x:c>
      <x:c r="M13" s="12">
        <x:f t="shared" si="11"/>
        <x:v>0</x:v>
      </x:c>
      <x:c r="N13" s="12">
        <x:f t="shared" si="12"/>
        <x:v>0</x:v>
      </x:c>
      <x:c r="P13" s="12"/>
      <x:c r="Q13" s="12"/>
      <x:c r="AA13" s="28">
        <x:f t="shared" si="1"/>
        <x:v>7200629</x:v>
      </x:c>
    </x:row>
    <x:row r="14" spans="1:27" x14ac:dyDescent="0.25">
      <x:c r="A14">
        <x:f t="shared" si="2"/>
        <x:v>6</x:v>
      </x:c>
      <x:c r="B14" s="14">
        <x:v>2007</x:v>
      </x:c>
      <x:c r="C14" s="39">
        <x:v>26.9583333333333</x:v>
      </x:c>
      <x:c r="D14" s="12">
        <x:f t="shared" si="0"/>
        <x:v>18.0416666666667</x:v>
      </x:c>
      <x:c r="E14" s="12">
        <x:f t="shared" si="3"/>
        <x:v>28.0416666666667</x:v>
      </x:c>
      <x:c r="F14" s="12">
        <x:f t="shared" si="4"/>
        <x:v>33.0416666666667</x:v>
      </x:c>
      <x:c r="G14" s="12">
        <x:f t="shared" si="5"/>
        <x:v>38.0416666666667</x:v>
      </x:c>
      <x:c r="H14" s="12">
        <x:f t="shared" si="6"/>
        <x:v>0</x:v>
      </x:c>
      <x:c r="I14" s="12">
        <x:f t="shared" si="7"/>
        <x:v>0</x:v>
      </x:c>
      <x:c r="J14" s="12">
        <x:f t="shared" si="8"/>
        <x:v>0</x:v>
      </x:c>
      <x:c r="K14" s="12">
        <x:f t="shared" si="9"/>
        <x:v>0</x:v>
      </x:c>
      <x:c r="L14" s="12">
        <x:f t="shared" si="10"/>
        <x:v>0</x:v>
      </x:c>
      <x:c r="M14" s="12">
        <x:f t="shared" si="11"/>
        <x:v>0</x:v>
      </x:c>
      <x:c r="N14" s="12">
        <x:f t="shared" si="12"/>
        <x:v>0</x:v>
      </x:c>
      <x:c r="P14" s="12"/>
      <x:c r="Q14" s="12"/>
      <x:c r="AA14" s="28">
        <x:f t="shared" si="1"/>
        <x:v>7200729</x:v>
      </x:c>
    </x:row>
    <x:row r="15" spans="1:27" x14ac:dyDescent="0.25">
      <x:c r="A15">
        <x:f t="shared" si="2"/>
        <x:v>7</x:v>
      </x:c>
      <x:c r="B15" s="14">
        <x:v>2008</x:v>
      </x:c>
      <x:c r="C15" s="39">
        <x:v>44.8</x:v>
      </x:c>
      <x:c r="D15" s="12">
        <x:f t="shared" si="0"/>
        <x:v>0.20000000000000284</x:v>
      </x:c>
      <x:c r="E15" s="12">
        <x:f t="shared" si="3"/>
        <x:v>10.200000000000003</x:v>
      </x:c>
      <x:c r="F15" s="12">
        <x:f t="shared" si="4"/>
        <x:v>15.200000000000003</x:v>
      </x:c>
      <x:c r="G15" s="12">
        <x:f t="shared" si="5"/>
        <x:v>20.200000000000003</x:v>
      </x:c>
      <x:c r="H15" s="12">
        <x:f t="shared" si="6"/>
        <x:v>0</x:v>
      </x:c>
      <x:c r="I15" s="12">
        <x:f t="shared" si="7"/>
        <x:v>0</x:v>
      </x:c>
      <x:c r="J15" s="12">
        <x:f t="shared" si="8"/>
        <x:v>0</x:v>
      </x:c>
      <x:c r="K15" s="12">
        <x:f t="shared" si="9"/>
        <x:v>0</x:v>
      </x:c>
      <x:c r="L15" s="12">
        <x:f t="shared" si="10"/>
        <x:v>0</x:v>
      </x:c>
      <x:c r="M15" s="12">
        <x:f t="shared" si="11"/>
        <x:v>0</x:v>
      </x:c>
      <x:c r="N15" s="12">
        <x:f t="shared" si="12"/>
        <x:v>0</x:v>
      </x:c>
      <x:c r="P15" s="12"/>
      <x:c r="Q15" s="12"/>
      <x:c r="AA15" s="28">
        <x:f t="shared" si="1"/>
        <x:v>7200829</x:v>
      </x:c>
    </x:row>
    <x:row r="16" spans="1:27" x14ac:dyDescent="0.25">
      <x:c r="A16">
        <x:f t="shared" si="2"/>
        <x:v>8</x:v>
      </x:c>
      <x:c r="B16" s="14">
        <x:v>2009</x:v>
      </x:c>
      <x:c r="C16" s="39">
        <x:v>44.3</x:v>
      </x:c>
      <x:c r="D16" s="12">
        <x:f t="shared" si="0"/>
        <x:v>0.70000000000000284</x:v>
      </x:c>
      <x:c r="E16" s="12">
        <x:f t="shared" si="3"/>
        <x:v>10.700000000000003</x:v>
      </x:c>
      <x:c r="F16" s="12">
        <x:f t="shared" si="4"/>
        <x:v>15.700000000000003</x:v>
      </x:c>
      <x:c r="G16" s="12">
        <x:f t="shared" si="5"/>
        <x:v>20.700000000000003</x:v>
      </x:c>
      <x:c r="H16" s="12">
        <x:f t="shared" si="6"/>
        <x:v>0</x:v>
      </x:c>
      <x:c r="I16" s="12">
        <x:f t="shared" si="7"/>
        <x:v>0</x:v>
      </x:c>
      <x:c r="J16" s="12">
        <x:f t="shared" si="8"/>
        <x:v>0</x:v>
      </x:c>
      <x:c r="K16" s="12">
        <x:f t="shared" si="9"/>
        <x:v>0</x:v>
      </x:c>
      <x:c r="L16" s="12">
        <x:f t="shared" si="10"/>
        <x:v>0</x:v>
      </x:c>
      <x:c r="M16" s="12">
        <x:f t="shared" si="11"/>
        <x:v>0</x:v>
      </x:c>
      <x:c r="N16" s="12">
        <x:f t="shared" si="12"/>
        <x:v>0</x:v>
      </x:c>
      <x:c r="P16" s="12"/>
      <x:c r="Q16" s="12"/>
      <x:c r="AA16" s="28">
        <x:f t="shared" si="1"/>
        <x:v>7200929</x:v>
      </x:c>
    </x:row>
    <x:row r="17" spans="1:27" x14ac:dyDescent="0.25">
      <x:c r="A17">
        <x:f t="shared" si="2"/>
        <x:v>9</x:v>
      </x:c>
      <x:c r="B17" s="14">
        <x:v>2010</x:v>
      </x:c>
      <x:c r="C17" s="39">
        <x:v>53.3</x:v>
      </x:c>
      <x:c r="D17" s="12">
        <x:f t="shared" si="0"/>
        <x:v>0</x:v>
      </x:c>
      <x:c r="E17" s="12">
        <x:f t="shared" si="3"/>
        <x:v>1.7000000000000028</x:v>
      </x:c>
      <x:c r="F17" s="12">
        <x:f t="shared" si="4"/>
        <x:v>6.7000000000000028</x:v>
      </x:c>
      <x:c r="G17" s="12">
        <x:f t="shared" si="5"/>
        <x:v>11.700000000000003</x:v>
      </x:c>
      <x:c r="H17" s="12">
        <x:f t="shared" si="6"/>
        <x:v>3.2999999999999972</x:v>
      </x:c>
      <x:c r="I17" s="12">
        <x:f t="shared" si="7"/>
        <x:v>0</x:v>
      </x:c>
      <x:c r="J17" s="12">
        <x:f t="shared" si="8"/>
        <x:v>0</x:v>
      </x:c>
      <x:c r="K17" s="12">
        <x:f t="shared" si="9"/>
        <x:v>0</x:v>
      </x:c>
      <x:c r="L17" s="12">
        <x:f t="shared" si="10"/>
        <x:v>0</x:v>
      </x:c>
      <x:c r="M17" s="12">
        <x:f t="shared" si="11"/>
        <x:v>0</x:v>
      </x:c>
      <x:c r="N17" s="12">
        <x:f t="shared" si="12"/>
        <x:v>0</x:v>
      </x:c>
      <x:c r="P17" s="12"/>
      <x:c r="Q17" s="12"/>
      <x:c r="AA17" s="28">
        <x:f t="shared" si="1"/>
        <x:v>7201029</x:v>
      </x:c>
    </x:row>
    <x:row r="18" spans="1:27" x14ac:dyDescent="0.25">
      <x:c r="A18">
        <x:f t="shared" si="2"/>
        <x:v>10</x:v>
      </x:c>
      <x:c r="B18" s="14">
        <x:v>2011</x:v>
      </x:c>
      <x:c r="C18" s="39">
        <x:v>43.1</x:v>
      </x:c>
      <x:c r="D18" s="12">
        <x:f t="shared" si="0"/>
        <x:v>1.8999999999999986</x:v>
      </x:c>
      <x:c r="E18" s="12">
        <x:f t="shared" si="3"/>
        <x:v>11.899999999999999</x:v>
      </x:c>
      <x:c r="F18" s="12">
        <x:f t="shared" si="4"/>
        <x:v>16.899999999999999</x:v>
      </x:c>
      <x:c r="G18" s="12">
        <x:f t="shared" si="5"/>
        <x:v>21.9</x:v>
      </x:c>
      <x:c r="H18" s="12">
        <x:f t="shared" si="6"/>
        <x:v>0</x:v>
      </x:c>
      <x:c r="I18" s="12">
        <x:f t="shared" si="7"/>
        <x:v>0</x:v>
      </x:c>
      <x:c r="J18" s="12">
        <x:f t="shared" si="8"/>
        <x:v>0</x:v>
      </x:c>
      <x:c r="K18" s="12">
        <x:f t="shared" si="9"/>
        <x:v>0</x:v>
      </x:c>
      <x:c r="L18" s="12">
        <x:f t="shared" si="10"/>
        <x:v>0</x:v>
      </x:c>
      <x:c r="M18" s="12">
        <x:f t="shared" si="11"/>
        <x:v>0</x:v>
      </x:c>
      <x:c r="N18" s="12">
        <x:f t="shared" si="12"/>
        <x:v>0</x:v>
      </x:c>
      <x:c r="P18" s="12"/>
      <x:c r="Q18" s="12"/>
      <x:c r="AA18" s="28">
        <x:f t="shared" si="1"/>
        <x:v>7201129</x:v>
      </x:c>
    </x:row>
    <x:row r="19" spans="1:27" x14ac:dyDescent="0.25">
      <x:c r="A19">
        <x:f t="shared" si="2"/>
        <x:v>11</x:v>
      </x:c>
      <x:c r="B19" s="14">
        <x:v>2012</x:v>
      </x:c>
      <x:c r="C19" s="39">
        <x:v>48.2</x:v>
      </x:c>
      <x:c r="D19" s="12">
        <x:f t="shared" si="0"/>
        <x:v>0</x:v>
      </x:c>
      <x:c r="E19" s="12">
        <x:f t="shared" si="3"/>
        <x:v>6.7999999999999972</x:v>
      </x:c>
      <x:c r="F19" s="12">
        <x:f t="shared" si="4"/>
        <x:v>11.799999999999997</x:v>
      </x:c>
      <x:c r="G19" s="12">
        <x:f t="shared" si="5"/>
        <x:v>16.799999999999997</x:v>
      </x:c>
      <x:c r="H19" s="12">
        <x:f t="shared" si="6"/>
        <x:v>0</x:v>
      </x:c>
      <x:c r="I19" s="12">
        <x:f t="shared" si="7"/>
        <x:v>0</x:v>
      </x:c>
      <x:c r="J19" s="12">
        <x:f t="shared" si="8"/>
        <x:v>0</x:v>
      </x:c>
      <x:c r="K19" s="12">
        <x:f t="shared" si="9"/>
        <x:v>0</x:v>
      </x:c>
      <x:c r="L19" s="12">
        <x:f t="shared" si="10"/>
        <x:v>0</x:v>
      </x:c>
      <x:c r="M19" s="12">
        <x:f t="shared" si="11"/>
        <x:v>0</x:v>
      </x:c>
      <x:c r="N19" s="12">
        <x:f t="shared" si="12"/>
        <x:v>0</x:v>
      </x:c>
      <x:c r="P19" s="12"/>
      <x:c r="Q19" s="12"/>
      <x:c r="AA19" s="28">
        <x:f t="shared" si="1"/>
        <x:v>7201229</x:v>
      </x:c>
    </x:row>
    <x:row r="20" spans="1:27" x14ac:dyDescent="0.25">
      <x:c r="A20">
        <x:f t="shared" si="2"/>
        <x:v>12</x:v>
      </x:c>
      <x:c r="B20" s="14">
        <x:v>2013</x:v>
      </x:c>
      <x:c r="C20" s="39">
        <x:v>29.5</x:v>
      </x:c>
      <x:c r="D20" s="12">
        <x:f>MAX(45-$C20,0)</x:f>
        <x:v>15.5</x:v>
      </x:c>
      <x:c r="E20" s="12">
        <x:f t="shared" si="3"/>
        <x:v>25.5</x:v>
      </x:c>
      <x:c r="F20" s="12">
        <x:f t="shared" si="4"/>
        <x:v>30.5</x:v>
      </x:c>
      <x:c r="G20" s="12">
        <x:f t="shared" si="5"/>
        <x:v>35.5</x:v>
      </x:c>
      <x:c r="H20" s="12">
        <x:f t="shared" si="6"/>
        <x:v>0</x:v>
      </x:c>
      <x:c r="I20" s="12">
        <x:f t="shared" si="7"/>
        <x:v>0</x:v>
      </x:c>
      <x:c r="J20" s="12">
        <x:f t="shared" si="8"/>
        <x:v>0</x:v>
      </x:c>
      <x:c r="K20" s="12">
        <x:f t="shared" si="9"/>
        <x:v>0</x:v>
      </x:c>
      <x:c r="L20" s="12">
        <x:f t="shared" si="10"/>
        <x:v>0</x:v>
      </x:c>
      <x:c r="M20" s="12">
        <x:f t="shared" si="11"/>
        <x:v>0</x:v>
      </x:c>
      <x:c r="N20" s="12">
        <x:f t="shared" si="12"/>
        <x:v>0</x:v>
      </x:c>
      <x:c r="P20" s="12"/>
      <x:c r="Q20" s="12"/>
      <x:c r="AA20" s="28">
        <x:f t="shared" si="1"/>
        <x:v>7201329</x:v>
      </x:c>
    </x:row>
    <x:row r="21" spans="1:27" x14ac:dyDescent="0.25">
      <x:c r="A21">
        <x:f t="shared" si="2"/>
        <x:v>13</x:v>
      </x:c>
      <x:c r="B21" s="14">
        <x:v>2014</x:v>
      </x:c>
      <x:c r="C21" s="39">
        <x:v>47.4</x:v>
      </x:c>
      <x:c r="D21" s="12">
        <x:f>MAX(45-$C21,0)</x:f>
        <x:v>0</x:v>
      </x:c>
      <x:c r="E21" s="12">
        <x:f t="shared" si="3"/>
        <x:v>7.6000000000000014</x:v>
      </x:c>
      <x:c r="F21" s="12">
        <x:f t="shared" si="4"/>
        <x:v>12.600000000000001</x:v>
      </x:c>
      <x:c r="G21" s="12">
        <x:f t="shared" si="5"/>
        <x:v>17.600000000000001</x:v>
      </x:c>
      <x:c r="H21" s="12">
        <x:f t="shared" si="6"/>
        <x:v>0</x:v>
      </x:c>
      <x:c r="I21" s="12">
        <x:f t="shared" si="7"/>
        <x:v>0</x:v>
      </x:c>
      <x:c r="J21" s="12">
        <x:f t="shared" si="8"/>
        <x:v>0</x:v>
      </x:c>
      <x:c r="K21" s="12">
        <x:f t="shared" si="9"/>
        <x:v>0</x:v>
      </x:c>
      <x:c r="L21" s="12">
        <x:f t="shared" si="10"/>
        <x:v>0</x:v>
      </x:c>
      <x:c r="M21" s="12">
        <x:f t="shared" si="11"/>
        <x:v>0</x:v>
      </x:c>
      <x:c r="N21" s="12">
        <x:f t="shared" si="12"/>
        <x:v>0</x:v>
      </x:c>
      <x:c r="P21" s="12"/>
      <x:c r="Q21" s="12"/>
      <x:c r="AA21" s="28">
        <x:f t="shared" si="1"/>
        <x:v>7201429</x:v>
      </x:c>
    </x:row>
    <x:row r="22" spans="1:27" x14ac:dyDescent="0.25">
      <x:c r="A22">
        <x:f t="shared" si="2"/>
        <x:v>14</x:v>
      </x:c>
      <x:c r="B22" s="14">
        <x:v>2015</x:v>
      </x:c>
      <x:c r="C22" s="39">
        <x:v>32.799999999999997</x:v>
      </x:c>
      <x:c r="D22" s="12">
        <x:f t="shared" si="0"/>
        <x:v>12.200000000000003</x:v>
      </x:c>
      <x:c r="E22" s="12">
        <x:f t="shared" si="3"/>
        <x:v>22.200000000000003</x:v>
      </x:c>
      <x:c r="F22" s="12">
        <x:f t="shared" si="4"/>
        <x:v>27.200000000000003</x:v>
      </x:c>
      <x:c r="G22" s="12">
        <x:f t="shared" si="5"/>
        <x:v>32.200000000000003</x:v>
      </x:c>
      <x:c r="H22" s="12">
        <x:f t="shared" si="6"/>
        <x:v>0</x:v>
      </x:c>
      <x:c r="I22" s="12">
        <x:f t="shared" si="7"/>
        <x:v>0</x:v>
      </x:c>
      <x:c r="J22" s="12">
        <x:f t="shared" si="8"/>
        <x:v>0</x:v>
      </x:c>
      <x:c r="K22" s="12">
        <x:f t="shared" si="9"/>
        <x:v>0</x:v>
      </x:c>
      <x:c r="L22" s="12">
        <x:f t="shared" si="10"/>
        <x:v>0</x:v>
      </x:c>
      <x:c r="M22" s="12">
        <x:f t="shared" si="11"/>
        <x:v>0</x:v>
      </x:c>
      <x:c r="N22" s="12">
        <x:f t="shared" si="12"/>
        <x:v>0</x:v>
      </x:c>
      <x:c r="P22" s="12"/>
      <x:c r="Q22" s="12"/>
      <x:c r="AA22" s="28">
        <x:f t="shared" si="1"/>
        <x:v>7201529</x:v>
      </x:c>
    </x:row>
    <x:row r="23" spans="1:27" x14ac:dyDescent="0.25">
      <x:c r="A23">
        <x:f t="shared" si="2"/>
        <x:v>15</x:v>
      </x:c>
      <x:c r="B23" s="14">
        <x:v>2016</x:v>
      </x:c>
      <x:c r="C23" s="39">
        <x:v>52.7</x:v>
      </x:c>
      <x:c r="D23" s="12">
        <x:f t="shared" si="0"/>
        <x:v>0</x:v>
      </x:c>
      <x:c r="E23" s="12">
        <x:f t="shared" si="3"/>
        <x:v>2.2999999999999972</x:v>
      </x:c>
      <x:c r="F23" s="12">
        <x:f t="shared" si="4"/>
        <x:v>7.2999999999999972</x:v>
      </x:c>
      <x:c r="G23" s="12">
        <x:f t="shared" si="5"/>
        <x:v>12.299999999999997</x:v>
      </x:c>
      <x:c r="H23" s="12">
        <x:f t="shared" si="6"/>
        <x:v>2.7000000000000028</x:v>
      </x:c>
      <x:c r="I23" s="12">
        <x:f t="shared" si="7"/>
        <x:v>0</x:v>
      </x:c>
      <x:c r="J23" s="12">
        <x:f t="shared" si="8"/>
        <x:v>0</x:v>
      </x:c>
      <x:c r="K23" s="12">
        <x:f t="shared" si="9"/>
        <x:v>0</x:v>
      </x:c>
      <x:c r="L23" s="12">
        <x:f t="shared" si="10"/>
        <x:v>0</x:v>
      </x:c>
      <x:c r="M23" s="12">
        <x:f t="shared" si="11"/>
        <x:v>0</x:v>
      </x:c>
      <x:c r="N23" s="12">
        <x:f t="shared" si="12"/>
        <x:v>0</x:v>
      </x:c>
      <x:c r="P23" s="12"/>
      <x:c r="Q23" s="12"/>
      <x:c r="AA23" s="28">
        <x:f t="shared" si="1"/>
        <x:v>7201629</x:v>
      </x:c>
    </x:row>
    <x:row r="24" spans="1:27" x14ac:dyDescent="0.25">
      <x:c r="A24">
        <x:f t="shared" si="2"/>
        <x:v>16</x:v>
      </x:c>
      <x:c r="B24" s="14">
        <x:v>2017</x:v>
      </x:c>
      <x:c r="C24" s="39">
        <x:v>33</x:v>
      </x:c>
      <x:c r="D24" s="12">
        <x:f t="shared" si="0"/>
        <x:v>12</x:v>
      </x:c>
      <x:c r="E24" s="12">
        <x:f t="shared" si="3"/>
        <x:v>22</x:v>
      </x:c>
      <x:c r="F24" s="12">
        <x:f t="shared" si="4"/>
        <x:v>27</x:v>
      </x:c>
      <x:c r="G24" s="12">
        <x:f t="shared" si="5"/>
        <x:v>32</x:v>
      </x:c>
      <x:c r="H24" s="12">
        <x:f t="shared" si="6"/>
        <x:v>0</x:v>
      </x:c>
      <x:c r="I24" s="12">
        <x:f t="shared" si="7"/>
        <x:v>0</x:v>
      </x:c>
      <x:c r="J24" s="12">
        <x:f t="shared" si="8"/>
        <x:v>0</x:v>
      </x:c>
      <x:c r="K24" s="12">
        <x:f t="shared" si="9"/>
        <x:v>0</x:v>
      </x:c>
      <x:c r="L24" s="12">
        <x:f t="shared" si="10"/>
        <x:v>0</x:v>
      </x:c>
      <x:c r="M24" s="12">
        <x:f t="shared" si="11"/>
        <x:v>0</x:v>
      </x:c>
      <x:c r="N24" s="12">
        <x:f t="shared" si="12"/>
        <x:v>0</x:v>
      </x:c>
      <x:c r="P24" s="12"/>
      <x:c r="Q24" s="12"/>
      <x:c r="AA24" s="28">
        <x:f t="shared" si="1"/>
        <x:v>7201729</x:v>
      </x:c>
    </x:row>
    <x:row r="25" spans="1:27" x14ac:dyDescent="0.25">
      <x:c r="A25">
        <x:f t="shared" si="2"/>
        <x:v>17</x:v>
      </x:c>
      <x:c r="B25" s="14">
        <x:v>2018</x:v>
      </x:c>
      <x:c r="C25" s="39">
        <x:v>40.800000000000004</x:v>
      </x:c>
      <x:c r="D25" s="12">
        <x:f t="shared" si="0"/>
        <x:v>4.1999999999999957</x:v>
      </x:c>
      <x:c r="E25" s="12">
        <x:f t="shared" si="3"/>
        <x:v>14.199999999999996</x:v>
      </x:c>
      <x:c r="F25" s="12">
        <x:f t="shared" si="4"/>
        <x:v>19.199999999999996</x:v>
      </x:c>
      <x:c r="G25" s="12">
        <x:f t="shared" si="5"/>
        <x:v>24.199999999999996</x:v>
      </x:c>
      <x:c r="H25" s="12">
        <x:f t="shared" si="6"/>
        <x:v>0</x:v>
      </x:c>
      <x:c r="I25" s="12">
        <x:f t="shared" si="7"/>
        <x:v>0</x:v>
      </x:c>
      <x:c r="J25" s="12">
        <x:f t="shared" si="8"/>
        <x:v>0</x:v>
      </x:c>
      <x:c r="K25" s="12">
        <x:f t="shared" si="9"/>
        <x:v>0</x:v>
      </x:c>
      <x:c r="L25" s="12">
        <x:f t="shared" si="10"/>
        <x:v>0</x:v>
      </x:c>
      <x:c r="M25" s="12">
        <x:f t="shared" si="11"/>
        <x:v>0</x:v>
      </x:c>
      <x:c r="N25" s="12">
        <x:f t="shared" si="12"/>
        <x:v>0</x:v>
      </x:c>
      <x:c r="P25" s="12"/>
      <x:c r="Q25" s="12"/>
      <x:c r="AA25" s="28">
        <x:f t="shared" si="1"/>
        <x:v>7201829</x:v>
      </x:c>
    </x:row>
    <x:row r="26" spans="1:27" x14ac:dyDescent="0.25">
      <x:c r="A26">
        <x:f t="shared" si="2"/>
        <x:v>18</x:v>
      </x:c>
      <x:c r="B26" s="14">
        <x:v>2019</x:v>
      </x:c>
      <x:c r="C26" s="39">
        <x:v>38.6</x:v>
      </x:c>
      <x:c r="D26" s="12">
        <x:f t="shared" si="0"/>
        <x:v>6.3999999999999986</x:v>
      </x:c>
      <x:c r="E26" s="12">
        <x:f t="shared" si="3"/>
        <x:v>16.399999999999999</x:v>
      </x:c>
      <x:c r="F26" s="12">
        <x:f t="shared" si="4"/>
        <x:v>21.4</x:v>
      </x:c>
      <x:c r="G26" s="12">
        <x:f t="shared" si="5"/>
        <x:v>26.4</x:v>
      </x:c>
      <x:c r="H26" s="12">
        <x:f t="shared" si="6"/>
        <x:v>0</x:v>
      </x:c>
      <x:c r="I26" s="12">
        <x:f t="shared" si="7"/>
        <x:v>0</x:v>
      </x:c>
      <x:c r="J26" s="12">
        <x:f t="shared" si="8"/>
        <x:v>0</x:v>
      </x:c>
      <x:c r="K26" s="12">
        <x:f t="shared" si="9"/>
        <x:v>0</x:v>
      </x:c>
      <x:c r="L26" s="12">
        <x:f t="shared" si="10"/>
        <x:v>0</x:v>
      </x:c>
      <x:c r="M26" s="12">
        <x:f t="shared" si="11"/>
        <x:v>0</x:v>
      </x:c>
      <x:c r="N26" s="12">
        <x:f t="shared" si="12"/>
        <x:v>0</x:v>
      </x:c>
      <x:c r="P26" s="12"/>
      <x:c r="Q26" s="12"/>
      <x:c r="AA26" s="28">
        <x:f t="shared" si="1"/>
        <x:v>7201929</x:v>
      </x:c>
    </x:row>
    <x:row r="27" spans="1:27" x14ac:dyDescent="0.25">
      <x:c r="A27">
        <x:f t="shared" si="2"/>
        <x:v>19</x:v>
      </x:c>
      <x:c r="B27" s="14">
        <x:v>2020</x:v>
      </x:c>
      <x:c r="C27" s="39">
        <x:v>56.5</x:v>
      </x:c>
      <x:c r="D27" s="12">
        <x:f t="shared" si="0"/>
        <x:v>0</x:v>
      </x:c>
      <x:c r="E27" s="12">
        <x:f t="shared" si="3"/>
        <x:v>0</x:v>
      </x:c>
      <x:c r="F27" s="12">
        <x:f t="shared" si="4"/>
        <x:v>3.5</x:v>
      </x:c>
      <x:c r="G27" s="12">
        <x:f t="shared" si="5"/>
        <x:v>8.5</x:v>
      </x:c>
      <x:c r="H27" s="12">
        <x:f t="shared" si="6"/>
        <x:v>6.5</x:v>
      </x:c>
      <x:c r="I27" s="12">
        <x:f t="shared" si="7"/>
        <x:v>1.5</x:v>
      </x:c>
      <x:c r="J27" s="12">
        <x:f t="shared" si="8"/>
        <x:v>0</x:v>
      </x:c>
      <x:c r="K27" s="12">
        <x:f t="shared" si="9"/>
        <x:v>0</x:v>
      </x:c>
      <x:c r="L27" s="12">
        <x:f t="shared" si="10"/>
        <x:v>0</x:v>
      </x:c>
      <x:c r="M27" s="12">
        <x:f t="shared" si="11"/>
        <x:v>0</x:v>
      </x:c>
      <x:c r="N27" s="12">
        <x:f t="shared" si="12"/>
        <x:v>0</x:v>
      </x:c>
      <x:c r="P27" s="12"/>
      <x:c r="Q27" s="12"/>
      <x:c r="AA27" s="28">
        <x:f t="shared" si="1"/>
        <x:v>7202029</x:v>
      </x:c>
    </x:row>
    <x:row r="28" spans="1:27" x14ac:dyDescent="0.25">
      <x:c r="A28">
        <x:f t="shared" si="2"/>
        <x:v>20</x:v>
      </x:c>
      <x:c r="B28" s="14">
        <x:v>2021</x:v>
      </x:c>
      <x:c r="C28" s="39">
        <x:v>48.1</x:v>
      </x:c>
      <x:c r="D28" s="12">
        <x:f t="shared" si="0"/>
        <x:v>0</x:v>
      </x:c>
      <x:c r="E28" s="12">
        <x:f t="shared" si="3"/>
        <x:v>6.8999999999999986</x:v>
      </x:c>
      <x:c r="F28" s="12">
        <x:f t="shared" si="4"/>
        <x:v>11.899999999999999</x:v>
      </x:c>
      <x:c r="G28" s="12">
        <x:f t="shared" si="5"/>
        <x:v>16.899999999999999</x:v>
      </x:c>
      <x:c r="H28" s="12">
        <x:f t="shared" si="6"/>
        <x:v>0</x:v>
      </x:c>
      <x:c r="I28" s="12">
        <x:f t="shared" si="7"/>
        <x:v>0</x:v>
      </x:c>
      <x:c r="J28" s="12">
        <x:f t="shared" si="8"/>
        <x:v>0</x:v>
      </x:c>
      <x:c r="K28" s="12">
        <x:f t="shared" si="9"/>
        <x:v>0</x:v>
      </x:c>
      <x:c r="L28" s="12">
        <x:f t="shared" si="10"/>
        <x:v>0</x:v>
      </x:c>
      <x:c r="M28" s="12">
        <x:f t="shared" si="11"/>
        <x:v>0</x:v>
      </x:c>
      <x:c r="N28" s="12">
        <x:f t="shared" si="12"/>
        <x:v>0</x:v>
      </x:c>
      <x:c r="P28" s="12"/>
      <x:c r="Q28" s="12"/>
      <x:c r="AA28" s="28">
        <x:f t="shared" si="1"/>
        <x:v>7202129</x:v>
      </x:c>
    </x:row>
    <x:row r="29" spans="1:27" x14ac:dyDescent="0.25">
      <x:c r="A29">
        <x:f t="shared" si="2"/>
        <x:v>21</x:v>
      </x:c>
      <x:c r="B29" s="14">
        <x:v>2022</x:v>
      </x:c>
      <x:c r="C29" s="39">
        <x:v>58.5</x:v>
      </x:c>
      <x:c r="D29" s="12">
        <x:f t="shared" si="0"/>
        <x:v>0</x:v>
      </x:c>
      <x:c r="E29" s="12">
        <x:f t="shared" si="3"/>
        <x:v>0</x:v>
      </x:c>
      <x:c r="F29" s="12">
        <x:f t="shared" si="4"/>
        <x:v>1.5</x:v>
      </x:c>
      <x:c r="G29" s="12">
        <x:f t="shared" si="5"/>
        <x:v>6.5</x:v>
      </x:c>
      <x:c r="H29" s="12">
        <x:f t="shared" si="6"/>
        <x:v>8.5</x:v>
      </x:c>
      <x:c r="I29" s="12">
        <x:f t="shared" si="7"/>
        <x:v>3.5</x:v>
      </x:c>
      <x:c r="J29" s="12">
        <x:f t="shared" si="8"/>
        <x:v>0</x:v>
      </x:c>
      <x:c r="K29" s="12">
        <x:f t="shared" si="9"/>
        <x:v>0</x:v>
      </x:c>
      <x:c r="L29" s="12">
        <x:f t="shared" si="10"/>
        <x:v>0</x:v>
      </x:c>
      <x:c r="M29" s="12">
        <x:f t="shared" si="11"/>
        <x:v>0</x:v>
      </x:c>
      <x:c r="N29" s="12">
        <x:f t="shared" si="12"/>
        <x:v>0</x:v>
      </x:c>
      <x:c r="P29" s="12"/>
      <x:c r="Q29" s="12"/>
      <x:c r="AA29" s="28">
        <x:f t="shared" si="1"/>
        <x:v>7202229</x:v>
      </x:c>
    </x:row>
    <x:row r="30" spans="1:27" x14ac:dyDescent="0.25">
      <x:c r="A30">
        <x:f t="shared" si="2"/>
        <x:v>22</x:v>
      </x:c>
      <x:c r="B30" s="14">
        <x:v>2023</x:v>
      </x:c>
      <x:c r="C30" s="39">
        <x:v>54.300000000000004</x:v>
      </x:c>
      <x:c r="D30" s="12">
        <x:f t="shared" si="0"/>
        <x:v>0</x:v>
      </x:c>
      <x:c r="E30" s="12">
        <x:f t="shared" si="3"/>
        <x:v>0.69999999999999574</x:v>
      </x:c>
      <x:c r="F30" s="12">
        <x:f t="shared" si="4"/>
        <x:v>5.6999999999999957</x:v>
      </x:c>
      <x:c r="G30" s="12">
        <x:f t="shared" si="5"/>
        <x:v>10.699999999999996</x:v>
      </x:c>
      <x:c r="H30" s="12">
        <x:f t="shared" si="6"/>
        <x:v>4.3000000000000043</x:v>
      </x:c>
      <x:c r="I30" s="12">
        <x:f t="shared" si="7"/>
        <x:v>0</x:v>
      </x:c>
      <x:c r="J30" s="12">
        <x:f t="shared" si="8"/>
        <x:v>0</x:v>
      </x:c>
      <x:c r="K30" s="12">
        <x:f t="shared" si="9"/>
        <x:v>0</x:v>
      </x:c>
      <x:c r="L30" s="12">
        <x:f t="shared" si="10"/>
        <x:v>0</x:v>
      </x:c>
      <x:c r="M30" s="12">
        <x:f t="shared" si="11"/>
        <x:v>0</x:v>
      </x:c>
      <x:c r="N30" s="12">
        <x:f t="shared" si="12"/>
        <x:v>0</x:v>
      </x:c>
      <x:c r="P30" s="12"/>
      <x:c r="Q30" s="81"/>
      <x:c r="AA30" s="28">
        <x:f t="shared" si="1"/>
        <x:v>7202329</x:v>
      </x:c>
    </x:row>
    <x:row r="31" spans="1:27" x14ac:dyDescent="0.25">
      <x:c r="A31">
        <x:f t="shared" si="2"/>
        <x:v>23</x:v>
      </x:c>
      <x:c r="B31" s="14"/>
      <x:c r="C31" s="49" t="s">
        <x:v>75</x:v>
      </x:c>
      <x:c r="D31" s="47">
        <x:f>AVERAGE(D11:D30)</x:f>
        <x:v>3.7154166666666697</x:v>
      </x:c>
      <x:c r="E31" s="47">
        <x:f t="shared" ref="E31:N31" si="13">AVERAGE(E11:E30)</x:f>
        <x:v>10.350833333333336</x:v>
      </x:c>
      <x:c r="F31" s="47">
        <x:f t="shared" si="13"/>
        <x:v>15.100833333333332</x:v>
      </x:c>
      <x:c r="G31" s="47">
        <x:f t="shared" si="13"/>
        <x:v>20.100833333333334</x:v>
      </x:c>
      <x:c r="H31" s="47">
        <x:f t="shared" si="13"/>
        <x:v>1.4545833333333351</x:v>
      </x:c>
      <x:c r="I31" s="47">
        <x:f t="shared" si="13"/>
        <x:v>0.25</x:v>
      </x:c>
      <x:c r="J31" s="47">
        <x:f t="shared" si="13"/>
        <x:v>0</x:v>
      </x:c>
      <x:c r="K31" s="47">
        <x:f t="shared" si="13"/>
        <x:v>0</x:v>
      </x:c>
      <x:c r="L31" s="47">
        <x:f t="shared" si="13"/>
        <x:v>0</x:v>
      </x:c>
      <x:c r="M31" s="47">
        <x:f t="shared" si="13"/>
        <x:v>0</x:v>
      </x:c>
      <x:c r="N31" s="47">
        <x:f t="shared" si="13"/>
        <x:v>0</x:v>
      </x:c>
      <x:c r="Q31" s="84"/>
      <x:c r="AA31" s="28"/>
    </x:row>
    <x:row r="32" spans="1:27" x14ac:dyDescent="0.25">
      <x:c r="A32">
        <x:f t="shared" si="2"/>
        <x:v>24</x:v>
      </x:c>
      <x:c r="B32" s="68"/>
      <x:c r="C32" s="69"/>
      <x:c r="D32" s="69"/>
      <x:c r="E32" s="19"/>
    </x:row>
    <x:row r="33" spans="1:27" x14ac:dyDescent="0.25">
      <x:c r="A33">
        <x:f t="shared" si="2"/>
        <x:v>25</x:v>
      </x:c>
      <x:c r="B33" t="s">
        <x:v>58</x:v>
      </x:c>
      <x:c r="C33" s="40" t="s">
        <x:v>109</x:v>
      </x:c>
      <x:c r="D33" s="54" t="s">
        <x:v>60</x:v>
      </x:c>
      <x:c r="E33" s="10" t="s">
        <x:v>102</x:v>
      </x:c>
      <x:c r="F33" s="10" t="s">
        <x:v>61</x:v>
      </x:c>
      <x:c r="G33" s="69" t="s">
        <x:v>106</x:v>
      </x:c>
      <x:c r="H33" s="41" t="s">
        <x:v>88</x:v>
      </x:c>
      <x:c r="I33" s="41" t="s">
        <x:v>107</x:v>
      </x:c>
      <x:c r="J33" s="41" t="s">
        <x:v>98</x:v>
      </x:c>
      <x:c r="K33" s="27" t="s">
        <x:v>62</x:v>
      </x:c>
      <x:c r="L33" s="27" t="s">
        <x:v>63</x:v>
      </x:c>
      <x:c r="M33" s="27" t="s">
        <x:v>64</x:v>
      </x:c>
      <x:c r="N33" s="27" t="s">
        <x:v>89</x:v>
      </x:c>
    </x:row>
    <x:row r="34" spans="1:27" x14ac:dyDescent="0.25">
      <x:c r="A34">
        <x:f t="shared" si="2"/>
        <x:v>26</x:v>
      </x:c>
      <x:c r="B34" s="14">
        <x:v>2004</x:v>
      </x:c>
      <x:c r="C34" s="39">
        <x:v>82.9166666666667</x:v>
      </x:c>
      <x:c r="D34" s="12">
        <x:f t="shared" ref="D34:D53" si="14">MAX(45-$C34,0)</x:f>
        <x:v>0</x:v>
      </x:c>
      <x:c r="E34" s="12">
        <x:f>MAX(55-$C34,0)</x:f>
        <x:v>0</x:v>
      </x:c>
      <x:c r="F34" s="12">
        <x:f>MAX(60-$C34,0)</x:f>
        <x:v>0</x:v>
      </x:c>
      <x:c r="G34" s="12">
        <x:f>MAX(65-$C34,0)</x:f>
        <x:v>0</x:v>
      </x:c>
      <x:c r="H34" s="12">
        <x:f>MAX($C34-50,0)</x:f>
        <x:v>32.9166666666667</x:v>
      </x:c>
      <x:c r="I34" s="12">
        <x:f>MAX($C34-55,0)</x:f>
        <x:v>27.9166666666667</x:v>
      </x:c>
      <x:c r="J34" s="12">
        <x:f>MAX($C34-60,0)</x:f>
        <x:v>22.9166666666667</x:v>
      </x:c>
      <x:c r="K34" s="12">
        <x:f>MAX($C34-65,0)</x:f>
        <x:v>17.9166666666667</x:v>
      </x:c>
      <x:c r="L34" s="12">
        <x:f>MAX($C34-70,0)</x:f>
        <x:v>12.9166666666667</x:v>
      </x:c>
      <x:c r="M34" s="12">
        <x:f>MAX($C34-75,0)</x:f>
        <x:v>7.9166666666666998</x:v>
      </x:c>
      <x:c r="N34" s="12">
        <x:f>MAX($C34-80,0)</x:f>
        <x:v>2.9166666666666998</x:v>
      </x:c>
      <x:c r="AA34" s="28">
        <x:f t="shared" ref="AA34:AA53" si="15">+(1*10^6)+(B34*100)+29</x:f>
        <x:v>1200429</x:v>
      </x:c>
    </x:row>
    <x:row r="35" spans="1:27" x14ac:dyDescent="0.25">
      <x:c r="A35">
        <x:f t="shared" si="2"/>
        <x:v>27</x:v>
      </x:c>
      <x:c r="B35" s="14">
        <x:v>2005</x:v>
      </x:c>
      <x:c r="C35" s="39">
        <x:v>82.5</x:v>
      </x:c>
      <x:c r="D35" s="12">
        <x:f t="shared" si="14"/>
        <x:v>0</x:v>
      </x:c>
      <x:c r="E35" s="12">
        <x:f t="shared" ref="E35:E53" si="16">MAX(55-$C35,0)</x:f>
        <x:v>0</x:v>
      </x:c>
      <x:c r="F35" s="12">
        <x:f t="shared" ref="F35:F53" si="17">MAX(60-$C35,0)</x:f>
        <x:v>0</x:v>
      </x:c>
      <x:c r="G35" s="12">
        <x:f t="shared" ref="G35:G53" si="18">MAX(65-$C35,0)</x:f>
        <x:v>0</x:v>
      </x:c>
      <x:c r="H35" s="12">
        <x:f t="shared" ref="H35:H53" si="19">MAX($C35-50,0)</x:f>
        <x:v>32.5</x:v>
      </x:c>
      <x:c r="I35" s="12">
        <x:f t="shared" ref="I35:I53" si="20">MAX($C35-55,0)</x:f>
        <x:v>27.5</x:v>
      </x:c>
      <x:c r="J35" s="12">
        <x:f t="shared" ref="J35:J53" si="21">MAX($C35-60,0)</x:f>
        <x:v>22.5</x:v>
      </x:c>
      <x:c r="K35" s="12">
        <x:f t="shared" ref="K35:K53" si="22">MAX($C35-65,0)</x:f>
        <x:v>17.5</x:v>
      </x:c>
      <x:c r="L35" s="12">
        <x:f t="shared" ref="L35:L53" si="23">MAX($C35-70,0)</x:f>
        <x:v>12.5</x:v>
      </x:c>
      <x:c r="M35" s="12">
        <x:f t="shared" ref="M35:M53" si="24">MAX($C35-75,0)</x:f>
        <x:v>7.5</x:v>
      </x:c>
      <x:c r="N35" s="12">
        <x:f t="shared" ref="N35:N53" si="25">MAX($C35-80,0)</x:f>
        <x:v>2.5</x:v>
      </x:c>
      <x:c r="AA35" s="28">
        <x:f t="shared" si="15"/>
        <x:v>1200529</x:v>
      </x:c>
    </x:row>
    <x:row r="36" spans="1:27" x14ac:dyDescent="0.25">
      <x:c r="A36">
        <x:f t="shared" si="2"/>
        <x:v>28</x:v>
      </x:c>
      <x:c r="B36" s="14">
        <x:v>2006</x:v>
      </x:c>
      <x:c r="C36" s="39">
        <x:v>87.875</x:v>
      </x:c>
      <x:c r="D36" s="12">
        <x:f t="shared" si="14"/>
        <x:v>0</x:v>
      </x:c>
      <x:c r="E36" s="12">
        <x:f t="shared" si="16"/>
        <x:v>0</x:v>
      </x:c>
      <x:c r="F36" s="12">
        <x:f t="shared" si="17"/>
        <x:v>0</x:v>
      </x:c>
      <x:c r="G36" s="12">
        <x:f t="shared" si="18"/>
        <x:v>0</x:v>
      </x:c>
      <x:c r="H36" s="12">
        <x:f t="shared" si="19"/>
        <x:v>37.875</x:v>
      </x:c>
      <x:c r="I36" s="12">
        <x:f t="shared" si="20"/>
        <x:v>32.875</x:v>
      </x:c>
      <x:c r="J36" s="12">
        <x:f t="shared" si="21"/>
        <x:v>27.875</x:v>
      </x:c>
      <x:c r="K36" s="12">
        <x:f t="shared" si="22"/>
        <x:v>22.875</x:v>
      </x:c>
      <x:c r="L36" s="12">
        <x:f t="shared" si="23"/>
        <x:v>17.875</x:v>
      </x:c>
      <x:c r="M36" s="12">
        <x:f t="shared" si="24"/>
        <x:v>12.875</x:v>
      </x:c>
      <x:c r="N36" s="12">
        <x:f t="shared" si="25"/>
        <x:v>7.875</x:v>
      </x:c>
      <x:c r="AA36" s="28">
        <x:f t="shared" si="15"/>
        <x:v>1200629</x:v>
      </x:c>
    </x:row>
    <x:row r="37" spans="1:27" x14ac:dyDescent="0.25">
      <x:c r="A37">
        <x:f t="shared" si="2"/>
        <x:v>29</x:v>
      </x:c>
      <x:c r="B37" s="14">
        <x:v>2007</x:v>
      </x:c>
      <x:c r="C37" s="39">
        <x:v>76.25</x:v>
      </x:c>
      <x:c r="D37" s="12">
        <x:f t="shared" si="14"/>
        <x:v>0</x:v>
      </x:c>
      <x:c r="E37" s="12">
        <x:f t="shared" si="16"/>
        <x:v>0</x:v>
      </x:c>
      <x:c r="F37" s="12">
        <x:f t="shared" si="17"/>
        <x:v>0</x:v>
      </x:c>
      <x:c r="G37" s="12">
        <x:f t="shared" si="18"/>
        <x:v>0</x:v>
      </x:c>
      <x:c r="H37" s="12">
        <x:f t="shared" si="19"/>
        <x:v>26.25</x:v>
      </x:c>
      <x:c r="I37" s="12">
        <x:f t="shared" si="20"/>
        <x:v>21.25</x:v>
      </x:c>
      <x:c r="J37" s="12">
        <x:f t="shared" si="21"/>
        <x:v>16.25</x:v>
      </x:c>
      <x:c r="K37" s="12">
        <x:f t="shared" si="22"/>
        <x:v>11.25</x:v>
      </x:c>
      <x:c r="L37" s="12">
        <x:f t="shared" si="23"/>
        <x:v>6.25</x:v>
      </x:c>
      <x:c r="M37" s="12">
        <x:f t="shared" si="24"/>
        <x:v>1.25</x:v>
      </x:c>
      <x:c r="N37" s="12">
        <x:f t="shared" si="25"/>
        <x:v>0</x:v>
      </x:c>
      <x:c r="AA37" s="28">
        <x:f t="shared" si="15"/>
        <x:v>1200729</x:v>
      </x:c>
    </x:row>
    <x:row r="38" spans="1:27" x14ac:dyDescent="0.25">
      <x:c r="A38">
        <x:f t="shared" si="2"/>
        <x:v>30</x:v>
      </x:c>
      <x:c r="B38" s="14">
        <x:v>2008</x:v>
      </x:c>
      <x:c r="C38" s="39">
        <x:v>79.5</x:v>
      </x:c>
      <x:c r="D38" s="12">
        <x:f t="shared" si="14"/>
        <x:v>0</x:v>
      </x:c>
      <x:c r="E38" s="12">
        <x:f t="shared" si="16"/>
        <x:v>0</x:v>
      </x:c>
      <x:c r="F38" s="12">
        <x:f t="shared" si="17"/>
        <x:v>0</x:v>
      </x:c>
      <x:c r="G38" s="12">
        <x:f t="shared" si="18"/>
        <x:v>0</x:v>
      </x:c>
      <x:c r="H38" s="12">
        <x:f t="shared" si="19"/>
        <x:v>29.5</x:v>
      </x:c>
      <x:c r="I38" s="12">
        <x:f t="shared" si="20"/>
        <x:v>24.5</x:v>
      </x:c>
      <x:c r="J38" s="12">
        <x:f t="shared" si="21"/>
        <x:v>19.5</x:v>
      </x:c>
      <x:c r="K38" s="12">
        <x:f t="shared" si="22"/>
        <x:v>14.5</x:v>
      </x:c>
      <x:c r="L38" s="12">
        <x:f t="shared" si="23"/>
        <x:v>9.5</x:v>
      </x:c>
      <x:c r="M38" s="12">
        <x:f t="shared" si="24"/>
        <x:v>4.5</x:v>
      </x:c>
      <x:c r="N38" s="12">
        <x:f t="shared" si="25"/>
        <x:v>0</x:v>
      </x:c>
      <x:c r="AA38" s="28">
        <x:f t="shared" si="15"/>
        <x:v>1200829</x:v>
      </x:c>
    </x:row>
    <x:row r="39" spans="1:27" x14ac:dyDescent="0.25">
      <x:c r="A39">
        <x:f t="shared" si="2"/>
        <x:v>31</x:v>
      </x:c>
      <x:c r="B39" s="14">
        <x:v>2009</x:v>
      </x:c>
      <x:c r="C39" s="39">
        <x:v>89.4</x:v>
      </x:c>
      <x:c r="D39" s="12">
        <x:f t="shared" si="14"/>
        <x:v>0</x:v>
      </x:c>
      <x:c r="E39" s="12">
        <x:f t="shared" si="16"/>
        <x:v>0</x:v>
      </x:c>
      <x:c r="F39" s="12">
        <x:f t="shared" si="17"/>
        <x:v>0</x:v>
      </x:c>
      <x:c r="G39" s="12">
        <x:f t="shared" si="18"/>
        <x:v>0</x:v>
      </x:c>
      <x:c r="H39" s="12">
        <x:f t="shared" si="19"/>
        <x:v>39.400000000000006</x:v>
      </x:c>
      <x:c r="I39" s="12">
        <x:f t="shared" si="20"/>
        <x:v>34.400000000000006</x:v>
      </x:c>
      <x:c r="J39" s="12">
        <x:f t="shared" si="21"/>
        <x:v>29.400000000000006</x:v>
      </x:c>
      <x:c r="K39" s="12">
        <x:f t="shared" si="22"/>
        <x:v>24.400000000000006</x:v>
      </x:c>
      <x:c r="L39" s="12">
        <x:f t="shared" si="23"/>
        <x:v>19.400000000000006</x:v>
      </x:c>
      <x:c r="M39" s="12">
        <x:f t="shared" si="24"/>
        <x:v>14.400000000000006</x:v>
      </x:c>
      <x:c r="N39" s="12">
        <x:f t="shared" si="25"/>
        <x:v>9.4000000000000057</x:v>
      </x:c>
      <x:c r="AA39" s="28">
        <x:f t="shared" si="15"/>
        <x:v>1200929</x:v>
      </x:c>
    </x:row>
    <x:row r="40" spans="1:27" x14ac:dyDescent="0.25">
      <x:c r="A40">
        <x:f t="shared" si="2"/>
        <x:v>32</x:v>
      </x:c>
      <x:c r="B40" s="14">
        <x:v>2010</x:v>
      </x:c>
      <x:c r="C40" s="39">
        <x:v>86.1</x:v>
      </x:c>
      <x:c r="D40" s="12">
        <x:f t="shared" si="14"/>
        <x:v>0</x:v>
      </x:c>
      <x:c r="E40" s="12">
        <x:f t="shared" si="16"/>
        <x:v>0</x:v>
      </x:c>
      <x:c r="F40" s="12">
        <x:f t="shared" si="17"/>
        <x:v>0</x:v>
      </x:c>
      <x:c r="G40" s="12">
        <x:f t="shared" si="18"/>
        <x:v>0</x:v>
      </x:c>
      <x:c r="H40" s="12">
        <x:f t="shared" si="19"/>
        <x:v>36.099999999999994</x:v>
      </x:c>
      <x:c r="I40" s="12">
        <x:f t="shared" si="20"/>
        <x:v>31.099999999999994</x:v>
      </x:c>
      <x:c r="J40" s="12">
        <x:f t="shared" si="21"/>
        <x:v>26.099999999999994</x:v>
      </x:c>
      <x:c r="K40" s="12">
        <x:f t="shared" si="22"/>
        <x:v>21.099999999999994</x:v>
      </x:c>
      <x:c r="L40" s="12">
        <x:f t="shared" si="23"/>
        <x:v>16.099999999999994</x:v>
      </x:c>
      <x:c r="M40" s="12">
        <x:f t="shared" si="24"/>
        <x:v>11.099999999999994</x:v>
      </x:c>
      <x:c r="N40" s="12">
        <x:f t="shared" si="25"/>
        <x:v>6.0999999999999943</x:v>
      </x:c>
      <x:c r="AA40" s="28">
        <x:f t="shared" si="15"/>
        <x:v>1201029</x:v>
      </x:c>
    </x:row>
    <x:row r="41" spans="1:27" x14ac:dyDescent="0.25">
      <x:c r="A41">
        <x:f t="shared" si="2"/>
        <x:v>33</x:v>
      </x:c>
      <x:c r="B41" s="14">
        <x:v>2011</x:v>
      </x:c>
      <x:c r="C41" s="39">
        <x:v>91</x:v>
      </x:c>
      <x:c r="D41" s="12">
        <x:f t="shared" si="14"/>
        <x:v>0</x:v>
      </x:c>
      <x:c r="E41" s="12">
        <x:f t="shared" si="16"/>
        <x:v>0</x:v>
      </x:c>
      <x:c r="F41" s="12">
        <x:f t="shared" si="17"/>
        <x:v>0</x:v>
      </x:c>
      <x:c r="G41" s="12">
        <x:f t="shared" si="18"/>
        <x:v>0</x:v>
      </x:c>
      <x:c r="H41" s="12">
        <x:f t="shared" si="19"/>
        <x:v>41</x:v>
      </x:c>
      <x:c r="I41" s="12">
        <x:f t="shared" si="20"/>
        <x:v>36</x:v>
      </x:c>
      <x:c r="J41" s="12">
        <x:f t="shared" si="21"/>
        <x:v>31</x:v>
      </x:c>
      <x:c r="K41" s="12">
        <x:f t="shared" si="22"/>
        <x:v>26</x:v>
      </x:c>
      <x:c r="L41" s="12">
        <x:f t="shared" si="23"/>
        <x:v>21</x:v>
      </x:c>
      <x:c r="M41" s="12">
        <x:f t="shared" si="24"/>
        <x:v>16</x:v>
      </x:c>
      <x:c r="N41" s="12">
        <x:f t="shared" si="25"/>
        <x:v>11</x:v>
      </x:c>
      <x:c r="AA41" s="28">
        <x:f t="shared" si="15"/>
        <x:v>1201129</x:v>
      </x:c>
    </x:row>
    <x:row r="42" spans="1:27" x14ac:dyDescent="0.25">
      <x:c r="A42">
        <x:f t="shared" si="2"/>
        <x:v>34</x:v>
      </x:c>
      <x:c r="B42" s="14">
        <x:v>2012</x:v>
      </x:c>
      <x:c r="C42" s="39">
        <x:v>84</x:v>
      </x:c>
      <x:c r="D42" s="12">
        <x:f t="shared" si="14"/>
        <x:v>0</x:v>
      </x:c>
      <x:c r="E42" s="12">
        <x:f t="shared" si="16"/>
        <x:v>0</x:v>
      </x:c>
      <x:c r="F42" s="12">
        <x:f t="shared" si="17"/>
        <x:v>0</x:v>
      </x:c>
      <x:c r="G42" s="12">
        <x:f t="shared" si="18"/>
        <x:v>0</x:v>
      </x:c>
      <x:c r="H42" s="12">
        <x:f t="shared" si="19"/>
        <x:v>34</x:v>
      </x:c>
      <x:c r="I42" s="12">
        <x:f t="shared" si="20"/>
        <x:v>29</x:v>
      </x:c>
      <x:c r="J42" s="12">
        <x:f t="shared" si="21"/>
        <x:v>24</x:v>
      </x:c>
      <x:c r="K42" s="12">
        <x:f t="shared" si="22"/>
        <x:v>19</x:v>
      </x:c>
      <x:c r="L42" s="12">
        <x:f t="shared" si="23"/>
        <x:v>14</x:v>
      </x:c>
      <x:c r="M42" s="12">
        <x:f t="shared" si="24"/>
        <x:v>9</x:v>
      </x:c>
      <x:c r="N42" s="12">
        <x:f t="shared" si="25"/>
        <x:v>4</x:v>
      </x:c>
      <x:c r="AA42" s="28">
        <x:f t="shared" si="15"/>
        <x:v>1201229</x:v>
      </x:c>
    </x:row>
    <x:row r="43" spans="1:27" x14ac:dyDescent="0.25">
      <x:c r="A43">
        <x:f t="shared" si="2"/>
        <x:v>35</x:v>
      </x:c>
      <x:c r="B43" s="14">
        <x:v>2013</x:v>
      </x:c>
      <x:c r="C43" s="39">
        <x:v>80.5</x:v>
      </x:c>
      <x:c r="D43" s="12">
        <x:f t="shared" si="14"/>
        <x:v>0</x:v>
      </x:c>
      <x:c r="E43" s="12">
        <x:f t="shared" si="16"/>
        <x:v>0</x:v>
      </x:c>
      <x:c r="F43" s="12">
        <x:f t="shared" si="17"/>
        <x:v>0</x:v>
      </x:c>
      <x:c r="G43" s="12">
        <x:f t="shared" si="18"/>
        <x:v>0</x:v>
      </x:c>
      <x:c r="H43" s="12">
        <x:f t="shared" si="19"/>
        <x:v>30.5</x:v>
      </x:c>
      <x:c r="I43" s="12">
        <x:f t="shared" si="20"/>
        <x:v>25.5</x:v>
      </x:c>
      <x:c r="J43" s="12">
        <x:f t="shared" si="21"/>
        <x:v>20.5</x:v>
      </x:c>
      <x:c r="K43" s="12">
        <x:f t="shared" si="22"/>
        <x:v>15.5</x:v>
      </x:c>
      <x:c r="L43" s="12">
        <x:f t="shared" si="23"/>
        <x:v>10.5</x:v>
      </x:c>
      <x:c r="M43" s="12">
        <x:f t="shared" si="24"/>
        <x:v>5.5</x:v>
      </x:c>
      <x:c r="N43" s="12">
        <x:f t="shared" si="25"/>
        <x:v>0.5</x:v>
      </x:c>
      <x:c r="AA43" s="28">
        <x:f t="shared" si="15"/>
        <x:v>1201329</x:v>
      </x:c>
    </x:row>
    <x:row r="44" spans="1:27" x14ac:dyDescent="0.25">
      <x:c r="A44">
        <x:f t="shared" si="2"/>
        <x:v>36</x:v>
      </x:c>
      <x:c r="B44" s="14">
        <x:v>2014</x:v>
      </x:c>
      <x:c r="C44" s="39">
        <x:v>85.8</x:v>
      </x:c>
      <x:c r="D44" s="12">
        <x:f t="shared" si="14"/>
        <x:v>0</x:v>
      </x:c>
      <x:c r="E44" s="12">
        <x:f t="shared" si="16"/>
        <x:v>0</x:v>
      </x:c>
      <x:c r="F44" s="12">
        <x:f t="shared" si="17"/>
        <x:v>0</x:v>
      </x:c>
      <x:c r="G44" s="12">
        <x:f t="shared" si="18"/>
        <x:v>0</x:v>
      </x:c>
      <x:c r="H44" s="12">
        <x:f t="shared" si="19"/>
        <x:v>35.799999999999997</x:v>
      </x:c>
      <x:c r="I44" s="12">
        <x:f t="shared" si="20"/>
        <x:v>30.799999999999997</x:v>
      </x:c>
      <x:c r="J44" s="12">
        <x:f t="shared" si="21"/>
        <x:v>25.799999999999997</x:v>
      </x:c>
      <x:c r="K44" s="12">
        <x:f t="shared" si="22"/>
        <x:v>20.799999999999997</x:v>
      </x:c>
      <x:c r="L44" s="12">
        <x:f t="shared" si="23"/>
        <x:v>15.799999999999997</x:v>
      </x:c>
      <x:c r="M44" s="12">
        <x:f t="shared" si="24"/>
        <x:v>10.799999999999997</x:v>
      </x:c>
      <x:c r="N44" s="12">
        <x:f t="shared" si="25"/>
        <x:v>5.7999999999999972</x:v>
      </x:c>
      <x:c r="AA44" s="28">
        <x:f t="shared" si="15"/>
        <x:v>1201429</x:v>
      </x:c>
    </x:row>
    <x:row r="45" spans="1:27" x14ac:dyDescent="0.25">
      <x:c r="A45">
        <x:f t="shared" si="2"/>
        <x:v>37</x:v>
      </x:c>
      <x:c r="B45" s="14">
        <x:v>2015</x:v>
      </x:c>
      <x:c r="C45" s="39">
        <x:v>83.4</x:v>
      </x:c>
      <x:c r="D45" s="12">
        <x:f t="shared" si="14"/>
        <x:v>0</x:v>
      </x:c>
      <x:c r="E45" s="12">
        <x:f t="shared" si="16"/>
        <x:v>0</x:v>
      </x:c>
      <x:c r="F45" s="12">
        <x:f t="shared" si="17"/>
        <x:v>0</x:v>
      </x:c>
      <x:c r="G45" s="12">
        <x:f t="shared" si="18"/>
        <x:v>0</x:v>
      </x:c>
      <x:c r="H45" s="12">
        <x:f t="shared" si="19"/>
        <x:v>33.400000000000006</x:v>
      </x:c>
      <x:c r="I45" s="12">
        <x:f t="shared" si="20"/>
        <x:v>28.400000000000006</x:v>
      </x:c>
      <x:c r="J45" s="12">
        <x:f t="shared" si="21"/>
        <x:v>23.400000000000006</x:v>
      </x:c>
      <x:c r="K45" s="12">
        <x:f t="shared" si="22"/>
        <x:v>18.400000000000006</x:v>
      </x:c>
      <x:c r="L45" s="12">
        <x:f t="shared" si="23"/>
        <x:v>13.400000000000006</x:v>
      </x:c>
      <x:c r="M45" s="12">
        <x:f t="shared" si="24"/>
        <x:v>8.4000000000000057</x:v>
      </x:c>
      <x:c r="N45" s="12">
        <x:f t="shared" si="25"/>
        <x:v>3.4000000000000057</x:v>
      </x:c>
      <x:c r="AA45" s="28">
        <x:f t="shared" si="15"/>
        <x:v>1201529</x:v>
      </x:c>
    </x:row>
    <x:row r="46" spans="1:27" x14ac:dyDescent="0.25">
      <x:c r="A46">
        <x:f t="shared" si="2"/>
        <x:v>38</x:v>
      </x:c>
      <x:c r="B46" s="14">
        <x:v>2016</x:v>
      </x:c>
      <x:c r="C46" s="39">
        <x:v>88.5</x:v>
      </x:c>
      <x:c r="D46" s="12">
        <x:f t="shared" si="14"/>
        <x:v>0</x:v>
      </x:c>
      <x:c r="E46" s="12">
        <x:f t="shared" si="16"/>
        <x:v>0</x:v>
      </x:c>
      <x:c r="F46" s="12">
        <x:f t="shared" si="17"/>
        <x:v>0</x:v>
      </x:c>
      <x:c r="G46" s="12">
        <x:f t="shared" si="18"/>
        <x:v>0</x:v>
      </x:c>
      <x:c r="H46" s="12">
        <x:f t="shared" si="19"/>
        <x:v>38.5</x:v>
      </x:c>
      <x:c r="I46" s="12">
        <x:f t="shared" si="20"/>
        <x:v>33.5</x:v>
      </x:c>
      <x:c r="J46" s="12">
        <x:f t="shared" si="21"/>
        <x:v>28.5</x:v>
      </x:c>
      <x:c r="K46" s="12">
        <x:f t="shared" si="22"/>
        <x:v>23.5</x:v>
      </x:c>
      <x:c r="L46" s="12">
        <x:f t="shared" si="23"/>
        <x:v>18.5</x:v>
      </x:c>
      <x:c r="M46" s="12">
        <x:f t="shared" si="24"/>
        <x:v>13.5</x:v>
      </x:c>
      <x:c r="N46" s="12">
        <x:f t="shared" si="25"/>
        <x:v>8.5</x:v>
      </x:c>
      <x:c r="AA46" s="28">
        <x:f t="shared" si="15"/>
        <x:v>1201629</x:v>
      </x:c>
    </x:row>
    <x:row r="47" spans="1:27" x14ac:dyDescent="0.25">
      <x:c r="A47">
        <x:f t="shared" si="2"/>
        <x:v>39</x:v>
      </x:c>
      <x:c r="B47" s="14">
        <x:v>2017</x:v>
      </x:c>
      <x:c r="C47" s="39">
        <x:v>82.8</x:v>
      </x:c>
      <x:c r="D47" s="12">
        <x:f t="shared" si="14"/>
        <x:v>0</x:v>
      </x:c>
      <x:c r="E47" s="12">
        <x:f t="shared" si="16"/>
        <x:v>0</x:v>
      </x:c>
      <x:c r="F47" s="12">
        <x:f t="shared" si="17"/>
        <x:v>0</x:v>
      </x:c>
      <x:c r="G47" s="12">
        <x:f t="shared" si="18"/>
        <x:v>0</x:v>
      </x:c>
      <x:c r="H47" s="12">
        <x:f t="shared" si="19"/>
        <x:v>32.799999999999997</x:v>
      </x:c>
      <x:c r="I47" s="12">
        <x:f t="shared" si="20"/>
        <x:v>27.799999999999997</x:v>
      </x:c>
      <x:c r="J47" s="12">
        <x:f t="shared" si="21"/>
        <x:v>22.799999999999997</x:v>
      </x:c>
      <x:c r="K47" s="12">
        <x:f t="shared" si="22"/>
        <x:v>17.799999999999997</x:v>
      </x:c>
      <x:c r="L47" s="12">
        <x:f t="shared" si="23"/>
        <x:v>12.799999999999997</x:v>
      </x:c>
      <x:c r="M47" s="12">
        <x:f t="shared" si="24"/>
        <x:v>7.7999999999999972</x:v>
      </x:c>
      <x:c r="N47" s="12">
        <x:f t="shared" si="25"/>
        <x:v>2.7999999999999972</x:v>
      </x:c>
      <x:c r="AA47" s="28">
        <x:f t="shared" si="15"/>
        <x:v>1201729</x:v>
      </x:c>
    </x:row>
    <x:row r="48" spans="1:27" x14ac:dyDescent="0.25">
      <x:c r="A48">
        <x:f t="shared" si="2"/>
        <x:v>40</x:v>
      </x:c>
      <x:c r="B48" s="14">
        <x:v>2018</x:v>
      </x:c>
      <x:c r="C48" s="39">
        <x:v>85</x:v>
      </x:c>
      <x:c r="D48" s="12">
        <x:f t="shared" si="14"/>
        <x:v>0</x:v>
      </x:c>
      <x:c r="E48" s="12">
        <x:f t="shared" si="16"/>
        <x:v>0</x:v>
      </x:c>
      <x:c r="F48" s="12">
        <x:f t="shared" si="17"/>
        <x:v>0</x:v>
      </x:c>
      <x:c r="G48" s="12">
        <x:f t="shared" si="18"/>
        <x:v>0</x:v>
      </x:c>
      <x:c r="H48" s="12">
        <x:f t="shared" si="19"/>
        <x:v>35</x:v>
      </x:c>
      <x:c r="I48" s="12">
        <x:f t="shared" si="20"/>
        <x:v>30</x:v>
      </x:c>
      <x:c r="J48" s="12">
        <x:f t="shared" si="21"/>
        <x:v>25</x:v>
      </x:c>
      <x:c r="K48" s="12">
        <x:f t="shared" si="22"/>
        <x:v>20</x:v>
      </x:c>
      <x:c r="L48" s="12">
        <x:f t="shared" si="23"/>
        <x:v>15</x:v>
      </x:c>
      <x:c r="M48" s="12">
        <x:f t="shared" si="24"/>
        <x:v>10</x:v>
      </x:c>
      <x:c r="N48" s="12">
        <x:f t="shared" si="25"/>
        <x:v>5</x:v>
      </x:c>
      <x:c r="AA48" s="28">
        <x:f t="shared" si="15"/>
        <x:v>1201829</x:v>
      </x:c>
    </x:row>
    <x:row r="49" spans="1:27" x14ac:dyDescent="0.25">
      <x:c r="A49">
        <x:f t="shared" si="2"/>
        <x:v>41</x:v>
      </x:c>
      <x:c r="B49" s="14">
        <x:v>2019</x:v>
      </x:c>
      <x:c r="C49" s="39">
        <x:v>82.5</x:v>
      </x:c>
      <x:c r="D49" s="12">
        <x:f t="shared" si="14"/>
        <x:v>0</x:v>
      </x:c>
      <x:c r="E49" s="12">
        <x:f t="shared" si="16"/>
        <x:v>0</x:v>
      </x:c>
      <x:c r="F49" s="12">
        <x:f t="shared" si="17"/>
        <x:v>0</x:v>
      </x:c>
      <x:c r="G49" s="12">
        <x:f t="shared" si="18"/>
        <x:v>0</x:v>
      </x:c>
      <x:c r="H49" s="12">
        <x:f t="shared" si="19"/>
        <x:v>32.5</x:v>
      </x:c>
      <x:c r="I49" s="12">
        <x:f t="shared" si="20"/>
        <x:v>27.5</x:v>
      </x:c>
      <x:c r="J49" s="12">
        <x:f t="shared" si="21"/>
        <x:v>22.5</x:v>
      </x:c>
      <x:c r="K49" s="12">
        <x:f t="shared" si="22"/>
        <x:v>17.5</x:v>
      </x:c>
      <x:c r="L49" s="12">
        <x:f t="shared" si="23"/>
        <x:v>12.5</x:v>
      </x:c>
      <x:c r="M49" s="12">
        <x:f t="shared" si="24"/>
        <x:v>7.5</x:v>
      </x:c>
      <x:c r="N49" s="12">
        <x:f t="shared" si="25"/>
        <x:v>2.5</x:v>
      </x:c>
      <x:c r="AA49" s="28">
        <x:f t="shared" si="15"/>
        <x:v>1201929</x:v>
      </x:c>
    </x:row>
    <x:row r="50" spans="1:27" x14ac:dyDescent="0.25">
      <x:c r="A50">
        <x:f t="shared" si="2"/>
        <x:v>42</x:v>
      </x:c>
      <x:c r="B50" s="14">
        <x:v>2020</x:v>
      </x:c>
      <x:c r="C50" s="39">
        <x:v>94</x:v>
      </x:c>
      <x:c r="D50" s="12">
        <x:f t="shared" si="14"/>
        <x:v>0</x:v>
      </x:c>
      <x:c r="E50" s="12">
        <x:f t="shared" si="16"/>
        <x:v>0</x:v>
      </x:c>
      <x:c r="F50" s="12">
        <x:f t="shared" si="17"/>
        <x:v>0</x:v>
      </x:c>
      <x:c r="G50" s="12">
        <x:f t="shared" si="18"/>
        <x:v>0</x:v>
      </x:c>
      <x:c r="H50" s="12">
        <x:f t="shared" si="19"/>
        <x:v>44</x:v>
      </x:c>
      <x:c r="I50" s="12">
        <x:f t="shared" si="20"/>
        <x:v>39</x:v>
      </x:c>
      <x:c r="J50" s="12">
        <x:f t="shared" si="21"/>
        <x:v>34</x:v>
      </x:c>
      <x:c r="K50" s="12">
        <x:f t="shared" si="22"/>
        <x:v>29</x:v>
      </x:c>
      <x:c r="L50" s="12">
        <x:f t="shared" si="23"/>
        <x:v>24</x:v>
      </x:c>
      <x:c r="M50" s="12">
        <x:f t="shared" si="24"/>
        <x:v>19</x:v>
      </x:c>
      <x:c r="N50" s="12">
        <x:f t="shared" si="25"/>
        <x:v>14</x:v>
      </x:c>
      <x:c r="AA50" s="28">
        <x:f t="shared" si="15"/>
        <x:v>1202029</x:v>
      </x:c>
    </x:row>
    <x:row r="51" spans="1:27" x14ac:dyDescent="0.25">
      <x:c r="A51">
        <x:f t="shared" si="2"/>
        <x:v>43</x:v>
      </x:c>
      <x:c r="B51" s="14">
        <x:v>2021</x:v>
      </x:c>
      <x:c r="C51" s="39">
        <x:v>80</x:v>
      </x:c>
      <x:c r="D51" s="12">
        <x:f t="shared" si="14"/>
        <x:v>0</x:v>
      </x:c>
      <x:c r="E51" s="12">
        <x:f t="shared" si="16"/>
        <x:v>0</x:v>
      </x:c>
      <x:c r="F51" s="12">
        <x:f t="shared" si="17"/>
        <x:v>0</x:v>
      </x:c>
      <x:c r="G51" s="12">
        <x:f t="shared" si="18"/>
        <x:v>0</x:v>
      </x:c>
      <x:c r="H51" s="12">
        <x:f t="shared" si="19"/>
        <x:v>30</x:v>
      </x:c>
      <x:c r="I51" s="12">
        <x:f t="shared" si="20"/>
        <x:v>25</x:v>
      </x:c>
      <x:c r="J51" s="12">
        <x:f t="shared" si="21"/>
        <x:v>20</x:v>
      </x:c>
      <x:c r="K51" s="12">
        <x:f t="shared" si="22"/>
        <x:v>15</x:v>
      </x:c>
      <x:c r="L51" s="12">
        <x:f t="shared" si="23"/>
        <x:v>10</x:v>
      </x:c>
      <x:c r="M51" s="12">
        <x:f t="shared" si="24"/>
        <x:v>5</x:v>
      </x:c>
      <x:c r="N51" s="12">
        <x:f t="shared" si="25"/>
        <x:v>0</x:v>
      </x:c>
      <x:c r="AA51" s="28">
        <x:f t="shared" si="15"/>
        <x:v>1202129</x:v>
      </x:c>
    </x:row>
    <x:row r="52" spans="1:27" x14ac:dyDescent="0.25">
      <x:c r="A52">
        <x:f t="shared" si="2"/>
        <x:v>44</x:v>
      </x:c>
      <x:c r="B52" s="14">
        <x:v>2022</x:v>
      </x:c>
      <x:c r="C52" s="39">
        <x:v>84.5</x:v>
      </x:c>
      <x:c r="D52" s="12">
        <x:f t="shared" si="14"/>
        <x:v>0</x:v>
      </x:c>
      <x:c r="E52" s="12">
        <x:f t="shared" si="16"/>
        <x:v>0</x:v>
      </x:c>
      <x:c r="F52" s="12">
        <x:f t="shared" si="17"/>
        <x:v>0</x:v>
      </x:c>
      <x:c r="G52" s="12">
        <x:f t="shared" si="18"/>
        <x:v>0</x:v>
      </x:c>
      <x:c r="H52" s="12">
        <x:f t="shared" si="19"/>
        <x:v>34.5</x:v>
      </x:c>
      <x:c r="I52" s="12">
        <x:f t="shared" si="20"/>
        <x:v>29.5</x:v>
      </x:c>
      <x:c r="J52" s="12">
        <x:f t="shared" si="21"/>
        <x:v>24.5</x:v>
      </x:c>
      <x:c r="K52" s="12">
        <x:f t="shared" si="22"/>
        <x:v>19.5</x:v>
      </x:c>
      <x:c r="L52" s="12">
        <x:f t="shared" si="23"/>
        <x:v>14.5</x:v>
      </x:c>
      <x:c r="M52" s="12">
        <x:f t="shared" si="24"/>
        <x:v>9.5</x:v>
      </x:c>
      <x:c r="N52" s="12">
        <x:f t="shared" si="25"/>
        <x:v>4.5</x:v>
      </x:c>
      <x:c r="AA52" s="28">
        <x:f t="shared" si="15"/>
        <x:v>1202229</x:v>
      </x:c>
    </x:row>
    <x:row r="53" spans="1:27" x14ac:dyDescent="0.25">
      <x:c r="A53">
        <x:f t="shared" si="2"/>
        <x:v>45</x:v>
      </x:c>
      <x:c r="B53" s="14">
        <x:v>2023</x:v>
      </x:c>
      <x:c r="C53" s="39">
        <x:v>91.9</x:v>
      </x:c>
      <x:c r="D53" s="12">
        <x:f t="shared" si="14"/>
        <x:v>0</x:v>
      </x:c>
      <x:c r="E53" s="12">
        <x:f t="shared" si="16"/>
        <x:v>0</x:v>
      </x:c>
      <x:c r="F53" s="12">
        <x:f t="shared" si="17"/>
        <x:v>0</x:v>
      </x:c>
      <x:c r="G53" s="12">
        <x:f t="shared" si="18"/>
        <x:v>0</x:v>
      </x:c>
      <x:c r="H53" s="12">
        <x:f t="shared" si="19"/>
        <x:v>41.900000000000006</x:v>
      </x:c>
      <x:c r="I53" s="12">
        <x:f t="shared" si="20"/>
        <x:v>36.900000000000006</x:v>
      </x:c>
      <x:c r="J53" s="12">
        <x:f t="shared" si="21"/>
        <x:v>31.900000000000006</x:v>
      </x:c>
      <x:c r="K53" s="12">
        <x:f t="shared" si="22"/>
        <x:v>26.900000000000006</x:v>
      </x:c>
      <x:c r="L53" s="12">
        <x:f t="shared" si="23"/>
        <x:v>21.900000000000006</x:v>
      </x:c>
      <x:c r="M53" s="12">
        <x:f t="shared" si="24"/>
        <x:v>16.900000000000006</x:v>
      </x:c>
      <x:c r="N53" s="12">
        <x:f t="shared" si="25"/>
        <x:v>11.900000000000006</x:v>
      </x:c>
      <x:c r="AA53" s="28">
        <x:f t="shared" si="15"/>
        <x:v>1202329</x:v>
      </x:c>
    </x:row>
    <x:row r="54" spans="1:27" x14ac:dyDescent="0.25">
      <x:c r="B54" s="14"/>
      <x:c r="C54" s="49" t="s">
        <x:v>75</x:v>
      </x:c>
      <x:c r="D54" s="47">
        <x:f>AVERAGE(D34:D53)</x:f>
        <x:v>0</x:v>
      </x:c>
      <x:c r="E54" s="47">
        <x:f t="shared" ref="E54:N54" si="26">AVERAGE(E34:E53)</x:f>
        <x:v>0</x:v>
      </x:c>
      <x:c r="F54" s="47">
        <x:f t="shared" si="26"/>
        <x:v>0</x:v>
      </x:c>
      <x:c r="G54" s="47">
        <x:f t="shared" si="26"/>
        <x:v>0</x:v>
      </x:c>
      <x:c r="H54" s="47">
        <x:f t="shared" si="26"/>
        <x:v>34.922083333333333</x:v>
      </x:c>
      <x:c r="I54" s="47">
        <x:f t="shared" si="26"/>
        <x:v>29.922083333333337</x:v>
      </x:c>
      <x:c r="J54" s="47">
        <x:f t="shared" si="26"/>
        <x:v>24.922083333333337</x:v>
      </x:c>
      <x:c r="K54" s="47">
        <x:f t="shared" si="26"/>
        <x:v>19.922083333333337</x:v>
      </x:c>
      <x:c r="L54" s="47">
        <x:f t="shared" si="26"/>
        <x:v>14.922083333333337</x:v>
      </x:c>
      <x:c r="M54" s="47">
        <x:f t="shared" si="26"/>
        <x:v>9.9220833333333349</x:v>
      </x:c>
      <x:c r="N54" s="47">
        <x:f t="shared" si="26"/>
        <x:v>5.1345833333333353</x:v>
      </x:c>
    </x:row>
    <x:row r="55" spans="1:27" x14ac:dyDescent="0.25">
      <x:c r="B55" s="14"/>
      <x:c r="C55" s="14"/>
      <x:c r="D55" s="14"/>
      <x:c r="E55" s="15"/>
    </x:row>
    <x:row r="56" spans="1:27" x14ac:dyDescent="0.25">
      <x:c r="B56" s="14"/>
      <x:c r="C56" s="14"/>
      <x:c r="D56" s="14"/>
      <x:c r="E56" s="15"/>
    </x:row>
    <x:row r="57" spans="1:27" x14ac:dyDescent="0.25">
      <x:c r="B57" s="14"/>
      <x:c r="C57" s="14"/>
      <x:c r="D57" s="14"/>
      <x:c r="E57" s="15"/>
    </x:row>
    <x:row r="58" spans="1:27" x14ac:dyDescent="0.25">
      <x:c r="B58" s="14"/>
      <x:c r="C58" s="14"/>
      <x:c r="D58" s="14"/>
      <x:c r="E58" s="15"/>
    </x:row>
    <x:row r="59" spans="1:27" x14ac:dyDescent="0.25">
      <x:c r="B59" s="14"/>
      <x:c r="C59" s="14"/>
      <x:c r="D59" s="14"/>
      <x:c r="E59" s="15"/>
    </x:row>
    <x:row r="60" spans="1:27" x14ac:dyDescent="0.25">
      <x:c r="B60" s="14"/>
      <x:c r="C60" s="14"/>
      <x:c r="D60" s="14"/>
      <x:c r="E60" s="15"/>
    </x:row>
    <x:row r="61" spans="1:27" x14ac:dyDescent="0.25">
      <x:c r="B61" s="14"/>
      <x:c r="C61" s="14"/>
      <x:c r="D61" s="14"/>
      <x:c r="E61" s="15"/>
    </x:row>
    <x:row r="62" spans="1:27" x14ac:dyDescent="0.25">
      <x:c r="B62" s="14"/>
      <x:c r="C62" s="14"/>
      <x:c r="D62" s="14"/>
      <x:c r="E62" s="15"/>
    </x:row>
    <x:row r="63" spans="1:27" x14ac:dyDescent="0.25">
      <x:c r="B63" s="14"/>
      <x:c r="C63" s="14"/>
      <x:c r="D63" s="14"/>
      <x:c r="E63" s="15"/>
    </x:row>
    <x:row r="64" spans="1:27" x14ac:dyDescent="0.25">
      <x:c r="B64" s="14"/>
      <x:c r="C64" s="14"/>
      <x:c r="D64" s="14"/>
      <x:c r="E64" s="15"/>
    </x:row>
    <x:row r="65" spans="2:5" x14ac:dyDescent="0.25">
      <x:c r="B65" s="14"/>
      <x:c r="C65" s="14"/>
      <x:c r="D65" s="14"/>
      <x:c r="E65" s="15"/>
    </x:row>
    <x:row r="66" spans="2:5" x14ac:dyDescent="0.25">
      <x:c r="B66" s="14"/>
      <x:c r="C66" s="14"/>
      <x:c r="D66" s="14"/>
      <x:c r="E66" s="15"/>
    </x:row>
    <x:row r="67" spans="2:5" x14ac:dyDescent="0.25">
      <x:c r="B67" s="14"/>
      <x:c r="C67" s="14"/>
      <x:c r="D67" s="14"/>
      <x:c r="E67" s="15"/>
    </x:row>
    <x:row r="68" spans="2:5" x14ac:dyDescent="0.25">
      <x:c r="B68" s="14"/>
      <x:c r="C68" s="14"/>
      <x:c r="D68" s="14"/>
      <x:c r="E68" s="15"/>
    </x:row>
    <x:row r="69" spans="2:5" x14ac:dyDescent="0.25">
      <x:c r="B69" s="14"/>
      <x:c r="C69" s="14"/>
      <x:c r="D69" s="14"/>
      <x:c r="E69" s="15"/>
    </x:row>
    <x:row r="70" spans="2:5" x14ac:dyDescent="0.25">
      <x:c r="B70" s="14"/>
      <x:c r="C70" s="14"/>
      <x:c r="D70" s="14"/>
      <x:c r="E70" s="15"/>
    </x:row>
    <x:row r="71" spans="2:5" x14ac:dyDescent="0.25">
      <x:c r="B71" s="14"/>
      <x:c r="C71" s="14"/>
      <x:c r="D71" s="14"/>
      <x:c r="E71" s="15"/>
    </x:row>
    <x:row r="72" spans="2:5" x14ac:dyDescent="0.25">
      <x:c r="B72" s="14"/>
      <x:c r="C72" s="14"/>
      <x:c r="D72" s="14"/>
      <x:c r="E72" s="15"/>
    </x:row>
    <x:row r="73" spans="2:5" x14ac:dyDescent="0.25">
      <x:c r="B73" s="14"/>
      <x:c r="C73" s="14"/>
      <x:c r="D73" s="14"/>
    </x:row>
  </x:sheetData>
  <x:mergeCells count="6">
    <x:mergeCell ref="B8:N8"/>
    <x:mergeCell ref="B1:N1"/>
    <x:mergeCell ref="B2:N2"/>
    <x:mergeCell ref="B3:N3"/>
    <x:mergeCell ref="B4:N4"/>
    <x:mergeCell ref="B6:N6"/>
  </x:mergeCells>
  <x:phoneticPr fontId="1" type="noConversion"/>
  <x:pageMargins left="0.75" right="0.75" top="1" bottom="1" header="0.5" footer="0.5"/>
  <x:pageSetup scale="91" firstPageNumber="3" orientation="portrait" r:id="rId1"/>
  <x:headerFooter alignWithMargins="0">
    <x:oddHeader>&amp;RSchedule II-H-5.1
Page &amp;P of  25</x:oddHeader>
  </x:headerFooter>
</x:worksheet>
</file>

<file path=xl/worksheets/sheet2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900-000000000000}" mc:Ignorable="x14ac xr xr2 xr3">
  <x:sheetPr>
    <x:pageSetUpPr fitToPage="1"/>
  </x:sheetPr>
  <x:dimension ref="A1:AA46"/>
  <x:sheetViews>
    <x:sheetView zoomScaleNormal="100" workbookViewId="0"/>
  </x:sheetViews>
  <x:sheetFormatPr defaultRowHeight="13.2" x14ac:dyDescent="0.25"/>
  <x:cols>
    <x:col min="2" max="2" width="6.6640625" style="9" bestFit="1" customWidth="1"/>
    <x:col min="3" max="3" width="8.109375" style="9" bestFit="1" customWidth="1"/>
    <x:col min="4" max="5" width="8.109375" bestFit="1" customWidth="1"/>
    <x:col min="6" max="8" width="8.109375" customWidth="1"/>
    <x:col min="9" max="13" width="8.21875" bestFit="1" customWidth="1"/>
  </x:cols>
  <x:sheetData>
    <x:row r="1" spans="1:14" s="2" customFormat="1" ht="15.6" x14ac:dyDescent="0.3">
      <x:c r="B1" s="88" t="str">
        <x:f>+Base45h!B1</x:f>
        <x:v xml:space="preserve">PUC DOCKET NO. </x:v>
      </x:c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76"/>
    </x:row>
    <x:row r="2" spans="1:14" s="2" customFormat="1" ht="15.6" x14ac:dyDescent="0.3">
      <x:c r="B2" s="88" t="str">
        <x:f>+Base45h!B2</x:f>
        <x:v>ONCOR ELECTRIC DELIVERY COMPANY LLC</x:v>
      </x:c>
      <x:c r="C2" s="92"/>
      <x:c r="D2" s="92"/>
      <x:c r="E2" s="92"/>
      <x:c r="F2" s="92"/>
      <x:c r="G2" s="92"/>
      <x:c r="H2" s="92"/>
      <x:c r="I2" s="92"/>
      <x:c r="J2" s="92"/>
      <x:c r="K2" s="92"/>
      <x:c r="L2" s="92"/>
      <x:c r="M2" s="92"/>
      <x:c r="N2" s="76"/>
    </x:row>
    <x:row r="3" spans="1:14" s="2" customFormat="1" ht="15.6" x14ac:dyDescent="0.3">
      <x:c r="B3" s="88" t="str">
        <x:f>+Base45h!B3</x:f>
        <x:v>WEATHER STATION DATA</x:v>
      </x:c>
      <x:c r="C3" s="92"/>
      <x:c r="D3" s="92"/>
      <x:c r="E3" s="92"/>
      <x:c r="F3" s="92"/>
      <x:c r="G3" s="92"/>
      <x:c r="H3" s="92"/>
      <x:c r="I3" s="92"/>
      <x:c r="J3" s="92"/>
      <x:c r="K3" s="92"/>
      <x:c r="L3" s="92"/>
      <x:c r="M3" s="92"/>
      <x:c r="N3" s="76"/>
    </x:row>
    <x:row r="4" spans="1:14" s="2" customFormat="1" ht="15.6" x14ac:dyDescent="0.3">
      <x:c r="B4" s="88" t="str">
        <x:f>+Base45h!B4</x:f>
        <x:v>FOR THE TEST YEAR ENDING DECEMBER 31, 2024</x:v>
      </x:c>
      <x:c r="C4" s="92"/>
      <x:c r="D4" s="92"/>
      <x:c r="E4" s="92"/>
      <x:c r="F4" s="92"/>
      <x:c r="G4" s="92"/>
      <x:c r="H4" s="92"/>
      <x:c r="I4" s="92"/>
      <x:c r="J4" s="92"/>
      <x:c r="K4" s="92"/>
      <x:c r="L4" s="92"/>
      <x:c r="M4" s="92"/>
      <x:c r="N4" s="76"/>
    </x:row>
    <x:row r="5" spans="1:14" s="2" customFormat="1" ht="11.4" x14ac:dyDescent="0.2">
      <x:c r="B5" s="1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M5" s="17"/>
      <x:c r="N5" s="17"/>
    </x:row>
    <x:row r="6" spans="1:14" s="2" customFormat="1" ht="15.6" x14ac:dyDescent="0.3">
      <x:c r="B6" s="88" t="str">
        <x:f>+Base45h!B6</x:f>
        <x:v>SPONSOR: D. E. NELSON</x:v>
      </x:c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76"/>
    </x:row>
    <x:row r="7" spans="1:14" s="2" customFormat="1" ht="15.6" x14ac:dyDescent="0.3">
      <x:c r="B7" s="42"/>
      <x:c r="C7" s="42"/>
      <x:c r="D7" s="43"/>
      <x:c r="E7" s="43"/>
      <x:c r="F7" s="43"/>
      <x:c r="G7" s="43"/>
      <x:c r="H7" s="43"/>
      <x:c r="I7" s="9"/>
      <x:c r="J7" s="9"/>
      <x:c r="K7" s="9"/>
      <x:c r="L7" s="9"/>
      <x:c r="M7" s="9"/>
    </x:row>
    <x:row r="8" spans="1:14" s="2" customFormat="1" ht="15.6" x14ac:dyDescent="0.3">
      <x:c r="B8" s="88" t="s">
        <x:v>92</x:v>
      </x:c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</x:row>
    <x:row r="9" spans="1:14" ht="24" thickBot="1" x14ac:dyDescent="0.3">
      <x:c r="A9" s="3" t="s">
        <x:v>4</x:v>
      </x:c>
    </x:row>
    <x:row r="11" spans="1:14" s="10" customFormat="1" x14ac:dyDescent="0.25">
      <x:c r="A11">
        <x:v>1</x:v>
      </x:c>
      <x:c r="B11" s="44" t="s">
        <x:v>28</x:v>
      </x:c>
      <x:c r="C11" s="44" t="s">
        <x:v>77</x:v>
      </x:c>
      <x:c r="D11" s="44" t="s">
        <x:v>103</x:v>
      </x:c>
      <x:c r="E11" s="44" t="s">
        <x:v>76</x:v>
      </x:c>
      <x:c r="F11" s="85" t="s">
        <x:v>112</x:v>
      </x:c>
      <x:c r="G11" s="85" t="s">
        <x:v>114</x:v>
      </x:c>
      <x:c r="H11" s="85" t="s">
        <x:v>113</x:v>
      </x:c>
      <x:c r="I11" s="45" t="s">
        <x:v>95</x:v>
      </x:c>
      <x:c r="J11" s="46" t="s">
        <x:v>78</x:v>
      </x:c>
      <x:c r="K11" s="46" t="s">
        <x:v>79</x:v>
      </x:c>
      <x:c r="L11" s="46" t="s">
        <x:v>80</x:v>
      </x:c>
      <x:c r="M11" s="46" t="s">
        <x:v>90</x:v>
      </x:c>
    </x:row>
    <x:row r="12" spans="1:14" x14ac:dyDescent="0.25">
      <x:c r="A12">
        <x:f t="shared" ref="A12:A41" si="0">+A11+1</x:f>
        <x:v>2</x:v>
      </x:c>
      <x:c r="B12" s="29">
        <x:v>45292</x:v>
      </x:c>
      <x:c r="C12" s="12">
        <x:v>6.5004166666666636</x:v>
      </x:c>
      <x:c r="D12" s="12">
        <x:v>13.065416666666668</x:v>
      </x:c>
      <x:c r="E12" s="12">
        <x:v>17.065416666666668</x:v>
      </x:c>
      <x:c r="F12" s="12">
        <x:v>21.46458333333333</x:v>
      </x:c>
      <x:c r="G12" s="12">
        <x:v>2.9083333333333354</x:v>
      </x:c>
      <x:c r="H12" s="12">
        <x:v>1.6133333333333351</x:v>
      </x:c>
      <x:c r="I12" s="12">
        <x:v>0.61333333333333506</x:v>
      </x:c>
      <x:c r="J12" s="12">
        <x:v>1.2500000000000001E-2</x:v>
      </x:c>
      <x:c r="K12" s="12">
        <x:v>0</x:v>
      </x:c>
      <x:c r="L12" s="12">
        <x:v>0</x:v>
      </x:c>
      <x:c r="M12" s="12">
        <x:v>0</x:v>
      </x:c>
    </x:row>
    <x:row r="13" spans="1:14" x14ac:dyDescent="0.25">
      <x:c r="A13">
        <x:f t="shared" si="0"/>
        <x:v>3</x:v>
      </x:c>
      <x:c r="B13" s="29">
        <x:v>45293</x:v>
      </x:c>
      <x:c r="C13" s="12">
        <x:v>7.6191666666666649</x:v>
      </x:c>
      <x:c r="D13" s="12">
        <x:v>14.119166666666663</x:v>
      </x:c>
      <x:c r="E13" s="12">
        <x:v>18.071249999999999</x:v>
      </x:c>
      <x:c r="F13" s="12">
        <x:v>22.399583333333332</x:v>
      </x:c>
      <x:c r="G13" s="12">
        <x:v>3.4841666666666646</x:v>
      </x:c>
      <x:c r="H13" s="12">
        <x:v>1.7341666666666646</x:v>
      </x:c>
      <x:c r="I13" s="12">
        <x:v>0.68624999999999969</x:v>
      </x:c>
      <x:c r="J13" s="12">
        <x:v>1.4583333333334992E-2</x:v>
      </x:c>
      <x:c r="K13" s="12">
        <x:v>0</x:v>
      </x:c>
      <x:c r="L13" s="12">
        <x:v>0</x:v>
      </x:c>
      <x:c r="M13" s="12">
        <x:v>0</x:v>
      </x:c>
    </x:row>
    <x:row r="14" spans="1:14" x14ac:dyDescent="0.25">
      <x:c r="A14">
        <x:f t="shared" si="0"/>
        <x:v>4</x:v>
      </x:c>
      <x:c r="B14" s="29">
        <x:v>45294</x:v>
      </x:c>
      <x:c r="C14" s="12">
        <x:v>3.55</x:v>
      </x:c>
      <x:c r="D14" s="12">
        <x:v>10.605</x:v>
      </x:c>
      <x:c r="E14" s="12">
        <x:v>14.605</x:v>
      </x:c>
      <x:c r="F14" s="12">
        <x:v>18.848749999999999</x:v>
      </x:c>
      <x:c r="G14" s="12">
        <x:v>2.926666666666665</x:v>
      </x:c>
      <x:c r="H14" s="12">
        <x:v>1.791666666666665</x:v>
      </x:c>
      <x:c r="I14" s="12">
        <x:v>0.79166666666666496</x:v>
      </x:c>
      <x:c r="J14" s="12">
        <x:v>3.5416666666665007E-2</x:v>
      </x:c>
      <x:c r="K14" s="12">
        <x:v>0</x:v>
      </x:c>
      <x:c r="L14" s="12">
        <x:v>0</x:v>
      </x:c>
      <x:c r="M14" s="12">
        <x:v>0</x:v>
      </x:c>
    </x:row>
    <x:row r="15" spans="1:14" x14ac:dyDescent="0.25">
      <x:c r="A15">
        <x:f t="shared" si="0"/>
        <x:v>5</x:v>
      </x:c>
      <x:c r="B15" s="29">
        <x:v>45295</x:v>
      </x:c>
      <x:c r="C15" s="12">
        <x:v>3.714999999999999</x:v>
      </x:c>
      <x:c r="D15" s="12">
        <x:v>10.441249999999997</x:v>
      </x:c>
      <x:c r="E15" s="12">
        <x:v>15.380833333333332</x:v>
      </x:c>
      <x:c r="F15" s="12">
        <x:v>20.380833333333335</x:v>
      </x:c>
      <x:c r="G15" s="12">
        <x:v>0.90583333333333049</x:v>
      </x:c>
      <x:c r="H15" s="12">
        <x:v>6.0416666666665009E-2</x:v>
      </x:c>
      <x:c r="I15" s="12">
        <x:v>0</x:v>
      </x:c>
      <x:c r="J15" s="12">
        <x:v>0</x:v>
      </x:c>
      <x:c r="K15" s="12">
        <x:v>0</x:v>
      </x:c>
      <x:c r="L15" s="12">
        <x:v>0</x:v>
      </x:c>
      <x:c r="M15" s="12">
        <x:v>0</x:v>
      </x:c>
    </x:row>
    <x:row r="16" spans="1:14" x14ac:dyDescent="0.25">
      <x:c r="A16">
        <x:f t="shared" si="0"/>
        <x:v>6</x:v>
      </x:c>
      <x:c r="B16" s="29">
        <x:v>45296</x:v>
      </x:c>
      <x:c r="C16" s="12">
        <x:v>4.4716666666666693</x:v>
      </x:c>
      <x:c r="D16" s="12">
        <x:v>12.331666666666669</x:v>
      </x:c>
      <x:c r="E16" s="12">
        <x:v>17.081666666666671</x:v>
      </x:c>
      <x:c r="F16" s="12">
        <x:v>22.016666666666673</x:v>
      </x:c>
      <x:c r="G16" s="12">
        <x:v>1.059166666666665</x:v>
      </x:c>
      <x:c r="H16" s="12">
        <x:v>0.31499999999999984</x:v>
      </x:c>
      <x:c r="I16" s="12">
        <x:v>6.4999999999999863E-2</x:v>
      </x:c>
      <x:c r="J16" s="12">
        <x:v>0</x:v>
      </x:c>
      <x:c r="K16" s="12">
        <x:v>0</x:v>
      </x:c>
      <x:c r="L16" s="12">
        <x:v>0</x:v>
      </x:c>
      <x:c r="M16" s="12">
        <x:v>0</x:v>
      </x:c>
    </x:row>
    <x:row r="17" spans="1:27" x14ac:dyDescent="0.25">
      <x:c r="A17">
        <x:f t="shared" si="0"/>
        <x:v>7</x:v>
      </x:c>
      <x:c r="B17" s="29">
        <x:v>45297</x:v>
      </x:c>
      <x:c r="C17" s="12">
        <x:v>5.7716666666666656</x:v>
      </x:c>
      <x:c r="D17" s="12">
        <x:v>13.069583333333332</x:v>
      </x:c>
      <x:c r="E17" s="12">
        <x:v>17.37458333333333</x:v>
      </x:c>
      <x:c r="F17" s="12">
        <x:v>22.169583333333328</x:v>
      </x:c>
      <x:c r="G17" s="12">
        <x:v>1.9350000000000005</x:v>
      </x:c>
      <x:c r="H17" s="12">
        <x:v>0.90000000000000036</x:v>
      </x:c>
      <x:c r="I17" s="12">
        <x:v>0.20500000000000007</x:v>
      </x:c>
      <x:c r="J17" s="12">
        <x:v>0</x:v>
      </x:c>
      <x:c r="K17" s="12">
        <x:v>0</x:v>
      </x:c>
      <x:c r="L17" s="12">
        <x:v>0</x:v>
      </x:c>
      <x:c r="M17" s="12">
        <x:v>0</x:v>
      </x:c>
    </x:row>
    <x:row r="18" spans="1:27" x14ac:dyDescent="0.25">
      <x:c r="A18" s="18">
        <x:f t="shared" si="0"/>
        <x:v>8</x:v>
      </x:c>
      <x:c r="B18" s="29">
        <x:v>45298</x:v>
      </x:c>
      <x:c r="C18" s="12">
        <x:v>5.0233333333333299</x:v>
      </x:c>
      <x:c r="D18" s="12">
        <x:v>12.122083333333327</x:v>
      </x:c>
      <x:c r="E18" s="12">
        <x:v>16.372083333333329</x:v>
      </x:c>
      <x:c r="F18" s="12">
        <x:v>21.142083333333328</x:v>
      </x:c>
      <x:c r="G18" s="12">
        <x:v>2.0300000000000002</x:v>
      </x:c>
      <x:c r="H18" s="12">
        <x:v>0.98000000000000009</x:v>
      </x:c>
      <x:c r="I18" s="12">
        <x:v>0.23000000000000007</x:v>
      </x:c>
      <x:c r="J18" s="12">
        <x:v>0</x:v>
      </x:c>
      <x:c r="K18" s="12">
        <x:v>0</x:v>
      </x:c>
      <x:c r="L18" s="12">
        <x:v>0</x:v>
      </x:c>
      <x:c r="M18" s="12">
        <x:v>0</x:v>
      </x:c>
    </x:row>
    <x:row r="19" spans="1:27" x14ac:dyDescent="0.25">
      <x:c r="A19">
        <x:f t="shared" si="0"/>
        <x:v>9</x:v>
      </x:c>
      <x:c r="B19" s="29">
        <x:v>45299</x:v>
      </x:c>
      <x:c r="C19" s="12">
        <x:v>3.1424999999999996</x:v>
      </x:c>
      <x:c r="D19" s="12">
        <x:v>10.071666666666667</x:v>
      </x:c>
      <x:c r="E19" s="12">
        <x:v>14.626666666666669</x:v>
      </x:c>
      <x:c r="F19" s="12">
        <x:v>19.626666666666669</x:v>
      </x:c>
      <x:c r="G19" s="12">
        <x:v>1.3754166666666652</x:v>
      </x:c>
      <x:c r="H19" s="12">
        <x:v>0.44499999999999995</x:v>
      </x:c>
      <x:c r="I19" s="12">
        <x:v>0</x:v>
      </x:c>
      <x:c r="J19" s="12">
        <x:v>0</x:v>
      </x:c>
      <x:c r="K19" s="12">
        <x:v>0</x:v>
      </x:c>
      <x:c r="L19" s="12">
        <x:v>0</x:v>
      </x:c>
      <x:c r="M19" s="12">
        <x:v>0</x:v>
      </x:c>
    </x:row>
    <x:row r="20" spans="1:27" x14ac:dyDescent="0.25">
      <x:c r="A20">
        <x:f t="shared" si="0"/>
        <x:v>10</x:v>
      </x:c>
      <x:c r="B20" s="29">
        <x:v>45300</x:v>
      </x:c>
      <x:c r="C20" s="12">
        <x:v>3.0833333333333295</x:v>
      </x:c>
      <x:c r="D20" s="12">
        <x:v>9.8654166666666647</x:v>
      </x:c>
      <x:c r="E20" s="12">
        <x:v>13.983749999999997</x:v>
      </x:c>
      <x:c r="F20" s="12">
        <x:v>18.783749999999998</x:v>
      </x:c>
      <x:c r="G20" s="12">
        <x:v>2.3816666666666659</x:v>
      </x:c>
      <x:c r="H20" s="12">
        <x:v>1.0816666666666657</x:v>
      </x:c>
      <x:c r="I20" s="12">
        <x:v>0.20000000000000034</x:v>
      </x:c>
      <x:c r="J20" s="12">
        <x:v>0</x:v>
      </x:c>
      <x:c r="K20" s="12">
        <x:v>0</x:v>
      </x:c>
      <x:c r="L20" s="12">
        <x:v>0</x:v>
      </x:c>
      <x:c r="M20" s="12">
        <x:v>0</x:v>
      </x:c>
    </x:row>
    <x:row r="21" spans="1:27" x14ac:dyDescent="0.25">
      <x:c r="A21">
        <x:f t="shared" si="0"/>
        <x:v>11</x:v>
      </x:c>
      <x:c r="B21" s="29">
        <x:v>45301</x:v>
      </x:c>
      <x:c r="C21" s="12">
        <x:v>3.9362499999999998</x:v>
      </x:c>
      <x:c r="D21" s="12">
        <x:v>9.8420833333333366</x:v>
      </x:c>
      <x:c r="E21" s="12">
        <x:v>13.512083333333333</x:v>
      </x:c>
      <x:c r="F21" s="12">
        <x:v>17.862083333333334</x:v>
      </x:c>
      <x:c r="G21" s="12">
        <x:v>3.6987499999999995</x:v>
      </x:c>
      <x:c r="H21" s="12">
        <x:v>2.0345833333333347</x:v>
      </x:c>
      <x:c r="I21" s="12">
        <x:v>0.70458333333333489</x:v>
      </x:c>
      <x:c r="J21" s="12">
        <x:v>5.4583333333334851E-2</x:v>
      </x:c>
      <x:c r="K21" s="12">
        <x:v>0</x:v>
      </x:c>
      <x:c r="L21" s="12">
        <x:v>0</x:v>
      </x:c>
      <x:c r="M21" s="12">
        <x:v>0</x:v>
      </x:c>
    </x:row>
    <x:row r="22" spans="1:27" x14ac:dyDescent="0.25">
      <x:c r="A22">
        <x:f t="shared" si="0"/>
        <x:v>12</x:v>
      </x:c>
      <x:c r="B22" s="29">
        <x:v>45302</x:v>
      </x:c>
      <x:c r="C22" s="12">
        <x:v>3.2699999999999987</x:v>
      </x:c>
      <x:c r="D22" s="12">
        <x:v>9.1649999999999974</x:v>
      </x:c>
      <x:c r="E22" s="12">
        <x:v>13.089583333333334</x:v>
      </x:c>
      <x:c r="F22" s="12">
        <x:v>17.393333333333334</x:v>
      </x:c>
      <x:c r="G22" s="12">
        <x:v>3.4566666666666648</x:v>
      </x:c>
      <x:c r="H22" s="12">
        <x:v>1.8566666666666649</x:v>
      </x:c>
      <x:c r="I22" s="12">
        <x:v>0.78125</x:v>
      </x:c>
      <x:c r="J22" s="12">
        <x:v>8.5000000000000145E-2</x:v>
      </x:c>
      <x:c r="K22" s="12">
        <x:v>0</x:v>
      </x:c>
      <x:c r="L22" s="12">
        <x:v>0</x:v>
      </x:c>
      <x:c r="M22" s="12">
        <x:v>0</x:v>
      </x:c>
    </x:row>
    <x:row r="23" spans="1:27" x14ac:dyDescent="0.25">
      <x:c r="A23">
        <x:f t="shared" si="0"/>
        <x:v>13</x:v>
      </x:c>
      <x:c r="B23" s="29">
        <x:v>45303</x:v>
      </x:c>
      <x:c r="C23" s="12">
        <x:v>3.419999999999999</x:v>
      </x:c>
      <x:c r="D23" s="12">
        <x:v>9.8958333333333339</x:v>
      </x:c>
      <x:c r="E23" s="12">
        <x:v>14.055833333333334</x:v>
      </x:c>
      <x:c r="F23" s="12">
        <x:v>18.832916666666669</x:v>
      </x:c>
      <x:c r="G23" s="12">
        <x:v>2.2983333333333302</x:v>
      </x:c>
      <x:c r="H23" s="12">
        <x:v>1.0629166666666652</x:v>
      </x:c>
      <x:c r="I23" s="12">
        <x:v>0.22291666666666501</x:v>
      </x:c>
      <x:c r="J23" s="12">
        <x:v>0</x:v>
      </x:c>
      <x:c r="K23" s="12">
        <x:v>0</x:v>
      </x:c>
      <x:c r="L23" s="12">
        <x:v>0</x:v>
      </x:c>
      <x:c r="M23" s="12">
        <x:v>0</x:v>
      </x:c>
    </x:row>
    <x:row r="24" spans="1:27" x14ac:dyDescent="0.25">
      <x:c r="A24">
        <x:f t="shared" si="0"/>
        <x:v>14</x:v>
      </x:c>
      <x:c r="B24" s="29">
        <x:v>45304</x:v>
      </x:c>
      <x:c r="C24" s="12">
        <x:v>5.2445833333333294</x:v>
      </x:c>
      <x:c r="D24" s="12">
        <x:v>13.189583333333331</x:v>
      </x:c>
      <x:c r="E24" s="12">
        <x:v>18.114999999999998</x:v>
      </x:c>
      <x:c r="F24" s="12">
        <x:v>23.114999999999998</x:v>
      </x:c>
      <x:c r="G24" s="12">
        <x:v>0.71958333333333546</x:v>
      </x:c>
      <x:c r="H24" s="12">
        <x:v>7.4583333333335139E-2</x:v>
      </x:c>
      <x:c r="I24" s="12">
        <x:v>0</x:v>
      </x:c>
      <x:c r="J24" s="12">
        <x:v>0</x:v>
      </x:c>
      <x:c r="K24" s="12">
        <x:v>0</x:v>
      </x:c>
      <x:c r="L24" s="12">
        <x:v>0</x:v>
      </x:c>
      <x:c r="M24" s="12">
        <x:v>0</x:v>
      </x:c>
    </x:row>
    <x:row r="25" spans="1:27" x14ac:dyDescent="0.25">
      <x:c r="A25">
        <x:f t="shared" si="0"/>
        <x:v>15</x:v>
      </x:c>
      <x:c r="B25" s="29">
        <x:v>45305</x:v>
      </x:c>
      <x:c r="C25" s="12">
        <x:v>3.7154166666666697</x:v>
      </x:c>
      <x:c r="D25" s="12">
        <x:v>10.350833333333336</x:v>
      </x:c>
      <x:c r="E25" s="12">
        <x:v>15.100833333333332</x:v>
      </x:c>
      <x:c r="F25" s="12">
        <x:v>20.100833333333334</x:v>
      </x:c>
      <x:c r="G25" s="12">
        <x:v>1.4545833333333351</x:v>
      </x:c>
      <x:c r="H25" s="12">
        <x:v>0.25</x:v>
      </x:c>
      <x:c r="I25" s="12">
        <x:v>0</x:v>
      </x:c>
      <x:c r="J25" s="12">
        <x:v>0</x:v>
      </x:c>
      <x:c r="K25" s="12">
        <x:v>0</x:v>
      </x:c>
      <x:c r="L25" s="12">
        <x:v>0</x:v>
      </x:c>
      <x:c r="M25" s="12">
        <x:v>0</x:v>
      </x:c>
      <x:c r="O25" s="74"/>
      <x:c r="P25" s="74"/>
      <x:c r="Q25" s="74"/>
      <x:c r="R25" s="74"/>
      <x:c r="S25" s="74"/>
      <x:c r="T25" s="74"/>
      <x:c r="U25" s="74"/>
      <x:c r="V25" s="74"/>
      <x:c r="W25" s="74"/>
      <x:c r="X25" s="74"/>
      <x:c r="Y25" s="74"/>
      <x:c r="Z25" s="74"/>
      <x:c r="AA25" s="74"/>
    </x:row>
    <x:row r="26" spans="1:27" x14ac:dyDescent="0.25">
      <x:c r="A26">
        <x:f t="shared" si="0"/>
        <x:v>16</x:v>
      </x:c>
      <x:c r="B26" s="29">
        <x:v>45306</x:v>
      </x:c>
      <x:c r="C26" s="12">
        <x:v>4.3662499999999982</x:v>
      </x:c>
      <x:c r="D26" s="12">
        <x:v>11.346249999999998</x:v>
      </x:c>
      <x:c r="E26" s="12">
        <x:v>15.667916666666665</x:v>
      </x:c>
      <x:c r="F26" s="12">
        <x:v>20.592916666666664</x:v>
      </x:c>
      <x:c r="G26" s="12">
        <x:v>1.9333333333333349</x:v>
      </x:c>
      <x:c r="H26" s="12">
        <x:v>0.75333333333333496</x:v>
      </x:c>
      <x:c r="I26" s="12">
        <x:v>7.4999999999999997E-2</x:v>
      </x:c>
      <x:c r="J26" s="12">
        <x:v>0</x:v>
      </x:c>
      <x:c r="K26" s="12">
        <x:v>0</x:v>
      </x:c>
      <x:c r="L26" s="12">
        <x:v>0</x:v>
      </x:c>
      <x:c r="M26" s="12">
        <x:v>0</x:v>
      </x:c>
    </x:row>
    <x:row r="27" spans="1:27" x14ac:dyDescent="0.25">
      <x:c r="A27">
        <x:f t="shared" si="0"/>
        <x:v>17</x:v>
      </x:c>
      <x:c r="B27" s="29">
        <x:v>45307</x:v>
      </x:c>
      <x:c r="C27" s="12">
        <x:v>4.5491666666666699</x:v>
      </x:c>
      <x:c r="D27" s="12">
        <x:v>11.749166666666669</x:v>
      </x:c>
      <x:c r="E27" s="12">
        <x:v>15.959583333333333</x:v>
      </x:c>
      <x:c r="F27" s="12">
        <x:v>20.644583333333333</x:v>
      </x:c>
      <x:c r="G27" s="12">
        <x:v>2.189583333333335</x:v>
      </x:c>
      <x:c r="H27" s="12">
        <x:v>1.1045833333333348</x:v>
      </x:c>
      <x:c r="I27" s="12">
        <x:v>0.31499999999999984</x:v>
      </x:c>
      <x:c r="J27" s="12">
        <x:v>0</x:v>
      </x:c>
      <x:c r="K27" s="12">
        <x:v>0</x:v>
      </x:c>
      <x:c r="L27" s="12">
        <x:v>0</x:v>
      </x:c>
      <x:c r="M27" s="12">
        <x:v>0</x:v>
      </x:c>
    </x:row>
    <x:row r="28" spans="1:27" x14ac:dyDescent="0.25">
      <x:c r="A28">
        <x:f t="shared" si="0"/>
        <x:v>18</x:v>
      </x:c>
      <x:c r="B28" s="29">
        <x:v>45308</x:v>
      </x:c>
      <x:c r="C28" s="12">
        <x:v>4.402499999999999</x:v>
      </x:c>
      <x:c r="D28" s="12">
        <x:v>12.175833333333333</x:v>
      </x:c>
      <x:c r="E28" s="12">
        <x:v>16.925833333333333</x:v>
      </x:c>
      <x:c r="F28" s="12">
        <x:v>21.92583333333333</x:v>
      </x:c>
      <x:c r="G28" s="12">
        <x:v>0.86999999999999988</x:v>
      </x:c>
      <x:c r="H28" s="12">
        <x:v>0.25</x:v>
      </x:c>
      <x:c r="I28" s="12">
        <x:v>0</x:v>
      </x:c>
      <x:c r="J28" s="12">
        <x:v>0</x:v>
      </x:c>
      <x:c r="K28" s="12">
        <x:v>0</x:v>
      </x:c>
      <x:c r="L28" s="12">
        <x:v>0</x:v>
      </x:c>
      <x:c r="M28" s="12">
        <x:v>0</x:v>
      </x:c>
    </x:row>
    <x:row r="29" spans="1:27" s="18" customFormat="1" x14ac:dyDescent="0.25">
      <x:c r="A29" s="18">
        <x:f t="shared" si="0"/>
        <x:v>19</x:v>
      </x:c>
      <x:c r="B29" s="29">
        <x:v>45309</x:v>
      </x:c>
      <x:c r="C29" s="12">
        <x:v>2.5841666666666652</x:v>
      </x:c>
      <x:c r="D29" s="12">
        <x:v>8.7633333333333283</x:v>
      </x:c>
      <x:c r="E29" s="12">
        <x:v>13.048333333333332</x:v>
      </x:c>
      <x:c r="F29" s="12">
        <x:v>17.93333333333333</x:v>
      </x:c>
      <x:c r="G29" s="12">
        <x:v>2.2308333333333352</x:v>
      </x:c>
      <x:c r="H29" s="12">
        <x:v>0.83000000000000007</x:v>
      </x:c>
      <x:c r="I29" s="12">
        <x:v>0.11500000000000021</x:v>
      </x:c>
      <x:c r="J29" s="12">
        <x:v>0</x:v>
      </x:c>
      <x:c r="K29" s="12">
        <x:v>0</x:v>
      </x:c>
      <x:c r="L29" s="12">
        <x:v>0</x:v>
      </x:c>
      <x:c r="M29" s="12">
        <x:v>0</x:v>
      </x:c>
    </x:row>
    <x:row r="30" spans="1:27" x14ac:dyDescent="0.25">
      <x:c r="A30">
        <x:f t="shared" si="0"/>
        <x:v>20</x:v>
      </x:c>
      <x:c r="B30" s="29">
        <x:v>45310</x:v>
      </x:c>
      <x:c r="C30" s="12">
        <x:v>2.1274999999999999</x:v>
      </x:c>
      <x:c r="D30" s="12">
        <x:v>7.1470833333333346</x:v>
      </x:c>
      <x:c r="E30" s="12">
        <x:v>11.609583333333335</x:v>
      </x:c>
      <x:c r="F30" s="12">
        <x:v>16.609583333333337</x:v>
      </x:c>
      <x:c r="G30" s="12">
        <x:v>2.2629166666666647</x:v>
      </x:c>
      <x:c r="H30" s="12">
        <x:v>0.53749999999999998</x:v>
      </x:c>
      <x:c r="I30" s="12">
        <x:v>0</x:v>
      </x:c>
      <x:c r="J30" s="12">
        <x:v>0</x:v>
      </x:c>
      <x:c r="K30" s="12">
        <x:v>0</x:v>
      </x:c>
      <x:c r="L30" s="12">
        <x:v>0</x:v>
      </x:c>
      <x:c r="M30" s="12">
        <x:v>0</x:v>
      </x:c>
    </x:row>
    <x:row r="31" spans="1:27" x14ac:dyDescent="0.25">
      <x:c r="A31">
        <x:f t="shared" si="0"/>
        <x:v>21</x:v>
      </x:c>
      <x:c r="B31" s="29">
        <x:v>45311</x:v>
      </x:c>
      <x:c r="C31" s="12">
        <x:v>2.7549999999999999</x:v>
      </x:c>
      <x:c r="D31" s="12">
        <x:v>8.4949999999999974</x:v>
      </x:c>
      <x:c r="E31" s="12">
        <x:v>12.969999999999999</x:v>
      </x:c>
      <x:c r="F31" s="12">
        <x:v>17.905000000000001</x:v>
      </x:c>
      <x:c r="G31" s="12">
        <x:v>2.4050000000000002</x:v>
      </x:c>
      <x:c r="H31" s="12">
        <x:v>0.59000000000000019</x:v>
      </x:c>
      <x:c r="I31" s="12">
        <x:v>6.4999999999999863E-2</x:v>
      </x:c>
      <x:c r="J31" s="12">
        <x:v>0</x:v>
      </x:c>
      <x:c r="K31" s="12">
        <x:v>0</x:v>
      </x:c>
      <x:c r="L31" s="12">
        <x:v>0</x:v>
      </x:c>
      <x:c r="M31" s="12">
        <x:v>0</x:v>
      </x:c>
    </x:row>
    <x:row r="32" spans="1:27" x14ac:dyDescent="0.25">
      <x:c r="A32">
        <x:f t="shared" si="0"/>
        <x:v>22</x:v>
      </x:c>
      <x:c r="B32" s="29">
        <x:v>45312</x:v>
      </x:c>
      <x:c r="C32" s="12">
        <x:v>2.3325000000000005</x:v>
      </x:c>
      <x:c r="D32" s="12">
        <x:v>8.5124999999999993</x:v>
      </x:c>
      <x:c r="E32" s="12">
        <x:v>13.149166666666662</x:v>
      </x:c>
      <x:c r="F32" s="12">
        <x:v>18.149166666666662</x:v>
      </x:c>
      <x:c r="G32" s="12">
        <x:v>1.9183333333333354</x:v>
      </x:c>
      <x:c r="H32" s="12">
        <x:v>0.36333333333333506</x:v>
      </x:c>
      <x:c r="I32" s="12">
        <x:v>0</x:v>
      </x:c>
      <x:c r="J32" s="12">
        <x:v>0</x:v>
      </x:c>
      <x:c r="K32" s="12">
        <x:v>0</x:v>
      </x:c>
      <x:c r="L32" s="12">
        <x:v>0</x:v>
      </x:c>
      <x:c r="M32" s="12">
        <x:v>0</x:v>
      </x:c>
      <x:c r="O32" s="74"/>
      <x:c r="P32" s="74"/>
      <x:c r="Q32" s="74"/>
      <x:c r="R32" s="74"/>
      <x:c r="S32" s="74"/>
      <x:c r="T32" s="74"/>
      <x:c r="U32" s="74"/>
      <x:c r="V32" s="74"/>
      <x:c r="W32" s="74"/>
      <x:c r="X32" s="74"/>
      <x:c r="Y32" s="74"/>
      <x:c r="Z32" s="74"/>
      <x:c r="AA32" s="74"/>
    </x:row>
    <x:row r="33" spans="1:13" x14ac:dyDescent="0.25">
      <x:c r="A33">
        <x:f t="shared" si="0"/>
        <x:v>23</x:v>
      </x:c>
      <x:c r="B33" s="29">
        <x:v>45313</x:v>
      </x:c>
      <x:c r="C33" s="12">
        <x:v>2.5812499999999998</x:v>
      </x:c>
      <x:c r="D33" s="12">
        <x:v>9.1462499999999984</x:v>
      </x:c>
      <x:c r="E33" s="12">
        <x:v>13.491249999999997</x:v>
      </x:c>
      <x:c r="F33" s="12">
        <x:v>18.161250000000003</x:v>
      </x:c>
      <x:c r="G33" s="12">
        <x:v>2.0700000000000003</x:v>
      </x:c>
      <x:c r="H33" s="12">
        <x:v>0.9850000000000001</x:v>
      </x:c>
      <x:c r="I33" s="12">
        <x:v>0.33000000000000007</x:v>
      </x:c>
      <x:c r="J33" s="12">
        <x:v>0</x:v>
      </x:c>
      <x:c r="K33" s="12">
        <x:v>0</x:v>
      </x:c>
      <x:c r="L33" s="12">
        <x:v>0</x:v>
      </x:c>
      <x:c r="M33" s="12">
        <x:v>0</x:v>
      </x:c>
    </x:row>
    <x:row r="34" spans="1:13" x14ac:dyDescent="0.25">
      <x:c r="A34">
        <x:f t="shared" si="0"/>
        <x:v>24</x:v>
      </x:c>
      <x:c r="B34" s="29">
        <x:v>45314</x:v>
      </x:c>
      <x:c r="C34" s="12">
        <x:v>3.6887499999999989</x:v>
      </x:c>
      <x:c r="D34" s="12">
        <x:v>11.224166666666662</x:v>
      </x:c>
      <x:c r="E34" s="12">
        <x:v>15.744166666666661</x:v>
      </x:c>
      <x:c r="F34" s="12">
        <x:v>20.529166666666661</x:v>
      </x:c>
      <x:c r="G34" s="12">
        <x:v>1.4750000000000001</x:v>
      </x:c>
      <x:c r="H34" s="12">
        <x:v>0.69499999999999995</x:v>
      </x:c>
      <x:c r="I34" s="12">
        <x:v>0.21499999999999986</x:v>
      </x:c>
      <x:c r="J34" s="12">
        <x:v>0</x:v>
      </x:c>
      <x:c r="K34" s="12">
        <x:v>0</x:v>
      </x:c>
      <x:c r="L34" s="12">
        <x:v>0</x:v>
      </x:c>
      <x:c r="M34" s="12">
        <x:v>0</x:v>
      </x:c>
    </x:row>
    <x:row r="35" spans="1:13" x14ac:dyDescent="0.25">
      <x:c r="A35">
        <x:f t="shared" si="0"/>
        <x:v>25</x:v>
      </x:c>
      <x:c r="B35" s="29">
        <x:v>45315</x:v>
      </x:c>
      <x:c r="C35" s="12">
        <x:v>3.0949999999999998</x:v>
      </x:c>
      <x:c r="D35" s="12">
        <x:v>9.5829166666666694</x:v>
      </x:c>
      <x:c r="E35" s="12">
        <x:v>13.800000000000006</x:v>
      </x:c>
      <x:c r="F35" s="12">
        <x:v>18.495000000000001</x:v>
      </x:c>
      <x:c r="G35" s="12">
        <x:v>2.5020833333333306</x:v>
      </x:c>
      <x:c r="H35" s="12">
        <x:v>1.0879166666666653</x:v>
      </x:c>
      <x:c r="I35" s="12">
        <x:v>0.30500000000000005</x:v>
      </x:c>
      <x:c r="J35" s="12">
        <x:v>0</x:v>
      </x:c>
      <x:c r="K35" s="12">
        <x:v>0</x:v>
      </x:c>
      <x:c r="L35" s="12">
        <x:v>0</x:v>
      </x:c>
      <x:c r="M35" s="12">
        <x:v>0</x:v>
      </x:c>
    </x:row>
    <x:row r="36" spans="1:13" x14ac:dyDescent="0.25">
      <x:c r="A36">
        <x:f t="shared" si="0"/>
        <x:v>26</x:v>
      </x:c>
      <x:c r="B36" s="29">
        <x:v>45316</x:v>
      </x:c>
      <x:c r="C36" s="12">
        <x:v>1.8945833333333346</x:v>
      </x:c>
      <x:c r="D36" s="12">
        <x:v>9.0849999999999973</x:v>
      </x:c>
      <x:c r="E36" s="12">
        <x:v>13.745416666666662</x:v>
      </x:c>
      <x:c r="F36" s="12">
        <x:v>18.734999999999996</x:v>
      </x:c>
      <x:c r="G36" s="12">
        <x:v>1.3700000000000003</x:v>
      </x:c>
      <x:c r="H36" s="12">
        <x:v>0.35</x:v>
      </x:c>
      <x:c r="I36" s="12">
        <x:v>1.0416666666665009E-2</x:v>
      </x:c>
      <x:c r="J36" s="12">
        <x:v>0</x:v>
      </x:c>
      <x:c r="K36" s="12">
        <x:v>0</x:v>
      </x:c>
      <x:c r="L36" s="12">
        <x:v>0</x:v>
      </x:c>
      <x:c r="M36" s="12">
        <x:v>0</x:v>
      </x:c>
    </x:row>
    <x:row r="37" spans="1:13" x14ac:dyDescent="0.25">
      <x:c r="A37">
        <x:f t="shared" si="0"/>
        <x:v>27</x:v>
      </x:c>
      <x:c r="B37" s="29">
        <x:v>45317</x:v>
      </x:c>
      <x:c r="C37" s="12">
        <x:v>2.4212499999999997</x:v>
      </x:c>
      <x:c r="D37" s="12">
        <x:v>9.0224999999999973</x:v>
      </x:c>
      <x:c r="E37" s="12">
        <x:v>13.8375</x:v>
      </x:c>
      <x:c r="F37" s="12">
        <x:v>18.837499999999999</x:v>
      </x:c>
      <x:c r="G37" s="12">
        <x:v>1.3854166666666654</x:v>
      </x:c>
      <x:c r="H37" s="12">
        <x:v>0.18500000000000014</x:v>
      </x:c>
      <x:c r="I37" s="12">
        <x:v>0</x:v>
      </x:c>
      <x:c r="J37" s="12">
        <x:v>0</x:v>
      </x:c>
      <x:c r="K37" s="12">
        <x:v>0</x:v>
      </x:c>
      <x:c r="L37" s="12">
        <x:v>0</x:v>
      </x:c>
      <x:c r="M37" s="12">
        <x:v>0</x:v>
      </x:c>
    </x:row>
    <x:row r="38" spans="1:13" x14ac:dyDescent="0.25">
      <x:c r="A38">
        <x:f t="shared" si="0"/>
        <x:v>28</x:v>
      </x:c>
      <x:c r="B38" s="29">
        <x:v>45318</x:v>
      </x:c>
      <x:c r="C38" s="12">
        <x:v>3.4449999999999994</x:v>
      </x:c>
      <x:c r="D38" s="12">
        <x:v>9.747916666666665</x:v>
      </x:c>
      <x:c r="E38" s="12">
        <x:v>14.142916666666665</x:v>
      </x:c>
      <x:c r="F38" s="12">
        <x:v>18.972916666666663</x:v>
      </x:c>
      <x:c r="G38" s="12">
        <x:v>2.377083333333335</x:v>
      </x:c>
      <x:c r="H38" s="12">
        <x:v>0.77500000000000002</x:v>
      </x:c>
      <x:c r="I38" s="12">
        <x:v>0.16999999999999993</x:v>
      </x:c>
      <x:c r="J38" s="12">
        <x:v>0</x:v>
      </x:c>
      <x:c r="K38" s="12">
        <x:v>0</x:v>
      </x:c>
      <x:c r="L38" s="12">
        <x:v>0</x:v>
      </x:c>
      <x:c r="M38" s="12">
        <x:v>0</x:v>
      </x:c>
    </x:row>
    <x:row r="39" spans="1:13" x14ac:dyDescent="0.25">
      <x:c r="A39">
        <x:f t="shared" si="0"/>
        <x:v>29</x:v>
      </x:c>
      <x:c r="B39" s="29">
        <x:v>45319</x:v>
      </x:c>
      <x:c r="C39" s="12">
        <x:v>3.5945833333333339</x:v>
      </x:c>
      <x:c r="D39" s="12">
        <x:v>10.0375</x:v>
      </x:c>
      <x:c r="E39" s="12">
        <x:v>14.133333333333335</x:v>
      </x:c>
      <x:c r="F39" s="12">
        <x:v>18.678333333333335</x:v>
      </x:c>
      <x:c r="G39" s="12">
        <x:v>2.864166666666665</x:v>
      </x:c>
      <x:c r="H39" s="12">
        <x:v>1.5341666666666651</x:v>
      </x:c>
      <x:c r="I39" s="12">
        <x:v>0.63000000000000012</x:v>
      </x:c>
      <x:c r="J39" s="12">
        <x:v>0.17499999999999999</x:v>
      </x:c>
      <x:c r="K39" s="12">
        <x:v>0</x:v>
      </x:c>
      <x:c r="L39" s="12">
        <x:v>0</x:v>
      </x:c>
      <x:c r="M39" s="12">
        <x:v>0</x:v>
      </x:c>
    </x:row>
    <x:row r="40" spans="1:13" x14ac:dyDescent="0.25">
      <x:c r="A40">
        <x:f t="shared" si="0"/>
        <x:v>30</x:v>
      </x:c>
      <x:c r="B40" s="29">
        <x:v>45320</x:v>
      </x:c>
      <x:c r="C40" s="12">
        <x:v>3.5616666666666648</x:v>
      </x:c>
      <x:c r="D40" s="12">
        <x:v>9.9283333333333275</x:v>
      </x:c>
      <x:c r="E40" s="12">
        <x:v>14.363333333333326</x:v>
      </x:c>
      <x:c r="F40" s="12">
        <x:v>19.238333333333326</x:v>
      </x:c>
      <x:c r="G40" s="12">
        <x:v>2.0833333333333357</x:v>
      </x:c>
      <x:c r="H40" s="12">
        <x:v>0.69000000000000017</x:v>
      </x:c>
      <x:c r="I40" s="12">
        <x:v>0.125</x:v>
      </x:c>
      <x:c r="J40" s="12">
        <x:v>0</x:v>
      </x:c>
      <x:c r="K40" s="12">
        <x:v>0</x:v>
      </x:c>
      <x:c r="L40" s="12">
        <x:v>0</x:v>
      </x:c>
      <x:c r="M40" s="12">
        <x:v>0</x:v>
      </x:c>
    </x:row>
    <x:row r="41" spans="1:13" x14ac:dyDescent="0.25">
      <x:c r="A41">
        <x:f t="shared" si="0"/>
        <x:v>31</x:v>
      </x:c>
      <x:c r="B41" s="29">
        <x:v>45321</x:v>
      </x:c>
      <x:c r="C41" s="12">
        <x:v>3.6329166666666701</x:v>
      </x:c>
      <x:c r="D41" s="12">
        <x:v>10.644166666666667</x:v>
      </x:c>
      <x:c r="E41" s="12">
        <x:v>15.119166666666668</x:v>
      </x:c>
      <x:c r="F41" s="12">
        <x:v>20.004166666666666</x:v>
      </x:c>
      <x:c r="G41" s="12">
        <x:v>1.7350000000000005</x:v>
      </x:c>
      <x:c r="H41" s="12">
        <x:v>0.64000000000000024</x:v>
      </x:c>
      <x:c r="I41" s="12">
        <x:v>0.11500000000000021</x:v>
      </x:c>
      <x:c r="J41" s="12">
        <x:v>0</x:v>
      </x:c>
      <x:c r="K41" s="12">
        <x:v>0</x:v>
      </x:c>
      <x:c r="L41" s="12">
        <x:v>0</x:v>
      </x:c>
      <x:c r="M41" s="12">
        <x:v>0</x:v>
      </x:c>
    </x:row>
    <x:row r="42" spans="1:13" ht="13.8" thickBot="1" x14ac:dyDescent="0.3">
      <x:c r="A42">
        <x:f>+A41+1</x:f>
        <x:v>32</x:v>
      </x:c>
      <x:c r="B42" s="29">
        <x:v>45322</x:v>
      </x:c>
      <x:c r="C42" s="12">
        <x:v>3.0229166666666698</x:v>
      </x:c>
      <x:c r="D42" s="12">
        <x:v>8.170416666666668</x:v>
      </x:c>
      <x:c r="E42" s="12">
        <x:v>12.005000000000004</x:v>
      </x:c>
      <x:c r="F42" s="12">
        <x:v>16.945000000000004</x:v>
      </x:c>
      <x:c r="G42" s="12">
        <x:v>3.1504166666666658</x:v>
      </x:c>
      <x:c r="H42" s="12">
        <x:v>1.2254166666666655</x:v>
      </x:c>
      <x:c r="I42" s="12">
        <x:v>6.0000000000000143E-2</x:v>
      </x:c>
      <x:c r="J42" s="12">
        <x:v>0</x:v>
      </x:c>
      <x:c r="K42" s="12">
        <x:v>0</x:v>
      </x:c>
      <x:c r="L42" s="12">
        <x:v>0</x:v>
      </x:c>
      <x:c r="M42" s="12">
        <x:v>0</x:v>
      </x:c>
    </x:row>
    <x:row r="43" spans="1:13" x14ac:dyDescent="0.25">
      <x:c r="B43" s="23" t="s">
        <x:v>59</x:v>
      </x:c>
      <x:c r="C43" s="24">
        <x:f>SUM(C12:C42)</x:f>
        <x:v>116.5183333333333</x:v>
      </x:c>
      <x:c r="D43" s="24">
        <x:f t="shared" ref="D43:M43" si="1">SUM(D12:D42)</x:f>
        <x:v>322.91291666666655</x:v>
      </x:c>
      <x:c r="E43" s="24">
        <x:f t="shared" si="1"/>
        <x:v>458.14708333333323</x:v>
      </x:c>
      <x:c r="F43" s="24">
        <x:f t="shared" si="1"/>
        <x:v>606.49374999999998</x:v>
      </x:c>
      <x:c r="G43" s="24">
        <x:f t="shared" si="1"/>
        <x:v>65.456666666666649</x:v>
      </x:c>
      <x:c r="H43" s="24">
        <x:f t="shared" si="1"/>
        <x:v>26.796249999999997</x:v>
      </x:c>
      <x:c r="I43" s="24">
        <x:f t="shared" si="1"/>
        <x:v>7.0304166666666639</x:v>
      </x:c>
      <x:c r="J43" s="24">
        <x:f t="shared" si="1"/>
        <x:v>0.37708333333333499</x:v>
      </x:c>
      <x:c r="K43" s="24">
        <x:f t="shared" si="1"/>
        <x:v>0</x:v>
      </x:c>
      <x:c r="L43" s="24">
        <x:f t="shared" si="1"/>
        <x:v>0</x:v>
      </x:c>
      <x:c r="M43" s="24">
        <x:f t="shared" si="1"/>
        <x:v>0</x:v>
      </x:c>
    </x:row>
    <x:row r="45" spans="1:13" x14ac:dyDescent="0.25">
      <x:c r="C45" s="70"/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</x:row>
    <x:row r="46" spans="1:13" x14ac:dyDescent="0.25">
      <x:c r="C46" s="86"/>
      <x:c r="D46" s="86"/>
      <x:c r="E46" s="86"/>
      <x:c r="F46" s="86"/>
      <x:c r="G46" s="86"/>
      <x:c r="H46" s="86"/>
      <x:c r="I46" s="86"/>
      <x:c r="J46" s="86"/>
      <x:c r="K46" s="86"/>
      <x:c r="L46" s="86"/>
      <x:c r="M46" s="86"/>
    </x:row>
  </x:sheetData>
  <x:mergeCells count="6">
    <x:mergeCell ref="B8:M8"/>
    <x:mergeCell ref="B1:M1"/>
    <x:mergeCell ref="B2:M2"/>
    <x:mergeCell ref="B3:M3"/>
    <x:mergeCell ref="B4:M4"/>
    <x:mergeCell ref="B6:M6"/>
  </x:mergeCells>
  <x:phoneticPr fontId="1" type="noConversion"/>
  <x:pageMargins left="0.75" right="0.75" top="1" bottom="1" header="0.5" footer="0.5"/>
  <x:pageSetup scale="86" firstPageNumber="3" orientation="portrait" r:id="rId1"/>
  <x:headerFooter alignWithMargins="0">
    <x:oddHeader>&amp;RSchedule II-H-5.1
Page &amp;P of  25</x:oddHeader>
  </x:headerFooter>
</x:worksheet>
</file>

<file path=xl/worksheets/sheet2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A00-000000000000}" mc:Ignorable="x14ac xr xr2 xr3">
  <x:sheetPr>
    <x:pageSetUpPr fitToPage="1"/>
  </x:sheetPr>
  <x:dimension ref="A1:AB46"/>
  <x:sheetViews>
    <x:sheetView zoomScaleNormal="100" workbookViewId="0"/>
  </x:sheetViews>
  <x:sheetFormatPr defaultRowHeight="13.2" x14ac:dyDescent="0.25"/>
  <x:cols>
    <x:col min="2" max="2" width="6.44140625" style="9" bestFit="1" customWidth="1"/>
    <x:col min="3" max="3" width="8.109375" style="9" bestFit="1" customWidth="1"/>
    <x:col min="4" max="5" width="8.109375" bestFit="1" customWidth="1"/>
    <x:col min="6" max="6" width="8.109375" customWidth="1"/>
    <x:col min="7" max="7" width="9.5546875" bestFit="1" customWidth="1"/>
    <x:col min="8" max="10" width="8.5546875" bestFit="1" customWidth="1"/>
  </x:cols>
  <x:sheetData>
    <x:row r="1" spans="1:13" s="2" customFormat="1" ht="15.6" x14ac:dyDescent="0.3">
      <x:c r="B1" s="88" t="str">
        <x:f>+Base45h!B1</x:f>
        <x:v xml:space="preserve">PUC DOCKET NO. </x:v>
      </x:c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</x:row>
    <x:row r="2" spans="1:13" s="2" customFormat="1" ht="15.6" x14ac:dyDescent="0.3">
      <x:c r="B2" s="88" t="str">
        <x:f>+Base45h!B2</x:f>
        <x:v>ONCOR ELECTRIC DELIVERY COMPANY LLC</x:v>
      </x:c>
      <x:c r="C2" s="92"/>
      <x:c r="D2" s="92"/>
      <x:c r="E2" s="92"/>
      <x:c r="F2" s="92"/>
      <x:c r="G2" s="92"/>
      <x:c r="H2" s="92"/>
      <x:c r="I2" s="92"/>
      <x:c r="J2" s="92"/>
      <x:c r="K2" s="92"/>
      <x:c r="L2" s="92"/>
      <x:c r="M2" s="92"/>
    </x:row>
    <x:row r="3" spans="1:13" s="2" customFormat="1" ht="15.6" x14ac:dyDescent="0.3">
      <x:c r="B3" s="88" t="str">
        <x:f>+Base45h!B3</x:f>
        <x:v>WEATHER STATION DATA</x:v>
      </x:c>
      <x:c r="C3" s="92"/>
      <x:c r="D3" s="92"/>
      <x:c r="E3" s="92"/>
      <x:c r="F3" s="92"/>
      <x:c r="G3" s="92"/>
      <x:c r="H3" s="92"/>
      <x:c r="I3" s="92"/>
      <x:c r="J3" s="92"/>
      <x:c r="K3" s="92"/>
      <x:c r="L3" s="92"/>
      <x:c r="M3" s="92"/>
    </x:row>
    <x:row r="4" spans="1:13" s="2" customFormat="1" ht="15.6" x14ac:dyDescent="0.3">
      <x:c r="B4" s="88" t="str">
        <x:f>+Base45h!B4</x:f>
        <x:v>FOR THE TEST YEAR ENDING DECEMBER 31, 2024</x:v>
      </x:c>
      <x:c r="C4" s="92"/>
      <x:c r="D4" s="92"/>
      <x:c r="E4" s="92"/>
      <x:c r="F4" s="92"/>
      <x:c r="G4" s="92"/>
      <x:c r="H4" s="92"/>
      <x:c r="I4" s="92"/>
      <x:c r="J4" s="92"/>
      <x:c r="K4" s="92"/>
      <x:c r="L4" s="92"/>
      <x:c r="M4" s="92"/>
    </x:row>
    <x:row r="5" spans="1:13" s="2" customFormat="1" ht="11.4" x14ac:dyDescent="0.2">
      <x:c r="B5" s="1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M5" s="17"/>
    </x:row>
    <x:row r="6" spans="1:13" s="2" customFormat="1" ht="15.6" x14ac:dyDescent="0.3">
      <x:c r="B6" s="88" t="str">
        <x:f>+Base45h!B6</x:f>
        <x:v>SPONSOR: D. E. NELSON</x:v>
      </x:c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</x:row>
    <x:row r="7" spans="1:13" s="2" customFormat="1" ht="15.6" x14ac:dyDescent="0.3">
      <x:c r="B7" s="42"/>
      <x:c r="C7" s="42"/>
      <x:c r="D7" s="43"/>
      <x:c r="E7" s="43"/>
      <x:c r="F7" s="43"/>
      <x:c r="G7" s="43"/>
      <x:c r="H7" s="43"/>
      <x:c r="I7" s="9"/>
      <x:c r="J7" s="9"/>
      <x:c r="K7" s="9"/>
      <x:c r="L7" s="9"/>
      <x:c r="M7" s="9"/>
    </x:row>
    <x:row r="8" spans="1:13" s="2" customFormat="1" ht="15.6" x14ac:dyDescent="0.3">
      <x:c r="B8" s="88" t="s">
        <x:v>97</x:v>
      </x:c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</x:row>
    <x:row r="9" spans="1:13" ht="24" thickBot="1" x14ac:dyDescent="0.3">
      <x:c r="A9" s="3" t="s">
        <x:v>4</x:v>
      </x:c>
    </x:row>
    <x:row r="11" spans="1:13" s="10" customFormat="1" x14ac:dyDescent="0.25">
      <x:c r="A11">
        <x:v>1</x:v>
      </x:c>
      <x:c r="B11" s="44" t="s">
        <x:v>28</x:v>
      </x:c>
      <x:c r="C11" s="44" t="s">
        <x:v>77</x:v>
      </x:c>
      <x:c r="D11" s="44" t="s">
        <x:v>103</x:v>
      </x:c>
      <x:c r="E11" s="44" t="s">
        <x:v>76</x:v>
      </x:c>
      <x:c r="F11" s="85" t="s">
        <x:v>112</x:v>
      </x:c>
      <x:c r="G11" s="85" t="s">
        <x:v>114</x:v>
      </x:c>
      <x:c r="H11" s="85" t="s">
        <x:v>113</x:v>
      </x:c>
      <x:c r="I11" s="45" t="s">
        <x:v>95</x:v>
      </x:c>
      <x:c r="J11" s="46" t="s">
        <x:v>78</x:v>
      </x:c>
      <x:c r="K11" s="46" t="s">
        <x:v>79</x:v>
      </x:c>
      <x:c r="L11" s="46" t="s">
        <x:v>80</x:v>
      </x:c>
      <x:c r="M11" s="46" t="s">
        <x:v>90</x:v>
      </x:c>
    </x:row>
    <x:row r="12" spans="1:13" x14ac:dyDescent="0.25">
      <x:c r="A12">
        <x:f t="shared" ref="A12:A27" si="0">+A11+1</x:f>
        <x:v>2</x:v>
      </x:c>
      <x:c r="B12" s="29">
        <x:v>45474</x:v>
      </x:c>
      <x:c r="C12" s="12">
        <x:v>0</x:v>
      </x:c>
      <x:c r="D12" s="12">
        <x:v>0</x:v>
      </x:c>
      <x:c r="E12" s="12">
        <x:v>0</x:v>
      </x:c>
      <x:c r="F12" s="12">
        <x:v>0</x:v>
      </x:c>
      <x:c r="G12" s="12">
        <x:v>31.17166666666666</x:v>
      </x:c>
      <x:c r="H12" s="12">
        <x:v>26.17166666666666</x:v>
      </x:c>
      <x:c r="I12" s="12">
        <x:v>21.17166666666666</x:v>
      </x:c>
      <x:c r="J12" s="12">
        <x:v>16.17166666666666</x:v>
      </x:c>
      <x:c r="K12" s="12">
        <x:v>11.171666666666658</x:v>
      </x:c>
      <x:c r="L12" s="12">
        <x:v>6.3466666666666605</x:v>
      </x:c>
      <x:c r="M12" s="12">
        <x:v>2.1533333333333302</x:v>
      </x:c>
    </x:row>
    <x:row r="13" spans="1:13" x14ac:dyDescent="0.25">
      <x:c r="A13">
        <x:f t="shared" si="0"/>
        <x:v>3</x:v>
      </x:c>
      <x:c r="B13" s="29">
        <x:v>45475</x:v>
      </x:c>
      <x:c r="C13" s="12">
        <x:v>0</x:v>
      </x:c>
      <x:c r="D13" s="12">
        <x:v>0</x:v>
      </x:c>
      <x:c r="E13" s="12">
        <x:v>0</x:v>
      </x:c>
      <x:c r="F13" s="12">
        <x:v>0</x:v>
      </x:c>
      <x:c r="G13" s="12">
        <x:v>31.163333333333338</x:v>
      </x:c>
      <x:c r="H13" s="12">
        <x:v>26.163333333333338</x:v>
      </x:c>
      <x:c r="I13" s="12">
        <x:v>21.163333333333334</x:v>
      </x:c>
      <x:c r="J13" s="12">
        <x:v>16.163333333333334</x:v>
      </x:c>
      <x:c r="K13" s="12">
        <x:v>11.163333333333338</x:v>
      </x:c>
      <x:c r="L13" s="12">
        <x:v>6.332083333333336</x:v>
      </x:c>
      <x:c r="M13" s="12">
        <x:v>2.2833333333333359</x:v>
      </x:c>
    </x:row>
    <x:row r="14" spans="1:13" x14ac:dyDescent="0.25">
      <x:c r="A14">
        <x:f t="shared" si="0"/>
        <x:v>4</x:v>
      </x:c>
      <x:c r="B14" s="29">
        <x:v>45476</x:v>
      </x:c>
      <x:c r="C14" s="12">
        <x:v>0</x:v>
      </x:c>
      <x:c r="D14" s="12">
        <x:v>0</x:v>
      </x:c>
      <x:c r="E14" s="12">
        <x:v>0</x:v>
      </x:c>
      <x:c r="F14" s="12">
        <x:v>0</x:v>
      </x:c>
      <x:c r="G14" s="12">
        <x:v>32.350833333333334</x:v>
      </x:c>
      <x:c r="H14" s="12">
        <x:v>27.350833333333334</x:v>
      </x:c>
      <x:c r="I14" s="12">
        <x:v>22.350833333333338</x:v>
      </x:c>
      <x:c r="J14" s="12">
        <x:v>17.350833333333338</x:v>
      </x:c>
      <x:c r="K14" s="12">
        <x:v>12.350833333333338</x:v>
      </x:c>
      <x:c r="L14" s="12">
        <x:v>7.3508333333333384</x:v>
      </x:c>
      <x:c r="M14" s="12">
        <x:v>3.3650000000000011</x:v>
      </x:c>
    </x:row>
    <x:row r="15" spans="1:13" x14ac:dyDescent="0.25">
      <x:c r="A15">
        <x:f t="shared" si="0"/>
        <x:v>5</x:v>
      </x:c>
      <x:c r="B15" s="29">
        <x:v>45477</x:v>
      </x:c>
      <x:c r="C15" s="12">
        <x:v>0</x:v>
      </x:c>
      <x:c r="D15" s="12">
        <x:v>0</x:v>
      </x:c>
      <x:c r="E15" s="12">
        <x:v>0</x:v>
      </x:c>
      <x:c r="F15" s="12">
        <x:v>0</x:v>
      </x:c>
      <x:c r="G15" s="12">
        <x:v>33.337500000000006</x:v>
      </x:c>
      <x:c r="H15" s="12">
        <x:v>28.337500000000006</x:v>
      </x:c>
      <x:c r="I15" s="12">
        <x:v>23.337500000000009</x:v>
      </x:c>
      <x:c r="J15" s="12">
        <x:v>18.337500000000006</x:v>
      </x:c>
      <x:c r="K15" s="12">
        <x:v>13.337500000000002</x:v>
      </x:c>
      <x:c r="L15" s="12">
        <x:v>8.3375000000000021</x:v>
      </x:c>
      <x:c r="M15" s="12">
        <x:v>3.6762500000000009</x:v>
      </x:c>
    </x:row>
    <x:row r="16" spans="1:13" x14ac:dyDescent="0.25">
      <x:c r="A16">
        <x:f t="shared" si="0"/>
        <x:v>6</x:v>
      </x:c>
      <x:c r="B16" s="29">
        <x:v>45478</x:v>
      </x:c>
      <x:c r="C16" s="12">
        <x:v>0</x:v>
      </x:c>
      <x:c r="D16" s="12">
        <x:v>0</x:v>
      </x:c>
      <x:c r="E16" s="12">
        <x:v>0</x:v>
      </x:c>
      <x:c r="F16" s="12">
        <x:v>0</x:v>
      </x:c>
      <x:c r="G16" s="12">
        <x:v>31.998333333333328</x:v>
      </x:c>
      <x:c r="H16" s="12">
        <x:v>26.998333333333328</x:v>
      </x:c>
      <x:c r="I16" s="12">
        <x:v>21.998333333333331</x:v>
      </x:c>
      <x:c r="J16" s="12">
        <x:v>16.998333333333328</x:v>
      </x:c>
      <x:c r="K16" s="12">
        <x:v>11.99833333333333</x:v>
      </x:c>
      <x:c r="L16" s="12">
        <x:v>6.9983333333333295</x:v>
      </x:c>
      <x:c r="M16" s="12">
        <x:v>2.9329166666666646</x:v>
      </x:c>
    </x:row>
    <x:row r="17" spans="1:28" x14ac:dyDescent="0.25">
      <x:c r="A17">
        <x:f t="shared" si="0"/>
        <x:v>7</x:v>
      </x:c>
      <x:c r="B17" s="29">
        <x:v>45479</x:v>
      </x:c>
      <x:c r="C17" s="12">
        <x:v>0</x:v>
      </x:c>
      <x:c r="D17" s="12">
        <x:v>0</x:v>
      </x:c>
      <x:c r="E17" s="12">
        <x:v>0</x:v>
      </x:c>
      <x:c r="F17" s="12">
        <x:v>0</x:v>
      </x:c>
      <x:c r="G17" s="12">
        <x:v>32.634166666666673</x:v>
      </x:c>
      <x:c r="H17" s="12">
        <x:v>27.634166666666676</x:v>
      </x:c>
      <x:c r="I17" s="12">
        <x:v>22.634166666666676</x:v>
      </x:c>
      <x:c r="J17" s="12">
        <x:v>17.634166666666676</x:v>
      </x:c>
      <x:c r="K17" s="12">
        <x:v>12.634166666666674</x:v>
      </x:c>
      <x:c r="L17" s="12">
        <x:v>7.6341666666666743</x:v>
      </x:c>
      <x:c r="M17" s="12">
        <x:v>3.2341666666666717</x:v>
      </x:c>
    </x:row>
    <x:row r="18" spans="1:28" x14ac:dyDescent="0.25">
      <x:c r="A18">
        <x:f t="shared" si="0"/>
        <x:v>8</x:v>
      </x:c>
      <x:c r="B18" s="29">
        <x:v>45480</x:v>
      </x:c>
      <x:c r="C18" s="12">
        <x:v>0</x:v>
      </x:c>
      <x:c r="D18" s="12">
        <x:v>0</x:v>
      </x:c>
      <x:c r="E18" s="12">
        <x:v>0</x:v>
      </x:c>
      <x:c r="F18" s="12">
        <x:v>0</x:v>
      </x:c>
      <x:c r="G18" s="12">
        <x:v>31.966250000000002</x:v>
      </x:c>
      <x:c r="H18" s="12">
        <x:v>26.966250000000002</x:v>
      </x:c>
      <x:c r="I18" s="12">
        <x:v>21.966250000000002</x:v>
      </x:c>
      <x:c r="J18" s="12">
        <x:v>16.966250000000002</x:v>
      </x:c>
      <x:c r="K18" s="12">
        <x:v>11.966250000000006</x:v>
      </x:c>
      <x:c r="L18" s="12">
        <x:v>7.0762500000000017</x:v>
      </x:c>
      <x:c r="M18" s="12">
        <x:v>2.7329166666666702</x:v>
      </x:c>
    </x:row>
    <x:row r="19" spans="1:28" x14ac:dyDescent="0.25">
      <x:c r="A19">
        <x:f t="shared" si="0"/>
        <x:v>9</x:v>
      </x:c>
      <x:c r="B19" s="29">
        <x:v>45481</x:v>
      </x:c>
      <x:c r="C19" s="12">
        <x:v>0</x:v>
      </x:c>
      <x:c r="D19" s="12">
        <x:v>0</x:v>
      </x:c>
      <x:c r="E19" s="12">
        <x:v>0</x:v>
      </x:c>
      <x:c r="F19" s="12">
        <x:v>0</x:v>
      </x:c>
      <x:c r="G19" s="12">
        <x:v>32.867083333333333</x:v>
      </x:c>
      <x:c r="H19" s="12">
        <x:v>27.867083333333341</x:v>
      </x:c>
      <x:c r="I19" s="12">
        <x:v>22.867083333333341</x:v>
      </x:c>
      <x:c r="J19" s="12">
        <x:v>17.867083333333333</x:v>
      </x:c>
      <x:c r="K19" s="12">
        <x:v>12.867083333333341</x:v>
      </x:c>
      <x:c r="L19" s="12">
        <x:v>7.9320833333333365</x:v>
      </x:c>
      <x:c r="M19" s="12">
        <x:v>3.8895833333333365</x:v>
      </x:c>
    </x:row>
    <x:row r="20" spans="1:28" x14ac:dyDescent="0.25">
      <x:c r="A20">
        <x:f t="shared" si="0"/>
        <x:v>10</x:v>
      </x:c>
      <x:c r="B20" s="29">
        <x:v>45482</x:v>
      </x:c>
      <x:c r="C20" s="12">
        <x:v>0</x:v>
      </x:c>
      <x:c r="D20" s="12">
        <x:v>0</x:v>
      </x:c>
      <x:c r="E20" s="12">
        <x:v>0</x:v>
      </x:c>
      <x:c r="F20" s="12">
        <x:v>0</x:v>
      </x:c>
      <x:c r="G20" s="12">
        <x:v>33.672083333333333</x:v>
      </x:c>
      <x:c r="H20" s="12">
        <x:v>28.67208333333334</x:v>
      </x:c>
      <x:c r="I20" s="12">
        <x:v>23.67208333333334</x:v>
      </x:c>
      <x:c r="J20" s="12">
        <x:v>18.67208333333334</x:v>
      </x:c>
      <x:c r="K20" s="12">
        <x:v>13.672083333333342</x:v>
      </x:c>
      <x:c r="L20" s="12">
        <x:v>8.672083333333342</x:v>
      </x:c>
      <x:c r="M20" s="12">
        <x:v>4.2170833333333402</x:v>
      </x:c>
    </x:row>
    <x:row r="21" spans="1:28" x14ac:dyDescent="0.25">
      <x:c r="A21">
        <x:f t="shared" si="0"/>
        <x:v>11</x:v>
      </x:c>
      <x:c r="B21" s="29">
        <x:v>45483</x:v>
      </x:c>
      <x:c r="C21" s="12">
        <x:v>0</x:v>
      </x:c>
      <x:c r="D21" s="12">
        <x:v>0</x:v>
      </x:c>
      <x:c r="E21" s="12">
        <x:v>0</x:v>
      </x:c>
      <x:c r="F21" s="12">
        <x:v>0</x:v>
      </x:c>
      <x:c r="G21" s="12">
        <x:v>34.037083333333335</x:v>
      </x:c>
      <x:c r="H21" s="12">
        <x:v>29.037083333333335</x:v>
      </x:c>
      <x:c r="I21" s="12">
        <x:v>24.037083333333332</x:v>
      </x:c>
      <x:c r="J21" s="12">
        <x:v>19.037083333333332</x:v>
      </x:c>
      <x:c r="K21" s="12">
        <x:v>14.037083333333332</x:v>
      </x:c>
      <x:c r="L21" s="12">
        <x:v>9.0370833333333316</x:v>
      </x:c>
      <x:c r="M21" s="12">
        <x:v>4.2820833333333308</x:v>
      </x:c>
    </x:row>
    <x:row r="22" spans="1:28" x14ac:dyDescent="0.25">
      <x:c r="A22">
        <x:f t="shared" si="0"/>
        <x:v>12</x:v>
      </x:c>
      <x:c r="B22" s="29">
        <x:v>45484</x:v>
      </x:c>
      <x:c r="C22" s="12">
        <x:v>0</x:v>
      </x:c>
      <x:c r="D22" s="12">
        <x:v>0</x:v>
      </x:c>
      <x:c r="E22" s="12">
        <x:v>0</x:v>
      </x:c>
      <x:c r="F22" s="12">
        <x:v>0</x:v>
      </x:c>
      <x:c r="G22" s="12">
        <x:v>34.55416666666666</x:v>
      </x:c>
      <x:c r="H22" s="12">
        <x:v>29.554166666666667</x:v>
      </x:c>
      <x:c r="I22" s="12">
        <x:v>24.554166666666667</x:v>
      </x:c>
      <x:c r="J22" s="12">
        <x:v>19.554166666666667</x:v>
      </x:c>
      <x:c r="K22" s="12">
        <x:v>14.554166666666665</x:v>
      </x:c>
      <x:c r="L22" s="12">
        <x:v>9.5541666666666654</x:v>
      </x:c>
      <x:c r="M22" s="12">
        <x:v>4.6091666666666651</x:v>
      </x:c>
    </x:row>
    <x:row r="23" spans="1:28" x14ac:dyDescent="0.25">
      <x:c r="A23">
        <x:f t="shared" si="0"/>
        <x:v>13</x:v>
      </x:c>
      <x:c r="B23" s="29">
        <x:v>45485</x:v>
      </x:c>
      <x:c r="C23" s="12">
        <x:v>0</x:v>
      </x:c>
      <x:c r="D23" s="12">
        <x:v>0</x:v>
      </x:c>
      <x:c r="E23" s="12">
        <x:v>0</x:v>
      </x:c>
      <x:c r="F23" s="12">
        <x:v>0</x:v>
      </x:c>
      <x:c r="G23" s="12">
        <x:v>35.090833333333329</x:v>
      </x:c>
      <x:c r="H23" s="12">
        <x:v>30.090833333333329</x:v>
      </x:c>
      <x:c r="I23" s="12">
        <x:v>25.090833333333336</x:v>
      </x:c>
      <x:c r="J23" s="12">
        <x:v>20.090833333333336</x:v>
      </x:c>
      <x:c r="K23" s="12">
        <x:v>15.090833333333336</x:v>
      </x:c>
      <x:c r="L23" s="12">
        <x:v>10.09083333333334</x:v>
      </x:c>
      <x:c r="M23" s="12">
        <x:v>5.2758333333333365</x:v>
      </x:c>
    </x:row>
    <x:row r="24" spans="1:28" x14ac:dyDescent="0.25">
      <x:c r="A24">
        <x:f t="shared" si="0"/>
        <x:v>14</x:v>
      </x:c>
      <x:c r="B24" s="29">
        <x:v>45486</x:v>
      </x:c>
      <x:c r="C24" s="12">
        <x:v>0</x:v>
      </x:c>
      <x:c r="D24" s="12">
        <x:v>0</x:v>
      </x:c>
      <x:c r="E24" s="12">
        <x:v>0</x:v>
      </x:c>
      <x:c r="F24" s="12">
        <x:v>0</x:v>
      </x:c>
      <x:c r="G24" s="12">
        <x:v>35.354166666666671</x:v>
      </x:c>
      <x:c r="H24" s="12">
        <x:v>30.354166666666675</x:v>
      </x:c>
      <x:c r="I24" s="12">
        <x:v>25.354166666666675</x:v>
      </x:c>
      <x:c r="J24" s="12">
        <x:v>20.354166666666675</x:v>
      </x:c>
      <x:c r="K24" s="12">
        <x:v>15.354166666666675</x:v>
      </x:c>
      <x:c r="L24" s="12">
        <x:v>10.354166666666673</x:v>
      </x:c>
      <x:c r="M24" s="12">
        <x:v>5.6295833333333354</x:v>
      </x:c>
    </x:row>
    <x:row r="25" spans="1:28" x14ac:dyDescent="0.25">
      <x:c r="A25">
        <x:f t="shared" si="0"/>
        <x:v>15</x:v>
      </x:c>
      <x:c r="B25" s="29">
        <x:v>45487</x:v>
      </x:c>
      <x:c r="C25" s="12">
        <x:v>0</x:v>
      </x:c>
      <x:c r="D25" s="12">
        <x:v>0</x:v>
      </x:c>
      <x:c r="E25" s="12">
        <x:v>0</x:v>
      </x:c>
      <x:c r="F25" s="12">
        <x:v>0</x:v>
      </x:c>
      <x:c r="G25" s="12">
        <x:v>34.922083333333333</x:v>
      </x:c>
      <x:c r="H25" s="12">
        <x:v>29.922083333333337</x:v>
      </x:c>
      <x:c r="I25" s="12">
        <x:v>24.922083333333337</x:v>
      </x:c>
      <x:c r="J25" s="12">
        <x:v>19.922083333333337</x:v>
      </x:c>
      <x:c r="K25" s="12">
        <x:v>14.922083333333337</x:v>
      </x:c>
      <x:c r="L25" s="12">
        <x:v>9.9220833333333349</x:v>
      </x:c>
      <x:c r="M25" s="12">
        <x:v>5.1345833333333353</x:v>
      </x:c>
      <x:c r="O25" s="74"/>
      <x:c r="P25" s="74"/>
      <x:c r="Q25" s="74"/>
      <x:c r="R25" s="74"/>
      <x:c r="S25" s="74"/>
      <x:c r="T25" s="74"/>
      <x:c r="U25" s="74"/>
      <x:c r="V25" s="74"/>
      <x:c r="W25" s="74"/>
      <x:c r="X25" s="74"/>
      <x:c r="Y25" s="74"/>
      <x:c r="Z25" s="74"/>
      <x:c r="AA25" s="74"/>
      <x:c r="AB25" s="74"/>
    </x:row>
    <x:row r="26" spans="1:28" x14ac:dyDescent="0.25">
      <x:c r="A26">
        <x:f t="shared" si="0"/>
        <x:v>16</x:v>
      </x:c>
      <x:c r="B26" s="29">
        <x:v>45488</x:v>
      </x:c>
      <x:c r="C26" s="12">
        <x:v>0</x:v>
      </x:c>
      <x:c r="D26" s="12">
        <x:v>0</x:v>
      </x:c>
      <x:c r="E26" s="12">
        <x:v>0</x:v>
      </x:c>
      <x:c r="F26" s="12">
        <x:v>0</x:v>
      </x:c>
      <x:c r="G26" s="12">
        <x:v>33.370833333333337</x:v>
      </x:c>
      <x:c r="H26" s="12">
        <x:v>28.370833333333337</x:v>
      </x:c>
      <x:c r="I26" s="12">
        <x:v>23.370833333333334</x:v>
      </x:c>
      <x:c r="J26" s="12">
        <x:v>18.370833333333337</x:v>
      </x:c>
      <x:c r="K26" s="12">
        <x:v>13.580833333333336</x:v>
      </x:c>
      <x:c r="L26" s="12">
        <x:v>8.8308333333333344</x:v>
      </x:c>
      <x:c r="M26" s="12">
        <x:v>4.2579166666666701</x:v>
      </x:c>
    </x:row>
    <x:row r="27" spans="1:28" x14ac:dyDescent="0.25">
      <x:c r="A27">
        <x:f t="shared" si="0"/>
        <x:v>17</x:v>
      </x:c>
      <x:c r="B27" s="29">
        <x:v>45489</x:v>
      </x:c>
      <x:c r="C27" s="12">
        <x:v>0</x:v>
      </x:c>
      <x:c r="D27" s="12">
        <x:v>0</x:v>
      </x:c>
      <x:c r="E27" s="12">
        <x:v>0</x:v>
      </x:c>
      <x:c r="F27" s="12">
        <x:v>0</x:v>
      </x:c>
      <x:c r="G27" s="12">
        <x:v>33.432916666666671</x:v>
      </x:c>
      <x:c r="H27" s="12">
        <x:v>28.432916666666671</x:v>
      </x:c>
      <x:c r="I27" s="12">
        <x:v>23.432916666666667</x:v>
      </x:c>
      <x:c r="J27" s="12">
        <x:v>18.432916666666671</x:v>
      </x:c>
      <x:c r="K27" s="12">
        <x:v>13.432916666666671</x:v>
      </x:c>
      <x:c r="L27" s="12">
        <x:v>8.5679166666666706</x:v>
      </x:c>
      <x:c r="M27" s="12">
        <x:v>4.3020833333333348</x:v>
      </x:c>
    </x:row>
    <x:row r="28" spans="1:28" x14ac:dyDescent="0.25">
      <x:c r="A28">
        <x:f t="shared" ref="A28:A41" si="1">+A27+1</x:f>
        <x:v>18</x:v>
      </x:c>
      <x:c r="B28" s="29">
        <x:v>45490</x:v>
      </x:c>
      <x:c r="C28" s="12">
        <x:v>0</x:v>
      </x:c>
      <x:c r="D28" s="12">
        <x:v>0</x:v>
      </x:c>
      <x:c r="E28" s="12">
        <x:v>0</x:v>
      </x:c>
      <x:c r="F28" s="12">
        <x:v>0</x:v>
      </x:c>
      <x:c r="G28" s="12">
        <x:v>34.535416666666677</x:v>
      </x:c>
      <x:c r="H28" s="12">
        <x:v>29.535416666666681</x:v>
      </x:c>
      <x:c r="I28" s="12">
        <x:v>24.53541666666667</x:v>
      </x:c>
      <x:c r="J28" s="12">
        <x:v>19.535416666666674</x:v>
      </x:c>
      <x:c r="K28" s="12">
        <x:v>14.535416666666672</x:v>
      </x:c>
      <x:c r="L28" s="12">
        <x:v>9.6904166666666693</x:v>
      </x:c>
      <x:c r="M28" s="12">
        <x:v>5.2362500000000072</x:v>
      </x:c>
    </x:row>
    <x:row r="29" spans="1:28" s="18" customFormat="1" x14ac:dyDescent="0.25">
      <x:c r="A29" s="18">
        <x:f t="shared" si="1"/>
        <x:v>19</x:v>
      </x:c>
      <x:c r="B29" s="29">
        <x:v>45491</x:v>
      </x:c>
      <x:c r="C29" s="12">
        <x:v>0</x:v>
      </x:c>
      <x:c r="D29" s="12">
        <x:v>0</x:v>
      </x:c>
      <x:c r="E29" s="12">
        <x:v>0</x:v>
      </x:c>
      <x:c r="F29" s="12">
        <x:v>0</x:v>
      </x:c>
      <x:c r="G29" s="12">
        <x:v>34.725000000000001</x:v>
      </x:c>
      <x:c r="H29" s="12">
        <x:v>29.725000000000001</x:v>
      </x:c>
      <x:c r="I29" s="12">
        <x:v>24.725000000000001</x:v>
      </x:c>
      <x:c r="J29" s="12">
        <x:v>19.725000000000001</x:v>
      </x:c>
      <x:c r="K29" s="12">
        <x:v>14.725</x:v>
      </x:c>
      <x:c r="L29" s="12">
        <x:v>9.8699999999999974</x:v>
      </x:c>
      <x:c r="M29" s="12">
        <x:v>5.5016666666666669</x:v>
      </x:c>
    </x:row>
    <x:row r="30" spans="1:28" x14ac:dyDescent="0.25">
      <x:c r="A30">
        <x:f t="shared" si="1"/>
        <x:v>20</x:v>
      </x:c>
      <x:c r="B30" s="29">
        <x:v>45492</x:v>
      </x:c>
      <x:c r="C30" s="12">
        <x:v>0</x:v>
      </x:c>
      <x:c r="D30" s="12">
        <x:v>0</x:v>
      </x:c>
      <x:c r="E30" s="12">
        <x:v>0</x:v>
      </x:c>
      <x:c r="F30" s="12">
        <x:v>0</x:v>
      </x:c>
      <x:c r="G30" s="12">
        <x:v>35.235833333333332</x:v>
      </x:c>
      <x:c r="H30" s="12">
        <x:v>30.235833333333336</x:v>
      </x:c>
      <x:c r="I30" s="12">
        <x:v>25.235833333333339</x:v>
      </x:c>
      <x:c r="J30" s="12">
        <x:v>20.235833333333339</x:v>
      </x:c>
      <x:c r="K30" s="12">
        <x:v>15.235833333333337</x:v>
      </x:c>
      <x:c r="L30" s="12">
        <x:v>10.235833333333337</x:v>
      </x:c>
      <x:c r="M30" s="12">
        <x:v>5.5895833333333353</x:v>
      </x:c>
    </x:row>
    <x:row r="31" spans="1:28" x14ac:dyDescent="0.25">
      <x:c r="A31">
        <x:f t="shared" si="1"/>
        <x:v>21</x:v>
      </x:c>
      <x:c r="B31" s="29">
        <x:v>45493</x:v>
      </x:c>
      <x:c r="C31" s="12">
        <x:v>0</x:v>
      </x:c>
      <x:c r="D31" s="12">
        <x:v>0</x:v>
      </x:c>
      <x:c r="E31" s="12">
        <x:v>0</x:v>
      </x:c>
      <x:c r="F31" s="12">
        <x:v>0</x:v>
      </x:c>
      <x:c r="G31" s="12">
        <x:v>35.264583333333327</x:v>
      </x:c>
      <x:c r="H31" s="12">
        <x:v>30.264583333333331</x:v>
      </x:c>
      <x:c r="I31" s="12">
        <x:v>25.264583333333334</x:v>
      </x:c>
      <x:c r="J31" s="12">
        <x:v>20.264583333333334</x:v>
      </x:c>
      <x:c r="K31" s="12">
        <x:v>15.264583333333334</x:v>
      </x:c>
      <x:c r="L31" s="12">
        <x:v>10.264583333333331</x:v>
      </x:c>
      <x:c r="M31" s="12">
        <x:v>5.6016666666666648</x:v>
      </x:c>
      <x:c r="O31" s="74"/>
      <x:c r="P31" s="74"/>
      <x:c r="Q31" s="74"/>
      <x:c r="R31" s="74"/>
      <x:c r="S31" s="74"/>
      <x:c r="T31" s="74"/>
      <x:c r="U31" s="74"/>
      <x:c r="V31" s="74"/>
      <x:c r="W31" s="74"/>
      <x:c r="X31" s="74"/>
      <x:c r="Y31" s="74"/>
      <x:c r="Z31" s="74"/>
      <x:c r="AA31" s="74"/>
      <x:c r="AB31" s="74"/>
    </x:row>
    <x:row r="32" spans="1:28" x14ac:dyDescent="0.25">
      <x:c r="A32">
        <x:f t="shared" si="1"/>
        <x:v>22</x:v>
      </x:c>
      <x:c r="B32" s="29">
        <x:v>45494</x:v>
      </x:c>
      <x:c r="C32" s="12">
        <x:v>0</x:v>
      </x:c>
      <x:c r="D32" s="12">
        <x:v>0</x:v>
      </x:c>
      <x:c r="E32" s="12">
        <x:v>0</x:v>
      </x:c>
      <x:c r="F32" s="12">
        <x:v>0</x:v>
      </x:c>
      <x:c r="G32" s="12">
        <x:v>34.942499999999995</x:v>
      </x:c>
      <x:c r="H32" s="12">
        <x:v>29.942500000000003</x:v>
      </x:c>
      <x:c r="I32" s="12">
        <x:v>24.942500000000003</x:v>
      </x:c>
      <x:c r="J32" s="12">
        <x:v>19.942500000000003</x:v>
      </x:c>
      <x:c r="K32" s="12">
        <x:v>14.942500000000001</x:v>
      </x:c>
      <x:c r="L32" s="12">
        <x:v>9.9425000000000026</x:v>
      </x:c>
      <x:c r="M32" s="12">
        <x:v>5.1620833333333369</x:v>
      </x:c>
    </x:row>
    <x:row r="33" spans="1:13" x14ac:dyDescent="0.25">
      <x:c r="A33">
        <x:f t="shared" si="1"/>
        <x:v>23</x:v>
      </x:c>
      <x:c r="B33" s="29">
        <x:v>45495</x:v>
      </x:c>
      <x:c r="C33" s="12">
        <x:v>0</x:v>
      </x:c>
      <x:c r="D33" s="12">
        <x:v>0</x:v>
      </x:c>
      <x:c r="E33" s="12">
        <x:v>0</x:v>
      </x:c>
      <x:c r="F33" s="12">
        <x:v>0</x:v>
      </x:c>
      <x:c r="G33" s="12">
        <x:v>34.715000000000011</x:v>
      </x:c>
      <x:c r="H33" s="12">
        <x:v>29.715000000000003</x:v>
      </x:c>
      <x:c r="I33" s="12">
        <x:v>24.715000000000011</x:v>
      </x:c>
      <x:c r="J33" s="12">
        <x:v>19.715000000000011</x:v>
      </x:c>
      <x:c r="K33" s="12">
        <x:v>14.715000000000009</x:v>
      </x:c>
      <x:c r="L33" s="12">
        <x:v>9.7150000000000052</x:v>
      </x:c>
      <x:c r="M33" s="12">
        <x:v>4.9904166666666709</x:v>
      </x:c>
    </x:row>
    <x:row r="34" spans="1:13" x14ac:dyDescent="0.25">
      <x:c r="A34">
        <x:f t="shared" si="1"/>
        <x:v>24</x:v>
      </x:c>
      <x:c r="B34" s="29">
        <x:v>45496</x:v>
      </x:c>
      <x:c r="C34" s="12">
        <x:v>0</x:v>
      </x:c>
      <x:c r="D34" s="12">
        <x:v>0</x:v>
      </x:c>
      <x:c r="E34" s="12">
        <x:v>0</x:v>
      </x:c>
      <x:c r="F34" s="12">
        <x:v>0</x:v>
      </x:c>
      <x:c r="G34" s="12">
        <x:v>34.116666666666667</x:v>
      </x:c>
      <x:c r="H34" s="12">
        <x:v>29.116666666666667</x:v>
      </x:c>
      <x:c r="I34" s="12">
        <x:v>24.116666666666667</x:v>
      </x:c>
      <x:c r="J34" s="12">
        <x:v>19.116666666666667</x:v>
      </x:c>
      <x:c r="K34" s="12">
        <x:v>14.116666666666665</x:v>
      </x:c>
      <x:c r="L34" s="12">
        <x:v>9.2016666666666644</x:v>
      </x:c>
      <x:c r="M34" s="12">
        <x:v>4.5958333333333306</x:v>
      </x:c>
    </x:row>
    <x:row r="35" spans="1:13" x14ac:dyDescent="0.25">
      <x:c r="A35">
        <x:f t="shared" si="1"/>
        <x:v>25</x:v>
      </x:c>
      <x:c r="B35" s="29">
        <x:v>45497</x:v>
      </x:c>
      <x:c r="C35" s="12">
        <x:v>0</x:v>
      </x:c>
      <x:c r="D35" s="12">
        <x:v>0</x:v>
      </x:c>
      <x:c r="E35" s="12">
        <x:v>0</x:v>
      </x:c>
      <x:c r="F35" s="12">
        <x:v>0</x:v>
      </x:c>
      <x:c r="G35" s="12">
        <x:v>34.27000000000001</x:v>
      </x:c>
      <x:c r="H35" s="12">
        <x:v>29.270000000000003</x:v>
      </x:c>
      <x:c r="I35" s="12">
        <x:v>24.270000000000003</x:v>
      </x:c>
      <x:c r="J35" s="12">
        <x:v>19.270000000000003</x:v>
      </x:c>
      <x:c r="K35" s="12">
        <x:v>14.270000000000001</x:v>
      </x:c>
      <x:c r="L35" s="12">
        <x:v>9.2700000000000014</x:v>
      </x:c>
      <x:c r="M35" s="12">
        <x:v>4.847500000000001</x:v>
      </x:c>
    </x:row>
    <x:row r="36" spans="1:13" x14ac:dyDescent="0.25">
      <x:c r="A36">
        <x:f t="shared" si="1"/>
        <x:v>26</x:v>
      </x:c>
      <x:c r="B36" s="29">
        <x:v>45498</x:v>
      </x:c>
      <x:c r="C36" s="12">
        <x:v>0</x:v>
      </x:c>
      <x:c r="D36" s="12">
        <x:v>0</x:v>
      </x:c>
      <x:c r="E36" s="12">
        <x:v>0</x:v>
      </x:c>
      <x:c r="F36" s="12">
        <x:v>0</x:v>
      </x:c>
      <x:c r="G36" s="12">
        <x:v>34.215416666666677</x:v>
      </x:c>
      <x:c r="H36" s="12">
        <x:v>29.215416666666677</x:v>
      </x:c>
      <x:c r="I36" s="12">
        <x:v>24.215416666666673</x:v>
      </x:c>
      <x:c r="J36" s="12">
        <x:v>19.215416666666673</x:v>
      </x:c>
      <x:c r="K36" s="12">
        <x:v>14.363333333333335</x:v>
      </x:c>
      <x:c r="L36" s="12">
        <x:v>9.6133333333333386</x:v>
      </x:c>
      <x:c r="M36" s="12">
        <x:v>5.2458333333333362</x:v>
      </x:c>
    </x:row>
    <x:row r="37" spans="1:13" x14ac:dyDescent="0.25">
      <x:c r="A37">
        <x:f t="shared" si="1"/>
        <x:v>27</x:v>
      </x:c>
      <x:c r="B37" s="29">
        <x:v>45499</x:v>
      </x:c>
      <x:c r="C37" s="12">
        <x:v>0</x:v>
      </x:c>
      <x:c r="D37" s="12">
        <x:v>0</x:v>
      </x:c>
      <x:c r="E37" s="12">
        <x:v>0</x:v>
      </x:c>
      <x:c r="F37" s="12">
        <x:v>0</x:v>
      </x:c>
      <x:c r="G37" s="12">
        <x:v>33.985416666666673</x:v>
      </x:c>
      <x:c r="H37" s="12">
        <x:v>28.985416666666673</x:v>
      </x:c>
      <x:c r="I37" s="12">
        <x:v>23.985416666666673</x:v>
      </x:c>
      <x:c r="J37" s="12">
        <x:v>18.985416666666669</x:v>
      </x:c>
      <x:c r="K37" s="12">
        <x:v>14.006250000000005</x:v>
      </x:c>
      <x:c r="L37" s="12">
        <x:v>9.34</x:v>
      </x:c>
      <x:c r="M37" s="12">
        <x:v>5.1150000000000011</x:v>
      </x:c>
    </x:row>
    <x:row r="38" spans="1:13" x14ac:dyDescent="0.25">
      <x:c r="A38">
        <x:f t="shared" si="1"/>
        <x:v>28</x:v>
      </x:c>
      <x:c r="B38" s="29">
        <x:v>45500</x:v>
      </x:c>
      <x:c r="C38" s="12">
        <x:v>0</x:v>
      </x:c>
      <x:c r="D38" s="12">
        <x:v>0</x:v>
      </x:c>
      <x:c r="E38" s="12">
        <x:v>0</x:v>
      </x:c>
      <x:c r="F38" s="12">
        <x:v>0</x:v>
      </x:c>
      <x:c r="G38" s="12">
        <x:v>33.697500000000005</x:v>
      </x:c>
      <x:c r="H38" s="12">
        <x:v>28.697500000000002</x:v>
      </x:c>
      <x:c r="I38" s="12">
        <x:v>23.697499999999998</x:v>
      </x:c>
      <x:c r="J38" s="12">
        <x:v>18.697499999999998</x:v>
      </x:c>
      <x:c r="K38" s="12">
        <x:v>13.747500000000002</x:v>
      </x:c>
      <x:c r="L38" s="12">
        <x:v>9.2575000000000021</x:v>
      </x:c>
      <x:c r="M38" s="12">
        <x:v>5.2441666666666666</x:v>
      </x:c>
    </x:row>
    <x:row r="39" spans="1:13" x14ac:dyDescent="0.25">
      <x:c r="A39">
        <x:f t="shared" si="1"/>
        <x:v>29</x:v>
      </x:c>
      <x:c r="B39" s="29">
        <x:v>45501</x:v>
      </x:c>
      <x:c r="C39" s="12">
        <x:v>0</x:v>
      </x:c>
      <x:c r="D39" s="12">
        <x:v>0</x:v>
      </x:c>
      <x:c r="E39" s="12">
        <x:v>0</x:v>
      </x:c>
      <x:c r="F39" s="12">
        <x:v>0</x:v>
      </x:c>
      <x:c r="G39" s="12">
        <x:v>33.760833333333323</x:v>
      </x:c>
      <x:c r="H39" s="12">
        <x:v>28.760833333333331</x:v>
      </x:c>
      <x:c r="I39" s="12">
        <x:v>23.760833333333334</x:v>
      </x:c>
      <x:c r="J39" s="12">
        <x:v>18.760833333333334</x:v>
      </x:c>
      <x:c r="K39" s="12">
        <x:v>13.773333333333332</x:v>
      </x:c>
      <x:c r="L39" s="12">
        <x:v>9.081666666666667</x:v>
      </x:c>
      <x:c r="M39" s="12">
        <x:v>4.7412500000000009</x:v>
      </x:c>
    </x:row>
    <x:row r="40" spans="1:13" x14ac:dyDescent="0.25">
      <x:c r="A40">
        <x:f t="shared" si="1"/>
        <x:v>30</x:v>
      </x:c>
      <x:c r="B40" s="29">
        <x:v>45502</x:v>
      </x:c>
      <x:c r="C40" s="12">
        <x:v>0</x:v>
      </x:c>
      <x:c r="D40" s="12">
        <x:v>0</x:v>
      </x:c>
      <x:c r="E40" s="12">
        <x:v>0</x:v>
      </x:c>
      <x:c r="F40" s="12">
        <x:v>0</x:v>
      </x:c>
      <x:c r="G40" s="12">
        <x:v>34.16125000000001</x:v>
      </x:c>
      <x:c r="H40" s="12">
        <x:v>29.161250000000003</x:v>
      </x:c>
      <x:c r="I40" s="12">
        <x:v>24.161250000000003</x:v>
      </x:c>
      <x:c r="J40" s="12">
        <x:v>19.161250000000003</x:v>
      </x:c>
      <x:c r="K40" s="12">
        <x:v>14.161250000000004</x:v>
      </x:c>
      <x:c r="L40" s="12">
        <x:v>9.1612500000000008</x:v>
      </x:c>
      <x:c r="M40" s="12">
        <x:v>4.7958333333333361</x:v>
      </x:c>
    </x:row>
    <x:row r="41" spans="1:13" x14ac:dyDescent="0.25">
      <x:c r="A41">
        <x:f t="shared" si="1"/>
        <x:v>31</x:v>
      </x:c>
      <x:c r="B41" s="29">
        <x:v>45503</x:v>
      </x:c>
      <x:c r="C41" s="12">
        <x:v>0</x:v>
      </x:c>
      <x:c r="D41" s="12">
        <x:v>0</x:v>
      </x:c>
      <x:c r="E41" s="12">
        <x:v>0</x:v>
      </x:c>
      <x:c r="F41" s="12">
        <x:v>0</x:v>
      </x:c>
      <x:c r="G41" s="12">
        <x:v>34.573333333333331</x:v>
      </x:c>
      <x:c r="H41" s="12">
        <x:v>29.573333333333331</x:v>
      </x:c>
      <x:c r="I41" s="12">
        <x:v>24.573333333333331</x:v>
      </x:c>
      <x:c r="J41" s="12">
        <x:v>19.573333333333331</x:v>
      </x:c>
      <x:c r="K41" s="12">
        <x:v>14.573333333333329</x:v>
      </x:c>
      <x:c r="L41" s="12">
        <x:v>9.5733333333333324</x:v>
      </x:c>
      <x:c r="M41" s="12">
        <x:v>5.1716666666666651</x:v>
      </x:c>
    </x:row>
    <x:row r="42" spans="1:13" ht="13.8" thickBot="1" x14ac:dyDescent="0.3">
      <x:c r="A42">
        <x:f>+A41+1</x:f>
        <x:v>32</x:v>
      </x:c>
      <x:c r="B42" s="29">
        <x:v>45504</x:v>
      </x:c>
      <x:c r="C42" s="12">
        <x:v>0</x:v>
      </x:c>
      <x:c r="D42" s="12">
        <x:v>0</x:v>
      </x:c>
      <x:c r="E42" s="12">
        <x:v>0</x:v>
      </x:c>
      <x:c r="F42" s="12">
        <x:v>0</x:v>
      </x:c>
      <x:c r="G42" s="12">
        <x:v>34.592083333333328</x:v>
      </x:c>
      <x:c r="H42" s="12">
        <x:v>29.592083333333328</x:v>
      </x:c>
      <x:c r="I42" s="12">
        <x:v>24.592083333333331</x:v>
      </x:c>
      <x:c r="J42" s="12">
        <x:v>19.592083333333331</x:v>
      </x:c>
      <x:c r="K42" s="12">
        <x:v>14.592083333333331</x:v>
      </x:c>
      <x:c r="L42" s="12">
        <x:v>9.6220833333333324</x:v>
      </x:c>
      <x:c r="M42" s="12">
        <x:v>5.2541666666666655</x:v>
      </x:c>
    </x:row>
    <x:row r="43" spans="1:13" x14ac:dyDescent="0.25">
      <x:c r="B43" s="23" t="s">
        <x:v>59</x:v>
      </x:c>
      <x:c r="C43" s="24">
        <x:f>SUM(C12:C42)</x:f>
        <x:v>0</x:v>
      </x:c>
      <x:c r="D43" s="24">
        <x:f t="shared" ref="D43:M43" si="2">SUM(D12:D42)</x:f>
        <x:v>0</x:v>
      </x:c>
      <x:c r="E43" s="24">
        <x:f t="shared" si="2"/>
        <x:v>0</x:v>
      </x:c>
      <x:c r="F43" s="24">
        <x:f t="shared" si="2"/>
        <x:v>0</x:v>
      </x:c>
      <x:c r="G43" s="24">
        <x:f t="shared" si="2"/>
        <x:v>1048.7141666666666</x:v>
      </x:c>
      <x:c r="H43" s="24">
        <x:f t="shared" si="2"/>
        <x:v>893.71416666666687</x:v>
      </x:c>
      <x:c r="I43" s="24">
        <x:f t="shared" si="2"/>
        <x:v>738.71416666666676</x:v>
      </x:c>
      <x:c r="J43" s="24">
        <x:f t="shared" si="2"/>
        <x:v>583.71416666666687</x:v>
      </x:c>
      <x:c r="K43" s="24">
        <x:f t="shared" si="2"/>
        <x:v>429.15541666666678</x:v>
      </x:c>
      <x:c r="L43" s="24">
        <x:f t="shared" si="2"/>
        <x:v>276.87625000000003</x:v>
      </x:c>
      <x:c r="M43" s="24">
        <x:f t="shared" si="2"/>
        <x:v>139.06875000000005</x:v>
      </x:c>
    </x:row>
    <x:row r="45" spans="1:13" x14ac:dyDescent="0.25">
      <x:c r="C45" s="70"/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</x:row>
    <x:row r="46" spans="1:13" x14ac:dyDescent="0.25">
      <x:c r="C46" s="73"/>
      <x:c r="D46" s="73"/>
      <x:c r="E46" s="73"/>
      <x:c r="F46" s="73"/>
      <x:c r="G46" s="73"/>
      <x:c r="H46" s="73"/>
      <x:c r="I46" s="73"/>
      <x:c r="J46" s="73"/>
      <x:c r="K46" s="73"/>
      <x:c r="L46" s="73"/>
      <x:c r="M46" s="73"/>
    </x:row>
  </x:sheetData>
  <x:mergeCells count="6">
    <x:mergeCell ref="B8:M8"/>
    <x:mergeCell ref="B1:M1"/>
    <x:mergeCell ref="B2:M2"/>
    <x:mergeCell ref="B3:M3"/>
    <x:mergeCell ref="B4:M4"/>
    <x:mergeCell ref="B6:M6"/>
  </x:mergeCells>
  <x:pageMargins left="0.75" right="0.75" top="1" bottom="1" header="0.5" footer="0.5"/>
  <x:pageSetup scale="83" firstPageNumber="3" orientation="portrait" r:id="rId1"/>
  <x:headerFooter alignWithMargins="0">
    <x:oddHeader>&amp;RSchedule II-H-5.1
Page &amp;P of  25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2025-04-08T14:06:16.0000000Z</dcterms:modified>
</coreProperties>
</file>