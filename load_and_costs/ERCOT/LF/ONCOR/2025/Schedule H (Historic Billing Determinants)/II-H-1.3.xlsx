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24226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H (Historic Billing Determinants)\"/>
    </mc:Choice>
  </mc:AlternateContent>
  <xr:revisionPtr revIDLastSave="0" documentId="13_ncr:1_{AA4B55A0-12D5-4D43-8958-ADF169A6AD3E}" xr6:coauthVersionLast="47" xr6:coauthVersionMax="47" xr10:uidLastSave="{00000000-0000-0000-0000-000000000000}"/>
  <x:bookViews>
    <x:workbookView xWindow="-120" yWindow="-120" windowWidth="29040" windowHeight="15720" xr2:uid="{00000000-000D-0000-FFFF-FFFF00000000}"/>
  </x:bookViews>
  <x:sheets>
    <x:sheet name="RESIDENTIAL" sheetId="1" r:id="rId1"/>
    <x:sheet name="SEC &lt; 10kW" sheetId="37" r:id="rId2"/>
    <x:sheet name="SEC &gt; 10kW " sheetId="38" r:id="rId3"/>
    <x:sheet name="PRIMARY  &lt; 10kW" sheetId="39" r:id="rId4"/>
    <x:sheet name="PRIMARY  &gt; 10kW DLS" sheetId="40" r:id="rId5"/>
    <x:sheet name="PRIMARY  SUBSTATIONS" sheetId="41" r:id="rId6"/>
    <x:sheet name="TRANSMISSION" sheetId="42" r:id="rId7"/>
    <x:sheet name="STREET LIGHTING" sheetId="48" r:id="rId8"/>
    <x:sheet name="WHOLESALE SUB " sheetId="50" r:id="rId9"/>
    <x:sheet name="WHOLESALE DLS" sheetId="45" r:id="rId10"/>
    <x:sheet name="36-MO LF-RES" sheetId="2" r:id="rId11"/>
    <x:sheet name="36 MO LF-SGS" sheetId="4" r:id="rId12"/>
    <x:sheet name="36 MO LF - LGS" sheetId="6" r:id="rId13"/>
    <x:sheet name="36 MO LF - SGP " sheetId="27" r:id="rId14"/>
    <x:sheet name="36 MO LF - LGP_DLS" sheetId="33" r:id="rId15"/>
    <x:sheet name="36 MO LF - LGP_SUBST" sheetId="34" r:id="rId16"/>
    <x:sheet name="36 MO LF -  HV" sheetId="29" r:id="rId17"/>
    <x:sheet name="36 MO LF -  WHLS SUB" sheetId="30" r:id="rId18"/>
    <x:sheet name="36 MO LF -  WHLS DLS" sheetId="31" r:id="rId19"/>
  </x:sheets>
  <x:externalReferences>
    <x:externalReference r:id="rId20"/>
    <x:externalReference r:id="rId21"/>
  </x:externalReferences>
  <x:definedNames>
    <x:definedName name="_xlnm.Print_Area" localSheetId="16">'36 MO LF -  HV'!$A$1:$V$33</x:definedName>
    <x:definedName name="_xlnm.Print_Area" localSheetId="18">'36 MO LF -  WHLS DLS'!$A$1:$V$33</x:definedName>
    <x:definedName name="_xlnm.Print_Area" localSheetId="17">'36 MO LF -  WHLS SUB'!$A$1:$V$33</x:definedName>
    <x:definedName name="_xlnm.Print_Area" localSheetId="14">'36 MO LF - LGP_DLS'!$A$1:$V$33</x:definedName>
    <x:definedName name="_xlnm.Print_Area" localSheetId="15">'36 MO LF - LGP_SUBST'!$A$1:$V$33</x:definedName>
    <x:definedName name="_xlnm.Print_Area" localSheetId="12">'36 MO LF - LGS'!$A$1:$V$33</x:definedName>
    <x:definedName name="_xlnm.Print_Area" localSheetId="13">'36 MO LF - SGP '!$A$1:$V$33</x:definedName>
    <x:definedName name="_xlnm.Print_Area" localSheetId="11">'36 MO LF-SGS'!$A$1:$V$33</x:definedName>
    <x:definedName name="_xlnm.Print_Area" localSheetId="10">'36-MO LF-RES'!$A$1:$V$33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T33" i="45" l="1"/>
  <x:c r="T32" i="45"/>
  <x:c r="T31" i="45"/>
  <x:c r="T30" i="45"/>
  <x:c r="T29" i="45"/>
  <x:c r="T28" i="45"/>
  <x:c r="T27" i="45"/>
  <x:c r="T26" i="45"/>
  <x:c r="T25" i="45"/>
  <x:c r="T24" i="45"/>
  <x:c r="T23" i="45"/>
  <x:c r="T22" i="45"/>
  <x:c r="T33" i="50"/>
  <x:c r="T32" i="50"/>
  <x:c r="T31" i="50"/>
  <x:c r="T30" i="50"/>
  <x:c r="T29" i="50"/>
  <x:c r="T28" i="50"/>
  <x:c r="T27" i="50"/>
  <x:c r="T26" i="50"/>
  <x:c r="T25" i="50"/>
  <x:c r="T24" i="50"/>
  <x:c r="T23" i="50"/>
  <x:c r="T22" i="50"/>
  <x:c r="T33" i="48"/>
  <x:c r="T32" i="48"/>
  <x:c r="T31" i="48"/>
  <x:c r="T30" i="48"/>
  <x:c r="T29" i="48"/>
  <x:c r="T28" i="48"/>
  <x:c r="T27" i="48"/>
  <x:c r="T26" i="48"/>
  <x:c r="T25" i="48"/>
  <x:c r="T24" i="48"/>
  <x:c r="T23" i="48"/>
  <x:c r="T22" i="48"/>
  <x:c r="T33" i="41"/>
  <x:c r="T32" i="41"/>
  <x:c r="T31" i="41"/>
  <x:c r="T30" i="41"/>
  <x:c r="T29" i="41"/>
  <x:c r="T28" i="41"/>
  <x:c r="T27" i="41"/>
  <x:c r="T26" i="41"/>
  <x:c r="T25" i="41"/>
  <x:c r="T24" i="41"/>
  <x:c r="T23" i="41"/>
  <x:c r="T22" i="41"/>
  <x:c r="T33" i="40"/>
  <x:c r="T32" i="40"/>
  <x:c r="T31" i="40"/>
  <x:c r="T30" i="40"/>
  <x:c r="T29" i="40"/>
  <x:c r="T28" i="40"/>
  <x:c r="T27" i="40"/>
  <x:c r="T26" i="40"/>
  <x:c r="T25" i="40"/>
  <x:c r="T24" i="40"/>
  <x:c r="T23" i="40"/>
  <x:c r="T22" i="40"/>
  <x:c r="T33" i="39"/>
  <x:c r="T32" i="39"/>
  <x:c r="T31" i="39"/>
  <x:c r="T30" i="39"/>
  <x:c r="T29" i="39"/>
  <x:c r="T28" i="39"/>
  <x:c r="T27" i="39"/>
  <x:c r="T26" i="39"/>
  <x:c r="T25" i="39"/>
  <x:c r="T24" i="39"/>
  <x:c r="T23" i="39"/>
  <x:c r="T22" i="39"/>
  <x:c r="T33" i="38"/>
  <x:c r="T32" i="38"/>
  <x:c r="T31" i="38"/>
  <x:c r="T30" i="38"/>
  <x:c r="T29" i="38"/>
  <x:c r="T28" i="38"/>
  <x:c r="T27" i="38"/>
  <x:c r="T26" i="38"/>
  <x:c r="T25" i="38"/>
  <x:c r="T24" i="38"/>
  <x:c r="T23" i="38"/>
  <x:c r="T22" i="38"/>
  <x:c r="T33" i="37"/>
  <x:c r="T32" i="37"/>
  <x:c r="T31" i="37"/>
  <x:c r="T30" i="37"/>
  <x:c r="T29" i="37"/>
  <x:c r="T28" i="37"/>
  <x:c r="T27" i="37"/>
  <x:c r="T26" i="37"/>
  <x:c r="T25" i="37"/>
  <x:c r="T24" i="37"/>
  <x:c r="T23" i="37"/>
  <x:c r="T22" i="37"/>
  <x:c r="T33" i="1"/>
  <x:c r="T32" i="1"/>
  <x:c r="T31" i="1"/>
  <x:c r="T30" i="1"/>
  <x:c r="T29" i="1"/>
  <x:c r="T28" i="1"/>
  <x:c r="T27" i="1"/>
  <x:c r="T26" i="1"/>
  <x:c r="T25" i="1"/>
  <x:c r="T24" i="1"/>
  <x:c r="T23" i="1"/>
  <x:c r="T22" i="1"/>
  <x:c r="P33" i="45"/>
  <x:c r="P32" i="45"/>
  <x:c r="P31" i="45"/>
  <x:c r="P30" i="45"/>
  <x:c r="P29" i="45"/>
  <x:c r="P28" i="45"/>
  <x:c r="P27" i="45"/>
  <x:c r="P26" i="45"/>
  <x:c r="P25" i="45"/>
  <x:c r="P24" i="45"/>
  <x:c r="P23" i="45"/>
  <x:c r="P22" i="45"/>
  <x:c r="L33" i="45"/>
  <x:c r="L32" i="45"/>
  <x:c r="L31" i="45"/>
  <x:c r="L30" i="45"/>
  <x:c r="L29" i="45"/>
  <x:c r="L28" i="45"/>
  <x:c r="L27" i="45"/>
  <x:c r="L26" i="45"/>
  <x:c r="L25" i="45"/>
  <x:c r="L24" i="45"/>
  <x:c r="L23" i="45"/>
  <x:c r="L22" i="45"/>
  <x:c r="H33" i="45"/>
  <x:c r="H32" i="45"/>
  <x:c r="H31" i="45"/>
  <x:c r="H30" i="45"/>
  <x:c r="H29" i="45"/>
  <x:c r="H28" i="45"/>
  <x:c r="H27" i="45"/>
  <x:c r="H26" i="45"/>
  <x:c r="H25" i="45"/>
  <x:c r="H24" i="45"/>
  <x:c r="H23" i="45"/>
  <x:c r="H22" i="45"/>
  <x:c r="D33" i="45"/>
  <x:c r="D32" i="45"/>
  <x:c r="D31" i="45"/>
  <x:c r="D30" i="45"/>
  <x:c r="D29" i="45"/>
  <x:c r="D28" i="45"/>
  <x:c r="D27" i="45"/>
  <x:c r="D26" i="45"/>
  <x:c r="D25" i="45"/>
  <x:c r="D24" i="45"/>
  <x:c r="D23" i="45"/>
  <x:c r="D22" i="45"/>
  <x:c r="P33" i="50"/>
  <x:c r="P32" i="50"/>
  <x:c r="P31" i="50"/>
  <x:c r="P30" i="50"/>
  <x:c r="P29" i="50"/>
  <x:c r="P28" i="50"/>
  <x:c r="P27" i="50"/>
  <x:c r="P26" i="50"/>
  <x:c r="P25" i="50"/>
  <x:c r="P24" i="50"/>
  <x:c r="P23" i="50"/>
  <x:c r="P22" i="50"/>
  <x:c r="L33" i="50"/>
  <x:c r="L32" i="50"/>
  <x:c r="L31" i="50"/>
  <x:c r="L30" i="50"/>
  <x:c r="L29" i="50"/>
  <x:c r="L28" i="50"/>
  <x:c r="L27" i="50"/>
  <x:c r="L26" i="50"/>
  <x:c r="L25" i="50"/>
  <x:c r="L24" i="50"/>
  <x:c r="L23" i="50"/>
  <x:c r="L22" i="50"/>
  <x:c r="H33" i="50"/>
  <x:c r="H32" i="50"/>
  <x:c r="H31" i="50"/>
  <x:c r="H30" i="50"/>
  <x:c r="H29" i="50"/>
  <x:c r="H28" i="50"/>
  <x:c r="H27" i="50"/>
  <x:c r="H26" i="50"/>
  <x:c r="H25" i="50"/>
  <x:c r="H24" i="50"/>
  <x:c r="H23" i="50"/>
  <x:c r="H22" i="50"/>
  <x:c r="D33" i="50"/>
  <x:c r="D32" i="50"/>
  <x:c r="D31" i="50"/>
  <x:c r="D30" i="50"/>
  <x:c r="D29" i="50"/>
  <x:c r="D28" i="50"/>
  <x:c r="D27" i="50"/>
  <x:c r="D26" i="50"/>
  <x:c r="D25" i="50"/>
  <x:c r="D24" i="50"/>
  <x:c r="D23" i="50"/>
  <x:c r="D22" i="50"/>
  <x:c r="P33" i="48"/>
  <x:c r="P32" i="48"/>
  <x:c r="P31" i="48"/>
  <x:c r="P30" i="48"/>
  <x:c r="P29" i="48"/>
  <x:c r="P28" i="48"/>
  <x:c r="P27" i="48"/>
  <x:c r="P26" i="48"/>
  <x:c r="P25" i="48"/>
  <x:c r="P24" i="48"/>
  <x:c r="P23" i="48"/>
  <x:c r="P22" i="48"/>
  <x:c r="L32" i="48"/>
  <x:c r="L31" i="48"/>
  <x:c r="L30" i="48"/>
  <x:c r="L29" i="48"/>
  <x:c r="L28" i="48"/>
  <x:c r="L27" i="48"/>
  <x:c r="L26" i="48"/>
  <x:c r="L25" i="48"/>
  <x:c r="L24" i="48"/>
  <x:c r="L23" i="48"/>
  <x:c r="L22" i="48"/>
  <x:c r="H33" i="48"/>
  <x:c r="H32" i="48"/>
  <x:c r="H31" i="48"/>
  <x:c r="H30" i="48"/>
  <x:c r="H29" i="48"/>
  <x:c r="H28" i="48"/>
  <x:c r="H27" i="48"/>
  <x:c r="H26" i="48"/>
  <x:c r="H25" i="48"/>
  <x:c r="H24" i="48"/>
  <x:c r="H23" i="48"/>
  <x:c r="H22" i="48"/>
  <x:c r="D33" i="48"/>
  <x:c r="D32" i="48"/>
  <x:c r="D31" i="48"/>
  <x:c r="D30" i="48"/>
  <x:c r="D29" i="48"/>
  <x:c r="D28" i="48"/>
  <x:c r="D27" i="48"/>
  <x:c r="D26" i="48"/>
  <x:c r="D25" i="48"/>
  <x:c r="D24" i="48"/>
  <x:c r="D23" i="48"/>
  <x:c r="D22" i="48"/>
  <x:c r="P33" i="41"/>
  <x:c r="P32" i="41"/>
  <x:c r="P31" i="41"/>
  <x:c r="P30" i="41"/>
  <x:c r="P29" i="41"/>
  <x:c r="P28" i="41"/>
  <x:c r="P27" i="41"/>
  <x:c r="P26" i="41"/>
  <x:c r="P25" i="41"/>
  <x:c r="P24" i="41"/>
  <x:c r="P23" i="41"/>
  <x:c r="P22" i="41"/>
  <x:c r="L33" i="41"/>
  <x:c r="L32" i="41"/>
  <x:c r="L31" i="41"/>
  <x:c r="L30" i="41"/>
  <x:c r="L29" i="41"/>
  <x:c r="L28" i="41"/>
  <x:c r="L27" i="41"/>
  <x:c r="L26" i="41"/>
  <x:c r="L25" i="41"/>
  <x:c r="L24" i="41"/>
  <x:c r="L23" i="41"/>
  <x:c r="L22" i="41"/>
  <x:c r="H33" i="41"/>
  <x:c r="H32" i="41"/>
  <x:c r="H31" i="41"/>
  <x:c r="H30" i="41"/>
  <x:c r="H29" i="41"/>
  <x:c r="H28" i="41"/>
  <x:c r="H27" i="41"/>
  <x:c r="H26" i="41"/>
  <x:c r="H25" i="41"/>
  <x:c r="H24" i="41"/>
  <x:c r="H23" i="41"/>
  <x:c r="H22" i="41"/>
  <x:c r="D33" i="41"/>
  <x:c r="D32" i="41"/>
  <x:c r="D31" i="41"/>
  <x:c r="D30" i="41"/>
  <x:c r="D29" i="41"/>
  <x:c r="D28" i="41"/>
  <x:c r="D27" i="41"/>
  <x:c r="D26" i="41"/>
  <x:c r="D25" i="41"/>
  <x:c r="D24" i="41"/>
  <x:c r="D23" i="41"/>
  <x:c r="D22" i="41"/>
  <x:c r="P33" i="40"/>
  <x:c r="P32" i="40"/>
  <x:c r="P31" i="40"/>
  <x:c r="P30" i="40"/>
  <x:c r="P29" i="40"/>
  <x:c r="P28" i="40"/>
  <x:c r="P27" i="40"/>
  <x:c r="P26" i="40"/>
  <x:c r="P25" i="40"/>
  <x:c r="P24" i="40"/>
  <x:c r="P23" i="40"/>
  <x:c r="P22" i="40"/>
  <x:c r="L33" i="40"/>
  <x:c r="L32" i="40"/>
  <x:c r="L31" i="40"/>
  <x:c r="L30" i="40"/>
  <x:c r="L29" i="40"/>
  <x:c r="L28" i="40"/>
  <x:c r="L27" i="40"/>
  <x:c r="L26" i="40"/>
  <x:c r="L25" i="40"/>
  <x:c r="L24" i="40"/>
  <x:c r="L23" i="40"/>
  <x:c r="L22" i="40"/>
  <x:c r="H33" i="40"/>
  <x:c r="H32" i="40"/>
  <x:c r="H31" i="40"/>
  <x:c r="H30" i="40"/>
  <x:c r="H29" i="40"/>
  <x:c r="H28" i="40"/>
  <x:c r="H27" i="40"/>
  <x:c r="H26" i="40"/>
  <x:c r="H25" i="40"/>
  <x:c r="H24" i="40"/>
  <x:c r="H23" i="40"/>
  <x:c r="H22" i="40"/>
  <x:c r="D33" i="40"/>
  <x:c r="D32" i="40"/>
  <x:c r="D31" i="40"/>
  <x:c r="D30" i="40"/>
  <x:c r="D29" i="40"/>
  <x:c r="D28" i="40"/>
  <x:c r="D27" i="40"/>
  <x:c r="D26" i="40"/>
  <x:c r="D25" i="40"/>
  <x:c r="D24" i="40"/>
  <x:c r="D23" i="40"/>
  <x:c r="D22" i="40"/>
  <x:c r="P33" i="39"/>
  <x:c r="P32" i="39"/>
  <x:c r="P31" i="39"/>
  <x:c r="P30" i="39"/>
  <x:c r="P29" i="39"/>
  <x:c r="P28" i="39"/>
  <x:c r="P27" i="39"/>
  <x:c r="P26" i="39"/>
  <x:c r="P25" i="39"/>
  <x:c r="P24" i="39"/>
  <x:c r="P23" i="39"/>
  <x:c r="P22" i="39"/>
  <x:c r="L33" i="39"/>
  <x:c r="L32" i="39"/>
  <x:c r="L31" i="39"/>
  <x:c r="L30" i="39"/>
  <x:c r="L29" i="39"/>
  <x:c r="L28" i="39"/>
  <x:c r="L27" i="39"/>
  <x:c r="L26" i="39"/>
  <x:c r="L25" i="39"/>
  <x:c r="L24" i="39"/>
  <x:c r="L23" i="39"/>
  <x:c r="L22" i="39"/>
  <x:c r="H33" i="39"/>
  <x:c r="H32" i="39"/>
  <x:c r="H31" i="39"/>
  <x:c r="H30" i="39"/>
  <x:c r="H29" i="39"/>
  <x:c r="H28" i="39"/>
  <x:c r="H27" i="39"/>
  <x:c r="H26" i="39"/>
  <x:c r="H25" i="39"/>
  <x:c r="H24" i="39"/>
  <x:c r="H23" i="39"/>
  <x:c r="H22" i="39"/>
  <x:c r="D33" i="39"/>
  <x:c r="D32" i="39"/>
  <x:c r="D31" i="39"/>
  <x:c r="D30" i="39"/>
  <x:c r="D29" i="39"/>
  <x:c r="D28" i="39"/>
  <x:c r="D27" i="39"/>
  <x:c r="D26" i="39"/>
  <x:c r="D25" i="39"/>
  <x:c r="D24" i="39"/>
  <x:c r="D23" i="39"/>
  <x:c r="D22" i="39"/>
  <x:c r="P33" i="38"/>
  <x:c r="P32" i="38"/>
  <x:c r="P31" i="38"/>
  <x:c r="P30" i="38"/>
  <x:c r="P29" i="38"/>
  <x:c r="P28" i="38"/>
  <x:c r="P27" i="38"/>
  <x:c r="P26" i="38"/>
  <x:c r="P25" i="38"/>
  <x:c r="P24" i="38"/>
  <x:c r="P23" i="38"/>
  <x:c r="P22" i="38"/>
  <x:c r="L33" i="38"/>
  <x:c r="L32" i="38"/>
  <x:c r="L31" i="38"/>
  <x:c r="L30" i="38"/>
  <x:c r="L29" i="38"/>
  <x:c r="L28" i="38"/>
  <x:c r="L27" i="38"/>
  <x:c r="L26" i="38"/>
  <x:c r="L25" i="38"/>
  <x:c r="L24" i="38"/>
  <x:c r="L23" i="38"/>
  <x:c r="L22" i="38"/>
  <x:c r="H33" i="38"/>
  <x:c r="H32" i="38"/>
  <x:c r="H31" i="38"/>
  <x:c r="H30" i="38"/>
  <x:c r="H29" i="38"/>
  <x:c r="H28" i="38"/>
  <x:c r="H27" i="38"/>
  <x:c r="H26" i="38"/>
  <x:c r="H25" i="38"/>
  <x:c r="H24" i="38"/>
  <x:c r="H23" i="38"/>
  <x:c r="H22" i="38"/>
  <x:c r="D33" i="38"/>
  <x:c r="D32" i="38"/>
  <x:c r="D31" i="38"/>
  <x:c r="D30" i="38"/>
  <x:c r="D29" i="38"/>
  <x:c r="D28" i="38"/>
  <x:c r="D27" i="38"/>
  <x:c r="D26" i="38"/>
  <x:c r="D25" i="38"/>
  <x:c r="D24" i="38"/>
  <x:c r="D23" i="38"/>
  <x:c r="D22" i="38"/>
  <x:c r="P33" i="37"/>
  <x:c r="P32" i="37"/>
  <x:c r="P31" i="37"/>
  <x:c r="P30" i="37"/>
  <x:c r="P29" i="37"/>
  <x:c r="P28" i="37"/>
  <x:c r="P27" i="37"/>
  <x:c r="P26" i="37"/>
  <x:c r="P25" i="37"/>
  <x:c r="P24" i="37"/>
  <x:c r="P23" i="37"/>
  <x:c r="P22" i="37"/>
  <x:c r="L33" i="37"/>
  <x:c r="L32" i="37"/>
  <x:c r="L31" i="37"/>
  <x:c r="L30" i="37"/>
  <x:c r="L29" i="37"/>
  <x:c r="L28" i="37"/>
  <x:c r="L27" i="37"/>
  <x:c r="L26" i="37"/>
  <x:c r="L25" i="37"/>
  <x:c r="L24" i="37"/>
  <x:c r="L23" i="37"/>
  <x:c r="L22" i="37"/>
  <x:c r="H33" i="37"/>
  <x:c r="H32" i="37"/>
  <x:c r="H31" i="37"/>
  <x:c r="H30" i="37"/>
  <x:c r="H29" i="37"/>
  <x:c r="H28" i="37"/>
  <x:c r="H27" i="37"/>
  <x:c r="H26" i="37"/>
  <x:c r="H25" i="37"/>
  <x:c r="H24" i="37"/>
  <x:c r="H23" i="37"/>
  <x:c r="H22" i="37"/>
  <x:c r="D33" i="37"/>
  <x:c r="D32" i="37"/>
  <x:c r="D31" i="37"/>
  <x:c r="D30" i="37"/>
  <x:c r="D29" i="37"/>
  <x:c r="D28" i="37"/>
  <x:c r="D27" i="37"/>
  <x:c r="D26" i="37"/>
  <x:c r="D25" i="37"/>
  <x:c r="D24" i="37"/>
  <x:c r="D23" i="37"/>
  <x:c r="D22" i="37"/>
  <x:c r="P33" i="1"/>
  <x:c r="P32" i="1"/>
  <x:c r="P31" i="1"/>
  <x:c r="P30" i="1"/>
  <x:c r="P29" i="1"/>
  <x:c r="P28" i="1"/>
  <x:c r="P27" i="1"/>
  <x:c r="P26" i="1"/>
  <x:c r="P25" i="1"/>
  <x:c r="P24" i="1"/>
  <x:c r="P23" i="1"/>
  <x:c r="P22" i="1"/>
  <x:c r="L33" i="1"/>
  <x:c r="L32" i="1"/>
  <x:c r="L31" i="1"/>
  <x:c r="L30" i="1"/>
  <x:c r="L29" i="1"/>
  <x:c r="L28" i="1"/>
  <x:c r="L27" i="1"/>
  <x:c r="L26" i="1"/>
  <x:c r="L25" i="1"/>
  <x:c r="L24" i="1"/>
  <x:c r="L23" i="1"/>
  <x:c r="L22" i="1"/>
  <x:c r="H33" i="1"/>
  <x:c r="H32" i="1"/>
  <x:c r="H31" i="1"/>
  <x:c r="H30" i="1"/>
  <x:c r="H29" i="1"/>
  <x:c r="H28" i="1"/>
  <x:c r="H27" i="1"/>
  <x:c r="H26" i="1"/>
  <x:c r="H25" i="1"/>
  <x:c r="H24" i="1"/>
  <x:c r="H23" i="1"/>
  <x:c r="H22" i="1"/>
  <x:c r="D33" i="1"/>
  <x:c r="D32" i="1"/>
  <x:c r="D31" i="1"/>
  <x:c r="D30" i="1"/>
  <x:c r="D29" i="1"/>
  <x:c r="D28" i="1"/>
  <x:c r="D27" i="1"/>
  <x:c r="D26" i="1"/>
  <x:c r="D25" i="1"/>
  <x:c r="D24" i="1"/>
  <x:c r="D23" i="1"/>
  <x:c r="D22" i="1"/>
  <x:c r="V22" i="45" l="1"/>
  <x:c r="V31" i="45"/>
  <x:c r="X33" i="50" l="1"/>
  <x:c r="V33" i="50"/>
  <x:c r="X32" i="50"/>
  <x:c r="V32" i="50"/>
  <x:c r="X31" i="50"/>
  <x:c r="V31" i="50"/>
  <x:c r="X30" i="50"/>
  <x:c r="V30" i="50"/>
  <x:c r="X29" i="50"/>
  <x:c r="V29" i="50"/>
  <x:c r="X28" i="50"/>
  <x:c r="V28" i="50"/>
  <x:c r="X27" i="50"/>
  <x:c r="V27" i="50"/>
  <x:c r="X26" i="50"/>
  <x:c r="V26" i="50"/>
  <x:c r="X25" i="50"/>
  <x:c r="V25" i="50"/>
  <x:c r="X24" i="50"/>
  <x:c r="V24" i="50"/>
  <x:c r="X23" i="50"/>
  <x:c r="V23" i="50"/>
  <x:c r="X22" i="50"/>
  <x:c r="V22" i="50"/>
  <x:c r="T34" i="50" l="1"/>
  <x:c r="V34" i="50"/>
  <x:c r="V33" i="45"/>
  <x:c r="V32" i="45"/>
  <x:c r="V30" i="45"/>
  <x:c r="V29" i="45"/>
  <x:c r="V28" i="45"/>
  <x:c r="V27" i="45"/>
  <x:c r="V26" i="45"/>
  <x:c r="V25" i="45"/>
  <x:c r="V24" i="45"/>
  <x:c r="V23" i="45"/>
  <x:c r="V33" i="48"/>
  <x:c r="V32" i="48"/>
  <x:c r="V31" i="48"/>
  <x:c r="V30" i="48"/>
  <x:c r="V29" i="48"/>
  <x:c r="V28" i="48"/>
  <x:c r="V27" i="48"/>
  <x:c r="V26" i="48"/>
  <x:c r="V25" i="48"/>
  <x:c r="V24" i="48"/>
  <x:c r="V23" i="48"/>
  <x:c r="V22" i="48"/>
  <x:c r="V33" i="42"/>
  <x:c r="V32" i="42"/>
  <x:c r="V31" i="42"/>
  <x:c r="V30" i="42"/>
  <x:c r="V29" i="42"/>
  <x:c r="V28" i="42"/>
  <x:c r="V27" i="42"/>
  <x:c r="V26" i="42"/>
  <x:c r="V25" i="42"/>
  <x:c r="V24" i="42"/>
  <x:c r="V23" i="42"/>
  <x:c r="V22" i="42"/>
  <x:c r="V33" i="41"/>
  <x:c r="V32" i="41"/>
  <x:c r="V31" i="41"/>
  <x:c r="V30" i="41"/>
  <x:c r="V29" i="41"/>
  <x:c r="V28" i="41"/>
  <x:c r="V27" i="41"/>
  <x:c r="V26" i="41"/>
  <x:c r="V25" i="41"/>
  <x:c r="V24" i="41"/>
  <x:c r="V23" i="41"/>
  <x:c r="V22" i="41"/>
  <x:c r="V33" i="40"/>
  <x:c r="V32" i="40"/>
  <x:c r="V31" i="40"/>
  <x:c r="V30" i="40"/>
  <x:c r="V29" i="40"/>
  <x:c r="V28" i="40"/>
  <x:c r="V27" i="40"/>
  <x:c r="V26" i="40"/>
  <x:c r="V25" i="40"/>
  <x:c r="V24" i="40"/>
  <x:c r="V23" i="40"/>
  <x:c r="V22" i="40"/>
  <x:c r="V33" i="39"/>
  <x:c r="V32" i="39"/>
  <x:c r="V31" i="39"/>
  <x:c r="V30" i="39"/>
  <x:c r="V29" i="39"/>
  <x:c r="V28" i="39"/>
  <x:c r="V27" i="39"/>
  <x:c r="V26" i="39"/>
  <x:c r="V25" i="39"/>
  <x:c r="V24" i="39"/>
  <x:c r="V23" i="39"/>
  <x:c r="V22" i="39"/>
  <x:c r="V33" i="38"/>
  <x:c r="V32" i="38"/>
  <x:c r="V31" i="38"/>
  <x:c r="V30" i="38"/>
  <x:c r="V29" i="38"/>
  <x:c r="V28" i="38"/>
  <x:c r="V27" i="38"/>
  <x:c r="V26" i="38"/>
  <x:c r="V24" i="38"/>
  <x:c r="V25" i="38"/>
  <x:c r="V22" i="38"/>
  <x:c r="V23" i="38"/>
  <x:c r="V33" i="37" l="1"/>
  <x:c r="V32" i="37"/>
  <x:c r="V31" i="37"/>
  <x:c r="V30" i="37"/>
  <x:c r="V29" i="37"/>
  <x:c r="V28" i="37"/>
  <x:c r="V27" i="37"/>
  <x:c r="V26" i="37"/>
  <x:c r="V25" i="37"/>
  <x:c r="V24" i="37"/>
  <x:c r="V23" i="37"/>
  <x:c r="V22" i="37"/>
  <x:c r="V33" i="1"/>
  <x:c r="V32" i="1"/>
  <x:c r="V31" i="1"/>
  <x:c r="V30" i="1"/>
  <x:c r="V29" i="1"/>
  <x:c r="V28" i="1"/>
  <x:c r="V27" i="1"/>
  <x:c r="V26" i="1"/>
  <x:c r="V25" i="1"/>
  <x:c r="V24" i="1"/>
  <x:c r="V23" i="1"/>
  <x:c r="V22" i="1"/>
  <x:c r="D32" i="42" l="1"/>
  <x:c r="D31" i="42"/>
  <x:c r="X33" i="38"/>
  <x:c r="X22" i="40" l="1"/>
  <x:c r="P33" i="42" l="1"/>
  <x:c r="P32" i="42"/>
  <x:c r="P31" i="42"/>
  <x:c r="P30" i="42"/>
  <x:c r="P29" i="42"/>
  <x:c r="P28" i="42"/>
  <x:c r="P27" i="42"/>
  <x:c r="P26" i="42"/>
  <x:c r="P25" i="42"/>
  <x:c r="P24" i="42"/>
  <x:c r="P23" i="42"/>
  <x:c r="P22" i="42"/>
  <x:c r="L33" i="42"/>
  <x:c r="L32" i="42"/>
  <x:c r="L31" i="42"/>
  <x:c r="L30" i="42"/>
  <x:c r="L29" i="42"/>
  <x:c r="L28" i="42"/>
  <x:c r="L27" i="42"/>
  <x:c r="L26" i="42"/>
  <x:c r="L25" i="42"/>
  <x:c r="L24" i="42"/>
  <x:c r="L23" i="42"/>
  <x:c r="L22" i="42"/>
  <x:c r="H33" i="42"/>
  <x:c r="H32" i="42"/>
  <x:c r="H31" i="42"/>
  <x:c r="H30" i="42"/>
  <x:c r="H29" i="42"/>
  <x:c r="H28" i="42"/>
  <x:c r="H27" i="42"/>
  <x:c r="H26" i="42"/>
  <x:c r="H25" i="42"/>
  <x:c r="H24" i="42"/>
  <x:c r="H23" i="42"/>
  <x:c r="H22" i="42"/>
  <x:c r="D33" i="42"/>
  <x:c r="D30" i="42"/>
  <x:c r="D29" i="42"/>
  <x:c r="D28" i="42"/>
  <x:c r="D27" i="42"/>
  <x:c r="D26" i="42"/>
  <x:c r="D25" i="42"/>
  <x:c r="D24" i="42"/>
  <x:c r="D23" i="42"/>
  <x:c r="D22" i="42"/>
  <x:c r="X31" i="41" l="1"/>
  <x:c r="T32" i="42" l="1"/>
  <x:c r="T30" i="42"/>
  <x:c r="T33" i="42"/>
  <x:c r="T22" i="42"/>
  <x:c r="T23" i="42"/>
  <x:c r="T24" i="42"/>
  <x:c r="T25" i="42"/>
  <x:c r="T26" i="42"/>
  <x:c r="T27" i="42"/>
  <x:c r="T31" i="42"/>
  <x:c r="T28" i="42"/>
  <x:c r="T29" i="42"/>
  <x:c r="X22" i="1" l="1"/>
  <x:c r="X22" i="39" l="1"/>
  <x:c r="V34" i="48" l="1"/>
  <x:c r="X33" i="39" l="1"/>
  <x:c r="X33" i="40"/>
  <x:c r="X32" i="40"/>
  <x:c r="X33" i="1"/>
  <x:c r="X32" i="1"/>
  <x:c r="X32" i="37"/>
  <x:c r="X30" i="48" l="1"/>
  <x:c r="X32" i="48"/>
  <x:c r="X33" i="48"/>
  <x:c r="X22" i="48"/>
  <x:c r="X26" i="48"/>
  <x:c r="X23" i="48"/>
  <x:c r="X25" i="48"/>
  <x:c r="X27" i="48"/>
  <x:c r="X24" i="48"/>
  <x:c r="X31" i="48"/>
  <x:c r="X28" i="48"/>
  <x:c r="X29" i="48"/>
  <x:c r="X31" i="39"/>
  <x:c r="X33" i="45" l="1"/>
  <x:c r="X32" i="45"/>
  <x:c r="X31" i="45"/>
  <x:c r="X30" i="45"/>
  <x:c r="X29" i="45"/>
  <x:c r="X31" i="40" l="1"/>
  <x:c r="X30" i="40"/>
  <x:c r="X29" i="40"/>
  <x:c r="X28" i="40"/>
  <x:c r="X32" i="38"/>
  <x:c r="X31" i="38"/>
  <x:c r="X30" i="38"/>
  <x:c r="X29" i="38"/>
  <x:c r="X33" i="37" l="1"/>
  <x:c r="X31" i="37"/>
  <x:c r="X30" i="37"/>
  <x:c r="X29" i="37"/>
  <x:c r="X31" i="1"/>
  <x:c r="X30" i="1"/>
  <x:c r="X29" i="1"/>
  <x:c r="X28" i="1"/>
  <x:c r="X27" i="1"/>
  <x:c r="X26" i="1"/>
  <x:c r="X25" i="1"/>
  <x:c r="X24" i="1"/>
  <x:c r="X23" i="1"/>
  <x:c r="X33" i="42" l="1"/>
  <x:c r="X32" i="42"/>
  <x:c r="X31" i="42"/>
  <x:c r="X30" i="42"/>
  <x:c r="X29" i="42"/>
  <x:c r="X28" i="42"/>
  <x:c r="X27" i="42"/>
  <x:c r="X26" i="42"/>
  <x:c r="X25" i="42"/>
  <x:c r="X24" i="42"/>
  <x:c r="X23" i="42"/>
  <x:c r="X22" i="42"/>
  <x:c r="X28" i="38" l="1"/>
  <x:c r="X27" i="38"/>
  <x:c r="X26" i="38"/>
  <x:c r="X25" i="38"/>
  <x:c r="X24" i="38"/>
  <x:c r="X23" i="38"/>
  <x:c r="X22" i="38"/>
  <x:c r="X28" i="37" l="1"/>
  <x:c r="X27" i="37"/>
  <x:c r="X26" i="37"/>
  <x:c r="X25" i="37"/>
  <x:c r="X24" i="37"/>
  <x:c r="X23" i="37"/>
  <x:c r="X22" i="37"/>
  <x:c r="V34" i="45" l="1"/>
  <x:c r="X28" i="45"/>
  <x:c r="X27" i="45"/>
  <x:c r="X26" i="45"/>
  <x:c r="X25" i="45"/>
  <x:c r="X24" i="45"/>
  <x:c r="X23" i="45"/>
  <x:c r="X22" i="45"/>
  <x:c r="V34" i="42" l="1"/>
  <x:c r="T34" i="42"/>
  <x:c r="V34" i="41"/>
  <x:c r="X33" i="41"/>
  <x:c r="X32" i="41"/>
  <x:c r="X30" i="41"/>
  <x:c r="X29" i="41"/>
  <x:c r="X28" i="41"/>
  <x:c r="X27" i="41"/>
  <x:c r="X26" i="41"/>
  <x:c r="X25" i="41"/>
  <x:c r="X24" i="41"/>
  <x:c r="X23" i="41"/>
  <x:c r="X22" i="41"/>
  <x:c r="V34" i="40"/>
  <x:c r="X27" i="40"/>
  <x:c r="X26" i="40"/>
  <x:c r="X25" i="40"/>
  <x:c r="X24" i="40"/>
  <x:c r="X23" i="40"/>
  <x:c r="V34" i="39"/>
  <x:c r="X32" i="39"/>
  <x:c r="X30" i="39"/>
  <x:c r="X29" i="39"/>
  <x:c r="X28" i="39"/>
  <x:c r="X27" i="39"/>
  <x:c r="X26" i="39"/>
  <x:c r="X25" i="39"/>
  <x:c r="X24" i="39"/>
  <x:c r="X23" i="39"/>
  <x:c r="V34" i="38"/>
  <x:c r="V34" i="37"/>
  <x:c r="V34" i="1" l="1"/>
  <x:c r="T34" i="41" l="1"/>
  <x:c r="T34" i="45" l="1"/>
  <x:c r="T34" i="40"/>
  <x:c r="T34" i="39"/>
  <x:c r="T34" i="48" l="1"/>
  <x:c r="T34" i="1"/>
  <x:c r="T34" i="38"/>
  <x:c r="T34" i="37"/>
</x:calcChain>
</file>

<file path=xl/sharedStrings.xml><?xml version="1.0" encoding="utf-8"?>
<sst xmlns="http://schemas.openxmlformats.org/spreadsheetml/2006/main" count="1038" uniqueCount="114">
  <si>
    <t>Rate Class     =  Residential Service</t>
  </si>
  <si>
    <t>Voltage Level = Secondary</t>
  </si>
  <si>
    <t>Line</t>
  </si>
  <si>
    <t xml:space="preserve">  ERCOT</t>
  </si>
  <si>
    <t xml:space="preserve"> SYSTEM</t>
  </si>
  <si>
    <t xml:space="preserve"> </t>
  </si>
  <si>
    <t xml:space="preserve">   CLASS</t>
  </si>
  <si>
    <t xml:space="preserve">         KWH</t>
  </si>
  <si>
    <t xml:space="preserve">        KWH</t>
  </si>
  <si>
    <t>No.</t>
  </si>
  <si>
    <t xml:space="preserve"> Month</t>
  </si>
  <si>
    <t>PEAK KW*</t>
  </si>
  <si>
    <t>PEAK KW#</t>
  </si>
  <si>
    <t xml:space="preserve">       SALES*</t>
  </si>
  <si>
    <t xml:space="preserve">      SALES#</t>
  </si>
  <si>
    <t xml:space="preserve"> COIN</t>
  </si>
  <si>
    <t xml:space="preserve">  LOAD+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</si>
  <si>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</si>
  <si>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</si>
  <si>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</si>
  <si>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</si>
  <si>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</si>
  <si>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</si>
  <si>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</si>
  <si>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</si>
  <si>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</si>
  <si>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</si>
  <si>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</si>
  <si>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</si>
  <si>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#    AT METER</t>
  </si>
  <si>
    <t>+    BASED ON CLASS KW</t>
  </si>
  <si>
    <t xml:space="preserve">          SCHEDULE  II - H - 1.3</t>
  </si>
  <si>
    <t>Rate Class     =  Secondary Service Less Than or Equal to 10 kW</t>
  </si>
  <si>
    <t>Rate Class     =  Secondary Service Greater Than 10 kW</t>
  </si>
  <si>
    <t>Rate Class     =  Primary Service Less Than or Equal to 10 kW</t>
  </si>
  <si>
    <t>Voltage Level = Primary</t>
  </si>
  <si>
    <t xml:space="preserve"> +   BASED ON CLASS KW</t>
  </si>
  <si>
    <t>Rate Class     =  Transmission Service</t>
  </si>
  <si>
    <t>Voltage Level = Transmission</t>
  </si>
  <si>
    <t xml:space="preserve">Rate Class     =  Lighting Service </t>
  </si>
  <si>
    <t>Voltage Level = Secondary and Primary</t>
  </si>
  <si>
    <t xml:space="preserve">   COIN</t>
  </si>
  <si>
    <t xml:space="preserve">       ( c )</t>
  </si>
  <si>
    <t xml:space="preserve">      ( e )</t>
  </si>
  <si>
    <t xml:space="preserve">      ( f )</t>
  </si>
  <si>
    <t xml:space="preserve">    ( a )</t>
  </si>
  <si>
    <t xml:space="preserve">     ( b )</t>
  </si>
  <si>
    <t xml:space="preserve">    ( c )</t>
  </si>
  <si>
    <t xml:space="preserve">    ( e )</t>
  </si>
  <si>
    <t>COINCIDENCE AND LOAD FACTORS</t>
  </si>
  <si>
    <t>Voltage Level  =  Primary</t>
  </si>
  <si>
    <t>ONCOR ELECTRIC DELIVERY COMPANY LLC</t>
  </si>
  <si>
    <t xml:space="preserve">           FACTOR</t>
  </si>
  <si>
    <t xml:space="preserve">Rate Class     =  Primary Service Greater Than 10kW - Substation </t>
  </si>
  <si>
    <t xml:space="preserve">Rate Class     =  Primary Service Greater Than 10 kW - Distribution Line </t>
  </si>
  <si>
    <t xml:space="preserve">Rate Class      =  Wholesale Substation Service </t>
  </si>
  <si>
    <t xml:space="preserve">Rate Class      =  Wholesale Distribution Line Service   </t>
  </si>
  <si>
    <t xml:space="preserve">Rate Class     =  Secondary Service Greater Than 10 kW </t>
  </si>
  <si>
    <t>SPONSOR:  D. E. NELSON</t>
  </si>
  <si>
    <t xml:space="preserve">Rate Class     =  Primary Service Greater Than 10 kW - Substation </t>
  </si>
  <si>
    <t xml:space="preserve">          PAGE   11  OF  19</t>
  </si>
  <si>
    <t xml:space="preserve">          PAGE   12  OF  19</t>
  </si>
  <si>
    <t xml:space="preserve">          PAGE   13  OF  19</t>
  </si>
  <si>
    <t xml:space="preserve">          PAGE   14  OF  19</t>
  </si>
  <si>
    <t xml:space="preserve">          PAGE   15  OF  19</t>
  </si>
  <si>
    <t xml:space="preserve">          PAGE   16  OF  19</t>
  </si>
  <si>
    <t xml:space="preserve">          PAGE  17  OF  19</t>
  </si>
  <si>
    <t xml:space="preserve">          PAGE  18  OF  19</t>
  </si>
  <si>
    <t xml:space="preserve">          PAGE   19  OF  19</t>
  </si>
  <si>
    <t xml:space="preserve">     ( d )</t>
  </si>
  <si>
    <t xml:space="preserve">     ( f )</t>
  </si>
  <si>
    <t>UNADJUSTED TEST YEAR LOAD DATA</t>
  </si>
  <si>
    <t xml:space="preserve">Rate Class      =  Wholesale Service - Distribution Line </t>
  </si>
  <si>
    <t>Rate Class      =  Wholesale Service - Substation</t>
  </si>
  <si>
    <t xml:space="preserve">           ( a )</t>
  </si>
  <si>
    <t xml:space="preserve">           ( b )</t>
  </si>
  <si>
    <t xml:space="preserve">       SUM OF</t>
  </si>
  <si>
    <t>MAX DEMANDS*</t>
  </si>
  <si>
    <t xml:space="preserve">    CUSTOMER</t>
  </si>
  <si>
    <t>MAX DEMANDS#</t>
  </si>
  <si>
    <t xml:space="preserve">       ( d )</t>
  </si>
  <si>
    <t xml:space="preserve">      ( g )</t>
  </si>
  <si>
    <t xml:space="preserve">      ( h )</t>
  </si>
  <si>
    <t xml:space="preserve">           ( i )</t>
  </si>
  <si>
    <t xml:space="preserve">          ( j )</t>
  </si>
  <si>
    <t>*     AT SOURCE(BUSBAR)</t>
  </si>
  <si>
    <t xml:space="preserve">  CLASS</t>
  </si>
  <si>
    <t xml:space="preserve">                   PAGE   2  OF  19</t>
  </si>
  <si>
    <t xml:space="preserve">   ( k )</t>
  </si>
  <si>
    <t xml:space="preserve">   ( l )</t>
  </si>
  <si>
    <t xml:space="preserve"> LOAD+</t>
  </si>
  <si>
    <t xml:space="preserve">     FACTOR</t>
  </si>
  <si>
    <t xml:space="preserve">                   SCHEDULE  II-H-1.3</t>
  </si>
  <si>
    <t xml:space="preserve">                   PAGE   1  OF  19</t>
  </si>
  <si>
    <t xml:space="preserve">                   PAGE   3  OF  19</t>
  </si>
  <si>
    <t xml:space="preserve">                   PAGE   4  OF  19</t>
  </si>
  <si>
    <t xml:space="preserve">                   PAGE   5  OF  19</t>
  </si>
  <si>
    <t xml:space="preserve">                   PAGE   6  OF  19</t>
  </si>
  <si>
    <t xml:space="preserve">                   PAGE   7  OF  19</t>
  </si>
  <si>
    <t xml:space="preserve">                   PAGE   8  OF  19</t>
  </si>
  <si>
    <t xml:space="preserve">                   PAGE   9  OF  19</t>
  </si>
  <si>
    <t xml:space="preserve">                   PAGE   10  OF  19</t>
  </si>
  <si>
    <t xml:space="preserve">              2021</t>
  </si>
  <si>
    <t xml:space="preserve">              2022</t>
  </si>
  <si>
    <t>PUC DOCKET NO</t>
  </si>
  <si>
    <t xml:space="preserve">POPULATION DATA </t>
  </si>
  <si>
    <t xml:space="preserve">POPULATION DATA   </t>
  </si>
  <si>
    <t>POPULATION DATA</t>
  </si>
  <si>
    <t xml:space="preserve">POPULATION DATA 53601  </t>
  </si>
  <si>
    <t xml:space="preserve">POPULATION DATA 53601 </t>
  </si>
  <si>
    <t xml:space="preserve">POPULATION DATA  </t>
  </si>
  <si>
    <t xml:space="preserve">              2023</t>
  </si>
  <si>
    <t>THREE YEARS ENDING DECEMBER 31, 2023</t>
  </si>
  <si>
    <t>FOR THE TEST YEAR ENDING  DECEMBER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</si>
</sst>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0"/>
      <name val="Arial"/>
    </font>
    <font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4"/>
      <name val="Arial"/>
      <family val="2"/>
    </font>
    <font>
      <u/>
      <sz val="12"/>
      <name val="Arial"/>
      <family val="2"/>
    </font>
    <font>
      <b/>
      <sz val="14"/>
      <name val="Arial"/>
      <family val="2"/>
    </font>
    <font>
      <u/>
      <sz val="14"/>
      <name val="Arial"/>
      <family val="2"/>
    </font>
    <font>
      <i/>
      <sz val="14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14"/>
      <color rgb="FFFF0000"/>
      <name val="Arial"/>
      <family val="2"/>
    </font>
    <font>
      <b/>
      <sz val="14"/>
      <color rgb="FFFF0000"/>
      <name val="Arial"/>
      <family val="2"/>
    </font>
    <font>
      <sz val="12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3" fontId="4" fillId="0" borderId="0" xfId="0" applyNumberFormat="1" applyFont="1"/>
    <xf numFmtId="49" fontId="4" fillId="0" borderId="0" xfId="0" applyNumberFormat="1" applyFont="1"/>
    <xf numFmtId="49" fontId="3" fillId="0" borderId="0" xfId="0" applyNumberFormat="1" applyFont="1"/>
    <xf numFmtId="0" fontId="5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164" fontId="3" fillId="0" borderId="0" xfId="0" quotePrefix="1" applyNumberFormat="1" applyFont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centerContinuous"/>
    </xf>
    <xf numFmtId="3" fontId="3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3" fontId="2" fillId="0" borderId="0" xfId="0" applyNumberFormat="1" applyFont="1" applyAlignment="1">
      <alignment horizontal="centerContinuous"/>
    </xf>
    <xf numFmtId="164" fontId="3" fillId="0" borderId="0" xfId="0" applyNumberFormat="1" applyFont="1" applyAlignment="1">
      <alignment horizontal="centerContinuous"/>
    </xf>
    <xf numFmtId="164" fontId="2" fillId="0" borderId="0" xfId="0" applyNumberFormat="1" applyFont="1" applyAlignment="1">
      <alignment horizontal="centerContinuous"/>
    </xf>
    <xf numFmtId="164" fontId="3" fillId="0" borderId="1" xfId="0" applyNumberFormat="1" applyFont="1" applyBorder="1"/>
    <xf numFmtId="3" fontId="4" fillId="0" borderId="1" xfId="0" applyNumberFormat="1" applyFont="1" applyBorder="1"/>
    <xf numFmtId="0" fontId="6" fillId="0" borderId="0" xfId="0" applyFont="1"/>
    <xf numFmtId="0" fontId="6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3" fontId="4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0" fontId="7" fillId="0" borderId="0" xfId="0" applyFont="1"/>
    <xf numFmtId="0" fontId="4" fillId="0" borderId="1" xfId="0" applyFont="1" applyBorder="1"/>
    <xf numFmtId="164" fontId="4" fillId="0" borderId="0" xfId="0" applyNumberFormat="1" applyFont="1"/>
    <xf numFmtId="0" fontId="4" fillId="0" borderId="0" xfId="0" applyFont="1" applyAlignment="1">
      <alignment horizontal="center"/>
    </xf>
    <xf numFmtId="3" fontId="4" fillId="0" borderId="2" xfId="0" applyNumberFormat="1" applyFont="1" applyBorder="1"/>
    <xf numFmtId="3" fontId="8" fillId="0" borderId="0" xfId="0" applyNumberFormat="1" applyFont="1"/>
    <xf numFmtId="164" fontId="4" fillId="0" borderId="0" xfId="0" applyNumberFormat="1" applyFont="1" applyAlignment="1">
      <alignment horizontal="centerContinuous"/>
    </xf>
    <xf numFmtId="164" fontId="4" fillId="0" borderId="1" xfId="0" applyNumberFormat="1" applyFont="1" applyBorder="1"/>
    <xf numFmtId="3" fontId="9" fillId="0" borderId="0" xfId="0" applyNumberFormat="1" applyFont="1" applyAlignment="1">
      <alignment horizontal="right" wrapText="1"/>
    </xf>
    <xf numFmtId="3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wrapText="1"/>
    </xf>
    <xf numFmtId="3" fontId="9" fillId="0" borderId="2" xfId="0" applyNumberFormat="1" applyFont="1" applyBorder="1" applyAlignment="1">
      <alignment horizontal="right" wrapText="1"/>
    </xf>
    <xf numFmtId="3" fontId="11" fillId="0" borderId="0" xfId="0" applyNumberFormat="1" applyFont="1"/>
    <xf numFmtId="164" fontId="10" fillId="0" borderId="0" xfId="0" applyNumberFormat="1" applyFont="1" applyAlignment="1">
      <alignment wrapText="1"/>
    </xf>
    <xf numFmtId="3" fontId="12" fillId="0" borderId="0" xfId="0" applyNumberFormat="1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I-H-1.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chedule%20II-H%20WP/WP_II_H-1.3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"/>
      <sheetName val="GS SEC SMALL"/>
      <sheetName val="GS SEC LRG NONIDR"/>
      <sheetName val="GS SEC LRG IDR "/>
      <sheetName val="GS PRI SMALL"/>
      <sheetName val="GS PRI LRG NONIDR"/>
      <sheetName val="GS PRI LRG IDR "/>
      <sheetName val="GS PRI LRG SUB"/>
      <sheetName val="TRANSMISSION"/>
      <sheetName val="SL - UNMETERED"/>
      <sheetName val="SL - METERED NON CO"/>
      <sheetName val="SL - METERED CO OWNED"/>
      <sheetName val="OUTDOOR LIGHTING"/>
      <sheetName val="WHOLESALE-SUB"/>
      <sheetName val="WHOLESALE-DLS"/>
    </sheetNames>
    <sheetDataSet>
      <sheetData sheetId="0">
        <row r="16">
          <cell r="I16">
            <v>3884799069</v>
          </cell>
        </row>
        <row r="18">
          <cell r="I18">
            <v>4369476711</v>
          </cell>
        </row>
        <row r="20">
          <cell r="I20">
            <v>2864895715</v>
          </cell>
        </row>
        <row r="22">
          <cell r="I22">
            <v>2567719084</v>
          </cell>
        </row>
        <row r="24">
          <cell r="I24">
            <v>2847728240</v>
          </cell>
        </row>
        <row r="26">
          <cell r="I26">
            <v>4020165256</v>
          </cell>
        </row>
        <row r="28">
          <cell r="I28">
            <v>5330209277</v>
          </cell>
        </row>
        <row r="30">
          <cell r="I30">
            <v>5231402182</v>
          </cell>
        </row>
        <row r="32">
          <cell r="I32">
            <v>5412684327</v>
          </cell>
        </row>
        <row r="34">
          <cell r="I34">
            <v>4038580722</v>
          </cell>
        </row>
        <row r="36">
          <cell r="I36">
            <v>3171304865</v>
          </cell>
        </row>
        <row r="38">
          <cell r="I38">
            <v>2849753101</v>
          </cell>
        </row>
      </sheetData>
      <sheetData sheetId="1">
        <row r="16">
          <cell r="I16">
            <v>134257971</v>
          </cell>
        </row>
        <row r="18">
          <cell r="I18">
            <v>139887812</v>
          </cell>
        </row>
        <row r="20">
          <cell r="I20">
            <v>118473906</v>
          </cell>
        </row>
        <row r="22">
          <cell r="I22">
            <v>114874325</v>
          </cell>
        </row>
        <row r="24">
          <cell r="I24">
            <v>113825311</v>
          </cell>
        </row>
        <row r="26">
          <cell r="I26">
            <v>129555083</v>
          </cell>
        </row>
        <row r="28">
          <cell r="I28">
            <v>144881441</v>
          </cell>
        </row>
        <row r="30">
          <cell r="I30">
            <v>144120595</v>
          </cell>
        </row>
        <row r="32">
          <cell r="I32">
            <v>149046929</v>
          </cell>
        </row>
        <row r="34">
          <cell r="I34">
            <v>132861496</v>
          </cell>
        </row>
        <row r="36">
          <cell r="I36">
            <v>125569322</v>
          </cell>
        </row>
        <row r="38">
          <cell r="I38">
            <v>119744149</v>
          </cell>
        </row>
      </sheetData>
      <sheetData sheetId="2">
        <row r="16">
          <cell r="I16">
            <v>2084514076</v>
          </cell>
        </row>
        <row r="18">
          <cell r="I18">
            <v>2208290507</v>
          </cell>
        </row>
        <row r="20">
          <cell r="I20">
            <v>2004090589</v>
          </cell>
        </row>
        <row r="22">
          <cell r="I22">
            <v>1995516212</v>
          </cell>
        </row>
        <row r="24">
          <cell r="I24">
            <v>2122032481</v>
          </cell>
        </row>
        <row r="26">
          <cell r="I26">
            <v>2537541941</v>
          </cell>
        </row>
        <row r="28">
          <cell r="I28">
            <v>2919070528</v>
          </cell>
        </row>
        <row r="30">
          <cell r="I30">
            <v>2909968515</v>
          </cell>
        </row>
        <row r="32">
          <cell r="I32">
            <v>3003691540</v>
          </cell>
        </row>
        <row r="34">
          <cell r="I34">
            <v>2548274691</v>
          </cell>
        </row>
        <row r="36">
          <cell r="I36">
            <v>2277436942</v>
          </cell>
        </row>
        <row r="38">
          <cell r="I38">
            <v>1963848362</v>
          </cell>
        </row>
      </sheetData>
      <sheetData sheetId="3">
        <row r="16">
          <cell r="I16">
            <v>1492735008</v>
          </cell>
        </row>
        <row r="18">
          <cell r="I18">
            <v>1506024424</v>
          </cell>
        </row>
        <row r="20">
          <cell r="I20">
            <v>1491444468</v>
          </cell>
        </row>
        <row r="22">
          <cell r="I22">
            <v>1515063060</v>
          </cell>
        </row>
        <row r="24">
          <cell r="I24">
            <v>1513871427</v>
          </cell>
        </row>
        <row r="26">
          <cell r="I26">
            <v>1679481052</v>
          </cell>
        </row>
        <row r="28">
          <cell r="I28">
            <v>1798253867</v>
          </cell>
        </row>
        <row r="30">
          <cell r="I30">
            <v>1786784772</v>
          </cell>
        </row>
        <row r="32">
          <cell r="I32">
            <v>1839584015</v>
          </cell>
        </row>
        <row r="34">
          <cell r="I34">
            <v>1691268577</v>
          </cell>
        </row>
        <row r="36">
          <cell r="I36">
            <v>1606937303</v>
          </cell>
        </row>
        <row r="38">
          <cell r="I38">
            <v>1488553066</v>
          </cell>
        </row>
      </sheetData>
      <sheetData sheetId="4">
        <row r="16">
          <cell r="I16">
            <v>2586812</v>
          </cell>
        </row>
        <row r="18">
          <cell r="I18">
            <v>2004241</v>
          </cell>
        </row>
        <row r="20">
          <cell r="I20">
            <v>2043802</v>
          </cell>
        </row>
        <row r="22">
          <cell r="I22">
            <v>2059549</v>
          </cell>
        </row>
        <row r="24">
          <cell r="I24">
            <v>2290076</v>
          </cell>
        </row>
        <row r="26">
          <cell r="I26">
            <v>1956123</v>
          </cell>
        </row>
        <row r="28">
          <cell r="I28">
            <v>1963848</v>
          </cell>
        </row>
        <row r="30">
          <cell r="I30">
            <v>1933746</v>
          </cell>
        </row>
        <row r="32">
          <cell r="I32">
            <v>1949482</v>
          </cell>
        </row>
        <row r="34">
          <cell r="I34">
            <v>1953320</v>
          </cell>
        </row>
        <row r="36">
          <cell r="I36">
            <v>2000188</v>
          </cell>
        </row>
        <row r="38">
          <cell r="I38">
            <v>2258595</v>
          </cell>
        </row>
      </sheetData>
      <sheetData sheetId="5">
        <row r="16">
          <cell r="I16">
            <v>159511720</v>
          </cell>
        </row>
        <row r="18">
          <cell r="I18">
            <v>141685660</v>
          </cell>
        </row>
        <row r="20">
          <cell r="I20">
            <v>54954202</v>
          </cell>
        </row>
        <row r="22">
          <cell r="I22">
            <v>147642591</v>
          </cell>
        </row>
        <row r="24">
          <cell r="I24">
            <v>122442100</v>
          </cell>
        </row>
        <row r="26">
          <cell r="I26">
            <v>148161541</v>
          </cell>
        </row>
        <row r="28">
          <cell r="I28">
            <v>172983745</v>
          </cell>
        </row>
        <row r="30">
          <cell r="I30">
            <v>183402195</v>
          </cell>
        </row>
        <row r="32">
          <cell r="I32">
            <v>177189770</v>
          </cell>
        </row>
        <row r="34">
          <cell r="I34">
            <v>151490414</v>
          </cell>
        </row>
        <row r="36">
          <cell r="I36">
            <v>94001743</v>
          </cell>
        </row>
        <row r="38">
          <cell r="I38">
            <v>132222507</v>
          </cell>
        </row>
      </sheetData>
      <sheetData sheetId="6">
        <row r="16">
          <cell r="I16">
            <v>1672071164</v>
          </cell>
        </row>
        <row r="18">
          <cell r="I18">
            <v>1636791716</v>
          </cell>
        </row>
        <row r="20">
          <cell r="I20">
            <v>1374492571</v>
          </cell>
        </row>
        <row r="22">
          <cell r="I22">
            <v>1666181567</v>
          </cell>
        </row>
        <row r="24">
          <cell r="I24">
            <v>1451344173</v>
          </cell>
        </row>
        <row r="26">
          <cell r="I26">
            <v>1676588618</v>
          </cell>
        </row>
        <row r="28">
          <cell r="I28">
            <v>1744008824</v>
          </cell>
        </row>
        <row r="30">
          <cell r="I30">
            <v>1710780737</v>
          </cell>
        </row>
        <row r="32">
          <cell r="I32">
            <v>1757195180</v>
          </cell>
        </row>
        <row r="34">
          <cell r="I34">
            <v>1745079579</v>
          </cell>
        </row>
        <row r="36">
          <cell r="I36">
            <v>1721593632</v>
          </cell>
        </row>
        <row r="38">
          <cell r="I38">
            <v>1720853256</v>
          </cell>
        </row>
      </sheetData>
      <sheetData sheetId="7">
        <row r="16">
          <cell r="I16">
            <v>760814668</v>
          </cell>
        </row>
        <row r="18">
          <cell r="I18">
            <v>691893196</v>
          </cell>
        </row>
        <row r="20">
          <cell r="I20">
            <v>1187200324</v>
          </cell>
        </row>
        <row r="22">
          <cell r="I22">
            <v>807261095</v>
          </cell>
        </row>
        <row r="24">
          <cell r="I24">
            <v>913646439</v>
          </cell>
        </row>
        <row r="26">
          <cell r="I26">
            <v>802188948</v>
          </cell>
        </row>
        <row r="28">
          <cell r="I28">
            <v>786710375</v>
          </cell>
        </row>
        <row r="30">
          <cell r="I30">
            <v>794028205</v>
          </cell>
        </row>
        <row r="32">
          <cell r="I32">
            <v>776793725</v>
          </cell>
        </row>
        <row r="34">
          <cell r="I34">
            <v>773526054</v>
          </cell>
        </row>
        <row r="36">
          <cell r="I36">
            <v>844685688</v>
          </cell>
        </row>
        <row r="38">
          <cell r="I38">
            <v>845074840</v>
          </cell>
        </row>
      </sheetData>
      <sheetData sheetId="8">
        <row r="16">
          <cell r="I16">
            <v>2705572549</v>
          </cell>
        </row>
        <row r="18">
          <cell r="I18">
            <v>2569752323</v>
          </cell>
        </row>
        <row r="20">
          <cell r="I20">
            <v>2664130914</v>
          </cell>
        </row>
        <row r="22">
          <cell r="I22">
            <v>2783303939</v>
          </cell>
        </row>
        <row r="24">
          <cell r="I24">
            <v>2744259450</v>
          </cell>
        </row>
        <row r="26">
          <cell r="I26">
            <v>2918352748</v>
          </cell>
        </row>
        <row r="28">
          <cell r="I28">
            <v>2701328790</v>
          </cell>
        </row>
        <row r="30">
          <cell r="I30">
            <v>2943692508</v>
          </cell>
        </row>
        <row r="32">
          <cell r="I32">
            <v>2796351486</v>
          </cell>
        </row>
        <row r="34">
          <cell r="I34">
            <v>3072970312</v>
          </cell>
        </row>
        <row r="36">
          <cell r="I36">
            <v>3049431235</v>
          </cell>
        </row>
        <row r="38">
          <cell r="I38">
            <v>3190347604</v>
          </cell>
        </row>
      </sheetData>
      <sheetData sheetId="9">
        <row r="16">
          <cell r="I16">
            <v>22524641</v>
          </cell>
        </row>
        <row r="18">
          <cell r="I18">
            <v>22448557</v>
          </cell>
        </row>
        <row r="20">
          <cell r="I20">
            <v>22376763</v>
          </cell>
        </row>
        <row r="22">
          <cell r="I22">
            <v>22295054</v>
          </cell>
        </row>
        <row r="24">
          <cell r="I24">
            <v>22244716</v>
          </cell>
        </row>
        <row r="26">
          <cell r="I26">
            <v>22189240</v>
          </cell>
        </row>
        <row r="28">
          <cell r="I28">
            <v>22131871</v>
          </cell>
        </row>
        <row r="30">
          <cell r="I30">
            <v>22082248</v>
          </cell>
        </row>
        <row r="32">
          <cell r="I32">
            <v>22019011</v>
          </cell>
        </row>
        <row r="34">
          <cell r="I34">
            <v>21980454</v>
          </cell>
        </row>
        <row r="36">
          <cell r="I36">
            <v>21896996</v>
          </cell>
        </row>
        <row r="38">
          <cell r="I38">
            <v>21850188</v>
          </cell>
        </row>
      </sheetData>
      <sheetData sheetId="10">
        <row r="16">
          <cell r="I16">
            <v>874420</v>
          </cell>
        </row>
        <row r="18">
          <cell r="I18">
            <v>816464</v>
          </cell>
        </row>
        <row r="20">
          <cell r="I20">
            <v>795115</v>
          </cell>
        </row>
        <row r="22">
          <cell r="I22">
            <v>773208</v>
          </cell>
        </row>
        <row r="24">
          <cell r="I24">
            <v>705337</v>
          </cell>
        </row>
        <row r="26">
          <cell r="I26">
            <v>671188</v>
          </cell>
        </row>
        <row r="28">
          <cell r="I28">
            <v>633393</v>
          </cell>
        </row>
        <row r="30">
          <cell r="I30">
            <v>623273</v>
          </cell>
        </row>
        <row r="32">
          <cell r="I32">
            <v>677262</v>
          </cell>
        </row>
        <row r="34">
          <cell r="I34">
            <v>711659</v>
          </cell>
        </row>
        <row r="36">
          <cell r="I36">
            <v>776899</v>
          </cell>
        </row>
        <row r="38">
          <cell r="I38">
            <v>811382</v>
          </cell>
        </row>
      </sheetData>
      <sheetData sheetId="11">
        <row r="16">
          <cell r="I16">
            <v>21865</v>
          </cell>
        </row>
        <row r="18">
          <cell r="I18">
            <v>22384</v>
          </cell>
        </row>
        <row r="20">
          <cell r="I20">
            <v>21494</v>
          </cell>
        </row>
        <row r="22">
          <cell r="I22">
            <v>20046</v>
          </cell>
        </row>
        <row r="24">
          <cell r="I24">
            <v>16507</v>
          </cell>
        </row>
        <row r="26">
          <cell r="I26">
            <v>15685</v>
          </cell>
        </row>
        <row r="28">
          <cell r="I28">
            <v>15025</v>
          </cell>
        </row>
        <row r="30">
          <cell r="I30">
            <v>14293</v>
          </cell>
        </row>
        <row r="32">
          <cell r="I32">
            <v>15622</v>
          </cell>
        </row>
        <row r="34">
          <cell r="I34">
            <v>16298</v>
          </cell>
        </row>
        <row r="36">
          <cell r="I36">
            <v>17258</v>
          </cell>
        </row>
        <row r="38">
          <cell r="I38">
            <v>18882</v>
          </cell>
        </row>
      </sheetData>
      <sheetData sheetId="12">
        <row r="16">
          <cell r="I16">
            <v>6915951</v>
          </cell>
        </row>
        <row r="18">
          <cell r="I18">
            <v>6841248</v>
          </cell>
        </row>
        <row r="20">
          <cell r="I20">
            <v>6842856</v>
          </cell>
        </row>
        <row r="22">
          <cell r="I22">
            <v>6821359</v>
          </cell>
        </row>
        <row r="24">
          <cell r="I24">
            <v>6786559</v>
          </cell>
        </row>
        <row r="26">
          <cell r="I26">
            <v>6540167</v>
          </cell>
        </row>
        <row r="28">
          <cell r="I28">
            <v>6740883</v>
          </cell>
        </row>
        <row r="30">
          <cell r="I30">
            <v>6725588</v>
          </cell>
        </row>
        <row r="32">
          <cell r="I32">
            <v>6719441</v>
          </cell>
        </row>
        <row r="34">
          <cell r="I34">
            <v>6678202</v>
          </cell>
        </row>
        <row r="36">
          <cell r="I36">
            <v>6623695</v>
          </cell>
        </row>
        <row r="38">
          <cell r="I38">
            <v>6634331</v>
          </cell>
        </row>
      </sheetData>
      <sheetData sheetId="13">
        <row r="16">
          <cell r="I16">
            <v>36339565</v>
          </cell>
        </row>
        <row r="18">
          <cell r="I18">
            <v>22359027.5</v>
          </cell>
        </row>
        <row r="20">
          <cell r="I20">
            <v>20552941.75</v>
          </cell>
        </row>
        <row r="22">
          <cell r="I22">
            <v>20089668</v>
          </cell>
        </row>
        <row r="24">
          <cell r="I24">
            <v>25995893.5</v>
          </cell>
        </row>
        <row r="26">
          <cell r="I26">
            <v>32703043.5</v>
          </cell>
        </row>
        <row r="28">
          <cell r="I28">
            <v>35382686</v>
          </cell>
        </row>
        <row r="30">
          <cell r="I30">
            <v>39417448</v>
          </cell>
        </row>
        <row r="32">
          <cell r="I32">
            <v>27546855</v>
          </cell>
        </row>
        <row r="34">
          <cell r="I34">
            <v>24677485.75</v>
          </cell>
        </row>
        <row r="36">
          <cell r="I36">
            <v>20300966.75</v>
          </cell>
        </row>
        <row r="38">
          <cell r="I38">
            <v>23749829.5</v>
          </cell>
        </row>
      </sheetData>
      <sheetData sheetId="14">
        <row r="16">
          <cell r="I16">
            <v>45843587</v>
          </cell>
        </row>
        <row r="18">
          <cell r="I18">
            <v>28558507.5</v>
          </cell>
        </row>
        <row r="20">
          <cell r="I20">
            <v>26790089.75</v>
          </cell>
        </row>
        <row r="22">
          <cell r="I22">
            <v>25916910</v>
          </cell>
        </row>
        <row r="24">
          <cell r="I24">
            <v>31805182.75</v>
          </cell>
        </row>
        <row r="26">
          <cell r="I26">
            <v>38356852.25</v>
          </cell>
        </row>
        <row r="28">
          <cell r="I28">
            <v>41904778.5</v>
          </cell>
        </row>
        <row r="30">
          <cell r="I30">
            <v>46935388</v>
          </cell>
        </row>
        <row r="32">
          <cell r="I32">
            <v>34143566.5</v>
          </cell>
        </row>
        <row r="34">
          <cell r="I34">
            <v>30337530</v>
          </cell>
        </row>
        <row r="36">
          <cell r="I36">
            <v>25894731.5</v>
          </cell>
        </row>
        <row r="38">
          <cell r="I38">
            <v>30214690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gy Loss Factor"/>
      <sheetName val="Demand Loss Factor"/>
      <sheetName val="2024 Stats"/>
    </sheetNames>
    <sheetDataSet>
      <sheetData sheetId="0">
        <row r="53">
          <cell r="G53">
            <v>1.00413</v>
          </cell>
        </row>
        <row r="54">
          <cell r="G54">
            <v>1.0120927508999999</v>
          </cell>
        </row>
        <row r="55">
          <cell r="G55">
            <v>1.0349774967895433</v>
          </cell>
        </row>
      </sheetData>
      <sheetData sheetId="1">
        <row r="53">
          <cell r="G53">
            <v>1.0021</v>
          </cell>
        </row>
        <row r="54">
          <cell r="G54">
            <v>1.016700597</v>
          </cell>
        </row>
        <row r="55">
          <cell r="G55">
            <v>1.0370963470460877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:Z41"/>
  <x:sheetViews>
    <x:sheetView tabSelected="1" zoomScale="75" zoomScaleNormal="75" workbookViewId="0">
      <x:selection activeCell="AG19" sqref="AG19"/>
    </x:sheetView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1.28515625" style="5" customWidth="1"/>
    <x:col min="7" max="7" width="4.140625" style="4" customWidth="1"/>
    <x:col min="8" max="8" width="14.85546875" style="5" customWidth="1"/>
    <x:col min="9" max="9" width="2.7109375" style="4" customWidth="1"/>
    <x:col min="10" max="10" width="14.7109375" style="5" customWidth="1"/>
    <x:col min="11" max="11" width="3.7109375" style="4" customWidth="1"/>
    <x:col min="12" max="12" width="15" style="5" customWidth="1"/>
    <x:col min="13" max="13" width="2.7109375" style="5" customWidth="1"/>
    <x:col min="14" max="14" width="14.5703125" style="5" customWidth="1"/>
    <x:col min="15" max="15" width="3.7109375" style="4" customWidth="1"/>
    <x:col min="16" max="16" width="15" style="5" customWidth="1"/>
    <x:col min="17" max="17" width="2.7109375" style="5" customWidth="1"/>
    <x:col min="18" max="18" width="15" style="5" customWidth="1"/>
    <x:col min="19" max="19" width="5.7109375" style="4" customWidth="1"/>
    <x:col min="20" max="20" width="20.42578125" style="5" customWidth="1"/>
    <x:col min="21" max="21" width="2.7109375" style="5" customWidth="1"/>
    <x:col min="22" max="22" width="20.28515625" style="5" customWidth="1"/>
    <x:col min="23" max="23" width="3.140625" style="4" customWidth="1"/>
    <x:col min="24" max="24" width="9.7109375" style="4" customWidth="1"/>
    <x:col min="25" max="25" width="1.7109375" style="4" customWidth="1"/>
    <x:col min="26" max="26" width="9.4257812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93</x:v>
      </x:c>
    </x:row>
    <x:row r="7" spans="1:26" ht="18.75" customHeight="1" x14ac:dyDescent="0.25">
      <x:c r="A7" s="24" t="s">
        <x:v>105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0</x:v>
      </x:c>
      <x:c r="J14" s="42"/>
    </x:row>
    <x:row r="15" spans="1:26" ht="18.75" customHeight="1" x14ac:dyDescent="0.25">
      <x:c r="A15" s="4" t="s">
        <x:v>1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Factor'!$G$55</x:f>
        <x:v>38571560.465119377</x:v>
      </x:c>
      <x:c r="E22" s="5"/>
      <x:c r="F22" s="5">
        <x:v>37191877.663999997</x:v>
      </x:c>
      <x:c r="G22" s="5"/>
      <x:c r="H22" s="5">
        <x:f>J22*'[2]Demand Loss Factor'!$G$55</x:f>
        <x:v>14971612.595533267</x:v>
      </x:c>
      <x:c r="I22" s="5"/>
      <x:c r="J22" s="5">
        <x:v>14436086.52</x:v>
      </x:c>
      <x:c r="K22" s="5"/>
      <x:c r="L22" s="5">
        <x:f>N22*'[2]Demand Loss Factor'!$G$55</x:f>
        <x:v>14747112.930062156</x:v>
      </x:c>
      <x:c r="N22" s="5">
        <x:v>14219617.08</x:v>
      </x:c>
      <x:c r="O22" s="5"/>
      <x:c r="P22" s="5">
        <x:f>R22*'[2]Demand Loss Factor'!$G$55</x:f>
        <x:v>14940174.450965526</x:v>
      </x:c>
      <x:c r="R22" s="5">
        <x:v>14405772.9</x:v>
      </x:c>
      <x:c r="S22" s="5"/>
      <x:c r="T22" s="5">
        <x:f>V22*'[2]Energy Loss Factor'!$G$55</x:f>
        <x:v>4020679615.9639683</x:v>
      </x:c>
      <x:c r="V22" s="36">
        <x:f>[1]RES!I16</x:f>
        <x:v>3884799069</x:v>
      </x:c>
      <x:c r="X22" s="30">
        <x:f>N22/J22</x:f>
        <x:v>0.98500497765096529</x:v>
      </x:c>
      <x:c r="Y22" s="30"/>
      <x:c r="Z22" s="38">
        <x:v>0.46295700000000001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Factor'!$G$55</x:f>
        <x:v>33885127.691688262</x:v>
      </x:c>
      <x:c r="E23" s="5"/>
      <x:c r="F23" s="5">
        <x:v>32673075.927999999</x:v>
      </x:c>
      <x:c r="G23" s="5"/>
      <x:c r="H23" s="5">
        <x:f>J23*'[2]Demand Loss Factor'!$G$55</x:f>
        <x:v>8692064.8445788268</x:v>
      </x:c>
      <x:c r="I23" s="5"/>
      <x:c r="J23" s="5">
        <x:v>8381154.6239999998</x:v>
      </x:c>
      <x:c r="K23" s="5"/>
      <x:c r="L23" s="5">
        <x:f>N23*'[2]Demand Loss Factor'!$G$55</x:f>
        <x:v>7941475.5686713969</x:v>
      </x:c>
      <x:c r="N23" s="5">
        <x:v>7657413.5</x:v>
      </x:c>
      <x:c r="O23" s="5"/>
      <x:c r="P23" s="5">
        <x:f>R23*'[2]Demand Loss Factor'!$G$55</x:f>
        <x:v>7941475.5686713969</x:v>
      </x:c>
      <x:c r="R23" s="5">
        <x:v>7657413.5</x:v>
      </x:c>
      <x:c r="S23" s="5"/>
      <x:c r="T23" s="5">
        <x:f>V23*'[2]Energy Loss Factor'!$G$55</x:f>
        <x:v>4522310068.6309872</x:v>
      </x:c>
      <x:c r="V23" s="36">
        <x:f>[1]RES!I18</x:f>
        <x:v>4369476711</x:v>
      </x:c>
      <x:c r="X23" s="30">
        <x:f t="shared" ref="X23:X33" si="0">N23/J23</x:f>
        <x:v>0.91364660879450688</x:v>
      </x:c>
      <x:c r="Y23" s="30"/>
      <x:c r="Z23" s="38">
        <x:v>0.48046680000000003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Factor'!$G$55</x:f>
        <x:v>31797668.975524459</x:v>
      </x:c>
      <x:c r="E24" s="5"/>
      <x:c r="F24" s="5">
        <x:v>30660284.423999999</x:v>
      </x:c>
      <x:c r="G24" s="5"/>
      <x:c r="H24" s="5">
        <x:f>J24*'[2]Demand Loss Factor'!$G$55</x:f>
        <x:v>6017253.6852625608</x:v>
      </x:c>
      <x:c r="I24" s="5"/>
      <x:c r="J24" s="5">
        <x:v>5802019.9400000004</x:v>
      </x:c>
      <x:c r="K24" s="5"/>
      <x:c r="L24" s="5">
        <x:f>N24*'[2]Demand Loss Factor'!$G$55</x:f>
        <x:v>6017253.7474883413</x:v>
      </x:c>
      <x:c r="N24" s="5">
        <x:v>5802020</x:v>
      </x:c>
      <x:c r="O24" s="5"/>
      <x:c r="P24" s="5">
        <x:f>R24*'[2]Demand Loss Factor'!$G$55</x:f>
        <x:v>4976761.9470020253</x:v>
      </x:c>
      <x:c r="R24" s="5">
        <x:v>4798746</x:v>
      </x:c>
      <x:c r="S24" s="5"/>
      <x:c r="T24" s="5">
        <x:f>V24*'[2]Energy Loss Factor'!$G$55</x:f>
        <x:v>2965102595.673789</x:v>
      </x:c>
      <x:c r="V24" s="36">
        <x:f>[1]RES!I20</x:f>
        <x:v>2864895715</x:v>
      </x:c>
      <x:c r="X24" s="30">
        <x:f t="shared" si="0"/>
        <x:v>1.0000000103412261</x:v>
      </x:c>
      <x:c r="Y24" s="30"/>
      <x:c r="Z24" s="38">
        <x:v>0.59495229000000005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Factor'!$G$55</x:f>
        <x:v>30229246.262263428</x:v>
      </x:c>
      <x:c r="E25" s="5"/>
      <x:c r="F25" s="5">
        <x:v>29147963.300000001</x:v>
      </x:c>
      <x:c r="G25" s="5"/>
      <x:c r="H25" s="5">
        <x:f>J25*'[2]Demand Loss Factor'!$G$55</x:f>
        <x:v>7530706.4839123655</x:v>
      </x:c>
      <x:c r="I25" s="5"/>
      <x:c r="J25" s="5">
        <x:v>7261337.392</x:v>
      </x:c>
      <x:c r="K25" s="5"/>
      <x:c r="L25" s="5">
        <x:f>N25*'[2]Demand Loss Factor'!$G$55</x:f>
        <x:v>6986566.8047748217</x:v>
      </x:c>
      <x:c r="N25" s="5">
        <x:v>6736661.2800000003</x:v>
      </x:c>
      <x:c r="O25" s="5"/>
      <x:c r="P25" s="5">
        <x:f>R25*'[2]Demand Loss Factor'!$G$55</x:f>
        <x:v>6986566.8047748217</x:v>
      </x:c>
      <x:c r="R25" s="5">
        <x:v>6736661.2800000003</x:v>
      </x:c>
      <x:c r="S25" s="5"/>
      <x:c r="T25" s="5">
        <x:f>V25*'[2]Energy Loss Factor'!$G$55</x:f>
        <x:v>2657531470.0170593</x:v>
      </x:c>
      <x:c r="V25" s="36">
        <x:f>[1]RES!I22</x:f>
        <x:v>2567719084</x:v>
      </x:c>
      <x:c r="X25" s="30">
        <x:f t="shared" si="0"/>
        <x:v>0.92774387365913491</x:v>
      </x:c>
      <x:c r="Y25" s="30"/>
      <x:c r="Z25" s="38">
        <x:v>0.51174580000000003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Factor'!$G$55</x:f>
        <x:v>30432693.025379762</x:v>
      </x:c>
      <x:c r="E26" s="5"/>
      <x:c r="F26" s="5">
        <x:v>29344132.888</x:v>
      </x:c>
      <x:c r="G26" s="5"/>
      <x:c r="H26" s="5">
        <x:f>J26*'[2]Demand Loss Factor'!$G$55</x:f>
        <x:v>11336948.7655857</x:v>
      </x:c>
      <x:c r="I26" s="5"/>
      <x:c r="J26" s="5">
        <x:v>10931432.550000001</x:v>
      </x:c>
      <x:c r="K26" s="5"/>
      <x:c r="L26" s="5">
        <x:f>N26*'[2]Demand Loss Factor'!$G$55</x:f>
        <x:v>11268698.75135703</x:v>
      </x:c>
      <x:c r="N26" s="5">
        <x:v>10865623.800000001</x:v>
      </x:c>
      <x:c r="O26" s="5"/>
      <x:c r="P26" s="5">
        <x:f>R26*'[2]Demand Loss Factor'!$G$55</x:f>
        <x:v>11336948.7655857</x:v>
      </x:c>
      <x:c r="R26" s="5">
        <x:v>10931432.550000001</x:v>
      </x:c>
      <x:c r="S26" s="5"/>
      <x:c r="T26" s="5">
        <x:f>V26*'[2]Energy Loss Factor'!$G$55</x:f>
        <x:v>2947334645.3720918</x:v>
      </x:c>
      <x:c r="V26" s="36">
        <x:f>[1]RES!I24</x:f>
        <x:v>2847728240</x:v>
      </x:c>
      <x:c r="X26" s="30">
        <x:f t="shared" si="0"/>
        <x:v>0.99397986039807751</x:v>
      </x:c>
      <x:c r="Y26" s="30"/>
      <x:c r="Z26" s="38">
        <x:v>0.45782400000000001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Factor'!$G$55</x:f>
        <x:v>31624579.080324437</x:v>
      </x:c>
      <x:c r="E27" s="5"/>
      <x:c r="F27" s="5">
        <x:v>30493385.855999999</x:v>
      </x:c>
      <x:c r="G27" s="5"/>
      <x:c r="H27" s="5">
        <x:f>J27*'[2]Demand Loss Factor'!$G$55</x:f>
        <x:v>12880925.910766708</x:v>
      </x:c>
      <x:c r="I27" s="5"/>
      <x:c r="J27" s="5">
        <x:v>12420182.51</x:v>
      </x:c>
      <x:c r="K27" s="5"/>
      <x:c r="L27" s="5">
        <x:f>N27*'[2]Demand Loss Factor'!$G$55</x:f>
        <x:v>11169460.702746198</x:v>
      </x:c>
      <x:c r="N27" s="5">
        <x:v>10769935.439999999</x:v>
      </x:c>
      <x:c r="O27" s="5"/>
      <x:c r="P27" s="5">
        <x:f>R27*'[2]Demand Loss Factor'!$G$55</x:f>
        <x:v>12880925.910766708</x:v>
      </x:c>
      <x:c r="R27" s="5">
        <x:v>12420182.51</x:v>
      </x:c>
      <x:c r="S27" s="5"/>
      <x:c r="T27" s="5">
        <x:f>V27*'[2]Energy Loss Factor'!$G$55</x:f>
        <x:v>4160780573.3351736</x:v>
      </x:c>
      <x:c r="V27" s="36">
        <x:f>[1]RES!I26</x:f>
        <x:v>4020165256</x:v>
      </x:c>
      <x:c r="X27" s="30">
        <x:f t="shared" si="0"/>
        <x:v>0.86713181801706063</x:v>
      </x:c>
      <x:c r="Y27" s="30"/>
      <x:c r="Z27" s="38">
        <x:v>0.56086499999999995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Factor'!$G$55</x:f>
        <x:v>31414930.447865684</x:v>
      </x:c>
      <x:c r="E28" s="5"/>
      <x:c r="F28" s="5">
        <x:v>30291236.236000001</x:v>
      </x:c>
      <x:c r="G28" s="5"/>
      <x:c r="H28" s="5">
        <x:f>J28*'[2]Demand Loss Factor'!$G$55</x:f>
        <x:v>12816158.071974808</x:v>
      </x:c>
      <x:c r="I28" s="5"/>
      <x:c r="J28" s="5">
        <x:v>12357731.380000001</x:v>
      </x:c>
      <x:c r="K28" s="5"/>
      <x:c r="L28" s="5">
        <x:f>N28*'[2]Demand Loss Factor'!$G$55</x:f>
        <x:v>12235684.792601936</x:v>
      </x:c>
      <x:c r="N28" s="5">
        <x:v>11798021.300000001</x:v>
      </x:c>
      <x:c r="O28" s="5"/>
      <x:c r="P28" s="5">
        <x:f>R28*'[2]Demand Loss Factor'!$G$55</x:f>
        <x:v>12441296.931997389</x:v>
      </x:c>
      <x:c r="R28" s="5">
        <x:v>11996278.810000001</x:v>
      </x:c>
      <x:c r="S28" s="5"/>
      <x:c r="T28" s="5">
        <x:f>V28*'[2]Energy Loss Factor'!$G$55</x:f>
        <x:v>5516646654.8738613</x:v>
      </x:c>
      <x:c r="V28" s="36">
        <x:f>[1]RES!I28</x:f>
        <x:v>5330209277</x:v>
      </x:c>
      <x:c r="X28" s="30">
        <x:f t="shared" si="0"/>
        <x:v>0.95470769975581071</x:v>
      </x:c>
      <x:c r="Y28" s="30"/>
      <x:c r="Z28" s="38">
        <x:v>0.57697960000000004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Factor'!$G$55</x:f>
        <x:v>32153152.748079583</x:v>
      </x:c>
      <x:c r="E29" s="5"/>
      <x:c r="F29" s="5">
        <x:v>31003052.743999999</x:v>
      </x:c>
      <x:c r="G29" s="5"/>
      <x:c r="H29" s="5">
        <x:f>J29*'[2]Demand Loss Factor'!$G$55</x:f>
        <x:v>14267884.190344671</x:v>
      </x:c>
      <x:c r="I29" s="5"/>
      <x:c r="J29" s="5">
        <x:v>13757530.08</x:v>
      </x:c>
      <x:c r="K29" s="5"/>
      <x:c r="L29" s="5">
        <x:f>N29*'[2]Demand Loss Factor'!$G$55</x:f>
        <x:v>12378740.918955797</x:v>
      </x:c>
      <x:c r="N29" s="5">
        <x:v>11935960.390000001</x:v>
      </x:c>
      <x:c r="O29" s="5"/>
      <x:c r="P29" s="5">
        <x:f>R29*'[2]Demand Loss Factor'!$G$55</x:f>
        <x:v>13245419.976384969</x:v>
      </x:c>
      <x:c r="R29" s="5">
        <x:v>12771638.83</x:v>
      </x:c>
      <x:c r="S29" s="5"/>
      <x:c r="T29" s="5">
        <x:f>V29*'[2]Energy Loss Factor'!$G$55</x:f>
        <x:v>5414383535.0257149</x:v>
      </x:c>
      <x:c r="V29" s="36">
        <x:f>[1]RES!I30</x:f>
        <x:v>5231402182</x:v>
      </x:c>
      <x:c r="X29" s="30">
        <x:f t="shared" si="0"/>
        <x:v>0.86759471508275277</x:v>
      </x:c>
      <x:c r="Y29" s="30"/>
      <x:c r="Z29" s="38">
        <x:v>0.58881899999999998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Factor'!$G$55</x:f>
        <x:v>30234546.471744951</x:v>
      </x:c>
      <x:c r="E30" s="5"/>
      <x:c r="F30" s="5">
        <x:v>29153073.923999999</x:v>
      </x:c>
      <x:c r="G30" s="5"/>
      <x:c r="H30" s="5">
        <x:f>J30*'[2]Demand Loss Factor'!$G$55</x:f>
        <x:v>11801419.157591362</x:v>
      </x:c>
      <x:c r="I30" s="5"/>
      <x:c r="J30" s="5">
        <x:v>11379289.1</x:v>
      </x:c>
      <x:c r="K30" s="5"/>
      <x:c r="L30" s="5">
        <x:f>N30*'[2]Demand Loss Factor'!$G$55</x:f>
        <x:v>10351816.483621115</x:v>
      </x:c>
      <x:c r="N30" s="5">
        <x:v>9981537.8900000006</x:v>
      </x:c>
      <x:c r="O30" s="5"/>
      <x:c r="P30" s="5">
        <x:f>R30*'[2]Demand Loss Factor'!$G$55</x:f>
        <x:v>11305885.452528091</x:v>
      </x:c>
      <x:c r="R30" s="5">
        <x:v>10901480.354</x:v>
      </x:c>
      <x:c r="S30" s="5"/>
      <x:c r="T30" s="5">
        <x:f>V30*'[2]Energy Loss Factor'!$G$55</x:f>
        <x:v>5602006475.670454</x:v>
      </x:c>
      <x:c r="V30" s="36">
        <x:f>[1]RES!I32</x:f>
        <x:v>5412684327</x:v>
      </x:c>
      <x:c r="X30" s="30">
        <x:f t="shared" si="0"/>
        <x:v>0.87716708858376757</x:v>
      </x:c>
      <x:c r="Y30" s="30"/>
      <x:c r="Z30" s="38">
        <x:v>0.49796869999999999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Factor'!$G$55</x:f>
        <x:v>29854723.972775478</x:v>
      </x:c>
      <x:c r="E31" s="5"/>
      <x:c r="F31" s="5">
        <x:v>28786837.460000001</x:v>
      </x:c>
      <x:c r="G31" s="5"/>
      <x:c r="H31" s="5">
        <x:f>J31*'[2]Demand Loss Factor'!$G$55</x:f>
        <x:v>9963975.0872479174</x:v>
      </x:c>
      <x:c r="I31" s="5"/>
      <x:c r="J31" s="5">
        <x:v>9607569.3599999994</x:v>
      </x:c>
      <x:c r="K31" s="5"/>
      <x:c r="L31" s="5">
        <x:f>N31*'[2]Demand Loss Factor'!$G$55</x:f>
        <x:v>9365459.6294028275</x:v>
      </x:c>
      <x:c r="N31" s="5">
        <x:v>9030462.4600000009</x:v>
      </x:c>
      <x:c r="O31" s="5"/>
      <x:c r="P31" s="5">
        <x:f>R31*'[2]Demand Loss Factor'!$G$55</x:f>
        <x:v>9365459.6294028275</x:v>
      </x:c>
      <x:c r="R31" s="5">
        <x:v>9030462.4600000009</x:v>
      </x:c>
      <x:c r="S31" s="5"/>
      <x:c r="T31" s="5">
        <x:f>V31*'[2]Energy Loss Factor'!$G$55</x:f>
        <x:v>4179840166.2380667</x:v>
      </x:c>
      <x:c r="V31" s="36">
        <x:f>[1]RES!I34</x:f>
        <x:v>4038580722</x:v>
      </x:c>
      <x:c r="X31" s="30">
        <x:f t="shared" si="0"/>
        <x:v>0.93993205998566964</x:v>
      </x:c>
      <x:c r="Y31" s="30"/>
      <x:c r="Z31" s="38">
        <x:v>0.48607440000000002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Factor'!$G$55</x:f>
        <x:v>32029230.649009533</x:v>
      </x:c>
      <x:c r="E32" s="5"/>
      <x:c r="F32" s="5">
        <x:v>30883563.267999999</x:v>
      </x:c>
      <x:c r="G32" s="5"/>
      <x:c r="H32" s="5">
        <x:f>J32*'[2]Demand Loss Factor'!$G$55</x:f>
        <x:v>6291220.7204402601</x:v>
      </x:c>
      <x:c r="I32" s="5"/>
      <x:c r="J32" s="5">
        <x:v>6066187.3300000001</x:v>
      </x:c>
      <x:c r="K32" s="5"/>
      <x:c r="L32" s="5">
        <x:f>N32*'[2]Demand Loss Factor'!$G$55</x:f>
        <x:v>4866448.9850332486</x:v>
      </x:c>
      <x:c r="N32" s="5">
        <x:v>4692378.87</x:v>
      </x:c>
      <x:c r="O32" s="5"/>
      <x:c r="P32" s="5">
        <x:f>R32*'[2]Demand Loss Factor'!$G$55</x:f>
        <x:v>4801936.1682330864</x:v>
      </x:c>
      <x:c r="R32" s="5">
        <x:v>4630173.6399999997</x:v>
      </x:c>
      <x:c r="S32" s="5"/>
      <x:c r="T32" s="5">
        <x:f>V32*'[2]Energy Loss Factor'!$G$55</x:f>
        <x:v>3282229170.7342005</x:v>
      </x:c>
      <x:c r="V32" s="36">
        <x:f>[1]RES!I36</x:f>
        <x:v>3171304865</x:v>
      </x:c>
      <x:c r="X32" s="30">
        <x:f t="shared" si="0"/>
        <x:v>0.77353016231366534</x:v>
      </x:c>
      <x:c r="Y32" s="30"/>
      <x:c r="Z32" s="38">
        <x:v>0.59440999999999999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Factor'!$G$55</x:f>
        <x:v>34024398.406004444</x:v>
      </x:c>
      <x:c r="E33" s="5"/>
      <x:c r="F33" s="5">
        <x:v>32807365.008000001</x:v>
      </x:c>
      <x:c r="G33" s="5"/>
      <x:c r="H33" s="5">
        <x:f>J33*'[2]Demand Loss Factor'!$G$55</x:f>
        <x:v>8114560.8197539775</x:v>
      </x:c>
      <x:c r="I33" s="5"/>
      <x:c r="J33" s="5">
        <x:v>7824307.5899999999</x:v>
      </x:c>
      <x:c r="K33" s="5"/>
      <x:c r="L33" s="5">
        <x:f>N33*'[2]Demand Loss Factor'!$G$55</x:f>
        <x:v>8085745.2740576807</x:v>
      </x:c>
      <x:c r="N33" s="5">
        <x:v>7796522.7599999998</x:v>
      </x:c>
      <x:c r="O33" s="5"/>
      <x:c r="P33" s="5">
        <x:f>R33*'[2]Demand Loss Factor'!$G$55</x:f>
        <x:v>8085745.2740576807</x:v>
      </x:c>
      <x:c r="R33" s="5">
        <x:v>7796522.7599999998</x:v>
      </x:c>
      <x:c r="S33" s="5"/>
      <x:c r="T33" s="32">
        <x:f>V33*'[2]Energy Loss Factor'!$G$55</x:f>
        <x:v>2949430330.9412184</x:v>
      </x:c>
      <x:c r="V33" s="39">
        <x:f>[1]RES!I38</x:f>
        <x:v>2849753101</x:v>
      </x:c>
      <x:c r="X33" s="30">
        <x:f t="shared" si="0"/>
        <x:v>0.99644890877813763</x:v>
      </x:c>
      <x:c r="Y33" s="30"/>
      <x:c r="Z33" s="38">
        <x:v>0.55202499999999999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48218275302.476578</x:v>
      </x:c>
      <x:c r="V34" s="5">
        <x:f>+SUM(V22:V33)</x:f>
        <x:v>46588718549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honeticPr fontId="1" type="noConversion"/>
  <x:pageMargins left="0.5" right="1" top="1.5" bottom="0.5" header="0.5" footer="0.5"/>
  <x:pageSetup scale="50" orientation="landscape" r:id="rId1"/>
  <x:headerFooter alignWithMargins="0"/>
  <x:ignoredErrors>
    <x:ignoredError sqref="X24:X25" evalError="1"/>
  </x:ignoredErrors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dimension ref="A1:Z40"/>
  <x:sheetViews>
    <x:sheetView zoomScale="75" zoomScaleNormal="75" workbookViewId="0">
      <x:selection activeCell="J22" sqref="J22"/>
    </x:sheetView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2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2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18.7109375" style="5" customWidth="1"/>
    <x:col min="21" max="21" width="2.7109375" style="5" customWidth="1"/>
    <x:col min="22" max="22" width="18.85546875" style="5" customWidth="1"/>
    <x:col min="23" max="23" width="3.7109375" style="4" customWidth="1"/>
    <x:col min="24" max="24" width="9.7109375" style="4" customWidth="1"/>
    <x:col min="25" max="25" width="1.7109375" style="4" customWidth="1"/>
    <x:col min="26" max="26" width="9.7109375" style="30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87</x:v>
      </x:c>
    </x:row>
    <x:row r="7" spans="1:26" ht="18.75" customHeight="1" x14ac:dyDescent="0.25">
      <x:c r="A7" s="24" t="s">
        <x:v>106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34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34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34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34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34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34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34"/>
    </x:row>
    <x:row r="14" spans="1:26" ht="18.75" customHeight="1" x14ac:dyDescent="0.25">
      <x:c r="A14" s="4" t="s">
        <x:v>32</x:v>
      </x:c>
      <x:c r="J14" s="42"/>
    </x:row>
    <x:row r="15" spans="1:26" ht="18.75" customHeight="1" x14ac:dyDescent="0.25">
      <x:c r="A15" s="4" t="s">
        <x:v>1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30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  <x:c r="Z18" s="30"/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35" t="s">
        <x:v>90</x:v>
      </x:c>
    </x:row>
    <x:row r="21" spans="1:26" ht="18.75" customHeight="1" x14ac:dyDescent="0.25">
      <x:c r="M21" s="4"/>
      <x:c r="X21" s="30"/>
      <x:c r="Y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Factor'!$G$55</x:f>
        <x:v>638416.09703707625</x:v>
      </x:c>
      <x:c r="E22" s="5"/>
      <x:c r="F22" s="5">
        <x:v>615580.31599999999</x:v>
      </x:c>
      <x:c r="G22" s="5"/>
      <x:c r="H22" s="5">
        <x:f>J22*'[2]Demand Loss Factor'!$G$55</x:f>
        <x:v>288755.46283197089</x:v>
      </x:c>
      <x:c r="I22" s="5"/>
      <x:c r="J22" s="5">
        <x:v>278426.84399999998</x:v>
      </x:c>
      <x:c r="K22" s="5"/>
      <x:c r="L22" s="5">
        <x:f>N22*'[2]Demand Loss Factor'!$G$55</x:f>
        <x:v>282070.3148885995</x:v>
      </x:c>
      <x:c r="N22" s="5">
        <x:v>271980.82</x:v>
      </x:c>
      <x:c r="O22" s="5"/>
      <x:c r="P22" s="5">
        <x:f>R22*'[2]Demand Loss Factor'!$G$55</x:f>
        <x:v>270758.58057980618</x:v>
      </x:c>
      <x:c r="R22" s="5">
        <x:v>261073.7</x:v>
      </x:c>
      <x:c r="S22" s="5"/>
      <x:c r="T22" s="5">
        <x:f>V22*'[2]Energy Loss Factor'!$G$55</x:f>
        <x:v>138953978.74962309</x:v>
      </x:c>
      <x:c r="V22" s="36">
        <x:f>'[1]GS SEC SMALL'!I16</x:f>
        <x:v>134257971</x:v>
      </x:c>
      <x:c r="X22" s="30">
        <x:f>N22/J22</x:f>
        <x:v>0.97684841049306304</x:v>
      </x:c>
      <x:c r="Y22" s="30"/>
      <x:c r="Z22" s="30">
        <x:v>0.72075120000000004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Factor'!$G$55</x:f>
        <x:v>572055.0770594218</x:v>
      </x:c>
      <x:c r="E23" s="5"/>
      <x:c r="F23" s="5">
        <x:v>551592.99199999997</x:v>
      </x:c>
      <x:c r="G23" s="5"/>
      <x:c r="H23" s="5">
        <x:f>J23*'[2]Demand Loss Factor'!$G$55</x:f>
        <x:v>212074.84054334668</x:v>
      </x:c>
      <x:c r="I23" s="5"/>
      <x:c r="J23" s="5">
        <x:v>204489.04399999999</x:v>
      </x:c>
      <x:c r="K23" s="5"/>
      <x:c r="L23" s="5">
        <x:f>N23*'[2]Demand Loss Factor'!$G$55</x:f>
        <x:v>198242.91233060669</x:v>
      </x:c>
      <x:c r="N23" s="5">
        <x:v>191151.87599999999</x:v>
      </x:c>
      <x:c r="O23" s="5"/>
      <x:c r="P23" s="5">
        <x:f>R23*'[2]Demand Loss Factor'!$G$55</x:f>
        <x:v>198242.91233060669</x:v>
      </x:c>
      <x:c r="R23" s="5">
        <x:v>191151.87599999999</x:v>
      </x:c>
      <x:c r="S23" s="5"/>
      <x:c r="T23" s="5">
        <x:f>V23*'[2]Energy Loss Factor'!$G$55</x:f>
        <x:v>144780737.49512625</x:v>
      </x:c>
      <x:c r="V23" s="36">
        <x:f>'[1]GS SEC SMALL'!I18</x:f>
        <x:v>139887812</x:v>
      </x:c>
      <x:c r="X23" s="30">
        <x:f t="shared" ref="X23:X33" si="0">N23/J23</x:f>
        <x:v>0.93477808033568777</x:v>
      </x:c>
      <x:c r="Y23" s="30"/>
      <x:c r="Z23" s="30">
        <x:v>0.80244550000000003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Factor'!$G$55</x:f>
        <x:v>554780.25032276835</x:v>
      </x:c>
      <x:c r="E24" s="5"/>
      <x:c r="F24" s="5">
        <x:v>534936.076</x:v>
      </x:c>
      <x:c r="G24" s="5"/>
      <x:c r="H24" s="5">
        <x:f>J24*'[2]Demand Loss Factor'!$G$55</x:f>
        <x:v>195504.64195518859</x:v>
      </x:c>
      <x:c r="I24" s="5"/>
      <x:c r="J24" s="5">
        <x:v>188511.552</x:v>
      </x:c>
      <x:c r="K24" s="5"/>
      <x:c r="L24" s="5">
        <x:f>N24*'[2]Demand Loss Factor'!$G$55</x:f>
        <x:v>173899.31571180941</x:v>
      </x:c>
      <x:c r="N24" s="5">
        <x:v>167679.03599999999</x:v>
      </x:c>
      <x:c r="O24" s="5"/>
      <x:c r="P24" s="5">
        <x:f>R24*'[2]Demand Loss Factor'!$G$55</x:f>
        <x:v>167408.37028200048</x:v>
      </x:c>
      <x:c r="R24" s="5">
        <x:v>161420.26800000001</x:v>
      </x:c>
      <x:c r="S24" s="5"/>
      <x:c r="T24" s="5">
        <x:f>V24*'[2]Energy Loss Factor'!$G$55</x:f>
        <x:v>122617826.66675965</x:v>
      </x:c>
      <x:c r="V24" s="36">
        <x:f>'[1]GS SEC SMALL'!I20</x:f>
        <x:v>118473906</x:v>
      </x:c>
      <x:c r="X24" s="30">
        <x:f t="shared" si="0"/>
        <x:v>0.88948944624889614</x:v>
      </x:c>
      <x:c r="Y24" s="30"/>
      <x:c r="Z24" s="30">
        <x:v>0.82183399999999995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Factor'!$G$55</x:f>
        <x:v>554496.76211049594</x:v>
      </x:c>
      <x:c r="E25" s="5"/>
      <x:c r="F25" s="5">
        <x:v>534662.728</x:v>
      </x:c>
      <x:c r="G25" s="5"/>
      <x:c r="H25" s="5">
        <x:f>J25*'[2]Demand Loss Factor'!$G$55</x:f>
        <x:v>203060.23730779198</x:v>
      </x:c>
      <x:c r="I25" s="5"/>
      <x:c r="J25" s="5">
        <x:v>195796.88800000001</x:v>
      </x:c>
      <x:c r="K25" s="5"/>
      <x:c r="L25" s="5">
        <x:f>N25*'[2]Demand Loss Factor'!$G$55</x:f>
        <x:v>191762.90619306639</x:v>
      </x:c>
      <x:c r="N25" s="5">
        <x:v>184903.65599999999</x:v>
      </x:c>
      <x:c r="O25" s="5"/>
      <x:c r="P25" s="5">
        <x:f>R25*'[2]Demand Loss Factor'!$G$55</x:f>
        <x:v>191762.90619306639</x:v>
      </x:c>
      <x:c r="R25" s="5">
        <x:v>184903.65599999999</x:v>
      </x:c>
      <x:c r="S25" s="5"/>
      <x:c r="T25" s="5">
        <x:f>V25*'[2]Energy Loss Factor'!$G$55</x:f>
        <x:v>118892341.33388846</x:v>
      </x:c>
      <x:c r="V25" s="36">
        <x:f>'[1]GS SEC SMALL'!I22</x:f>
        <x:v>114874325</x:v>
      </x:c>
      <x:c r="X25" s="30">
        <x:f t="shared" si="0"/>
        <x:v>0.94436463157677963</x:v>
      </x:c>
      <x:c r="Y25" s="30"/>
      <x:c r="Z25" s="30">
        <x:v>0.80308400000000002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Factor'!$G$55</x:f>
        <x:v>582962.91212166543</x:v>
      </x:c>
      <x:c r="E26" s="5"/>
      <x:c r="F26" s="5">
        <x:v>562110.66</x:v>
      </x:c>
      <x:c r="G26" s="5"/>
      <x:c r="H26" s="5">
        <x:f>J26*'[2]Demand Loss Factor'!$G$55</x:f>
        <x:v>223530.4574509438</x:v>
      </x:c>
      <x:c r="I26" s="5"/>
      <x:c r="J26" s="5">
        <x:v>215534.9</x:v>
      </x:c>
      <x:c r="K26" s="5"/>
      <x:c r="L26" s="5">
        <x:f>N26*'[2]Demand Loss Factor'!$G$55</x:f>
        <x:v>207947.98112694162</x:v>
      </x:c>
      <x:c r="N26" s="5">
        <x:v>200509.8</x:v>
      </x:c>
      <x:c r="O26" s="5"/>
      <x:c r="P26" s="5">
        <x:f>R26*'[2]Demand Loss Factor'!$G$55</x:f>
        <x:v>205581.7628434482</x:v>
      </x:c>
      <x:c r="R26" s="5">
        <x:v>198228.22</x:v>
      </x:c>
      <x:c r="S26" s="5"/>
      <x:c r="T26" s="5">
        <x:f>V26*'[2]Energy Loss Factor'!$G$55</x:f>
        <x:v>117806635.45007128</x:v>
      </x:c>
      <x:c r="V26" s="36">
        <x:f>'[1]GS SEC SMALL'!I24</x:f>
        <x:v>113825311</x:v>
      </x:c>
      <x:c r="X26" s="30">
        <x:f t="shared" si="0"/>
        <x:v>0.93028924782019062</x:v>
      </x:c>
      <x:c r="Y26" s="30"/>
      <x:c r="Z26" s="30">
        <x:v>0.7917632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Factor'!$G$55</x:f>
        <x:v>598699.45533059933</x:v>
      </x:c>
      <x:c r="E27" s="5"/>
      <x:c r="F27" s="5">
        <x:v>577284.31599999999</x:v>
      </x:c>
      <x:c r="G27" s="5"/>
      <x:c r="H27" s="5">
        <x:f>J27*'[2]Demand Loss Factor'!$G$55</x:f>
        <x:v>265946.01794904657</x:v>
      </x:c>
      <x:c r="I27" s="5"/>
      <x:c r="J27" s="5">
        <x:v>256433.28</x:v>
      </x:c>
      <x:c r="K27" s="5"/>
      <x:c r="L27" s="5">
        <x:f>N27*'[2]Demand Loss Factor'!$G$55</x:f>
        <x:v>263339.98150626221</x:v>
      </x:c>
      <x:c r="N27" s="5">
        <x:v>253920.46</x:v>
      </x:c>
      <x:c r="O27" s="5"/>
      <x:c r="P27" s="5">
        <x:f>R27*'[2]Demand Loss Factor'!$G$55</x:f>
        <x:v>222308.70609930618</x:v>
      </x:c>
      <x:c r="R27" s="5">
        <x:v>214356.85</x:v>
      </x:c>
      <x:c r="S27" s="5"/>
      <x:c r="T27" s="5">
        <x:f>V27*'[2]Energy Loss Factor'!$G$55</x:f>
        <x:v>134086595.49970151</x:v>
      </x:c>
      <x:c r="V27" s="36">
        <x:f>'[1]GS SEC SMALL'!I26</x:f>
        <x:v>129555083</x:v>
      </x:c>
      <x:c r="X27" s="30">
        <x:f t="shared" si="0"/>
        <x:v>0.99020088188241395</x:v>
      </x:c>
      <x:c r="Y27" s="30"/>
      <x:c r="Z27" s="30">
        <x:v>0.75697000000000003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Factor'!$G$55</x:f>
        <x:v>596759.26792970172</x:v>
      </x:c>
      <x:c r="E28" s="5"/>
      <x:c r="F28" s="5">
        <x:v>575413.52800000005</x:v>
      </x:c>
      <x:c r="G28" s="5"/>
      <x:c r="H28" s="5">
        <x:f>J28*'[2]Demand Loss Factor'!$G$55</x:f>
        <x:v>269588.8396099729</x:v>
      </x:c>
      <x:c r="I28" s="5"/>
      <x:c r="J28" s="5">
        <x:v>259945.8</x:v>
      </x:c>
      <x:c r="K28" s="5"/>
      <x:c r="L28" s="5">
        <x:f>N28*'[2]Demand Loss Factor'!$G$55</x:f>
        <x:v>252296.52328052276</x:v>
      </x:c>
      <x:c r="N28" s="5">
        <x:v>243272.02</x:v>
      </x:c>
      <x:c r="O28" s="5"/>
      <x:c r="P28" s="5">
        <x:f>R28*'[2]Demand Loss Factor'!$G$55</x:f>
        <x:v>256254.51852131641</x:v>
      </x:c>
      <x:c r="R28" s="5">
        <x:v>247088.44</x:v>
      </x:c>
      <x:c r="S28" s="5"/>
      <x:c r="T28" s="5">
        <x:f>V28*'[2]Energy Loss Factor'!$G$55</x:f>
        <x:v>149949031.1374419</x:v>
      </x:c>
      <x:c r="V28" s="36">
        <x:f>'[1]GS SEC SMALL'!I28</x:f>
        <x:v>144881441</x:v>
      </x:c>
      <x:c r="X28" s="30">
        <x:f t="shared" si="0"/>
        <x:v>0.93585670551322619</x:v>
      </x:c>
      <x:c r="Y28" s="30"/>
      <x:c r="Z28" s="30">
        <x:v>0.76259600000000005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Factor'!$G$55</x:f>
        <x:v>610853.15008616401</x:v>
      </x:c>
      <x:c r="E29" s="5"/>
      <x:c r="F29" s="5">
        <x:v>589003.28</x:v>
      </x:c>
      <x:c r="G29" s="5"/>
      <x:c r="H29" s="5">
        <x:f>J29*'[2]Demand Loss Factor'!$G$55</x:f>
        <x:v>278078.75921001541</x:v>
      </x:c>
      <x:c r="I29" s="5"/>
      <x:c r="J29" s="5">
        <x:v>268132.03999999998</x:v>
      </x:c>
      <x:c r="K29" s="5"/>
      <x:c r="L29" s="5">
        <x:f>N29*'[2]Demand Loss Factor'!$G$55</x:f>
        <x:v>272403.38427333086</x:v>
      </x:c>
      <x:c r="N29" s="5">
        <x:v>262659.67</x:v>
      </x:c>
      <x:c r="O29" s="5"/>
      <x:c r="P29" s="5">
        <x:f>R29*'[2]Demand Loss Factor'!$G$55</x:f>
        <x:v>270005.23379331187</x:v>
      </x:c>
      <x:c r="R29" s="5">
        <x:v>260347.3</x:v>
      </x:c>
      <x:c r="S29" s="5"/>
      <x:c r="T29" s="5">
        <x:f>V29*'[2]Energy Loss Factor'!$G$55</x:f>
        <x:v>149161572.64891958</x:v>
      </x:c>
      <x:c r="V29" s="36">
        <x:f>'[1]GS SEC SMALL'!I30</x:f>
        <x:v>144120595</x:v>
      </x:c>
      <x:c r="X29" s="30">
        <x:f t="shared" si="0"/>
        <x:v>0.97959076431149372</x:v>
      </x:c>
      <x:c r="Y29" s="30"/>
      <x:c r="Z29" s="30">
        <x:v>0.79647199999999996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Factor'!$G$55</x:f>
        <x:v>589322.55700555292</x:v>
      </x:c>
      <x:c r="E30" s="5"/>
      <x:c r="F30" s="5">
        <x:v>568242.82400000002</x:v>
      </x:c>
      <x:c r="G30" s="5"/>
      <x:c r="H30" s="5">
        <x:f>J30*'[2]Demand Loss Factor'!$G$55</x:f>
        <x:v>259429.15340733223</x:v>
      </x:c>
      <x:c r="I30" s="5"/>
      <x:c r="J30" s="5">
        <x:v>250149.52</x:v>
      </x:c>
      <x:c r="K30" s="5"/>
      <x:c r="L30" s="5">
        <x:f>N30*'[2]Demand Loss Factor'!$G$55</x:f>
        <x:v>256252.2783932068</x:v>
      </x:c>
      <x:c r="N30" s="5">
        <x:v>247086.28</x:v>
      </x:c>
      <x:c r="O30" s="5"/>
      <x:c r="P30" s="5">
        <x:f>R30*'[2]Demand Loss Factor'!$G$55</x:f>
        <x:v>256770.23542181202</x:v>
      </x:c>
      <x:c r="R30" s="5">
        <x:v>247585.71</x:v>
      </x:c>
      <x:c r="S30" s="5"/>
      <x:c r="T30" s="5">
        <x:f>V30*'[2]Energy Loss Factor'!$G$55</x:f>
        <x:v>154260217.48058879</x:v>
      </x:c>
      <x:c r="V30" s="36">
        <x:f>'[1]GS SEC SMALL'!I32</x:f>
        <x:v>149046929</x:v>
      </x:c>
      <x:c r="X30" s="30">
        <x:f t="shared" si="0"/>
        <x:v>0.98775436387005666</x:v>
      </x:c>
      <x:c r="Y30" s="30"/>
      <x:c r="Z30" s="30">
        <x:v>0.73376980000000003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Factor'!$G$55</x:f>
        <x:v>586453.81576129096</x:v>
      </x:c>
      <x:c r="E31" s="5"/>
      <x:c r="F31" s="5">
        <x:v>565476.696</x:v>
      </x:c>
      <x:c r="G31" s="5"/>
      <x:c r="H31" s="5">
        <x:f>J31*'[2]Demand Loss Factor'!$G$55</x:f>
        <x:v>237444.10055906023</x:v>
      </x:c>
      <x:c r="I31" s="5"/>
      <x:c r="J31" s="5">
        <x:v>228950.86</x:v>
      </x:c>
      <x:c r="K31" s="5"/>
      <x:c r="L31" s="5">
        <x:f>N31*'[2]Demand Loss Factor'!$G$55</x:f>
        <x:v>232152.28533536714</x:v>
      </x:c>
      <x:c r="N31" s="5">
        <x:v>223848.33</x:v>
      </x:c>
      <x:c r="O31" s="5"/>
      <x:c r="P31" s="5">
        <x:f>R31*'[2]Demand Loss Factor'!$G$55</x:f>
        <x:v>232152.28533536714</x:v>
      </x:c>
      <x:c r="R31" s="5">
        <x:v>223848.33</x:v>
      </x:c>
      <x:c r="S31" s="5"/>
      <x:c r="T31" s="5">
        <x:f>V31*'[2]Energy Loss Factor'!$G$55</x:f>
        <x:v>137508658.54979393</x:v>
      </x:c>
      <x:c r="V31" s="36">
        <x:f>'[1]GS SEC SMALL'!I34</x:f>
        <x:v>132861496</x:v>
      </x:c>
      <x:c r="X31" s="30">
        <x:f t="shared" si="0"/>
        <x:v>0.97771342723936483</x:v>
      </x:c>
      <x:c r="Y31" s="30"/>
      <x:c r="Z31" s="30">
        <x:v>0.7673778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Factor'!$G$55</x:f>
        <x:v>568583.27673450892</x:v>
      </x:c>
      <x:c r="E32" s="5"/>
      <x:c r="F32" s="5">
        <x:v>548245.37600000005</x:v>
      </x:c>
      <x:c r="G32" s="5"/>
      <x:c r="H32" s="5">
        <x:f>J32*'[2]Demand Loss Factor'!$G$55</x:f>
        <x:v>198131.67752480792</x:v>
      </x:c>
      <x:c r="I32" s="5"/>
      <x:c r="J32" s="5">
        <x:v>191044.62</x:v>
      </x:c>
      <x:c r="K32" s="5"/>
      <x:c r="L32" s="5">
        <x:f>N32*'[2]Demand Loss Factor'!$G$55</x:f>
        <x:v>180265.16243185228</x:v>
      </x:c>
      <x:c r="N32" s="5">
        <x:v>173817.18</x:v>
      </x:c>
      <x:c r="O32" s="5"/>
      <x:c r="P32" s="5">
        <x:f>R32*'[2]Demand Loss Factor'!$G$55</x:f>
        <x:v>181755.23135039772</x:v>
      </x:c>
      <x:c r="R32" s="5">
        <x:v>175253.95</x:v>
      </x:c>
      <x:c r="S32" s="5"/>
      <x:c r="T32" s="5">
        <x:f>V32*'[2]Energy Loss Factor'!$G$55</x:f>
        <x:v>129961422.55712013</x:v>
      </x:c>
      <x:c r="V32" s="36">
        <x:f>'[1]GS SEC SMALL'!I36</x:f>
        <x:v>125569322</x:v>
      </x:c>
      <x:c r="X32" s="30">
        <x:f t="shared" si="0"/>
        <x:v>0.90982504506015405</x:v>
      </x:c>
      <x:c r="Y32" s="30"/>
      <x:c r="Z32" s="30">
        <x:v>0.83150900000000005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Factor'!$G$55</x:f>
        <x:v>568373.23153714894</x:v>
      </x:c>
      <x:c r="E33" s="5"/>
      <x:c r="F33" s="5">
        <x:v>548042.84400000004</x:v>
      </x:c>
      <x:c r="G33" s="5"/>
      <x:c r="H33" s="5">
        <x:f>J33*'[2]Demand Loss Factor'!$G$55</x:f>
        <x:v>218588.43408318242</x:v>
      </x:c>
      <x:c r="I33" s="5"/>
      <x:c r="J33" s="5">
        <x:v>210769.65</x:v>
      </x:c>
      <x:c r="K33" s="5"/>
      <x:c r="L33" s="5">
        <x:f>N33*'[2]Demand Loss Factor'!$G$55</x:f>
        <x:v>196424.18135710433</x:v>
      </x:c>
      <x:c r="N33" s="5">
        <x:v>189398.2</x:v>
      </x:c>
      <x:c r="O33" s="5"/>
      <x:c r="P33" s="5">
        <x:f>R33*'[2]Demand Loss Factor'!$G$55</x:f>
        <x:v>196424.18135710433</x:v>
      </x:c>
      <x:c r="R33" s="5">
        <x:v>189398.2</x:v>
      </x:c>
      <x:c r="S33" s="5"/>
      <x:c r="T33" s="32">
        <x:f>V33*'[2]Energy Loss Factor'!$G$55</x:f>
        <x:v>123932499.5872141</x:v>
      </x:c>
      <x:c r="V33" s="39">
        <x:f>'[1]GS SEC SMALL'!I38</x:f>
        <x:v>119744149</x:v>
      </x:c>
      <x:c r="X33" s="30">
        <x:f t="shared" si="0"/>
        <x:v>0.89860281117324059</x:v>
      </x:c>
      <x:c r="Y33" s="30"/>
      <x:c r="Z33" s="30">
        <x:v>0.79725999999999997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1621911517.1562486</x:v>
      </x:c>
      <x:c r="V34" s="5">
        <x:f>+SUM(V22:V33)</x:f>
        <x:v>1567098340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Z41"/>
  <x:sheetViews>
    <x:sheetView zoomScale="75" zoomScaleNormal="75" workbookViewId="0">
      <x:selection activeCell="J22" sqref="J22:J33"/>
    </x:sheetView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4.140625" style="4" customWidth="1"/>
    <x:col min="8" max="8" width="14.85546875" style="5" customWidth="1"/>
    <x:col min="9" max="9" width="2.7109375" style="4" customWidth="1"/>
    <x:col min="10" max="10" width="14.85546875" style="5" customWidth="1"/>
    <x:col min="11" max="11" width="4.42578125" style="4" customWidth="1"/>
    <x:col min="12" max="12" width="13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4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21.140625" style="5" customWidth="1"/>
    <x:col min="21" max="21" width="2.7109375" style="5" customWidth="1"/>
    <x:col min="22" max="22" width="20.5703125" style="5" customWidth="1"/>
    <x:col min="23" max="23" width="3.7109375" style="4" customWidth="1"/>
    <x:col min="24" max="24" width="9.85546875" style="4" customWidth="1"/>
    <x:col min="25" max="25" width="1.7109375" style="4" customWidth="1"/>
    <x:col min="26" max="26" width="9.71093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94</x:v>
      </x:c>
    </x:row>
    <x:row r="7" spans="1:26" ht="18.75" customHeight="1" x14ac:dyDescent="0.25">
      <x:c r="A7" s="24" t="s">
        <x:v>105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33</x:v>
      </x:c>
      <x:c r="J14" s="42"/>
    </x:row>
    <x:row r="15" spans="1:26" ht="18.75" customHeight="1" x14ac:dyDescent="0.25">
      <x:c r="A15" s="4" t="s">
        <x:v>1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Factor'!$G$55</x:f>
        <x:v>12528145.688675493</x:v>
      </x:c>
      <x:c r="E22" s="5"/>
      <x:c r="F22" s="5">
        <x:v>12080021.035999998</x:v>
      </x:c>
      <x:c r="G22" s="5"/>
      <x:c r="H22" s="5">
        <x:f>J22*'[2]Demand Loss Factor'!$G$55</x:f>
        <x:v>7720632.7775167134</x:v>
      </x:c>
      <x:c r="I22" s="5"/>
      <x:c r="J22" s="5">
        <x:v>7444470.1299999999</x:v>
      </x:c>
      <x:c r="K22" s="5"/>
      <x:c r="L22" s="5">
        <x:f>N22*'[2]Demand Loss Factor'!$G$55</x:f>
        <x:v>6560063.6181316562</x:v>
      </x:c>
      <x:c r="N22" s="5">
        <x:v>6325413.8700000001</x:v>
      </x:c>
      <x:c r="O22" s="5"/>
      <x:c r="P22" s="5">
        <x:f>R22*'[2]Demand Loss Factor'!$G$55</x:f>
        <x:v>7538488.8217135165</x:v>
      </x:c>
      <x:c r="R22" s="5">
        <x:v>7268841.3600000003</x:v>
      </x:c>
      <x:c r="S22" s="5"/>
      <x:c r="T22" s="5">
        <x:f>V22*'[2]Energy Loss Factor'!$G$55</x:f>
        <x:v>3702372302.351007</x:v>
      </x:c>
      <x:c r="V22" s="5">
        <x:f>'[1]GS SEC LRG NONIDR'!I16+'[1]GS SEC LRG IDR '!I16</x:f>
        <x:v>3577249084</x:v>
      </x:c>
      <x:c r="X22" s="30">
        <x:f>N22/J22</x:f>
        <x:v>0.84967952850124473</x:v>
      </x:c>
      <x:c r="Y22" s="30"/>
      <x:c r="Z22" s="30">
        <x:v>0.70950000000000002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Factor'!$G$55</x:f>
        <x:v>11851916.498793092</x:v>
      </x:c>
      <x:c r="E23" s="5"/>
      <x:c r="F23" s="5">
        <x:v>11427980.18</x:v>
      </x:c>
      <x:c r="G23" s="5"/>
      <x:c r="H23" s="5">
        <x:f>J23*'[2]Demand Loss Factor'!$G$55</x:f>
        <x:v>7011766.918524717</x:v>
      </x:c>
      <x:c r="I23" s="5"/>
      <x:c r="J23" s="5">
        <x:v>6760960</x:v>
      </x:c>
      <x:c r="K23" s="5"/>
      <x:c r="L23" s="5">
        <x:f>N23*'[2]Demand Loss Factor'!$G$55</x:f>
        <x:v>6187522.5249083592</x:v>
      </x:c>
      <x:c r="N23" s="5">
        <x:v>5966198.3600000003</x:v>
      </x:c>
      <x:c r="O23" s="5"/>
      <x:c r="P23" s="5">
        <x:f>R23*'[2]Demand Loss Factor'!$G$55</x:f>
        <x:v>6187522.5249083592</x:v>
      </x:c>
      <x:c r="R23" s="5">
        <x:v>5966198.3600000003</x:v>
      </x:c>
      <x:c r="S23" s="5"/>
      <x:c r="T23" s="5">
        <x:f>V23*'[2]Energy Loss Factor'!$G$55</x:f>
        <x:v>3844232369.5744052</x:v>
      </x:c>
      <x:c r="V23" s="5">
        <x:f>'[1]GS SEC LRG NONIDR'!I18+'[1]GS SEC LRG IDR '!I18</x:f>
        <x:v>3714314931</x:v>
      </x:c>
      <x:c r="X23" s="30">
        <x:f t="shared" ref="X23:X32" si="0">N23/J23</x:f>
        <x:v>0.88244840377697842</x:v>
      </x:c>
      <x:c r="Y23" s="30"/>
      <x:c r="Z23" s="30">
        <x:v>0.70589599999999997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Factor'!$G$55</x:f>
        <x:v>11416452.109005282</x:v>
      </x:c>
      <x:c r="E24" s="5"/>
      <x:c r="F24" s="5">
        <x:v>11008092.104</x:v>
      </x:c>
      <x:c r="G24" s="5"/>
      <x:c r="H24" s="5">
        <x:f>J24*'[2]Demand Loss Factor'!$G$55</x:f>
        <x:v>6864312.6221274845</x:v>
      </x:c>
      <x:c r="I24" s="5"/>
      <x:c r="J24" s="5">
        <x:v>6618780.0599999996</x:v>
      </x:c>
      <x:c r="K24" s="5"/>
      <x:c r="L24" s="5">
        <x:f>N24*'[2]Demand Loss Factor'!$G$55</x:f>
        <x:v>5614850.7509513227</x:v>
      </x:c>
      <x:c r="N24" s="5">
        <x:v>5414010.7300000004</x:v>
      </x:c>
      <x:c r="O24" s="5"/>
      <x:c r="P24" s="5">
        <x:f>R24*'[2]Demand Loss Factor'!$G$55</x:f>
        <x:v>6385485.7572444789</x:v>
      </x:c>
      <x:c r="R24" s="5">
        <x:v>6157080.5599999996</x:v>
      </x:c>
      <x:c r="S24" s="5"/>
      <x:c r="T24" s="5">
        <x:f>V24*'[2]Energy Loss Factor'!$G$55</x:f>
        <x:v>3617800123.2339535</x:v>
      </x:c>
      <x:c r="V24" s="5">
        <x:f>'[1]GS SEC LRG NONIDR'!I20+'[1]GS SEC LRG IDR '!I20</x:f>
        <x:v>3495535057</x:v>
      </x:c>
      <x:c r="X24" s="30">
        <x:f t="shared" si="0"/>
        <x:v>0.81797713187647469</x:v>
      </x:c>
      <x:c r="Y24" s="30"/>
      <x:c r="Z24" s="30">
        <x:v>0.70328900000000005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Factor'!$G$55</x:f>
        <x:v>11656494.467784524</x:v>
      </x:c>
      <x:c r="E25" s="5"/>
      <x:c r="F25" s="5">
        <x:v>11239548.284</x:v>
      </x:c>
      <x:c r="G25" s="5"/>
      <x:c r="H25" s="5">
        <x:f>J25*'[2]Demand Loss Factor'!$G$55</x:f>
        <x:v>7778053.7386700464</x:v>
      </x:c>
      <x:c r="I25" s="5"/>
      <x:c r="J25" s="5">
        <x:v>7499837.176</x:v>
      </x:c>
      <x:c r="K25" s="5"/>
      <x:c r="L25" s="5">
        <x:f>N25*'[2]Demand Loss Factor'!$G$55</x:f>
        <x:v>7183527.1027175672</x:v>
      </x:c>
      <x:c r="N25" s="5">
        <x:v>6926576.4199999999</x:v>
      </x:c>
      <x:c r="O25" s="5"/>
      <x:c r="P25" s="5">
        <x:f>R25*'[2]Demand Loss Factor'!$G$55</x:f>
        <x:v>7183527.1027175672</x:v>
      </x:c>
      <x:c r="R25" s="5">
        <x:v>6926576.4199999999</x:v>
      </x:c>
      <x:c r="S25" s="5"/>
      <x:c r="T25" s="5">
        <x:f>V25*'[2]Energy Loss Factor'!$G$55</x:f>
        <x:v>3633370547.2158175</x:v>
      </x:c>
      <x:c r="V25" s="5">
        <x:f>'[1]GS SEC LRG NONIDR'!I22+'[1]GS SEC LRG IDR '!I22</x:f>
        <x:v>3510579272</x:v>
      </x:c>
      <x:c r="X25" s="30">
        <x:f t="shared" si="0"/>
        <x:v>0.92356357310869708</x:v>
      </x:c>
      <x:c r="Y25" s="30"/>
      <x:c r="Z25" s="30">
        <x:v>0.664466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Factor'!$G$55</x:f>
        <x:v>12530383.153521696</x:v>
      </x:c>
      <x:c r="E26" s="5"/>
      <x:c r="F26" s="5">
        <x:v>12082178.468</x:v>
      </x:c>
      <x:c r="G26" s="5"/>
      <x:c r="H26" s="5">
        <x:f>J26*'[2]Demand Loss Factor'!$G$55</x:f>
        <x:v>8658733.0450490844</x:v>
      </x:c>
      <x:c r="I26" s="5"/>
      <x:c r="J26" s="5">
        <x:v>8349015.0839999998</x:v>
      </x:c>
      <x:c r="K26" s="5"/>
      <x:c r="L26" s="5">
        <x:f>N26*'[2]Demand Loss Factor'!$G$55</x:f>
        <x:v>7273045.4843638828</x:v>
      </x:c>
      <x:c r="N26" s="5">
        <x:v>7012892.7800000003</x:v>
      </x:c>
      <x:c r="O26" s="5"/>
      <x:c r="P26" s="5">
        <x:f>R26*'[2]Demand Loss Factor'!$G$55</x:f>
        <x:v>7132505.9988218825</x:v>
      </x:c>
      <x:c r="R26" s="5">
        <x:v>6877380.3119999999</x:v>
      </x:c>
      <x:c r="S26" s="5"/>
      <x:c r="T26" s="5">
        <x:f>V26*'[2]Energy Loss Factor'!$G$55</x:f>
        <x:v>3763078725.2691579</x:v>
      </x:c>
      <x:c r="V26" s="5">
        <x:f>'[1]GS SEC LRG NONIDR'!I24+'[1]GS SEC LRG IDR '!I24</x:f>
        <x:v>3635903908</x:v>
      </x:c>
      <x:c r="X26" s="30">
        <x:f t="shared" si="0"/>
        <x:v>0.83996647621819054</x:v>
      </x:c>
      <x:c r="Y26" s="30"/>
      <x:c r="Z26" s="30">
        <x:v>0.66506100000000001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Factor'!$G$55</x:f>
        <x:v>13072864.270845575</x:v>
      </x:c>
      <x:c r="E27" s="5"/>
      <x:c r="F27" s="5">
        <x:v>12605255.344000001</x:v>
      </x:c>
      <x:c r="G27" s="5"/>
      <x:c r="H27" s="5">
        <x:f>J27*'[2]Demand Loss Factor'!$G$55</x:f>
        <x:v>9444088.2193891443</x:v>
      </x:c>
      <x:c r="I27" s="5"/>
      <x:c r="J27" s="5">
        <x:v>9106278.5500000007</x:v>
      </x:c>
      <x:c r="K27" s="5"/>
      <x:c r="L27" s="5">
        <x:f>N27*'[2]Demand Loss Factor'!$G$55</x:f>
        <x:v>9247733.8864710126</x:v>
      </x:c>
      <x:c r="N27" s="5">
        <x:v>8916947.6999999993</x:v>
      </x:c>
      <x:c r="O27" s="5"/>
      <x:c r="P27" s="5">
        <x:f>R27*'[2]Demand Loss Factor'!$G$55</x:f>
        <x:v>7567923.721348268</x:v>
      </x:c>
      <x:c r="R27" s="5">
        <x:v>7297223.3899999997</x:v>
      </x:c>
      <x:c r="S27" s="5"/>
      <x:c r="T27" s="5">
        <x:f>V27*'[2]Energy Loss Factor'!$G$55</x:f>
        <x:v>4364523901.1990881</x:v>
      </x:c>
      <x:c r="V27" s="5">
        <x:f>'[1]GS SEC LRG NONIDR'!I26+'[1]GS SEC LRG IDR '!I26</x:f>
        <x:v>4217022993</x:v>
      </x:c>
      <x:c r="X27" s="30">
        <x:f t="shared" si="0"/>
        <x:v>0.97920875701743149</x:v>
      </x:c>
      <x:c r="Y27" s="30"/>
      <x:c r="Z27" s="30">
        <x:v>0.69289900000000004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Factor'!$G$55</x:f>
        <x:v>13148812.802674435</x:v>
      </x:c>
      <x:c r="E28" s="5"/>
      <x:c r="F28" s="5">
        <x:v>12678487.24</x:v>
      </x:c>
      <x:c r="G28" s="5"/>
      <x:c r="H28" s="5">
        <x:f>J28*'[2]Demand Loss Factor'!$G$55</x:f>
        <x:v>9378827.1686874777</x:v>
      </x:c>
      <x:c r="I28" s="5"/>
      <x:c r="J28" s="5">
        <x:v>9043351.8499999996</x:v>
      </x:c>
      <x:c r="K28" s="5"/>
      <x:c r="L28" s="5">
        <x:f>N28*'[2]Demand Loss Factor'!$G$55</x:f>
        <x:v>8888528.4936745148</x:v>
      </x:c>
      <x:c r="N28" s="5">
        <x:v>8570590.8800000008</x:v>
      </x:c>
      <x:c r="O28" s="5"/>
      <x:c r="P28" s="5">
        <x:f>R28*'[2]Demand Loss Factor'!$G$55</x:f>
        <x:v>8805116.4834647886</x:v>
      </x:c>
      <x:c r="R28" s="5">
        <x:v>8490162.4700000007</x:v>
      </x:c>
      <x:c r="S28" s="5"/>
      <x:c r="T28" s="5">
        <x:f>V28*'[2]Energy Loss Factor'!$G$55</x:f>
        <x:v>4882324593.8813467</x:v>
      </x:c>
      <x:c r="V28" s="5">
        <x:f>'[1]GS SEC LRG NONIDR'!I28+'[1]GS SEC LRG IDR '!I28</x:f>
        <x:v>4717324395</x:v>
      </x:c>
      <x:c r="X28" s="30">
        <x:f t="shared" si="0"/>
        <x:v>0.94772281584952389</x:v>
      </x:c>
      <x:c r="Y28" s="30"/>
      <x:c r="Z28" s="30">
        <x:v>0.71400129999999995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Factor'!$G$55</x:f>
        <x:v>13769820.91395228</x:v>
      </x:c>
      <x:c r="E29" s="5"/>
      <x:c r="F29" s="5">
        <x:v>13277282.243999999</x:v>
      </x:c>
      <x:c r="G29" s="5"/>
      <x:c r="H29" s="5">
        <x:f>J29*'[2]Demand Loss Factor'!$G$55</x:f>
        <x:v>10019610.763784941</x:v>
      </x:c>
      <x:c r="I29" s="5"/>
      <x:c r="J29" s="5">
        <x:v>9661214.9800000004</x:v>
      </x:c>
      <x:c r="K29" s="5"/>
      <x:c r="L29" s="5">
        <x:f>N29*'[2]Demand Loss Factor'!$G$55</x:f>
        <x:v>9748746.3786358088</x:v>
      </x:c>
      <x:c r="N29" s="5">
        <x:v>9400039.2599999998</x:v>
      </x:c>
      <x:c r="O29" s="5"/>
      <x:c r="P29" s="5">
        <x:f>R29*'[2]Demand Loss Factor'!$G$55</x:f>
        <x:v>9414075.1903957315</x:v>
      </x:c>
      <x:c r="R29" s="5">
        <x:v>9077339.0700000003</x:v>
      </x:c>
      <x:c r="S29" s="5"/>
      <x:c r="T29" s="5">
        <x:f>V29*'[2]Energy Loss Factor'!$G$55</x:f>
        <x:v>4861033960.0173197</x:v>
      </x:c>
      <x:c r="V29" s="5">
        <x:f>'[1]GS SEC LRG NONIDR'!I30+'[1]GS SEC LRG IDR '!I30</x:f>
        <x:v>4696753287</x:v>
      </x:c>
      <x:c r="X29" s="30">
        <x:f t="shared" si="0"/>
        <x:v>0.97296657609413839</x:v>
      </x:c>
      <x:c r="Y29" s="30"/>
      <x:c r="Z29" s="30">
        <x:v>0.72129089999999996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Factor'!$G$55</x:f>
        <x:v>12825667.56099363</x:v>
      </x:c>
      <x:c r="E30" s="5"/>
      <x:c r="F30" s="5">
        <x:v>12366900.719999999</x:v>
      </x:c>
      <x:c r="G30" s="5"/>
      <x:c r="H30" s="5">
        <x:f>J30*'[2]Demand Loss Factor'!$G$55</x:f>
        <x:v>9358338.3139971625</x:v>
      </x:c>
      <x:c r="I30" s="5"/>
      <x:c r="J30" s="5">
        <x:v>9023595.8699999992</x:v>
      </x:c>
      <x:c r="K30" s="5"/>
      <x:c r="L30" s="5">
        <x:f>N30*'[2]Demand Loss Factor'!$G$55</x:f>
        <x:v>9181263.9340414498</x:v>
      </x:c>
      <x:c r="N30" s="5">
        <x:v>8852855.3399999999</x:v>
      </x:c>
      <x:c r="O30" s="5"/>
      <x:c r="P30" s="5">
        <x:f>R30*'[2]Demand Loss Factor'!$G$55</x:f>
        <x:v>8931168.0047577973</x:v>
      </x:c>
      <x:c r="R30" s="5">
        <x:v>8611705.1999999993</x:v>
      </x:c>
      <x:c r="S30" s="5"/>
      <x:c r="T30" s="5">
        <x:f>V30*'[2]Energy Loss Factor'!$G$55</x:f>
        <x:v>5012681210.1758862</x:v>
      </x:c>
      <x:c r="V30" s="5">
        <x:f>'[1]GS SEC LRG NONIDR'!I32+'[1]GS SEC LRG IDR '!I32</x:f>
        <x:v>4843275555</x:v>
      </x:c>
      <x:c r="X30" s="30">
        <x:f t="shared" si="0"/>
        <x:v>0.98107843785783377</x:v>
      </x:c>
      <x:c r="Y30" s="30"/>
      <x:c r="Z30" s="30">
        <x:v>0.65180099999999996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Factor'!$G$55</x:f>
        <x:v>12157032.542299556</x:v>
      </x:c>
      <x:c r="E31" s="5"/>
      <x:c r="F31" s="5">
        <x:v>11722182.396</x:v>
      </x:c>
      <x:c r="G31" s="5"/>
      <x:c r="H31" s="5">
        <x:f>J31*'[2]Demand Loss Factor'!$G$55</x:f>
        <x:v>8549361.5135119166</x:v>
      </x:c>
      <x:c r="I31" s="5"/>
      <x:c r="J31" s="5">
        <x:v>8243555.71</x:v>
      </x:c>
      <x:c r="K31" s="5"/>
      <x:c r="L31" s="5">
        <x:f>N31*'[2]Demand Loss Factor'!$G$55</x:f>
        <x:v>8086185.8636987964</x:v>
      </x:c>
      <x:c r="N31" s="5">
        <x:v>7796947.5899999999</x:v>
      </x:c>
      <x:c r="O31" s="5"/>
      <x:c r="P31" s="5">
        <x:f>R31*'[2]Demand Loss Factor'!$G$55</x:f>
        <x:v>8086185.8636987964</x:v>
      </x:c>
      <x:c r="R31" s="5">
        <x:v>7796947.5899999999</x:v>
      </x:c>
      <x:c r="S31" s="5"/>
      <x:c r="T31" s="5">
        <x:f>V31*'[2]Energy Loss Factor'!$G$55</x:f>
        <x:v>4387831879.0455999</x:v>
      </x:c>
      <x:c r="V31" s="5">
        <x:f>'[1]GS SEC LRG NONIDR'!I34+'[1]GS SEC LRG IDR '!I34</x:f>
        <x:v>4239543268</x:v>
      </x:c>
      <x:c r="X31" s="30">
        <x:f t="shared" si="0"/>
        <x:v>0.94582336364170694</x:v>
      </x:c>
      <x:c r="Y31" s="30"/>
      <x:c r="Z31" s="30">
        <x:v>0.66507470000000002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Factor'!$G$55</x:f>
        <x:v>11522820.979046892</x:v>
      </x:c>
      <x:c r="E32" s="5"/>
      <x:c r="F32" s="5">
        <x:v>11110656.220000001</x:v>
      </x:c>
      <x:c r="G32" s="5"/>
      <x:c r="H32" s="5">
        <x:f>J32*'[2]Demand Loss Factor'!$G$55</x:f>
        <x:v>7197078.2080556462</x:v>
      </x:c>
      <x:c r="I32" s="5"/>
      <x:c r="J32" s="5">
        <x:v>6939642.8099999996</x:v>
      </x:c>
      <x:c r="K32" s="5"/>
      <x:c r="L32" s="5">
        <x:f>N32*'[2]Demand Loss Factor'!$G$55</x:f>
        <x:v>7193798.9612611048</x:v>
      </x:c>
      <x:c r="N32" s="5">
        <x:v>6936480.8600000003</x:v>
      </x:c>
      <x:c r="O32" s="5"/>
      <x:c r="P32" s="5">
        <x:f>R32*'[2]Demand Loss Factor'!$G$55</x:f>
        <x:v>6996472.3401466543</x:v>
      </x:c>
      <x:c r="R32" s="5">
        <x:v>6746212.5</x:v>
      </x:c>
      <x:c r="S32" s="5"/>
      <x:c r="T32" s="5">
        <x:f>V32*'[2]Energy Loss Factor'!$G$55</x:f>
        <x:v>4020239932.6838722</x:v>
      </x:c>
      <x:c r="V32" s="5">
        <x:f>'[1]GS SEC LRG NONIDR'!I36+'[1]GS SEC LRG IDR '!I36</x:f>
        <x:v>3884374245</x:v>
      </x:c>
      <x:c r="X32" s="30">
        <x:f t="shared" si="0"/>
        <x:v>0.99954436415726711</x:v>
      </x:c>
      <x:c r="Y32" s="30"/>
      <x:c r="Z32" s="30">
        <x:v>0.67270209999999997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Factor'!$G$55</x:f>
        <x:v>11407164.92366264</x:v>
      </x:c>
      <x:c r="E33" s="5"/>
      <x:c r="F33" s="5">
        <x:v>10999137.116</x:v>
      </x:c>
      <x:c r="G33" s="5"/>
      <x:c r="H33" s="5">
        <x:f>J33*'[2]Demand Loss Factor'!$G$55</x:f>
        <x:v>6437291.571794386</x:v>
      </x:c>
      <x:c r="I33" s="5"/>
      <x:c r="J33" s="5">
        <x:v>6207033.3099999996</x:v>
      </x:c>
      <x:c r="K33" s="5"/>
      <x:c r="L33" s="5">
        <x:f>N33*'[2]Demand Loss Factor'!$G$55</x:f>
        <x:v>6275065.5387714915</x:v>
      </x:c>
      <x:c r="N33" s="5">
        <x:v>6050610.0099999998</x:v>
      </x:c>
      <x:c r="O33" s="5"/>
      <x:c r="P33" s="5">
        <x:f>R33*'[2]Demand Loss Factor'!$G$55</x:f>
        <x:v>6275065.5387714915</x:v>
      </x:c>
      <x:c r="R33" s="5">
        <x:v>6050610.0099999998</x:v>
      </x:c>
      <x:c r="S33" s="5"/>
      <x:c r="T33" s="32">
        <x:f>V33*'[2]Energy Loss Factor'!$G$55</x:f>
        <x:v>3573157787.8640847</x:v>
      </x:c>
      <x:c r="V33" s="32">
        <x:f>'[1]GS SEC LRG NONIDR'!I38+'[1]GS SEC LRG IDR '!I38</x:f>
        <x:v>3452401428</x:v>
      </x:c>
      <x:c r="X33" s="30">
        <x:f>N33/J33</x:f>
        <x:v>0.97479902359344683</x:v>
      </x:c>
      <x:c r="Y33" s="30"/>
      <x:c r="Z33" s="30">
        <x:v>0.74212999999999996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49662647332.511543</x:v>
      </x:c>
      <x:c r="V34" s="5">
        <x:f>+SUM(V22:V33)</x:f>
        <x:v>47984277423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dimension ref="A1:Z41"/>
  <x:sheetViews>
    <x:sheetView zoomScale="75" zoomScaleNormal="75" workbookViewId="0">
      <x:selection activeCell="J32" sqref="J32"/>
    </x:sheetView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2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2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17.7109375" style="5" customWidth="1"/>
    <x:col min="21" max="21" width="2.7109375" style="5" customWidth="1"/>
    <x:col min="22" max="22" width="17.7109375" style="5" customWidth="1"/>
    <x:col min="23" max="23" width="3.7109375" style="4" customWidth="1"/>
    <x:col min="24" max="24" width="10.28515625" style="4" customWidth="1"/>
    <x:col min="25" max="25" width="1.7109375" style="4" customWidth="1"/>
    <x:col min="26" max="26" width="9.71093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95</x:v>
      </x:c>
    </x:row>
    <x:row r="7" spans="1:26" ht="18.75" customHeight="1" x14ac:dyDescent="0.25">
      <x:c r="A7" s="24" t="s">
        <x:v>105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34</x:v>
      </x:c>
    </x:row>
    <x:row r="15" spans="1:26" ht="18.75" customHeight="1" x14ac:dyDescent="0.25">
      <x:c r="A15" s="4" t="s">
        <x:v>35</x:v>
      </x:c>
      <x:c r="J15" s="42"/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Factor'!$G$54</x:f>
        <x:v>7210.3918322953441</x:v>
      </x:c>
      <x:c r="E22" s="5"/>
      <x:c r="F22" s="5">
        <x:v>7091.9520000000002</x:v>
      </x:c>
      <x:c r="G22" s="5"/>
      <x:c r="H22" s="5">
        <x:f>J22*'[2]Demand Loss Factor'!$G$54</x:f>
        <x:v>4809.2540991628321</x:v>
      </x:c>
      <x:c r="I22" s="5"/>
      <x:c r="J22" s="5">
        <x:v>4730.2560000000003</x:v>
      </x:c>
      <x:c r="K22" s="5"/>
      <x:c r="L22" s="5">
        <x:f>N22*'[2]Demand Loss Factor'!$G$54</x:f>
        <x:v>1857.4509886831802</x:v>
      </x:c>
      <x:c r="N22" s="5">
        <x:v>1826.94</x:v>
      </x:c>
      <x:c r="O22" s="5"/>
      <x:c r="P22" s="5">
        <x:f>R22*'[2]Demand Loss Factor'!$G$54</x:f>
        <x:v>1749.7864622632683</x:v>
      </x:c>
      <x:c r="R22" s="36">
        <x:v>1721.0440000000001</x:v>
      </x:c>
      <x:c r="S22" s="5"/>
      <x:c r="T22" s="5">
        <x:f>V22*'[2]Energy Loss Factor'!$G$54</x:f>
        <x:v>2618093.6731411307</x:v>
      </x:c>
      <x:c r="V22" s="5">
        <x:f>'[1]GS PRI SMALL'!I16</x:f>
        <x:v>2586812</x:v>
      </x:c>
      <x:c r="X22" s="30">
        <x:f>(N22/J22)</x:f>
        <x:v>0.38622433965518987</x:v>
      </x:c>
      <x:c r="Y22" s="30"/>
      <x:c r="Z22" s="30">
        <x:v>0.61276940000000002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Factor'!$G$54</x:f>
        <x:v>6855.0265060271286</x:v>
      </x:c>
      <x:c r="E23" s="5"/>
      <x:c r="F23" s="5">
        <x:v>6742.424</x:v>
      </x:c>
      <x:c r="G23" s="5"/>
      <x:c r="H23" s="5">
        <x:f>J23*'[2]Demand Loss Factor'!$G$54</x:f>
        <x:v>3388.7566262559244</x:v>
      </x:c>
      <x:c r="I23" s="5"/>
      <x:c r="J23" s="5">
        <x:v>3333.0920000000001</x:v>
      </x:c>
      <x:c r="K23" s="5"/>
      <x:c r="L23" s="5">
        <x:f>N23*'[2]Demand Loss Factor'!$G$54</x:f>
        <x:v>3031.0569554169961</x:v>
      </x:c>
      <x:c r="N23" s="5">
        <x:v>2981.268</x:v>
      </x:c>
      <x:c r="O23" s="5"/>
      <x:c r="P23" s="5">
        <x:f>R23*'[2]Demand Loss Factor'!$G$54</x:f>
        <x:v>3031.0569554169961</x:v>
      </x:c>
      <x:c r="R23" s="36">
        <x:v>2981.268</x:v>
      </x:c>
      <x:c r="S23" s="5"/>
      <x:c r="T23" s="5">
        <x:f>V23*'[2]Energy Loss Factor'!$G$54</x:f>
        <x:v>2028477.7871565667</x:v>
      </x:c>
      <x:c r="V23" s="5">
        <x:f>'[1]GS PRI SMALL'!I18</x:f>
        <x:v>2004241</x:v>
      </x:c>
      <x:c r="X23" s="30">
        <x:f t="shared" ref="X23:X33" si="0">(N23/J23)</x:f>
        <x:v>0.8944451578294268</x:v>
      </x:c>
      <x:c r="Y23" s="30"/>
      <x:c r="Z23" s="30">
        <x:v>0.84751730000000003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Factor'!$G$54</x:f>
        <x:v>6925.8376692069842</x:v>
      </x:c>
      <x:c r="E24" s="5"/>
      <x:c r="F24" s="5">
        <x:v>6812.0720000000001</x:v>
      </x:c>
      <x:c r="G24" s="5"/>
      <x:c r="H24" s="5">
        <x:f>J24*'[2]Demand Loss Factor'!$G$54</x:f>
        <x:v>3050.9639531062562</x:v>
      </x:c>
      <x:c r="I24" s="5"/>
      <x:c r="J24" s="5">
        <x:v>3000.848</x:v>
      </x:c>
      <x:c r="K24" s="5"/>
      <x:c r="L24" s="5">
        <x:f>N24*'[2]Demand Loss Factor'!$G$54</x:f>
        <x:v>2789.8508389823278</x:v>
      </x:c>
      <x:c r="N24" s="5">
        <x:v>2744.0239999999999</x:v>
      </x:c>
      <x:c r="O24" s="5"/>
      <x:c r="P24" s="5">
        <x:f>R24*'[2]Demand Loss Factor'!$G$54</x:f>
        <x:v>2711.9349720306359</x:v>
      </x:c>
      <x:c r="R24" s="36">
        <x:v>2667.3879999999999</x:v>
      </x:c>
      <x:c r="S24" s="5"/>
      <x:c r="T24" s="5">
        <x:f>V24*'[2]Energy Loss Factor'!$G$54</x:f>
        <x:v>2068517.1884749217</x:v>
      </x:c>
      <x:c r="V24" s="5">
        <x:f>'[1]GS PRI SMALL'!I20</x:f>
        <x:v>2043802</x:v>
      </x:c>
      <x:c r="X24" s="30">
        <x:f t="shared" si="0"/>
        <x:v>0.91441619168981569</x:v>
      </x:c>
      <x:c r="Y24" s="30"/>
      <x:c r="Z24" s="30">
        <x:v>0.91583680000000001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Factor'!$G$54</x:f>
        <x:v>6628.4649449916478</x:v>
      </x:c>
      <x:c r="E25" s="5"/>
      <x:c r="F25" s="5">
        <x:v>6519.5839999999998</x:v>
      </x:c>
      <x:c r="G25" s="5"/>
      <x:c r="H25" s="5">
        <x:f>J25*'[2]Demand Loss Factor'!$G$54</x:f>
        <x:v>3187.5800457263399</x:v>
      </x:c>
      <x:c r="I25" s="5"/>
      <x:c r="J25" s="5">
        <x:v>3135.22</x:v>
      </x:c>
      <x:c r="K25" s="5"/>
      <x:c r="L25" s="5">
        <x:f>N25*'[2]Demand Loss Factor'!$G$54</x:f>
        <x:v>2779.14091489353</x:v>
      </x:c>
      <x:c r="N25" s="5">
        <x:v>2733.49</x:v>
      </x:c>
      <x:c r="O25" s="5"/>
      <x:c r="P25" s="5">
        <x:f>R25*'[2]Demand Loss Factor'!$G$54</x:f>
        <x:v>2779.14091489353</x:v>
      </x:c>
      <x:c r="R25" s="36">
        <x:v>2733.49</x:v>
      </x:c>
      <x:c r="T25" s="5">
        <x:f>V25*'[2]Energy Loss Factor'!$G$54</x:f>
        <x:v>2084454.613023344</x:v>
      </x:c>
      <x:c r="V25" s="5">
        <x:f>'[1]GS PRI SMALL'!I22</x:f>
        <x:v>2059549</x:v>
      </x:c>
      <x:c r="X25" s="30">
        <x:f t="shared" si="0"/>
        <x:v>0.87186545122830295</x:v>
      </x:c>
      <x:c r="Y25" s="30"/>
      <x:c r="Z25" s="30">
        <x:v>0.87491099999999999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Factor'!$G$54</x:f>
        <x:v>6705.5023826275319</x:v>
      </x:c>
      <x:c r="E26" s="5"/>
      <x:c r="F26" s="5">
        <x:v>6595.3559999999998</x:v>
      </x:c>
      <x:c r="G26" s="5"/>
      <x:c r="H26" s="5">
        <x:f>J26*'[2]Demand Loss Factor'!$G$54</x:f>
        <x:v>3934.5865755637324</x:v>
      </x:c>
      <x:c r="I26" s="5"/>
      <x:c r="J26" s="5">
        <x:v>3869.9560000000001</x:v>
      </x:c>
      <x:c r="K26" s="5"/>
      <x:c r="L26" s="5">
        <x:f>N26*'[2]Demand Loss Factor'!$G$54</x:f>
        <x:v>2696.932538021304</x:v>
      </x:c>
      <x:c r="N26" s="5">
        <x:v>2652.6320000000001</x:v>
      </x:c>
      <x:c r="O26" s="5"/>
      <x:c r="P26" s="5">
        <x:f>R26*'[2]Demand Loss Factor'!$G$54</x:f>
        <x:v>2678.7864657660484</x:v>
      </x:c>
      <x:c r="R26" s="36">
        <x:v>2634.7840000000001</x:v>
      </x:c>
      <x:c r="S26" s="5"/>
      <x:c r="T26" s="5">
        <x:f>V26*'[2]Energy Loss Factor'!$G$54</x:f>
        <x:v>2317769.3186100684</x:v>
      </x:c>
      <x:c r="V26" s="5">
        <x:f>'[1]GS PRI SMALL'!I24</x:f>
        <x:v>2290076</x:v>
      </x:c>
      <x:c r="X26" s="30">
        <x:f t="shared" si="0"/>
        <x:v>0.68544241846677323</x:v>
      </x:c>
      <x:c r="Y26" s="30"/>
      <x:c r="Z26" s="30">
        <x:v>0.80336200000000002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Factor'!$G$54</x:f>
        <x:v>6408.7071443512923</x:v>
      </x:c>
      <x:c r="E27" s="5"/>
      <x:c r="F27" s="5">
        <x:v>6303.4359999999997</x:v>
      </x:c>
      <x:c r="G27" s="5"/>
      <x:c r="H27" s="5">
        <x:f>J27*'[2]Demand Loss Factor'!$G$54</x:f>
        <x:v>2895.3355593222718</x:v>
      </x:c>
      <x:c r="I27" s="5"/>
      <x:c r="J27" s="5">
        <x:v>2847.7759999999998</x:v>
      </x:c>
      <x:c r="K27" s="5"/>
      <x:c r="L27" s="5">
        <x:f>N27*'[2]Demand Loss Factor'!$G$54</x:f>
        <x:v>2741.2118824218483</x:v>
      </x:c>
      <x:c r="N27" s="5">
        <x:v>2696.1840000000002</x:v>
      </x:c>
      <x:c r="O27" s="5"/>
      <x:c r="P27" s="5">
        <x:f>R27*'[2]Demand Loss Factor'!$G$54</x:f>
        <x:v>2720.458989835884</x:v>
      </x:c>
      <x:c r="R27" s="36">
        <x:v>2675.7719999999999</x:v>
      </x:c>
      <x:c r="S27" s="5"/>
      <x:c r="T27" s="5">
        <x:f>V27*'[2]Energy Loss Factor'!$G$54</x:f>
        <x:v>1979777.9081687606</x:v>
      </x:c>
      <x:c r="V27" s="5">
        <x:f>'[1]GS PRI SMALL'!I26</x:f>
        <x:v>1956123</x:v>
      </x:c>
      <x:c r="X27" s="30">
        <x:f t="shared" si="0"/>
        <x:v>0.94676828514602285</x:v>
      </x:c>
      <x:c r="Y27" s="30"/>
      <x:c r="Z27" s="30">
        <x:v>0.94078600000000001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Factor'!$G$54</x:f>
        <x:v>6905.6093941290728</x:v>
      </x:c>
      <x:c r="E28" s="5"/>
      <x:c r="F28" s="5">
        <x:v>6792.1760000000004</x:v>
      </x:c>
      <x:c r="G28" s="5"/>
      <x:c r="H28" s="5">
        <x:f>J28*'[2]Demand Loss Factor'!$G$54</x:f>
        <x:v>3128.7334151719801</x:v>
      </x:c>
      <x:c r="I28" s="5"/>
      <x:c r="J28" s="5">
        <x:v>3077.34</x:v>
      </x:c>
      <x:c r="K28" s="5"/>
      <x:c r="L28" s="5">
        <x:f>N28*'[2]Demand Loss Factor'!$G$54</x:f>
        <x:v>2740.2114490343997</x:v>
      </x:c>
      <x:c r="N28" s="5">
        <x:v>2695.2</x:v>
      </x:c>
      <x:c r="O28" s="5"/>
      <x:c r="P28" s="5">
        <x:f>R28*'[2]Demand Loss Factor'!$G$54</x:f>
        <x:v>2782.5875299173604</x:v>
      </x:c>
      <x:c r="R28" s="36">
        <x:v>2736.88</x:v>
      </x:c>
      <x:c r="S28" s="5"/>
      <x:c r="T28" s="5">
        <x:f>V28*'[2]Energy Loss Factor'!$G$54</x:f>
        <x:v>1987596.3246694631</x:v>
      </x:c>
      <x:c r="V28" s="5">
        <x:f>'[1]GS PRI SMALL'!I28</x:f>
        <x:v>1963848</x:v>
      </x:c>
      <x:c r="X28" s="30">
        <x:f t="shared" si="0"/>
        <x:v>0.8758213262102984</x:v>
      </x:c>
      <x:c r="Y28" s="30"/>
      <x:c r="Z28" s="30">
        <x:v>0.85466299999999995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Factor'!$G$54</x:f>
        <x:v>6506.7496163211963</x:v>
      </x:c>
      <x:c r="E29" s="5"/>
      <x:c r="F29" s="5">
        <x:v>6399.8680000000004</x:v>
      </x:c>
      <x:c r="G29" s="5"/>
      <x:c r="H29" s="5">
        <x:f>J29*'[2]Demand Loss Factor'!$G$54</x:f>
        <x:v>3098.4235369742159</x:v>
      </x:c>
      <x:c r="I29" s="5"/>
      <x:c r="J29" s="5">
        <x:v>3047.5279999999998</x:v>
      </x:c>
      <x:c r="K29" s="5"/>
      <x:c r="L29" s="5">
        <x:f>N29*'[2]Demand Loss Factor'!$G$54</x:f>
        <x:v>2772.3961231330322</x:v>
      </x:c>
      <x:c r="N29" s="5">
        <x:v>2726.8560000000002</x:v>
      </x:c>
      <x:c r="O29" s="5"/>
      <x:c r="P29" s="5">
        <x:f>R29*'[2]Demand Loss Factor'!$G$54</x:f>
        <x:v>2655.6585605854921</x:v>
      </x:c>
      <x:c r="R29" s="36">
        <x:v>2612.0360000000001</x:v>
      </x:c>
      <x:c r="S29" s="5"/>
      <x:c r="T29" s="5">
        <x:f>V29*'[2]Energy Loss Factor'!$G$54</x:f>
        <x:v>1957130.3086818713</x:v>
      </x:c>
      <x:c r="V29" s="5">
        <x:f>'[1]GS PRI SMALL'!I30</x:f>
        <x:v>1933746</x:v>
      </x:c>
      <x:c r="X29" s="30">
        <x:f t="shared" si="0"/>
        <x:v>0.89477635644364883</x:v>
      </x:c>
      <x:c r="Y29" s="30"/>
      <x:c r="Z29" s="30">
        <x:v>0.87548599999999999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Factor'!$G$54</x:f>
        <x:v>6660.5235482162525</x:v>
      </x:c>
      <x:c r="E30" s="5"/>
      <x:c r="F30" s="5">
        <x:v>6551.116</x:v>
      </x:c>
      <x:c r="G30" s="5"/>
      <x:c r="H30" s="5">
        <x:f>J30*'[2]Demand Loss Factor'!$G$54</x:f>
        <x:v>2978.77007711448</x:v>
      </x:c>
      <x:c r="I30" s="5"/>
      <x:c r="J30" s="5">
        <x:v>2929.84</x:v>
      </x:c>
      <x:c r="K30" s="5"/>
      <x:c r="L30" s="5">
        <x:f>N30*'[2]Demand Loss Factor'!$G$54</x:f>
        <x:v>2779.9644423771001</x:v>
      </x:c>
      <x:c r="N30" s="5">
        <x:v>2734.3</x:v>
      </x:c>
      <x:c r="O30" s="5"/>
      <x:c r="P30" s="5">
        <x:f>R30*'[2]Demand Loss Factor'!$G$54</x:f>
        <x:v>2824.5467635555501</x:v>
      </x:c>
      <x:c r="R30" s="36">
        <x:v>2778.15</x:v>
      </x:c>
      <x:c r="S30" s="5"/>
      <x:c r="T30" s="5">
        <x:f>V30*'[2]Energy Loss Factor'!$G$54</x:f>
        <x:v>1973056.6002100336</x:v>
      </x:c>
      <x:c r="V30" s="5">
        <x:f>'[1]GS PRI SMALL'!I32</x:f>
        <x:v>1949482</x:v>
      </x:c>
      <x:c r="X30" s="30">
        <x:f t="shared" si="0"/>
        <x:v>0.93325915408349946</x:v>
      </x:c>
      <x:c r="Y30" s="30"/>
      <x:c r="Z30" s="30">
        <x:v>0.90551499999999996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Factor'!$G$54</x:f>
        <x:v>7201.1317232578685</x:v>
      </x:c>
      <x:c r="E31" s="5"/>
      <x:c r="F31" s="5">
        <x:v>7082.8440000000001</x:v>
      </x:c>
      <x:c r="G31" s="5"/>
      <x:c r="H31" s="5">
        <x:f>J31*'[2]Demand Loss Factor'!$G$54</x:f>
        <x:v>2997.0096858246602</x:v>
      </x:c>
      <x:c r="I31" s="5"/>
      <x:c r="J31" s="5">
        <x:v>2947.78</x:v>
      </x:c>
      <x:c r="K31" s="5"/>
      <x:c r="L31" s="5">
        <x:f>N31*'[2]Demand Loss Factor'!$G$54</x:f>
        <x:v>2695.8426349813199</x:v>
      </x:c>
      <x:c r="N31" s="5">
        <x:v>2651.56</x:v>
      </x:c>
      <x:c r="O31" s="5"/>
      <x:c r="P31" s="5">
        <x:f>R31*'[2]Demand Loss Factor'!$G$54</x:f>
        <x:v>2695.8426349813199</x:v>
      </x:c>
      <x:c r="R31" s="36">
        <x:v>2651.56</x:v>
      </x:c>
      <x:c r="S31" s="5"/>
      <x:c r="T31" s="5">
        <x:f>V31*'[2]Energy Loss Factor'!$G$54</x:f>
        <x:v>1976941.0121879878</x:v>
      </x:c>
      <x:c r="V31" s="5">
        <x:f>'[1]GS PRI SMALL'!I34</x:f>
        <x:v>1953320</x:v>
      </x:c>
      <x:c r="X31" s="30">
        <x:f t="shared" si="0"/>
        <x:v>0.89951081831072865</x:v>
      </x:c>
      <x:c r="Y31" s="30"/>
      <x:c r="Z31" s="30">
        <x:v>0.90862449999999995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Factor'!$G$54</x:f>
        <x:v>9556.277988184489</x:v>
      </x:c>
      <x:c r="E32" s="5"/>
      <x:c r="F32" s="5">
        <x:v>9399.3040000000001</x:v>
      </x:c>
      <x:c r="G32" s="5"/>
      <x:c r="H32" s="5">
        <x:f>J32*'[2]Demand Loss Factor'!$G$54</x:f>
        <x:v>4121.1348679036801</x:v>
      </x:c>
      <x:c r="I32" s="5"/>
      <x:c r="J32" s="5">
        <x:v>4053.44</x:v>
      </x:c>
      <x:c r="K32" s="5"/>
      <x:c r="L32" s="5">
        <x:f>N32*'[2]Demand Loss Factor'!$G$54</x:f>
        <x:v>2688.6850627784402</x:v>
      </x:c>
      <x:c r="N32" s="5">
        <x:v>2644.52</x:v>
      </x:c>
      <x:c r="O32" s="5"/>
      <x:c r="P32" s="5">
        <x:f>R32*'[2]Demand Loss Factor'!$G$54</x:f>
        <x:v>2741.7263329239304</x:v>
      </x:c>
      <x:c r="R32" s="36">
        <x:v>2696.69</x:v>
      </x:c>
      <x:c r="S32" s="5"/>
      <x:c r="T32" s="5">
        <x:f>V32*'[2]Energy Loss Factor'!$G$54</x:f>
        <x:v>2024375.7752371691</x:v>
      </x:c>
      <x:c r="V32" s="5">
        <x:f>'[1]GS PRI SMALL'!I36</x:f>
        <x:v>2000188</x:v>
      </x:c>
      <x:c r="X32" s="30">
        <x:f t="shared" si="0"/>
        <x:v>0.65241375226967713</x:v>
      </x:c>
      <x:c r="Y32" s="30"/>
      <x:c r="Z32" s="30">
        <x:v>0.7027485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Factor'!$G$54</x:f>
        <x:v>6184.6710675987606</x:v>
      </x:c>
      <x:c r="E33" s="5"/>
      <x:c r="F33" s="5">
        <x:v>6083.08</x:v>
      </x:c>
      <x:c r="G33" s="5"/>
      <x:c r="H33" s="5">
        <x:f>J33*'[2]Demand Loss Factor'!$G$54</x:f>
        <x:v>4228.0816037021104</x:v>
      </x:c>
      <x:c r="I33" s="5"/>
      <x:c r="J33" s="5">
        <x:v>4158.63</x:v>
      </x:c>
      <x:c r="K33" s="5"/>
      <x:c r="L33" s="5">
        <x:f>N33*'[2]Demand Loss Factor'!$G$54</x:f>
        <x:v>3162.2845348729802</x:v>
      </x:c>
      <x:c r="N33" s="5">
        <x:v>3110.34</x:v>
      </x:c>
      <x:c r="O33" s="5"/>
      <x:c r="P33" s="5">
        <x:f>R33*'[2]Demand Loss Factor'!$G$54</x:f>
        <x:v>3162.2845348729802</x:v>
      </x:c>
      <x:c r="R33" s="36">
        <x:v>3110.34</x:v>
      </x:c>
      <x:c r="S33" s="5"/>
      <x:c r="T33" s="32">
        <x:f>V33*'[2]Energy Loss Factor'!$G$54</x:f>
        <x:v>2285907.6267189854</x:v>
      </x:c>
      <x:c r="V33" s="32">
        <x:f>'[1]GS PRI SMALL'!I38</x:f>
        <x:v>2258595</x:v>
      </x:c>
      <x:c r="X33" s="30">
        <x:f t="shared" si="0"/>
        <x:v>0.74792419618961059</x:v>
      </x:c>
      <x:c r="Y33" s="30"/>
      <x:c r="Z33" s="30">
        <x:v>0.70052000000000003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25302098.136280302</x:v>
      </x:c>
      <x:c r="V34" s="5">
        <x:f>+SUM(V22:V33)</x:f>
        <x:v>24999782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dimension ref="A1:Z40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2" width="7.7109375" style="4" customWidth="1"/>
    <x:col min="3" max="3" width="5.42578125" style="4" customWidth="1"/>
    <x:col min="4" max="4" width="20.5703125" style="5" customWidth="1"/>
    <x:col min="5" max="5" width="2.7109375" style="4" customWidth="1"/>
    <x:col min="6" max="6" width="21.42578125" style="5" customWidth="1"/>
    <x:col min="7" max="7" width="4.570312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4.42578125" style="4" customWidth="1"/>
    <x:col min="12" max="12" width="14.42578125" style="5" customWidth="1"/>
    <x:col min="13" max="13" width="2.7109375" style="5" customWidth="1"/>
    <x:col min="14" max="14" width="14.85546875" style="5" customWidth="1"/>
    <x:col min="15" max="15" width="4.42578125" style="4" customWidth="1"/>
    <x:col min="16" max="16" width="14.42578125" style="5" customWidth="1"/>
    <x:col min="17" max="17" width="2.7109375" style="5" customWidth="1"/>
    <x:col min="18" max="18" width="13.85546875" style="5" customWidth="1"/>
    <x:col min="19" max="19" width="4.140625" style="4" customWidth="1"/>
    <x:col min="20" max="20" width="20.5703125" style="5" customWidth="1"/>
    <x:col min="21" max="21" width="2.7109375" style="5" customWidth="1"/>
    <x:col min="22" max="22" width="21.42578125" style="5" customWidth="1"/>
    <x:col min="23" max="23" width="3.7109375" style="4" customWidth="1"/>
    <x:col min="24" max="24" width="10.5703125" style="4" customWidth="1"/>
    <x:col min="25" max="25" width="1.7109375" style="4" customWidth="1"/>
    <x:col min="26" max="26" width="9.71093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96</x:v>
      </x:c>
    </x:row>
    <x:row r="7" spans="1:26" ht="18.75" customHeight="1" x14ac:dyDescent="0.25">
      <x:c r="A7" s="24" t="s">
        <x:v>107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54</x:v>
      </x:c>
      <x:c r="L14" s="42"/>
    </x:row>
    <x:row r="15" spans="1:26" ht="18.75" customHeight="1" x14ac:dyDescent="0.25">
      <x:c r="A15" s="4" t="s">
        <x:v>35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Factor'!$G$54</x:f>
        <x:v>3430639.9855619613</x:v>
      </x:c>
      <x:c r="E22" s="5"/>
      <x:c r="F22" s="36">
        <x:v>3374287.372</x:v>
      </x:c>
      <x:c r="G22" s="5"/>
      <x:c r="H22" s="5">
        <x:f>J22*'[2]Demand Loss Factor'!$G$54</x:f>
        <x:v>2550219.7239434905</x:v>
      </x:c>
      <x:c r="I22" s="5"/>
      <x:c r="J22" s="5">
        <x:v>2508329.13</x:v>
      </x:c>
      <x:c r="K22" s="5"/>
      <x:c r="L22" s="5">
        <x:f>N22*'[2]Demand Loss Factor'!$G$54</x:f>
        <x:v>2144675.404052495</x:v>
      </x:c>
      <x:c r="N22" s="5">
        <x:v>2109446.39</x:v>
      </x:c>
      <x:c r="O22" s="5"/>
      <x:c r="P22" s="5">
        <x:f>R22*'[2]Demand Loss Factor'!$G$54</x:f>
        <x:v>2005906.3259141918</x:v>
      </x:c>
      <x:c r="R22" s="5">
        <x:v>1972956.77</x:v>
      </x:c>
      <x:c r="S22" s="5"/>
      <x:c r="T22" s="5">
        <x:f>V22*'[2]Energy Loss Factor'!$G$54</x:f>
        <x:v>1853731759.5689156</x:v>
      </x:c>
      <x:c r="V22" s="5">
        <x:f>'[1]GS PRI LRG NONIDR'!I16+'[1]GS PRI LRG IDR '!I16</x:f>
        <x:v>1831582884</x:v>
      </x:c>
      <x:c r="X22" s="30">
        <x:f t="shared" ref="X22:X33" si="0">(N22/J22)</x:f>
        <x:v>0.84097671424802223</x:v>
      </x:c>
      <x:c r="Y22" s="30"/>
      <x:c r="Z22" s="30">
        <x:v>0.93237899999999996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Factor'!$G$54</x:f>
        <x:v>3426529.7578580617</x:v>
      </x:c>
      <x:c r="E23" s="5"/>
      <x:c r="F23" s="36">
        <x:v>3370244.6599999997</x:v>
      </x:c>
      <x:c r="G23" s="5"/>
      <x:c r="H23" s="5">
        <x:f>J23*'[2]Demand Loss Factor'!$G$54</x:f>
        <x:v>2645769.6628967957</x:v>
      </x:c>
      <x:c r="I23" s="5"/>
      <x:c r="J23" s="5">
        <x:v>2602309.54</x:v>
      </x:c>
      <x:c r="K23" s="5"/>
      <x:c r="L23" s="5">
        <x:f>N23*'[2]Demand Loss Factor'!$G$54</x:f>
        <x:v>2521576.6348714544</x:v>
      </x:c>
      <x:c r="N23" s="5">
        <x:v>2480156.54</x:v>
      </x:c>
      <x:c r="O23" s="5"/>
      <x:c r="P23" s="5">
        <x:f>R23*'[2]Demand Loss Factor'!$G$54</x:f>
        <x:v>2521576.6348714544</x:v>
      </x:c>
      <x:c r="R23" s="5">
        <x:v>2480156.54</x:v>
      </x:c>
      <x:c r="S23" s="5"/>
      <x:c r="T23" s="5">
        <x:f>V23*'[2]Energy Loss Factor'!$G$54</x:f>
        <x:v>1799984059.8892536</x:v>
      </x:c>
      <x:c r="V23" s="5">
        <x:f>'[1]GS PRI LRG NONIDR'!I18+'[1]GS PRI LRG IDR '!I18</x:f>
        <x:v>1778477376</x:v>
      </x:c>
      <x:c r="X23" s="30">
        <x:f t="shared" si="0"/>
        <x:v>0.95305977320438218</x:v>
      </x:c>
      <x:c r="Y23" s="30"/>
      <x:c r="Z23" s="30">
        <x:v>0.92661090000000002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Factor'!$G$54</x:f>
        <x:v>3468715.3537839707</x:v>
      </x:c>
      <x:c r="E24" s="5"/>
      <x:c r="F24" s="36">
        <x:v>3411737.304</x:v>
      </x:c>
      <x:c r="G24" s="5"/>
      <x:c r="H24" s="5">
        <x:f>J24*'[2]Demand Loss Factor'!$G$54</x:f>
        <x:v>2579863.5310791419</x:v>
      </x:c>
      <x:c r="I24" s="5"/>
      <x:c r="J24" s="5">
        <x:v>2537486</x:v>
      </x:c>
      <x:c r="K24" s="5"/>
      <x:c r="L24" s="5">
        <x:f>N24*'[2]Demand Loss Factor'!$G$54</x:f>
        <x:v>2426038.9471603436</x:v>
      </x:c>
      <x:c r="N24" s="5">
        <x:v>2386188.1800000002</x:v>
      </x:c>
      <x:c r="O24" s="5"/>
      <x:c r="P24" s="5">
        <x:f>R24*'[2]Demand Loss Factor'!$G$54</x:f>
        <x:v>2554555.0979611943</x:v>
      </x:c>
      <x:c r="R24" s="5">
        <x:v>2512593.29</x:v>
      </x:c>
      <x:c r="S24" s="5"/>
      <x:c r="T24" s="5">
        <x:f>V24*'[2]Energy Loss Factor'!$G$54</x:f>
        <x:v>1446732716.7506979</x:v>
      </x:c>
      <x:c r="V24" s="5">
        <x:f>'[1]GS PRI LRG NONIDR'!I20+'[1]GS PRI LRG IDR '!I20</x:f>
        <x:v>1429446773</x:v>
      </x:c>
      <x:c r="X24" s="30">
        <x:f t="shared" si="0"/>
        <x:v>0.94037491438376419</x:v>
      </x:c>
      <x:c r="Y24" s="30"/>
      <x:c r="Z24" s="30">
        <x:v>0.928956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Factor'!$G$54</x:f>
        <x:v>3564960.051023433</x:v>
      </x:c>
      <x:c r="E25" s="5"/>
      <x:c r="F25" s="36">
        <x:v>3506401.06</x:v>
      </x:c>
      <x:c r="G25" s="5"/>
      <x:c r="H25" s="5">
        <x:f>J25*'[2]Demand Loss Factor'!$G$54</x:f>
        <x:v>2634630.2946428307</x:v>
      </x:c>
      <x:c r="I25" s="5"/>
      <x:c r="J25" s="5">
        <x:v>2591353.15</x:v>
      </x:c>
      <x:c r="K25" s="5"/>
      <x:c r="L25" s="5">
        <x:f>N25*'[2]Demand Loss Factor'!$G$54</x:f>
        <x:v>2619454.1675035073</x:v>
      </x:c>
      <x:c r="N25" s="5">
        <x:v>2576426.31</x:v>
      </x:c>
      <x:c r="O25" s="5"/>
      <x:c r="P25" s="5">
        <x:f>R25*'[2]Demand Loss Factor'!$G$54</x:f>
        <x:v>2619454.1675035073</x:v>
      </x:c>
      <x:c r="R25" s="5">
        <x:v>2576426.31</x:v>
      </x:c>
      <x:c r="S25" s="5"/>
      <x:c r="T25" s="5">
        <x:f>V25*'[2]Energy Loss Factor'!$G$54</x:f>
        <x:v>1835758281.7190962</x:v>
      </x:c>
      <x:c r="V25" s="5">
        <x:f>'[1]GS PRI LRG NONIDR'!I22+'[1]GS PRI LRG IDR '!I22</x:f>
        <x:v>1813824158</x:v>
      </x:c>
      <x:c r="X25" s="30">
        <x:f t="shared" si="0"/>
        <x:v>0.9942397507649624</x:v>
      </x:c>
      <x:c r="Y25" s="30"/>
      <x:c r="Z25" s="30">
        <x:v>0.9164447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Factor'!$G$54</x:f>
        <x:v>3681007.7822159086</x:v>
      </x:c>
      <x:c r="E26" s="5"/>
      <x:c r="F26" s="36">
        <x:v>3620542.56</x:v>
      </x:c>
      <x:c r="G26" s="5"/>
      <x:c r="H26" s="5">
        <x:f>J26*'[2]Demand Loss Factor'!$G$54</x:f>
        <x:v>2747025.5492745955</x:v>
      </x:c>
      <x:c r="I26" s="5"/>
      <x:c r="J26" s="5">
        <x:v>2701902.17</x:v>
      </x:c>
      <x:c r="K26" s="5"/>
      <x:c r="L26" s="5">
        <x:f>N26*'[2]Demand Loss Factor'!$G$54</x:f>
        <x:v>2542034.0437629125</x:v>
      </x:c>
      <x:c r="N26" s="5">
        <x:v>2500277.91</x:v>
      </x:c>
      <x:c r="O26" s="5"/>
      <x:c r="P26" s="5">
        <x:f>R26*'[2]Demand Loss Factor'!$G$54</x:f>
        <x:v>2543984.5533572389</x:v>
      </x:c>
      <x:c r="R26" s="5">
        <x:v>2502196.38</x:v>
      </x:c>
      <x:c r="S26" s="5"/>
      <x:c r="T26" s="5">
        <x:f>V26*'[2]Energy Loss Factor'!$G$54</x:f>
        <x:v>1592817678.3692284</x:v>
      </x:c>
      <x:c r="V26" s="5">
        <x:f>'[1]GS PRI LRG NONIDR'!I24+'[1]GS PRI LRG IDR '!I24</x:f>
        <x:v>1573786273</x:v>
      </x:c>
      <x:c r="X26" s="30">
        <x:f t="shared" si="0"/>
        <x:v>0.92537692066030663</x:v>
      </x:c>
      <x:c r="Y26" s="30"/>
      <x:c r="Z26" s="30">
        <x:v>0.91381069999999998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Factor'!$G$54</x:f>
        <x:v>3723678.3890614118</x:v>
      </x:c>
      <x:c r="E27" s="5"/>
      <x:c r="F27" s="36">
        <x:v>3662512.2479999997</x:v>
      </x:c>
      <x:c r="G27" s="5"/>
      <x:c r="H27" s="5">
        <x:f>J27*'[2]Demand Loss Factor'!$G$54</x:f>
        <x:v>2835043.1500179605</x:v>
      </x:c>
      <x:c r="I27" s="5"/>
      <x:c r="J27" s="5">
        <x:v>2788473.97</x:v>
      </x:c>
      <x:c r="K27" s="5"/>
      <x:c r="L27" s="5">
        <x:f>N27*'[2]Demand Loss Factor'!$G$54</x:f>
        <x:v>2782151.7720414856</x:v>
      </x:c>
      <x:c r="N27" s="5">
        <x:v>2736451.4</x:v>
      </x:c>
      <x:c r="O27" s="5"/>
      <x:c r="P27" s="5">
        <x:f>R27*'[2]Demand Loss Factor'!$G$54</x:f>
        <x:v>2626687.2297257143</x:v>
      </x:c>
      <x:c r="R27" s="5">
        <x:v>2583540.56</x:v>
      </x:c>
      <x:c r="S27" s="5"/>
      <x:c r="T27" s="5">
        <x:f>V27*'[2]Energy Loss Factor'!$G$54</x:f>
        <x:v>1846816408.1275222</x:v>
      </x:c>
      <x:c r="V27" s="5">
        <x:f>'[1]GS PRI LRG NONIDR'!I26+'[1]GS PRI LRG IDR '!I26</x:f>
        <x:v>1824750159</x:v>
      </x:c>
      <x:c r="X27" s="30">
        <x:f t="shared" si="0"/>
        <x:v>0.98134371324255165</x:v>
      </x:c>
      <x:c r="Y27" s="30"/>
      <x:c r="Z27" s="30">
        <x:v>0.92812099999999997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Factor'!$G$54</x:f>
        <x:v>3719523.841345089</x:v>
      </x:c>
      <x:c r="E28" s="5"/>
      <x:c r="F28" s="36">
        <x:v>3658425.9440000001</x:v>
      </x:c>
      <x:c r="G28" s="5"/>
      <x:c r="H28" s="5">
        <x:f>J28*'[2]Demand Loss Factor'!$G$54</x:f>
        <x:v>2885645.3757652594</x:v>
      </x:c>
      <x:c r="I28" s="5"/>
      <x:c r="J28" s="5">
        <x:v>2838244.99</x:v>
      </x:c>
      <x:c r="K28" s="5"/>
      <x:c r="L28" s="5">
        <x:f>N28*'[2]Demand Loss Factor'!$G$54</x:f>
        <x:v>2778319.563149238</x:v>
      </x:c>
      <x:c r="N28" s="5">
        <x:v>2732682.14</x:v>
      </x:c>
      <x:c r="O28" s="5"/>
      <x:c r="P28" s="5">
        <x:f>R28*'[2]Demand Loss Factor'!$G$54</x:f>
        <x:v>2697183.2767225364</x:v>
      </x:c>
      <x:c r="R28" s="5">
        <x:v>2652878.62</x:v>
      </x:c>
      <x:c r="S28" s="5"/>
      <x:c r="T28" s="5">
        <x:f>V28*'[2]Energy Loss Factor'!$G$54</x:f>
        <x:v>1940174282.614068</x:v>
      </x:c>
      <x:c r="V28" s="5">
        <x:f>'[1]GS PRI LRG NONIDR'!I28+'[1]GS PRI LRG IDR '!I28</x:f>
        <x:v>1916992569</x:v>
      </x:c>
      <x:c r="X28" s="30">
        <x:f t="shared" si="0"/>
        <x:v>0.96280699856005025</x:v>
      </x:c>
      <x:c r="Y28" s="30"/>
      <x:c r="Z28" s="30">
        <x:v>0.91650799999999999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Factor'!$G$54</x:f>
        <x:v>3742011.6643641922</x:v>
      </x:c>
      <x:c r="E29" s="5"/>
      <x:c r="F29" s="36">
        <x:v>3680544.3759999997</x:v>
      </x:c>
      <x:c r="G29" s="5"/>
      <x:c r="H29" s="5">
        <x:f>J29*'[2]Demand Loss Factor'!$G$54</x:f>
        <x:v>2897676.6242839303</x:v>
      </x:c>
      <x:c r="I29" s="5"/>
      <x:c r="J29" s="5">
        <x:v>2850078.61</x:v>
      </x:c>
      <x:c r="K29" s="5"/>
      <x:c r="L29" s="5">
        <x:f>N29*'[2]Demand Loss Factor'!$G$54</x:f>
        <x:v>2829243.666138541</x:v>
      </x:c>
      <x:c r="N29" s="5">
        <x:v>2782769.75</x:v>
      </x:c>
      <x:c r="O29" s="5"/>
      <x:c r="P29" s="5">
        <x:f>R29*'[2]Demand Loss Factor'!$G$54</x:f>
        <x:v>2754141.3452499448</x:v>
      </x:c>
      <x:c r="R29" s="5">
        <x:v>2708901.08</x:v>
      </x:c>
      <x:c r="S29" s="5"/>
      <x:c r="T29" s="5">
        <x:f>V29*'[2]Energy Loss Factor'!$G$54</x:f>
        <x:v>1917088814.3557076</x:v>
      </x:c>
      <x:c r="V29" s="5">
        <x:f>'[1]GS PRI LRG NONIDR'!I30+'[1]GS PRI LRG IDR '!I30</x:f>
        <x:v>1894182932</x:v>
      </x:c>
      <x:c r="X29" s="30">
        <x:f t="shared" si="0"/>
        <x:v>0.97638350754121839</x:v>
      </x:c>
      <x:c r="Y29" s="30"/>
      <x:c r="Z29" s="30">
        <x:v>0.93610539999999998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Factor'!$G$54</x:f>
        <x:v>3686440.8024653429</x:v>
      </x:c>
      <x:c r="E30" s="5"/>
      <x:c r="F30" s="36">
        <x:v>3625886.3360000001</x:v>
      </x:c>
      <x:c r="G30" s="5"/>
      <x:c r="H30" s="5">
        <x:f>J30*'[2]Demand Loss Factor'!$G$54</x:f>
        <x:v>2827962.3793781772</x:v>
      </x:c>
      <x:c r="I30" s="5"/>
      <x:c r="J30" s="5">
        <x:v>2781509.51</x:v>
      </x:c>
      <x:c r="K30" s="5"/>
      <x:c r="L30" s="5">
        <x:f>N30*'[2]Demand Loss Factor'!$G$54</x:f>
        <x:v>2790450.1229822235</x:v>
      </x:c>
      <x:c r="N30" s="5">
        <x:v>2744613.44</x:v>
      </x:c>
      <x:c r="O30" s="5"/>
      <x:c r="P30" s="5">
        <x:f>R30*'[2]Demand Loss Factor'!$G$54</x:f>
        <x:v>2717256.7082995251</x:v>
      </x:c>
      <x:c r="R30" s="5">
        <x:v>2672622.3199999998</x:v>
      </x:c>
      <x:c r="S30" s="5"/>
      <x:c r="T30" s="5">
        <x:f>V30*'[2]Energy Loss Factor'!$G$54</x:f>
        <x:v>1957776985.3450589</x:v>
      </x:c>
      <x:c r="V30" s="5">
        <x:f>'[1]GS PRI LRG NONIDR'!I32+'[1]GS PRI LRG IDR '!I32</x:f>
        <x:v>1934384950</x:v>
      </x:c>
      <x:c r="X30" s="30">
        <x:f t="shared" si="0"/>
        <x:v>0.9867352349983517</x:v>
      </x:c>
      <x:c r="Y30" s="30"/>
      <x:c r="Z30" s="30">
        <x:v>0.92305000000000004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Factor'!$G$54</x:f>
        <x:v>3704169.1734473272</x:v>
      </x:c>
      <x:c r="E31" s="5"/>
      <x:c r="F31" s="36">
        <x:v>3643323.4959999998</x:v>
      </x:c>
      <x:c r="G31" s="5"/>
      <x:c r="H31" s="5">
        <x:f>J31*'[2]Demand Loss Factor'!$G$54</x:f>
        <x:v>2845007.8834041869</x:v>
      </x:c>
      <x:c r="I31" s="5"/>
      <x:c r="J31" s="5">
        <x:v>2798275.02</x:v>
      </x:c>
      <x:c r="K31" s="5"/>
      <x:c r="L31" s="5">
        <x:f>N31*'[2]Demand Loss Factor'!$G$54</x:f>
        <x:v>2760978.6465977635</x:v>
      </x:c>
      <x:c r="N31" s="5">
        <x:v>2715626.07</x:v>
      </x:c>
      <x:c r="O31" s="5"/>
      <x:c r="P31" s="5">
        <x:f>R31*'[2]Demand Loss Factor'!$G$54</x:f>
        <x:v>2760978.6465977635</x:v>
      </x:c>
      <x:c r="R31" s="5">
        <x:v>2715626.07</x:v>
      </x:c>
      <x:c r="S31" s="5"/>
      <x:c r="T31" s="5">
        <x:f>V31*'[2]Energy Loss Factor'!$G$54</x:f>
        <x:v>1919504741.4897637</x:v>
      </x:c>
      <x:c r="V31" s="5">
        <x:f>'[1]GS PRI LRG NONIDR'!I34+'[1]GS PRI LRG IDR '!I34</x:f>
        <x:v>1896569993</x:v>
      </x:c>
      <x:c r="X31" s="30">
        <x:f t="shared" si="0"/>
        <x:v>0.97046432198076082</x:v>
      </x:c>
      <x:c r="Y31" s="30"/>
      <x:c r="Z31" s="30">
        <x:v>0.91584299999999996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Factor'!$G$54</x:f>
        <x:v>3659381.5885519474</x:v>
      </x:c>
      <x:c r="E32" s="5"/>
      <x:c r="F32" s="36">
        <x:v>3599271.6039999998</x:v>
      </x:c>
      <x:c r="G32" s="5"/>
      <x:c r="H32" s="5">
        <x:f>J32*'[2]Demand Loss Factor'!$G$54</x:f>
        <x:v>2714305.5314766131</x:v>
      </x:c>
      <x:c r="I32" s="5"/>
      <x:c r="J32" s="5">
        <x:v>2669719.62</x:v>
      </x:c>
      <x:c r="K32" s="5"/>
      <x:c r="L32" s="5">
        <x:f>N32*'[2]Demand Loss Factor'!$G$54</x:f>
        <x:v>2701675.7716505001</x:v>
      </x:c>
      <x:c r="N32" s="5">
        <x:v>2657297.3199999998</x:v>
      </x:c>
      <x:c r="O32" s="5"/>
      <x:c r="P32" s="5">
        <x:f>R32*'[2]Demand Loss Factor'!$G$54</x:f>
        <x:v>2699916.7677806243</x:v>
      </x:c>
      <x:c r="R32" s="5">
        <x:v>2655567.21</x:v>
      </x:c>
      <x:c r="S32" s="5"/>
      <x:c r="T32" s="5">
        <x:f>V32*'[2]Energy Loss Factor'!$G$54</x:f>
        <x:v>1837550917.605067</x:v>
      </x:c>
      <x:c r="V32" s="5">
        <x:f>'[1]GS PRI LRG NONIDR'!I36+'[1]GS PRI LRG IDR '!I36</x:f>
        <x:v>1815595375</x:v>
      </x:c>
      <x:c r="X32" s="30">
        <x:f t="shared" si="0"/>
        <x:v>0.99534696456251825</x:v>
      </x:c>
      <x:c r="Y32" s="30"/>
      <x:c r="Z32" s="30">
        <x:v>0.93223100000000003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Factor'!$G$54</x:f>
        <x:v>3631967.5827314211</x:v>
      </x:c>
      <x:c r="E33" s="5"/>
      <x:c r="F33" s="36">
        <x:v>3572307.9079999998</x:v>
      </x:c>
      <x:c r="G33" s="5"/>
      <x:c r="H33" s="5">
        <x:f>J33*'[2]Demand Loss Factor'!$G$54</x:f>
        <x:v>2736551.3065511882</x:v>
      </x:c>
      <x:c r="I33" s="5"/>
      <x:c r="J33" s="5">
        <x:v>2691599.98</x:v>
      </x:c>
      <x:c r="K33" s="5"/>
      <x:c r="L33" s="5">
        <x:f>N33*'[2]Demand Loss Factor'!$G$54</x:f>
        <x:v>2609210.1667972966</x:v>
      </x:c>
      <x:c r="N33" s="5">
        <x:v>2566350.58</x:v>
      </x:c>
      <x:c r="O33" s="5"/>
      <x:c r="P33" s="5">
        <x:f>R33*'[2]Demand Loss Factor'!$G$54</x:f>
        <x:v>2609210.1667972966</x:v>
      </x:c>
      <x:c r="R33" s="5">
        <x:v>2566350.58</x:v>
      </x:c>
      <x:c r="S33" s="5"/>
      <x:c r="T33" s="32">
        <x:f>V33*'[2]Energy Loss Factor'!$G$54</x:f>
        <x:v>1875484546.6007864</x:v>
      </x:c>
      <x:c r="V33" s="32">
        <x:f>'[1]GS PRI LRG NONIDR'!I38+'[1]GS PRI LRG IDR '!I38</x:f>
        <x:v>1853075763</x:v>
      </x:c>
      <x:c r="X33" s="30">
        <x:f t="shared" si="0"/>
        <x:v>0.95346656229355453</x:v>
      </x:c>
      <x:c r="Y33" s="30"/>
      <x:c r="Z33" s="30">
        <x:v>0.92813199999999996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21823421192.435165</x:v>
      </x:c>
      <x:c r="V34" s="5">
        <x:f>+SUM(V22:V33)</x:f>
        <x:v>21562669205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Z41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2" width="7.7109375" style="4" customWidth="1"/>
    <x:col min="3" max="3" width="5.2851562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4.28515625" style="5" customWidth="1"/>
    <x:col min="13" max="13" width="2.7109375" style="5" customWidth="1"/>
    <x:col min="14" max="14" width="15.140625" style="5" customWidth="1"/>
    <x:col min="15" max="15" width="5.7109375" style="4" customWidth="1"/>
    <x:col min="16" max="16" width="13.85546875" style="5" customWidth="1"/>
    <x:col min="17" max="17" width="2.7109375" style="5" customWidth="1"/>
    <x:col min="18" max="18" width="13.85546875" style="5" customWidth="1"/>
    <x:col min="19" max="19" width="4.140625" style="4" customWidth="1"/>
    <x:col min="20" max="20" width="20.140625" style="5" customWidth="1"/>
    <x:col min="21" max="21" width="2.7109375" style="5" customWidth="1"/>
    <x:col min="22" max="22" width="20.140625" style="5" customWidth="1"/>
    <x:col min="23" max="23" width="3.7109375" style="4" customWidth="1"/>
    <x:col min="24" max="24" width="9.85546875" style="4" customWidth="1"/>
    <x:col min="25" max="25" width="1.7109375" style="4" customWidth="1"/>
    <x:col min="26" max="26" width="9.71093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97</x:v>
      </x:c>
    </x:row>
    <x:row r="7" spans="1:26" ht="18.75" customHeight="1" x14ac:dyDescent="0.25">
      <x:c r="A7" s="24" t="s">
        <x:v>105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53</x:v>
      </x:c>
      <x:c r="J14" s="40"/>
    </x:row>
    <x:row r="15" spans="1:26" ht="18.75" customHeight="1" x14ac:dyDescent="0.25">
      <x:c r="A15" s="4" t="s">
        <x:v>35</x:v>
      </x:c>
      <x:c r="J15" s="42"/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R21" s="5" t="s">
        <x:v>5</x:v>
      </x:c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Factor'!$G$53</x:f>
        <x:v>1353225.8189999999</x:v>
      </x:c>
      <x:c r="E22" s="5"/>
      <x:c r="F22" s="5">
        <x:v>1350390</x:v>
      </x:c>
      <x:c r="G22" s="5"/>
      <x:c r="H22" s="5">
        <x:f>J22*'[2]Demand Loss Factor'!$G$53</x:f>
        <x:v>1148217.2031</x:v>
      </x:c>
      <x:c r="I22" s="5"/>
      <x:c r="J22" s="5">
        <x:v>1145811</x:v>
      </x:c>
      <x:c r="K22" s="5"/>
      <x:c r="L22" s="5">
        <x:f>N22*'[2]Demand Loss Factor'!$G$53</x:f>
        <x:v>942526.15709999995</x:v>
      </x:c>
      <x:c r="N22" s="5">
        <x:v>940551</x:v>
      </x:c>
      <x:c r="O22" s="5"/>
      <x:c r="P22" s="5">
        <x:f>R22*'[2]Demand Loss Factor'!$G$53</x:f>
        <x:v>674554.59609999997</x:v>
      </x:c>
      <x:c r="R22" s="5">
        <x:v>673141</x:v>
      </x:c>
      <x:c r="S22" s="5"/>
      <x:c r="T22" s="5">
        <x:f>V22*'[2]Energy Loss Factor'!$G$53</x:f>
        <x:v>763956832.57884002</x:v>
      </x:c>
      <x:c r="V22" s="5">
        <x:f>'[1]GS PRI LRG SUB'!I16</x:f>
        <x:v>760814668</x:v>
      </x:c>
      <x:c r="X22" s="30">
        <x:f>(N22/J22)</x:f>
        <x:v>0.82086050840845481</x:v>
      </x:c>
      <x:c r="Y22" s="30"/>
      <x:c r="Z22" s="30">
        <x:v>0.92330000000000001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Factor'!$G$53</x:f>
        <x:v>1376653.9149</x:v>
      </x:c>
      <x:c r="E23" s="5"/>
      <x:c r="F23" s="5">
        <x:v>1373769</x:v>
      </x:c>
      <x:c r="G23" s="5"/>
      <x:c r="H23" s="5">
        <x:f>J23*'[2]Demand Loss Factor'!$G$53</x:f>
        <x:v>1203494.0412000001</x:v>
      </x:c>
      <x:c r="I23" s="5"/>
      <x:c r="J23" s="5">
        <x:v>1200972</x:v>
      </x:c>
      <x:c r="K23" s="5"/>
      <x:c r="L23" s="5">
        <x:f>N23*'[2]Demand Loss Factor'!$G$53</x:f>
        <x:v>1116803.3722999999</x:v>
      </x:c>
      <x:c r="N23" s="5">
        <x:v>1114463</x:v>
      </x:c>
      <x:c r="O23" s="5"/>
      <x:c r="P23" s="5">
        <x:f>R23*'[2]Demand Loss Factor'!$G$53</x:f>
        <x:v>1116803.3722999999</x:v>
      </x:c>
      <x:c r="R23" s="5">
        <x:v>1114463</x:v>
      </x:c>
      <x:c r="S23" s="5"/>
      <x:c r="T23" s="5">
        <x:f>V23*'[2]Energy Loss Factor'!$G$53</x:f>
        <x:v>694750714.89947999</x:v>
      </x:c>
      <x:c r="V23" s="5">
        <x:f>'[1]GS PRI LRG SUB'!I18</x:f>
        <x:v>691893196</x:v>
      </x:c>
      <x:c r="X23" s="30">
        <x:f>(N23/J23)</x:f>
        <x:v>0.92796751298115199</x:v>
      </x:c>
      <x:c r="Y23" s="30"/>
      <x:c r="Z23" s="30">
        <x:v>0.93300000000000005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Factor'!$G$53</x:f>
        <x:v>1407298.1329000001</x:v>
      </x:c>
      <x:c r="E24" s="5"/>
      <x:c r="F24" s="5">
        <x:v>1404349</x:v>
      </x:c>
      <x:c r="G24" s="5"/>
      <x:c r="H24" s="5">
        <x:f>J24*'[2]Demand Loss Factor'!$G$53</x:f>
        <x:v>1175111.5629</x:v>
      </x:c>
      <x:c r="I24" s="5"/>
      <x:c r="J24" s="5">
        <x:v>1172649</x:v>
      </x:c>
      <x:c r="K24" s="5"/>
      <x:c r="L24" s="5">
        <x:f>N24*'[2]Demand Loss Factor'!$G$53</x:f>
        <x:v>1128766.4421000001</x:v>
      </x:c>
      <x:c r="N24" s="5">
        <x:v>1126401</x:v>
      </x:c>
      <x:c r="O24" s="5"/>
      <x:c r="P24" s="5">
        <x:f>R24*'[2]Demand Loss Factor'!$G$53</x:f>
        <x:v>1111316.8747999999</x:v>
      </x:c>
      <x:c r="R24" s="5">
        <x:v>1108988</x:v>
      </x:c>
      <x:c r="S24" s="5"/>
      <x:c r="T24" s="5">
        <x:f>V24*'[2]Energy Loss Factor'!$G$53</x:f>
        <x:v>1192103461.33812</x:v>
      </x:c>
      <x:c r="V24" s="5">
        <x:f>'[1]GS PRI LRG SUB'!I20</x:f>
        <x:v>1187200324</x:v>
      </x:c>
      <x:c r="X24" s="30">
        <x:f>(N24/J24)</x:f>
        <x:v>0.96056108861219347</x:v>
      </x:c>
      <x:c r="Y24" s="30"/>
      <x:c r="Z24" s="30">
        <x:v>0.93889999999999996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Factor'!$G$53</x:f>
        <x:v>1400131.1137000001</x:v>
      </x:c>
      <x:c r="E25" s="5"/>
      <x:c r="F25" s="5">
        <x:v>1397197</x:v>
      </x:c>
      <x:c r="G25" s="5"/>
      <x:c r="H25" s="5">
        <x:f>J25*'[2]Demand Loss Factor'!$G$53</x:f>
        <x:v>1172176.412</x:v>
      </x:c>
      <x:c r="I25" s="5"/>
      <x:c r="J25" s="5">
        <x:v>1169720</x:v>
      </x:c>
      <x:c r="K25" s="5"/>
      <x:c r="L25" s="5">
        <x:f>N25*'[2]Demand Loss Factor'!$G$53</x:f>
        <x:v>1118303.5160000001</x:v>
      </x:c>
      <x:c r="N25" s="5">
        <x:v>1115960</x:v>
      </x:c>
      <x:c r="O25" s="5"/>
      <x:c r="P25" s="5">
        <x:f>R25*'[2]Demand Loss Factor'!$G$53</x:f>
        <x:v>1118303.5160000001</x:v>
      </x:c>
      <x:c r="R25" s="5">
        <x:v>1115960</x:v>
      </x:c>
      <x:c r="S25" s="5"/>
      <x:c r="T25" s="5">
        <x:f>V25*'[2]Energy Loss Factor'!$G$53</x:f>
        <x:v>810595083.32235003</x:v>
      </x:c>
      <x:c r="V25" s="5">
        <x:f>'[1]GS PRI LRG SUB'!I22</x:f>
        <x:v>807261095</x:v>
      </x:c>
      <x:c r="X25" s="30">
        <x:f t="shared" ref="X25:X33" si="0">(N25/J25)</x:f>
        <x:v>0.95404028314468414</x:v>
      </x:c>
      <x:c r="Y25" s="30"/>
      <x:c r="Z25" s="30">
        <x:v>0.9486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Factor'!$G$53</x:f>
        <x:v>1376259.0874999999</x:v>
      </x:c>
      <x:c r="E26" s="5"/>
      <x:c r="F26" s="5">
        <x:v>1373375</x:v>
      </x:c>
      <x:c r="G26" s="5"/>
      <x:c r="H26" s="5">
        <x:f>J26*'[2]Demand Loss Factor'!$G$53</x:f>
        <x:v>1152321.8047</x:v>
      </x:c>
      <x:c r="I26" s="5"/>
      <x:c r="J26" s="5">
        <x:v>1149907</x:v>
      </x:c>
      <x:c r="K26" s="5"/>
      <x:c r="L26" s="5">
        <x:f>N26*'[2]Demand Loss Factor'!$G$53</x:f>
        <x:v>1085083.9010000001</x:v>
      </x:c>
      <x:c r="N26" s="5">
        <x:v>1082810</x:v>
      </x:c>
      <x:c r="O26" s="5"/>
      <x:c r="P26" s="5">
        <x:f>R26*'[2]Demand Loss Factor'!$G$53</x:f>
        <x:v>1037049.2396</x:v>
      </x:c>
      <x:c r="R26" s="5">
        <x:v>1034876</x:v>
      </x:c>
      <x:c r="S26" s="5"/>
      <x:c r="T26" s="5">
        <x:f>V26*'[2]Energy Loss Factor'!$G$53</x:f>
        <x:v>917419798.79306996</x:v>
      </x:c>
      <x:c r="V26" s="5">
        <x:f>'[1]GS PRI LRG SUB'!I24</x:f>
        <x:v>913646439</x:v>
      </x:c>
      <x:c r="X26" s="30">
        <x:f t="shared" si="0"/>
        <x:v>0.94165006387473071</x:v>
      </x:c>
      <x:c r="Y26" s="30"/>
      <x:c r="Z26" s="30">
        <x:v>0.92589999999999995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Factor'!$G$53</x:f>
        <x:v>1420414.6198</x:v>
      </x:c>
      <x:c r="E27" s="5"/>
      <x:c r="F27" s="5">
        <x:v>1417438</x:v>
      </x:c>
      <x:c r="G27" s="5"/>
      <x:c r="H27" s="5">
        <x:f>J27*'[2]Demand Loss Factor'!$G$53</x:f>
        <x:v>1218266.9994000001</x:v>
      </x:c>
      <x:c r="I27" s="5"/>
      <x:c r="J27" s="5">
        <x:v>1215714</x:v>
      </x:c>
      <x:c r="K27" s="5"/>
      <x:c r="L27" s="5">
        <x:f>N27*'[2]Demand Loss Factor'!$G$53</x:f>
        <x:v>1005476.0749</x:v>
      </x:c>
      <x:c r="N27" s="5">
        <x:v>1003369</x:v>
      </x:c>
      <x:c r="O27" s="5"/>
      <x:c r="P27" s="5">
        <x:f>R27*'[2]Demand Loss Factor'!$G$53</x:f>
        <x:v>1164898.1597</x:v>
      </x:c>
      <x:c r="R27" s="5">
        <x:v>1162457</x:v>
      </x:c>
      <x:c r="S27" s="5"/>
      <x:c r="T27" s="5">
        <x:f>V27*'[2]Energy Loss Factor'!$G$53</x:f>
        <x:v>805501988.35523999</x:v>
      </x:c>
      <x:c r="V27" s="5">
        <x:f>'[1]GS PRI LRG SUB'!I26</x:f>
        <x:v>802188948</x:v>
      </x:c>
      <x:c r="X27" s="30">
        <x:f t="shared" si="0"/>
        <x:v>0.82533309643551034</x:v>
      </x:c>
      <x:c r="Y27" s="30">
        <x:v>0.92559100000000005</x:v>
      </x:c>
      <x:c r="Z27" s="30">
        <x:v>0.91339999999999999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Factor'!$G$53</x:f>
        <x:v>1423646.3922999999</x:v>
      </x:c>
      <x:c r="E28" s="5"/>
      <x:c r="F28" s="5">
        <x:v>1420663</x:v>
      </x:c>
      <x:c r="G28" s="5"/>
      <x:c r="H28" s="5">
        <x:f>J28*'[2]Demand Loss Factor'!$G$53</x:f>
        <x:v>1225972.1462999999</x:v>
      </x:c>
      <x:c r="I28" s="5"/>
      <x:c r="J28" s="5">
        <x:v>1223403</x:v>
      </x:c>
      <x:c r="K28" s="5"/>
      <x:c r="L28" s="5">
        <x:f>N28*'[2]Demand Loss Factor'!$G$53</x:f>
        <x:v>1166706.9502000001</x:v>
      </x:c>
      <x:c r="N28" s="5">
        <x:v>1164262</x:v>
      </x:c>
      <x:c r="O28" s="5"/>
      <x:c r="P28" s="5">
        <x:f>R28*'[2]Demand Loss Factor'!$G$53</x:f>
        <x:v>886158.03209999995</x:v>
      </x:c>
      <x:c r="R28" s="5">
        <x:v>884301</x:v>
      </x:c>
      <x:c r="S28" s="5"/>
      <x:c r="T28" s="5">
        <x:f>V28*'[2]Energy Loss Factor'!$G$53</x:f>
        <x:v>789959488.84875</x:v>
      </x:c>
      <x:c r="V28" s="5">
        <x:f>'[1]GS PRI LRG SUB'!I28</x:f>
        <x:v>786710375</x:v>
      </x:c>
      <x:c r="X28" s="30">
        <x:f t="shared" si="0"/>
        <x:v>0.95165861126709683</x:v>
      </x:c>
      <x:c r="Y28" s="30"/>
      <x:c r="Z28" s="30">
        <x:v>0.92500000000000004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Factor'!$G$53</x:f>
        <x:v>1417685.9014999999</x:v>
      </x:c>
      <x:c r="E29" s="5"/>
      <x:c r="F29" s="5">
        <x:v>1414715</x:v>
      </x:c>
      <x:c r="G29" s="5"/>
      <x:c r="H29" s="5">
        <x:f>J29*'[2]Demand Loss Factor'!$G$53</x:f>
        <x:v>1218301.0708000001</x:v>
      </x:c>
      <x:c r="I29" s="5"/>
      <x:c r="J29" s="5">
        <x:v>1215748</x:v>
      </x:c>
      <x:c r="K29" s="5"/>
      <x:c r="L29" s="5">
        <x:f>N29*'[2]Demand Loss Factor'!$G$53</x:f>
        <x:v>1006686.6117</x:v>
      </x:c>
      <x:c r="N29" s="5">
        <x:v>1004577</x:v>
      </x:c>
      <x:c r="O29" s="5"/>
      <x:c r="P29" s="5">
        <x:f>R29*'[2]Demand Loss Factor'!$G$53</x:f>
        <x:v>927911.5307</x:v>
      </x:c>
      <x:c r="R29" s="5">
        <x:v>925967</x:v>
      </x:c>
      <x:c r="S29" s="5"/>
      <x:c r="T29" s="5">
        <x:f>V29*'[2]Energy Loss Factor'!$G$53</x:f>
        <x:v>797307541.48664999</x:v>
      </x:c>
      <x:c r="V29" s="5">
        <x:f>'[1]GS PRI LRG SUB'!I30</x:f>
        <x:v>794028205</x:v>
      </x:c>
      <x:c r="X29" s="30">
        <x:f t="shared" si="0"/>
        <x:v>0.82630364187315131</x:v>
      </x:c>
      <x:c r="Y29" s="30"/>
      <x:c r="Z29" s="30">
        <x:v>0.91210000000000002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Factor'!$G$53</x:f>
        <x:v>1397982.6113</x:v>
      </x:c>
      <x:c r="E30" s="5"/>
      <x:c r="F30" s="5">
        <x:v>1395053</x:v>
      </x:c>
      <x:c r="G30" s="5"/>
      <x:c r="H30" s="5">
        <x:f>J30*'[2]Demand Loss Factor'!$G$53</x:f>
        <x:v>1194332.8429999999</x:v>
      </x:c>
      <x:c r="I30" s="5"/>
      <x:c r="J30" s="5">
        <x:v>1191830</x:v>
      </x:c>
      <x:c r="K30" s="5"/>
      <x:c r="L30" s="5">
        <x:f>N30*'[2]Demand Loss Factor'!$G$53</x:f>
        <x:v>1026369.8599</x:v>
      </x:c>
      <x:c r="N30" s="5">
        <x:v>1024219</x:v>
      </x:c>
      <x:c r="O30" s="5"/>
      <x:c r="P30" s="5">
        <x:f>R30*'[2]Demand Loss Factor'!$G$53</x:f>
        <x:v>940768.47369999997</x:v>
      </x:c>
      <x:c r="R30" s="5">
        <x:v>938797</x:v>
      </x:c>
      <x:c r="S30" s="5"/>
      <x:c r="T30" s="5">
        <x:f>V30*'[2]Energy Loss Factor'!$G$53</x:f>
        <x:v>780001883.08424997</x:v>
      </x:c>
      <x:c r="V30" s="5">
        <x:f>'[1]GS PRI LRG SUB'!I32</x:f>
        <x:v>776793725</x:v>
      </x:c>
      <x:c r="X30" s="30">
        <x:f t="shared" si="0"/>
        <x:v>0.85936668820217643</x:v>
      </x:c>
      <x:c r="Y30" s="30"/>
      <x:c r="Z30" s="30">
        <x:v>0.92020000000000002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Factor'!$G$53</x:f>
        <x:v>1438071.6218000001</x:v>
      </x:c>
      <x:c r="E31" s="5"/>
      <x:c r="F31" s="5">
        <x:v>1435058</x:v>
      </x:c>
      <x:c r="G31" s="5"/>
      <x:c r="H31" s="5">
        <x:f>J31*'[2]Demand Loss Factor'!$G$53</x:f>
        <x:v>1227478.3026000001</x:v>
      </x:c>
      <x:c r="I31" s="5"/>
      <x:c r="J31" s="5">
        <x:v>1224906</x:v>
      </x:c>
      <x:c r="K31" s="5"/>
      <x:c r="L31" s="5">
        <x:f>N31*'[2]Demand Loss Factor'!$G$53</x:f>
        <x:v>1130683.4594000001</x:v>
      </x:c>
      <x:c r="N31" s="5">
        <x:v>1128314</x:v>
      </x:c>
      <x:c r="O31" s="5"/>
      <x:c r="P31" s="5">
        <x:f>R31*'[2]Demand Loss Factor'!$G$53</x:f>
        <x:v>1130683.4594000001</x:v>
      </x:c>
      <x:c r="R31" s="5">
        <x:v>1128314</x:v>
      </x:c>
      <x:c r="S31" s="5"/>
      <x:c r="T31" s="5">
        <x:f>V31*'[2]Energy Loss Factor'!$G$53</x:f>
        <x:v>776720716.60301995</x:v>
      </x:c>
      <x:c r="V31" s="5">
        <x:f>'[1]GS PRI LRG SUB'!I34</x:f>
        <x:v>773526054</x:v>
      </x:c>
      <x:c r="X31" s="30">
        <x:f t="shared" si="0"/>
        <x:v>0.92114333671318449</x:v>
      </x:c>
      <x:c r="Y31" s="30"/>
      <x:c r="Z31" s="30">
        <x:v>0.93420000000000003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Factor'!$G$53</x:f>
        <x:v>1436021.3252000001</x:v>
      </x:c>
      <x:c r="E32" s="5"/>
      <x:c r="F32" s="5">
        <x:v>1433012</x:v>
      </x:c>
      <x:c r="G32" s="5"/>
      <x:c r="H32" s="5">
        <x:f>J32*'[2]Demand Loss Factor'!$G$53</x:f>
        <x:v>1212085.0445000001</x:v>
      </x:c>
      <x:c r="I32" s="5"/>
      <x:c r="J32" s="5">
        <x:v>1209545</x:v>
      </x:c>
      <x:c r="K32" s="5"/>
      <x:c r="L32" s="5">
        <x:f>N32*'[2]Demand Loss Factor'!$G$53</x:f>
        <x:v>1169770.3699</x:v>
      </x:c>
      <x:c r="N32" s="5">
        <x:v>1167319</x:v>
      </x:c>
      <x:c r="O32" s="5"/>
      <x:c r="P32" s="5">
        <x:f>R32*'[2]Demand Loss Factor'!$G$53</x:f>
        <x:v>1156971.5486999999</x:v>
      </x:c>
      <x:c r="R32" s="5">
        <x:v>1154547</x:v>
      </x:c>
      <x:c r="S32" s="5"/>
      <x:c r="T32" s="5">
        <x:f>V32*'[2]Energy Loss Factor'!$G$53</x:f>
        <x:v>848174239.89143991</x:v>
      </x:c>
      <x:c r="V32" s="5">
        <x:f>'[1]GS PRI LRG SUB'!I36</x:f>
        <x:v>844685688</x:v>
      </x:c>
      <x:c r="X32" s="30">
        <x:f t="shared" si="0"/>
        <x:v>0.9650893517810416</x:v>
      </x:c>
      <x:c r="Y32" s="30"/>
      <x:c r="Z32" s="30">
        <x:v>0.94159999999999999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Factor'!$G$53</x:f>
        <x:v>1374274.9295000001</x:v>
      </x:c>
      <x:c r="E33" s="5"/>
      <x:c r="F33" s="5">
        <x:v>1371395</x:v>
      </x:c>
      <x:c r="G33" s="5"/>
      <x:c r="H33" s="5">
        <x:f>J33*'[2]Demand Loss Factor'!$G$53</x:f>
        <x:v>1198631.852</x:v>
      </x:c>
      <x:c r="I33" s="5"/>
      <x:c r="J33" s="5">
        <x:v>1196120</x:v>
      </x:c>
      <x:c r="K33" s="5"/>
      <x:c r="L33" s="5">
        <x:f>N33*'[2]Demand Loss Factor'!$G$53</x:f>
        <x:v>1140341.6991999999</x:v>
      </x:c>
      <x:c r="N33" s="5">
        <x:v>1137952</x:v>
      </x:c>
      <x:c r="O33" s="5"/>
      <x:c r="P33" s="5">
        <x:f>R33*'[2]Demand Loss Factor'!$G$53</x:f>
        <x:v>1140341.6991999999</x:v>
      </x:c>
      <x:c r="R33" s="5">
        <x:v>1137952</x:v>
      </x:c>
      <x:c r="S33" s="5"/>
      <x:c r="T33" s="32">
        <x:f>V33*'[2]Energy Loss Factor'!$G$53</x:f>
        <x:v>848564999.08920002</x:v>
      </x:c>
      <x:c r="V33" s="32">
        <x:f>'[1]GS PRI LRG SUB'!I38</x:f>
        <x:v>845074840</x:v>
      </x:c>
      <x:c r="X33" s="30">
        <x:f t="shared" si="0"/>
        <x:v>0.95136942781660705</x:v>
      </x:c>
      <x:c r="Y33" s="30"/>
      <x:c r="Z33" s="30">
        <x:v>0.94689999999999996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10025056748.290409</x:v>
      </x:c>
      <x:c r="V34" s="5">
        <x:f>+SUM(V22:V33)</x:f>
        <x:v>9983823557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dimension ref="A1:Z41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4.570312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4.28515625" style="5" customWidth="1"/>
    <x:col min="13" max="13" width="2.7109375" style="5" customWidth="1"/>
    <x:col min="14" max="14" width="13.28515625" style="5" customWidth="1"/>
    <x:col min="15" max="15" width="4.140625" style="4" customWidth="1"/>
    <x:col min="16" max="16" width="13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20.5703125" style="5" customWidth="1"/>
    <x:col min="21" max="21" width="2.7109375" style="5" customWidth="1"/>
    <x:col min="22" max="22" width="20.5703125" style="5" customWidth="1"/>
    <x:col min="23" max="23" width="3.7109375" style="4" customWidth="1"/>
    <x:col min="24" max="24" width="9.85546875" style="4" customWidth="1"/>
    <x:col min="25" max="25" width="1.7109375" style="4" customWidth="1"/>
    <x:col min="26" max="26" width="9.7109375" style="30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98</x:v>
      </x:c>
    </x:row>
    <x:row r="7" spans="1:26" ht="18.75" customHeight="1" x14ac:dyDescent="0.25">
      <x:c r="A7" s="24" t="s">
        <x:v>106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34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34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34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34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34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34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34"/>
    </x:row>
    <x:row r="14" spans="1:26" ht="18.75" customHeight="1" x14ac:dyDescent="0.25">
      <x:c r="A14" s="4" t="s">
        <x:v>37</x:v>
      </x:c>
      <x:c r="H14" s="42"/>
      <x:c r="J14" s="42"/>
    </x:row>
    <x:row r="15" spans="1:26" ht="18.75" customHeight="1" x14ac:dyDescent="0.25">
      <x:c r="A15" s="4" t="s">
        <x:v>38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30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  <x:c r="Z18" s="30"/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35" t="s">
        <x:v>90</x:v>
      </x:c>
    </x:row>
    <x:row r="21" spans="1:26" ht="18.75" customHeight="1" x14ac:dyDescent="0.25">
      <x:c r="M21" s="4"/>
      <x:c r="X21" s="30"/>
      <x:c r="Y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F22*1</x:f>
        <x:v>5132823</x:v>
      </x:c>
      <x:c r="E22" s="5"/>
      <x:c r="F22" s="5">
        <x:v>5132823</x:v>
      </x:c>
      <x:c r="H22" s="5">
        <x:f>J22*1</x:f>
        <x:v>3949748</x:v>
      </x:c>
      <x:c r="J22" s="36">
        <x:v>3949748</x:v>
      </x:c>
      <x:c r="L22" s="5">
        <x:f>N22*1</x:f>
        <x:v>3055758</x:v>
      </x:c>
      <x:c r="N22" s="5">
        <x:v>3055758</x:v>
      </x:c>
      <x:c r="P22" s="5">
        <x:f>R22*1</x:f>
        <x:v>2359228</x:v>
      </x:c>
      <x:c r="R22" s="5">
        <x:v>2359228</x:v>
      </x:c>
      <x:c r="S22" s="5"/>
      <x:c r="T22" s="5">
        <x:f>V22*1</x:f>
        <x:v>2705572549</x:v>
      </x:c>
      <x:c r="V22" s="5">
        <x:f>[1]TRANSMISSION!I16</x:f>
        <x:v>2705572549</x:v>
      </x:c>
      <x:c r="X22" s="30">
        <x:f>(N22/J22)</x:f>
        <x:v>0.77365897773731385</x:v>
      </x:c>
      <x:c r="Y22" s="30"/>
      <x:c r="Z22" s="30">
        <x:v>0.8972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 t="shared" ref="D23:D33" si="0">F23*1</x:f>
        <x:v>5032565</x:v>
      </x:c>
      <x:c r="E23" s="5"/>
      <x:c r="F23" s="5">
        <x:v>5032565</x:v>
      </x:c>
      <x:c r="G23" s="5"/>
      <x:c r="H23" s="5">
        <x:f t="shared" ref="H23:H33" si="1">J23*1</x:f>
        <x:v>3962751</x:v>
      </x:c>
      <x:c r="I23" s="5"/>
      <x:c r="J23" s="36">
        <x:v>3962751</x:v>
      </x:c>
      <x:c r="K23" s="5"/>
      <x:c r="L23" s="5">
        <x:f t="shared" ref="L23:L33" si="2">N23*1</x:f>
        <x:v>3644057</x:v>
      </x:c>
      <x:c r="N23" s="5">
        <x:v>3644057</x:v>
      </x:c>
      <x:c r="O23" s="5"/>
      <x:c r="P23" s="5">
        <x:f t="shared" ref="P23:P33" si="3">R23*1</x:f>
        <x:v>3644057</x:v>
      </x:c>
      <x:c r="R23" s="5">
        <x:v>3644057</x:v>
      </x:c>
      <x:c r="S23" s="5"/>
      <x:c r="T23" s="5">
        <x:f t="shared" ref="T23:T33" si="4">V23*1</x:f>
        <x:v>2569752323</x:v>
      </x:c>
      <x:c r="V23" s="5">
        <x:f>[1]TRANSMISSION!I18</x:f>
        <x:v>2569752323</x:v>
      </x:c>
      <x:c r="X23" s="30">
        <x:f t="shared" ref="X23:X33" si="5">(N23/J23)</x:f>
        <x:v>0.91957758637875553</x:v>
      </x:c>
      <x:c r="Y23" s="30"/>
      <x:c r="Z23" s="30">
        <x:v>0.91690000000000005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 t="shared" si="0"/>
        <x:v>5291020</x:v>
      </x:c>
      <x:c r="E24" s="5"/>
      <x:c r="F24" s="5">
        <x:v>5291020</x:v>
      </x:c>
      <x:c r="G24" s="5"/>
      <x:c r="H24" s="5">
        <x:f t="shared" si="1"/>
        <x:v>4182122</x:v>
      </x:c>
      <x:c r="I24" s="5"/>
      <x:c r="J24" s="36">
        <x:v>4182122</x:v>
      </x:c>
      <x:c r="K24" s="5"/>
      <x:c r="L24" s="5">
        <x:f t="shared" si="2"/>
        <x:v>3674073</x:v>
      </x:c>
      <x:c r="N24" s="5">
        <x:v>3674073</x:v>
      </x:c>
      <x:c r="O24" s="5"/>
      <x:c r="P24" s="5">
        <x:f t="shared" si="3"/>
        <x:v>3555109</x:v>
      </x:c>
      <x:c r="R24" s="5">
        <x:v>3555109</x:v>
      </x:c>
      <x:c r="S24" s="5"/>
      <x:c r="T24" s="5">
        <x:f t="shared" si="4"/>
        <x:v>2664130914</x:v>
      </x:c>
      <x:c r="V24" s="5">
        <x:f>[1]TRANSMISSION!I20</x:f>
        <x:v>2664130914</x:v>
      </x:c>
      <x:c r="X24" s="30">
        <x:f t="shared" si="5"/>
        <x:v>0.87851884760894106</x:v>
      </x:c>
      <x:c r="Y24" s="30"/>
      <x:c r="Z24" s="30">
        <x:v>0.90339999999999998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 t="shared" si="0"/>
        <x:v>5517073</x:v>
      </x:c>
      <x:c r="E25" s="5"/>
      <x:c r="F25" s="5">
        <x:v>5517073</x:v>
      </x:c>
      <x:c r="G25" s="5"/>
      <x:c r="H25" s="5">
        <x:f t="shared" si="1"/>
        <x:v>4220544</x:v>
      </x:c>
      <x:c r="I25" s="5"/>
      <x:c r="J25" s="36">
        <x:v>4220544</x:v>
      </x:c>
      <x:c r="K25" s="5"/>
      <x:c r="L25" s="5">
        <x:f t="shared" si="2"/>
        <x:v>4046684</x:v>
      </x:c>
      <x:c r="N25" s="5">
        <x:v>4046684</x:v>
      </x:c>
      <x:c r="O25" s="5"/>
      <x:c r="P25" s="5">
        <x:f t="shared" si="3"/>
        <x:v>4046684</x:v>
      </x:c>
      <x:c r="R25" s="5">
        <x:v>4046684</x:v>
      </x:c>
      <x:c r="S25" s="5"/>
      <x:c r="T25" s="5">
        <x:f t="shared" si="4"/>
        <x:v>2783303939</x:v>
      </x:c>
      <x:c r="V25" s="5">
        <x:f>[1]TRANSMISSION!I22</x:f>
        <x:v>2783303939</x:v>
      </x:c>
      <x:c r="X25" s="30">
        <x:f t="shared" si="5"/>
        <x:v>0.95880625815060805</x:v>
      </x:c>
      <x:c r="Y25" s="30"/>
      <x:c r="Z25" s="30">
        <x:v>0.90769999999999995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 t="shared" si="0"/>
        <x:v>5608028</x:v>
      </x:c>
      <x:c r="E26" s="5"/>
      <x:c r="F26" s="5">
        <x:v>5608028</x:v>
      </x:c>
      <x:c r="G26" s="5"/>
      <x:c r="H26" s="5">
        <x:f t="shared" si="1"/>
        <x:v>4172263</x:v>
      </x:c>
      <x:c r="I26" s="5"/>
      <x:c r="J26" s="36">
        <x:v>4172263</x:v>
      </x:c>
      <x:c r="K26" s="5"/>
      <x:c r="L26" s="5">
        <x:f t="shared" si="2"/>
        <x:v>3781628</x:v>
      </x:c>
      <x:c r="N26" s="5">
        <x:v>3781628</x:v>
      </x:c>
      <x:c r="O26" s="5"/>
      <x:c r="P26" s="5">
        <x:f t="shared" si="3"/>
        <x:v>3773334</x:v>
      </x:c>
      <x:c r="R26" s="5">
        <x:v>3773334</x:v>
      </x:c>
      <x:c r="S26" s="5"/>
      <x:c r="T26" s="5">
        <x:f t="shared" si="4"/>
        <x:v>2744259450</x:v>
      </x:c>
      <x:c r="V26" s="5">
        <x:f>[1]TRANSMISSION!I24</x:f>
        <x:v>2744259450</x:v>
      </x:c>
      <x:c r="X26" s="30">
        <x:f t="shared" si="5"/>
        <x:v>0.9063733518236986</x:v>
      </x:c>
      <x:c r="Y26" s="30"/>
      <x:c r="Z26" s="30">
        <x:v>0.91810000000000003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 t="shared" si="0"/>
        <x:v>5430190</x:v>
      </x:c>
      <x:c r="E27" s="5"/>
      <x:c r="F27" s="5">
        <x:v>5430190</x:v>
      </x:c>
      <x:c r="G27" s="5"/>
      <x:c r="H27" s="5">
        <x:f t="shared" si="1"/>
        <x:v>4288240</x:v>
      </x:c>
      <x:c r="I27" s="5"/>
      <x:c r="J27" s="36">
        <x:v>4288240</x:v>
      </x:c>
      <x:c r="K27" s="5"/>
      <x:c r="L27" s="5">
        <x:f t="shared" si="2"/>
        <x:v>4151050</x:v>
      </x:c>
      <x:c r="N27" s="5">
        <x:v>4151050</x:v>
      </x:c>
      <x:c r="O27" s="5"/>
      <x:c r="P27" s="5">
        <x:f t="shared" si="3"/>
        <x:v>3912552</x:v>
      </x:c>
      <x:c r="R27" s="5">
        <x:v>3912552</x:v>
      </x:c>
      <x:c r="S27" s="5"/>
      <x:c r="T27" s="5">
        <x:f t="shared" si="4"/>
        <x:v>2918352748</x:v>
      </x:c>
      <x:c r="V27" s="5">
        <x:f>[1]TRANSMISSION!I26</x:f>
        <x:v>2918352748</x:v>
      </x:c>
      <x:c r="X27" s="30">
        <x:f t="shared" si="5"/>
        <x:v>0.96800785403802025</x:v>
      </x:c>
      <x:c r="Y27" s="30"/>
      <x:c r="Z27" s="30">
        <x:v>0.89770000000000005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 t="shared" si="0"/>
        <x:v>5405262</x:v>
      </x:c>
      <x:c r="E28" s="5"/>
      <x:c r="F28" s="5">
        <x:v>5405262</x:v>
      </x:c>
      <x:c r="G28" s="5"/>
      <x:c r="H28" s="5">
        <x:f t="shared" si="1"/>
        <x:v>4416581</x:v>
      </x:c>
      <x:c r="I28" s="5"/>
      <x:c r="J28" s="36">
        <x:v>4416581</x:v>
      </x:c>
      <x:c r="K28" s="5"/>
      <x:c r="L28" s="5">
        <x:f t="shared" si="2"/>
        <x:v>4105310</x:v>
      </x:c>
      <x:c r="N28" s="5">
        <x:v>4105310</x:v>
      </x:c>
      <x:c r="O28" s="5"/>
      <x:c r="P28" s="5">
        <x:f t="shared" si="3"/>
        <x:v>3133176</x:v>
      </x:c>
      <x:c r="R28" s="5">
        <x:v>3133176</x:v>
      </x:c>
      <x:c r="S28" s="5"/>
      <x:c r="T28" s="5">
        <x:f t="shared" si="4"/>
        <x:v>2701328790</x:v>
      </x:c>
      <x:c r="V28" s="5">
        <x:f>[1]TRANSMISSION!I28</x:f>
        <x:v>2701328790</x:v>
      </x:c>
      <x:c r="X28" s="30">
        <x:f t="shared" si="5"/>
        <x:v>0.92952218016606059</x:v>
      </x:c>
      <x:c r="Y28" s="30"/>
      <x:c r="Z28" s="30">
        <x:v>0.91810000000000003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 t="shared" si="0"/>
        <x:v>5562195</x:v>
      </x:c>
      <x:c r="E29" s="5"/>
      <x:c r="F29" s="5">
        <x:v>5562195</x:v>
      </x:c>
      <x:c r="G29" s="5"/>
      <x:c r="H29" s="5">
        <x:f t="shared" si="1"/>
        <x:v>4403615</x:v>
      </x:c>
      <x:c r="I29" s="5"/>
      <x:c r="J29" s="36">
        <x:v>4403615</x:v>
      </x:c>
      <x:c r="K29" s="5"/>
      <x:c r="L29" s="5">
        <x:f t="shared" si="2"/>
        <x:v>4076159</x:v>
      </x:c>
      <x:c r="N29" s="5">
        <x:v>4076159</x:v>
      </x:c>
      <x:c r="O29" s="5"/>
      <x:c r="P29" s="5">
        <x:f t="shared" si="3"/>
        <x:v>3109502</x:v>
      </x:c>
      <x:c r="R29" s="5">
        <x:v>3109502</x:v>
      </x:c>
      <x:c r="S29" s="5"/>
      <x:c r="T29" s="5">
        <x:f t="shared" si="4"/>
        <x:v>2943692508</x:v>
      </x:c>
      <x:c r="V29" s="5">
        <x:f>[1]TRANSMISSION!I30</x:f>
        <x:v>2943692508</x:v>
      </x:c>
      <x:c r="X29" s="30">
        <x:f t="shared" si="5"/>
        <x:v>0.92563927591308504</x:v>
      </x:c>
      <x:c r="Y29" s="30"/>
      <x:c r="Z29" s="30">
        <x:v>0.90010000000000001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 t="shared" si="0"/>
        <x:v>5492593</x:v>
      </x:c>
      <x:c r="E30" s="5"/>
      <x:c r="F30" s="5">
        <x:v>5492593</x:v>
      </x:c>
      <x:c r="G30" s="5"/>
      <x:c r="H30" s="5">
        <x:f t="shared" si="1"/>
        <x:v>4440866</x:v>
      </x:c>
      <x:c r="I30" s="5"/>
      <x:c r="J30" s="36">
        <x:v>4440866</x:v>
      </x:c>
      <x:c r="K30" s="5"/>
      <x:c r="L30" s="5">
        <x:f t="shared" si="2"/>
        <x:v>4032956</x:v>
      </x:c>
      <x:c r="N30" s="5">
        <x:v>4032956</x:v>
      </x:c>
      <x:c r="O30" s="5"/>
      <x:c r="P30" s="5">
        <x:f t="shared" si="3"/>
        <x:v>3233646</x:v>
      </x:c>
      <x:c r="R30" s="5">
        <x:v>3233646</x:v>
      </x:c>
      <x:c r="S30" s="5"/>
      <x:c r="T30" s="5">
        <x:f t="shared" si="4"/>
        <x:v>2796351486</x:v>
      </x:c>
      <x:c r="V30" s="5">
        <x:f>[1]TRANSMISSION!I32</x:f>
        <x:v>2796351486</x:v>
      </x:c>
      <x:c r="X30" s="30">
        <x:f t="shared" si="5"/>
        <x:v>0.90814629398860491</x:v>
      </x:c>
      <x:c r="Y30" s="30"/>
      <x:c r="Z30" s="30">
        <x:v>0.9325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 t="shared" si="0"/>
        <x:v>5686146</x:v>
      </x:c>
      <x:c r="E31" s="5"/>
      <x:c r="F31" s="5">
        <x:v>5686146</x:v>
      </x:c>
      <x:c r="G31" s="5"/>
      <x:c r="H31" s="5">
        <x:f t="shared" si="1"/>
        <x:v>4515358</x:v>
      </x:c>
      <x:c r="I31" s="5"/>
      <x:c r="J31" s="36">
        <x:v>4515358</x:v>
      </x:c>
      <x:c r="K31" s="5"/>
      <x:c r="L31" s="5">
        <x:f t="shared" si="2"/>
        <x:v>3990864</x:v>
      </x:c>
      <x:c r="N31" s="5">
        <x:v>3990864</x:v>
      </x:c>
      <x:c r="O31" s="5"/>
      <x:c r="P31" s="5">
        <x:f t="shared" si="3"/>
        <x:v>3990864</x:v>
      </x:c>
      <x:c r="R31" s="5">
        <x:v>3990864</x:v>
      </x:c>
      <x:c r="S31" s="5"/>
      <x:c r="T31" s="5">
        <x:f t="shared" si="4"/>
        <x:v>3072970312</x:v>
      </x:c>
      <x:c r="V31" s="5">
        <x:f>[1]TRANSMISSION!I34</x:f>
        <x:v>3072970312</x:v>
      </x:c>
      <x:c r="X31" s="30">
        <x:f t="shared" si="5"/>
        <x:v>0.88384221140383556</x:v>
      </x:c>
      <x:c r="Y31" s="30"/>
      <x:c r="Z31" s="30">
        <x:v>0.91879999999999995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 t="shared" si="0"/>
        <x:v>5925698</x:v>
      </x:c>
      <x:c r="E32" s="5"/>
      <x:c r="F32" s="5">
        <x:v>5925698</x:v>
      </x:c>
      <x:c r="G32" s="5"/>
      <x:c r="H32" s="5">
        <x:f t="shared" si="1"/>
        <x:v>4644735</x:v>
      </x:c>
      <x:c r="I32" s="5"/>
      <x:c r="J32" s="36">
        <x:v>4644735</x:v>
      </x:c>
      <x:c r="K32" s="5"/>
      <x:c r="L32" s="5">
        <x:f t="shared" si="2"/>
        <x:v>4385401</x:v>
      </x:c>
      <x:c r="N32" s="5">
        <x:v>4385401</x:v>
      </x:c>
      <x:c r="O32" s="5"/>
      <x:c r="P32" s="5">
        <x:f t="shared" si="3"/>
        <x:v>4491710</x:v>
      </x:c>
      <x:c r="R32" s="5">
        <x:v>4491710</x:v>
      </x:c>
      <x:c r="S32" s="5"/>
      <x:c r="T32" s="5">
        <x:f t="shared" si="4"/>
        <x:v>3049431235</x:v>
      </x:c>
      <x:c r="V32" s="5">
        <x:f>[1]TRANSMISSION!I36</x:f>
        <x:v>3049431235</x:v>
      </x:c>
      <x:c r="X32" s="30">
        <x:f t="shared" si="5"/>
        <x:v>0.94416602884771683</x:v>
      </x:c>
      <x:c r="Y32" s="30"/>
      <x:c r="Z32" s="30">
        <x:v>0.91479999999999995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 t="shared" si="0"/>
        <x:v>5915090</x:v>
      </x:c>
      <x:c r="E33" s="5"/>
      <x:c r="F33" s="5">
        <x:v>5915090</x:v>
      </x:c>
      <x:c r="G33" s="5"/>
      <x:c r="H33" s="5">
        <x:f t="shared" si="1"/>
        <x:v>4667054</x:v>
      </x:c>
      <x:c r="I33" s="5"/>
      <x:c r="J33" s="36">
        <x:v>4667054</x:v>
      </x:c>
      <x:c r="K33" s="5"/>
      <x:c r="L33" s="5">
        <x:f t="shared" si="2"/>
        <x:v>4262765</x:v>
      </x:c>
      <x:c r="N33" s="5">
        <x:v>4262765</x:v>
      </x:c>
      <x:c r="O33" s="5"/>
      <x:c r="P33" s="5">
        <x:f t="shared" si="3"/>
        <x:v>4262765</x:v>
      </x:c>
      <x:c r="R33" s="5">
        <x:v>4262765</x:v>
      </x:c>
      <x:c r="S33" s="5"/>
      <x:c r="T33" s="32">
        <x:f t="shared" si="4"/>
        <x:v>3190347604</x:v>
      </x:c>
      <x:c r="V33" s="32">
        <x:f>[1]TRANSMISSION!I38</x:f>
        <x:v>3190347604</x:v>
      </x:c>
      <x:c r="X33" s="30">
        <x:f t="shared" si="5"/>
        <x:v>0.91337383282901807</x:v>
      </x:c>
      <x:c r="Y33" s="30"/>
      <x:c r="Z33" s="30">
        <x:v>0.93110000000000004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34139493858</x:v>
      </x:c>
      <x:c r="V34" s="5">
        <x:f>+SUM(V22:V33)</x:f>
        <x:v>34139493858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dimension ref="A1:Z40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2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2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17.7109375" style="5" customWidth="1"/>
    <x:col min="21" max="21" width="2.7109375" style="5" customWidth="1"/>
    <x:col min="22" max="22" width="17.7109375" style="5" customWidth="1"/>
    <x:col min="23" max="23" width="3.7109375" style="4" customWidth="1"/>
    <x:col min="24" max="24" width="9.85546875" style="4" customWidth="1"/>
    <x:col min="25" max="25" width="1.7109375" style="4" customWidth="1"/>
    <x:col min="26" max="26" width="10.2851562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99</x:v>
      </x:c>
    </x:row>
    <x:row r="3" spans="1:26" ht="18.75" customHeight="1" x14ac:dyDescent="0.3">
      <x:c r="D3" s="33"/>
    </x:row>
    <x:row r="7" spans="1:26" ht="18.75" customHeight="1" x14ac:dyDescent="0.25">
      <x:c r="A7" s="24" t="s">
        <x:v>110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39</x:v>
      </x:c>
      <x:c r="T14" s="40"/>
    </x:row>
    <x:row r="15" spans="1:26" ht="18.75" customHeight="1" x14ac:dyDescent="0.25">
      <x:c r="A15" s="4" t="s">
        <x:v>40</x:v>
      </x:c>
      <x:c r="T15" s="40"/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Factor'!$G$55</x:f>
        <x:v>92300.355261797667</x:v>
      </x:c>
      <x:c r="E22" s="5"/>
      <x:c r="F22" s="5">
        <x:v>88998.823999999993</x:v>
      </x:c>
      <x:c r="G22" s="5"/>
      <x:c r="H22" s="5">
        <x:f>J22*'[2]Demand Loss Factor'!$G$55</x:f>
        <x:v>92300.355261797667</x:v>
      </x:c>
      <x:c r="I22" s="5"/>
      <x:c r="J22" s="5">
        <x:v>88998.823999999993</x:v>
      </x:c>
      <x:c r="K22" s="5"/>
      <x:c r="L22" s="5">
        <x:f>N22*'[2]Demand Loss Factor'!$G$55</x:f>
        <x:v>92300.355261797667</x:v>
      </x:c>
      <x:c r="N22" s="5">
        <x:v>88998.823999999993</x:v>
      </x:c>
      <x:c r="O22" s="5"/>
      <x:c r="P22" s="5">
        <x:f>R22*'[2]Demand Loss Factor'!$G$55</x:f>
        <x:v>0</x:v>
      </x:c>
      <x:c r="R22" s="5">
        <x:v>0</x:v>
      </x:c>
      <x:c r="S22" s="5"/>
      <x:c r="T22" s="5">
        <x:f>V22*'[2]Energy Loss Factor'!$G$55</x:f>
        <x:v>31397985.01787227</x:v>
      </x:c>
      <x:c r="V22" s="5">
        <x:f>'[1]SL - UNMETERED'!I16+'[1]SL - METERED NON CO'!I16+'[1]SL - METERED CO OWNED'!I16+'[1]OUTDOOR LIGHTING'!I16</x:f>
        <x:v>30336877</x:v>
      </x:c>
      <x:c r="X22" s="30">
        <x:f t="shared" ref="X22:X33" si="0">(N22/J22)</x:f>
        <x:v>1</x:v>
      </x:c>
      <x:c r="Y22" s="30"/>
      <x:c r="Z22" s="30">
        <x:v>0.45537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Factor'!$G$55</x:f>
        <x:v>92300.355261797667</x:v>
      </x:c>
      <x:c r="E23" s="5"/>
      <x:c r="F23" s="5">
        <x:v>88998.823999999993</x:v>
      </x:c>
      <x:c r="G23" s="5"/>
      <x:c r="H23" s="5">
        <x:f>J23*'[2]Demand Loss Factor'!$G$55</x:f>
        <x:v>92300.355261797667</x:v>
      </x:c>
      <x:c r="I23" s="5"/>
      <x:c r="J23" s="5">
        <x:v>88998.823999999993</x:v>
      </x:c>
      <x:c r="K23" s="5"/>
      <x:c r="L23" s="5">
        <x:f>N23*'[2]Demand Loss Factor'!$G$55</x:f>
        <x:v>92300.355261797667</x:v>
      </x:c>
      <x:c r="N23" s="5">
        <x:v>88998.823999999993</x:v>
      </x:c>
      <x:c r="O23" s="5"/>
      <x:c r="P23" s="5">
        <x:f>R23*'[2]Demand Loss Factor'!$G$55</x:f>
        <x:v>92300.355261797667</x:v>
      </x:c>
      <x:c r="R23" s="5">
        <x:v>88998.823999999993</x:v>
      </x:c>
      <x:c r="S23" s="5"/>
      <x:c r="T23" s="5">
        <x:f>V23*'[2]Energy Loss Factor'!$G$55</x:f>
        <x:v>31182477.863580763</x:v>
      </x:c>
      <x:c r="V23" s="5">
        <x:f>'[1]SL - UNMETERED'!I18+'[1]SL - METERED NON CO'!I18+'[1]SL - METERED CO OWNED'!I18+'[1]OUTDOOR LIGHTING'!I18</x:f>
        <x:v>30128653</x:v>
      </x:c>
      <x:c r="X23" s="30">
        <x:f t="shared" si="0"/>
        <x:v>1</x:v>
      </x:c>
      <x:c r="Y23" s="30"/>
      <x:c r="Z23" s="30">
        <x:v>0.45537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Factor'!$G$55</x:f>
        <x:v>92300.355261797667</x:v>
      </x:c>
      <x:c r="E24" s="5"/>
      <x:c r="F24" s="5">
        <x:v>88998.823999999993</x:v>
      </x:c>
      <x:c r="G24" s="5"/>
      <x:c r="H24" s="5">
        <x:f>J24*'[2]Demand Loss Factor'!$G$55</x:f>
        <x:v>92300.355261797667</x:v>
      </x:c>
      <x:c r="I24" s="5"/>
      <x:c r="J24" s="5">
        <x:v>88998.823999999993</x:v>
      </x:c>
      <x:c r="K24" s="5"/>
      <x:c r="L24" s="5">
        <x:f>N24*'[2]Demand Loss Factor'!$G$55</x:f>
        <x:v>0</x:v>
      </x:c>
      <x:c r="N24" s="5">
        <x:v>0</x:v>
      </x:c>
      <x:c r="O24" s="5"/>
      <x:c r="P24" s="5">
        <x:f>R24*'[2]Demand Loss Factor'!$G$55</x:f>
        <x:v>0</x:v>
      </x:c>
      <x:c r="R24" s="5">
        <x:v>0</x:v>
      </x:c>
      <x:c r="S24" s="5"/>
      <x:c r="T24" s="5">
        <x:f>V24*'[2]Energy Loss Factor'!$G$55</x:f>
        <x:v>31086820.06843999</x:v>
      </x:c>
      <x:c r="V24" s="5">
        <x:f>'[1]SL - UNMETERED'!I20+'[1]SL - METERED NON CO'!I20+'[1]SL - METERED CO OWNED'!I20+'[1]OUTDOOR LIGHTING'!I20</x:f>
        <x:v>30036228</x:v>
      </x:c>
      <x:c r="X24" s="30">
        <x:f t="shared" si="0"/>
        <x:v>0</x:v>
      </x:c>
      <x:c r="Y24" s="30"/>
      <x:c r="Z24" s="30">
        <x:v>0.45537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Factor'!$G$55</x:f>
        <x:v>92300.355261797667</x:v>
      </x:c>
      <x:c r="E25" s="5"/>
      <x:c r="F25" s="5">
        <x:v>88998.823999999993</x:v>
      </x:c>
      <x:c r="G25" s="5"/>
      <x:c r="H25" s="5">
        <x:f>J25*'[2]Demand Loss Factor'!$G$55</x:f>
        <x:v>92300.355261797667</x:v>
      </x:c>
      <x:c r="I25" s="5"/>
      <x:c r="J25" s="5">
        <x:v>88998.823999999993</x:v>
      </x:c>
      <x:c r="K25" s="5"/>
      <x:c r="L25" s="5">
        <x:f>N25*'[2]Demand Loss Factor'!$G$55</x:f>
        <x:v>0</x:v>
      </x:c>
      <x:c r="N25" s="5">
        <x:v>0</x:v>
      </x:c>
      <x:c r="O25" s="5"/>
      <x:c r="P25" s="5">
        <x:f>R25*'[2]Demand Loss Factor'!$G$55</x:f>
        <x:v>0</x:v>
      </x:c>
      <x:c r="R25" s="5">
        <x:v>0</x:v>
      </x:c>
      <x:c r="S25" s="5"/>
      <x:c r="T25" s="5">
        <x:f>V25*'[2]Energy Loss Factor'!$G$55</x:f>
        <x:v>30955832.281468809</x:v>
      </x:c>
      <x:c r="V25" s="5">
        <x:f>'[1]SL - UNMETERED'!I22+'[1]SL - METERED NON CO'!I22+'[1]SL - METERED CO OWNED'!I22+'[1]OUTDOOR LIGHTING'!I22</x:f>
        <x:v>29909667</x:v>
      </x:c>
      <x:c r="X25" s="30">
        <x:f t="shared" si="0"/>
        <x:v>0</x:v>
      </x:c>
      <x:c r="Y25" s="30"/>
      <x:c r="Z25" s="30">
        <x:v>0.45537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Factor'!$G$55</x:f>
        <x:v>92300.355261797667</x:v>
      </x:c>
      <x:c r="E26" s="5"/>
      <x:c r="F26" s="5">
        <x:v>88998.823999999993</x:v>
      </x:c>
      <x:c r="G26" s="5"/>
      <x:c r="H26" s="5">
        <x:f>J26*'[2]Demand Loss Factor'!$G$55</x:f>
        <x:v>92300.355261797667</x:v>
      </x:c>
      <x:c r="I26" s="5"/>
      <x:c r="J26" s="5">
        <x:v>88998.823999999993</x:v>
      </x:c>
      <x:c r="K26" s="5"/>
      <x:c r="L26" s="5">
        <x:f>N26*'[2]Demand Loss Factor'!$G$55</x:f>
        <x:v>0</x:v>
      </x:c>
      <x:c r="N26" s="5">
        <x:v>0</x:v>
      </x:c>
      <x:c r="O26" s="5"/>
      <x:c r="P26" s="5">
        <x:f>R26*'[2]Demand Loss Factor'!$G$55</x:f>
        <x:v>0</x:v>
      </x:c>
      <x:c r="R26" s="5">
        <x:v>0</x:v>
      </x:c>
      <x:c r="S26" s="5"/>
      <x:c r="T26" s="5">
        <x:f>V26*'[2]Energy Loss Factor'!$G$55</x:f>
        <x:v>30793808.6243014</x:v>
      </x:c>
      <x:c r="V26" s="5">
        <x:f>'[1]SL - UNMETERED'!I24+'[1]SL - METERED NON CO'!I24+'[1]SL - METERED CO OWNED'!I24+'[1]OUTDOOR LIGHTING'!I24</x:f>
        <x:v>29753119</x:v>
      </x:c>
      <x:c r="X26" s="30">
        <x:f t="shared" si="0"/>
        <x:v>0</x:v>
      </x:c>
      <x:c r="Y26" s="30"/>
      <x:c r="Z26" s="30">
        <x:v>0.45537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Factor'!$G$55</x:f>
        <x:v>92300.355261797667</x:v>
      </x:c>
      <x:c r="E27" s="5"/>
      <x:c r="F27" s="5">
        <x:v>88998.823999999993</x:v>
      </x:c>
      <x:c r="G27" s="5"/>
      <x:c r="H27" s="5">
        <x:f>J27*'[2]Demand Loss Factor'!$G$55</x:f>
        <x:v>92300.355261797667</x:v>
      </x:c>
      <x:c r="I27" s="5"/>
      <x:c r="J27" s="5">
        <x:v>88998.823999999993</x:v>
      </x:c>
      <x:c r="K27" s="5"/>
      <x:c r="L27" s="5">
        <x:f>N27*'[2]Demand Loss Factor'!$G$55</x:f>
        <x:v>0</x:v>
      </x:c>
      <x:c r="N27" s="5">
        <x:v>0</x:v>
      </x:c>
      <x:c r="O27" s="5"/>
      <x:c r="P27" s="5">
        <x:f>R27*'[2]Demand Loss Factor'!$G$55</x:f>
        <x:v>0</x:v>
      </x:c>
      <x:c r="R27" s="5">
        <x:v>0</x:v>
      </x:c>
      <x:c r="S27" s="5"/>
      <x:c r="T27" s="5">
        <x:f>V27*'[2]Energy Loss Factor'!$G$55</x:f>
        <x:v>30445187.839260306</x:v>
      </x:c>
      <x:c r="V27" s="5">
        <x:f>'[1]SL - UNMETERED'!I26+'[1]SL - METERED NON CO'!I26+'[1]SL - METERED CO OWNED'!I26+'[1]OUTDOOR LIGHTING'!I26</x:f>
        <x:v>29416280</x:v>
      </x:c>
      <x:c r="X27" s="30">
        <x:f t="shared" si="0"/>
        <x:v>0</x:v>
      </x:c>
      <x:c r="Y27" s="30"/>
      <x:c r="Z27" s="30">
        <x:v>0.45537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Factor'!$G$55</x:f>
        <x:v>92300.355261797667</x:v>
      </x:c>
      <x:c r="E28" s="5"/>
      <x:c r="F28" s="5">
        <x:v>88998.823999999993</x:v>
      </x:c>
      <x:c r="G28" s="5"/>
      <x:c r="H28" s="5">
        <x:f>J28*'[2]Demand Loss Factor'!$G$55</x:f>
        <x:v>92300.355261797667</x:v>
      </x:c>
      <x:c r="I28" s="5"/>
      <x:c r="J28" s="5">
        <x:v>88998.823999999993</x:v>
      </x:c>
      <x:c r="K28" s="5"/>
      <x:c r="L28" s="5">
        <x:f>N28*'[2]Demand Loss Factor'!$G$55</x:f>
        <x:v>0</x:v>
      </x:c>
      <x:c r="N28" s="5">
        <x:v>0</x:v>
      </x:c>
      <x:c r="O28" s="5"/>
      <x:c r="P28" s="5">
        <x:f>R28*'[2]Demand Loss Factor'!$G$55</x:f>
        <x:v>0</x:v>
      </x:c>
      <x:c r="R28" s="5">
        <x:v>0</x:v>
      </x:c>
      <x:c r="S28" s="5"/>
      <x:c r="T28" s="5">
        <x:f>V28*'[2]Energy Loss Factor'!$G$55</x:f>
        <x:v>30553748.698853556</x:v>
      </x:c>
      <x:c r="V28" s="5">
        <x:f>'[1]SL - UNMETERED'!I28+'[1]SL - METERED NON CO'!I28+'[1]SL - METERED CO OWNED'!I28+'[1]OUTDOOR LIGHTING'!I28</x:f>
        <x:v>29521172</x:v>
      </x:c>
      <x:c r="X28" s="30">
        <x:f t="shared" si="0"/>
        <x:v>0</x:v>
      </x:c>
      <x:c r="Y28" s="30"/>
      <x:c r="Z28" s="30">
        <x:v>0.45537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Factor'!$G$55</x:f>
        <x:v>92300.355261797667</x:v>
      </x:c>
      <x:c r="E29" s="5"/>
      <x:c r="F29" s="5">
        <x:v>88998.823999999993</x:v>
      </x:c>
      <x:c r="G29" s="5"/>
      <x:c r="H29" s="5">
        <x:f>J29*'[2]Demand Loss Factor'!$G$55</x:f>
        <x:v>92300.355261797667</x:v>
      </x:c>
      <x:c r="I29" s="5"/>
      <x:c r="J29" s="5">
        <x:v>88998.823999999993</x:v>
      </x:c>
      <x:c r="K29" s="5"/>
      <x:c r="L29" s="5">
        <x:f>N29*'[2]Demand Loss Factor'!$G$55</x:f>
        <x:v>0</x:v>
      </x:c>
      <x:c r="N29" s="5">
        <x:v>0</x:v>
      </x:c>
      <x:c r="O29" s="5"/>
      <x:c r="P29" s="5">
        <x:f>R29*'[2]Demand Loss Factor'!$G$55</x:f>
        <x:v>0</x:v>
      </x:c>
      <x:c r="R29" s="5">
        <x:v>0</x:v>
      </x:c>
      <x:c r="S29" s="5"/>
      <x:c r="T29" s="5">
        <x:f>V29*'[2]Energy Loss Factor'!$G$55</x:f>
        <x:v>30475328.453921814</x:v>
      </x:c>
      <x:c r="V29" s="5">
        <x:f>'[1]SL - UNMETERED'!I30+'[1]SL - METERED NON CO'!I30+'[1]SL - METERED CO OWNED'!I30+'[1]OUTDOOR LIGHTING'!I30</x:f>
        <x:v>29445402</x:v>
      </x:c>
      <x:c r="X29" s="30">
        <x:f t="shared" si="0"/>
        <x:v>0</x:v>
      </x:c>
      <x:c r="Y29" s="30"/>
      <x:c r="Z29" s="30">
        <x:v>0.45537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Factor'!$G$55</x:f>
        <x:v>92300.355261797667</x:v>
      </x:c>
      <x:c r="E30" s="5"/>
      <x:c r="F30" s="5">
        <x:v>88998.823999999993</x:v>
      </x:c>
      <x:c r="G30" s="5"/>
      <x:c r="H30" s="5">
        <x:f>J30*'[2]Demand Loss Factor'!$G$55</x:f>
        <x:v>92300.355261797667</x:v>
      </x:c>
      <x:c r="I30" s="5"/>
      <x:c r="J30" s="5">
        <x:v>88998.823999999993</x:v>
      </x:c>
      <x:c r="K30" s="5"/>
      <x:c r="L30" s="5">
        <x:f>N30*'[2]Demand Loss Factor'!$G$55</x:f>
        <x:v>0</x:v>
      </x:c>
      <x:c r="N30" s="5">
        <x:v>0</x:v>
      </x:c>
      <x:c r="O30" s="5"/>
      <x:c r="P30" s="5">
        <x:f>R30*'[2]Demand Loss Factor'!$G$55</x:f>
        <x:v>0</x:v>
      </x:c>
      <x:c r="R30" s="5">
        <x:v>0</x:v>
      </x:c>
      <x:c r="S30" s="5"/>
      <x:c r="T30" s="5">
        <x:f>V30*'[2]Energy Loss Factor'!$G$55</x:f>
        <x:v>30460770.460451972</x:v>
      </x:c>
      <x:c r="V30" s="5">
        <x:f>'[1]SL - UNMETERED'!I32+'[1]SL - METERED NON CO'!I32+'[1]SL - METERED CO OWNED'!I32+'[1]OUTDOOR LIGHTING'!I32</x:f>
        <x:v>29431336</x:v>
      </x:c>
      <x:c r="X30" s="30">
        <x:f t="shared" si="0"/>
        <x:v>0</x:v>
      </x:c>
      <x:c r="Y30" s="30"/>
      <x:c r="Z30" s="30">
        <x:v>0.45537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Factor'!$G$55</x:f>
        <x:v>92300.355261797667</x:v>
      </x:c>
      <x:c r="E31" s="5"/>
      <x:c r="F31" s="5">
        <x:v>88998.823999999993</x:v>
      </x:c>
      <x:c r="G31" s="5"/>
      <x:c r="H31" s="5">
        <x:f>J31*'[2]Demand Loss Factor'!$G$55</x:f>
        <x:v>92300.355261797667</x:v>
      </x:c>
      <x:c r="I31" s="5"/>
      <x:c r="J31" s="5">
        <x:v>88998.823999999993</x:v>
      </x:c>
      <x:c r="K31" s="5"/>
      <x:c r="L31" s="5">
        <x:f>N31*'[2]Demand Loss Factor'!$G$55</x:f>
        <x:v>0</x:v>
      </x:c>
      <x:c r="N31" s="5">
        <x:v>0</x:v>
      </x:c>
      <x:c r="O31" s="5"/>
      <x:c r="P31" s="5">
        <x:f>R31*'[2]Demand Loss Factor'!$G$55</x:f>
        <x:v>0</x:v>
      </x:c>
      <x:c r="R31" s="5">
        <x:v>0</x:v>
      </x:c>
      <x:c r="S31" s="5"/>
      <x:c r="T31" s="5">
        <x:f>V31*'[2]Energy Loss Factor'!$G$55</x:f>
        <x:v>30414483.161863051</x:v>
      </x:c>
      <x:c r="V31" s="5">
        <x:f>'[1]SL - UNMETERED'!I34+'[1]SL - METERED NON CO'!I34+'[1]SL - METERED CO OWNED'!I34+'[1]OUTDOOR LIGHTING'!I34</x:f>
        <x:v>29386613</x:v>
      </x:c>
      <x:c r="X31" s="30">
        <x:f t="shared" si="0"/>
        <x:v>0</x:v>
      </x:c>
      <x:c r="Y31" s="30"/>
      <x:c r="Z31" s="30">
        <x:v>0.45537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Factor'!$G$55</x:f>
        <x:v>92300.355261797667</x:v>
      </x:c>
      <x:c r="E32" s="5"/>
      <x:c r="F32" s="5">
        <x:v>88998.823999999993</x:v>
      </x:c>
      <x:c r="G32" s="5"/>
      <x:c r="H32" s="5">
        <x:f>J32*'[2]Demand Loss Factor'!$G$55</x:f>
        <x:v>92300.355261797667</x:v>
      </x:c>
      <x:c r="I32" s="5"/>
      <x:c r="J32" s="5">
        <x:v>88998.823999999993</x:v>
      </x:c>
      <x:c r="K32" s="5"/>
      <x:c r="L32" s="5">
        <x:f>N32*'[2]Demand Loss Factor'!$G$55</x:f>
        <x:v>0</x:v>
      </x:c>
      <x:c r="N32" s="5">
        <x:v>0</x:v>
      </x:c>
      <x:c r="O32" s="5"/>
      <x:c r="P32" s="5">
        <x:f>R32*'[2]Demand Loss Factor'!$G$55</x:f>
        <x:v>0</x:v>
      </x:c>
      <x:c r="R32" s="5">
        <x:v>0</x:v>
      </x:c>
      <x:c r="S32" s="5"/>
      <x:c r="T32" s="5">
        <x:f>V32*'[2]Energy Loss Factor'!$G$55</x:f>
        <x:v>30340208.00180595</x:v>
      </x:c>
      <x:c r="V32" s="5">
        <x:f>'[1]SL - UNMETERED'!I36+'[1]SL - METERED NON CO'!I36+'[1]SL - METERED CO OWNED'!I36+'[1]OUTDOOR LIGHTING'!I36</x:f>
        <x:v>29314848</x:v>
      </x:c>
      <x:c r="X32" s="30">
        <x:f t="shared" si="0"/>
        <x:v>0</x:v>
      </x:c>
      <x:c r="Y32" s="30"/>
      <x:c r="Z32" s="30">
        <x:v>0.45537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Factor'!$G$55</x:f>
        <x:v>92300.355261797667</x:v>
      </x:c>
      <x:c r="E33" s="5"/>
      <x:c r="F33" s="5">
        <x:v>88998.823999999993</x:v>
      </x:c>
      <x:c r="G33" s="5"/>
      <x:c r="H33" s="5">
        <x:f>J33*'[2]Demand Loss Factor'!$G$55</x:f>
        <x:v>92300.355261797667</x:v>
      </x:c>
      <x:c r="I33" s="5"/>
      <x:c r="J33" s="5">
        <x:v>88998.823999999993</x:v>
      </x:c>
      <x:c r="K33" s="5"/>
      <x:c r="L33" s="5">
        <x:v>0</x:v>
      </x:c>
      <x:c r="N33" s="5">
        <x:v>0</x:v>
      </x:c>
      <x:c r="O33" s="5"/>
      <x:c r="P33" s="5">
        <x:f>R33*'[2]Demand Loss Factor'!$G$55</x:f>
        <x:v>0</x:v>
      </x:c>
      <x:c r="R33" s="5">
        <x:v>0</x:v>
      </x:c>
      <x:c r="S33" s="5"/>
      <x:c r="T33" s="32">
        <x:f>V33*'[2]Energy Loss Factor'!$G$55</x:f>
        <x:v>30340140.728268661</x:v>
      </x:c>
      <x:c r="V33" s="32">
        <x:f>'[1]SL - UNMETERED'!I38+'[1]SL - METERED NON CO'!I38+'[1]SL - METERED CO OWNED'!I38+'[1]OUTDOOR LIGHTING'!I38</x:f>
        <x:v>29314783</x:v>
      </x:c>
      <x:c r="X33" s="30">
        <x:f t="shared" si="0"/>
        <x:v>0</x:v>
      </x:c>
      <x:c r="Y33" s="30"/>
      <x:c r="Z33" s="30">
        <x:v>0.45537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368446791.20008856</x:v>
      </x:c>
      <x:c r="V34" s="5">
        <x:f>+SUM(V22:V33)</x:f>
        <x:v>355994978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6BF1298-516B-4100-A4AD-32F4DCB28ED7}" mc:Ignorable="x14ac xr xr2 xr3">
  <x:dimension ref="A1:Z41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2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2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17.7109375" style="5" customWidth="1"/>
    <x:col min="21" max="21" width="2.7109375" style="5" customWidth="1"/>
    <x:col min="22" max="22" width="17.7109375" style="5" customWidth="1"/>
    <x:col min="23" max="23" width="3.7109375" style="4" customWidth="1"/>
    <x:col min="24" max="24" width="9.7109375" style="4" customWidth="1"/>
    <x:col min="25" max="25" width="1.7109375" style="4" customWidth="1"/>
    <x:col min="26" max="26" width="9.71093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100</x:v>
      </x:c>
    </x:row>
    <x:row r="7" spans="1:26" ht="18.75" customHeight="1" x14ac:dyDescent="0.25">
      <x:c r="A7" s="24" t="s">
        <x:v>109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73</x:v>
      </x:c>
    </x:row>
    <x:row r="15" spans="1:26" ht="18.75" customHeight="1" x14ac:dyDescent="0.25">
      <x:c r="A15" s="4" t="s">
        <x:v>50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Factor'!$G$53</x:f>
        <x:v>117035.55963</x:v>
      </x:c>
      <x:c r="E22" s="5"/>
      <x:c r="F22" s="5">
        <x:v>116790.3</x:v>
      </x:c>
      <x:c r="G22" s="5"/>
      <x:c r="H22" s="5">
        <x:f>J22*'[2]Demand Loss Factor'!$G$53</x:f>
        <x:v>98950.260089999996</x:v>
      </x:c>
      <x:c r="I22" s="5"/>
      <x:c r="J22" s="5">
        <x:v>98742.9</x:v>
      </x:c>
      <x:c r="K22" s="5"/>
      <x:c r="L22" s="5">
        <x:f>N22*'[2]Demand Loss Factor'!$G$53</x:f>
        <x:v>93478.8943</x:v>
      </x:c>
      <x:c r="N22" s="5">
        <x:v>93283</x:v>
      </x:c>
      <x:c r="O22" s="5"/>
      <x:c r="P22" s="5">
        <x:f>R22*'[2]Demand Loss Factor'!$G$53</x:f>
        <x:v>97154.597099999999</x:v>
      </x:c>
      <x:c r="R22" s="5">
        <x:v>96951</x:v>
      </x:c>
      <x:c r="S22" s="5"/>
      <x:c r="T22" s="5">
        <x:f>V22*'[2]Energy Loss Factor'!$G$53</x:f>
        <x:v>36489647.403449997</x:v>
      </x:c>
      <x:c r="V22" s="5">
        <x:f>'[1]WHOLESALE-SUB'!I16</x:f>
        <x:v>36339565</x:v>
      </x:c>
      <x:c r="X22" s="30">
        <x:f>(N22/J22)</x:f>
        <x:v>0.94470589784176895</x:v>
      </x:c>
      <x:c r="Y22" s="30"/>
      <x:c r="Z22" s="30">
        <x:v>0.49469999999999997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Factor'!$G$53</x:f>
        <x:v>93632.115389999992</x:v>
      </x:c>
      <x:c r="E23" s="5"/>
      <x:c r="F23" s="5">
        <x:v>93435.9</x:v>
      </x:c>
      <x:c r="G23" s="5"/>
      <x:c r="H23" s="5">
        <x:f>J23*'[2]Demand Loss Factor'!$G$53</x:f>
        <x:v>70446.527689999988</x:v>
      </x:c>
      <x:c r="I23" s="5"/>
      <x:c r="J23" s="5">
        <x:v>70298.899999999994</x:v>
      </x:c>
      <x:c r="K23" s="5"/>
      <x:c r="L23" s="5">
        <x:f>N23*'[2]Demand Loss Factor'!$G$53</x:f>
        <x:v>56582.574399999998</x:v>
      </x:c>
      <x:c r="N23" s="5">
        <x:v>56464</x:v>
      </x:c>
      <x:c r="O23" s="5"/>
      <x:c r="P23" s="5">
        <x:f>R23*'[2]Demand Loss Factor'!$G$53</x:f>
        <x:v>56582.574399999998</x:v>
      </x:c>
      <x:c r="R23" s="5">
        <x:v>56464</x:v>
      </x:c>
      <x:c r="S23" s="5"/>
      <x:c r="T23" s="5">
        <x:f>V23*'[2]Energy Loss Factor'!$G$53</x:f>
        <x:v>22451370.283574998</x:v>
      </x:c>
      <x:c r="V23" s="5">
        <x:f>'[1]WHOLESALE-SUB'!I18</x:f>
        <x:v>22359027.5</x:v>
      </x:c>
      <x:c r="X23" s="30">
        <x:f t="shared" ref="X23:X33" si="0">(N23/J23)</x:f>
        <x:v>0.8031989120740155</x:v>
      </x:c>
      <x:c r="Y23" s="30"/>
      <x:c r="Z23" s="30">
        <x:v>0.45700000000000002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Factor'!$G$53</x:f>
        <x:v>77446.396610000011</x:v>
      </x:c>
      <x:c r="E24" s="5"/>
      <x:c r="F24" s="5">
        <x:v>77284.100000000006</x:v>
      </x:c>
      <x:c r="G24" s="5"/>
      <x:c r="H24" s="5">
        <x:f>J24*'[2]Demand Loss Factor'!$G$53</x:f>
        <x:v>50522.575069999999</x:v>
      </x:c>
      <x:c r="I24" s="5"/>
      <x:c r="J24" s="5">
        <x:v>50416.7</x:v>
      </x:c>
      <x:c r="K24" s="5"/>
      <x:c r="L24" s="5">
        <x:f>N24*'[2]Demand Loss Factor'!$G$53</x:f>
        <x:v>41006.934099999999</x:v>
      </x:c>
      <x:c r="N24" s="5">
        <x:v>40921</x:v>
      </x:c>
      <x:c r="O24" s="5"/>
      <x:c r="P24" s="5">
        <x:f>R24*'[2]Demand Loss Factor'!$G$53</x:f>
        <x:v>33804.841399999998</x:v>
      </x:c>
      <x:c r="R24" s="5">
        <x:v>33734</x:v>
      </x:c>
      <x:c r="S24" s="5"/>
      <x:c r="T24" s="5">
        <x:f>V24*'[2]Energy Loss Factor'!$G$53</x:f>
        <x:v>20637825.3994275</x:v>
      </x:c>
      <x:c r="V24" s="5">
        <x:f>'[1]WHOLESALE-SUB'!I20</x:f>
        <x:v>20552941.75</x:v>
      </x:c>
      <x:c r="X24" s="30">
        <x:f t="shared" si="0"/>
        <x:v>0.81165566171526504</x:v>
      </x:c>
      <x:c r="Y24" s="30"/>
      <x:c r="Z24" s="30">
        <x:v>0.54869999999999997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Factor'!$G$53</x:f>
        <x:v>75948.858370000002</x:v>
      </x:c>
      <x:c r="E25" s="5"/>
      <x:c r="F25" s="5">
        <x:v>75789.7</x:v>
      </x:c>
      <x:c r="G25" s="5"/>
      <x:c r="H25" s="5">
        <x:f>J25*'[2]Demand Loss Factor'!$G$53</x:f>
        <x:v>47178.266739999999</x:v>
      </x:c>
      <x:c r="I25" s="5"/>
      <x:c r="J25" s="5">
        <x:v>47079.4</x:v>
      </x:c>
      <x:c r="K25" s="5"/>
      <x:c r="L25" s="5">
        <x:f>N25*'[2]Demand Loss Factor'!$G$53</x:f>
        <x:v>44956.210200000001</x:v>
      </x:c>
      <x:c r="N25" s="5">
        <x:v>44862</x:v>
      </x:c>
      <x:c r="O25" s="5"/>
      <x:c r="P25" s="5">
        <x:f>R25*'[2]Demand Loss Factor'!$G$53</x:f>
        <x:v>44956.210200000001</x:v>
      </x:c>
      <x:c r="R25" s="5">
        <x:v>44862</x:v>
      </x:c>
      <x:c r="S25" s="5"/>
      <x:c r="T25" s="5">
        <x:f>V25*'[2]Energy Loss Factor'!$G$53</x:f>
        <x:v>20172638.328839999</x:v>
      </x:c>
      <x:c r="V25" s="5">
        <x:f>'[1]WHOLESALE-SUB'!I22</x:f>
        <x:v>20089668</x:v>
      </x:c>
      <x:c r="X25" s="30">
        <x:f t="shared" si="0"/>
        <x:v>0.95290084410591469</x:v>
      </x:c>
      <x:c r="Y25" s="30"/>
      <x:c r="Z25" s="30">
        <x:v>0.5927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Factor'!$G$53</x:f>
        <x:v>95572.180989999993</x:v>
      </x:c>
      <x:c r="E26" s="5"/>
      <x:c r="F26" s="5">
        <x:v>95371.9</x:v>
      </x:c>
      <x:c r="G26" s="5"/>
      <x:c r="H26" s="5">
        <x:f>J26*'[2]Demand Loss Factor'!$G$53</x:f>
        <x:v>66212.454769999997</x:v>
      </x:c>
      <x:c r="I26" s="5"/>
      <x:c r="J26" s="5">
        <x:v>66073.7</x:v>
      </x:c>
      <x:c r="K26" s="5"/>
      <x:c r="L26" s="5">
        <x:f>N26*'[2]Demand Loss Factor'!$G$53</x:f>
        <x:v>65016.248</x:v>
      </x:c>
      <x:c r="N26" s="5">
        <x:v>64880</x:v>
      </x:c>
      <x:c r="O26" s="5"/>
      <x:c r="P26" s="5">
        <x:f>R26*'[2]Demand Loss Factor'!$G$53</x:f>
        <x:v>65886.070800000001</x:v>
      </x:c>
      <x:c r="R26" s="5">
        <x:v>65748</x:v>
      </x:c>
      <x:c r="S26" s="5"/>
      <x:c r="T26" s="5">
        <x:f>V26*'[2]Energy Loss Factor'!$G$53</x:f>
        <x:v>26103256.540155001</x:v>
      </x:c>
      <x:c r="V26" s="5">
        <x:f>'[1]WHOLESALE-SUB'!I24</x:f>
        <x:v>25995893.5</x:v>
      </x:c>
      <x:c r="X26" s="30">
        <x:f t="shared" si="0"/>
        <x:v>0.98193381027549542</x:v>
      </x:c>
      <x:c r="Y26" s="30"/>
      <x:c r="Z26" s="30">
        <x:v>0.52880000000000005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Factor'!$G$53</x:f>
        <x:v>109849.40032</x:v>
      </x:c>
      <x:c r="E27" s="5"/>
      <x:c r="F27" s="5">
        <x:v>109619.2</x:v>
      </x:c>
      <x:c r="G27" s="5"/>
      <x:c r="H27" s="5">
        <x:f>J27*'[2]Demand Loss Factor'!$G$53</x:f>
        <x:v>75515.95117</x:v>
      </x:c>
      <x:c r="I27" s="5"/>
      <x:c r="J27" s="5">
        <x:v>75357.7</x:v>
      </x:c>
      <x:c r="K27" s="5"/>
      <x:c r="L27" s="5">
        <x:f>N27*'[2]Demand Loss Factor'!$G$53</x:f>
        <x:v>69526.700100000002</x:v>
      </x:c>
      <x:c r="N27" s="5">
        <x:v>69381</x:v>
      </x:c>
      <x:c r="O27" s="5"/>
      <x:c r="P27" s="5">
        <x:f>R27*'[2]Demand Loss Factor'!$G$53</x:f>
        <x:v>75450.113199999993</x:v>
      </x:c>
      <x:c r="R27" s="5">
        <x:v>75292</x:v>
      </x:c>
      <x:c r="S27" s="5"/>
      <x:c r="T27" s="5">
        <x:f>V27*'[2]Energy Loss Factor'!$G$53</x:f>
        <x:v>32838107.069654997</x:v>
      </x:c>
      <x:c r="V27" s="5">
        <x:f>'[1]WHOLESALE-SUB'!I26</x:f>
        <x:v>32703043.5</x:v>
      </x:c>
      <x:c r="X27" s="30">
        <x:f t="shared" si="0"/>
        <x:v>0.92068892760792864</x:v>
      </x:c>
      <x:c r="Y27" s="30"/>
      <x:c r="Z27" s="30">
        <x:v>0.60270000000000001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Factor'!$G$53</x:f>
        <x:v>107223.79811</x:v>
      </x:c>
      <x:c r="E28" s="5"/>
      <x:c r="F28" s="5">
        <x:v>106999.1</x:v>
      </x:c>
      <x:c r="G28" s="5"/>
      <x:c r="H28" s="5">
        <x:f>J28*'[2]Demand Loss Factor'!$G$53</x:f>
        <x:v>77852.247110000011</x:v>
      </x:c>
      <x:c r="I28" s="5"/>
      <x:c r="J28" s="5">
        <x:v>77689.100000000006</x:v>
      </x:c>
      <x:c r="K28" s="5"/>
      <x:c r="L28" s="5">
        <x:f>N28*'[2]Demand Loss Factor'!$G$53</x:f>
        <x:v>73798.652400000006</x:v>
      </x:c>
      <x:c r="N28" s="5">
        <x:v>73644</x:v>
      </x:c>
      <x:c r="O28" s="5"/>
      <x:c r="P28" s="5">
        <x:f>R28*'[2]Demand Loss Factor'!$G$53</x:f>
        <x:v>76958.273700000005</x:v>
      </x:c>
      <x:c r="R28" s="5">
        <x:v>76797</x:v>
      </x:c>
      <x:c r="S28" s="5"/>
      <x:c r="T28" s="5">
        <x:f>V28*'[2]Energy Loss Factor'!$G$53</x:f>
        <x:v>35528816.493179999</x:v>
      </x:c>
      <x:c r="V28" s="5">
        <x:f>'[1]WHOLESALE-SUB'!I28</x:f>
        <x:v>35382686</x:v>
      </x:c>
      <x:c r="X28" s="30">
        <x:f t="shared" si="0"/>
        <x:v>0.94793220670596001</x:v>
      </x:c>
      <x:c r="Y28" s="30"/>
      <x:c r="Z28" s="30">
        <x:v>0.61219999999999997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Factor'!$G$53</x:f>
        <x:v>112955.60969</x:v>
      </x:c>
      <x:c r="E29" s="5"/>
      <x:c r="F29" s="5">
        <x:v>112718.9</x:v>
      </x:c>
      <x:c r="G29" s="5"/>
      <x:c r="H29" s="5">
        <x:f>J29*'[2]Demand Loss Factor'!$G$53</x:f>
        <x:v>83265.791729999997</x:v>
      </x:c>
      <x:c r="I29" s="5"/>
      <x:c r="J29" s="5">
        <x:v>83091.3</x:v>
      </x:c>
      <x:c r="K29" s="5"/>
      <x:c r="L29" s="5">
        <x:f>N29*'[2]Demand Loss Factor'!$G$53</x:f>
        <x:v>74294.691900000005</x:v>
      </x:c>
      <x:c r="N29" s="5">
        <x:v>74139</x:v>
      </x:c>
      <x:c r="O29" s="5"/>
      <x:c r="P29" s="5">
        <x:f>R29*'[2]Demand Loss Factor'!$G$53</x:f>
        <x:v>78320.127599999993</x:v>
      </x:c>
      <x:c r="R29" s="5">
        <x:v>78156</x:v>
      </x:c>
      <x:c r="S29" s="5"/>
      <x:c r="T29" s="5">
        <x:f>V29*'[2]Energy Loss Factor'!$G$53</x:f>
        <x:v>39580242.06024</x:v>
      </x:c>
      <x:c r="V29" s="5">
        <x:f>'[1]WHOLESALE-SUB'!I30</x:f>
        <x:v>39417448</x:v>
      </x:c>
      <x:c r="X29" s="30">
        <x:f t="shared" si="0"/>
        <x:v>0.89225947842914954</x:v>
      </x:c>
      <x:c r="Y29" s="30"/>
      <x:c r="Z29" s="30">
        <x:v>0.63759999999999994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Factor'!$G$53</x:f>
        <x:v>91844.168569999994</x:v>
      </x:c>
      <x:c r="E30" s="5"/>
      <x:c r="F30" s="5">
        <x:v>91651.7</x:v>
      </x:c>
      <x:c r="G30" s="5"/>
      <x:c r="H30" s="5">
        <x:f>J30*'[2]Demand Loss Factor'!$G$53</x:f>
        <x:v>70778.92426</x:v>
      </x:c>
      <x:c r="I30" s="5"/>
      <x:c r="J30" s="5">
        <x:v>70630.600000000006</x:v>
      </x:c>
      <x:c r="K30" s="5"/>
      <x:c r="L30" s="5">
        <x:f>N30*'[2]Demand Loss Factor'!$G$53</x:f>
        <x:v>65331.909500000002</x:v>
      </x:c>
      <x:c r="N30" s="5">
        <x:v>65195</x:v>
      </x:c>
      <x:c r="O30" s="5"/>
      <x:c r="P30" s="5">
        <x:f>R30*'[2]Demand Loss Factor'!$G$53</x:f>
        <x:v>69945.577900000004</x:v>
      </x:c>
      <x:c r="R30" s="5">
        <x:v>69799</x:v>
      </x:c>
      <x:c r="S30" s="5"/>
      <x:c r="T30" s="5">
        <x:f>V30*'[2]Energy Loss Factor'!$G$53</x:f>
        <x:v>27660623.511149999</x:v>
      </x:c>
      <x:c r="V30" s="5">
        <x:f>'[1]WHOLESALE-SUB'!I32</x:f>
        <x:v>27546855</x:v>
      </x:c>
      <x:c r="X30" s="30">
        <x:f t="shared" si="0"/>
        <x:v>0.92304185438039599</x:v>
      </x:c>
      <x:c r="Y30" s="30"/>
      <x:c r="Z30" s="30">
        <x:v>0.54169999999999996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Factor'!$G$53</x:f>
        <x:v>78338.967080000002</x:v>
      </x:c>
      <x:c r="E31" s="5"/>
      <x:c r="F31" s="5">
        <x:v>78174.8</x:v>
      </x:c>
      <x:c r="G31" s="5"/>
      <x:c r="H31" s="5">
        <x:f>J31*'[2]Demand Loss Factor'!$G$53</x:f>
        <x:v>61314.39039</x:v>
      </x:c>
      <x:c r="I31" s="5"/>
      <x:c r="J31" s="5">
        <x:v>61185.9</x:v>
      </x:c>
      <x:c r="K31" s="5"/>
      <x:c r="L31" s="5">
        <x:f>N31*'[2]Demand Loss Factor'!$G$53</x:f>
        <x:v>61314.490599999997</x:v>
      </x:c>
      <x:c r="N31" s="5">
        <x:v>61186</x:v>
      </x:c>
      <x:c r="O31" s="5"/>
      <x:c r="P31" s="5">
        <x:f>R31*'[2]Demand Loss Factor'!$G$53</x:f>
        <x:v>61314.490599999997</x:v>
      </x:c>
      <x:c r="R31" s="5">
        <x:v>61186</x:v>
      </x:c>
      <x:c r="S31" s="5"/>
      <x:c r="T31" s="5">
        <x:f>V31*'[2]Energy Loss Factor'!$G$53</x:f>
        <x:v>24779403.766147498</x:v>
      </x:c>
      <x:c r="V31" s="5">
        <x:f>'[1]WHOLESALE-SUB'!I34</x:f>
        <x:v>24677485.75</x:v>
      </x:c>
      <x:c r="X31" s="30">
        <x:f t="shared" si="0"/>
        <x:v>1.0000016343634726</x:v>
      </x:c>
      <x:c r="Y31" s="30"/>
      <x:c r="Z31" s="30">
        <x:v>0.54210000000000003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Factor'!$G$53</x:f>
        <x:v>68653.369949999993</x:v>
      </x:c>
      <x:c r="E32" s="5"/>
      <x:c r="F32" s="5">
        <x:v>68509.5</x:v>
      </x:c>
      <x:c r="G32" s="5"/>
      <x:c r="H32" s="5">
        <x:f>J32*'[2]Demand Loss Factor'!$G$53</x:f>
        <x:v>45110.533600000002</x:v>
      </x:c>
      <x:c r="I32" s="5"/>
      <x:c r="J32" s="5">
        <x:v>45016</x:v>
      </x:c>
      <x:c r="K32" s="5"/>
      <x:c r="L32" s="5">
        <x:f>N32*'[2]Demand Loss Factor'!$G$53</x:f>
        <x:v>39585.956299999998</x:v>
      </x:c>
      <x:c r="N32" s="5">
        <x:v>39503</x:v>
      </x:c>
      <x:c r="O32" s="5"/>
      <x:c r="P32" s="5">
        <x:f>R32*'[2]Demand Loss Factor'!$G$53</x:f>
        <x:v>38914.549299999999</x:v>
      </x:c>
      <x:c r="R32" s="5">
        <x:v>38833</x:v>
      </x:c>
      <x:c r="S32" s="5"/>
      <x:c r="T32" s="5">
        <x:f>V32*'[2]Energy Loss Factor'!$G$53</x:f>
        <x:v>20384809.742677499</x:v>
      </x:c>
      <x:c r="V32" s="5">
        <x:f>'[1]WHOLESALE-SUB'!I36</x:f>
        <x:v>20300966.75</x:v>
      </x:c>
      <x:c r="X32" s="30">
        <x:f t="shared" si="0"/>
        <x:v>0.87753243291274219</x:v>
      </x:c>
      <x:c r="Y32" s="30"/>
      <x:c r="Z32" s="30">
        <x:v>0.60419999999999996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Factor'!$G$53</x:f>
        <x:v>73038.960389999993</x:v>
      </x:c>
      <x:c r="E33" s="5"/>
      <x:c r="F33" s="5">
        <x:v>72885.899999999994</x:v>
      </x:c>
      <x:c r="G33" s="5"/>
      <x:c r="H33" s="5">
        <x:f>J33*'[2]Demand Loss Factor'!$G$53</x:f>
        <x:v>53983.728259999996</x:v>
      </x:c>
      <x:c r="I33" s="5"/>
      <x:c r="J33" s="5">
        <x:v>53870.6</x:v>
      </x:c>
      <x:c r="K33" s="5"/>
      <x:c r="L33" s="5">
        <x:f>N33*'[2]Demand Loss Factor'!$G$53</x:f>
        <x:v>52652.338199999998</x:v>
      </x:c>
      <x:c r="N33" s="5">
        <x:v>52542</x:v>
      </x:c>
      <x:c r="O33" s="5"/>
      <x:c r="P33" s="5">
        <x:f>R33*'[2]Demand Loss Factor'!$G$53</x:f>
        <x:v>52652.338199999998</x:v>
      </x:c>
      <x:c r="R33" s="5">
        <x:v>52542</x:v>
      </x:c>
      <x:c r="S33" s="5"/>
      <x:c r="T33" s="32">
        <x:f>V33*'[2]Energy Loss Factor'!$G$53</x:f>
        <x:v>23847916.295835</x:v>
      </x:c>
      <x:c r="V33" s="32">
        <x:f>'[1]WHOLESALE-SUB'!I38</x:f>
        <x:v>23749829.5</x:v>
      </x:c>
      <x:c r="X33" s="30">
        <x:f t="shared" si="0"/>
        <x:v>0.97533719691260168</x:v>
      </x:c>
      <x:c r="Y33" s="30"/>
      <x:c r="Z33" s="30">
        <x:v>0.59260000000000002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330474656.89433253</x:v>
      </x:c>
      <x:c r="V34" s="5">
        <x:f>+SUM(V22:V33)</x:f>
        <x:v>329115410.25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  <x:row r="41" spans="1:26" ht="15" customHeight="1" x14ac:dyDescent="0.25">
      <x:c r="A41" s="6"/>
      <x:c r="E41" s="5"/>
      <x:c r="G41" s="5"/>
      <x:c r="I41" s="5"/>
      <x:c r="K41" s="5"/>
      <x:c r="O41" s="5"/>
      <x:c r="S41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dimension ref="A1:Z40"/>
  <x:sheetViews>
    <x:sheetView zoomScale="75" zoomScaleNormal="75" workbookViewId="0"/>
  </x:sheetViews>
  <x:sheetFormatPr defaultColWidth="9.140625" defaultRowHeight="18.75" customHeight="1" x14ac:dyDescent="0.25"/>
  <x:cols>
    <x:col min="1" max="1" width="4.7109375" style="4" customWidth="1"/>
    <x:col min="2" max="3" width="7.7109375" style="4" customWidth="1"/>
    <x:col min="4" max="4" width="20.5703125" style="5" customWidth="1"/>
    <x:col min="5" max="5" width="2.7109375" style="4" customWidth="1"/>
    <x:col min="6" max="6" width="20.85546875" style="5" customWidth="1"/>
    <x:col min="7" max="7" width="5.7109375" style="4" customWidth="1"/>
    <x:col min="8" max="8" width="13.85546875" style="5" customWidth="1"/>
    <x:col min="9" max="9" width="2.7109375" style="4" customWidth="1"/>
    <x:col min="10" max="10" width="14.85546875" style="5" customWidth="1"/>
    <x:col min="11" max="11" width="5.7109375" style="4" customWidth="1"/>
    <x:col min="12" max="12" width="12.7109375" style="5" customWidth="1"/>
    <x:col min="13" max="13" width="2.7109375" style="5" customWidth="1"/>
    <x:col min="14" max="14" width="13.28515625" style="5" customWidth="1"/>
    <x:col min="15" max="15" width="5.7109375" style="4" customWidth="1"/>
    <x:col min="16" max="16" width="12.7109375" style="5" customWidth="1"/>
    <x:col min="17" max="17" width="2.7109375" style="5" customWidth="1"/>
    <x:col min="18" max="18" width="13.85546875" style="5" customWidth="1"/>
    <x:col min="19" max="19" width="5.7109375" style="4" customWidth="1"/>
    <x:col min="20" max="20" width="17.7109375" style="5" customWidth="1"/>
    <x:col min="21" max="21" width="2.7109375" style="5" customWidth="1"/>
    <x:col min="22" max="22" width="17.7109375" style="5" customWidth="1"/>
    <x:col min="23" max="23" width="3.7109375" style="4" customWidth="1"/>
    <x:col min="24" max="24" width="10.28515625" style="4" customWidth="1"/>
    <x:col min="25" max="25" width="1.7109375" style="4" customWidth="1"/>
    <x:col min="26" max="26" width="11.85546875" style="4" customWidth="1"/>
    <x:col min="27" max="16384" width="9.140625" style="4"/>
  </x:cols>
  <x:sheetData>
    <x:row r="1" spans="1:26" ht="18.75" customHeight="1" x14ac:dyDescent="0.25">
      <x:c r="A1" s="23"/>
      <x:c r="V1" s="4" t="s">
        <x:v>92</x:v>
      </x:c>
    </x:row>
    <x:row r="2" spans="1:26" ht="18.75" customHeight="1" x14ac:dyDescent="0.25">
      <x:c r="V2" s="4" t="s">
        <x:v>101</x:v>
      </x:c>
    </x:row>
    <x:row r="7" spans="1:26" ht="18.75" customHeight="1" x14ac:dyDescent="0.25">
      <x:c r="A7" s="24" t="s">
        <x:v>108</x:v>
      </x:c>
      <x:c r="B7" s="25"/>
      <x:c r="C7" s="25"/>
      <x:c r="D7" s="25"/>
      <x:c r="E7" s="25"/>
      <x:c r="F7" s="26"/>
      <x:c r="G7" s="25"/>
      <x:c r="H7" s="25"/>
      <x:c r="I7" s="25"/>
      <x:c r="J7" s="26"/>
      <x:c r="K7" s="25"/>
      <x:c r="L7" s="25"/>
      <x:c r="M7" s="25"/>
      <x:c r="N7" s="24"/>
      <x:c r="O7" s="26"/>
      <x:c r="P7" s="25"/>
      <x:c r="Q7" s="25"/>
      <x:c r="R7" s="26"/>
      <x:c r="S7" s="25"/>
      <x:c r="T7" s="25"/>
      <x:c r="U7" s="25"/>
      <x:c r="V7" s="25"/>
      <x:c r="W7" s="25"/>
      <x:c r="X7" s="25"/>
      <x:c r="Y7" s="25"/>
      <x:c r="Z7" s="25"/>
    </x:row>
    <x:row r="8" spans="1:26" ht="18" customHeight="1" x14ac:dyDescent="0.25">
      <x:c r="A8" s="24" t="s">
        <x:v>51</x:v>
      </x:c>
      <x:c r="B8" s="25"/>
      <x:c r="C8" s="25"/>
      <x:c r="D8" s="25"/>
      <x:c r="E8" s="25"/>
      <x:c r="F8" s="26"/>
      <x:c r="G8" s="25"/>
      <x:c r="H8" s="25"/>
      <x:c r="I8" s="25"/>
      <x:c r="J8" s="26"/>
      <x:c r="K8" s="25"/>
      <x:c r="L8" s="26"/>
      <x:c r="M8" s="26"/>
      <x:c r="N8" s="24"/>
      <x:c r="O8" s="27"/>
      <x:c r="P8" s="25"/>
      <x:c r="Q8" s="25"/>
      <x:c r="R8" s="27"/>
      <x:c r="S8" s="24"/>
      <x:c r="T8" s="25"/>
      <x:c r="U8" s="25"/>
      <x:c r="V8" s="25"/>
      <x:c r="W8" s="25"/>
      <x:c r="X8" s="25"/>
      <x:c r="Y8" s="25"/>
      <x:c r="Z8" s="25"/>
    </x:row>
    <x:row r="9" spans="1:26" ht="18" customHeight="1" x14ac:dyDescent="0.25">
      <x:c r="A9" s="24" t="s">
        <x:v>71</x:v>
      </x:c>
      <x:c r="B9" s="25"/>
      <x:c r="C9" s="25"/>
      <x:c r="D9" s="25"/>
      <x:c r="E9" s="25"/>
      <x:c r="F9" s="26"/>
      <x:c r="G9" s="24"/>
      <x:c r="H9" s="25"/>
      <x:c r="I9" s="25"/>
      <x:c r="J9" s="26"/>
      <x:c r="K9" s="24"/>
      <x:c r="L9" s="24"/>
      <x:c r="M9" s="26"/>
      <x:c r="N9" s="26"/>
      <x:c r="O9" s="26"/>
      <x:c r="P9" s="25"/>
      <x:c r="Q9" s="24"/>
      <x:c r="R9" s="27"/>
      <x:c r="S9" s="24"/>
      <x:c r="T9" s="25"/>
      <x:c r="U9" s="25"/>
      <x:c r="V9" s="25"/>
      <x:c r="W9" s="25"/>
      <x:c r="X9" s="25"/>
      <x:c r="Y9" s="25"/>
      <x:c r="Z9" s="25"/>
    </x:row>
    <x:row r="10" spans="1:26" ht="18" customHeight="1" x14ac:dyDescent="0.25">
      <x:c r="A10" s="24" t="s">
        <x:v>113</x:v>
      </x:c>
      <x:c r="B10" s="25"/>
      <x:c r="C10" s="25"/>
      <x:c r="D10" s="25"/>
      <x:c r="E10" s="25"/>
      <x:c r="F10" s="25"/>
      <x:c r="G10" s="24"/>
      <x:c r="H10" s="25"/>
      <x:c r="I10" s="25"/>
      <x:c r="J10" s="25"/>
      <x:c r="K10" s="24"/>
      <x:c r="L10" s="27"/>
      <x:c r="M10" s="26"/>
      <x:c r="N10" s="26"/>
      <x:c r="O10" s="26"/>
      <x:c r="P10" s="25"/>
      <x:c r="Q10" s="24"/>
      <x:c r="R10" s="27"/>
      <x:c r="S10" s="24"/>
      <x:c r="T10" s="25"/>
      <x:c r="U10" s="25"/>
      <x:c r="V10" s="25"/>
      <x:c r="W10" s="25"/>
      <x:c r="X10" s="25"/>
      <x:c r="Y10" s="25"/>
      <x:c r="Z10" s="25"/>
    </x:row>
    <x:row r="11" spans="1:26" ht="18" customHeight="1" x14ac:dyDescent="0.25">
      <x:c r="A11" s="25"/>
      <x:c r="B11" s="25"/>
      <x:c r="C11" s="25"/>
      <x:c r="D11" s="25"/>
      <x:c r="E11" s="25"/>
      <x:c r="F11" s="26"/>
      <x:c r="G11" s="25"/>
      <x:c r="H11" s="25"/>
      <x:c r="I11" s="25"/>
      <x:c r="J11" s="26"/>
      <x:c r="K11" s="25"/>
      <x:c r="L11" s="26"/>
      <x:c r="M11" s="26"/>
      <x:c r="N11" s="26"/>
      <x:c r="O11" s="26"/>
      <x:c r="P11" s="25"/>
      <x:c r="Q11" s="25"/>
      <x:c r="R11" s="26"/>
      <x:c r="S11" s="25"/>
      <x:c r="T11" s="25"/>
      <x:c r="U11" s="25"/>
      <x:c r="V11" s="25"/>
      <x:c r="W11" s="25"/>
      <x:c r="X11" s="25"/>
      <x:c r="Y11" s="25"/>
      <x:c r="Z11" s="25"/>
    </x:row>
    <x:row r="12" spans="1:26" ht="18.75" customHeight="1" x14ac:dyDescent="0.25">
      <x:c r="A12" s="24" t="s">
        <x:v>58</x:v>
      </x:c>
      <x:c r="B12" s="25"/>
      <x:c r="C12" s="25"/>
      <x:c r="D12" s="25"/>
      <x:c r="E12" s="25"/>
      <x:c r="F12" s="26"/>
      <x:c r="G12" s="25"/>
      <x:c r="H12" s="25"/>
      <x:c r="I12" s="25"/>
      <x:c r="J12" s="26"/>
      <x:c r="K12" s="25"/>
      <x:c r="L12" s="27"/>
      <x:c r="M12" s="26"/>
      <x:c r="N12" s="27"/>
      <x:c r="O12" s="27"/>
      <x:c r="P12" s="25"/>
      <x:c r="Q12" s="25"/>
      <x:c r="R12" s="26"/>
      <x:c r="S12" s="25"/>
      <x:c r="T12" s="25"/>
      <x:c r="U12" s="25"/>
      <x:c r="V12" s="25"/>
      <x:c r="W12" s="25"/>
      <x:c r="X12" s="25"/>
      <x:c r="Y12" s="25"/>
      <x:c r="Z12" s="25"/>
    </x:row>
    <x:row r="13" spans="1:26" ht="18.75" customHeight="1" x14ac:dyDescent="0.25">
      <x:c r="A13" s="25"/>
      <x:c r="B13" s="25"/>
      <x:c r="C13" s="25"/>
      <x:c r="D13" s="25"/>
      <x:c r="E13" s="25"/>
      <x:c r="F13" s="26"/>
      <x:c r="G13" s="25"/>
      <x:c r="H13" s="25"/>
      <x:c r="I13" s="25"/>
      <x:c r="J13" s="26"/>
      <x:c r="K13" s="25"/>
      <x:c r="L13" s="25"/>
      <x:c r="M13" s="26"/>
      <x:c r="N13" s="25"/>
      <x:c r="O13" s="27"/>
      <x:c r="P13" s="25"/>
      <x:c r="Q13" s="25"/>
      <x:c r="R13" s="26"/>
      <x:c r="S13" s="25"/>
      <x:c r="T13" s="25"/>
      <x:c r="U13" s="25"/>
      <x:c r="V13" s="25"/>
      <x:c r="W13" s="25"/>
      <x:c r="X13" s="25"/>
      <x:c r="Y13" s="25"/>
      <x:c r="Z13" s="25"/>
    </x:row>
    <x:row r="14" spans="1:26" ht="18.75" customHeight="1" x14ac:dyDescent="0.25">
      <x:c r="A14" s="4" t="s">
        <x:v>72</x:v>
      </x:c>
    </x:row>
    <x:row r="15" spans="1:26" ht="18.75" customHeight="1" x14ac:dyDescent="0.25">
      <x:c r="A15" s="4" t="s">
        <x:v>50</x:v>
      </x:c>
    </x:row>
    <x:row r="16" spans="1:26" ht="15" customHeight="1" x14ac:dyDescent="0.25"/>
    <x:row r="17" spans="1:26" s="6" customFormat="1" ht="18.75" customHeight="1" x14ac:dyDescent="0.25">
      <x:c r="D17" s="6" t="s">
        <x:v>74</x:v>
      </x:c>
      <x:c r="F17" s="6" t="s">
        <x:v>75</x:v>
      </x:c>
      <x:c r="H17" s="6" t="s">
        <x:v>42</x:v>
      </x:c>
      <x:c r="J17" s="6" t="s">
        <x:v>80</x:v>
      </x:c>
      <x:c r="L17" s="6" t="s">
        <x:v>43</x:v>
      </x:c>
      <x:c r="N17" s="6" t="s">
        <x:v>44</x:v>
      </x:c>
      <x:c r="P17" s="6" t="s">
        <x:v>81</x:v>
      </x:c>
      <x:c r="R17" s="6" t="s">
        <x:v>82</x:v>
      </x:c>
      <x:c r="T17" s="6" t="s">
        <x:v>83</x:v>
      </x:c>
      <x:c r="V17" s="6" t="s">
        <x:v>84</x:v>
      </x:c>
      <x:c r="X17" s="6" t="s">
        <x:v>88</x:v>
      </x:c>
      <x:c r="Z17" s="6" t="s">
        <x:v>89</x:v>
      </x:c>
    </x:row>
    <x:row r="18" spans="1:26" s="6" customFormat="1" ht="18.75" customHeight="1" x14ac:dyDescent="0.25">
      <x:c r="D18" s="6" t="s">
        <x:v>76</x:v>
      </x:c>
      <x:c r="F18" s="6" t="s">
        <x:v>76</x:v>
      </x:c>
    </x:row>
    <x:row r="19" spans="1:26" ht="18.75" customHeight="1" x14ac:dyDescent="0.25">
      <x:c r="A19" s="4" t="s">
        <x:v>2</x:v>
      </x:c>
      <x:c r="D19" s="5" t="s">
        <x:v>78</x:v>
      </x:c>
      <x:c r="F19" s="5" t="s">
        <x:v>78</x:v>
      </x:c>
      <x:c r="H19" s="5" t="s">
        <x:v>6</x:v>
      </x:c>
      <x:c r="I19" s="5"/>
      <x:c r="J19" s="5" t="s">
        <x:v>86</x:v>
      </x:c>
      <x:c r="L19" s="5" t="s">
        <x:v>4</x:v>
      </x:c>
      <x:c r="M19" s="4" t="s">
        <x:v>5</x:v>
      </x:c>
      <x:c r="N19" s="5" t="s">
        <x:v>4</x:v>
      </x:c>
      <x:c r="P19" s="5" t="s">
        <x:v>3</x:v>
      </x:c>
      <x:c r="R19" s="5" t="s">
        <x:v>3</x:v>
      </x:c>
      <x:c r="T19" s="5" t="s">
        <x:v>7</x:v>
      </x:c>
      <x:c r="V19" s="5" t="s">
        <x:v>8</x:v>
      </x:c>
      <x:c r="X19" s="4" t="s">
        <x:v>91</x:v>
      </x:c>
    </x:row>
    <x:row r="20" spans="1:26" ht="18.75" customHeight="1" x14ac:dyDescent="0.25">
      <x:c r="A20" s="28" t="s">
        <x:v>9</x:v>
      </x:c>
      <x:c r="B20" s="28" t="s">
        <x:v>10</x:v>
      </x:c>
      <x:c r="D20" s="22" t="s">
        <x:v>77</x:v>
      </x:c>
      <x:c r="F20" s="22" t="s">
        <x:v>79</x:v>
      </x:c>
      <x:c r="H20" s="22" t="s">
        <x:v>11</x:v>
      </x:c>
      <x:c r="I20" s="5"/>
      <x:c r="J20" s="22" t="s">
        <x:v>12</x:v>
      </x:c>
      <x:c r="L20" s="22" t="s">
        <x:v>11</x:v>
      </x:c>
      <x:c r="M20" s="4"/>
      <x:c r="N20" s="22" t="s">
        <x:v>12</x:v>
      </x:c>
      <x:c r="P20" s="22" t="s">
        <x:v>11</x:v>
      </x:c>
      <x:c r="R20" s="22" t="s">
        <x:v>12</x:v>
      </x:c>
      <x:c r="T20" s="22" t="s">
        <x:v>13</x:v>
      </x:c>
      <x:c r="V20" s="22" t="s">
        <x:v>14</x:v>
      </x:c>
      <x:c r="X20" s="29" t="s">
        <x:v>15</x:v>
      </x:c>
      <x:c r="Z20" s="29" t="s">
        <x:v>90</x:v>
      </x:c>
    </x:row>
    <x:row r="21" spans="1:26" ht="18.75" customHeight="1" x14ac:dyDescent="0.25">
      <x:c r="M21" s="4"/>
      <x:c r="X21" s="30"/>
      <x:c r="Y21" s="30"/>
      <x:c r="Z21" s="30"/>
    </x:row>
    <x:row r="22" spans="1:26" ht="24.95" customHeight="1" x14ac:dyDescent="0.25">
      <x:c r="A22" s="31">
        <x:v>1</x:v>
      </x:c>
      <x:c r="B22" s="31" t="s">
        <x:v>17</x:v>
      </x:c>
      <x:c r="D22" s="5">
        <x:f>F22*'[2]Demand Loss Factor'!$G$54</x:f>
        <x:v>168768.6389798508</x:v>
      </x:c>
      <x:c r="E22" s="5"/>
      <x:c r="F22" s="5">
        <x:v>165996.4</x:v>
      </x:c>
      <x:c r="G22" s="5"/>
      <x:c r="H22" s="5">
        <x:f>J22*'[2]Demand Loss Factor'!$G$54</x:f>
        <x:v>127868.19734337661</x:v>
      </x:c>
      <x:c r="I22" s="5"/>
      <x:c r="J22" s="37">
        <x:v>125767.8</x:v>
      </x:c>
      <x:c r="K22" s="5"/>
      <x:c r="L22" s="5">
        <x:f>N22*'[2]Demand Loss Factor'!$G$54</x:f>
        <x:v>115000.021227267</x:v>
      </x:c>
      <x:c r="N22" s="5">
        <x:v>113111</x:v>
      </x:c>
      <x:c r="O22" s="5"/>
      <x:c r="P22" s="5">
        <x:f>R22*'[2]Demand Loss Factor'!$G$54</x:f>
        <x:v>127456.63694171101</x:v>
      </x:c>
      <x:c r="R22" s="5">
        <x:v>125363</x:v>
      </x:c>
      <x:c r="S22" s="5"/>
      <x:c r="T22" s="5">
        <x:f>V22*'[2]Energy Loss Factor'!$G$54</x:f>
        <x:v>46397962.077953473</x:v>
      </x:c>
      <x:c r="V22" s="5">
        <x:f>'[1]WHOLESALE-DLS'!I16</x:f>
        <x:v>45843587</x:v>
      </x:c>
      <x:c r="X22" s="30">
        <x:f>(N22/J22)</x:f>
        <x:v>0.8993637481135871</x:v>
      </x:c>
      <x:c r="Y22" s="30"/>
      <x:c r="Z22" s="38">
        <x:v>0.4899</x:v>
      </x:c>
    </x:row>
    <x:row r="23" spans="1:26" ht="24.95" customHeight="1" x14ac:dyDescent="0.25">
      <x:c r="A23" s="31">
        <x:v>2</x:v>
      </x:c>
      <x:c r="B23" s="31" t="s">
        <x:v>18</x:v>
      </x:c>
      <x:c r="D23" s="5">
        <x:f>F23*'[2]Demand Loss Factor'!$G$54</x:f>
        <x:v>133551.04533030809</x:v>
      </x:c>
      <x:c r="E23" s="5"/>
      <x:c r="F23" s="5">
        <x:v>131357.29999999999</x:v>
      </x:c>
      <x:c r="G23" s="5"/>
      <x:c r="H23" s="5">
        <x:f>J23*'[2]Demand Loss Factor'!$G$54</x:f>
        <x:v>86639.25974401171</x:v>
      </x:c>
      <x:c r="I23" s="5"/>
      <x:c r="J23" s="37">
        <x:v>85216.1</x:v>
      </x:c>
      <x:c r="K23" s="5"/>
      <x:c r="L23" s="5">
        <x:f>N23*'[2]Demand Loss Factor'!$G$54</x:f>
        <x:v>75084.355789046997</x:v>
      </x:c>
      <x:c r="N23" s="5">
        <x:v>73851</x:v>
      </x:c>
      <x:c r="O23" s="5"/>
      <x:c r="P23" s="5">
        <x:f>R23*'[2]Demand Loss Factor'!$G$54</x:f>
        <x:v>75084.355789046997</x:v>
      </x:c>
      <x:c r="R23" s="5">
        <x:v>73851</x:v>
      </x:c>
      <x:c r="S23" s="5"/>
      <x:c r="T23" s="5">
        <x:f>V23*'[2]Energy Loss Factor'!$G$54</x:f>
        <x:v>28903858.417273279</x:v>
      </x:c>
      <x:c r="V23" s="5">
        <x:f>'[1]WHOLESALE-DLS'!I18</x:f>
        <x:v>28558507.5</x:v>
      </x:c>
      <x:c r="X23" s="30">
        <x:f t="shared" ref="X23:X33" si="0">(N23/J23)</x:f>
        <x:v>0.86663200967892207</x:v>
      </x:c>
      <x:c r="Y23" s="30"/>
      <x:c r="Z23" s="38">
        <x:v>0.48149999999999998</x:v>
      </x:c>
    </x:row>
    <x:row r="24" spans="1:26" ht="24.95" customHeight="1" x14ac:dyDescent="0.25">
      <x:c r="A24" s="31">
        <x:v>3</x:v>
      </x:c>
      <x:c r="B24" s="31" t="s">
        <x:v>19</x:v>
      </x:c>
      <x:c r="D24" s="5">
        <x:f>F24*'[2]Demand Loss Factor'!$G$54</x:f>
        <x:v>106399.34419700521</x:v>
      </x:c>
      <x:c r="E24" s="5"/>
      <x:c r="F24" s="5">
        <x:v>104651.6</x:v>
      </x:c>
      <x:c r="G24" s="5"/>
      <x:c r="H24" s="5">
        <x:f>J24*'[2]Demand Loss Factor'!$G$54</x:f>
        <x:v>66268.036562161506</x:v>
      </x:c>
      <x:c r="I24" s="5"/>
      <x:c r="J24" s="37">
        <x:v>65179.5</x:v>
      </x:c>
      <x:c r="K24" s="5"/>
      <x:c r="L24" s="5">
        <x:f>N24*'[2]Demand Loss Factor'!$G$54</x:f>
        <x:v>55156.00738725</x:v>
      </x:c>
      <x:c r="N24" s="5">
        <x:v>54250</x:v>
      </x:c>
      <x:c r="O24" s="5"/>
      <x:c r="P24" s="5">
        <x:f>R24*'[2]Demand Loss Factor'!$G$54</x:f>
        <x:v>41265.843831036</x:v>
      </x:c>
      <x:c r="R24" s="5">
        <x:v>40588</x:v>
      </x:c>
      <x:c r="S24" s="5"/>
      <x:c r="T24" s="5">
        <x:f>V24*'[2]Energy Loss Factor'!$G$54</x:f>
        <x:v>27114055.631935392</x:v>
      </x:c>
      <x:c r="V24" s="5">
        <x:f>'[1]WHOLESALE-DLS'!I20</x:f>
        <x:v>26790089.75</x:v>
      </x:c>
      <x:c r="X24" s="30">
        <x:f t="shared" si="0"/>
        <x:v>0.83231690945772829</x:v>
      </x:c>
      <x:c r="Y24" s="30"/>
      <x:c r="Z24" s="38">
        <x:v>0.55320000000000003</x:v>
      </x:c>
    </x:row>
    <x:row r="25" spans="1:26" ht="24.95" customHeight="1" x14ac:dyDescent="0.25">
      <x:c r="A25" s="31">
        <x:v>4</x:v>
      </x:c>
      <x:c r="B25" s="31" t="s">
        <x:v>20</x:v>
      </x:c>
      <x:c r="D25" s="5">
        <x:f>F25*'[2]Demand Loss Factor'!$G$54</x:f>
        <x:v>98138.651846380206</x:v>
      </x:c>
      <x:c r="E25" s="5"/>
      <x:c r="F25" s="5">
        <x:v>96526.6</x:v>
      </x:c>
      <x:c r="G25" s="5"/>
      <x:c r="H25" s="5">
        <x:f>J25*'[2]Demand Loss Factor'!$G$54</x:f>
        <x:v>60408.486011471403</x:v>
      </x:c>
      <x:c r="I25" s="5"/>
      <x:c r="J25" s="37">
        <x:v>59416.2</x:v>
      </x:c>
      <x:c r="K25" s="5"/>
      <x:c r="L25" s="5">
        <x:f>N25*'[2]Demand Loss Factor'!$G$54</x:f>
        <x:v>55916.499433805999</x:v>
      </x:c>
      <x:c r="N25" s="5">
        <x:v>54998</x:v>
      </x:c>
      <x:c r="O25" s="5"/>
      <x:c r="P25" s="5">
        <x:f>R25*'[2]Demand Loss Factor'!$G$54</x:f>
        <x:v>55916.499433805999</x:v>
      </x:c>
      <x:c r="R25" s="5">
        <x:v>54998</x:v>
      </x:c>
      <x:c r="S25" s="5"/>
      <x:c r="T25" s="5">
        <x:f>V25*'[2]Energy Loss Factor'!$G$54</x:f>
        <x:v>26230316.736727718</x:v>
      </x:c>
      <x:c r="V25" s="5">
        <x:f>'[1]WHOLESALE-DLS'!I22</x:f>
        <x:v>25916910</x:v>
      </x:c>
      <x:c r="X25" s="30">
        <x:f t="shared" si="0"/>
        <x:v>0.92563980867170914</x:v>
      </x:c>
      <x:c r="Y25" s="30"/>
      <x:c r="Z25" s="38">
        <x:v>0.60580000000000001</x:v>
      </x:c>
    </x:row>
    <x:row r="26" spans="1:26" ht="24.95" customHeight="1" x14ac:dyDescent="0.25">
      <x:c r="A26" s="31">
        <x:v>5</x:v>
      </x:c>
      <x:c r="B26" s="31" t="s">
        <x:v>21</x:v>
      </x:c>
      <x:c r="D26" s="5">
        <x:f>F26*'[2]Demand Loss Factor'!$G$54</x:f>
        <x:v>118103.1947894304</x:v>
      </x:c>
      <x:c r="E26" s="5"/>
      <x:c r="F26" s="5">
        <x:v>116163.2</x:v>
      </x:c>
      <x:c r="G26" s="5"/>
      <x:c r="H26" s="5">
        <x:f>J26*'[2]Demand Loss Factor'!$G$54</x:f>
        <x:v>79962.9936037515</x:v>
      </x:c>
      <x:c r="I26" s="5"/>
      <x:c r="J26" s="37">
        <x:v>78649.5</x:v>
      </x:c>
      <x:c r="K26" s="5"/>
      <x:c r="L26" s="5">
        <x:f>N26*'[2]Demand Loss Factor'!$G$54</x:f>
        <x:v>77782.679173484998</x:v>
      </x:c>
      <x:c r="N26" s="5">
        <x:v>76505</x:v>
      </x:c>
      <x:c r="O26" s="5"/>
      <x:c r="P26" s="5">
        <x:f>R26*'[2]Demand Loss Factor'!$G$54</x:f>
        <x:v>78412.016843028003</x:v>
      </x:c>
      <x:c r="R26" s="5">
        <x:v>77124</x:v>
      </x:c>
      <x:c r="S26" s="5"/>
      <x:c r="T26" s="5">
        <x:f>V26*'[2]Energy Loss Factor'!$G$54</x:f>
        <x:v>32189794.902324725</x:v>
      </x:c>
      <x:c r="V26" s="5">
        <x:f>'[1]WHOLESALE-DLS'!I24</x:f>
        <x:v>31805182.75</x:v>
      </x:c>
      <x:c r="X26" s="30">
        <x:f t="shared" si="0"/>
        <x:v>0.97273345666533162</x:v>
      </x:c>
      <x:c r="Y26" s="30"/>
      <x:c r="Z26" s="38">
        <x:v>0.54349999999999998</x:v>
      </x:c>
    </x:row>
    <x:row r="27" spans="1:26" ht="24.95" customHeight="1" x14ac:dyDescent="0.25">
      <x:c r="A27" s="31">
        <x:v>6</x:v>
      </x:c>
      <x:c r="B27" s="31" t="s">
        <x:v>22</x:v>
      </x:c>
      <x:c r="D27" s="5">
        <x:f>F27*'[2]Demand Loss Factor'!$G$54</x:f>
        <x:v>129041.46983231461</x:v>
      </x:c>
      <x:c r="E27" s="5"/>
      <x:c r="F27" s="5">
        <x:v>126921.8</x:v>
      </x:c>
      <x:c r="G27" s="5"/>
      <x:c r="H27" s="5">
        <x:f>J27*'[2]Demand Loss Factor'!$G$54</x:f>
        <x:v>92084.809811603394</x:v>
      </x:c>
      <x:c r="I27" s="5"/>
      <x:c r="J27" s="37">
        <x:v>90572.2</x:v>
      </x:c>
      <x:c r="K27" s="5"/>
      <x:c r="L27" s="5">
        <x:f>N27*'[2]Demand Loss Factor'!$G$54</x:f>
        <x:v>78983.402578542009</x:v>
      </x:c>
      <x:c r="N27" s="5">
        <x:v>77686</x:v>
      </x:c>
      <x:c r="O27" s="5"/>
      <x:c r="P27" s="5">
        <x:f>R27*'[2]Demand Loss Factor'!$G$54</x:f>
        <x:v>89696.376769131006</x:v>
      </x:c>
      <x:c r="R27" s="5">
        <x:v>88223</x:v>
      </x:c>
      <x:c r="S27" s="5"/>
      <x:c r="T27" s="5">
        <x:f>V27*'[2]Energy Loss Factor'!$G$54</x:f>
        <x:v>38820692.109567352</x:v>
      </x:c>
      <x:c r="V27" s="5">
        <x:f>'[1]WHOLESALE-DLS'!I26</x:f>
        <x:v>38356852.25</x:v>
      </x:c>
      <x:c r="X27" s="30">
        <x:f t="shared" si="0"/>
        <x:v>0.85772455565835881</x:v>
      </x:c>
      <x:c r="Y27" s="30"/>
      <x:c r="Z27" s="38">
        <x:v>0.58819999999999995</x:v>
      </x:c>
    </x:row>
    <x:row r="28" spans="1:26" ht="24.95" customHeight="1" x14ac:dyDescent="0.25">
      <x:c r="A28" s="31">
        <x:v>7</x:v>
      </x:c>
      <x:c r="B28" s="31" t="s">
        <x:v>23</x:v>
      </x:c>
      <x:c r="D28" s="5">
        <x:f>F28*'[2]Demand Loss Factor'!$G$54</x:f>
        <x:v>128400.64344602551</x:v>
      </x:c>
      <x:c r="E28" s="5"/>
      <x:c r="F28" s="5">
        <x:v>126291.5</x:v>
      </x:c>
      <x:c r="G28" s="5"/>
      <x:c r="H28" s="5">
        <x:f>J28*'[2]Demand Loss Factor'!$G$54</x:f>
        <x:v>94316.772632197506</x:v>
      </x:c>
      <x:c r="I28" s="5"/>
      <x:c r="J28" s="37">
        <x:v>92767.5</x:v>
      </x:c>
      <x:c r="K28" s="5"/>
      <x:c r="L28" s="5">
        <x:f>N28*'[2]Demand Loss Factor'!$G$54</x:f>
        <x:v>89116.857428841002</x:v>
      </x:c>
      <x:c r="N28" s="5">
        <x:v>87653</x:v>
      </x:c>
      <x:c r="O28" s="5"/>
      <x:c r="P28" s="5">
        <x:f>R28*'[2]Demand Loss Factor'!$G$54</x:f>
        <x:v>88543.438292133011</x:v>
      </x:c>
      <x:c r="R28" s="5">
        <x:v>87089</x:v>
      </x:c>
      <x:c r="S28" s="5"/>
      <x:c r="T28" s="5">
        <x:f>V28*'[2]Energy Loss Factor'!$G$54</x:f>
        <x:v>42411522.547920175</x:v>
      </x:c>
      <x:c r="V28" s="5">
        <x:f>'[1]WHOLESALE-DLS'!I28</x:f>
        <x:v>41904778.5</x:v>
      </x:c>
      <x:c r="X28" s="30">
        <x:f t="shared" si="0"/>
        <x:v>0.94486754520710381</x:v>
      </x:c>
      <x:c r="Y28" s="30"/>
      <x:c r="Z28" s="38">
        <x:v>0.60709999999999997</x:v>
      </x:c>
    </x:row>
    <x:row r="29" spans="1:26" ht="24.95" customHeight="1" x14ac:dyDescent="0.25">
      <x:c r="A29" s="31">
        <x:v>8</x:v>
      </x:c>
      <x:c r="B29" s="31" t="s">
        <x:v>24</x:v>
      </x:c>
      <x:c r="D29" s="5">
        <x:f>F29*'[2]Demand Loss Factor'!$G$54</x:f>
        <x:v>137636.14832905409</x:v>
      </x:c>
      <x:c r="E29" s="5"/>
      <x:c r="F29" s="5">
        <x:v>135375.29999999999</x:v>
      </x:c>
      <x:c r="G29" s="5"/>
      <x:c r="H29" s="5">
        <x:f>J29*'[2]Demand Loss Factor'!$G$54</x:f>
        <x:v>99353.405719675793</x:v>
      </x:c>
      <x:c r="I29" s="5"/>
      <x:c r="J29" s="37">
        <x:v>97721.4</x:v>
      </x:c>
      <x:c r="K29" s="5"/>
      <x:c r="L29" s="5">
        <x:f>N29*'[2]Demand Loss Factor'!$G$54</x:f>
        <x:v>86572.055834550003</x:v>
      </x:c>
      <x:c r="N29" s="5">
        <x:v>85150</x:v>
      </x:c>
      <x:c r="O29" s="5"/>
      <x:c r="P29" s="5">
        <x:f>R29*'[2]Demand Loss Factor'!$G$54</x:f>
        <x:v>93256.862259825008</x:v>
      </x:c>
      <x:c r="R29" s="5">
        <x:v>91725</x:v>
      </x:c>
      <x:c r="S29" s="5"/>
      <x:c r="T29" s="5">
        <x:f>V29*'[2]Energy Loss Factor'!$G$54</x:f>
        <x:v>47502965.955478847</x:v>
      </x:c>
      <x:c r="V29" s="5">
        <x:f>'[1]WHOLESALE-DLS'!I30</x:f>
        <x:v>46935388</x:v>
      </x:c>
      <x:c r="X29" s="30">
        <x:f t="shared" si="0"/>
        <x:v>0.87135468791892057</x:v>
      </x:c>
      <x:c r="Y29" s="30"/>
      <x:c r="Z29" s="38">
        <x:v>0.64559999999999995</x:v>
      </x:c>
    </x:row>
    <x:row r="30" spans="1:26" ht="24.95" customHeight="1" x14ac:dyDescent="0.25">
      <x:c r="A30" s="31">
        <x:v>9</x:v>
      </x:c>
      <x:c r="B30" s="31" t="s">
        <x:v>25</x:v>
      </x:c>
      <x:c r="D30" s="5">
        <x:f>F30*'[2]Demand Loss Factor'!$G$54</x:f>
        <x:v>126458.03361533761</x:v>
      </x:c>
      <x:c r="E30" s="5"/>
      <x:c r="F30" s="5">
        <x:v>124380.8</x:v>
      </x:c>
      <x:c r="G30" s="5"/>
      <x:c r="H30" s="5">
        <x:f>J30*'[2]Demand Loss Factor'!$G$54</x:f>
        <x:v>88417.570758224407</x:v>
      </x:c>
      <x:c r="I30" s="5"/>
      <x:c r="J30" s="37">
        <x:v>86965.2</x:v>
      </x:c>
      <x:c r="K30" s="5"/>
      <x:c r="L30" s="5">
        <x:f>N30*'[2]Demand Loss Factor'!$G$54</x:f>
        <x:v>88417.367418105001</x:v>
      </x:c>
      <x:c r="N30" s="5">
        <x:v>86965</x:v>
      </x:c>
      <x:c r="O30" s="5"/>
      <x:c r="P30" s="5">
        <x:f>R30*'[2]Demand Loss Factor'!$G$54</x:f>
        <x:v>81674.609058800997</x:v>
      </x:c>
      <x:c r="R30" s="5">
        <x:v>80333</x:v>
      </x:c>
      <x:c r="S30" s="5"/>
      <x:c r="T30" s="5">
        <x:f>V30*'[2]Energy Loss Factor'!$G$54</x:f>
        <x:v>34556456.144522086</x:v>
      </x:c>
      <x:c r="V30" s="5">
        <x:f>'[1]WHOLESALE-DLS'!I32</x:f>
        <x:v>34143566.5</x:v>
      </x:c>
      <x:c r="X30" s="30">
        <x:f t="shared" si="0"/>
        <x:v>0.99999770022951717</x:v>
      </x:c>
      <x:c r="Y30" s="30"/>
      <x:c r="Z30" s="38">
        <x:v>0.54530000000000001</x:v>
      </x:c>
    </x:row>
    <x:row r="31" spans="1:26" ht="24.95" customHeight="1" x14ac:dyDescent="0.25">
      <x:c r="A31" s="31">
        <x:v>10</x:v>
      </x:c>
      <x:c r="B31" s="31" t="s">
        <x:v>26</x:v>
      </x:c>
      <x:c r="D31" s="5">
        <x:f>F31*'[2]Demand Loss Factor'!$G$54</x:f>
        <x:v>119198.58801263821</x:v>
      </x:c>
      <x:c r="E31" s="5"/>
      <x:c r="F31" s="5">
        <x:v>117240.6</x:v>
      </x:c>
      <x:c r="G31" s="5"/>
      <x:c r="H31" s="5">
        <x:f>J31*'[2]Demand Loss Factor'!$G$54</x:f>
        <x:v>74670.151965829209</x:v>
      </x:c>
      <x:c r="I31" s="5"/>
      <x:c r="J31" s="37">
        <x:v>73443.600000000006</x:v>
      </x:c>
      <x:c r="K31" s="5"/>
      <x:c r="L31" s="5">
        <x:f>N31*'[2]Demand Loss Factor'!$G$54</x:f>
        <x:v>71446.601052981001</x:v>
      </x:c>
      <x:c r="N31" s="5">
        <x:v>70273</x:v>
      </x:c>
      <x:c r="O31" s="5"/>
      <x:c r="P31" s="5">
        <x:f>R31*'[2]Demand Loss Factor'!$G$54</x:f>
        <x:v>71446.601052981001</x:v>
      </x:c>
      <x:c r="R31" s="5">
        <x:v>70273</x:v>
      </x:c>
      <x:c r="S31" s="5"/>
      <x:c r="T31" s="5">
        <x:f>V31*'[2]Energy Loss Factor'!$G$54</x:f>
        <x:v>30704394.193211276</x:v>
      </x:c>
      <x:c r="V31" s="5">
        <x:f>'[1]WHOLESALE-DLS'!I34</x:f>
        <x:v>30337530</x:v>
      </x:c>
      <x:c r="X31" s="30">
        <x:f t="shared" si="0"/>
        <x:v>0.95682945825095711</x:v>
      </x:c>
      <x:c r="Y31" s="30"/>
      <x:c r="Z31" s="38">
        <x:v>0.55520000000000003</x:v>
      </x:c>
    </x:row>
    <x:row r="32" spans="1:26" ht="24.95" customHeight="1" x14ac:dyDescent="0.25">
      <x:c r="A32" s="31">
        <x:v>11</x:v>
      </x:c>
      <x:c r="B32" s="31" t="s">
        <x:v>27</x:v>
      </x:c>
      <x:c r="D32" s="5">
        <x:f>F32*'[2]Demand Loss Factor'!$G$54</x:f>
        <x:v>123002.36995619429</x:v>
      </x:c>
      <x:c r="E32" s="5"/>
      <x:c r="F32" s="5">
        <x:v>120981.9</x:v>
      </x:c>
      <x:c r="G32" s="5"/>
      <x:c r="H32" s="5">
        <x:f>J32*'[2]Demand Loss Factor'!$G$54</x:f>
        <x:v>63395.959045696203</x:v>
      </x:c>
      <x:c r="I32" s="5"/>
      <x:c r="J32" s="37">
        <x:v>62354.6</x:v>
      </x:c>
      <x:c r="K32" s="5"/>
      <x:c r="L32" s="5">
        <x:f>N32*'[2]Demand Loss Factor'!$G$54</x:f>
        <x:v>47590.738244972999</x:v>
      </x:c>
      <x:c r="N32" s="5">
        <x:v>46809</x:v>
      </x:c>
      <x:c r="O32" s="5"/>
      <x:c r="P32" s="5">
        <x:f>R32*'[2]Demand Loss Factor'!$G$54</x:f>
        <x:v>52123.189506399001</x:v>
      </x:c>
      <x:c r="R32" s="5">
        <x:v>51267</x:v>
      </x:c>
      <x:c r="S32" s="5"/>
      <x:c r="T32" s="5">
        <x:f>V32*'[2]Energy Loss Factor'!$G$54</x:f>
        <x:v>26207870.037651882</x:v>
      </x:c>
      <x:c r="V32" s="5">
        <x:f>'[1]WHOLESALE-DLS'!I36</x:f>
        <x:v>25894731.5</x:v>
      </x:c>
      <x:c r="X32" s="30">
        <x:f t="shared" si="0"/>
        <x:v>0.75069040616089266</x:v>
      </x:c>
      <x:c r="Y32" s="30"/>
      <x:c r="Z32" s="38">
        <x:v>0.56910000000000005</x:v>
      </x:c>
    </x:row>
    <x:row r="33" spans="1:26" ht="24.95" customHeight="1" thickBot="1" x14ac:dyDescent="0.3">
      <x:c r="A33" s="31">
        <x:v>12</x:v>
      </x:c>
      <x:c r="B33" s="31" t="s">
        <x:v>28</x:v>
      </x:c>
      <x:c r="D33" s="5">
        <x:f>F33*'[2]Demand Loss Factor'!$G$54</x:f>
        <x:v>130124.9676585375</x:v>
      </x:c>
      <x:c r="E33" s="5"/>
      <x:c r="F33" s="5">
        <x:v>127987.5</x:v>
      </x:c>
      <x:c r="G33" s="5"/>
      <x:c r="H33" s="5">
        <x:f>J33*'[2]Demand Loss Factor'!$G$54</x:f>
        <x:v>73761.323302170902</x:v>
      </x:c>
      <x:c r="I33" s="5"/>
      <x:c r="J33" s="37">
        <x:v>72549.7</x:v>
      </x:c>
      <x:c r="K33" s="5"/>
      <x:c r="L33" s="5">
        <x:f>N33*'[2]Demand Loss Factor'!$G$54</x:f>
        <x:v>66119.089924701009</x:v>
      </x:c>
      <x:c r="N33" s="5">
        <x:v>65033</x:v>
      </x:c>
      <x:c r="O33" s="5"/>
      <x:c r="P33" s="5">
        <x:f>R33*'[2]Demand Loss Factor'!$G$54</x:f>
        <x:v>66119.089924701009</x:v>
      </x:c>
      <x:c r="R33" s="5">
        <x:v>65033</x:v>
      </x:c>
      <x:c r="S33" s="5"/>
      <x:c r="T33" s="32">
        <x:f>V33*'[2]Energy Loss Factor'!$G$54</x:f>
        <x:v>30580068.719690718</x:v>
      </x:c>
      <x:c r="V33" s="32">
        <x:f>'[1]WHOLESALE-DLS'!I38</x:f>
        <x:v>30214690</x:v>
      </x:c>
      <x:c r="X33" s="30">
        <x:f t="shared" si="0"/>
        <x:v>0.8963924041036696</x:v>
      </x:c>
      <x:c r="Y33" s="30"/>
      <x:c r="Z33" s="38">
        <x:v>0.55979999999999996</x:v>
      </x:c>
    </x:row>
    <x:row r="34" spans="1:26" ht="24.95" customHeight="1" thickTop="1" x14ac:dyDescent="0.25">
      <x:c r="A34" s="31">
        <x:v>13</x:v>
      </x:c>
      <x:c r="E34" s="5"/>
      <x:c r="G34" s="5"/>
      <x:c r="I34" s="5"/>
      <x:c r="K34" s="5"/>
      <x:c r="O34" s="5"/>
      <x:c r="S34" s="5"/>
      <x:c r="T34" s="5">
        <x:f>+SUM(T22:T33)</x:f>
        <x:v>411619957.47425687</x:v>
      </x:c>
      <x:c r="V34" s="5">
        <x:f>+SUM(V22:V33)</x:f>
        <x:v>406701813.75</x:v>
      </x:c>
    </x:row>
    <x:row r="35" spans="1:26" ht="24.95" customHeight="1" x14ac:dyDescent="0.25">
      <x:c r="A35" s="31"/>
      <x:c r="E35" s="5"/>
      <x:c r="G35" s="5"/>
      <x:c r="I35" s="5"/>
      <x:c r="K35" s="5"/>
      <x:c r="O35" s="5"/>
      <x:c r="S35" s="5"/>
    </x:row>
    <x:row r="36" spans="1:26" ht="18.75" customHeight="1" x14ac:dyDescent="0.25">
      <x:c r="E36" s="5"/>
      <x:c r="G36" s="5"/>
      <x:c r="I36" s="5"/>
      <x:c r="K36" s="5"/>
      <x:c r="O36" s="5"/>
      <x:c r="S36" s="5"/>
    </x:row>
    <x:row r="37" spans="1:26" ht="15" customHeight="1" x14ac:dyDescent="0.25">
      <x:c r="A37" s="4" t="s">
        <x:v>85</x:v>
      </x:c>
      <x:c r="E37" s="5"/>
      <x:c r="G37" s="5"/>
      <x:c r="I37" s="5"/>
      <x:c r="K37" s="5"/>
      <x:c r="O37" s="5"/>
      <x:c r="S37" s="5"/>
    </x:row>
    <x:row r="38" spans="1:26" ht="15" customHeight="1" x14ac:dyDescent="0.25">
      <x:c r="A38" s="4" t="s">
        <x:v>29</x:v>
      </x:c>
      <x:c r="E38" s="5"/>
      <x:c r="G38" s="5"/>
      <x:c r="I38" s="5"/>
      <x:c r="K38" s="5"/>
      <x:c r="O38" s="5"/>
      <x:c r="S38" s="5"/>
    </x:row>
    <x:row r="39" spans="1:26" ht="15" customHeight="1" x14ac:dyDescent="0.25">
      <x:c r="A39" s="6" t="s">
        <x:v>30</x:v>
      </x:c>
      <x:c r="E39" s="5"/>
      <x:c r="G39" s="5"/>
      <x:c r="I39" s="5"/>
      <x:c r="K39" s="5"/>
      <x:c r="O39" s="5"/>
      <x:c r="S39" s="5"/>
    </x:row>
    <x:row r="40" spans="1:26" ht="15" customHeight="1" x14ac:dyDescent="0.25">
      <x:c r="A40" s="6"/>
      <x:c r="E40" s="5"/>
      <x:c r="G40" s="5"/>
      <x:c r="I40" s="5"/>
      <x:c r="K40" s="5"/>
      <x:c r="O40" s="5"/>
      <x:c r="S40" s="5"/>
    </x:row>
  </x:sheetData>
  <x:pageMargins left="0.5" right="1" top="1.5" bottom="0.5" header="0.5" footer="0.5"/>
  <x:pageSetup scale="50" orientation="landscape" r:id="rId1"/>
  <x:headerFooter alignWithMargins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V37"/>
  <x:sheetViews>
    <x:sheetView zoomScale="75" zoomScaleNormal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2" customWidth="1"/>
    <x:col min="8" max="8" width="2.7109375" style="2" customWidth="1"/>
    <x:col min="9" max="9" width="10.7109375" style="2" customWidth="1"/>
    <x:col min="10" max="10" width="2.7109375" style="2" customWidth="1"/>
    <x:col min="11" max="11" width="9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5" width="10.7109375" style="9" customWidth="1"/>
    <x:col min="16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R1" s="9" t="s">
        <x:v>31</x:v>
      </x:c>
    </x:row>
    <x:row r="2" spans="1:22" ht="18.75" customHeight="1" x14ac:dyDescent="0.2">
      <x:c r="R2" s="9" t="s">
        <x:v>60</x:v>
      </x:c>
    </x:row>
    <x:row r="4" spans="1:22" ht="18" customHeight="1" x14ac:dyDescent="0.25">
      <x:c r="A4" s="17" t="s">
        <x:v>107</x:v>
      </x:c>
      <x:c r="B4" s="15"/>
      <x:c r="C4" s="15"/>
      <x:c r="D4" s="15"/>
      <x:c r="E4" s="15"/>
      <x:c r="F4" s="16"/>
      <x:c r="G4" s="15"/>
      <x:c r="H4" s="15"/>
      <x:c r="I4" s="15"/>
      <x:c r="J4" s="17"/>
      <x:c r="K4" s="16"/>
      <x:c r="L4" s="15"/>
      <x:c r="M4" s="15"/>
      <x:c r="N4" s="16"/>
      <x:c r="O4" s="15"/>
      <x:c r="P4" s="15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5"/>
      <x:c r="H5" s="16"/>
      <x:c r="I5" s="16"/>
      <x:c r="J5" s="17"/>
      <x:c r="K5" s="18"/>
      <x:c r="L5" s="15"/>
      <x:c r="M5" s="15"/>
      <x:c r="N5" s="18"/>
      <x:c r="O5" s="17"/>
      <x:c r="P5" s="15"/>
      <x:c r="Q5" s="15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7"/>
      <x:c r="H6" s="17"/>
      <x:c r="I6" s="16"/>
      <x:c r="J6" s="16"/>
      <x:c r="K6" s="16"/>
      <x:c r="L6" s="15"/>
      <x:c r="M6" s="17"/>
      <x:c r="N6" s="18"/>
      <x:c r="O6" s="17"/>
      <x:c r="P6" s="15"/>
      <x:c r="Q6" s="15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7"/>
      <x:c r="H7" s="18"/>
      <x:c r="I7" s="16"/>
      <x:c r="J7" s="16"/>
      <x:c r="K7" s="16"/>
      <x:c r="L7" s="15"/>
      <x:c r="M7" s="17"/>
      <x:c r="N7" s="18"/>
      <x:c r="O7" s="17"/>
      <x:c r="P7" s="15"/>
      <x:c r="Q7" s="15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7"/>
      <x:c r="H8" s="18"/>
      <x:c r="I8" s="16"/>
      <x:c r="J8" s="16"/>
      <x:c r="K8" s="16"/>
      <x:c r="L8" s="15"/>
      <x:c r="M8" s="17"/>
      <x:c r="N8" s="18"/>
      <x:c r="O8" s="17"/>
      <x:c r="P8" s="15"/>
      <x:c r="Q8" s="15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5"/>
      <x:c r="H9" s="18"/>
      <x:c r="I9" s="16"/>
      <x:c r="J9" s="18"/>
      <x:c r="K9" s="18"/>
      <x:c r="L9" s="15"/>
      <x:c r="M9" s="15"/>
      <x:c r="N9" s="16"/>
      <x:c r="O9" s="15"/>
      <x:c r="P9" s="15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5"/>
      <x:c r="H10" s="18"/>
      <x:c r="I10" s="16"/>
      <x:c r="J10" s="18"/>
      <x:c r="K10" s="18"/>
      <x:c r="L10" s="15"/>
      <x:c r="M10" s="15"/>
      <x:c r="N10" s="16"/>
      <x:c r="O10" s="15"/>
      <x:c r="P10" s="15"/>
      <x:c r="Q10" s="15"/>
      <x:c r="R10" s="15"/>
      <x:c r="S10" s="15"/>
      <x:c r="T10" s="15"/>
      <x:c r="U10" s="15"/>
      <x:c r="V10" s="15"/>
    </x:row>
    <x:row r="12" spans="1:22" ht="18.75" customHeight="1" x14ac:dyDescent="0.2">
      <x:c r="D12" s="2" t="s">
        <x:v>0</x:v>
      </x:c>
      <x:c r="K12" s="43"/>
    </x:row>
    <x:row r="13" spans="1:22" ht="18.75" customHeight="1" x14ac:dyDescent="0.2">
      <x:c r="D13" s="2" t="s">
        <x:v>1</x:v>
      </x:c>
    </x:row>
    <x:row r="14" spans="1:22" ht="9.9499999999999993" customHeight="1" x14ac:dyDescent="0.2"/>
    <x:row r="15" spans="1:22" ht="18.75" customHeight="1" x14ac:dyDescent="0.2"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I16" s="7" t="s">
        <x:v>102</x:v>
      </x:c>
      <x:c r="J16" s="7"/>
      <x:c r="K16" s="7"/>
      <x:c r="M16" s="7" t="s">
        <x:v>103</x:v>
      </x:c>
      <x:c r="O16" s="2"/>
      <x:c r="Q16" s="7" t="s">
        <x:v>111</x:v>
      </x:c>
    </x:row>
    <x:row r="17" spans="4:19" ht="18.75" customHeight="1" x14ac:dyDescent="0.2">
      <x:c r="D17" s="2" t="s">
        <x:v>2</x:v>
      </x:c>
      <x:c r="I17" s="2" t="s">
        <x:v>52</x:v>
      </x:c>
      <x:c r="M17" s="2" t="s">
        <x:v>52</x:v>
      </x:c>
      <x:c r="O17" s="2"/>
      <x:c r="Q17" s="2" t="s">
        <x:v>52</x:v>
      </x:c>
    </x:row>
    <x:row r="18" spans="4:19" ht="18.75" customHeight="1" x14ac:dyDescent="0.2">
      <x:c r="D18" s="8" t="s">
        <x:v>9</x:v>
      </x:c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4:19" ht="18" customHeight="1" x14ac:dyDescent="0.2">
      <x:c r="M19" s="2"/>
      <x:c r="O19" s="2"/>
    </x:row>
    <x:row r="20" spans="4:19" ht="21.95" customHeight="1" x14ac:dyDescent="0.2">
      <x:c r="D20" s="10">
        <x:v>1</x:v>
      </x:c>
      <x:c r="E20" s="10" t="s">
        <x:v>17</x:v>
      </x:c>
      <x:c r="F20" s="13"/>
      <x:c r="G20" s="13"/>
      <x:c r="H20" s="9"/>
      <x:c r="I20" s="9">
        <x:v>0.97165811213680209</x:v>
      </x:c>
      <x:c r="J20" s="9"/>
      <x:c r="K20" s="9">
        <x:v>0.57005942451255032</x:v>
      </x:c>
      <x:c r="M20" s="41">
        <x:v>1.0000000007692436</x:v>
      </x:c>
      <x:c r="O20" s="41">
        <x:v>0.55187399999999998</x:v>
      </x:c>
      <x:c r="Q20" s="9">
        <x:v>0.98567350481298077</x:v>
      </x:c>
      <x:c r="R20" s="9"/>
      <x:c r="S20" s="9">
        <x:v>0.41536139999999999</x:v>
      </x:c>
    </x:row>
    <x:row r="21" spans="4:19" ht="21.95" customHeight="1" x14ac:dyDescent="0.2">
      <x:c r="D21" s="10">
        <x:v>2</x:v>
      </x:c>
      <x:c r="E21" s="10" t="s">
        <x:v>18</x:v>
      </x:c>
      <x:c r="F21" s="13"/>
      <x:c r="G21" s="13"/>
      <x:c r="H21" s="9"/>
      <x:c r="I21" s="9">
        <x:v>0.9973305406972206</x:v>
      </x:c>
      <x:c r="J21" s="9"/>
      <x:c r="K21" s="9">
        <x:v>0.44910690229122746</x:v>
      </x:c>
      <x:c r="M21" s="41">
        <x:v>0.91394366718580922</x:v>
      </x:c>
      <x:c r="O21" s="41">
        <x:v>0.48324899999999998</x:v>
      </x:c>
      <x:c r="Q21" s="9">
        <x:v>1</x:v>
      </x:c>
      <x:c r="R21" s="9"/>
      <x:c r="S21" s="9">
        <x:v>0.46140900000000001</x:v>
      </x:c>
    </x:row>
    <x:row r="22" spans="4:19" ht="21.95" customHeight="1" x14ac:dyDescent="0.2">
      <x:c r="D22" s="10">
        <x:v>3</x:v>
      </x:c>
      <x:c r="E22" s="10" t="s">
        <x:v>19</x:v>
      </x:c>
      <x:c r="F22" s="13"/>
      <x:c r="G22" s="13"/>
      <x:c r="H22" s="9"/>
      <x:c r="I22" s="9">
        <x:v>1</x:v>
      </x:c>
      <x:c r="J22" s="9"/>
      <x:c r="K22" s="9">
        <x:v>0.54747399347944514</x:v>
      </x:c>
      <x:c r="M22" s="41">
        <x:v>0.8679664915584393</x:v>
      </x:c>
      <x:c r="O22" s="41">
        <x:v>0.44264399999999998</x:v>
      </x:c>
      <x:c r="Q22" s="9">
        <x:v>0.90740461837128528</x:v>
      </x:c>
      <x:c r="R22" s="9"/>
      <x:c r="S22" s="9">
        <x:v>0.52538479999999999</x:v>
      </x:c>
    </x:row>
    <x:row r="23" spans="4:19" ht="21.95" customHeight="1" x14ac:dyDescent="0.2">
      <x:c r="D23" s="10">
        <x:v>4</x:v>
      </x:c>
      <x:c r="E23" s="10" t="s">
        <x:v>20</x:v>
      </x:c>
      <x:c r="F23" s="13"/>
      <x:c r="G23" s="13"/>
      <x:c r="H23" s="9"/>
      <x:c r="I23" s="9">
        <x:v>0.98747670091218542</x:v>
      </x:c>
      <x:c r="J23" s="9"/>
      <x:c r="K23" s="9">
        <x:v>0.55232350751821513</x:v>
      </x:c>
      <x:c r="M23" s="41">
        <x:v>0.8667728718869947</x:v>
      </x:c>
      <x:c r="O23" s="41">
        <x:v>0.51481600000000005</x:v>
      </x:c>
      <x:c r="Q23" s="9">
        <x:v>0.99018105213816698</x:v>
      </x:c>
      <x:c r="R23" s="9"/>
      <x:c r="S23" s="9">
        <x:v>0.463283</x:v>
      </x:c>
    </x:row>
    <x:row r="24" spans="4:19" ht="21.95" customHeight="1" x14ac:dyDescent="0.2">
      <x:c r="D24" s="10">
        <x:v>5</x:v>
      </x:c>
      <x:c r="E24" s="10" t="s">
        <x:v>21</x:v>
      </x:c>
      <x:c r="F24" s="13"/>
      <x:c r="G24" s="13"/>
      <x:c r="H24" s="9"/>
      <x:c r="I24" s="9">
        <x:v>0.96789905936445375</x:v>
      </x:c>
      <x:c r="J24" s="9"/>
      <x:c r="K24" s="9">
        <x:v>0.45958072345645401</x:v>
      </x:c>
      <x:c r="M24" s="41">
        <x:v>0.91838557169479063</x:v>
      </x:c>
      <x:c r="O24" s="41">
        <x:v>0.50820900000000002</x:v>
      </x:c>
      <x:c r="Q24" s="9">
        <x:v>0.99970176072477923</x:v>
      </x:c>
      <x:c r="R24" s="9"/>
      <x:c r="S24" s="9">
        <x:v>0.51515</x:v>
      </x:c>
    </x:row>
    <x:row r="25" spans="4:19" ht="21.95" customHeight="1" x14ac:dyDescent="0.2">
      <x:c r="D25" s="10">
        <x:v>6</x:v>
      </x:c>
      <x:c r="E25" s="10" t="s">
        <x:v>22</x:v>
      </x:c>
      <x:c r="F25" s="13"/>
      <x:c r="G25" s="13"/>
      <x:c r="H25" s="9"/>
      <x:c r="I25" s="9">
        <x:v>0.92374804646986519</x:v>
      </x:c>
      <x:c r="J25" s="9"/>
      <x:c r="K25" s="9">
        <x:v>0.54510447060297507</x:v>
      </x:c>
      <x:c r="M25" s="41">
        <x:v>0.97032742596916777</x:v>
      </x:c>
      <x:c r="O25" s="41">
        <x:v>0.58636999999999995</x:v>
      </x:c>
      <x:c r="Q25" s="9">
        <x:v>0.91897914334655206</x:v>
      </x:c>
      <x:c r="R25" s="9"/>
      <x:c r="S25" s="9">
        <x:v>0.53942860000000004</x:v>
      </x:c>
    </x:row>
    <x:row r="26" spans="4:19" ht="21.95" customHeight="1" x14ac:dyDescent="0.2">
      <x:c r="D26" s="10">
        <x:v>7</x:v>
      </x:c>
      <x:c r="E26" s="10" t="s">
        <x:v>23</x:v>
      </x:c>
      <x:c r="F26" s="13"/>
      <x:c r="G26" s="13"/>
      <x:c r="H26" s="9"/>
      <x:c r="I26" s="9">
        <x:v>0.91422235443561817</x:v>
      </x:c>
      <x:c r="J26" s="9"/>
      <x:c r="K26" s="9">
        <x:v>0.56409166357694951</x:v>
      </x:c>
      <x:c r="M26" s="41">
        <x:v>0.97995227036202337</x:v>
      </x:c>
      <x:c r="O26" s="41">
        <x:v>0.64509799999999995</x:v>
      </x:c>
      <x:c r="Q26" s="9">
        <x:v>0.91819304227358145</x:v>
      </x:c>
      <x:c r="R26" s="9"/>
      <x:c r="S26" s="9">
        <x:v>0.48674499999999998</x:v>
      </x:c>
    </x:row>
    <x:row r="27" spans="4:19" ht="21.95" customHeight="1" x14ac:dyDescent="0.2">
      <x:c r="D27" s="10">
        <x:v>8</x:v>
      </x:c>
      <x:c r="E27" s="10" t="s">
        <x:v>24</x:v>
      </x:c>
      <x:c r="F27" s="9"/>
      <x:c r="G27" s="9"/>
      <x:c r="H27" s="9"/>
      <x:c r="I27" s="9">
        <x:v>0.95170266913237767</x:v>
      </x:c>
      <x:c r="J27" s="9"/>
      <x:c r="K27" s="9">
        <x:v>0.59349815788135563</x:v>
      </x:c>
      <x:c r="M27" s="41">
        <x:v>0.96151691996434885</x:v>
      </x:c>
      <x:c r="O27" s="41">
        <x:v>0.57379999999999998</x:v>
      </x:c>
      <x:c r="Q27" s="9">
        <x:v>0.9350524917993257</x:v>
      </x:c>
      <x:c r="R27" s="9"/>
      <x:c r="S27" s="9">
        <x:v>0.62660000000000005</x:v>
      </x:c>
    </x:row>
    <x:row r="28" spans="4:19" ht="21.95" customHeight="1" x14ac:dyDescent="0.2">
      <x:c r="D28" s="10">
        <x:v>9</x:v>
      </x:c>
      <x:c r="E28" s="10" t="s">
        <x:v>25</x:v>
      </x:c>
      <x:c r="F28" s="14"/>
      <x:c r="G28" s="14"/>
      <x:c r="H28" s="9"/>
      <x:c r="I28" s="9">
        <x:v>0.97056737297037343</x:v>
      </x:c>
      <x:c r="J28" s="9"/>
      <x:c r="K28" s="9">
        <x:v>0.50562196956737659</x:v>
      </x:c>
      <x:c r="M28" s="41">
        <x:v>0.96964948095901193</x:v>
      </x:c>
      <x:c r="O28" s="41">
        <x:v>0.53363400000000005</x:v>
      </x:c>
      <x:c r="Q28" s="9">
        <x:v>0.98210866870389113</x:v>
      </x:c>
      <x:c r="R28" s="9"/>
      <x:c r="S28" s="9">
        <x:v>0.47827449999999999</x:v>
      </x:c>
    </x:row>
    <x:row r="29" spans="4:19" ht="21.95" customHeight="1" x14ac:dyDescent="0.2">
      <x:c r="D29" s="10">
        <x:v>10</x:v>
      </x:c>
      <x:c r="E29" s="10" t="s">
        <x:v>26</x:v>
      </x:c>
      <x:c r="F29" s="14"/>
      <x:c r="G29" s="14"/>
      <x:c r="H29" s="9"/>
      <x:c r="I29" s="9">
        <x:v>0.94303849594324796</x:v>
      </x:c>
      <x:c r="J29" s="9"/>
      <x:c r="K29" s="9">
        <x:v>0.47222702486156187</x:v>
      </x:c>
      <x:c r="M29" s="41">
        <x:v>0.96319489327793795</x:v>
      </x:c>
      <x:c r="O29" s="41">
        <x:v>0.44305889999999998</x:v>
      </x:c>
      <x:c r="Q29" s="9">
        <x:v>0.97007703704252746</x:v>
      </x:c>
      <x:c r="R29" s="9"/>
      <x:c r="S29" s="9">
        <x:v>0.43658770000000002</x:v>
      </x:c>
    </x:row>
    <x:row r="30" spans="4:19" ht="21" customHeight="1" x14ac:dyDescent="0.2">
      <x:c r="D30" s="10">
        <x:v>11</x:v>
      </x:c>
      <x:c r="E30" s="10" t="s">
        <x:v>27</x:v>
      </x:c>
      <x:c r="F30" s="14"/>
      <x:c r="G30" s="14"/>
      <x:c r="H30" s="9"/>
      <x:c r="I30" s="9">
        <x:v>0.99982213267834696</x:v>
      </x:c>
      <x:c r="J30" s="9"/>
      <x:c r="K30" s="9">
        <x:v>0.62773511997306475</x:v>
      </x:c>
      <x:c r="M30" s="41">
        <x:v>0.90468860707690457</x:v>
      </x:c>
      <x:c r="O30" s="41">
        <x:v>0.53528439999999999</x:v>
      </x:c>
      <x:c r="Q30" s="9">
        <x:v>0.99880167371549589</x:v>
      </x:c>
      <x:c r="R30" s="9"/>
      <x:c r="S30" s="9">
        <x:v>0.50427759999999999</x:v>
      </x:c>
    </x:row>
    <x:row r="31" spans="4:19" ht="21.95" customHeight="1" x14ac:dyDescent="0.2">
      <x:c r="D31" s="10">
        <x:v>12</x:v>
      </x:c>
      <x:c r="E31" s="10" t="s">
        <x:v>28</x:v>
      </x:c>
      <x:c r="F31" s="14"/>
      <x:c r="G31" s="14"/>
      <x:c r="H31" s="9"/>
      <x:c r="I31" s="9">
        <x:v>0.94248164784784993</x:v>
      </x:c>
      <x:c r="J31" s="9"/>
      <x:c r="K31" s="9">
        <x:v>0.556000843772812</x:v>
      </x:c>
      <x:c r="M31" s="41">
        <x:v>0.99985634176384952</x:v>
      </x:c>
      <x:c r="O31" s="41">
        <x:v>0.36241289999999998</x:v>
      </x:c>
      <x:c r="Q31" s="9">
        <x:v>1</x:v>
      </x:c>
      <x:c r="R31" s="9"/>
      <x:c r="S31" s="9">
        <x:v>0.58438791899999998</x:v>
      </x:c>
    </x:row>
    <x:row r="32" spans="4:19" ht="21" customHeight="1" x14ac:dyDescent="0.2">
      <x:c r="D32" s="10"/>
      <x:c r="E32" s="10"/>
      <x:c r="F32" s="14"/>
      <x:c r="G32" s="14"/>
      <x:c r="H32" s="9"/>
      <x:c r="I32" s="9"/>
      <x:c r="J32" s="9"/>
      <x:c r="K32" s="9"/>
      <x:c r="L32" s="9"/>
      <x:c r="Q32" s="9"/>
      <x:c r="S32" s="9"/>
    </x:row>
    <x:row r="33" spans="3:19" ht="21" customHeight="1" x14ac:dyDescent="0.2">
      <x:c r="D33" s="2" t="s">
        <x:v>36</x:v>
      </x:c>
      <x:c r="E33" s="10"/>
      <x:c r="F33" s="14"/>
      <x:c r="G33" s="14"/>
      <x:c r="H33" s="9"/>
      <x:c r="I33" s="9"/>
      <x:c r="J33" s="9"/>
      <x:c r="K33" s="9"/>
      <x:c r="L33" s="9"/>
      <x:c r="Q33" s="9"/>
      <x:c r="S33" s="9"/>
    </x:row>
    <x:row r="34" spans="3:19" ht="21" customHeight="1" x14ac:dyDescent="0.2">
      <x:c r="C34" s="2"/>
      <x:c r="E34" s="3"/>
      <x:c r="Q34" s="9"/>
      <x:c r="R34" s="9"/>
      <x:c r="S34" s="9"/>
    </x:row>
    <x:row r="35" spans="3:19" ht="18.75" customHeight="1" x14ac:dyDescent="0.2">
      <x:c r="Q35" s="9"/>
      <x:c r="R35" s="9"/>
      <x:c r="S35" s="9"/>
    </x:row>
    <x:row r="36" spans="3:19" ht="18.75" customHeight="1" x14ac:dyDescent="0.2">
      <x:c r="Q36" s="9"/>
      <x:c r="R36" s="9"/>
      <x:c r="S36" s="9"/>
    </x:row>
    <x:row r="37" spans="3:19" ht="18.75" customHeight="1" x14ac:dyDescent="0.2">
      <x:c r="Q37" s="9"/>
      <x:c r="R37" s="9"/>
      <x:c r="S37" s="9"/>
    </x:row>
  </x:sheetData>
  <x:phoneticPr fontId="1" type="noConversion"/>
  <x:pageMargins left="0.5" right="1" top="1.5" bottom="0.5" header="0.5" footer="0.5"/>
  <x:pageSetup scale="72" orientation="landscape" r:id="rId1"/>
  <x:headerFooter alignWithMargins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V34"/>
  <x:sheetViews>
    <x:sheetView zoomScale="75" zoomScaleNormal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2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5" width="10.7109375" style="9" customWidth="1"/>
    <x:col min="16" max="16" width="10.7109375" style="2" customWidth="1"/>
    <x:col min="17" max="17" width="8.7109375" style="9" customWidth="1"/>
    <x:col min="18" max="18" width="2.7109375" style="9" customWidth="1"/>
    <x:col min="19" max="19" width="9.140625" style="9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R1" s="9" t="s">
        <x:v>31</x:v>
      </x:c>
    </x:row>
    <x:row r="2" spans="1:22" ht="18.75" customHeight="1" x14ac:dyDescent="0.2">
      <x:c r="R2" s="9" t="s">
        <x:v>61</x:v>
      </x:c>
    </x:row>
    <x:row r="4" spans="1:22" ht="18" customHeight="1" x14ac:dyDescent="0.25">
      <x:c r="A4" s="17" t="s">
        <x:v>105</x:v>
      </x:c>
      <x:c r="B4" s="15"/>
      <x:c r="C4" s="15"/>
      <x:c r="D4" s="15"/>
      <x:c r="E4" s="15"/>
      <x:c r="F4" s="16"/>
      <x:c r="G4" s="15"/>
      <x:c r="H4" s="15"/>
      <x:c r="I4" s="15"/>
      <x:c r="J4" s="17"/>
      <x:c r="K4" s="16"/>
      <x:c r="L4" s="15"/>
      <x:c r="M4" s="15"/>
      <x:c r="N4" s="16"/>
      <x:c r="O4" s="15"/>
      <x:c r="P4" s="15"/>
      <x:c r="Q4" s="19"/>
      <x:c r="R4" s="19"/>
      <x:c r="S4" s="19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5"/>
      <x:c r="H5" s="16"/>
      <x:c r="I5" s="16"/>
      <x:c r="J5" s="17"/>
      <x:c r="K5" s="18"/>
      <x:c r="L5" s="15"/>
      <x:c r="M5" s="15"/>
      <x:c r="N5" s="18"/>
      <x:c r="O5" s="17"/>
      <x:c r="P5" s="15"/>
      <x:c r="Q5" s="19"/>
      <x:c r="R5" s="19"/>
      <x:c r="S5" s="19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7"/>
      <x:c r="H6" s="17"/>
      <x:c r="I6" s="16"/>
      <x:c r="J6" s="16"/>
      <x:c r="K6" s="16"/>
      <x:c r="L6" s="15"/>
      <x:c r="M6" s="17"/>
      <x:c r="N6" s="18"/>
      <x:c r="O6" s="17"/>
      <x:c r="P6" s="15"/>
      <x:c r="Q6" s="19"/>
      <x:c r="R6" s="19"/>
      <x:c r="S6" s="19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7"/>
      <x:c r="H7" s="18"/>
      <x:c r="I7" s="16"/>
      <x:c r="J7" s="16"/>
      <x:c r="K7" s="16"/>
      <x:c r="L7" s="15"/>
      <x:c r="M7" s="17"/>
      <x:c r="N7" s="18"/>
      <x:c r="O7" s="17"/>
      <x:c r="P7" s="15"/>
      <x:c r="Q7" s="19"/>
      <x:c r="R7" s="19"/>
      <x:c r="S7" s="19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7"/>
      <x:c r="H8" s="18"/>
      <x:c r="I8" s="16"/>
      <x:c r="J8" s="16"/>
      <x:c r="K8" s="16"/>
      <x:c r="L8" s="15"/>
      <x:c r="M8" s="17"/>
      <x:c r="N8" s="18"/>
      <x:c r="O8" s="17"/>
      <x:c r="P8" s="15"/>
      <x:c r="Q8" s="19"/>
      <x:c r="R8" s="19"/>
      <x:c r="S8" s="19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5"/>
      <x:c r="H9" s="18"/>
      <x:c r="I9" s="16"/>
      <x:c r="J9" s="18"/>
      <x:c r="K9" s="18"/>
      <x:c r="L9" s="15"/>
      <x:c r="M9" s="15"/>
      <x:c r="N9" s="16"/>
      <x:c r="O9" s="15"/>
      <x:c r="P9" s="15"/>
      <x:c r="Q9" s="19"/>
      <x:c r="R9" s="19"/>
      <x:c r="S9" s="19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5"/>
      <x:c r="H10" s="18"/>
      <x:c r="I10" s="16"/>
      <x:c r="J10" s="18"/>
      <x:c r="K10" s="18"/>
      <x:c r="L10" s="15"/>
      <x:c r="M10" s="15"/>
      <x:c r="N10" s="16"/>
      <x:c r="O10" s="15"/>
      <x:c r="P10" s="15"/>
      <x:c r="Q10" s="19"/>
      <x:c r="R10" s="19"/>
      <x:c r="S10" s="19"/>
      <x:c r="T10" s="15"/>
      <x:c r="U10" s="15"/>
      <x:c r="V10" s="15"/>
    </x:row>
    <x:row r="12" spans="1:22" ht="18.75" customHeight="1" x14ac:dyDescent="0.2">
      <x:c r="D12" s="2" t="s">
        <x:v>32</x:v>
      </x:c>
    </x:row>
    <x:row r="13" spans="1:22" ht="18.75" customHeight="1" x14ac:dyDescent="0.2">
      <x:c r="D13" s="2" t="s">
        <x:v>1</x:v>
      </x:c>
      <x:c r="K13" s="43"/>
    </x:row>
    <x:row r="14" spans="1:22" ht="9.9499999999999993" customHeight="1" x14ac:dyDescent="0.2"/>
    <x:row r="15" spans="1:22" ht="18.75" customHeight="1" x14ac:dyDescent="0.2"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9" t="s">
        <x:v>48</x:v>
      </x:c>
      <x:c r="S15" s="9" t="s">
        <x:v>70</x:v>
      </x:c>
    </x:row>
    <x:row r="16" spans="1:22" ht="18.75" customHeight="1" x14ac:dyDescent="0.2">
      <x:c r="F16" s="7"/>
      <x:c r="I16" s="7" t="s">
        <x:v>102</x:v>
      </x:c>
      <x:c r="J16" s="7"/>
      <x:c r="K16" s="7"/>
      <x:c r="M16" s="7" t="s">
        <x:v>103</x:v>
      </x:c>
      <x:c r="O16" s="2"/>
      <x:c r="Q16" s="7" t="s">
        <x:v>111</x:v>
      </x:c>
      <x:c r="R16" s="2"/>
      <x:c r="S16" s="2"/>
    </x:row>
    <x:row r="17" spans="4:19" ht="18.75" customHeight="1" x14ac:dyDescent="0.2">
      <x:c r="D17" s="2" t="s">
        <x:v>2</x:v>
      </x:c>
      <x:c r="I17" s="9" t="s">
        <x:v>52</x:v>
      </x:c>
      <x:c r="J17" s="9"/>
      <x:c r="K17" s="9"/>
      <x:c r="M17" s="9" t="s">
        <x:v>52</x:v>
      </x:c>
      <x:c r="N17" s="9"/>
      <x:c r="Q17" s="9" t="s">
        <x:v>52</x:v>
      </x:c>
    </x:row>
    <x:row r="18" spans="4:19" ht="18.75" customHeight="1" x14ac:dyDescent="0.2">
      <x:c r="D18" s="8" t="s">
        <x:v>9</x:v>
      </x:c>
      <x:c r="I18" s="21" t="s">
        <x:v>41</x:v>
      </x:c>
      <x:c r="J18" s="9"/>
      <x:c r="K18" s="21" t="s">
        <x:v>16</x:v>
      </x:c>
      <x:c r="M18" s="21" t="s">
        <x:v>41</x:v>
      </x:c>
      <x:c r="N18" s="9"/>
      <x:c r="O18" s="21" t="s">
        <x:v>16</x:v>
      </x:c>
      <x:c r="Q18" s="21" t="s">
        <x:v>41</x:v>
      </x:c>
      <x:c r="S18" s="21" t="s">
        <x:v>16</x:v>
      </x:c>
    </x:row>
    <x:row r="19" spans="4:19" ht="18" customHeight="1" x14ac:dyDescent="0.2">
      <x:c r="I19" s="9"/>
      <x:c r="J19" s="9"/>
      <x:c r="K19" s="9"/>
      <x:c r="N19" s="9"/>
    </x:row>
    <x:row r="20" spans="4:19" ht="21.95" customHeight="1" x14ac:dyDescent="0.2">
      <x:c r="D20" s="10">
        <x:v>1</x:v>
      </x:c>
      <x:c r="E20" s="10" t="s">
        <x:v>17</x:v>
      </x:c>
      <x:c r="F20" s="13"/>
      <x:c r="G20" s="13"/>
      <x:c r="H20" s="9"/>
      <x:c r="I20" s="9">
        <x:v>0.94128087189066434</x:v>
      </x:c>
      <x:c r="J20" s="9"/>
      <x:c r="K20" s="9">
        <x:v>0.77742224687837269</x:v>
      </x:c>
      <x:c r="M20" s="9">
        <x:v>0.98729700631380057</x:v>
      </x:c>
      <x:c r="N20" s="9"/>
      <x:c r="O20" s="9">
        <x:v>0.72930696100000003</x:v>
      </x:c>
      <x:c r="Q20" s="9">
        <x:v>0.99895376086141985</x:v>
      </x:c>
      <x:c r="S20" s="9">
        <x:v>0.66725579999999995</x:v>
      </x:c>
    </x:row>
    <x:row r="21" spans="4:19" ht="21.95" customHeight="1" x14ac:dyDescent="0.2">
      <x:c r="D21" s="10">
        <x:v>2</x:v>
      </x:c>
      <x:c r="E21" s="10" t="s">
        <x:v>18</x:v>
      </x:c>
      <x:c r="F21" s="13"/>
      <x:c r="G21" s="13"/>
      <x:c r="H21" s="9"/>
      <x:c r="I21" s="9">
        <x:v>0.98242602827731063</x:v>
      </x:c>
      <x:c r="J21" s="9"/>
      <x:c r="K21" s="9">
        <x:v>0.66507947344028717</x:v>
      </x:c>
      <x:c r="M21" s="9">
        <x:v>0.95990873093484919</x:v>
      </x:c>
      <x:c r="N21" s="9"/>
      <x:c r="O21" s="9">
        <x:v>0.72056516999999998</x:v>
      </x:c>
      <x:c r="Q21" s="9">
        <x:v>0.99731781882485548</x:v>
      </x:c>
      <x:c r="S21" s="9">
        <x:v>0.71172400000000002</x:v>
      </x:c>
    </x:row>
    <x:row r="22" spans="4:19" ht="21.95" customHeight="1" x14ac:dyDescent="0.2">
      <x:c r="D22" s="10">
        <x:v>3</x:v>
      </x:c>
      <x:c r="E22" s="10" t="s">
        <x:v>19</x:v>
      </x:c>
      <x:c r="F22" s="13"/>
      <x:c r="G22" s="13"/>
      <x:c r="H22" s="9"/>
      <x:c r="I22" s="9">
        <x:v>0.87885763521355753</x:v>
      </x:c>
      <x:c r="J22" s="9"/>
      <x:c r="K22" s="9">
        <x:v>0.77648568868055923</x:v>
      </x:c>
      <x:c r="M22" s="9">
        <x:v>0.9552293024900419</x:v>
      </x:c>
      <x:c r="N22" s="9"/>
      <x:c r="O22" s="9">
        <x:v>0.70304319999999998</x:v>
      </x:c>
      <x:c r="Q22" s="9">
        <x:v>0.92497749821855557</x:v>
      </x:c>
      <x:c r="S22" s="9">
        <x:v>0.77596900000000002</x:v>
      </x:c>
    </x:row>
    <x:row r="23" spans="4:19" ht="21.95" customHeight="1" x14ac:dyDescent="0.2">
      <x:c r="D23" s="10">
        <x:v>4</x:v>
      </x:c>
      <x:c r="E23" s="10" t="s">
        <x:v>20</x:v>
      </x:c>
      <x:c r="F23" s="13"/>
      <x:c r="G23" s="13"/>
      <x:c r="H23" s="9"/>
      <x:c r="I23" s="9">
        <x:v>0.88753344917315824</x:v>
      </x:c>
      <x:c r="J23" s="9"/>
      <x:c r="K23" s="9">
        <x:v>0.82212395695613183</x:v>
      </x:c>
      <x:c r="M23" s="9">
        <x:v>0.96307768248132575</x:v>
      </x:c>
      <x:c r="N23" s="9"/>
      <x:c r="O23" s="9">
        <x:v>0.77381666999999998</x:v>
      </x:c>
      <x:c r="Q23" s="9">
        <x:v>0.91286510708710777</x:v>
      </x:c>
      <x:c r="S23" s="9">
        <x:v>0.76813500000000001</x:v>
      </x:c>
    </x:row>
    <x:row r="24" spans="4:19" ht="21.95" customHeight="1" x14ac:dyDescent="0.2">
      <x:c r="D24" s="10">
        <x:v>5</x:v>
      </x:c>
      <x:c r="E24" s="10" t="s">
        <x:v>21</x:v>
      </x:c>
      <x:c r="F24" s="13"/>
      <x:c r="G24" s="13"/>
      <x:c r="H24" s="9"/>
      <x:c r="I24" s="9">
        <x:v>0.96505572712348864</x:v>
      </x:c>
      <x:c r="J24" s="9"/>
      <x:c r="K24" s="9">
        <x:v>0.69400855319885235</x:v>
      </x:c>
      <x:c r="M24" s="9">
        <x:v>0.9655788976154116</x:v>
      </x:c>
      <x:c r="N24" s="9"/>
      <x:c r="O24" s="9">
        <x:v>0.70109240100000003</x:v>
      </x:c>
      <x:c r="Q24" s="9">
        <x:v>0.90356735624694584</x:v>
      </x:c>
      <x:c r="S24" s="9">
        <x:v>0.73521800000000004</x:v>
      </x:c>
    </x:row>
    <x:row r="25" spans="4:19" ht="21.95" customHeight="1" x14ac:dyDescent="0.2">
      <x:c r="D25" s="10">
        <x:v>6</x:v>
      </x:c>
      <x:c r="E25" s="10" t="s">
        <x:v>22</x:v>
      </x:c>
      <x:c r="F25" s="13"/>
      <x:c r="G25" s="13"/>
      <x:c r="H25" s="9"/>
      <x:c r="I25" s="9">
        <x:v>0.97578651759522494</x:v>
      </x:c>
      <x:c r="J25" s="9"/>
      <x:c r="K25" s="9">
        <x:v>0.70315510000000003</x:v>
      </x:c>
      <x:c r="M25" s="9">
        <x:v>0.95173796203084615</x:v>
      </x:c>
      <x:c r="N25" s="9"/>
      <x:c r="O25" s="9">
        <x:v>0.71472179999999996</x:v>
      </x:c>
      <x:c r="Q25" s="9">
        <x:v>0.97144378561398914</x:v>
      </x:c>
      <x:c r="S25" s="9">
        <x:v>0.69950299999999999</x:v>
      </x:c>
    </x:row>
    <x:row r="26" spans="4:19" ht="21.95" customHeight="1" x14ac:dyDescent="0.2">
      <x:c r="D26" s="10">
        <x:v>7</x:v>
      </x:c>
      <x:c r="E26" s="10" t="s">
        <x:v>23</x:v>
      </x:c>
      <x:c r="F26" s="13"/>
      <x:c r="G26" s="13"/>
      <x:c r="H26" s="9"/>
      <x:c r="I26" s="9">
        <x:v>0.99913078960662138</x:v>
      </x:c>
      <x:c r="J26" s="9"/>
      <x:c r="K26" s="9">
        <x:v>0.70259611326285532</x:v>
      </x:c>
      <x:c r="M26" s="9">
        <x:v>0.96683256644417204</x:v>
      </x:c>
      <x:c r="N26" s="9"/>
      <x:c r="O26" s="9">
        <x:v>0.73941900000000005</x:v>
      </x:c>
      <x:c r="Q26" s="9">
        <x:v>0.9440626561992459</x:v>
      </x:c>
      <x:c r="S26" s="9">
        <x:v>0.74586200000000002</x:v>
      </x:c>
    </x:row>
    <x:row r="27" spans="4:19" ht="21.95" customHeight="1" x14ac:dyDescent="0.2">
      <x:c r="D27" s="10">
        <x:v>8</x:v>
      </x:c>
      <x:c r="E27" s="10" t="s">
        <x:v>24</x:v>
      </x:c>
      <x:c r="F27" s="9"/>
      <x:c r="G27" s="9"/>
      <x:c r="H27" s="9"/>
      <x:c r="I27" s="9">
        <x:v>0.98315495677185816</x:v>
      </x:c>
      <x:c r="J27" s="9"/>
      <x:c r="K27" s="9">
        <x:v>0.73389036886724845</x:v>
      </x:c>
      <x:c r="M27" s="9">
        <x:v>0.97349068127991423</x:v>
      </x:c>
      <x:c r="N27" s="9"/>
      <x:c r="O27" s="9">
        <x:v>0.70794104999999996</x:v>
      </x:c>
      <x:c r="Q27" s="9">
        <x:v>0.91017203569630112</x:v>
      </x:c>
      <x:c r="S27" s="9">
        <x:v>0.78129499999999996</x:v>
      </x:c>
    </x:row>
    <x:row r="28" spans="4:19" ht="21.95" customHeight="1" x14ac:dyDescent="0.2">
      <x:c r="D28" s="10">
        <x:v>9</x:v>
      </x:c>
      <x:c r="E28" s="10" t="s">
        <x:v>25</x:v>
      </x:c>
      <x:c r="F28" s="14"/>
      <x:c r="G28" s="14"/>
      <x:c r="H28" s="9"/>
      <x:c r="I28" s="9">
        <x:v>0.9826805072495266</x:v>
      </x:c>
      <x:c r="J28" s="9"/>
      <x:c r="K28" s="9">
        <x:v>0.67494702457822187</x:v>
      </x:c>
      <x:c r="M28" s="9">
        <x:v>0.95473871405048116</x:v>
      </x:c>
      <x:c r="N28" s="9"/>
      <x:c r="O28" s="9">
        <x:v>0.70794435200000005</x:v>
      </x:c>
      <x:c r="Q28" s="9">
        <x:v>0.9677935230261161</x:v>
      </x:c>
      <x:c r="S28" s="9">
        <x:v>0.66347999999999996</x:v>
      </x:c>
    </x:row>
    <x:row r="29" spans="4:19" ht="21.95" customHeight="1" x14ac:dyDescent="0.2">
      <x:c r="D29" s="10">
        <x:v>10</x:v>
      </x:c>
      <x:c r="E29" s="10" t="s">
        <x:v>26</x:v>
      </x:c>
      <x:c r="F29" s="14"/>
      <x:c r="G29" s="14"/>
      <x:c r="H29" s="9"/>
      <x:c r="I29" s="9">
        <x:v>0.98387155833072237</x:v>
      </x:c>
      <x:c r="J29" s="9"/>
      <x:c r="K29" s="9">
        <x:v>0.71464465181997872</x:v>
      </x:c>
      <x:c r="M29" s="9">
        <x:v>0.98879878146948197</x:v>
      </x:c>
      <x:c r="N29" s="9"/>
      <x:c r="O29" s="9">
        <x:v>0.68812499999999999</x:v>
      </x:c>
      <x:c r="Q29" s="9">
        <x:v>0.97751447825776272</x:v>
      </x:c>
      <x:c r="S29" s="9">
        <x:v>0.69615000000000005</x:v>
      </x:c>
    </x:row>
    <x:row r="30" spans="4:19" ht="21.95" customHeight="1" x14ac:dyDescent="0.2">
      <x:c r="D30" s="10">
        <x:v>11</x:v>
      </x:c>
      <x:c r="E30" s="10" t="s">
        <x:v>27</x:v>
      </x:c>
      <x:c r="F30" s="14"/>
      <x:c r="G30" s="14"/>
      <x:c r="H30" s="9"/>
      <x:c r="I30" s="9">
        <x:v>0.86246086232463537</x:v>
      </x:c>
      <x:c r="J30" s="9"/>
      <x:c r="K30" s="9">
        <x:v>0.82148285284980416</x:v>
      </x:c>
      <x:c r="M30" s="9">
        <x:v>0.89923585514884419</x:v>
      </x:c>
      <x:c r="N30" s="9"/>
      <x:c r="O30" s="9">
        <x:v>0.78403800000000001</x:v>
      </x:c>
      <x:c r="Q30" s="9">
        <x:v>0.84706770559879085</x:v>
      </x:c>
      <x:c r="S30" s="9">
        <x:v>0.78835496400000005</x:v>
      </x:c>
    </x:row>
    <x:row r="31" spans="4:19" ht="21.95" customHeight="1" x14ac:dyDescent="0.2">
      <x:c r="D31" s="10">
        <x:v>12</x:v>
      </x:c>
      <x:c r="E31" s="10" t="s">
        <x:v>28</x:v>
      </x:c>
      <x:c r="F31" s="14"/>
      <x:c r="G31" s="14"/>
      <x:c r="H31" s="9"/>
      <x:c r="I31" s="9">
        <x:v>0.89404345716743516</x:v>
      </x:c>
      <x:c r="J31" s="9"/>
      <x:c r="K31" s="9">
        <x:v>0.79498504151062155</x:v>
      </x:c>
      <x:c r="M31" s="9">
        <x:v>0.99122895946055434</x:v>
      </x:c>
      <x:c r="N31" s="9"/>
      <x:c r="O31" s="9">
        <x:v>0.59567590000000004</x:v>
      </x:c>
      <x:c r="Q31" s="9">
        <x:v>0.86279918089142804</x:v>
      </x:c>
      <x:c r="S31" s="9">
        <x:v>0.81478943999999998</x:v>
      </x:c>
    </x:row>
    <x:row r="32" spans="4:19" ht="21" customHeight="1" x14ac:dyDescent="0.2">
      <x:c r="D32" s="10"/>
      <x:c r="E32" s="10"/>
      <x:c r="F32" s="14"/>
      <x:c r="G32" s="14"/>
      <x:c r="H32" s="9"/>
      <x:c r="I32" s="9"/>
      <x:c r="J32" s="9"/>
      <x:c r="K32" s="9"/>
      <x:c r="L32" s="9"/>
    </x:row>
    <x:row r="33" spans="3:12" ht="21" customHeight="1" x14ac:dyDescent="0.2">
      <x:c r="D33" s="2" t="s">
        <x:v>36</x:v>
      </x:c>
      <x:c r="E33" s="10"/>
      <x:c r="F33" s="14"/>
      <x:c r="G33" s="14"/>
      <x:c r="H33" s="9"/>
      <x:c r="I33" s="9"/>
      <x:c r="J33" s="9"/>
      <x:c r="K33" s="9"/>
      <x:c r="L33" s="9"/>
    </x:row>
    <x:row r="34" spans="3:12" ht="21" customHeight="1" x14ac:dyDescent="0.2">
      <x:c r="C34" s="2"/>
      <x:c r="E34" s="3"/>
    </x:row>
  </x:sheetData>
  <x:phoneticPr fontId="1" type="noConversion"/>
  <x:pageMargins left="0.5" right="1" top="1.5" bottom="0.5" header="0.5" footer="0.5"/>
  <x:pageSetup scale="72" orientation="landscape" r:id="rId1"/>
  <x:headerFooter alignWithMargins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62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105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57</x:v>
      </x:c>
      <x:c r="O12" s="9"/>
      <x:c r="Q12" s="9"/>
    </x:row>
    <x:row r="13" spans="1:22" ht="18.75" customHeight="1" x14ac:dyDescent="0.2">
      <x:c r="C13" s="2" t="s">
        <x:v>1</x:v>
      </x:c>
      <x:c r="I13" s="43"/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0.98801466749876499</x:v>
      </x:c>
      <x:c r="J20" s="9"/>
      <x:c r="K20" s="9">
        <x:v>0.73971179633780559</x:v>
      </x:c>
      <x:c r="M20" s="9">
        <x:v>0.94782074617693324</x:v>
      </x:c>
      <x:c r="O20" s="9">
        <x:v>0.70142313700000003</x:v>
      </x:c>
      <x:c r="Q20" s="9">
        <x:v>0.85608773011263695</x:v>
      </x:c>
      <x:c r="R20" s="9"/>
      <x:c r="S20" s="9">
        <x:v>0.67845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0.84349030677475012</x:v>
      </x:c>
      <x:c r="J21" s="9"/>
      <x:c r="K21" s="9">
        <x:v>0.69983834379990095</x:v>
      </x:c>
      <x:c r="M21" s="9">
        <x:v>0.8499191623914143</x:v>
      </x:c>
      <x:c r="O21" s="9">
        <x:v>0.72084004999999995</x:v>
      </x:c>
      <x:c r="Q21" s="9">
        <x:v>0.84556654763421879</x:v>
      </x:c>
      <x:c r="R21" s="9"/>
      <x:c r="S21" s="9">
        <x:v>0.75812000000000002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0.90147500496341393</x:v>
      </x:c>
      <x:c r="J22" s="9"/>
      <x:c r="K22" s="9">
        <x:v>0.76356895233467414</x:v>
      </x:c>
      <x:c r="M22" s="9">
        <x:v>0.98848732845464959</x:v>
      </x:c>
      <x:c r="O22" s="9">
        <x:v>0.736487</x:v>
      </x:c>
      <x:c r="Q22" s="9">
        <x:v>0.89238064075756784</x:v>
      </x:c>
      <x:c r="R22" s="9"/>
      <x:c r="S22" s="9">
        <x:v>0.69949799999999995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0.8720866183423025</x:v>
      </x:c>
      <x:c r="J23" s="9"/>
      <x:c r="K23" s="9">
        <x:v>0.69361976194235697</x:v>
      </x:c>
      <x:c r="M23" s="9">
        <x:v>0.93302881965119999</x:v>
      </x:c>
      <x:c r="O23" s="9">
        <x:v>0.67711969999999999</x:v>
      </x:c>
      <x:c r="Q23" s="9">
        <x:v>0.89634265634826527</x:v>
      </x:c>
      <x:c r="R23" s="9"/>
      <x:c r="S23" s="9">
        <x:v>0.65290214999999996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0.94864358605225441</x:v>
      </x:c>
      <x:c r="J24" s="9"/>
      <x:c r="K24" s="9">
        <x:v>0.64391279597879703</x:v>
      </x:c>
      <x:c r="M24" s="9">
        <x:v>0.8506669006959664</x:v>
      </x:c>
      <x:c r="O24" s="9">
        <x:v>0.61603149000000001</x:v>
      </x:c>
      <x:c r="Q24" s="9">
        <x:v>0.89685909758416626</x:v>
      </x:c>
      <x:c r="R24" s="9"/>
      <x:c r="S24" s="9">
        <x:v>0.68727689999999997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0.95437117422141993</x:v>
      </x:c>
      <x:c r="J25" s="9"/>
      <x:c r="K25" s="9">
        <x:v>0.70063926168273205</x:v>
      </x:c>
      <x:c r="M25" s="9">
        <x:v>0.92868948902153892</x:v>
      </x:c>
      <x:c r="O25" s="9">
        <x:v>0.72087489000000005</x:v>
      </x:c>
      <x:c r="Q25" s="9">
        <x:v>0.95623806735317385</x:v>
      </x:c>
      <x:c r="R25" s="9"/>
      <x:c r="S25" s="9">
        <x:v>0.68537999999999999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0.99671568365004948</x:v>
      </x:c>
      <x:c r="J26" s="9"/>
      <x:c r="K26" s="9">
        <x:v>0.69588657007552424</x:v>
      </x:c>
      <x:c r="M26" s="9">
        <x:v>0.94521390575248943</x:v>
      </x:c>
      <x:c r="O26" s="9">
        <x:v>0.73095940000000004</x:v>
      </x:c>
      <x:c r="Q26" s="9">
        <x:v>0.93721945544504814</x:v>
      </x:c>
      <x:c r="R26" s="9"/>
      <x:c r="S26" s="9">
        <x:v>0.71539450000000004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0.94068786041966224</x:v>
      </x:c>
      <x:c r="J27" s="9"/>
      <x:c r="K27" s="9">
        <x:v>0.70193291921822443</x:v>
      </x:c>
      <x:c r="M27" s="9">
        <x:v>0.94588887547129308</x:v>
      </x:c>
      <x:c r="O27" s="9">
        <x:v>0.70621909999999999</x:v>
      </x:c>
      <x:c r="Q27" s="9">
        <x:v>0.90311929186805828</x:v>
      </x:c>
      <x:c r="R27" s="9"/>
      <x:c r="S27" s="9">
        <x:v>0.73768800000000001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0.95430370329322778</x:v>
      </x:c>
      <x:c r="J28" s="9"/>
      <x:c r="K28" s="9">
        <x:v>0.64960088447282982</x:v>
      </x:c>
      <x:c r="M28" s="9">
        <x:v>0.92381376606832843</x:v>
      </x:c>
      <x:c r="O28" s="9">
        <x:v>0.67471890000000001</x:v>
      </x:c>
      <x:c r="Q28" s="9">
        <x:v>0.93418779062166712</x:v>
      </x:c>
      <x:c r="R28" s="9"/>
      <x:c r="S28" s="9">
        <x:v>0.64606269999999999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0.9556498036374278</x:v>
      </x:c>
      <x:c r="J29" s="9"/>
      <x:c r="K29" s="9">
        <x:v>0.6751641848988692</x:v>
      </x:c>
      <x:c r="M29" s="9">
        <x:v>0.96576257465235149</x:v>
      </x:c>
      <x:c r="O29" s="9">
        <x:v>0.62943579999999999</x:v>
      </x:c>
      <x:c r="Q29" s="9">
        <x:v>0.95721565145167009</x:v>
      </x:c>
      <x:c r="R29" s="9"/>
      <x:c r="S29" s="9">
        <x:v>0.60524855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0.77597332213852488</x:v>
      </x:c>
      <x:c r="J30" s="9"/>
      <x:c r="K30" s="9">
        <x:v>0.68357102517737733</x:v>
      </x:c>
      <x:c r="M30" s="9">
        <x:v>0.82793199567411369</x:v>
      </x:c>
      <x:c r="O30" s="9">
        <x:v>0.68828199999999995</x:v>
      </x:c>
      <x:c r="Q30" s="9">
        <x:v>0.79692323718421154</x:v>
      </x:c>
      <x:c r="R30" s="9"/>
      <x:c r="S30" s="9">
        <x:v>0.64364933000000002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0.88165788098593756</x:v>
      </x:c>
      <x:c r="J31" s="9"/>
      <x:c r="K31" s="9">
        <x:v>0.71723509200831903</x:v>
      </x:c>
      <x:c r="M31" s="9">
        <x:v>0.97827528757930649</x:v>
      </x:c>
      <x:c r="O31" s="9">
        <x:v>0.70515919999999999</x:v>
      </x:c>
      <x:c r="Q31" s="9">
        <x:v>0.93967995306366325</x:v>
      </x:c>
      <x:c r="R31" s="9"/>
      <x:c r="S31" s="9">
        <x:v>0.76560482299999999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honeticPr fontId="1" type="noConversion"/>
  <x:pageMargins left="0.5" right="1" top="1.5" bottom="0.5" header="0.5" footer="0.5"/>
  <x:pageSetup scale="72" orientation="landscape" r:id="rId1"/>
  <x:headerFooter alignWithMargins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D00-000000000000}" mc:Ignorable="x14ac xr xr2 xr3">
  <x:dimension ref="A1:W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63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107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34</x:v>
      </x:c>
      <x:c r="O12" s="9"/>
      <x:c r="Q12" s="9"/>
    </x:row>
    <x:row r="13" spans="1:22" ht="18.75" customHeight="1" x14ac:dyDescent="0.2">
      <x:c r="C13" s="2" t="s">
        <x:v>35</x:v>
      </x:c>
      <x:c r="I13" s="43"/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3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3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3" ht="18" customHeight="1" x14ac:dyDescent="0.2">
      <x:c r="C19" s="2"/>
      <x:c r="G19" s="2"/>
      <x:c r="M19" s="2"/>
    </x:row>
    <x:row r="20" spans="3:23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0.84752778577048593</x:v>
      </x:c>
      <x:c r="J20" s="9"/>
      <x:c r="K20" s="9">
        <x:v>0.97707159411036726</x:v>
      </x:c>
      <x:c r="M20" s="9">
        <x:v>0.57742512156088865</x:v>
      </x:c>
      <x:c r="O20" s="9">
        <x:v>0.64368577100000002</x:v>
      </x:c>
      <x:c r="Q20" s="9">
        <x:v>0.69562390874236335</x:v>
      </x:c>
      <x:c r="R20" s="9"/>
      <x:c r="S20" s="9">
        <x:v>0.87436499999999995</x:v>
      </x:c>
      <x:c r="W20" s="12"/>
    </x:row>
    <x:row r="21" spans="3:23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0.31022604658445346</x:v>
      </x:c>
      <x:c r="J21" s="9"/>
      <x:c r="K21" s="9">
        <x:v>0.65704004117494519</x:v>
      </x:c>
      <x:c r="M21" s="9">
        <x:v>0.5216660739090464</x:v>
      </x:c>
      <x:c r="O21" s="9">
        <x:v>0.54480709199999999</x:v>
      </x:c>
      <x:c r="Q21" s="9">
        <x:v>0.61523012413975497</x:v>
      </x:c>
      <x:c r="R21" s="9"/>
      <x:c r="S21" s="9">
        <x:v>0.84562499999999996</x:v>
      </x:c>
      <x:c r="W21" s="12"/>
    </x:row>
    <x:row r="22" spans="3:23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0.93258911890876917</x:v>
      </x:c>
      <x:c r="J22" s="9"/>
      <x:c r="K22" s="9">
        <x:v>0.88421514868816831</x:v>
      </x:c>
      <x:c r="M22" s="9">
        <x:v>0.83030113672114858</x:v>
      </x:c>
      <x:c r="O22" s="9">
        <x:v>0.89190400000000003</x:v>
      </x:c>
      <x:c r="Q22" s="9">
        <x:v>0.82615315370381681</x:v>
      </x:c>
      <x:c r="R22" s="9"/>
      <x:c r="S22" s="9">
        <x:v>0.85306789999999999</x:v>
      </x:c>
      <x:c r="W22" s="12"/>
    </x:row>
    <x:row r="23" spans="3:23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0.88387949224208529</x:v>
      </x:c>
      <x:c r="J23" s="9"/>
      <x:c r="K23" s="9">
        <x:v>0.69251066784952375</x:v>
      </x:c>
      <x:c r="M23" s="9">
        <x:v>0.87020941184988687</x:v>
      </x:c>
      <x:c r="O23" s="9">
        <x:v>0.88124206900000002</x:v>
      </x:c>
      <x:c r="Q23" s="9">
        <x:v>0.84066739119913048</x:v>
      </x:c>
      <x:c r="R23" s="9"/>
      <x:c r="S23" s="9">
        <x:v>0.683033</x:v>
      </x:c>
      <x:c r="W23" s="12"/>
    </x:row>
    <x:row r="24" spans="3:23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0.9138052042959921</x:v>
      </x:c>
      <x:c r="J24" s="9"/>
      <x:c r="K24" s="9">
        <x:v>0.87752772547990521</x:v>
      </x:c>
      <x:c r="M24" s="9">
        <x:v>0.92906590008122225</x:v>
      </x:c>
      <x:c r="O24" s="9">
        <x:v>0.86982952599999996</x:v>
      </x:c>
      <x:c r="Q24" s="9">
        <x:v>0.92832721617330516</x:v>
      </x:c>
      <x:c r="R24" s="9"/>
      <x:c r="S24" s="9">
        <x:v>0.79374999999999996</x:v>
      </x:c>
      <x:c r="W24" s="12"/>
    </x:row>
    <x:row r="25" spans="3:23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0.92330997567247097</x:v>
      </x:c>
      <x:c r="J25" s="9"/>
      <x:c r="K25" s="9">
        <x:v>0.8567684545662263</x:v>
      </x:c>
      <x:c r="M25" s="9">
        <x:v>0.87554673446192766</x:v>
      </x:c>
      <x:c r="O25" s="9">
        <x:v>0.88556999999999997</x:v>
      </x:c>
      <x:c r="Q25" s="9">
        <x:v>0.95996340984197959</x:v>
      </x:c>
      <x:c r="R25" s="9"/>
      <x:c r="S25" s="9">
        <x:v>0.90527999999999997</x:v>
      </x:c>
      <x:c r="W25" s="12"/>
    </x:row>
    <x:row r="26" spans="3:23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0.97974004248824298</x:v>
      </x:c>
      <x:c r="J26" s="9"/>
      <x:c r="K26" s="9">
        <x:v>0.8840301188901577</x:v>
      </x:c>
      <x:c r="M26" s="9">
        <x:v>0.89072334128561337</x:v>
      </x:c>
      <x:c r="O26" s="9">
        <x:v>0.81901360000000001</x:v>
      </x:c>
      <x:c r="Q26" s="9">
        <x:v>0.90757022850285329</x:v>
      </x:c>
      <x:c r="R26" s="9"/>
      <x:c r="S26" s="9">
        <x:v>0.817048</x:v>
      </x:c>
      <x:c r="W26" s="9"/>
    </x:row>
    <x:row r="27" spans="3:23" ht="21.95" customHeight="1" x14ac:dyDescent="0.2">
      <x:c r="C27" s="10">
        <x:v>8</x:v>
      </x:c>
      <x:c r="D27" s="10" t="s">
        <x:v>24</x:v>
      </x:c>
      <x:c r="F27" s="13"/>
      <x:c r="H27" s="9"/>
      <x:c r="I27" s="9">
        <x:v>0.81076980497707485</x:v>
      </x:c>
      <x:c r="J27" s="9"/>
      <x:c r="K27" s="9">
        <x:v>0.79124568651183846</x:v>
      </x:c>
      <x:c r="M27" s="9">
        <x:v>0.86470947572675982</x:v>
      </x:c>
      <x:c r="O27" s="9">
        <x:v>0.838065689</x:v>
      </x:c>
      <x:c r="Q27" s="9">
        <x:v>0.85789018723616139</x:v>
      </x:c>
      <x:c r="R27" s="9"/>
      <x:c r="S27" s="9">
        <x:v>0.83545214499999998</x:v>
      </x:c>
      <x:c r="W27" s="9"/>
    </x:row>
    <x:row r="28" spans="3:23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0.8384544481222056</x:v>
      </x:c>
      <x:c r="J28" s="9"/>
      <x:c r="K28" s="9">
        <x:v>0.79026801167008265</x:v>
      </x:c>
      <x:c r="M28" s="9">
        <x:v>0.95212165078896571</x:v>
      </x:c>
      <x:c r="O28" s="9">
        <x:v>0.89279149999999996</x:v>
      </x:c>
      <x:c r="Q28" s="9">
        <x:v>0.89724048672822032</x:v>
      </x:c>
      <x:c r="R28" s="9"/>
      <x:c r="S28" s="9">
        <x:v>0.8557323</x:v>
      </x:c>
      <x:c r="W28" s="9"/>
    </x:row>
    <x:row r="29" spans="3:23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0.85385724275430375</x:v>
      </x:c>
      <x:c r="J29" s="9"/>
      <x:c r="K29" s="9">
        <x:v>0.88471304333916023</x:v>
      </x:c>
      <x:c r="M29" s="9">
        <x:v>0.91342173184540054</x:v>
      </x:c>
      <x:c r="O29" s="9">
        <x:v>0.90275419999999995</x:v>
      </x:c>
      <x:c r="Q29" s="9">
        <x:v>0.71339525411176596</x:v>
      </x:c>
      <x:c r="R29" s="9"/>
      <x:c r="S29" s="9">
        <x:v>0.77017690000000005</x:v>
      </x:c>
      <x:c r="W29" s="9"/>
    </x:row>
    <x:row r="30" spans="3:23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0.88451220310148526</x:v>
      </x:c>
      <x:c r="J30" s="9"/>
      <x:c r="K30" s="9">
        <x:v>0.90481161500798279</x:v>
      </x:c>
      <x:c r="M30" s="9">
        <x:v>0.95066408168181527</x:v>
      </x:c>
      <x:c r="O30" s="9">
        <x:v>0.90763360000000004</x:v>
      </x:c>
      <x:c r="Q30" s="9">
        <x:v>0.61754946749765249</x:v>
      </x:c>
      <x:c r="R30" s="9"/>
      <x:c r="S30" s="9">
        <x:v>0.78085499999999997</x:v>
      </x:c>
      <x:c r="W30" s="9"/>
    </x:row>
    <x:row r="31" spans="3:23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0.80405951070772563</x:v>
      </x:c>
      <x:c r="J31" s="9"/>
      <x:c r="K31" s="9">
        <x:v>0.77293589789104733</x:v>
      </x:c>
      <x:c r="M31" s="9">
        <x:v>0.65038421412786207</x:v>
      </x:c>
      <x:c r="O31" s="9">
        <x:v>0.83324399999999998</x:v>
      </x:c>
      <x:c r="Q31" s="9">
        <x:v>0.87801004008875227</x:v>
      </x:c>
      <x:c r="R31" s="9"/>
      <x:c r="S31" s="9">
        <x:v>0.72521840000000004</x:v>
      </x:c>
      <x:c r="W31" s="9"/>
    </x:row>
    <x:row r="32" spans="3:23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F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9.4257812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64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105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54</x:v>
      </x:c>
      <x:c r="O12" s="9"/>
      <x:c r="Q12" s="9"/>
    </x:row>
    <x:row r="13" spans="1:22" ht="18.75" customHeight="1" x14ac:dyDescent="0.2">
      <x:c r="C13" s="2" t="s">
        <x:v>35</x:v>
      </x:c>
      <x:c r="I13" s="43"/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0.95248069673144309</x:v>
      </x:c>
      <x:c r="J20" s="9"/>
      <x:c r="K20" s="9">
        <x:v>0.93189981276475398</x:v>
      </x:c>
      <x:c r="M20" s="9">
        <x:v>0.96514793514108843</x:v>
      </x:c>
      <x:c r="N20" s="9"/>
      <x:c r="O20" s="9">
        <x:v>0.93506900000000004</x:v>
      </x:c>
      <x:c r="Q20" s="2">
        <x:v>0.93763638911069735</x:v>
      </x:c>
      <x:c r="S20" s="9">
        <x:v>0.93665940000000003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0.56141503326466391</x:v>
      </x:c>
      <x:c r="J21" s="9"/>
      <x:c r="K21" s="9">
        <x:v>0.77315625221551199</x:v>
      </x:c>
      <x:c r="M21" s="9">
        <x:v>0.95530379076345662</x:v>
      </x:c>
      <x:c r="N21" s="9"/>
      <x:c r="O21" s="9">
        <x:v>0.92653174000000005</x:v>
      </x:c>
      <x:c r="Q21" s="2">
        <x:v>0.81439349877973755</x:v>
      </x:c>
      <x:c r="S21" s="9">
        <x:v>0.92303349999999995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0.92974767583255447</x:v>
      </x:c>
      <x:c r="J22" s="9"/>
      <x:c r="K22" s="9">
        <x:v>0.92802583578096542</x:v>
      </x:c>
      <x:c r="M22" s="9">
        <x:v>0.97820760411754004</x:v>
      </x:c>
      <x:c r="N22" s="9"/>
      <x:c r="O22" s="9">
        <x:v>0.93455436300000005</x:v>
      </x:c>
      <x:c r="Q22" s="2">
        <x:v>0.94536102918115295</x:v>
      </x:c>
      <x:c r="S22" s="9">
        <x:v>0.92583510000000002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0.94655857742025451</x:v>
      </x:c>
      <x:c r="J23" s="9"/>
      <x:c r="K23" s="9">
        <x:v>0.9108216394894455</x:v>
      </x:c>
      <x:c r="M23" s="9">
        <x:v>0.98452064822600582</x:v>
      </x:c>
      <x:c r="N23" s="9"/>
      <x:c r="O23" s="9">
        <x:v>0.91923966300000004</x:v>
      </x:c>
      <x:c r="Q23" s="2">
        <x:v>0.9795807526218383</x:v>
      </x:c>
      <x:c r="S23" s="9">
        <x:v>0.92366400000000004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0.99082390297270562</x:v>
      </x:c>
      <x:c r="J24" s="9"/>
      <x:c r="K24" s="9">
        <x:v>0.90713650311013982</x:v>
      </x:c>
      <x:c r="M24" s="9">
        <x:v>0.97829621719498805</x:v>
      </x:c>
      <x:c r="N24" s="9"/>
      <x:c r="O24" s="9">
        <x:v>0.91239999999999999</x:v>
      </x:c>
      <x:c r="Q24" s="2">
        <x:v>0.95855000222835618</x:v>
      </x:c>
      <x:c r="S24" s="9">
        <x:v>0.91625559999999995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0.96274831986362475</x:v>
      </x:c>
      <x:c r="J25" s="9"/>
      <x:c r="K25" s="9">
        <x:v>0.90729046855000928</x:v>
      </x:c>
      <x:c r="M25" s="9">
        <x:v>0.94623624463490619</x:v>
      </x:c>
      <x:c r="N25" s="9"/>
      <x:c r="O25" s="9">
        <x:v>0.92517000000000005</x:v>
      </x:c>
      <x:c r="Q25" s="2">
        <x:v>0.9489154173099249</x:v>
      </x:c>
      <x:c r="S25" s="9">
        <x:v>0.92498768499999995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0.97294676252867385</x:v>
      </x:c>
      <x:c r="J26" s="9"/>
      <x:c r="K26" s="9">
        <x:v>0.92249984892537118</x:v>
      </x:c>
      <x:c r="M26" s="9">
        <x:v>0.9352292279763198</x:v>
      </x:c>
      <x:c r="N26" s="9"/>
      <x:c r="O26" s="9">
        <x:v>0.92758600000000002</x:v>
      </x:c>
      <x:c r="Q26" s="2">
        <x:v>0.96123661714831399</x:v>
      </x:c>
      <x:c r="S26" s="9">
        <x:v>0.933948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0.97027431532891584</x:v>
      </x:c>
      <x:c r="J27" s="9"/>
      <x:c r="K27" s="9">
        <x:v>0.92547168760919396</x:v>
      </x:c>
      <x:c r="M27" s="9">
        <x:v>0.96724007225956832</x:v>
      </x:c>
      <x:c r="N27" s="9"/>
      <x:c r="O27" s="9">
        <x:v>0.93923800000000002</x:v>
      </x:c>
      <x:c r="Q27" s="2">
        <x:v>0.96866713202995447</x:v>
      </x:c>
      <x:c r="S27" s="9">
        <x:v>0.93882500000000002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0.95261015453922704</x:v>
      </x:c>
      <x:c r="J28" s="9"/>
      <x:c r="K28" s="9">
        <x:v>0.91431850979594942</x:v>
      </x:c>
      <x:c r="M28" s="9">
        <x:v>0.9621894690091285</x:v>
      </x:c>
      <x:c r="N28" s="9"/>
      <x:c r="O28" s="9">
        <x:v>0.92708500000000005</x:v>
      </x:c>
      <x:c r="Q28" s="2">
        <x:v>0.94341709536998908</x:v>
      </x:c>
      <x:c r="S28" s="9">
        <x:v>0.92083649999999995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0.97003934747592957</x:v>
      </x:c>
      <x:c r="J29" s="9"/>
      <x:c r="K29" s="9">
        <x:v>0.90912711858879436</x:v>
      </x:c>
      <x:c r="M29" s="9">
        <x:v>0.9792064325654517</x:v>
      </x:c>
      <x:c r="N29" s="9"/>
      <x:c r="O29" s="9">
        <x:v>0.93448100000000001</x:v>
      </x:c>
      <x:c r="Q29" s="2">
        <x:v>0.97644790414533866</x:v>
      </x:c>
      <x:c r="S29" s="9">
        <x:v>0.93077658600000002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0.91925082226544863</x:v>
      </x:c>
      <x:c r="J30" s="9"/>
      <x:c r="K30" s="9">
        <x:v>0.91925646341660094</x:v>
      </x:c>
      <x:c r="M30" s="9">
        <x:v>0.93064153330365629</x:v>
      </x:c>
      <x:c r="N30" s="9"/>
      <x:c r="O30" s="9">
        <x:v>0.92173070999999995</x:v>
      </x:c>
      <x:c r="Q30" s="2">
        <x:v>0.93725375156357094</x:v>
      </x:c>
      <x:c r="S30" s="9">
        <x:v>0.92208199999999996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0.94694984321606224</x:v>
      </x:c>
      <x:c r="J31" s="9"/>
      <x:c r="K31" s="9">
        <x:v>0.92399967605884537</x:v>
      </x:c>
      <x:c r="M31" s="9">
        <x:v>0.88484880845911384</x:v>
      </x:c>
      <x:c r="N31" s="9"/>
      <x:c r="O31" s="9">
        <x:v>0.91105100000000006</x:v>
      </x:c>
      <x:c r="Q31" s="2">
        <x:v>0.89470000000000005</x:v>
      </x:c>
      <x:c r="S31" s="9">
        <x:v>0.91297342000000004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xl/worksheets/sheet1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E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65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107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59</x:v>
      </x:c>
      <x:c r="O12" s="9"/>
      <x:c r="Q12" s="9"/>
    </x:row>
    <x:row r="13" spans="1:22" ht="18.75" customHeight="1" x14ac:dyDescent="0.2">
      <x:c r="C13" s="2" t="s">
        <x:v>35</x:v>
      </x:c>
      <x:c r="I13" s="43"/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0.91942417227039352</x:v>
      </x:c>
      <x:c r="J20" s="9"/>
      <x:c r="K20" s="9">
        <x:v>0.93545769999999995</x:v>
      </x:c>
      <x:c r="M20" s="9">
        <x:v>0.95381822797474458</x:v>
      </x:c>
      <x:c r="N20" s="9"/>
      <x:c r="O20" s="9">
        <x:v>0.92910000000000004</x:v>
      </x:c>
      <x:c r="Q20" s="9">
        <x:v>0.88706689587322696</x:v>
      </x:c>
      <x:c r="R20" s="9"/>
      <x:c r="S20" s="9">
        <x:v>0.93710000000000004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0.45029414792105577</x:v>
      </x:c>
      <x:c r="J21" s="9"/>
      <x:c r="K21" s="9">
        <x:v>0.74115600000000004</x:v>
      </x:c>
      <x:c r="M21" s="9">
        <x:v>0.92236908365243031</x:v>
      </x:c>
      <x:c r="N21" s="9"/>
      <x:c r="O21" s="9">
        <x:v>0.91849999999999998</x:v>
      </x:c>
      <x:c r="Q21" s="9">
        <x:v>0.80071823187490998</x:v>
      </x:c>
      <x:c r="R21" s="9"/>
      <x:c r="S21" s="9">
        <x:v>0.91679999999999995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0.90324341311664436</x:v>
      </x:c>
      <x:c r="J22" s="9"/>
      <x:c r="K22" s="9">
        <x:v>0.92964800000000003</x:v>
      </x:c>
      <x:c r="M22" s="9">
        <x:v>0.9533790899517014</x:v>
      </x:c>
      <x:c r="N22" s="9"/>
      <x:c r="O22" s="9">
        <x:v>0.94669999999999999</x:v>
      </x:c>
      <x:c r="Q22" s="9">
        <x:v>0.94643826485403415</x:v>
      </x:c>
      <x:c r="R22" s="9"/>
      <x:c r="S22" s="9">
        <x:v>0.92390000000000005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0.96681308031970303</x:v>
      </x:c>
      <x:c r="J23" s="9"/>
      <x:c r="K23" s="9">
        <x:v>0.93526209999999999</x:v>
      </x:c>
      <x:c r="M23" s="9">
        <x:v>0.96098248287268107</x:v>
      </x:c>
      <x:c r="N23" s="9"/>
      <x:c r="O23" s="9">
        <x:v>0.92779999999999996</x:v>
      </x:c>
      <x:c r="Q23" s="9">
        <x:v>0.89589223987069733</x:v>
      </x:c>
      <x:c r="R23" s="9"/>
      <x:c r="S23" s="9">
        <x:v>0.93579999999999997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0.9969766833462097</x:v>
      </x:c>
      <x:c r="J24" s="9"/>
      <x:c r="K24" s="9">
        <x:v>0.92417559999999999</x:v>
      </x:c>
      <x:c r="M24" s="9">
        <x:v>0.97451959219630391</x:v>
      </x:c>
      <x:c r="N24" s="9"/>
      <x:c r="O24" s="9">
        <x:v>0.92989999999999995</x:v>
      </x:c>
      <x:c r="Q24" s="9">
        <x:v>0.93090375351734289</x:v>
      </x:c>
      <x:c r="R24" s="9"/>
      <x:c r="S24" s="9">
        <x:v>0.91869999999999996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0.88297073215547994</x:v>
      </x:c>
      <x:c r="J25" s="9"/>
      <x:c r="K25" s="9">
        <x:v>0.92559100000000005</x:v>
      </x:c>
      <x:c r="M25" s="9">
        <x:v>0.87920379969867979</x:v>
      </x:c>
      <x:c r="N25" s="9"/>
      <x:c r="O25" s="9">
        <x:v>0.91210000000000002</x:v>
      </x:c>
      <x:c r="Q25" s="9">
        <x:v>0.89957929674858672</x:v>
      </x:c>
      <x:c r="R25" s="9"/>
      <x:c r="S25" s="9">
        <x:v>0.9294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0.9641350071893916</x:v>
      </x:c>
      <x:c r="J26" s="9"/>
      <x:c r="K26" s="9">
        <x:v>0.93745699999999998</x:v>
      </x:c>
      <x:c r="M26" s="9">
        <x:v>0.86459168398296971</x:v>
      </x:c>
      <x:c r="N26" s="9"/>
      <x:c r="O26" s="9">
        <x:v>0.94059999999999999</x:v>
      </x:c>
      <x:c r="Q26" s="9">
        <x:v>0.94926821599062405</x:v>
      </x:c>
      <x:c r="R26" s="9"/>
      <x:c r="S26" s="9">
        <x:v>0.94730000000000003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0.86705759655127779</x:v>
      </x:c>
      <x:c r="J27" s="9"/>
      <x:c r="K27" s="9">
        <x:v>0.91883700000000001</x:v>
      </x:c>
      <x:c r="M27" s="9">
        <x:v>0.95046743424908653</x:v>
      </x:c>
      <x:c r="N27" s="9"/>
      <x:c r="O27" s="9">
        <x:v>0.93830000000000002</x:v>
      </x:c>
      <x:c r="Q27" s="9">
        <x:v>0.86852385050449243</x:v>
      </x:c>
      <x:c r="R27" s="9"/>
      <x:c r="S27" s="9">
        <x:v>0.9133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0.89453737280930767</x:v>
      </x:c>
      <x:c r="J28" s="9"/>
      <x:c r="K28" s="9">
        <x:v>0.92612000000000005</x:v>
      </x:c>
      <x:c r="M28" s="9">
        <x:v>0.91738364327448396</x:v>
      </x:c>
      <x:c r="N28" s="9"/>
      <x:c r="O28" s="9">
        <x:v>0.94930000000000003</x:v>
      </x:c>
      <x:c r="Q28" s="9">
        <x:v>0.76942674030014802</x:v>
      </x:c>
      <x:c r="R28" s="9"/>
      <x:c r="S28" s="9">
        <x:v>0.93969999999999998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0.9238328340888472</x:v>
      </x:c>
      <x:c r="J29" s="9"/>
      <x:c r="K29" s="9">
        <x:v>0.92133620000000005</x:v>
      </x:c>
      <x:c r="M29" s="9">
        <x:v>0.95373337347861054</x:v>
      </x:c>
      <x:c r="N29" s="9"/>
      <x:c r="O29" s="9">
        <x:v>0.95420000000000005</x:v>
      </x:c>
      <x:c r="Q29" s="9">
        <x:v>0.87241315202379688</x:v>
      </x:c>
      <x:c r="R29" s="9"/>
      <x:c r="S29" s="9">
        <x:v>0.9395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0.93430479708168723</x:v>
      </x:c>
      <x:c r="J30" s="9"/>
      <x:c r="K30" s="9">
        <x:v>0.94183779999999995</x:v>
      </x:c>
      <x:c r="M30" s="9">
        <x:v>0.86801647623611733</x:v>
      </x:c>
      <x:c r="N30" s="9"/>
      <x:c r="O30" s="9">
        <x:v>0.93589999999999995</x:v>
      </x:c>
      <x:c r="Q30" s="9">
        <x:v>0.90610000000000002</x:v>
      </x:c>
      <x:c r="R30" s="9"/>
      <x:c r="S30" s="9">
        <x:v>0.90690000000000004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0.91571951390447826</x:v>
      </x:c>
      <x:c r="J31" s="9"/>
      <x:c r="K31" s="9">
        <x:v>0.92057800000000001</x:v>
      </x:c>
      <x:c r="M31" s="9">
        <x:v>0.87566616019183496</x:v>
      </x:c>
      <x:c r="N31" s="9"/>
      <x:c r="O31" s="9">
        <x:v>0.92020000000000002</x:v>
      </x:c>
      <x:c r="Q31" s="9">
        <x:v>0.94159999999999999</x:v>
      </x:c>
      <x:c r="R31" s="9"/>
      <x:c r="S31" s="9">
        <x:v>0.93899999999999995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xl/worksheets/sheet1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0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66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107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37</x:v>
      </x:c>
      <x:c r="K12" s="43"/>
      <x:c r="O12" s="9"/>
      <x:c r="Q12" s="9"/>
    </x:row>
    <x:row r="13" spans="1:22" ht="18.75" customHeight="1" x14ac:dyDescent="0.2">
      <x:c r="C13" s="2" t="s">
        <x:v>38</x:v>
      </x:c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0.91335054256907566</x:v>
      </x:c>
      <x:c r="J20" s="9"/>
      <x:c r="K20" s="9">
        <x:v>0.92186869999999999</x:v>
      </x:c>
      <x:c r="M20" s="9">
        <x:v>0.91434014919766005</x:v>
      </x:c>
      <x:c r="N20" s="9"/>
      <x:c r="O20" s="9">
        <x:v>0.92310000000000003</x:v>
      </x:c>
      <x:c r="Q20" s="9">
        <x:v>0.87924230670665404</x:v>
      </x:c>
      <x:c r="R20" s="9"/>
      <x:c r="S20" s="9">
        <x:v>0.9002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0.54796624853708731</x:v>
      </x:c>
      <x:c r="J21" s="9"/>
      <x:c r="K21" s="9">
        <x:v>0.78219399999999994</x:v>
      </x:c>
      <x:c r="M21" s="9">
        <x:v>0.89609656577031216</x:v>
      </x:c>
      <x:c r="N21" s="9"/>
      <x:c r="O21" s="9">
        <x:v>0.89319999999999999</x:v>
      </x:c>
      <x:c r="Q21" s="9">
        <x:v>0.72862284532174171</x:v>
      </x:c>
      <x:c r="R21" s="9"/>
      <x:c r="S21" s="9">
        <x:v>0.86339999999999995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0.88721311400257941</x:v>
      </x:c>
      <x:c r="J22" s="9"/>
      <x:c r="K22" s="9">
        <x:v>0.91778300000000002</x:v>
      </x:c>
      <x:c r="M22" s="9">
        <x:v>0.91944524734702815</x:v>
      </x:c>
      <x:c r="N22" s="9"/>
      <x:c r="O22" s="9">
        <x:v>0.9073</x:v>
      </x:c>
      <x:c r="Q22" s="9">
        <x:v>0.94524063490216625</x:v>
      </x:c>
      <x:c r="R22" s="9"/>
      <x:c r="S22" s="9">
        <x:v>0.91820000000000002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0.94092437584664901</x:v>
      </x:c>
      <x:c r="J23" s="9"/>
      <x:c r="K23" s="9">
        <x:v>0.90986</x:v>
      </x:c>
      <x:c r="M23" s="9">
        <x:v>0.96456981028127287</x:v>
      </x:c>
      <x:c r="N23" s="9"/>
      <x:c r="O23" s="9">
        <x:v>0.92549999999999999</x:v>
      </x:c>
      <x:c r="Q23" s="9">
        <x:v>0.91989304329983745</x:v>
      </x:c>
      <x:c r="R23" s="9"/>
      <x:c r="S23" s="9">
        <x:v>0.90680000000000005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0.95784171592920386</x:v>
      </x:c>
      <x:c r="J24" s="9"/>
      <x:c r="K24" s="9">
        <x:v>0.91623500000000002</x:v>
      </x:c>
      <x:c r="M24" s="9">
        <x:v>0.94298986500509552</x:v>
      </x:c>
      <x:c r="N24" s="9"/>
      <x:c r="O24" s="9">
        <x:v>0.91800000000000004</x:v>
      </x:c>
      <x:c r="Q24" s="9">
        <x:v>0.9219422087630349</x:v>
      </x:c>
      <x:c r="R24" s="9"/>
      <x:c r="S24" s="9">
        <x:v>0.90529999999999999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0.84667711657341305</x:v>
      </x:c>
      <x:c r="J25" s="9"/>
      <x:c r="K25" s="9">
        <x:v>0.91022099999999995</x:v>
      </x:c>
      <x:c r="M25" s="9">
        <x:v>0.78259425224921819</x:v>
      </x:c>
      <x:c r="N25" s="9"/>
      <x:c r="O25" s="9">
        <x:v>0.91449999999999998</x:v>
      </x:c>
      <x:c r="Q25" s="9">
        <x:v>0.88668854974251565</x:v>
      </x:c>
      <x:c r="R25" s="9"/>
      <x:c r="S25" s="9">
        <x:v>0.9052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0.95598010924875865</x:v>
      </x:c>
      <x:c r="J26" s="9"/>
      <x:c r="K26" s="9">
        <x:v>0.91840177999999995</x:v>
      </x:c>
      <x:c r="M26" s="9">
        <x:v>0.73346617838861206</x:v>
      </x:c>
      <x:c r="N26" s="9"/>
      <x:c r="O26" s="9">
        <x:v>0.91500000000000004</x:v>
      </x:c>
      <x:c r="Q26" s="9">
        <x:v>0.94887080336739615</x:v>
      </x:c>
      <x:c r="R26" s="9"/>
      <x:c r="S26" s="9">
        <x:v>0.91839999999999999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0.84515149057174777</x:v>
      </x:c>
      <x:c r="J27" s="9"/>
      <x:c r="K27" s="9">
        <x:v>0.90168400000000004</x:v>
      </x:c>
      <x:c r="M27" s="9">
        <x:v>0.87284648266251663</x:v>
      </x:c>
      <x:c r="N27" s="9"/>
      <x:c r="O27" s="9">
        <x:v>0.92230000000000001</x:v>
      </x:c>
      <x:c r="Q27" s="9">
        <x:v>0.85824392486654677</x:v>
      </x:c>
      <x:c r="R27" s="9"/>
      <x:c r="S27" s="9">
        <x:v>0.91690000000000005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0.77931370034185954</x:v>
      </x:c>
      <x:c r="J28" s="9"/>
      <x:c r="K28" s="9">
        <x:v>0.92431549999999996</x:v>
      </x:c>
      <x:c r="M28" s="9">
        <x:v>0.74912409877299702</x:v>
      </x:c>
      <x:c r="N28" s="9"/>
      <x:c r="O28" s="9">
        <x:v>0.91069999999999995</x:v>
      </x:c>
      <x:c r="Q28" s="9">
        <x:v>0.69192290616593977</x:v>
      </x:c>
      <x:c r="R28" s="9"/>
      <x:c r="S28" s="9">
        <x:v>0.91559999999999997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0.97033307536511548</x:v>
      </x:c>
      <x:c r="J29" s="9"/>
      <x:c r="K29" s="9">
        <x:v>0.93083000000000005</x:v>
      </x:c>
      <x:c r="M29" s="9">
        <x:v>0.89494234237215231</x:v>
      </x:c>
      <x:c r="N29" s="9"/>
      <x:c r="O29" s="9">
        <x:v>0.92620000000000002</x:v>
      </x:c>
      <x:c r="Q29" s="9">
        <x:v>0.93963149168550186</x:v>
      </x:c>
      <x:c r="R29" s="9"/>
      <x:c r="S29" s="9">
        <x:v>0.90700000000000003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0.97341674837666503</x:v>
      </x:c>
      <x:c r="J30" s="9"/>
      <x:c r="K30" s="9">
        <x:v>0.92119649999999997</x:v>
      </x:c>
      <x:c r="M30" s="9">
        <x:v>0.90117927558083288</x:v>
      </x:c>
      <x:c r="N30" s="9"/>
      <x:c r="O30" s="9">
        <x:v>0.93079999999999996</x:v>
      </x:c>
      <x:c r="Q30" s="9">
        <x:v>0.88062970643595917</x:v>
      </x:c>
      <x:c r="R30" s="9"/>
      <x:c r="S30" s="9">
        <x:v>0.88749999999999996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0.92605829050720923</x:v>
      </x:c>
      <x:c r="J31" s="9"/>
      <x:c r="K31" s="9">
        <x:v>0.9239598</x:v>
      </x:c>
      <x:c r="M31" s="9">
        <x:v>0.84785168455096616</x:v>
      </x:c>
      <x:c r="N31" s="9"/>
      <x:c r="O31" s="9">
        <x:v>0.89</x:v>
      </x:c>
      <x:c r="Q31" s="9">
        <x:v>0.85340000000000005</x:v>
      </x:c>
      <x:c r="R31" s="9"/>
      <x:c r="S31" s="9">
        <x:v>0.88060000000000005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xl/worksheets/sheet1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1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9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67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104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9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9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9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9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9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9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9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55</x:v>
      </x:c>
      <x:c r="K12" s="43"/>
      <x:c r="O12" s="9"/>
      <x:c r="Q12" s="9"/>
    </x:row>
    <x:row r="13" spans="1:22" ht="18.75" customHeight="1" x14ac:dyDescent="0.2">
      <x:c r="C13" s="2" t="s">
        <x:v>50</x:v>
      </x:c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9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K17" s="2"/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K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0.99343805761882398</x:v>
      </x:c>
      <x:c r="J20" s="9"/>
      <x:c r="K20" s="9">
        <x:v>0.59314160000000005</x:v>
      </x:c>
      <x:c r="M20" s="9">
        <x:v>0.99847819169138852</x:v>
      </x:c>
      <x:c r="N20" s="9"/>
      <x:c r="O20" s="9">
        <x:v>0.57450000000000001</x:v>
      </x:c>
      <x:c r="Q20" s="9">
        <x:v>0.98063814714102182</x:v>
      </x:c>
      <x:c r="R20" s="9"/>
      <x:c r="S20" s="9">
        <x:v>0.48039999999999999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1</x:v>
      </x:c>
      <x:c r="J21" s="9"/>
      <x:c r="K21" s="9">
        <x:v>0.48216910000000002</x:v>
      </x:c>
      <x:c r="M21" s="9">
        <x:v>0.90480261561745434</x:v>
      </x:c>
      <x:c r="N21" s="9"/>
      <x:c r="O21" s="9">
        <x:v>0.54849999999999999</x:v>
      </x:c>
      <x:c r="Q21" s="9">
        <x:v>0.98303983450909671</x:v>
      </x:c>
      <x:c r="R21" s="9"/>
      <x:c r="S21" s="9">
        <x:v>0.50780000000000003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1</x:v>
      </x:c>
      <x:c r="J22" s="9"/>
      <x:c r="K22" s="9">
        <x:v>0.57303800000000005</x:v>
      </x:c>
      <x:c r="M22" s="9">
        <x:v>0.8544311896603205</x:v>
      </x:c>
      <x:c r="N22" s="9"/>
      <x:c r="O22" s="9">
        <x:v>0.47</x:v>
      </x:c>
      <x:c r="Q22" s="9">
        <x:v>0.96246113885038287</x:v>
      </x:c>
      <x:c r="R22" s="9"/>
      <x:c r="S22" s="9">
        <x:v>0.5151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0.89521848033559059</x:v>
      </x:c>
      <x:c r="J23" s="9"/>
      <x:c r="K23" s="9">
        <x:v>0.61403850000000004</x:v>
      </x:c>
      <x:c r="M23" s="9">
        <x:v>0.85375026750545069</x:v>
      </x:c>
      <x:c r="N23" s="9"/>
      <x:c r="O23" s="9">
        <x:v>0.61380000000000001</x:v>
      </x:c>
      <x:c r="Q23" s="9">
        <x:v>0.99999804083295951</x:v>
      </x:c>
      <x:c r="R23" s="9"/>
      <x:c r="S23" s="9">
        <x:v>0.5776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0.97828265251026103</x:v>
      </x:c>
      <x:c r="J24" s="9"/>
      <x:c r="K24" s="9">
        <x:v>0.52873800000000004</x:v>
      </x:c>
      <x:c r="M24" s="9">
        <x:v>0.97954019441444218</x:v>
      </x:c>
      <x:c r="N24" s="9"/>
      <x:c r="O24" s="9">
        <x:v>0.57350000000000001</x:v>
      </x:c>
      <x:c r="Q24" s="9">
        <x:v>0.94440802219559128</x:v>
      </x:c>
      <x:c r="R24" s="9"/>
      <x:c r="S24" s="9">
        <x:v>0.58399999999999996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0.97628790978305025</x:v>
      </x:c>
      <x:c r="J25" s="9"/>
      <x:c r="K25" s="9">
        <x:v>0.58495600000000003</x:v>
      </x:c>
      <x:c r="M25" s="9">
        <x:v>0.66951875924000703</x:v>
      </x:c>
      <x:c r="N25" s="9"/>
      <x:c r="O25" s="9">
        <x:v>0.61199999999999999</x:v>
      </x:c>
      <x:c r="Q25" s="9">
        <x:v>0.91869728567288766</x:v>
      </x:c>
      <x:c r="R25" s="9"/>
      <x:c r="S25" s="9">
        <x:v>0.59189999999999998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0.9384470198749042</x:v>
      </x:c>
      <x:c r="J26" s="9"/>
      <x:c r="K26" s="9">
        <x:v>0.59360049999999998</x:v>
      </x:c>
      <x:c r="M26" s="9">
        <x:v>0.96433444176372618</x:v>
      </x:c>
      <x:c r="N26" s="9"/>
      <x:c r="O26" s="9">
        <x:v>0.66279999999999994</x:v>
      </x:c>
      <x:c r="Q26" s="9">
        <x:v>0.94312163669273008</x:v>
      </x:c>
      <x:c r="R26" s="9"/>
      <x:c r="S26" s="9">
        <x:v>0.62619999999999998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0.90466748576538758</x:v>
      </x:c>
      <x:c r="J27" s="9"/>
      <x:c r="K27" s="9">
        <x:v>0.57943100000000003</x:v>
      </x:c>
      <x:c r="M27" s="9">
        <x:v>0.89850928018147125</x:v>
      </x:c>
      <x:c r="N27" s="9"/>
      <x:c r="O27" s="9">
        <x:v>0.54410000000000003</x:v>
      </x:c>
      <x:c r="Q27" s="9">
        <x:v>0.95856173300436898</x:v>
      </x:c>
      <x:c r="R27" s="9"/>
      <x:c r="S27" s="9">
        <x:v>0.65749999999999997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0.95632983858977183</x:v>
      </x:c>
      <x:c r="J28" s="9"/>
      <x:c r="K28" s="9">
        <x:v>0.51540699999999995</x:v>
      </x:c>
      <x:c r="M28" s="9">
        <x:v>0.98524022325807881</x:v>
      </x:c>
      <x:c r="N28" s="9"/>
      <x:c r="O28" s="9">
        <x:v>0.56720000000000004</x:v>
      </x:c>
      <x:c r="Q28" s="9">
        <x:v>0.97173138692263095</x:v>
      </x:c>
      <x:c r="R28" s="9"/>
      <x:c r="S28" s="9">
        <x:v>0.50109999999999999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0.99274309421598195</x:v>
      </x:c>
      <x:c r="J29" s="9"/>
      <x:c r="K29" s="9">
        <x:v>0.55055299999999996</x:v>
      </x:c>
      <x:c r="M29" s="9">
        <x:v>0.98347512437380191</x:v>
      </x:c>
      <x:c r="N29" s="9"/>
      <x:c r="O29" s="9">
        <x:v>0.50790000000000002</x:v>
      </x:c>
      <x:c r="Q29" s="9">
        <x:v>0.98030659935162112</x:v>
      </x:c>
      <x:c r="R29" s="9"/>
      <x:c r="S29" s="9">
        <x:v>0.52839999999999998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0.99227854374746172</x:v>
      </x:c>
      <x:c r="J30" s="9"/>
      <x:c r="K30" s="9">
        <x:v>0.64387000000000005</x:v>
      </x:c>
      <x:c r="M30" s="9">
        <x:v>0.89121278325777675</x:v>
      </x:c>
      <x:c r="N30" s="9"/>
      <x:c r="O30" s="9">
        <x:v>0.55679999999999996</x:v>
      </x:c>
      <x:c r="Q30" s="9">
        <x:v>1.0000072804577953</x:v>
      </x:c>
      <x:c r="R30" s="9"/>
      <x:c r="S30" s="9">
        <x:v>0.54869999999999997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0.94526807780310373</x:v>
      </x:c>
      <x:c r="J31" s="9"/>
      <x:c r="K31" s="9">
        <x:v>0.54381299999999999</x:v>
      </x:c>
      <x:c r="M31" s="9">
        <x:v>0.99428684924940292</x:v>
      </x:c>
      <x:c r="N31" s="9"/>
      <x:c r="O31" s="9">
        <x:v>0.4032</x:v>
      </x:c>
      <x:c r="Q31" s="9">
        <x:v>0.99470712956386953</x:v>
      </x:c>
      <x:c r="R31" s="9"/>
      <x:c r="S31" s="9">
        <x:v>0.67700000000000005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xl/worksheets/sheet1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1200-000000000000}" mc:Ignorable="x14ac xr xr2 xr3">
  <x:dimension ref="A1:V33"/>
  <x:sheetViews>
    <x:sheetView zoomScale="75" workbookViewId="0"/>
  </x:sheetViews>
  <x:sheetFormatPr defaultRowHeight="18.75" customHeight="1" x14ac:dyDescent="0.2"/>
  <x:cols>
    <x:col min="2" max="2" width="4.7109375" customWidth="1"/>
    <x:col min="3" max="3" width="8.7109375" customWidth="1"/>
    <x:col min="4" max="4" width="7.7109375" style="2" customWidth="1"/>
    <x:col min="5" max="5" width="8.7109375" style="2" customWidth="1"/>
    <x:col min="6" max="6" width="2.7109375" style="2" customWidth="1"/>
    <x:col min="7" max="7" width="8.7109375" style="9" customWidth="1"/>
    <x:col min="8" max="8" width="2.7109375" style="2" customWidth="1"/>
    <x:col min="9" max="9" width="10.7109375" style="2" customWidth="1"/>
    <x:col min="10" max="10" width="2.7109375" style="2" customWidth="1"/>
    <x:col min="11" max="11" width="8.7109375" style="2" customWidth="1"/>
    <x:col min="12" max="12" width="10.7109375" style="2" customWidth="1"/>
    <x:col min="13" max="13" width="8.7109375" style="9" customWidth="1"/>
    <x:col min="14" max="14" width="2.7109375" style="2" customWidth="1"/>
    <x:col min="15" max="16" width="10.7109375" style="2" customWidth="1"/>
    <x:col min="17" max="17" width="8.7109375" style="2" customWidth="1"/>
    <x:col min="18" max="18" width="2.7109375" style="2" customWidth="1"/>
    <x:col min="19" max="19" width="9.140625" style="2"/>
    <x:col min="20" max="20" width="2.7109375" style="2" customWidth="1"/>
    <x:col min="21" max="257" width="9.140625" style="2"/>
    <x:col min="258" max="258" width="4.7109375" style="2" customWidth="1"/>
    <x:col min="259" max="259" width="8.7109375" style="2" customWidth="1"/>
    <x:col min="260" max="260" width="7.7109375" style="2" customWidth="1"/>
    <x:col min="261" max="261" width="8.7109375" style="2" customWidth="1"/>
    <x:col min="262" max="262" width="2.7109375" style="2" customWidth="1"/>
    <x:col min="263" max="263" width="8.7109375" style="2" customWidth="1"/>
    <x:col min="264" max="264" width="2.7109375" style="2" customWidth="1"/>
    <x:col min="265" max="265" width="10.7109375" style="2" customWidth="1"/>
    <x:col min="266" max="266" width="2.7109375" style="2" customWidth="1"/>
    <x:col min="267" max="267" width="8.7109375" style="2" customWidth="1"/>
    <x:col min="268" max="268" width="10.7109375" style="2" customWidth="1"/>
    <x:col min="269" max="269" width="8.7109375" style="2" customWidth="1"/>
    <x:col min="270" max="270" width="2.7109375" style="2" customWidth="1"/>
    <x:col min="271" max="272" width="10.7109375" style="2" customWidth="1"/>
    <x:col min="273" max="273" width="8.7109375" style="2" customWidth="1"/>
    <x:col min="274" max="274" width="2.7109375" style="2" customWidth="1"/>
    <x:col min="275" max="275" width="9.140625" style="2"/>
    <x:col min="276" max="276" width="2.7109375" style="2" customWidth="1"/>
    <x:col min="277" max="513" width="9.140625" style="2"/>
    <x:col min="514" max="514" width="4.7109375" style="2" customWidth="1"/>
    <x:col min="515" max="515" width="8.7109375" style="2" customWidth="1"/>
    <x:col min="516" max="516" width="7.7109375" style="2" customWidth="1"/>
    <x:col min="517" max="517" width="8.7109375" style="2" customWidth="1"/>
    <x:col min="518" max="518" width="2.7109375" style="2" customWidth="1"/>
    <x:col min="519" max="519" width="8.7109375" style="2" customWidth="1"/>
    <x:col min="520" max="520" width="2.7109375" style="2" customWidth="1"/>
    <x:col min="521" max="521" width="10.7109375" style="2" customWidth="1"/>
    <x:col min="522" max="522" width="2.7109375" style="2" customWidth="1"/>
    <x:col min="523" max="523" width="8.7109375" style="2" customWidth="1"/>
    <x:col min="524" max="524" width="10.7109375" style="2" customWidth="1"/>
    <x:col min="525" max="525" width="8.7109375" style="2" customWidth="1"/>
    <x:col min="526" max="526" width="2.7109375" style="2" customWidth="1"/>
    <x:col min="527" max="528" width="10.7109375" style="2" customWidth="1"/>
    <x:col min="529" max="529" width="8.7109375" style="2" customWidth="1"/>
    <x:col min="530" max="530" width="2.7109375" style="2" customWidth="1"/>
    <x:col min="531" max="531" width="9.140625" style="2"/>
    <x:col min="532" max="532" width="2.7109375" style="2" customWidth="1"/>
    <x:col min="533" max="769" width="9.140625" style="2"/>
    <x:col min="770" max="770" width="4.7109375" style="2" customWidth="1"/>
    <x:col min="771" max="771" width="8.7109375" style="2" customWidth="1"/>
    <x:col min="772" max="772" width="7.7109375" style="2" customWidth="1"/>
    <x:col min="773" max="773" width="8.7109375" style="2" customWidth="1"/>
    <x:col min="774" max="774" width="2.7109375" style="2" customWidth="1"/>
    <x:col min="775" max="775" width="8.7109375" style="2" customWidth="1"/>
    <x:col min="776" max="776" width="2.7109375" style="2" customWidth="1"/>
    <x:col min="777" max="777" width="10.7109375" style="2" customWidth="1"/>
    <x:col min="778" max="778" width="2.7109375" style="2" customWidth="1"/>
    <x:col min="779" max="779" width="8.7109375" style="2" customWidth="1"/>
    <x:col min="780" max="780" width="10.7109375" style="2" customWidth="1"/>
    <x:col min="781" max="781" width="8.7109375" style="2" customWidth="1"/>
    <x:col min="782" max="782" width="2.7109375" style="2" customWidth="1"/>
    <x:col min="783" max="784" width="10.7109375" style="2" customWidth="1"/>
    <x:col min="785" max="785" width="8.7109375" style="2" customWidth="1"/>
    <x:col min="786" max="786" width="2.7109375" style="2" customWidth="1"/>
    <x:col min="787" max="787" width="9.140625" style="2"/>
    <x:col min="788" max="788" width="2.7109375" style="2" customWidth="1"/>
    <x:col min="789" max="1025" width="9.140625" style="2"/>
    <x:col min="1026" max="1026" width="4.7109375" style="2" customWidth="1"/>
    <x:col min="1027" max="1027" width="8.7109375" style="2" customWidth="1"/>
    <x:col min="1028" max="1028" width="7.7109375" style="2" customWidth="1"/>
    <x:col min="1029" max="1029" width="8.7109375" style="2" customWidth="1"/>
    <x:col min="1030" max="1030" width="2.7109375" style="2" customWidth="1"/>
    <x:col min="1031" max="1031" width="8.7109375" style="2" customWidth="1"/>
    <x:col min="1032" max="1032" width="2.7109375" style="2" customWidth="1"/>
    <x:col min="1033" max="1033" width="10.7109375" style="2" customWidth="1"/>
    <x:col min="1034" max="1034" width="2.7109375" style="2" customWidth="1"/>
    <x:col min="1035" max="1035" width="8.7109375" style="2" customWidth="1"/>
    <x:col min="1036" max="1036" width="10.7109375" style="2" customWidth="1"/>
    <x:col min="1037" max="1037" width="8.7109375" style="2" customWidth="1"/>
    <x:col min="1038" max="1038" width="2.7109375" style="2" customWidth="1"/>
    <x:col min="1039" max="1040" width="10.7109375" style="2" customWidth="1"/>
    <x:col min="1041" max="1041" width="8.7109375" style="2" customWidth="1"/>
    <x:col min="1042" max="1042" width="2.7109375" style="2" customWidth="1"/>
    <x:col min="1043" max="1043" width="9.140625" style="2"/>
    <x:col min="1044" max="1044" width="2.7109375" style="2" customWidth="1"/>
    <x:col min="1045" max="1281" width="9.140625" style="2"/>
    <x:col min="1282" max="1282" width="4.7109375" style="2" customWidth="1"/>
    <x:col min="1283" max="1283" width="8.7109375" style="2" customWidth="1"/>
    <x:col min="1284" max="1284" width="7.7109375" style="2" customWidth="1"/>
    <x:col min="1285" max="1285" width="8.7109375" style="2" customWidth="1"/>
    <x:col min="1286" max="1286" width="2.7109375" style="2" customWidth="1"/>
    <x:col min="1287" max="1287" width="8.7109375" style="2" customWidth="1"/>
    <x:col min="1288" max="1288" width="2.7109375" style="2" customWidth="1"/>
    <x:col min="1289" max="1289" width="10.7109375" style="2" customWidth="1"/>
    <x:col min="1290" max="1290" width="2.7109375" style="2" customWidth="1"/>
    <x:col min="1291" max="1291" width="8.7109375" style="2" customWidth="1"/>
    <x:col min="1292" max="1292" width="10.7109375" style="2" customWidth="1"/>
    <x:col min="1293" max="1293" width="8.7109375" style="2" customWidth="1"/>
    <x:col min="1294" max="1294" width="2.7109375" style="2" customWidth="1"/>
    <x:col min="1295" max="1296" width="10.7109375" style="2" customWidth="1"/>
    <x:col min="1297" max="1297" width="8.7109375" style="2" customWidth="1"/>
    <x:col min="1298" max="1298" width="2.7109375" style="2" customWidth="1"/>
    <x:col min="1299" max="1299" width="9.140625" style="2"/>
    <x:col min="1300" max="1300" width="2.7109375" style="2" customWidth="1"/>
    <x:col min="1301" max="1537" width="9.140625" style="2"/>
    <x:col min="1538" max="1538" width="4.7109375" style="2" customWidth="1"/>
    <x:col min="1539" max="1539" width="8.7109375" style="2" customWidth="1"/>
    <x:col min="1540" max="1540" width="7.7109375" style="2" customWidth="1"/>
    <x:col min="1541" max="1541" width="8.7109375" style="2" customWidth="1"/>
    <x:col min="1542" max="1542" width="2.7109375" style="2" customWidth="1"/>
    <x:col min="1543" max="1543" width="8.7109375" style="2" customWidth="1"/>
    <x:col min="1544" max="1544" width="2.7109375" style="2" customWidth="1"/>
    <x:col min="1545" max="1545" width="10.7109375" style="2" customWidth="1"/>
    <x:col min="1546" max="1546" width="2.7109375" style="2" customWidth="1"/>
    <x:col min="1547" max="1547" width="8.7109375" style="2" customWidth="1"/>
    <x:col min="1548" max="1548" width="10.7109375" style="2" customWidth="1"/>
    <x:col min="1549" max="1549" width="8.7109375" style="2" customWidth="1"/>
    <x:col min="1550" max="1550" width="2.7109375" style="2" customWidth="1"/>
    <x:col min="1551" max="1552" width="10.7109375" style="2" customWidth="1"/>
    <x:col min="1553" max="1553" width="8.7109375" style="2" customWidth="1"/>
    <x:col min="1554" max="1554" width="2.7109375" style="2" customWidth="1"/>
    <x:col min="1555" max="1555" width="9.140625" style="2"/>
    <x:col min="1556" max="1556" width="2.7109375" style="2" customWidth="1"/>
    <x:col min="1557" max="1793" width="9.140625" style="2"/>
    <x:col min="1794" max="1794" width="4.7109375" style="2" customWidth="1"/>
    <x:col min="1795" max="1795" width="8.7109375" style="2" customWidth="1"/>
    <x:col min="1796" max="1796" width="7.7109375" style="2" customWidth="1"/>
    <x:col min="1797" max="1797" width="8.7109375" style="2" customWidth="1"/>
    <x:col min="1798" max="1798" width="2.7109375" style="2" customWidth="1"/>
    <x:col min="1799" max="1799" width="8.7109375" style="2" customWidth="1"/>
    <x:col min="1800" max="1800" width="2.7109375" style="2" customWidth="1"/>
    <x:col min="1801" max="1801" width="10.7109375" style="2" customWidth="1"/>
    <x:col min="1802" max="1802" width="2.7109375" style="2" customWidth="1"/>
    <x:col min="1803" max="1803" width="8.7109375" style="2" customWidth="1"/>
    <x:col min="1804" max="1804" width="10.7109375" style="2" customWidth="1"/>
    <x:col min="1805" max="1805" width="8.7109375" style="2" customWidth="1"/>
    <x:col min="1806" max="1806" width="2.7109375" style="2" customWidth="1"/>
    <x:col min="1807" max="1808" width="10.7109375" style="2" customWidth="1"/>
    <x:col min="1809" max="1809" width="8.7109375" style="2" customWidth="1"/>
    <x:col min="1810" max="1810" width="2.7109375" style="2" customWidth="1"/>
    <x:col min="1811" max="1811" width="9.140625" style="2"/>
    <x:col min="1812" max="1812" width="2.7109375" style="2" customWidth="1"/>
    <x:col min="1813" max="2049" width="9.140625" style="2"/>
    <x:col min="2050" max="2050" width="4.7109375" style="2" customWidth="1"/>
    <x:col min="2051" max="2051" width="8.7109375" style="2" customWidth="1"/>
    <x:col min="2052" max="2052" width="7.7109375" style="2" customWidth="1"/>
    <x:col min="2053" max="2053" width="8.7109375" style="2" customWidth="1"/>
    <x:col min="2054" max="2054" width="2.7109375" style="2" customWidth="1"/>
    <x:col min="2055" max="2055" width="8.7109375" style="2" customWidth="1"/>
    <x:col min="2056" max="2056" width="2.7109375" style="2" customWidth="1"/>
    <x:col min="2057" max="2057" width="10.7109375" style="2" customWidth="1"/>
    <x:col min="2058" max="2058" width="2.7109375" style="2" customWidth="1"/>
    <x:col min="2059" max="2059" width="8.7109375" style="2" customWidth="1"/>
    <x:col min="2060" max="2060" width="10.7109375" style="2" customWidth="1"/>
    <x:col min="2061" max="2061" width="8.7109375" style="2" customWidth="1"/>
    <x:col min="2062" max="2062" width="2.7109375" style="2" customWidth="1"/>
    <x:col min="2063" max="2064" width="10.7109375" style="2" customWidth="1"/>
    <x:col min="2065" max="2065" width="8.7109375" style="2" customWidth="1"/>
    <x:col min="2066" max="2066" width="2.7109375" style="2" customWidth="1"/>
    <x:col min="2067" max="2067" width="9.140625" style="2"/>
    <x:col min="2068" max="2068" width="2.7109375" style="2" customWidth="1"/>
    <x:col min="2069" max="2305" width="9.140625" style="2"/>
    <x:col min="2306" max="2306" width="4.7109375" style="2" customWidth="1"/>
    <x:col min="2307" max="2307" width="8.7109375" style="2" customWidth="1"/>
    <x:col min="2308" max="2308" width="7.7109375" style="2" customWidth="1"/>
    <x:col min="2309" max="2309" width="8.7109375" style="2" customWidth="1"/>
    <x:col min="2310" max="2310" width="2.7109375" style="2" customWidth="1"/>
    <x:col min="2311" max="2311" width="8.7109375" style="2" customWidth="1"/>
    <x:col min="2312" max="2312" width="2.7109375" style="2" customWidth="1"/>
    <x:col min="2313" max="2313" width="10.7109375" style="2" customWidth="1"/>
    <x:col min="2314" max="2314" width="2.7109375" style="2" customWidth="1"/>
    <x:col min="2315" max="2315" width="8.7109375" style="2" customWidth="1"/>
    <x:col min="2316" max="2316" width="10.7109375" style="2" customWidth="1"/>
    <x:col min="2317" max="2317" width="8.7109375" style="2" customWidth="1"/>
    <x:col min="2318" max="2318" width="2.7109375" style="2" customWidth="1"/>
    <x:col min="2319" max="2320" width="10.7109375" style="2" customWidth="1"/>
    <x:col min="2321" max="2321" width="8.7109375" style="2" customWidth="1"/>
    <x:col min="2322" max="2322" width="2.7109375" style="2" customWidth="1"/>
    <x:col min="2323" max="2323" width="9.140625" style="2"/>
    <x:col min="2324" max="2324" width="2.7109375" style="2" customWidth="1"/>
    <x:col min="2325" max="2561" width="9.140625" style="2"/>
    <x:col min="2562" max="2562" width="4.7109375" style="2" customWidth="1"/>
    <x:col min="2563" max="2563" width="8.7109375" style="2" customWidth="1"/>
    <x:col min="2564" max="2564" width="7.7109375" style="2" customWidth="1"/>
    <x:col min="2565" max="2565" width="8.7109375" style="2" customWidth="1"/>
    <x:col min="2566" max="2566" width="2.7109375" style="2" customWidth="1"/>
    <x:col min="2567" max="2567" width="8.7109375" style="2" customWidth="1"/>
    <x:col min="2568" max="2568" width="2.7109375" style="2" customWidth="1"/>
    <x:col min="2569" max="2569" width="10.7109375" style="2" customWidth="1"/>
    <x:col min="2570" max="2570" width="2.7109375" style="2" customWidth="1"/>
    <x:col min="2571" max="2571" width="8.7109375" style="2" customWidth="1"/>
    <x:col min="2572" max="2572" width="10.7109375" style="2" customWidth="1"/>
    <x:col min="2573" max="2573" width="8.7109375" style="2" customWidth="1"/>
    <x:col min="2574" max="2574" width="2.7109375" style="2" customWidth="1"/>
    <x:col min="2575" max="2576" width="10.7109375" style="2" customWidth="1"/>
    <x:col min="2577" max="2577" width="8.7109375" style="2" customWidth="1"/>
    <x:col min="2578" max="2578" width="2.7109375" style="2" customWidth="1"/>
    <x:col min="2579" max="2579" width="9.140625" style="2"/>
    <x:col min="2580" max="2580" width="2.7109375" style="2" customWidth="1"/>
    <x:col min="2581" max="2817" width="9.140625" style="2"/>
    <x:col min="2818" max="2818" width="4.7109375" style="2" customWidth="1"/>
    <x:col min="2819" max="2819" width="8.7109375" style="2" customWidth="1"/>
    <x:col min="2820" max="2820" width="7.7109375" style="2" customWidth="1"/>
    <x:col min="2821" max="2821" width="8.7109375" style="2" customWidth="1"/>
    <x:col min="2822" max="2822" width="2.7109375" style="2" customWidth="1"/>
    <x:col min="2823" max="2823" width="8.7109375" style="2" customWidth="1"/>
    <x:col min="2824" max="2824" width="2.7109375" style="2" customWidth="1"/>
    <x:col min="2825" max="2825" width="10.7109375" style="2" customWidth="1"/>
    <x:col min="2826" max="2826" width="2.7109375" style="2" customWidth="1"/>
    <x:col min="2827" max="2827" width="8.7109375" style="2" customWidth="1"/>
    <x:col min="2828" max="2828" width="10.7109375" style="2" customWidth="1"/>
    <x:col min="2829" max="2829" width="8.7109375" style="2" customWidth="1"/>
    <x:col min="2830" max="2830" width="2.7109375" style="2" customWidth="1"/>
    <x:col min="2831" max="2832" width="10.7109375" style="2" customWidth="1"/>
    <x:col min="2833" max="2833" width="8.7109375" style="2" customWidth="1"/>
    <x:col min="2834" max="2834" width="2.7109375" style="2" customWidth="1"/>
    <x:col min="2835" max="2835" width="9.140625" style="2"/>
    <x:col min="2836" max="2836" width="2.7109375" style="2" customWidth="1"/>
    <x:col min="2837" max="3073" width="9.140625" style="2"/>
    <x:col min="3074" max="3074" width="4.7109375" style="2" customWidth="1"/>
    <x:col min="3075" max="3075" width="8.7109375" style="2" customWidth="1"/>
    <x:col min="3076" max="3076" width="7.7109375" style="2" customWidth="1"/>
    <x:col min="3077" max="3077" width="8.7109375" style="2" customWidth="1"/>
    <x:col min="3078" max="3078" width="2.7109375" style="2" customWidth="1"/>
    <x:col min="3079" max="3079" width="8.7109375" style="2" customWidth="1"/>
    <x:col min="3080" max="3080" width="2.7109375" style="2" customWidth="1"/>
    <x:col min="3081" max="3081" width="10.7109375" style="2" customWidth="1"/>
    <x:col min="3082" max="3082" width="2.7109375" style="2" customWidth="1"/>
    <x:col min="3083" max="3083" width="8.7109375" style="2" customWidth="1"/>
    <x:col min="3084" max="3084" width="10.7109375" style="2" customWidth="1"/>
    <x:col min="3085" max="3085" width="8.7109375" style="2" customWidth="1"/>
    <x:col min="3086" max="3086" width="2.7109375" style="2" customWidth="1"/>
    <x:col min="3087" max="3088" width="10.7109375" style="2" customWidth="1"/>
    <x:col min="3089" max="3089" width="8.7109375" style="2" customWidth="1"/>
    <x:col min="3090" max="3090" width="2.7109375" style="2" customWidth="1"/>
    <x:col min="3091" max="3091" width="9.140625" style="2"/>
    <x:col min="3092" max="3092" width="2.7109375" style="2" customWidth="1"/>
    <x:col min="3093" max="3329" width="9.140625" style="2"/>
    <x:col min="3330" max="3330" width="4.7109375" style="2" customWidth="1"/>
    <x:col min="3331" max="3331" width="8.7109375" style="2" customWidth="1"/>
    <x:col min="3332" max="3332" width="7.7109375" style="2" customWidth="1"/>
    <x:col min="3333" max="3333" width="8.7109375" style="2" customWidth="1"/>
    <x:col min="3334" max="3334" width="2.7109375" style="2" customWidth="1"/>
    <x:col min="3335" max="3335" width="8.7109375" style="2" customWidth="1"/>
    <x:col min="3336" max="3336" width="2.7109375" style="2" customWidth="1"/>
    <x:col min="3337" max="3337" width="10.7109375" style="2" customWidth="1"/>
    <x:col min="3338" max="3338" width="2.7109375" style="2" customWidth="1"/>
    <x:col min="3339" max="3339" width="8.7109375" style="2" customWidth="1"/>
    <x:col min="3340" max="3340" width="10.7109375" style="2" customWidth="1"/>
    <x:col min="3341" max="3341" width="8.7109375" style="2" customWidth="1"/>
    <x:col min="3342" max="3342" width="2.7109375" style="2" customWidth="1"/>
    <x:col min="3343" max="3344" width="10.7109375" style="2" customWidth="1"/>
    <x:col min="3345" max="3345" width="8.7109375" style="2" customWidth="1"/>
    <x:col min="3346" max="3346" width="2.7109375" style="2" customWidth="1"/>
    <x:col min="3347" max="3347" width="9.140625" style="2"/>
    <x:col min="3348" max="3348" width="2.7109375" style="2" customWidth="1"/>
    <x:col min="3349" max="3585" width="9.140625" style="2"/>
    <x:col min="3586" max="3586" width="4.7109375" style="2" customWidth="1"/>
    <x:col min="3587" max="3587" width="8.7109375" style="2" customWidth="1"/>
    <x:col min="3588" max="3588" width="7.7109375" style="2" customWidth="1"/>
    <x:col min="3589" max="3589" width="8.7109375" style="2" customWidth="1"/>
    <x:col min="3590" max="3590" width="2.7109375" style="2" customWidth="1"/>
    <x:col min="3591" max="3591" width="8.7109375" style="2" customWidth="1"/>
    <x:col min="3592" max="3592" width="2.7109375" style="2" customWidth="1"/>
    <x:col min="3593" max="3593" width="10.7109375" style="2" customWidth="1"/>
    <x:col min="3594" max="3594" width="2.7109375" style="2" customWidth="1"/>
    <x:col min="3595" max="3595" width="8.7109375" style="2" customWidth="1"/>
    <x:col min="3596" max="3596" width="10.7109375" style="2" customWidth="1"/>
    <x:col min="3597" max="3597" width="8.7109375" style="2" customWidth="1"/>
    <x:col min="3598" max="3598" width="2.7109375" style="2" customWidth="1"/>
    <x:col min="3599" max="3600" width="10.7109375" style="2" customWidth="1"/>
    <x:col min="3601" max="3601" width="8.7109375" style="2" customWidth="1"/>
    <x:col min="3602" max="3602" width="2.7109375" style="2" customWidth="1"/>
    <x:col min="3603" max="3603" width="9.140625" style="2"/>
    <x:col min="3604" max="3604" width="2.7109375" style="2" customWidth="1"/>
    <x:col min="3605" max="3841" width="9.140625" style="2"/>
    <x:col min="3842" max="3842" width="4.7109375" style="2" customWidth="1"/>
    <x:col min="3843" max="3843" width="8.7109375" style="2" customWidth="1"/>
    <x:col min="3844" max="3844" width="7.7109375" style="2" customWidth="1"/>
    <x:col min="3845" max="3845" width="8.7109375" style="2" customWidth="1"/>
    <x:col min="3846" max="3846" width="2.7109375" style="2" customWidth="1"/>
    <x:col min="3847" max="3847" width="8.7109375" style="2" customWidth="1"/>
    <x:col min="3848" max="3848" width="2.7109375" style="2" customWidth="1"/>
    <x:col min="3849" max="3849" width="10.7109375" style="2" customWidth="1"/>
    <x:col min="3850" max="3850" width="2.7109375" style="2" customWidth="1"/>
    <x:col min="3851" max="3851" width="8.7109375" style="2" customWidth="1"/>
    <x:col min="3852" max="3852" width="10.7109375" style="2" customWidth="1"/>
    <x:col min="3853" max="3853" width="8.7109375" style="2" customWidth="1"/>
    <x:col min="3854" max="3854" width="2.7109375" style="2" customWidth="1"/>
    <x:col min="3855" max="3856" width="10.7109375" style="2" customWidth="1"/>
    <x:col min="3857" max="3857" width="8.7109375" style="2" customWidth="1"/>
    <x:col min="3858" max="3858" width="2.7109375" style="2" customWidth="1"/>
    <x:col min="3859" max="3859" width="9.140625" style="2"/>
    <x:col min="3860" max="3860" width="2.7109375" style="2" customWidth="1"/>
    <x:col min="3861" max="4097" width="9.140625" style="2"/>
    <x:col min="4098" max="4098" width="4.7109375" style="2" customWidth="1"/>
    <x:col min="4099" max="4099" width="8.7109375" style="2" customWidth="1"/>
    <x:col min="4100" max="4100" width="7.7109375" style="2" customWidth="1"/>
    <x:col min="4101" max="4101" width="8.7109375" style="2" customWidth="1"/>
    <x:col min="4102" max="4102" width="2.7109375" style="2" customWidth="1"/>
    <x:col min="4103" max="4103" width="8.7109375" style="2" customWidth="1"/>
    <x:col min="4104" max="4104" width="2.7109375" style="2" customWidth="1"/>
    <x:col min="4105" max="4105" width="10.7109375" style="2" customWidth="1"/>
    <x:col min="4106" max="4106" width="2.7109375" style="2" customWidth="1"/>
    <x:col min="4107" max="4107" width="8.7109375" style="2" customWidth="1"/>
    <x:col min="4108" max="4108" width="10.7109375" style="2" customWidth="1"/>
    <x:col min="4109" max="4109" width="8.7109375" style="2" customWidth="1"/>
    <x:col min="4110" max="4110" width="2.7109375" style="2" customWidth="1"/>
    <x:col min="4111" max="4112" width="10.7109375" style="2" customWidth="1"/>
    <x:col min="4113" max="4113" width="8.7109375" style="2" customWidth="1"/>
    <x:col min="4114" max="4114" width="2.7109375" style="2" customWidth="1"/>
    <x:col min="4115" max="4115" width="9.140625" style="2"/>
    <x:col min="4116" max="4116" width="2.7109375" style="2" customWidth="1"/>
    <x:col min="4117" max="4353" width="9.140625" style="2"/>
    <x:col min="4354" max="4354" width="4.7109375" style="2" customWidth="1"/>
    <x:col min="4355" max="4355" width="8.7109375" style="2" customWidth="1"/>
    <x:col min="4356" max="4356" width="7.7109375" style="2" customWidth="1"/>
    <x:col min="4357" max="4357" width="8.7109375" style="2" customWidth="1"/>
    <x:col min="4358" max="4358" width="2.7109375" style="2" customWidth="1"/>
    <x:col min="4359" max="4359" width="8.7109375" style="2" customWidth="1"/>
    <x:col min="4360" max="4360" width="2.7109375" style="2" customWidth="1"/>
    <x:col min="4361" max="4361" width="10.7109375" style="2" customWidth="1"/>
    <x:col min="4362" max="4362" width="2.7109375" style="2" customWidth="1"/>
    <x:col min="4363" max="4363" width="8.7109375" style="2" customWidth="1"/>
    <x:col min="4364" max="4364" width="10.7109375" style="2" customWidth="1"/>
    <x:col min="4365" max="4365" width="8.7109375" style="2" customWidth="1"/>
    <x:col min="4366" max="4366" width="2.7109375" style="2" customWidth="1"/>
    <x:col min="4367" max="4368" width="10.7109375" style="2" customWidth="1"/>
    <x:col min="4369" max="4369" width="8.7109375" style="2" customWidth="1"/>
    <x:col min="4370" max="4370" width="2.7109375" style="2" customWidth="1"/>
    <x:col min="4371" max="4371" width="9.140625" style="2"/>
    <x:col min="4372" max="4372" width="2.7109375" style="2" customWidth="1"/>
    <x:col min="4373" max="4609" width="9.140625" style="2"/>
    <x:col min="4610" max="4610" width="4.7109375" style="2" customWidth="1"/>
    <x:col min="4611" max="4611" width="8.7109375" style="2" customWidth="1"/>
    <x:col min="4612" max="4612" width="7.7109375" style="2" customWidth="1"/>
    <x:col min="4613" max="4613" width="8.7109375" style="2" customWidth="1"/>
    <x:col min="4614" max="4614" width="2.7109375" style="2" customWidth="1"/>
    <x:col min="4615" max="4615" width="8.7109375" style="2" customWidth="1"/>
    <x:col min="4616" max="4616" width="2.7109375" style="2" customWidth="1"/>
    <x:col min="4617" max="4617" width="10.7109375" style="2" customWidth="1"/>
    <x:col min="4618" max="4618" width="2.7109375" style="2" customWidth="1"/>
    <x:col min="4619" max="4619" width="8.7109375" style="2" customWidth="1"/>
    <x:col min="4620" max="4620" width="10.7109375" style="2" customWidth="1"/>
    <x:col min="4621" max="4621" width="8.7109375" style="2" customWidth="1"/>
    <x:col min="4622" max="4622" width="2.7109375" style="2" customWidth="1"/>
    <x:col min="4623" max="4624" width="10.7109375" style="2" customWidth="1"/>
    <x:col min="4625" max="4625" width="8.7109375" style="2" customWidth="1"/>
    <x:col min="4626" max="4626" width="2.7109375" style="2" customWidth="1"/>
    <x:col min="4627" max="4627" width="9.140625" style="2"/>
    <x:col min="4628" max="4628" width="2.7109375" style="2" customWidth="1"/>
    <x:col min="4629" max="4865" width="9.140625" style="2"/>
    <x:col min="4866" max="4866" width="4.7109375" style="2" customWidth="1"/>
    <x:col min="4867" max="4867" width="8.7109375" style="2" customWidth="1"/>
    <x:col min="4868" max="4868" width="7.7109375" style="2" customWidth="1"/>
    <x:col min="4869" max="4869" width="8.7109375" style="2" customWidth="1"/>
    <x:col min="4870" max="4870" width="2.7109375" style="2" customWidth="1"/>
    <x:col min="4871" max="4871" width="8.7109375" style="2" customWidth="1"/>
    <x:col min="4872" max="4872" width="2.7109375" style="2" customWidth="1"/>
    <x:col min="4873" max="4873" width="10.7109375" style="2" customWidth="1"/>
    <x:col min="4874" max="4874" width="2.7109375" style="2" customWidth="1"/>
    <x:col min="4875" max="4875" width="8.7109375" style="2" customWidth="1"/>
    <x:col min="4876" max="4876" width="10.7109375" style="2" customWidth="1"/>
    <x:col min="4877" max="4877" width="8.7109375" style="2" customWidth="1"/>
    <x:col min="4878" max="4878" width="2.7109375" style="2" customWidth="1"/>
    <x:col min="4879" max="4880" width="10.7109375" style="2" customWidth="1"/>
    <x:col min="4881" max="4881" width="8.7109375" style="2" customWidth="1"/>
    <x:col min="4882" max="4882" width="2.7109375" style="2" customWidth="1"/>
    <x:col min="4883" max="4883" width="9.140625" style="2"/>
    <x:col min="4884" max="4884" width="2.7109375" style="2" customWidth="1"/>
    <x:col min="4885" max="5121" width="9.140625" style="2"/>
    <x:col min="5122" max="5122" width="4.7109375" style="2" customWidth="1"/>
    <x:col min="5123" max="5123" width="8.7109375" style="2" customWidth="1"/>
    <x:col min="5124" max="5124" width="7.7109375" style="2" customWidth="1"/>
    <x:col min="5125" max="5125" width="8.7109375" style="2" customWidth="1"/>
    <x:col min="5126" max="5126" width="2.7109375" style="2" customWidth="1"/>
    <x:col min="5127" max="5127" width="8.7109375" style="2" customWidth="1"/>
    <x:col min="5128" max="5128" width="2.7109375" style="2" customWidth="1"/>
    <x:col min="5129" max="5129" width="10.7109375" style="2" customWidth="1"/>
    <x:col min="5130" max="5130" width="2.7109375" style="2" customWidth="1"/>
    <x:col min="5131" max="5131" width="8.7109375" style="2" customWidth="1"/>
    <x:col min="5132" max="5132" width="10.7109375" style="2" customWidth="1"/>
    <x:col min="5133" max="5133" width="8.7109375" style="2" customWidth="1"/>
    <x:col min="5134" max="5134" width="2.7109375" style="2" customWidth="1"/>
    <x:col min="5135" max="5136" width="10.7109375" style="2" customWidth="1"/>
    <x:col min="5137" max="5137" width="8.7109375" style="2" customWidth="1"/>
    <x:col min="5138" max="5138" width="2.7109375" style="2" customWidth="1"/>
    <x:col min="5139" max="5139" width="9.140625" style="2"/>
    <x:col min="5140" max="5140" width="2.7109375" style="2" customWidth="1"/>
    <x:col min="5141" max="5377" width="9.140625" style="2"/>
    <x:col min="5378" max="5378" width="4.7109375" style="2" customWidth="1"/>
    <x:col min="5379" max="5379" width="8.7109375" style="2" customWidth="1"/>
    <x:col min="5380" max="5380" width="7.7109375" style="2" customWidth="1"/>
    <x:col min="5381" max="5381" width="8.7109375" style="2" customWidth="1"/>
    <x:col min="5382" max="5382" width="2.7109375" style="2" customWidth="1"/>
    <x:col min="5383" max="5383" width="8.7109375" style="2" customWidth="1"/>
    <x:col min="5384" max="5384" width="2.7109375" style="2" customWidth="1"/>
    <x:col min="5385" max="5385" width="10.7109375" style="2" customWidth="1"/>
    <x:col min="5386" max="5386" width="2.7109375" style="2" customWidth="1"/>
    <x:col min="5387" max="5387" width="8.7109375" style="2" customWidth="1"/>
    <x:col min="5388" max="5388" width="10.7109375" style="2" customWidth="1"/>
    <x:col min="5389" max="5389" width="8.7109375" style="2" customWidth="1"/>
    <x:col min="5390" max="5390" width="2.7109375" style="2" customWidth="1"/>
    <x:col min="5391" max="5392" width="10.7109375" style="2" customWidth="1"/>
    <x:col min="5393" max="5393" width="8.7109375" style="2" customWidth="1"/>
    <x:col min="5394" max="5394" width="2.7109375" style="2" customWidth="1"/>
    <x:col min="5395" max="5395" width="9.140625" style="2"/>
    <x:col min="5396" max="5396" width="2.7109375" style="2" customWidth="1"/>
    <x:col min="5397" max="5633" width="9.140625" style="2"/>
    <x:col min="5634" max="5634" width="4.7109375" style="2" customWidth="1"/>
    <x:col min="5635" max="5635" width="8.7109375" style="2" customWidth="1"/>
    <x:col min="5636" max="5636" width="7.7109375" style="2" customWidth="1"/>
    <x:col min="5637" max="5637" width="8.7109375" style="2" customWidth="1"/>
    <x:col min="5638" max="5638" width="2.7109375" style="2" customWidth="1"/>
    <x:col min="5639" max="5639" width="8.7109375" style="2" customWidth="1"/>
    <x:col min="5640" max="5640" width="2.7109375" style="2" customWidth="1"/>
    <x:col min="5641" max="5641" width="10.7109375" style="2" customWidth="1"/>
    <x:col min="5642" max="5642" width="2.7109375" style="2" customWidth="1"/>
    <x:col min="5643" max="5643" width="8.7109375" style="2" customWidth="1"/>
    <x:col min="5644" max="5644" width="10.7109375" style="2" customWidth="1"/>
    <x:col min="5645" max="5645" width="8.7109375" style="2" customWidth="1"/>
    <x:col min="5646" max="5646" width="2.7109375" style="2" customWidth="1"/>
    <x:col min="5647" max="5648" width="10.7109375" style="2" customWidth="1"/>
    <x:col min="5649" max="5649" width="8.7109375" style="2" customWidth="1"/>
    <x:col min="5650" max="5650" width="2.7109375" style="2" customWidth="1"/>
    <x:col min="5651" max="5651" width="9.140625" style="2"/>
    <x:col min="5652" max="5652" width="2.7109375" style="2" customWidth="1"/>
    <x:col min="5653" max="5889" width="9.140625" style="2"/>
    <x:col min="5890" max="5890" width="4.7109375" style="2" customWidth="1"/>
    <x:col min="5891" max="5891" width="8.7109375" style="2" customWidth="1"/>
    <x:col min="5892" max="5892" width="7.7109375" style="2" customWidth="1"/>
    <x:col min="5893" max="5893" width="8.7109375" style="2" customWidth="1"/>
    <x:col min="5894" max="5894" width="2.7109375" style="2" customWidth="1"/>
    <x:col min="5895" max="5895" width="8.7109375" style="2" customWidth="1"/>
    <x:col min="5896" max="5896" width="2.7109375" style="2" customWidth="1"/>
    <x:col min="5897" max="5897" width="10.7109375" style="2" customWidth="1"/>
    <x:col min="5898" max="5898" width="2.7109375" style="2" customWidth="1"/>
    <x:col min="5899" max="5899" width="8.7109375" style="2" customWidth="1"/>
    <x:col min="5900" max="5900" width="10.7109375" style="2" customWidth="1"/>
    <x:col min="5901" max="5901" width="8.7109375" style="2" customWidth="1"/>
    <x:col min="5902" max="5902" width="2.7109375" style="2" customWidth="1"/>
    <x:col min="5903" max="5904" width="10.7109375" style="2" customWidth="1"/>
    <x:col min="5905" max="5905" width="8.7109375" style="2" customWidth="1"/>
    <x:col min="5906" max="5906" width="2.7109375" style="2" customWidth="1"/>
    <x:col min="5907" max="5907" width="9.140625" style="2"/>
    <x:col min="5908" max="5908" width="2.7109375" style="2" customWidth="1"/>
    <x:col min="5909" max="6145" width="9.140625" style="2"/>
    <x:col min="6146" max="6146" width="4.7109375" style="2" customWidth="1"/>
    <x:col min="6147" max="6147" width="8.7109375" style="2" customWidth="1"/>
    <x:col min="6148" max="6148" width="7.7109375" style="2" customWidth="1"/>
    <x:col min="6149" max="6149" width="8.7109375" style="2" customWidth="1"/>
    <x:col min="6150" max="6150" width="2.7109375" style="2" customWidth="1"/>
    <x:col min="6151" max="6151" width="8.7109375" style="2" customWidth="1"/>
    <x:col min="6152" max="6152" width="2.7109375" style="2" customWidth="1"/>
    <x:col min="6153" max="6153" width="10.7109375" style="2" customWidth="1"/>
    <x:col min="6154" max="6154" width="2.7109375" style="2" customWidth="1"/>
    <x:col min="6155" max="6155" width="8.7109375" style="2" customWidth="1"/>
    <x:col min="6156" max="6156" width="10.7109375" style="2" customWidth="1"/>
    <x:col min="6157" max="6157" width="8.7109375" style="2" customWidth="1"/>
    <x:col min="6158" max="6158" width="2.7109375" style="2" customWidth="1"/>
    <x:col min="6159" max="6160" width="10.7109375" style="2" customWidth="1"/>
    <x:col min="6161" max="6161" width="8.7109375" style="2" customWidth="1"/>
    <x:col min="6162" max="6162" width="2.7109375" style="2" customWidth="1"/>
    <x:col min="6163" max="6163" width="9.140625" style="2"/>
    <x:col min="6164" max="6164" width="2.7109375" style="2" customWidth="1"/>
    <x:col min="6165" max="6401" width="9.140625" style="2"/>
    <x:col min="6402" max="6402" width="4.7109375" style="2" customWidth="1"/>
    <x:col min="6403" max="6403" width="8.7109375" style="2" customWidth="1"/>
    <x:col min="6404" max="6404" width="7.7109375" style="2" customWidth="1"/>
    <x:col min="6405" max="6405" width="8.7109375" style="2" customWidth="1"/>
    <x:col min="6406" max="6406" width="2.7109375" style="2" customWidth="1"/>
    <x:col min="6407" max="6407" width="8.7109375" style="2" customWidth="1"/>
    <x:col min="6408" max="6408" width="2.7109375" style="2" customWidth="1"/>
    <x:col min="6409" max="6409" width="10.7109375" style="2" customWidth="1"/>
    <x:col min="6410" max="6410" width="2.7109375" style="2" customWidth="1"/>
    <x:col min="6411" max="6411" width="8.7109375" style="2" customWidth="1"/>
    <x:col min="6412" max="6412" width="10.7109375" style="2" customWidth="1"/>
    <x:col min="6413" max="6413" width="8.7109375" style="2" customWidth="1"/>
    <x:col min="6414" max="6414" width="2.7109375" style="2" customWidth="1"/>
    <x:col min="6415" max="6416" width="10.7109375" style="2" customWidth="1"/>
    <x:col min="6417" max="6417" width="8.7109375" style="2" customWidth="1"/>
    <x:col min="6418" max="6418" width="2.7109375" style="2" customWidth="1"/>
    <x:col min="6419" max="6419" width="9.140625" style="2"/>
    <x:col min="6420" max="6420" width="2.7109375" style="2" customWidth="1"/>
    <x:col min="6421" max="6657" width="9.140625" style="2"/>
    <x:col min="6658" max="6658" width="4.7109375" style="2" customWidth="1"/>
    <x:col min="6659" max="6659" width="8.7109375" style="2" customWidth="1"/>
    <x:col min="6660" max="6660" width="7.7109375" style="2" customWidth="1"/>
    <x:col min="6661" max="6661" width="8.7109375" style="2" customWidth="1"/>
    <x:col min="6662" max="6662" width="2.7109375" style="2" customWidth="1"/>
    <x:col min="6663" max="6663" width="8.7109375" style="2" customWidth="1"/>
    <x:col min="6664" max="6664" width="2.7109375" style="2" customWidth="1"/>
    <x:col min="6665" max="6665" width="10.7109375" style="2" customWidth="1"/>
    <x:col min="6666" max="6666" width="2.7109375" style="2" customWidth="1"/>
    <x:col min="6667" max="6667" width="8.7109375" style="2" customWidth="1"/>
    <x:col min="6668" max="6668" width="10.7109375" style="2" customWidth="1"/>
    <x:col min="6669" max="6669" width="8.7109375" style="2" customWidth="1"/>
    <x:col min="6670" max="6670" width="2.7109375" style="2" customWidth="1"/>
    <x:col min="6671" max="6672" width="10.7109375" style="2" customWidth="1"/>
    <x:col min="6673" max="6673" width="8.7109375" style="2" customWidth="1"/>
    <x:col min="6674" max="6674" width="2.7109375" style="2" customWidth="1"/>
    <x:col min="6675" max="6675" width="9.140625" style="2"/>
    <x:col min="6676" max="6676" width="2.7109375" style="2" customWidth="1"/>
    <x:col min="6677" max="6913" width="9.140625" style="2"/>
    <x:col min="6914" max="6914" width="4.7109375" style="2" customWidth="1"/>
    <x:col min="6915" max="6915" width="8.7109375" style="2" customWidth="1"/>
    <x:col min="6916" max="6916" width="7.7109375" style="2" customWidth="1"/>
    <x:col min="6917" max="6917" width="8.7109375" style="2" customWidth="1"/>
    <x:col min="6918" max="6918" width="2.7109375" style="2" customWidth="1"/>
    <x:col min="6919" max="6919" width="8.7109375" style="2" customWidth="1"/>
    <x:col min="6920" max="6920" width="2.7109375" style="2" customWidth="1"/>
    <x:col min="6921" max="6921" width="10.7109375" style="2" customWidth="1"/>
    <x:col min="6922" max="6922" width="2.7109375" style="2" customWidth="1"/>
    <x:col min="6923" max="6923" width="8.7109375" style="2" customWidth="1"/>
    <x:col min="6924" max="6924" width="10.7109375" style="2" customWidth="1"/>
    <x:col min="6925" max="6925" width="8.7109375" style="2" customWidth="1"/>
    <x:col min="6926" max="6926" width="2.7109375" style="2" customWidth="1"/>
    <x:col min="6927" max="6928" width="10.7109375" style="2" customWidth="1"/>
    <x:col min="6929" max="6929" width="8.7109375" style="2" customWidth="1"/>
    <x:col min="6930" max="6930" width="2.7109375" style="2" customWidth="1"/>
    <x:col min="6931" max="6931" width="9.140625" style="2"/>
    <x:col min="6932" max="6932" width="2.7109375" style="2" customWidth="1"/>
    <x:col min="6933" max="7169" width="9.140625" style="2"/>
    <x:col min="7170" max="7170" width="4.7109375" style="2" customWidth="1"/>
    <x:col min="7171" max="7171" width="8.7109375" style="2" customWidth="1"/>
    <x:col min="7172" max="7172" width="7.7109375" style="2" customWidth="1"/>
    <x:col min="7173" max="7173" width="8.7109375" style="2" customWidth="1"/>
    <x:col min="7174" max="7174" width="2.7109375" style="2" customWidth="1"/>
    <x:col min="7175" max="7175" width="8.7109375" style="2" customWidth="1"/>
    <x:col min="7176" max="7176" width="2.7109375" style="2" customWidth="1"/>
    <x:col min="7177" max="7177" width="10.7109375" style="2" customWidth="1"/>
    <x:col min="7178" max="7178" width="2.7109375" style="2" customWidth="1"/>
    <x:col min="7179" max="7179" width="8.7109375" style="2" customWidth="1"/>
    <x:col min="7180" max="7180" width="10.7109375" style="2" customWidth="1"/>
    <x:col min="7181" max="7181" width="8.7109375" style="2" customWidth="1"/>
    <x:col min="7182" max="7182" width="2.7109375" style="2" customWidth="1"/>
    <x:col min="7183" max="7184" width="10.7109375" style="2" customWidth="1"/>
    <x:col min="7185" max="7185" width="8.7109375" style="2" customWidth="1"/>
    <x:col min="7186" max="7186" width="2.7109375" style="2" customWidth="1"/>
    <x:col min="7187" max="7187" width="9.140625" style="2"/>
    <x:col min="7188" max="7188" width="2.7109375" style="2" customWidth="1"/>
    <x:col min="7189" max="7425" width="9.140625" style="2"/>
    <x:col min="7426" max="7426" width="4.7109375" style="2" customWidth="1"/>
    <x:col min="7427" max="7427" width="8.7109375" style="2" customWidth="1"/>
    <x:col min="7428" max="7428" width="7.7109375" style="2" customWidth="1"/>
    <x:col min="7429" max="7429" width="8.7109375" style="2" customWidth="1"/>
    <x:col min="7430" max="7430" width="2.7109375" style="2" customWidth="1"/>
    <x:col min="7431" max="7431" width="8.7109375" style="2" customWidth="1"/>
    <x:col min="7432" max="7432" width="2.7109375" style="2" customWidth="1"/>
    <x:col min="7433" max="7433" width="10.7109375" style="2" customWidth="1"/>
    <x:col min="7434" max="7434" width="2.7109375" style="2" customWidth="1"/>
    <x:col min="7435" max="7435" width="8.7109375" style="2" customWidth="1"/>
    <x:col min="7436" max="7436" width="10.7109375" style="2" customWidth="1"/>
    <x:col min="7437" max="7437" width="8.7109375" style="2" customWidth="1"/>
    <x:col min="7438" max="7438" width="2.7109375" style="2" customWidth="1"/>
    <x:col min="7439" max="7440" width="10.7109375" style="2" customWidth="1"/>
    <x:col min="7441" max="7441" width="8.7109375" style="2" customWidth="1"/>
    <x:col min="7442" max="7442" width="2.7109375" style="2" customWidth="1"/>
    <x:col min="7443" max="7443" width="9.140625" style="2"/>
    <x:col min="7444" max="7444" width="2.7109375" style="2" customWidth="1"/>
    <x:col min="7445" max="7681" width="9.140625" style="2"/>
    <x:col min="7682" max="7682" width="4.7109375" style="2" customWidth="1"/>
    <x:col min="7683" max="7683" width="8.7109375" style="2" customWidth="1"/>
    <x:col min="7684" max="7684" width="7.7109375" style="2" customWidth="1"/>
    <x:col min="7685" max="7685" width="8.7109375" style="2" customWidth="1"/>
    <x:col min="7686" max="7686" width="2.7109375" style="2" customWidth="1"/>
    <x:col min="7687" max="7687" width="8.7109375" style="2" customWidth="1"/>
    <x:col min="7688" max="7688" width="2.7109375" style="2" customWidth="1"/>
    <x:col min="7689" max="7689" width="10.7109375" style="2" customWidth="1"/>
    <x:col min="7690" max="7690" width="2.7109375" style="2" customWidth="1"/>
    <x:col min="7691" max="7691" width="8.7109375" style="2" customWidth="1"/>
    <x:col min="7692" max="7692" width="10.7109375" style="2" customWidth="1"/>
    <x:col min="7693" max="7693" width="8.7109375" style="2" customWidth="1"/>
    <x:col min="7694" max="7694" width="2.7109375" style="2" customWidth="1"/>
    <x:col min="7695" max="7696" width="10.7109375" style="2" customWidth="1"/>
    <x:col min="7697" max="7697" width="8.7109375" style="2" customWidth="1"/>
    <x:col min="7698" max="7698" width="2.7109375" style="2" customWidth="1"/>
    <x:col min="7699" max="7699" width="9.140625" style="2"/>
    <x:col min="7700" max="7700" width="2.7109375" style="2" customWidth="1"/>
    <x:col min="7701" max="7937" width="9.140625" style="2"/>
    <x:col min="7938" max="7938" width="4.7109375" style="2" customWidth="1"/>
    <x:col min="7939" max="7939" width="8.7109375" style="2" customWidth="1"/>
    <x:col min="7940" max="7940" width="7.7109375" style="2" customWidth="1"/>
    <x:col min="7941" max="7941" width="8.7109375" style="2" customWidth="1"/>
    <x:col min="7942" max="7942" width="2.7109375" style="2" customWidth="1"/>
    <x:col min="7943" max="7943" width="8.7109375" style="2" customWidth="1"/>
    <x:col min="7944" max="7944" width="2.7109375" style="2" customWidth="1"/>
    <x:col min="7945" max="7945" width="10.7109375" style="2" customWidth="1"/>
    <x:col min="7946" max="7946" width="2.7109375" style="2" customWidth="1"/>
    <x:col min="7947" max="7947" width="8.7109375" style="2" customWidth="1"/>
    <x:col min="7948" max="7948" width="10.7109375" style="2" customWidth="1"/>
    <x:col min="7949" max="7949" width="8.7109375" style="2" customWidth="1"/>
    <x:col min="7950" max="7950" width="2.7109375" style="2" customWidth="1"/>
    <x:col min="7951" max="7952" width="10.7109375" style="2" customWidth="1"/>
    <x:col min="7953" max="7953" width="8.7109375" style="2" customWidth="1"/>
    <x:col min="7954" max="7954" width="2.7109375" style="2" customWidth="1"/>
    <x:col min="7955" max="7955" width="9.140625" style="2"/>
    <x:col min="7956" max="7956" width="2.7109375" style="2" customWidth="1"/>
    <x:col min="7957" max="8193" width="9.140625" style="2"/>
    <x:col min="8194" max="8194" width="4.7109375" style="2" customWidth="1"/>
    <x:col min="8195" max="8195" width="8.7109375" style="2" customWidth="1"/>
    <x:col min="8196" max="8196" width="7.7109375" style="2" customWidth="1"/>
    <x:col min="8197" max="8197" width="8.7109375" style="2" customWidth="1"/>
    <x:col min="8198" max="8198" width="2.7109375" style="2" customWidth="1"/>
    <x:col min="8199" max="8199" width="8.7109375" style="2" customWidth="1"/>
    <x:col min="8200" max="8200" width="2.7109375" style="2" customWidth="1"/>
    <x:col min="8201" max="8201" width="10.7109375" style="2" customWidth="1"/>
    <x:col min="8202" max="8202" width="2.7109375" style="2" customWidth="1"/>
    <x:col min="8203" max="8203" width="8.7109375" style="2" customWidth="1"/>
    <x:col min="8204" max="8204" width="10.7109375" style="2" customWidth="1"/>
    <x:col min="8205" max="8205" width="8.7109375" style="2" customWidth="1"/>
    <x:col min="8206" max="8206" width="2.7109375" style="2" customWidth="1"/>
    <x:col min="8207" max="8208" width="10.7109375" style="2" customWidth="1"/>
    <x:col min="8209" max="8209" width="8.7109375" style="2" customWidth="1"/>
    <x:col min="8210" max="8210" width="2.7109375" style="2" customWidth="1"/>
    <x:col min="8211" max="8211" width="9.140625" style="2"/>
    <x:col min="8212" max="8212" width="2.7109375" style="2" customWidth="1"/>
    <x:col min="8213" max="8449" width="9.140625" style="2"/>
    <x:col min="8450" max="8450" width="4.7109375" style="2" customWidth="1"/>
    <x:col min="8451" max="8451" width="8.7109375" style="2" customWidth="1"/>
    <x:col min="8452" max="8452" width="7.7109375" style="2" customWidth="1"/>
    <x:col min="8453" max="8453" width="8.7109375" style="2" customWidth="1"/>
    <x:col min="8454" max="8454" width="2.7109375" style="2" customWidth="1"/>
    <x:col min="8455" max="8455" width="8.7109375" style="2" customWidth="1"/>
    <x:col min="8456" max="8456" width="2.7109375" style="2" customWidth="1"/>
    <x:col min="8457" max="8457" width="10.7109375" style="2" customWidth="1"/>
    <x:col min="8458" max="8458" width="2.7109375" style="2" customWidth="1"/>
    <x:col min="8459" max="8459" width="8.7109375" style="2" customWidth="1"/>
    <x:col min="8460" max="8460" width="10.7109375" style="2" customWidth="1"/>
    <x:col min="8461" max="8461" width="8.7109375" style="2" customWidth="1"/>
    <x:col min="8462" max="8462" width="2.7109375" style="2" customWidth="1"/>
    <x:col min="8463" max="8464" width="10.7109375" style="2" customWidth="1"/>
    <x:col min="8465" max="8465" width="8.7109375" style="2" customWidth="1"/>
    <x:col min="8466" max="8466" width="2.7109375" style="2" customWidth="1"/>
    <x:col min="8467" max="8467" width="9.140625" style="2"/>
    <x:col min="8468" max="8468" width="2.7109375" style="2" customWidth="1"/>
    <x:col min="8469" max="8705" width="9.140625" style="2"/>
    <x:col min="8706" max="8706" width="4.7109375" style="2" customWidth="1"/>
    <x:col min="8707" max="8707" width="8.7109375" style="2" customWidth="1"/>
    <x:col min="8708" max="8708" width="7.7109375" style="2" customWidth="1"/>
    <x:col min="8709" max="8709" width="8.7109375" style="2" customWidth="1"/>
    <x:col min="8710" max="8710" width="2.7109375" style="2" customWidth="1"/>
    <x:col min="8711" max="8711" width="8.7109375" style="2" customWidth="1"/>
    <x:col min="8712" max="8712" width="2.7109375" style="2" customWidth="1"/>
    <x:col min="8713" max="8713" width="10.7109375" style="2" customWidth="1"/>
    <x:col min="8714" max="8714" width="2.7109375" style="2" customWidth="1"/>
    <x:col min="8715" max="8715" width="8.7109375" style="2" customWidth="1"/>
    <x:col min="8716" max="8716" width="10.7109375" style="2" customWidth="1"/>
    <x:col min="8717" max="8717" width="8.7109375" style="2" customWidth="1"/>
    <x:col min="8718" max="8718" width="2.7109375" style="2" customWidth="1"/>
    <x:col min="8719" max="8720" width="10.7109375" style="2" customWidth="1"/>
    <x:col min="8721" max="8721" width="8.7109375" style="2" customWidth="1"/>
    <x:col min="8722" max="8722" width="2.7109375" style="2" customWidth="1"/>
    <x:col min="8723" max="8723" width="9.140625" style="2"/>
    <x:col min="8724" max="8724" width="2.7109375" style="2" customWidth="1"/>
    <x:col min="8725" max="8961" width="9.140625" style="2"/>
    <x:col min="8962" max="8962" width="4.7109375" style="2" customWidth="1"/>
    <x:col min="8963" max="8963" width="8.7109375" style="2" customWidth="1"/>
    <x:col min="8964" max="8964" width="7.7109375" style="2" customWidth="1"/>
    <x:col min="8965" max="8965" width="8.7109375" style="2" customWidth="1"/>
    <x:col min="8966" max="8966" width="2.7109375" style="2" customWidth="1"/>
    <x:col min="8967" max="8967" width="8.7109375" style="2" customWidth="1"/>
    <x:col min="8968" max="8968" width="2.7109375" style="2" customWidth="1"/>
    <x:col min="8969" max="8969" width="10.7109375" style="2" customWidth="1"/>
    <x:col min="8970" max="8970" width="2.7109375" style="2" customWidth="1"/>
    <x:col min="8971" max="8971" width="8.7109375" style="2" customWidth="1"/>
    <x:col min="8972" max="8972" width="10.7109375" style="2" customWidth="1"/>
    <x:col min="8973" max="8973" width="8.7109375" style="2" customWidth="1"/>
    <x:col min="8974" max="8974" width="2.7109375" style="2" customWidth="1"/>
    <x:col min="8975" max="8976" width="10.7109375" style="2" customWidth="1"/>
    <x:col min="8977" max="8977" width="8.7109375" style="2" customWidth="1"/>
    <x:col min="8978" max="8978" width="2.7109375" style="2" customWidth="1"/>
    <x:col min="8979" max="8979" width="9.140625" style="2"/>
    <x:col min="8980" max="8980" width="2.7109375" style="2" customWidth="1"/>
    <x:col min="8981" max="9217" width="9.140625" style="2"/>
    <x:col min="9218" max="9218" width="4.7109375" style="2" customWidth="1"/>
    <x:col min="9219" max="9219" width="8.7109375" style="2" customWidth="1"/>
    <x:col min="9220" max="9220" width="7.7109375" style="2" customWidth="1"/>
    <x:col min="9221" max="9221" width="8.7109375" style="2" customWidth="1"/>
    <x:col min="9222" max="9222" width="2.7109375" style="2" customWidth="1"/>
    <x:col min="9223" max="9223" width="8.7109375" style="2" customWidth="1"/>
    <x:col min="9224" max="9224" width="2.7109375" style="2" customWidth="1"/>
    <x:col min="9225" max="9225" width="10.7109375" style="2" customWidth="1"/>
    <x:col min="9226" max="9226" width="2.7109375" style="2" customWidth="1"/>
    <x:col min="9227" max="9227" width="8.7109375" style="2" customWidth="1"/>
    <x:col min="9228" max="9228" width="10.7109375" style="2" customWidth="1"/>
    <x:col min="9229" max="9229" width="8.7109375" style="2" customWidth="1"/>
    <x:col min="9230" max="9230" width="2.7109375" style="2" customWidth="1"/>
    <x:col min="9231" max="9232" width="10.7109375" style="2" customWidth="1"/>
    <x:col min="9233" max="9233" width="8.7109375" style="2" customWidth="1"/>
    <x:col min="9234" max="9234" width="2.7109375" style="2" customWidth="1"/>
    <x:col min="9235" max="9235" width="9.140625" style="2"/>
    <x:col min="9236" max="9236" width="2.7109375" style="2" customWidth="1"/>
    <x:col min="9237" max="9473" width="9.140625" style="2"/>
    <x:col min="9474" max="9474" width="4.7109375" style="2" customWidth="1"/>
    <x:col min="9475" max="9475" width="8.7109375" style="2" customWidth="1"/>
    <x:col min="9476" max="9476" width="7.7109375" style="2" customWidth="1"/>
    <x:col min="9477" max="9477" width="8.7109375" style="2" customWidth="1"/>
    <x:col min="9478" max="9478" width="2.7109375" style="2" customWidth="1"/>
    <x:col min="9479" max="9479" width="8.7109375" style="2" customWidth="1"/>
    <x:col min="9480" max="9480" width="2.7109375" style="2" customWidth="1"/>
    <x:col min="9481" max="9481" width="10.7109375" style="2" customWidth="1"/>
    <x:col min="9482" max="9482" width="2.7109375" style="2" customWidth="1"/>
    <x:col min="9483" max="9483" width="8.7109375" style="2" customWidth="1"/>
    <x:col min="9484" max="9484" width="10.7109375" style="2" customWidth="1"/>
    <x:col min="9485" max="9485" width="8.7109375" style="2" customWidth="1"/>
    <x:col min="9486" max="9486" width="2.7109375" style="2" customWidth="1"/>
    <x:col min="9487" max="9488" width="10.7109375" style="2" customWidth="1"/>
    <x:col min="9489" max="9489" width="8.7109375" style="2" customWidth="1"/>
    <x:col min="9490" max="9490" width="2.7109375" style="2" customWidth="1"/>
    <x:col min="9491" max="9491" width="9.140625" style="2"/>
    <x:col min="9492" max="9492" width="2.7109375" style="2" customWidth="1"/>
    <x:col min="9493" max="9729" width="9.140625" style="2"/>
    <x:col min="9730" max="9730" width="4.7109375" style="2" customWidth="1"/>
    <x:col min="9731" max="9731" width="8.7109375" style="2" customWidth="1"/>
    <x:col min="9732" max="9732" width="7.7109375" style="2" customWidth="1"/>
    <x:col min="9733" max="9733" width="8.7109375" style="2" customWidth="1"/>
    <x:col min="9734" max="9734" width="2.7109375" style="2" customWidth="1"/>
    <x:col min="9735" max="9735" width="8.7109375" style="2" customWidth="1"/>
    <x:col min="9736" max="9736" width="2.7109375" style="2" customWidth="1"/>
    <x:col min="9737" max="9737" width="10.7109375" style="2" customWidth="1"/>
    <x:col min="9738" max="9738" width="2.7109375" style="2" customWidth="1"/>
    <x:col min="9739" max="9739" width="8.7109375" style="2" customWidth="1"/>
    <x:col min="9740" max="9740" width="10.7109375" style="2" customWidth="1"/>
    <x:col min="9741" max="9741" width="8.7109375" style="2" customWidth="1"/>
    <x:col min="9742" max="9742" width="2.7109375" style="2" customWidth="1"/>
    <x:col min="9743" max="9744" width="10.7109375" style="2" customWidth="1"/>
    <x:col min="9745" max="9745" width="8.7109375" style="2" customWidth="1"/>
    <x:col min="9746" max="9746" width="2.7109375" style="2" customWidth="1"/>
    <x:col min="9747" max="9747" width="9.140625" style="2"/>
    <x:col min="9748" max="9748" width="2.7109375" style="2" customWidth="1"/>
    <x:col min="9749" max="9985" width="9.140625" style="2"/>
    <x:col min="9986" max="9986" width="4.7109375" style="2" customWidth="1"/>
    <x:col min="9987" max="9987" width="8.7109375" style="2" customWidth="1"/>
    <x:col min="9988" max="9988" width="7.7109375" style="2" customWidth="1"/>
    <x:col min="9989" max="9989" width="8.7109375" style="2" customWidth="1"/>
    <x:col min="9990" max="9990" width="2.7109375" style="2" customWidth="1"/>
    <x:col min="9991" max="9991" width="8.7109375" style="2" customWidth="1"/>
    <x:col min="9992" max="9992" width="2.7109375" style="2" customWidth="1"/>
    <x:col min="9993" max="9993" width="10.7109375" style="2" customWidth="1"/>
    <x:col min="9994" max="9994" width="2.7109375" style="2" customWidth="1"/>
    <x:col min="9995" max="9995" width="8.7109375" style="2" customWidth="1"/>
    <x:col min="9996" max="9996" width="10.7109375" style="2" customWidth="1"/>
    <x:col min="9997" max="9997" width="8.7109375" style="2" customWidth="1"/>
    <x:col min="9998" max="9998" width="2.7109375" style="2" customWidth="1"/>
    <x:col min="9999" max="10000" width="10.7109375" style="2" customWidth="1"/>
    <x:col min="10001" max="10001" width="8.7109375" style="2" customWidth="1"/>
    <x:col min="10002" max="10002" width="2.7109375" style="2" customWidth="1"/>
    <x:col min="10003" max="10003" width="9.140625" style="2"/>
    <x:col min="10004" max="10004" width="2.7109375" style="2" customWidth="1"/>
    <x:col min="10005" max="10241" width="9.140625" style="2"/>
    <x:col min="10242" max="10242" width="4.7109375" style="2" customWidth="1"/>
    <x:col min="10243" max="10243" width="8.7109375" style="2" customWidth="1"/>
    <x:col min="10244" max="10244" width="7.7109375" style="2" customWidth="1"/>
    <x:col min="10245" max="10245" width="8.7109375" style="2" customWidth="1"/>
    <x:col min="10246" max="10246" width="2.7109375" style="2" customWidth="1"/>
    <x:col min="10247" max="10247" width="8.7109375" style="2" customWidth="1"/>
    <x:col min="10248" max="10248" width="2.7109375" style="2" customWidth="1"/>
    <x:col min="10249" max="10249" width="10.7109375" style="2" customWidth="1"/>
    <x:col min="10250" max="10250" width="2.7109375" style="2" customWidth="1"/>
    <x:col min="10251" max="10251" width="8.7109375" style="2" customWidth="1"/>
    <x:col min="10252" max="10252" width="10.7109375" style="2" customWidth="1"/>
    <x:col min="10253" max="10253" width="8.7109375" style="2" customWidth="1"/>
    <x:col min="10254" max="10254" width="2.7109375" style="2" customWidth="1"/>
    <x:col min="10255" max="10256" width="10.7109375" style="2" customWidth="1"/>
    <x:col min="10257" max="10257" width="8.7109375" style="2" customWidth="1"/>
    <x:col min="10258" max="10258" width="2.7109375" style="2" customWidth="1"/>
    <x:col min="10259" max="10259" width="9.140625" style="2"/>
    <x:col min="10260" max="10260" width="2.7109375" style="2" customWidth="1"/>
    <x:col min="10261" max="10497" width="9.140625" style="2"/>
    <x:col min="10498" max="10498" width="4.7109375" style="2" customWidth="1"/>
    <x:col min="10499" max="10499" width="8.7109375" style="2" customWidth="1"/>
    <x:col min="10500" max="10500" width="7.7109375" style="2" customWidth="1"/>
    <x:col min="10501" max="10501" width="8.7109375" style="2" customWidth="1"/>
    <x:col min="10502" max="10502" width="2.7109375" style="2" customWidth="1"/>
    <x:col min="10503" max="10503" width="8.7109375" style="2" customWidth="1"/>
    <x:col min="10504" max="10504" width="2.7109375" style="2" customWidth="1"/>
    <x:col min="10505" max="10505" width="10.7109375" style="2" customWidth="1"/>
    <x:col min="10506" max="10506" width="2.7109375" style="2" customWidth="1"/>
    <x:col min="10507" max="10507" width="8.7109375" style="2" customWidth="1"/>
    <x:col min="10508" max="10508" width="10.7109375" style="2" customWidth="1"/>
    <x:col min="10509" max="10509" width="8.7109375" style="2" customWidth="1"/>
    <x:col min="10510" max="10510" width="2.7109375" style="2" customWidth="1"/>
    <x:col min="10511" max="10512" width="10.7109375" style="2" customWidth="1"/>
    <x:col min="10513" max="10513" width="8.7109375" style="2" customWidth="1"/>
    <x:col min="10514" max="10514" width="2.7109375" style="2" customWidth="1"/>
    <x:col min="10515" max="10515" width="9.140625" style="2"/>
    <x:col min="10516" max="10516" width="2.7109375" style="2" customWidth="1"/>
    <x:col min="10517" max="10753" width="9.140625" style="2"/>
    <x:col min="10754" max="10754" width="4.7109375" style="2" customWidth="1"/>
    <x:col min="10755" max="10755" width="8.7109375" style="2" customWidth="1"/>
    <x:col min="10756" max="10756" width="7.7109375" style="2" customWidth="1"/>
    <x:col min="10757" max="10757" width="8.7109375" style="2" customWidth="1"/>
    <x:col min="10758" max="10758" width="2.7109375" style="2" customWidth="1"/>
    <x:col min="10759" max="10759" width="8.7109375" style="2" customWidth="1"/>
    <x:col min="10760" max="10760" width="2.7109375" style="2" customWidth="1"/>
    <x:col min="10761" max="10761" width="10.7109375" style="2" customWidth="1"/>
    <x:col min="10762" max="10762" width="2.7109375" style="2" customWidth="1"/>
    <x:col min="10763" max="10763" width="8.7109375" style="2" customWidth="1"/>
    <x:col min="10764" max="10764" width="10.7109375" style="2" customWidth="1"/>
    <x:col min="10765" max="10765" width="8.7109375" style="2" customWidth="1"/>
    <x:col min="10766" max="10766" width="2.7109375" style="2" customWidth="1"/>
    <x:col min="10767" max="10768" width="10.7109375" style="2" customWidth="1"/>
    <x:col min="10769" max="10769" width="8.7109375" style="2" customWidth="1"/>
    <x:col min="10770" max="10770" width="2.7109375" style="2" customWidth="1"/>
    <x:col min="10771" max="10771" width="9.140625" style="2"/>
    <x:col min="10772" max="10772" width="2.7109375" style="2" customWidth="1"/>
    <x:col min="10773" max="11009" width="9.140625" style="2"/>
    <x:col min="11010" max="11010" width="4.7109375" style="2" customWidth="1"/>
    <x:col min="11011" max="11011" width="8.7109375" style="2" customWidth="1"/>
    <x:col min="11012" max="11012" width="7.7109375" style="2" customWidth="1"/>
    <x:col min="11013" max="11013" width="8.7109375" style="2" customWidth="1"/>
    <x:col min="11014" max="11014" width="2.7109375" style="2" customWidth="1"/>
    <x:col min="11015" max="11015" width="8.7109375" style="2" customWidth="1"/>
    <x:col min="11016" max="11016" width="2.7109375" style="2" customWidth="1"/>
    <x:col min="11017" max="11017" width="10.7109375" style="2" customWidth="1"/>
    <x:col min="11018" max="11018" width="2.7109375" style="2" customWidth="1"/>
    <x:col min="11019" max="11019" width="8.7109375" style="2" customWidth="1"/>
    <x:col min="11020" max="11020" width="10.7109375" style="2" customWidth="1"/>
    <x:col min="11021" max="11021" width="8.7109375" style="2" customWidth="1"/>
    <x:col min="11022" max="11022" width="2.7109375" style="2" customWidth="1"/>
    <x:col min="11023" max="11024" width="10.7109375" style="2" customWidth="1"/>
    <x:col min="11025" max="11025" width="8.7109375" style="2" customWidth="1"/>
    <x:col min="11026" max="11026" width="2.7109375" style="2" customWidth="1"/>
    <x:col min="11027" max="11027" width="9.140625" style="2"/>
    <x:col min="11028" max="11028" width="2.7109375" style="2" customWidth="1"/>
    <x:col min="11029" max="11265" width="9.140625" style="2"/>
    <x:col min="11266" max="11266" width="4.7109375" style="2" customWidth="1"/>
    <x:col min="11267" max="11267" width="8.7109375" style="2" customWidth="1"/>
    <x:col min="11268" max="11268" width="7.7109375" style="2" customWidth="1"/>
    <x:col min="11269" max="11269" width="8.7109375" style="2" customWidth="1"/>
    <x:col min="11270" max="11270" width="2.7109375" style="2" customWidth="1"/>
    <x:col min="11271" max="11271" width="8.7109375" style="2" customWidth="1"/>
    <x:col min="11272" max="11272" width="2.7109375" style="2" customWidth="1"/>
    <x:col min="11273" max="11273" width="10.7109375" style="2" customWidth="1"/>
    <x:col min="11274" max="11274" width="2.7109375" style="2" customWidth="1"/>
    <x:col min="11275" max="11275" width="8.7109375" style="2" customWidth="1"/>
    <x:col min="11276" max="11276" width="10.7109375" style="2" customWidth="1"/>
    <x:col min="11277" max="11277" width="8.7109375" style="2" customWidth="1"/>
    <x:col min="11278" max="11278" width="2.7109375" style="2" customWidth="1"/>
    <x:col min="11279" max="11280" width="10.7109375" style="2" customWidth="1"/>
    <x:col min="11281" max="11281" width="8.7109375" style="2" customWidth="1"/>
    <x:col min="11282" max="11282" width="2.7109375" style="2" customWidth="1"/>
    <x:col min="11283" max="11283" width="9.140625" style="2"/>
    <x:col min="11284" max="11284" width="2.7109375" style="2" customWidth="1"/>
    <x:col min="11285" max="11521" width="9.140625" style="2"/>
    <x:col min="11522" max="11522" width="4.7109375" style="2" customWidth="1"/>
    <x:col min="11523" max="11523" width="8.7109375" style="2" customWidth="1"/>
    <x:col min="11524" max="11524" width="7.7109375" style="2" customWidth="1"/>
    <x:col min="11525" max="11525" width="8.7109375" style="2" customWidth="1"/>
    <x:col min="11526" max="11526" width="2.7109375" style="2" customWidth="1"/>
    <x:col min="11527" max="11527" width="8.7109375" style="2" customWidth="1"/>
    <x:col min="11528" max="11528" width="2.7109375" style="2" customWidth="1"/>
    <x:col min="11529" max="11529" width="10.7109375" style="2" customWidth="1"/>
    <x:col min="11530" max="11530" width="2.7109375" style="2" customWidth="1"/>
    <x:col min="11531" max="11531" width="8.7109375" style="2" customWidth="1"/>
    <x:col min="11532" max="11532" width="10.7109375" style="2" customWidth="1"/>
    <x:col min="11533" max="11533" width="8.7109375" style="2" customWidth="1"/>
    <x:col min="11534" max="11534" width="2.7109375" style="2" customWidth="1"/>
    <x:col min="11535" max="11536" width="10.7109375" style="2" customWidth="1"/>
    <x:col min="11537" max="11537" width="8.7109375" style="2" customWidth="1"/>
    <x:col min="11538" max="11538" width="2.7109375" style="2" customWidth="1"/>
    <x:col min="11539" max="11539" width="9.140625" style="2"/>
    <x:col min="11540" max="11540" width="2.7109375" style="2" customWidth="1"/>
    <x:col min="11541" max="11777" width="9.140625" style="2"/>
    <x:col min="11778" max="11778" width="4.7109375" style="2" customWidth="1"/>
    <x:col min="11779" max="11779" width="8.7109375" style="2" customWidth="1"/>
    <x:col min="11780" max="11780" width="7.7109375" style="2" customWidth="1"/>
    <x:col min="11781" max="11781" width="8.7109375" style="2" customWidth="1"/>
    <x:col min="11782" max="11782" width="2.7109375" style="2" customWidth="1"/>
    <x:col min="11783" max="11783" width="8.7109375" style="2" customWidth="1"/>
    <x:col min="11784" max="11784" width="2.7109375" style="2" customWidth="1"/>
    <x:col min="11785" max="11785" width="10.7109375" style="2" customWidth="1"/>
    <x:col min="11786" max="11786" width="2.7109375" style="2" customWidth="1"/>
    <x:col min="11787" max="11787" width="8.7109375" style="2" customWidth="1"/>
    <x:col min="11788" max="11788" width="10.7109375" style="2" customWidth="1"/>
    <x:col min="11789" max="11789" width="8.7109375" style="2" customWidth="1"/>
    <x:col min="11790" max="11790" width="2.7109375" style="2" customWidth="1"/>
    <x:col min="11791" max="11792" width="10.7109375" style="2" customWidth="1"/>
    <x:col min="11793" max="11793" width="8.7109375" style="2" customWidth="1"/>
    <x:col min="11794" max="11794" width="2.7109375" style="2" customWidth="1"/>
    <x:col min="11795" max="11795" width="9.140625" style="2"/>
    <x:col min="11796" max="11796" width="2.7109375" style="2" customWidth="1"/>
    <x:col min="11797" max="12033" width="9.140625" style="2"/>
    <x:col min="12034" max="12034" width="4.7109375" style="2" customWidth="1"/>
    <x:col min="12035" max="12035" width="8.7109375" style="2" customWidth="1"/>
    <x:col min="12036" max="12036" width="7.7109375" style="2" customWidth="1"/>
    <x:col min="12037" max="12037" width="8.7109375" style="2" customWidth="1"/>
    <x:col min="12038" max="12038" width="2.7109375" style="2" customWidth="1"/>
    <x:col min="12039" max="12039" width="8.7109375" style="2" customWidth="1"/>
    <x:col min="12040" max="12040" width="2.7109375" style="2" customWidth="1"/>
    <x:col min="12041" max="12041" width="10.7109375" style="2" customWidth="1"/>
    <x:col min="12042" max="12042" width="2.7109375" style="2" customWidth="1"/>
    <x:col min="12043" max="12043" width="8.7109375" style="2" customWidth="1"/>
    <x:col min="12044" max="12044" width="10.7109375" style="2" customWidth="1"/>
    <x:col min="12045" max="12045" width="8.7109375" style="2" customWidth="1"/>
    <x:col min="12046" max="12046" width="2.7109375" style="2" customWidth="1"/>
    <x:col min="12047" max="12048" width="10.7109375" style="2" customWidth="1"/>
    <x:col min="12049" max="12049" width="8.7109375" style="2" customWidth="1"/>
    <x:col min="12050" max="12050" width="2.7109375" style="2" customWidth="1"/>
    <x:col min="12051" max="12051" width="9.140625" style="2"/>
    <x:col min="12052" max="12052" width="2.7109375" style="2" customWidth="1"/>
    <x:col min="12053" max="12289" width="9.140625" style="2"/>
    <x:col min="12290" max="12290" width="4.7109375" style="2" customWidth="1"/>
    <x:col min="12291" max="12291" width="8.7109375" style="2" customWidth="1"/>
    <x:col min="12292" max="12292" width="7.7109375" style="2" customWidth="1"/>
    <x:col min="12293" max="12293" width="8.7109375" style="2" customWidth="1"/>
    <x:col min="12294" max="12294" width="2.7109375" style="2" customWidth="1"/>
    <x:col min="12295" max="12295" width="8.7109375" style="2" customWidth="1"/>
    <x:col min="12296" max="12296" width="2.7109375" style="2" customWidth="1"/>
    <x:col min="12297" max="12297" width="10.7109375" style="2" customWidth="1"/>
    <x:col min="12298" max="12298" width="2.7109375" style="2" customWidth="1"/>
    <x:col min="12299" max="12299" width="8.7109375" style="2" customWidth="1"/>
    <x:col min="12300" max="12300" width="10.7109375" style="2" customWidth="1"/>
    <x:col min="12301" max="12301" width="8.7109375" style="2" customWidth="1"/>
    <x:col min="12302" max="12302" width="2.7109375" style="2" customWidth="1"/>
    <x:col min="12303" max="12304" width="10.7109375" style="2" customWidth="1"/>
    <x:col min="12305" max="12305" width="8.7109375" style="2" customWidth="1"/>
    <x:col min="12306" max="12306" width="2.7109375" style="2" customWidth="1"/>
    <x:col min="12307" max="12307" width="9.140625" style="2"/>
    <x:col min="12308" max="12308" width="2.7109375" style="2" customWidth="1"/>
    <x:col min="12309" max="12545" width="9.140625" style="2"/>
    <x:col min="12546" max="12546" width="4.7109375" style="2" customWidth="1"/>
    <x:col min="12547" max="12547" width="8.7109375" style="2" customWidth="1"/>
    <x:col min="12548" max="12548" width="7.7109375" style="2" customWidth="1"/>
    <x:col min="12549" max="12549" width="8.7109375" style="2" customWidth="1"/>
    <x:col min="12550" max="12550" width="2.7109375" style="2" customWidth="1"/>
    <x:col min="12551" max="12551" width="8.7109375" style="2" customWidth="1"/>
    <x:col min="12552" max="12552" width="2.7109375" style="2" customWidth="1"/>
    <x:col min="12553" max="12553" width="10.7109375" style="2" customWidth="1"/>
    <x:col min="12554" max="12554" width="2.7109375" style="2" customWidth="1"/>
    <x:col min="12555" max="12555" width="8.7109375" style="2" customWidth="1"/>
    <x:col min="12556" max="12556" width="10.7109375" style="2" customWidth="1"/>
    <x:col min="12557" max="12557" width="8.7109375" style="2" customWidth="1"/>
    <x:col min="12558" max="12558" width="2.7109375" style="2" customWidth="1"/>
    <x:col min="12559" max="12560" width="10.7109375" style="2" customWidth="1"/>
    <x:col min="12561" max="12561" width="8.7109375" style="2" customWidth="1"/>
    <x:col min="12562" max="12562" width="2.7109375" style="2" customWidth="1"/>
    <x:col min="12563" max="12563" width="9.140625" style="2"/>
    <x:col min="12564" max="12564" width="2.7109375" style="2" customWidth="1"/>
    <x:col min="12565" max="12801" width="9.140625" style="2"/>
    <x:col min="12802" max="12802" width="4.7109375" style="2" customWidth="1"/>
    <x:col min="12803" max="12803" width="8.7109375" style="2" customWidth="1"/>
    <x:col min="12804" max="12804" width="7.7109375" style="2" customWidth="1"/>
    <x:col min="12805" max="12805" width="8.7109375" style="2" customWidth="1"/>
    <x:col min="12806" max="12806" width="2.7109375" style="2" customWidth="1"/>
    <x:col min="12807" max="12807" width="8.7109375" style="2" customWidth="1"/>
    <x:col min="12808" max="12808" width="2.7109375" style="2" customWidth="1"/>
    <x:col min="12809" max="12809" width="10.7109375" style="2" customWidth="1"/>
    <x:col min="12810" max="12810" width="2.7109375" style="2" customWidth="1"/>
    <x:col min="12811" max="12811" width="8.7109375" style="2" customWidth="1"/>
    <x:col min="12812" max="12812" width="10.7109375" style="2" customWidth="1"/>
    <x:col min="12813" max="12813" width="8.7109375" style="2" customWidth="1"/>
    <x:col min="12814" max="12814" width="2.7109375" style="2" customWidth="1"/>
    <x:col min="12815" max="12816" width="10.7109375" style="2" customWidth="1"/>
    <x:col min="12817" max="12817" width="8.7109375" style="2" customWidth="1"/>
    <x:col min="12818" max="12818" width="2.7109375" style="2" customWidth="1"/>
    <x:col min="12819" max="12819" width="9.140625" style="2"/>
    <x:col min="12820" max="12820" width="2.7109375" style="2" customWidth="1"/>
    <x:col min="12821" max="13057" width="9.140625" style="2"/>
    <x:col min="13058" max="13058" width="4.7109375" style="2" customWidth="1"/>
    <x:col min="13059" max="13059" width="8.7109375" style="2" customWidth="1"/>
    <x:col min="13060" max="13060" width="7.7109375" style="2" customWidth="1"/>
    <x:col min="13061" max="13061" width="8.7109375" style="2" customWidth="1"/>
    <x:col min="13062" max="13062" width="2.7109375" style="2" customWidth="1"/>
    <x:col min="13063" max="13063" width="8.7109375" style="2" customWidth="1"/>
    <x:col min="13064" max="13064" width="2.7109375" style="2" customWidth="1"/>
    <x:col min="13065" max="13065" width="10.7109375" style="2" customWidth="1"/>
    <x:col min="13066" max="13066" width="2.7109375" style="2" customWidth="1"/>
    <x:col min="13067" max="13067" width="8.7109375" style="2" customWidth="1"/>
    <x:col min="13068" max="13068" width="10.7109375" style="2" customWidth="1"/>
    <x:col min="13069" max="13069" width="8.7109375" style="2" customWidth="1"/>
    <x:col min="13070" max="13070" width="2.7109375" style="2" customWidth="1"/>
    <x:col min="13071" max="13072" width="10.7109375" style="2" customWidth="1"/>
    <x:col min="13073" max="13073" width="8.7109375" style="2" customWidth="1"/>
    <x:col min="13074" max="13074" width="2.7109375" style="2" customWidth="1"/>
    <x:col min="13075" max="13075" width="9.140625" style="2"/>
    <x:col min="13076" max="13076" width="2.7109375" style="2" customWidth="1"/>
    <x:col min="13077" max="13313" width="9.140625" style="2"/>
    <x:col min="13314" max="13314" width="4.7109375" style="2" customWidth="1"/>
    <x:col min="13315" max="13315" width="8.7109375" style="2" customWidth="1"/>
    <x:col min="13316" max="13316" width="7.7109375" style="2" customWidth="1"/>
    <x:col min="13317" max="13317" width="8.7109375" style="2" customWidth="1"/>
    <x:col min="13318" max="13318" width="2.7109375" style="2" customWidth="1"/>
    <x:col min="13319" max="13319" width="8.7109375" style="2" customWidth="1"/>
    <x:col min="13320" max="13320" width="2.7109375" style="2" customWidth="1"/>
    <x:col min="13321" max="13321" width="10.7109375" style="2" customWidth="1"/>
    <x:col min="13322" max="13322" width="2.7109375" style="2" customWidth="1"/>
    <x:col min="13323" max="13323" width="8.7109375" style="2" customWidth="1"/>
    <x:col min="13324" max="13324" width="10.7109375" style="2" customWidth="1"/>
    <x:col min="13325" max="13325" width="8.7109375" style="2" customWidth="1"/>
    <x:col min="13326" max="13326" width="2.7109375" style="2" customWidth="1"/>
    <x:col min="13327" max="13328" width="10.7109375" style="2" customWidth="1"/>
    <x:col min="13329" max="13329" width="8.7109375" style="2" customWidth="1"/>
    <x:col min="13330" max="13330" width="2.7109375" style="2" customWidth="1"/>
    <x:col min="13331" max="13331" width="9.140625" style="2"/>
    <x:col min="13332" max="13332" width="2.7109375" style="2" customWidth="1"/>
    <x:col min="13333" max="13569" width="9.140625" style="2"/>
    <x:col min="13570" max="13570" width="4.7109375" style="2" customWidth="1"/>
    <x:col min="13571" max="13571" width="8.7109375" style="2" customWidth="1"/>
    <x:col min="13572" max="13572" width="7.7109375" style="2" customWidth="1"/>
    <x:col min="13573" max="13573" width="8.7109375" style="2" customWidth="1"/>
    <x:col min="13574" max="13574" width="2.7109375" style="2" customWidth="1"/>
    <x:col min="13575" max="13575" width="8.7109375" style="2" customWidth="1"/>
    <x:col min="13576" max="13576" width="2.7109375" style="2" customWidth="1"/>
    <x:col min="13577" max="13577" width="10.7109375" style="2" customWidth="1"/>
    <x:col min="13578" max="13578" width="2.7109375" style="2" customWidth="1"/>
    <x:col min="13579" max="13579" width="8.7109375" style="2" customWidth="1"/>
    <x:col min="13580" max="13580" width="10.7109375" style="2" customWidth="1"/>
    <x:col min="13581" max="13581" width="8.7109375" style="2" customWidth="1"/>
    <x:col min="13582" max="13582" width="2.7109375" style="2" customWidth="1"/>
    <x:col min="13583" max="13584" width="10.7109375" style="2" customWidth="1"/>
    <x:col min="13585" max="13585" width="8.7109375" style="2" customWidth="1"/>
    <x:col min="13586" max="13586" width="2.7109375" style="2" customWidth="1"/>
    <x:col min="13587" max="13587" width="9.140625" style="2"/>
    <x:col min="13588" max="13588" width="2.7109375" style="2" customWidth="1"/>
    <x:col min="13589" max="13825" width="9.140625" style="2"/>
    <x:col min="13826" max="13826" width="4.7109375" style="2" customWidth="1"/>
    <x:col min="13827" max="13827" width="8.7109375" style="2" customWidth="1"/>
    <x:col min="13828" max="13828" width="7.7109375" style="2" customWidth="1"/>
    <x:col min="13829" max="13829" width="8.7109375" style="2" customWidth="1"/>
    <x:col min="13830" max="13830" width="2.7109375" style="2" customWidth="1"/>
    <x:col min="13831" max="13831" width="8.7109375" style="2" customWidth="1"/>
    <x:col min="13832" max="13832" width="2.7109375" style="2" customWidth="1"/>
    <x:col min="13833" max="13833" width="10.7109375" style="2" customWidth="1"/>
    <x:col min="13834" max="13834" width="2.7109375" style="2" customWidth="1"/>
    <x:col min="13835" max="13835" width="8.7109375" style="2" customWidth="1"/>
    <x:col min="13836" max="13836" width="10.7109375" style="2" customWidth="1"/>
    <x:col min="13837" max="13837" width="8.7109375" style="2" customWidth="1"/>
    <x:col min="13838" max="13838" width="2.7109375" style="2" customWidth="1"/>
    <x:col min="13839" max="13840" width="10.7109375" style="2" customWidth="1"/>
    <x:col min="13841" max="13841" width="8.7109375" style="2" customWidth="1"/>
    <x:col min="13842" max="13842" width="2.7109375" style="2" customWidth="1"/>
    <x:col min="13843" max="13843" width="9.140625" style="2"/>
    <x:col min="13844" max="13844" width="2.7109375" style="2" customWidth="1"/>
    <x:col min="13845" max="14081" width="9.140625" style="2"/>
    <x:col min="14082" max="14082" width="4.7109375" style="2" customWidth="1"/>
    <x:col min="14083" max="14083" width="8.7109375" style="2" customWidth="1"/>
    <x:col min="14084" max="14084" width="7.7109375" style="2" customWidth="1"/>
    <x:col min="14085" max="14085" width="8.7109375" style="2" customWidth="1"/>
    <x:col min="14086" max="14086" width="2.7109375" style="2" customWidth="1"/>
    <x:col min="14087" max="14087" width="8.7109375" style="2" customWidth="1"/>
    <x:col min="14088" max="14088" width="2.7109375" style="2" customWidth="1"/>
    <x:col min="14089" max="14089" width="10.7109375" style="2" customWidth="1"/>
    <x:col min="14090" max="14090" width="2.7109375" style="2" customWidth="1"/>
    <x:col min="14091" max="14091" width="8.7109375" style="2" customWidth="1"/>
    <x:col min="14092" max="14092" width="10.7109375" style="2" customWidth="1"/>
    <x:col min="14093" max="14093" width="8.7109375" style="2" customWidth="1"/>
    <x:col min="14094" max="14094" width="2.7109375" style="2" customWidth="1"/>
    <x:col min="14095" max="14096" width="10.7109375" style="2" customWidth="1"/>
    <x:col min="14097" max="14097" width="8.7109375" style="2" customWidth="1"/>
    <x:col min="14098" max="14098" width="2.7109375" style="2" customWidth="1"/>
    <x:col min="14099" max="14099" width="9.140625" style="2"/>
    <x:col min="14100" max="14100" width="2.7109375" style="2" customWidth="1"/>
    <x:col min="14101" max="14337" width="9.140625" style="2"/>
    <x:col min="14338" max="14338" width="4.7109375" style="2" customWidth="1"/>
    <x:col min="14339" max="14339" width="8.7109375" style="2" customWidth="1"/>
    <x:col min="14340" max="14340" width="7.7109375" style="2" customWidth="1"/>
    <x:col min="14341" max="14341" width="8.7109375" style="2" customWidth="1"/>
    <x:col min="14342" max="14342" width="2.7109375" style="2" customWidth="1"/>
    <x:col min="14343" max="14343" width="8.7109375" style="2" customWidth="1"/>
    <x:col min="14344" max="14344" width="2.7109375" style="2" customWidth="1"/>
    <x:col min="14345" max="14345" width="10.7109375" style="2" customWidth="1"/>
    <x:col min="14346" max="14346" width="2.7109375" style="2" customWidth="1"/>
    <x:col min="14347" max="14347" width="8.7109375" style="2" customWidth="1"/>
    <x:col min="14348" max="14348" width="10.7109375" style="2" customWidth="1"/>
    <x:col min="14349" max="14349" width="8.7109375" style="2" customWidth="1"/>
    <x:col min="14350" max="14350" width="2.7109375" style="2" customWidth="1"/>
    <x:col min="14351" max="14352" width="10.7109375" style="2" customWidth="1"/>
    <x:col min="14353" max="14353" width="8.7109375" style="2" customWidth="1"/>
    <x:col min="14354" max="14354" width="2.7109375" style="2" customWidth="1"/>
    <x:col min="14355" max="14355" width="9.140625" style="2"/>
    <x:col min="14356" max="14356" width="2.7109375" style="2" customWidth="1"/>
    <x:col min="14357" max="14593" width="9.140625" style="2"/>
    <x:col min="14594" max="14594" width="4.7109375" style="2" customWidth="1"/>
    <x:col min="14595" max="14595" width="8.7109375" style="2" customWidth="1"/>
    <x:col min="14596" max="14596" width="7.7109375" style="2" customWidth="1"/>
    <x:col min="14597" max="14597" width="8.7109375" style="2" customWidth="1"/>
    <x:col min="14598" max="14598" width="2.7109375" style="2" customWidth="1"/>
    <x:col min="14599" max="14599" width="8.7109375" style="2" customWidth="1"/>
    <x:col min="14600" max="14600" width="2.7109375" style="2" customWidth="1"/>
    <x:col min="14601" max="14601" width="10.7109375" style="2" customWidth="1"/>
    <x:col min="14602" max="14602" width="2.7109375" style="2" customWidth="1"/>
    <x:col min="14603" max="14603" width="8.7109375" style="2" customWidth="1"/>
    <x:col min="14604" max="14604" width="10.7109375" style="2" customWidth="1"/>
    <x:col min="14605" max="14605" width="8.7109375" style="2" customWidth="1"/>
    <x:col min="14606" max="14606" width="2.7109375" style="2" customWidth="1"/>
    <x:col min="14607" max="14608" width="10.7109375" style="2" customWidth="1"/>
    <x:col min="14609" max="14609" width="8.7109375" style="2" customWidth="1"/>
    <x:col min="14610" max="14610" width="2.7109375" style="2" customWidth="1"/>
    <x:col min="14611" max="14611" width="9.140625" style="2"/>
    <x:col min="14612" max="14612" width="2.7109375" style="2" customWidth="1"/>
    <x:col min="14613" max="14849" width="9.140625" style="2"/>
    <x:col min="14850" max="14850" width="4.7109375" style="2" customWidth="1"/>
    <x:col min="14851" max="14851" width="8.7109375" style="2" customWidth="1"/>
    <x:col min="14852" max="14852" width="7.7109375" style="2" customWidth="1"/>
    <x:col min="14853" max="14853" width="8.7109375" style="2" customWidth="1"/>
    <x:col min="14854" max="14854" width="2.7109375" style="2" customWidth="1"/>
    <x:col min="14855" max="14855" width="8.7109375" style="2" customWidth="1"/>
    <x:col min="14856" max="14856" width="2.7109375" style="2" customWidth="1"/>
    <x:col min="14857" max="14857" width="10.7109375" style="2" customWidth="1"/>
    <x:col min="14858" max="14858" width="2.7109375" style="2" customWidth="1"/>
    <x:col min="14859" max="14859" width="8.7109375" style="2" customWidth="1"/>
    <x:col min="14860" max="14860" width="10.7109375" style="2" customWidth="1"/>
    <x:col min="14861" max="14861" width="8.7109375" style="2" customWidth="1"/>
    <x:col min="14862" max="14862" width="2.7109375" style="2" customWidth="1"/>
    <x:col min="14863" max="14864" width="10.7109375" style="2" customWidth="1"/>
    <x:col min="14865" max="14865" width="8.7109375" style="2" customWidth="1"/>
    <x:col min="14866" max="14866" width="2.7109375" style="2" customWidth="1"/>
    <x:col min="14867" max="14867" width="9.140625" style="2"/>
    <x:col min="14868" max="14868" width="2.7109375" style="2" customWidth="1"/>
    <x:col min="14869" max="15105" width="9.140625" style="2"/>
    <x:col min="15106" max="15106" width="4.7109375" style="2" customWidth="1"/>
    <x:col min="15107" max="15107" width="8.7109375" style="2" customWidth="1"/>
    <x:col min="15108" max="15108" width="7.7109375" style="2" customWidth="1"/>
    <x:col min="15109" max="15109" width="8.7109375" style="2" customWidth="1"/>
    <x:col min="15110" max="15110" width="2.7109375" style="2" customWidth="1"/>
    <x:col min="15111" max="15111" width="8.7109375" style="2" customWidth="1"/>
    <x:col min="15112" max="15112" width="2.7109375" style="2" customWidth="1"/>
    <x:col min="15113" max="15113" width="10.7109375" style="2" customWidth="1"/>
    <x:col min="15114" max="15114" width="2.7109375" style="2" customWidth="1"/>
    <x:col min="15115" max="15115" width="8.7109375" style="2" customWidth="1"/>
    <x:col min="15116" max="15116" width="10.7109375" style="2" customWidth="1"/>
    <x:col min="15117" max="15117" width="8.7109375" style="2" customWidth="1"/>
    <x:col min="15118" max="15118" width="2.7109375" style="2" customWidth="1"/>
    <x:col min="15119" max="15120" width="10.7109375" style="2" customWidth="1"/>
    <x:col min="15121" max="15121" width="8.7109375" style="2" customWidth="1"/>
    <x:col min="15122" max="15122" width="2.7109375" style="2" customWidth="1"/>
    <x:col min="15123" max="15123" width="9.140625" style="2"/>
    <x:col min="15124" max="15124" width="2.7109375" style="2" customWidth="1"/>
    <x:col min="15125" max="15361" width="9.140625" style="2"/>
    <x:col min="15362" max="15362" width="4.7109375" style="2" customWidth="1"/>
    <x:col min="15363" max="15363" width="8.7109375" style="2" customWidth="1"/>
    <x:col min="15364" max="15364" width="7.7109375" style="2" customWidth="1"/>
    <x:col min="15365" max="15365" width="8.7109375" style="2" customWidth="1"/>
    <x:col min="15366" max="15366" width="2.7109375" style="2" customWidth="1"/>
    <x:col min="15367" max="15367" width="8.7109375" style="2" customWidth="1"/>
    <x:col min="15368" max="15368" width="2.7109375" style="2" customWidth="1"/>
    <x:col min="15369" max="15369" width="10.7109375" style="2" customWidth="1"/>
    <x:col min="15370" max="15370" width="2.7109375" style="2" customWidth="1"/>
    <x:col min="15371" max="15371" width="8.7109375" style="2" customWidth="1"/>
    <x:col min="15372" max="15372" width="10.7109375" style="2" customWidth="1"/>
    <x:col min="15373" max="15373" width="8.7109375" style="2" customWidth="1"/>
    <x:col min="15374" max="15374" width="2.7109375" style="2" customWidth="1"/>
    <x:col min="15375" max="15376" width="10.7109375" style="2" customWidth="1"/>
    <x:col min="15377" max="15377" width="8.7109375" style="2" customWidth="1"/>
    <x:col min="15378" max="15378" width="2.7109375" style="2" customWidth="1"/>
    <x:col min="15379" max="15379" width="9.140625" style="2"/>
    <x:col min="15380" max="15380" width="2.7109375" style="2" customWidth="1"/>
    <x:col min="15381" max="15617" width="9.140625" style="2"/>
    <x:col min="15618" max="15618" width="4.7109375" style="2" customWidth="1"/>
    <x:col min="15619" max="15619" width="8.7109375" style="2" customWidth="1"/>
    <x:col min="15620" max="15620" width="7.7109375" style="2" customWidth="1"/>
    <x:col min="15621" max="15621" width="8.7109375" style="2" customWidth="1"/>
    <x:col min="15622" max="15622" width="2.7109375" style="2" customWidth="1"/>
    <x:col min="15623" max="15623" width="8.7109375" style="2" customWidth="1"/>
    <x:col min="15624" max="15624" width="2.7109375" style="2" customWidth="1"/>
    <x:col min="15625" max="15625" width="10.7109375" style="2" customWidth="1"/>
    <x:col min="15626" max="15626" width="2.7109375" style="2" customWidth="1"/>
    <x:col min="15627" max="15627" width="8.7109375" style="2" customWidth="1"/>
    <x:col min="15628" max="15628" width="10.7109375" style="2" customWidth="1"/>
    <x:col min="15629" max="15629" width="8.7109375" style="2" customWidth="1"/>
    <x:col min="15630" max="15630" width="2.7109375" style="2" customWidth="1"/>
    <x:col min="15631" max="15632" width="10.7109375" style="2" customWidth="1"/>
    <x:col min="15633" max="15633" width="8.7109375" style="2" customWidth="1"/>
    <x:col min="15634" max="15634" width="2.7109375" style="2" customWidth="1"/>
    <x:col min="15635" max="15635" width="9.140625" style="2"/>
    <x:col min="15636" max="15636" width="2.7109375" style="2" customWidth="1"/>
    <x:col min="15637" max="15873" width="9.140625" style="2"/>
    <x:col min="15874" max="15874" width="4.7109375" style="2" customWidth="1"/>
    <x:col min="15875" max="15875" width="8.7109375" style="2" customWidth="1"/>
    <x:col min="15876" max="15876" width="7.7109375" style="2" customWidth="1"/>
    <x:col min="15877" max="15877" width="8.7109375" style="2" customWidth="1"/>
    <x:col min="15878" max="15878" width="2.7109375" style="2" customWidth="1"/>
    <x:col min="15879" max="15879" width="8.7109375" style="2" customWidth="1"/>
    <x:col min="15880" max="15880" width="2.7109375" style="2" customWidth="1"/>
    <x:col min="15881" max="15881" width="10.7109375" style="2" customWidth="1"/>
    <x:col min="15882" max="15882" width="2.7109375" style="2" customWidth="1"/>
    <x:col min="15883" max="15883" width="8.7109375" style="2" customWidth="1"/>
    <x:col min="15884" max="15884" width="10.7109375" style="2" customWidth="1"/>
    <x:col min="15885" max="15885" width="8.7109375" style="2" customWidth="1"/>
    <x:col min="15886" max="15886" width="2.7109375" style="2" customWidth="1"/>
    <x:col min="15887" max="15888" width="10.7109375" style="2" customWidth="1"/>
    <x:col min="15889" max="15889" width="8.7109375" style="2" customWidth="1"/>
    <x:col min="15890" max="15890" width="2.7109375" style="2" customWidth="1"/>
    <x:col min="15891" max="15891" width="9.140625" style="2"/>
    <x:col min="15892" max="15892" width="2.7109375" style="2" customWidth="1"/>
    <x:col min="15893" max="16129" width="9.140625" style="2"/>
    <x:col min="16130" max="16130" width="4.7109375" style="2" customWidth="1"/>
    <x:col min="16131" max="16131" width="8.7109375" style="2" customWidth="1"/>
    <x:col min="16132" max="16132" width="7.7109375" style="2" customWidth="1"/>
    <x:col min="16133" max="16133" width="8.7109375" style="2" customWidth="1"/>
    <x:col min="16134" max="16134" width="2.7109375" style="2" customWidth="1"/>
    <x:col min="16135" max="16135" width="8.7109375" style="2" customWidth="1"/>
    <x:col min="16136" max="16136" width="2.7109375" style="2" customWidth="1"/>
    <x:col min="16137" max="16137" width="10.7109375" style="2" customWidth="1"/>
    <x:col min="16138" max="16138" width="2.7109375" style="2" customWidth="1"/>
    <x:col min="16139" max="16139" width="8.7109375" style="2" customWidth="1"/>
    <x:col min="16140" max="16140" width="10.7109375" style="2" customWidth="1"/>
    <x:col min="16141" max="16141" width="8.7109375" style="2" customWidth="1"/>
    <x:col min="16142" max="16142" width="2.7109375" style="2" customWidth="1"/>
    <x:col min="16143" max="16144" width="10.7109375" style="2" customWidth="1"/>
    <x:col min="16145" max="16145" width="8.7109375" style="2" customWidth="1"/>
    <x:col min="16146" max="16146" width="2.7109375" style="2" customWidth="1"/>
    <x:col min="16147" max="16147" width="9.140625" style="2"/>
    <x:col min="16148" max="16148" width="2.7109375" style="2" customWidth="1"/>
    <x:col min="16149" max="16384" width="9.140625" style="2"/>
  </x:cols>
  <x:sheetData>
    <x:row r="1" spans="1:22" ht="18.75" customHeight="1" x14ac:dyDescent="0.25">
      <x:c r="D1" s="1"/>
      <x:c r="O1" s="9"/>
      <x:c r="Q1" s="9"/>
      <x:c r="R1" s="9" t="s">
        <x:v>31</x:v>
      </x:c>
    </x:row>
    <x:row r="2" spans="1:22" ht="18.75" customHeight="1" x14ac:dyDescent="0.2">
      <x:c r="O2" s="9"/>
      <x:c r="Q2" s="9"/>
      <x:c r="R2" s="9" t="s">
        <x:v>68</x:v>
      </x:c>
    </x:row>
    <x:row r="3" spans="1:22" ht="18.75" customHeight="1" x14ac:dyDescent="0.2">
      <x:c r="O3" s="9"/>
      <x:c r="Q3" s="9"/>
    </x:row>
    <x:row r="4" spans="1:22" ht="18" customHeight="1" x14ac:dyDescent="0.25">
      <x:c r="A4" s="17" t="s">
        <x:v>105</x:v>
      </x:c>
      <x:c r="B4" s="15"/>
      <x:c r="C4" s="15"/>
      <x:c r="D4" s="15"/>
      <x:c r="E4" s="15"/>
      <x:c r="F4" s="16"/>
      <x:c r="G4" s="19"/>
      <x:c r="H4" s="17"/>
      <x:c r="I4" s="16"/>
      <x:c r="J4" s="15"/>
      <x:c r="K4" s="15"/>
      <x:c r="L4" s="17"/>
      <x:c r="M4" s="19"/>
      <x:c r="N4" s="15"/>
      <x:c r="O4" s="15"/>
      <x:c r="P4" s="16"/>
      <x:c r="Q4" s="15"/>
      <x:c r="R4" s="15"/>
      <x:c r="S4" s="15"/>
      <x:c r="T4" s="15"/>
      <x:c r="U4" s="15"/>
      <x:c r="V4" s="15"/>
    </x:row>
    <x:row r="5" spans="1:22" ht="18" customHeight="1" x14ac:dyDescent="0.25">
      <x:c r="A5" s="17" t="s">
        <x:v>51</x:v>
      </x:c>
      <x:c r="B5" s="15"/>
      <x:c r="C5" s="15"/>
      <x:c r="D5" s="15"/>
      <x:c r="E5" s="15"/>
      <x:c r="F5" s="16"/>
      <x:c r="G5" s="19"/>
      <x:c r="H5" s="17"/>
      <x:c r="I5" s="18"/>
      <x:c r="J5" s="15"/>
      <x:c r="K5" s="16"/>
      <x:c r="L5" s="17"/>
      <x:c r="M5" s="20"/>
      <x:c r="N5" s="15"/>
      <x:c r="O5" s="15"/>
      <x:c r="P5" s="18"/>
      <x:c r="Q5" s="17"/>
      <x:c r="R5" s="15"/>
      <x:c r="S5" s="15"/>
      <x:c r="T5" s="15"/>
      <x:c r="U5" s="15"/>
      <x:c r="V5" s="15"/>
    </x:row>
    <x:row r="6" spans="1:22" ht="18" customHeight="1" x14ac:dyDescent="0.25">
      <x:c r="A6" s="17" t="s">
        <x:v>71</x:v>
      </x:c>
      <x:c r="B6" s="15"/>
      <x:c r="C6" s="15"/>
      <x:c r="D6" s="15"/>
      <x:c r="E6" s="15"/>
      <x:c r="F6" s="16"/>
      <x:c r="G6" s="19"/>
      <x:c r="H6" s="16"/>
      <x:c r="I6" s="16"/>
      <x:c r="J6" s="17"/>
      <x:c r="K6" s="16"/>
      <x:c r="L6" s="16"/>
      <x:c r="M6" s="19"/>
      <x:c r="N6" s="15"/>
      <x:c r="O6" s="17"/>
      <x:c r="P6" s="18"/>
      <x:c r="Q6" s="17"/>
      <x:c r="R6" s="15"/>
      <x:c r="S6" s="15"/>
      <x:c r="T6" s="15"/>
      <x:c r="U6" s="15"/>
      <x:c r="V6" s="15"/>
    </x:row>
    <x:row r="7" spans="1:22" ht="18" customHeight="1" x14ac:dyDescent="0.25">
      <x:c r="A7" s="17" t="s">
        <x:v>49</x:v>
      </x:c>
      <x:c r="B7" s="15"/>
      <x:c r="C7" s="15"/>
      <x:c r="D7" s="15"/>
      <x:c r="E7" s="15"/>
      <x:c r="F7" s="15"/>
      <x:c r="G7" s="19"/>
      <x:c r="H7" s="16"/>
      <x:c r="I7" s="16"/>
      <x:c r="J7" s="17"/>
      <x:c r="K7" s="16"/>
      <x:c r="L7" s="16"/>
      <x:c r="M7" s="19"/>
      <x:c r="N7" s="15"/>
      <x:c r="O7" s="17"/>
      <x:c r="P7" s="18"/>
      <x:c r="Q7" s="17"/>
      <x:c r="R7" s="15"/>
      <x:c r="S7" s="15"/>
      <x:c r="T7" s="15"/>
      <x:c r="U7" s="15"/>
      <x:c r="V7" s="15"/>
    </x:row>
    <x:row r="8" spans="1:22" ht="18" customHeight="1" x14ac:dyDescent="0.25">
      <x:c r="A8" s="17" t="s">
        <x:v>112</x:v>
      </x:c>
      <x:c r="B8" s="15"/>
      <x:c r="C8" s="15"/>
      <x:c r="D8" s="15"/>
      <x:c r="E8" s="15"/>
      <x:c r="F8" s="15"/>
      <x:c r="G8" s="19"/>
      <x:c r="H8" s="16"/>
      <x:c r="I8" s="16"/>
      <x:c r="J8" s="17"/>
      <x:c r="K8" s="16"/>
      <x:c r="L8" s="16"/>
      <x:c r="M8" s="19"/>
      <x:c r="N8" s="15"/>
      <x:c r="O8" s="17"/>
      <x:c r="P8" s="18"/>
      <x:c r="Q8" s="17"/>
      <x:c r="R8" s="15"/>
      <x:c r="S8" s="15"/>
      <x:c r="T8" s="15"/>
      <x:c r="U8" s="15"/>
      <x:c r="V8" s="15"/>
    </x:row>
    <x:row r="9" spans="1:22" ht="18" customHeight="1" x14ac:dyDescent="0.25">
      <x:c r="A9" s="17"/>
      <x:c r="B9" s="15"/>
      <x:c r="C9" s="15"/>
      <x:c r="D9" s="15"/>
      <x:c r="E9" s="15"/>
      <x:c r="F9" s="16"/>
      <x:c r="G9" s="19"/>
      <x:c r="H9" s="18"/>
      <x:c r="I9" s="18"/>
      <x:c r="J9" s="15"/>
      <x:c r="K9" s="16"/>
      <x:c r="L9" s="18"/>
      <x:c r="M9" s="20"/>
      <x:c r="N9" s="15"/>
      <x:c r="O9" s="15"/>
      <x:c r="P9" s="16"/>
      <x:c r="Q9" s="15"/>
      <x:c r="R9" s="15"/>
      <x:c r="S9" s="15"/>
      <x:c r="T9" s="15"/>
      <x:c r="U9" s="15"/>
      <x:c r="V9" s="15"/>
    </x:row>
    <x:row r="10" spans="1:22" ht="18" customHeight="1" x14ac:dyDescent="0.25">
      <x:c r="A10" s="17" t="s">
        <x:v>58</x:v>
      </x:c>
      <x:c r="B10" s="15"/>
      <x:c r="C10" s="15"/>
      <x:c r="D10" s="15"/>
      <x:c r="E10" s="15"/>
      <x:c r="F10" s="16"/>
      <x:c r="G10" s="19"/>
      <x:c r="H10" s="18"/>
      <x:c r="I10" s="18"/>
      <x:c r="J10" s="15"/>
      <x:c r="K10" s="16"/>
      <x:c r="L10" s="18"/>
      <x:c r="M10" s="20"/>
      <x:c r="N10" s="15"/>
      <x:c r="O10" s="15"/>
      <x:c r="P10" s="16"/>
      <x:c r="Q10" s="15"/>
      <x:c r="R10" s="15"/>
      <x:c r="S10" s="15"/>
      <x:c r="T10" s="15"/>
      <x:c r="U10" s="15"/>
      <x:c r="V10" s="15"/>
    </x:row>
    <x:row r="11" spans="1:22" ht="18.75" customHeight="1" x14ac:dyDescent="0.2">
      <x:c r="O11" s="9"/>
      <x:c r="Q11" s="9"/>
    </x:row>
    <x:row r="12" spans="1:22" ht="18.75" customHeight="1" x14ac:dyDescent="0.2">
      <x:c r="C12" s="2" t="s">
        <x:v>56</x:v>
      </x:c>
      <x:c r="L12" s="43"/>
      <x:c r="O12" s="9"/>
      <x:c r="Q12" s="9"/>
    </x:row>
    <x:row r="13" spans="1:22" ht="18.75" customHeight="1" x14ac:dyDescent="0.2">
      <x:c r="C13" s="2" t="s">
        <x:v>50</x:v>
      </x:c>
      <x:c r="O13" s="9"/>
      <x:c r="Q13" s="9"/>
    </x:row>
    <x:row r="14" spans="1:22" ht="9.9499999999999993" customHeight="1" x14ac:dyDescent="0.2">
      <x:c r="O14" s="9"/>
      <x:c r="Q14" s="9"/>
    </x:row>
    <x:row r="15" spans="1:22" ht="18.75" customHeight="1" x14ac:dyDescent="0.2">
      <x:c r="G15" s="2"/>
      <x:c r="I15" s="2" t="s">
        <x:v>45</x:v>
      </x:c>
      <x:c r="K15" s="2" t="s">
        <x:v>46</x:v>
      </x:c>
      <x:c r="M15" s="9" t="s">
        <x:v>47</x:v>
      </x:c>
      <x:c r="O15" s="9" t="s">
        <x:v>69</x:v>
      </x:c>
      <x:c r="Q15" s="2" t="s">
        <x:v>48</x:v>
      </x:c>
      <x:c r="S15" s="2" t="s">
        <x:v>70</x:v>
      </x:c>
    </x:row>
    <x:row r="16" spans="1:22" ht="18.75" customHeight="1" x14ac:dyDescent="0.2">
      <x:c r="F16" s="7"/>
      <x:c r="G16" s="2"/>
      <x:c r="I16" s="7" t="s">
        <x:v>102</x:v>
      </x:c>
      <x:c r="J16" s="7"/>
      <x:c r="K16" s="7"/>
      <x:c r="M16" s="7" t="s">
        <x:v>103</x:v>
      </x:c>
      <x:c r="Q16" s="7" t="s">
        <x:v>111</x:v>
      </x:c>
    </x:row>
    <x:row r="17" spans="3:21" ht="18.75" customHeight="1" x14ac:dyDescent="0.2">
      <x:c r="C17" s="2" t="s">
        <x:v>2</x:v>
      </x:c>
      <x:c r="G17" s="2"/>
      <x:c r="I17" s="2" t="s">
        <x:v>52</x:v>
      </x:c>
      <x:c r="M17" s="2" t="s">
        <x:v>52</x:v>
      </x:c>
      <x:c r="Q17" s="2" t="s">
        <x:v>52</x:v>
      </x:c>
    </x:row>
    <x:row r="18" spans="3:21" ht="18.75" customHeight="1" x14ac:dyDescent="0.2">
      <x:c r="C18" s="8" t="s">
        <x:v>9</x:v>
      </x:c>
      <x:c r="G18" s="2"/>
      <x:c r="I18" s="11" t="s">
        <x:v>41</x:v>
      </x:c>
      <x:c r="K18" s="11" t="s">
        <x:v>16</x:v>
      </x:c>
      <x:c r="M18" s="11" t="s">
        <x:v>41</x:v>
      </x:c>
      <x:c r="O18" s="11" t="s">
        <x:v>16</x:v>
      </x:c>
      <x:c r="Q18" s="11" t="s">
        <x:v>41</x:v>
      </x:c>
      <x:c r="S18" s="11" t="s">
        <x:v>16</x:v>
      </x:c>
    </x:row>
    <x:row r="19" spans="3:21" ht="18" customHeight="1" x14ac:dyDescent="0.2">
      <x:c r="C19" s="2"/>
      <x:c r="G19" s="2"/>
      <x:c r="M19" s="2"/>
    </x:row>
    <x:row r="20" spans="3:21" ht="21.95" customHeight="1" x14ac:dyDescent="0.2">
      <x:c r="C20" s="10">
        <x:v>1</x:v>
      </x:c>
      <x:c r="D20" s="10" t="s">
        <x:v>17</x:v>
      </x:c>
      <x:c r="F20" s="13"/>
      <x:c r="G20" s="13"/>
      <x:c r="H20" s="9"/>
      <x:c r="I20" s="9">
        <x:v>0.95814018275744495</x:v>
      </x:c>
      <x:c r="J20" s="9"/>
      <x:c r="K20" s="9">
        <x:v>0.61770999999999998</x:v>
      </x:c>
      <x:c r="M20" s="9">
        <x:v>0.99708685502778072</x:v>
      </x:c>
      <x:c r="N20" s="9"/>
      <x:c r="O20" s="9">
        <x:v>0.58399999999999996</x:v>
      </x:c>
      <x:c r="Q20" s="9">
        <x:v>0.97136931065295318</x:v>
      </x:c>
      <x:c r="R20" s="9"/>
      <x:c r="S20" s="9">
        <x:v>0.51</x:v>
      </x:c>
    </x:row>
    <x:row r="21" spans="3:21" ht="21.95" customHeight="1" x14ac:dyDescent="0.2">
      <x:c r="C21" s="10">
        <x:v>2</x:v>
      </x:c>
      <x:c r="D21" s="10" t="s">
        <x:v>18</x:v>
      </x:c>
      <x:c r="F21" s="9"/>
      <x:c r="G21" s="13"/>
      <x:c r="H21" s="9"/>
      <x:c r="I21" s="9">
        <x:v>0.95454157584463994</x:v>
      </x:c>
      <x:c r="J21" s="9"/>
      <x:c r="K21" s="9">
        <x:v>0.49672670000000002</x:v>
      </x:c>
      <x:c r="M21" s="9">
        <x:v>0.87305892662429674</x:v>
      </x:c>
      <x:c r="N21" s="9"/>
      <x:c r="O21" s="9">
        <x:v>0.54779999999999995</x:v>
      </x:c>
      <x:c r="Q21" s="9">
        <x:v>0.93640542734742016</x:v>
      </x:c>
      <x:c r="R21" s="9"/>
      <x:c r="S21" s="9">
        <x:v>0.53049999999999997</x:v>
      </x:c>
    </x:row>
    <x:row r="22" spans="3:21" ht="21.95" customHeight="1" x14ac:dyDescent="0.2">
      <x:c r="C22" s="10">
        <x:v>3</x:v>
      </x:c>
      <x:c r="D22" s="10" t="s">
        <x:v>19</x:v>
      </x:c>
      <x:c r="F22" s="14"/>
      <x:c r="G22" s="13"/>
      <x:c r="H22" s="9"/>
      <x:c r="I22" s="9">
        <x:v>0.99600782733387694</x:v>
      </x:c>
      <x:c r="J22" s="9"/>
      <x:c r="K22" s="9">
        <x:v>0.55625999999999998</x:v>
      </x:c>
      <x:c r="M22" s="9">
        <x:v>0.7300527642705843</x:v>
      </x:c>
      <x:c r="N22" s="9"/>
      <x:c r="O22" s="9">
        <x:v>0.4647</x:v>
      </x:c>
      <x:c r="Q22" s="9">
        <x:v>0.86846739902503578</x:v>
      </x:c>
      <x:c r="R22" s="9"/>
      <x:c r="S22" s="9">
        <x:v>0.48620000000000002</x:v>
      </x:c>
    </x:row>
    <x:row r="23" spans="3:21" ht="21.95" customHeight="1" x14ac:dyDescent="0.2">
      <x:c r="C23" s="10">
        <x:v>4</x:v>
      </x:c>
      <x:c r="D23" s="10" t="s">
        <x:v>20</x:v>
      </x:c>
      <x:c r="F23" s="14"/>
      <x:c r="G23" s="13"/>
      <x:c r="H23" s="9"/>
      <x:c r="I23" s="9">
        <x:v>0.84795181089586336</x:v>
      </x:c>
      <x:c r="J23" s="9"/>
      <x:c r="K23" s="9">
        <x:v>0.62446000000000002</x:v>
      </x:c>
      <x:c r="M23" s="9">
        <x:v>0.84943982350388703</x:v>
      </x:c>
      <x:c r="N23" s="9"/>
      <x:c r="O23" s="9">
        <x:v>0.64829999999999999</x:v>
      </x:c>
      <x:c r="Q23" s="9">
        <x:v>0.94598719330830872</x:v>
      </x:c>
      <x:c r="R23" s="9"/>
      <x:c r="S23" s="9">
        <x:v>0.60680000000000001</x:v>
      </x:c>
    </x:row>
    <x:row r="24" spans="3:21" ht="21.95" customHeight="1" x14ac:dyDescent="0.2">
      <x:c r="C24" s="10">
        <x:v>5</x:v>
      </x:c>
      <x:c r="D24" s="10" t="s">
        <x:v>21</x:v>
      </x:c>
      <x:c r="F24" s="14"/>
      <x:c r="G24" s="13"/>
      <x:c r="H24" s="9"/>
      <x:c r="I24" s="9">
        <x:v>0.92042215782599335</x:v>
      </x:c>
      <x:c r="J24" s="9"/>
      <x:c r="K24" s="9">
        <x:v>0.54288899999999995</x:v>
      </x:c>
      <x:c r="M24" s="9">
        <x:v>0.89166551157402829</x:v>
      </x:c>
      <x:c r="N24" s="9"/>
      <x:c r="O24" s="9">
        <x:v>0.57089999999999996</x:v>
      </x:c>
      <x:c r="Q24" s="9">
        <x:v>0.92272133566471737</x:v>
      </x:c>
      <x:c r="R24" s="9"/>
      <x:c r="S24" s="9">
        <x:v>0.59350000000000003</x:v>
      </x:c>
    </x:row>
    <x:row r="25" spans="3:21" ht="21.95" customHeight="1" x14ac:dyDescent="0.2">
      <x:c r="C25" s="10">
        <x:v>6</x:v>
      </x:c>
      <x:c r="D25" s="10" t="s">
        <x:v>22</x:v>
      </x:c>
      <x:c r="F25" s="14"/>
      <x:c r="G25" s="13"/>
      <x:c r="H25" s="9"/>
      <x:c r="I25" s="9">
        <x:v>0.92432861785278508</x:v>
      </x:c>
      <x:c r="J25" s="9"/>
      <x:c r="K25" s="9">
        <x:v>0.60463900000000004</x:v>
      </x:c>
      <x:c r="M25" s="9">
        <x:v>0.99177091099881254</x:v>
      </x:c>
      <x:c r="N25" s="9"/>
      <x:c r="O25" s="9">
        <x:v>0.63360000000000005</x:v>
      </x:c>
      <x:c r="Q25" s="9">
        <x:v>0.89679882182985893</x:v>
      </x:c>
      <x:c r="R25" s="9"/>
      <x:c r="S25" s="9">
        <x:v>0.59950000000000003</x:v>
      </x:c>
    </x:row>
    <x:row r="26" spans="3:21" ht="21.95" customHeight="1" x14ac:dyDescent="0.2">
      <x:c r="C26" s="10">
        <x:v>7</x:v>
      </x:c>
      <x:c r="D26" s="10" t="s">
        <x:v>23</x:v>
      </x:c>
      <x:c r="F26" s="13"/>
      <x:c r="G26" s="13"/>
      <x:c r="H26" s="9"/>
      <x:c r="I26" s="9">
        <x:v>0.90995460222833568</x:v>
      </x:c>
      <x:c r="J26" s="9"/>
      <x:c r="K26" s="9">
        <x:v>0.60139699999999996</x:v>
      </x:c>
      <x:c r="M26" s="9">
        <x:v>0.97923204132554975</x:v>
      </x:c>
      <x:c r="N26" s="9"/>
      <x:c r="O26" s="9">
        <x:v>0.67220000000000002</x:v>
      </x:c>
      <x:c r="Q26" s="9">
        <x:v>0.92896667838054725</x:v>
      </x:c>
      <x:c r="R26" s="9"/>
      <x:c r="S26" s="9">
        <x:v>0.63829999999999998</x:v>
      </x:c>
    </x:row>
    <x:row r="27" spans="3:21" ht="21.95" customHeight="1" x14ac:dyDescent="0.2">
      <x:c r="C27" s="10">
        <x:v>8</x:v>
      </x:c>
      <x:c r="D27" s="10" t="s">
        <x:v>24</x:v>
      </x:c>
      <x:c r="F27" s="13"/>
      <x:c r="H27" s="9"/>
      <x:c r="I27" s="9">
        <x:v>0.93560341351018239</x:v>
      </x:c>
      <x:c r="J27" s="9"/>
      <x:c r="K27" s="9">
        <x:v>0.62640899999999999</x:v>
      </x:c>
      <x:c r="M27" s="9">
        <x:v>0.97298913037952683</x:v>
      </x:c>
      <x:c r="N27" s="9"/>
      <x:c r="O27" s="9">
        <x:v>0.62329999999999997</x:v>
      </x:c>
      <x:c r="Q27" s="9">
        <x:v>0.89481790027352726</x:v>
      </x:c>
      <x:c r="R27" s="9"/>
      <x:c r="S27" s="9">
        <x:v>0.64410000000000001</x:v>
      </x:c>
    </x:row>
    <x:row r="28" spans="3:21" ht="21.95" customHeight="1" x14ac:dyDescent="0.2">
      <x:c r="C28" s="10">
        <x:v>9</x:v>
      </x:c>
      <x:c r="D28" s="10" t="s">
        <x:v>25</x:v>
      </x:c>
      <x:c r="F28" s="13"/>
      <x:c r="G28" s="14"/>
      <x:c r="H28" s="9"/>
      <x:c r="I28" s="9">
        <x:v>0.94717085912805588</x:v>
      </x:c>
      <x:c r="J28" s="9"/>
      <x:c r="K28" s="9">
        <x:v>0.53976599999999997</x:v>
      </x:c>
      <x:c r="M28" s="9">
        <x:v>0.96214178909239412</x:v>
      </x:c>
      <x:c r="N28" s="9"/>
      <x:c r="O28" s="9">
        <x:v>0.55549999999999999</x:v>
      </x:c>
      <x:c r="Q28" s="9">
        <x:v>0.95495456251008604</x:v>
      </x:c>
      <x:c r="R28" s="9"/>
      <x:c r="S28" s="9">
        <x:v>0.5282</x:v>
      </x:c>
    </x:row>
    <x:row r="29" spans="3:21" ht="21.95" customHeight="1" x14ac:dyDescent="0.2">
      <x:c r="C29" s="10">
        <x:v>10</x:v>
      </x:c>
      <x:c r="D29" s="10" t="s">
        <x:v>26</x:v>
      </x:c>
      <x:c r="F29" s="13"/>
      <x:c r="G29" s="14"/>
      <x:c r="H29" s="9"/>
      <x:c r="I29" s="9">
        <x:v>0.93186579834573147</x:v>
      </x:c>
      <x:c r="J29" s="9"/>
      <x:c r="K29" s="9">
        <x:v>0.53437999999999997</x:v>
      </x:c>
      <x:c r="M29" s="9">
        <x:v>0.9620523120514155</x:v>
      </x:c>
      <x:c r="N29" s="9"/>
      <x:c r="O29" s="9">
        <x:v>0.55869999999999997</x:v>
      </x:c>
      <x:c r="Q29" s="9">
        <x:v>0.96055915980988094</x:v>
      </x:c>
      <x:c r="R29" s="9"/>
      <x:c r="S29" s="9">
        <x:v>0.55659999999999998</x:v>
      </x:c>
    </x:row>
    <x:row r="30" spans="3:21" ht="21.95" customHeight="1" x14ac:dyDescent="0.2">
      <x:c r="C30" s="10">
        <x:v>11</x:v>
      </x:c>
      <x:c r="D30" s="10" t="s">
        <x:v>27</x:v>
      </x:c>
      <x:c r="F30" s="13"/>
      <x:c r="G30" s="14"/>
      <x:c r="H30" s="9"/>
      <x:c r="I30" s="9">
        <x:v>0.99413182473676398</x:v>
      </x:c>
      <x:c r="J30" s="9"/>
      <x:c r="K30" s="9">
        <x:v>0.63757600000000003</x:v>
      </x:c>
      <x:c r="M30" s="9">
        <x:v>0.82150904730665186</x:v>
      </x:c>
      <x:c r="N30" s="9"/>
      <x:c r="O30" s="9">
        <x:v>0.53059999999999996</x:v>
      </x:c>
      <x:c r="Q30" s="9">
        <x:v>1</x:v>
      </x:c>
      <x:c r="R30" s="9"/>
      <x:c r="S30" s="9">
        <x:v>0.53269999999999995</x:v>
      </x:c>
    </x:row>
    <x:row r="31" spans="3:21" ht="21.95" customHeight="1" x14ac:dyDescent="0.2">
      <x:c r="C31" s="10">
        <x:v>12</x:v>
      </x:c>
      <x:c r="D31" s="10" t="s">
        <x:v>28</x:v>
      </x:c>
      <x:c r="F31" s="13"/>
      <x:c r="G31" s="14"/>
      <x:c r="H31" s="9"/>
      <x:c r="I31" s="9">
        <x:v>0.95405148300111287</x:v>
      </x:c>
      <x:c r="J31" s="9"/>
      <x:c r="K31" s="9">
        <x:v>0.54228500000000002</x:v>
      </x:c>
      <x:c r="M31" s="9">
        <x:v>0.99579187592211704</x:v>
      </x:c>
      <x:c r="N31" s="9"/>
      <x:c r="O31" s="9">
        <x:v>0.41020000000000001</x:v>
      </x:c>
      <x:c r="Q31" s="9">
        <x:v>0.96847945219253695</x:v>
      </x:c>
      <x:c r="R31" s="9"/>
      <x:c r="S31" s="9">
        <x:v>0.61140000000000005</x:v>
      </x:c>
    </x:row>
    <x:row r="32" spans="3:21" ht="21" customHeight="1" x14ac:dyDescent="0.2">
      <x:c r="D32" s="10"/>
      <x:c r="E32" s="10"/>
      <x:c r="F32" s="14"/>
      <x:c r="H32" s="9"/>
      <x:c r="I32" s="9"/>
      <x:c r="J32" s="14"/>
      <x:c r="K32" s="9"/>
      <x:c r="L32" s="9"/>
      <x:c r="N32" s="9"/>
      <x:c r="O32" s="9"/>
      <x:c r="Q32" s="9"/>
      <x:c r="S32" s="9"/>
      <x:c r="U32" s="9"/>
    </x:row>
    <x:row r="33" spans="3:21" ht="21" customHeight="1" x14ac:dyDescent="0.2">
      <x:c r="C33" s="2" t="s">
        <x:v>36</x:v>
      </x:c>
      <x:c r="E33" s="10"/>
      <x:c r="F33" s="14"/>
      <x:c r="H33" s="9"/>
      <x:c r="I33" s="9"/>
      <x:c r="J33" s="14"/>
      <x:c r="K33" s="9"/>
      <x:c r="L33" s="9"/>
      <x:c r="N33" s="9"/>
      <x:c r="O33" s="9"/>
      <x:c r="Q33" s="9"/>
      <x:c r="S33" s="9"/>
      <x:c r="U33" s="9"/>
    </x:row>
  </x:sheetData>
  <x:pageMargins left="0.5" right="1" top="1.5" bottom="0.5" header="0.5" footer="0.5"/>
  <x:pageSetup scale="72" orientation="landscape" r:id="rId1"/>
  <x:headerFooter alignWithMargins="0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2025-04-24T14:08:15.0000000Z</dcterms:modified>
</coreProperties>
</file>