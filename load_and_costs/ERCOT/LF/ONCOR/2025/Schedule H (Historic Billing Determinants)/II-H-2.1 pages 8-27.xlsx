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4332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Q:\2024 Test Year\"/>
    </mc:Choice>
  </mc:AlternateContent>
  <xr:revisionPtr revIDLastSave="0" documentId="8_{49BD5036-CABD-40CF-971A-80210C541EA1}" xr6:coauthVersionLast="47" xr6:coauthVersionMax="47" xr10:uidLastSave="{00000000-0000-0000-0000-000000000000}"/>
  <x:bookViews>
    <x:workbookView xWindow="-110" yWindow="-110" windowWidth="19420" windowHeight="10300" tabRatio="598" xr2:uid="{00000000-000D-0000-FFFF-FFFF00000000}"/>
  </x:bookViews>
  <x:sheets>
    <x:sheet name="RES Model" sheetId="51" r:id="rId1"/>
    <x:sheet name="RES Model Graph" sheetId="77" r:id="rId2"/>
    <x:sheet name="SECLE10KW Model" sheetId="52" r:id="rId3"/>
    <x:sheet name="SECLE10KW Model Graph" sheetId="79" r:id="rId4"/>
    <x:sheet name="SECGT10KW Model" sheetId="54" r:id="rId5"/>
    <x:sheet name="SECGT10KW Model Graph" sheetId="81" r:id="rId6"/>
    <x:sheet name="PRMGT10KWD Model" sheetId="112" r:id="rId7"/>
    <x:sheet name="PRMGT10KWD Model Graph" sheetId="113" r:id="rId8"/>
    <x:sheet name="SUB Model" sheetId="101" r:id="rId9"/>
    <x:sheet name="SUB Model Graph" sheetId="102" r:id="rId10"/>
    <x:sheet name="RES B Model" sheetId="68" r:id="rId11"/>
    <x:sheet name="RES B Model Graph" sheetId="78" r:id="rId12"/>
    <x:sheet name="SECLE10KW B Model" sheetId="120" r:id="rId13"/>
    <x:sheet name="SECLE10KW B Model Graph" sheetId="121" r:id="rId14"/>
    <x:sheet name="SECGT10KW B Model" sheetId="72" r:id="rId15"/>
    <x:sheet name="SECGT10KW B Model Graph" sheetId="82" r:id="rId16"/>
    <x:sheet name="PRMGT10KWD B Model" sheetId="76" r:id="rId17"/>
    <x:sheet name="PRMGT10KWD B Model Graph" sheetId="84" r:id="rId18"/>
    <x:sheet name="SUB B Model" sheetId="95" r:id="rId19"/>
    <x:sheet name="SUB B Model Graph" sheetId="96" r:id="rId20"/>
  </x:sheet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A33" i="95" l="1"/>
  <x:c r="A34" i="95" s="1"/>
  <x:c r="A35" i="95" s="1"/>
  <x:c r="A36" i="95" s="1"/>
  <x:c r="A37" i="95" s="1"/>
  <x:c r="A38" i="95" s="1"/>
  <x:c r="A39" i="95" s="1"/>
  <x:c r="A40" i="95" s="1"/>
  <x:c r="A41" i="95" s="1"/>
  <x:c r="A42" i="95" s="1"/>
  <x:c r="A43" i="95" s="1"/>
  <x:c r="A44" i="95" s="1"/>
  <x:c r="A45" i="95" s="1"/>
  <x:c r="A46" i="95" s="1"/>
  <x:c r="A47" i="95" s="1"/>
  <x:c r="A48" i="95" s="1"/>
  <x:c r="A49" i="95" s="1"/>
  <x:c r="A32" i="95"/>
  <x:c r="A35" i="76" l="1"/>
  <x:c r="A36" i="76" s="1"/>
  <x:c r="A37" i="76" s="1"/>
  <x:c r="A38" i="76" s="1"/>
  <x:c r="A39" i="76" s="1"/>
  <x:c r="A40" i="76" s="1"/>
  <x:c r="A41" i="76" s="1"/>
  <x:c r="A42" i="76" s="1"/>
  <x:c r="A43" i="76" s="1"/>
  <x:c r="A44" i="76" s="1"/>
  <x:c r="A45" i="76" s="1"/>
  <x:c r="A46" i="76" s="1"/>
  <x:c r="A47" i="76" s="1"/>
  <x:c r="A48" i="76" s="1"/>
  <x:c r="A49" i="76" s="1"/>
  <x:c r="A50" i="76" s="1"/>
  <x:c r="A51" i="76" s="1"/>
  <x:c r="A31" i="76"/>
  <x:c r="A32" i="76"/>
  <x:c r="A33" i="76" s="1"/>
  <x:c r="A34" i="76" s="1"/>
  <x:c r="A33" i="72"/>
  <x:c r="A34" i="72"/>
  <x:c r="A35" i="72"/>
  <x:c r="A36" i="72"/>
  <x:c r="A37" i="72"/>
  <x:c r="A38" i="72" s="1"/>
  <x:c r="A39" i="72" s="1"/>
  <x:c r="A40" i="72" s="1"/>
  <x:c r="A41" i="72" s="1"/>
  <x:c r="A42" i="72" s="1"/>
  <x:c r="A43" i="72" s="1"/>
  <x:c r="A44" i="72" s="1"/>
  <x:c r="A45" i="72" s="1"/>
  <x:c r="A46" i="72" s="1"/>
  <x:c r="A47" i="72" s="1"/>
  <x:c r="A48" i="72" s="1"/>
  <x:c r="A49" i="72" s="1"/>
  <x:c r="A32" i="72"/>
  <x:c r="A33" i="120"/>
  <x:c r="A34" i="120" s="1"/>
  <x:c r="A35" i="120" s="1"/>
  <x:c r="A36" i="120" s="1"/>
  <x:c r="A37" i="120" s="1"/>
  <x:c r="A38" i="120" s="1"/>
  <x:c r="A39" i="120" s="1"/>
  <x:c r="A40" i="120" s="1"/>
  <x:c r="A41" i="120" s="1"/>
  <x:c r="A42" i="120" s="1"/>
  <x:c r="A43" i="120" s="1"/>
  <x:c r="A44" i="120" s="1"/>
  <x:c r="A45" i="120" s="1"/>
  <x:c r="A46" i="120" s="1"/>
  <x:c r="A47" i="120" s="1"/>
  <x:c r="A48" i="120" s="1"/>
  <x:c r="A49" i="120" s="1"/>
  <x:c r="A32" i="120"/>
  <x:c r="A41" i="52" l="1"/>
  <x:c r="A42" i="52"/>
  <x:c r="A43" i="52" s="1"/>
  <x:c r="A44" i="52" s="1"/>
  <x:c r="A45" i="52" s="1"/>
  <x:c r="A46" i="52" s="1"/>
  <x:c r="A47" i="52" s="1"/>
  <x:c r="A48" i="52" s="1"/>
  <x:c r="A49" i="52" s="1"/>
  <x:c r="A50" i="52" s="1"/>
  <x:c r="A51" i="52" s="1"/>
  <x:c r="A52" i="52" s="1"/>
  <x:c r="A53" i="52" s="1"/>
  <x:c r="A54" i="52" s="1"/>
  <x:c r="A55" i="52" s="1"/>
  <x:c r="A56" i="52" s="1"/>
  <x:c r="A57" i="52" s="1"/>
  <x:c r="A39" i="52"/>
  <x:c r="A40" i="52"/>
  <x:c r="A39" i="101"/>
  <x:c r="A40" i="101" s="1"/>
  <x:c r="A41" i="101" s="1"/>
  <x:c r="A42" i="101" s="1"/>
  <x:c r="A43" i="101" s="1"/>
  <x:c r="A44" i="101" s="1"/>
  <x:c r="A45" i="101" s="1"/>
  <x:c r="A46" i="101" s="1"/>
  <x:c r="A47" i="101" s="1"/>
  <x:c r="A48" i="101" s="1"/>
  <x:c r="A49" i="101" s="1"/>
  <x:c r="A50" i="101" s="1"/>
  <x:c r="A51" i="101" s="1"/>
  <x:c r="A52" i="101" s="1"/>
  <x:c r="A53" i="101" s="1"/>
  <x:c r="A54" i="101" s="1"/>
  <x:c r="A55" i="101" s="1"/>
  <x:c r="A32" i="101"/>
  <x:c r="A33" i="101"/>
  <x:c r="A34" i="101" s="1"/>
  <x:c r="A35" i="101" s="1"/>
  <x:c r="A36" i="101" s="1"/>
  <x:c r="A37" i="101" s="1"/>
  <x:c r="A38" i="101" s="1"/>
  <x:c r="A49" i="112"/>
  <x:c r="A50" i="112"/>
  <x:c r="A51" i="112" s="1"/>
  <x:c r="A52" i="112" s="1"/>
  <x:c r="A53" i="112" s="1"/>
  <x:c r="A54" i="112" s="1"/>
  <x:c r="A55" i="112" s="1"/>
  <x:c r="A56" i="112" s="1"/>
  <x:c r="A57" i="112" s="1"/>
  <x:c r="A58" i="112" s="1"/>
  <x:c r="A59" i="112" s="1"/>
  <x:c r="A60" i="112" s="1"/>
  <x:c r="A61" i="112" s="1"/>
  <x:c r="A62" i="112" s="1"/>
  <x:c r="A63" i="112" s="1"/>
  <x:c r="A64" i="112" s="1"/>
  <x:c r="A65" i="112" s="1"/>
  <x:c r="A44" i="54"/>
  <x:c r="A45" i="54" s="1"/>
  <x:c r="A46" i="54" s="1"/>
  <x:c r="A47" i="54" s="1"/>
  <x:c r="A48" i="54" s="1"/>
  <x:c r="A49" i="54" s="1"/>
  <x:c r="A50" i="54" s="1"/>
  <x:c r="A51" i="54" s="1"/>
  <x:c r="A52" i="54" s="1"/>
  <x:c r="A53" i="54" s="1"/>
  <x:c r="A54" i="54" s="1"/>
  <x:c r="A55" i="54" s="1"/>
  <x:c r="A56" i="54" s="1"/>
  <x:c r="A57" i="54" s="1"/>
  <x:c r="A58" i="54" s="1"/>
  <x:c r="A59" i="54" s="1"/>
  <x:c r="A60" i="54" s="1"/>
  <x:c r="A33" i="54"/>
  <x:c r="A34" i="54"/>
  <x:c r="A35" i="54"/>
  <x:c r="A36" i="54" s="1"/>
  <x:c r="A37" i="54" s="1"/>
  <x:c r="A38" i="54" s="1"/>
  <x:c r="A39" i="54" s="1"/>
  <x:c r="A40" i="54" s="1"/>
  <x:c r="A41" i="54" s="1"/>
  <x:c r="A42" i="54" s="1"/>
  <x:c r="A43" i="54" s="1"/>
  <x:c r="A40" i="51" l="1"/>
  <x:c r="A41" i="51" s="1"/>
  <x:c r="A42" i="51" s="1"/>
  <x:c r="A43" i="51" s="1"/>
  <x:c r="A44" i="51" s="1"/>
  <x:c r="A45" i="51" s="1"/>
  <x:c r="A46" i="51" s="1"/>
  <x:c r="A47" i="51" s="1"/>
  <x:c r="A48" i="51" s="1"/>
  <x:c r="A49" i="51" s="1"/>
  <x:c r="A50" i="51" s="1"/>
  <x:c r="A51" i="51" s="1"/>
  <x:c r="A52" i="51" s="1"/>
  <x:c r="A53" i="51" s="1"/>
  <x:c r="A54" i="51" s="1"/>
  <x:c r="A55" i="51" s="1"/>
  <x:c r="A56" i="51" s="1"/>
  <x:c r="A11" i="121" l="1"/>
  <x:c r="A12" i="121" s="1"/>
  <x:c r="A13" i="121" s="1"/>
  <x:c r="A14" i="121" s="1"/>
  <x:c r="A15" i="121" s="1"/>
  <x:c r="A16" i="121" s="1"/>
  <x:c r="A17" i="121" s="1"/>
  <x:c r="A18" i="121" s="1"/>
  <x:c r="A19" i="121" s="1"/>
  <x:c r="A20" i="121" s="1"/>
  <x:c r="A21" i="121" s="1"/>
  <x:c r="A22" i="121" s="1"/>
  <x:c r="A23" i="121" s="1"/>
  <x:c r="A24" i="121" s="1"/>
  <x:c r="A25" i="121" s="1"/>
  <x:c r="A26" i="121" s="1"/>
  <x:c r="A27" i="121" s="1"/>
  <x:c r="A28" i="121" s="1"/>
  <x:c r="A29" i="121" s="1"/>
  <x:c r="A30" i="121" s="1"/>
  <x:c r="A31" i="121" s="1"/>
  <x:c r="A32" i="121" s="1"/>
  <x:c r="A33" i="121" s="1"/>
  <x:c r="A34" i="121" s="1"/>
  <x:c r="A35" i="121" s="1"/>
  <x:c r="A36" i="121" s="1"/>
  <x:c r="A37" i="121" s="1"/>
  <x:c r="B6" i="121"/>
  <x:c r="B4" i="121"/>
  <x:c r="B3" i="121"/>
  <x:c r="B2" i="121"/>
  <x:c r="B1" i="121"/>
  <x:c r="C14" i="120"/>
  <x:c r="C13" i="120"/>
  <x:c r="A12" i="120"/>
  <x:c r="A13" i="120" s="1"/>
  <x:c r="A14" i="120" s="1"/>
  <x:c r="A15" i="120" s="1"/>
  <x:c r="A16" i="120" s="1"/>
  <x:c r="A17" i="120" s="1"/>
  <x:c r="A18" i="120" s="1"/>
  <x:c r="A19" i="120" s="1"/>
  <x:c r="A20" i="120" s="1"/>
  <x:c r="A21" i="120" s="1"/>
  <x:c r="A22" i="120" s="1"/>
  <x:c r="A23" i="120" s="1"/>
  <x:c r="A24" i="120" s="1"/>
  <x:c r="A25" i="120" s="1"/>
  <x:c r="A26" i="120" s="1"/>
  <x:c r="A27" i="120" s="1"/>
  <x:c r="A28" i="120" s="1"/>
  <x:c r="A29" i="120" s="1"/>
  <x:c r="A30" i="120" s="1"/>
  <x:c r="A31" i="120" s="1"/>
  <x:c r="B6" i="120"/>
  <x:c r="B4" i="120"/>
  <x:c r="B3" i="120"/>
  <x:c r="B2" i="120"/>
  <x:c r="B1" i="120"/>
  <x:c r="C14" i="101" l="1"/>
  <x:c r="A11" i="113"/>
  <x:c r="A12" i="113" s="1"/>
  <x:c r="A13" i="113" s="1"/>
  <x:c r="A14" i="113" s="1"/>
  <x:c r="A15" i="113" s="1"/>
  <x:c r="A16" i="113" s="1"/>
  <x:c r="A17" i="113" s="1"/>
  <x:c r="A18" i="113" s="1"/>
  <x:c r="A19" i="113" s="1"/>
  <x:c r="A20" i="113" s="1"/>
  <x:c r="A21" i="113" s="1"/>
  <x:c r="A22" i="113" s="1"/>
  <x:c r="A23" i="113" s="1"/>
  <x:c r="A24" i="113" s="1"/>
  <x:c r="A25" i="113" s="1"/>
  <x:c r="A26" i="113" s="1"/>
  <x:c r="A27" i="113" s="1"/>
  <x:c r="A28" i="113" s="1"/>
  <x:c r="A29" i="113" s="1"/>
  <x:c r="A30" i="113" s="1"/>
  <x:c r="A31" i="113" s="1"/>
  <x:c r="A32" i="113" s="1"/>
  <x:c r="A33" i="113" s="1"/>
  <x:c r="A34" i="113" s="1"/>
  <x:c r="A35" i="113" s="1"/>
  <x:c r="A36" i="113" s="1"/>
  <x:c r="A37" i="113" s="1"/>
  <x:c r="B6" i="113"/>
  <x:c r="B4" i="113"/>
  <x:c r="B3" i="113"/>
  <x:c r="B2" i="113"/>
  <x:c r="B1" i="113"/>
  <x:c r="C14" i="112"/>
  <x:c r="A12" i="112"/>
  <x:c r="A13" i="112" s="1"/>
  <x:c r="A14" i="112" s="1"/>
  <x:c r="A15" i="112" s="1"/>
  <x:c r="A16" i="112" s="1"/>
  <x:c r="A17" i="112" s="1"/>
  <x:c r="A18" i="112" s="1"/>
  <x:c r="A19" i="112" s="1"/>
  <x:c r="A20" i="112" s="1"/>
  <x:c r="A21" i="112" s="1"/>
  <x:c r="A22" i="112" s="1"/>
  <x:c r="A23" i="112" s="1"/>
  <x:c r="A24" i="112" s="1"/>
  <x:c r="A25" i="112" s="1"/>
  <x:c r="A26" i="112" s="1"/>
  <x:c r="A27" i="112" s="1"/>
  <x:c r="A28" i="112" s="1"/>
  <x:c r="A29" i="112" s="1"/>
  <x:c r="A30" i="112" s="1"/>
  <x:c r="A31" i="112" s="1"/>
  <x:c r="A32" i="112" s="1"/>
  <x:c r="A33" i="112" s="1"/>
  <x:c r="A34" i="112" s="1"/>
  <x:c r="A35" i="112" s="1"/>
  <x:c r="A36" i="112" s="1"/>
  <x:c r="A37" i="112" s="1"/>
  <x:c r="A38" i="112" s="1"/>
  <x:c r="A39" i="112" s="1"/>
  <x:c r="A40" i="112" s="1"/>
  <x:c r="A41" i="112" s="1"/>
  <x:c r="A42" i="112" s="1"/>
  <x:c r="A43" i="112" s="1"/>
  <x:c r="A44" i="112" s="1"/>
  <x:c r="B6" i="112"/>
  <x:c r="B4" i="112"/>
  <x:c r="B3" i="112"/>
  <x:c r="B2" i="112"/>
  <x:c r="B1" i="112"/>
  <x:c r="A45" i="112" l="1"/>
  <x:c r="A46" i="112" s="1"/>
  <x:c r="A47" i="112" s="1"/>
  <x:c r="A48" i="112" s="1"/>
  <x:c r="A11" i="102" l="1"/>
  <x:c r="A12" i="102" s="1"/>
  <x:c r="A13" i="102" s="1"/>
  <x:c r="A14" i="102" s="1"/>
  <x:c r="A15" i="102" s="1"/>
  <x:c r="A16" i="102" s="1"/>
  <x:c r="A17" i="102" s="1"/>
  <x:c r="A18" i="102" s="1"/>
  <x:c r="A19" i="102" s="1"/>
  <x:c r="A20" i="102" s="1"/>
  <x:c r="A21" i="102" s="1"/>
  <x:c r="A22" i="102" s="1"/>
  <x:c r="A23" i="102" s="1"/>
  <x:c r="A24" i="102" s="1"/>
  <x:c r="A25" i="102" s="1"/>
  <x:c r="A26" i="102" s="1"/>
  <x:c r="A27" i="102" s="1"/>
  <x:c r="A28" i="102" s="1"/>
  <x:c r="A29" i="102" s="1"/>
  <x:c r="A30" i="102" s="1"/>
  <x:c r="A31" i="102" s="1"/>
  <x:c r="A32" i="102" s="1"/>
  <x:c r="A33" i="102" s="1"/>
  <x:c r="A34" i="102" s="1"/>
  <x:c r="A35" i="102" s="1"/>
  <x:c r="A36" i="102" s="1"/>
  <x:c r="A37" i="102" s="1"/>
  <x:c r="B6" i="102"/>
  <x:c r="B4" i="102"/>
  <x:c r="B3" i="102"/>
  <x:c r="B2" i="102"/>
  <x:c r="B1" i="102"/>
  <x:c r="A12" i="101"/>
  <x:c r="A13" i="101" s="1"/>
  <x:c r="A14" i="101" s="1"/>
  <x:c r="A15" i="101" s="1"/>
  <x:c r="A16" i="101" s="1"/>
  <x:c r="A17" i="101" s="1"/>
  <x:c r="A18" i="101" s="1"/>
  <x:c r="A19" i="101" s="1"/>
  <x:c r="A20" i="101" s="1"/>
  <x:c r="A21" i="101" s="1"/>
  <x:c r="A22" i="101" s="1"/>
  <x:c r="A23" i="101" s="1"/>
  <x:c r="A24" i="101" s="1"/>
  <x:c r="A25" i="101" s="1"/>
  <x:c r="A26" i="101" s="1"/>
  <x:c r="A27" i="101" s="1"/>
  <x:c r="A28" i="101" s="1"/>
  <x:c r="A29" i="101" s="1"/>
  <x:c r="A30" i="101" s="1"/>
  <x:c r="A31" i="101" s="1"/>
  <x:c r="B6" i="101"/>
  <x:c r="B4" i="101"/>
  <x:c r="B3" i="101"/>
  <x:c r="B2" i="101"/>
  <x:c r="B1" i="101"/>
  <x:c r="C14" i="95" l="1"/>
  <x:c r="C14" i="76"/>
  <x:c r="C14" i="54"/>
  <x:c r="C13" i="54"/>
  <x:c r="C14" i="72"/>
  <x:c r="C13" i="72"/>
  <x:c r="C14" i="52" l="1"/>
  <x:c r="C13" i="52"/>
  <x:c r="C14" i="68" l="1"/>
  <x:c r="C13" i="68"/>
  <x:c r="A11" i="96" l="1"/>
  <x:c r="A12" i="96" s="1"/>
  <x:c r="A13" i="96" s="1"/>
  <x:c r="A14" i="96" s="1"/>
  <x:c r="A15" i="96" s="1"/>
  <x:c r="A16" i="96" s="1"/>
  <x:c r="A17" i="96" s="1"/>
  <x:c r="A18" i="96" s="1"/>
  <x:c r="A19" i="96" s="1"/>
  <x:c r="A20" i="96" s="1"/>
  <x:c r="A21" i="96" s="1"/>
  <x:c r="A22" i="96" s="1"/>
  <x:c r="A23" i="96" s="1"/>
  <x:c r="A24" i="96" s="1"/>
  <x:c r="A25" i="96" s="1"/>
  <x:c r="A26" i="96" s="1"/>
  <x:c r="A27" i="96" s="1"/>
  <x:c r="A28" i="96" s="1"/>
  <x:c r="A29" i="96" s="1"/>
  <x:c r="A30" i="96" s="1"/>
  <x:c r="A31" i="96" s="1"/>
  <x:c r="A32" i="96" s="1"/>
  <x:c r="A33" i="96" s="1"/>
  <x:c r="A34" i="96" s="1"/>
  <x:c r="A35" i="96" s="1"/>
  <x:c r="A36" i="96" s="1"/>
  <x:c r="A37" i="96" s="1"/>
  <x:c r="B6" i="96"/>
  <x:c r="B4" i="96"/>
  <x:c r="B3" i="96"/>
  <x:c r="B2" i="96"/>
  <x:c r="B1" i="96"/>
  <x:c r="A12" i="95"/>
  <x:c r="A13" i="95" s="1"/>
  <x:c r="A14" i="95" s="1"/>
  <x:c r="A15" i="95" s="1"/>
  <x:c r="A16" i="95" s="1"/>
  <x:c r="A17" i="95" s="1"/>
  <x:c r="A18" i="95" s="1"/>
  <x:c r="A19" i="95" s="1"/>
  <x:c r="A20" i="95" s="1"/>
  <x:c r="A21" i="95" s="1"/>
  <x:c r="A22" i="95" s="1"/>
  <x:c r="A23" i="95" s="1"/>
  <x:c r="A24" i="95" s="1"/>
  <x:c r="A25" i="95" s="1"/>
  <x:c r="A26" i="95" s="1"/>
  <x:c r="A27" i="95" s="1"/>
  <x:c r="A28" i="95" s="1"/>
  <x:c r="A29" i="95" s="1"/>
  <x:c r="A30" i="95" s="1"/>
  <x:c r="A31" i="95" s="1"/>
  <x:c r="B6" i="95"/>
  <x:c r="B4" i="95"/>
  <x:c r="B3" i="95"/>
  <x:c r="B2" i="95"/>
  <x:c r="B1" i="95"/>
  <x:c r="B6" i="79"/>
  <x:c r="B6" i="81"/>
  <x:c r="B6" i="78"/>
  <x:c r="B6" i="82"/>
  <x:c r="B6" i="84"/>
  <x:c r="B6" i="77"/>
  <x:c r="B4" i="79"/>
  <x:c r="B4" i="81"/>
  <x:c r="B4" i="78"/>
  <x:c r="B4" i="82"/>
  <x:c r="B4" i="84"/>
  <x:c r="B4" i="77"/>
  <x:c r="B3" i="79"/>
  <x:c r="B3" i="81"/>
  <x:c r="B3" i="78"/>
  <x:c r="B3" i="82"/>
  <x:c r="B3" i="84"/>
  <x:c r="B3" i="77"/>
  <x:c r="B2" i="79"/>
  <x:c r="B2" i="81"/>
  <x:c r="B2" i="78"/>
  <x:c r="B2" i="82"/>
  <x:c r="B2" i="84"/>
  <x:c r="B2" i="77"/>
  <x:c r="B1" i="79"/>
  <x:c r="B1" i="81"/>
  <x:c r="B1" i="78"/>
  <x:c r="B1" i="82"/>
  <x:c r="B1" i="84"/>
  <x:c r="B1" i="77"/>
  <x:c r="A11" i="84"/>
  <x:c r="A12" i="84" s="1"/>
  <x:c r="A13" i="84" s="1"/>
  <x:c r="A14" i="84" s="1"/>
  <x:c r="A15" i="84" s="1"/>
  <x:c r="A16" i="84" s="1"/>
  <x:c r="A17" i="84" s="1"/>
  <x:c r="A18" i="84" s="1"/>
  <x:c r="A19" i="84" s="1"/>
  <x:c r="A20" i="84" s="1"/>
  <x:c r="A21" i="84" s="1"/>
  <x:c r="A22" i="84" s="1"/>
  <x:c r="A23" i="84" s="1"/>
  <x:c r="A24" i="84" s="1"/>
  <x:c r="A25" i="84" s="1"/>
  <x:c r="A26" i="84" s="1"/>
  <x:c r="A27" i="84" s="1"/>
  <x:c r="A28" i="84" s="1"/>
  <x:c r="A29" i="84" s="1"/>
  <x:c r="A30" i="84" s="1"/>
  <x:c r="A31" i="84" s="1"/>
  <x:c r="A32" i="84" s="1"/>
  <x:c r="A33" i="84" s="1"/>
  <x:c r="A34" i="84" s="1"/>
  <x:c r="A35" i="84" s="1"/>
  <x:c r="A36" i="84" s="1"/>
  <x:c r="A37" i="84" s="1"/>
  <x:c r="A11" i="82"/>
  <x:c r="A12" i="82" s="1"/>
  <x:c r="A13" i="82" s="1"/>
  <x:c r="A14" i="82" s="1"/>
  <x:c r="A15" i="82" s="1"/>
  <x:c r="A16" i="82" s="1"/>
  <x:c r="A17" i="82" s="1"/>
  <x:c r="A18" i="82" s="1"/>
  <x:c r="A19" i="82" s="1"/>
  <x:c r="A20" i="82" s="1"/>
  <x:c r="A21" i="82" s="1"/>
  <x:c r="A22" i="82" s="1"/>
  <x:c r="A23" i="82" s="1"/>
  <x:c r="A24" i="82" s="1"/>
  <x:c r="A25" i="82" s="1"/>
  <x:c r="A26" i="82" s="1"/>
  <x:c r="A27" i="82" s="1"/>
  <x:c r="A28" i="82" s="1"/>
  <x:c r="A29" i="82" s="1"/>
  <x:c r="A30" i="82" s="1"/>
  <x:c r="A31" i="82" s="1"/>
  <x:c r="A32" i="82" s="1"/>
  <x:c r="A33" i="82" s="1"/>
  <x:c r="A34" i="82" s="1"/>
  <x:c r="A35" i="82" s="1"/>
  <x:c r="A36" i="82" s="1"/>
  <x:c r="A37" i="82" s="1"/>
  <x:c r="A11" i="81"/>
  <x:c r="A12" i="81" s="1"/>
  <x:c r="A13" i="81" s="1"/>
  <x:c r="A14" i="81" s="1"/>
  <x:c r="A15" i="81" s="1"/>
  <x:c r="A16" i="81" s="1"/>
  <x:c r="A17" i="81" s="1"/>
  <x:c r="A18" i="81" s="1"/>
  <x:c r="A19" i="81" s="1"/>
  <x:c r="A20" i="81" s="1"/>
  <x:c r="A21" i="81" s="1"/>
  <x:c r="A22" i="81" s="1"/>
  <x:c r="A23" i="81" s="1"/>
  <x:c r="A24" i="81" s="1"/>
  <x:c r="A25" i="81" s="1"/>
  <x:c r="A26" i="81" s="1"/>
  <x:c r="A27" i="81" s="1"/>
  <x:c r="A28" i="81" s="1"/>
  <x:c r="A29" i="81" s="1"/>
  <x:c r="A30" i="81" s="1"/>
  <x:c r="A31" i="81" s="1"/>
  <x:c r="A32" i="81" s="1"/>
  <x:c r="A33" i="81" s="1"/>
  <x:c r="A34" i="81" s="1"/>
  <x:c r="A35" i="81" s="1"/>
  <x:c r="A36" i="81" s="1"/>
  <x:c r="A37" i="81" s="1"/>
  <x:c r="A11" i="79"/>
  <x:c r="A12" i="79" s="1"/>
  <x:c r="A13" i="79" s="1"/>
  <x:c r="A14" i="79" s="1"/>
  <x:c r="A15" i="79" s="1"/>
  <x:c r="A16" i="79" s="1"/>
  <x:c r="A17" i="79" s="1"/>
  <x:c r="A18" i="79" s="1"/>
  <x:c r="A19" i="79" s="1"/>
  <x:c r="A20" i="79" s="1"/>
  <x:c r="A21" i="79" s="1"/>
  <x:c r="A22" i="79" s="1"/>
  <x:c r="A23" i="79" s="1"/>
  <x:c r="A24" i="79" s="1"/>
  <x:c r="A25" i="79" s="1"/>
  <x:c r="A26" i="79" s="1"/>
  <x:c r="A27" i="79" s="1"/>
  <x:c r="A28" i="79" s="1"/>
  <x:c r="A29" i="79" s="1"/>
  <x:c r="A30" i="79" s="1"/>
  <x:c r="A31" i="79" s="1"/>
  <x:c r="A32" i="79" s="1"/>
  <x:c r="A33" i="79" s="1"/>
  <x:c r="A34" i="79" s="1"/>
  <x:c r="A35" i="79" s="1"/>
  <x:c r="A36" i="79" s="1"/>
  <x:c r="A37" i="79" s="1"/>
  <x:c r="A11" i="78"/>
  <x:c r="A12" i="78" s="1"/>
  <x:c r="A13" i="78" s="1"/>
  <x:c r="A14" i="78" s="1"/>
  <x:c r="A15" i="78" s="1"/>
  <x:c r="A16" i="78" s="1"/>
  <x:c r="A17" i="78" s="1"/>
  <x:c r="A18" i="78" s="1"/>
  <x:c r="A19" i="78" s="1"/>
  <x:c r="A20" i="78" s="1"/>
  <x:c r="A21" i="78" s="1"/>
  <x:c r="A22" i="78" s="1"/>
  <x:c r="A23" i="78" s="1"/>
  <x:c r="A24" i="78" s="1"/>
  <x:c r="A25" i="78" s="1"/>
  <x:c r="A26" i="78" s="1"/>
  <x:c r="A27" i="78" s="1"/>
  <x:c r="A28" i="78" s="1"/>
  <x:c r="A29" i="78" s="1"/>
  <x:c r="A30" i="78" s="1"/>
  <x:c r="A31" i="78" s="1"/>
  <x:c r="A32" i="78" s="1"/>
  <x:c r="A33" i="78" s="1"/>
  <x:c r="A34" i="78" s="1"/>
  <x:c r="A35" i="78" s="1"/>
  <x:c r="A36" i="78" s="1"/>
  <x:c r="A37" i="78" s="1"/>
  <x:c r="A11" i="77"/>
  <x:c r="A12" i="77" s="1"/>
  <x:c r="A13" i="77" s="1"/>
  <x:c r="A14" i="77" s="1"/>
  <x:c r="A15" i="77" s="1"/>
  <x:c r="A16" i="77" s="1"/>
  <x:c r="A17" i="77" s="1"/>
  <x:c r="A18" i="77" s="1"/>
  <x:c r="A19" i="77" s="1"/>
  <x:c r="A20" i="77" s="1"/>
  <x:c r="A21" i="77" s="1"/>
  <x:c r="A22" i="77" s="1"/>
  <x:c r="A23" i="77" s="1"/>
  <x:c r="A24" i="77" s="1"/>
  <x:c r="A25" i="77" s="1"/>
  <x:c r="A26" i="77" s="1"/>
  <x:c r="A27" i="77" s="1"/>
  <x:c r="A28" i="77" s="1"/>
  <x:c r="A29" i="77" s="1"/>
  <x:c r="A30" i="77" s="1"/>
  <x:c r="A31" i="77" s="1"/>
  <x:c r="A32" i="77" s="1"/>
  <x:c r="A33" i="77" s="1"/>
  <x:c r="A34" i="77" s="1"/>
  <x:c r="A35" i="77" s="1"/>
  <x:c r="A36" i="77" s="1"/>
  <x:c r="A37" i="77" s="1"/>
  <x:c r="B3" i="54"/>
  <x:c r="B3" i="68"/>
  <x:c r="B3" i="72"/>
  <x:c r="B3" i="76"/>
  <x:c r="B3" i="52"/>
  <x:c r="B6" i="54"/>
  <x:c r="B6" i="68"/>
  <x:c r="B6" i="72"/>
  <x:c r="B6" i="76"/>
  <x:c r="B6" i="52"/>
  <x:c r="B2" i="54"/>
  <x:c r="B2" i="68"/>
  <x:c r="B2" i="72"/>
  <x:c r="B2" i="76"/>
  <x:c r="B2" i="52"/>
  <x:c r="B1" i="54"/>
  <x:c r="B1" i="68"/>
  <x:c r="B1" i="72"/>
  <x:c r="B1" i="76"/>
  <x:c r="B1" i="52"/>
  <x:c r="B4" i="76"/>
  <x:c r="B4" i="72"/>
  <x:c r="B4" i="54"/>
  <x:c r="B4" i="52"/>
  <x:c r="B4" i="68"/>
  <x:c r="A12" i="72"/>
  <x:c r="A13" i="72" s="1"/>
  <x:c r="A14" i="72" s="1"/>
  <x:c r="A15" i="72" s="1"/>
  <x:c r="A16" i="72" s="1"/>
  <x:c r="A17" i="72" s="1"/>
  <x:c r="A18" i="72" s="1"/>
  <x:c r="A19" i="72" s="1"/>
  <x:c r="A20" i="72" s="1"/>
  <x:c r="A21" i="72" s="1"/>
  <x:c r="A22" i="72" s="1"/>
  <x:c r="A23" i="72" s="1"/>
  <x:c r="A24" i="72" s="1"/>
  <x:c r="A25" i="72" s="1"/>
  <x:c r="A26" i="72" s="1"/>
  <x:c r="A27" i="72" s="1"/>
  <x:c r="A28" i="72" s="1"/>
  <x:c r="A29" i="72" s="1"/>
  <x:c r="A30" i="72" s="1"/>
  <x:c r="A31" i="72" s="1"/>
  <x:c r="A12" i="76"/>
  <x:c r="A13" i="76" s="1"/>
  <x:c r="A14" i="76" s="1"/>
  <x:c r="A15" i="76" s="1"/>
  <x:c r="A16" i="76" s="1"/>
  <x:c r="A17" i="76" s="1"/>
  <x:c r="A18" i="76" s="1"/>
  <x:c r="A19" i="76" s="1"/>
  <x:c r="A20" i="76" s="1"/>
  <x:c r="A21" i="76" s="1"/>
  <x:c r="A22" i="76" s="1"/>
  <x:c r="A23" i="76" s="1"/>
  <x:c r="A24" i="76" s="1"/>
  <x:c r="A25" i="76" s="1"/>
  <x:c r="A26" i="76" s="1"/>
  <x:c r="A27" i="76" s="1"/>
  <x:c r="A12" i="68"/>
  <x:c r="A13" i="68" s="1"/>
  <x:c r="A14" i="68" s="1"/>
  <x:c r="A15" i="68" s="1"/>
  <x:c r="A16" i="68" s="1"/>
  <x:c r="A17" i="68" s="1"/>
  <x:c r="A18" i="68" s="1"/>
  <x:c r="A19" i="68" s="1"/>
  <x:c r="A20" i="68" s="1"/>
  <x:c r="A21" i="68" s="1"/>
  <x:c r="A22" i="68" s="1"/>
  <x:c r="A23" i="68" s="1"/>
  <x:c r="A24" i="68" s="1"/>
  <x:c r="A25" i="68" s="1"/>
  <x:c r="A26" i="68" s="1"/>
  <x:c r="A27" i="68" s="1"/>
  <x:c r="A28" i="68" s="1"/>
  <x:c r="A29" i="68" s="1"/>
  <x:c r="A30" i="68" s="1"/>
  <x:c r="A31" i="68" s="1"/>
  <x:c r="A32" i="68" s="1"/>
  <x:c r="A33" i="68" s="1"/>
  <x:c r="A34" i="68" s="1"/>
  <x:c r="A12" i="54"/>
  <x:c r="A13" i="54" s="1"/>
  <x:c r="A14" i="54" s="1"/>
  <x:c r="A15" i="54" s="1"/>
  <x:c r="A16" i="54" s="1"/>
  <x:c r="A17" i="54" s="1"/>
  <x:c r="A18" i="54" s="1"/>
  <x:c r="A19" i="54" s="1"/>
  <x:c r="A20" i="54" s="1"/>
  <x:c r="A21" i="54" s="1"/>
  <x:c r="A22" i="54" s="1"/>
  <x:c r="A23" i="54" s="1"/>
  <x:c r="A24" i="54" s="1"/>
  <x:c r="A25" i="54" s="1"/>
  <x:c r="A26" i="54" s="1"/>
  <x:c r="A27" i="54" s="1"/>
  <x:c r="A28" i="54" s="1"/>
  <x:c r="A29" i="54" s="1"/>
  <x:c r="A30" i="54" s="1"/>
  <x:c r="A31" i="54" s="1"/>
  <x:c r="A12" i="52"/>
  <x:c r="A13" i="52" s="1"/>
  <x:c r="A14" i="52" s="1"/>
  <x:c r="A15" i="52" s="1"/>
  <x:c r="A16" i="52" s="1"/>
  <x:c r="A17" i="52" s="1"/>
  <x:c r="A18" i="52" s="1"/>
  <x:c r="A19" i="52" s="1"/>
  <x:c r="A20" i="52" s="1"/>
  <x:c r="A21" i="52" s="1"/>
  <x:c r="A22" i="52" s="1"/>
  <x:c r="A23" i="52" s="1"/>
  <x:c r="A24" i="52" s="1"/>
  <x:c r="A25" i="52" s="1"/>
  <x:c r="A26" i="52" s="1"/>
  <x:c r="A27" i="52" s="1"/>
  <x:c r="A28" i="52" s="1"/>
  <x:c r="A29" i="52" s="1"/>
  <x:c r="A30" i="52" s="1"/>
  <x:c r="A31" i="52" s="1"/>
  <x:c r="A32" i="52" s="1"/>
  <x:c r="A33" i="52" s="1"/>
  <x:c r="A34" i="52" s="1"/>
  <x:c r="A35" i="52" s="1"/>
  <x:c r="A12" i="51"/>
  <x:c r="A13" i="51" s="1"/>
  <x:c r="A14" i="51" s="1"/>
  <x:c r="A15" i="51" s="1"/>
  <x:c r="A16" i="51" s="1"/>
  <x:c r="A17" i="51" s="1"/>
  <x:c r="A18" i="51" s="1"/>
  <x:c r="A19" i="51" s="1"/>
  <x:c r="A20" i="51" s="1"/>
  <x:c r="A21" i="51" s="1"/>
  <x:c r="A22" i="51" s="1"/>
  <x:c r="A23" i="51" s="1"/>
  <x:c r="A24" i="51" s="1"/>
  <x:c r="A25" i="51" s="1"/>
  <x:c r="A26" i="51" s="1"/>
  <x:c r="A27" i="51" s="1"/>
  <x:c r="A28" i="51" s="1"/>
  <x:c r="A29" i="51" s="1"/>
  <x:c r="A30" i="51" s="1"/>
  <x:c r="A31" i="51" s="1"/>
  <x:c r="A32" i="51" s="1"/>
  <x:c r="A33" i="51" s="1"/>
  <x:c r="A34" i="51" s="1"/>
  <x:c r="A35" i="68" l="1"/>
  <x:c r="A36" i="68" s="1"/>
  <x:c r="A37" i="68" s="1"/>
  <x:c r="A38" i="68" s="1"/>
  <x:c r="A39" i="68" s="1"/>
  <x:c r="A40" i="68" s="1"/>
  <x:c r="A41" i="68" s="1"/>
  <x:c r="A42" i="68" s="1"/>
  <x:c r="A43" i="68" s="1"/>
  <x:c r="A44" i="68" s="1"/>
  <x:c r="A45" i="68" s="1"/>
  <x:c r="A46" i="68" s="1"/>
  <x:c r="A47" i="68" s="1"/>
  <x:c r="A48" i="68" s="1"/>
  <x:c r="A49" i="68" s="1"/>
  <x:c r="A50" i="68" s="1"/>
  <x:c r="A51" i="68" s="1"/>
  <x:c r="A52" i="68" s="1"/>
  <x:c r="A36" i="52"/>
  <x:c r="A37" i="52" s="1"/>
  <x:c r="A38" i="52" s="1"/>
  <x:c r="A35" i="51"/>
  <x:c r="A36" i="51" s="1"/>
  <x:c r="A37" i="51" s="1"/>
  <x:c r="A38" i="51" s="1"/>
  <x:c r="A39" i="51" s="1"/>
  <x:c r="A28" i="76"/>
  <x:c r="A29" i="76" s="1"/>
  <x:c r="A30" i="76" s="1"/>
  <x:c r="A32" i="54"/>
</x:calcChain>
</file>

<file path=xl/sharedStrings.xml><?xml version="1.0" encoding="utf-8"?>
<sst xmlns="http://schemas.openxmlformats.org/spreadsheetml/2006/main" count="598" uniqueCount="108">
  <si>
    <t>Variable</t>
  </si>
  <si>
    <t>Coefficient</t>
  </si>
  <si>
    <t>StdErr</t>
  </si>
  <si>
    <t>T-Stat</t>
  </si>
  <si>
    <t>P-Value</t>
  </si>
  <si>
    <t>Dependent Variable:</t>
  </si>
  <si>
    <t>Estimation Begin Date:</t>
  </si>
  <si>
    <t>Estimation End Date:</t>
  </si>
  <si>
    <t>Deg. of Freedom for Error</t>
  </si>
  <si>
    <t>R-Squared</t>
  </si>
  <si>
    <t>Adjusted R-Squared</t>
  </si>
  <si>
    <t>Durbin-Watson Statistic</t>
  </si>
  <si>
    <t>F-Statistic</t>
  </si>
  <si>
    <t>Prob (F-Statistic)</t>
  </si>
  <si>
    <t>Model Sum of Squares</t>
  </si>
  <si>
    <t>Sum of Squared Errors</t>
  </si>
  <si>
    <t>Mean Squared Error</t>
  </si>
  <si>
    <t>Std. Error of Regression</t>
  </si>
  <si>
    <t>Line</t>
  </si>
  <si>
    <t>No.</t>
  </si>
  <si>
    <t>(a)</t>
  </si>
  <si>
    <t>(b)</t>
  </si>
  <si>
    <t>(d)</t>
  </si>
  <si>
    <t>(e)</t>
  </si>
  <si>
    <t>(c)</t>
  </si>
  <si>
    <t>Adjusted Observations</t>
  </si>
  <si>
    <t xml:space="preserve">PUC DOCKET NO. </t>
  </si>
  <si>
    <t>RESIDENTIAL MODEL</t>
  </si>
  <si>
    <t>CalVars.Jan</t>
  </si>
  <si>
    <t>CalVars.Feb</t>
  </si>
  <si>
    <t>CalVars.Mar</t>
  </si>
  <si>
    <t>CalVars.Apr</t>
  </si>
  <si>
    <t>CalVars.May</t>
  </si>
  <si>
    <t>CalVars.Jun</t>
  </si>
  <si>
    <t>CalVars.Jul</t>
  </si>
  <si>
    <t>CalVars.Aug</t>
  </si>
  <si>
    <t>CalVars.Sep</t>
  </si>
  <si>
    <t>CalVars.Oct</t>
  </si>
  <si>
    <t>CalVars.Nov</t>
  </si>
  <si>
    <t>Res_UPC_Day</t>
  </si>
  <si>
    <t>SS_UPC_Day</t>
  </si>
  <si>
    <t>CalVars.Dec</t>
  </si>
  <si>
    <t>AR(1)</t>
  </si>
  <si>
    <t>LS_UPC_Day</t>
  </si>
  <si>
    <t>After Corrective Procedures for Autocorrelation</t>
  </si>
  <si>
    <t>Before Corrective Procedures for Autocorrelation</t>
  </si>
  <si>
    <t>SECONDARY SERVICE LESS THAN OR EQUAL TO 10 KW  MODEL</t>
  </si>
  <si>
    <t>SECONDARY SERVICE GREATER THAN 10 KW MODEL</t>
  </si>
  <si>
    <t>RESIDENTIAL  (B) MODEL</t>
  </si>
  <si>
    <t>SECONDARY SERVICE LESS THAN OR EQUAL TO 10 KW  (B) MODEL</t>
  </si>
  <si>
    <t>SECONDARY SERVICE GREATER THAN 10 KW (B) MODEL</t>
  </si>
  <si>
    <t>SPONSOR: D. E. NELSON</t>
  </si>
  <si>
    <t>ResVars.XOther</t>
  </si>
  <si>
    <t>Model Statistics</t>
  </si>
  <si>
    <t>AR(2)</t>
  </si>
  <si>
    <t>AR(3)</t>
  </si>
  <si>
    <t>AR(4)</t>
  </si>
  <si>
    <t>AR(5)</t>
  </si>
  <si>
    <t>Constant_Shifts.NOV2015</t>
  </si>
  <si>
    <t>ONCOR ELECTRIC DELIVERY COMPANY LLC</t>
  </si>
  <si>
    <t>MODEL INFORMATION</t>
  </si>
  <si>
    <t>Ljung-Box Statistic</t>
  </si>
  <si>
    <t>Prob (Ljung-Box)</t>
  </si>
  <si>
    <t>Residential Model</t>
  </si>
  <si>
    <t>Residential B Model</t>
  </si>
  <si>
    <t>Secondary Service Less Than or Equal to 10 KW Model</t>
  </si>
  <si>
    <t>Secondary Service Less Than or Equal to 10 KW B Model</t>
  </si>
  <si>
    <t>Secondary Service Greater Than 10 KW Model</t>
  </si>
  <si>
    <t>Secondary Service Greater Than 10 KW B Model</t>
  </si>
  <si>
    <t>DP_UPD</t>
  </si>
  <si>
    <t>SUB_UPD</t>
  </si>
  <si>
    <t>ResVars.XOtherTrend</t>
  </si>
  <si>
    <t>Economic_Demogr_Data.DFW_ESRV</t>
  </si>
  <si>
    <t>Economic_Demogr_Data.EMFGONCOR</t>
  </si>
  <si>
    <t>DATAforSales4cast.GMPR</t>
  </si>
  <si>
    <t>Mean Abs. Dev. (MAD)</t>
  </si>
  <si>
    <t>Mean Abs. % Err. (MAPE)</t>
  </si>
  <si>
    <t>AR(6)</t>
  </si>
  <si>
    <t>AR(7)</t>
  </si>
  <si>
    <t>AR(8)</t>
  </si>
  <si>
    <t>AR(9)</t>
  </si>
  <si>
    <t>AR(10)</t>
  </si>
  <si>
    <t>PRIMARY SERVICE GREATER THAN 10 KW Distribution Line (B) MODEL</t>
  </si>
  <si>
    <t>Primary Service Greater Than 10 KW Distribution Line Model</t>
  </si>
  <si>
    <t>Primary Service Greater Than 10 KW Substation Model</t>
  </si>
  <si>
    <t>PRIMARY SERVICE GREATER THAN 10 KW SUBSTATION MODEL</t>
  </si>
  <si>
    <t>Primary Service Greater Than 10 KW Distribution Line B Model</t>
  </si>
  <si>
    <t>PRIMARY SERVICE GREATER THAN 10 KW SUBSTATION B MODEL</t>
  </si>
  <si>
    <t>Primary Service Greater Than 10 KW Substation B Model</t>
  </si>
  <si>
    <t>PRIMARY SERVICE GREATER THAN 10 KW Distribution Line MODEL</t>
  </si>
  <si>
    <t>FOR THE TEST YEAR ENDING DECEMBER 31, 2024</t>
  </si>
  <si>
    <t>Cyc_WthrT.XHeat</t>
  </si>
  <si>
    <t>Cyc_WthrT.XCool</t>
  </si>
  <si>
    <t>ResVars.XHeatTrend</t>
  </si>
  <si>
    <t>ResVars.XCoolTrend</t>
  </si>
  <si>
    <t>Cyc_WthrT.SS_HDD</t>
  </si>
  <si>
    <t>Cyc_WthrT.SS_CDD</t>
  </si>
  <si>
    <t>Cyc_WthrT.LS_CDD</t>
  </si>
  <si>
    <t>Cyc_WthrT.LS_HDD</t>
  </si>
  <si>
    <t>AR(11)</t>
  </si>
  <si>
    <t>AR(12)</t>
  </si>
  <si>
    <t>AR(13)</t>
  </si>
  <si>
    <t>AR(14)</t>
  </si>
  <si>
    <t>Cyc_WthrT.LP_CDD</t>
  </si>
  <si>
    <t>Constant_Shifts.JuL2023</t>
  </si>
  <si>
    <t>Constant_Shifts.Mar2024</t>
  </si>
  <si>
    <t>Cyc_WthrT.SUB_CDD</t>
  </si>
  <si>
    <t>Covid.Covid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</si>
</sst>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"/>
    <numFmt numFmtId="165" formatCode="#,##0.000"/>
    <numFmt numFmtId="166" formatCode="0.0000"/>
    <numFmt numFmtId="167" formatCode="mmm\-yyyy"/>
    <numFmt numFmtId="168" formatCode="0.000;\-0.000"/>
    <numFmt numFmtId="169" formatCode="0.00%;\-0.00%"/>
    <numFmt numFmtId="170" formatCode="0;\-0"/>
    <numFmt numFmtId="171" formatCode="#,##0.0000"/>
  </numFmts>
  <fonts count="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u/>
      <sz val="9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/>
    <xf numFmtId="0" fontId="4" fillId="2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quotePrefix="1" applyFont="1" applyAlignment="1">
      <alignment horizontal="center"/>
    </xf>
    <xf numFmtId="10" fontId="0" fillId="0" borderId="0" xfId="0" applyNumberFormat="1"/>
    <xf numFmtId="167" fontId="5" fillId="0" borderId="0" xfId="0" applyNumberFormat="1" applyFont="1" applyAlignment="1">
      <alignment horizontal="left"/>
    </xf>
    <xf numFmtId="10" fontId="4" fillId="0" borderId="0" xfId="0" applyNumberFormat="1" applyFont="1" applyAlignment="1">
      <alignment horizontal="left" vertical="center"/>
    </xf>
    <xf numFmtId="10" fontId="4" fillId="0" borderId="0" xfId="0" applyNumberFormat="1" applyFont="1" applyAlignment="1">
      <alignment horizontal="right" vertical="center"/>
    </xf>
    <xf numFmtId="10" fontId="0" fillId="0" borderId="0" xfId="0" applyNumberFormat="1" applyAlignment="1">
      <alignment horizontal="right"/>
    </xf>
    <xf numFmtId="168" fontId="0" fillId="0" borderId="0" xfId="0" applyNumberFormat="1"/>
    <xf numFmtId="169" fontId="0" fillId="0" borderId="0" xfId="0" applyNumberFormat="1"/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170" fontId="0" fillId="0" borderId="0" xfId="0" applyNumberFormat="1" applyAlignment="1">
      <alignment horizontal="right" vertical="center"/>
    </xf>
    <xf numFmtId="0" fontId="0" fillId="2" borderId="0" xfId="0" applyFill="1" applyBorder="1" applyAlignment="1">
      <alignment horizontal="center" vertical="center"/>
    </xf>
    <xf numFmtId="1" fontId="0" fillId="0" borderId="0" xfId="0" applyNumberFormat="1" applyAlignment="1">
      <alignment horizontal="right" vertical="center"/>
    </xf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166" fontId="0" fillId="0" borderId="0" xfId="0" applyNumberFormat="1"/>
    <xf numFmtId="0" fontId="4" fillId="0" borderId="0" xfId="0" applyFont="1" applyFill="1" applyBorder="1" applyAlignment="1">
      <alignment horizontal="center" vertical="center"/>
    </xf>
    <xf numFmtId="0" fontId="0" fillId="0" borderId="0" xfId="0" applyFill="1"/>
    <xf numFmtId="4" fontId="0" fillId="0" borderId="0" xfId="0" applyNumberFormat="1"/>
    <xf numFmtId="165" fontId="0" fillId="0" borderId="0" xfId="0" applyNumberFormat="1"/>
    <xf numFmtId="0" fontId="2" fillId="0" borderId="0" xfId="0" applyFont="1"/>
    <xf numFmtId="165" fontId="0" fillId="0" borderId="0" xfId="0" applyNumberFormat="1" applyFill="1"/>
    <xf numFmtId="164" fontId="0" fillId="0" borderId="0" xfId="0" applyNumberFormat="1" applyFill="1"/>
    <xf numFmtId="3" fontId="0" fillId="0" borderId="0" xfId="0" applyNumberFormat="1" applyFill="1"/>
    <xf numFmtId="167" fontId="5" fillId="0" borderId="0" xfId="0" applyNumberFormat="1" applyFont="1" applyFill="1" applyAlignment="1">
      <alignment horizontal="left"/>
    </xf>
    <xf numFmtId="2" fontId="0" fillId="0" borderId="0" xfId="0" applyNumberFormat="1" applyFill="1"/>
    <xf numFmtId="166" fontId="0" fillId="0" borderId="0" xfId="0" applyNumberFormat="1" applyFill="1"/>
    <xf numFmtId="4" fontId="0" fillId="0" borderId="0" xfId="0" applyNumberFormat="1" applyFill="1"/>
    <xf numFmtId="171" fontId="0" fillId="0" borderId="0" xfId="0" applyNumberFormat="1" applyFill="1"/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7" fillId="0" borderId="0" xfId="0" applyFont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a16="http://schemas.microsoft.com/office/drawing/2014/main" xmlns:r="http://schemas.openxmlformats.org/officeDocument/2006/relationships"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0</xdr:rowOff>
    </xdr:from>
    <xdr:to>
      <xdr:col>7</xdr:col>
      <xdr:colOff>534399</xdr:colOff>
      <xdr:row>36</xdr:row>
      <xdr:rowOff>75667</xdr:rowOff>
    </xdr:to>
    <xdr:pic>
      <xdr:nvPicPr>
        <xdr:cNvPr id="3" name="Picture 2" descr="" title="">
          <a:extLst>
            <a:ext uri="{FF2B5EF4-FFF2-40B4-BE49-F238E27FC236}">
              <a16:creationId xmlns:a16="http://schemas.microsoft.com/office/drawing/2014/main" id="{6E77A5B6-36D6-4839-9488-2443CFD84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96440"/>
          <a:ext cx="7247619" cy="42666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a16="http://schemas.microsoft.com/office/drawing/2014/main" xmlns:r="http://schemas.openxmlformats.org/officeDocument/2006/relationships"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0</xdr:rowOff>
    </xdr:from>
    <xdr:to>
      <xdr:col>7</xdr:col>
      <xdr:colOff>534399</xdr:colOff>
      <xdr:row>36</xdr:row>
      <xdr:rowOff>75667</xdr:rowOff>
    </xdr:to>
    <xdr:pic>
      <xdr:nvPicPr>
        <xdr:cNvPr id="4" name="Picture 3" descr="" title="">
          <a:extLst>
            <a:ext uri="{FF2B5EF4-FFF2-40B4-BE49-F238E27FC236}">
              <a16:creationId xmlns:a16="http://schemas.microsoft.com/office/drawing/2014/main" id="{7782B76B-AB93-4068-81AF-FA783089C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96440"/>
          <a:ext cx="7247619" cy="42666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a16="http://schemas.microsoft.com/office/drawing/2014/main" xmlns:r="http://schemas.openxmlformats.org/officeDocument/2006/relationships"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0</xdr:rowOff>
    </xdr:from>
    <xdr:to>
      <xdr:col>7</xdr:col>
      <xdr:colOff>534399</xdr:colOff>
      <xdr:row>36</xdr:row>
      <xdr:rowOff>75667</xdr:rowOff>
    </xdr:to>
    <xdr:pic>
      <xdr:nvPicPr>
        <xdr:cNvPr id="3" name="Picture 2" descr="" title="">
          <a:extLst>
            <a:ext uri="{FF2B5EF4-FFF2-40B4-BE49-F238E27FC236}">
              <a16:creationId xmlns:a16="http://schemas.microsoft.com/office/drawing/2014/main" id="{5E136828-D63E-4FC5-A233-49D079C7A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96440"/>
          <a:ext cx="7247619" cy="426666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a16="http://schemas.microsoft.com/office/drawing/2014/main" xmlns:r="http://schemas.openxmlformats.org/officeDocument/2006/relationships"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0</xdr:rowOff>
    </xdr:from>
    <xdr:to>
      <xdr:col>7</xdr:col>
      <xdr:colOff>534399</xdr:colOff>
      <xdr:row>36</xdr:row>
      <xdr:rowOff>75667</xdr:rowOff>
    </xdr:to>
    <xdr:pic>
      <xdr:nvPicPr>
        <xdr:cNvPr id="4" name="Picture 3" descr="" title="">
          <a:extLst>
            <a:ext uri="{FF2B5EF4-FFF2-40B4-BE49-F238E27FC236}">
              <a16:creationId xmlns:a16="http://schemas.microsoft.com/office/drawing/2014/main" id="{C891E9B9-4693-43D7-9B90-256955081C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96440"/>
          <a:ext cx="7247619" cy="426666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a16="http://schemas.microsoft.com/office/drawing/2014/main" xmlns:r="http://schemas.openxmlformats.org/officeDocument/2006/relationships"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0</xdr:rowOff>
    </xdr:from>
    <xdr:to>
      <xdr:col>7</xdr:col>
      <xdr:colOff>534399</xdr:colOff>
      <xdr:row>36</xdr:row>
      <xdr:rowOff>75667</xdr:rowOff>
    </xdr:to>
    <xdr:pic>
      <xdr:nvPicPr>
        <xdr:cNvPr id="2" name="Picture 1" descr="" title="">
          <a:extLst>
            <a:ext uri="{FF2B5EF4-FFF2-40B4-BE49-F238E27FC236}">
              <a16:creationId xmlns:a16="http://schemas.microsoft.com/office/drawing/2014/main" id="{EEF552C2-4E64-41D7-AA8E-C245FEEF3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96440"/>
          <a:ext cx="7247619" cy="426666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a16="http://schemas.microsoft.com/office/drawing/2014/main" xmlns:r="http://schemas.openxmlformats.org/officeDocument/2006/relationships"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0</xdr:rowOff>
    </xdr:from>
    <xdr:to>
      <xdr:col>7</xdr:col>
      <xdr:colOff>587739</xdr:colOff>
      <xdr:row>36</xdr:row>
      <xdr:rowOff>75667</xdr:rowOff>
    </xdr:to>
    <xdr:pic>
      <xdr:nvPicPr>
        <xdr:cNvPr id="3" name="Picture 2" descr="" title="">
          <a:extLst>
            <a:ext uri="{FF2B5EF4-FFF2-40B4-BE49-F238E27FC236}">
              <a16:creationId xmlns:a16="http://schemas.microsoft.com/office/drawing/2014/main" id="{3A0AB9F7-F3AA-45A3-A13D-D6672E744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96440"/>
          <a:ext cx="7247619" cy="426666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a16="http://schemas.microsoft.com/office/drawing/2014/main" xmlns:r="http://schemas.openxmlformats.org/officeDocument/2006/relationships"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0</xdr:rowOff>
    </xdr:from>
    <xdr:to>
      <xdr:col>7</xdr:col>
      <xdr:colOff>534399</xdr:colOff>
      <xdr:row>36</xdr:row>
      <xdr:rowOff>75667</xdr:rowOff>
    </xdr:to>
    <xdr:pic>
      <xdr:nvPicPr>
        <xdr:cNvPr id="2" name="Picture 1" descr="" title="">
          <a:extLst>
            <a:ext uri="{FF2B5EF4-FFF2-40B4-BE49-F238E27FC236}">
              <a16:creationId xmlns:a16="http://schemas.microsoft.com/office/drawing/2014/main" id="{178C0175-B5F5-4A4C-86E7-BDA6E67F2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96440"/>
          <a:ext cx="7247619" cy="426666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a16="http://schemas.microsoft.com/office/drawing/2014/main" xmlns:r="http://schemas.openxmlformats.org/officeDocument/2006/relationships"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0</xdr:rowOff>
    </xdr:from>
    <xdr:to>
      <xdr:col>7</xdr:col>
      <xdr:colOff>534399</xdr:colOff>
      <xdr:row>36</xdr:row>
      <xdr:rowOff>75667</xdr:rowOff>
    </xdr:to>
    <xdr:pic>
      <xdr:nvPicPr>
        <xdr:cNvPr id="3" name="Picture 2" descr="" title="">
          <a:extLst>
            <a:ext uri="{FF2B5EF4-FFF2-40B4-BE49-F238E27FC236}">
              <a16:creationId xmlns:a16="http://schemas.microsoft.com/office/drawing/2014/main" id="{FC0745D4-0BDD-4D27-B084-A72517128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96440"/>
          <a:ext cx="7247619" cy="426666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a16="http://schemas.microsoft.com/office/drawing/2014/main" xmlns:r="http://schemas.openxmlformats.org/officeDocument/2006/relationships"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0</xdr:rowOff>
    </xdr:from>
    <xdr:to>
      <xdr:col>7</xdr:col>
      <xdr:colOff>534399</xdr:colOff>
      <xdr:row>36</xdr:row>
      <xdr:rowOff>75667</xdr:rowOff>
    </xdr:to>
    <xdr:pic>
      <xdr:nvPicPr>
        <xdr:cNvPr id="3" name="Picture 2" descr="" title="">
          <a:extLst>
            <a:ext uri="{FF2B5EF4-FFF2-40B4-BE49-F238E27FC236}">
              <a16:creationId xmlns:a16="http://schemas.microsoft.com/office/drawing/2014/main" id="{03156D56-B895-420B-AD28-7F8589322D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96440"/>
          <a:ext cx="7247619" cy="426666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a16="http://schemas.microsoft.com/office/drawing/2014/main" xmlns:r="http://schemas.openxmlformats.org/officeDocument/2006/relationships"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0</xdr:rowOff>
    </xdr:from>
    <xdr:to>
      <xdr:col>7</xdr:col>
      <xdr:colOff>534399</xdr:colOff>
      <xdr:row>36</xdr:row>
      <xdr:rowOff>75667</xdr:rowOff>
    </xdr:to>
    <xdr:pic>
      <xdr:nvPicPr>
        <xdr:cNvPr id="3" name="Picture 2" descr="" title="">
          <a:extLst>
            <a:ext uri="{FF2B5EF4-FFF2-40B4-BE49-F238E27FC236}">
              <a16:creationId xmlns:a16="http://schemas.microsoft.com/office/drawing/2014/main" id="{453A4E16-474A-4E65-B7C6-50B481471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96440"/>
          <a:ext cx="7247619" cy="42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1.xml" Id="rId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../drawings/drawing2.xml" Id="rId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../drawings/drawing3.xml" Id="rId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../drawings/drawing4.xml" Id="rId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../drawings/drawing5.xml" Id="rId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../drawings/drawing6.xml" Id="rId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../drawings/drawing7.xml" Id="rId2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../drawings/drawing8.xml" Id="rId2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../drawings/drawing9.xml" Id="rId2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../drawings/drawing10.xml" Id="rId2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1">
    <x:pageSetUpPr fitToPage="1"/>
  </x:sheetPr>
  <x:dimension ref="A1:F57"/>
  <x:sheetViews>
    <x:sheetView tabSelected="1" zoomScaleNormal="100" workbookViewId="0"/>
  </x:sheetViews>
  <x:sheetFormatPr defaultRowHeight="12.5" x14ac:dyDescent="0.25"/>
  <x:cols>
    <x:col min="1" max="1" width="9.36328125" bestFit="1" customWidth="1"/>
    <x:col min="2" max="2" width="26.90625" bestFit="1" customWidth="1"/>
    <x:col min="3" max="3" width="12.54296875" customWidth="1"/>
    <x:col min="4" max="5" width="9.36328125" bestFit="1" customWidth="1"/>
    <x:col min="6" max="6" width="9.36328125" customWidth="1"/>
  </x:cols>
  <x:sheetData>
    <x:row r="1" spans="1:6" s="1" customFormat="1" ht="15.5" x14ac:dyDescent="0.35">
      <x:c r="A1" s="5"/>
      <x:c r="B1" s="37" t="s">
        <x:v>26</x:v>
      </x:c>
      <x:c r="C1" s="37"/>
      <x:c r="D1" s="37"/>
      <x:c r="E1" s="37"/>
      <x:c r="F1" s="37"/>
    </x:row>
    <x:row r="2" spans="1:6" s="1" customFormat="1" ht="15.5" x14ac:dyDescent="0.35">
      <x:c r="A2" s="5"/>
      <x:c r="B2" s="37" t="s">
        <x:v>59</x:v>
      </x:c>
      <x:c r="C2" s="37"/>
      <x:c r="D2" s="37"/>
      <x:c r="E2" s="37"/>
      <x:c r="F2" s="37"/>
    </x:row>
    <x:row r="3" spans="1:6" s="1" customFormat="1" ht="15.5" x14ac:dyDescent="0.35">
      <x:c r="A3" s="5"/>
      <x:c r="B3" s="37" t="s">
        <x:v>60</x:v>
      </x:c>
      <x:c r="C3" s="37"/>
      <x:c r="D3" s="37"/>
      <x:c r="E3" s="37"/>
      <x:c r="F3" s="37"/>
    </x:row>
    <x:row r="4" spans="1:6" s="1" customFormat="1" ht="15.5" x14ac:dyDescent="0.35">
      <x:c r="A4" s="5"/>
      <x:c r="B4" s="37" t="s">
        <x:v>90</x:v>
      </x:c>
      <x:c r="C4" s="37"/>
      <x:c r="D4" s="37"/>
      <x:c r="E4" s="37"/>
      <x:c r="F4" s="37"/>
    </x:row>
    <x:row r="5" spans="1:6" s="1" customFormat="1" ht="11.5" x14ac:dyDescent="0.25">
      <x:c r="A5" s="5"/>
    </x:row>
    <x:row r="6" spans="1:6" s="1" customFormat="1" ht="15.5" x14ac:dyDescent="0.35">
      <x:c r="A6" s="5"/>
      <x:c r="B6" s="37" t="s">
        <x:v>51</x:v>
      </x:c>
      <x:c r="C6" s="37"/>
      <x:c r="D6" s="37"/>
      <x:c r="E6" s="37"/>
      <x:c r="F6" s="37"/>
    </x:row>
    <x:row r="8" spans="1:6" ht="15.5" x14ac:dyDescent="0.35">
      <x:c r="B8" s="37" t="s">
        <x:v>27</x:v>
      </x:c>
      <x:c r="C8" s="37"/>
      <x:c r="D8" s="37"/>
      <x:c r="E8" s="37"/>
      <x:c r="F8" s="37"/>
    </x:row>
    <x:row r="9" spans="1:6" s="1" customFormat="1" ht="11.5" x14ac:dyDescent="0.25">
      <x:c r="A9" s="5" t="s">
        <x:v>18</x:v>
      </x:c>
      <x:c r="B9" s="38"/>
      <x:c r="C9" s="38"/>
      <x:c r="D9" s="38"/>
      <x:c r="E9" s="38"/>
      <x:c r="F9" s="38"/>
    </x:row>
    <x:row r="10" spans="1:6" s="1" customFormat="1" ht="11.5" x14ac:dyDescent="0.25">
      <x:c r="A10" s="6" t="s">
        <x:v>19</x:v>
      </x:c>
      <x:c r="B10" s="7" t="s">
        <x:v>20</x:v>
      </x:c>
      <x:c r="C10" s="7" t="s">
        <x:v>21</x:v>
      </x:c>
      <x:c r="D10" s="7" t="s">
        <x:v>24</x:v>
      </x:c>
      <x:c r="E10" s="7" t="s">
        <x:v>22</x:v>
      </x:c>
      <x:c r="F10" s="7" t="s">
        <x:v>23</x:v>
      </x:c>
    </x:row>
    <x:row r="11" spans="1:6" s="1" customFormat="1" ht="11.5" x14ac:dyDescent="0.25">
      <x:c r="A11" s="5">
        <x:v>1</x:v>
      </x:c>
      <x:c r="B11" s="3" t="s">
        <x:v>44</x:v>
      </x:c>
      <x:c r="C11" s="3"/>
    </x:row>
    <x:row r="12" spans="1:6" s="1" customFormat="1" ht="11.5" x14ac:dyDescent="0.25">
      <x:c r="A12" s="5">
        <x:f t="shared" ref="A12:A56" si="0">+A11+1</x:f>
        <x:v>2</x:v>
      </x:c>
      <x:c r="B12" s="3" t="s">
        <x:v>5</x:v>
      </x:c>
      <x:c r="C12" s="3" t="s">
        <x:v>39</x:v>
      </x:c>
    </x:row>
    <x:row r="13" spans="1:6" s="1" customFormat="1" ht="11.5" x14ac:dyDescent="0.25">
      <x:c r="A13" s="5">
        <x:f t="shared" si="0"/>
        <x:v>3</x:v>
      </x:c>
      <x:c r="B13" s="3" t="s">
        <x:v>6</x:v>
      </x:c>
      <x:c r="C13" s="9">
        <x:v>40179</x:v>
      </x:c>
    </x:row>
    <x:row r="14" spans="1:6" s="1" customFormat="1" ht="11.5" x14ac:dyDescent="0.25">
      <x:c r="A14" s="5">
        <x:f t="shared" si="0"/>
        <x:v>4</x:v>
      </x:c>
      <x:c r="B14" s="3" t="s">
        <x:v>7</x:v>
      </x:c>
      <x:c r="C14" s="9">
        <x:v>45444</x:v>
      </x:c>
    </x:row>
    <x:row r="15" spans="1:6" s="1" customFormat="1" ht="11.5" x14ac:dyDescent="0.25">
      <x:c r="A15" s="5">
        <x:f t="shared" si="0"/>
        <x:v>5</x:v>
      </x:c>
    </x:row>
    <x:row r="16" spans="1:6" s="1" customFormat="1" ht="11.5" x14ac:dyDescent="0.25">
      <x:c r="A16" s="5">
        <x:f t="shared" si="0"/>
        <x:v>6</x:v>
      </x:c>
      <x:c r="B16" s="4" t="s">
        <x:v>0</x:v>
      </x:c>
      <x:c r="C16" s="4" t="s">
        <x:v>1</x:v>
      </x:c>
      <x:c r="D16" s="4" t="s">
        <x:v>2</x:v>
      </x:c>
      <x:c r="E16" s="4" t="s">
        <x:v>3</x:v>
      </x:c>
      <x:c r="F16" s="4" t="s">
        <x:v>4</x:v>
      </x:c>
    </x:row>
    <x:row r="17" spans="1:6" x14ac:dyDescent="0.25">
      <x:c r="A17" s="5">
        <x:f t="shared" si="0"/>
        <x:v>7</x:v>
      </x:c>
      <x:c r="B17" s="28" t="s">
        <x:v>91</x:v>
      </x:c>
      <x:c r="C17" s="13">
        <x:v>1.9390000000000001</x:v>
      </x:c>
      <x:c r="D17" s="13">
        <x:v>6.8000000000000005E-2</x:v>
      </x:c>
      <x:c r="E17" s="13">
        <x:v>28.696000000000002</x:v>
      </x:c>
      <x:c r="F17" s="14">
        <x:v>0</x:v>
      </x:c>
    </x:row>
    <x:row r="18" spans="1:6" x14ac:dyDescent="0.25">
      <x:c r="A18" s="5">
        <x:f t="shared" si="0"/>
        <x:v>8</x:v>
      </x:c>
      <x:c r="B18" t="s">
        <x:v>92</x:v>
      </x:c>
      <x:c r="C18" s="13">
        <x:v>2.1640000000000001</x:v>
      </x:c>
      <x:c r="D18" s="13">
        <x:v>5.6000000000000001E-2</x:v>
      </x:c>
      <x:c r="E18" s="13">
        <x:v>38.78</x:v>
      </x:c>
      <x:c r="F18" s="14">
        <x:v>0</x:v>
      </x:c>
    </x:row>
    <x:row r="19" spans="1:6" x14ac:dyDescent="0.25">
      <x:c r="A19" s="5">
        <x:f t="shared" si="0"/>
        <x:v>9</x:v>
      </x:c>
      <x:c r="B19" t="s">
        <x:v>52</x:v>
      </x:c>
      <x:c r="C19" s="13">
        <x:v>0.41599999999999998</x:v>
      </x:c>
      <x:c r="D19" s="13">
        <x:v>0.314</x:v>
      </x:c>
      <x:c r="E19" s="13">
        <x:v>1.325</x:v>
      </x:c>
      <x:c r="F19" s="14">
        <x:v>0.18720000000000001</x:v>
      </x:c>
    </x:row>
    <x:row r="20" spans="1:6" x14ac:dyDescent="0.25">
      <x:c r="A20" s="5">
        <x:f t="shared" si="0"/>
        <x:v>10</x:v>
      </x:c>
      <x:c r="B20" t="s">
        <x:v>28</x:v>
      </x:c>
      <x:c r="C20" s="13">
        <x:v>15.92</x:v>
      </x:c>
      <x:c r="D20" s="13">
        <x:v>8.2309999999999999</x:v>
      </x:c>
      <x:c r="E20" s="13">
        <x:v>1.9339999999999999</x:v>
      </x:c>
      <x:c r="F20" s="14">
        <x:v>5.5E-2</x:v>
      </x:c>
    </x:row>
    <x:row r="21" spans="1:6" x14ac:dyDescent="0.25">
      <x:c r="A21" s="5">
        <x:f t="shared" si="0"/>
        <x:v>11</x:v>
      </x:c>
      <x:c r="B21" t="s">
        <x:v>29</x:v>
      </x:c>
      <x:c r="C21" s="13">
        <x:v>15.577</x:v>
      </x:c>
      <x:c r="D21" s="13">
        <x:v>8.1950000000000003</x:v>
      </x:c>
      <x:c r="E21" s="13">
        <x:v>1.901</x:v>
      </x:c>
      <x:c r="F21" s="14">
        <x:v>5.9299999999999999E-2</x:v>
      </x:c>
    </x:row>
    <x:row r="22" spans="1:6" x14ac:dyDescent="0.25">
      <x:c r="A22" s="5">
        <x:f t="shared" si="0"/>
        <x:v>12</x:v>
      </x:c>
      <x:c r="B22" t="s">
        <x:v>30</x:v>
      </x:c>
      <x:c r="C22" s="13">
        <x:v>14.507</x:v>
      </x:c>
      <x:c r="D22" s="13">
        <x:v>8.1479999999999997</x:v>
      </x:c>
      <x:c r="E22" s="13">
        <x:v>1.78</x:v>
      </x:c>
      <x:c r="F22" s="14">
        <x:v>7.7100000000000002E-2</x:v>
      </x:c>
    </x:row>
    <x:row r="23" spans="1:6" x14ac:dyDescent="0.25">
      <x:c r="A23" s="5">
        <x:f t="shared" si="0"/>
        <x:v>13</x:v>
      </x:c>
      <x:c r="B23" t="s">
        <x:v>31</x:v>
      </x:c>
      <x:c r="C23" s="13">
        <x:v>14.054</x:v>
      </x:c>
      <x:c r="D23" s="13">
        <x:v>8.032</x:v>
      </x:c>
      <x:c r="E23" s="13">
        <x:v>1.75</x:v>
      </x:c>
      <x:c r="F23" s="14">
        <x:v>8.2199999999999995E-2</x:v>
      </x:c>
    </x:row>
    <x:row r="24" spans="1:6" x14ac:dyDescent="0.25">
      <x:c r="A24" s="5">
        <x:f t="shared" si="0"/>
        <x:v>14</x:v>
      </x:c>
      <x:c r="B24" t="s">
        <x:v>32</x:v>
      </x:c>
      <x:c r="C24" s="13">
        <x:v>14.773</x:v>
      </x:c>
      <x:c r="D24" s="13">
        <x:v>7.9950000000000001</x:v>
      </x:c>
      <x:c r="E24" s="13">
        <x:v>1.8480000000000001</x:v>
      </x:c>
      <x:c r="F24" s="14">
        <x:v>6.6600000000000006E-2</x:v>
      </x:c>
    </x:row>
    <x:row r="25" spans="1:6" x14ac:dyDescent="0.25">
      <x:c r="A25" s="5">
        <x:f t="shared" si="0"/>
        <x:v>15</x:v>
      </x:c>
      <x:c r="B25" t="s">
        <x:v>33</x:v>
      </x:c>
      <x:c r="C25" s="13">
        <x:v>16.756</x:v>
      </x:c>
      <x:c r="D25" s="13">
        <x:v>8.0030000000000001</x:v>
      </x:c>
      <x:c r="E25" s="13">
        <x:v>2.0939999999999999</x:v>
      </x:c>
      <x:c r="F25" s="14">
        <x:v>3.7999999999999999E-2</x:v>
      </x:c>
    </x:row>
    <x:row r="26" spans="1:6" x14ac:dyDescent="0.25">
      <x:c r="A26" s="5">
        <x:f t="shared" si="0"/>
        <x:v>16</x:v>
      </x:c>
      <x:c r="B26" t="s">
        <x:v>34</x:v>
      </x:c>
      <x:c r="C26" s="13">
        <x:v>18.231000000000002</x:v>
      </x:c>
      <x:c r="D26" s="13">
        <x:v>7.8789999999999996</x:v>
      </x:c>
      <x:c r="E26" s="13">
        <x:v>2.3140000000000001</x:v>
      </x:c>
      <x:c r="F26" s="14">
        <x:v>2.2100000000000002E-2</x:v>
      </x:c>
    </x:row>
    <x:row r="27" spans="1:6" x14ac:dyDescent="0.25">
      <x:c r="A27" s="5">
        <x:f t="shared" si="0"/>
        <x:v>17</x:v>
      </x:c>
      <x:c r="B27" t="s">
        <x:v>35</x:v>
      </x:c>
      <x:c r="C27" s="13">
        <x:v>18.373000000000001</x:v>
      </x:c>
      <x:c r="D27" s="13">
        <x:v>7.8390000000000004</x:v>
      </x:c>
      <x:c r="E27" s="13">
        <x:v>2.3439999999999999</x:v>
      </x:c>
      <x:c r="F27" s="14">
        <x:v>2.0400000000000001E-2</x:v>
      </x:c>
    </x:row>
    <x:row r="28" spans="1:6" x14ac:dyDescent="0.25">
      <x:c r="A28" s="5">
        <x:f t="shared" si="0"/>
        <x:v>18</x:v>
      </x:c>
      <x:c r="B28" t="s">
        <x:v>36</x:v>
      </x:c>
      <x:c r="C28" s="13">
        <x:v>17.952999999999999</x:v>
      </x:c>
      <x:c r="D28" s="13">
        <x:v>7.8730000000000002</x:v>
      </x:c>
      <x:c r="E28" s="13">
        <x:v>2.2799999999999998</x:v>
      </x:c>
      <x:c r="F28" s="14">
        <x:v>2.4E-2</x:v>
      </x:c>
    </x:row>
    <x:row r="29" spans="1:6" x14ac:dyDescent="0.25">
      <x:c r="A29" s="5">
        <x:f t="shared" si="0"/>
        <x:v>19</x:v>
      </x:c>
      <x:c r="B29" t="s">
        <x:v>37</x:v>
      </x:c>
      <x:c r="C29" s="13">
        <x:v>16.852</x:v>
      </x:c>
      <x:c r="D29" s="13">
        <x:v>7.92</x:v>
      </x:c>
      <x:c r="E29" s="13">
        <x:v>2.1280000000000001</x:v>
      </x:c>
      <x:c r="F29" s="14">
        <x:v>3.5000000000000003E-2</x:v>
      </x:c>
    </x:row>
    <x:row r="30" spans="1:6" x14ac:dyDescent="0.25">
      <x:c r="A30" s="5">
        <x:f t="shared" si="0"/>
        <x:v>20</x:v>
      </x:c>
      <x:c r="B30" t="s">
        <x:v>38</x:v>
      </x:c>
      <x:c r="C30" s="13">
        <x:v>14.28</x:v>
      </x:c>
      <x:c r="D30" s="13">
        <x:v>7.99</x:v>
      </x:c>
      <x:c r="E30" s="13">
        <x:v>1.7869999999999999</x:v>
      </x:c>
      <x:c r="F30" s="14">
        <x:v>7.5999999999999998E-2</x:v>
      </x:c>
    </x:row>
    <x:row r="31" spans="1:6" x14ac:dyDescent="0.25">
      <x:c r="A31" s="5">
        <x:f t="shared" si="0"/>
        <x:v>21</x:v>
      </x:c>
      <x:c r="B31" t="s">
        <x:v>41</x:v>
      </x:c>
      <x:c r="C31" s="13">
        <x:v>14.324</x:v>
      </x:c>
      <x:c r="D31" s="13">
        <x:v>8.15</x:v>
      </x:c>
      <x:c r="E31" s="13">
        <x:v>1.7569999999999999</x:v>
      </x:c>
      <x:c r="F31" s="14">
        <x:v>8.09E-2</x:v>
      </x:c>
    </x:row>
    <x:row r="32" spans="1:6" x14ac:dyDescent="0.25">
      <x:c r="A32" s="5">
        <x:f t="shared" si="0"/>
        <x:v>22</x:v>
      </x:c>
      <x:c r="B32" t="s">
        <x:v>93</x:v>
      </x:c>
      <x:c r="C32" s="13">
        <x:v>7.0000000000000001E-3</x:v>
      </x:c>
      <x:c r="D32" s="13">
        <x:v>5.0000000000000001E-3</x:v>
      </x:c>
      <x:c r="E32" s="13">
        <x:v>1.3220000000000001</x:v>
      </x:c>
      <x:c r="F32" s="14">
        <x:v>0.18820000000000001</x:v>
      </x:c>
    </x:row>
    <x:row r="33" spans="1:6" x14ac:dyDescent="0.25">
      <x:c r="A33" s="5">
        <x:f t="shared" si="0"/>
        <x:v>23</x:v>
      </x:c>
      <x:c r="B33" t="s">
        <x:v>94</x:v>
      </x:c>
      <x:c r="C33" s="13">
        <x:v>6.0000000000000001E-3</x:v>
      </x:c>
      <x:c r="D33" s="13">
        <x:v>3.0000000000000001E-3</x:v>
      </x:c>
      <x:c r="E33" s="13">
        <x:v>1.8919999999999999</x:v>
      </x:c>
      <x:c r="F33" s="14">
        <x:v>6.0400000000000002E-2</x:v>
      </x:c>
    </x:row>
    <x:row r="34" spans="1:6" x14ac:dyDescent="0.25">
      <x:c r="A34" s="5">
        <x:f t="shared" si="0"/>
        <x:v>24</x:v>
      </x:c>
      <x:c r="B34" t="s">
        <x:v>71</x:v>
      </x:c>
      <x:c r="C34" s="13">
        <x:v>-7.0000000000000001E-3</x:v>
      </x:c>
      <x:c r="D34" s="13">
        <x:v>2E-3</x:v>
      </x:c>
      <x:c r="E34" s="13">
        <x:v>-3.73</x:v>
      </x:c>
      <x:c r="F34" s="14">
        <x:v>2.9999999999999997E-4</x:v>
      </x:c>
    </x:row>
    <x:row r="35" spans="1:6" x14ac:dyDescent="0.25">
      <x:c r="A35" s="5">
        <x:f t="shared" si="0"/>
        <x:v>25</x:v>
      </x:c>
      <x:c r="B35" s="28" t="s">
        <x:v>107</x:v>
      </x:c>
      <x:c r="C35" s="13">
        <x:v>0.88300000000000001</x:v>
      </x:c>
      <x:c r="D35" s="13">
        <x:v>0.52300000000000002</x:v>
      </x:c>
      <x:c r="E35" s="13">
        <x:v>1.6879999999999999</x:v>
      </x:c>
      <x:c r="F35" s="14">
        <x:v>9.3600000000000003E-2</x:v>
      </x:c>
    </x:row>
    <x:row r="36" spans="1:6" x14ac:dyDescent="0.25">
      <x:c r="A36" s="5">
        <x:f t="shared" si="0"/>
        <x:v>26</x:v>
      </x:c>
      <x:c r="B36" t="s">
        <x:v>42</x:v>
      </x:c>
      <x:c r="C36" s="13">
        <x:v>0.65800000000000003</x:v>
      </x:c>
      <x:c r="D36" s="13">
        <x:v>8.4000000000000005E-2</x:v>
      </x:c>
      <x:c r="E36" s="13">
        <x:v>7.8780000000000001</x:v>
      </x:c>
      <x:c r="F36" s="14">
        <x:v>0</x:v>
      </x:c>
    </x:row>
    <x:row r="37" spans="1:6" x14ac:dyDescent="0.25">
      <x:c r="A37" s="5">
        <x:f t="shared" si="0"/>
        <x:v>27</x:v>
      </x:c>
      <x:c r="B37" t="s">
        <x:v>54</x:v>
      </x:c>
      <x:c r="C37" s="13">
        <x:v>-0.221</x:v>
      </x:c>
      <x:c r="D37" s="13">
        <x:v>9.2999999999999999E-2</x:v>
      </x:c>
      <x:c r="E37" s="13">
        <x:v>-2.37</x:v>
      </x:c>
      <x:c r="F37" s="14">
        <x:v>1.9099999999999999E-2</x:v>
      </x:c>
    </x:row>
    <x:row r="38" spans="1:6" x14ac:dyDescent="0.25">
      <x:c r="A38" s="5">
        <x:f t="shared" si="0"/>
        <x:v>28</x:v>
      </x:c>
      <x:c r="B38" t="s">
        <x:v>55</x:v>
      </x:c>
      <x:c r="C38" s="13">
        <x:v>0.30199999999999999</x:v>
      </x:c>
      <x:c r="D38" s="13">
        <x:v>9.1999999999999998E-2</x:v>
      </x:c>
      <x:c r="E38" s="13">
        <x:v>3.2719999999999998</x:v>
      </x:c>
      <x:c r="F38" s="14">
        <x:v>1.2999999999999999E-3</x:v>
      </x:c>
    </x:row>
    <x:row r="39" spans="1:6" x14ac:dyDescent="0.25">
      <x:c r="A39" s="5">
        <x:f t="shared" si="0"/>
        <x:v>29</x:v>
      </x:c>
      <x:c r="B39" t="s">
        <x:v>56</x:v>
      </x:c>
      <x:c r="C39" s="13">
        <x:v>-0.17699999999999999</x:v>
      </x:c>
      <x:c r="D39" s="13">
        <x:v>0.08</x:v>
      </x:c>
      <x:c r="E39" s="13">
        <x:v>-2.2040000000000002</x:v>
      </x:c>
      <x:c r="F39" s="14">
        <x:v>2.9100000000000001E-2</x:v>
      </x:c>
    </x:row>
    <x:row r="40" spans="1:6" x14ac:dyDescent="0.25">
      <x:c r="A40" s="5">
        <x:f t="shared" si="0"/>
        <x:v>30</x:v>
      </x:c>
      <x:c r="B40" s="16"/>
      <x:c r="C40" s="19"/>
      <x:c r="F40" s="10"/>
    </x:row>
    <x:row r="41" spans="1:6" x14ac:dyDescent="0.25">
      <x:c r="A41" s="5">
        <x:f t="shared" si="0"/>
        <x:v>31</x:v>
      </x:c>
      <x:c r="B41" s="15" t="s">
        <x:v>53</x:v>
      </x:c>
      <x:c r="C41" s="17"/>
      <x:c r="F41" s="10"/>
    </x:row>
    <x:row r="42" spans="1:6" x14ac:dyDescent="0.25">
      <x:c r="A42" s="5">
        <x:f t="shared" si="0"/>
        <x:v>32</x:v>
      </x:c>
      <x:c r="B42" t="s">
        <x:v>25</x:v>
      </x:c>
      <x:c r="C42" s="25">
        <x:v>170</x:v>
      </x:c>
      <x:c r="F42" s="8"/>
    </x:row>
    <x:row r="43" spans="1:6" x14ac:dyDescent="0.25">
      <x:c r="A43" s="5">
        <x:f t="shared" si="0"/>
        <x:v>33</x:v>
      </x:c>
      <x:c r="B43" t="s">
        <x:v>8</x:v>
      </x:c>
      <x:c r="C43" s="20">
        <x:v>147</x:v>
      </x:c>
      <x:c r="F43" s="8"/>
    </x:row>
    <x:row r="44" spans="1:6" x14ac:dyDescent="0.25">
      <x:c r="A44" s="5">
        <x:f t="shared" si="0"/>
        <x:v>34</x:v>
      </x:c>
      <x:c r="B44" t="s">
        <x:v>9</x:v>
      </x:c>
      <x:c r="C44" s="30">
        <x:v>0.997</x:v>
      </x:c>
      <x:c r="F44" s="8"/>
    </x:row>
    <x:row r="45" spans="1:6" x14ac:dyDescent="0.25">
      <x:c r="A45" s="5">
        <x:f t="shared" si="0"/>
        <x:v>35</x:v>
      </x:c>
      <x:c r="B45" t="s">
        <x:v>10</x:v>
      </x:c>
      <x:c r="C45" s="30">
        <x:v>0.997</x:v>
      </x:c>
      <x:c r="F45" s="8"/>
    </x:row>
    <x:row r="46" spans="1:6" x14ac:dyDescent="0.25">
      <x:c r="A46" s="5">
        <x:f t="shared" si="0"/>
        <x:v>36</x:v>
      </x:c>
      <x:c r="B46" t="s">
        <x:v>12</x:v>
      </x:c>
      <x:c r="C46" s="33">
        <x:v>2440.8049999999998</x:v>
      </x:c>
      <x:c r="F46" s="8"/>
    </x:row>
    <x:row r="47" spans="1:6" x14ac:dyDescent="0.25">
      <x:c r="A47" s="5">
        <x:f t="shared" si="0"/>
        <x:v>37</x:v>
      </x:c>
      <x:c r="B47" t="s">
        <x:v>13</x:v>
      </x:c>
      <x:c r="C47" s="34">
        <x:v>0</x:v>
      </x:c>
      <x:c r="F47" s="8"/>
    </x:row>
    <x:row r="48" spans="1:6" s="21" customFormat="1" x14ac:dyDescent="0.25">
      <x:c r="A48" s="5">
        <x:f t="shared" si="0"/>
        <x:v>38</x:v>
      </x:c>
      <x:c r="B48" t="s">
        <x:v>14</x:v>
      </x:c>
      <x:c r="C48" s="21">
        <x:v>19493.3</x:v>
      </x:c>
    </x:row>
    <x:row r="49" spans="1:6" x14ac:dyDescent="0.25">
      <x:c r="A49" s="5">
        <x:f t="shared" si="0"/>
        <x:v>39</x:v>
      </x:c>
      <x:c r="B49" t="s">
        <x:v>15</x:v>
      </x:c>
      <x:c r="C49" s="21">
        <x:v>53.36</x:v>
      </x:c>
      <x:c r="F49" s="8"/>
    </x:row>
    <x:row r="50" spans="1:6" x14ac:dyDescent="0.25">
      <x:c r="A50" s="5">
        <x:f t="shared" si="0"/>
        <x:v>40</x:v>
      </x:c>
      <x:c r="B50" t="s">
        <x:v>16</x:v>
      </x:c>
      <x:c r="C50">
        <x:v>0.36</x:v>
      </x:c>
      <x:c r="F50" s="8"/>
    </x:row>
    <x:row r="51" spans="1:6" x14ac:dyDescent="0.25">
      <x:c r="A51" s="5">
        <x:f t="shared" si="0"/>
        <x:v>41</x:v>
      </x:c>
      <x:c r="B51" t="s">
        <x:v>17</x:v>
      </x:c>
      <x:c r="C51" s="21">
        <x:v>0.6</x:v>
      </x:c>
      <x:c r="F51" s="8"/>
    </x:row>
    <x:row r="52" spans="1:6" x14ac:dyDescent="0.25">
      <x:c r="A52" s="5">
        <x:f t="shared" si="0"/>
        <x:v>42</x:v>
      </x:c>
      <x:c r="B52" t="s">
        <x:v>75</x:v>
      </x:c>
      <x:c r="C52">
        <x:v>0.46</x:v>
      </x:c>
    </x:row>
    <x:row r="53" spans="1:6" x14ac:dyDescent="0.25">
      <x:c r="A53" s="5">
        <x:f t="shared" si="0"/>
        <x:v>43</x:v>
      </x:c>
      <x:c r="B53" t="s">
        <x:v>76</x:v>
      </x:c>
      <x:c r="C53" s="8">
        <x:v>1.21E-2</x:v>
      </x:c>
    </x:row>
    <x:row r="54" spans="1:6" x14ac:dyDescent="0.25">
      <x:c r="A54" s="5">
        <x:f t="shared" si="0"/>
        <x:v>44</x:v>
      </x:c>
      <x:c r="B54" t="s">
        <x:v>11</x:v>
      </x:c>
      <x:c r="C54" s="22">
        <x:v>1.96</x:v>
      </x:c>
    </x:row>
    <x:row r="55" spans="1:6" x14ac:dyDescent="0.25">
      <x:c r="A55" s="5">
        <x:f t="shared" si="0"/>
        <x:v>45</x:v>
      </x:c>
      <x:c r="B55" t="s">
        <x:v>61</x:v>
      </x:c>
      <x:c r="C55">
        <x:v>11.96</x:v>
      </x:c>
    </x:row>
    <x:row r="56" spans="1:6" x14ac:dyDescent="0.25">
      <x:c r="A56" s="5">
        <x:f t="shared" si="0"/>
        <x:v>46</x:v>
      </x:c>
      <x:c r="B56" t="s">
        <x:v>62</x:v>
      </x:c>
      <x:c r="C56">
        <x:v>0.98029999999999995</x:v>
      </x:c>
    </x:row>
    <x:row r="57" spans="1:6" x14ac:dyDescent="0.25">
      <x:c r="A57" s="5"/>
    </x:row>
  </x:sheetData>
  <x:mergeCells count="7">
    <x:mergeCell ref="B6:F6"/>
    <x:mergeCell ref="B9:F9"/>
    <x:mergeCell ref="B1:F1"/>
    <x:mergeCell ref="B2:F2"/>
    <x:mergeCell ref="B3:F3"/>
    <x:mergeCell ref="B4:F4"/>
    <x:mergeCell ref="B8:F8"/>
  </x:mergeCells>
  <x:phoneticPr fontId="3" type="noConversion"/>
  <x:pageMargins left="0.7" right="0.7" top="0.75" bottom="0.75" header="0.3" footer="0.3"/>
  <x:pageSetup scale="93" firstPageNumber="8" orientation="portrait" useFirstPageNumber="1" r:id="rId1"/>
  <x:headerFooter>
    <x:oddHeader xml:space="preserve">&amp;RSchedule II-H-2.1
Page  &amp;P of  27
</x:oddHeader>
  </x:headerFooter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pageSetUpPr fitToPage="1"/>
  </x:sheetPr>
  <x:dimension ref="A1:H37"/>
  <x:sheetViews>
    <x:sheetView workbookViewId="0"/>
  </x:sheetViews>
  <x:sheetFormatPr defaultRowHeight="12.5" x14ac:dyDescent="0.25"/>
  <x:cols>
    <x:col min="2" max="2" width="20.36328125" customWidth="1"/>
    <x:col min="3" max="3" width="17.1796875" customWidth="1"/>
    <x:col min="4" max="4" width="18.81640625" customWidth="1"/>
    <x:col min="5" max="5" width="14.6328125" customWidth="1"/>
    <x:col min="6" max="6" width="15.90625" customWidth="1"/>
    <x:col min="7" max="7" width="11" customWidth="1"/>
  </x:cols>
  <x:sheetData>
    <x:row r="1" spans="1:8" ht="15.5" x14ac:dyDescent="0.25">
      <x:c r="A1" s="5"/>
      <x:c r="B1" s="41" t="str">
        <x:f>+'RES Model'!B1:F1</x:f>
        <x:v xml:space="preserve">PUC DOCKET NO. </x:v>
      </x:c>
      <x:c r="C1" s="39"/>
      <x:c r="D1" s="39"/>
      <x:c r="E1" s="39"/>
      <x:c r="F1" s="39"/>
      <x:c r="G1" s="39"/>
      <x:c r="H1" s="39"/>
    </x:row>
    <x:row r="2" spans="1:8" ht="15.5" x14ac:dyDescent="0.35">
      <x:c r="A2" s="5"/>
      <x:c r="B2" s="37" t="str">
        <x:f>+'RES Model'!B2:F2</x:f>
        <x:v>ONCOR ELECTRIC DELIVERY COMPANY LLC</x:v>
      </x:c>
      <x:c r="C2" s="39"/>
      <x:c r="D2" s="39"/>
      <x:c r="E2" s="39"/>
      <x:c r="F2" s="39"/>
      <x:c r="G2" s="39"/>
      <x:c r="H2" s="39"/>
    </x:row>
    <x:row r="3" spans="1:8" ht="15.5" x14ac:dyDescent="0.35">
      <x:c r="A3" s="5"/>
      <x:c r="B3" s="37" t="str">
        <x:f>+'RES Model'!B3:F3</x:f>
        <x:v>MODEL INFORMATION</x:v>
      </x:c>
      <x:c r="C3" s="39"/>
      <x:c r="D3" s="39"/>
      <x:c r="E3" s="39"/>
      <x:c r="F3" s="39"/>
      <x:c r="G3" s="39"/>
      <x:c r="H3" s="39"/>
    </x:row>
    <x:row r="4" spans="1:8" ht="15.5" x14ac:dyDescent="0.35">
      <x:c r="A4" s="5"/>
      <x:c r="B4" s="37" t="str">
        <x:f>+'RES Model'!B4:F4</x:f>
        <x:v>FOR THE TEST YEAR ENDING DECEMBER 31, 2024</x:v>
      </x:c>
      <x:c r="C4" s="39"/>
      <x:c r="D4" s="39"/>
      <x:c r="E4" s="39"/>
      <x:c r="F4" s="39"/>
      <x:c r="G4" s="39"/>
      <x:c r="H4" s="39"/>
    </x:row>
    <x:row r="5" spans="1:8" x14ac:dyDescent="0.25">
      <x:c r="A5" s="5"/>
      <x:c r="B5" s="1"/>
      <x:c r="C5" s="1"/>
      <x:c r="D5" s="1"/>
      <x:c r="E5" s="1"/>
      <x:c r="F5" s="1"/>
      <x:c r="G5" s="1"/>
      <x:c r="H5" s="1"/>
    </x:row>
    <x:row r="6" spans="1:8" ht="15.5" x14ac:dyDescent="0.35">
      <x:c r="A6" s="5"/>
      <x:c r="B6" s="37" t="str">
        <x:f>+'RES Model'!B6:F6</x:f>
        <x:v>SPONSOR: D. E. NELSON</x:v>
      </x:c>
      <x:c r="C6" s="39"/>
      <x:c r="D6" s="39"/>
      <x:c r="E6" s="39"/>
      <x:c r="F6" s="39"/>
      <x:c r="G6" s="39"/>
      <x:c r="H6" s="39"/>
    </x:row>
    <x:row r="8" spans="1:8" x14ac:dyDescent="0.25">
      <x:c r="A8" s="5" t="s">
        <x:v>18</x:v>
      </x:c>
      <x:c r="B8" s="38"/>
      <x:c r="C8" s="38"/>
      <x:c r="D8" s="38"/>
      <x:c r="E8" s="38"/>
      <x:c r="F8" s="38"/>
      <x:c r="G8" s="1"/>
      <x:c r="H8" s="1"/>
    </x:row>
    <x:row r="9" spans="1:8" x14ac:dyDescent="0.25">
      <x:c r="A9" s="6" t="s">
        <x:v>19</x:v>
      </x:c>
      <x:c r="B9" s="7"/>
      <x:c r="C9" s="7"/>
      <x:c r="D9" s="7"/>
      <x:c r="E9" s="7"/>
      <x:c r="F9" s="7"/>
      <x:c r="G9" s="1"/>
      <x:c r="H9" s="1"/>
    </x:row>
    <x:row r="10" spans="1:8" x14ac:dyDescent="0.25">
      <x:c r="A10" s="5">
        <x:v>1</x:v>
      </x:c>
      <x:c r="B10" s="38" t="s">
        <x:v>63</x:v>
      </x:c>
      <x:c r="C10" s="39"/>
      <x:c r="D10" s="39"/>
      <x:c r="E10" s="39"/>
      <x:c r="F10" s="39"/>
      <x:c r="G10" s="39"/>
      <x:c r="H10" s="39"/>
    </x:row>
    <x:row r="11" spans="1:8" x14ac:dyDescent="0.25">
      <x:c r="A11" s="5">
        <x:f t="shared" ref="A11:A37" si="0">+A10+1</x:f>
        <x:v>2</x:v>
      </x:c>
      <x:c r="B11" s="38" t="s">
        <x:v>44</x:v>
      </x:c>
      <x:c r="C11" s="40"/>
      <x:c r="D11" s="40"/>
      <x:c r="E11" s="40"/>
      <x:c r="F11" s="40"/>
      <x:c r="G11" s="40"/>
      <x:c r="H11" s="40"/>
    </x:row>
    <x:row r="12" spans="1:8" x14ac:dyDescent="0.25">
      <x:c r="A12" s="5">
        <x:f t="shared" si="0"/>
        <x:v>3</x:v>
      </x:c>
      <x:c r="B12" s="3"/>
      <x:c r="C12" s="9"/>
      <x:c r="D12" s="1"/>
      <x:c r="E12" s="1"/>
      <x:c r="F12" s="1"/>
      <x:c r="G12" s="1"/>
      <x:c r="H12" s="1"/>
    </x:row>
    <x:row r="13" spans="1:8" x14ac:dyDescent="0.25">
      <x:c r="A13" s="5">
        <x:f t="shared" si="0"/>
        <x:v>4</x:v>
      </x:c>
      <x:c r="B13" s="3"/>
      <x:c r="C13" s="9"/>
      <x:c r="D13" s="1"/>
      <x:c r="E13" s="1"/>
      <x:c r="F13" s="1"/>
      <x:c r="G13" s="1"/>
      <x:c r="H13" s="1"/>
    </x:row>
    <x:row r="14" spans="1:8" x14ac:dyDescent="0.25">
      <x:c r="A14" s="5">
        <x:f t="shared" si="0"/>
        <x:v>5</x:v>
      </x:c>
      <x:c r="B14" s="1"/>
      <x:c r="C14" s="1"/>
      <x:c r="D14" s="1"/>
      <x:c r="E14" s="1"/>
      <x:c r="F14" s="1"/>
      <x:c r="G14" s="1"/>
      <x:c r="H14" s="1"/>
    </x:row>
    <x:row r="15" spans="1:8" x14ac:dyDescent="0.25">
      <x:c r="A15" s="5">
        <x:f t="shared" si="0"/>
        <x:v>6</x:v>
      </x:c>
      <x:c r="B15" s="24"/>
      <x:c r="C15" s="24"/>
      <x:c r="D15" s="24"/>
      <x:c r="E15" s="24"/>
      <x:c r="F15" s="24"/>
      <x:c r="G15" s="1"/>
      <x:c r="H15" s="1"/>
    </x:row>
    <x:row r="16" spans="1:8" x14ac:dyDescent="0.25">
      <x:c r="A16" s="5">
        <x:f t="shared" si="0"/>
        <x:v>7</x:v>
      </x:c>
      <x:c r="F16" s="8"/>
    </x:row>
    <x:row r="17" spans="1:6" x14ac:dyDescent="0.25">
      <x:c r="A17" s="5">
        <x:f t="shared" si="0"/>
        <x:v>8</x:v>
      </x:c>
      <x:c r="F17" s="8"/>
    </x:row>
    <x:row r="18" spans="1:6" x14ac:dyDescent="0.25">
      <x:c r="A18" s="5">
        <x:f t="shared" si="0"/>
        <x:v>9</x:v>
      </x:c>
      <x:c r="F18" s="8"/>
    </x:row>
    <x:row r="19" spans="1:6" x14ac:dyDescent="0.25">
      <x:c r="A19" s="5">
        <x:f t="shared" si="0"/>
        <x:v>10</x:v>
      </x:c>
      <x:c r="F19" s="8"/>
    </x:row>
    <x:row r="20" spans="1:6" x14ac:dyDescent="0.25">
      <x:c r="A20" s="5">
        <x:f t="shared" si="0"/>
        <x:v>11</x:v>
      </x:c>
      <x:c r="F20" s="8"/>
    </x:row>
    <x:row r="21" spans="1:6" x14ac:dyDescent="0.25">
      <x:c r="A21" s="5">
        <x:f t="shared" si="0"/>
        <x:v>12</x:v>
      </x:c>
      <x:c r="F21" s="8"/>
    </x:row>
    <x:row r="22" spans="1:6" x14ac:dyDescent="0.25">
      <x:c r="A22" s="5">
        <x:f t="shared" si="0"/>
        <x:v>13</x:v>
      </x:c>
      <x:c r="F22" s="8"/>
    </x:row>
    <x:row r="23" spans="1:6" x14ac:dyDescent="0.25">
      <x:c r="A23" s="5">
        <x:f t="shared" si="0"/>
        <x:v>14</x:v>
      </x:c>
      <x:c r="F23" s="8"/>
    </x:row>
    <x:row r="24" spans="1:6" x14ac:dyDescent="0.25">
      <x:c r="A24" s="5">
        <x:f t="shared" si="0"/>
        <x:v>15</x:v>
      </x:c>
      <x:c r="F24" s="8"/>
    </x:row>
    <x:row r="25" spans="1:6" x14ac:dyDescent="0.25">
      <x:c r="A25" s="5">
        <x:f t="shared" si="0"/>
        <x:v>16</x:v>
      </x:c>
      <x:c r="F25" s="8"/>
    </x:row>
    <x:row r="26" spans="1:6" x14ac:dyDescent="0.25">
      <x:c r="A26" s="5">
        <x:f t="shared" si="0"/>
        <x:v>17</x:v>
      </x:c>
      <x:c r="F26" s="8"/>
    </x:row>
    <x:row r="27" spans="1:6" x14ac:dyDescent="0.25">
      <x:c r="A27" s="5">
        <x:f t="shared" si="0"/>
        <x:v>18</x:v>
      </x:c>
      <x:c r="F27" s="8"/>
    </x:row>
    <x:row r="28" spans="1:6" x14ac:dyDescent="0.25">
      <x:c r="A28" s="5">
        <x:f t="shared" si="0"/>
        <x:v>19</x:v>
      </x:c>
      <x:c r="F28" s="8"/>
    </x:row>
    <x:row r="29" spans="1:6" x14ac:dyDescent="0.25">
      <x:c r="A29" s="5">
        <x:f t="shared" si="0"/>
        <x:v>20</x:v>
      </x:c>
      <x:c r="F29" s="8"/>
    </x:row>
    <x:row r="30" spans="1:6" x14ac:dyDescent="0.25">
      <x:c r="A30" s="5">
        <x:f t="shared" si="0"/>
        <x:v>21</x:v>
      </x:c>
      <x:c r="F30" s="8"/>
    </x:row>
    <x:row r="31" spans="1:6" x14ac:dyDescent="0.25">
      <x:c r="A31" s="5">
        <x:f t="shared" si="0"/>
        <x:v>22</x:v>
      </x:c>
      <x:c r="F31" s="8"/>
    </x:row>
    <x:row r="32" spans="1:6" x14ac:dyDescent="0.25">
      <x:c r="A32" s="5">
        <x:f t="shared" si="0"/>
        <x:v>23</x:v>
      </x:c>
      <x:c r="F32" s="8"/>
    </x:row>
    <x:row r="33" spans="1:6" x14ac:dyDescent="0.25">
      <x:c r="A33" s="5">
        <x:f t="shared" si="0"/>
        <x:v>24</x:v>
      </x:c>
      <x:c r="F33" s="10"/>
    </x:row>
    <x:row r="34" spans="1:6" x14ac:dyDescent="0.25">
      <x:c r="A34" s="5">
        <x:f t="shared" si="0"/>
        <x:v>25</x:v>
      </x:c>
    </x:row>
    <x:row r="35" spans="1:6" x14ac:dyDescent="0.25">
      <x:c r="A35" s="5">
        <x:f t="shared" si="0"/>
        <x:v>26</x:v>
      </x:c>
    </x:row>
    <x:row r="36" spans="1:6" x14ac:dyDescent="0.25">
      <x:c r="A36" s="5">
        <x:f t="shared" si="0"/>
        <x:v>27</x:v>
      </x:c>
    </x:row>
    <x:row r="37" spans="1:6" x14ac:dyDescent="0.25">
      <x:c r="A37" s="5">
        <x:f t="shared" si="0"/>
        <x:v>28</x:v>
      </x:c>
    </x:row>
  </x:sheetData>
  <x:mergeCells count="8">
    <x:mergeCell ref="B10:H10"/>
    <x:mergeCell ref="B11:H11"/>
    <x:mergeCell ref="B8:F8"/>
    <x:mergeCell ref="B1:H1"/>
    <x:mergeCell ref="B2:H2"/>
    <x:mergeCell ref="B3:H3"/>
    <x:mergeCell ref="B4:H4"/>
    <x:mergeCell ref="B6:H6"/>
  </x:mergeCells>
  <x:pageMargins left="0.7" right="0.7" top="0.75" bottom="0.75" header="0.3" footer="0.3"/>
  <x:pageSetup scale="79" firstPageNumber="8" orientation="portrait" r:id="rId1"/>
  <x:headerFooter>
    <x:oddHeader xml:space="preserve">&amp;RSchedule II-H-2.1
Page  &amp;P of  27
</x:oddHeader>
  </x:headerFooter>
  <x:drawing r:id="rId2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Sheet3">
    <x:pageSetUpPr fitToPage="1"/>
  </x:sheetPr>
  <x:dimension ref="A1:F57"/>
  <x:sheetViews>
    <x:sheetView zoomScaleNormal="100" workbookViewId="0"/>
  </x:sheetViews>
  <x:sheetFormatPr defaultRowHeight="12.5" x14ac:dyDescent="0.25"/>
  <x:cols>
    <x:col min="2" max="2" width="28.453125" customWidth="1"/>
    <x:col min="3" max="3" width="11.6328125" bestFit="1" customWidth="1"/>
    <x:col min="4" max="4" width="10.90625" customWidth="1"/>
    <x:col min="5" max="5" width="10.6328125" customWidth="1"/>
    <x:col min="6" max="6" width="11.6328125" customWidth="1"/>
  </x:cols>
  <x:sheetData>
    <x:row r="1" spans="1:6" s="1" customFormat="1" ht="15.5" x14ac:dyDescent="0.35">
      <x:c r="A1" s="5"/>
      <x:c r="B1" s="37" t="str">
        <x:f>+'RES Model'!B1:F1</x:f>
        <x:v xml:space="preserve">PUC DOCKET NO. </x:v>
      </x:c>
      <x:c r="C1" s="37"/>
      <x:c r="D1" s="37"/>
      <x:c r="E1" s="37"/>
      <x:c r="F1" s="37"/>
    </x:row>
    <x:row r="2" spans="1:6" s="1" customFormat="1" ht="15.5" x14ac:dyDescent="0.35">
      <x:c r="A2" s="5"/>
      <x:c r="B2" s="37" t="str">
        <x:f>+'RES Model'!B2:F2</x:f>
        <x:v>ONCOR ELECTRIC DELIVERY COMPANY LLC</x:v>
      </x:c>
      <x:c r="C2" s="37"/>
      <x:c r="D2" s="37"/>
      <x:c r="E2" s="37"/>
      <x:c r="F2" s="37"/>
    </x:row>
    <x:row r="3" spans="1:6" s="1" customFormat="1" ht="15.5" x14ac:dyDescent="0.35">
      <x:c r="A3" s="5"/>
      <x:c r="B3" s="37" t="str">
        <x:f>+'RES Model'!B3:F3</x:f>
        <x:v>MODEL INFORMATION</x:v>
      </x:c>
      <x:c r="C3" s="37"/>
      <x:c r="D3" s="37"/>
      <x:c r="E3" s="37"/>
      <x:c r="F3" s="37"/>
    </x:row>
    <x:row r="4" spans="1:6" s="1" customFormat="1" ht="15.5" x14ac:dyDescent="0.35">
      <x:c r="A4" s="5"/>
      <x:c r="B4" s="37" t="str">
        <x:f>+'RES Model'!B4:F4</x:f>
        <x:v>FOR THE TEST YEAR ENDING DECEMBER 31, 2024</x:v>
      </x:c>
      <x:c r="C4" s="37"/>
      <x:c r="D4" s="37"/>
      <x:c r="E4" s="37"/>
      <x:c r="F4" s="37"/>
    </x:row>
    <x:row r="5" spans="1:6" s="1" customFormat="1" ht="11.5" x14ac:dyDescent="0.25">
      <x:c r="A5" s="5"/>
    </x:row>
    <x:row r="6" spans="1:6" s="1" customFormat="1" ht="15.5" x14ac:dyDescent="0.35">
      <x:c r="A6" s="5"/>
      <x:c r="B6" s="37" t="str">
        <x:f>+'RES Model'!B6:F6</x:f>
        <x:v>SPONSOR: D. E. NELSON</x:v>
      </x:c>
      <x:c r="C6" s="37"/>
      <x:c r="D6" s="37"/>
      <x:c r="E6" s="37"/>
      <x:c r="F6" s="37"/>
    </x:row>
    <x:row r="8" spans="1:6" ht="15.5" x14ac:dyDescent="0.35">
      <x:c r="B8" s="37" t="s">
        <x:v>46</x:v>
      </x:c>
      <x:c r="C8" s="37"/>
      <x:c r="D8" s="37"/>
      <x:c r="E8" s="37"/>
      <x:c r="F8" s="37"/>
    </x:row>
    <x:row r="9" spans="1:6" s="1" customFormat="1" ht="11.5" x14ac:dyDescent="0.25">
      <x:c r="A9" s="5" t="s">
        <x:v>18</x:v>
      </x:c>
      <x:c r="B9" s="38"/>
      <x:c r="C9" s="38"/>
      <x:c r="D9" s="38"/>
      <x:c r="E9" s="38"/>
      <x:c r="F9" s="38"/>
    </x:row>
    <x:row r="10" spans="1:6" s="1" customFormat="1" ht="11.5" x14ac:dyDescent="0.25">
      <x:c r="A10" s="6" t="s">
        <x:v>19</x:v>
      </x:c>
      <x:c r="B10" s="7" t="s">
        <x:v>20</x:v>
      </x:c>
      <x:c r="C10" s="7" t="s">
        <x:v>21</x:v>
      </x:c>
      <x:c r="D10" s="7" t="s">
        <x:v>24</x:v>
      </x:c>
      <x:c r="E10" s="7" t="s">
        <x:v>22</x:v>
      </x:c>
      <x:c r="F10" s="7" t="s">
        <x:v>23</x:v>
      </x:c>
    </x:row>
    <x:row r="11" spans="1:6" s="1" customFormat="1" ht="11.5" x14ac:dyDescent="0.25">
      <x:c r="A11" s="5">
        <x:v>1</x:v>
      </x:c>
      <x:c r="B11" s="3" t="s">
        <x:v>44</x:v>
      </x:c>
      <x:c r="C11" s="3"/>
    </x:row>
    <x:row r="12" spans="1:6" s="1" customFormat="1" ht="11.5" x14ac:dyDescent="0.25">
      <x:c r="A12" s="5">
        <x:f t="shared" ref="A12:A57" si="0">+A11+1</x:f>
        <x:v>2</x:v>
      </x:c>
      <x:c r="B12" s="3" t="s">
        <x:v>5</x:v>
      </x:c>
      <x:c r="C12" s="3" t="s">
        <x:v>40</x:v>
      </x:c>
    </x:row>
    <x:row r="13" spans="1:6" s="1" customFormat="1" ht="11.5" x14ac:dyDescent="0.25">
      <x:c r="A13" s="5">
        <x:f t="shared" si="0"/>
        <x:v>3</x:v>
      </x:c>
      <x:c r="B13" s="3" t="s">
        <x:v>6</x:v>
      </x:c>
      <x:c r="C13" s="9">
        <x:f>+'RES Model'!C13</x:f>
        <x:v>40179</x:v>
      </x:c>
    </x:row>
    <x:row r="14" spans="1:6" s="1" customFormat="1" ht="11.5" x14ac:dyDescent="0.25">
      <x:c r="A14" s="5">
        <x:f t="shared" si="0"/>
        <x:v>4</x:v>
      </x:c>
      <x:c r="B14" s="3" t="s">
        <x:v>7</x:v>
      </x:c>
      <x:c r="C14" s="9">
        <x:f>+'RES Model'!C14</x:f>
        <x:v>45444</x:v>
      </x:c>
    </x:row>
    <x:row r="15" spans="1:6" s="1" customFormat="1" ht="11.5" x14ac:dyDescent="0.25">
      <x:c r="A15" s="5">
        <x:f t="shared" si="0"/>
        <x:v>5</x:v>
      </x:c>
    </x:row>
    <x:row r="16" spans="1:6" s="1" customFormat="1" ht="11.5" x14ac:dyDescent="0.25">
      <x:c r="A16" s="5">
        <x:f t="shared" si="0"/>
        <x:v>6</x:v>
      </x:c>
      <x:c r="B16" s="4" t="s">
        <x:v>0</x:v>
      </x:c>
      <x:c r="C16" s="4" t="s">
        <x:v>1</x:v>
      </x:c>
      <x:c r="D16" s="4" t="s">
        <x:v>2</x:v>
      </x:c>
      <x:c r="E16" s="4" t="s">
        <x:v>3</x:v>
      </x:c>
      <x:c r="F16" s="4" t="s">
        <x:v>4</x:v>
      </x:c>
    </x:row>
    <x:row r="17" spans="1:6" x14ac:dyDescent="0.25">
      <x:c r="A17" s="5">
        <x:f t="shared" si="0"/>
        <x:v>7</x:v>
      </x:c>
      <x:c r="B17" t="s">
        <x:v>95</x:v>
      </x:c>
      <x:c r="C17" s="13">
        <x:v>0.36799999999999999</x:v>
      </x:c>
      <x:c r="D17" s="13">
        <x:v>2.3E-2</x:v>
      </x:c>
      <x:c r="E17" s="13">
        <x:v>15.840999999999999</x:v>
      </x:c>
      <x:c r="F17" s="14">
        <x:v>0</x:v>
      </x:c>
    </x:row>
    <x:row r="18" spans="1:6" x14ac:dyDescent="0.25">
      <x:c r="A18" s="5">
        <x:f t="shared" si="0"/>
        <x:v>8</x:v>
      </x:c>
      <x:c r="B18" t="s">
        <x:v>96</x:v>
      </x:c>
      <x:c r="C18" s="13">
        <x:v>0.318</x:v>
      </x:c>
      <x:c r="D18" s="13">
        <x:v>2.5000000000000001E-2</x:v>
      </x:c>
      <x:c r="E18" s="13">
        <x:v>12.78</x:v>
      </x:c>
      <x:c r="F18" s="14">
        <x:v>0</x:v>
      </x:c>
    </x:row>
    <x:row r="19" spans="1:6" x14ac:dyDescent="0.25">
      <x:c r="A19" s="5">
        <x:f t="shared" si="0"/>
        <x:v>9</x:v>
      </x:c>
      <x:c r="B19" t="s">
        <x:v>28</x:v>
      </x:c>
      <x:c r="C19" s="13">
        <x:v>24.824000000000002</x:v>
      </x:c>
      <x:c r="D19" s="13">
        <x:v>83.313000000000002</x:v>
      </x:c>
      <x:c r="E19" s="13">
        <x:v>0.29799999999999999</x:v>
      </x:c>
      <x:c r="F19" s="14">
        <x:v>0.76619999999999999</x:v>
      </x:c>
    </x:row>
    <x:row r="20" spans="1:6" x14ac:dyDescent="0.25">
      <x:c r="A20" s="5">
        <x:f t="shared" si="0"/>
        <x:v>10</x:v>
      </x:c>
      <x:c r="B20" t="s">
        <x:v>29</x:v>
      </x:c>
      <x:c r="C20" s="13">
        <x:v>25.038</x:v>
      </x:c>
      <x:c r="D20" s="13">
        <x:v>83.313000000000002</x:v>
      </x:c>
      <x:c r="E20" s="13">
        <x:v>0.30099999999999999</x:v>
      </x:c>
      <x:c r="F20" s="14">
        <x:v>0.76419999999999999</x:v>
      </x:c>
    </x:row>
    <x:row r="21" spans="1:6" x14ac:dyDescent="0.25">
      <x:c r="A21" s="5">
        <x:f t="shared" si="0"/>
        <x:v>11</x:v>
      </x:c>
      <x:c r="B21" t="s">
        <x:v>30</x:v>
      </x:c>
      <x:c r="C21" s="13">
        <x:v>24.658999999999999</x:v>
      </x:c>
      <x:c r="D21" s="13">
        <x:v>83.31</x:v>
      </x:c>
      <x:c r="E21" s="13">
        <x:v>0.29599999999999999</x:v>
      </x:c>
      <x:c r="F21" s="14">
        <x:v>0.76770000000000005</x:v>
      </x:c>
    </x:row>
    <x:row r="22" spans="1:6" x14ac:dyDescent="0.25">
      <x:c r="A22" s="5">
        <x:f t="shared" si="0"/>
        <x:v>12</x:v>
      </x:c>
      <x:c r="B22" t="s">
        <x:v>31</x:v>
      </x:c>
      <x:c r="C22" s="13">
        <x:v>24.303999999999998</x:v>
      </x:c>
      <x:c r="D22" s="13">
        <x:v>83.307000000000002</x:v>
      </x:c>
      <x:c r="E22" s="13">
        <x:v>0.29199999999999998</x:v>
      </x:c>
      <x:c r="F22" s="14">
        <x:v>0.77090000000000003</x:v>
      </x:c>
    </x:row>
    <x:row r="23" spans="1:6" x14ac:dyDescent="0.25">
      <x:c r="A23" s="5">
        <x:f t="shared" si="0"/>
        <x:v>13</x:v>
      </x:c>
      <x:c r="B23" t="s">
        <x:v>32</x:v>
      </x:c>
      <x:c r="C23" s="13">
        <x:v>24.363</x:v>
      </x:c>
      <x:c r="D23" s="13">
        <x:v>83.305000000000007</x:v>
      </x:c>
      <x:c r="E23" s="13">
        <x:v>0.29199999999999998</x:v>
      </x:c>
      <x:c r="F23" s="14">
        <x:v>0.77039999999999997</x:v>
      </x:c>
    </x:row>
    <x:row r="24" spans="1:6" x14ac:dyDescent="0.25">
      <x:c r="A24" s="5">
        <x:f t="shared" si="0"/>
        <x:v>14</x:v>
      </x:c>
      <x:c r="B24" t="s">
        <x:v>33</x:v>
      </x:c>
      <x:c r="C24" s="13">
        <x:v>24.491</x:v>
      </x:c>
      <x:c r="D24" s="13">
        <x:v>83.302000000000007</x:v>
      </x:c>
      <x:c r="E24" s="13">
        <x:v>0.29399999999999998</x:v>
      </x:c>
      <x:c r="F24" s="14">
        <x:v>0.76919999999999999</x:v>
      </x:c>
    </x:row>
    <x:row r="25" spans="1:6" x14ac:dyDescent="0.25">
      <x:c r="A25" s="5">
        <x:f t="shared" si="0"/>
        <x:v>15</x:v>
      </x:c>
      <x:c r="B25" t="s">
        <x:v>34</x:v>
      </x:c>
      <x:c r="C25" s="13">
        <x:v>25.018999999999998</x:v>
      </x:c>
      <x:c r="D25" s="13">
        <x:v>83.305999999999997</x:v>
      </x:c>
      <x:c r="E25" s="13">
        <x:v>0.3</x:v>
      </x:c>
      <x:c r="F25" s="14">
        <x:v>0.76439999999999997</x:v>
      </x:c>
    </x:row>
    <x:row r="26" spans="1:6" x14ac:dyDescent="0.25">
      <x:c r="A26" s="5">
        <x:f t="shared" si="0"/>
        <x:v>16</x:v>
      </x:c>
      <x:c r="B26" t="s">
        <x:v>35</x:v>
      </x:c>
      <x:c r="C26" s="13">
        <x:v>25.373999999999999</x:v>
      </x:c>
      <x:c r="D26" s="13">
        <x:v>83.308000000000007</x:v>
      </x:c>
      <x:c r="E26" s="13">
        <x:v>0.30499999999999999</x:v>
      </x:c>
      <x:c r="F26" s="14">
        <x:v>0.7611</x:v>
      </x:c>
    </x:row>
    <x:row r="27" spans="1:6" x14ac:dyDescent="0.25">
      <x:c r="A27" s="5">
        <x:f t="shared" si="0"/>
        <x:v>17</x:v>
      </x:c>
      <x:c r="B27" t="s">
        <x:v>36</x:v>
      </x:c>
      <x:c r="C27" s="13">
        <x:v>25.31</x:v>
      </x:c>
      <x:c r="D27" s="13">
        <x:v>83.308999999999997</x:v>
      </x:c>
      <x:c r="E27" s="13">
        <x:v>0.30399999999999999</x:v>
      </x:c>
      <x:c r="F27" s="14">
        <x:v>0.76170000000000004</x:v>
      </x:c>
    </x:row>
    <x:row r="28" spans="1:6" x14ac:dyDescent="0.25">
      <x:c r="A28" s="5">
        <x:f t="shared" si="0"/>
        <x:v>18</x:v>
      </x:c>
      <x:c r="B28" t="s">
        <x:v>37</x:v>
      </x:c>
      <x:c r="C28" s="13">
        <x:v>25.167000000000002</x:v>
      </x:c>
      <x:c r="D28" s="13">
        <x:v>83.308999999999997</x:v>
      </x:c>
      <x:c r="E28" s="13">
        <x:v>0.30199999999999999</x:v>
      </x:c>
      <x:c r="F28" s="14">
        <x:v>0.76300000000000001</x:v>
      </x:c>
    </x:row>
    <x:row r="29" spans="1:6" x14ac:dyDescent="0.25">
      <x:c r="A29" s="5">
        <x:f t="shared" si="0"/>
        <x:v>19</x:v>
      </x:c>
      <x:c r="B29" t="s">
        <x:v>38</x:v>
      </x:c>
      <x:c r="C29" s="13">
        <x:v>24.521999999999998</x:v>
      </x:c>
      <x:c r="D29" s="13">
        <x:v>83.31</x:v>
      </x:c>
      <x:c r="E29" s="13">
        <x:v>0.29399999999999998</x:v>
      </x:c>
      <x:c r="F29" s="14">
        <x:v>0.76890000000000003</x:v>
      </x:c>
    </x:row>
    <x:row r="30" spans="1:6" x14ac:dyDescent="0.25">
      <x:c r="A30" s="5">
        <x:f t="shared" si="0"/>
        <x:v>20</x:v>
      </x:c>
      <x:c r="B30" t="s">
        <x:v>41</x:v>
      </x:c>
      <x:c r="C30" s="13">
        <x:v>24.449000000000002</x:v>
      </x:c>
      <x:c r="D30" s="13">
        <x:v>83.311000000000007</x:v>
      </x:c>
      <x:c r="E30" s="13">
        <x:v>0.29299999999999998</x:v>
      </x:c>
      <x:c r="F30" s="14">
        <x:v>0.76959999999999995</x:v>
      </x:c>
    </x:row>
    <x:row r="31" spans="1:6" x14ac:dyDescent="0.25">
      <x:c r="A31" s="5">
        <x:f t="shared" si="0"/>
        <x:v>21</x:v>
      </x:c>
      <x:c r="B31" s="28" t="s">
        <x:v>107</x:v>
      </x:c>
      <x:c r="C31" s="13">
        <x:v>-0.57399999999999995</x:v>
      </x:c>
      <x:c r="D31" s="13">
        <x:v>0.34300000000000003</x:v>
      </x:c>
      <x:c r="E31" s="13">
        <x:v>-1.673</x:v>
      </x:c>
      <x:c r="F31" s="14">
        <x:v>9.6600000000000005E-2</x:v>
      </x:c>
    </x:row>
    <x:row r="32" spans="1:6" x14ac:dyDescent="0.25">
      <x:c r="A32" s="5">
        <x:f t="shared" si="0"/>
        <x:v>22</x:v>
      </x:c>
      <x:c r="B32" t="s">
        <x:v>42</x:v>
      </x:c>
      <x:c r="C32" s="13">
        <x:v>0.68600000000000005</x:v>
      </x:c>
      <x:c r="D32" s="13">
        <x:v>8.1000000000000003E-2</x:v>
      </x:c>
      <x:c r="E32" s="13">
        <x:v>8.4640000000000004</x:v>
      </x:c>
      <x:c r="F32" s="14">
        <x:v>0</x:v>
      </x:c>
    </x:row>
    <x:row r="33" spans="1:6" x14ac:dyDescent="0.25">
      <x:c r="A33" s="5">
        <x:f t="shared" si="0"/>
        <x:v>23</x:v>
      </x:c>
      <x:c r="B33" t="s">
        <x:v>54</x:v>
      </x:c>
      <x:c r="C33" s="13">
        <x:v>8.5000000000000006E-2</x:v>
      </x:c>
      <x:c r="D33" s="13">
        <x:v>9.8000000000000004E-2</x:v>
      </x:c>
      <x:c r="E33" s="13">
        <x:v>0.86899999999999999</x:v>
      </x:c>
      <x:c r="F33" s="14">
        <x:v>0.38629999999999998</x:v>
      </x:c>
    </x:row>
    <x:row r="34" spans="1:6" x14ac:dyDescent="0.25">
      <x:c r="A34" s="5">
        <x:f t="shared" si="0"/>
        <x:v>24</x:v>
      </x:c>
      <x:c r="B34" t="s">
        <x:v>55</x:v>
      </x:c>
      <x:c r="C34" s="13">
        <x:v>-1.4E-2</x:v>
      </x:c>
      <x:c r="D34" s="13">
        <x:v>9.7000000000000003E-2</x:v>
      </x:c>
      <x:c r="E34" s="13">
        <x:v>-0.14199999999999999</x:v>
      </x:c>
      <x:c r="F34" s="14">
        <x:v>0.88759999999999994</x:v>
      </x:c>
    </x:row>
    <x:row r="35" spans="1:6" x14ac:dyDescent="0.25">
      <x:c r="A35" s="5">
        <x:f t="shared" si="0"/>
        <x:v>25</x:v>
      </x:c>
      <x:c r="B35" t="s">
        <x:v>56</x:v>
      </x:c>
      <x:c r="C35" s="13">
        <x:v>0.16900000000000001</x:v>
      </x:c>
      <x:c r="D35" s="13">
        <x:v>9.7000000000000003E-2</x:v>
      </x:c>
      <x:c r="E35" s="13">
        <x:v>1.748</x:v>
      </x:c>
      <x:c r="F35" s="14">
        <x:v>8.2699999999999996E-2</x:v>
      </x:c>
    </x:row>
    <x:row r="36" spans="1:6" x14ac:dyDescent="0.25">
      <x:c r="A36" s="5">
        <x:f t="shared" si="0"/>
        <x:v>26</x:v>
      </x:c>
      <x:c r="B36" t="s">
        <x:v>57</x:v>
      </x:c>
      <x:c r="C36" s="13">
        <x:v>5.0999999999999997E-2</x:v>
      </x:c>
      <x:c r="D36" s="13">
        <x:v>9.8000000000000004E-2</x:v>
      </x:c>
      <x:c r="E36" s="13">
        <x:v>0.52100000000000002</x:v>
      </x:c>
      <x:c r="F36" s="14">
        <x:v>0.60309999999999997</x:v>
      </x:c>
    </x:row>
    <x:row r="37" spans="1:6" x14ac:dyDescent="0.25">
      <x:c r="A37" s="5">
        <x:f t="shared" si="0"/>
        <x:v>27</x:v>
      </x:c>
      <x:c r="B37" t="s">
        <x:v>77</x:v>
      </x:c>
      <x:c r="C37" s="13">
        <x:v>1.7000000000000001E-2</x:v>
      </x:c>
      <x:c r="D37" s="13">
        <x:v>9.8000000000000004E-2</x:v>
      </x:c>
      <x:c r="E37" s="13">
        <x:v>0.17</x:v>
      </x:c>
      <x:c r="F37" s="14">
        <x:v>0.86509999999999998</x:v>
      </x:c>
    </x:row>
    <x:row r="38" spans="1:6" x14ac:dyDescent="0.25">
      <x:c r="A38" s="5">
        <x:f t="shared" si="0"/>
        <x:v>28</x:v>
      </x:c>
      <x:c r="B38" t="s">
        <x:v>78</x:v>
      </x:c>
      <x:c r="C38" s="13">
        <x:v>8.9999999999999993E-3</x:v>
      </x:c>
      <x:c r="D38" s="13">
        <x:v>9.8000000000000004E-2</x:v>
      </x:c>
      <x:c r="E38" s="13">
        <x:v>9.1999999999999998E-2</x:v>
      </x:c>
      <x:c r="F38" s="14">
        <x:v>0.92669999999999997</x:v>
      </x:c>
    </x:row>
    <x:row r="39" spans="1:6" x14ac:dyDescent="0.25">
      <x:c r="A39" s="5">
        <x:f t="shared" si="0"/>
        <x:v>29</x:v>
      </x:c>
      <x:c r="B39" t="s">
        <x:v>79</x:v>
      </x:c>
      <x:c r="C39" s="13">
        <x:v>-0.16800000000000001</x:v>
      </x:c>
      <x:c r="D39" s="13">
        <x:v>9.8000000000000004E-2</x:v>
      </x:c>
      <x:c r="E39" s="13">
        <x:v>-1.716</x:v>
      </x:c>
      <x:c r="F39" s="14">
        <x:v>8.8300000000000003E-2</x:v>
      </x:c>
    </x:row>
    <x:row r="40" spans="1:6" x14ac:dyDescent="0.25">
      <x:c r="A40" s="5">
        <x:f t="shared" si="0"/>
        <x:v>30</x:v>
      </x:c>
      <x:c r="B40" t="s">
        <x:v>80</x:v>
      </x:c>
      <x:c r="C40" s="13">
        <x:v>0.16900000000000001</x:v>
      </x:c>
      <x:c r="D40" s="13">
        <x:v>8.2000000000000003E-2</x:v>
      </x:c>
      <x:c r="E40" s="13">
        <x:v>2.0659999999999998</x:v>
      </x:c>
      <x:c r="F40" s="14">
        <x:v>4.07E-2</x:v>
      </x:c>
    </x:row>
    <x:row r="41" spans="1:6" x14ac:dyDescent="0.25">
      <x:c r="A41" s="5">
        <x:f t="shared" si="0"/>
        <x:v>31</x:v>
      </x:c>
      <x:c r="F41" s="12"/>
    </x:row>
    <x:row r="42" spans="1:6" x14ac:dyDescent="0.25">
      <x:c r="A42" s="5">
        <x:f t="shared" si="0"/>
        <x:v>32</x:v>
      </x:c>
      <x:c r="B42" s="15" t="s">
        <x:v>53</x:v>
      </x:c>
      <x:c r="F42" s="11"/>
    </x:row>
    <x:row r="43" spans="1:6" x14ac:dyDescent="0.25">
      <x:c r="A43" s="5">
        <x:f t="shared" si="0"/>
        <x:v>33</x:v>
      </x:c>
      <x:c r="B43" t="s">
        <x:v>25</x:v>
      </x:c>
      <x:c r="C43">
        <x:v>165</x:v>
      </x:c>
      <x:c r="F43" s="8"/>
    </x:row>
    <x:row r="44" spans="1:6" x14ac:dyDescent="0.25">
      <x:c r="A44" s="5">
        <x:f t="shared" si="0"/>
        <x:v>34</x:v>
      </x:c>
      <x:c r="B44" t="s">
        <x:v>8</x:v>
      </x:c>
      <x:c r="C44" s="25">
        <x:v>141</x:v>
      </x:c>
      <x:c r="F44" s="8"/>
    </x:row>
    <x:row r="45" spans="1:6" x14ac:dyDescent="0.25">
      <x:c r="A45" s="5">
        <x:f t="shared" si="0"/>
        <x:v>35</x:v>
      </x:c>
      <x:c r="B45" t="s">
        <x:v>9</x:v>
      </x:c>
      <x:c r="C45" s="25">
        <x:v>0.96799999999999997</x:v>
      </x:c>
      <x:c r="F45" s="8"/>
    </x:row>
    <x:row r="46" spans="1:6" x14ac:dyDescent="0.25">
      <x:c r="A46" s="5">
        <x:f t="shared" si="0"/>
        <x:v>36</x:v>
      </x:c>
      <x:c r="B46" t="s">
        <x:v>10</x:v>
      </x:c>
      <x:c r="C46" s="22">
        <x:v>0.96199999999999997</x:v>
      </x:c>
      <x:c r="D46" s="21"/>
      <x:c r="F46" s="8"/>
    </x:row>
    <x:row r="47" spans="1:6" x14ac:dyDescent="0.25">
      <x:c r="A47" s="5">
        <x:f t="shared" si="0"/>
        <x:v>37</x:v>
      </x:c>
      <x:c r="B47" t="s">
        <x:v>12</x:v>
      </x:c>
      <x:c r="C47" s="33">
        <x:v>183.179</x:v>
      </x:c>
      <x:c r="F47" s="8"/>
    </x:row>
    <x:row r="48" spans="1:6" x14ac:dyDescent="0.25">
      <x:c r="A48" s="5">
        <x:f t="shared" si="0"/>
        <x:v>38</x:v>
      </x:c>
      <x:c r="B48" t="s">
        <x:v>13</x:v>
      </x:c>
      <x:c r="C48" s="34">
        <x:v>0</x:v>
      </x:c>
      <x:c r="F48" s="8"/>
    </x:row>
    <x:row r="49" spans="1:6" x14ac:dyDescent="0.25">
      <x:c r="A49" s="5">
        <x:f t="shared" si="0"/>
        <x:v>39</x:v>
      </x:c>
      <x:c r="B49" t="s">
        <x:v>14</x:v>
      </x:c>
      <x:c r="C49">
        <x:v>656.15</x:v>
      </x:c>
    </x:row>
    <x:row r="50" spans="1:6" x14ac:dyDescent="0.25">
      <x:c r="A50" s="5">
        <x:f t="shared" si="0"/>
        <x:v>40</x:v>
      </x:c>
      <x:c r="B50" t="s">
        <x:v>15</x:v>
      </x:c>
      <x:c r="C50" s="21">
        <x:v>21.96</x:v>
      </x:c>
      <x:c r="F50" s="8"/>
    </x:row>
    <x:row r="51" spans="1:6" x14ac:dyDescent="0.25">
      <x:c r="A51" s="5">
        <x:f t="shared" si="0"/>
        <x:v>41</x:v>
      </x:c>
      <x:c r="B51" t="s">
        <x:v>16</x:v>
      </x:c>
      <x:c r="C51">
        <x:v>0.16</x:v>
      </x:c>
      <x:c r="F51" s="8"/>
    </x:row>
    <x:row r="52" spans="1:6" x14ac:dyDescent="0.25">
      <x:c r="A52" s="5">
        <x:f t="shared" si="0"/>
        <x:v>42</x:v>
      </x:c>
      <x:c r="B52" t="s">
        <x:v>17</x:v>
      </x:c>
      <x:c r="C52">
        <x:v>0.39</x:v>
      </x:c>
      <x:c r="F52" s="8"/>
    </x:row>
    <x:row r="53" spans="1:6" x14ac:dyDescent="0.25">
      <x:c r="A53" s="5">
        <x:f t="shared" si="0"/>
        <x:v>43</x:v>
      </x:c>
      <x:c r="B53" t="s">
        <x:v>75</x:v>
      </x:c>
      <x:c r="C53">
        <x:v>0.28000000000000003</x:v>
      </x:c>
    </x:row>
    <x:row r="54" spans="1:6" x14ac:dyDescent="0.25">
      <x:c r="A54" s="5">
        <x:f t="shared" si="0"/>
        <x:v>44</x:v>
      </x:c>
      <x:c r="B54" t="s">
        <x:v>76</x:v>
      </x:c>
      <x:c r="C54" s="8">
        <x:v>1.5699999999999999E-2</x:v>
      </x:c>
    </x:row>
    <x:row r="55" spans="1:6" x14ac:dyDescent="0.25">
      <x:c r="A55" s="5">
        <x:f t="shared" si="0"/>
        <x:v>45</x:v>
      </x:c>
      <x:c r="B55" t="s">
        <x:v>11</x:v>
      </x:c>
      <x:c r="C55">
        <x:v>2.024</x:v>
      </x:c>
    </x:row>
    <x:row r="56" spans="1:6" x14ac:dyDescent="0.25">
      <x:c r="A56" s="5">
        <x:f t="shared" si="0"/>
        <x:v>46</x:v>
      </x:c>
      <x:c r="B56" t="s">
        <x:v>61</x:v>
      </x:c>
      <x:c r="C56">
        <x:v>14.6</x:v>
      </x:c>
    </x:row>
    <x:row r="57" spans="1:6" x14ac:dyDescent="0.25">
      <x:c r="A57" s="5">
        <x:f t="shared" si="0"/>
        <x:v>47</x:v>
      </x:c>
      <x:c r="B57" t="s">
        <x:v>62</x:v>
      </x:c>
      <x:c r="C57">
        <x:v>0.93179999999999996</x:v>
      </x:c>
    </x:row>
  </x:sheetData>
  <x:mergeCells count="7">
    <x:mergeCell ref="B6:F6"/>
    <x:mergeCell ref="B9:F9"/>
    <x:mergeCell ref="B1:F1"/>
    <x:mergeCell ref="B2:F2"/>
    <x:mergeCell ref="B3:F3"/>
    <x:mergeCell ref="B4:F4"/>
    <x:mergeCell ref="B8:F8"/>
  </x:mergeCells>
  <x:phoneticPr fontId="0" type="noConversion"/>
  <x:pageMargins left="0.7" right="0.7" top="0.75" bottom="0.75" header="0.3" footer="0.3"/>
  <x:pageSetup scale="93" firstPageNumber="8" orientation="portrait" r:id="rId1"/>
  <x:headerFooter>
    <x:oddHeader xml:space="preserve">&amp;RSchedule II-H-2.1
Page  &amp;P of  27
</x:oddHeader>
  </x:headerFooter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pageSetUpPr fitToPage="1"/>
  </x:sheetPr>
  <x:dimension ref="A1:H37"/>
  <x:sheetViews>
    <x:sheetView workbookViewId="0"/>
  </x:sheetViews>
  <x:sheetFormatPr defaultRowHeight="12.5" x14ac:dyDescent="0.25"/>
  <x:cols>
    <x:col min="2" max="2" width="20.36328125" customWidth="1"/>
    <x:col min="3" max="3" width="17.1796875" customWidth="1"/>
    <x:col min="4" max="4" width="18.81640625" customWidth="1"/>
    <x:col min="5" max="5" width="14.6328125" customWidth="1"/>
    <x:col min="6" max="6" width="15.90625" customWidth="1"/>
    <x:col min="7" max="7" width="11" customWidth="1"/>
  </x:cols>
  <x:sheetData>
    <x:row r="1" spans="1:8" ht="15.5" x14ac:dyDescent="0.25">
      <x:c r="A1" s="5"/>
      <x:c r="B1" s="41" t="str">
        <x:f>+'RES Model'!B1:F1</x:f>
        <x:v xml:space="preserve">PUC DOCKET NO. </x:v>
      </x:c>
      <x:c r="C1" s="39"/>
      <x:c r="D1" s="39"/>
      <x:c r="E1" s="39"/>
      <x:c r="F1" s="39"/>
      <x:c r="G1" s="39"/>
      <x:c r="H1" s="39"/>
    </x:row>
    <x:row r="2" spans="1:8" ht="15.5" x14ac:dyDescent="0.35">
      <x:c r="A2" s="5"/>
      <x:c r="B2" s="37" t="str">
        <x:f>+'RES Model'!B2:F2</x:f>
        <x:v>ONCOR ELECTRIC DELIVERY COMPANY LLC</x:v>
      </x:c>
      <x:c r="C2" s="39"/>
      <x:c r="D2" s="39"/>
      <x:c r="E2" s="39"/>
      <x:c r="F2" s="39"/>
      <x:c r="G2" s="39"/>
      <x:c r="H2" s="39"/>
    </x:row>
    <x:row r="3" spans="1:8" ht="15.5" x14ac:dyDescent="0.35">
      <x:c r="A3" s="5"/>
      <x:c r="B3" s="37" t="str">
        <x:f>+'RES Model'!B3:F3</x:f>
        <x:v>MODEL INFORMATION</x:v>
      </x:c>
      <x:c r="C3" s="39"/>
      <x:c r="D3" s="39"/>
      <x:c r="E3" s="39"/>
      <x:c r="F3" s="39"/>
      <x:c r="G3" s="39"/>
      <x:c r="H3" s="39"/>
    </x:row>
    <x:row r="4" spans="1:8" ht="15.5" x14ac:dyDescent="0.35">
      <x:c r="A4" s="5"/>
      <x:c r="B4" s="37" t="str">
        <x:f>+'RES Model'!B4:F4</x:f>
        <x:v>FOR THE TEST YEAR ENDING DECEMBER 31, 2024</x:v>
      </x:c>
      <x:c r="C4" s="39"/>
      <x:c r="D4" s="39"/>
      <x:c r="E4" s="39"/>
      <x:c r="F4" s="39"/>
      <x:c r="G4" s="39"/>
      <x:c r="H4" s="39"/>
    </x:row>
    <x:row r="5" spans="1:8" x14ac:dyDescent="0.25">
      <x:c r="A5" s="5"/>
      <x:c r="B5" s="1"/>
      <x:c r="C5" s="1"/>
      <x:c r="D5" s="1"/>
      <x:c r="E5" s="1"/>
      <x:c r="F5" s="1"/>
      <x:c r="G5" s="1"/>
      <x:c r="H5" s="1"/>
    </x:row>
    <x:row r="6" spans="1:8" ht="15.5" x14ac:dyDescent="0.35">
      <x:c r="A6" s="5"/>
      <x:c r="B6" s="37" t="str">
        <x:f>+'RES Model'!B6:F6</x:f>
        <x:v>SPONSOR: D. E. NELSON</x:v>
      </x:c>
      <x:c r="C6" s="39"/>
      <x:c r="D6" s="39"/>
      <x:c r="E6" s="39"/>
      <x:c r="F6" s="39"/>
      <x:c r="G6" s="39"/>
      <x:c r="H6" s="39"/>
    </x:row>
    <x:row r="8" spans="1:8" x14ac:dyDescent="0.25">
      <x:c r="A8" s="5" t="s">
        <x:v>18</x:v>
      </x:c>
      <x:c r="B8" s="38"/>
      <x:c r="C8" s="38"/>
      <x:c r="D8" s="38"/>
      <x:c r="E8" s="38"/>
      <x:c r="F8" s="38"/>
      <x:c r="G8" s="1"/>
      <x:c r="H8" s="1"/>
    </x:row>
    <x:row r="9" spans="1:8" x14ac:dyDescent="0.25">
      <x:c r="A9" s="6" t="s">
        <x:v>19</x:v>
      </x:c>
      <x:c r="B9" s="7"/>
      <x:c r="C9" s="7"/>
      <x:c r="D9" s="7"/>
      <x:c r="E9" s="7"/>
      <x:c r="F9" s="7"/>
      <x:c r="G9" s="1"/>
      <x:c r="H9" s="1"/>
    </x:row>
    <x:row r="10" spans="1:8" x14ac:dyDescent="0.25">
      <x:c r="A10" s="5">
        <x:v>1</x:v>
      </x:c>
      <x:c r="B10" s="38" t="s">
        <x:v>65</x:v>
      </x:c>
      <x:c r="C10" s="39"/>
      <x:c r="D10" s="39"/>
      <x:c r="E10" s="39"/>
      <x:c r="F10" s="39"/>
      <x:c r="G10" s="39"/>
      <x:c r="H10" s="39"/>
    </x:row>
    <x:row r="11" spans="1:8" x14ac:dyDescent="0.25">
      <x:c r="A11" s="5">
        <x:f t="shared" ref="A11:A37" si="0">+A10+1</x:f>
        <x:v>2</x:v>
      </x:c>
      <x:c r="B11" s="38" t="s">
        <x:v>44</x:v>
      </x:c>
      <x:c r="C11" s="40"/>
      <x:c r="D11" s="40"/>
      <x:c r="E11" s="40"/>
      <x:c r="F11" s="40"/>
      <x:c r="G11" s="40"/>
      <x:c r="H11" s="40"/>
    </x:row>
    <x:row r="12" spans="1:8" x14ac:dyDescent="0.25">
      <x:c r="A12" s="5">
        <x:f t="shared" si="0"/>
        <x:v>3</x:v>
      </x:c>
      <x:c r="B12" s="3"/>
      <x:c r="C12" s="9"/>
      <x:c r="D12" s="1"/>
      <x:c r="E12" s="1"/>
      <x:c r="F12" s="1"/>
      <x:c r="G12" s="1"/>
      <x:c r="H12" s="1"/>
    </x:row>
    <x:row r="13" spans="1:8" x14ac:dyDescent="0.25">
      <x:c r="A13" s="5">
        <x:f t="shared" si="0"/>
        <x:v>4</x:v>
      </x:c>
      <x:c r="B13" s="3"/>
      <x:c r="C13" s="9"/>
      <x:c r="D13" s="1"/>
      <x:c r="E13" s="1"/>
      <x:c r="F13" s="1"/>
      <x:c r="G13" s="1"/>
      <x:c r="H13" s="1"/>
    </x:row>
    <x:row r="14" spans="1:8" x14ac:dyDescent="0.25">
      <x:c r="A14" s="5">
        <x:f t="shared" si="0"/>
        <x:v>5</x:v>
      </x:c>
      <x:c r="B14" s="1"/>
      <x:c r="C14" s="1"/>
      <x:c r="D14" s="1"/>
      <x:c r="E14" s="1"/>
      <x:c r="F14" s="1"/>
      <x:c r="G14" s="1"/>
      <x:c r="H14" s="1"/>
    </x:row>
    <x:row r="15" spans="1:8" x14ac:dyDescent="0.25">
      <x:c r="A15" s="5">
        <x:f t="shared" si="0"/>
        <x:v>6</x:v>
      </x:c>
      <x:c r="B15" s="24"/>
      <x:c r="C15" s="24"/>
      <x:c r="D15" s="24"/>
      <x:c r="E15" s="24"/>
      <x:c r="F15" s="24"/>
      <x:c r="G15" s="1"/>
      <x:c r="H15" s="1"/>
    </x:row>
    <x:row r="16" spans="1:8" x14ac:dyDescent="0.25">
      <x:c r="A16" s="5">
        <x:f t="shared" si="0"/>
        <x:v>7</x:v>
      </x:c>
      <x:c r="F16" s="8"/>
    </x:row>
    <x:row r="17" spans="1:6" x14ac:dyDescent="0.25">
      <x:c r="A17" s="5">
        <x:f t="shared" si="0"/>
        <x:v>8</x:v>
      </x:c>
      <x:c r="F17" s="8"/>
    </x:row>
    <x:row r="18" spans="1:6" x14ac:dyDescent="0.25">
      <x:c r="A18" s="5">
        <x:f t="shared" si="0"/>
        <x:v>9</x:v>
      </x:c>
      <x:c r="F18" s="8"/>
    </x:row>
    <x:row r="19" spans="1:6" x14ac:dyDescent="0.25">
      <x:c r="A19" s="5">
        <x:f t="shared" si="0"/>
        <x:v>10</x:v>
      </x:c>
      <x:c r="F19" s="8"/>
    </x:row>
    <x:row r="20" spans="1:6" x14ac:dyDescent="0.25">
      <x:c r="A20" s="5">
        <x:f t="shared" si="0"/>
        <x:v>11</x:v>
      </x:c>
      <x:c r="F20" s="8"/>
    </x:row>
    <x:row r="21" spans="1:6" x14ac:dyDescent="0.25">
      <x:c r="A21" s="5">
        <x:f t="shared" si="0"/>
        <x:v>12</x:v>
      </x:c>
      <x:c r="F21" s="8"/>
    </x:row>
    <x:row r="22" spans="1:6" x14ac:dyDescent="0.25">
      <x:c r="A22" s="5">
        <x:f t="shared" si="0"/>
        <x:v>13</x:v>
      </x:c>
      <x:c r="F22" s="8"/>
    </x:row>
    <x:row r="23" spans="1:6" x14ac:dyDescent="0.25">
      <x:c r="A23" s="5">
        <x:f t="shared" si="0"/>
        <x:v>14</x:v>
      </x:c>
      <x:c r="F23" s="8"/>
    </x:row>
    <x:row r="24" spans="1:6" x14ac:dyDescent="0.25">
      <x:c r="A24" s="5">
        <x:f t="shared" si="0"/>
        <x:v>15</x:v>
      </x:c>
      <x:c r="F24" s="8"/>
    </x:row>
    <x:row r="25" spans="1:6" x14ac:dyDescent="0.25">
      <x:c r="A25" s="5">
        <x:f t="shared" si="0"/>
        <x:v>16</x:v>
      </x:c>
      <x:c r="F25" s="8"/>
    </x:row>
    <x:row r="26" spans="1:6" x14ac:dyDescent="0.25">
      <x:c r="A26" s="5">
        <x:f t="shared" si="0"/>
        <x:v>17</x:v>
      </x:c>
      <x:c r="F26" s="8"/>
    </x:row>
    <x:row r="27" spans="1:6" x14ac:dyDescent="0.25">
      <x:c r="A27" s="5">
        <x:f t="shared" si="0"/>
        <x:v>18</x:v>
      </x:c>
      <x:c r="F27" s="8"/>
    </x:row>
    <x:row r="28" spans="1:6" x14ac:dyDescent="0.25">
      <x:c r="A28" s="5">
        <x:f t="shared" si="0"/>
        <x:v>19</x:v>
      </x:c>
      <x:c r="F28" s="8"/>
    </x:row>
    <x:row r="29" spans="1:6" x14ac:dyDescent="0.25">
      <x:c r="A29" s="5">
        <x:f t="shared" si="0"/>
        <x:v>20</x:v>
      </x:c>
      <x:c r="F29" s="8"/>
    </x:row>
    <x:row r="30" spans="1:6" x14ac:dyDescent="0.25">
      <x:c r="A30" s="5">
        <x:f t="shared" si="0"/>
        <x:v>21</x:v>
      </x:c>
      <x:c r="F30" s="8"/>
    </x:row>
    <x:row r="31" spans="1:6" x14ac:dyDescent="0.25">
      <x:c r="A31" s="5">
        <x:f t="shared" si="0"/>
        <x:v>22</x:v>
      </x:c>
      <x:c r="F31" s="8"/>
    </x:row>
    <x:row r="32" spans="1:6" x14ac:dyDescent="0.25">
      <x:c r="A32" s="5">
        <x:f t="shared" si="0"/>
        <x:v>23</x:v>
      </x:c>
      <x:c r="F32" s="8"/>
    </x:row>
    <x:row r="33" spans="1:6" x14ac:dyDescent="0.25">
      <x:c r="A33" s="5">
        <x:f t="shared" si="0"/>
        <x:v>24</x:v>
      </x:c>
      <x:c r="F33" s="10"/>
    </x:row>
    <x:row r="34" spans="1:6" x14ac:dyDescent="0.25">
      <x:c r="A34" s="5">
        <x:f t="shared" si="0"/>
        <x:v>25</x:v>
      </x:c>
    </x:row>
    <x:row r="35" spans="1:6" x14ac:dyDescent="0.25">
      <x:c r="A35" s="5">
        <x:f t="shared" si="0"/>
        <x:v>26</x:v>
      </x:c>
    </x:row>
    <x:row r="36" spans="1:6" x14ac:dyDescent="0.25">
      <x:c r="A36" s="5">
        <x:f t="shared" si="0"/>
        <x:v>27</x:v>
      </x:c>
    </x:row>
    <x:row r="37" spans="1:6" x14ac:dyDescent="0.25">
      <x:c r="A37" s="5">
        <x:f t="shared" si="0"/>
        <x:v>28</x:v>
      </x:c>
    </x:row>
  </x:sheetData>
  <x:mergeCells count="8">
    <x:mergeCell ref="B10:H10"/>
    <x:mergeCell ref="B11:H11"/>
    <x:mergeCell ref="B8:F8"/>
    <x:mergeCell ref="B1:H1"/>
    <x:mergeCell ref="B2:H2"/>
    <x:mergeCell ref="B3:H3"/>
    <x:mergeCell ref="B4:H4"/>
    <x:mergeCell ref="B6:H6"/>
  </x:mergeCells>
  <x:pageMargins left="0.7" right="0.7" top="0.75" bottom="0.75" header="0.3" footer="0.3"/>
  <x:pageSetup scale="79" firstPageNumber="8" orientation="portrait" r:id="rId1"/>
  <x:headerFooter>
    <x:oddHeader xml:space="preserve">&amp;RSchedule II-H-2.1
Page  &amp;P of  27
</x:oddHeader>
  </x:headerFooter>
  <x:drawing r:id="rId2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Sheet4">
    <x:pageSetUpPr fitToPage="1"/>
  </x:sheetPr>
  <x:dimension ref="A1:F60"/>
  <x:sheetViews>
    <x:sheetView workbookViewId="0"/>
  </x:sheetViews>
  <x:sheetFormatPr defaultRowHeight="12.5" x14ac:dyDescent="0.25"/>
  <x:cols>
    <x:col min="2" max="2" width="39.08984375" bestFit="1" customWidth="1"/>
    <x:col min="3" max="3" width="13.6328125" customWidth="1"/>
  </x:cols>
  <x:sheetData>
    <x:row r="1" spans="1:6" s="1" customFormat="1" ht="15.5" x14ac:dyDescent="0.35">
      <x:c r="A1" s="5"/>
      <x:c r="B1" s="37" t="str">
        <x:f>+'RES Model'!B1:F1</x:f>
        <x:v xml:space="preserve">PUC DOCKET NO. </x:v>
      </x:c>
      <x:c r="C1" s="37"/>
      <x:c r="D1" s="37"/>
      <x:c r="E1" s="37"/>
      <x:c r="F1" s="37"/>
    </x:row>
    <x:row r="2" spans="1:6" s="1" customFormat="1" ht="15.5" x14ac:dyDescent="0.35">
      <x:c r="A2" s="5"/>
      <x:c r="B2" s="37" t="str">
        <x:f>+'RES Model'!B2:F2</x:f>
        <x:v>ONCOR ELECTRIC DELIVERY COMPANY LLC</x:v>
      </x:c>
      <x:c r="C2" s="37"/>
      <x:c r="D2" s="37"/>
      <x:c r="E2" s="37"/>
      <x:c r="F2" s="37"/>
    </x:row>
    <x:row r="3" spans="1:6" s="1" customFormat="1" ht="15.5" x14ac:dyDescent="0.35">
      <x:c r="A3" s="5"/>
      <x:c r="B3" s="37" t="str">
        <x:f>+'RES Model'!B3:F3</x:f>
        <x:v>MODEL INFORMATION</x:v>
      </x:c>
      <x:c r="C3" s="37"/>
      <x:c r="D3" s="37"/>
      <x:c r="E3" s="37"/>
      <x:c r="F3" s="37"/>
    </x:row>
    <x:row r="4" spans="1:6" s="1" customFormat="1" ht="15.5" x14ac:dyDescent="0.35">
      <x:c r="A4" s="5"/>
      <x:c r="B4" s="37" t="str">
        <x:f>+'RES Model'!B4:F4</x:f>
        <x:v>FOR THE TEST YEAR ENDING DECEMBER 31, 2024</x:v>
      </x:c>
      <x:c r="C4" s="37"/>
      <x:c r="D4" s="37"/>
      <x:c r="E4" s="37"/>
      <x:c r="F4" s="37"/>
    </x:row>
    <x:row r="5" spans="1:6" s="1" customFormat="1" ht="11.5" x14ac:dyDescent="0.25">
      <x:c r="A5" s="5"/>
    </x:row>
    <x:row r="6" spans="1:6" s="1" customFormat="1" ht="15.5" x14ac:dyDescent="0.35">
      <x:c r="A6" s="5"/>
      <x:c r="B6" s="37" t="str">
        <x:f>+'RES Model'!B6:F6</x:f>
        <x:v>SPONSOR: D. E. NELSON</x:v>
      </x:c>
      <x:c r="C6" s="37"/>
      <x:c r="D6" s="37"/>
      <x:c r="E6" s="37"/>
      <x:c r="F6" s="37"/>
    </x:row>
    <x:row r="8" spans="1:6" ht="15.5" x14ac:dyDescent="0.35">
      <x:c r="B8" s="37" t="s">
        <x:v>47</x:v>
      </x:c>
      <x:c r="C8" s="37"/>
      <x:c r="D8" s="37"/>
      <x:c r="E8" s="37"/>
      <x:c r="F8" s="37"/>
    </x:row>
    <x:row r="9" spans="1:6" s="1" customFormat="1" ht="11.5" x14ac:dyDescent="0.25">
      <x:c r="A9" s="5" t="s">
        <x:v>18</x:v>
      </x:c>
      <x:c r="B9" s="38"/>
      <x:c r="C9" s="38"/>
      <x:c r="D9" s="38"/>
      <x:c r="E9" s="38"/>
      <x:c r="F9" s="38"/>
    </x:row>
    <x:row r="10" spans="1:6" s="1" customFormat="1" ht="11.5" x14ac:dyDescent="0.25">
      <x:c r="A10" s="6" t="s">
        <x:v>19</x:v>
      </x:c>
      <x:c r="B10" s="7" t="s">
        <x:v>20</x:v>
      </x:c>
      <x:c r="C10" s="7" t="s">
        <x:v>21</x:v>
      </x:c>
      <x:c r="D10" s="7" t="s">
        <x:v>24</x:v>
      </x:c>
      <x:c r="E10" s="7" t="s">
        <x:v>22</x:v>
      </x:c>
      <x:c r="F10" s="7" t="s">
        <x:v>23</x:v>
      </x:c>
    </x:row>
    <x:row r="11" spans="1:6" s="1" customFormat="1" ht="11.5" x14ac:dyDescent="0.25">
      <x:c r="A11" s="5">
        <x:v>1</x:v>
      </x:c>
      <x:c r="B11" s="3" t="s">
        <x:v>44</x:v>
      </x:c>
      <x:c r="C11" s="3"/>
    </x:row>
    <x:row r="12" spans="1:6" s="1" customFormat="1" ht="11.5" x14ac:dyDescent="0.25">
      <x:c r="A12" s="5">
        <x:f t="shared" ref="A12:A60" si="0">+A11+1</x:f>
        <x:v>2</x:v>
      </x:c>
      <x:c r="B12" s="3" t="s">
        <x:v>5</x:v>
      </x:c>
      <x:c r="C12" s="3" t="s">
        <x:v>43</x:v>
      </x:c>
    </x:row>
    <x:row r="13" spans="1:6" s="1" customFormat="1" ht="11.5" x14ac:dyDescent="0.25">
      <x:c r="A13" s="5">
        <x:f t="shared" si="0"/>
        <x:v>3</x:v>
      </x:c>
      <x:c r="B13" s="3" t="s">
        <x:v>6</x:v>
      </x:c>
      <x:c r="C13" s="9">
        <x:f>+'RES Model'!C13</x:f>
        <x:v>40179</x:v>
      </x:c>
    </x:row>
    <x:row r="14" spans="1:6" s="1" customFormat="1" ht="11.5" x14ac:dyDescent="0.25">
      <x:c r="A14" s="5">
        <x:f t="shared" si="0"/>
        <x:v>4</x:v>
      </x:c>
      <x:c r="B14" s="3" t="s">
        <x:v>7</x:v>
      </x:c>
      <x:c r="C14" s="9">
        <x:f>+'RES Model'!C14</x:f>
        <x:v>45444</x:v>
      </x:c>
    </x:row>
    <x:row r="15" spans="1:6" s="1" customFormat="1" ht="11.5" x14ac:dyDescent="0.25">
      <x:c r="A15" s="5">
        <x:f t="shared" si="0"/>
        <x:v>5</x:v>
      </x:c>
    </x:row>
    <x:row r="16" spans="1:6" s="1" customFormat="1" ht="11.5" x14ac:dyDescent="0.25">
      <x:c r="A16" s="5">
        <x:f t="shared" si="0"/>
        <x:v>6</x:v>
      </x:c>
      <x:c r="B16" s="4" t="s">
        <x:v>0</x:v>
      </x:c>
      <x:c r="C16" s="4" t="s">
        <x:v>1</x:v>
      </x:c>
      <x:c r="D16" s="4" t="s">
        <x:v>2</x:v>
      </x:c>
      <x:c r="E16" s="4" t="s">
        <x:v>3</x:v>
      </x:c>
      <x:c r="F16" s="4" t="s">
        <x:v>4</x:v>
      </x:c>
    </x:row>
    <x:row r="17" spans="1:6" x14ac:dyDescent="0.25">
      <x:c r="A17" s="5">
        <x:f t="shared" si="0"/>
        <x:v>7</x:v>
      </x:c>
      <x:c r="B17" t="s">
        <x:v>97</x:v>
      </x:c>
      <x:c r="C17" s="13">
        <x:v>10.476000000000001</x:v>
      </x:c>
      <x:c r="D17" s="13">
        <x:v>0.48799999999999999</x:v>
      </x:c>
      <x:c r="E17" s="13">
        <x:v>21.477</x:v>
      </x:c>
      <x:c r="F17" s="14">
        <x:v>0</x:v>
      </x:c>
    </x:row>
    <x:row r="18" spans="1:6" x14ac:dyDescent="0.25">
      <x:c r="A18" s="5">
        <x:f t="shared" si="0"/>
        <x:v>8</x:v>
      </x:c>
      <x:c r="B18" t="s">
        <x:v>98</x:v>
      </x:c>
      <x:c r="C18" s="13">
        <x:v>5.6849999999999996</x:v>
      </x:c>
      <x:c r="D18" s="13">
        <x:v>0.46200000000000002</x:v>
      </x:c>
      <x:c r="E18" s="13">
        <x:v>12.302</x:v>
      </x:c>
      <x:c r="F18" s="14">
        <x:v>0</x:v>
      </x:c>
    </x:row>
    <x:row r="19" spans="1:6" x14ac:dyDescent="0.25">
      <x:c r="A19" s="5">
        <x:f t="shared" si="0"/>
        <x:v>9</x:v>
      </x:c>
      <x:c r="B19" t="s">
        <x:v>73</x:v>
      </x:c>
      <x:c r="C19" s="13">
        <x:v>1.2989999999999999</x:v>
      </x:c>
      <x:c r="D19" s="13">
        <x:v>6.0999999999999999E-2</x:v>
      </x:c>
      <x:c r="E19" s="13">
        <x:v>21.373000000000001</x:v>
      </x:c>
      <x:c r="F19" s="14">
        <x:v>0</x:v>
      </x:c>
    </x:row>
    <x:row r="20" spans="1:6" x14ac:dyDescent="0.25">
      <x:c r="A20" s="5">
        <x:f t="shared" si="0"/>
        <x:v>10</x:v>
      </x:c>
      <x:c r="B20" t="s">
        <x:v>29</x:v>
      </x:c>
      <x:c r="C20" s="13">
        <x:v>13.352</x:v>
      </x:c>
      <x:c r="D20" s="13">
        <x:v>2.5529999999999999</x:v>
      </x:c>
      <x:c r="E20" s="13">
        <x:v>5.23</x:v>
      </x:c>
      <x:c r="F20" s="14">
        <x:v>0</x:v>
      </x:c>
    </x:row>
    <x:row r="21" spans="1:6" x14ac:dyDescent="0.25">
      <x:c r="A21" s="5">
        <x:f t="shared" si="0"/>
        <x:v>11</x:v>
      </x:c>
      <x:c r="B21" t="s">
        <x:v>30</x:v>
      </x:c>
      <x:c r="C21" s="13">
        <x:v>6.4279999999999999</x:v>
      </x:c>
      <x:c r="D21" s="13">
        <x:v>2.601</x:v>
      </x:c>
      <x:c r="E21" s="13">
        <x:v>2.4710000000000001</x:v>
      </x:c>
      <x:c r="F21" s="14">
        <x:v>1.47E-2</x:v>
      </x:c>
    </x:row>
    <x:row r="22" spans="1:6" x14ac:dyDescent="0.25">
      <x:c r="A22" s="5">
        <x:f t="shared" si="0"/>
        <x:v>12</x:v>
      </x:c>
      <x:c r="B22" t="s">
        <x:v>32</x:v>
      </x:c>
      <x:c r="C22" s="13">
        <x:v>9.2669999999999995</x:v>
      </x:c>
      <x:c r="D22" s="13">
        <x:v>2.8220000000000001</x:v>
      </x:c>
      <x:c r="E22" s="13">
        <x:v>3.2839999999999998</x:v>
      </x:c>
      <x:c r="F22" s="14">
        <x:v>1.2999999999999999E-3</x:v>
      </x:c>
    </x:row>
    <x:row r="23" spans="1:6" x14ac:dyDescent="0.25">
      <x:c r="A23" s="5">
        <x:f t="shared" si="0"/>
        <x:v>13</x:v>
      </x:c>
      <x:c r="B23" t="s">
        <x:v>33</x:v>
      </x:c>
      <x:c r="C23" s="13">
        <x:v>20.646999999999998</x:v>
      </x:c>
      <x:c r="D23" s="13">
        <x:v>5.202</x:v>
      </x:c>
      <x:c r="E23" s="13">
        <x:v>3.9689999999999999</x:v>
      </x:c>
      <x:c r="F23" s="14">
        <x:v>1E-4</x:v>
      </x:c>
    </x:row>
    <x:row r="24" spans="1:6" x14ac:dyDescent="0.25">
      <x:c r="A24" s="5">
        <x:f t="shared" si="0"/>
        <x:v>14</x:v>
      </x:c>
      <x:c r="B24" t="s">
        <x:v>34</x:v>
      </x:c>
      <x:c r="C24" s="13">
        <x:v>30.338000000000001</x:v>
      </x:c>
      <x:c r="D24" s="13">
        <x:v>7.9740000000000002</x:v>
      </x:c>
      <x:c r="E24" s="13">
        <x:v>3.8050000000000002</x:v>
      </x:c>
      <x:c r="F24" s="14">
        <x:v>2.0000000000000001E-4</x:v>
      </x:c>
    </x:row>
    <x:row r="25" spans="1:6" x14ac:dyDescent="0.25">
      <x:c r="A25" s="5">
        <x:f t="shared" si="0"/>
        <x:v>15</x:v>
      </x:c>
      <x:c r="B25" t="s">
        <x:v>35</x:v>
      </x:c>
      <x:c r="C25" s="13">
        <x:v>43.481000000000002</x:v>
      </x:c>
      <x:c r="D25" s="13">
        <x:v>9.2530000000000001</x:v>
      </x:c>
      <x:c r="E25" s="13">
        <x:v>4.6989999999999998</x:v>
      </x:c>
      <x:c r="F25" s="14">
        <x:v>0</x:v>
      </x:c>
    </x:row>
    <x:row r="26" spans="1:6" x14ac:dyDescent="0.25">
      <x:c r="A26" s="5">
        <x:f t="shared" si="0"/>
        <x:v>16</x:v>
      </x:c>
      <x:c r="B26" t="s">
        <x:v>36</x:v>
      </x:c>
      <x:c r="C26" s="13">
        <x:v>50.271000000000001</x:v>
      </x:c>
      <x:c r="D26" s="13">
        <x:v>8.1999999999999993</x:v>
      </x:c>
      <x:c r="E26" s="13">
        <x:v>6.1310000000000002</x:v>
      </x:c>
      <x:c r="F26" s="14">
        <x:v>0</x:v>
      </x:c>
    </x:row>
    <x:row r="27" spans="1:6" x14ac:dyDescent="0.25">
      <x:c r="A27" s="5">
        <x:f t="shared" si="0"/>
        <x:v>17</x:v>
      </x:c>
      <x:c r="B27" t="s">
        <x:v>37</x:v>
      </x:c>
      <x:c r="C27" s="13">
        <x:v>41.628999999999998</x:v>
      </x:c>
      <x:c r="D27" s="13">
        <x:v>5.3369999999999997</x:v>
      </x:c>
      <x:c r="E27" s="13">
        <x:v>7.7990000000000004</x:v>
      </x:c>
      <x:c r="F27" s="14">
        <x:v>0</x:v>
      </x:c>
    </x:row>
    <x:row r="28" spans="1:6" x14ac:dyDescent="0.25">
      <x:c r="A28" s="5">
        <x:f t="shared" si="0"/>
        <x:v>18</x:v>
      </x:c>
      <x:c r="B28" t="s">
        <x:v>38</x:v>
      </x:c>
      <x:c r="C28" s="13">
        <x:v>19.026</x:v>
      </x:c>
      <x:c r="D28" s="13">
        <x:v>2.8220000000000001</x:v>
      </x:c>
      <x:c r="E28" s="13">
        <x:v>6.7409999999999997</x:v>
      </x:c>
      <x:c r="F28" s="14">
        <x:v>0</x:v>
      </x:c>
    </x:row>
    <x:row r="29" spans="1:6" x14ac:dyDescent="0.25">
      <x:c r="A29" s="5">
        <x:f t="shared" si="0"/>
        <x:v>19</x:v>
      </x:c>
      <x:c r="B29" s="28" t="s">
        <x:v>107</x:v>
      </x:c>
      <x:c r="C29" s="13">
        <x:v>-41.029000000000003</x:v>
      </x:c>
      <x:c r="D29" s="13">
        <x:v>7.2309999999999999</x:v>
      </x:c>
      <x:c r="E29" s="13">
        <x:v>-5.6740000000000004</x:v>
      </x:c>
      <x:c r="F29" s="14">
        <x:v>0</x:v>
      </x:c>
    </x:row>
    <x:row r="30" spans="1:6" x14ac:dyDescent="0.25">
      <x:c r="A30" s="5">
        <x:f t="shared" si="0"/>
        <x:v>20</x:v>
      </x:c>
      <x:c r="B30" t="s">
        <x:v>42</x:v>
      </x:c>
      <x:c r="C30" s="13">
        <x:v>0.75900000000000001</x:v>
      </x:c>
      <x:c r="D30" s="13">
        <x:v>8.3000000000000004E-2</x:v>
      </x:c>
      <x:c r="E30" s="13">
        <x:v>9.2029999999999994</x:v>
      </x:c>
      <x:c r="F30" s="14">
        <x:v>0</x:v>
      </x:c>
    </x:row>
    <x:row r="31" spans="1:6" x14ac:dyDescent="0.25">
      <x:c r="A31" s="5">
        <x:f t="shared" si="0"/>
        <x:v>21</x:v>
      </x:c>
      <x:c r="B31" t="s">
        <x:v>54</x:v>
      </x:c>
      <x:c r="C31" s="13">
        <x:v>4.2999999999999997E-2</x:v>
      </x:c>
      <x:c r="D31" s="13">
        <x:v>0.10199999999999999</x:v>
      </x:c>
      <x:c r="E31" s="13">
        <x:v>0.41899999999999998</x:v>
      </x:c>
      <x:c r="F31" s="14">
        <x:v>0.67610000000000003</x:v>
      </x:c>
    </x:row>
    <x:row r="32" spans="1:6" x14ac:dyDescent="0.25">
      <x:c r="A32" s="5">
        <x:f t="shared" si="0"/>
        <x:v>22</x:v>
      </x:c>
      <x:c r="B32" t="s">
        <x:v>55</x:v>
      </x:c>
      <x:c r="C32" s="13">
        <x:v>0.114</x:v>
      </x:c>
      <x:c r="D32" s="13">
        <x:v>0.10199999999999999</x:v>
      </x:c>
      <x:c r="E32" s="13">
        <x:v>1.1140000000000001</x:v>
      </x:c>
      <x:c r="F32" s="14">
        <x:v>0.26740000000000003</x:v>
      </x:c>
    </x:row>
    <x:row r="33" spans="1:6" x14ac:dyDescent="0.25">
      <x:c r="A33" s="5">
        <x:f t="shared" si="0"/>
        <x:v>23</x:v>
      </x:c>
      <x:c r="B33" t="s">
        <x:v>56</x:v>
      </x:c>
      <x:c r="C33" s="13">
        <x:v>3.9E-2</x:v>
      </x:c>
      <x:c r="D33" s="13">
        <x:v>0.10199999999999999</x:v>
      </x:c>
      <x:c r="E33" s="13">
        <x:v>0.378</x:v>
      </x:c>
      <x:c r="F33" s="14">
        <x:v>0.70640000000000003</x:v>
      </x:c>
    </x:row>
    <x:row r="34" spans="1:6" x14ac:dyDescent="0.25">
      <x:c r="A34" s="5">
        <x:f t="shared" si="0"/>
        <x:v>24</x:v>
      </x:c>
      <x:c r="B34" t="s">
        <x:v>57</x:v>
      </x:c>
      <x:c r="C34" s="13">
        <x:v>6.3E-2</x:v>
      </x:c>
      <x:c r="D34" s="13">
        <x:v>0.10100000000000001</x:v>
      </x:c>
      <x:c r="E34" s="13">
        <x:v>0.62</x:v>
      </x:c>
      <x:c r="F34" s="14">
        <x:v>0.5363</x:v>
      </x:c>
    </x:row>
    <x:row r="35" spans="1:6" x14ac:dyDescent="0.25">
      <x:c r="A35" s="5">
        <x:f t="shared" si="0"/>
        <x:v>25</x:v>
      </x:c>
      <x:c r="B35" t="s">
        <x:v>77</x:v>
      </x:c>
      <x:c r="C35" s="13">
        <x:v>0.114</x:v>
      </x:c>
      <x:c r="D35" s="13">
        <x:v>0.1</x:v>
      </x:c>
      <x:c r="E35" s="13">
        <x:v>1.1379999999999999</x:v>
      </x:c>
      <x:c r="F35" s="14">
        <x:v>0.25719999999999998</x:v>
      </x:c>
    </x:row>
    <x:row r="36" spans="1:6" x14ac:dyDescent="0.25">
      <x:c r="A36" s="5">
        <x:f t="shared" si="0"/>
        <x:v>26</x:v>
      </x:c>
      <x:c r="B36" t="s">
        <x:v>78</x:v>
      </x:c>
      <x:c r="C36" s="13">
        <x:v>-0.255</x:v>
      </x:c>
      <x:c r="D36" s="13">
        <x:v>0.10100000000000001</x:v>
      </x:c>
      <x:c r="E36" s="13">
        <x:v>-2.52</x:v>
      </x:c>
      <x:c r="F36" s="14">
        <x:v>1.29E-2</x:v>
      </x:c>
    </x:row>
    <x:row r="37" spans="1:6" x14ac:dyDescent="0.25">
      <x:c r="A37" s="5">
        <x:f t="shared" si="0"/>
        <x:v>27</x:v>
      </x:c>
      <x:c r="B37" t="s">
        <x:v>79</x:v>
      </x:c>
      <x:c r="C37" s="13">
        <x:v>0.13800000000000001</x:v>
      </x:c>
      <x:c r="D37" s="13">
        <x:v>0.1</x:v>
      </x:c>
      <x:c r="E37" s="13">
        <x:v>1.379</x:v>
      </x:c>
      <x:c r="F37" s="14">
        <x:v>0.17030000000000001</x:v>
      </x:c>
    </x:row>
    <x:row r="38" spans="1:6" x14ac:dyDescent="0.25">
      <x:c r="A38" s="5">
        <x:f t="shared" si="0"/>
        <x:v>28</x:v>
      </x:c>
      <x:c r="B38" t="s">
        <x:v>80</x:v>
      </x:c>
      <x:c r="C38" s="13">
        <x:v>5.8000000000000003E-2</x:v>
      </x:c>
      <x:c r="D38" s="13">
        <x:v>0.1</x:v>
      </x:c>
      <x:c r="E38" s="13">
        <x:v>0.57899999999999996</x:v>
      </x:c>
      <x:c r="F38" s="14">
        <x:v>0.56340000000000001</x:v>
      </x:c>
    </x:row>
    <x:row r="39" spans="1:6" x14ac:dyDescent="0.25">
      <x:c r="A39" s="5">
        <x:f t="shared" si="0"/>
        <x:v>29</x:v>
      </x:c>
      <x:c r="B39" t="s">
        <x:v>81</x:v>
      </x:c>
      <x:c r="C39" s="13">
        <x:v>-0.13300000000000001</x:v>
      </x:c>
      <x:c r="D39" s="13">
        <x:v>0.10100000000000001</x:v>
      </x:c>
      <x:c r="E39" s="13">
        <x:v>-1.319</x:v>
      </x:c>
      <x:c r="F39" s="14">
        <x:v>0.18959999999999999</x:v>
      </x:c>
    </x:row>
    <x:row r="40" spans="1:6" x14ac:dyDescent="0.25">
      <x:c r="A40" s="5">
        <x:f t="shared" si="0"/>
        <x:v>30</x:v>
      </x:c>
      <x:c r="B40" t="s">
        <x:v>99</x:v>
      </x:c>
      <x:c r="C40" s="13">
        <x:v>0.159</x:v>
      </x:c>
      <x:c r="D40" s="13">
        <x:v>0.10199999999999999</x:v>
      </x:c>
      <x:c r="E40" s="13">
        <x:v>1.5529999999999999</x:v>
      </x:c>
      <x:c r="F40" s="14">
        <x:v>0.12280000000000001</x:v>
      </x:c>
    </x:row>
    <x:row r="41" spans="1:6" x14ac:dyDescent="0.25">
      <x:c r="A41" s="5">
        <x:f t="shared" si="0"/>
        <x:v>31</x:v>
      </x:c>
      <x:c r="B41" t="s">
        <x:v>100</x:v>
      </x:c>
      <x:c r="C41" s="13">
        <x:v>1.0999999999999999E-2</x:v>
      </x:c>
      <x:c r="D41" s="13">
        <x:v>0.10199999999999999</x:v>
      </x:c>
      <x:c r="E41" s="13">
        <x:v>0.108</x:v>
      </x:c>
      <x:c r="F41" s="14">
        <x:v>0.91379999999999995</x:v>
      </x:c>
    </x:row>
    <x:row r="42" spans="1:6" x14ac:dyDescent="0.25">
      <x:c r="A42" s="5">
        <x:f t="shared" si="0"/>
        <x:v>32</x:v>
      </x:c>
      <x:c r="B42" t="s">
        <x:v>101</x:v>
      </x:c>
      <x:c r="C42" s="13">
        <x:v>8.7999999999999995E-2</x:v>
      </x:c>
      <x:c r="D42" s="13">
        <x:v>0.10100000000000001</x:v>
      </x:c>
      <x:c r="E42" s="13">
        <x:v>0.876</x:v>
      </x:c>
      <x:c r="F42" s="14">
        <x:v>0.38269999999999998</x:v>
      </x:c>
    </x:row>
    <x:row r="43" spans="1:6" x14ac:dyDescent="0.25">
      <x:c r="A43" s="5">
        <x:f t="shared" si="0"/>
        <x:v>33</x:v>
      </x:c>
      <x:c r="B43" t="s">
        <x:v>102</x:v>
      </x:c>
      <x:c r="C43" s="13">
        <x:v>-0.23400000000000001</x:v>
      </x:c>
      <x:c r="D43" s="13">
        <x:v>8.1000000000000003E-2</x:v>
      </x:c>
      <x:c r="E43" s="13">
        <x:v>-2.8740000000000001</x:v>
      </x:c>
      <x:c r="F43" s="14">
        <x:v>4.7000000000000002E-3</x:v>
      </x:c>
    </x:row>
    <x:row r="44" spans="1:6" x14ac:dyDescent="0.25">
      <x:c r="A44" s="5">
        <x:f t="shared" si="0"/>
        <x:v>34</x:v>
      </x:c>
      <x:c r="C44" s="13"/>
      <x:c r="D44" s="13"/>
      <x:c r="E44" s="13"/>
      <x:c r="F44" s="14"/>
    </x:row>
    <x:row r="45" spans="1:6" x14ac:dyDescent="0.25">
      <x:c r="A45" s="5">
        <x:f t="shared" si="0"/>
        <x:v>35</x:v>
      </x:c>
      <x:c r="B45" s="15" t="s">
        <x:v>53</x:v>
      </x:c>
      <x:c r="C45" s="13"/>
      <x:c r="D45" s="13"/>
      <x:c r="E45" s="13"/>
      <x:c r="F45" s="14"/>
    </x:row>
    <x:row r="46" spans="1:6" x14ac:dyDescent="0.25">
      <x:c r="A46" s="5">
        <x:f t="shared" si="0"/>
        <x:v>36</x:v>
      </x:c>
      <x:c r="B46" t="s">
        <x:v>25</x:v>
      </x:c>
      <x:c r="C46">
        <x:v>160</x:v>
      </x:c>
      <x:c r="F46" s="8"/>
    </x:row>
    <x:row r="47" spans="1:6" x14ac:dyDescent="0.25">
      <x:c r="A47" s="5">
        <x:f t="shared" si="0"/>
        <x:v>37</x:v>
      </x:c>
      <x:c r="B47" t="s">
        <x:v>8</x:v>
      </x:c>
      <x:c r="C47" s="20">
        <x:v>133</x:v>
      </x:c>
      <x:c r="F47" s="8"/>
    </x:row>
    <x:row r="48" spans="1:6" x14ac:dyDescent="0.25">
      <x:c r="A48" s="5">
        <x:f t="shared" si="0"/>
        <x:v>38</x:v>
      </x:c>
      <x:c r="B48" t="s">
        <x:v>9</x:v>
      </x:c>
      <x:c r="C48" s="22">
        <x:v>0.99199999999999999</x:v>
      </x:c>
      <x:c r="F48" s="8"/>
    </x:row>
    <x:row r="49" spans="1:6" x14ac:dyDescent="0.25">
      <x:c r="A49" s="5">
        <x:f t="shared" si="0"/>
        <x:v>39</x:v>
      </x:c>
      <x:c r="B49" t="s">
        <x:v>10</x:v>
      </x:c>
      <x:c r="C49" s="29">
        <x:v>0.99</x:v>
      </x:c>
      <x:c r="F49" s="8"/>
    </x:row>
    <x:row r="50" spans="1:6" x14ac:dyDescent="0.25">
      <x:c r="A50" s="5">
        <x:f t="shared" si="0"/>
        <x:v>40</x:v>
      </x:c>
      <x:c r="B50" t="s">
        <x:v>12</x:v>
      </x:c>
      <x:c r="C50" s="33">
        <x:v>126.92</x:v>
      </x:c>
      <x:c r="F50" s="8"/>
    </x:row>
    <x:row r="51" spans="1:6" x14ac:dyDescent="0.25">
      <x:c r="A51" s="5">
        <x:f t="shared" si="0"/>
        <x:v>41</x:v>
      </x:c>
      <x:c r="B51" t="s">
        <x:v>13</x:v>
      </x:c>
      <x:c r="C51" s="34">
        <x:v>0</x:v>
      </x:c>
      <x:c r="F51" s="8"/>
    </x:row>
    <x:row r="52" spans="1:6" x14ac:dyDescent="0.25">
      <x:c r="A52" s="5">
        <x:f t="shared" si="0"/>
        <x:v>42</x:v>
      </x:c>
      <x:c r="B52" t="s">
        <x:v>14</x:v>
      </x:c>
      <x:c r="C52" s="26">
        <x:v>1202203.8999999999</x:v>
      </x:c>
    </x:row>
    <x:row r="53" spans="1:6" x14ac:dyDescent="0.25">
      <x:c r="A53" s="5">
        <x:f t="shared" si="0"/>
        <x:v>43</x:v>
      </x:c>
      <x:c r="B53" t="s">
        <x:v>15</x:v>
      </x:c>
      <x:c r="C53" s="21">
        <x:v>9949.94</x:v>
      </x:c>
      <x:c r="F53" s="8"/>
    </x:row>
    <x:row r="54" spans="1:6" x14ac:dyDescent="0.25">
      <x:c r="A54" s="5">
        <x:f t="shared" si="0"/>
        <x:v>44</x:v>
      </x:c>
      <x:c r="B54" t="s">
        <x:v>16</x:v>
      </x:c>
      <x:c r="C54">
        <x:v>74.81</x:v>
      </x:c>
      <x:c r="F54" s="8"/>
    </x:row>
    <x:row r="55" spans="1:6" x14ac:dyDescent="0.25">
      <x:c r="A55" s="5">
        <x:f t="shared" si="0"/>
        <x:v>45</x:v>
      </x:c>
      <x:c r="B55" t="s">
        <x:v>17</x:v>
      </x:c>
      <x:c r="C55">
        <x:v>8.65</x:v>
      </x:c>
      <x:c r="F55" s="8"/>
    </x:row>
    <x:row r="56" spans="1:6" x14ac:dyDescent="0.25">
      <x:c r="A56" s="5">
        <x:f t="shared" si="0"/>
        <x:v>46</x:v>
      </x:c>
      <x:c r="B56" t="s">
        <x:v>75</x:v>
      </x:c>
      <x:c r="C56">
        <x:v>6.19</x:v>
      </x:c>
    </x:row>
    <x:row r="57" spans="1:6" x14ac:dyDescent="0.25">
      <x:c r="A57" s="5">
        <x:f t="shared" si="0"/>
        <x:v>47</x:v>
      </x:c>
      <x:c r="B57" t="s">
        <x:v>76</x:v>
      </x:c>
      <x:c r="C57" s="8">
        <x:v>0.01</x:v>
      </x:c>
    </x:row>
    <x:row r="58" spans="1:6" x14ac:dyDescent="0.25">
      <x:c r="A58" s="5">
        <x:f t="shared" si="0"/>
        <x:v>48</x:v>
      </x:c>
      <x:c r="B58" t="s">
        <x:v>11</x:v>
      </x:c>
      <x:c r="C58">
        <x:v>2.0049999999999999</x:v>
      </x:c>
    </x:row>
    <x:row r="59" spans="1:6" x14ac:dyDescent="0.25">
      <x:c r="A59" s="5">
        <x:f t="shared" si="0"/>
        <x:v>49</x:v>
      </x:c>
      <x:c r="B59" t="s">
        <x:v>61</x:v>
      </x:c>
      <x:c r="C59">
        <x:v>8.67</x:v>
      </x:c>
    </x:row>
    <x:row r="60" spans="1:6" x14ac:dyDescent="0.25">
      <x:c r="A60" s="5">
        <x:f t="shared" si="0"/>
        <x:v>50</x:v>
      </x:c>
      <x:c r="B60" t="s">
        <x:v>62</x:v>
      </x:c>
      <x:c r="C60">
        <x:v>0.99819999999999998</x:v>
      </x:c>
    </x:row>
  </x:sheetData>
  <x:mergeCells count="7">
    <x:mergeCell ref="B6:F6"/>
    <x:mergeCell ref="B9:F9"/>
    <x:mergeCell ref="B1:F1"/>
    <x:mergeCell ref="B2:F2"/>
    <x:mergeCell ref="B3:F3"/>
    <x:mergeCell ref="B4:F4"/>
    <x:mergeCell ref="B8:F8"/>
  </x:mergeCells>
  <x:phoneticPr fontId="0" type="noConversion"/>
  <x:pageMargins left="0.7" right="0.7" top="0.75" bottom="0.75" header="0.3" footer="0.3"/>
  <x:pageSetup firstPageNumber="8" orientation="portrait" r:id="rId1"/>
  <x:headerFooter>
    <x:oddHeader xml:space="preserve">&amp;RSchedule II-H-2.1
Page  &amp;P of  27
</x:oddHeader>
  </x:headerFooter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pageSetUpPr fitToPage="1"/>
  </x:sheetPr>
  <x:dimension ref="A1:H37"/>
  <x:sheetViews>
    <x:sheetView workbookViewId="0"/>
  </x:sheetViews>
  <x:sheetFormatPr defaultRowHeight="12.5" x14ac:dyDescent="0.25"/>
  <x:cols>
    <x:col min="2" max="2" width="20.36328125" customWidth="1"/>
    <x:col min="3" max="3" width="17.1796875" customWidth="1"/>
    <x:col min="4" max="4" width="18.81640625" customWidth="1"/>
    <x:col min="5" max="5" width="14.6328125" customWidth="1"/>
    <x:col min="6" max="6" width="15.90625" customWidth="1"/>
    <x:col min="7" max="7" width="11" customWidth="1"/>
  </x:cols>
  <x:sheetData>
    <x:row r="1" spans="1:8" ht="15.5" x14ac:dyDescent="0.25">
      <x:c r="A1" s="5"/>
      <x:c r="B1" s="41" t="str">
        <x:f>+'RES Model'!B1:F1</x:f>
        <x:v xml:space="preserve">PUC DOCKET NO. </x:v>
      </x:c>
      <x:c r="C1" s="39"/>
      <x:c r="D1" s="39"/>
      <x:c r="E1" s="39"/>
      <x:c r="F1" s="39"/>
      <x:c r="G1" s="39"/>
      <x:c r="H1" s="39"/>
    </x:row>
    <x:row r="2" spans="1:8" ht="15.5" x14ac:dyDescent="0.35">
      <x:c r="A2" s="5"/>
      <x:c r="B2" s="37" t="str">
        <x:f>+'RES Model'!B2:F2</x:f>
        <x:v>ONCOR ELECTRIC DELIVERY COMPANY LLC</x:v>
      </x:c>
      <x:c r="C2" s="39"/>
      <x:c r="D2" s="39"/>
      <x:c r="E2" s="39"/>
      <x:c r="F2" s="39"/>
      <x:c r="G2" s="39"/>
      <x:c r="H2" s="39"/>
    </x:row>
    <x:row r="3" spans="1:8" ht="15.5" x14ac:dyDescent="0.35">
      <x:c r="A3" s="5"/>
      <x:c r="B3" s="37" t="str">
        <x:f>+'RES Model'!B3:F3</x:f>
        <x:v>MODEL INFORMATION</x:v>
      </x:c>
      <x:c r="C3" s="39"/>
      <x:c r="D3" s="39"/>
      <x:c r="E3" s="39"/>
      <x:c r="F3" s="39"/>
      <x:c r="G3" s="39"/>
      <x:c r="H3" s="39"/>
    </x:row>
    <x:row r="4" spans="1:8" ht="15.5" x14ac:dyDescent="0.35">
      <x:c r="A4" s="5"/>
      <x:c r="B4" s="37" t="str">
        <x:f>+'RES Model'!B4:F4</x:f>
        <x:v>FOR THE TEST YEAR ENDING DECEMBER 31, 2024</x:v>
      </x:c>
      <x:c r="C4" s="39"/>
      <x:c r="D4" s="39"/>
      <x:c r="E4" s="39"/>
      <x:c r="F4" s="39"/>
      <x:c r="G4" s="39"/>
      <x:c r="H4" s="39"/>
    </x:row>
    <x:row r="5" spans="1:8" x14ac:dyDescent="0.25">
      <x:c r="A5" s="5"/>
      <x:c r="B5" s="1"/>
      <x:c r="C5" s="1"/>
      <x:c r="D5" s="1"/>
      <x:c r="E5" s="1"/>
      <x:c r="F5" s="1"/>
      <x:c r="G5" s="1"/>
      <x:c r="H5" s="1"/>
    </x:row>
    <x:row r="6" spans="1:8" ht="15.5" x14ac:dyDescent="0.35">
      <x:c r="A6" s="5"/>
      <x:c r="B6" s="37" t="str">
        <x:f>+'RES Model'!B6:F6</x:f>
        <x:v>SPONSOR: D. E. NELSON</x:v>
      </x:c>
      <x:c r="C6" s="39"/>
      <x:c r="D6" s="39"/>
      <x:c r="E6" s="39"/>
      <x:c r="F6" s="39"/>
      <x:c r="G6" s="39"/>
      <x:c r="H6" s="39"/>
    </x:row>
    <x:row r="8" spans="1:8" x14ac:dyDescent="0.25">
      <x:c r="A8" s="5" t="s">
        <x:v>18</x:v>
      </x:c>
      <x:c r="B8" s="38"/>
      <x:c r="C8" s="38"/>
      <x:c r="D8" s="38"/>
      <x:c r="E8" s="38"/>
      <x:c r="F8" s="38"/>
      <x:c r="G8" s="1"/>
      <x:c r="H8" s="1"/>
    </x:row>
    <x:row r="9" spans="1:8" x14ac:dyDescent="0.25">
      <x:c r="A9" s="6" t="s">
        <x:v>19</x:v>
      </x:c>
      <x:c r="B9" s="7"/>
      <x:c r="C9" s="7"/>
      <x:c r="D9" s="7"/>
      <x:c r="E9" s="7"/>
      <x:c r="F9" s="7"/>
      <x:c r="G9" s="1"/>
      <x:c r="H9" s="1"/>
    </x:row>
    <x:row r="10" spans="1:8" x14ac:dyDescent="0.25">
      <x:c r="A10" s="5">
        <x:v>1</x:v>
      </x:c>
      <x:c r="B10" s="38" t="s">
        <x:v>67</x:v>
      </x:c>
      <x:c r="C10" s="39"/>
      <x:c r="D10" s="39"/>
      <x:c r="E10" s="39"/>
      <x:c r="F10" s="39"/>
      <x:c r="G10" s="39"/>
      <x:c r="H10" s="39"/>
    </x:row>
    <x:row r="11" spans="1:8" x14ac:dyDescent="0.25">
      <x:c r="A11" s="5">
        <x:f t="shared" ref="A11:A37" si="0">+A10+1</x:f>
        <x:v>2</x:v>
      </x:c>
      <x:c r="B11" s="38" t="s">
        <x:v>44</x:v>
      </x:c>
      <x:c r="C11" s="40"/>
      <x:c r="D11" s="40"/>
      <x:c r="E11" s="40"/>
      <x:c r="F11" s="40"/>
      <x:c r="G11" s="40"/>
      <x:c r="H11" s="40"/>
    </x:row>
    <x:row r="12" spans="1:8" x14ac:dyDescent="0.25">
      <x:c r="A12" s="5">
        <x:f t="shared" si="0"/>
        <x:v>3</x:v>
      </x:c>
      <x:c r="B12" s="3"/>
      <x:c r="C12" s="9"/>
      <x:c r="D12" s="1"/>
      <x:c r="E12" s="1"/>
      <x:c r="F12" s="1"/>
      <x:c r="G12" s="1"/>
      <x:c r="H12" s="1"/>
    </x:row>
    <x:row r="13" spans="1:8" x14ac:dyDescent="0.25">
      <x:c r="A13" s="5">
        <x:f t="shared" si="0"/>
        <x:v>4</x:v>
      </x:c>
      <x:c r="B13" s="3"/>
      <x:c r="C13" s="9"/>
      <x:c r="D13" s="1"/>
      <x:c r="E13" s="1"/>
      <x:c r="F13" s="1"/>
      <x:c r="G13" s="1"/>
      <x:c r="H13" s="1"/>
    </x:row>
    <x:row r="14" spans="1:8" x14ac:dyDescent="0.25">
      <x:c r="A14" s="5">
        <x:f t="shared" si="0"/>
        <x:v>5</x:v>
      </x:c>
      <x:c r="B14" s="1"/>
      <x:c r="C14" s="1"/>
      <x:c r="D14" s="1"/>
      <x:c r="E14" s="1"/>
      <x:c r="F14" s="1"/>
      <x:c r="G14" s="1"/>
      <x:c r="H14" s="1"/>
    </x:row>
    <x:row r="15" spans="1:8" x14ac:dyDescent="0.25">
      <x:c r="A15" s="5">
        <x:f t="shared" si="0"/>
        <x:v>6</x:v>
      </x:c>
      <x:c r="B15" s="24"/>
      <x:c r="C15" s="24"/>
      <x:c r="D15" s="24"/>
      <x:c r="E15" s="24"/>
      <x:c r="F15" s="24"/>
      <x:c r="G15" s="1"/>
      <x:c r="H15" s="1"/>
    </x:row>
    <x:row r="16" spans="1:8" x14ac:dyDescent="0.25">
      <x:c r="A16" s="5">
        <x:f t="shared" si="0"/>
        <x:v>7</x:v>
      </x:c>
      <x:c r="F16" s="8"/>
    </x:row>
    <x:row r="17" spans="1:6" x14ac:dyDescent="0.25">
      <x:c r="A17" s="5">
        <x:f t="shared" si="0"/>
        <x:v>8</x:v>
      </x:c>
      <x:c r="F17" s="8"/>
    </x:row>
    <x:row r="18" spans="1:6" x14ac:dyDescent="0.25">
      <x:c r="A18" s="5">
        <x:f t="shared" si="0"/>
        <x:v>9</x:v>
      </x:c>
      <x:c r="F18" s="8"/>
    </x:row>
    <x:row r="19" spans="1:6" x14ac:dyDescent="0.25">
      <x:c r="A19" s="5">
        <x:f t="shared" si="0"/>
        <x:v>10</x:v>
      </x:c>
      <x:c r="F19" s="8"/>
    </x:row>
    <x:row r="20" spans="1:6" x14ac:dyDescent="0.25">
      <x:c r="A20" s="5">
        <x:f t="shared" si="0"/>
        <x:v>11</x:v>
      </x:c>
      <x:c r="F20" s="8"/>
    </x:row>
    <x:row r="21" spans="1:6" x14ac:dyDescent="0.25">
      <x:c r="A21" s="5">
        <x:f t="shared" si="0"/>
        <x:v>12</x:v>
      </x:c>
      <x:c r="F21" s="8"/>
    </x:row>
    <x:row r="22" spans="1:6" x14ac:dyDescent="0.25">
      <x:c r="A22" s="5">
        <x:f t="shared" si="0"/>
        <x:v>13</x:v>
      </x:c>
      <x:c r="F22" s="8"/>
    </x:row>
    <x:row r="23" spans="1:6" x14ac:dyDescent="0.25">
      <x:c r="A23" s="5">
        <x:f t="shared" si="0"/>
        <x:v>14</x:v>
      </x:c>
      <x:c r="F23" s="8"/>
    </x:row>
    <x:row r="24" spans="1:6" x14ac:dyDescent="0.25">
      <x:c r="A24" s="5">
        <x:f t="shared" si="0"/>
        <x:v>15</x:v>
      </x:c>
      <x:c r="F24" s="8"/>
    </x:row>
    <x:row r="25" spans="1:6" x14ac:dyDescent="0.25">
      <x:c r="A25" s="5">
        <x:f t="shared" si="0"/>
        <x:v>16</x:v>
      </x:c>
      <x:c r="F25" s="8"/>
    </x:row>
    <x:row r="26" spans="1:6" x14ac:dyDescent="0.25">
      <x:c r="A26" s="5">
        <x:f t="shared" si="0"/>
        <x:v>17</x:v>
      </x:c>
      <x:c r="F26" s="8"/>
    </x:row>
    <x:row r="27" spans="1:6" x14ac:dyDescent="0.25">
      <x:c r="A27" s="5">
        <x:f t="shared" si="0"/>
        <x:v>18</x:v>
      </x:c>
      <x:c r="F27" s="8"/>
    </x:row>
    <x:row r="28" spans="1:6" x14ac:dyDescent="0.25">
      <x:c r="A28" s="5">
        <x:f t="shared" si="0"/>
        <x:v>19</x:v>
      </x:c>
      <x:c r="F28" s="8"/>
    </x:row>
    <x:row r="29" spans="1:6" x14ac:dyDescent="0.25">
      <x:c r="A29" s="5">
        <x:f t="shared" si="0"/>
        <x:v>20</x:v>
      </x:c>
      <x:c r="F29" s="8"/>
    </x:row>
    <x:row r="30" spans="1:6" x14ac:dyDescent="0.25">
      <x:c r="A30" s="5">
        <x:f t="shared" si="0"/>
        <x:v>21</x:v>
      </x:c>
      <x:c r="F30" s="8"/>
    </x:row>
    <x:row r="31" spans="1:6" x14ac:dyDescent="0.25">
      <x:c r="A31" s="5">
        <x:f t="shared" si="0"/>
        <x:v>22</x:v>
      </x:c>
      <x:c r="F31" s="8"/>
    </x:row>
    <x:row r="32" spans="1:6" x14ac:dyDescent="0.25">
      <x:c r="A32" s="5">
        <x:f t="shared" si="0"/>
        <x:v>23</x:v>
      </x:c>
      <x:c r="F32" s="8"/>
    </x:row>
    <x:row r="33" spans="1:6" x14ac:dyDescent="0.25">
      <x:c r="A33" s="5">
        <x:f t="shared" si="0"/>
        <x:v>24</x:v>
      </x:c>
      <x:c r="F33" s="10"/>
    </x:row>
    <x:row r="34" spans="1:6" x14ac:dyDescent="0.25">
      <x:c r="A34" s="5">
        <x:f t="shared" si="0"/>
        <x:v>25</x:v>
      </x:c>
    </x:row>
    <x:row r="35" spans="1:6" x14ac:dyDescent="0.25">
      <x:c r="A35" s="5">
        <x:f t="shared" si="0"/>
        <x:v>26</x:v>
      </x:c>
    </x:row>
    <x:row r="36" spans="1:6" x14ac:dyDescent="0.25">
      <x:c r="A36" s="5">
        <x:f t="shared" si="0"/>
        <x:v>27</x:v>
      </x:c>
    </x:row>
    <x:row r="37" spans="1:6" x14ac:dyDescent="0.25">
      <x:c r="A37" s="5">
        <x:f t="shared" si="0"/>
        <x:v>28</x:v>
      </x:c>
    </x:row>
  </x:sheetData>
  <x:mergeCells count="8">
    <x:mergeCell ref="B10:H10"/>
    <x:mergeCell ref="B11:H11"/>
    <x:mergeCell ref="B8:F8"/>
    <x:mergeCell ref="B1:H1"/>
    <x:mergeCell ref="B2:H2"/>
    <x:mergeCell ref="B3:H3"/>
    <x:mergeCell ref="B4:H4"/>
    <x:mergeCell ref="B6:H6"/>
  </x:mergeCells>
  <x:pageMargins left="0.7" right="0.7" top="0.75" bottom="0.75" header="0.3" footer="0.3"/>
  <x:pageSetup scale="79" firstPageNumber="8" orientation="portrait" r:id="rId1"/>
  <x:headerFooter>
    <x:oddHeader xml:space="preserve">&amp;RSchedule II-H-2.1
Page  &amp;P of  27
</x:oddHeader>
  </x:headerFooter>
  <x:drawing r:id="rId2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pageSetUpPr fitToPage="1"/>
  </x:sheetPr>
  <x:dimension ref="A1:F65"/>
  <x:sheetViews>
    <x:sheetView zoomScaleNormal="100" workbookViewId="0"/>
  </x:sheetViews>
  <x:sheetFormatPr defaultRowHeight="12.5" x14ac:dyDescent="0.25"/>
  <x:cols>
    <x:col min="2" max="2" width="29" customWidth="1"/>
    <x:col min="3" max="3" width="16.36328125" bestFit="1" customWidth="1"/>
    <x:col min="4" max="4" width="12.453125" customWidth="1"/>
    <x:col min="5" max="5" width="12.81640625" customWidth="1"/>
    <x:col min="6" max="6" width="12.54296875" customWidth="1"/>
  </x:cols>
  <x:sheetData>
    <x:row r="1" spans="1:6" s="1" customFormat="1" ht="15.5" x14ac:dyDescent="0.35">
      <x:c r="A1" s="5"/>
      <x:c r="B1" s="37" t="str">
        <x:f>+'RES Model'!B1:F1</x:f>
        <x:v xml:space="preserve">PUC DOCKET NO. </x:v>
      </x:c>
      <x:c r="C1" s="37"/>
      <x:c r="D1" s="37"/>
      <x:c r="E1" s="37"/>
      <x:c r="F1" s="37"/>
    </x:row>
    <x:row r="2" spans="1:6" s="1" customFormat="1" ht="15.5" x14ac:dyDescent="0.35">
      <x:c r="A2" s="5"/>
      <x:c r="B2" s="37" t="str">
        <x:f>+'RES Model'!B2:F2</x:f>
        <x:v>ONCOR ELECTRIC DELIVERY COMPANY LLC</x:v>
      </x:c>
      <x:c r="C2" s="37"/>
      <x:c r="D2" s="37"/>
      <x:c r="E2" s="37"/>
      <x:c r="F2" s="37"/>
    </x:row>
    <x:row r="3" spans="1:6" s="1" customFormat="1" ht="15.5" x14ac:dyDescent="0.35">
      <x:c r="A3" s="5"/>
      <x:c r="B3" s="37" t="str">
        <x:f>+'RES Model'!B3:F3</x:f>
        <x:v>MODEL INFORMATION</x:v>
      </x:c>
      <x:c r="C3" s="37"/>
      <x:c r="D3" s="37"/>
      <x:c r="E3" s="37"/>
      <x:c r="F3" s="37"/>
    </x:row>
    <x:row r="4" spans="1:6" s="1" customFormat="1" ht="15.5" x14ac:dyDescent="0.35">
      <x:c r="A4" s="5"/>
      <x:c r="B4" s="37" t="str">
        <x:f>+'RES Model'!B4:F4</x:f>
        <x:v>FOR THE TEST YEAR ENDING DECEMBER 31, 2024</x:v>
      </x:c>
      <x:c r="C4" s="37"/>
      <x:c r="D4" s="37"/>
      <x:c r="E4" s="37"/>
      <x:c r="F4" s="37"/>
    </x:row>
    <x:row r="5" spans="1:6" s="1" customFormat="1" ht="11.5" x14ac:dyDescent="0.25">
      <x:c r="A5" s="5"/>
    </x:row>
    <x:row r="6" spans="1:6" s="1" customFormat="1" ht="15.5" x14ac:dyDescent="0.35">
      <x:c r="A6" s="5"/>
      <x:c r="B6" s="37" t="str">
        <x:f>+'RES Model'!B6:F6</x:f>
        <x:v>SPONSOR: D. E. NELSON</x:v>
      </x:c>
      <x:c r="C6" s="37"/>
      <x:c r="D6" s="37"/>
      <x:c r="E6" s="37"/>
      <x:c r="F6" s="37"/>
    </x:row>
    <x:row r="8" spans="1:6" ht="15.5" x14ac:dyDescent="0.35">
      <x:c r="B8" s="37" t="s">
        <x:v>89</x:v>
      </x:c>
      <x:c r="C8" s="37"/>
      <x:c r="D8" s="37"/>
      <x:c r="E8" s="37"/>
      <x:c r="F8" s="37"/>
    </x:row>
    <x:row r="9" spans="1:6" s="1" customFormat="1" ht="11.5" x14ac:dyDescent="0.25">
      <x:c r="A9" s="5" t="s">
        <x:v>18</x:v>
      </x:c>
      <x:c r="B9" s="38"/>
      <x:c r="C9" s="38"/>
      <x:c r="D9" s="38"/>
      <x:c r="E9" s="38"/>
      <x:c r="F9" s="38"/>
    </x:row>
    <x:row r="10" spans="1:6" s="1" customFormat="1" ht="11.5" x14ac:dyDescent="0.25">
      <x:c r="A10" s="6" t="s">
        <x:v>19</x:v>
      </x:c>
      <x:c r="B10" s="7" t="s">
        <x:v>20</x:v>
      </x:c>
      <x:c r="C10" s="7" t="s">
        <x:v>21</x:v>
      </x:c>
      <x:c r="D10" s="7" t="s">
        <x:v>24</x:v>
      </x:c>
      <x:c r="E10" s="7" t="s">
        <x:v>22</x:v>
      </x:c>
      <x:c r="F10" s="7" t="s">
        <x:v>23</x:v>
      </x:c>
    </x:row>
    <x:row r="11" spans="1:6" s="1" customFormat="1" ht="11.5" x14ac:dyDescent="0.25">
      <x:c r="A11" s="5">
        <x:v>1</x:v>
      </x:c>
      <x:c r="B11" s="3" t="s">
        <x:v>45</x:v>
      </x:c>
      <x:c r="C11" s="3"/>
    </x:row>
    <x:row r="12" spans="1:6" s="1" customFormat="1" ht="11.5" x14ac:dyDescent="0.25">
      <x:c r="A12" s="5">
        <x:f t="shared" ref="A12:A65" si="0">+A11+1</x:f>
        <x:v>2</x:v>
      </x:c>
      <x:c r="B12" s="3" t="s">
        <x:v>5</x:v>
      </x:c>
      <x:c r="C12" s="3" t="s">
        <x:v>69</x:v>
      </x:c>
    </x:row>
    <x:row r="13" spans="1:6" s="1" customFormat="1" ht="11.5" x14ac:dyDescent="0.25">
      <x:c r="A13" s="5">
        <x:f t="shared" si="0"/>
        <x:v>3</x:v>
      </x:c>
      <x:c r="B13" s="3" t="s">
        <x:v>6</x:v>
      </x:c>
      <x:c r="C13" s="9">
        <x:v>40544</x:v>
      </x:c>
    </x:row>
    <x:row r="14" spans="1:6" s="1" customFormat="1" ht="11.5" x14ac:dyDescent="0.25">
      <x:c r="A14" s="5">
        <x:f t="shared" si="0"/>
        <x:v>4</x:v>
      </x:c>
      <x:c r="B14" s="3" t="s">
        <x:v>7</x:v>
      </x:c>
      <x:c r="C14" s="9">
        <x:f>+'RES Model'!C14</x:f>
        <x:v>45444</x:v>
      </x:c>
    </x:row>
    <x:row r="15" spans="1:6" s="1" customFormat="1" ht="11.5" x14ac:dyDescent="0.25">
      <x:c r="A15" s="5">
        <x:f t="shared" si="0"/>
        <x:v>5</x:v>
      </x:c>
    </x:row>
    <x:row r="16" spans="1:6" s="1" customFormat="1" ht="11.5" x14ac:dyDescent="0.25">
      <x:c r="A16" s="5">
        <x:f t="shared" si="0"/>
        <x:v>6</x:v>
      </x:c>
      <x:c r="B16" s="4" t="s">
        <x:v>0</x:v>
      </x:c>
      <x:c r="C16" s="4" t="s">
        <x:v>1</x:v>
      </x:c>
      <x:c r="D16" s="4" t="s">
        <x:v>2</x:v>
      </x:c>
      <x:c r="E16" s="4" t="s">
        <x:v>3</x:v>
      </x:c>
      <x:c r="F16" s="4" t="s">
        <x:v>4</x:v>
      </x:c>
    </x:row>
    <x:row r="17" spans="1:6" x14ac:dyDescent="0.25">
      <x:c r="A17" s="5">
        <x:f t="shared" si="0"/>
        <x:v>7</x:v>
      </x:c>
      <x:c r="B17" t="s">
        <x:v>103</x:v>
      </x:c>
      <x:c r="C17" s="13">
        <x:v>243.32499999999999</x:v>
      </x:c>
      <x:c r="D17" s="13">
        <x:v>71.92</x:v>
      </x:c>
      <x:c r="E17" s="13">
        <x:v>3.383</x:v>
      </x:c>
      <x:c r="F17" s="14">
        <x:v>1E-3</x:v>
      </x:c>
    </x:row>
    <x:row r="18" spans="1:6" x14ac:dyDescent="0.25">
      <x:c r="A18" s="5">
        <x:f t="shared" si="0"/>
        <x:v>8</x:v>
      </x:c>
      <x:c r="B18" t="s">
        <x:v>74</x:v>
      </x:c>
      <x:c r="C18" s="13">
        <x:v>0.13</x:v>
      </x:c>
      <x:c r="D18" s="13">
        <x:v>1.4E-2</x:v>
      </x:c>
      <x:c r="E18" s="13">
        <x:v>9.1959999999999997</x:v>
      </x:c>
      <x:c r="F18" s="14">
        <x:v>0</x:v>
      </x:c>
    </x:row>
    <x:row r="19" spans="1:6" x14ac:dyDescent="0.25">
      <x:c r="A19" s="5">
        <x:f t="shared" si="0"/>
        <x:v>9</x:v>
      </x:c>
      <x:c r="B19" t="s">
        <x:v>28</x:v>
      </x:c>
      <x:c r="C19" s="13">
        <x:v>-66236.248000000007</x:v>
      </x:c>
      <x:c r="D19" s="13">
        <x:v>11473.197</x:v>
      </x:c>
      <x:c r="E19" s="13">
        <x:v>-5.7729999999999997</x:v>
      </x:c>
      <x:c r="F19" s="14">
        <x:v>0</x:v>
      </x:c>
    </x:row>
    <x:row r="20" spans="1:6" x14ac:dyDescent="0.25">
      <x:c r="A20" s="5">
        <x:f t="shared" si="0"/>
        <x:v>10</x:v>
      </x:c>
      <x:c r="B20" t="s">
        <x:v>29</x:v>
      </x:c>
      <x:c r="C20" s="13">
        <x:v>-64961.021000000001</x:v>
      </x:c>
      <x:c r="D20" s="13">
        <x:v>11475.907999999999</x:v>
      </x:c>
      <x:c r="E20" s="13">
        <x:v>-5.6609999999999996</x:v>
      </x:c>
      <x:c r="F20" s="14">
        <x:v>0</x:v>
      </x:c>
    </x:row>
    <x:row r="21" spans="1:6" x14ac:dyDescent="0.25">
      <x:c r="A21" s="5">
        <x:f t="shared" si="0"/>
        <x:v>11</x:v>
      </x:c>
      <x:c r="B21" t="s">
        <x:v>30</x:v>
      </x:c>
      <x:c r="C21" s="13">
        <x:v>-66821.577999999994</x:v>
      </x:c>
      <x:c r="D21" s="13">
        <x:v>11470.351000000001</x:v>
      </x:c>
      <x:c r="E21" s="13">
        <x:v>-5.8259999999999996</x:v>
      </x:c>
      <x:c r="F21" s="14">
        <x:v>0</x:v>
      </x:c>
    </x:row>
    <x:row r="22" spans="1:6" x14ac:dyDescent="0.25">
      <x:c r="A22" s="5">
        <x:f t="shared" si="0"/>
        <x:v>12</x:v>
      </x:c>
      <x:c r="B22" t="s">
        <x:v>31</x:v>
      </x:c>
      <x:c r="C22" s="13">
        <x:v>-65744.881999999998</x:v>
      </x:c>
      <x:c r="D22" s="13">
        <x:v>11492.948</x:v>
      </x:c>
      <x:c r="E22" s="13">
        <x:v>-5.72</x:v>
      </x:c>
      <x:c r="F22" s="14">
        <x:v>0</x:v>
      </x:c>
    </x:row>
    <x:row r="23" spans="1:6" x14ac:dyDescent="0.25">
      <x:c r="A23" s="5">
        <x:f t="shared" si="0"/>
        <x:v>13</x:v>
      </x:c>
      <x:c r="B23" t="s">
        <x:v>32</x:v>
      </x:c>
      <x:c r="C23" s="13">
        <x:v>-67142.331999999995</x:v>
      </x:c>
      <x:c r="D23" s="13">
        <x:v>11534.073</x:v>
      </x:c>
      <x:c r="E23" s="13">
        <x:v>-5.8209999999999997</x:v>
      </x:c>
      <x:c r="F23" s="14">
        <x:v>0</x:v>
      </x:c>
    </x:row>
    <x:row r="24" spans="1:6" x14ac:dyDescent="0.25">
      <x:c r="A24" s="5">
        <x:f t="shared" si="0"/>
        <x:v>14</x:v>
      </x:c>
      <x:c r="B24" t="s">
        <x:v>33</x:v>
      </x:c>
      <x:c r="C24" s="13">
        <x:v>-67758.433000000005</x:v>
      </x:c>
      <x:c r="D24" s="13">
        <x:v>11598.73</x:v>
      </x:c>
      <x:c r="E24" s="13">
        <x:v>-5.8419999999999996</x:v>
      </x:c>
      <x:c r="F24" s="14">
        <x:v>0</x:v>
      </x:c>
    </x:row>
    <x:row r="25" spans="1:6" x14ac:dyDescent="0.25">
      <x:c r="A25" s="5">
        <x:f t="shared" si="0"/>
        <x:v>15</x:v>
      </x:c>
      <x:c r="B25" t="s">
        <x:v>34</x:v>
      </x:c>
      <x:c r="C25" s="13">
        <x:v>-67970.7</x:v>
      </x:c>
      <x:c r="D25" s="13">
        <x:v>11667.68</x:v>
      </x:c>
      <x:c r="E25" s="13">
        <x:v>-5.8259999999999996</x:v>
      </x:c>
      <x:c r="F25" s="14">
        <x:v>0</x:v>
      </x:c>
    </x:row>
    <x:row r="26" spans="1:6" x14ac:dyDescent="0.25">
      <x:c r="A26" s="5">
        <x:f t="shared" si="0"/>
        <x:v>16</x:v>
      </x:c>
      <x:c r="B26" t="s">
        <x:v>35</x:v>
      </x:c>
      <x:c r="C26" s="13">
        <x:v>-67812.861999999994</x:v>
      </x:c>
      <x:c r="D26" s="13">
        <x:v>11694.776</x:v>
      </x:c>
      <x:c r="E26" s="13">
        <x:v>-5.7990000000000004</x:v>
      </x:c>
      <x:c r="F26" s="14">
        <x:v>0</x:v>
      </x:c>
    </x:row>
    <x:row r="27" spans="1:6" x14ac:dyDescent="0.25">
      <x:c r="A27" s="5">
        <x:f t="shared" si="0"/>
        <x:v>17</x:v>
      </x:c>
      <x:c r="B27" t="s">
        <x:v>36</x:v>
      </x:c>
      <x:c r="C27" s="13">
        <x:v>-67344.824999999997</x:v>
      </x:c>
      <x:c r="D27" s="13">
        <x:v>11652.293</x:v>
      </x:c>
      <x:c r="E27" s="13">
        <x:v>-5.78</x:v>
      </x:c>
      <x:c r="F27" s="14">
        <x:v>0</x:v>
      </x:c>
    </x:row>
    <x:row r="28" spans="1:6" x14ac:dyDescent="0.25">
      <x:c r="A28" s="5">
        <x:f t="shared" si="0"/>
        <x:v>18</x:v>
      </x:c>
      <x:c r="B28" t="s">
        <x:v>37</x:v>
      </x:c>
      <x:c r="C28" s="13">
        <x:v>-66203.998999999996</x:v>
      </x:c>
      <x:c r="D28" s="13">
        <x:v>11573.861000000001</x:v>
      </x:c>
      <x:c r="E28" s="13">
        <x:v>-5.72</x:v>
      </x:c>
      <x:c r="F28" s="14">
        <x:v>0</x:v>
      </x:c>
    </x:row>
    <x:row r="29" spans="1:6" x14ac:dyDescent="0.25">
      <x:c r="A29" s="5">
        <x:f t="shared" si="0"/>
        <x:v>19</x:v>
      </x:c>
      <x:c r="B29" t="s">
        <x:v>38</x:v>
      </x:c>
      <x:c r="C29" s="13">
        <x:v>-65243.502</x:v>
      </x:c>
      <x:c r="D29" s="13">
        <x:v>11498.259</x:v>
      </x:c>
      <x:c r="E29" s="13">
        <x:v>-5.6740000000000004</x:v>
      </x:c>
      <x:c r="F29" s="14">
        <x:v>0</x:v>
      </x:c>
    </x:row>
    <x:row r="30" spans="1:6" x14ac:dyDescent="0.25">
      <x:c r="A30" s="5">
        <x:f t="shared" si="0"/>
        <x:v>20</x:v>
      </x:c>
      <x:c r="B30" t="s">
        <x:v>41</x:v>
      </x:c>
      <x:c r="C30" s="13">
        <x:v>-65669.383000000002</x:v>
      </x:c>
      <x:c r="D30" s="13">
        <x:v>11476.571</x:v>
      </x:c>
      <x:c r="E30" s="13">
        <x:v>-5.7220000000000004</x:v>
      </x:c>
      <x:c r="F30" s="14">
        <x:v>0</x:v>
      </x:c>
    </x:row>
    <x:row r="31" spans="1:6" x14ac:dyDescent="0.25">
      <x:c r="A31" s="5">
        <x:f t="shared" si="0"/>
        <x:v>21</x:v>
      </x:c>
      <x:c r="B31" s="28" t="s">
        <x:v>107</x:v>
      </x:c>
      <x:c r="C31" s="13">
        <x:v>-1650.4570000000001</x:v>
      </x:c>
      <x:c r="D31" s="13">
        <x:v>972.58399999999995</x:v>
      </x:c>
      <x:c r="E31" s="13">
        <x:v>-1.6970000000000001</x:v>
      </x:c>
      <x:c r="F31" s="14">
        <x:v>9.2399999999999996E-2</x:v>
      </x:c>
    </x:row>
    <x:row r="32" spans="1:6" x14ac:dyDescent="0.25">
      <x:c r="A32" s="5">
        <x:f t="shared" si="0"/>
        <x:v>22</x:v>
      </x:c>
      <x:c r="B32" s="28" t="s">
        <x:v>58</x:v>
      </x:c>
      <x:c r="C32" s="13">
        <x:v>-9396.0490000000009</x:v>
      </x:c>
      <x:c r="D32" s="13">
        <x:v>1089.367</x:v>
      </x:c>
      <x:c r="E32" s="13">
        <x:v>-8.625</x:v>
      </x:c>
      <x:c r="F32" s="14">
        <x:v>0</x:v>
      </x:c>
    </x:row>
    <x:row r="33" spans="1:6" x14ac:dyDescent="0.25">
      <x:c r="A33" s="5">
        <x:f t="shared" si="0"/>
        <x:v>23</x:v>
      </x:c>
      <x:c r="B33" t="s">
        <x:v>104</x:v>
      </x:c>
      <x:c r="C33" s="13">
        <x:v>-9418.4230000000007</x:v>
      </x:c>
      <x:c r="D33" s="13">
        <x:v>1205.9829999999999</x:v>
      </x:c>
      <x:c r="E33" s="13">
        <x:v>-7.81</x:v>
      </x:c>
      <x:c r="F33" s="14">
        <x:v>0</x:v>
      </x:c>
    </x:row>
    <x:row r="34" spans="1:6" x14ac:dyDescent="0.25">
      <x:c r="A34" s="5">
        <x:f t="shared" si="0"/>
        <x:v>24</x:v>
      </x:c>
      <x:c r="B34" t="s">
        <x:v>105</x:v>
      </x:c>
      <x:c r="C34" s="13">
        <x:v>-8887.1790000000001</x:v>
      </x:c>
      <x:c r="D34" s="13">
        <x:v>1443.9590000000001</x:v>
      </x:c>
      <x:c r="E34" s="13">
        <x:v>-6.1550000000000002</x:v>
      </x:c>
      <x:c r="F34" s="14">
        <x:v>0</x:v>
      </x:c>
    </x:row>
    <x:row r="35" spans="1:6" x14ac:dyDescent="0.25">
      <x:c r="A35" s="5">
        <x:f t="shared" si="0"/>
        <x:v>25</x:v>
      </x:c>
      <x:c r="B35" t="s">
        <x:v>42</x:v>
      </x:c>
      <x:c r="C35" s="13">
        <x:v>0.438</x:v>
      </x:c>
      <x:c r="D35" s="13">
        <x:v>8.7999999999999995E-2</x:v>
      </x:c>
      <x:c r="E35" s="13">
        <x:v>4.9829999999999997</x:v>
      </x:c>
      <x:c r="F35" s="14">
        <x:v>0</x:v>
      </x:c>
    </x:row>
    <x:row r="36" spans="1:6" x14ac:dyDescent="0.25">
      <x:c r="A36" s="5">
        <x:f t="shared" si="0"/>
        <x:v>26</x:v>
      </x:c>
      <x:c r="B36" t="s">
        <x:v>54</x:v>
      </x:c>
      <x:c r="C36" s="13">
        <x:v>0.182</x:v>
      </x:c>
      <x:c r="D36" s="13">
        <x:v>9.7000000000000003E-2</x:v>
      </x:c>
      <x:c r="E36" s="13">
        <x:v>1.8819999999999999</x:v>
      </x:c>
      <x:c r="F36" s="14">
        <x:v>6.2300000000000001E-2</x:v>
      </x:c>
    </x:row>
    <x:row r="37" spans="1:6" x14ac:dyDescent="0.25">
      <x:c r="A37" s="5">
        <x:f t="shared" si="0"/>
        <x:v>27</x:v>
      </x:c>
      <x:c r="B37" t="s">
        <x:v>55</x:v>
      </x:c>
      <x:c r="C37" s="13">
        <x:v>0.17899999999999999</x:v>
      </x:c>
      <x:c r="D37" s="13">
        <x:v>9.9000000000000005E-2</x:v>
      </x:c>
      <x:c r="E37" s="13">
        <x:v>1.8109999999999999</x:v>
      </x:c>
      <x:c r="F37" s="14">
        <x:v>7.2700000000000001E-2</x:v>
      </x:c>
    </x:row>
    <x:row r="38" spans="1:6" x14ac:dyDescent="0.25">
      <x:c r="A38" s="5">
        <x:f t="shared" si="0"/>
        <x:v>28</x:v>
      </x:c>
      <x:c r="B38" t="s">
        <x:v>56</x:v>
      </x:c>
      <x:c r="C38" s="13">
        <x:v>-6.8000000000000005E-2</x:v>
      </x:c>
      <x:c r="D38" s="13">
        <x:v>0.1</x:v>
      </x:c>
      <x:c r="E38" s="13">
        <x:v>-0.68100000000000005</x:v>
      </x:c>
      <x:c r="F38" s="14">
        <x:v>0.49730000000000002</x:v>
      </x:c>
    </x:row>
    <x:row r="39" spans="1:6" x14ac:dyDescent="0.25">
      <x:c r="A39" s="5">
        <x:f t="shared" si="0"/>
        <x:v>29</x:v>
      </x:c>
      <x:c r="B39" t="s">
        <x:v>57</x:v>
      </x:c>
      <x:c r="C39" s="13">
        <x:v>0.39500000000000002</x:v>
      </x:c>
      <x:c r="D39" s="13">
        <x:v>0.10100000000000001</x:v>
      </x:c>
      <x:c r="E39" s="13">
        <x:v>3.9249999999999998</x:v>
      </x:c>
      <x:c r="F39" s="14">
        <x:v>2.0000000000000001E-4</x:v>
      </x:c>
    </x:row>
    <x:row r="40" spans="1:6" x14ac:dyDescent="0.25">
      <x:c r="A40" s="5">
        <x:f t="shared" si="0"/>
        <x:v>30</x:v>
      </x:c>
      <x:c r="B40" t="s">
        <x:v>77</x:v>
      </x:c>
      <x:c r="C40" s="13">
        <x:v>-0.16200000000000001</x:v>
      </x:c>
      <x:c r="D40" s="13">
        <x:v>0.104</x:v>
      </x:c>
      <x:c r="E40" s="13">
        <x:v>-1.5609999999999999</x:v>
      </x:c>
      <x:c r="F40" s="14">
        <x:v>0.1212</x:v>
      </x:c>
    </x:row>
    <x:row r="41" spans="1:6" x14ac:dyDescent="0.25">
      <x:c r="A41" s="5">
        <x:f t="shared" si="0"/>
        <x:v>31</x:v>
      </x:c>
      <x:c r="B41" t="s">
        <x:v>78</x:v>
      </x:c>
      <x:c r="C41" s="13">
        <x:v>5.1999999999999998E-2</x:v>
      </x:c>
      <x:c r="D41" s="13">
        <x:v>0.10199999999999999</x:v>
      </x:c>
      <x:c r="E41" s="13">
        <x:v>0.50700000000000001</x:v>
      </x:c>
      <x:c r="F41" s="14">
        <x:v>0.61339999999999995</x:v>
      </x:c>
    </x:row>
    <x:row r="42" spans="1:6" x14ac:dyDescent="0.25">
      <x:c r="A42" s="5">
        <x:f t="shared" si="0"/>
        <x:v>32</x:v>
      </x:c>
      <x:c r="B42" t="s">
        <x:v>79</x:v>
      </x:c>
      <x:c r="C42" s="13">
        <x:v>0.27</x:v>
      </x:c>
      <x:c r="D42" s="13">
        <x:v>0.10299999999999999</x:v>
      </x:c>
      <x:c r="E42" s="13">
        <x:v>2.6160000000000001</x:v>
      </x:c>
      <x:c r="F42" s="14">
        <x:v>1.01E-2</x:v>
      </x:c>
    </x:row>
    <x:row r="43" spans="1:6" x14ac:dyDescent="0.25">
      <x:c r="A43" s="5">
        <x:f t="shared" si="0"/>
        <x:v>33</x:v>
      </x:c>
      <x:c r="B43" t="s">
        <x:v>80</x:v>
      </x:c>
      <x:c r="C43" s="13">
        <x:v>-0.21099999999999999</x:v>
      </x:c>
      <x:c r="D43" s="13">
        <x:v>0.108</x:v>
      </x:c>
      <x:c r="E43" s="13">
        <x:v>-1.9590000000000001</x:v>
      </x:c>
      <x:c r="F43" s="14">
        <x:v>5.2499999999999998E-2</x:v>
      </x:c>
    </x:row>
    <x:row r="44" spans="1:6" x14ac:dyDescent="0.25">
      <x:c r="A44" s="5">
        <x:f t="shared" si="0"/>
        <x:v>34</x:v>
      </x:c>
      <x:c r="B44" t="s">
        <x:v>81</x:v>
      </x:c>
      <x:c r="C44" s="13">
        <x:v>7.3999999999999996E-2</x:v>
      </x:c>
      <x:c r="D44" s="13">
        <x:v>0.107</x:v>
      </x:c>
      <x:c r="E44" s="13">
        <x:v>0.69299999999999995</x:v>
      </x:c>
      <x:c r="F44" s="14">
        <x:v>0.4899</x:v>
      </x:c>
    </x:row>
    <x:row r="45" spans="1:6" x14ac:dyDescent="0.25">
      <x:c r="A45" s="5">
        <x:f t="shared" si="0"/>
        <x:v>35</x:v>
      </x:c>
      <x:c r="B45" t="s">
        <x:v>99</x:v>
      </x:c>
      <x:c r="C45" s="13">
        <x:v>-0.13</x:v>
      </x:c>
      <x:c r="D45" s="13">
        <x:v>0.10100000000000001</x:v>
      </x:c>
      <x:c r="E45" s="13">
        <x:v>-1.286</x:v>
      </x:c>
      <x:c r="F45" s="14">
        <x:v>0.2009</x:v>
      </x:c>
    </x:row>
    <x:row r="46" spans="1:6" x14ac:dyDescent="0.25">
      <x:c r="A46" s="5">
        <x:f t="shared" si="0"/>
        <x:v>36</x:v>
      </x:c>
      <x:c r="B46" t="s">
        <x:v>100</x:v>
      </x:c>
      <x:c r="C46" s="13">
        <x:v>1.7999999999999999E-2</x:v>
      </x:c>
      <x:c r="D46" s="13">
        <x:v>9.7000000000000003E-2</x:v>
      </x:c>
      <x:c r="E46" s="13">
        <x:v>0.188</x:v>
      </x:c>
      <x:c r="F46" s="14">
        <x:v>0.85089999999999999</x:v>
      </x:c>
    </x:row>
    <x:row r="47" spans="1:6" x14ac:dyDescent="0.25">
      <x:c r="A47" s="5">
        <x:f t="shared" si="0"/>
        <x:v>37</x:v>
      </x:c>
      <x:c r="B47" t="s">
        <x:v>101</x:v>
      </x:c>
      <x:c r="C47" s="13">
        <x:v>-0.29799999999999999</x:v>
      </x:c>
      <x:c r="D47" s="13">
        <x:v>9.7000000000000003E-2</x:v>
      </x:c>
      <x:c r="E47" s="13">
        <x:v>-3.06</x:v>
      </x:c>
      <x:c r="F47" s="14">
        <x:v>2.8E-3</x:v>
      </x:c>
    </x:row>
    <x:row r="48" spans="1:6" x14ac:dyDescent="0.25">
      <x:c r="A48" s="5">
        <x:f t="shared" si="0"/>
        <x:v>38</x:v>
      </x:c>
      <x:c r="B48" t="s">
        <x:v>102</x:v>
      </x:c>
      <x:c r="C48" s="13">
        <x:v>0.13600000000000001</x:v>
      </x:c>
      <x:c r="D48" s="13">
        <x:v>9.0999999999999998E-2</x:v>
      </x:c>
      <x:c r="E48" s="13">
        <x:v>1.4910000000000001</x:v>
      </x:c>
      <x:c r="F48" s="14">
        <x:v>0.13869999999999999</x:v>
      </x:c>
    </x:row>
    <x:row r="49" spans="1:6" x14ac:dyDescent="0.25">
      <x:c r="A49" s="5">
        <x:f t="shared" si="0"/>
        <x:v>39</x:v>
      </x:c>
      <x:c r="F49" s="2"/>
    </x:row>
    <x:row r="50" spans="1:6" x14ac:dyDescent="0.25">
      <x:c r="A50" s="5">
        <x:f t="shared" si="0"/>
        <x:v>40</x:v>
      </x:c>
      <x:c r="B50" s="15" t="s">
        <x:v>53</x:v>
      </x:c>
      <x:c r="C50" s="19"/>
      <x:c r="F50" s="10"/>
    </x:row>
    <x:row r="51" spans="1:6" x14ac:dyDescent="0.25">
      <x:c r="A51" s="5">
        <x:f t="shared" si="0"/>
        <x:v>41</x:v>
      </x:c>
      <x:c r="B51" t="s">
        <x:v>25</x:v>
      </x:c>
      <x:c r="C51">
        <x:v>148</x:v>
      </x:c>
      <x:c r="F51" s="8"/>
    </x:row>
    <x:row r="52" spans="1:6" x14ac:dyDescent="0.25">
      <x:c r="A52" s="5">
        <x:f t="shared" si="0"/>
        <x:v>42</x:v>
      </x:c>
      <x:c r="B52" t="s">
        <x:v>8</x:v>
      </x:c>
      <x:c r="C52" s="31">
        <x:v>116</x:v>
      </x:c>
      <x:c r="F52" s="8"/>
    </x:row>
    <x:row r="53" spans="1:6" x14ac:dyDescent="0.25">
      <x:c r="A53" s="5">
        <x:f t="shared" si="0"/>
        <x:v>43</x:v>
      </x:c>
      <x:c r="B53" t="s">
        <x:v>9</x:v>
      </x:c>
      <x:c r="C53" s="29">
        <x:v>0.98299999999999998</x:v>
      </x:c>
      <x:c r="F53" s="8"/>
    </x:row>
    <x:row r="54" spans="1:6" x14ac:dyDescent="0.25">
      <x:c r="A54" s="5">
        <x:f t="shared" si="0"/>
        <x:v>44</x:v>
      </x:c>
      <x:c r="B54" t="s">
        <x:v>10</x:v>
      </x:c>
      <x:c r="C54" s="22">
        <x:v>0.97799999999999998</x:v>
      </x:c>
      <x:c r="F54" s="8"/>
    </x:row>
    <x:row r="55" spans="1:6" x14ac:dyDescent="0.25">
      <x:c r="A55" s="5">
        <x:f t="shared" si="0"/>
        <x:v>45</x:v>
      </x:c>
      <x:c r="B55" t="s">
        <x:v>12</x:v>
      </x:c>
      <x:c r="C55" s="33">
        <x:v>212.946</x:v>
      </x:c>
      <x:c r="F55" s="8"/>
    </x:row>
    <x:row r="56" spans="1:6" x14ac:dyDescent="0.25">
      <x:c r="A56" s="5">
        <x:f t="shared" si="0"/>
        <x:v>46</x:v>
      </x:c>
      <x:c r="B56" t="s">
        <x:v>13</x:v>
      </x:c>
      <x:c r="C56" s="34">
        <x:v>0</x:v>
      </x:c>
      <x:c r="F56" s="8"/>
    </x:row>
    <x:row r="57" spans="1:6" x14ac:dyDescent="0.25">
      <x:c r="A57" s="5">
        <x:f t="shared" si="0"/>
        <x:v>47</x:v>
      </x:c>
      <x:c r="B57" t="s">
        <x:v>14</x:v>
      </x:c>
      <x:c r="C57" s="21">
        <x:v>13457391617.85</x:v>
      </x:c>
    </x:row>
    <x:row r="58" spans="1:6" x14ac:dyDescent="0.25">
      <x:c r="A58" s="5">
        <x:f t="shared" si="0"/>
        <x:v>48</x:v>
      </x:c>
      <x:c r="B58" t="s">
        <x:v>15</x:v>
      </x:c>
      <x:c r="C58" s="21">
        <x:v>236476567.15000001</x:v>
      </x:c>
      <x:c r="F58" s="8"/>
    </x:row>
    <x:row r="59" spans="1:6" x14ac:dyDescent="0.25">
      <x:c r="A59" s="5">
        <x:f t="shared" si="0"/>
        <x:v>49</x:v>
      </x:c>
      <x:c r="B59" t="s">
        <x:v>16</x:v>
      </x:c>
      <x:c r="C59" s="26">
        <x:v>2038591.1</x:v>
      </x:c>
      <x:c r="F59" s="8"/>
    </x:row>
    <x:row r="60" spans="1:6" x14ac:dyDescent="0.25">
      <x:c r="A60" s="5">
        <x:f t="shared" si="0"/>
        <x:v>50</x:v>
      </x:c>
      <x:c r="B60" t="s">
        <x:v>17</x:v>
      </x:c>
      <x:c r="C60" s="26">
        <x:v>1427.79</x:v>
      </x:c>
      <x:c r="F60" s="8"/>
    </x:row>
    <x:row r="61" spans="1:6" x14ac:dyDescent="0.25">
      <x:c r="A61" s="5">
        <x:f t="shared" si="0"/>
        <x:v>51</x:v>
      </x:c>
      <x:c r="B61" t="s">
        <x:v>75</x:v>
      </x:c>
      <x:c r="C61">
        <x:v>922.04</x:v>
      </x:c>
    </x:row>
    <x:row r="62" spans="1:6" x14ac:dyDescent="0.25">
      <x:c r="A62" s="5">
        <x:f t="shared" si="0"/>
        <x:v>52</x:v>
      </x:c>
      <x:c r="B62" t="s">
        <x:v>76</x:v>
      </x:c>
      <x:c r="C62" s="8">
        <x:v>2.29E-2</x:v>
      </x:c>
    </x:row>
    <x:row r="63" spans="1:6" x14ac:dyDescent="0.25">
      <x:c r="A63" s="5">
        <x:f t="shared" si="0"/>
        <x:v>53</x:v>
      </x:c>
      <x:c r="B63" t="s">
        <x:v>11</x:v>
      </x:c>
      <x:c r="C63">
        <x:v>2.012</x:v>
      </x:c>
    </x:row>
    <x:row r="64" spans="1:6" x14ac:dyDescent="0.25">
      <x:c r="A64" s="5">
        <x:f t="shared" si="0"/>
        <x:v>54</x:v>
      </x:c>
      <x:c r="B64" t="s">
        <x:v>61</x:v>
      </x:c>
      <x:c r="C64">
        <x:v>4.82</x:v>
      </x:c>
    </x:row>
    <x:row r="65" spans="1:3" x14ac:dyDescent="0.25">
      <x:c r="A65" s="5">
        <x:f t="shared" si="0"/>
        <x:v>55</x:v>
      </x:c>
      <x:c r="B65" t="s">
        <x:v>62</x:v>
      </x:c>
      <x:c r="C65" s="23">
        <x:v>1</x:v>
      </x:c>
    </x:row>
  </x:sheetData>
  <x:mergeCells count="7">
    <x:mergeCell ref="B9:F9"/>
    <x:mergeCell ref="B1:F1"/>
    <x:mergeCell ref="B2:F2"/>
    <x:mergeCell ref="B3:F3"/>
    <x:mergeCell ref="B4:F4"/>
    <x:mergeCell ref="B6:F6"/>
    <x:mergeCell ref="B8:F8"/>
  </x:mergeCells>
  <x:pageMargins left="0.7" right="0.7" top="0.75" bottom="0.75" header="0.3" footer="0.3"/>
  <x:pageSetup firstPageNumber="8" orientation="portrait" r:id="rId1"/>
  <x:headerFooter>
    <x:oddHeader xml:space="preserve">&amp;RSchedule II-H-2.1
Page  &amp;P of  27
</x:oddHeader>
  </x:headerFooter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pageSetUpPr fitToPage="1"/>
  </x:sheetPr>
  <x:dimension ref="A1:H37"/>
  <x:sheetViews>
    <x:sheetView workbookViewId="0"/>
  </x:sheetViews>
  <x:sheetFormatPr defaultRowHeight="12.5" x14ac:dyDescent="0.25"/>
  <x:cols>
    <x:col min="2" max="2" width="20.36328125" customWidth="1"/>
    <x:col min="3" max="3" width="17.1796875" customWidth="1"/>
    <x:col min="4" max="4" width="18.81640625" customWidth="1"/>
    <x:col min="5" max="5" width="14.6328125" customWidth="1"/>
    <x:col min="6" max="6" width="15.90625" customWidth="1"/>
    <x:col min="7" max="7" width="11" customWidth="1"/>
  </x:cols>
  <x:sheetData>
    <x:row r="1" spans="1:8" ht="15.5" x14ac:dyDescent="0.25">
      <x:c r="A1" s="5"/>
      <x:c r="B1" s="41" t="str">
        <x:f>+'RES Model'!B1:F1</x:f>
        <x:v xml:space="preserve">PUC DOCKET NO. </x:v>
      </x:c>
      <x:c r="C1" s="39"/>
      <x:c r="D1" s="39"/>
      <x:c r="E1" s="39"/>
      <x:c r="F1" s="39"/>
      <x:c r="G1" s="39"/>
      <x:c r="H1" s="39"/>
    </x:row>
    <x:row r="2" spans="1:8" ht="15.5" x14ac:dyDescent="0.35">
      <x:c r="A2" s="5"/>
      <x:c r="B2" s="37" t="str">
        <x:f>+'RES Model'!B2:F2</x:f>
        <x:v>ONCOR ELECTRIC DELIVERY COMPANY LLC</x:v>
      </x:c>
      <x:c r="C2" s="39"/>
      <x:c r="D2" s="39"/>
      <x:c r="E2" s="39"/>
      <x:c r="F2" s="39"/>
      <x:c r="G2" s="39"/>
      <x:c r="H2" s="39"/>
    </x:row>
    <x:row r="3" spans="1:8" ht="15.5" x14ac:dyDescent="0.35">
      <x:c r="A3" s="5"/>
      <x:c r="B3" s="37" t="str">
        <x:f>+'RES Model'!B3:F3</x:f>
        <x:v>MODEL INFORMATION</x:v>
      </x:c>
      <x:c r="C3" s="39"/>
      <x:c r="D3" s="39"/>
      <x:c r="E3" s="39"/>
      <x:c r="F3" s="39"/>
      <x:c r="G3" s="39"/>
      <x:c r="H3" s="39"/>
    </x:row>
    <x:row r="4" spans="1:8" ht="15.5" x14ac:dyDescent="0.35">
      <x:c r="A4" s="5"/>
      <x:c r="B4" s="37" t="str">
        <x:f>+'RES Model'!B4:F4</x:f>
        <x:v>FOR THE TEST YEAR ENDING DECEMBER 31, 2024</x:v>
      </x:c>
      <x:c r="C4" s="39"/>
      <x:c r="D4" s="39"/>
      <x:c r="E4" s="39"/>
      <x:c r="F4" s="39"/>
      <x:c r="G4" s="39"/>
      <x:c r="H4" s="39"/>
    </x:row>
    <x:row r="5" spans="1:8" x14ac:dyDescent="0.25">
      <x:c r="A5" s="5"/>
      <x:c r="B5" s="1"/>
      <x:c r="C5" s="1"/>
      <x:c r="D5" s="1"/>
      <x:c r="E5" s="1"/>
      <x:c r="F5" s="1"/>
      <x:c r="G5" s="1"/>
      <x:c r="H5" s="1"/>
    </x:row>
    <x:row r="6" spans="1:8" ht="15.5" x14ac:dyDescent="0.35">
      <x:c r="A6" s="5"/>
      <x:c r="B6" s="37" t="str">
        <x:f>+'RES Model'!B6:F6</x:f>
        <x:v>SPONSOR: D. E. NELSON</x:v>
      </x:c>
      <x:c r="C6" s="39"/>
      <x:c r="D6" s="39"/>
      <x:c r="E6" s="39"/>
      <x:c r="F6" s="39"/>
      <x:c r="G6" s="39"/>
      <x:c r="H6" s="39"/>
    </x:row>
    <x:row r="8" spans="1:8" x14ac:dyDescent="0.25">
      <x:c r="A8" s="5" t="s">
        <x:v>18</x:v>
      </x:c>
      <x:c r="B8" s="38"/>
      <x:c r="C8" s="38"/>
      <x:c r="D8" s="38"/>
      <x:c r="E8" s="38"/>
      <x:c r="F8" s="38"/>
      <x:c r="G8" s="1"/>
      <x:c r="H8" s="1"/>
    </x:row>
    <x:row r="9" spans="1:8" x14ac:dyDescent="0.25">
      <x:c r="A9" s="6" t="s">
        <x:v>19</x:v>
      </x:c>
      <x:c r="B9" s="7"/>
      <x:c r="C9" s="7"/>
      <x:c r="D9" s="7"/>
      <x:c r="E9" s="7"/>
      <x:c r="F9" s="7"/>
      <x:c r="G9" s="1"/>
      <x:c r="H9" s="1"/>
    </x:row>
    <x:row r="10" spans="1:8" x14ac:dyDescent="0.25">
      <x:c r="A10" s="5">
        <x:v>1</x:v>
      </x:c>
      <x:c r="B10" s="38" t="s">
        <x:v>83</x:v>
      </x:c>
      <x:c r="C10" s="39"/>
      <x:c r="D10" s="39"/>
      <x:c r="E10" s="39"/>
      <x:c r="F10" s="39"/>
      <x:c r="G10" s="39"/>
      <x:c r="H10" s="39"/>
    </x:row>
    <x:row r="11" spans="1:8" x14ac:dyDescent="0.25">
      <x:c r="A11" s="5">
        <x:f t="shared" ref="A11:A37" si="0">+A10+1</x:f>
        <x:v>2</x:v>
      </x:c>
      <x:c r="B11" s="38" t="s">
        <x:v>45</x:v>
      </x:c>
      <x:c r="C11" s="40"/>
      <x:c r="D11" s="40"/>
      <x:c r="E11" s="40"/>
      <x:c r="F11" s="40"/>
      <x:c r="G11" s="40"/>
      <x:c r="H11" s="40"/>
    </x:row>
    <x:row r="12" spans="1:8" x14ac:dyDescent="0.25">
      <x:c r="A12" s="5">
        <x:f t="shared" si="0"/>
        <x:v>3</x:v>
      </x:c>
      <x:c r="B12" s="3"/>
      <x:c r="C12" s="9"/>
      <x:c r="D12" s="1"/>
      <x:c r="E12" s="1"/>
      <x:c r="F12" s="1"/>
      <x:c r="G12" s="1"/>
      <x:c r="H12" s="1"/>
    </x:row>
    <x:row r="13" spans="1:8" x14ac:dyDescent="0.25">
      <x:c r="A13" s="5">
        <x:f t="shared" si="0"/>
        <x:v>4</x:v>
      </x:c>
      <x:c r="B13" s="3"/>
      <x:c r="C13" s="9"/>
      <x:c r="D13" s="1"/>
      <x:c r="E13" s="1"/>
      <x:c r="F13" s="1"/>
      <x:c r="G13" s="1"/>
      <x:c r="H13" s="1"/>
    </x:row>
    <x:row r="14" spans="1:8" x14ac:dyDescent="0.25">
      <x:c r="A14" s="5">
        <x:f t="shared" si="0"/>
        <x:v>5</x:v>
      </x:c>
      <x:c r="B14" s="1"/>
      <x:c r="C14" s="1"/>
      <x:c r="D14" s="1"/>
      <x:c r="E14" s="1"/>
      <x:c r="F14" s="1"/>
      <x:c r="G14" s="1"/>
      <x:c r="H14" s="1"/>
    </x:row>
    <x:row r="15" spans="1:8" x14ac:dyDescent="0.25">
      <x:c r="A15" s="5">
        <x:f t="shared" si="0"/>
        <x:v>6</x:v>
      </x:c>
      <x:c r="B15" s="24"/>
      <x:c r="C15" s="24"/>
      <x:c r="D15" s="24"/>
      <x:c r="E15" s="24"/>
      <x:c r="F15" s="24"/>
      <x:c r="G15" s="1"/>
      <x:c r="H15" s="1"/>
    </x:row>
    <x:row r="16" spans="1:8" x14ac:dyDescent="0.25">
      <x:c r="A16" s="5">
        <x:f t="shared" si="0"/>
        <x:v>7</x:v>
      </x:c>
      <x:c r="F16" s="8"/>
    </x:row>
    <x:row r="17" spans="1:6" x14ac:dyDescent="0.25">
      <x:c r="A17" s="5">
        <x:f t="shared" si="0"/>
        <x:v>8</x:v>
      </x:c>
      <x:c r="F17" s="8"/>
    </x:row>
    <x:row r="18" spans="1:6" x14ac:dyDescent="0.25">
      <x:c r="A18" s="5">
        <x:f t="shared" si="0"/>
        <x:v>9</x:v>
      </x:c>
      <x:c r="F18" s="8"/>
    </x:row>
    <x:row r="19" spans="1:6" x14ac:dyDescent="0.25">
      <x:c r="A19" s="5">
        <x:f t="shared" si="0"/>
        <x:v>10</x:v>
      </x:c>
      <x:c r="F19" s="8"/>
    </x:row>
    <x:row r="20" spans="1:6" x14ac:dyDescent="0.25">
      <x:c r="A20" s="5">
        <x:f t="shared" si="0"/>
        <x:v>11</x:v>
      </x:c>
      <x:c r="F20" s="8"/>
    </x:row>
    <x:row r="21" spans="1:6" x14ac:dyDescent="0.25">
      <x:c r="A21" s="5">
        <x:f t="shared" si="0"/>
        <x:v>12</x:v>
      </x:c>
      <x:c r="F21" s="8"/>
    </x:row>
    <x:row r="22" spans="1:6" x14ac:dyDescent="0.25">
      <x:c r="A22" s="5">
        <x:f t="shared" si="0"/>
        <x:v>13</x:v>
      </x:c>
      <x:c r="F22" s="8"/>
    </x:row>
    <x:row r="23" spans="1:6" x14ac:dyDescent="0.25">
      <x:c r="A23" s="5">
        <x:f t="shared" si="0"/>
        <x:v>14</x:v>
      </x:c>
      <x:c r="F23" s="8"/>
    </x:row>
    <x:row r="24" spans="1:6" x14ac:dyDescent="0.25">
      <x:c r="A24" s="5">
        <x:f t="shared" si="0"/>
        <x:v>15</x:v>
      </x:c>
      <x:c r="F24" s="8"/>
    </x:row>
    <x:row r="25" spans="1:6" x14ac:dyDescent="0.25">
      <x:c r="A25" s="5">
        <x:f t="shared" si="0"/>
        <x:v>16</x:v>
      </x:c>
      <x:c r="F25" s="8"/>
    </x:row>
    <x:row r="26" spans="1:6" x14ac:dyDescent="0.25">
      <x:c r="A26" s="5">
        <x:f t="shared" si="0"/>
        <x:v>17</x:v>
      </x:c>
      <x:c r="F26" s="8"/>
    </x:row>
    <x:row r="27" spans="1:6" x14ac:dyDescent="0.25">
      <x:c r="A27" s="5">
        <x:f t="shared" si="0"/>
        <x:v>18</x:v>
      </x:c>
      <x:c r="F27" s="8"/>
    </x:row>
    <x:row r="28" spans="1:6" x14ac:dyDescent="0.25">
      <x:c r="A28" s="5">
        <x:f t="shared" si="0"/>
        <x:v>19</x:v>
      </x:c>
      <x:c r="F28" s="8"/>
    </x:row>
    <x:row r="29" spans="1:6" x14ac:dyDescent="0.25">
      <x:c r="A29" s="5">
        <x:f t="shared" si="0"/>
        <x:v>20</x:v>
      </x:c>
      <x:c r="F29" s="8"/>
    </x:row>
    <x:row r="30" spans="1:6" x14ac:dyDescent="0.25">
      <x:c r="A30" s="5">
        <x:f t="shared" si="0"/>
        <x:v>21</x:v>
      </x:c>
      <x:c r="F30" s="8"/>
    </x:row>
    <x:row r="31" spans="1:6" x14ac:dyDescent="0.25">
      <x:c r="A31" s="5">
        <x:f t="shared" si="0"/>
        <x:v>22</x:v>
      </x:c>
      <x:c r="F31" s="8"/>
    </x:row>
    <x:row r="32" spans="1:6" x14ac:dyDescent="0.25">
      <x:c r="A32" s="5">
        <x:f t="shared" si="0"/>
        <x:v>23</x:v>
      </x:c>
      <x:c r="F32" s="8"/>
    </x:row>
    <x:row r="33" spans="1:6" x14ac:dyDescent="0.25">
      <x:c r="A33" s="5">
        <x:f t="shared" si="0"/>
        <x:v>24</x:v>
      </x:c>
      <x:c r="F33" s="10"/>
    </x:row>
    <x:row r="34" spans="1:6" x14ac:dyDescent="0.25">
      <x:c r="A34" s="5">
        <x:f t="shared" si="0"/>
        <x:v>25</x:v>
      </x:c>
    </x:row>
    <x:row r="35" spans="1:6" x14ac:dyDescent="0.25">
      <x:c r="A35" s="5">
        <x:f t="shared" si="0"/>
        <x:v>26</x:v>
      </x:c>
    </x:row>
    <x:row r="36" spans="1:6" x14ac:dyDescent="0.25">
      <x:c r="A36" s="5">
        <x:f t="shared" si="0"/>
        <x:v>27</x:v>
      </x:c>
    </x:row>
    <x:row r="37" spans="1:6" x14ac:dyDescent="0.25">
      <x:c r="A37" s="5">
        <x:f t="shared" si="0"/>
        <x:v>28</x:v>
      </x:c>
    </x:row>
  </x:sheetData>
  <x:mergeCells count="8">
    <x:mergeCell ref="B10:H10"/>
    <x:mergeCell ref="B11:H11"/>
    <x:mergeCell ref="B1:H1"/>
    <x:mergeCell ref="B2:H2"/>
    <x:mergeCell ref="B3:H3"/>
    <x:mergeCell ref="B4:H4"/>
    <x:mergeCell ref="B6:H6"/>
    <x:mergeCell ref="B8:F8"/>
  </x:mergeCells>
  <x:pageMargins left="0.7" right="0.7" top="0.75" bottom="0.75" header="0.3" footer="0.3"/>
  <x:pageSetup scale="79" firstPageNumber="8" orientation="portrait" r:id="rId1"/>
  <x:headerFooter>
    <x:oddHeader xml:space="preserve">&amp;RSchedule II-H-2.1
Page  &amp;P of  27
</x:oddHeader>
  </x:headerFooter>
  <x:drawing r:id="rId2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pageSetUpPr fitToPage="1"/>
  </x:sheetPr>
  <x:dimension ref="A1:F55"/>
  <x:sheetViews>
    <x:sheetView workbookViewId="0"/>
  </x:sheetViews>
  <x:sheetFormatPr defaultRowHeight="12.5" x14ac:dyDescent="0.25"/>
  <x:cols>
    <x:col min="2" max="2" width="30.08984375" customWidth="1"/>
    <x:col min="3" max="3" width="15.36328125" customWidth="1"/>
    <x:col min="4" max="4" width="10.453125" customWidth="1"/>
    <x:col min="5" max="5" width="10.54296875" customWidth="1"/>
    <x:col min="6" max="6" width="10.08984375" customWidth="1"/>
  </x:cols>
  <x:sheetData>
    <x:row r="1" spans="1:6" s="1" customFormat="1" ht="15.5" x14ac:dyDescent="0.35">
      <x:c r="A1" s="5"/>
      <x:c r="B1" s="37" t="str">
        <x:f>+'RES Model'!B1:F1</x:f>
        <x:v xml:space="preserve">PUC DOCKET NO. </x:v>
      </x:c>
      <x:c r="C1" s="37"/>
      <x:c r="D1" s="37"/>
      <x:c r="E1" s="37"/>
      <x:c r="F1" s="37"/>
    </x:row>
    <x:row r="2" spans="1:6" s="1" customFormat="1" ht="15.5" x14ac:dyDescent="0.35">
      <x:c r="A2" s="5"/>
      <x:c r="B2" s="37" t="str">
        <x:f>+'RES Model'!B2:F2</x:f>
        <x:v>ONCOR ELECTRIC DELIVERY COMPANY LLC</x:v>
      </x:c>
      <x:c r="C2" s="37"/>
      <x:c r="D2" s="37"/>
      <x:c r="E2" s="37"/>
      <x:c r="F2" s="37"/>
    </x:row>
    <x:row r="3" spans="1:6" s="1" customFormat="1" ht="15.5" x14ac:dyDescent="0.35">
      <x:c r="A3" s="5"/>
      <x:c r="B3" s="37" t="str">
        <x:f>+'RES Model'!B3:F3</x:f>
        <x:v>MODEL INFORMATION</x:v>
      </x:c>
      <x:c r="C3" s="37"/>
      <x:c r="D3" s="37"/>
      <x:c r="E3" s="37"/>
      <x:c r="F3" s="37"/>
    </x:row>
    <x:row r="4" spans="1:6" s="1" customFormat="1" ht="15.5" x14ac:dyDescent="0.35">
      <x:c r="A4" s="5"/>
      <x:c r="B4" s="37" t="str">
        <x:f>+'RES Model'!B4:F4</x:f>
        <x:v>FOR THE TEST YEAR ENDING DECEMBER 31, 2024</x:v>
      </x:c>
      <x:c r="C4" s="37"/>
      <x:c r="D4" s="37"/>
      <x:c r="E4" s="37"/>
      <x:c r="F4" s="37"/>
    </x:row>
    <x:row r="5" spans="1:6" s="1" customFormat="1" ht="11.5" x14ac:dyDescent="0.25">
      <x:c r="A5" s="5"/>
    </x:row>
    <x:row r="6" spans="1:6" s="1" customFormat="1" ht="15.5" x14ac:dyDescent="0.35">
      <x:c r="A6" s="5"/>
      <x:c r="B6" s="37" t="str">
        <x:f>+'RES Model'!B6:F6</x:f>
        <x:v>SPONSOR: D. E. NELSON</x:v>
      </x:c>
      <x:c r="C6" s="37"/>
      <x:c r="D6" s="37"/>
      <x:c r="E6" s="37"/>
      <x:c r="F6" s="37"/>
    </x:row>
    <x:row r="8" spans="1:6" ht="15.5" x14ac:dyDescent="0.35">
      <x:c r="B8" s="37" t="s">
        <x:v>85</x:v>
      </x:c>
      <x:c r="C8" s="37"/>
      <x:c r="D8" s="37"/>
      <x:c r="E8" s="37"/>
      <x:c r="F8" s="37"/>
    </x:row>
    <x:row r="9" spans="1:6" s="1" customFormat="1" ht="11.5" x14ac:dyDescent="0.25">
      <x:c r="A9" s="5" t="s">
        <x:v>18</x:v>
      </x:c>
      <x:c r="B9" s="38"/>
      <x:c r="C9" s="38"/>
      <x:c r="D9" s="38"/>
      <x:c r="E9" s="38"/>
      <x:c r="F9" s="38"/>
    </x:row>
    <x:row r="10" spans="1:6" s="1" customFormat="1" ht="11.5" x14ac:dyDescent="0.25">
      <x:c r="A10" s="6" t="s">
        <x:v>19</x:v>
      </x:c>
      <x:c r="B10" s="7" t="s">
        <x:v>20</x:v>
      </x:c>
      <x:c r="C10" s="7" t="s">
        <x:v>21</x:v>
      </x:c>
      <x:c r="D10" s="7" t="s">
        <x:v>24</x:v>
      </x:c>
      <x:c r="E10" s="7" t="s">
        <x:v>22</x:v>
      </x:c>
      <x:c r="F10" s="7" t="s">
        <x:v>23</x:v>
      </x:c>
    </x:row>
    <x:row r="11" spans="1:6" s="1" customFormat="1" ht="11.5" x14ac:dyDescent="0.25">
      <x:c r="A11" s="5">
        <x:v>1</x:v>
      </x:c>
      <x:c r="B11" s="3" t="s">
        <x:v>44</x:v>
      </x:c>
      <x:c r="C11" s="3"/>
    </x:row>
    <x:row r="12" spans="1:6" s="1" customFormat="1" ht="11.5" x14ac:dyDescent="0.25">
      <x:c r="A12" s="5">
        <x:f t="shared" ref="A12:A55" si="0">+A11+1</x:f>
        <x:v>2</x:v>
      </x:c>
      <x:c r="B12" s="3" t="s">
        <x:v>5</x:v>
      </x:c>
      <x:c r="C12" s="3" t="s">
        <x:v>70</x:v>
      </x:c>
    </x:row>
    <x:row r="13" spans="1:6" s="1" customFormat="1" ht="11.5" x14ac:dyDescent="0.25">
      <x:c r="A13" s="5">
        <x:f t="shared" si="0"/>
        <x:v>3</x:v>
      </x:c>
      <x:c r="B13" s="3" t="s">
        <x:v>6</x:v>
      </x:c>
      <x:c r="C13" s="32">
        <x:v>40909</x:v>
      </x:c>
    </x:row>
    <x:row r="14" spans="1:6" s="1" customFormat="1" ht="11.5" x14ac:dyDescent="0.25">
      <x:c r="A14" s="5">
        <x:f t="shared" si="0"/>
        <x:v>4</x:v>
      </x:c>
      <x:c r="B14" s="3" t="s">
        <x:v>7</x:v>
      </x:c>
      <x:c r="C14" s="9">
        <x:f>+'RES Model'!C14</x:f>
        <x:v>45444</x:v>
      </x:c>
    </x:row>
    <x:row r="15" spans="1:6" s="1" customFormat="1" ht="11.5" x14ac:dyDescent="0.25">
      <x:c r="A15" s="5">
        <x:f t="shared" si="0"/>
        <x:v>5</x:v>
      </x:c>
    </x:row>
    <x:row r="16" spans="1:6" s="1" customFormat="1" ht="11.5" x14ac:dyDescent="0.25">
      <x:c r="A16" s="5">
        <x:f t="shared" si="0"/>
        <x:v>6</x:v>
      </x:c>
      <x:c r="B16" s="4" t="s">
        <x:v>0</x:v>
      </x:c>
      <x:c r="C16" s="4" t="s">
        <x:v>1</x:v>
      </x:c>
      <x:c r="D16" s="4" t="s">
        <x:v>2</x:v>
      </x:c>
      <x:c r="E16" s="4" t="s">
        <x:v>3</x:v>
      </x:c>
      <x:c r="F16" s="4" t="s">
        <x:v>4</x:v>
      </x:c>
    </x:row>
    <x:row r="17" spans="1:6" x14ac:dyDescent="0.25">
      <x:c r="A17" s="5">
        <x:f t="shared" si="0"/>
        <x:v>7</x:v>
      </x:c>
      <x:c r="B17" t="s">
        <x:v>106</x:v>
      </x:c>
      <x:c r="C17" s="13">
        <x:v>2.7719999999999998</x:v>
      </x:c>
      <x:c r="D17" s="13">
        <x:v>0.65700000000000003</x:v>
      </x:c>
      <x:c r="E17" s="13">
        <x:v>4.2190000000000003</x:v>
      </x:c>
      <x:c r="F17" s="14">
        <x:v>1E-4</x:v>
      </x:c>
    </x:row>
    <x:row r="18" spans="1:6" x14ac:dyDescent="0.25">
      <x:c r="A18" s="5">
        <x:f t="shared" si="0"/>
        <x:v>8</x:v>
      </x:c>
      <x:c r="B18" t="s">
        <x:v>74</x:v>
      </x:c>
      <x:c r="C18" s="13">
        <x:v>7.0000000000000001E-3</x:v>
      </x:c>
      <x:c r="D18" s="13">
        <x:v>3.0000000000000001E-3</x:v>
      </x:c>
      <x:c r="E18" s="13">
        <x:v>2.0630000000000002</x:v>
      </x:c>
      <x:c r="F18" s="14">
        <x:v>4.1300000000000003E-2</x:v>
      </x:c>
    </x:row>
    <x:row r="19" spans="1:6" x14ac:dyDescent="0.25">
      <x:c r="A19" s="5">
        <x:f t="shared" si="0"/>
        <x:v>9</x:v>
      </x:c>
      <x:c r="B19" t="s">
        <x:v>28</x:v>
      </x:c>
      <x:c r="C19" s="13">
        <x:v>-1071.598</x:v>
      </x:c>
      <x:c r="D19" s="13">
        <x:v>372.02300000000002</x:v>
      </x:c>
      <x:c r="E19" s="13">
        <x:v>-2.88</x:v>
      </x:c>
      <x:c r="F19" s="14">
        <x:v>4.7000000000000002E-3</x:v>
      </x:c>
    </x:row>
    <x:row r="20" spans="1:6" x14ac:dyDescent="0.25">
      <x:c r="A20" s="5">
        <x:f t="shared" si="0"/>
        <x:v>10</x:v>
      </x:c>
      <x:c r="B20" t="s">
        <x:v>30</x:v>
      </x:c>
      <x:c r="C20" s="13">
        <x:v>-591.77599999999995</x:v>
      </x:c>
      <x:c r="D20" s="13">
        <x:v>305.31099999999998</x:v>
      </x:c>
      <x:c r="E20" s="13">
        <x:v>-1.9379999999999999</x:v>
      </x:c>
      <x:c r="F20" s="14">
        <x:v>5.5E-2</x:v>
      </x:c>
    </x:row>
    <x:row r="21" spans="1:6" x14ac:dyDescent="0.25">
      <x:c r="A21" s="5">
        <x:f t="shared" si="0"/>
        <x:v>11</x:v>
      </x:c>
      <x:c r="B21" t="s">
        <x:v>31</x:v>
      </x:c>
      <x:c r="C21" s="13">
        <x:v>-930.74099999999999</x:v>
      </x:c>
      <x:c r="D21" s="13">
        <x:v>316.10300000000001</x:v>
      </x:c>
      <x:c r="E21" s="13">
        <x:v>-2.944</x:v>
      </x:c>
      <x:c r="F21" s="14">
        <x:v>3.8999999999999998E-3</x:v>
      </x:c>
    </x:row>
    <x:row r="22" spans="1:6" x14ac:dyDescent="0.25">
      <x:c r="A22" s="5">
        <x:f t="shared" si="0"/>
        <x:v>12</x:v>
      </x:c>
      <x:c r="B22" t="s">
        <x:v>32</x:v>
      </x:c>
      <x:c r="C22" s="13">
        <x:v>-1047.2080000000001</x:v>
      </x:c>
      <x:c r="D22" s="13">
        <x:v>256.67599999999999</x:v>
      </x:c>
      <x:c r="E22" s="13">
        <x:v>-4.08</x:v>
      </x:c>
      <x:c r="F22" s="14">
        <x:v>1E-4</x:v>
      </x:c>
    </x:row>
    <x:row r="23" spans="1:6" x14ac:dyDescent="0.25">
      <x:c r="A23" s="5">
        <x:f t="shared" si="0"/>
        <x:v>13</x:v>
      </x:c>
      <x:c r="B23" t="s">
        <x:v>33</x:v>
      </x:c>
      <x:c r="C23" s="13">
        <x:v>-1025.0540000000001</x:v>
      </x:c>
      <x:c r="D23" s="13">
        <x:v>393.45400000000001</x:v>
      </x:c>
      <x:c r="E23" s="13">
        <x:v>-2.605</x:v>
      </x:c>
      <x:c r="F23" s="14">
        <x:v>1.04E-2</x:v>
      </x:c>
    </x:row>
    <x:row r="24" spans="1:6" x14ac:dyDescent="0.25">
      <x:c r="A24" s="5">
        <x:f t="shared" si="0"/>
        <x:v>14</x:v>
      </x:c>
      <x:c r="B24" t="s">
        <x:v>34</x:v>
      </x:c>
      <x:c r="C24" s="13">
        <x:v>-861.995</x:v>
      </x:c>
      <x:c r="D24" s="13">
        <x:v>395.70800000000003</x:v>
      </x:c>
      <x:c r="E24" s="13">
        <x:v>-2.1779999999999999</x:v>
      </x:c>
      <x:c r="F24" s="14">
        <x:v>3.1399999999999997E-2</x:v>
      </x:c>
    </x:row>
    <x:row r="25" spans="1:6" x14ac:dyDescent="0.25">
      <x:c r="A25" s="5">
        <x:f t="shared" si="0"/>
        <x:v>15</x:v>
      </x:c>
      <x:c r="B25" t="s">
        <x:v>37</x:v>
      </x:c>
      <x:c r="C25" s="13">
        <x:v>-783.62400000000002</x:v>
      </x:c>
      <x:c r="D25" s="13">
        <x:v>389.15</x:v>
      </x:c>
      <x:c r="E25" s="13">
        <x:v>-2.0139999999999998</x:v>
      </x:c>
      <x:c r="F25" s="14">
        <x:v>4.6300000000000001E-2</x:v>
      </x:c>
    </x:row>
    <x:row r="26" spans="1:6" x14ac:dyDescent="0.25">
      <x:c r="A26" s="5">
        <x:f t="shared" si="0"/>
        <x:v>16</x:v>
      </x:c>
      <x:c r="B26" t="s">
        <x:v>36</x:v>
      </x:c>
      <x:c r="C26" s="13">
        <x:v>-772.56600000000003</x:v>
      </x:c>
      <x:c r="D26" s="13">
        <x:v>409.91199999999998</x:v>
      </x:c>
      <x:c r="E26" s="13">
        <x:v>-1.885</x:v>
      </x:c>
      <x:c r="F26" s="14">
        <x:v>6.1899999999999997E-2</x:v>
      </x:c>
    </x:row>
    <x:row r="27" spans="1:6" x14ac:dyDescent="0.25">
      <x:c r="A27" s="5">
        <x:f t="shared" si="0"/>
        <x:v>17</x:v>
      </x:c>
      <x:c r="B27" t="s">
        <x:v>58</x:v>
      </x:c>
      <x:c r="C27" s="13">
        <x:v>9873.9089999999997</x:v>
      </x:c>
      <x:c r="D27" s="13">
        <x:v>804.44799999999998</x:v>
      </x:c>
      <x:c r="E27" s="13">
        <x:v>12.273999999999999</x:v>
      </x:c>
      <x:c r="F27" s="14">
        <x:v>0</x:v>
      </x:c>
    </x:row>
    <x:row r="28" spans="1:6" x14ac:dyDescent="0.25">
      <x:c r="A28" s="5">
        <x:f t="shared" si="0"/>
        <x:v>18</x:v>
      </x:c>
      <x:c r="B28" s="28" t="s">
        <x:v>107</x:v>
      </x:c>
      <x:c r="C28" s="13">
        <x:v>-916.47799999999995</x:v>
      </x:c>
      <x:c r="D28" s="13">
        <x:v>671.70100000000002</x:v>
      </x:c>
      <x:c r="E28" s="13">
        <x:v>-1.3640000000000001</x:v>
      </x:c>
      <x:c r="F28" s="14">
        <x:v>0.17499999999999999</x:v>
      </x:c>
    </x:row>
    <x:row r="29" spans="1:6" x14ac:dyDescent="0.25">
      <x:c r="A29" s="5">
        <x:f t="shared" si="0"/>
        <x:v>19</x:v>
      </x:c>
      <x:c r="B29" t="s">
        <x:v>42</x:v>
      </x:c>
      <x:c r="C29" s="13">
        <x:v>2.4E-2</x:v>
      </x:c>
      <x:c r="D29" s="13">
        <x:v>8.8999999999999996E-2</x:v>
      </x:c>
      <x:c r="E29" s="13">
        <x:v>0.27300000000000002</x:v>
      </x:c>
      <x:c r="F29" s="14">
        <x:v>0.78520000000000001</x:v>
      </x:c>
    </x:row>
    <x:row r="30" spans="1:6" x14ac:dyDescent="0.25">
      <x:c r="A30" s="5">
        <x:f t="shared" si="0"/>
        <x:v>20</x:v>
      </x:c>
      <x:c r="B30" t="s">
        <x:v>54</x:v>
      </x:c>
      <x:c r="C30" s="13">
        <x:v>0.32900000000000001</x:v>
      </x:c>
      <x:c r="D30" s="13">
        <x:v>9.0999999999999998E-2</x:v>
      </x:c>
      <x:c r="E30" s="13">
        <x:v>3.62</x:v>
      </x:c>
      <x:c r="F30" s="14">
        <x:v>4.0000000000000002E-4</x:v>
      </x:c>
    </x:row>
    <x:row r="31" spans="1:6" x14ac:dyDescent="0.25">
      <x:c r="A31" s="5">
        <x:f t="shared" si="0"/>
        <x:v>21</x:v>
      </x:c>
      <x:c r="B31" t="s">
        <x:v>55</x:v>
      </x:c>
      <x:c r="C31" s="13">
        <x:v>0.42099999999999999</x:v>
      </x:c>
      <x:c r="D31" s="13">
        <x:v>9.5000000000000001E-2</x:v>
      </x:c>
      <x:c r="E31" s="13">
        <x:v>4.4349999999999996</x:v>
      </x:c>
      <x:c r="F31" s="14">
        <x:v>0</x:v>
      </x:c>
    </x:row>
    <x:row r="32" spans="1:6" x14ac:dyDescent="0.25">
      <x:c r="A32" s="5">
        <x:f t="shared" si="0"/>
        <x:v>22</x:v>
      </x:c>
      <x:c r="B32" t="s">
        <x:v>56</x:v>
      </x:c>
      <x:c r="C32" s="13">
        <x:v>0.317</x:v>
      </x:c>
      <x:c r="D32" s="13">
        <x:v>0.10199999999999999</x:v>
      </x:c>
      <x:c r="E32" s="13">
        <x:v>3.1259999999999999</x:v>
      </x:c>
      <x:c r="F32" s="14">
        <x:v>2.2000000000000001E-3</x:v>
      </x:c>
    </x:row>
    <x:row r="33" spans="1:6" x14ac:dyDescent="0.25">
      <x:c r="A33" s="5">
        <x:f t="shared" si="0"/>
        <x:v>23</x:v>
      </x:c>
      <x:c r="B33" t="s">
        <x:v>57</x:v>
      </x:c>
      <x:c r="C33" s="13">
        <x:v>-0.17599999999999999</x:v>
      </x:c>
      <x:c r="D33" s="13">
        <x:v>0.109</x:v>
      </x:c>
      <x:c r="E33" s="13">
        <x:v>-1.6140000000000001</x:v>
      </x:c>
      <x:c r="F33" s="14">
        <x:v>0.10920000000000001</x:v>
      </x:c>
    </x:row>
    <x:row r="34" spans="1:6" x14ac:dyDescent="0.25">
      <x:c r="A34" s="5">
        <x:f t="shared" si="0"/>
        <x:v>24</x:v>
      </x:c>
      <x:c r="B34" t="s">
        <x:v>77</x:v>
      </x:c>
      <x:c r="C34" s="13">
        <x:v>-0.42699999999999999</x:v>
      </x:c>
      <x:c r="D34" s="13">
        <x:v>0.107</x:v>
      </x:c>
      <x:c r="E34" s="13">
        <x:v>-3.988</x:v>
      </x:c>
      <x:c r="F34" s="14">
        <x:v>1E-4</x:v>
      </x:c>
    </x:row>
    <x:row r="35" spans="1:6" x14ac:dyDescent="0.25">
      <x:c r="A35" s="5">
        <x:f t="shared" si="0"/>
        <x:v>25</x:v>
      </x:c>
      <x:c r="B35" t="s">
        <x:v>78</x:v>
      </x:c>
      <x:c r="C35" s="13">
        <x:v>0.56799999999999995</x:v>
      </x:c>
      <x:c r="D35" s="13">
        <x:v>0.115</x:v>
      </x:c>
      <x:c r="E35" s="13">
        <x:v>4.952</x:v>
      </x:c>
      <x:c r="F35" s="14">
        <x:v>0</x:v>
      </x:c>
    </x:row>
    <x:row r="36" spans="1:6" x14ac:dyDescent="0.25">
      <x:c r="A36" s="5">
        <x:f t="shared" si="0"/>
        <x:v>26</x:v>
      </x:c>
      <x:c r="B36" t="s">
        <x:v>79</x:v>
      </x:c>
      <x:c r="C36" s="13">
        <x:v>5.0999999999999997E-2</x:v>
      </x:c>
      <x:c r="D36" s="13">
        <x:v>0.11700000000000001</x:v>
      </x:c>
      <x:c r="E36" s="13">
        <x:v>0.432</x:v>
      </x:c>
      <x:c r="F36" s="14">
        <x:v>0.66669999999999996</x:v>
      </x:c>
    </x:row>
    <x:row r="37" spans="1:6" x14ac:dyDescent="0.25">
      <x:c r="A37" s="5">
        <x:f t="shared" si="0"/>
        <x:v>27</x:v>
      </x:c>
      <x:c r="B37" t="s">
        <x:v>80</x:v>
      </x:c>
      <x:c r="C37" s="13">
        <x:v>0.35199999999999998</x:v>
      </x:c>
      <x:c r="D37" s="13">
        <x:v>0.121</x:v>
      </x:c>
      <x:c r="E37" s="13">
        <x:v>2.9049999999999998</x:v>
      </x:c>
      <x:c r="F37" s="14">
        <x:v>4.4000000000000003E-3</x:v>
      </x:c>
    </x:row>
    <x:row r="38" spans="1:6" x14ac:dyDescent="0.25">
      <x:c r="A38" s="5">
        <x:f t="shared" si="0"/>
        <x:v>28</x:v>
      </x:c>
      <x:c r="B38" t="s">
        <x:v>81</x:v>
      </x:c>
      <x:c r="C38" s="13">
        <x:v>-0.38600000000000001</x:v>
      </x:c>
      <x:c r="D38" s="13">
        <x:v>0.11799999999999999</x:v>
      </x:c>
      <x:c r="E38" s="13">
        <x:v>-3.2770000000000001</x:v>
      </x:c>
      <x:c r="F38" s="14">
        <x:v>1.4E-3</x:v>
      </x:c>
    </x:row>
    <x:row r="39" spans="1:6" x14ac:dyDescent="0.25">
      <x:c r="A39" s="5">
        <x:f t="shared" si="0"/>
        <x:v>29</x:v>
      </x:c>
      <x:c r="C39" s="13"/>
      <x:c r="D39" s="13"/>
      <x:c r="E39" s="13"/>
      <x:c r="F39" s="14"/>
    </x:row>
    <x:row r="40" spans="1:6" x14ac:dyDescent="0.25">
      <x:c r="A40" s="5">
        <x:f t="shared" si="0"/>
        <x:v>30</x:v>
      </x:c>
      <x:c r="B40" s="15" t="s">
        <x:v>53</x:v>
      </x:c>
      <x:c r="C40" s="13"/>
      <x:c r="D40" s="13"/>
      <x:c r="E40" s="13"/>
      <x:c r="F40" s="14"/>
    </x:row>
    <x:row r="41" spans="1:6" x14ac:dyDescent="0.25">
      <x:c r="A41" s="5">
        <x:f t="shared" si="0"/>
        <x:v>31</x:v>
      </x:c>
      <x:c r="B41" t="s">
        <x:v>25</x:v>
      </x:c>
      <x:c r="C41">
        <x:v>140</x:v>
      </x:c>
      <x:c r="F41" s="8"/>
    </x:row>
    <x:row r="42" spans="1:6" x14ac:dyDescent="0.25">
      <x:c r="A42" s="5">
        <x:f t="shared" si="0"/>
        <x:v>32</x:v>
      </x:c>
      <x:c r="B42" t="s">
        <x:v>8</x:v>
      </x:c>
      <x:c r="C42" s="20">
        <x:v>118</x:v>
      </x:c>
      <x:c r="F42" s="8"/>
    </x:row>
    <x:row r="43" spans="1:6" x14ac:dyDescent="0.25">
      <x:c r="A43" s="5">
        <x:f t="shared" si="0"/>
        <x:v>33</x:v>
      </x:c>
      <x:c r="B43" t="s">
        <x:v>9</x:v>
      </x:c>
      <x:c r="C43" s="27">
        <x:v>0.94799999999999995</x:v>
      </x:c>
      <x:c r="F43" s="8"/>
    </x:row>
    <x:row r="44" spans="1:6" x14ac:dyDescent="0.25">
      <x:c r="A44" s="5">
        <x:f t="shared" si="0"/>
        <x:v>34</x:v>
      </x:c>
      <x:c r="B44" t="s">
        <x:v>10</x:v>
      </x:c>
      <x:c r="C44" s="30">
        <x:v>0.93899999999999995</x:v>
      </x:c>
      <x:c r="F44" s="8"/>
    </x:row>
    <x:row r="45" spans="1:6" x14ac:dyDescent="0.25">
      <x:c r="A45" s="5">
        <x:f t="shared" si="0"/>
        <x:v>35</x:v>
      </x:c>
      <x:c r="B45" t="s">
        <x:v>12</x:v>
      </x:c>
      <x:c r="C45" s="35">
        <x:v>98.281000000000006</x:v>
      </x:c>
      <x:c r="F45" s="8"/>
    </x:row>
    <x:row r="46" spans="1:6" x14ac:dyDescent="0.25">
      <x:c r="A46" s="5">
        <x:f t="shared" si="0"/>
        <x:v>36</x:v>
      </x:c>
      <x:c r="B46" t="s">
        <x:v>13</x:v>
      </x:c>
      <x:c r="C46" s="36">
        <x:v>0</x:v>
      </x:c>
      <x:c r="F46" s="8"/>
    </x:row>
    <x:row r="47" spans="1:6" x14ac:dyDescent="0.25">
      <x:c r="A47" s="5">
        <x:f t="shared" si="0"/>
        <x:v>37</x:v>
      </x:c>
      <x:c r="B47" t="s">
        <x:v>14</x:v>
      </x:c>
      <x:c r="C47" s="26">
        <x:v>3090041735.0999999</x:v>
      </x:c>
    </x:row>
    <x:row r="48" spans="1:6" x14ac:dyDescent="0.25">
      <x:c r="A48" s="5">
        <x:f t="shared" si="0"/>
        <x:v>38</x:v>
      </x:c>
      <x:c r="B48" t="s">
        <x:v>15</x:v>
      </x:c>
      <x:c r="C48" s="21">
        <x:v>168777999.53999999</x:v>
      </x:c>
      <x:c r="F48" s="8"/>
    </x:row>
    <x:row r="49" spans="1:6" x14ac:dyDescent="0.25">
      <x:c r="A49" s="5">
        <x:f t="shared" si="0"/>
        <x:v>39</x:v>
      </x:c>
      <x:c r="B49" t="s">
        <x:v>16</x:v>
      </x:c>
      <x:c r="C49" s="21">
        <x:v>1430322.03</x:v>
      </x:c>
      <x:c r="F49" s="8"/>
    </x:row>
    <x:row r="50" spans="1:6" x14ac:dyDescent="0.25">
      <x:c r="A50" s="5">
        <x:f t="shared" si="0"/>
        <x:v>40</x:v>
      </x:c>
      <x:c r="B50" t="s">
        <x:v>17</x:v>
      </x:c>
      <x:c r="C50" s="26">
        <x:v>1195.96</x:v>
      </x:c>
      <x:c r="F50" s="8"/>
    </x:row>
    <x:row r="51" spans="1:6" x14ac:dyDescent="0.25">
      <x:c r="A51" s="5">
        <x:f t="shared" si="0"/>
        <x:v>41</x:v>
      </x:c>
      <x:c r="B51" t="s">
        <x:v>75</x:v>
      </x:c>
      <x:c r="C51">
        <x:v>760.52</x:v>
      </x:c>
    </x:row>
    <x:row r="52" spans="1:6" x14ac:dyDescent="0.25">
      <x:c r="A52" s="5">
        <x:f t="shared" si="0"/>
        <x:v>42</x:v>
      </x:c>
      <x:c r="B52" t="s">
        <x:v>76</x:v>
      </x:c>
      <x:c r="C52" s="8">
        <x:v>6.6600000000000006E-2</x:v>
      </x:c>
    </x:row>
    <x:row r="53" spans="1:6" x14ac:dyDescent="0.25">
      <x:c r="A53" s="5">
        <x:f t="shared" si="0"/>
        <x:v>43</x:v>
      </x:c>
      <x:c r="B53" t="s">
        <x:v>11</x:v>
      </x:c>
      <x:c r="C53">
        <x:v>1.966</x:v>
      </x:c>
    </x:row>
    <x:row r="54" spans="1:6" x14ac:dyDescent="0.25">
      <x:c r="A54" s="5">
        <x:f t="shared" si="0"/>
        <x:v>44</x:v>
      </x:c>
      <x:c r="B54" t="s">
        <x:v>61</x:v>
      </x:c>
      <x:c r="C54">
        <x:v>17.72</x:v>
      </x:c>
    </x:row>
    <x:row r="55" spans="1:6" x14ac:dyDescent="0.25">
      <x:c r="A55" s="5">
        <x:f t="shared" si="0"/>
        <x:v>45</x:v>
      </x:c>
      <x:c r="B55" t="s">
        <x:v>62</x:v>
      </x:c>
      <x:c r="C55">
        <x:v>0.81640000000000001</x:v>
      </x:c>
    </x:row>
  </x:sheetData>
  <x:mergeCells count="7">
    <x:mergeCell ref="B9:F9"/>
    <x:mergeCell ref="B1:F1"/>
    <x:mergeCell ref="B2:F2"/>
    <x:mergeCell ref="B3:F3"/>
    <x:mergeCell ref="B4:F4"/>
    <x:mergeCell ref="B6:F6"/>
    <x:mergeCell ref="B8:F8"/>
  </x:mergeCells>
  <x:pageMargins left="0.7" right="0.7" top="0.75" bottom="0.75" header="0.3" footer="0.3"/>
  <x:pageSetup firstPageNumber="8" orientation="portrait" r:id="rId1"/>
  <x:headerFooter>
    <x:oddHeader xml:space="preserve">&amp;RSchedule II-H-2.1
Page  &amp;P of  27
</x:oddHeader>
  </x:headerFooter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pageSetUpPr fitToPage="1"/>
  </x:sheetPr>
  <x:dimension ref="A1:H37"/>
  <x:sheetViews>
    <x:sheetView workbookViewId="0"/>
  </x:sheetViews>
  <x:sheetFormatPr defaultRowHeight="12.5" x14ac:dyDescent="0.25"/>
  <x:cols>
    <x:col min="2" max="2" width="20.36328125" customWidth="1"/>
    <x:col min="3" max="3" width="17.1796875" customWidth="1"/>
    <x:col min="4" max="4" width="18.81640625" customWidth="1"/>
    <x:col min="5" max="5" width="14.6328125" customWidth="1"/>
    <x:col min="6" max="6" width="15.90625" customWidth="1"/>
    <x:col min="7" max="7" width="11" customWidth="1"/>
  </x:cols>
  <x:sheetData>
    <x:row r="1" spans="1:8" ht="15.5" x14ac:dyDescent="0.25">
      <x:c r="A1" s="5"/>
      <x:c r="B1" s="41" t="str">
        <x:f>+'RES Model'!B1:F1</x:f>
        <x:v xml:space="preserve">PUC DOCKET NO. </x:v>
      </x:c>
      <x:c r="C1" s="39"/>
      <x:c r="D1" s="39"/>
      <x:c r="E1" s="39"/>
      <x:c r="F1" s="39"/>
      <x:c r="G1" s="39"/>
      <x:c r="H1" s="39"/>
    </x:row>
    <x:row r="2" spans="1:8" ht="15.5" x14ac:dyDescent="0.35">
      <x:c r="A2" s="5"/>
      <x:c r="B2" s="37" t="str">
        <x:f>+'RES Model'!B2:F2</x:f>
        <x:v>ONCOR ELECTRIC DELIVERY COMPANY LLC</x:v>
      </x:c>
      <x:c r="C2" s="39"/>
      <x:c r="D2" s="39"/>
      <x:c r="E2" s="39"/>
      <x:c r="F2" s="39"/>
      <x:c r="G2" s="39"/>
      <x:c r="H2" s="39"/>
    </x:row>
    <x:row r="3" spans="1:8" ht="15.5" x14ac:dyDescent="0.35">
      <x:c r="A3" s="5"/>
      <x:c r="B3" s="37" t="str">
        <x:f>+'RES Model'!B3:F3</x:f>
        <x:v>MODEL INFORMATION</x:v>
      </x:c>
      <x:c r="C3" s="39"/>
      <x:c r="D3" s="39"/>
      <x:c r="E3" s="39"/>
      <x:c r="F3" s="39"/>
      <x:c r="G3" s="39"/>
      <x:c r="H3" s="39"/>
    </x:row>
    <x:row r="4" spans="1:8" ht="15.5" x14ac:dyDescent="0.35">
      <x:c r="A4" s="5"/>
      <x:c r="B4" s="37" t="str">
        <x:f>+'RES Model'!B4:F4</x:f>
        <x:v>FOR THE TEST YEAR ENDING DECEMBER 31, 2024</x:v>
      </x:c>
      <x:c r="C4" s="39"/>
      <x:c r="D4" s="39"/>
      <x:c r="E4" s="39"/>
      <x:c r="F4" s="39"/>
      <x:c r="G4" s="39"/>
      <x:c r="H4" s="39"/>
    </x:row>
    <x:row r="5" spans="1:8" x14ac:dyDescent="0.25">
      <x:c r="A5" s="5"/>
      <x:c r="B5" s="1"/>
      <x:c r="C5" s="1"/>
      <x:c r="D5" s="1"/>
      <x:c r="E5" s="1"/>
      <x:c r="F5" s="1"/>
      <x:c r="G5" s="1"/>
      <x:c r="H5" s="1"/>
    </x:row>
    <x:row r="6" spans="1:8" ht="15.5" x14ac:dyDescent="0.35">
      <x:c r="A6" s="5"/>
      <x:c r="B6" s="37" t="str">
        <x:f>+'RES Model'!B6:F6</x:f>
        <x:v>SPONSOR: D. E. NELSON</x:v>
      </x:c>
      <x:c r="C6" s="39"/>
      <x:c r="D6" s="39"/>
      <x:c r="E6" s="39"/>
      <x:c r="F6" s="39"/>
      <x:c r="G6" s="39"/>
      <x:c r="H6" s="39"/>
    </x:row>
    <x:row r="8" spans="1:8" x14ac:dyDescent="0.25">
      <x:c r="A8" s="5" t="s">
        <x:v>18</x:v>
      </x:c>
      <x:c r="B8" s="38"/>
      <x:c r="C8" s="38"/>
      <x:c r="D8" s="38"/>
      <x:c r="E8" s="38"/>
      <x:c r="F8" s="38"/>
      <x:c r="G8" s="1"/>
      <x:c r="H8" s="1"/>
    </x:row>
    <x:row r="9" spans="1:8" x14ac:dyDescent="0.25">
      <x:c r="A9" s="6" t="s">
        <x:v>19</x:v>
      </x:c>
      <x:c r="B9" s="7"/>
      <x:c r="C9" s="7"/>
      <x:c r="D9" s="7"/>
      <x:c r="E9" s="7"/>
      <x:c r="F9" s="7"/>
      <x:c r="G9" s="1"/>
      <x:c r="H9" s="1"/>
    </x:row>
    <x:row r="10" spans="1:8" x14ac:dyDescent="0.25">
      <x:c r="A10" s="5">
        <x:v>1</x:v>
      </x:c>
      <x:c r="B10" s="38" t="s">
        <x:v>84</x:v>
      </x:c>
      <x:c r="C10" s="39"/>
      <x:c r="D10" s="39"/>
      <x:c r="E10" s="39"/>
      <x:c r="F10" s="39"/>
      <x:c r="G10" s="39"/>
      <x:c r="H10" s="39"/>
    </x:row>
    <x:row r="11" spans="1:8" x14ac:dyDescent="0.25">
      <x:c r="A11" s="5">
        <x:f t="shared" ref="A11:A37" si="0">+A10+1</x:f>
        <x:v>2</x:v>
      </x:c>
      <x:c r="B11" s="38" t="s">
        <x:v>44</x:v>
      </x:c>
      <x:c r="C11" s="40"/>
      <x:c r="D11" s="40"/>
      <x:c r="E11" s="40"/>
      <x:c r="F11" s="40"/>
      <x:c r="G11" s="40"/>
      <x:c r="H11" s="40"/>
    </x:row>
    <x:row r="12" spans="1:8" x14ac:dyDescent="0.25">
      <x:c r="A12" s="5">
        <x:f t="shared" si="0"/>
        <x:v>3</x:v>
      </x:c>
      <x:c r="B12" s="3"/>
      <x:c r="C12" s="9"/>
      <x:c r="D12" s="1"/>
      <x:c r="E12" s="1"/>
      <x:c r="F12" s="1"/>
      <x:c r="G12" s="1"/>
      <x:c r="H12" s="1"/>
    </x:row>
    <x:row r="13" spans="1:8" x14ac:dyDescent="0.25">
      <x:c r="A13" s="5">
        <x:f t="shared" si="0"/>
        <x:v>4</x:v>
      </x:c>
      <x:c r="B13" s="3"/>
      <x:c r="C13" s="9"/>
      <x:c r="D13" s="1"/>
      <x:c r="E13" s="1"/>
      <x:c r="F13" s="1"/>
      <x:c r="G13" s="1"/>
      <x:c r="H13" s="1"/>
    </x:row>
    <x:row r="14" spans="1:8" x14ac:dyDescent="0.25">
      <x:c r="A14" s="5">
        <x:f t="shared" si="0"/>
        <x:v>5</x:v>
      </x:c>
      <x:c r="B14" s="1"/>
      <x:c r="C14" s="1"/>
      <x:c r="D14" s="1"/>
      <x:c r="E14" s="1"/>
      <x:c r="F14" s="1"/>
      <x:c r="G14" s="1"/>
      <x:c r="H14" s="1"/>
    </x:row>
    <x:row r="15" spans="1:8" x14ac:dyDescent="0.25">
      <x:c r="A15" s="5">
        <x:f t="shared" si="0"/>
        <x:v>6</x:v>
      </x:c>
      <x:c r="B15" s="24"/>
      <x:c r="C15" s="24"/>
      <x:c r="D15" s="24"/>
      <x:c r="E15" s="24"/>
      <x:c r="F15" s="24"/>
      <x:c r="G15" s="1"/>
      <x:c r="H15" s="1"/>
    </x:row>
    <x:row r="16" spans="1:8" x14ac:dyDescent="0.25">
      <x:c r="A16" s="5">
        <x:f t="shared" si="0"/>
        <x:v>7</x:v>
      </x:c>
      <x:c r="F16" s="8"/>
    </x:row>
    <x:row r="17" spans="1:6" x14ac:dyDescent="0.25">
      <x:c r="A17" s="5">
        <x:f t="shared" si="0"/>
        <x:v>8</x:v>
      </x:c>
      <x:c r="F17" s="8"/>
    </x:row>
    <x:row r="18" spans="1:6" x14ac:dyDescent="0.25">
      <x:c r="A18" s="5">
        <x:f t="shared" si="0"/>
        <x:v>9</x:v>
      </x:c>
      <x:c r="F18" s="8"/>
    </x:row>
    <x:row r="19" spans="1:6" x14ac:dyDescent="0.25">
      <x:c r="A19" s="5">
        <x:f t="shared" si="0"/>
        <x:v>10</x:v>
      </x:c>
      <x:c r="F19" s="8"/>
    </x:row>
    <x:row r="20" spans="1:6" x14ac:dyDescent="0.25">
      <x:c r="A20" s="5">
        <x:f t="shared" si="0"/>
        <x:v>11</x:v>
      </x:c>
      <x:c r="F20" s="8"/>
    </x:row>
    <x:row r="21" spans="1:6" x14ac:dyDescent="0.25">
      <x:c r="A21" s="5">
        <x:f t="shared" si="0"/>
        <x:v>12</x:v>
      </x:c>
      <x:c r="F21" s="8"/>
    </x:row>
    <x:row r="22" spans="1:6" x14ac:dyDescent="0.25">
      <x:c r="A22" s="5">
        <x:f t="shared" si="0"/>
        <x:v>13</x:v>
      </x:c>
      <x:c r="F22" s="8"/>
    </x:row>
    <x:row r="23" spans="1:6" x14ac:dyDescent="0.25">
      <x:c r="A23" s="5">
        <x:f t="shared" si="0"/>
        <x:v>14</x:v>
      </x:c>
      <x:c r="F23" s="8"/>
    </x:row>
    <x:row r="24" spans="1:6" x14ac:dyDescent="0.25">
      <x:c r="A24" s="5">
        <x:f t="shared" si="0"/>
        <x:v>15</x:v>
      </x:c>
      <x:c r="F24" s="8"/>
    </x:row>
    <x:row r="25" spans="1:6" x14ac:dyDescent="0.25">
      <x:c r="A25" s="5">
        <x:f t="shared" si="0"/>
        <x:v>16</x:v>
      </x:c>
      <x:c r="F25" s="8"/>
    </x:row>
    <x:row r="26" spans="1:6" x14ac:dyDescent="0.25">
      <x:c r="A26" s="5">
        <x:f t="shared" si="0"/>
        <x:v>17</x:v>
      </x:c>
      <x:c r="F26" s="8"/>
    </x:row>
    <x:row r="27" spans="1:6" x14ac:dyDescent="0.25">
      <x:c r="A27" s="5">
        <x:f t="shared" si="0"/>
        <x:v>18</x:v>
      </x:c>
      <x:c r="F27" s="8"/>
    </x:row>
    <x:row r="28" spans="1:6" x14ac:dyDescent="0.25">
      <x:c r="A28" s="5">
        <x:f t="shared" si="0"/>
        <x:v>19</x:v>
      </x:c>
      <x:c r="F28" s="8"/>
    </x:row>
    <x:row r="29" spans="1:6" x14ac:dyDescent="0.25">
      <x:c r="A29" s="5">
        <x:f t="shared" si="0"/>
        <x:v>20</x:v>
      </x:c>
      <x:c r="F29" s="8"/>
    </x:row>
    <x:row r="30" spans="1:6" x14ac:dyDescent="0.25">
      <x:c r="A30" s="5">
        <x:f t="shared" si="0"/>
        <x:v>21</x:v>
      </x:c>
      <x:c r="F30" s="8"/>
    </x:row>
    <x:row r="31" spans="1:6" x14ac:dyDescent="0.25">
      <x:c r="A31" s="5">
        <x:f t="shared" si="0"/>
        <x:v>22</x:v>
      </x:c>
      <x:c r="F31" s="8"/>
    </x:row>
    <x:row r="32" spans="1:6" x14ac:dyDescent="0.25">
      <x:c r="A32" s="5">
        <x:f t="shared" si="0"/>
        <x:v>23</x:v>
      </x:c>
      <x:c r="F32" s="8"/>
    </x:row>
    <x:row r="33" spans="1:6" x14ac:dyDescent="0.25">
      <x:c r="A33" s="5">
        <x:f t="shared" si="0"/>
        <x:v>24</x:v>
      </x:c>
      <x:c r="F33" s="10"/>
    </x:row>
    <x:row r="34" spans="1:6" x14ac:dyDescent="0.25">
      <x:c r="A34" s="5">
        <x:f t="shared" si="0"/>
        <x:v>25</x:v>
      </x:c>
    </x:row>
    <x:row r="35" spans="1:6" x14ac:dyDescent="0.25">
      <x:c r="A35" s="5">
        <x:f t="shared" si="0"/>
        <x:v>26</x:v>
      </x:c>
    </x:row>
    <x:row r="36" spans="1:6" x14ac:dyDescent="0.25">
      <x:c r="A36" s="5">
        <x:f t="shared" si="0"/>
        <x:v>27</x:v>
      </x:c>
    </x:row>
    <x:row r="37" spans="1:6" x14ac:dyDescent="0.25">
      <x:c r="A37" s="5">
        <x:f t="shared" si="0"/>
        <x:v>28</x:v>
      </x:c>
    </x:row>
  </x:sheetData>
  <x:mergeCells count="8">
    <x:mergeCell ref="B10:H10"/>
    <x:mergeCell ref="B11:H11"/>
    <x:mergeCell ref="B1:H1"/>
    <x:mergeCell ref="B2:H2"/>
    <x:mergeCell ref="B3:H3"/>
    <x:mergeCell ref="B4:H4"/>
    <x:mergeCell ref="B6:H6"/>
    <x:mergeCell ref="B8:F8"/>
  </x:mergeCells>
  <x:pageMargins left="0.7" right="0.7" top="0.75" bottom="0.75" header="0.3" footer="0.3"/>
  <x:pageSetup scale="79" orientation="portrait" r:id="rId1"/>
  <x:headerFooter>
    <x:oddHeader xml:space="preserve">&amp;RSchedule II-H-2.1
Page  &amp;P of  27
</x:oddHeader>
  </x:headerFooter>
  <x:drawing r:id="rId2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Sheet6">
    <x:pageSetUpPr fitToPage="1"/>
  </x:sheetPr>
  <x:dimension ref="A1:F52"/>
  <x:sheetViews>
    <x:sheetView zoomScaleNormal="100" workbookViewId="0"/>
  </x:sheetViews>
  <x:sheetFormatPr defaultRowHeight="12.5" x14ac:dyDescent="0.25"/>
  <x:cols>
    <x:col min="1" max="1" width="9.36328125" bestFit="1" customWidth="1"/>
    <x:col min="2" max="2" width="26.90625" bestFit="1" customWidth="1"/>
    <x:col min="3" max="3" width="12.54296875" customWidth="1"/>
    <x:col min="4" max="5" width="9.36328125" bestFit="1" customWidth="1"/>
    <x:col min="6" max="6" width="9.36328125" customWidth="1"/>
  </x:cols>
  <x:sheetData>
    <x:row r="1" spans="1:6" s="1" customFormat="1" ht="15.5" x14ac:dyDescent="0.35">
      <x:c r="A1" s="5"/>
      <x:c r="B1" s="37" t="str">
        <x:f>+'RES Model'!B1:F1</x:f>
        <x:v xml:space="preserve">PUC DOCKET NO. </x:v>
      </x:c>
      <x:c r="C1" s="37"/>
      <x:c r="D1" s="37"/>
      <x:c r="E1" s="37"/>
      <x:c r="F1" s="37"/>
    </x:row>
    <x:row r="2" spans="1:6" s="1" customFormat="1" ht="15.5" x14ac:dyDescent="0.35">
      <x:c r="A2" s="5"/>
      <x:c r="B2" s="37" t="str">
        <x:f>+'RES Model'!B2:F2</x:f>
        <x:v>ONCOR ELECTRIC DELIVERY COMPANY LLC</x:v>
      </x:c>
      <x:c r="C2" s="37"/>
      <x:c r="D2" s="37"/>
      <x:c r="E2" s="37"/>
      <x:c r="F2" s="37"/>
    </x:row>
    <x:row r="3" spans="1:6" s="1" customFormat="1" ht="15.5" x14ac:dyDescent="0.35">
      <x:c r="A3" s="5"/>
      <x:c r="B3" s="37" t="str">
        <x:f>+'RES Model'!B3:F3</x:f>
        <x:v>MODEL INFORMATION</x:v>
      </x:c>
      <x:c r="C3" s="37"/>
      <x:c r="D3" s="37"/>
      <x:c r="E3" s="37"/>
      <x:c r="F3" s="37"/>
    </x:row>
    <x:row r="4" spans="1:6" s="1" customFormat="1" ht="15.5" x14ac:dyDescent="0.35">
      <x:c r="A4" s="5"/>
      <x:c r="B4" s="37" t="str">
        <x:f>+'RES Model'!B4:F4</x:f>
        <x:v>FOR THE TEST YEAR ENDING DECEMBER 31, 2024</x:v>
      </x:c>
      <x:c r="C4" s="37"/>
      <x:c r="D4" s="37"/>
      <x:c r="E4" s="37"/>
      <x:c r="F4" s="37"/>
    </x:row>
    <x:row r="5" spans="1:6" s="1" customFormat="1" ht="11.5" x14ac:dyDescent="0.25">
      <x:c r="A5" s="5"/>
    </x:row>
    <x:row r="6" spans="1:6" s="1" customFormat="1" ht="15.5" x14ac:dyDescent="0.35">
      <x:c r="A6" s="5"/>
      <x:c r="B6" s="37" t="str">
        <x:f>+'RES Model'!B6:F6</x:f>
        <x:v>SPONSOR: D. E. NELSON</x:v>
      </x:c>
      <x:c r="C6" s="37"/>
      <x:c r="D6" s="37"/>
      <x:c r="E6" s="37"/>
      <x:c r="F6" s="37"/>
    </x:row>
    <x:row r="8" spans="1:6" ht="15.5" x14ac:dyDescent="0.35">
      <x:c r="B8" s="37" t="s">
        <x:v>48</x:v>
      </x:c>
      <x:c r="C8" s="37"/>
      <x:c r="D8" s="37"/>
      <x:c r="E8" s="37"/>
      <x:c r="F8" s="37"/>
    </x:row>
    <x:row r="9" spans="1:6" s="1" customFormat="1" ht="11.5" x14ac:dyDescent="0.25">
      <x:c r="A9" s="5" t="s">
        <x:v>18</x:v>
      </x:c>
      <x:c r="B9" s="38"/>
      <x:c r="C9" s="38"/>
      <x:c r="D9" s="38"/>
      <x:c r="E9" s="38"/>
      <x:c r="F9" s="38"/>
    </x:row>
    <x:row r="10" spans="1:6" s="1" customFormat="1" ht="11.5" x14ac:dyDescent="0.25">
      <x:c r="A10" s="6" t="s">
        <x:v>19</x:v>
      </x:c>
      <x:c r="B10" s="7" t="s">
        <x:v>20</x:v>
      </x:c>
      <x:c r="C10" s="7" t="s">
        <x:v>21</x:v>
      </x:c>
      <x:c r="D10" s="7" t="s">
        <x:v>24</x:v>
      </x:c>
      <x:c r="E10" s="7" t="s">
        <x:v>22</x:v>
      </x:c>
      <x:c r="F10" s="7" t="s">
        <x:v>23</x:v>
      </x:c>
    </x:row>
    <x:row r="11" spans="1:6" s="1" customFormat="1" ht="11.5" x14ac:dyDescent="0.25">
      <x:c r="A11" s="5">
        <x:v>1</x:v>
      </x:c>
      <x:c r="B11" s="3" t="s">
        <x:v>45</x:v>
      </x:c>
      <x:c r="C11" s="3"/>
    </x:row>
    <x:row r="12" spans="1:6" s="1" customFormat="1" ht="11.5" x14ac:dyDescent="0.25">
      <x:c r="A12" s="5">
        <x:f t="shared" ref="A12:A52" si="0">+A11+1</x:f>
        <x:v>2</x:v>
      </x:c>
      <x:c r="B12" s="3" t="s">
        <x:v>5</x:v>
      </x:c>
      <x:c r="C12" s="3" t="s">
        <x:v>39</x:v>
      </x:c>
    </x:row>
    <x:row r="13" spans="1:6" s="1" customFormat="1" ht="11.5" x14ac:dyDescent="0.25">
      <x:c r="A13" s="5">
        <x:f t="shared" si="0"/>
        <x:v>3</x:v>
      </x:c>
      <x:c r="B13" s="3" t="s">
        <x:v>6</x:v>
      </x:c>
      <x:c r="C13" s="9">
        <x:f>+'RES Model'!C13</x:f>
        <x:v>40179</x:v>
      </x:c>
    </x:row>
    <x:row r="14" spans="1:6" s="1" customFormat="1" ht="11.5" x14ac:dyDescent="0.25">
      <x:c r="A14" s="5">
        <x:f t="shared" si="0"/>
        <x:v>4</x:v>
      </x:c>
      <x:c r="B14" s="3" t="s">
        <x:v>7</x:v>
      </x:c>
      <x:c r="C14" s="9">
        <x:f>+'RES Model'!C14</x:f>
        <x:v>45444</x:v>
      </x:c>
    </x:row>
    <x:row r="15" spans="1:6" s="1" customFormat="1" ht="11.5" x14ac:dyDescent="0.25">
      <x:c r="A15" s="5">
        <x:f t="shared" si="0"/>
        <x:v>5</x:v>
      </x:c>
    </x:row>
    <x:row r="16" spans="1:6" s="1" customFormat="1" x14ac:dyDescent="0.25">
      <x:c r="A16" s="5">
        <x:f t="shared" si="0"/>
        <x:v>6</x:v>
      </x:c>
      <x:c r="B16" s="18" t="s">
        <x:v>0</x:v>
      </x:c>
      <x:c r="C16" s="18" t="s">
        <x:v>1</x:v>
      </x:c>
      <x:c r="D16" s="18" t="s">
        <x:v>2</x:v>
      </x:c>
      <x:c r="E16" s="18" t="s">
        <x:v>3</x:v>
      </x:c>
      <x:c r="F16" s="18" t="s">
        <x:v>4</x:v>
      </x:c>
    </x:row>
    <x:row r="17" spans="1:6" x14ac:dyDescent="0.25">
      <x:c r="A17" s="5">
        <x:f t="shared" si="0"/>
        <x:v>7</x:v>
      </x:c>
      <x:c r="B17" t="s">
        <x:v>91</x:v>
      </x:c>
      <x:c r="C17" s="13">
        <x:v>1.889</x:v>
      </x:c>
      <x:c r="D17" s="13">
        <x:v>6.5000000000000002E-2</x:v>
      </x:c>
      <x:c r="E17" s="13">
        <x:v>29.207999999999998</x:v>
      </x:c>
      <x:c r="F17" s="14">
        <x:v>0</x:v>
      </x:c>
    </x:row>
    <x:row r="18" spans="1:6" x14ac:dyDescent="0.25">
      <x:c r="A18" s="5">
        <x:f t="shared" si="0"/>
        <x:v>8</x:v>
      </x:c>
      <x:c r="B18" t="s">
        <x:v>92</x:v>
      </x:c>
      <x:c r="C18" s="13">
        <x:v>2.101</x:v>
      </x:c>
      <x:c r="D18" s="13">
        <x:v>5.2999999999999999E-2</x:v>
      </x:c>
      <x:c r="E18" s="13">
        <x:v>39.325000000000003</x:v>
      </x:c>
      <x:c r="F18" s="14">
        <x:v>0</x:v>
      </x:c>
    </x:row>
    <x:row r="19" spans="1:6" x14ac:dyDescent="0.25">
      <x:c r="A19" s="5">
        <x:f t="shared" si="0"/>
        <x:v>9</x:v>
      </x:c>
      <x:c r="B19" t="s">
        <x:v>52</x:v>
      </x:c>
      <x:c r="C19" s="13">
        <x:v>0.53</x:v>
      </x:c>
      <x:c r="D19" s="13">
        <x:v>0.158</x:v>
      </x:c>
      <x:c r="E19" s="13">
        <x:v>3.351</x:v>
      </x:c>
      <x:c r="F19" s="14">
        <x:v>1E-3</x:v>
      </x:c>
    </x:row>
    <x:row r="20" spans="1:6" x14ac:dyDescent="0.25">
      <x:c r="A20" s="5">
        <x:f t="shared" si="0"/>
        <x:v>10</x:v>
      </x:c>
      <x:c r="B20" t="s">
        <x:v>28</x:v>
      </x:c>
      <x:c r="C20" s="13">
        <x:v>13.302</x:v>
      </x:c>
      <x:c r="D20" s="13">
        <x:v>4.1870000000000003</x:v>
      </x:c>
      <x:c r="E20" s="13">
        <x:v>3.177</x:v>
      </x:c>
      <x:c r="F20" s="14">
        <x:v>1.8E-3</x:v>
      </x:c>
    </x:row>
    <x:row r="21" spans="1:6" x14ac:dyDescent="0.25">
      <x:c r="A21" s="5">
        <x:f t="shared" si="0"/>
        <x:v>11</x:v>
      </x:c>
      <x:c r="B21" t="s">
        <x:v>29</x:v>
      </x:c>
      <x:c r="C21" s="13">
        <x:v>12.968999999999999</x:v>
      </x:c>
      <x:c r="D21" s="13">
        <x:v>4.1660000000000004</x:v>
      </x:c>
      <x:c r="E21" s="13">
        <x:v>3.113</x:v>
      </x:c>
      <x:c r="F21" s="14">
        <x:v>2.2000000000000001E-3</x:v>
      </x:c>
    </x:row>
    <x:row r="22" spans="1:6" x14ac:dyDescent="0.25">
      <x:c r="A22" s="5">
        <x:f t="shared" si="0"/>
        <x:v>12</x:v>
      </x:c>
      <x:c r="B22" t="s">
        <x:v>30</x:v>
      </x:c>
      <x:c r="C22" s="13">
        <x:v>11.997</x:v>
      </x:c>
      <x:c r="D22" s="13">
        <x:v>4.1289999999999996</x:v>
      </x:c>
      <x:c r="E22" s="13">
        <x:v>2.9060000000000001</x:v>
      </x:c>
      <x:c r="F22" s="14">
        <x:v>4.1999999999999997E-3</x:v>
      </x:c>
    </x:row>
    <x:row r="23" spans="1:6" x14ac:dyDescent="0.25">
      <x:c r="A23" s="5">
        <x:f t="shared" si="0"/>
        <x:v>13</x:v>
      </x:c>
      <x:c r="B23" t="s">
        <x:v>31</x:v>
      </x:c>
      <x:c r="C23" s="13">
        <x:v>11.401999999999999</x:v>
      </x:c>
      <x:c r="D23" s="13">
        <x:v>4.0599999999999996</x:v>
      </x:c>
      <x:c r="E23" s="13">
        <x:v>2.8079999999999998</x:v>
      </x:c>
      <x:c r="F23" s="14">
        <x:v>5.5999999999999999E-3</x:v>
      </x:c>
    </x:row>
    <x:row r="24" spans="1:6" x14ac:dyDescent="0.25">
      <x:c r="A24" s="5">
        <x:f t="shared" si="0"/>
        <x:v>14</x:v>
      </x:c>
      <x:c r="B24" t="s">
        <x:v>32</x:v>
      </x:c>
      <x:c r="C24" s="13">
        <x:v>12.167999999999999</x:v>
      </x:c>
      <x:c r="D24" s="13">
        <x:v>4.0549999999999997</x:v>
      </x:c>
      <x:c r="E24" s="13">
        <x:v>3.0009999999999999</x:v>
      </x:c>
      <x:c r="F24" s="14">
        <x:v>3.0999999999999999E-3</x:v>
      </x:c>
    </x:row>
    <x:row r="25" spans="1:6" x14ac:dyDescent="0.25">
      <x:c r="A25" s="5">
        <x:f t="shared" si="0"/>
        <x:v>15</x:v>
      </x:c>
      <x:c r="B25" t="s">
        <x:v>33</x:v>
      </x:c>
      <x:c r="C25" s="13">
        <x:v>14.435</x:v>
      </x:c>
      <x:c r="D25" s="13">
        <x:v>4.0979999999999999</x:v>
      </x:c>
      <x:c r="E25" s="13">
        <x:v>3.5230000000000001</x:v>
      </x:c>
      <x:c r="F25" s="14">
        <x:v>5.9999999999999995E-4</x:v>
      </x:c>
    </x:row>
    <x:row r="26" spans="1:6" x14ac:dyDescent="0.25">
      <x:c r="A26" s="5">
        <x:f t="shared" si="0"/>
        <x:v>16</x:v>
      </x:c>
      <x:c r="B26" t="s">
        <x:v>34</x:v>
      </x:c>
      <x:c r="C26" s="13">
        <x:v>16.289000000000001</x:v>
      </x:c>
      <x:c r="D26" s="13">
        <x:v>4.09</x:v>
      </x:c>
      <x:c r="E26" s="13">
        <x:v>3.9830000000000001</x:v>
      </x:c>
      <x:c r="F26" s="14">
        <x:v>1E-4</x:v>
      </x:c>
    </x:row>
    <x:row r="27" spans="1:6" x14ac:dyDescent="0.25">
      <x:c r="A27" s="5">
        <x:f t="shared" si="0"/>
        <x:v>17</x:v>
      </x:c>
      <x:c r="B27" t="s">
        <x:v>35</x:v>
      </x:c>
      <x:c r="C27" s="13">
        <x:v>16.547000000000001</x:v>
      </x:c>
      <x:c r="D27" s="13">
        <x:v>4.0979999999999999</x:v>
      </x:c>
      <x:c r="E27" s="13">
        <x:v>4.0380000000000003</x:v>
      </x:c>
      <x:c r="F27" s="14">
        <x:v>1E-4</x:v>
      </x:c>
    </x:row>
    <x:row r="28" spans="1:6" x14ac:dyDescent="0.25">
      <x:c r="A28" s="5">
        <x:f t="shared" si="0"/>
        <x:v>18</x:v>
      </x:c>
      <x:c r="B28" t="s">
        <x:v>36</x:v>
      </x:c>
      <x:c r="C28" s="13">
        <x:v>16.001999999999999</x:v>
      </x:c>
      <x:c r="D28" s="13">
        <x:v>4.0910000000000002</x:v>
      </x:c>
      <x:c r="E28" s="13">
        <x:v>3.9119999999999999</x:v>
      </x:c>
      <x:c r="F28" s="14">
        <x:v>1E-4</x:v>
      </x:c>
    </x:row>
    <x:row r="29" spans="1:6" x14ac:dyDescent="0.25">
      <x:c r="A29" s="5">
        <x:f t="shared" si="0"/>
        <x:v>19</x:v>
      </x:c>
      <x:c r="B29" t="s">
        <x:v>37</x:v>
      </x:c>
      <x:c r="C29" s="13">
        <x:v>14.536</x:v>
      </x:c>
      <x:c r="D29" s="13">
        <x:v>4.0549999999999997</x:v>
      </x:c>
      <x:c r="E29" s="13">
        <x:v>3.585</x:v>
      </x:c>
      <x:c r="F29" s="14">
        <x:v>5.0000000000000001E-4</x:v>
      </x:c>
    </x:row>
    <x:row r="30" spans="1:6" x14ac:dyDescent="0.25">
      <x:c r="A30" s="5">
        <x:f t="shared" si="0"/>
        <x:v>20</x:v>
      </x:c>
      <x:c r="B30" t="s">
        <x:v>38</x:v>
      </x:c>
      <x:c r="C30" s="13">
        <x:v>11.679</x:v>
      </x:c>
      <x:c r="D30" s="13">
        <x:v>4.056</x:v>
      </x:c>
      <x:c r="E30" s="13">
        <x:v>2.879</x:v>
      </x:c>
      <x:c r="F30" s="14">
        <x:v>4.5999999999999999E-3</x:v>
      </x:c>
    </x:row>
    <x:row r="31" spans="1:6" x14ac:dyDescent="0.25">
      <x:c r="A31" s="5">
        <x:f t="shared" si="0"/>
        <x:v>21</x:v>
      </x:c>
      <x:c r="B31" t="s">
        <x:v>41</x:v>
      </x:c>
      <x:c r="C31" s="13">
        <x:v>11.673999999999999</x:v>
      </x:c>
      <x:c r="D31" s="13">
        <x:v>4.1420000000000003</x:v>
      </x:c>
      <x:c r="E31" s="13">
        <x:v>2.8180000000000001</x:v>
      </x:c>
      <x:c r="F31" s="14">
        <x:v>5.4999999999999997E-3</x:v>
      </x:c>
    </x:row>
    <x:row r="32" spans="1:6" x14ac:dyDescent="0.25">
      <x:c r="A32" s="5">
        <x:f t="shared" si="0"/>
        <x:v>22</x:v>
      </x:c>
      <x:c r="B32" t="s">
        <x:v>93</x:v>
      </x:c>
      <x:c r="C32" s="13">
        <x:v>8.9999999999999993E-3</x:v>
      </x:c>
      <x:c r="D32" s="13">
        <x:v>5.0000000000000001E-3</x:v>
      </x:c>
      <x:c r="E32" s="13">
        <x:v>1.8480000000000001</x:v>
      </x:c>
      <x:c r="F32" s="14">
        <x:v>6.6500000000000004E-2</x:v>
      </x:c>
    </x:row>
    <x:row r="33" spans="1:6" x14ac:dyDescent="0.25">
      <x:c r="A33" s="5">
        <x:f t="shared" si="0"/>
        <x:v>23</x:v>
      </x:c>
      <x:c r="B33" t="s">
        <x:v>94</x:v>
      </x:c>
      <x:c r="C33" s="13">
        <x:v>7.0000000000000001E-3</x:v>
      </x:c>
      <x:c r="D33" s="13">
        <x:v>3.0000000000000001E-3</x:v>
      </x:c>
      <x:c r="E33" s="13">
        <x:v>2.294</x:v>
      </x:c>
      <x:c r="F33" s="14">
        <x:v>2.3099999999999999E-2</x:v>
      </x:c>
    </x:row>
    <x:row r="34" spans="1:6" x14ac:dyDescent="0.25">
      <x:c r="A34" s="5">
        <x:f t="shared" si="0"/>
        <x:v>24</x:v>
      </x:c>
      <x:c r="B34" t="s">
        <x:v>71</x:v>
      </x:c>
      <x:c r="C34" s="13">
        <x:v>-8.0000000000000002E-3</x:v>
      </x:c>
      <x:c r="D34" s="13">
        <x:v>1E-3</x:v>
      </x:c>
      <x:c r="E34" s="13">
        <x:v>-6.9420000000000002</x:v>
      </x:c>
      <x:c r="F34" s="14">
        <x:v>0</x:v>
      </x:c>
    </x:row>
    <x:row r="35" spans="1:6" x14ac:dyDescent="0.25">
      <x:c r="A35" s="5">
        <x:f t="shared" si="0"/>
        <x:v>25</x:v>
      </x:c>
      <x:c r="B35" s="28" t="s">
        <x:v>107</x:v>
      </x:c>
      <x:c r="C35" s="13">
        <x:v>1.9430000000000001</x:v>
      </x:c>
      <x:c r="D35" s="13">
        <x:v>0.35299999999999998</x:v>
      </x:c>
      <x:c r="E35" s="13">
        <x:v>5.5039999999999996</x:v>
      </x:c>
      <x:c r="F35" s="14">
        <x:v>0</x:v>
      </x:c>
    </x:row>
    <x:row r="36" spans="1:6" x14ac:dyDescent="0.25">
      <x:c r="A36" s="5">
        <x:f t="shared" si="0"/>
        <x:v>26</x:v>
      </x:c>
      <x:c r="F36" s="10"/>
    </x:row>
    <x:row r="37" spans="1:6" x14ac:dyDescent="0.25">
      <x:c r="A37" s="5">
        <x:f t="shared" si="0"/>
        <x:v>27</x:v>
      </x:c>
      <x:c r="B37" s="15" t="s">
        <x:v>53</x:v>
      </x:c>
      <x:c r="F37" s="10"/>
    </x:row>
    <x:row r="38" spans="1:6" x14ac:dyDescent="0.25">
      <x:c r="A38" s="5">
        <x:f t="shared" si="0"/>
        <x:v>28</x:v>
      </x:c>
      <x:c r="B38" t="s">
        <x:v>25</x:v>
      </x:c>
      <x:c r="C38" s="25">
        <x:v>174</x:v>
      </x:c>
      <x:c r="F38" s="8"/>
    </x:row>
    <x:row r="39" spans="1:6" x14ac:dyDescent="0.25">
      <x:c r="A39" s="5">
        <x:f t="shared" si="0"/>
        <x:v>29</x:v>
      </x:c>
      <x:c r="B39" t="s">
        <x:v>8</x:v>
      </x:c>
      <x:c r="C39" s="25">
        <x:v>155</x:v>
      </x:c>
      <x:c r="F39" s="8"/>
    </x:row>
    <x:row r="40" spans="1:6" x14ac:dyDescent="0.25">
      <x:c r="A40" s="5">
        <x:f t="shared" si="0"/>
        <x:v>30</x:v>
      </x:c>
      <x:c r="B40" t="s">
        <x:v>9</x:v>
      </x:c>
      <x:c r="C40" s="30">
        <x:v>0.996</x:v>
      </x:c>
      <x:c r="F40" s="8"/>
    </x:row>
    <x:row r="41" spans="1:6" x14ac:dyDescent="0.25">
      <x:c r="A41" s="5">
        <x:f t="shared" si="0"/>
        <x:v>31</x:v>
      </x:c>
      <x:c r="B41" t="s">
        <x:v>10</x:v>
      </x:c>
      <x:c r="C41" s="30">
        <x:v>0.995</x:v>
      </x:c>
      <x:c r="F41" s="8"/>
    </x:row>
    <x:row r="42" spans="1:6" x14ac:dyDescent="0.25">
      <x:c r="A42" s="5">
        <x:f t="shared" si="0"/>
        <x:v>32</x:v>
      </x:c>
      <x:c r="B42" t="s">
        <x:v>12</x:v>
      </x:c>
      <x:c r="C42" s="33">
        <x:v>2111.0729999999999</x:v>
      </x:c>
      <x:c r="F42" s="8"/>
    </x:row>
    <x:row r="43" spans="1:6" x14ac:dyDescent="0.25">
      <x:c r="A43" s="5">
        <x:f t="shared" si="0"/>
        <x:v>33</x:v>
      </x:c>
      <x:c r="B43" t="s">
        <x:v>13</x:v>
      </x:c>
      <x:c r="C43" s="34">
        <x:v>0</x:v>
      </x:c>
      <x:c r="F43" s="8"/>
    </x:row>
    <x:row r="44" spans="1:6" x14ac:dyDescent="0.25">
      <x:c r="A44" s="5">
        <x:f t="shared" si="0"/>
        <x:v>34</x:v>
      </x:c>
      <x:c r="B44" t="s">
        <x:v>14</x:v>
      </x:c>
      <x:c r="C44" s="21">
        <x:v>19715.7</x:v>
      </x:c>
    </x:row>
    <x:row r="45" spans="1:6" x14ac:dyDescent="0.25">
      <x:c r="A45" s="5">
        <x:f t="shared" si="0"/>
        <x:v>35</x:v>
      </x:c>
      <x:c r="B45" t="s">
        <x:v>15</x:v>
      </x:c>
      <x:c r="C45" s="21">
        <x:v>80.42</x:v>
      </x:c>
      <x:c r="F45" s="8"/>
    </x:row>
    <x:row r="46" spans="1:6" x14ac:dyDescent="0.25">
      <x:c r="A46" s="5">
        <x:f t="shared" si="0"/>
        <x:v>36</x:v>
      </x:c>
      <x:c r="B46" t="s">
        <x:v>16</x:v>
      </x:c>
      <x:c r="C46">
        <x:v>0.52</x:v>
      </x:c>
      <x:c r="F46" s="8"/>
    </x:row>
    <x:row r="47" spans="1:6" x14ac:dyDescent="0.25">
      <x:c r="A47" s="5">
        <x:f t="shared" si="0"/>
        <x:v>37</x:v>
      </x:c>
      <x:c r="B47" t="s">
        <x:v>17</x:v>
      </x:c>
      <x:c r="C47">
        <x:v>0.72</x:v>
      </x:c>
      <x:c r="F47" s="8"/>
    </x:row>
    <x:row r="48" spans="1:6" x14ac:dyDescent="0.25">
      <x:c r="A48" s="5">
        <x:f t="shared" si="0"/>
        <x:v>38</x:v>
      </x:c>
      <x:c r="B48" t="s">
        <x:v>75</x:v>
      </x:c>
      <x:c r="C48" s="23">
        <x:v>0.52</x:v>
      </x:c>
    </x:row>
    <x:row r="49" spans="1:3" x14ac:dyDescent="0.25">
      <x:c r="A49" s="5">
        <x:f t="shared" si="0"/>
        <x:v>39</x:v>
      </x:c>
      <x:c r="B49" t="s">
        <x:v>76</x:v>
      </x:c>
      <x:c r="C49" s="8">
        <x:v>1.34E-2</x:v>
      </x:c>
    </x:row>
    <x:row r="50" spans="1:3" x14ac:dyDescent="0.25">
      <x:c r="A50" s="5">
        <x:f t="shared" si="0"/>
        <x:v>40</x:v>
      </x:c>
      <x:c r="B50" t="s">
        <x:v>11</x:v>
      </x:c>
      <x:c r="C50">
        <x:v>1.0269999999999999</x:v>
      </x:c>
    </x:row>
    <x:row r="51" spans="1:3" x14ac:dyDescent="0.25">
      <x:c r="A51" s="5">
        <x:f t="shared" si="0"/>
        <x:v>41</x:v>
      </x:c>
      <x:c r="B51" t="s">
        <x:v>61</x:v>
      </x:c>
      <x:c r="C51">
        <x:v>69.77</x:v>
      </x:c>
    </x:row>
    <x:row r="52" spans="1:3" x14ac:dyDescent="0.25">
      <x:c r="A52" s="5">
        <x:f t="shared" si="0"/>
        <x:v>42</x:v>
      </x:c>
      <x:c r="B52" t="s">
        <x:v>62</x:v>
      </x:c>
      <x:c r="C52" s="23">
        <x:v>0</x:v>
      </x:c>
    </x:row>
  </x:sheetData>
  <x:mergeCells count="7">
    <x:mergeCell ref="B6:F6"/>
    <x:mergeCell ref="B9:F9"/>
    <x:mergeCell ref="B1:F1"/>
    <x:mergeCell ref="B2:F2"/>
    <x:mergeCell ref="B3:F3"/>
    <x:mergeCell ref="B4:F4"/>
    <x:mergeCell ref="B8:F8"/>
  </x:mergeCells>
  <x:phoneticPr fontId="3" type="noConversion"/>
  <x:pageMargins left="0.7" right="0.7" top="0.75" bottom="0.75" header="0.3" footer="0.3"/>
  <x:pageSetup firstPageNumber="8" orientation="portrait" r:id="rId1"/>
  <x:headerFooter>
    <x:oddHeader xml:space="preserve">&amp;RSchedule II-H-2.1
Page  &amp;P of  27
</x:oddHeader>
  </x:headerFooter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>
    <x:pageSetUpPr fitToPage="1"/>
  </x:sheetPr>
  <x:dimension ref="A1:H37"/>
  <x:sheetViews>
    <x:sheetView workbookViewId="0"/>
  </x:sheetViews>
  <x:sheetFormatPr defaultRowHeight="12.5" x14ac:dyDescent="0.25"/>
  <x:cols>
    <x:col min="2" max="2" width="21.90625" customWidth="1"/>
    <x:col min="3" max="3" width="14.90625" customWidth="1"/>
    <x:col min="4" max="4" width="17.36328125" customWidth="1"/>
    <x:col min="5" max="5" width="15.1796875" customWidth="1"/>
    <x:col min="6" max="6" width="16.81640625" customWidth="1"/>
    <x:col min="7" max="7" width="11" customWidth="1"/>
  </x:cols>
  <x:sheetData>
    <x:row r="1" spans="1:8" ht="15.5" x14ac:dyDescent="0.25">
      <x:c r="A1" s="5"/>
      <x:c r="B1" s="41" t="str">
        <x:f>+'RES Model'!B1:F1</x:f>
        <x:v xml:space="preserve">PUC DOCKET NO. </x:v>
      </x:c>
      <x:c r="C1" s="39"/>
      <x:c r="D1" s="39"/>
      <x:c r="E1" s="39"/>
      <x:c r="F1" s="39"/>
      <x:c r="G1" s="39"/>
      <x:c r="H1" s="39"/>
    </x:row>
    <x:row r="2" spans="1:8" ht="15.5" x14ac:dyDescent="0.35">
      <x:c r="A2" s="5"/>
      <x:c r="B2" s="37" t="str">
        <x:f>+'RES Model'!B2:F2</x:f>
        <x:v>ONCOR ELECTRIC DELIVERY COMPANY LLC</x:v>
      </x:c>
      <x:c r="C2" s="39"/>
      <x:c r="D2" s="39"/>
      <x:c r="E2" s="39"/>
      <x:c r="F2" s="39"/>
      <x:c r="G2" s="39"/>
      <x:c r="H2" s="39"/>
    </x:row>
    <x:row r="3" spans="1:8" ht="15.5" x14ac:dyDescent="0.35">
      <x:c r="A3" s="5"/>
      <x:c r="B3" s="37" t="str">
        <x:f>+'RES Model'!B3:F3</x:f>
        <x:v>MODEL INFORMATION</x:v>
      </x:c>
      <x:c r="C3" s="39"/>
      <x:c r="D3" s="39"/>
      <x:c r="E3" s="39"/>
      <x:c r="F3" s="39"/>
      <x:c r="G3" s="39"/>
      <x:c r="H3" s="39"/>
    </x:row>
    <x:row r="4" spans="1:8" ht="15.5" x14ac:dyDescent="0.35">
      <x:c r="A4" s="5"/>
      <x:c r="B4" s="37" t="str">
        <x:f>+'RES Model'!B4:F4</x:f>
        <x:v>FOR THE TEST YEAR ENDING DECEMBER 31, 2024</x:v>
      </x:c>
      <x:c r="C4" s="39"/>
      <x:c r="D4" s="39"/>
      <x:c r="E4" s="39"/>
      <x:c r="F4" s="39"/>
      <x:c r="G4" s="39"/>
      <x:c r="H4" s="39"/>
    </x:row>
    <x:row r="5" spans="1:8" x14ac:dyDescent="0.25">
      <x:c r="A5" s="5"/>
      <x:c r="B5" s="1"/>
      <x:c r="C5" s="1"/>
      <x:c r="D5" s="1"/>
      <x:c r="E5" s="1"/>
      <x:c r="F5" s="1"/>
      <x:c r="G5" s="1"/>
      <x:c r="H5" s="1"/>
    </x:row>
    <x:row r="6" spans="1:8" ht="15.5" x14ac:dyDescent="0.35">
      <x:c r="A6" s="5"/>
      <x:c r="B6" s="37" t="str">
        <x:f>+'RES Model'!B6:F6</x:f>
        <x:v>SPONSOR: D. E. NELSON</x:v>
      </x:c>
      <x:c r="C6" s="39"/>
      <x:c r="D6" s="39"/>
      <x:c r="E6" s="39"/>
      <x:c r="F6" s="39"/>
      <x:c r="G6" s="39"/>
      <x:c r="H6" s="39"/>
    </x:row>
    <x:row r="8" spans="1:8" x14ac:dyDescent="0.25">
      <x:c r="A8" s="5" t="s">
        <x:v>18</x:v>
      </x:c>
      <x:c r="B8" s="38"/>
      <x:c r="C8" s="38"/>
      <x:c r="D8" s="38"/>
      <x:c r="E8" s="38"/>
      <x:c r="F8" s="38"/>
      <x:c r="G8" s="1"/>
      <x:c r="H8" s="1"/>
    </x:row>
    <x:row r="9" spans="1:8" x14ac:dyDescent="0.25">
      <x:c r="A9" s="6" t="s">
        <x:v>19</x:v>
      </x:c>
      <x:c r="B9" s="7"/>
      <x:c r="C9" s="7"/>
      <x:c r="D9" s="7"/>
      <x:c r="E9" s="7"/>
      <x:c r="F9" s="7"/>
      <x:c r="G9" s="1"/>
      <x:c r="H9" s="1"/>
    </x:row>
    <x:row r="10" spans="1:8" x14ac:dyDescent="0.25">
      <x:c r="A10" s="5">
        <x:v>1</x:v>
      </x:c>
      <x:c r="B10" s="38" t="s">
        <x:v>64</x:v>
      </x:c>
      <x:c r="C10" s="39"/>
      <x:c r="D10" s="39"/>
      <x:c r="E10" s="39"/>
      <x:c r="F10" s="39"/>
      <x:c r="G10" s="39"/>
      <x:c r="H10" s="39"/>
    </x:row>
    <x:row r="11" spans="1:8" x14ac:dyDescent="0.25">
      <x:c r="A11" s="5">
        <x:f t="shared" ref="A11:A37" si="0">+A10+1</x:f>
        <x:v>2</x:v>
      </x:c>
      <x:c r="B11" s="38" t="s">
        <x:v>45</x:v>
      </x:c>
      <x:c r="C11" s="40"/>
      <x:c r="D11" s="40"/>
      <x:c r="E11" s="40"/>
      <x:c r="F11" s="40"/>
      <x:c r="G11" s="40"/>
      <x:c r="H11" s="40"/>
    </x:row>
    <x:row r="12" spans="1:8" x14ac:dyDescent="0.25">
      <x:c r="A12" s="5">
        <x:f t="shared" si="0"/>
        <x:v>3</x:v>
      </x:c>
      <x:c r="B12" s="3"/>
      <x:c r="C12" s="9"/>
      <x:c r="D12" s="1"/>
      <x:c r="E12" s="1"/>
      <x:c r="F12" s="1"/>
      <x:c r="G12" s="1"/>
      <x:c r="H12" s="1"/>
    </x:row>
    <x:row r="13" spans="1:8" x14ac:dyDescent="0.25">
      <x:c r="A13" s="5">
        <x:f t="shared" si="0"/>
        <x:v>4</x:v>
      </x:c>
      <x:c r="B13" s="3"/>
      <x:c r="C13" s="9"/>
      <x:c r="D13" s="1"/>
      <x:c r="E13" s="1"/>
      <x:c r="F13" s="1"/>
      <x:c r="G13" s="1"/>
      <x:c r="H13" s="1"/>
    </x:row>
    <x:row r="14" spans="1:8" x14ac:dyDescent="0.25">
      <x:c r="A14" s="5">
        <x:f t="shared" si="0"/>
        <x:v>5</x:v>
      </x:c>
      <x:c r="B14" s="1"/>
      <x:c r="C14" s="1"/>
      <x:c r="D14" s="1"/>
      <x:c r="E14" s="1"/>
      <x:c r="F14" s="1"/>
      <x:c r="G14" s="1"/>
      <x:c r="H14" s="1"/>
    </x:row>
    <x:row r="15" spans="1:8" x14ac:dyDescent="0.25">
      <x:c r="A15" s="5">
        <x:f t="shared" si="0"/>
        <x:v>6</x:v>
      </x:c>
      <x:c r="B15" s="24"/>
      <x:c r="C15" s="24"/>
      <x:c r="D15" s="24"/>
      <x:c r="E15" s="24"/>
      <x:c r="F15" s="24"/>
      <x:c r="G15" s="1"/>
      <x:c r="H15" s="1"/>
    </x:row>
    <x:row r="16" spans="1:8" x14ac:dyDescent="0.25">
      <x:c r="A16" s="5">
        <x:f t="shared" si="0"/>
        <x:v>7</x:v>
      </x:c>
      <x:c r="F16" s="8"/>
    </x:row>
    <x:row r="17" spans="1:6" x14ac:dyDescent="0.25">
      <x:c r="A17" s="5">
        <x:f t="shared" si="0"/>
        <x:v>8</x:v>
      </x:c>
      <x:c r="F17" s="8"/>
    </x:row>
    <x:row r="18" spans="1:6" x14ac:dyDescent="0.25">
      <x:c r="A18" s="5">
        <x:f t="shared" si="0"/>
        <x:v>9</x:v>
      </x:c>
      <x:c r="F18" s="8"/>
    </x:row>
    <x:row r="19" spans="1:6" x14ac:dyDescent="0.25">
      <x:c r="A19" s="5">
        <x:f t="shared" si="0"/>
        <x:v>10</x:v>
      </x:c>
      <x:c r="F19" s="8"/>
    </x:row>
    <x:row r="20" spans="1:6" x14ac:dyDescent="0.25">
      <x:c r="A20" s="5">
        <x:f t="shared" si="0"/>
        <x:v>11</x:v>
      </x:c>
      <x:c r="F20" s="8"/>
    </x:row>
    <x:row r="21" spans="1:6" x14ac:dyDescent="0.25">
      <x:c r="A21" s="5">
        <x:f t="shared" si="0"/>
        <x:v>12</x:v>
      </x:c>
      <x:c r="F21" s="8"/>
    </x:row>
    <x:row r="22" spans="1:6" x14ac:dyDescent="0.25">
      <x:c r="A22" s="5">
        <x:f t="shared" si="0"/>
        <x:v>13</x:v>
      </x:c>
      <x:c r="F22" s="8"/>
    </x:row>
    <x:row r="23" spans="1:6" x14ac:dyDescent="0.25">
      <x:c r="A23" s="5">
        <x:f t="shared" si="0"/>
        <x:v>14</x:v>
      </x:c>
      <x:c r="F23" s="8"/>
    </x:row>
    <x:row r="24" spans="1:6" x14ac:dyDescent="0.25">
      <x:c r="A24" s="5">
        <x:f t="shared" si="0"/>
        <x:v>15</x:v>
      </x:c>
      <x:c r="F24" s="8"/>
    </x:row>
    <x:row r="25" spans="1:6" x14ac:dyDescent="0.25">
      <x:c r="A25" s="5">
        <x:f t="shared" si="0"/>
        <x:v>16</x:v>
      </x:c>
      <x:c r="F25" s="8"/>
    </x:row>
    <x:row r="26" spans="1:6" x14ac:dyDescent="0.25">
      <x:c r="A26" s="5">
        <x:f t="shared" si="0"/>
        <x:v>17</x:v>
      </x:c>
      <x:c r="F26" s="8"/>
    </x:row>
    <x:row r="27" spans="1:6" x14ac:dyDescent="0.25">
      <x:c r="A27" s="5">
        <x:f t="shared" si="0"/>
        <x:v>18</x:v>
      </x:c>
      <x:c r="F27" s="8"/>
    </x:row>
    <x:row r="28" spans="1:6" x14ac:dyDescent="0.25">
      <x:c r="A28" s="5">
        <x:f t="shared" si="0"/>
        <x:v>19</x:v>
      </x:c>
      <x:c r="F28" s="8"/>
    </x:row>
    <x:row r="29" spans="1:6" x14ac:dyDescent="0.25">
      <x:c r="A29" s="5">
        <x:f t="shared" si="0"/>
        <x:v>20</x:v>
      </x:c>
      <x:c r="F29" s="8"/>
    </x:row>
    <x:row r="30" spans="1:6" x14ac:dyDescent="0.25">
      <x:c r="A30" s="5">
        <x:f t="shared" si="0"/>
        <x:v>21</x:v>
      </x:c>
      <x:c r="F30" s="8"/>
    </x:row>
    <x:row r="31" spans="1:6" x14ac:dyDescent="0.25">
      <x:c r="A31" s="5">
        <x:f t="shared" si="0"/>
        <x:v>22</x:v>
      </x:c>
      <x:c r="F31" s="8"/>
    </x:row>
    <x:row r="32" spans="1:6" x14ac:dyDescent="0.25">
      <x:c r="A32" s="5">
        <x:f t="shared" si="0"/>
        <x:v>23</x:v>
      </x:c>
      <x:c r="F32" s="8"/>
    </x:row>
    <x:row r="33" spans="1:6" x14ac:dyDescent="0.25">
      <x:c r="A33" s="5">
        <x:f t="shared" si="0"/>
        <x:v>24</x:v>
      </x:c>
      <x:c r="F33" s="10"/>
    </x:row>
    <x:row r="34" spans="1:6" x14ac:dyDescent="0.25">
      <x:c r="A34" s="5">
        <x:f t="shared" si="0"/>
        <x:v>25</x:v>
      </x:c>
    </x:row>
    <x:row r="35" spans="1:6" x14ac:dyDescent="0.25">
      <x:c r="A35" s="5">
        <x:f t="shared" si="0"/>
        <x:v>26</x:v>
      </x:c>
    </x:row>
    <x:row r="36" spans="1:6" x14ac:dyDescent="0.25">
      <x:c r="A36" s="5">
        <x:f t="shared" si="0"/>
        <x:v>27</x:v>
      </x:c>
    </x:row>
    <x:row r="37" spans="1:6" x14ac:dyDescent="0.25">
      <x:c r="A37" s="5">
        <x:f t="shared" si="0"/>
        <x:v>28</x:v>
      </x:c>
    </x:row>
  </x:sheetData>
  <x:mergeCells count="8">
    <x:mergeCell ref="B10:H10"/>
    <x:mergeCell ref="B11:H11"/>
    <x:mergeCell ref="B8:F8"/>
    <x:mergeCell ref="B1:H1"/>
    <x:mergeCell ref="B2:H2"/>
    <x:mergeCell ref="B3:H3"/>
    <x:mergeCell ref="B4:H4"/>
    <x:mergeCell ref="B6:H6"/>
  </x:mergeCells>
  <x:pageMargins left="0.7" right="0.7" top="0.75" bottom="0.75" header="0.3" footer="0.3"/>
  <x:pageSetup scale="80" firstPageNumber="8" orientation="portrait" r:id="rId1"/>
  <x:headerFooter>
    <x:oddHeader xml:space="preserve">&amp;RSchedule II-H-2.1
Page  &amp;P of  27
</x:oddHeader>
  </x:headerFooter>
  <x:drawing r:id="rId2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>
    <x:pageSetUpPr fitToPage="1"/>
  </x:sheetPr>
  <x:dimension ref="A1:F49"/>
  <x:sheetViews>
    <x:sheetView zoomScaleNormal="100" workbookViewId="0"/>
  </x:sheetViews>
  <x:sheetFormatPr defaultRowHeight="12.5" x14ac:dyDescent="0.25"/>
  <x:cols>
    <x:col min="2" max="2" width="31.6328125" customWidth="1"/>
    <x:col min="3" max="3" width="13.08984375" customWidth="1"/>
    <x:col min="4" max="4" width="12.08984375" customWidth="1"/>
    <x:col min="5" max="5" width="10.453125" customWidth="1"/>
    <x:col min="6" max="6" width="10.6328125" customWidth="1"/>
  </x:cols>
  <x:sheetData>
    <x:row r="1" spans="1:6" s="1" customFormat="1" ht="15.5" x14ac:dyDescent="0.35">
      <x:c r="A1" s="5"/>
      <x:c r="B1" s="37" t="str">
        <x:f>+'RES Model'!B1:F1</x:f>
        <x:v xml:space="preserve">PUC DOCKET NO. </x:v>
      </x:c>
      <x:c r="C1" s="37"/>
      <x:c r="D1" s="37"/>
      <x:c r="E1" s="37"/>
      <x:c r="F1" s="37"/>
    </x:row>
    <x:row r="2" spans="1:6" s="1" customFormat="1" ht="15.5" x14ac:dyDescent="0.35">
      <x:c r="A2" s="5"/>
      <x:c r="B2" s="37" t="str">
        <x:f>+'RES Model'!B2:F2</x:f>
        <x:v>ONCOR ELECTRIC DELIVERY COMPANY LLC</x:v>
      </x:c>
      <x:c r="C2" s="37"/>
      <x:c r="D2" s="37"/>
      <x:c r="E2" s="37"/>
      <x:c r="F2" s="37"/>
    </x:row>
    <x:row r="3" spans="1:6" s="1" customFormat="1" ht="15.5" x14ac:dyDescent="0.35">
      <x:c r="A3" s="5"/>
      <x:c r="B3" s="37" t="str">
        <x:f>+'RES Model'!B3:F3</x:f>
        <x:v>MODEL INFORMATION</x:v>
      </x:c>
      <x:c r="C3" s="37"/>
      <x:c r="D3" s="37"/>
      <x:c r="E3" s="37"/>
      <x:c r="F3" s="37"/>
    </x:row>
    <x:row r="4" spans="1:6" s="1" customFormat="1" ht="15.5" x14ac:dyDescent="0.35">
      <x:c r="A4" s="5"/>
      <x:c r="B4" s="37" t="str">
        <x:f>+'RES Model'!B4:F4</x:f>
        <x:v>FOR THE TEST YEAR ENDING DECEMBER 31, 2024</x:v>
      </x:c>
      <x:c r="C4" s="37"/>
      <x:c r="D4" s="37"/>
      <x:c r="E4" s="37"/>
      <x:c r="F4" s="37"/>
    </x:row>
    <x:row r="5" spans="1:6" s="1" customFormat="1" ht="11.5" x14ac:dyDescent="0.25">
      <x:c r="A5" s="5"/>
    </x:row>
    <x:row r="6" spans="1:6" s="1" customFormat="1" ht="15.5" x14ac:dyDescent="0.35">
      <x:c r="A6" s="5"/>
      <x:c r="B6" s="37" t="str">
        <x:f>+'RES Model'!B6:F6</x:f>
        <x:v>SPONSOR: D. E. NELSON</x:v>
      </x:c>
      <x:c r="C6" s="37"/>
      <x:c r="D6" s="37"/>
      <x:c r="E6" s="37"/>
      <x:c r="F6" s="37"/>
    </x:row>
    <x:row r="8" spans="1:6" ht="15.5" x14ac:dyDescent="0.35">
      <x:c r="B8" s="37" t="s">
        <x:v>49</x:v>
      </x:c>
      <x:c r="C8" s="37"/>
      <x:c r="D8" s="37"/>
      <x:c r="E8" s="37"/>
      <x:c r="F8" s="37"/>
    </x:row>
    <x:row r="9" spans="1:6" s="1" customFormat="1" ht="11.5" x14ac:dyDescent="0.25">
      <x:c r="A9" s="5" t="s">
        <x:v>18</x:v>
      </x:c>
      <x:c r="B9" s="38"/>
      <x:c r="C9" s="38"/>
      <x:c r="D9" s="38"/>
      <x:c r="E9" s="38"/>
      <x:c r="F9" s="38"/>
    </x:row>
    <x:row r="10" spans="1:6" s="1" customFormat="1" ht="11.5" x14ac:dyDescent="0.25">
      <x:c r="A10" s="6" t="s">
        <x:v>19</x:v>
      </x:c>
      <x:c r="B10" s="7" t="s">
        <x:v>20</x:v>
      </x:c>
      <x:c r="C10" s="7" t="s">
        <x:v>21</x:v>
      </x:c>
      <x:c r="D10" s="7" t="s">
        <x:v>24</x:v>
      </x:c>
      <x:c r="E10" s="7" t="s">
        <x:v>22</x:v>
      </x:c>
      <x:c r="F10" s="7" t="s">
        <x:v>23</x:v>
      </x:c>
    </x:row>
    <x:row r="11" spans="1:6" s="1" customFormat="1" ht="11.5" x14ac:dyDescent="0.25">
      <x:c r="A11" s="5">
        <x:v>1</x:v>
      </x:c>
      <x:c r="B11" s="3" t="s">
        <x:v>45</x:v>
      </x:c>
      <x:c r="C11" s="3"/>
    </x:row>
    <x:row r="12" spans="1:6" s="1" customFormat="1" ht="11.5" x14ac:dyDescent="0.25">
      <x:c r="A12" s="5">
        <x:f t="shared" ref="A12:A49" si="0">+A11+1</x:f>
        <x:v>2</x:v>
      </x:c>
      <x:c r="B12" s="3" t="s">
        <x:v>5</x:v>
      </x:c>
      <x:c r="C12" s="3" t="s">
        <x:v>40</x:v>
      </x:c>
    </x:row>
    <x:row r="13" spans="1:6" s="1" customFormat="1" ht="11.5" x14ac:dyDescent="0.25">
      <x:c r="A13" s="5">
        <x:f t="shared" si="0"/>
        <x:v>3</x:v>
      </x:c>
      <x:c r="B13" s="3" t="s">
        <x:v>6</x:v>
      </x:c>
      <x:c r="C13" s="9">
        <x:f>+'RES Model'!C13</x:f>
        <x:v>40179</x:v>
      </x:c>
    </x:row>
    <x:row r="14" spans="1:6" s="1" customFormat="1" ht="11.5" x14ac:dyDescent="0.25">
      <x:c r="A14" s="5">
        <x:f t="shared" si="0"/>
        <x:v>4</x:v>
      </x:c>
      <x:c r="B14" s="3" t="s">
        <x:v>7</x:v>
      </x:c>
      <x:c r="C14" s="9">
        <x:f>+'RES Model'!C14</x:f>
        <x:v>45444</x:v>
      </x:c>
    </x:row>
    <x:row r="15" spans="1:6" s="1" customFormat="1" ht="11.5" x14ac:dyDescent="0.25">
      <x:c r="A15" s="5">
        <x:f t="shared" si="0"/>
        <x:v>5</x:v>
      </x:c>
    </x:row>
    <x:row r="16" spans="1:6" s="1" customFormat="1" ht="11.5" x14ac:dyDescent="0.25">
      <x:c r="A16" s="5">
        <x:f t="shared" si="0"/>
        <x:v>6</x:v>
      </x:c>
      <x:c r="B16" s="4" t="s">
        <x:v>0</x:v>
      </x:c>
      <x:c r="C16" s="4" t="s">
        <x:v>1</x:v>
      </x:c>
      <x:c r="D16" s="4" t="s">
        <x:v>2</x:v>
      </x:c>
      <x:c r="E16" s="4" t="s">
        <x:v>3</x:v>
      </x:c>
      <x:c r="F16" s="4" t="s">
        <x:v>4</x:v>
      </x:c>
    </x:row>
    <x:row r="17" spans="1:6" x14ac:dyDescent="0.25">
      <x:c r="A17" s="5">
        <x:f t="shared" si="0"/>
        <x:v>7</x:v>
      </x:c>
      <x:c r="B17" t="s">
        <x:v>95</x:v>
      </x:c>
      <x:c r="C17" s="13">
        <x:v>0.42299999999999999</x:v>
      </x:c>
      <x:c r="D17" s="13">
        <x:v>5.2999999999999999E-2</x:v>
      </x:c>
      <x:c r="E17" s="13">
        <x:v>7.9690000000000003</x:v>
      </x:c>
      <x:c r="F17" s="14">
        <x:v>0</x:v>
      </x:c>
    </x:row>
    <x:row r="18" spans="1:6" x14ac:dyDescent="0.25">
      <x:c r="A18" s="5">
        <x:f t="shared" si="0"/>
        <x:v>8</x:v>
      </x:c>
      <x:c r="B18" t="s">
        <x:v>96</x:v>
      </x:c>
      <x:c r="C18" s="13">
        <x:v>0.153</x:v>
      </x:c>
      <x:c r="D18" s="13">
        <x:v>4.9000000000000002E-2</x:v>
      </x:c>
      <x:c r="E18" s="13">
        <x:v>3.133</x:v>
      </x:c>
      <x:c r="F18" s="14">
        <x:v>2.0999999999999999E-3</x:v>
      </x:c>
    </x:row>
    <x:row r="19" spans="1:6" x14ac:dyDescent="0.25">
      <x:c r="A19" s="5">
        <x:f t="shared" si="0"/>
        <x:v>9</x:v>
      </x:c>
      <x:c r="B19" t="s">
        <x:v>72</x:v>
      </x:c>
      <x:c r="C19" s="13">
        <x:v>-4.8000000000000001E-2</x:v>
      </x:c>
      <x:c r="D19" s="13">
        <x:v>7.0000000000000001E-3</x:v>
      </x:c>
      <x:c r="E19" s="13">
        <x:v>-6.9320000000000004</x:v>
      </x:c>
      <x:c r="F19" s="14">
        <x:v>0</x:v>
      </x:c>
    </x:row>
    <x:row r="20" spans="1:6" x14ac:dyDescent="0.25">
      <x:c r="A20" s="5">
        <x:f t="shared" si="0"/>
        <x:v>10</x:v>
      </x:c>
      <x:c r="B20" t="s">
        <x:v>28</x:v>
      </x:c>
      <x:c r="C20" s="13">
        <x:v>22.459</x:v>
      </x:c>
      <x:c r="D20" s="13">
        <x:v>1.2430000000000001</x:v>
      </x:c>
      <x:c r="E20" s="13">
        <x:v>18.074000000000002</x:v>
      </x:c>
      <x:c r="F20" s="14">
        <x:v>0</x:v>
      </x:c>
    </x:row>
    <x:row r="21" spans="1:6" x14ac:dyDescent="0.25">
      <x:c r="A21" s="5">
        <x:f t="shared" si="0"/>
        <x:v>11</x:v>
      </x:c>
      <x:c r="B21" t="s">
        <x:v>29</x:v>
      </x:c>
      <x:c r="C21" s="13">
        <x:v>22.629000000000001</x:v>
      </x:c>
      <x:c r="D21" s="13">
        <x:v>1.2450000000000001</x:v>
      </x:c>
      <x:c r="E21" s="13">
        <x:v>18.177</x:v>
      </x:c>
      <x:c r="F21" s="14">
        <x:v>0</x:v>
      </x:c>
    </x:row>
    <x:row r="22" spans="1:6" x14ac:dyDescent="0.25">
      <x:c r="A22" s="5">
        <x:f t="shared" si="0"/>
        <x:v>12</x:v>
      </x:c>
      <x:c r="B22" t="s">
        <x:v>30</x:v>
      </x:c>
      <x:c r="C22" s="13">
        <x:v>22.414000000000001</x:v>
      </x:c>
      <x:c r="D22" s="13">
        <x:v>1.1950000000000001</x:v>
      </x:c>
      <x:c r="E22" s="13">
        <x:v>18.756</x:v>
      </x:c>
      <x:c r="F22" s="14">
        <x:v>0</x:v>
      </x:c>
    </x:row>
    <x:row r="23" spans="1:6" x14ac:dyDescent="0.25">
      <x:c r="A23" s="5">
        <x:f t="shared" si="0"/>
        <x:v>13</x:v>
      </x:c>
      <x:c r="B23" t="s">
        <x:v>31</x:v>
      </x:c>
      <x:c r="C23" s="13">
        <x:v>22.382999999999999</x:v>
      </x:c>
      <x:c r="D23" s="13">
        <x:v>1.139</x:v>
      </x:c>
      <x:c r="E23" s="13">
        <x:v>19.651</x:v>
      </x:c>
      <x:c r="F23" s="14">
        <x:v>0</x:v>
      </x:c>
    </x:row>
    <x:row r="24" spans="1:6" x14ac:dyDescent="0.25">
      <x:c r="A24" s="5">
        <x:f t="shared" si="0"/>
        <x:v>14</x:v>
      </x:c>
      <x:c r="B24" t="s">
        <x:v>32</x:v>
      </x:c>
      <x:c r="C24" s="13">
        <x:v>22.78</x:v>
      </x:c>
      <x:c r="D24" s="13">
        <x:v>1.1419999999999999</x:v>
      </x:c>
      <x:c r="E24" s="13">
        <x:v>19.943999999999999</x:v>
      </x:c>
      <x:c r="F24" s="14">
        <x:v>0</x:v>
      </x:c>
    </x:row>
    <x:row r="25" spans="1:6" x14ac:dyDescent="0.25">
      <x:c r="A25" s="5">
        <x:f t="shared" si="0"/>
        <x:v>15</x:v>
      </x:c>
      <x:c r="B25" t="s">
        <x:v>33</x:v>
      </x:c>
      <x:c r="C25" s="13">
        <x:v>23.762</x:v>
      </x:c>
      <x:c r="D25" s="13">
        <x:v>1.204</x:v>
      </x:c>
      <x:c r="E25" s="13">
        <x:v>19.742999999999999</x:v>
      </x:c>
      <x:c r="F25" s="14">
        <x:v>0</x:v>
      </x:c>
    </x:row>
    <x:row r="26" spans="1:6" x14ac:dyDescent="0.25">
      <x:c r="A26" s="5">
        <x:f t="shared" si="0"/>
        <x:v>16</x:v>
      </x:c>
      <x:c r="B26" t="s">
        <x:v>34</x:v>
      </x:c>
      <x:c r="C26" s="13">
        <x:v>25.401</x:v>
      </x:c>
      <x:c r="D26" s="13">
        <x:v>1.3220000000000001</x:v>
      </x:c>
      <x:c r="E26" s="13">
        <x:v>19.207000000000001</x:v>
      </x:c>
      <x:c r="F26" s="14">
        <x:v>0</x:v>
      </x:c>
    </x:row>
    <x:row r="27" spans="1:6" x14ac:dyDescent="0.25">
      <x:c r="A27" s="5">
        <x:f t="shared" si="0"/>
        <x:v>17</x:v>
      </x:c>
      <x:c r="B27" t="s">
        <x:v>35</x:v>
      </x:c>
      <x:c r="C27" s="13">
        <x:v>26.166</x:v>
      </x:c>
      <x:c r="D27" s="13">
        <x:v>1.3939999999999999</x:v>
      </x:c>
      <x:c r="E27" s="13">
        <x:v>18.765000000000001</x:v>
      </x:c>
      <x:c r="F27" s="14">
        <x:v>0</x:v>
      </x:c>
    </x:row>
    <x:row r="28" spans="1:6" x14ac:dyDescent="0.25">
      <x:c r="A28" s="5">
        <x:f t="shared" si="0"/>
        <x:v>18</x:v>
      </x:c>
      <x:c r="B28" t="s">
        <x:v>36</x:v>
      </x:c>
      <x:c r="C28" s="13">
        <x:v>25.663</x:v>
      </x:c>
      <x:c r="D28" s="13">
        <x:v>1.329</x:v>
      </x:c>
      <x:c r="E28" s="13">
        <x:v>19.309000000000001</x:v>
      </x:c>
      <x:c r="F28" s="14">
        <x:v>0</x:v>
      </x:c>
    </x:row>
    <x:row r="29" spans="1:6" x14ac:dyDescent="0.25">
      <x:c r="A29" s="5">
        <x:f t="shared" si="0"/>
        <x:v>19</x:v>
      </x:c>
      <x:c r="B29" t="s">
        <x:v>37</x:v>
      </x:c>
      <x:c r="C29" s="13">
        <x:v>24.437000000000001</x:v>
      </x:c>
      <x:c r="D29" s="13">
        <x:v>1.1930000000000001</x:v>
      </x:c>
      <x:c r="E29" s="13">
        <x:v>20.481000000000002</x:v>
      </x:c>
      <x:c r="F29" s="14">
        <x:v>0</x:v>
      </x:c>
    </x:row>
    <x:row r="30" spans="1:6" x14ac:dyDescent="0.25">
      <x:c r="A30" s="5">
        <x:f t="shared" si="0"/>
        <x:v>20</x:v>
      </x:c>
      <x:c r="B30" t="s">
        <x:v>38</x:v>
      </x:c>
      <x:c r="C30" s="13">
        <x:v>22.856999999999999</x:v>
      </x:c>
      <x:c r="D30" s="13">
        <x:v>1.1459999999999999</x:v>
      </x:c>
      <x:c r="E30" s="13">
        <x:v>19.939</x:v>
      </x:c>
      <x:c r="F30" s="14">
        <x:v>0</x:v>
      </x:c>
    </x:row>
    <x:row r="31" spans="1:6" x14ac:dyDescent="0.25">
      <x:c r="A31" s="5">
        <x:f t="shared" si="0"/>
        <x:v>21</x:v>
      </x:c>
      <x:c r="B31" t="s">
        <x:v>41</x:v>
      </x:c>
      <x:c r="C31" s="13">
        <x:v>22.375</x:v>
      </x:c>
      <x:c r="D31" s="13">
        <x:v>1.18</x:v>
      </x:c>
      <x:c r="E31" s="13">
        <x:v>18.963000000000001</x:v>
      </x:c>
      <x:c r="F31" s="14">
        <x:v>0</x:v>
      </x:c>
    </x:row>
    <x:row r="32" spans="1:6" x14ac:dyDescent="0.25">
      <x:c r="A32" s="5">
        <x:f t="shared" si="0"/>
        <x:v>22</x:v>
      </x:c>
      <x:c r="B32" t="s">
        <x:v>107</x:v>
      </x:c>
      <x:c r="C32" s="13">
        <x:v>-0.46100000000000002</x:v>
      </x:c>
      <x:c r="D32" s="13">
        <x:v>0.42</x:v>
      </x:c>
      <x:c r="E32" s="13">
        <x:v>-1.0980000000000001</x:v>
      </x:c>
      <x:c r="F32" s="14">
        <x:v>0.27389999999999998</x:v>
      </x:c>
    </x:row>
    <x:row r="33" spans="1:6" x14ac:dyDescent="0.25">
      <x:c r="A33" s="5">
        <x:f t="shared" si="0"/>
        <x:v>23</x:v>
      </x:c>
      <x:c r="F33" s="2"/>
    </x:row>
    <x:row r="34" spans="1:6" x14ac:dyDescent="0.25">
      <x:c r="A34" s="5">
        <x:f t="shared" si="0"/>
        <x:v>24</x:v>
      </x:c>
      <x:c r="B34" s="15" t="s">
        <x:v>53</x:v>
      </x:c>
      <x:c r="F34" s="2"/>
    </x:row>
    <x:row r="35" spans="1:6" x14ac:dyDescent="0.25">
      <x:c r="A35" s="5">
        <x:f t="shared" si="0"/>
        <x:v>25</x:v>
      </x:c>
      <x:c r="B35" t="s">
        <x:v>25</x:v>
      </x:c>
      <x:c r="C35">
        <x:v>174</x:v>
      </x:c>
      <x:c r="F35" s="8"/>
    </x:row>
    <x:row r="36" spans="1:6" x14ac:dyDescent="0.25">
      <x:c r="A36" s="5">
        <x:f t="shared" si="0"/>
        <x:v>26</x:v>
      </x:c>
      <x:c r="B36" t="s">
        <x:v>8</x:v>
      </x:c>
      <x:c r="C36" s="25">
        <x:v>158</x:v>
      </x:c>
      <x:c r="F36" s="8"/>
    </x:row>
    <x:row r="37" spans="1:6" x14ac:dyDescent="0.25">
      <x:c r="A37" s="5">
        <x:f t="shared" si="0"/>
        <x:v>27</x:v>
      </x:c>
      <x:c r="B37" t="s">
        <x:v>9</x:v>
      </x:c>
      <x:c r="C37" s="25">
        <x:v>0.83899999999999997</x:v>
      </x:c>
      <x:c r="F37" s="8"/>
    </x:row>
    <x:row r="38" spans="1:6" x14ac:dyDescent="0.25">
      <x:c r="A38" s="5">
        <x:f t="shared" si="0"/>
        <x:v>28</x:v>
      </x:c>
      <x:c r="B38" t="s">
        <x:v>10</x:v>
      </x:c>
      <x:c r="C38" s="30">
        <x:v>0.82399999999999995</x:v>
      </x:c>
      <x:c r="F38" s="8"/>
    </x:row>
    <x:row r="39" spans="1:6" x14ac:dyDescent="0.25">
      <x:c r="A39" s="5">
        <x:f t="shared" si="0"/>
        <x:v>29</x:v>
      </x:c>
      <x:c r="B39" t="s">
        <x:v>12</x:v>
      </x:c>
      <x:c r="C39" s="33">
        <x:v>55.029000000000003</x:v>
      </x:c>
      <x:c r="F39" s="8"/>
    </x:row>
    <x:row r="40" spans="1:6" x14ac:dyDescent="0.25">
      <x:c r="A40" s="5">
        <x:f t="shared" si="0"/>
        <x:v>30</x:v>
      </x:c>
      <x:c r="B40" t="s">
        <x:v>13</x:v>
      </x:c>
      <x:c r="C40" s="34">
        <x:v>0</x:v>
      </x:c>
      <x:c r="F40" s="8"/>
    </x:row>
    <x:row r="41" spans="1:6" x14ac:dyDescent="0.25">
      <x:c r="A41" s="5">
        <x:f t="shared" si="0"/>
        <x:v>31</x:v>
      </x:c>
      <x:c r="B41" t="s">
        <x:v>14</x:v>
      </x:c>
      <x:c r="C41">
        <x:v>614.89</x:v>
      </x:c>
    </x:row>
    <x:row r="42" spans="1:6" x14ac:dyDescent="0.25">
      <x:c r="A42" s="5">
        <x:f t="shared" si="0"/>
        <x:v>32</x:v>
      </x:c>
      <x:c r="B42" t="s">
        <x:v>15</x:v>
      </x:c>
      <x:c r="C42" s="21">
        <x:v>117.7</x:v>
      </x:c>
      <x:c r="F42" s="8"/>
    </x:row>
    <x:row r="43" spans="1:6" x14ac:dyDescent="0.25">
      <x:c r="A43" s="5">
        <x:f t="shared" si="0"/>
        <x:v>33</x:v>
      </x:c>
      <x:c r="B43" t="s">
        <x:v>16</x:v>
      </x:c>
      <x:c r="C43">
        <x:v>0.74</x:v>
      </x:c>
      <x:c r="F43" s="8"/>
    </x:row>
    <x:row r="44" spans="1:6" x14ac:dyDescent="0.25">
      <x:c r="A44" s="5">
        <x:f t="shared" si="0"/>
        <x:v>34</x:v>
      </x:c>
      <x:c r="B44" t="s">
        <x:v>17</x:v>
      </x:c>
      <x:c r="C44" s="21">
        <x:v>0.86</x:v>
      </x:c>
      <x:c r="F44" s="8"/>
    </x:row>
    <x:row r="45" spans="1:6" x14ac:dyDescent="0.25">
      <x:c r="A45" s="5">
        <x:f t="shared" si="0"/>
        <x:v>35</x:v>
      </x:c>
      <x:c r="B45" t="s">
        <x:v>75</x:v>
      </x:c>
      <x:c r="C45" s="21">
        <x:v>0.68</x:v>
      </x:c>
    </x:row>
    <x:row r="46" spans="1:6" x14ac:dyDescent="0.25">
      <x:c r="A46" s="5">
        <x:f t="shared" si="0"/>
        <x:v>36</x:v>
      </x:c>
      <x:c r="B46" t="s">
        <x:v>76</x:v>
      </x:c>
      <x:c r="C46" s="8">
        <x:v>3.8699999999999998E-2</x:v>
      </x:c>
    </x:row>
    <x:row r="47" spans="1:6" x14ac:dyDescent="0.25">
      <x:c r="A47" s="5">
        <x:f t="shared" si="0"/>
        <x:v>37</x:v>
      </x:c>
      <x:c r="B47" t="s">
        <x:v>11</x:v>
      </x:c>
      <x:c r="C47">
        <x:v>0.318</x:v>
      </x:c>
    </x:row>
    <x:row r="48" spans="1:6" x14ac:dyDescent="0.25">
      <x:c r="A48" s="5">
        <x:f t="shared" si="0"/>
        <x:v>38</x:v>
      </x:c>
      <x:c r="B48" t="s">
        <x:v>61</x:v>
      </x:c>
      <x:c r="C48">
        <x:v>1050.8599999999999</x:v>
      </x:c>
    </x:row>
    <x:row r="49" spans="1:3" x14ac:dyDescent="0.25">
      <x:c r="A49" s="5">
        <x:f t="shared" si="0"/>
        <x:v>39</x:v>
      </x:c>
      <x:c r="B49" t="s">
        <x:v>62</x:v>
      </x:c>
      <x:c r="C49" s="23">
        <x:v>0</x:v>
      </x:c>
    </x:row>
  </x:sheetData>
  <x:mergeCells count="7">
    <x:mergeCell ref="B9:F9"/>
    <x:mergeCell ref="B1:F1"/>
    <x:mergeCell ref="B2:F2"/>
    <x:mergeCell ref="B3:F3"/>
    <x:mergeCell ref="B4:F4"/>
    <x:mergeCell ref="B6:F6"/>
    <x:mergeCell ref="B8:F8"/>
  </x:mergeCells>
  <x:pageMargins left="0.7" right="0.7" top="0.75" bottom="0.75" header="0.3" footer="0.3"/>
  <x:pageSetup firstPageNumber="7" orientation="portrait" r:id="rId1"/>
  <x:headerFooter>
    <x:oddHeader xml:space="preserve">&amp;RSchedule II-H-2.1
Page  &amp;P of  27
</x:oddHeader>
  </x:headerFooter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sheetPr>
    <x:pageSetUpPr fitToPage="1"/>
  </x:sheetPr>
  <x:dimension ref="A1:H37"/>
  <x:sheetViews>
    <x:sheetView workbookViewId="0"/>
  </x:sheetViews>
  <x:sheetFormatPr defaultRowHeight="12.5" x14ac:dyDescent="0.25"/>
  <x:cols>
    <x:col min="2" max="2" width="20.36328125" customWidth="1"/>
    <x:col min="3" max="3" width="17.1796875" customWidth="1"/>
    <x:col min="4" max="4" width="18.81640625" customWidth="1"/>
    <x:col min="5" max="5" width="14.6328125" customWidth="1"/>
    <x:col min="6" max="6" width="15.90625" customWidth="1"/>
    <x:col min="7" max="7" width="11" customWidth="1"/>
  </x:cols>
  <x:sheetData>
    <x:row r="1" spans="1:8" ht="15.5" x14ac:dyDescent="0.25">
      <x:c r="A1" s="5"/>
      <x:c r="B1" s="41" t="str">
        <x:f>+'RES Model'!B1:F1</x:f>
        <x:v xml:space="preserve">PUC DOCKET NO. </x:v>
      </x:c>
      <x:c r="C1" s="39"/>
      <x:c r="D1" s="39"/>
      <x:c r="E1" s="39"/>
      <x:c r="F1" s="39"/>
      <x:c r="G1" s="39"/>
      <x:c r="H1" s="39"/>
    </x:row>
    <x:row r="2" spans="1:8" ht="15.5" x14ac:dyDescent="0.35">
      <x:c r="A2" s="5"/>
      <x:c r="B2" s="37" t="str">
        <x:f>+'RES Model'!B2:F2</x:f>
        <x:v>ONCOR ELECTRIC DELIVERY COMPANY LLC</x:v>
      </x:c>
      <x:c r="C2" s="39"/>
      <x:c r="D2" s="39"/>
      <x:c r="E2" s="39"/>
      <x:c r="F2" s="39"/>
      <x:c r="G2" s="39"/>
      <x:c r="H2" s="39"/>
    </x:row>
    <x:row r="3" spans="1:8" ht="15.5" x14ac:dyDescent="0.35">
      <x:c r="A3" s="5"/>
      <x:c r="B3" s="37" t="str">
        <x:f>+'RES Model'!B3:F3</x:f>
        <x:v>MODEL INFORMATION</x:v>
      </x:c>
      <x:c r="C3" s="39"/>
      <x:c r="D3" s="39"/>
      <x:c r="E3" s="39"/>
      <x:c r="F3" s="39"/>
      <x:c r="G3" s="39"/>
      <x:c r="H3" s="39"/>
    </x:row>
    <x:row r="4" spans="1:8" ht="15.5" x14ac:dyDescent="0.35">
      <x:c r="A4" s="5"/>
      <x:c r="B4" s="37" t="str">
        <x:f>+'RES Model'!B4:F4</x:f>
        <x:v>FOR THE TEST YEAR ENDING DECEMBER 31, 2024</x:v>
      </x:c>
      <x:c r="C4" s="39"/>
      <x:c r="D4" s="39"/>
      <x:c r="E4" s="39"/>
      <x:c r="F4" s="39"/>
      <x:c r="G4" s="39"/>
      <x:c r="H4" s="39"/>
    </x:row>
    <x:row r="5" spans="1:8" x14ac:dyDescent="0.25">
      <x:c r="A5" s="5"/>
      <x:c r="B5" s="1"/>
      <x:c r="C5" s="1"/>
      <x:c r="D5" s="1"/>
      <x:c r="E5" s="1"/>
      <x:c r="F5" s="1"/>
      <x:c r="G5" s="1"/>
      <x:c r="H5" s="1"/>
    </x:row>
    <x:row r="6" spans="1:8" ht="15.5" x14ac:dyDescent="0.35">
      <x:c r="A6" s="5"/>
      <x:c r="B6" s="37" t="str">
        <x:f>+'RES Model'!B6:F6</x:f>
        <x:v>SPONSOR: D. E. NELSON</x:v>
      </x:c>
      <x:c r="C6" s="39"/>
      <x:c r="D6" s="39"/>
      <x:c r="E6" s="39"/>
      <x:c r="F6" s="39"/>
      <x:c r="G6" s="39"/>
      <x:c r="H6" s="39"/>
    </x:row>
    <x:row r="8" spans="1:8" x14ac:dyDescent="0.25">
      <x:c r="A8" s="5" t="s">
        <x:v>18</x:v>
      </x:c>
      <x:c r="B8" s="38"/>
      <x:c r="C8" s="38"/>
      <x:c r="D8" s="38"/>
      <x:c r="E8" s="38"/>
      <x:c r="F8" s="38"/>
      <x:c r="G8" s="1"/>
      <x:c r="H8" s="1"/>
    </x:row>
    <x:row r="9" spans="1:8" x14ac:dyDescent="0.25">
      <x:c r="A9" s="6" t="s">
        <x:v>19</x:v>
      </x:c>
      <x:c r="B9" s="7"/>
      <x:c r="C9" s="7"/>
      <x:c r="D9" s="7"/>
      <x:c r="E9" s="7"/>
      <x:c r="F9" s="7"/>
      <x:c r="G9" s="1"/>
      <x:c r="H9" s="1"/>
    </x:row>
    <x:row r="10" spans="1:8" x14ac:dyDescent="0.25">
      <x:c r="A10" s="5">
        <x:v>1</x:v>
      </x:c>
      <x:c r="B10" s="38" t="s">
        <x:v>66</x:v>
      </x:c>
      <x:c r="C10" s="39"/>
      <x:c r="D10" s="39"/>
      <x:c r="E10" s="39"/>
      <x:c r="F10" s="39"/>
      <x:c r="G10" s="39"/>
      <x:c r="H10" s="39"/>
    </x:row>
    <x:row r="11" spans="1:8" x14ac:dyDescent="0.25">
      <x:c r="A11" s="5">
        <x:f t="shared" ref="A11:A37" si="0">+A10+1</x:f>
        <x:v>2</x:v>
      </x:c>
      <x:c r="B11" s="38" t="s">
        <x:v>45</x:v>
      </x:c>
      <x:c r="C11" s="40"/>
      <x:c r="D11" s="40"/>
      <x:c r="E11" s="40"/>
      <x:c r="F11" s="40"/>
      <x:c r="G11" s="40"/>
      <x:c r="H11" s="40"/>
    </x:row>
    <x:row r="12" spans="1:8" x14ac:dyDescent="0.25">
      <x:c r="A12" s="5">
        <x:f t="shared" si="0"/>
        <x:v>3</x:v>
      </x:c>
      <x:c r="B12" s="3"/>
      <x:c r="C12" s="9"/>
      <x:c r="D12" s="1"/>
      <x:c r="E12" s="1"/>
      <x:c r="F12" s="1"/>
      <x:c r="G12" s="1"/>
      <x:c r="H12" s="1"/>
    </x:row>
    <x:row r="13" spans="1:8" x14ac:dyDescent="0.25">
      <x:c r="A13" s="5">
        <x:f t="shared" si="0"/>
        <x:v>4</x:v>
      </x:c>
      <x:c r="B13" s="3"/>
      <x:c r="C13" s="9"/>
      <x:c r="D13" s="1"/>
      <x:c r="E13" s="1"/>
      <x:c r="F13" s="1"/>
      <x:c r="G13" s="1"/>
      <x:c r="H13" s="1"/>
    </x:row>
    <x:row r="14" spans="1:8" x14ac:dyDescent="0.25">
      <x:c r="A14" s="5">
        <x:f t="shared" si="0"/>
        <x:v>5</x:v>
      </x:c>
      <x:c r="B14" s="1"/>
      <x:c r="C14" s="1"/>
      <x:c r="D14" s="1"/>
      <x:c r="E14" s="1"/>
      <x:c r="F14" s="1"/>
      <x:c r="G14" s="1"/>
      <x:c r="H14" s="1"/>
    </x:row>
    <x:row r="15" spans="1:8" x14ac:dyDescent="0.25">
      <x:c r="A15" s="5">
        <x:f t="shared" si="0"/>
        <x:v>6</x:v>
      </x:c>
      <x:c r="B15" s="24"/>
      <x:c r="C15" s="24"/>
      <x:c r="D15" s="24"/>
      <x:c r="E15" s="24"/>
      <x:c r="F15" s="24"/>
      <x:c r="G15" s="1"/>
      <x:c r="H15" s="1"/>
    </x:row>
    <x:row r="16" spans="1:8" x14ac:dyDescent="0.25">
      <x:c r="A16" s="5">
        <x:f t="shared" si="0"/>
        <x:v>7</x:v>
      </x:c>
      <x:c r="F16" s="8"/>
    </x:row>
    <x:row r="17" spans="1:6" x14ac:dyDescent="0.25">
      <x:c r="A17" s="5">
        <x:f t="shared" si="0"/>
        <x:v>8</x:v>
      </x:c>
      <x:c r="F17" s="8"/>
    </x:row>
    <x:row r="18" spans="1:6" x14ac:dyDescent="0.25">
      <x:c r="A18" s="5">
        <x:f t="shared" si="0"/>
        <x:v>9</x:v>
      </x:c>
      <x:c r="F18" s="8"/>
    </x:row>
    <x:row r="19" spans="1:6" x14ac:dyDescent="0.25">
      <x:c r="A19" s="5">
        <x:f t="shared" si="0"/>
        <x:v>10</x:v>
      </x:c>
      <x:c r="F19" s="8"/>
    </x:row>
    <x:row r="20" spans="1:6" x14ac:dyDescent="0.25">
      <x:c r="A20" s="5">
        <x:f t="shared" si="0"/>
        <x:v>11</x:v>
      </x:c>
      <x:c r="F20" s="8"/>
    </x:row>
    <x:row r="21" spans="1:6" x14ac:dyDescent="0.25">
      <x:c r="A21" s="5">
        <x:f t="shared" si="0"/>
        <x:v>12</x:v>
      </x:c>
      <x:c r="F21" s="8"/>
    </x:row>
    <x:row r="22" spans="1:6" x14ac:dyDescent="0.25">
      <x:c r="A22" s="5">
        <x:f t="shared" si="0"/>
        <x:v>13</x:v>
      </x:c>
      <x:c r="F22" s="8"/>
    </x:row>
    <x:row r="23" spans="1:6" x14ac:dyDescent="0.25">
      <x:c r="A23" s="5">
        <x:f t="shared" si="0"/>
        <x:v>14</x:v>
      </x:c>
      <x:c r="F23" s="8"/>
    </x:row>
    <x:row r="24" spans="1:6" x14ac:dyDescent="0.25">
      <x:c r="A24" s="5">
        <x:f t="shared" si="0"/>
        <x:v>15</x:v>
      </x:c>
      <x:c r="F24" s="8"/>
    </x:row>
    <x:row r="25" spans="1:6" x14ac:dyDescent="0.25">
      <x:c r="A25" s="5">
        <x:f t="shared" si="0"/>
        <x:v>16</x:v>
      </x:c>
      <x:c r="F25" s="8"/>
    </x:row>
    <x:row r="26" spans="1:6" x14ac:dyDescent="0.25">
      <x:c r="A26" s="5">
        <x:f t="shared" si="0"/>
        <x:v>17</x:v>
      </x:c>
      <x:c r="F26" s="8"/>
    </x:row>
    <x:row r="27" spans="1:6" x14ac:dyDescent="0.25">
      <x:c r="A27" s="5">
        <x:f t="shared" si="0"/>
        <x:v>18</x:v>
      </x:c>
      <x:c r="F27" s="8"/>
    </x:row>
    <x:row r="28" spans="1:6" x14ac:dyDescent="0.25">
      <x:c r="A28" s="5">
        <x:f t="shared" si="0"/>
        <x:v>19</x:v>
      </x:c>
      <x:c r="F28" s="8"/>
    </x:row>
    <x:row r="29" spans="1:6" x14ac:dyDescent="0.25">
      <x:c r="A29" s="5">
        <x:f t="shared" si="0"/>
        <x:v>20</x:v>
      </x:c>
      <x:c r="F29" s="8"/>
    </x:row>
    <x:row r="30" spans="1:6" x14ac:dyDescent="0.25">
      <x:c r="A30" s="5">
        <x:f t="shared" si="0"/>
        <x:v>21</x:v>
      </x:c>
      <x:c r="F30" s="8"/>
    </x:row>
    <x:row r="31" spans="1:6" x14ac:dyDescent="0.25">
      <x:c r="A31" s="5">
        <x:f t="shared" si="0"/>
        <x:v>22</x:v>
      </x:c>
      <x:c r="F31" s="8"/>
    </x:row>
    <x:row r="32" spans="1:6" x14ac:dyDescent="0.25">
      <x:c r="A32" s="5">
        <x:f t="shared" si="0"/>
        <x:v>23</x:v>
      </x:c>
      <x:c r="F32" s="8"/>
    </x:row>
    <x:row r="33" spans="1:6" x14ac:dyDescent="0.25">
      <x:c r="A33" s="5">
        <x:f t="shared" si="0"/>
        <x:v>24</x:v>
      </x:c>
      <x:c r="F33" s="10"/>
    </x:row>
    <x:row r="34" spans="1:6" x14ac:dyDescent="0.25">
      <x:c r="A34" s="5">
        <x:f t="shared" si="0"/>
        <x:v>25</x:v>
      </x:c>
    </x:row>
    <x:row r="35" spans="1:6" x14ac:dyDescent="0.25">
      <x:c r="A35" s="5">
        <x:f t="shared" si="0"/>
        <x:v>26</x:v>
      </x:c>
    </x:row>
    <x:row r="36" spans="1:6" x14ac:dyDescent="0.25">
      <x:c r="A36" s="5">
        <x:f t="shared" si="0"/>
        <x:v>27</x:v>
      </x:c>
    </x:row>
    <x:row r="37" spans="1:6" x14ac:dyDescent="0.25">
      <x:c r="A37" s="5">
        <x:f t="shared" si="0"/>
        <x:v>28</x:v>
      </x:c>
    </x:row>
  </x:sheetData>
  <x:mergeCells count="8">
    <x:mergeCell ref="B10:H10"/>
    <x:mergeCell ref="B11:H11"/>
    <x:mergeCell ref="B1:H1"/>
    <x:mergeCell ref="B2:H2"/>
    <x:mergeCell ref="B3:H3"/>
    <x:mergeCell ref="B4:H4"/>
    <x:mergeCell ref="B6:H6"/>
    <x:mergeCell ref="B8:F8"/>
  </x:mergeCells>
  <x:pageMargins left="0.7" right="0.7" top="0.75" bottom="0.75" header="0.3" footer="0.3"/>
  <x:pageSetup scale="79" firstPageNumber="7" orientation="portrait" r:id="rId1"/>
  <x:headerFooter>
    <x:oddHeader xml:space="preserve">&amp;RSchedule II-H-2.1
Page  &amp;P of  27
</x:oddHeader>
  </x:headerFooter>
  <x:drawing r:id="rId2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E00-000000000000}" mc:Ignorable="x14ac xr xr2 xr3">
  <x:sheetPr codeName="Sheet13">
    <x:pageSetUpPr fitToPage="1"/>
  </x:sheetPr>
  <x:dimension ref="A1:F50"/>
  <x:sheetViews>
    <x:sheetView workbookViewId="0"/>
  </x:sheetViews>
  <x:sheetFormatPr defaultRowHeight="12.5" x14ac:dyDescent="0.25"/>
  <x:cols>
    <x:col min="2" max="2" width="34.54296875" customWidth="1"/>
    <x:col min="3" max="3" width="13.6328125" customWidth="1"/>
    <x:col min="4" max="4" width="9.90625" customWidth="1"/>
    <x:col min="5" max="5" width="10.08984375" customWidth="1"/>
    <x:col min="6" max="6" width="9.6328125" customWidth="1"/>
  </x:cols>
  <x:sheetData>
    <x:row r="1" spans="1:6" s="1" customFormat="1" ht="15.5" x14ac:dyDescent="0.35">
      <x:c r="A1" s="5"/>
      <x:c r="B1" s="37" t="str">
        <x:f>+'RES Model'!B1:F1</x:f>
        <x:v xml:space="preserve">PUC DOCKET NO. </x:v>
      </x:c>
      <x:c r="C1" s="37"/>
      <x:c r="D1" s="37"/>
      <x:c r="E1" s="37"/>
      <x:c r="F1" s="37"/>
    </x:row>
    <x:row r="2" spans="1:6" s="1" customFormat="1" ht="15.5" x14ac:dyDescent="0.35">
      <x:c r="A2" s="5"/>
      <x:c r="B2" s="37" t="str">
        <x:f>+'RES Model'!B2:F2</x:f>
        <x:v>ONCOR ELECTRIC DELIVERY COMPANY LLC</x:v>
      </x:c>
      <x:c r="C2" s="37"/>
      <x:c r="D2" s="37"/>
      <x:c r="E2" s="37"/>
      <x:c r="F2" s="37"/>
    </x:row>
    <x:row r="3" spans="1:6" s="1" customFormat="1" ht="15.5" x14ac:dyDescent="0.35">
      <x:c r="A3" s="5"/>
      <x:c r="B3" s="37" t="str">
        <x:f>+'RES Model'!B3:F3</x:f>
        <x:v>MODEL INFORMATION</x:v>
      </x:c>
      <x:c r="C3" s="37"/>
      <x:c r="D3" s="37"/>
      <x:c r="E3" s="37"/>
      <x:c r="F3" s="37"/>
    </x:row>
    <x:row r="4" spans="1:6" s="1" customFormat="1" ht="15.5" x14ac:dyDescent="0.35">
      <x:c r="A4" s="5"/>
      <x:c r="B4" s="37" t="str">
        <x:f>+'RES Model'!B4:F4</x:f>
        <x:v>FOR THE TEST YEAR ENDING DECEMBER 31, 2024</x:v>
      </x:c>
      <x:c r="C4" s="37"/>
      <x:c r="D4" s="37"/>
      <x:c r="E4" s="37"/>
      <x:c r="F4" s="37"/>
    </x:row>
    <x:row r="5" spans="1:6" s="1" customFormat="1" ht="11.5" x14ac:dyDescent="0.25">
      <x:c r="A5" s="5"/>
    </x:row>
    <x:row r="6" spans="1:6" s="1" customFormat="1" ht="15.5" x14ac:dyDescent="0.35">
      <x:c r="A6" s="5"/>
      <x:c r="B6" s="37" t="str">
        <x:f>+'RES Model'!B6:F6</x:f>
        <x:v>SPONSOR: D. E. NELSON</x:v>
      </x:c>
      <x:c r="C6" s="37"/>
      <x:c r="D6" s="37"/>
      <x:c r="E6" s="37"/>
      <x:c r="F6" s="37"/>
    </x:row>
    <x:row r="8" spans="1:6" ht="15.5" x14ac:dyDescent="0.35">
      <x:c r="B8" s="37" t="s">
        <x:v>50</x:v>
      </x:c>
      <x:c r="C8" s="37"/>
      <x:c r="D8" s="37"/>
      <x:c r="E8" s="37"/>
      <x:c r="F8" s="37"/>
    </x:row>
    <x:row r="9" spans="1:6" s="1" customFormat="1" ht="11.5" x14ac:dyDescent="0.25">
      <x:c r="A9" s="5" t="s">
        <x:v>18</x:v>
      </x:c>
      <x:c r="B9" s="38"/>
      <x:c r="C9" s="38"/>
      <x:c r="D9" s="38"/>
      <x:c r="E9" s="38"/>
      <x:c r="F9" s="38"/>
    </x:row>
    <x:row r="10" spans="1:6" s="1" customFormat="1" ht="11.5" x14ac:dyDescent="0.25">
      <x:c r="A10" s="6" t="s">
        <x:v>19</x:v>
      </x:c>
      <x:c r="B10" s="7" t="s">
        <x:v>20</x:v>
      </x:c>
      <x:c r="C10" s="7" t="s">
        <x:v>21</x:v>
      </x:c>
      <x:c r="D10" s="7" t="s">
        <x:v>24</x:v>
      </x:c>
      <x:c r="E10" s="7" t="s">
        <x:v>22</x:v>
      </x:c>
      <x:c r="F10" s="7" t="s">
        <x:v>23</x:v>
      </x:c>
    </x:row>
    <x:row r="11" spans="1:6" s="1" customFormat="1" ht="11.5" x14ac:dyDescent="0.25">
      <x:c r="A11" s="5">
        <x:v>1</x:v>
      </x:c>
      <x:c r="B11" s="3" t="s">
        <x:v>45</x:v>
      </x:c>
      <x:c r="C11" s="3"/>
    </x:row>
    <x:row r="12" spans="1:6" s="1" customFormat="1" ht="11.5" x14ac:dyDescent="0.25">
      <x:c r="A12" s="5">
        <x:f t="shared" ref="A12:A49" si="0">+A11+1</x:f>
        <x:v>2</x:v>
      </x:c>
      <x:c r="B12" s="3" t="s">
        <x:v>5</x:v>
      </x:c>
      <x:c r="C12" s="3" t="s">
        <x:v>43</x:v>
      </x:c>
    </x:row>
    <x:row r="13" spans="1:6" s="1" customFormat="1" ht="11.5" x14ac:dyDescent="0.25">
      <x:c r="A13" s="5">
        <x:f t="shared" si="0"/>
        <x:v>3</x:v>
      </x:c>
      <x:c r="B13" s="3" t="s">
        <x:v>6</x:v>
      </x:c>
      <x:c r="C13" s="9">
        <x:f>+'RES Model'!C13</x:f>
        <x:v>40179</x:v>
      </x:c>
    </x:row>
    <x:row r="14" spans="1:6" s="1" customFormat="1" ht="11.5" x14ac:dyDescent="0.25">
      <x:c r="A14" s="5">
        <x:f t="shared" si="0"/>
        <x:v>4</x:v>
      </x:c>
      <x:c r="B14" s="3" t="s">
        <x:v>7</x:v>
      </x:c>
      <x:c r="C14" s="9">
        <x:f>+'RES Model'!C14</x:f>
        <x:v>45444</x:v>
      </x:c>
    </x:row>
    <x:row r="15" spans="1:6" s="1" customFormat="1" ht="11.5" x14ac:dyDescent="0.25">
      <x:c r="A15" s="5">
        <x:f t="shared" si="0"/>
        <x:v>5</x:v>
      </x:c>
    </x:row>
    <x:row r="16" spans="1:6" s="1" customFormat="1" ht="11.5" x14ac:dyDescent="0.25">
      <x:c r="A16" s="5">
        <x:f t="shared" si="0"/>
        <x:v>6</x:v>
      </x:c>
      <x:c r="B16" s="4" t="s">
        <x:v>0</x:v>
      </x:c>
      <x:c r="C16" s="4" t="s">
        <x:v>1</x:v>
      </x:c>
      <x:c r="D16" s="4" t="s">
        <x:v>2</x:v>
      </x:c>
      <x:c r="E16" s="4" t="s">
        <x:v>3</x:v>
      </x:c>
      <x:c r="F16" s="4" t="s">
        <x:v>4</x:v>
      </x:c>
    </x:row>
    <x:row r="17" spans="1:6" x14ac:dyDescent="0.25">
      <x:c r="A17" s="5">
        <x:f t="shared" si="0"/>
        <x:v>7</x:v>
      </x:c>
      <x:c r="B17" t="s">
        <x:v>97</x:v>
      </x:c>
      <x:c r="C17" s="13">
        <x:v>8.5150000000000006</x:v>
      </x:c>
      <x:c r="D17" s="13">
        <x:v>1.347</x:v>
      </x:c>
      <x:c r="E17" s="13">
        <x:v>6.3209999999999997</x:v>
      </x:c>
      <x:c r="F17" s="14">
        <x:v>0</x:v>
      </x:c>
    </x:row>
    <x:row r="18" spans="1:6" x14ac:dyDescent="0.25">
      <x:c r="A18" s="5">
        <x:f t="shared" si="0"/>
        <x:v>8</x:v>
      </x:c>
      <x:c r="B18" t="s">
        <x:v>98</x:v>
      </x:c>
      <x:c r="C18" s="13">
        <x:v>8.1649999999999991</x:v>
      </x:c>
      <x:c r="D18" s="13">
        <x:v>1.6910000000000001</x:v>
      </x:c>
      <x:c r="E18" s="13">
        <x:v>4.8289999999999997</x:v>
      </x:c>
      <x:c r="F18" s="14">
        <x:v>0</x:v>
      </x:c>
    </x:row>
    <x:row r="19" spans="1:6" x14ac:dyDescent="0.25">
      <x:c r="A19" s="5">
        <x:f t="shared" si="0"/>
        <x:v>9</x:v>
      </x:c>
      <x:c r="B19" t="s">
        <x:v>73</x:v>
      </x:c>
      <x:c r="C19" s="13">
        <x:v>0.94499999999999995</x:v>
      </x:c>
      <x:c r="D19" s="13">
        <x:v>0.17299999999999999</x:v>
      </x:c>
      <x:c r="E19" s="13">
        <x:v>5.4560000000000004</x:v>
      </x:c>
      <x:c r="F19" s="14">
        <x:v>0</x:v>
      </x:c>
    </x:row>
    <x:row r="20" spans="1:6" x14ac:dyDescent="0.25">
      <x:c r="A20" s="5">
        <x:f t="shared" si="0"/>
        <x:v>10</x:v>
      </x:c>
      <x:c r="B20" t="s">
        <x:v>28</x:v>
      </x:c>
      <x:c r="C20" s="13">
        <x:v>139.358</x:v>
      </x:c>
      <x:c r="D20" s="13">
        <x:v>71.11</x:v>
      </x:c>
      <x:c r="E20" s="13">
        <x:v>1.96</x:v>
      </x:c>
      <x:c r="F20" s="14">
        <x:v>5.1799999999999999E-2</x:v>
      </x:c>
    </x:row>
    <x:row r="21" spans="1:6" x14ac:dyDescent="0.25">
      <x:c r="A21" s="5">
        <x:f t="shared" si="0"/>
        <x:v>11</x:v>
      </x:c>
      <x:c r="B21" t="s">
        <x:v>29</x:v>
      </x:c>
      <x:c r="C21" s="13">
        <x:v>154.49199999999999</x:v>
      </x:c>
      <x:c r="D21" s="13">
        <x:v>71.126999999999995</x:v>
      </x:c>
      <x:c r="E21" s="13">
        <x:v>2.1720000000000002</x:v>
      </x:c>
      <x:c r="F21" s="14">
        <x:v>3.1300000000000001E-2</x:v>
      </x:c>
    </x:row>
    <x:row r="22" spans="1:6" x14ac:dyDescent="0.25">
      <x:c r="A22" s="5">
        <x:f t="shared" si="0"/>
        <x:v>12</x:v>
      </x:c>
      <x:c r="B22" t="s">
        <x:v>30</x:v>
      </x:c>
      <x:c r="C22" s="13">
        <x:v>155.25</x:v>
      </x:c>
      <x:c r="D22" s="13">
        <x:v>70.772000000000006</x:v>
      </x:c>
      <x:c r="E22" s="13">
        <x:v>2.194</x:v>
      </x:c>
      <x:c r="F22" s="14">
        <x:v>2.9700000000000001E-2</x:v>
      </x:c>
    </x:row>
    <x:row r="23" spans="1:6" x14ac:dyDescent="0.25">
      <x:c r="A23" s="5">
        <x:f t="shared" si="0"/>
        <x:v>13</x:v>
      </x:c>
      <x:c r="B23" t="s">
        <x:v>31</x:v>
      </x:c>
      <x:c r="C23" s="13">
        <x:v>161.39699999999999</x:v>
      </x:c>
      <x:c r="D23" s="13">
        <x:v>70.734999999999999</x:v>
      </x:c>
      <x:c r="E23" s="13">
        <x:v>2.282</x:v>
      </x:c>
      <x:c r="F23" s="14">
        <x:v>2.3800000000000002E-2</x:v>
      </x:c>
    </x:row>
    <x:row r="24" spans="1:6" x14ac:dyDescent="0.25">
      <x:c r="A24" s="5">
        <x:f t="shared" si="0"/>
        <x:v>14</x:v>
      </x:c>
      <x:c r="B24" t="s">
        <x:v>32</x:v>
      </x:c>
      <x:c r="C24" s="13">
        <x:v>176.25800000000001</x:v>
      </x:c>
      <x:c r="D24" s="13">
        <x:v>71.16</x:v>
      </x:c>
      <x:c r="E24" s="13">
        <x:v>2.4769999999999999</x:v>
      </x:c>
      <x:c r="F24" s="14">
        <x:v>1.43E-2</x:v>
      </x:c>
    </x:row>
    <x:row r="25" spans="1:6" x14ac:dyDescent="0.25">
      <x:c r="A25" s="5">
        <x:f t="shared" si="0"/>
        <x:v>15</x:v>
      </x:c>
      <x:c r="B25" t="s">
        <x:v>33</x:v>
      </x:c>
      <x:c r="C25" s="13">
        <x:v>197.85</x:v>
      </x:c>
      <x:c r="D25" s="13">
        <x:v>72.813000000000002</x:v>
      </x:c>
      <x:c r="E25" s="13">
        <x:v>2.7170000000000001</x:v>
      </x:c>
      <x:c r="F25" s="14">
        <x:v>7.3000000000000001E-3</x:v>
      </x:c>
    </x:row>
    <x:row r="26" spans="1:6" x14ac:dyDescent="0.25">
      <x:c r="A26" s="5">
        <x:f t="shared" si="0"/>
        <x:v>16</x:v>
      </x:c>
      <x:c r="B26" t="s">
        <x:v>34</x:v>
      </x:c>
      <x:c r="C26" s="13">
        <x:v>223.733</x:v>
      </x:c>
      <x:c r="D26" s="13">
        <x:v>75.546000000000006</x:v>
      </x:c>
      <x:c r="E26" s="13">
        <x:v>2.9620000000000002</x:v>
      </x:c>
      <x:c r="F26" s="14">
        <x:v>3.5000000000000001E-3</x:v>
      </x:c>
    </x:row>
    <x:row r="27" spans="1:6" x14ac:dyDescent="0.25">
      <x:c r="A27" s="5">
        <x:f t="shared" si="0"/>
        <x:v>17</x:v>
      </x:c>
      <x:c r="B27" t="s">
        <x:v>35</x:v>
      </x:c>
      <x:c r="C27" s="13">
        <x:v>241.71</x:v>
      </x:c>
      <x:c r="D27" s="13">
        <x:v>76.933999999999997</x:v>
      </x:c>
      <x:c r="E27" s="13">
        <x:v>3.1419999999999999</x:v>
      </x:c>
      <x:c r="F27" s="14">
        <x:v>2E-3</x:v>
      </x:c>
    </x:row>
    <x:row r="28" spans="1:6" x14ac:dyDescent="0.25">
      <x:c r="A28" s="5">
        <x:f t="shared" si="0"/>
        <x:v>18</x:v>
      </x:c>
      <x:c r="B28" t="s">
        <x:v>36</x:v>
      </x:c>
      <x:c r="C28" s="13">
        <x:v>243.173</x:v>
      </x:c>
      <x:c r="D28" s="13">
        <x:v>75.668000000000006</x:v>
      </x:c>
      <x:c r="E28" s="13">
        <x:v>3.214</x:v>
      </x:c>
      <x:c r="F28" s="14">
        <x:v>1.6000000000000001E-3</x:v>
      </x:c>
    </x:row>
    <x:row r="29" spans="1:6" x14ac:dyDescent="0.25">
      <x:c r="A29" s="5">
        <x:f t="shared" si="0"/>
        <x:v>19</x:v>
      </x:c>
      <x:c r="B29" t="s">
        <x:v>37</x:v>
      </x:c>
      <x:c r="C29" s="13">
        <x:v>219.09899999999999</x:v>
      </x:c>
      <x:c r="D29" s="13">
        <x:v>72.792000000000002</x:v>
      </x:c>
      <x:c r="E29" s="13">
        <x:v>3.01</x:v>
      </x:c>
      <x:c r="F29" s="14">
        <x:v>3.0000000000000001E-3</x:v>
      </x:c>
    </x:row>
    <x:row r="30" spans="1:6" x14ac:dyDescent="0.25">
      <x:c r="A30" s="5">
        <x:f t="shared" si="0"/>
        <x:v>20</x:v>
      </x:c>
      <x:c r="B30" t="s">
        <x:v>38</x:v>
      </x:c>
      <x:c r="C30" s="13">
        <x:v>181.68799999999999</x:v>
      </x:c>
      <x:c r="D30" s="13">
        <x:v>71.100999999999999</x:v>
      </x:c>
      <x:c r="E30" s="13">
        <x:v>2.5550000000000002</x:v>
      </x:c>
      <x:c r="F30" s="14">
        <x:v>1.15E-2</x:v>
      </x:c>
    </x:row>
    <x:row r="31" spans="1:6" x14ac:dyDescent="0.25">
      <x:c r="A31" s="5">
        <x:f t="shared" si="0"/>
        <x:v>21</x:v>
      </x:c>
      <x:c r="B31" t="s">
        <x:v>41</x:v>
      </x:c>
      <x:c r="C31" s="13">
        <x:v>150.03200000000001</x:v>
      </x:c>
      <x:c r="D31" s="13">
        <x:v>70.888000000000005</x:v>
      </x:c>
      <x:c r="E31" s="13">
        <x:v>2.1160000000000001</x:v>
      </x:c>
      <x:c r="F31" s="14">
        <x:v>3.5900000000000001E-2</x:v>
      </x:c>
    </x:row>
    <x:row r="32" spans="1:6" x14ac:dyDescent="0.25">
      <x:c r="A32" s="5">
        <x:f t="shared" si="0"/>
        <x:v>22</x:v>
      </x:c>
      <x:c r="B32" t="s">
        <x:v>107</x:v>
      </x:c>
      <x:c r="C32" s="13">
        <x:v>-64.534999999999997</x:v>
      </x:c>
      <x:c r="D32" s="13">
        <x:v>12.236000000000001</x:v>
      </x:c>
      <x:c r="E32" s="13">
        <x:v>-5.274</x:v>
      </x:c>
      <x:c r="F32" s="14">
        <x:v>0</x:v>
      </x:c>
    </x:row>
    <x:row r="33" spans="1:6" x14ac:dyDescent="0.25">
      <x:c r="A33" s="5">
        <x:f t="shared" si="0"/>
        <x:v>23</x:v>
      </x:c>
    </x:row>
    <x:row r="34" spans="1:6" x14ac:dyDescent="0.25">
      <x:c r="A34" s="5">
        <x:f t="shared" si="0"/>
        <x:v>24</x:v>
      </x:c>
      <x:c r="B34" s="15" t="s">
        <x:v>53</x:v>
      </x:c>
    </x:row>
    <x:row r="35" spans="1:6" x14ac:dyDescent="0.25">
      <x:c r="A35" s="5">
        <x:f t="shared" si="0"/>
        <x:v>25</x:v>
      </x:c>
      <x:c r="B35" t="s">
        <x:v>25</x:v>
      </x:c>
      <x:c r="C35">
        <x:v>174</x:v>
      </x:c>
      <x:c r="F35" s="8"/>
    </x:row>
    <x:row r="36" spans="1:6" x14ac:dyDescent="0.25">
      <x:c r="A36" s="5">
        <x:f t="shared" si="0"/>
        <x:v>26</x:v>
      </x:c>
      <x:c r="B36" t="s">
        <x:v>8</x:v>
      </x:c>
      <x:c r="C36" s="20">
        <x:v>158</x:v>
      </x:c>
      <x:c r="F36" s="8"/>
    </x:row>
    <x:row r="37" spans="1:6" x14ac:dyDescent="0.25">
      <x:c r="A37" s="5">
        <x:f t="shared" si="0"/>
        <x:v>27</x:v>
      </x:c>
      <x:c r="B37" t="s">
        <x:v>9</x:v>
      </x:c>
      <x:c r="C37" s="29">
        <x:v>0.92300000000000004</x:v>
      </x:c>
      <x:c r="F37" s="8"/>
    </x:row>
    <x:row r="38" spans="1:6" x14ac:dyDescent="0.25">
      <x:c r="A38" s="5">
        <x:f t="shared" si="0"/>
        <x:v>28</x:v>
      </x:c>
      <x:c r="B38" t="s">
        <x:v>10</x:v>
      </x:c>
      <x:c r="C38" s="29">
        <x:v>0.91600000000000004</x:v>
      </x:c>
      <x:c r="F38" s="8"/>
    </x:row>
    <x:row r="39" spans="1:6" x14ac:dyDescent="0.25">
      <x:c r="A39" s="5">
        <x:f t="shared" si="0"/>
        <x:v>29</x:v>
      </x:c>
      <x:c r="B39" t="s">
        <x:v>12</x:v>
      </x:c>
      <x:c r="C39" s="33">
        <x:v>613.61199999999997</x:v>
      </x:c>
      <x:c r="F39" s="8"/>
    </x:row>
    <x:row r="40" spans="1:6" x14ac:dyDescent="0.25">
      <x:c r="A40" s="5">
        <x:f t="shared" si="0"/>
        <x:v>30</x:v>
      </x:c>
      <x:c r="B40" t="s">
        <x:v>13</x:v>
      </x:c>
      <x:c r="C40" s="34">
        <x:v>0</x:v>
      </x:c>
      <x:c r="F40" s="8"/>
    </x:row>
    <x:row r="41" spans="1:6" x14ac:dyDescent="0.25">
      <x:c r="A41" s="5">
        <x:f t="shared" si="0"/>
        <x:v>31</x:v>
      </x:c>
      <x:c r="B41" t="s">
        <x:v>14</x:v>
      </x:c>
      <x:c r="C41" s="21">
        <x:v>1212172.6499999999</x:v>
      </x:c>
    </x:row>
    <x:row r="42" spans="1:6" x14ac:dyDescent="0.25">
      <x:c r="A42" s="5">
        <x:f t="shared" si="0"/>
        <x:v>32</x:v>
      </x:c>
      <x:c r="B42" t="s">
        <x:v>15</x:v>
      </x:c>
      <x:c r="C42" s="21">
        <x:v>100600.19</x:v>
      </x:c>
      <x:c r="F42" s="8"/>
    </x:row>
    <x:row r="43" spans="1:6" x14ac:dyDescent="0.25">
      <x:c r="A43" s="5">
        <x:f t="shared" si="0"/>
        <x:v>33</x:v>
      </x:c>
      <x:c r="B43" t="s">
        <x:v>16</x:v>
      </x:c>
      <x:c r="C43">
        <x:v>636.71</x:v>
      </x:c>
      <x:c r="F43" s="8"/>
    </x:row>
    <x:row r="44" spans="1:6" x14ac:dyDescent="0.25">
      <x:c r="A44" s="5">
        <x:f t="shared" si="0"/>
        <x:v>34</x:v>
      </x:c>
      <x:c r="B44" t="s">
        <x:v>17</x:v>
      </x:c>
      <x:c r="C44">
        <x:v>25.23</x:v>
      </x:c>
      <x:c r="F44" s="8"/>
    </x:row>
    <x:row r="45" spans="1:6" x14ac:dyDescent="0.25">
      <x:c r="A45" s="5">
        <x:f t="shared" si="0"/>
        <x:v>35</x:v>
      </x:c>
      <x:c r="B45" t="s">
        <x:v>75</x:v>
      </x:c>
      <x:c r="C45" s="21">
        <x:v>19.09</x:v>
      </x:c>
    </x:row>
    <x:row r="46" spans="1:6" x14ac:dyDescent="0.25">
      <x:c r="A46" s="5">
        <x:f t="shared" si="0"/>
        <x:v>36</x:v>
      </x:c>
      <x:c r="B46" t="s">
        <x:v>76</x:v>
      </x:c>
      <x:c r="C46" s="8">
        <x:v>3.0700000000000002E-2</x:v>
      </x:c>
    </x:row>
    <x:row r="47" spans="1:6" x14ac:dyDescent="0.25">
      <x:c r="A47" s="5">
        <x:f t="shared" si="0"/>
        <x:v>37</x:v>
      </x:c>
      <x:c r="B47" t="s">
        <x:v>11</x:v>
      </x:c>
      <x:c r="C47">
        <x:v>0.161</x:v>
      </x:c>
    </x:row>
    <x:row r="48" spans="1:6" x14ac:dyDescent="0.25">
      <x:c r="A48" s="5">
        <x:f t="shared" si="0"/>
        <x:v>38</x:v>
      </x:c>
      <x:c r="B48" t="s">
        <x:v>61</x:v>
      </x:c>
      <x:c r="C48" s="21">
        <x:v>1034.0999999999999</x:v>
      </x:c>
    </x:row>
    <x:row r="49" spans="1:3" x14ac:dyDescent="0.25">
      <x:c r="A49" s="5">
        <x:f t="shared" si="0"/>
        <x:v>39</x:v>
      </x:c>
      <x:c r="B49" t="s">
        <x:v>62</x:v>
      </x:c>
      <x:c r="C49" s="23">
        <x:v>0</x:v>
      </x:c>
    </x:row>
    <x:row r="50" spans="1:3" x14ac:dyDescent="0.25">
      <x:c r="A50" s="5"/>
    </x:row>
  </x:sheetData>
  <x:mergeCells count="7">
    <x:mergeCell ref="B6:F6"/>
    <x:mergeCell ref="B9:F9"/>
    <x:mergeCell ref="B1:F1"/>
    <x:mergeCell ref="B2:F2"/>
    <x:mergeCell ref="B3:F3"/>
    <x:mergeCell ref="B4:F4"/>
    <x:mergeCell ref="B8:F8"/>
  </x:mergeCells>
  <x:phoneticPr fontId="0" type="noConversion"/>
  <x:pageMargins left="0.7" right="0.7" top="0.75" bottom="0.75" header="0.3" footer="0.3"/>
  <x:pageSetup firstPageNumber="8" orientation="portrait" r:id="rId1"/>
  <x:headerFooter>
    <x:oddHeader xml:space="preserve">&amp;RSchedule II-H-2.1
Page  &amp;P of  27
</x:oddHeader>
  </x:headerFooter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F00-000000000000}" mc:Ignorable="x14ac xr xr2 xr3">
  <x:sheetPr>
    <x:pageSetUpPr fitToPage="1"/>
  </x:sheetPr>
  <x:dimension ref="A1:H37"/>
  <x:sheetViews>
    <x:sheetView workbookViewId="0"/>
  </x:sheetViews>
  <x:sheetFormatPr defaultRowHeight="12.5" x14ac:dyDescent="0.25"/>
  <x:cols>
    <x:col min="2" max="2" width="20.36328125" customWidth="1"/>
    <x:col min="3" max="3" width="17.1796875" customWidth="1"/>
    <x:col min="4" max="4" width="18.81640625" customWidth="1"/>
    <x:col min="5" max="5" width="14.6328125" customWidth="1"/>
    <x:col min="6" max="6" width="15.90625" customWidth="1"/>
    <x:col min="7" max="7" width="11" customWidth="1"/>
  </x:cols>
  <x:sheetData>
    <x:row r="1" spans="1:8" ht="15.5" x14ac:dyDescent="0.25">
      <x:c r="A1" s="5"/>
      <x:c r="B1" s="41" t="str">
        <x:f>+'RES Model'!B1:F1</x:f>
        <x:v xml:space="preserve">PUC DOCKET NO. </x:v>
      </x:c>
      <x:c r="C1" s="39"/>
      <x:c r="D1" s="39"/>
      <x:c r="E1" s="39"/>
      <x:c r="F1" s="39"/>
      <x:c r="G1" s="39"/>
      <x:c r="H1" s="39"/>
    </x:row>
    <x:row r="2" spans="1:8" ht="15.5" x14ac:dyDescent="0.35">
      <x:c r="A2" s="5"/>
      <x:c r="B2" s="37" t="str">
        <x:f>+'RES Model'!B2:F2</x:f>
        <x:v>ONCOR ELECTRIC DELIVERY COMPANY LLC</x:v>
      </x:c>
      <x:c r="C2" s="39"/>
      <x:c r="D2" s="39"/>
      <x:c r="E2" s="39"/>
      <x:c r="F2" s="39"/>
      <x:c r="G2" s="39"/>
      <x:c r="H2" s="39"/>
    </x:row>
    <x:row r="3" spans="1:8" ht="15.5" x14ac:dyDescent="0.35">
      <x:c r="A3" s="5"/>
      <x:c r="B3" s="37" t="str">
        <x:f>+'RES Model'!B3:F3</x:f>
        <x:v>MODEL INFORMATION</x:v>
      </x:c>
      <x:c r="C3" s="39"/>
      <x:c r="D3" s="39"/>
      <x:c r="E3" s="39"/>
      <x:c r="F3" s="39"/>
      <x:c r="G3" s="39"/>
      <x:c r="H3" s="39"/>
    </x:row>
    <x:row r="4" spans="1:8" ht="15.5" x14ac:dyDescent="0.35">
      <x:c r="A4" s="5"/>
      <x:c r="B4" s="37" t="str">
        <x:f>+'RES Model'!B4:F4</x:f>
        <x:v>FOR THE TEST YEAR ENDING DECEMBER 31, 2024</x:v>
      </x:c>
      <x:c r="C4" s="39"/>
      <x:c r="D4" s="39"/>
      <x:c r="E4" s="39"/>
      <x:c r="F4" s="39"/>
      <x:c r="G4" s="39"/>
      <x:c r="H4" s="39"/>
    </x:row>
    <x:row r="5" spans="1:8" x14ac:dyDescent="0.25">
      <x:c r="A5" s="5"/>
      <x:c r="B5" s="1"/>
      <x:c r="C5" s="1"/>
      <x:c r="D5" s="1"/>
      <x:c r="E5" s="1"/>
      <x:c r="F5" s="1"/>
      <x:c r="G5" s="1"/>
      <x:c r="H5" s="1"/>
    </x:row>
    <x:row r="6" spans="1:8" ht="15.5" x14ac:dyDescent="0.35">
      <x:c r="A6" s="5"/>
      <x:c r="B6" s="37" t="str">
        <x:f>+'RES Model'!B6:F6</x:f>
        <x:v>SPONSOR: D. E. NELSON</x:v>
      </x:c>
      <x:c r="C6" s="39"/>
      <x:c r="D6" s="39"/>
      <x:c r="E6" s="39"/>
      <x:c r="F6" s="39"/>
      <x:c r="G6" s="39"/>
      <x:c r="H6" s="39"/>
    </x:row>
    <x:row r="8" spans="1:8" x14ac:dyDescent="0.25">
      <x:c r="A8" s="5" t="s">
        <x:v>18</x:v>
      </x:c>
      <x:c r="B8" s="38"/>
      <x:c r="C8" s="38"/>
      <x:c r="D8" s="38"/>
      <x:c r="E8" s="38"/>
      <x:c r="F8" s="38"/>
      <x:c r="G8" s="1"/>
      <x:c r="H8" s="1"/>
    </x:row>
    <x:row r="9" spans="1:8" x14ac:dyDescent="0.25">
      <x:c r="A9" s="6" t="s">
        <x:v>19</x:v>
      </x:c>
      <x:c r="B9" s="7"/>
      <x:c r="C9" s="7"/>
      <x:c r="D9" s="7"/>
      <x:c r="E9" s="7"/>
      <x:c r="F9" s="7"/>
      <x:c r="G9" s="1"/>
      <x:c r="H9" s="1"/>
    </x:row>
    <x:row r="10" spans="1:8" x14ac:dyDescent="0.25">
      <x:c r="A10" s="5">
        <x:v>1</x:v>
      </x:c>
      <x:c r="B10" s="38" t="s">
        <x:v>68</x:v>
      </x:c>
      <x:c r="C10" s="39"/>
      <x:c r="D10" s="39"/>
      <x:c r="E10" s="39"/>
      <x:c r="F10" s="39"/>
      <x:c r="G10" s="39"/>
      <x:c r="H10" s="39"/>
    </x:row>
    <x:row r="11" spans="1:8" x14ac:dyDescent="0.25">
      <x:c r="A11" s="5">
        <x:f t="shared" ref="A11:A37" si="0">+A10+1</x:f>
        <x:v>2</x:v>
      </x:c>
      <x:c r="B11" s="38" t="s">
        <x:v>45</x:v>
      </x:c>
      <x:c r="C11" s="40"/>
      <x:c r="D11" s="40"/>
      <x:c r="E11" s="40"/>
      <x:c r="F11" s="40"/>
      <x:c r="G11" s="40"/>
      <x:c r="H11" s="40"/>
    </x:row>
    <x:row r="12" spans="1:8" x14ac:dyDescent="0.25">
      <x:c r="A12" s="5">
        <x:f t="shared" si="0"/>
        <x:v>3</x:v>
      </x:c>
      <x:c r="B12" s="3"/>
      <x:c r="C12" s="9"/>
      <x:c r="D12" s="1"/>
      <x:c r="E12" s="1"/>
      <x:c r="F12" s="1"/>
      <x:c r="G12" s="1"/>
      <x:c r="H12" s="1"/>
    </x:row>
    <x:row r="13" spans="1:8" x14ac:dyDescent="0.25">
      <x:c r="A13" s="5">
        <x:f t="shared" si="0"/>
        <x:v>4</x:v>
      </x:c>
      <x:c r="B13" s="3"/>
      <x:c r="C13" s="9"/>
      <x:c r="D13" s="1"/>
      <x:c r="E13" s="1"/>
      <x:c r="F13" s="1"/>
      <x:c r="G13" s="1"/>
      <x:c r="H13" s="1"/>
    </x:row>
    <x:row r="14" spans="1:8" x14ac:dyDescent="0.25">
      <x:c r="A14" s="5">
        <x:f t="shared" si="0"/>
        <x:v>5</x:v>
      </x:c>
      <x:c r="B14" s="1"/>
      <x:c r="C14" s="1"/>
      <x:c r="D14" s="1"/>
      <x:c r="E14" s="1"/>
      <x:c r="F14" s="1"/>
      <x:c r="G14" s="1"/>
      <x:c r="H14" s="1"/>
    </x:row>
    <x:row r="15" spans="1:8" x14ac:dyDescent="0.25">
      <x:c r="A15" s="5">
        <x:f t="shared" si="0"/>
        <x:v>6</x:v>
      </x:c>
      <x:c r="B15" s="24"/>
      <x:c r="C15" s="24"/>
      <x:c r="D15" s="24"/>
      <x:c r="E15" s="24"/>
      <x:c r="F15" s="24"/>
      <x:c r="G15" s="1"/>
      <x:c r="H15" s="1"/>
    </x:row>
    <x:row r="16" spans="1:8" x14ac:dyDescent="0.25">
      <x:c r="A16" s="5">
        <x:f t="shared" si="0"/>
        <x:v>7</x:v>
      </x:c>
      <x:c r="F16" s="8"/>
    </x:row>
    <x:row r="17" spans="1:6" x14ac:dyDescent="0.25">
      <x:c r="A17" s="5">
        <x:f t="shared" si="0"/>
        <x:v>8</x:v>
      </x:c>
      <x:c r="F17" s="8"/>
    </x:row>
    <x:row r="18" spans="1:6" x14ac:dyDescent="0.25">
      <x:c r="A18" s="5">
        <x:f t="shared" si="0"/>
        <x:v>9</x:v>
      </x:c>
      <x:c r="F18" s="8"/>
    </x:row>
    <x:row r="19" spans="1:6" x14ac:dyDescent="0.25">
      <x:c r="A19" s="5">
        <x:f t="shared" si="0"/>
        <x:v>10</x:v>
      </x:c>
      <x:c r="F19" s="8"/>
    </x:row>
    <x:row r="20" spans="1:6" x14ac:dyDescent="0.25">
      <x:c r="A20" s="5">
        <x:f t="shared" si="0"/>
        <x:v>11</x:v>
      </x:c>
      <x:c r="F20" s="8"/>
    </x:row>
    <x:row r="21" spans="1:6" x14ac:dyDescent="0.25">
      <x:c r="A21" s="5">
        <x:f t="shared" si="0"/>
        <x:v>12</x:v>
      </x:c>
      <x:c r="F21" s="8"/>
    </x:row>
    <x:row r="22" spans="1:6" x14ac:dyDescent="0.25">
      <x:c r="A22" s="5">
        <x:f t="shared" si="0"/>
        <x:v>13</x:v>
      </x:c>
      <x:c r="F22" s="8"/>
    </x:row>
    <x:row r="23" spans="1:6" x14ac:dyDescent="0.25">
      <x:c r="A23" s="5">
        <x:f t="shared" si="0"/>
        <x:v>14</x:v>
      </x:c>
      <x:c r="F23" s="8"/>
    </x:row>
    <x:row r="24" spans="1:6" x14ac:dyDescent="0.25">
      <x:c r="A24" s="5">
        <x:f t="shared" si="0"/>
        <x:v>15</x:v>
      </x:c>
      <x:c r="F24" s="8"/>
    </x:row>
    <x:row r="25" spans="1:6" x14ac:dyDescent="0.25">
      <x:c r="A25" s="5">
        <x:f t="shared" si="0"/>
        <x:v>16</x:v>
      </x:c>
      <x:c r="F25" s="8"/>
    </x:row>
    <x:row r="26" spans="1:6" x14ac:dyDescent="0.25">
      <x:c r="A26" s="5">
        <x:f t="shared" si="0"/>
        <x:v>17</x:v>
      </x:c>
      <x:c r="F26" s="8"/>
    </x:row>
    <x:row r="27" spans="1:6" x14ac:dyDescent="0.25">
      <x:c r="A27" s="5">
        <x:f t="shared" si="0"/>
        <x:v>18</x:v>
      </x:c>
      <x:c r="F27" s="8"/>
    </x:row>
    <x:row r="28" spans="1:6" x14ac:dyDescent="0.25">
      <x:c r="A28" s="5">
        <x:f t="shared" si="0"/>
        <x:v>19</x:v>
      </x:c>
      <x:c r="F28" s="8"/>
    </x:row>
    <x:row r="29" spans="1:6" x14ac:dyDescent="0.25">
      <x:c r="A29" s="5">
        <x:f t="shared" si="0"/>
        <x:v>20</x:v>
      </x:c>
      <x:c r="F29" s="8"/>
    </x:row>
    <x:row r="30" spans="1:6" x14ac:dyDescent="0.25">
      <x:c r="A30" s="5">
        <x:f t="shared" si="0"/>
        <x:v>21</x:v>
      </x:c>
      <x:c r="F30" s="8"/>
    </x:row>
    <x:row r="31" spans="1:6" x14ac:dyDescent="0.25">
      <x:c r="A31" s="5">
        <x:f t="shared" si="0"/>
        <x:v>22</x:v>
      </x:c>
      <x:c r="F31" s="8"/>
    </x:row>
    <x:row r="32" spans="1:6" x14ac:dyDescent="0.25">
      <x:c r="A32" s="5">
        <x:f t="shared" si="0"/>
        <x:v>23</x:v>
      </x:c>
      <x:c r="F32" s="8"/>
    </x:row>
    <x:row r="33" spans="1:6" x14ac:dyDescent="0.25">
      <x:c r="A33" s="5">
        <x:f t="shared" si="0"/>
        <x:v>24</x:v>
      </x:c>
      <x:c r="F33" s="10"/>
    </x:row>
    <x:row r="34" spans="1:6" x14ac:dyDescent="0.25">
      <x:c r="A34" s="5">
        <x:f t="shared" si="0"/>
        <x:v>25</x:v>
      </x:c>
    </x:row>
    <x:row r="35" spans="1:6" x14ac:dyDescent="0.25">
      <x:c r="A35" s="5">
        <x:f t="shared" si="0"/>
        <x:v>26</x:v>
      </x:c>
    </x:row>
    <x:row r="36" spans="1:6" x14ac:dyDescent="0.25">
      <x:c r="A36" s="5">
        <x:f t="shared" si="0"/>
        <x:v>27</x:v>
      </x:c>
    </x:row>
    <x:row r="37" spans="1:6" x14ac:dyDescent="0.25">
      <x:c r="A37" s="5">
        <x:f t="shared" si="0"/>
        <x:v>28</x:v>
      </x:c>
    </x:row>
  </x:sheetData>
  <x:mergeCells count="8">
    <x:mergeCell ref="B10:H10"/>
    <x:mergeCell ref="B11:H11"/>
    <x:mergeCell ref="B8:F8"/>
    <x:mergeCell ref="B1:H1"/>
    <x:mergeCell ref="B2:H2"/>
    <x:mergeCell ref="B3:H3"/>
    <x:mergeCell ref="B4:H4"/>
    <x:mergeCell ref="B6:H6"/>
  </x:mergeCells>
  <x:pageMargins left="0.7" right="0.7" top="0.75" bottom="0.75" header="0.3" footer="0.3"/>
  <x:pageSetup scale="79" firstPageNumber="8" orientation="portrait" r:id="rId1"/>
  <x:headerFooter>
    <x:oddHeader xml:space="preserve">&amp;RSchedule II-H-2.1
Page  &amp;P of  27
</x:oddHeader>
  </x:headerFooter>
  <x:drawing r:id="rId2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sheetPr codeName="Sheet15">
    <x:pageSetUpPr fitToPage="1"/>
  </x:sheetPr>
  <x:dimension ref="A1:F51"/>
  <x:sheetViews>
    <x:sheetView zoomScaleNormal="100" workbookViewId="0"/>
  </x:sheetViews>
  <x:sheetFormatPr defaultRowHeight="12.5" x14ac:dyDescent="0.25"/>
  <x:cols>
    <x:col min="2" max="2" width="29.6328125" customWidth="1"/>
    <x:col min="3" max="3" width="16" customWidth="1"/>
    <x:col min="4" max="4" width="12.453125" customWidth="1"/>
    <x:col min="5" max="5" width="12.81640625" customWidth="1"/>
    <x:col min="6" max="6" width="12.453125" customWidth="1"/>
  </x:cols>
  <x:sheetData>
    <x:row r="1" spans="1:6" s="1" customFormat="1" ht="15.5" x14ac:dyDescent="0.35">
      <x:c r="A1" s="5"/>
      <x:c r="B1" s="37" t="str">
        <x:f>+'RES Model'!B1:F1</x:f>
        <x:v xml:space="preserve">PUC DOCKET NO. </x:v>
      </x:c>
      <x:c r="C1" s="37"/>
      <x:c r="D1" s="37"/>
      <x:c r="E1" s="37"/>
      <x:c r="F1" s="37"/>
    </x:row>
    <x:row r="2" spans="1:6" s="1" customFormat="1" ht="15.5" x14ac:dyDescent="0.35">
      <x:c r="A2" s="5"/>
      <x:c r="B2" s="37" t="str">
        <x:f>+'RES Model'!B2:F2</x:f>
        <x:v>ONCOR ELECTRIC DELIVERY COMPANY LLC</x:v>
      </x:c>
      <x:c r="C2" s="37"/>
      <x:c r="D2" s="37"/>
      <x:c r="E2" s="37"/>
      <x:c r="F2" s="37"/>
    </x:row>
    <x:row r="3" spans="1:6" s="1" customFormat="1" ht="15.5" x14ac:dyDescent="0.35">
      <x:c r="A3" s="5"/>
      <x:c r="B3" s="37" t="str">
        <x:f>+'RES Model'!B3:F3</x:f>
        <x:v>MODEL INFORMATION</x:v>
      </x:c>
      <x:c r="C3" s="37"/>
      <x:c r="D3" s="37"/>
      <x:c r="E3" s="37"/>
      <x:c r="F3" s="37"/>
    </x:row>
    <x:row r="4" spans="1:6" s="1" customFormat="1" ht="15.5" x14ac:dyDescent="0.35">
      <x:c r="A4" s="5"/>
      <x:c r="B4" s="37" t="str">
        <x:f>+'RES Model'!B4:F4</x:f>
        <x:v>FOR THE TEST YEAR ENDING DECEMBER 31, 2024</x:v>
      </x:c>
      <x:c r="C4" s="37"/>
      <x:c r="D4" s="37"/>
      <x:c r="E4" s="37"/>
      <x:c r="F4" s="37"/>
    </x:row>
    <x:row r="5" spans="1:6" s="1" customFormat="1" ht="11.5" x14ac:dyDescent="0.25">
      <x:c r="A5" s="5"/>
    </x:row>
    <x:row r="6" spans="1:6" s="1" customFormat="1" ht="15.5" x14ac:dyDescent="0.35">
      <x:c r="A6" s="5"/>
      <x:c r="B6" s="37" t="str">
        <x:f>+'RES Model'!B6:F6</x:f>
        <x:v>SPONSOR: D. E. NELSON</x:v>
      </x:c>
      <x:c r="C6" s="37"/>
      <x:c r="D6" s="37"/>
      <x:c r="E6" s="37"/>
      <x:c r="F6" s="37"/>
    </x:row>
    <x:row r="8" spans="1:6" ht="15.5" x14ac:dyDescent="0.35">
      <x:c r="B8" s="37" t="s">
        <x:v>82</x:v>
      </x:c>
      <x:c r="C8" s="37"/>
      <x:c r="D8" s="37"/>
      <x:c r="E8" s="37"/>
      <x:c r="F8" s="37"/>
    </x:row>
    <x:row r="9" spans="1:6" s="1" customFormat="1" ht="11.5" x14ac:dyDescent="0.25">
      <x:c r="A9" s="5" t="s">
        <x:v>18</x:v>
      </x:c>
      <x:c r="B9" s="38"/>
      <x:c r="C9" s="38"/>
      <x:c r="D9" s="38"/>
      <x:c r="E9" s="38"/>
      <x:c r="F9" s="38"/>
    </x:row>
    <x:row r="10" spans="1:6" s="1" customFormat="1" ht="11.5" x14ac:dyDescent="0.25">
      <x:c r="A10" s="6" t="s">
        <x:v>19</x:v>
      </x:c>
      <x:c r="B10" s="7" t="s">
        <x:v>20</x:v>
      </x:c>
      <x:c r="C10" s="7" t="s">
        <x:v>21</x:v>
      </x:c>
      <x:c r="D10" s="7" t="s">
        <x:v>24</x:v>
      </x:c>
      <x:c r="E10" s="7" t="s">
        <x:v>22</x:v>
      </x:c>
      <x:c r="F10" s="7" t="s">
        <x:v>23</x:v>
      </x:c>
    </x:row>
    <x:row r="11" spans="1:6" s="1" customFormat="1" ht="11.5" x14ac:dyDescent="0.25">
      <x:c r="A11" s="5">
        <x:v>1</x:v>
      </x:c>
      <x:c r="B11" s="3" t="s">
        <x:v>45</x:v>
      </x:c>
      <x:c r="C11" s="3"/>
    </x:row>
    <x:row r="12" spans="1:6" s="1" customFormat="1" ht="11.5" x14ac:dyDescent="0.25">
      <x:c r="A12" s="5">
        <x:f t="shared" ref="A12:A51" si="0">+A11+1</x:f>
        <x:v>2</x:v>
      </x:c>
      <x:c r="B12" s="3" t="s">
        <x:v>5</x:v>
      </x:c>
      <x:c r="C12" s="3" t="s">
        <x:v>69</x:v>
      </x:c>
    </x:row>
    <x:row r="13" spans="1:6" s="1" customFormat="1" ht="11.5" x14ac:dyDescent="0.25">
      <x:c r="A13" s="5">
        <x:f t="shared" si="0"/>
        <x:v>3</x:v>
      </x:c>
      <x:c r="B13" s="3" t="s">
        <x:v>6</x:v>
      </x:c>
      <x:c r="C13" s="32">
        <x:v>40544</x:v>
      </x:c>
    </x:row>
    <x:row r="14" spans="1:6" s="1" customFormat="1" ht="11.5" x14ac:dyDescent="0.25">
      <x:c r="A14" s="5">
        <x:f t="shared" si="0"/>
        <x:v>4</x:v>
      </x:c>
      <x:c r="B14" s="3" t="s">
        <x:v>7</x:v>
      </x:c>
      <x:c r="C14" s="9">
        <x:f>+'RES Model'!C14</x:f>
        <x:v>45444</x:v>
      </x:c>
    </x:row>
    <x:row r="15" spans="1:6" s="1" customFormat="1" ht="11.5" x14ac:dyDescent="0.25">
      <x:c r="A15" s="5">
        <x:f t="shared" si="0"/>
        <x:v>5</x:v>
      </x:c>
    </x:row>
    <x:row r="16" spans="1:6" s="1" customFormat="1" ht="11.5" x14ac:dyDescent="0.25">
      <x:c r="A16" s="5">
        <x:f t="shared" si="0"/>
        <x:v>6</x:v>
      </x:c>
      <x:c r="B16" s="4" t="s">
        <x:v>0</x:v>
      </x:c>
      <x:c r="C16" s="4" t="s">
        <x:v>1</x:v>
      </x:c>
      <x:c r="D16" s="4" t="s">
        <x:v>2</x:v>
      </x:c>
      <x:c r="E16" s="4" t="s">
        <x:v>3</x:v>
      </x:c>
      <x:c r="F16" s="4" t="s">
        <x:v>4</x:v>
      </x:c>
    </x:row>
    <x:row r="17" spans="1:6" x14ac:dyDescent="0.25">
      <x:c r="A17" s="5">
        <x:f t="shared" si="0"/>
        <x:v>7</x:v>
      </x:c>
      <x:c r="B17" t="s">
        <x:v>103</x:v>
      </x:c>
      <x:c r="C17" s="13">
        <x:v>459.51100000000002</x:v>
      </x:c>
      <x:c r="D17" s="13">
        <x:v>156.822</x:v>
      </x:c>
      <x:c r="E17" s="13">
        <x:v>2.93</x:v>
      </x:c>
      <x:c r="F17" s="14">
        <x:v>3.8999999999999998E-3</x:v>
      </x:c>
    </x:row>
    <x:row r="18" spans="1:6" x14ac:dyDescent="0.25">
      <x:c r="A18" s="5">
        <x:f t="shared" si="0"/>
        <x:v>8</x:v>
      </x:c>
      <x:c r="B18" t="s">
        <x:v>74</x:v>
      </x:c>
      <x:c r="C18" s="13">
        <x:v>0.123</x:v>
      </x:c>
      <x:c r="D18" s="13">
        <x:v>4.0000000000000001E-3</x:v>
      </x:c>
      <x:c r="E18" s="13">
        <x:v>34.100999999999999</x:v>
      </x:c>
      <x:c r="F18" s="14">
        <x:v>0</x:v>
      </x:c>
    </x:row>
    <x:row r="19" spans="1:6" x14ac:dyDescent="0.25">
      <x:c r="A19" s="5">
        <x:f t="shared" si="0"/>
        <x:v>9</x:v>
      </x:c>
      <x:c r="B19" t="s">
        <x:v>28</x:v>
      </x:c>
      <x:c r="C19" s="13">
        <x:v>-60255.86</x:v>
      </x:c>
      <x:c r="D19" s="13">
        <x:v>2994.645</x:v>
      </x:c>
      <x:c r="E19" s="13">
        <x:v>-20.120999999999999</x:v>
      </x:c>
      <x:c r="F19" s="14">
        <x:v>0</x:v>
      </x:c>
    </x:row>
    <x:row r="20" spans="1:6" x14ac:dyDescent="0.25">
      <x:c r="A20" s="5">
        <x:f t="shared" si="0"/>
        <x:v>10</x:v>
      </x:c>
      <x:c r="B20" t="s">
        <x:v>29</x:v>
      </x:c>
      <x:c r="C20" s="13">
        <x:v>-59397.553999999996</x:v>
      </x:c>
      <x:c r="D20" s="13">
        <x:v>3001.2959999999998</x:v>
      </x:c>
      <x:c r="E20" s="13">
        <x:v>-19.791</x:v>
      </x:c>
      <x:c r="F20" s="14">
        <x:v>0</x:v>
      </x:c>
    </x:row>
    <x:row r="21" spans="1:6" x14ac:dyDescent="0.25">
      <x:c r="A21" s="5">
        <x:f t="shared" si="0"/>
        <x:v>11</x:v>
      </x:c>
      <x:c r="B21" t="s">
        <x:v>30</x:v>
      </x:c>
      <x:c r="C21" s="13">
        <x:v>-61212.675000000003</x:v>
      </x:c>
      <x:c r="D21" s="13">
        <x:v>3018.299</x:v>
      </x:c>
      <x:c r="E21" s="13">
        <x:v>-20.280999999999999</x:v>
      </x:c>
      <x:c r="F21" s="14">
        <x:v>0</x:v>
      </x:c>
    </x:row>
    <x:row r="22" spans="1:6" x14ac:dyDescent="0.25">
      <x:c r="A22" s="5">
        <x:f t="shared" si="0"/>
        <x:v>12</x:v>
      </x:c>
      <x:c r="B22" t="s">
        <x:v>31</x:v>
      </x:c>
      <x:c r="C22" s="13">
        <x:v>-61342.408000000003</x:v>
      </x:c>
      <x:c r="D22" s="13">
        <x:v>3179.5430000000001</x:v>
      </x:c>
      <x:c r="E22" s="13">
        <x:v>-19.292999999999999</x:v>
      </x:c>
      <x:c r="F22" s="14">
        <x:v>0</x:v>
      </x:c>
    </x:row>
    <x:row r="23" spans="1:6" x14ac:dyDescent="0.25">
      <x:c r="A23" s="5">
        <x:f t="shared" si="0"/>
        <x:v>13</x:v>
      </x:c>
      <x:c r="B23" t="s">
        <x:v>32</x:v>
      </x:c>
      <x:c r="C23" s="13">
        <x:v>-63368.737000000001</x:v>
      </x:c>
      <x:c r="D23" s="13">
        <x:v>3488.9569999999999</x:v>
      </x:c>
      <x:c r="E23" s="13">
        <x:v>-18.163</x:v>
      </x:c>
      <x:c r="F23" s="14">
        <x:v>0</x:v>
      </x:c>
    </x:row>
    <x:row r="24" spans="1:6" x14ac:dyDescent="0.25">
      <x:c r="A24" s="5">
        <x:f t="shared" si="0"/>
        <x:v>14</x:v>
      </x:c>
      <x:c r="B24" t="s">
        <x:v>33</x:v>
      </x:c>
      <x:c r="C24" s="13">
        <x:v>-65498.262000000002</x:v>
      </x:c>
      <x:c r="D24" s="13">
        <x:v>4175.1850000000004</x:v>
      </x:c>
      <x:c r="E24" s="13">
        <x:v>-15.688000000000001</x:v>
      </x:c>
      <x:c r="F24" s="14">
        <x:v>0</x:v>
      </x:c>
    </x:row>
    <x:row r="25" spans="1:6" x14ac:dyDescent="0.25">
      <x:c r="A25" s="5">
        <x:f t="shared" si="0"/>
        <x:v>15</x:v>
      </x:c>
      <x:c r="B25" t="s">
        <x:v>34</x:v>
      </x:c>
      <x:c r="C25" s="13">
        <x:v>-67543.623999999996</x:v>
      </x:c>
      <x:c r="D25" s="13">
        <x:v>4842.4570000000003</x:v>
      </x:c>
      <x:c r="E25" s="13">
        <x:v>-13.948</x:v>
      </x:c>
      <x:c r="F25" s="14">
        <x:v>0</x:v>
      </x:c>
    </x:row>
    <x:row r="26" spans="1:6" x14ac:dyDescent="0.25">
      <x:c r="A26" s="5">
        <x:f t="shared" si="0"/>
        <x:v>16</x:v>
      </x:c>
      <x:c r="B26" t="s">
        <x:v>35</x:v>
      </x:c>
      <x:c r="C26" s="13">
        <x:v>-67337.633000000002</x:v>
      </x:c>
      <x:c r="D26" s="13">
        <x:v>5146.7430000000004</x:v>
      </x:c>
      <x:c r="E26" s="13">
        <x:v>-13.084</x:v>
      </x:c>
      <x:c r="F26" s="14">
        <x:v>0</x:v>
      </x:c>
    </x:row>
    <x:row r="27" spans="1:6" x14ac:dyDescent="0.25">
      <x:c r="A27" s="5">
        <x:f t="shared" si="0"/>
        <x:v>17</x:v>
      </x:c>
      <x:c r="B27" t="s">
        <x:v>36</x:v>
      </x:c>
      <x:c r="C27" s="13">
        <x:v>-66652.907999999996</x:v>
      </x:c>
      <x:c r="D27" s="13">
        <x:v>4781.4459999999999</x:v>
      </x:c>
      <x:c r="E27" s="13">
        <x:v>-13.94</x:v>
      </x:c>
      <x:c r="F27" s="14">
        <x:v>0</x:v>
      </x:c>
    </x:row>
    <x:row r="28" spans="1:6" x14ac:dyDescent="0.25">
      <x:c r="A28" s="5">
        <x:f t="shared" si="0"/>
        <x:v>18</x:v>
      </x:c>
      <x:c r="B28" t="s">
        <x:v>37</x:v>
      </x:c>
      <x:c r="C28" s="13">
        <x:v>-63728.34</x:v>
      </x:c>
      <x:c r="D28" s="13">
        <x:v>3968.5610000000001</x:v>
      </x:c>
      <x:c r="E28" s="13">
        <x:v>-16.058</x:v>
      </x:c>
      <x:c r="F28" s="14">
        <x:v>0</x:v>
      </x:c>
    </x:row>
    <x:row r="29" spans="1:6" x14ac:dyDescent="0.25">
      <x:c r="A29" s="5">
        <x:f t="shared" si="0"/>
        <x:v>19</x:v>
      </x:c>
      <x:c r="B29" t="s">
        <x:v>38</x:v>
      </x:c>
      <x:c r="C29" s="13">
        <x:v>-60809.071000000004</x:v>
      </x:c>
      <x:c r="D29" s="13">
        <x:v>3287.4540000000002</x:v>
      </x:c>
      <x:c r="E29" s="13">
        <x:v>-18.497</x:v>
      </x:c>
      <x:c r="F29" s="14">
        <x:v>0</x:v>
      </x:c>
    </x:row>
    <x:row r="30" spans="1:6" x14ac:dyDescent="0.25">
      <x:c r="A30" s="5">
        <x:f t="shared" si="0"/>
        <x:v>20</x:v>
      </x:c>
      <x:c r="B30" t="s">
        <x:v>41</x:v>
      </x:c>
      <x:c r="C30" s="13">
        <x:v>-60573.254999999997</x:v>
      </x:c>
      <x:c r="D30" s="13">
        <x:v>3057.6419999999998</x:v>
      </x:c>
      <x:c r="E30" s="13">
        <x:v>-19.809999999999999</x:v>
      </x:c>
      <x:c r="F30" s="14">
        <x:v>0</x:v>
      </x:c>
    </x:row>
    <x:row r="31" spans="1:6" x14ac:dyDescent="0.25">
      <x:c r="A31" s="5">
        <x:f t="shared" si="0"/>
        <x:v>21</x:v>
      </x:c>
      <x:c r="B31" t="s">
        <x:v>107</x:v>
      </x:c>
      <x:c r="C31" s="13">
        <x:v>-3165.1089999999999</x:v>
      </x:c>
      <x:c r="D31" s="13">
        <x:v>1613.06</x:v>
      </x:c>
      <x:c r="E31" s="13">
        <x:v>-1.962</x:v>
      </x:c>
      <x:c r="F31" s="14">
        <x:v>5.1700000000000003E-2</x:v>
      </x:c>
    </x:row>
    <x:row r="32" spans="1:6" x14ac:dyDescent="0.25">
      <x:c r="A32" s="5">
        <x:f t="shared" si="0"/>
        <x:v>22</x:v>
      </x:c>
      <x:c r="B32" t="s">
        <x:v>58</x:v>
      </x:c>
      <x:c r="C32" s="13">
        <x:v>-13070.044</x:v>
      </x:c>
      <x:c r="D32" s="13">
        <x:v>3462.0250000000001</x:v>
      </x:c>
      <x:c r="E32" s="13">
        <x:v>-3.7749999999999999</x:v>
      </x:c>
      <x:c r="F32" s="14">
        <x:v>2.0000000000000001E-4</x:v>
      </x:c>
    </x:row>
    <x:row r="33" spans="1:6" x14ac:dyDescent="0.25">
      <x:c r="A33" s="5">
        <x:f t="shared" si="0"/>
        <x:v>23</x:v>
      </x:c>
      <x:c r="B33" t="s">
        <x:v>104</x:v>
      </x:c>
      <x:c r="C33" s="13">
        <x:v>-7677.4830000000002</x:v>
      </x:c>
      <x:c r="D33" s="13">
        <x:v>3514.0010000000002</x:v>
      </x:c>
      <x:c r="E33" s="13">
        <x:v>-2.1850000000000001</x:v>
      </x:c>
      <x:c r="F33" s="14">
        <x:v>3.0499999999999999E-2</x:v>
      </x:c>
    </x:row>
    <x:row r="34" spans="1:6" x14ac:dyDescent="0.25">
      <x:c r="A34" s="5">
        <x:f t="shared" si="0"/>
        <x:v>24</x:v>
      </x:c>
      <x:c r="B34" t="s">
        <x:v>105</x:v>
      </x:c>
      <x:c r="C34" s="13">
        <x:v>-6953.8140000000003</x:v>
      </x:c>
      <x:c r="D34" s="13">
        <x:v>3488.4250000000002</x:v>
      </x:c>
      <x:c r="E34" s="13">
        <x:v>-1.9930000000000001</x:v>
      </x:c>
      <x:c r="F34" s="14">
        <x:v>4.8099999999999997E-2</x:v>
      </x:c>
    </x:row>
    <x:row r="35" spans="1:6" x14ac:dyDescent="0.25">
      <x:c r="A35" s="5">
        <x:f t="shared" si="0"/>
        <x:v>25</x:v>
      </x:c>
      <x:c r="F35" s="2"/>
    </x:row>
    <x:row r="36" spans="1:6" x14ac:dyDescent="0.25">
      <x:c r="A36" s="5">
        <x:f t="shared" si="0"/>
        <x:v>26</x:v>
      </x:c>
      <x:c r="B36" s="15" t="s">
        <x:v>53</x:v>
      </x:c>
      <x:c r="C36" s="19"/>
      <x:c r="F36" s="10"/>
    </x:row>
    <x:row r="37" spans="1:6" x14ac:dyDescent="0.25">
      <x:c r="A37" s="5">
        <x:f t="shared" si="0"/>
        <x:v>27</x:v>
      </x:c>
      <x:c r="B37" t="s">
        <x:v>25</x:v>
      </x:c>
      <x:c r="C37">
        <x:v>162</x:v>
      </x:c>
      <x:c r="F37" s="8"/>
    </x:row>
    <x:row r="38" spans="1:6" x14ac:dyDescent="0.25">
      <x:c r="A38" s="5">
        <x:f t="shared" si="0"/>
        <x:v>28</x:v>
      </x:c>
      <x:c r="B38" t="s">
        <x:v>8</x:v>
      </x:c>
      <x:c r="C38" s="31">
        <x:v>144</x:v>
      </x:c>
      <x:c r="F38" s="8"/>
    </x:row>
    <x:row r="39" spans="1:6" x14ac:dyDescent="0.25">
      <x:c r="A39" s="5">
        <x:f t="shared" si="0"/>
        <x:v>29</x:v>
      </x:c>
      <x:c r="B39" t="s">
        <x:v>9</x:v>
      </x:c>
      <x:c r="C39" s="29">
        <x:v>0.89700000000000002</x:v>
      </x:c>
      <x:c r="F39" s="8"/>
    </x:row>
    <x:row r="40" spans="1:6" x14ac:dyDescent="0.25">
      <x:c r="A40" s="5">
        <x:f t="shared" si="0"/>
        <x:v>30</x:v>
      </x:c>
      <x:c r="B40" t="s">
        <x:v>10</x:v>
      </x:c>
      <x:c r="C40" s="29">
        <x:v>0.88500000000000001</x:v>
      </x:c>
      <x:c r="F40" s="8"/>
    </x:row>
    <x:row r="41" spans="1:6" x14ac:dyDescent="0.25">
      <x:c r="A41" s="5">
        <x:f t="shared" si="0"/>
        <x:v>31</x:v>
      </x:c>
      <x:c r="B41" t="s">
        <x:v>12</x:v>
      </x:c>
      <x:c r="C41" s="35">
        <x:v>73.846999999999994</x:v>
      </x:c>
      <x:c r="F41" s="8"/>
    </x:row>
    <x:row r="42" spans="1:6" x14ac:dyDescent="0.25">
      <x:c r="A42" s="5">
        <x:f t="shared" si="0"/>
        <x:v>32</x:v>
      </x:c>
      <x:c r="B42" t="s">
        <x:v>13</x:v>
      </x:c>
      <x:c r="C42" s="36">
        <x:v>0</x:v>
      </x:c>
      <x:c r="F42" s="8"/>
    </x:row>
    <x:row r="43" spans="1:6" x14ac:dyDescent="0.25">
      <x:c r="A43" s="5">
        <x:f t="shared" si="0"/>
        <x:v>33</x:v>
      </x:c>
      <x:c r="B43" t="s">
        <x:v>14</x:v>
      </x:c>
      <x:c r="C43" s="20">
        <x:v>13850366434.889999</x:v>
      </x:c>
    </x:row>
    <x:row r="44" spans="1:6" x14ac:dyDescent="0.25">
      <x:c r="A44" s="5">
        <x:f t="shared" si="0"/>
        <x:v>34</x:v>
      </x:c>
      <x:c r="B44" t="s">
        <x:v>15</x:v>
      </x:c>
      <x:c r="C44" s="20">
        <x:v>1588706385.2</x:v>
      </x:c>
      <x:c r="F44" s="8"/>
    </x:row>
    <x:row r="45" spans="1:6" x14ac:dyDescent="0.25">
      <x:c r="A45" s="5">
        <x:f t="shared" si="0"/>
        <x:v>35</x:v>
      </x:c>
      <x:c r="B45" t="s">
        <x:v>16</x:v>
      </x:c>
      <x:c r="C45" s="20">
        <x:v>11032683.23</x:v>
      </x:c>
      <x:c r="F45" s="8"/>
    </x:row>
    <x:row r="46" spans="1:6" x14ac:dyDescent="0.25">
      <x:c r="A46" s="5">
        <x:f t="shared" si="0"/>
        <x:v>36</x:v>
      </x:c>
      <x:c r="B46" t="s">
        <x:v>17</x:v>
      </x:c>
      <x:c r="C46" s="26">
        <x:v>3321.55</x:v>
      </x:c>
      <x:c r="F46" s="8"/>
    </x:row>
    <x:row r="47" spans="1:6" x14ac:dyDescent="0.25">
      <x:c r="A47" s="5">
        <x:f t="shared" si="0"/>
        <x:v>37</x:v>
      </x:c>
      <x:c r="B47" t="s">
        <x:v>75</x:v>
      </x:c>
      <x:c r="C47" s="21">
        <x:v>2511.2800000000002</x:v>
      </x:c>
    </x:row>
    <x:row r="48" spans="1:6" x14ac:dyDescent="0.25">
      <x:c r="A48" s="5">
        <x:f t="shared" si="0"/>
        <x:v>38</x:v>
      </x:c>
      <x:c r="B48" t="s">
        <x:v>76</x:v>
      </x:c>
      <x:c r="C48" s="8">
        <x:v>6.88E-2</x:v>
      </x:c>
    </x:row>
    <x:row r="49" spans="1:3" x14ac:dyDescent="0.25">
      <x:c r="A49" s="5">
        <x:f t="shared" si="0"/>
        <x:v>39</x:v>
      </x:c>
      <x:c r="B49" t="s">
        <x:v>11</x:v>
      </x:c>
      <x:c r="C49">
        <x:v>0.39800000000000002</x:v>
      </x:c>
    </x:row>
    <x:row r="50" spans="1:3" x14ac:dyDescent="0.25">
      <x:c r="A50" s="5">
        <x:f t="shared" si="0"/>
        <x:v>40</x:v>
      </x:c>
      <x:c r="B50" t="s">
        <x:v>61</x:v>
      </x:c>
      <x:c r="C50">
        <x:v>947.26</x:v>
      </x:c>
    </x:row>
    <x:row r="51" spans="1:3" x14ac:dyDescent="0.25">
      <x:c r="A51" s="5">
        <x:f t="shared" si="0"/>
        <x:v>41</x:v>
      </x:c>
      <x:c r="B51" t="s">
        <x:v>62</x:v>
      </x:c>
      <x:c r="C51" s="23">
        <x:v>0</x:v>
      </x:c>
    </x:row>
  </x:sheetData>
  <x:mergeCells count="7">
    <x:mergeCell ref="B6:F6"/>
    <x:mergeCell ref="B9:F9"/>
    <x:mergeCell ref="B1:F1"/>
    <x:mergeCell ref="B2:F2"/>
    <x:mergeCell ref="B3:F3"/>
    <x:mergeCell ref="B4:F4"/>
    <x:mergeCell ref="B8:F8"/>
  </x:mergeCells>
  <x:phoneticPr fontId="0" type="noConversion"/>
  <x:pageMargins left="0.7" right="0.7" top="0.75" bottom="0.75" header="0.3" footer="0.3"/>
  <x:pageSetup firstPageNumber="8" orientation="portrait" r:id="rId1"/>
  <x:headerFooter>
    <x:oddHeader xml:space="preserve">&amp;RSchedule II-H-2.1
Page  &amp;P of  27
</x:oddHeader>
  </x:headerFooter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sheetPr>
    <x:pageSetUpPr fitToPage="1"/>
  </x:sheetPr>
  <x:dimension ref="A1:H37"/>
  <x:sheetViews>
    <x:sheetView workbookViewId="0"/>
  </x:sheetViews>
  <x:sheetFormatPr defaultRowHeight="12.5" x14ac:dyDescent="0.25"/>
  <x:cols>
    <x:col min="2" max="2" width="20.36328125" customWidth="1"/>
    <x:col min="3" max="3" width="17.1796875" customWidth="1"/>
    <x:col min="4" max="4" width="18.81640625" customWidth="1"/>
    <x:col min="5" max="5" width="14.6328125" customWidth="1"/>
    <x:col min="6" max="6" width="15.90625" customWidth="1"/>
    <x:col min="7" max="7" width="11" customWidth="1"/>
  </x:cols>
  <x:sheetData>
    <x:row r="1" spans="1:8" ht="15.5" x14ac:dyDescent="0.25">
      <x:c r="A1" s="5"/>
      <x:c r="B1" s="41" t="str">
        <x:f>+'RES Model'!B1:F1</x:f>
        <x:v xml:space="preserve">PUC DOCKET NO. </x:v>
      </x:c>
      <x:c r="C1" s="39"/>
      <x:c r="D1" s="39"/>
      <x:c r="E1" s="39"/>
      <x:c r="F1" s="39"/>
      <x:c r="G1" s="39"/>
      <x:c r="H1" s="39"/>
    </x:row>
    <x:row r="2" spans="1:8" ht="15.5" x14ac:dyDescent="0.35">
      <x:c r="A2" s="5"/>
      <x:c r="B2" s="37" t="str">
        <x:f>+'RES Model'!B2:F2</x:f>
        <x:v>ONCOR ELECTRIC DELIVERY COMPANY LLC</x:v>
      </x:c>
      <x:c r="C2" s="39"/>
      <x:c r="D2" s="39"/>
      <x:c r="E2" s="39"/>
      <x:c r="F2" s="39"/>
      <x:c r="G2" s="39"/>
      <x:c r="H2" s="39"/>
    </x:row>
    <x:row r="3" spans="1:8" ht="15.5" x14ac:dyDescent="0.35">
      <x:c r="A3" s="5"/>
      <x:c r="B3" s="37" t="str">
        <x:f>+'RES Model'!B3:F3</x:f>
        <x:v>MODEL INFORMATION</x:v>
      </x:c>
      <x:c r="C3" s="39"/>
      <x:c r="D3" s="39"/>
      <x:c r="E3" s="39"/>
      <x:c r="F3" s="39"/>
      <x:c r="G3" s="39"/>
      <x:c r="H3" s="39"/>
    </x:row>
    <x:row r="4" spans="1:8" ht="15.5" x14ac:dyDescent="0.35">
      <x:c r="A4" s="5"/>
      <x:c r="B4" s="37" t="str">
        <x:f>+'RES Model'!B4:F4</x:f>
        <x:v>FOR THE TEST YEAR ENDING DECEMBER 31, 2024</x:v>
      </x:c>
      <x:c r="C4" s="39"/>
      <x:c r="D4" s="39"/>
      <x:c r="E4" s="39"/>
      <x:c r="F4" s="39"/>
      <x:c r="G4" s="39"/>
      <x:c r="H4" s="39"/>
    </x:row>
    <x:row r="5" spans="1:8" x14ac:dyDescent="0.25">
      <x:c r="A5" s="5"/>
      <x:c r="B5" s="1"/>
      <x:c r="C5" s="1"/>
      <x:c r="D5" s="1"/>
      <x:c r="E5" s="1"/>
      <x:c r="F5" s="1"/>
      <x:c r="G5" s="1"/>
      <x:c r="H5" s="1"/>
    </x:row>
    <x:row r="6" spans="1:8" ht="15.5" x14ac:dyDescent="0.35">
      <x:c r="A6" s="5"/>
      <x:c r="B6" s="37" t="str">
        <x:f>+'RES Model'!B6:F6</x:f>
        <x:v>SPONSOR: D. E. NELSON</x:v>
      </x:c>
      <x:c r="C6" s="39"/>
      <x:c r="D6" s="39"/>
      <x:c r="E6" s="39"/>
      <x:c r="F6" s="39"/>
      <x:c r="G6" s="39"/>
      <x:c r="H6" s="39"/>
    </x:row>
    <x:row r="8" spans="1:8" x14ac:dyDescent="0.25">
      <x:c r="A8" s="5" t="s">
        <x:v>18</x:v>
      </x:c>
      <x:c r="B8" s="38"/>
      <x:c r="C8" s="38"/>
      <x:c r="D8" s="38"/>
      <x:c r="E8" s="38"/>
      <x:c r="F8" s="38"/>
      <x:c r="G8" s="1"/>
      <x:c r="H8" s="1"/>
    </x:row>
    <x:row r="9" spans="1:8" x14ac:dyDescent="0.25">
      <x:c r="A9" s="6" t="s">
        <x:v>19</x:v>
      </x:c>
      <x:c r="B9" s="7"/>
      <x:c r="C9" s="7"/>
      <x:c r="D9" s="7"/>
      <x:c r="E9" s="7"/>
      <x:c r="F9" s="7"/>
      <x:c r="G9" s="1"/>
      <x:c r="H9" s="1"/>
    </x:row>
    <x:row r="10" spans="1:8" x14ac:dyDescent="0.25">
      <x:c r="A10" s="5">
        <x:v>1</x:v>
      </x:c>
      <x:c r="B10" s="38" t="s">
        <x:v>86</x:v>
      </x:c>
      <x:c r="C10" s="39"/>
      <x:c r="D10" s="39"/>
      <x:c r="E10" s="39"/>
      <x:c r="F10" s="39"/>
      <x:c r="G10" s="39"/>
      <x:c r="H10" s="39"/>
    </x:row>
    <x:row r="11" spans="1:8" x14ac:dyDescent="0.25">
      <x:c r="A11" s="5">
        <x:f t="shared" ref="A11:A37" si="0">+A10+1</x:f>
        <x:v>2</x:v>
      </x:c>
      <x:c r="B11" s="38" t="s">
        <x:v>45</x:v>
      </x:c>
      <x:c r="C11" s="40"/>
      <x:c r="D11" s="40"/>
      <x:c r="E11" s="40"/>
      <x:c r="F11" s="40"/>
      <x:c r="G11" s="40"/>
      <x:c r="H11" s="40"/>
    </x:row>
    <x:row r="12" spans="1:8" x14ac:dyDescent="0.25">
      <x:c r="A12" s="5">
        <x:f t="shared" si="0"/>
        <x:v>3</x:v>
      </x:c>
      <x:c r="B12" s="3"/>
      <x:c r="C12" s="9"/>
      <x:c r="D12" s="1"/>
      <x:c r="E12" s="1"/>
      <x:c r="F12" s="1"/>
      <x:c r="G12" s="1"/>
      <x:c r="H12" s="1"/>
    </x:row>
    <x:row r="13" spans="1:8" x14ac:dyDescent="0.25">
      <x:c r="A13" s="5">
        <x:f t="shared" si="0"/>
        <x:v>4</x:v>
      </x:c>
      <x:c r="B13" s="3"/>
      <x:c r="C13" s="9"/>
      <x:c r="D13" s="1"/>
      <x:c r="E13" s="1"/>
      <x:c r="F13" s="1"/>
      <x:c r="G13" s="1"/>
      <x:c r="H13" s="1"/>
    </x:row>
    <x:row r="14" spans="1:8" x14ac:dyDescent="0.25">
      <x:c r="A14" s="5">
        <x:f t="shared" si="0"/>
        <x:v>5</x:v>
      </x:c>
      <x:c r="B14" s="1"/>
      <x:c r="C14" s="1"/>
      <x:c r="D14" s="1"/>
      <x:c r="E14" s="1"/>
      <x:c r="F14" s="1"/>
      <x:c r="G14" s="1"/>
      <x:c r="H14" s="1"/>
    </x:row>
    <x:row r="15" spans="1:8" x14ac:dyDescent="0.25">
      <x:c r="A15" s="5">
        <x:f t="shared" si="0"/>
        <x:v>6</x:v>
      </x:c>
      <x:c r="B15" s="24"/>
      <x:c r="C15" s="24"/>
      <x:c r="D15" s="24"/>
      <x:c r="E15" s="24"/>
      <x:c r="F15" s="24"/>
      <x:c r="G15" s="1"/>
      <x:c r="H15" s="1"/>
    </x:row>
    <x:row r="16" spans="1:8" x14ac:dyDescent="0.25">
      <x:c r="A16" s="5">
        <x:f t="shared" si="0"/>
        <x:v>7</x:v>
      </x:c>
      <x:c r="F16" s="8"/>
    </x:row>
    <x:row r="17" spans="1:6" x14ac:dyDescent="0.25">
      <x:c r="A17" s="5">
        <x:f t="shared" si="0"/>
        <x:v>8</x:v>
      </x:c>
      <x:c r="F17" s="8"/>
    </x:row>
    <x:row r="18" spans="1:6" x14ac:dyDescent="0.25">
      <x:c r="A18" s="5">
        <x:f t="shared" si="0"/>
        <x:v>9</x:v>
      </x:c>
      <x:c r="F18" s="8"/>
    </x:row>
    <x:row r="19" spans="1:6" x14ac:dyDescent="0.25">
      <x:c r="A19" s="5">
        <x:f t="shared" si="0"/>
        <x:v>10</x:v>
      </x:c>
      <x:c r="F19" s="8"/>
    </x:row>
    <x:row r="20" spans="1:6" x14ac:dyDescent="0.25">
      <x:c r="A20" s="5">
        <x:f t="shared" si="0"/>
        <x:v>11</x:v>
      </x:c>
      <x:c r="F20" s="8"/>
    </x:row>
    <x:row r="21" spans="1:6" x14ac:dyDescent="0.25">
      <x:c r="A21" s="5">
        <x:f t="shared" si="0"/>
        <x:v>12</x:v>
      </x:c>
      <x:c r="F21" s="8"/>
    </x:row>
    <x:row r="22" spans="1:6" x14ac:dyDescent="0.25">
      <x:c r="A22" s="5">
        <x:f t="shared" si="0"/>
        <x:v>13</x:v>
      </x:c>
      <x:c r="F22" s="8"/>
    </x:row>
    <x:row r="23" spans="1:6" x14ac:dyDescent="0.25">
      <x:c r="A23" s="5">
        <x:f t="shared" si="0"/>
        <x:v>14</x:v>
      </x:c>
      <x:c r="F23" s="8"/>
    </x:row>
    <x:row r="24" spans="1:6" x14ac:dyDescent="0.25">
      <x:c r="A24" s="5">
        <x:f t="shared" si="0"/>
        <x:v>15</x:v>
      </x:c>
      <x:c r="F24" s="8"/>
    </x:row>
    <x:row r="25" spans="1:6" x14ac:dyDescent="0.25">
      <x:c r="A25" s="5">
        <x:f t="shared" si="0"/>
        <x:v>16</x:v>
      </x:c>
      <x:c r="F25" s="8"/>
    </x:row>
    <x:row r="26" spans="1:6" x14ac:dyDescent="0.25">
      <x:c r="A26" s="5">
        <x:f t="shared" si="0"/>
        <x:v>17</x:v>
      </x:c>
      <x:c r="F26" s="8"/>
    </x:row>
    <x:row r="27" spans="1:6" x14ac:dyDescent="0.25">
      <x:c r="A27" s="5">
        <x:f t="shared" si="0"/>
        <x:v>18</x:v>
      </x:c>
      <x:c r="F27" s="8"/>
    </x:row>
    <x:row r="28" spans="1:6" x14ac:dyDescent="0.25">
      <x:c r="A28" s="5">
        <x:f t="shared" si="0"/>
        <x:v>19</x:v>
      </x:c>
      <x:c r="F28" s="8"/>
    </x:row>
    <x:row r="29" spans="1:6" x14ac:dyDescent="0.25">
      <x:c r="A29" s="5">
        <x:f t="shared" si="0"/>
        <x:v>20</x:v>
      </x:c>
      <x:c r="F29" s="8"/>
    </x:row>
    <x:row r="30" spans="1:6" x14ac:dyDescent="0.25">
      <x:c r="A30" s="5">
        <x:f t="shared" si="0"/>
        <x:v>21</x:v>
      </x:c>
      <x:c r="F30" s="8"/>
    </x:row>
    <x:row r="31" spans="1:6" x14ac:dyDescent="0.25">
      <x:c r="A31" s="5">
        <x:f t="shared" si="0"/>
        <x:v>22</x:v>
      </x:c>
      <x:c r="F31" s="8"/>
    </x:row>
    <x:row r="32" spans="1:6" x14ac:dyDescent="0.25">
      <x:c r="A32" s="5">
        <x:f t="shared" si="0"/>
        <x:v>23</x:v>
      </x:c>
      <x:c r="F32" s="8"/>
    </x:row>
    <x:row r="33" spans="1:6" x14ac:dyDescent="0.25">
      <x:c r="A33" s="5">
        <x:f t="shared" si="0"/>
        <x:v>24</x:v>
      </x:c>
      <x:c r="F33" s="10"/>
    </x:row>
    <x:row r="34" spans="1:6" x14ac:dyDescent="0.25">
      <x:c r="A34" s="5">
        <x:f t="shared" si="0"/>
        <x:v>25</x:v>
      </x:c>
    </x:row>
    <x:row r="35" spans="1:6" x14ac:dyDescent="0.25">
      <x:c r="A35" s="5">
        <x:f t="shared" si="0"/>
        <x:v>26</x:v>
      </x:c>
    </x:row>
    <x:row r="36" spans="1:6" x14ac:dyDescent="0.25">
      <x:c r="A36" s="5">
        <x:f t="shared" si="0"/>
        <x:v>27</x:v>
      </x:c>
    </x:row>
    <x:row r="37" spans="1:6" x14ac:dyDescent="0.25">
      <x:c r="A37" s="5">
        <x:f t="shared" si="0"/>
        <x:v>28</x:v>
      </x:c>
    </x:row>
  </x:sheetData>
  <x:mergeCells count="8">
    <x:mergeCell ref="B10:H10"/>
    <x:mergeCell ref="B11:H11"/>
    <x:mergeCell ref="B8:F8"/>
    <x:mergeCell ref="B1:H1"/>
    <x:mergeCell ref="B2:H2"/>
    <x:mergeCell ref="B3:H3"/>
    <x:mergeCell ref="B4:H4"/>
    <x:mergeCell ref="B6:H6"/>
  </x:mergeCells>
  <x:pageMargins left="0.7" right="0.7" top="0.75" bottom="0.75" header="0.3" footer="0.3"/>
  <x:pageSetup scale="79" firstPageNumber="8" orientation="portrait" r:id="rId1"/>
  <x:headerFooter>
    <x:oddHeader xml:space="preserve">&amp;RSchedule II-H-2.1
Page  &amp;P of  27
</x:oddHeader>
  </x:headerFooter>
  <x:drawing r:id="rId2"/>
</x:worksheet>
</file>

<file path=xl/worksheets/sheet1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200-000000000000}" mc:Ignorable="x14ac xr xr2 xr3">
  <x:sheetPr>
    <x:pageSetUpPr fitToPage="1"/>
  </x:sheetPr>
  <x:dimension ref="A1:F49"/>
  <x:sheetViews>
    <x:sheetView workbookViewId="0"/>
  </x:sheetViews>
  <x:sheetFormatPr defaultRowHeight="12.5" x14ac:dyDescent="0.25"/>
  <x:cols>
    <x:col min="2" max="2" width="27.81640625" customWidth="1"/>
    <x:col min="3" max="3" width="15.90625" customWidth="1"/>
    <x:col min="4" max="4" width="10.6328125" customWidth="1"/>
    <x:col min="5" max="5" width="10.453125" customWidth="1"/>
    <x:col min="6" max="6" width="10.08984375" customWidth="1"/>
  </x:cols>
  <x:sheetData>
    <x:row r="1" spans="1:6" s="1" customFormat="1" ht="15.5" x14ac:dyDescent="0.35">
      <x:c r="A1" s="5"/>
      <x:c r="B1" s="37" t="str">
        <x:f>+'RES Model'!B1:F1</x:f>
        <x:v xml:space="preserve">PUC DOCKET NO. </x:v>
      </x:c>
      <x:c r="C1" s="37"/>
      <x:c r="D1" s="37"/>
      <x:c r="E1" s="37"/>
      <x:c r="F1" s="37"/>
    </x:row>
    <x:row r="2" spans="1:6" s="1" customFormat="1" ht="15.5" x14ac:dyDescent="0.35">
      <x:c r="A2" s="5"/>
      <x:c r="B2" s="37" t="str">
        <x:f>+'RES Model'!B2:F2</x:f>
        <x:v>ONCOR ELECTRIC DELIVERY COMPANY LLC</x:v>
      </x:c>
      <x:c r="C2" s="37"/>
      <x:c r="D2" s="37"/>
      <x:c r="E2" s="37"/>
      <x:c r="F2" s="37"/>
    </x:row>
    <x:row r="3" spans="1:6" s="1" customFormat="1" ht="15.5" x14ac:dyDescent="0.35">
      <x:c r="A3" s="5"/>
      <x:c r="B3" s="37" t="str">
        <x:f>+'RES Model'!B3:F3</x:f>
        <x:v>MODEL INFORMATION</x:v>
      </x:c>
      <x:c r="C3" s="37"/>
      <x:c r="D3" s="37"/>
      <x:c r="E3" s="37"/>
      <x:c r="F3" s="37"/>
    </x:row>
    <x:row r="4" spans="1:6" s="1" customFormat="1" ht="15.5" x14ac:dyDescent="0.35">
      <x:c r="A4" s="5"/>
      <x:c r="B4" s="37" t="str">
        <x:f>+'RES Model'!B4:F4</x:f>
        <x:v>FOR THE TEST YEAR ENDING DECEMBER 31, 2024</x:v>
      </x:c>
      <x:c r="C4" s="37"/>
      <x:c r="D4" s="37"/>
      <x:c r="E4" s="37"/>
      <x:c r="F4" s="37"/>
    </x:row>
    <x:row r="5" spans="1:6" s="1" customFormat="1" ht="11.5" x14ac:dyDescent="0.25">
      <x:c r="A5" s="5"/>
    </x:row>
    <x:row r="6" spans="1:6" s="1" customFormat="1" ht="15.5" x14ac:dyDescent="0.35">
      <x:c r="A6" s="5"/>
      <x:c r="B6" s="37" t="str">
        <x:f>+'RES Model'!B6:F6</x:f>
        <x:v>SPONSOR: D. E. NELSON</x:v>
      </x:c>
      <x:c r="C6" s="37"/>
      <x:c r="D6" s="37"/>
      <x:c r="E6" s="37"/>
      <x:c r="F6" s="37"/>
    </x:row>
    <x:row r="8" spans="1:6" ht="15.5" x14ac:dyDescent="0.35">
      <x:c r="B8" s="37" t="s">
        <x:v>87</x:v>
      </x:c>
      <x:c r="C8" s="37"/>
      <x:c r="D8" s="37"/>
      <x:c r="E8" s="37"/>
      <x:c r="F8" s="37"/>
    </x:row>
    <x:row r="9" spans="1:6" s="1" customFormat="1" ht="11.5" x14ac:dyDescent="0.25">
      <x:c r="A9" s="5" t="s">
        <x:v>18</x:v>
      </x:c>
      <x:c r="B9" s="38"/>
      <x:c r="C9" s="38"/>
      <x:c r="D9" s="38"/>
      <x:c r="E9" s="38"/>
      <x:c r="F9" s="38"/>
    </x:row>
    <x:row r="10" spans="1:6" s="1" customFormat="1" ht="11.5" x14ac:dyDescent="0.25">
      <x:c r="A10" s="6" t="s">
        <x:v>19</x:v>
      </x:c>
      <x:c r="B10" s="7" t="s">
        <x:v>20</x:v>
      </x:c>
      <x:c r="C10" s="7" t="s">
        <x:v>21</x:v>
      </x:c>
      <x:c r="D10" s="7" t="s">
        <x:v>24</x:v>
      </x:c>
      <x:c r="E10" s="7" t="s">
        <x:v>22</x:v>
      </x:c>
      <x:c r="F10" s="7" t="s">
        <x:v>23</x:v>
      </x:c>
    </x:row>
    <x:row r="11" spans="1:6" s="1" customFormat="1" ht="11.5" x14ac:dyDescent="0.25">
      <x:c r="A11" s="5">
        <x:v>1</x:v>
      </x:c>
      <x:c r="B11" s="3" t="s">
        <x:v>45</x:v>
      </x:c>
      <x:c r="C11" s="3"/>
    </x:row>
    <x:row r="12" spans="1:6" s="1" customFormat="1" ht="11.5" x14ac:dyDescent="0.25">
      <x:c r="A12" s="5">
        <x:f t="shared" ref="A12:A49" si="0">+A11+1</x:f>
        <x:v>2</x:v>
      </x:c>
      <x:c r="B12" s="3" t="s">
        <x:v>5</x:v>
      </x:c>
      <x:c r="C12" s="3" t="s">
        <x:v>70</x:v>
      </x:c>
    </x:row>
    <x:row r="13" spans="1:6" s="1" customFormat="1" ht="11.5" x14ac:dyDescent="0.25">
      <x:c r="A13" s="5">
        <x:f t="shared" si="0"/>
        <x:v>3</x:v>
      </x:c>
      <x:c r="B13" s="3" t="s">
        <x:v>6</x:v>
      </x:c>
      <x:c r="C13" s="32">
        <x:v>40909</x:v>
      </x:c>
    </x:row>
    <x:row r="14" spans="1:6" s="1" customFormat="1" ht="11.5" x14ac:dyDescent="0.25">
      <x:c r="A14" s="5">
        <x:f t="shared" si="0"/>
        <x:v>4</x:v>
      </x:c>
      <x:c r="B14" s="3" t="s">
        <x:v>7</x:v>
      </x:c>
      <x:c r="C14" s="9">
        <x:f>+'RES Model'!C14</x:f>
        <x:v>45444</x:v>
      </x:c>
    </x:row>
    <x:row r="15" spans="1:6" s="1" customFormat="1" ht="11.5" x14ac:dyDescent="0.25">
      <x:c r="A15" s="5">
        <x:f t="shared" si="0"/>
        <x:v>5</x:v>
      </x:c>
    </x:row>
    <x:row r="16" spans="1:6" s="1" customFormat="1" ht="11.5" x14ac:dyDescent="0.25">
      <x:c r="A16" s="5">
        <x:f t="shared" si="0"/>
        <x:v>6</x:v>
      </x:c>
      <x:c r="B16" s="4" t="s">
        <x:v>0</x:v>
      </x:c>
      <x:c r="C16" s="4" t="s">
        <x:v>1</x:v>
      </x:c>
      <x:c r="D16" s="4" t="s">
        <x:v>2</x:v>
      </x:c>
      <x:c r="E16" s="4" t="s">
        <x:v>3</x:v>
      </x:c>
      <x:c r="F16" s="4" t="s">
        <x:v>4</x:v>
      </x:c>
    </x:row>
    <x:row r="17" spans="1:6" x14ac:dyDescent="0.25">
      <x:c r="A17" s="5">
        <x:f t="shared" si="0"/>
        <x:v>7</x:v>
      </x:c>
      <x:c r="B17" t="s">
        <x:v>106</x:v>
      </x:c>
      <x:c r="C17" s="13">
        <x:v>8.0570000000000004</x:v>
      </x:c>
      <x:c r="D17" s="13">
        <x:v>5.3789999999999996</x:v>
      </x:c>
      <x:c r="E17" s="13">
        <x:v>1.498</x:v>
      </x:c>
      <x:c r="F17" s="14">
        <x:v>0.1366</x:v>
      </x:c>
    </x:row>
    <x:row r="18" spans="1:6" x14ac:dyDescent="0.25">
      <x:c r="A18" s="5">
        <x:f t="shared" si="0"/>
        <x:v>8</x:v>
      </x:c>
      <x:c r="B18" t="s">
        <x:v>74</x:v>
      </x:c>
      <x:c r="C18" s="13">
        <x:v>6.3E-2</x:v>
      </x:c>
      <x:c r="D18" s="13">
        <x:v>2E-3</x:v>
      </x:c>
      <x:c r="E18" s="13">
        <x:v>25.4</x:v>
      </x:c>
      <x:c r="F18" s="14">
        <x:v>0</x:v>
      </x:c>
    </x:row>
    <x:row r="19" spans="1:6" x14ac:dyDescent="0.25">
      <x:c r="A19" s="5">
        <x:f t="shared" si="0"/>
        <x:v>9</x:v>
      </x:c>
      <x:c r="B19" t="s">
        <x:v>28</x:v>
      </x:c>
      <x:c r="C19" s="13">
        <x:v>-40519.337</x:v>
      </x:c>
      <x:c r="D19" s="13">
        <x:v>2079.5889999999999</x:v>
      </x:c>
      <x:c r="E19" s="13">
        <x:v>-19.484000000000002</x:v>
      </x:c>
      <x:c r="F19" s="14">
        <x:v>0</x:v>
      </x:c>
    </x:row>
    <x:row r="20" spans="1:6" x14ac:dyDescent="0.25">
      <x:c r="A20" s="5">
        <x:f t="shared" si="0"/>
        <x:v>10</x:v>
      </x:c>
      <x:c r="B20" t="s">
        <x:v>29</x:v>
      </x:c>
      <x:c r="C20" s="13">
        <x:v>-40247.696000000004</x:v>
      </x:c>
      <x:c r="D20" s="13">
        <x:v>2085.3490000000002</x:v>
      </x:c>
      <x:c r="E20" s="13">
        <x:v>-19.3</x:v>
      </x:c>
      <x:c r="F20" s="14">
        <x:v>0</x:v>
      </x:c>
    </x:row>
    <x:row r="21" spans="1:6" x14ac:dyDescent="0.25">
      <x:c r="A21" s="5">
        <x:f t="shared" si="0"/>
        <x:v>11</x:v>
      </x:c>
      <x:c r="B21" t="s">
        <x:v>30</x:v>
      </x:c>
      <x:c r="C21" s="13">
        <x:v>-40554.423999999999</x:v>
      </x:c>
      <x:c r="D21" s="13">
        <x:v>2174.759</x:v>
      </x:c>
      <x:c r="E21" s="13">
        <x:v>-18.648</x:v>
      </x:c>
      <x:c r="F21" s="14">
        <x:v>0</x:v>
      </x:c>
    </x:row>
    <x:row r="22" spans="1:6" x14ac:dyDescent="0.25">
      <x:c r="A22" s="5">
        <x:f t="shared" si="0"/>
        <x:v>12</x:v>
      </x:c>
      <x:c r="B22" t="s">
        <x:v>31</x:v>
      </x:c>
      <x:c r="C22" s="13">
        <x:v>-41643.542999999998</x:v>
      </x:c>
      <x:c r="D22" s="13">
        <x:v>2488.63</x:v>
      </x:c>
      <x:c r="E22" s="13">
        <x:v>-16.734000000000002</x:v>
      </x:c>
      <x:c r="F22" s="14">
        <x:v>0</x:v>
      </x:c>
    </x:row>
    <x:row r="23" spans="1:6" x14ac:dyDescent="0.25">
      <x:c r="A23" s="5">
        <x:f t="shared" si="0"/>
        <x:v>13</x:v>
      </x:c>
      <x:c r="B23" t="s">
        <x:v>32</x:v>
      </x:c>
      <x:c r="C23" s="13">
        <x:v>-42203.269</x:v>
      </x:c>
      <x:c r="D23" s="13">
        <x:v>2949.8679999999999</x:v>
      </x:c>
      <x:c r="E23" s="13">
        <x:v>-14.307</x:v>
      </x:c>
      <x:c r="F23" s="14">
        <x:v>0</x:v>
      </x:c>
    </x:row>
    <x:row r="24" spans="1:6" x14ac:dyDescent="0.25">
      <x:c r="A24" s="5">
        <x:f t="shared" si="0"/>
        <x:v>14</x:v>
      </x:c>
      <x:c r="B24" t="s">
        <x:v>33</x:v>
      </x:c>
      <x:c r="C24" s="13">
        <x:v>-43358.400000000001</x:v>
      </x:c>
      <x:c r="D24" s="13">
        <x:v>3524.3270000000002</x:v>
      </x:c>
      <x:c r="E24" s="13">
        <x:v>-12.303000000000001</x:v>
      </x:c>
      <x:c r="F24" s="14">
        <x:v>0</x:v>
      </x:c>
    </x:row>
    <x:row r="25" spans="1:6" x14ac:dyDescent="0.25">
      <x:c r="A25" s="5">
        <x:f t="shared" si="0"/>
        <x:v>15</x:v>
      </x:c>
      <x:c r="B25" t="s">
        <x:v>34</x:v>
      </x:c>
      <x:c r="C25" s="13">
        <x:v>-44147.877999999997</x:v>
      </x:c>
      <x:c r="D25" s="13">
        <x:v>3847.1570000000002</x:v>
      </x:c>
      <x:c r="E25" s="13">
        <x:v>-11.475</x:v>
      </x:c>
      <x:c r="F25" s="14">
        <x:v>0</x:v>
      </x:c>
    </x:row>
    <x:row r="26" spans="1:6" x14ac:dyDescent="0.25">
      <x:c r="A26" s="5">
        <x:f t="shared" si="0"/>
        <x:v>16</x:v>
      </x:c>
      <x:c r="B26" t="s">
        <x:v>35</x:v>
      </x:c>
      <x:c r="C26" s="13">
        <x:v>-42691.241000000002</x:v>
      </x:c>
      <x:c r="D26" s="13">
        <x:v>3894.174</x:v>
      </x:c>
      <x:c r="E26" s="13">
        <x:v>-10.962999999999999</x:v>
      </x:c>
      <x:c r="F26" s="14">
        <x:v>0</x:v>
      </x:c>
    </x:row>
    <x:row r="27" spans="1:6" x14ac:dyDescent="0.25">
      <x:c r="A27" s="5">
        <x:f t="shared" si="0"/>
        <x:v>17</x:v>
      </x:c>
      <x:c r="B27" t="s">
        <x:v>37</x:v>
      </x:c>
      <x:c r="C27" s="13">
        <x:v>-43250.879999999997</x:v>
      </x:c>
      <x:c r="D27" s="13">
        <x:v>3390.9209999999998</x:v>
      </x:c>
      <x:c r="E27" s="13">
        <x:v>-12.755000000000001</x:v>
      </x:c>
      <x:c r="F27" s="14">
        <x:v>0</x:v>
      </x:c>
    </x:row>
    <x:row r="28" spans="1:6" x14ac:dyDescent="0.25">
      <x:c r="A28" s="5">
        <x:f t="shared" si="0"/>
        <x:v>18</x:v>
      </x:c>
      <x:c r="B28" t="s">
        <x:v>36</x:v>
      </x:c>
      <x:c r="C28" s="13">
        <x:v>-43469.061000000002</x:v>
      </x:c>
      <x:c r="D28" s="13">
        <x:v>3808.2020000000002</x:v>
      </x:c>
      <x:c r="E28" s="13">
        <x:v>-11.414999999999999</x:v>
      </x:c>
      <x:c r="F28" s="14">
        <x:v>0</x:v>
      </x:c>
    </x:row>
    <x:row r="29" spans="1:6" x14ac:dyDescent="0.25">
      <x:c r="A29" s="5">
        <x:f t="shared" si="0"/>
        <x:v>19</x:v>
      </x:c>
      <x:c r="B29" t="s">
        <x:v>38</x:v>
      </x:c>
      <x:c r="C29" s="13">
        <x:v>-41440.841</x:v>
      </x:c>
      <x:c r="D29" s="13">
        <x:v>2625.0149999999999</x:v>
      </x:c>
      <x:c r="E29" s="13">
        <x:v>-15.787000000000001</x:v>
      </x:c>
      <x:c r="F29" s="14">
        <x:v>0</x:v>
      </x:c>
    </x:row>
    <x:row r="30" spans="1:6" x14ac:dyDescent="0.25">
      <x:c r="A30" s="5">
        <x:f t="shared" si="0"/>
        <x:v>20</x:v>
      </x:c>
      <x:c r="B30" t="s">
        <x:v>41</x:v>
      </x:c>
      <x:c r="C30" s="13">
        <x:v>-40237.648000000001</x:v>
      </x:c>
      <x:c r="D30" s="13">
        <x:v>2181.7359999999999</x:v>
      </x:c>
      <x:c r="E30" s="13">
        <x:v>-18.443000000000001</x:v>
      </x:c>
      <x:c r="F30" s="14">
        <x:v>0</x:v>
      </x:c>
    </x:row>
    <x:row r="31" spans="1:6" x14ac:dyDescent="0.25">
      <x:c r="A31" s="5">
        <x:f t="shared" si="0"/>
        <x:v>21</x:v>
      </x:c>
      <x:c r="B31" t="s">
        <x:v>58</x:v>
      </x:c>
      <x:c r="C31" s="13">
        <x:v>8780.3819999999996</x:v>
      </x:c>
      <x:c r="D31" s="13">
        <x:v>2197.0169999999998</x:v>
      </x:c>
      <x:c r="E31" s="13">
        <x:v>3.9969999999999999</x:v>
      </x:c>
      <x:c r="F31" s="14">
        <x:v>1E-4</x:v>
      </x:c>
    </x:row>
    <x:row r="32" spans="1:6" x14ac:dyDescent="0.25">
      <x:c r="A32" s="5">
        <x:f t="shared" si="0"/>
        <x:v>22</x:v>
      </x:c>
      <x:c r="B32" t="s">
        <x:v>107</x:v>
      </x:c>
      <x:c r="C32" s="13">
        <x:v>-2297.768</x:v>
      </x:c>
      <x:c r="D32" s="13">
        <x:v>1016.059</x:v>
      </x:c>
      <x:c r="E32" s="13">
        <x:v>-2.2610000000000001</x:v>
      </x:c>
      <x:c r="F32" s="14">
        <x:v>2.53E-2</x:v>
      </x:c>
    </x:row>
    <x:row r="33" spans="1:6" x14ac:dyDescent="0.25">
      <x:c r="A33" s="5">
        <x:f t="shared" si="0"/>
        <x:v>23</x:v>
      </x:c>
      <x:c r="C33" s="13"/>
      <x:c r="D33" s="13"/>
      <x:c r="E33" s="13"/>
      <x:c r="F33" s="14"/>
    </x:row>
    <x:row r="34" spans="1:6" x14ac:dyDescent="0.25">
      <x:c r="A34" s="5">
        <x:f t="shared" si="0"/>
        <x:v>24</x:v>
      </x:c>
      <x:c r="B34" s="15" t="s">
        <x:v>53</x:v>
      </x:c>
      <x:c r="C34" s="13"/>
      <x:c r="D34" s="13"/>
      <x:c r="E34" s="13"/>
      <x:c r="F34" s="14"/>
    </x:row>
    <x:row r="35" spans="1:6" x14ac:dyDescent="0.25">
      <x:c r="A35" s="5">
        <x:f t="shared" si="0"/>
        <x:v>25</x:v>
      </x:c>
      <x:c r="B35" t="s">
        <x:v>25</x:v>
      </x:c>
      <x:c r="C35">
        <x:v>150</x:v>
      </x:c>
      <x:c r="F35" s="8"/>
    </x:row>
    <x:row r="36" spans="1:6" x14ac:dyDescent="0.25">
      <x:c r="A36" s="5">
        <x:f t="shared" si="0"/>
        <x:v>26</x:v>
      </x:c>
      <x:c r="B36" t="s">
        <x:v>8</x:v>
      </x:c>
      <x:c r="C36">
        <x:v>134</x:v>
      </x:c>
      <x:c r="F36" s="8"/>
    </x:row>
    <x:row r="37" spans="1:6" x14ac:dyDescent="0.25">
      <x:c r="A37" s="5">
        <x:f t="shared" si="0"/>
        <x:v>27</x:v>
      </x:c>
      <x:c r="B37" t="s">
        <x:v>9</x:v>
      </x:c>
      <x:c r="C37" s="27">
        <x:v>0.83299999999999996</x:v>
      </x:c>
      <x:c r="F37" s="8"/>
    </x:row>
    <x:row r="38" spans="1:6" x14ac:dyDescent="0.25">
      <x:c r="A38" s="5">
        <x:f t="shared" si="0"/>
        <x:v>28</x:v>
      </x:c>
      <x:c r="B38" t="s">
        <x:v>10</x:v>
      </x:c>
      <x:c r="C38" s="29">
        <x:v>0.81499999999999995</x:v>
      </x:c>
      <x:c r="F38" s="8"/>
    </x:row>
    <x:row r="39" spans="1:6" x14ac:dyDescent="0.25">
      <x:c r="A39" s="5">
        <x:f t="shared" si="0"/>
        <x:v>29</x:v>
      </x:c>
      <x:c r="B39" t="s">
        <x:v>12</x:v>
      </x:c>
      <x:c r="C39" s="35">
        <x:v>44.664999999999999</x:v>
      </x:c>
      <x:c r="F39" s="8"/>
    </x:row>
    <x:row r="40" spans="1:6" x14ac:dyDescent="0.25">
      <x:c r="A40" s="5">
        <x:f t="shared" si="0"/>
        <x:v>30</x:v>
      </x:c>
      <x:c r="B40" t="s">
        <x:v>13</x:v>
      </x:c>
      <x:c r="C40" s="36">
        <x:v>0</x:v>
      </x:c>
      <x:c r="F40" s="8"/>
    </x:row>
    <x:row r="41" spans="1:6" x14ac:dyDescent="0.25">
      <x:c r="A41" s="5">
        <x:f t="shared" si="0"/>
        <x:v>31</x:v>
      </x:c>
      <x:c r="B41" t="s">
        <x:v>14</x:v>
      </x:c>
      <x:c r="C41" s="20">
        <x:v>2940059672.73</x:v>
      </x:c>
    </x:row>
    <x:row r="42" spans="1:6" x14ac:dyDescent="0.25">
      <x:c r="A42" s="5">
        <x:f t="shared" si="0"/>
        <x:v>32</x:v>
      </x:c>
      <x:c r="B42" t="s">
        <x:v>15</x:v>
      </x:c>
      <x:c r="C42" s="20">
        <x:v>588033305.75999999</x:v>
      </x:c>
      <x:c r="F42" s="8"/>
    </x:row>
    <x:row r="43" spans="1:6" x14ac:dyDescent="0.25">
      <x:c r="A43" s="5">
        <x:f t="shared" si="0"/>
        <x:v>33</x:v>
      </x:c>
      <x:c r="B43" t="s">
        <x:v>16</x:v>
      </x:c>
      <x:c r="C43" s="20">
        <x:v>4388308.25</x:v>
      </x:c>
      <x:c r="F43" s="8"/>
    </x:row>
    <x:row r="44" spans="1:6" x14ac:dyDescent="0.25">
      <x:c r="A44" s="5">
        <x:f t="shared" si="0"/>
        <x:v>34</x:v>
      </x:c>
      <x:c r="B44" t="s">
        <x:v>17</x:v>
      </x:c>
      <x:c r="C44" s="21">
        <x:v>2094.83</x:v>
      </x:c>
      <x:c r="F44" s="8"/>
    </x:row>
    <x:row r="45" spans="1:6" x14ac:dyDescent="0.25">
      <x:c r="A45" s="5">
        <x:f t="shared" si="0"/>
        <x:v>35</x:v>
      </x:c>
      <x:c r="B45" t="s">
        <x:v>75</x:v>
      </x:c>
      <x:c r="C45" s="21">
        <x:v>1392.14</x:v>
      </x:c>
    </x:row>
    <x:row r="46" spans="1:6" x14ac:dyDescent="0.25">
      <x:c r="A46" s="5">
        <x:f t="shared" si="0"/>
        <x:v>36</x:v>
      </x:c>
      <x:c r="B46" t="s">
        <x:v>76</x:v>
      </x:c>
      <x:c r="C46" s="8">
        <x:v>0.1358</x:v>
      </x:c>
    </x:row>
    <x:row r="47" spans="1:6" x14ac:dyDescent="0.25">
      <x:c r="A47" s="5">
        <x:f t="shared" si="0"/>
        <x:v>37</x:v>
      </x:c>
      <x:c r="B47" t="s">
        <x:v>11</x:v>
      </x:c>
      <x:c r="C47">
        <x:v>0.94099999999999995</x:v>
      </x:c>
    </x:row>
    <x:row r="48" spans="1:6" x14ac:dyDescent="0.25">
      <x:c r="A48" s="5">
        <x:f t="shared" si="0"/>
        <x:v>38</x:v>
      </x:c>
      <x:c r="B48" t="s">
        <x:v>61</x:v>
      </x:c>
      <x:c r="C48">
        <x:v>365.11</x:v>
      </x:c>
    </x:row>
    <x:row r="49" spans="1:3" x14ac:dyDescent="0.25">
      <x:c r="A49" s="5">
        <x:f t="shared" si="0"/>
        <x:v>39</x:v>
      </x:c>
      <x:c r="B49" t="s">
        <x:v>62</x:v>
      </x:c>
      <x:c r="C49" s="23">
        <x:v>0</x:v>
      </x:c>
    </x:row>
  </x:sheetData>
  <x:mergeCells count="7">
    <x:mergeCell ref="B9:F9"/>
    <x:mergeCell ref="B1:F1"/>
    <x:mergeCell ref="B2:F2"/>
    <x:mergeCell ref="B3:F3"/>
    <x:mergeCell ref="B4:F4"/>
    <x:mergeCell ref="B6:F6"/>
    <x:mergeCell ref="B8:F8"/>
  </x:mergeCells>
  <x:pageMargins left="0.7" right="0.7" top="0.75" bottom="0.75" header="0.3" footer="0.3"/>
  <x:pageSetup firstPageNumber="8" orientation="portrait" r:id="rId1"/>
  <x:headerFooter>
    <x:oddHeader xml:space="preserve">&amp;RSchedule II-H-2.1
Page  &amp;P of  27
</x:oddHeader>
  </x:headerFooter>
</x:worksheet>
</file>

<file path=xl/worksheets/sheet2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300-000000000000}" mc:Ignorable="x14ac xr xr2 xr3">
  <x:sheetPr>
    <x:pageSetUpPr fitToPage="1"/>
  </x:sheetPr>
  <x:dimension ref="A1:H37"/>
  <x:sheetViews>
    <x:sheetView workbookViewId="0"/>
  </x:sheetViews>
  <x:sheetFormatPr defaultRowHeight="12.5" x14ac:dyDescent="0.25"/>
  <x:cols>
    <x:col min="2" max="2" width="20.36328125" customWidth="1"/>
    <x:col min="3" max="3" width="17.1796875" customWidth="1"/>
    <x:col min="4" max="4" width="18.81640625" customWidth="1"/>
    <x:col min="5" max="5" width="14.6328125" customWidth="1"/>
    <x:col min="6" max="6" width="15.90625" customWidth="1"/>
    <x:col min="7" max="7" width="11" customWidth="1"/>
  </x:cols>
  <x:sheetData>
    <x:row r="1" spans="1:8" ht="15.5" x14ac:dyDescent="0.25">
      <x:c r="A1" s="5"/>
      <x:c r="B1" s="41" t="str">
        <x:f>+'RES Model'!B1:F1</x:f>
        <x:v xml:space="preserve">PUC DOCKET NO. </x:v>
      </x:c>
      <x:c r="C1" s="39"/>
      <x:c r="D1" s="39"/>
      <x:c r="E1" s="39"/>
      <x:c r="F1" s="39"/>
      <x:c r="G1" s="39"/>
      <x:c r="H1" s="39"/>
    </x:row>
    <x:row r="2" spans="1:8" ht="15.5" x14ac:dyDescent="0.35">
      <x:c r="A2" s="5"/>
      <x:c r="B2" s="37" t="str">
        <x:f>+'RES Model'!B2:F2</x:f>
        <x:v>ONCOR ELECTRIC DELIVERY COMPANY LLC</x:v>
      </x:c>
      <x:c r="C2" s="39"/>
      <x:c r="D2" s="39"/>
      <x:c r="E2" s="39"/>
      <x:c r="F2" s="39"/>
      <x:c r="G2" s="39"/>
      <x:c r="H2" s="39"/>
    </x:row>
    <x:row r="3" spans="1:8" ht="15.5" x14ac:dyDescent="0.35">
      <x:c r="A3" s="5"/>
      <x:c r="B3" s="37" t="str">
        <x:f>+'RES Model'!B3:F3</x:f>
        <x:v>MODEL INFORMATION</x:v>
      </x:c>
      <x:c r="C3" s="39"/>
      <x:c r="D3" s="39"/>
      <x:c r="E3" s="39"/>
      <x:c r="F3" s="39"/>
      <x:c r="G3" s="39"/>
      <x:c r="H3" s="39"/>
    </x:row>
    <x:row r="4" spans="1:8" ht="15.5" x14ac:dyDescent="0.35">
      <x:c r="A4" s="5"/>
      <x:c r="B4" s="37" t="str">
        <x:f>+'RES Model'!B4:F4</x:f>
        <x:v>FOR THE TEST YEAR ENDING DECEMBER 31, 2024</x:v>
      </x:c>
      <x:c r="C4" s="39"/>
      <x:c r="D4" s="39"/>
      <x:c r="E4" s="39"/>
      <x:c r="F4" s="39"/>
      <x:c r="G4" s="39"/>
      <x:c r="H4" s="39"/>
    </x:row>
    <x:row r="5" spans="1:8" x14ac:dyDescent="0.25">
      <x:c r="A5" s="5"/>
      <x:c r="B5" s="1"/>
      <x:c r="C5" s="1"/>
      <x:c r="D5" s="1"/>
      <x:c r="E5" s="1"/>
      <x:c r="F5" s="1"/>
      <x:c r="G5" s="1"/>
      <x:c r="H5" s="1"/>
    </x:row>
    <x:row r="6" spans="1:8" ht="15.5" x14ac:dyDescent="0.35">
      <x:c r="A6" s="5"/>
      <x:c r="B6" s="37" t="str">
        <x:f>+'RES Model'!B6:F6</x:f>
        <x:v>SPONSOR: D. E. NELSON</x:v>
      </x:c>
      <x:c r="C6" s="39"/>
      <x:c r="D6" s="39"/>
      <x:c r="E6" s="39"/>
      <x:c r="F6" s="39"/>
      <x:c r="G6" s="39"/>
      <x:c r="H6" s="39"/>
    </x:row>
    <x:row r="8" spans="1:8" x14ac:dyDescent="0.25">
      <x:c r="A8" s="5" t="s">
        <x:v>18</x:v>
      </x:c>
      <x:c r="B8" s="38"/>
      <x:c r="C8" s="38"/>
      <x:c r="D8" s="38"/>
      <x:c r="E8" s="38"/>
      <x:c r="F8" s="38"/>
      <x:c r="G8" s="1"/>
      <x:c r="H8" s="1"/>
    </x:row>
    <x:row r="9" spans="1:8" x14ac:dyDescent="0.25">
      <x:c r="A9" s="6" t="s">
        <x:v>19</x:v>
      </x:c>
      <x:c r="B9" s="7"/>
      <x:c r="C9" s="7"/>
      <x:c r="D9" s="7"/>
      <x:c r="E9" s="7"/>
      <x:c r="F9" s="7"/>
      <x:c r="G9" s="1"/>
      <x:c r="H9" s="1"/>
    </x:row>
    <x:row r="10" spans="1:8" x14ac:dyDescent="0.25">
      <x:c r="A10" s="5">
        <x:v>1</x:v>
      </x:c>
      <x:c r="B10" s="38" t="s">
        <x:v>88</x:v>
      </x:c>
      <x:c r="C10" s="39"/>
      <x:c r="D10" s="39"/>
      <x:c r="E10" s="39"/>
      <x:c r="F10" s="39"/>
      <x:c r="G10" s="39"/>
      <x:c r="H10" s="39"/>
    </x:row>
    <x:row r="11" spans="1:8" x14ac:dyDescent="0.25">
      <x:c r="A11" s="5">
        <x:f t="shared" ref="A11:A37" si="0">+A10+1</x:f>
        <x:v>2</x:v>
      </x:c>
      <x:c r="B11" s="38" t="s">
        <x:v>45</x:v>
      </x:c>
      <x:c r="C11" s="40"/>
      <x:c r="D11" s="40"/>
      <x:c r="E11" s="40"/>
      <x:c r="F11" s="40"/>
      <x:c r="G11" s="40"/>
      <x:c r="H11" s="40"/>
    </x:row>
    <x:row r="12" spans="1:8" x14ac:dyDescent="0.25">
      <x:c r="A12" s="5">
        <x:f t="shared" si="0"/>
        <x:v>3</x:v>
      </x:c>
      <x:c r="B12" s="3"/>
      <x:c r="C12" s="9"/>
      <x:c r="D12" s="1"/>
      <x:c r="E12" s="1"/>
      <x:c r="F12" s="1"/>
      <x:c r="G12" s="1"/>
      <x:c r="H12" s="1"/>
    </x:row>
    <x:row r="13" spans="1:8" x14ac:dyDescent="0.25">
      <x:c r="A13" s="5">
        <x:f t="shared" si="0"/>
        <x:v>4</x:v>
      </x:c>
      <x:c r="B13" s="3"/>
      <x:c r="C13" s="9"/>
      <x:c r="D13" s="1"/>
      <x:c r="E13" s="1"/>
      <x:c r="F13" s="1"/>
      <x:c r="G13" s="1"/>
      <x:c r="H13" s="1"/>
    </x:row>
    <x:row r="14" spans="1:8" x14ac:dyDescent="0.25">
      <x:c r="A14" s="5">
        <x:f t="shared" si="0"/>
        <x:v>5</x:v>
      </x:c>
      <x:c r="B14" s="1"/>
      <x:c r="C14" s="1"/>
      <x:c r="D14" s="1"/>
      <x:c r="E14" s="1"/>
      <x:c r="F14" s="1"/>
      <x:c r="G14" s="1"/>
      <x:c r="H14" s="1"/>
    </x:row>
    <x:row r="15" spans="1:8" x14ac:dyDescent="0.25">
      <x:c r="A15" s="5">
        <x:f t="shared" si="0"/>
        <x:v>6</x:v>
      </x:c>
      <x:c r="B15" s="24"/>
      <x:c r="C15" s="24"/>
      <x:c r="D15" s="24"/>
      <x:c r="E15" s="24"/>
      <x:c r="F15" s="24"/>
      <x:c r="G15" s="1"/>
      <x:c r="H15" s="1"/>
    </x:row>
    <x:row r="16" spans="1:8" x14ac:dyDescent="0.25">
      <x:c r="A16" s="5">
        <x:f t="shared" si="0"/>
        <x:v>7</x:v>
      </x:c>
      <x:c r="F16" s="8"/>
    </x:row>
    <x:row r="17" spans="1:6" x14ac:dyDescent="0.25">
      <x:c r="A17" s="5">
        <x:f t="shared" si="0"/>
        <x:v>8</x:v>
      </x:c>
      <x:c r="F17" s="8"/>
    </x:row>
    <x:row r="18" spans="1:6" x14ac:dyDescent="0.25">
      <x:c r="A18" s="5">
        <x:f t="shared" si="0"/>
        <x:v>9</x:v>
      </x:c>
      <x:c r="F18" s="8"/>
    </x:row>
    <x:row r="19" spans="1:6" x14ac:dyDescent="0.25">
      <x:c r="A19" s="5">
        <x:f t="shared" si="0"/>
        <x:v>10</x:v>
      </x:c>
      <x:c r="F19" s="8"/>
    </x:row>
    <x:row r="20" spans="1:6" x14ac:dyDescent="0.25">
      <x:c r="A20" s="5">
        <x:f t="shared" si="0"/>
        <x:v>11</x:v>
      </x:c>
      <x:c r="F20" s="8"/>
    </x:row>
    <x:row r="21" spans="1:6" x14ac:dyDescent="0.25">
      <x:c r="A21" s="5">
        <x:f t="shared" si="0"/>
        <x:v>12</x:v>
      </x:c>
      <x:c r="F21" s="8"/>
    </x:row>
    <x:row r="22" spans="1:6" x14ac:dyDescent="0.25">
      <x:c r="A22" s="5">
        <x:f t="shared" si="0"/>
        <x:v>13</x:v>
      </x:c>
      <x:c r="F22" s="8"/>
    </x:row>
    <x:row r="23" spans="1:6" x14ac:dyDescent="0.25">
      <x:c r="A23" s="5">
        <x:f t="shared" si="0"/>
        <x:v>14</x:v>
      </x:c>
      <x:c r="F23" s="8"/>
    </x:row>
    <x:row r="24" spans="1:6" x14ac:dyDescent="0.25">
      <x:c r="A24" s="5">
        <x:f t="shared" si="0"/>
        <x:v>15</x:v>
      </x:c>
      <x:c r="F24" s="8"/>
    </x:row>
    <x:row r="25" spans="1:6" x14ac:dyDescent="0.25">
      <x:c r="A25" s="5">
        <x:f t="shared" si="0"/>
        <x:v>16</x:v>
      </x:c>
      <x:c r="F25" s="8"/>
    </x:row>
    <x:row r="26" spans="1:6" x14ac:dyDescent="0.25">
      <x:c r="A26" s="5">
        <x:f t="shared" si="0"/>
        <x:v>17</x:v>
      </x:c>
      <x:c r="F26" s="8"/>
    </x:row>
    <x:row r="27" spans="1:6" x14ac:dyDescent="0.25">
      <x:c r="A27" s="5">
        <x:f t="shared" si="0"/>
        <x:v>18</x:v>
      </x:c>
      <x:c r="F27" s="8"/>
    </x:row>
    <x:row r="28" spans="1:6" x14ac:dyDescent="0.25">
      <x:c r="A28" s="5">
        <x:f t="shared" si="0"/>
        <x:v>19</x:v>
      </x:c>
      <x:c r="F28" s="8"/>
    </x:row>
    <x:row r="29" spans="1:6" x14ac:dyDescent="0.25">
      <x:c r="A29" s="5">
        <x:f t="shared" si="0"/>
        <x:v>20</x:v>
      </x:c>
      <x:c r="F29" s="8"/>
    </x:row>
    <x:row r="30" spans="1:6" x14ac:dyDescent="0.25">
      <x:c r="A30" s="5">
        <x:f t="shared" si="0"/>
        <x:v>21</x:v>
      </x:c>
      <x:c r="F30" s="8"/>
    </x:row>
    <x:row r="31" spans="1:6" x14ac:dyDescent="0.25">
      <x:c r="A31" s="5">
        <x:f t="shared" si="0"/>
        <x:v>22</x:v>
      </x:c>
      <x:c r="F31" s="8"/>
    </x:row>
    <x:row r="32" spans="1:6" x14ac:dyDescent="0.25">
      <x:c r="A32" s="5">
        <x:f t="shared" si="0"/>
        <x:v>23</x:v>
      </x:c>
      <x:c r="F32" s="8"/>
    </x:row>
    <x:row r="33" spans="1:6" x14ac:dyDescent="0.25">
      <x:c r="A33" s="5">
        <x:f t="shared" si="0"/>
        <x:v>24</x:v>
      </x:c>
      <x:c r="F33" s="10"/>
    </x:row>
    <x:row r="34" spans="1:6" x14ac:dyDescent="0.25">
      <x:c r="A34" s="5">
        <x:f t="shared" si="0"/>
        <x:v>25</x:v>
      </x:c>
    </x:row>
    <x:row r="35" spans="1:6" x14ac:dyDescent="0.25">
      <x:c r="A35" s="5">
        <x:f t="shared" si="0"/>
        <x:v>26</x:v>
      </x:c>
    </x:row>
    <x:row r="36" spans="1:6" x14ac:dyDescent="0.25">
      <x:c r="A36" s="5">
        <x:f t="shared" si="0"/>
        <x:v>27</x:v>
      </x:c>
    </x:row>
    <x:row r="37" spans="1:6" x14ac:dyDescent="0.25">
      <x:c r="A37" s="5">
        <x:f t="shared" si="0"/>
        <x:v>28</x:v>
      </x:c>
    </x:row>
  </x:sheetData>
  <x:mergeCells count="8">
    <x:mergeCell ref="B10:H10"/>
    <x:mergeCell ref="B11:H11"/>
    <x:mergeCell ref="B8:F8"/>
    <x:mergeCell ref="B1:H1"/>
    <x:mergeCell ref="B2:H2"/>
    <x:mergeCell ref="B3:H3"/>
    <x:mergeCell ref="B4:H4"/>
    <x:mergeCell ref="B6:H6"/>
  </x:mergeCells>
  <x:pageMargins left="0.7" right="0.7" top="0.75" bottom="0.75" header="0.3" footer="0.3"/>
  <x:pageSetup scale="79" orientation="portrait" r:id="rId1"/>
  <x:headerFooter>
    <x:oddHeader xml:space="preserve">&amp;RSchedule II-H-2.1
Page  &amp;P of  27
</x:oddHeader>
  </x:headerFooter>
  <x:drawing r:id="rId2"/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2025-04-04T20:21:03.0000000Z</dcterms:modified>
</coreProperties>
</file>