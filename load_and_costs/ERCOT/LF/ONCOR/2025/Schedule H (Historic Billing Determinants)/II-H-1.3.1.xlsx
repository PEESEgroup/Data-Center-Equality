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ECFEF165-1195-4527-BB5E-0CE95D93E912}" xr6:coauthVersionLast="47" xr6:coauthVersionMax="47" xr10:uidLastSave="{00000000-0000-0000-0000-000000000000}"/>
  <x:bookViews>
    <x:workbookView xWindow="-120" yWindow="-120" windowWidth="29040" windowHeight="15720" firstSheet="5" activeTab="10" xr2:uid="{00000000-000D-0000-FFFF-FFFF00000000}"/>
  </x:bookViews>
  <x:sheets>
    <x:sheet name="Sch II-H-1.3.1_Narrative" sheetId="49" r:id="rId1"/>
    <x:sheet name="RESIDENTIAL" sheetId="1" r:id="rId2"/>
    <x:sheet name="SEC &lt; 10kW" sheetId="37" r:id="rId3"/>
    <x:sheet name="SEC &gt; 10kW " sheetId="38" r:id="rId4"/>
    <x:sheet name="PRIMARY  &lt; 10kW" sheetId="39" r:id="rId5"/>
    <x:sheet name="PRIMARY  &gt; 10kW DLS" sheetId="40" r:id="rId6"/>
    <x:sheet name="PRIMARY  SUBSTATIONS" sheetId="41" r:id="rId7"/>
    <x:sheet name="TRANSMISSION" sheetId="42" r:id="rId8"/>
    <x:sheet name="STREET LIGHTING" sheetId="43" r:id="rId9"/>
    <x:sheet name="WHOLESALE SUB" sheetId="44" r:id="rId10"/>
    <x:sheet name="WHOLESALE DLS" sheetId="45" r:id="rId11"/>
  </x:sheets>
  <x:externalReferences>
    <x:externalReference r:id="rId12"/>
    <x:externalReference r:id="rId13"/>
  </x:externalReferences>
  <x:definedNames>
    <x:definedName name="_xlnm.Print_Area" localSheetId="0">'Sch II-H-1.3.1_Narrative'!$A$1:$R$73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Z34" i="45" l="1"/>
  <x:c r="Y34" i="45"/>
  <x:c r="X34" i="45"/>
  <x:c r="Z33" i="45"/>
  <x:c r="Y33" i="45"/>
  <x:c r="X33" i="45"/>
  <x:c r="Z32" i="45"/>
  <x:c r="Y32" i="45"/>
  <x:c r="X32" i="45"/>
  <x:c r="Z31" i="45"/>
  <x:c r="Y31" i="45"/>
  <x:c r="X31" i="45"/>
  <x:c r="Z30" i="45"/>
  <x:c r="Y30" i="45"/>
  <x:c r="X30" i="45"/>
  <x:c r="Z29" i="45"/>
  <x:c r="Y29" i="45"/>
  <x:c r="X29" i="45"/>
  <x:c r="Z28" i="45"/>
  <x:c r="Y28" i="45"/>
  <x:c r="X28" i="45"/>
  <x:c r="Z27" i="45"/>
  <x:c r="Y27" i="45"/>
  <x:c r="X27" i="45"/>
  <x:c r="Z26" i="45"/>
  <x:c r="Y26" i="45"/>
  <x:c r="X26" i="45"/>
  <x:c r="Z25" i="45"/>
  <x:c r="Y25" i="45"/>
  <x:c r="X25" i="45"/>
  <x:c r="Z24" i="45"/>
  <x:c r="Y24" i="45"/>
  <x:c r="X24" i="45"/>
  <x:c r="Z23" i="45"/>
  <x:c r="Y23" i="45"/>
  <x:c r="X23" i="45"/>
  <x:c r="V34" i="45"/>
  <x:c r="V33" i="45"/>
  <x:c r="V32" i="45"/>
  <x:c r="V31" i="45"/>
  <x:c r="V30" i="45"/>
  <x:c r="V29" i="45"/>
  <x:c r="V28" i="45"/>
  <x:c r="V27" i="45"/>
  <x:c r="V26" i="45"/>
  <x:c r="V25" i="45"/>
  <x:c r="V24" i="45"/>
  <x:c r="V23" i="45"/>
  <x:c r="T34" i="45"/>
  <x:c r="T33" i="45"/>
  <x:c r="T32" i="45"/>
  <x:c r="T31" i="45"/>
  <x:c r="T30" i="45"/>
  <x:c r="T29" i="45"/>
  <x:c r="T28" i="45"/>
  <x:c r="T27" i="45"/>
  <x:c r="T26" i="45"/>
  <x:c r="T25" i="45"/>
  <x:c r="T24" i="45"/>
  <x:c r="T23" i="45"/>
  <x:c r="R34" i="45"/>
  <x:c r="R33" i="45"/>
  <x:c r="R32" i="45"/>
  <x:c r="R31" i="45"/>
  <x:c r="R30" i="45"/>
  <x:c r="R29" i="45"/>
  <x:c r="R28" i="45"/>
  <x:c r="R27" i="45"/>
  <x:c r="R26" i="45"/>
  <x:c r="R25" i="45"/>
  <x:c r="R24" i="45"/>
  <x:c r="R23" i="45"/>
  <x:c r="P34" i="45"/>
  <x:c r="P33" i="45"/>
  <x:c r="P32" i="45"/>
  <x:c r="P31" i="45"/>
  <x:c r="P30" i="45"/>
  <x:c r="P29" i="45"/>
  <x:c r="P28" i="45"/>
  <x:c r="P27" i="45"/>
  <x:c r="P26" i="45"/>
  <x:c r="P25" i="45"/>
  <x:c r="P24" i="45"/>
  <x:c r="P23" i="45"/>
  <x:c r="N34" i="45"/>
  <x:c r="N33" i="45"/>
  <x:c r="N32" i="45"/>
  <x:c r="N31" i="45"/>
  <x:c r="N30" i="45"/>
  <x:c r="N29" i="45"/>
  <x:c r="N28" i="45"/>
  <x:c r="N27" i="45"/>
  <x:c r="N26" i="45"/>
  <x:c r="N25" i="45"/>
  <x:c r="N24" i="45"/>
  <x:c r="N23" i="45"/>
  <x:c r="L34" i="45"/>
  <x:c r="L33" i="45"/>
  <x:c r="L32" i="45"/>
  <x:c r="L31" i="45"/>
  <x:c r="L30" i="45"/>
  <x:c r="L29" i="45"/>
  <x:c r="L28" i="45"/>
  <x:c r="L27" i="45"/>
  <x:c r="L26" i="45"/>
  <x:c r="L25" i="45"/>
  <x:c r="L24" i="45"/>
  <x:c r="L23" i="45"/>
  <x:c r="J34" i="45"/>
  <x:c r="J33" i="45"/>
  <x:c r="J32" i="45"/>
  <x:c r="J31" i="45"/>
  <x:c r="J30" i="45"/>
  <x:c r="J29" i="45"/>
  <x:c r="J28" i="45"/>
  <x:c r="J27" i="45"/>
  <x:c r="J26" i="45"/>
  <x:c r="J25" i="45"/>
  <x:c r="J24" i="45"/>
  <x:c r="J23" i="45"/>
  <x:c r="H34" i="45"/>
  <x:c r="H33" i="45"/>
  <x:c r="H32" i="45"/>
  <x:c r="H31" i="45"/>
  <x:c r="H30" i="45"/>
  <x:c r="H29" i="45"/>
  <x:c r="H28" i="45"/>
  <x:c r="H27" i="45"/>
  <x:c r="H26" i="45"/>
  <x:c r="H25" i="45"/>
  <x:c r="H24" i="45"/>
  <x:c r="H23" i="45"/>
  <x:c r="F34" i="45"/>
  <x:c r="F33" i="45"/>
  <x:c r="F32" i="45"/>
  <x:c r="F31" i="45"/>
  <x:c r="F30" i="45"/>
  <x:c r="F29" i="45"/>
  <x:c r="F28" i="45"/>
  <x:c r="F27" i="45"/>
  <x:c r="F26" i="45"/>
  <x:c r="F25" i="45"/>
  <x:c r="F24" i="45"/>
  <x:c r="F23" i="45"/>
  <x:c r="D34" i="45"/>
  <x:c r="D33" i="45"/>
  <x:c r="D32" i="45"/>
  <x:c r="D31" i="45"/>
  <x:c r="D30" i="45"/>
  <x:c r="D29" i="45"/>
  <x:c r="D28" i="45"/>
  <x:c r="D27" i="45"/>
  <x:c r="D26" i="45"/>
  <x:c r="D25" i="45"/>
  <x:c r="D24" i="45"/>
  <x:c r="D23" i="45"/>
  <x:c r="Z34" i="44"/>
  <x:c r="Z33" i="44"/>
  <x:c r="Z32" i="44"/>
  <x:c r="Z31" i="44"/>
  <x:c r="Z30" i="44"/>
  <x:c r="Z29" i="44"/>
  <x:c r="Z28" i="44"/>
  <x:c r="Z27" i="44"/>
  <x:c r="Z26" i="44"/>
  <x:c r="Z25" i="44"/>
  <x:c r="Z24" i="44"/>
  <x:c r="Z23" i="44"/>
  <x:c r="X34" i="44"/>
  <x:c r="X33" i="44"/>
  <x:c r="X32" i="44"/>
  <x:c r="X31" i="44"/>
  <x:c r="X30" i="44"/>
  <x:c r="X29" i="44"/>
  <x:c r="X28" i="44"/>
  <x:c r="X27" i="44"/>
  <x:c r="X26" i="44"/>
  <x:c r="X25" i="44"/>
  <x:c r="X24" i="44"/>
  <x:c r="X23" i="44"/>
  <x:c r="V34" i="44"/>
  <x:c r="V33" i="44"/>
  <x:c r="V32" i="44"/>
  <x:c r="V31" i="44"/>
  <x:c r="V30" i="44"/>
  <x:c r="V29" i="44"/>
  <x:c r="V28" i="44"/>
  <x:c r="V27" i="44"/>
  <x:c r="V26" i="44"/>
  <x:c r="V25" i="44"/>
  <x:c r="V24" i="44"/>
  <x:c r="V23" i="44"/>
  <x:c r="T34" i="44"/>
  <x:c r="T33" i="44"/>
  <x:c r="T32" i="44"/>
  <x:c r="T31" i="44"/>
  <x:c r="T30" i="44"/>
  <x:c r="T29" i="44"/>
  <x:c r="T28" i="44"/>
  <x:c r="T27" i="44"/>
  <x:c r="T26" i="44"/>
  <x:c r="T25" i="44"/>
  <x:c r="T24" i="44"/>
  <x:c r="T23" i="44"/>
  <x:c r="R34" i="44"/>
  <x:c r="R33" i="44"/>
  <x:c r="R32" i="44"/>
  <x:c r="R31" i="44"/>
  <x:c r="R30" i="44"/>
  <x:c r="R29" i="44"/>
  <x:c r="R28" i="44"/>
  <x:c r="R27" i="44"/>
  <x:c r="R26" i="44"/>
  <x:c r="R25" i="44"/>
  <x:c r="R24" i="44"/>
  <x:c r="R23" i="44"/>
  <x:c r="P34" i="44"/>
  <x:c r="P33" i="44"/>
  <x:c r="P32" i="44"/>
  <x:c r="P31" i="44"/>
  <x:c r="P30" i="44"/>
  <x:c r="P29" i="44"/>
  <x:c r="P28" i="44"/>
  <x:c r="P27" i="44"/>
  <x:c r="P26" i="44"/>
  <x:c r="P25" i="44"/>
  <x:c r="P24" i="44"/>
  <x:c r="P23" i="44"/>
  <x:c r="N34" i="44"/>
  <x:c r="N33" i="44"/>
  <x:c r="N32" i="44"/>
  <x:c r="N31" i="44"/>
  <x:c r="N30" i="44"/>
  <x:c r="N29" i="44"/>
  <x:c r="N28" i="44"/>
  <x:c r="N27" i="44"/>
  <x:c r="N26" i="44"/>
  <x:c r="N25" i="44"/>
  <x:c r="N24" i="44"/>
  <x:c r="N23" i="44"/>
  <x:c r="L34" i="44"/>
  <x:c r="L33" i="44"/>
  <x:c r="L32" i="44"/>
  <x:c r="L31" i="44"/>
  <x:c r="L30" i="44"/>
  <x:c r="L29" i="44"/>
  <x:c r="L28" i="44"/>
  <x:c r="L27" i="44"/>
  <x:c r="L26" i="44"/>
  <x:c r="L25" i="44"/>
  <x:c r="L24" i="44"/>
  <x:c r="L23" i="44"/>
  <x:c r="J34" i="44"/>
  <x:c r="J33" i="44"/>
  <x:c r="J32" i="44"/>
  <x:c r="J31" i="44"/>
  <x:c r="J30" i="44"/>
  <x:c r="J29" i="44"/>
  <x:c r="J28" i="44"/>
  <x:c r="J27" i="44"/>
  <x:c r="J26" i="44"/>
  <x:c r="J25" i="44"/>
  <x:c r="J24" i="44"/>
  <x:c r="J23" i="44"/>
  <x:c r="H34" i="44"/>
  <x:c r="H33" i="44"/>
  <x:c r="H32" i="44"/>
  <x:c r="H31" i="44"/>
  <x:c r="H30" i="44"/>
  <x:c r="H29" i="44"/>
  <x:c r="H28" i="44"/>
  <x:c r="H27" i="44"/>
  <x:c r="H26" i="44"/>
  <x:c r="H25" i="44"/>
  <x:c r="H24" i="44"/>
  <x:c r="H23" i="44"/>
  <x:c r="F34" i="44"/>
  <x:c r="F33" i="44"/>
  <x:c r="F32" i="44"/>
  <x:c r="F31" i="44"/>
  <x:c r="F30" i="44"/>
  <x:c r="F29" i="44"/>
  <x:c r="F28" i="44"/>
  <x:c r="F27" i="44"/>
  <x:c r="F26" i="44"/>
  <x:c r="F25" i="44"/>
  <x:c r="F24" i="44"/>
  <x:c r="F23" i="44"/>
  <x:c r="D34" i="44"/>
  <x:c r="D33" i="44"/>
  <x:c r="D32" i="44"/>
  <x:c r="D31" i="44"/>
  <x:c r="D30" i="44"/>
  <x:c r="D29" i="44"/>
  <x:c r="D28" i="44"/>
  <x:c r="D27" i="44"/>
  <x:c r="D26" i="44"/>
  <x:c r="D25" i="44"/>
  <x:c r="D24" i="44"/>
  <x:c r="D23" i="44"/>
  <x:c r="Z34" i="43"/>
  <x:c r="Y34" i="43"/>
  <x:c r="X34" i="43"/>
  <x:c r="Z33" i="43"/>
  <x:c r="Y33" i="43"/>
  <x:c r="X33" i="43"/>
  <x:c r="Z32" i="43"/>
  <x:c r="Y32" i="43"/>
  <x:c r="X32" i="43"/>
  <x:c r="Z31" i="43"/>
  <x:c r="Y31" i="43"/>
  <x:c r="X31" i="43"/>
  <x:c r="Z30" i="43"/>
  <x:c r="Y30" i="43"/>
  <x:c r="X30" i="43"/>
  <x:c r="Z29" i="43"/>
  <x:c r="Y29" i="43"/>
  <x:c r="X29" i="43"/>
  <x:c r="Z28" i="43"/>
  <x:c r="Y28" i="43"/>
  <x:c r="X28" i="43"/>
  <x:c r="Z27" i="43"/>
  <x:c r="Y27" i="43"/>
  <x:c r="X27" i="43"/>
  <x:c r="Z26" i="43"/>
  <x:c r="Y26" i="43"/>
  <x:c r="X26" i="43"/>
  <x:c r="Z25" i="43"/>
  <x:c r="Y25" i="43"/>
  <x:c r="X25" i="43"/>
  <x:c r="Z24" i="43"/>
  <x:c r="Y24" i="43"/>
  <x:c r="X24" i="43"/>
  <x:c r="Z23" i="43"/>
  <x:c r="Y23" i="43"/>
  <x:c r="X23" i="43"/>
  <x:c r="V34" i="43"/>
  <x:c r="V33" i="43"/>
  <x:c r="V32" i="43"/>
  <x:c r="V31" i="43"/>
  <x:c r="V30" i="43"/>
  <x:c r="V29" i="43"/>
  <x:c r="V28" i="43"/>
  <x:c r="V27" i="43"/>
  <x:c r="V26" i="43"/>
  <x:c r="V25" i="43"/>
  <x:c r="V24" i="43"/>
  <x:c r="V23" i="43"/>
  <x:c r="T34" i="43"/>
  <x:c r="T33" i="43"/>
  <x:c r="T32" i="43"/>
  <x:c r="T31" i="43"/>
  <x:c r="T30" i="43"/>
  <x:c r="T29" i="43"/>
  <x:c r="T28" i="43"/>
  <x:c r="T27" i="43"/>
  <x:c r="T26" i="43"/>
  <x:c r="T25" i="43"/>
  <x:c r="T24" i="43"/>
  <x:c r="T23" i="43"/>
  <x:c r="R24" i="43"/>
  <x:c r="R23" i="43"/>
  <x:c r="P24" i="43"/>
  <x:c r="P23" i="43"/>
  <x:c r="N24" i="43"/>
  <x:c r="N23" i="43"/>
  <x:c r="N33" i="43"/>
  <x:c r="L33" i="43"/>
  <x:c r="L24" i="43"/>
  <x:c r="L23" i="43"/>
  <x:c r="J34" i="43"/>
  <x:c r="J33" i="43"/>
  <x:c r="J32" i="43"/>
  <x:c r="J31" i="43"/>
  <x:c r="J30" i="43"/>
  <x:c r="J29" i="43"/>
  <x:c r="J28" i="43"/>
  <x:c r="J27" i="43"/>
  <x:c r="J26" i="43"/>
  <x:c r="J25" i="43"/>
  <x:c r="J24" i="43"/>
  <x:c r="J23" i="43"/>
  <x:c r="H34" i="43"/>
  <x:c r="H33" i="43"/>
  <x:c r="H32" i="43"/>
  <x:c r="H31" i="43"/>
  <x:c r="H30" i="43"/>
  <x:c r="H29" i="43"/>
  <x:c r="H28" i="43"/>
  <x:c r="H27" i="43"/>
  <x:c r="H26" i="43"/>
  <x:c r="H25" i="43"/>
  <x:c r="H24" i="43"/>
  <x:c r="H23" i="43"/>
  <x:c r="F34" i="43"/>
  <x:c r="F33" i="43"/>
  <x:c r="F32" i="43"/>
  <x:c r="F31" i="43"/>
  <x:c r="F30" i="43"/>
  <x:c r="F29" i="43"/>
  <x:c r="F28" i="43"/>
  <x:c r="F27" i="43"/>
  <x:c r="F26" i="43"/>
  <x:c r="F25" i="43"/>
  <x:c r="F24" i="43"/>
  <x:c r="F23" i="43"/>
  <x:c r="D34" i="43"/>
  <x:c r="D33" i="43"/>
  <x:c r="D32" i="43"/>
  <x:c r="D31" i="43"/>
  <x:c r="D30" i="43"/>
  <x:c r="D29" i="43"/>
  <x:c r="D28" i="43"/>
  <x:c r="D27" i="43"/>
  <x:c r="D26" i="43"/>
  <x:c r="D25" i="43"/>
  <x:c r="D24" i="43"/>
  <x:c r="D23" i="43"/>
  <x:c r="Z34" i="42"/>
  <x:c r="Y34" i="42"/>
  <x:c r="X34" i="42"/>
  <x:c r="Z33" i="42"/>
  <x:c r="Y33" i="42"/>
  <x:c r="X33" i="42"/>
  <x:c r="Z32" i="42"/>
  <x:c r="Y32" i="42"/>
  <x:c r="X32" i="42"/>
  <x:c r="Z31" i="42"/>
  <x:c r="Y31" i="42"/>
  <x:c r="X31" i="42"/>
  <x:c r="Z30" i="42"/>
  <x:c r="Y30" i="42"/>
  <x:c r="X30" i="42"/>
  <x:c r="Z29" i="42"/>
  <x:c r="Y29" i="42"/>
  <x:c r="X29" i="42"/>
  <x:c r="Z28" i="42"/>
  <x:c r="Y28" i="42"/>
  <x:c r="X28" i="42"/>
  <x:c r="Z27" i="42"/>
  <x:c r="Y27" i="42"/>
  <x:c r="X27" i="42"/>
  <x:c r="Z26" i="42"/>
  <x:c r="Y26" i="42"/>
  <x:c r="X26" i="42"/>
  <x:c r="Z25" i="42"/>
  <x:c r="Y25" i="42"/>
  <x:c r="X25" i="42"/>
  <x:c r="Z24" i="42"/>
  <x:c r="Y24" i="42"/>
  <x:c r="X24" i="42"/>
  <x:c r="Z23" i="42"/>
  <x:c r="Y23" i="42"/>
  <x:c r="X23" i="42"/>
  <x:c r="V34" i="42"/>
  <x:c r="V33" i="42"/>
  <x:c r="V32" i="42"/>
  <x:c r="V31" i="42"/>
  <x:c r="V30" i="42"/>
  <x:c r="V29" i="42"/>
  <x:c r="V28" i="42"/>
  <x:c r="V27" i="42"/>
  <x:c r="V26" i="42"/>
  <x:c r="V25" i="42"/>
  <x:c r="V24" i="42"/>
  <x:c r="V23" i="42"/>
  <x:c r="T34" i="42"/>
  <x:c r="T33" i="42"/>
  <x:c r="T32" i="42"/>
  <x:c r="T31" i="42"/>
  <x:c r="T30" i="42"/>
  <x:c r="T29" i="42"/>
  <x:c r="T28" i="42"/>
  <x:c r="T27" i="42"/>
  <x:c r="T26" i="42"/>
  <x:c r="T25" i="42"/>
  <x:c r="T24" i="42"/>
  <x:c r="T23" i="42"/>
  <x:c r="R34" i="42"/>
  <x:c r="R33" i="42"/>
  <x:c r="R32" i="42"/>
  <x:c r="R31" i="42"/>
  <x:c r="R30" i="42"/>
  <x:c r="R29" i="42"/>
  <x:c r="R28" i="42"/>
  <x:c r="R27" i="42"/>
  <x:c r="R26" i="42"/>
  <x:c r="R25" i="42"/>
  <x:c r="R24" i="42"/>
  <x:c r="R23" i="42"/>
  <x:c r="P34" i="42"/>
  <x:c r="P33" i="42"/>
  <x:c r="P32" i="42"/>
  <x:c r="P31" i="42"/>
  <x:c r="P30" i="42"/>
  <x:c r="P29" i="42"/>
  <x:c r="P28" i="42"/>
  <x:c r="P27" i="42"/>
  <x:c r="P26" i="42"/>
  <x:c r="P25" i="42"/>
  <x:c r="P24" i="42"/>
  <x:c r="P23" i="42"/>
  <x:c r="N34" i="42"/>
  <x:c r="N33" i="42"/>
  <x:c r="N32" i="42"/>
  <x:c r="N31" i="42"/>
  <x:c r="N30" i="42"/>
  <x:c r="N29" i="42"/>
  <x:c r="N28" i="42"/>
  <x:c r="N27" i="42"/>
  <x:c r="N26" i="42"/>
  <x:c r="N25" i="42"/>
  <x:c r="N24" i="42"/>
  <x:c r="N23" i="42"/>
  <x:c r="L34" i="42"/>
  <x:c r="L33" i="42"/>
  <x:c r="L32" i="42"/>
  <x:c r="L31" i="42"/>
  <x:c r="L30" i="42"/>
  <x:c r="L29" i="42"/>
  <x:c r="L28" i="42"/>
  <x:c r="L27" i="42"/>
  <x:c r="L26" i="42"/>
  <x:c r="L25" i="42"/>
  <x:c r="L24" i="42"/>
  <x:c r="L23" i="42"/>
  <x:c r="J34" i="42"/>
  <x:c r="J33" i="42"/>
  <x:c r="J32" i="42"/>
  <x:c r="J31" i="42"/>
  <x:c r="J30" i="42"/>
  <x:c r="J29" i="42"/>
  <x:c r="J28" i="42"/>
  <x:c r="J27" i="42"/>
  <x:c r="J26" i="42"/>
  <x:c r="J25" i="42"/>
  <x:c r="J24" i="42"/>
  <x:c r="J23" i="42"/>
  <x:c r="H34" i="42"/>
  <x:c r="H33" i="42"/>
  <x:c r="H32" i="42"/>
  <x:c r="H31" i="42"/>
  <x:c r="H30" i="42"/>
  <x:c r="H29" i="42"/>
  <x:c r="H28" i="42"/>
  <x:c r="H27" i="42"/>
  <x:c r="H26" i="42"/>
  <x:c r="H25" i="42"/>
  <x:c r="H24" i="42"/>
  <x:c r="H23" i="42"/>
  <x:c r="F34" i="42"/>
  <x:c r="F33" i="42"/>
  <x:c r="F32" i="42"/>
  <x:c r="F31" i="42"/>
  <x:c r="F30" i="42"/>
  <x:c r="F29" i="42"/>
  <x:c r="F28" i="42"/>
  <x:c r="F27" i="42"/>
  <x:c r="F26" i="42"/>
  <x:c r="F25" i="42"/>
  <x:c r="F24" i="42"/>
  <x:c r="F23" i="42"/>
  <x:c r="D34" i="42"/>
  <x:c r="D33" i="42"/>
  <x:c r="D32" i="42"/>
  <x:c r="D31" i="42"/>
  <x:c r="D30" i="42"/>
  <x:c r="D29" i="42"/>
  <x:c r="D28" i="42"/>
  <x:c r="D27" i="42"/>
  <x:c r="D26" i="42"/>
  <x:c r="D25" i="42"/>
  <x:c r="D24" i="42"/>
  <x:c r="D23" i="42"/>
  <x:c r="Z34" i="41"/>
  <x:c r="Y34" i="41"/>
  <x:c r="X34" i="41"/>
  <x:c r="Z33" i="41"/>
  <x:c r="Y33" i="41"/>
  <x:c r="X33" i="41"/>
  <x:c r="Z32" i="41"/>
  <x:c r="Y32" i="41"/>
  <x:c r="X32" i="41"/>
  <x:c r="Z31" i="41"/>
  <x:c r="Y31" i="41"/>
  <x:c r="X31" i="41"/>
  <x:c r="Z30" i="41"/>
  <x:c r="Y30" i="41"/>
  <x:c r="X30" i="41"/>
  <x:c r="Z29" i="41"/>
  <x:c r="Y29" i="41"/>
  <x:c r="X29" i="41"/>
  <x:c r="Z28" i="41"/>
  <x:c r="Y28" i="41"/>
  <x:c r="X28" i="41"/>
  <x:c r="Z27" i="41"/>
  <x:c r="Y27" i="41"/>
  <x:c r="X27" i="41"/>
  <x:c r="Z26" i="41"/>
  <x:c r="Y26" i="41"/>
  <x:c r="X26" i="41"/>
  <x:c r="Z25" i="41"/>
  <x:c r="Y25" i="41"/>
  <x:c r="X25" i="41"/>
  <x:c r="Z24" i="41"/>
  <x:c r="Y24" i="41"/>
  <x:c r="X24" i="41"/>
  <x:c r="Z23" i="41"/>
  <x:c r="Y23" i="41"/>
  <x:c r="X23" i="41"/>
  <x:c r="V34" i="41"/>
  <x:c r="V33" i="41"/>
  <x:c r="V32" i="41"/>
  <x:c r="V31" i="41"/>
  <x:c r="V30" i="41"/>
  <x:c r="V29" i="41"/>
  <x:c r="V28" i="41"/>
  <x:c r="V27" i="41"/>
  <x:c r="V26" i="41"/>
  <x:c r="V25" i="41"/>
  <x:c r="V24" i="41"/>
  <x:c r="V23" i="41"/>
  <x:c r="T34" i="41"/>
  <x:c r="T33" i="41"/>
  <x:c r="T32" i="41"/>
  <x:c r="T31" i="41"/>
  <x:c r="T30" i="41"/>
  <x:c r="T29" i="41"/>
  <x:c r="T28" i="41"/>
  <x:c r="T27" i="41"/>
  <x:c r="T26" i="41"/>
  <x:c r="T25" i="41"/>
  <x:c r="T24" i="41"/>
  <x:c r="T23" i="41"/>
  <x:c r="R34" i="41"/>
  <x:c r="R33" i="41"/>
  <x:c r="R32" i="41"/>
  <x:c r="R31" i="41"/>
  <x:c r="R30" i="41"/>
  <x:c r="R29" i="41"/>
  <x:c r="R28" i="41"/>
  <x:c r="R27" i="41"/>
  <x:c r="R26" i="41"/>
  <x:c r="R25" i="41"/>
  <x:c r="R24" i="41"/>
  <x:c r="R23" i="41"/>
  <x:c r="P34" i="41"/>
  <x:c r="P33" i="41"/>
  <x:c r="P32" i="41"/>
  <x:c r="P31" i="41"/>
  <x:c r="P30" i="41"/>
  <x:c r="P29" i="41"/>
  <x:c r="P28" i="41"/>
  <x:c r="P27" i="41"/>
  <x:c r="P26" i="41"/>
  <x:c r="P25" i="41"/>
  <x:c r="P24" i="41"/>
  <x:c r="P23" i="41"/>
  <x:c r="N34" i="41"/>
  <x:c r="N33" i="41"/>
  <x:c r="N32" i="41"/>
  <x:c r="N31" i="41"/>
  <x:c r="N30" i="41"/>
  <x:c r="N29" i="41"/>
  <x:c r="N28" i="41"/>
  <x:c r="N27" i="41"/>
  <x:c r="N26" i="41"/>
  <x:c r="N25" i="41"/>
  <x:c r="N24" i="41"/>
  <x:c r="N23" i="41"/>
  <x:c r="L34" i="41"/>
  <x:c r="L33" i="41"/>
  <x:c r="L32" i="41"/>
  <x:c r="L31" i="41"/>
  <x:c r="L30" i="41"/>
  <x:c r="L29" i="41"/>
  <x:c r="L28" i="41"/>
  <x:c r="L27" i="41"/>
  <x:c r="L26" i="41"/>
  <x:c r="L25" i="41"/>
  <x:c r="L24" i="41"/>
  <x:c r="L23" i="41"/>
  <x:c r="J34" i="41"/>
  <x:c r="J33" i="41"/>
  <x:c r="J32" i="41"/>
  <x:c r="J31" i="41"/>
  <x:c r="J30" i="41"/>
  <x:c r="J29" i="41"/>
  <x:c r="J28" i="41"/>
  <x:c r="J27" i="41"/>
  <x:c r="J26" i="41"/>
  <x:c r="J25" i="41"/>
  <x:c r="J24" i="41"/>
  <x:c r="J23" i="41"/>
  <x:c r="H34" i="41"/>
  <x:c r="H33" i="41"/>
  <x:c r="H32" i="41"/>
  <x:c r="H31" i="41"/>
  <x:c r="H30" i="41"/>
  <x:c r="H29" i="41"/>
  <x:c r="H28" i="41"/>
  <x:c r="H27" i="41"/>
  <x:c r="H26" i="41"/>
  <x:c r="H25" i="41"/>
  <x:c r="H24" i="41"/>
  <x:c r="H23" i="41"/>
  <x:c r="F34" i="41"/>
  <x:c r="F33" i="41"/>
  <x:c r="F32" i="41"/>
  <x:c r="F31" i="41"/>
  <x:c r="F30" i="41"/>
  <x:c r="F29" i="41"/>
  <x:c r="F28" i="41"/>
  <x:c r="F27" i="41"/>
  <x:c r="F26" i="41"/>
  <x:c r="F25" i="41"/>
  <x:c r="F24" i="41"/>
  <x:c r="F23" i="41"/>
  <x:c r="D34" i="41"/>
  <x:c r="D33" i="41"/>
  <x:c r="D32" i="41"/>
  <x:c r="D31" i="41"/>
  <x:c r="D30" i="41"/>
  <x:c r="D29" i="41"/>
  <x:c r="D28" i="41"/>
  <x:c r="D27" i="41"/>
  <x:c r="D26" i="41"/>
  <x:c r="D25" i="41"/>
  <x:c r="D24" i="41"/>
  <x:c r="D23" i="41"/>
  <x:c r="Z34" i="40"/>
  <x:c r="Y34" i="40"/>
  <x:c r="X34" i="40"/>
  <x:c r="Z33" i="40"/>
  <x:c r="Y33" i="40"/>
  <x:c r="X33" i="40"/>
  <x:c r="Z32" i="40"/>
  <x:c r="Y32" i="40"/>
  <x:c r="X32" i="40"/>
  <x:c r="Z31" i="40"/>
  <x:c r="Y31" i="40"/>
  <x:c r="X31" i="40"/>
  <x:c r="Z30" i="40"/>
  <x:c r="Y30" i="40"/>
  <x:c r="X30" i="40"/>
  <x:c r="Z29" i="40"/>
  <x:c r="Y29" i="40"/>
  <x:c r="X29" i="40"/>
  <x:c r="Z28" i="40"/>
  <x:c r="Y28" i="40"/>
  <x:c r="X28" i="40"/>
  <x:c r="Z27" i="40"/>
  <x:c r="Y27" i="40"/>
  <x:c r="X27" i="40"/>
  <x:c r="Z26" i="40"/>
  <x:c r="Y26" i="40"/>
  <x:c r="X26" i="40"/>
  <x:c r="Z25" i="40"/>
  <x:c r="Y25" i="40"/>
  <x:c r="X25" i="40"/>
  <x:c r="Z24" i="40"/>
  <x:c r="Y24" i="40"/>
  <x:c r="X24" i="40"/>
  <x:c r="Z23" i="40"/>
  <x:c r="Y23" i="40"/>
  <x:c r="X23" i="40"/>
  <x:c r="V34" i="40"/>
  <x:c r="V33" i="40"/>
  <x:c r="V32" i="40"/>
  <x:c r="V31" i="40"/>
  <x:c r="V30" i="40"/>
  <x:c r="V29" i="40"/>
  <x:c r="V28" i="40"/>
  <x:c r="V27" i="40"/>
  <x:c r="V26" i="40"/>
  <x:c r="V25" i="40"/>
  <x:c r="V24" i="40"/>
  <x:c r="V23" i="40"/>
  <x:c r="T34" i="40"/>
  <x:c r="T33" i="40"/>
  <x:c r="T32" i="40"/>
  <x:c r="T31" i="40"/>
  <x:c r="T30" i="40"/>
  <x:c r="T29" i="40"/>
  <x:c r="T28" i="40"/>
  <x:c r="T27" i="40"/>
  <x:c r="T26" i="40"/>
  <x:c r="T25" i="40"/>
  <x:c r="T24" i="40"/>
  <x:c r="T23" i="40"/>
  <x:c r="R34" i="40"/>
  <x:c r="R33" i="40"/>
  <x:c r="R32" i="40"/>
  <x:c r="R31" i="40"/>
  <x:c r="R30" i="40"/>
  <x:c r="R29" i="40"/>
  <x:c r="R28" i="40"/>
  <x:c r="R27" i="40"/>
  <x:c r="R26" i="40"/>
  <x:c r="R25" i="40"/>
  <x:c r="R24" i="40"/>
  <x:c r="R23" i="40"/>
  <x:c r="P34" i="40"/>
  <x:c r="P33" i="40"/>
  <x:c r="P32" i="40"/>
  <x:c r="P31" i="40"/>
  <x:c r="P30" i="40"/>
  <x:c r="P29" i="40"/>
  <x:c r="P28" i="40"/>
  <x:c r="P27" i="40"/>
  <x:c r="P26" i="40"/>
  <x:c r="P25" i="40"/>
  <x:c r="P24" i="40"/>
  <x:c r="P23" i="40"/>
  <x:c r="N34" i="40"/>
  <x:c r="N33" i="40"/>
  <x:c r="N32" i="40"/>
  <x:c r="N31" i="40"/>
  <x:c r="N30" i="40"/>
  <x:c r="N29" i="40"/>
  <x:c r="N28" i="40"/>
  <x:c r="N27" i="40"/>
  <x:c r="N26" i="40"/>
  <x:c r="N25" i="40"/>
  <x:c r="N24" i="40"/>
  <x:c r="N23" i="40"/>
  <x:c r="L34" i="40"/>
  <x:c r="L33" i="40"/>
  <x:c r="L32" i="40"/>
  <x:c r="L31" i="40"/>
  <x:c r="L30" i="40"/>
  <x:c r="L29" i="40"/>
  <x:c r="L28" i="40"/>
  <x:c r="L27" i="40"/>
  <x:c r="L26" i="40"/>
  <x:c r="L25" i="40"/>
  <x:c r="L24" i="40"/>
  <x:c r="L23" i="40"/>
  <x:c r="J34" i="40"/>
  <x:c r="J33" i="40"/>
  <x:c r="J32" i="40"/>
  <x:c r="J31" i="40"/>
  <x:c r="J30" i="40"/>
  <x:c r="J29" i="40"/>
  <x:c r="J28" i="40"/>
  <x:c r="J27" i="40"/>
  <x:c r="J26" i="40"/>
  <x:c r="J25" i="40"/>
  <x:c r="J24" i="40"/>
  <x:c r="J23" i="40"/>
  <x:c r="H34" i="40"/>
  <x:c r="H33" i="40"/>
  <x:c r="H32" i="40"/>
  <x:c r="H31" i="40"/>
  <x:c r="H30" i="40"/>
  <x:c r="H29" i="40"/>
  <x:c r="H28" i="40"/>
  <x:c r="H27" i="40"/>
  <x:c r="H26" i="40"/>
  <x:c r="H25" i="40"/>
  <x:c r="H24" i="40"/>
  <x:c r="H23" i="40"/>
  <x:c r="F34" i="40"/>
  <x:c r="F33" i="40"/>
  <x:c r="F32" i="40"/>
  <x:c r="F31" i="40"/>
  <x:c r="F30" i="40"/>
  <x:c r="F29" i="40"/>
  <x:c r="F28" i="40"/>
  <x:c r="F27" i="40"/>
  <x:c r="F26" i="40"/>
  <x:c r="F25" i="40"/>
  <x:c r="F24" i="40"/>
  <x:c r="F23" i="40"/>
  <x:c r="D34" i="40"/>
  <x:c r="D33" i="40"/>
  <x:c r="D32" i="40"/>
  <x:c r="D31" i="40"/>
  <x:c r="D30" i="40"/>
  <x:c r="D29" i="40"/>
  <x:c r="D28" i="40"/>
  <x:c r="D27" i="40"/>
  <x:c r="D26" i="40"/>
  <x:c r="D25" i="40"/>
  <x:c r="D24" i="40"/>
  <x:c r="D23" i="40"/>
  <x:c r="Z34" i="39"/>
  <x:c r="Z33" i="39"/>
  <x:c r="Z32" i="39"/>
  <x:c r="Z31" i="39"/>
  <x:c r="Z30" i="39"/>
  <x:c r="Z29" i="39"/>
  <x:c r="Z28" i="39"/>
  <x:c r="Z27" i="39"/>
  <x:c r="Z26" i="39"/>
  <x:c r="Z25" i="39"/>
  <x:c r="Z24" i="39"/>
  <x:c r="Z23" i="39"/>
  <x:c r="X34" i="39"/>
  <x:c r="X33" i="39"/>
  <x:c r="X32" i="39"/>
  <x:c r="X31" i="39"/>
  <x:c r="X30" i="39"/>
  <x:c r="X29" i="39"/>
  <x:c r="X28" i="39"/>
  <x:c r="X27" i="39"/>
  <x:c r="X26" i="39"/>
  <x:c r="X25" i="39"/>
  <x:c r="X24" i="39"/>
  <x:c r="X23" i="39"/>
  <x:c r="V34" i="39"/>
  <x:c r="V33" i="39"/>
  <x:c r="V32" i="39"/>
  <x:c r="V31" i="39"/>
  <x:c r="V30" i="39"/>
  <x:c r="V29" i="39"/>
  <x:c r="V28" i="39"/>
  <x:c r="V27" i="39"/>
  <x:c r="V26" i="39"/>
  <x:c r="V25" i="39"/>
  <x:c r="V24" i="39"/>
  <x:c r="V23" i="39"/>
  <x:c r="T34" i="39"/>
  <x:c r="T33" i="39"/>
  <x:c r="T32" i="39"/>
  <x:c r="T31" i="39"/>
  <x:c r="T30" i="39"/>
  <x:c r="T29" i="39"/>
  <x:c r="T28" i="39"/>
  <x:c r="T27" i="39"/>
  <x:c r="T26" i="39"/>
  <x:c r="T25" i="39"/>
  <x:c r="T24" i="39"/>
  <x:c r="T23" i="39"/>
  <x:c r="R34" i="39"/>
  <x:c r="R33" i="39"/>
  <x:c r="R32" i="39"/>
  <x:c r="R31" i="39"/>
  <x:c r="R30" i="39"/>
  <x:c r="R29" i="39"/>
  <x:c r="R28" i="39"/>
  <x:c r="R27" i="39"/>
  <x:c r="R26" i="39"/>
  <x:c r="R25" i="39"/>
  <x:c r="R24" i="39"/>
  <x:c r="R23" i="39"/>
  <x:c r="P34" i="39"/>
  <x:c r="P33" i="39"/>
  <x:c r="P32" i="39"/>
  <x:c r="P31" i="39"/>
  <x:c r="P30" i="39"/>
  <x:c r="P29" i="39"/>
  <x:c r="P28" i="39"/>
  <x:c r="P27" i="39"/>
  <x:c r="P26" i="39"/>
  <x:c r="P25" i="39"/>
  <x:c r="P24" i="39"/>
  <x:c r="P23" i="39"/>
  <x:c r="N34" i="39"/>
  <x:c r="N33" i="39"/>
  <x:c r="N32" i="39"/>
  <x:c r="N31" i="39"/>
  <x:c r="N30" i="39"/>
  <x:c r="N29" i="39"/>
  <x:c r="N28" i="39"/>
  <x:c r="N27" i="39"/>
  <x:c r="N26" i="39"/>
  <x:c r="N25" i="39"/>
  <x:c r="N24" i="39"/>
  <x:c r="N23" i="39"/>
  <x:c r="L34" i="39"/>
  <x:c r="L33" i="39"/>
  <x:c r="L32" i="39"/>
  <x:c r="L31" i="39"/>
  <x:c r="L30" i="39"/>
  <x:c r="L29" i="39"/>
  <x:c r="L28" i="39"/>
  <x:c r="L27" i="39"/>
  <x:c r="L26" i="39"/>
  <x:c r="L25" i="39"/>
  <x:c r="L24" i="39"/>
  <x:c r="L23" i="39"/>
  <x:c r="J34" i="39"/>
  <x:c r="J33" i="39"/>
  <x:c r="J32" i="39"/>
  <x:c r="J31" i="39"/>
  <x:c r="J30" i="39"/>
  <x:c r="J29" i="39"/>
  <x:c r="J28" i="39"/>
  <x:c r="J27" i="39"/>
  <x:c r="J26" i="39"/>
  <x:c r="J25" i="39"/>
  <x:c r="J24" i="39"/>
  <x:c r="J23" i="39"/>
  <x:c r="H34" i="39"/>
  <x:c r="H33" i="39"/>
  <x:c r="H32" i="39"/>
  <x:c r="H31" i="39"/>
  <x:c r="H30" i="39"/>
  <x:c r="H29" i="39"/>
  <x:c r="H28" i="39"/>
  <x:c r="H27" i="39"/>
  <x:c r="H26" i="39"/>
  <x:c r="H25" i="39"/>
  <x:c r="H24" i="39"/>
  <x:c r="H23" i="39"/>
  <x:c r="F34" i="39"/>
  <x:c r="F33" i="39"/>
  <x:c r="F32" i="39"/>
  <x:c r="F31" i="39"/>
  <x:c r="F30" i="39"/>
  <x:c r="F29" i="39"/>
  <x:c r="F28" i="39"/>
  <x:c r="F27" i="39"/>
  <x:c r="F26" i="39"/>
  <x:c r="F25" i="39"/>
  <x:c r="F24" i="39"/>
  <x:c r="F23" i="39"/>
  <x:c r="D34" i="39"/>
  <x:c r="D33" i="39"/>
  <x:c r="D32" i="39"/>
  <x:c r="D31" i="39"/>
  <x:c r="D30" i="39"/>
  <x:c r="D29" i="39"/>
  <x:c r="D28" i="39"/>
  <x:c r="D27" i="39"/>
  <x:c r="D26" i="39"/>
  <x:c r="D25" i="39"/>
  <x:c r="D24" i="39"/>
  <x:c r="D23" i="39"/>
  <x:c r="Z34" i="38"/>
  <x:c r="Y34" i="38"/>
  <x:c r="X34" i="38"/>
  <x:c r="Z33" i="38"/>
  <x:c r="Y33" i="38"/>
  <x:c r="X33" i="38"/>
  <x:c r="Z32" i="38"/>
  <x:c r="Y32" i="38"/>
  <x:c r="X32" i="38"/>
  <x:c r="Z31" i="38"/>
  <x:c r="Y31" i="38"/>
  <x:c r="X31" i="38"/>
  <x:c r="Z30" i="38"/>
  <x:c r="Y30" i="38"/>
  <x:c r="X30" i="38"/>
  <x:c r="Z29" i="38"/>
  <x:c r="Y29" i="38"/>
  <x:c r="X29" i="38"/>
  <x:c r="Z28" i="38"/>
  <x:c r="Y28" i="38"/>
  <x:c r="X28" i="38"/>
  <x:c r="Z27" i="38"/>
  <x:c r="Y27" i="38"/>
  <x:c r="X27" i="38"/>
  <x:c r="Z26" i="38"/>
  <x:c r="Y26" i="38"/>
  <x:c r="X26" i="38"/>
  <x:c r="Z25" i="38"/>
  <x:c r="Y25" i="38"/>
  <x:c r="X25" i="38"/>
  <x:c r="Z24" i="38"/>
  <x:c r="Y24" i="38"/>
  <x:c r="X24" i="38"/>
  <x:c r="Z23" i="38"/>
  <x:c r="Y23" i="38"/>
  <x:c r="X23" i="38"/>
  <x:c r="V34" i="38"/>
  <x:c r="V33" i="38"/>
  <x:c r="V32" i="38"/>
  <x:c r="V31" i="38"/>
  <x:c r="V30" i="38"/>
  <x:c r="V29" i="38"/>
  <x:c r="V28" i="38"/>
  <x:c r="V27" i="38"/>
  <x:c r="V26" i="38"/>
  <x:c r="V25" i="38"/>
  <x:c r="V24" i="38"/>
  <x:c r="V23" i="38"/>
  <x:c r="T34" i="38"/>
  <x:c r="T33" i="38"/>
  <x:c r="T32" i="38"/>
  <x:c r="T31" i="38"/>
  <x:c r="T30" i="38"/>
  <x:c r="T29" i="38"/>
  <x:c r="T28" i="38"/>
  <x:c r="T27" i="38"/>
  <x:c r="T26" i="38"/>
  <x:c r="T25" i="38"/>
  <x:c r="T24" i="38"/>
  <x:c r="T23" i="38"/>
  <x:c r="R34" i="38"/>
  <x:c r="R33" i="38"/>
  <x:c r="R32" i="38"/>
  <x:c r="R31" i="38"/>
  <x:c r="R30" i="38"/>
  <x:c r="R29" i="38"/>
  <x:c r="R28" i="38"/>
  <x:c r="R27" i="38"/>
  <x:c r="R26" i="38"/>
  <x:c r="R25" i="38"/>
  <x:c r="R24" i="38"/>
  <x:c r="R23" i="38"/>
  <x:c r="P34" i="38"/>
  <x:c r="P33" i="38"/>
  <x:c r="P32" i="38"/>
  <x:c r="P31" i="38"/>
  <x:c r="P30" i="38"/>
  <x:c r="P29" i="38"/>
  <x:c r="P28" i="38"/>
  <x:c r="P27" i="38"/>
  <x:c r="P26" i="38"/>
  <x:c r="P25" i="38"/>
  <x:c r="P24" i="38"/>
  <x:c r="P23" i="38"/>
  <x:c r="N34" i="38"/>
  <x:c r="N33" i="38"/>
  <x:c r="N32" i="38"/>
  <x:c r="N31" i="38"/>
  <x:c r="N30" i="38"/>
  <x:c r="N29" i="38"/>
  <x:c r="N28" i="38"/>
  <x:c r="N27" i="38"/>
  <x:c r="N26" i="38"/>
  <x:c r="N25" i="38"/>
  <x:c r="N24" i="38"/>
  <x:c r="N23" i="38"/>
  <x:c r="L34" i="38"/>
  <x:c r="L33" i="38"/>
  <x:c r="L32" i="38"/>
  <x:c r="L31" i="38"/>
  <x:c r="L30" i="38"/>
  <x:c r="L29" i="38"/>
  <x:c r="L28" i="38"/>
  <x:c r="L27" i="38"/>
  <x:c r="L26" i="38"/>
  <x:c r="L25" i="38"/>
  <x:c r="L24" i="38"/>
  <x:c r="L23" i="38"/>
  <x:c r="J34" i="38"/>
  <x:c r="J33" i="38"/>
  <x:c r="J32" i="38"/>
  <x:c r="J31" i="38"/>
  <x:c r="J30" i="38"/>
  <x:c r="J29" i="38"/>
  <x:c r="J28" i="38"/>
  <x:c r="J27" i="38"/>
  <x:c r="J26" i="38"/>
  <x:c r="J25" i="38"/>
  <x:c r="J24" i="38"/>
  <x:c r="J23" i="38"/>
  <x:c r="H34" i="38"/>
  <x:c r="H33" i="38"/>
  <x:c r="H32" i="38"/>
  <x:c r="H31" i="38"/>
  <x:c r="H30" i="38"/>
  <x:c r="H29" i="38"/>
  <x:c r="H28" i="38"/>
  <x:c r="H27" i="38"/>
  <x:c r="H26" i="38"/>
  <x:c r="H25" i="38"/>
  <x:c r="H24" i="38"/>
  <x:c r="H23" i="38"/>
  <x:c r="F34" i="38"/>
  <x:c r="F33" i="38"/>
  <x:c r="F32" i="38"/>
  <x:c r="F31" i="38"/>
  <x:c r="F30" i="38"/>
  <x:c r="F29" i="38"/>
  <x:c r="F28" i="38"/>
  <x:c r="F27" i="38"/>
  <x:c r="F26" i="38"/>
  <x:c r="F25" i="38"/>
  <x:c r="F24" i="38"/>
  <x:c r="F23" i="38"/>
  <x:c r="D34" i="38"/>
  <x:c r="D33" i="38"/>
  <x:c r="D32" i="38"/>
  <x:c r="D31" i="38"/>
  <x:c r="D30" i="38"/>
  <x:c r="D29" i="38"/>
  <x:c r="D28" i="38"/>
  <x:c r="D27" i="38"/>
  <x:c r="D26" i="38"/>
  <x:c r="D25" i="38"/>
  <x:c r="D24" i="38"/>
  <x:c r="D23" i="38"/>
  <x:c r="Z34" i="37"/>
  <x:c r="Z33" i="37"/>
  <x:c r="Z32" i="37"/>
  <x:c r="Z31" i="37"/>
  <x:c r="Z30" i="37"/>
  <x:c r="Z29" i="37"/>
  <x:c r="Z28" i="37"/>
  <x:c r="Z27" i="37"/>
  <x:c r="Z26" i="37"/>
  <x:c r="Z25" i="37"/>
  <x:c r="Z24" i="37"/>
  <x:c r="Z23" i="37"/>
  <x:c r="X34" i="37"/>
  <x:c r="X33" i="37"/>
  <x:c r="X32" i="37"/>
  <x:c r="X31" i="37"/>
  <x:c r="X30" i="37"/>
  <x:c r="X29" i="37"/>
  <x:c r="X28" i="37"/>
  <x:c r="X27" i="37"/>
  <x:c r="X26" i="37"/>
  <x:c r="X25" i="37"/>
  <x:c r="X24" i="37"/>
  <x:c r="X23" i="37"/>
  <x:c r="V34" i="37"/>
  <x:c r="V33" i="37"/>
  <x:c r="V32" i="37"/>
  <x:c r="V31" i="37"/>
  <x:c r="V30" i="37"/>
  <x:c r="V29" i="37"/>
  <x:c r="V28" i="37"/>
  <x:c r="V27" i="37"/>
  <x:c r="V26" i="37"/>
  <x:c r="V25" i="37"/>
  <x:c r="V24" i="37"/>
  <x:c r="V23" i="37"/>
  <x:c r="T34" i="37"/>
  <x:c r="T33" i="37"/>
  <x:c r="T32" i="37"/>
  <x:c r="T31" i="37"/>
  <x:c r="T30" i="37"/>
  <x:c r="T29" i="37"/>
  <x:c r="T28" i="37"/>
  <x:c r="T27" i="37"/>
  <x:c r="T26" i="37"/>
  <x:c r="T25" i="37"/>
  <x:c r="T24" i="37"/>
  <x:c r="T23" i="37"/>
  <x:c r="R34" i="37"/>
  <x:c r="R33" i="37"/>
  <x:c r="R32" i="37"/>
  <x:c r="R31" i="37"/>
  <x:c r="R30" i="37"/>
  <x:c r="R29" i="37"/>
  <x:c r="R28" i="37"/>
  <x:c r="R27" i="37"/>
  <x:c r="R26" i="37"/>
  <x:c r="R25" i="37"/>
  <x:c r="R24" i="37"/>
  <x:c r="R23" i="37"/>
  <x:c r="P34" i="37"/>
  <x:c r="P33" i="37"/>
  <x:c r="P32" i="37"/>
  <x:c r="P31" i="37"/>
  <x:c r="P30" i="37"/>
  <x:c r="P29" i="37"/>
  <x:c r="P28" i="37"/>
  <x:c r="P27" i="37"/>
  <x:c r="P26" i="37"/>
  <x:c r="P25" i="37"/>
  <x:c r="P24" i="37"/>
  <x:c r="P23" i="37"/>
  <x:c r="N34" i="37"/>
  <x:c r="N33" i="37"/>
  <x:c r="N32" i="37"/>
  <x:c r="N31" i="37"/>
  <x:c r="N30" i="37"/>
  <x:c r="N29" i="37"/>
  <x:c r="N28" i="37"/>
  <x:c r="N27" i="37"/>
  <x:c r="N26" i="37"/>
  <x:c r="N25" i="37"/>
  <x:c r="N24" i="37"/>
  <x:c r="N23" i="37"/>
  <x:c r="L34" i="37"/>
  <x:c r="L33" i="37"/>
  <x:c r="L32" i="37"/>
  <x:c r="L31" i="37"/>
  <x:c r="L30" i="37"/>
  <x:c r="L29" i="37"/>
  <x:c r="L28" i="37"/>
  <x:c r="L27" i="37"/>
  <x:c r="L26" i="37"/>
  <x:c r="L25" i="37"/>
  <x:c r="L24" i="37"/>
  <x:c r="L23" i="37"/>
  <x:c r="J34" i="37"/>
  <x:c r="J33" i="37"/>
  <x:c r="J32" i="37"/>
  <x:c r="J31" i="37"/>
  <x:c r="J30" i="37"/>
  <x:c r="J29" i="37"/>
  <x:c r="J28" i="37"/>
  <x:c r="J27" i="37"/>
  <x:c r="J26" i="37"/>
  <x:c r="J25" i="37"/>
  <x:c r="J24" i="37"/>
  <x:c r="J23" i="37"/>
  <x:c r="H34" i="37"/>
  <x:c r="H33" i="37"/>
  <x:c r="H32" i="37"/>
  <x:c r="H31" i="37"/>
  <x:c r="H30" i="37"/>
  <x:c r="H29" i="37"/>
  <x:c r="H28" i="37"/>
  <x:c r="H27" i="37"/>
  <x:c r="H26" i="37"/>
  <x:c r="H25" i="37"/>
  <x:c r="H24" i="37"/>
  <x:c r="H23" i="37"/>
  <x:c r="F34" i="37"/>
  <x:c r="F33" i="37"/>
  <x:c r="F32" i="37"/>
  <x:c r="F31" i="37"/>
  <x:c r="F30" i="37"/>
  <x:c r="F29" i="37"/>
  <x:c r="F28" i="37"/>
  <x:c r="F27" i="37"/>
  <x:c r="F26" i="37"/>
  <x:c r="F25" i="37"/>
  <x:c r="F24" i="37"/>
  <x:c r="F23" i="37"/>
  <x:c r="D34" i="37"/>
  <x:c r="D33" i="37"/>
  <x:c r="D32" i="37"/>
  <x:c r="D31" i="37"/>
  <x:c r="D30" i="37"/>
  <x:c r="D29" i="37"/>
  <x:c r="D28" i="37"/>
  <x:c r="D27" i="37"/>
  <x:c r="D26" i="37"/>
  <x:c r="D25" i="37"/>
  <x:c r="D24" i="37"/>
  <x:c r="D23" i="37"/>
  <x:c r="X30" i="1"/>
  <x:c r="X24" i="1"/>
  <x:c r="Z34" i="1"/>
  <x:c r="Z33" i="1"/>
  <x:c r="Z32" i="1"/>
  <x:c r="Z31" i="1"/>
  <x:c r="Z30" i="1"/>
  <x:c r="Z29" i="1"/>
  <x:c r="Z28" i="1"/>
  <x:c r="Z27" i="1"/>
  <x:c r="Z26" i="1"/>
  <x:c r="Z25" i="1"/>
  <x:c r="Z24" i="1"/>
  <x:c r="Z23" i="1"/>
  <x:c r="X34" i="1"/>
  <x:c r="X33" i="1"/>
  <x:c r="X32" i="1"/>
  <x:c r="X31" i="1"/>
  <x:c r="X29" i="1"/>
  <x:c r="X28" i="1"/>
  <x:c r="X27" i="1"/>
  <x:c r="X26" i="1"/>
  <x:c r="X25" i="1"/>
  <x:c r="X23" i="1"/>
  <x:c r="V34" i="1"/>
  <x:c r="V33" i="1"/>
  <x:c r="V32" i="1"/>
  <x:c r="V31" i="1"/>
  <x:c r="V30" i="1"/>
  <x:c r="V29" i="1"/>
  <x:c r="V28" i="1"/>
  <x:c r="V27" i="1"/>
  <x:c r="V26" i="1"/>
  <x:c r="V25" i="1"/>
  <x:c r="V24" i="1"/>
  <x:c r="V23" i="1"/>
  <x:c r="T34" i="1"/>
  <x:c r="T33" i="1"/>
  <x:c r="T32" i="1"/>
  <x:c r="T31" i="1"/>
  <x:c r="T30" i="1"/>
  <x:c r="T29" i="1"/>
  <x:c r="T28" i="1"/>
  <x:c r="T27" i="1"/>
  <x:c r="T26" i="1"/>
  <x:c r="T25" i="1"/>
  <x:c r="T24" i="1"/>
  <x:c r="T23" i="1"/>
  <x:c r="R34" i="1"/>
  <x:c r="R33" i="1"/>
  <x:c r="R32" i="1"/>
  <x:c r="R31" i="1"/>
  <x:c r="R30" i="1"/>
  <x:c r="R29" i="1"/>
  <x:c r="R28" i="1"/>
  <x:c r="R27" i="1"/>
  <x:c r="R26" i="1"/>
  <x:c r="R25" i="1"/>
  <x:c r="R24" i="1"/>
  <x:c r="R23" i="1"/>
  <x:c r="P34" i="1"/>
  <x:c r="P33" i="1"/>
  <x:c r="P32" i="1"/>
  <x:c r="P31" i="1"/>
  <x:c r="P30" i="1"/>
  <x:c r="P29" i="1"/>
  <x:c r="P28" i="1"/>
  <x:c r="P27" i="1"/>
  <x:c r="P26" i="1"/>
  <x:c r="P25" i="1"/>
  <x:c r="P24" i="1"/>
  <x:c r="P23" i="1"/>
  <x:c r="N34" i="1"/>
  <x:c r="N33" i="1"/>
  <x:c r="N32" i="1"/>
  <x:c r="N31" i="1"/>
  <x:c r="N30" i="1"/>
  <x:c r="N29" i="1"/>
  <x:c r="N28" i="1"/>
  <x:c r="N27" i="1"/>
  <x:c r="N26" i="1"/>
  <x:c r="N25" i="1"/>
  <x:c r="N24" i="1"/>
  <x:c r="N23" i="1"/>
  <x:c r="L34" i="1"/>
  <x:c r="L33" i="1"/>
  <x:c r="L32" i="1"/>
  <x:c r="L31" i="1"/>
  <x:c r="L30" i="1"/>
  <x:c r="L29" i="1"/>
  <x:c r="L28" i="1"/>
  <x:c r="L27" i="1"/>
  <x:c r="L26" i="1"/>
  <x:c r="L25" i="1"/>
  <x:c r="L24" i="1"/>
  <x:c r="L23" i="1"/>
  <x:c r="J34" i="1"/>
  <x:c r="J33" i="1"/>
  <x:c r="J32" i="1"/>
  <x:c r="J31" i="1"/>
  <x:c r="J30" i="1"/>
  <x:c r="J29" i="1"/>
  <x:c r="J28" i="1"/>
  <x:c r="J27" i="1"/>
  <x:c r="J26" i="1"/>
  <x:c r="J25" i="1"/>
  <x:c r="J24" i="1"/>
  <x:c r="J23" i="1"/>
  <x:c r="H34" i="1"/>
  <x:c r="H33" i="1"/>
  <x:c r="H32" i="1"/>
  <x:c r="H31" i="1"/>
  <x:c r="H30" i="1"/>
  <x:c r="H29" i="1"/>
  <x:c r="H28" i="1"/>
  <x:c r="H27" i="1"/>
  <x:c r="H26" i="1"/>
  <x:c r="H25" i="1"/>
  <x:c r="H24" i="1"/>
  <x:c r="H23" i="1"/>
  <x:c r="F34" i="1"/>
  <x:c r="F33" i="1"/>
  <x:c r="F32" i="1"/>
  <x:c r="F31" i="1"/>
  <x:c r="F30" i="1"/>
  <x:c r="F29" i="1"/>
  <x:c r="F28" i="1"/>
  <x:c r="F27" i="1"/>
  <x:c r="F26" i="1"/>
  <x:c r="F25" i="1"/>
  <x:c r="F24" i="1"/>
  <x:c r="F23" i="1"/>
  <x:c r="D24" i="1"/>
  <x:c r="D25" i="1"/>
  <x:c r="D26" i="1"/>
  <x:c r="D27" i="1"/>
  <x:c r="D28" i="1"/>
  <x:c r="D29" i="1"/>
  <x:c r="D30" i="1"/>
  <x:c r="D31" i="1"/>
  <x:c r="D32" i="1"/>
  <x:c r="D33" i="1"/>
  <x:c r="D34" i="1"/>
  <x:c r="D23" i="1"/>
  <x:c r="V35" i="45" l="1"/>
  <x:c r="T35" i="45"/>
  <x:c r="T35" i="44"/>
  <x:c r="V35" i="42"/>
  <x:c r="T35" i="42"/>
  <x:c r="T35" i="43"/>
  <x:c r="V35" i="44"/>
  <x:c r="V35" i="43"/>
  <x:c r="V35" i="41" l="1"/>
  <x:c r="T35" i="41"/>
  <x:c r="V35" i="40"/>
  <x:c r="T35" i="40" l="1"/>
  <x:c r="V35" i="39" l="1"/>
  <x:c r="T35" i="39"/>
  <x:c r="V35" i="38" l="1"/>
  <x:c r="T35" i="38"/>
  <x:c r="V35" i="37"/>
  <x:c r="T35" i="37"/>
  <x:c r="T35" i="1" l="1"/>
  <x:c r="V35" i="1"/>
</x:calcChain>
</file>

<file path=xl/sharedStrings.xml><?xml version="1.0" encoding="utf-8"?>
<sst xmlns="http://schemas.openxmlformats.org/spreadsheetml/2006/main" count="715" uniqueCount="124">
  <si>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</si>
  <si>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</si>
  <si>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</si>
  <si>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</si>
  <si>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</si>
  <si>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</si>
  <si>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</si>
  <si>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</si>
  <si>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</si>
  <si>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</si>
  <si>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</si>
  <si>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</si>
  <si>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</si>
  <si>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</si>
  <si>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</si>
  <si>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</si>
  <si>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</si>
  <si>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</si>
  <si>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</si>
  <si>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</si>
  <si>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</si>
  <si>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</si>
  <si>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</si>
  <si>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</si>
  <si>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</si>
  <si>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</si>
  <si>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</si>
  <si>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</si>
  <si>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</si>
  <si>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</si>
  <si>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</si>
  <si>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</si>
  <si>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</si>
  <si>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</si>
  <si>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</si>
  <si>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</si>
  <si>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</si>
  <si>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</si>
  <si>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    ( c )</t>
  </si>
  <si>
    <t xml:space="preserve">      ( e )</t>
  </si>
  <si>
    <t xml:space="preserve">      ( f )</t>
  </si>
  <si>
    <t>Voltage Level  =  Primary</t>
  </si>
  <si>
    <t>ONCOR ELECTRIC DELIVERY COMPANY LLC</t>
  </si>
  <si>
    <t xml:space="preserve">Rate Class     =  Primary Service Greater Than 10kW - Substation </t>
  </si>
  <si>
    <t xml:space="preserve">Rate Class     =  Primary Service Greater Than 10 kW - Distribution Line </t>
  </si>
  <si>
    <t>SPONSOR:  D. E. NELSON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</si>
  <si>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</si>
  <si>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</si>
  <si>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</si>
  <si>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</si>
  <si>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</si>
  <si>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</si>
  <si>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</si>
  <si>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</si>
  <si>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( d )</t>
  </si>
  <si>
    <t xml:space="preserve">      ( g )</t>
  </si>
  <si>
    <t xml:space="preserve">      ( h )</t>
  </si>
  <si>
    <t xml:space="preserve">           ( i )</t>
  </si>
  <si>
    <t xml:space="preserve">          ( j )</t>
  </si>
  <si>
    <t>*     AT SOURCE(BUSBAR)</t>
  </si>
  <si>
    <t xml:space="preserve">  CLASS</t>
  </si>
  <si>
    <t xml:space="preserve">   ( k )</t>
  </si>
  <si>
    <t xml:space="preserve">   ( l )</t>
  </si>
  <si>
    <t xml:space="preserve"> LOAD+</t>
  </si>
  <si>
    <t xml:space="preserve">     FACTOR</t>
  </si>
  <si>
    <t xml:space="preserve">         SCHEDULE  II-H-1.3.1</t>
  </si>
  <si>
    <r>
      <t xml:space="preserve">kW Demand Adjustment </t>
    </r>
    <r>
      <rPr>
        <b/>
        <i/>
        <u/>
        <sz val="14"/>
        <rFont val="Arial"/>
        <family val="2"/>
      </rPr>
      <t xml:space="preserve">At Meter </t>
    </r>
    <r>
      <rPr>
        <b/>
        <u/>
        <sz val="14"/>
        <rFont val="Arial"/>
        <family val="2"/>
      </rPr>
      <t>for Adjusted Test Year Load Data (Schedule II-H-1.4)</t>
    </r>
  </si>
  <si>
    <r>
      <t xml:space="preserve">Adjustments to all rate classes kW </t>
    </r>
    <r>
      <rPr>
        <b/>
        <sz val="14"/>
        <rFont val="Arial"/>
        <family val="2"/>
      </rPr>
      <t>at meter</t>
    </r>
    <r>
      <rPr>
        <sz val="14"/>
        <rFont val="Arial"/>
        <family val="2"/>
      </rPr>
      <t xml:space="preserve"> are made using the following formula:</t>
    </r>
  </si>
  <si>
    <t>EXAMPLE:</t>
  </si>
  <si>
    <t xml:space="preserve">      For Rate Class = Residential</t>
  </si>
  <si>
    <t xml:space="preserve">  X</t>
  </si>
  <si>
    <r>
      <t xml:space="preserve">kW Demand Adjustment </t>
    </r>
    <r>
      <rPr>
        <b/>
        <i/>
        <u/>
        <sz val="14"/>
        <rFont val="Arial"/>
        <family val="2"/>
      </rPr>
      <t xml:space="preserve">At Source </t>
    </r>
    <r>
      <rPr>
        <b/>
        <u/>
        <sz val="14"/>
        <rFont val="Arial"/>
        <family val="2"/>
      </rPr>
      <t>for both Unadjusted and Adjusted Test Year Load Data (Schedules II-H-1.3 and II-H-1.4)</t>
    </r>
  </si>
  <si>
    <t xml:space="preserve">              the following formula based on rate class voltage level:</t>
  </si>
  <si>
    <t xml:space="preserve">            Voltage Level  = Secondary</t>
  </si>
  <si>
    <t>Schedule II.H-1.3</t>
  </si>
  <si>
    <t>Schedule II.H-1.4</t>
  </si>
  <si>
    <r>
      <t xml:space="preserve">kWh Sales Adjustment </t>
    </r>
    <r>
      <rPr>
        <b/>
        <i/>
        <u/>
        <sz val="14"/>
        <rFont val="Arial"/>
        <family val="2"/>
      </rPr>
      <t>At Source</t>
    </r>
    <r>
      <rPr>
        <b/>
        <u/>
        <sz val="14"/>
        <rFont val="Arial"/>
        <family val="2"/>
      </rPr>
      <t xml:space="preserve"> for both Unadjusted and Adjusted Test Year Load Data (Schedules II-H-1.3 and II-H-1.4)</t>
    </r>
  </si>
  <si>
    <t xml:space="preserve">                   SCHEDULE  II-H-1.3.1</t>
  </si>
  <si>
    <r>
      <t xml:space="preserve">(Rate Class Monthly Unadjusted  kW)  </t>
    </r>
    <r>
      <rPr>
        <b/>
        <sz val="14"/>
        <rFont val="Arial"/>
        <family val="2"/>
      </rPr>
      <t xml:space="preserve">  X </t>
    </r>
    <r>
      <rPr>
        <sz val="14"/>
        <rFont val="Arial"/>
        <family val="2"/>
      </rPr>
      <t xml:space="preserve">        </t>
    </r>
    <r>
      <rPr>
        <u/>
        <sz val="14"/>
        <rFont val="Arial"/>
        <family val="2"/>
      </rPr>
      <t xml:space="preserve"> Rate Class Monthly Final Adjusted kWh Sales from Schedule II-H-1</t>
    </r>
    <r>
      <rPr>
        <sz val="14"/>
        <rFont val="Arial"/>
        <family val="2"/>
      </rPr>
      <t xml:space="preserve">.2 (h)                 </t>
    </r>
  </si>
  <si>
    <t xml:space="preserve">          Rate Class Monthly Booked kWh Sales from Schedule II-H-1.2(c)</t>
  </si>
  <si>
    <r>
      <t xml:space="preserve">      For Rate Class = </t>
    </r>
    <r>
      <rPr>
        <b/>
        <sz val="14"/>
        <rFont val="Arial"/>
        <family val="2"/>
      </rPr>
      <t>Residential</t>
    </r>
  </si>
  <si>
    <r>
      <t>Each kW Column (b) (d) (f) (h) from Schedule</t>
    </r>
    <r>
      <rPr>
        <b/>
        <sz val="14"/>
        <rFont val="Arial"/>
        <family val="2"/>
      </rPr>
      <t xml:space="preserve"> II-H-1.3</t>
    </r>
    <r>
      <rPr>
        <sz val="14"/>
        <rFont val="Arial"/>
        <family val="2"/>
      </rPr>
      <t xml:space="preserve">     </t>
    </r>
    <r>
      <rPr>
        <b/>
        <sz val="14"/>
        <rFont val="Arial"/>
        <family val="2"/>
      </rPr>
      <t>X</t>
    </r>
    <r>
      <rPr>
        <sz val="14"/>
        <rFont val="Arial"/>
        <family val="2"/>
      </rPr>
      <t xml:space="preserve">      </t>
    </r>
    <r>
      <rPr>
        <u/>
        <sz val="14"/>
        <rFont val="Arial"/>
        <family val="2"/>
      </rPr>
      <t xml:space="preserve"> Column ( h ) from Schedule II-H-1.2</t>
    </r>
  </si>
  <si>
    <r>
      <t>Adjustments to all rate classes</t>
    </r>
    <r>
      <rPr>
        <b/>
        <sz val="14"/>
        <rFont val="Arial"/>
        <family val="2"/>
      </rPr>
      <t xml:space="preserve"> kW  </t>
    </r>
    <r>
      <rPr>
        <b/>
        <i/>
        <sz val="14"/>
        <rFont val="Arial"/>
        <family val="2"/>
      </rPr>
      <t>at source</t>
    </r>
    <r>
      <rPr>
        <sz val="14"/>
        <rFont val="Arial"/>
        <family val="2"/>
      </rPr>
      <t xml:space="preserve"> for both unadjusted and adjusted kW data  are made</t>
    </r>
  </si>
  <si>
    <t xml:space="preserve">                      using  the following formula based on line losses by rate class voltage level:</t>
  </si>
  <si>
    <t>line 38 or 39 or 40</t>
  </si>
  <si>
    <r>
      <t>Each kW</t>
    </r>
    <r>
      <rPr>
        <b/>
        <i/>
        <sz val="14"/>
        <rFont val="Arial"/>
        <family val="2"/>
      </rPr>
      <t xml:space="preserve"> at meter</t>
    </r>
    <r>
      <rPr>
        <sz val="14"/>
        <rFont val="Arial"/>
        <family val="2"/>
      </rPr>
      <t xml:space="preserve"> Column (b) (d)  (f ) (h)   </t>
    </r>
    <r>
      <rPr>
        <b/>
        <sz val="14"/>
        <rFont val="Arial"/>
        <family val="2"/>
      </rPr>
      <t xml:space="preserve"> X</t>
    </r>
    <r>
      <rPr>
        <sz val="14"/>
        <rFont val="Arial"/>
        <family val="2"/>
      </rPr>
      <t xml:space="preserve">   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>Demand Voltage Line Loss Factors WP/II-H-1.3/1 (col d)  line 40</t>
    </r>
  </si>
  <si>
    <r>
      <t xml:space="preserve">Adjustments to all rate classes </t>
    </r>
    <r>
      <rPr>
        <b/>
        <sz val="14"/>
        <rFont val="Arial"/>
        <family val="2"/>
      </rPr>
      <t>kWh</t>
    </r>
    <r>
      <rPr>
        <sz val="14"/>
        <rFont val="Arial"/>
        <family val="2"/>
      </rPr>
      <t xml:space="preserve"> sales </t>
    </r>
    <r>
      <rPr>
        <b/>
        <i/>
        <sz val="14"/>
        <rFont val="Arial"/>
        <family val="2"/>
      </rPr>
      <t>at source</t>
    </r>
    <r>
      <rPr>
        <sz val="14"/>
        <rFont val="Arial"/>
        <family val="2"/>
      </rPr>
      <t xml:space="preserve"> for both unadjusted and adjusted data are made using </t>
    </r>
  </si>
  <si>
    <r>
      <t xml:space="preserve">Rate Class Monthly unadjusted or adjusted kWh Sales </t>
    </r>
    <r>
      <rPr>
        <b/>
        <i/>
        <sz val="14"/>
        <rFont val="Arial"/>
        <family val="2"/>
      </rPr>
      <t xml:space="preserve">at meter </t>
    </r>
    <r>
      <rPr>
        <sz val="14"/>
        <rFont val="Arial"/>
        <family val="2"/>
      </rPr>
      <t xml:space="preserve">  </t>
    </r>
    <r>
      <rPr>
        <b/>
        <sz val="14"/>
        <rFont val="Arial"/>
        <family val="2"/>
      </rPr>
      <t>X   Energy</t>
    </r>
    <r>
      <rPr>
        <sz val="14"/>
        <rFont val="Arial"/>
        <family val="2"/>
      </rPr>
      <t xml:space="preserve"> Voltage Line Loss Factor (col d) WP/II-H-1.3/1</t>
    </r>
  </si>
  <si>
    <r>
      <t>Each kWh sales</t>
    </r>
    <r>
      <rPr>
        <b/>
        <i/>
        <sz val="14"/>
        <rFont val="Arial"/>
        <family val="2"/>
      </rPr>
      <t xml:space="preserve"> at meter</t>
    </r>
    <r>
      <rPr>
        <sz val="14"/>
        <rFont val="Arial"/>
        <family val="2"/>
      </rPr>
      <t xml:space="preserve"> Column (j)  </t>
    </r>
    <r>
      <rPr>
        <b/>
        <sz val="14"/>
        <rFont val="Arial"/>
        <family val="2"/>
      </rPr>
      <t xml:space="preserve"> X</t>
    </r>
    <r>
      <rPr>
        <sz val="14"/>
        <rFont val="Arial"/>
        <family val="2"/>
      </rPr>
      <t xml:space="preserve">    Energy Voltage Line Loss Factors WP/II-H-1.3/1(col d) line 40</t>
    </r>
  </si>
  <si>
    <t>DIFFERENCES OF ADJUSTED TEST YEAR LOAD DATA FROM UNADJUSTED TEST YEAR DATA LOAD DATA</t>
  </si>
  <si>
    <t xml:space="preserve">                   PAGE   2  OF  11</t>
  </si>
  <si>
    <t xml:space="preserve">                   PAGE   3  OF  11</t>
  </si>
  <si>
    <t xml:space="preserve">                   PAGE   4  OF  11</t>
  </si>
  <si>
    <t xml:space="preserve">                   PAGE   5  OF  11</t>
  </si>
  <si>
    <t xml:space="preserve">                   PAGE   6  OF  11</t>
  </si>
  <si>
    <t xml:space="preserve">                   PAGE   7  OF  11</t>
  </si>
  <si>
    <t xml:space="preserve">                   PAGE   8  OF  11</t>
  </si>
  <si>
    <t xml:space="preserve">                   PAGE   9  OF  11</t>
  </si>
  <si>
    <t xml:space="preserve">                   PAGE   10  OF  11</t>
  </si>
  <si>
    <t xml:space="preserve">                   PAGE   11  OF  11</t>
  </si>
  <si>
    <t>ADJUSTMENTS TO TEST YEAR LOAD DATA</t>
  </si>
  <si>
    <t xml:space="preserve">      column (i)</t>
  </si>
  <si>
    <t xml:space="preserve"> column (j)</t>
  </si>
  <si>
    <t>WP II-H-1.3 col (b)</t>
  </si>
  <si>
    <t xml:space="preserve">                 column (i)</t>
  </si>
  <si>
    <t xml:space="preserve">           column (j)</t>
  </si>
  <si>
    <t xml:space="preserve">        WP II-H-1.3 col (b)</t>
  </si>
  <si>
    <t xml:space="preserve">         PAGE   1  OF   11</t>
  </si>
  <si>
    <t xml:space="preserve">   Column ( c ) from Schedule II-H-1.2</t>
  </si>
  <si>
    <t>FOR THE TEST YEAR ENDING DECEMBER 31, 2024</t>
  </si>
  <si>
    <t xml:space="preserve">   14,436,087</t>
  </si>
  <si>
    <t xml:space="preserve"> 3,884,799,069</t>
  </si>
  <si>
    <r>
      <t xml:space="preserve"> </t>
    </r>
    <r>
      <rPr>
        <b/>
        <u/>
        <sz val="14"/>
        <rFont val="Arial"/>
        <family val="2"/>
      </rPr>
      <t xml:space="preserve">4,277,400,027    </t>
    </r>
    <r>
      <rPr>
        <b/>
        <sz val="14"/>
        <rFont val="Arial"/>
        <family val="2"/>
      </rPr>
      <t xml:space="preserve">   =       15,357,831</t>
    </r>
  </si>
  <si>
    <r>
      <t xml:space="preserve">January 2024 Schedule II-H-1.4 Residential Class Peak column (d)  kW </t>
    </r>
    <r>
      <rPr>
        <i/>
        <sz val="14"/>
        <rFont val="Arial"/>
        <family val="2"/>
      </rPr>
      <t>at Meter</t>
    </r>
    <r>
      <rPr>
        <sz val="14"/>
        <rFont val="Arial"/>
        <family val="2"/>
      </rPr>
      <t xml:space="preserve"> Adjusted kW Calculation:</t>
    </r>
  </si>
  <si>
    <r>
      <t xml:space="preserve">January 2024 Residential Class Peak kW </t>
    </r>
    <r>
      <rPr>
        <b/>
        <i/>
        <sz val="14"/>
        <rFont val="Arial"/>
        <family val="2"/>
      </rPr>
      <t xml:space="preserve">at Source </t>
    </r>
    <r>
      <rPr>
        <b/>
        <sz val="14"/>
        <rFont val="Arial"/>
        <family val="2"/>
      </rPr>
      <t>Unadjusted</t>
    </r>
    <r>
      <rPr>
        <b/>
        <i/>
        <sz val="14"/>
        <rFont val="Arial"/>
        <family val="2"/>
      </rPr>
      <t xml:space="preserve"> and</t>
    </r>
    <r>
      <rPr>
        <b/>
        <sz val="14"/>
        <rFont val="Arial"/>
        <family val="2"/>
      </rPr>
      <t xml:space="preserve"> Adjusted kW Calculation:</t>
    </r>
  </si>
  <si>
    <t>Adjusted class kW at source     =        15,357,831   X    1.03709635     =     15,927,550 Kw</t>
  </si>
  <si>
    <t>Unadjusted class kW at source =        14,436,087   X    1.03709635     =     14,971,613 Kw</t>
  </si>
  <si>
    <r>
      <t xml:space="preserve">Rate Class Monthly unadjusted or adjusted kW </t>
    </r>
    <r>
      <rPr>
        <b/>
        <i/>
        <sz val="14"/>
        <rFont val="Arial"/>
        <family val="2"/>
      </rPr>
      <t xml:space="preserve">at meter </t>
    </r>
    <r>
      <rPr>
        <sz val="14"/>
        <rFont val="Arial"/>
        <family val="2"/>
      </rPr>
      <t xml:space="preserve">  </t>
    </r>
    <r>
      <rPr>
        <b/>
        <sz val="14"/>
        <rFont val="Arial"/>
        <family val="2"/>
      </rPr>
      <t xml:space="preserve">X   Demand </t>
    </r>
    <r>
      <rPr>
        <sz val="14"/>
        <rFont val="Arial"/>
        <family val="2"/>
      </rPr>
      <t>Voltage Line Loss Factor (col d) WP/II-H-1.3/1</t>
    </r>
  </si>
  <si>
    <t>Unadjusted class kWH sales at source =      3,884,799,069   X  1.03497550    =   4,020,679,616  kWh</t>
  </si>
  <si>
    <t>Adjusted class kWh sales at source      =     4,132,843,506   X  1.03497750    =   4,277,400,027  kWh</t>
  </si>
  <si>
    <r>
      <t xml:space="preserve">January 2024 Residential kWh Sales </t>
    </r>
    <r>
      <rPr>
        <b/>
        <i/>
        <sz val="14"/>
        <rFont val="Arial"/>
        <family val="2"/>
      </rPr>
      <t xml:space="preserve">at Source </t>
    </r>
    <r>
      <rPr>
        <b/>
        <sz val="14"/>
        <rFont val="Arial"/>
        <family val="2"/>
      </rPr>
      <t>Unadjusted</t>
    </r>
    <r>
      <rPr>
        <b/>
        <i/>
        <sz val="14"/>
        <rFont val="Arial"/>
        <family val="2"/>
      </rPr>
      <t xml:space="preserve"> and</t>
    </r>
    <r>
      <rPr>
        <b/>
        <sz val="14"/>
        <rFont val="Arial"/>
        <family val="2"/>
      </rPr>
      <t xml:space="preserve"> Adjusted kWh Sales Calculation:</t>
    </r>
  </si>
  <si>
    <t>ADJUSTMENTS TO TEST YEAR DATA FOR THE TEST YEAR 2024</t>
  </si>
  <si>
    <t>2025 TEST YEAR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</si>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</sst>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1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i/>
      <sz val="14"/>
      <name val="Arial"/>
      <family val="2"/>
    </font>
    <font>
      <b/>
      <u/>
      <sz val="14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49" fontId="3" fillId="0" borderId="0" xfId="0" applyNumberFormat="1" applyFont="1"/>
    <xf numFmtId="3" fontId="3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0" fontId="5" fillId="0" borderId="0" xfId="0" applyFont="1"/>
    <xf numFmtId="0" fontId="3" fillId="0" borderId="1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Border="1"/>
    <xf numFmtId="3" fontId="3" fillId="0" borderId="2" xfId="0" applyNumberFormat="1" applyFont="1" applyBorder="1"/>
    <xf numFmtId="3" fontId="6" fillId="0" borderId="0" xfId="0" applyNumberFormat="1" applyFont="1"/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3" fillId="0" borderId="0" xfId="0" applyFont="1" applyAlignment="1" applyProtection="1">
      <alignment horizontal="centerContinuous"/>
      <protection locked="0"/>
    </xf>
    <xf numFmtId="3" fontId="3" fillId="0" borderId="0" xfId="0" applyNumberFormat="1" applyFont="1" applyAlignment="1" applyProtection="1">
      <alignment horizontal="centerContinuous"/>
      <protection locked="0"/>
    </xf>
    <xf numFmtId="0" fontId="7" fillId="0" borderId="0" xfId="0" applyFont="1"/>
    <xf numFmtId="3" fontId="5" fillId="0" borderId="0" xfId="0" applyNumberFormat="1" applyFont="1"/>
    <xf numFmtId="3" fontId="4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3" fillId="0" borderId="0" xfId="0" applyFont="1" applyAlignment="1"/>
    <xf numFmtId="3" fontId="3" fillId="0" borderId="0" xfId="0" applyNumberFormat="1" applyFont="1" applyAlignment="1"/>
    <xf numFmtId="3" fontId="4" fillId="0" borderId="0" xfId="0" applyNumberFormat="1" applyFont="1" applyAlignment="1"/>
    <xf numFmtId="0" fontId="4" fillId="0" borderId="0" xfId="0" applyFont="1" applyAlignment="1"/>
    <xf numFmtId="0" fontId="10" fillId="0" borderId="0" xfId="0" applyFont="1" applyProtection="1">
      <protection locked="0"/>
    </xf>
    <xf numFmtId="49" fontId="4" fillId="0" borderId="0" xfId="0" applyNumberFormat="1" applyFont="1" applyBorder="1"/>
    <xf numFmtId="164" fontId="3" fillId="0" borderId="0" xfId="0" applyNumberFormat="1" applyFont="1" applyBorder="1"/>
    <xf numFmtId="165" fontId="3" fillId="0" borderId="0" xfId="0" applyNumberFormat="1" applyFont="1"/>
    <xf numFmtId="165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4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</sheetNames>
    <sheetDataSet>
      <sheetData sheetId="0">
        <row r="22">
          <cell r="D22">
            <v>41014165.257267073</v>
          </cell>
          <cell r="F22">
            <v>39547111.870643236</v>
          </cell>
          <cell r="H22">
            <v>15919713.533920208</v>
          </cell>
          <cell r="J22">
            <v>15350274.426540574</v>
          </cell>
          <cell r="L22">
            <v>15680997.073688842</v>
          </cell>
          <cell r="N22">
            <v>15120096.718450781</v>
          </cell>
          <cell r="P22">
            <v>15886284.519352615</v>
          </cell>
          <cell r="R22">
            <v>15318041.148829389</v>
          </cell>
          <cell r="T22">
            <v>4275295482.6599836</v>
          </cell>
          <cell r="V22">
            <v>4130810086.1340179</v>
          </cell>
          <cell r="X22">
            <v>0.98500497765096529</v>
          </cell>
          <cell r="Z22">
            <v>0.46295700000000001</v>
          </cell>
        </row>
        <row r="23">
          <cell r="D23">
            <v>32309453.404740527</v>
          </cell>
          <cell r="F23">
            <v>31153762.614983663</v>
          </cell>
          <cell r="H23">
            <v>8287879.7637167973</v>
          </cell>
          <cell r="J23">
            <v>7991427.0138186989</v>
          </cell>
          <cell r="L23">
            <v>7572193.2402164703</v>
          </cell>
          <cell r="N23">
            <v>7301340.1906042667</v>
          </cell>
          <cell r="P23">
            <v>7572193.2402164703</v>
          </cell>
          <cell r="R23">
            <v>7301340.1906042667</v>
          </cell>
          <cell r="T23">
            <v>4312020535.1937399</v>
          </cell>
          <cell r="V23">
            <v>4166294000.1782126</v>
          </cell>
          <cell r="X23">
            <v>0.91364660879450688</v>
          </cell>
          <cell r="Z23">
            <v>0.48046680000000003</v>
          </cell>
        </row>
        <row r="24">
          <cell r="D24">
            <v>38668056.582434691</v>
          </cell>
          <cell r="F24">
            <v>37284922.170028932</v>
          </cell>
          <cell r="H24">
            <v>7317376.1935723377</v>
          </cell>
          <cell r="J24">
            <v>7055637.8049291885</v>
          </cell>
          <cell r="L24">
            <v>7317376.2692429796</v>
          </cell>
          <cell r="N24">
            <v>7055637.877893134</v>
          </cell>
          <cell r="P24">
            <v>6052069.8140517734</v>
          </cell>
          <cell r="R24">
            <v>5835590.7156452695</v>
          </cell>
          <cell r="T24">
            <v>3605759750.2034178</v>
          </cell>
          <cell r="V24">
            <v>3483901593.4050093</v>
          </cell>
          <cell r="X24">
            <v>1.0000000103412261</v>
          </cell>
          <cell r="Z24">
            <v>0.59495229000000005</v>
          </cell>
        </row>
        <row r="25">
          <cell r="D25">
            <v>32477916.719077274</v>
          </cell>
          <cell r="F25">
            <v>31316200.092289001</v>
          </cell>
          <cell r="H25">
            <v>8090895.0192927467</v>
          </cell>
          <cell r="J25">
            <v>7801488.3017741404</v>
          </cell>
          <cell r="L25">
            <v>7506278.2865680549</v>
          </cell>
          <cell r="N25">
            <v>7237782.9773943676</v>
          </cell>
          <cell r="P25">
            <v>7506278.2865680549</v>
          </cell>
          <cell r="R25">
            <v>7237782.9773943676</v>
          </cell>
          <cell r="T25">
            <v>2855217924.1494088</v>
          </cell>
          <cell r="V25">
            <v>2758724641.8460059</v>
          </cell>
          <cell r="X25">
            <v>0.92774387365913491</v>
          </cell>
          <cell r="Z25">
            <v>0.51174580000000003</v>
          </cell>
        </row>
        <row r="26">
          <cell r="D26">
            <v>30114128.286472343</v>
          </cell>
          <cell r="F26">
            <v>29036963.028791863</v>
          </cell>
          <cell r="H26">
            <v>11218275.33367799</v>
          </cell>
          <cell r="J26">
            <v>10817003.999320287</v>
          </cell>
          <cell r="L26">
            <v>11150739.750076445</v>
          </cell>
          <cell r="N26">
            <v>10751884.125169825</v>
          </cell>
          <cell r="P26">
            <v>11218275.33367799</v>
          </cell>
          <cell r="R26">
            <v>10817003.999320287</v>
          </cell>
          <cell r="T26">
            <v>2916482400.682714</v>
          </cell>
          <cell r="V26">
            <v>2817918659.80615</v>
          </cell>
          <cell r="X26">
            <v>0.99397986039807751</v>
          </cell>
          <cell r="Z26">
            <v>0.45782400000000001</v>
          </cell>
        </row>
        <row r="27">
          <cell r="D27">
            <v>30819302.080597851</v>
          </cell>
          <cell r="F27">
            <v>29716913.156987783</v>
          </cell>
          <cell r="H27">
            <v>12552930.608607061</v>
          </cell>
          <cell r="J27">
            <v>12103919.413428634</v>
          </cell>
          <cell r="L27">
            <v>10885045.540083447</v>
          </cell>
          <cell r="N27">
            <v>10495693.646098366</v>
          </cell>
          <cell r="P27">
            <v>12552930.608607061</v>
          </cell>
          <cell r="R27">
            <v>12103919.413428634</v>
          </cell>
          <cell r="T27">
            <v>4054831941.1618962</v>
          </cell>
          <cell r="V27">
            <v>3917797202.1032481</v>
          </cell>
          <cell r="X27">
            <v>0.86713181801706063</v>
          </cell>
          <cell r="Z27">
            <v>0.56086499999999995</v>
          </cell>
        </row>
        <row r="28">
          <cell r="D28">
            <v>30254453.089045137</v>
          </cell>
          <cell r="F28">
            <v>29172268.492910482</v>
          </cell>
          <cell r="H28">
            <v>12342725.183295522</v>
          </cell>
          <cell r="J28">
            <v>11901232.91673982</v>
          </cell>
          <cell r="L28">
            <v>11783694.768462185</v>
          </cell>
          <cell r="N28">
            <v>11362198.702198811</v>
          </cell>
          <cell r="P28">
            <v>11981711.531103166</v>
          </cell>
          <cell r="R28">
            <v>11553132.517755082</v>
          </cell>
          <cell r="T28">
            <v>5312860001.5747719</v>
          </cell>
          <cell r="V28">
            <v>5133309678.7660027</v>
          </cell>
          <cell r="X28">
            <v>0.95470769975581071</v>
          </cell>
          <cell r="Z28">
            <v>0.57697960000000004</v>
          </cell>
        </row>
        <row r="29">
          <cell r="D29">
            <v>33734976.128964655</v>
          </cell>
          <cell r="F29">
            <v>32528295.201357506</v>
          </cell>
          <cell r="H29">
            <v>14969814.510673698</v>
          </cell>
          <cell r="J29">
            <v>14434352.751614168</v>
          </cell>
          <cell r="L29">
            <v>12987731.955229605</v>
          </cell>
          <cell r="N29">
            <v>12523168.162940642</v>
          </cell>
          <cell r="P29">
            <v>13897048.610517567</v>
          </cell>
          <cell r="R29">
            <v>13399959.078151101</v>
          </cell>
          <cell r="T29">
            <v>5680752389.6101036</v>
          </cell>
          <cell r="V29">
            <v>5488768989.8877592</v>
          </cell>
          <cell r="X29">
            <v>0.86759471508275277</v>
          </cell>
          <cell r="Z29">
            <v>0.58881899999999998</v>
          </cell>
        </row>
        <row r="30">
          <cell r="D30">
            <v>29297472.582648247</v>
          </cell>
          <cell r="F30">
            <v>28249518.635462221</v>
          </cell>
          <cell r="H30">
            <v>11435652.078624286</v>
          </cell>
          <cell r="J30">
            <v>11026605.301615333</v>
          </cell>
          <cell r="L30">
            <v>10030977.639863774</v>
          </cell>
          <cell r="N30">
            <v>9672175.2693802584</v>
          </cell>
          <cell r="P30">
            <v>10955476.68881195</v>
          </cell>
          <cell r="R30">
            <v>10563605.51265648</v>
          </cell>
          <cell r="T30">
            <v>5428380785.607358</v>
          </cell>
          <cell r="V30">
            <v>5244926389.6519175</v>
          </cell>
          <cell r="X30">
            <v>0.87716708858376757</v>
          </cell>
          <cell r="Z30">
            <v>0.49796869999999999</v>
          </cell>
        </row>
        <row r="31">
          <cell r="D31">
            <v>29135515.756474629</v>
          </cell>
          <cell r="F31">
            <v>28093354.912935462</v>
          </cell>
          <cell r="H31">
            <v>9723940.28550932</v>
          </cell>
          <cell r="J31">
            <v>9376120.4667295944</v>
          </cell>
          <cell r="L31">
            <v>9139843.2237364184</v>
          </cell>
          <cell r="N31">
            <v>8812916.224966947</v>
          </cell>
          <cell r="P31">
            <v>9139843.2237364184</v>
          </cell>
          <cell r="R31">
            <v>8812916.224966947</v>
          </cell>
          <cell r="T31">
            <v>4079146708.3744445</v>
          </cell>
          <cell r="V31">
            <v>3941290241.6021471</v>
          </cell>
          <cell r="X31">
            <v>0.93993205998566964</v>
          </cell>
          <cell r="Z31">
            <v>0.48607440000000002</v>
          </cell>
        </row>
        <row r="32">
          <cell r="D32">
            <v>30453670.948855326</v>
          </cell>
          <cell r="F32">
            <v>29364360.443072692</v>
          </cell>
          <cell r="H32">
            <v>5981747.3540480733</v>
          </cell>
          <cell r="J32">
            <v>5767783.6500780284</v>
          </cell>
          <cell r="L32">
            <v>4627062.0016961442</v>
          </cell>
          <cell r="N32">
            <v>4461554.6230349625</v>
          </cell>
          <cell r="P32">
            <v>4565722.6546370331</v>
          </cell>
          <cell r="R32">
            <v>4402409.3495665705</v>
          </cell>
          <cell r="T32">
            <v>3120772029.7635264</v>
          </cell>
          <cell r="V32">
            <v>3015304235.5452461</v>
          </cell>
          <cell r="X32">
            <v>0.77353016231366534</v>
          </cell>
          <cell r="Z32">
            <v>0.59440999999999999</v>
          </cell>
        </row>
        <row r="33">
          <cell r="D33">
            <v>37463045.74689687</v>
          </cell>
          <cell r="F33">
            <v>36123013.887379982</v>
          </cell>
          <cell r="H33">
            <v>8934652.1157820858</v>
          </cell>
          <cell r="J33">
            <v>8615064.6863526534</v>
          </cell>
          <cell r="L33">
            <v>8902924.3510833401</v>
          </cell>
          <cell r="N33">
            <v>8584471.8057691716</v>
          </cell>
          <cell r="P33">
            <v>8902924.3510833401</v>
          </cell>
          <cell r="R33">
            <v>8584471.8057691716</v>
          </cell>
          <cell r="T33">
            <v>3247512038.1801243</v>
          </cell>
          <cell r="V33">
            <v>3137761012.4411111</v>
          </cell>
          <cell r="X33">
            <v>0.99644890877813763</v>
          </cell>
          <cell r="Z33">
            <v>0.55202499999999999</v>
          </cell>
        </row>
      </sheetData>
      <sheetData sheetId="1">
        <row r="22">
          <cell r="D22">
            <v>664970.1379438407</v>
          </cell>
          <cell r="F22">
            <v>641184.53395178146</v>
          </cell>
          <cell r="H22">
            <v>300765.84980009048</v>
          </cell>
          <cell r="J22">
            <v>290007.62625068304</v>
          </cell>
          <cell r="L22">
            <v>293802.64230781374</v>
          </cell>
          <cell r="N22">
            <v>283293.48873384605</v>
          </cell>
          <cell r="P22">
            <v>282020.41194330342</v>
          </cell>
          <cell r="R22">
            <v>271932.70205470186</v>
          </cell>
          <cell r="T22">
            <v>144733578.68922311</v>
          </cell>
          <cell r="V22">
            <v>139842246.94563949</v>
          </cell>
          <cell r="X22">
            <v>0.97684841049306304</v>
          </cell>
          <cell r="Z22">
            <v>0.72075120000000004</v>
          </cell>
        </row>
        <row r="23">
          <cell r="D23">
            <v>587790.46720786102</v>
          </cell>
          <cell r="F23">
            <v>566765.53618382395</v>
          </cell>
          <cell r="H23">
            <v>217908.33541200767</v>
          </cell>
          <cell r="J23">
            <v>210113.87807185479</v>
          </cell>
          <cell r="L23">
            <v>203695.93546558169</v>
          </cell>
          <cell r="N23">
            <v>196409.84759589517</v>
          </cell>
          <cell r="P23">
            <v>203695.93546558169</v>
          </cell>
          <cell r="R23">
            <v>196409.84759589517</v>
          </cell>
          <cell r="T23">
            <v>148763188.62933394</v>
          </cell>
          <cell r="V23">
            <v>143735674.53475183</v>
          </cell>
          <cell r="X23">
            <v>0.93477808033568777</v>
          </cell>
          <cell r="Z23">
            <v>0.80244550000000003</v>
          </cell>
        </row>
        <row r="24">
          <cell r="D24">
            <v>600434.77379620378</v>
          </cell>
          <cell r="F24">
            <v>578957.56311011384</v>
          </cell>
          <cell r="H24">
            <v>211593.30275397486</v>
          </cell>
          <cell r="J24">
            <v>204024.73054373977</v>
          </cell>
          <cell r="L24">
            <v>188210.00969660815</v>
          </cell>
          <cell r="N24">
            <v>181477.84459243136</v>
          </cell>
          <cell r="P24">
            <v>181184.90498424077</v>
          </cell>
          <cell r="R24">
            <v>174704.02388389577</v>
          </cell>
          <cell r="T24">
            <v>132708413.78222078</v>
          </cell>
          <cell r="V24">
            <v>128223477.50929533</v>
          </cell>
          <cell r="X24">
            <v>0.88948944624889614</v>
          </cell>
          <cell r="Z24">
            <v>0.82183399999999995</v>
          </cell>
        </row>
        <row r="25">
          <cell r="D25">
            <v>568507.16956140206</v>
          </cell>
          <cell r="F25">
            <v>548171.99113723042</v>
          </cell>
          <cell r="H25">
            <v>208190.93753213869</v>
          </cell>
          <cell r="J25">
            <v>200744.06599263323</v>
          </cell>
          <cell r="L25">
            <v>196608.15802016249</v>
          </cell>
          <cell r="N25">
            <v>189575.59592235781</v>
          </cell>
          <cell r="P25">
            <v>196608.15802016249</v>
          </cell>
          <cell r="R25">
            <v>189575.59592235781</v>
          </cell>
          <cell r="T25">
            <v>121896380.77776177</v>
          </cell>
          <cell r="V25">
            <v>117776841.67615163</v>
          </cell>
          <cell r="X25">
            <v>0.94436463157677963</v>
          </cell>
          <cell r="Z25">
            <v>0.80308400000000002</v>
          </cell>
        </row>
        <row r="26">
          <cell r="D26">
            <v>584651.279536688</v>
          </cell>
          <cell r="F26">
            <v>563738.63547193329</v>
          </cell>
          <cell r="H26">
            <v>224177.84261521048</v>
          </cell>
          <cell r="J26">
            <v>216159.12856479111</v>
          </cell>
          <cell r="L26">
            <v>208550.23658445722</v>
          </cell>
          <cell r="N26">
            <v>201090.5131220074</v>
          </cell>
          <cell r="P26">
            <v>206177.16529923145</v>
          </cell>
          <cell r="R26">
            <v>198802.32524825307</v>
          </cell>
          <cell r="T26">
            <v>118147825.05310014</v>
          </cell>
          <cell r="V26">
            <v>114154969.95788771</v>
          </cell>
          <cell r="X26">
            <v>0.93028924782019062</v>
          </cell>
          <cell r="Z26">
            <v>0.7917632</v>
          </cell>
        </row>
        <row r="27">
          <cell r="D27">
            <v>594934.47441528598</v>
          </cell>
          <cell r="F27">
            <v>573654.00631273037</v>
          </cell>
          <cell r="H27">
            <v>264273.59003355959</v>
          </cell>
          <cell r="J27">
            <v>254820.67388076097</v>
          </cell>
          <cell r="L27">
            <v>261683.94190946224</v>
          </cell>
          <cell r="N27">
            <v>252323.65599860053</v>
          </cell>
          <cell r="P27">
            <v>220910.69574816979</v>
          </cell>
          <cell r="R27">
            <v>213008.84568476136</v>
          </cell>
          <cell r="T27">
            <v>133243378.64262763</v>
          </cell>
          <cell r="V27">
            <v>128740363.00880259</v>
          </cell>
          <cell r="X27">
            <v>0.99020088188241395</v>
          </cell>
          <cell r="Z27">
            <v>0.75697000000000003</v>
          </cell>
        </row>
        <row r="28">
          <cell r="D28">
            <v>589029.41885527526</v>
          </cell>
          <cell r="F28">
            <v>567960.17123479396</v>
          </cell>
          <cell r="H28">
            <v>266096.84349977534</v>
          </cell>
          <cell r="J28">
            <v>256578.71060647967</v>
          </cell>
          <cell r="L28">
            <v>249028.51530516829</v>
          </cell>
          <cell r="N28">
            <v>240120.90681301153</v>
          </cell>
          <cell r="P28">
            <v>252935.24245932663</v>
          </cell>
          <cell r="R28">
            <v>243887.8925567042</v>
          </cell>
          <cell r="T28">
            <v>148006734.73445511</v>
          </cell>
          <cell r="V28">
            <v>143004785.31520325</v>
          </cell>
          <cell r="X28">
            <v>0.93585670551322619</v>
          </cell>
          <cell r="Z28">
            <v>0.76259600000000005</v>
          </cell>
        </row>
        <row r="29">
          <cell r="D29">
            <v>627741.67448468809</v>
          </cell>
          <cell r="F29">
            <v>605287.71147700492</v>
          </cell>
          <cell r="H29">
            <v>285766.92437535385</v>
          </cell>
          <cell r="J29">
            <v>275545.20386586088</v>
          </cell>
          <cell r="L29">
            <v>279934.6398637977</v>
          </cell>
          <cell r="N29">
            <v>269921.536857325</v>
          </cell>
          <cell r="P29">
            <v>277470.18666783557</v>
          </cell>
          <cell r="R29">
            <v>267545.23575185734</v>
          </cell>
          <cell r="T29">
            <v>153285507.93295336</v>
          </cell>
          <cell r="V29">
            <v>148105160.16863996</v>
          </cell>
          <cell r="X29">
            <v>0.97959076431149372</v>
          </cell>
          <cell r="Z29">
            <v>0.79647199999999996</v>
          </cell>
        </row>
        <row r="30">
          <cell r="D30">
            <v>580178.48578712461</v>
          </cell>
          <cell r="F30">
            <v>559425.83101330895</v>
          </cell>
          <cell r="H30">
            <v>255403.78796578705</v>
          </cell>
          <cell r="J30">
            <v>246268.13959304895</v>
          </cell>
          <cell r="L30">
            <v>252276.20611214882</v>
          </cell>
          <cell r="N30">
            <v>243252.42956519438</v>
          </cell>
          <cell r="P30">
            <v>252786.12639432147</v>
          </cell>
          <cell r="R30">
            <v>243744.11028861513</v>
          </cell>
          <cell r="T30">
            <v>151866678.66547868</v>
          </cell>
          <cell r="V30">
            <v>146734280.82887089</v>
          </cell>
          <cell r="X30">
            <v>0.98775436387005666</v>
          </cell>
          <cell r="Z30">
            <v>0.73376980000000003</v>
          </cell>
        </row>
        <row r="31">
          <cell r="D31">
            <v>581193.77848871239</v>
          </cell>
          <cell r="F31">
            <v>560404.80727185961</v>
          </cell>
          <cell r="H31">
            <v>235314.41057235043</v>
          </cell>
          <cell r="J31">
            <v>226897.34781400525</v>
          </cell>
          <cell r="L31">
            <v>230070.05883950376</v>
          </cell>
          <cell r="N31">
            <v>221840.58356275325</v>
          </cell>
          <cell r="P31">
            <v>230070.05883950376</v>
          </cell>
          <cell r="R31">
            <v>221840.58356275325</v>
          </cell>
          <cell r="T31">
            <v>136275312.2063393</v>
          </cell>
          <cell r="V31">
            <v>131669831.11136192</v>
          </cell>
          <cell r="X31">
            <v>0.97771342723936483</v>
          </cell>
          <cell r="Z31">
            <v>0.7673778</v>
          </cell>
        </row>
        <row r="32">
          <cell r="D32">
            <v>559087.31222570792</v>
          </cell>
          <cell r="F32">
            <v>539089.07674598391</v>
          </cell>
          <cell r="H32">
            <v>194822.66114175439</v>
          </cell>
          <cell r="J32">
            <v>187853.96525275451</v>
          </cell>
          <cell r="L32">
            <v>177254.5364520358</v>
          </cell>
          <cell r="N32">
            <v>170914.24240081597</v>
          </cell>
          <cell r="P32">
            <v>178719.71958490097</v>
          </cell>
          <cell r="R32">
            <v>172327.0167655492</v>
          </cell>
          <cell r="T32">
            <v>127790924.22096886</v>
          </cell>
          <cell r="V32">
            <v>123472176.56168461</v>
          </cell>
          <cell r="X32">
            <v>0.90982504506015405</v>
          </cell>
          <cell r="Z32">
            <v>0.83150900000000005</v>
          </cell>
        </row>
        <row r="33">
          <cell r="D33">
            <v>577998.26005482499</v>
          </cell>
          <cell r="F33">
            <v>557323.59071662917</v>
          </cell>
          <cell r="H33">
            <v>222290.0860874381</v>
          </cell>
          <cell r="J33">
            <v>214338.89601537641</v>
          </cell>
          <cell r="L33">
            <v>199750.49625411356</v>
          </cell>
          <cell r="N33">
            <v>192605.53450318615</v>
          </cell>
          <cell r="P33">
            <v>199750.49625411356</v>
          </cell>
          <cell r="R33">
            <v>192605.53450318615</v>
          </cell>
          <cell r="T33">
            <v>126031215.31942366</v>
          </cell>
          <cell r="V33">
            <v>121771937.75745578</v>
          </cell>
          <cell r="X33">
            <v>0.89860281117324059</v>
          </cell>
          <cell r="Z33">
            <v>0.79725999999999997</v>
          </cell>
        </row>
      </sheetData>
      <sheetData sheetId="2">
        <row r="22">
          <cell r="D22">
            <v>12848409.025799617</v>
          </cell>
          <cell r="F22">
            <v>12388828.735531786</v>
          </cell>
          <cell r="H22">
            <v>7917999.2257910557</v>
          </cell>
          <cell r="J22">
            <v>7634776.8925650129</v>
          </cell>
          <cell r="L22">
            <v>6727761.848843365</v>
          </cell>
          <cell r="N22">
            <v>6487113.6302868389</v>
          </cell>
          <cell r="P22">
            <v>7731199.0317406254</v>
          </cell>
          <cell r="R22">
            <v>7454658.4353141664</v>
          </cell>
          <cell r="T22">
            <v>3797017921.7660713</v>
          </cell>
          <cell r="V22">
            <v>3668696115.175703</v>
          </cell>
          <cell r="X22">
            <v>0.84967952850124473</v>
          </cell>
          <cell r="Y22"/>
          <cell r="Z22">
            <v>0.70950000000000002</v>
          </cell>
        </row>
        <row r="23">
          <cell r="D23">
            <v>11783870.16629611</v>
          </cell>
          <cell r="F23">
            <v>11362367.82615188</v>
          </cell>
          <cell r="H23">
            <v>6971509.7142845541</v>
          </cell>
          <cell r="J23">
            <v>6722142.7730809916</v>
          </cell>
          <cell r="L23">
            <v>6151997.6192861041</v>
          </cell>
          <cell r="N23">
            <v>5931944.1600662731</v>
          </cell>
          <cell r="P23">
            <v>6151997.6192861041</v>
          </cell>
          <cell r="R23">
            <v>5931944.1600662731</v>
          </cell>
          <cell r="T23">
            <v>3822161178.4685321</v>
          </cell>
          <cell r="V23">
            <v>3692989645.0161624</v>
          </cell>
          <cell r="X23">
            <v>0.88244840377697842</v>
          </cell>
          <cell r="Y23"/>
          <cell r="Z23">
            <v>0.70589599999999997</v>
          </cell>
        </row>
        <row r="24">
          <cell r="D24">
            <v>11646530.482972367</v>
          </cell>
          <cell r="F24">
            <v>11229940.705262946</v>
          </cell>
          <cell r="H24">
            <v>7002650.6864771834</v>
          </cell>
          <cell r="J24">
            <v>6752169.850392879</v>
          </cell>
          <cell r="L24">
            <v>5728008.1240574326</v>
          </cell>
          <cell r="N24">
            <v>5523120.5281671723</v>
          </cell>
          <cell r="P24">
            <v>6514173.9141244888</v>
          </cell>
          <cell r="R24">
            <v>6281165.6146302139</v>
          </cell>
          <cell r="T24">
            <v>3690710477.6719146</v>
          </cell>
          <cell r="V24">
            <v>3565981375.5568051</v>
          </cell>
          <cell r="X24">
            <v>0.81797713187647469</v>
          </cell>
          <cell r="Y24"/>
          <cell r="Z24">
            <v>0.70328900000000005</v>
          </cell>
        </row>
        <row r="25">
          <cell r="D25">
            <v>11813570.400732387</v>
          </cell>
          <cell r="F25">
            <v>11391005.700078318</v>
          </cell>
          <cell r="H25">
            <v>7882866.1289557172</v>
          </cell>
          <cell r="J25">
            <v>7600900.4866405241</v>
          </cell>
          <cell r="L25">
            <v>7280328.0083958665</v>
          </cell>
          <cell r="N25">
            <v>7019914.8122853572</v>
          </cell>
          <cell r="P25">
            <v>7280328.0083958665</v>
          </cell>
          <cell r="R25">
            <v>7019914.8122853572</v>
          </cell>
          <cell r="T25">
            <v>3682331670.99334</v>
          </cell>
          <cell r="V25">
            <v>3557885734.1495619</v>
          </cell>
          <cell r="X25">
            <v>0.92356357310869708</v>
          </cell>
          <cell r="Y25"/>
          <cell r="Z25">
            <v>0.664466</v>
          </cell>
        </row>
        <row r="26">
          <cell r="D26">
            <v>12378951.887507711</v>
          </cell>
          <cell r="F26">
            <v>11936163.812326686</v>
          </cell>
          <cell r="H26">
            <v>8554091.1605173722</v>
          </cell>
          <cell r="J26">
            <v>8248116.1802194994</v>
          </cell>
          <cell r="L26">
            <v>7185149.8093489502</v>
          </cell>
          <cell r="N26">
            <v>6928141.0833372148</v>
          </cell>
          <cell r="P26">
            <v>7046308.7612736924</v>
          </cell>
          <cell r="R26">
            <v>6794266.3006608393</v>
          </cell>
          <cell r="T26">
            <v>3717601442.6915975</v>
          </cell>
          <cell r="V26">
            <v>3591963549.1819301</v>
          </cell>
          <cell r="X26">
            <v>0.83996647621819054</v>
          </cell>
          <cell r="Y26"/>
          <cell r="Z26">
            <v>0.66506100000000001</v>
          </cell>
        </row>
        <row r="27">
          <cell r="D27">
            <v>12894557.661534121</v>
          </cell>
          <cell r="F27">
            <v>12433326.660788151</v>
          </cell>
          <cell r="H27">
            <v>9315276.1003653929</v>
          </cell>
          <cell r="J27">
            <v>8982073.9672814887</v>
          </cell>
          <cell r="L27">
            <v>9121599.9315129817</v>
          </cell>
          <cell r="N27">
            <v>8795325.4849403352</v>
          </cell>
          <cell r="P27">
            <v>7464701.4442463228</v>
          </cell>
          <cell r="R27">
            <v>7197693.3150981376</v>
          </cell>
          <cell r="T27">
            <v>4304994218.8006277</v>
          </cell>
          <cell r="V27">
            <v>4159505141.0823317</v>
          </cell>
          <cell r="X27">
            <v>0.97920875701743149</v>
          </cell>
          <cell r="Y27"/>
          <cell r="Z27">
            <v>0.69289900000000004</v>
          </cell>
        </row>
        <row r="28">
          <cell r="D28">
            <v>12915189.079756584</v>
          </cell>
          <cell r="F28">
            <v>12453220.104903758</v>
          </cell>
          <cell r="H28">
            <v>9212187.2938459888</v>
          </cell>
          <cell r="J28">
            <v>8882672.5887952689</v>
          </cell>
          <cell r="L28">
            <v>8730600.0822569262</v>
          </cell>
          <cell r="N28">
            <v>8418311.4781224336</v>
          </cell>
          <cell r="P28">
            <v>8648670.1088404618</v>
          </cell>
          <cell r="R28">
            <v>8339312.0933017051</v>
          </cell>
          <cell r="T28">
            <v>4795577077.9471369</v>
          </cell>
          <cell r="V28">
            <v>4633508547.5991659</v>
          </cell>
          <cell r="X28">
            <v>0.94772281584952389</v>
          </cell>
          <cell r="Y28"/>
          <cell r="Z28">
            <v>0.71400129999999995</v>
          </cell>
        </row>
        <row r="29">
          <cell r="D29">
            <v>14052495.901183615</v>
          </cell>
          <cell r="F29">
            <v>13549846.107556615</v>
          </cell>
          <cell r="H29">
            <v>10225299.230063109</v>
          </cell>
          <cell r="J29">
            <v>9859546.0867134891</v>
          </cell>
          <cell r="L29">
            <v>9948874.3814125303</v>
          </cell>
          <cell r="N29">
            <v>9593008.7978319824</v>
          </cell>
          <cell r="P29">
            <v>9607332.8660669923</v>
          </cell>
          <cell r="R29">
            <v>9263684.0284233019</v>
          </cell>
          <cell r="T29">
            <v>4960824125.8564901</v>
          </cell>
          <cell r="V29">
            <v>4793171002.504652</v>
          </cell>
          <cell r="X29">
            <v>0.97296657609413839</v>
          </cell>
          <cell r="Y29"/>
          <cell r="Z29">
            <v>0.72129089999999996</v>
          </cell>
        </row>
        <row r="30">
          <cell r="D30">
            <v>12647617.796823779</v>
          </cell>
          <cell r="F30">
            <v>12195219.694724979</v>
          </cell>
          <cell r="H30">
            <v>9228423.054467408</v>
          </cell>
          <cell r="J30">
            <v>8898327.6054845694</v>
          </cell>
          <cell r="L30">
            <v>9053806.8741681036</v>
          </cell>
          <cell r="N30">
            <v>8729957.34673604</v>
          </cell>
          <cell r="P30">
            <v>8807182.8515916076</v>
          </cell>
          <cell r="R30">
            <v>8492154.9253130518</v>
          </cell>
          <cell r="T30">
            <v>4943093666.0511026</v>
          </cell>
          <cell r="V30">
            <v>4776039750.9939795</v>
          </cell>
          <cell r="X30">
            <v>0.98107843785783377</v>
          </cell>
          <cell r="Y30"/>
          <cell r="Z30">
            <v>0.65180099999999996</v>
          </cell>
        </row>
        <row r="31">
          <cell r="D31">
            <v>12015288.158447163</v>
          </cell>
          <cell r="F31">
            <v>11585508.128217535</v>
          </cell>
          <cell r="H31">
            <v>8449680.6106396373</v>
          </cell>
          <cell r="J31">
            <v>8147440.3363838485</v>
          </cell>
          <cell r="L31">
            <v>7991905.3368532946</v>
          </cell>
          <cell r="N31">
            <v>7706039.4240286928</v>
          </cell>
          <cell r="P31">
            <v>7991905.3368532946</v>
          </cell>
          <cell r="R31">
            <v>7706039.4240286928</v>
          </cell>
          <cell r="T31">
            <v>4336672147.0979252</v>
          </cell>
          <cell r="V31">
            <v>4190112500.5617027</v>
          </cell>
          <cell r="X31">
            <v>0.94582336364170694</v>
          </cell>
          <cell r="Y31"/>
          <cell r="Z31">
            <v>0.66507470000000002</v>
          </cell>
        </row>
        <row r="32">
          <cell r="D32">
            <v>11055791.362463115</v>
          </cell>
          <cell r="F32">
            <v>10660331.987430871</v>
          </cell>
          <cell r="H32">
            <v>6905374.5807803655</v>
          </cell>
          <cell r="J32">
            <v>6658373.2557236524</v>
          </cell>
          <cell r="L32">
            <v>6902228.2446138654</v>
          </cell>
          <cell r="N32">
            <v>6655339.4622140508</v>
          </cell>
          <cell r="P32">
            <v>6712899.4372612042</v>
          </cell>
          <cell r="R32">
            <v>6472782.838722012</v>
          </cell>
          <cell r="T32">
            <v>3857296230.1174331</v>
          </cell>
          <cell r="V32">
            <v>3726937292.9195118</v>
          </cell>
          <cell r="X32">
            <v>0.99954436415726711</v>
          </cell>
          <cell r="Y32"/>
          <cell r="Z32">
            <v>0.67270209999999997</v>
          </cell>
        </row>
        <row r="33">
          <cell r="D33">
            <v>11505594.690952528</v>
          </cell>
          <cell r="F33">
            <v>11094046.106442634</v>
          </cell>
          <cell r="H33">
            <v>6492837.4603327829</v>
          </cell>
          <cell r="J33">
            <v>6260592.3536670664</v>
          </cell>
          <cell r="L33">
            <v>6329211.6166833518</v>
          </cell>
          <cell r="N33">
            <v>6102819.3134712558</v>
          </cell>
          <cell r="P33">
            <v>6329211.6166833518</v>
          </cell>
          <cell r="R33">
            <v>6102819.3134712558</v>
          </cell>
          <cell r="T33">
            <v>3603989733.5669079</v>
          </cell>
          <cell r="V33">
            <v>3482191395.2200241</v>
          </cell>
          <cell r="X33">
            <v>0.97479902359344683</v>
          </cell>
          <cell r="Y33"/>
          <cell r="Z33">
            <v>0.74212999999999996</v>
          </cell>
        </row>
      </sheetData>
      <sheetData sheetId="3">
        <row r="22">
          <cell r="D22">
            <v>7173.7792428581097</v>
          </cell>
          <cell r="F22">
            <v>7055.9408187876861</v>
          </cell>
          <cell r="H22">
            <v>4784.8338942797454</v>
          </cell>
          <cell r="J22">
            <v>4706.2369279593777</v>
          </cell>
          <cell r="L22">
            <v>1848.0193111779656</v>
          </cell>
          <cell r="N22">
            <v>1817.6632497619803</v>
          </cell>
          <cell r="P22">
            <v>1740.9014786402238</v>
          </cell>
          <cell r="R22">
            <v>1712.3049635036496</v>
          </cell>
          <cell r="T22">
            <v>2604799.6398912864</v>
          </cell>
          <cell r="V22">
            <v>2573676.8073627418</v>
          </cell>
          <cell r="X22">
            <v>0.38622433965518987</v>
          </cell>
          <cell r="Z22">
            <v>0.61276940000000002</v>
          </cell>
        </row>
        <row r="23">
          <cell r="D23">
            <v>6963.8717097845256</v>
          </cell>
          <cell r="F23">
            <v>6849.4812832145171</v>
          </cell>
          <cell r="H23">
            <v>3442.5638442360087</v>
          </cell>
          <cell r="J23">
            <v>3386.0153661697991</v>
          </cell>
          <cell r="L23">
            <v>3079.1845609955553</v>
          </cell>
          <cell r="N23">
            <v>3028.6050486066106</v>
          </cell>
          <cell r="P23">
            <v>3079.1845609955553</v>
          </cell>
          <cell r="R23">
            <v>3028.6050486066106</v>
          </cell>
          <cell r="T23">
            <v>2060686.2808606082</v>
          </cell>
          <cell r="V23">
            <v>2036064.6581335061</v>
          </cell>
          <cell r="X23">
            <v>0.8944451578294268</v>
          </cell>
          <cell r="Z23">
            <v>0.84751730000000003</v>
          </cell>
        </row>
        <row r="24">
          <cell r="D24">
            <v>7013.0817483733517</v>
          </cell>
          <cell r="F24">
            <v>6897.8829844961247</v>
          </cell>
          <cell r="H24">
            <v>3089.396638562052</v>
          </cell>
          <cell r="J24">
            <v>3038.6493798449615</v>
          </cell>
          <cell r="L24">
            <v>2824.9943088532295</v>
          </cell>
          <cell r="N24">
            <v>2778.5901937984495</v>
          </cell>
          <cell r="P24">
            <v>2746.0969435775337</v>
          </cell>
          <cell r="R24">
            <v>2700.9888178294573</v>
          </cell>
          <cell r="T24">
            <v>2094574.0910429198</v>
          </cell>
          <cell r="V24">
            <v>2069547.5678294573</v>
          </cell>
          <cell r="X24">
            <v>0.91441619168981569</v>
          </cell>
          <cell r="Z24">
            <v>0.91583680000000001</v>
          </cell>
        </row>
        <row r="25">
          <cell r="D25">
            <v>6759.9992200874494</v>
          </cell>
          <cell r="F25">
            <v>6648.9576577748867</v>
          </cell>
          <cell r="H25">
            <v>3250.8339113051647</v>
          </cell>
          <cell r="J25">
            <v>3197.4348405985688</v>
          </cell>
          <cell r="L25">
            <v>2834.2897749483468</v>
          </cell>
          <cell r="N25">
            <v>2787.7329700715682</v>
          </cell>
          <cell r="P25">
            <v>2834.2897749483468</v>
          </cell>
          <cell r="R25">
            <v>2787.7329700715682</v>
          </cell>
          <cell r="T25">
            <v>2125818.2211542563</v>
          </cell>
          <cell r="V25">
            <v>2100418.3848405988</v>
          </cell>
          <cell r="X25">
            <v>0.87186545122830295</v>
          </cell>
          <cell r="Z25">
            <v>0.87491099999999999</v>
          </cell>
        </row>
        <row r="26">
          <cell r="D26">
            <v>6827.4602044616149</v>
          </cell>
          <cell r="F26">
            <v>6715.310509905813</v>
          </cell>
          <cell r="H26">
            <v>4006.1477474479698</v>
          </cell>
          <cell r="J26">
            <v>3940.3416888600191</v>
          </cell>
          <cell r="L26">
            <v>2745.9836007459526</v>
          </cell>
          <cell r="N26">
            <v>2700.8773367976614</v>
          </cell>
          <cell r="P26">
            <v>2727.5074927497762</v>
          </cell>
          <cell r="R26">
            <v>2682.7047223124391</v>
          </cell>
          <cell r="T26">
            <v>2359924.2656195401</v>
          </cell>
          <cell r="V26">
            <v>2331727.2685936992</v>
          </cell>
          <cell r="X26">
            <v>0.68544241846677323</v>
          </cell>
          <cell r="Z26">
            <v>0.80336200000000002</v>
          </cell>
        </row>
        <row r="27">
          <cell r="D27">
            <v>6510.4656181274468</v>
          </cell>
          <cell r="F27">
            <v>6403.5229617627992</v>
          </cell>
          <cell r="H27">
            <v>2941.3081589356198</v>
          </cell>
          <cell r="J27">
            <v>2892.9934413480232</v>
          </cell>
          <cell r="L27">
            <v>2784.7372817214818</v>
          </cell>
          <cell r="N27">
            <v>2738.9944394037589</v>
          </cell>
          <cell r="P27">
            <v>2763.6548713984107</v>
          </cell>
          <cell r="R27">
            <v>2718.25833441348</v>
          </cell>
          <cell r="T27">
            <v>2011213.1374300274</v>
          </cell>
          <cell r="V27">
            <v>1987182.6328580687</v>
          </cell>
          <cell r="X27">
            <v>0.94676828514602285</v>
          </cell>
          <cell r="Z27">
            <v>0.94078600000000001</v>
          </cell>
        </row>
        <row r="28">
          <cell r="D28">
            <v>6990.3407977380175</v>
          </cell>
          <cell r="F28">
            <v>6875.5155828220859</v>
          </cell>
          <cell r="H28">
            <v>3167.1227822293049</v>
          </cell>
          <cell r="J28">
            <v>3115.0987730061347</v>
          </cell>
          <cell r="L28">
            <v>2773.8336754029201</v>
          </cell>
          <cell r="N28">
            <v>2728.2699386503064</v>
          </cell>
          <cell r="P28">
            <v>2816.7297081985548</v>
          </cell>
          <cell r="R28">
            <v>2770.4613496932516</v>
          </cell>
          <cell r="T28">
            <v>2011984.0096347325</v>
          </cell>
          <cell r="V28">
            <v>1987944.2944785275</v>
          </cell>
          <cell r="X28">
            <v>0.8758213262102984</v>
          </cell>
          <cell r="Z28">
            <v>0.85466299999999995</v>
          </cell>
        </row>
        <row r="29">
          <cell r="D29">
            <v>6580.2129184409514</v>
          </cell>
          <cell r="F29">
            <v>6472.1245741935481</v>
          </cell>
          <cell r="H29">
            <v>3133.4057381981179</v>
          </cell>
          <cell r="J29">
            <v>3081.9355741935478</v>
          </cell>
          <cell r="L29">
            <v>2803.6973696845344</v>
          </cell>
          <cell r="N29">
            <v>2757.643083870968</v>
          </cell>
          <cell r="P29">
            <v>2685.6418023985543</v>
          </cell>
          <cell r="R29">
            <v>2641.5267290322581</v>
          </cell>
          <cell r="T29">
            <v>1979226.9411992473</v>
          </cell>
          <cell r="V29">
            <v>1955578.6161290323</v>
          </cell>
          <cell r="X29">
            <v>0.89477635644364883</v>
          </cell>
          <cell r="Z29">
            <v>0.87548599999999999</v>
          </cell>
        </row>
        <row r="30">
          <cell r="D30">
            <v>6688.2579512036991</v>
          </cell>
          <cell r="F30">
            <v>6578.3948302370272</v>
          </cell>
          <cell r="H30">
            <v>2991.1736680826061</v>
          </cell>
          <cell r="J30">
            <v>2942.0398462524026</v>
          </cell>
          <cell r="L30">
            <v>2791.540207191611</v>
          </cell>
          <cell r="N30">
            <v>2745.6856181934659</v>
          </cell>
          <cell r="P30">
            <v>2836.3081690412073</v>
          </cell>
          <cell r="R30">
            <v>2789.7182094811019</v>
          </cell>
          <cell r="T30">
            <v>1981272.4028374297</v>
          </cell>
          <cell r="V30">
            <v>1957599.6380525304</v>
          </cell>
          <cell r="X30">
            <v>0.93325915408349946</v>
          </cell>
          <cell r="Z30">
            <v>0.90551499999999996</v>
          </cell>
        </row>
        <row r="31">
          <cell r="D31">
            <v>7203.429467904728</v>
          </cell>
          <cell r="F31">
            <v>7085.1040012763242</v>
          </cell>
          <cell r="H31">
            <v>2997.9659748118411</v>
          </cell>
          <cell r="J31">
            <v>2948.720580727505</v>
          </cell>
          <cell r="L31">
            <v>2696.7028272707207</v>
          </cell>
          <cell r="N31">
            <v>2652.4060625398852</v>
          </cell>
          <cell r="P31">
            <v>2696.7028272707207</v>
          </cell>
          <cell r="R31">
            <v>2652.4060625398852</v>
          </cell>
          <cell r="T31">
            <v>1977571.8165951953</v>
          </cell>
          <cell r="V31">
            <v>1953943.267389917</v>
          </cell>
          <cell r="X31">
            <v>0.89951081831072865</v>
          </cell>
          <cell r="Z31">
            <v>0.90862449999999995</v>
          </cell>
        </row>
        <row r="32">
          <cell r="D32">
            <v>9531.9540225766377</v>
          </cell>
          <cell r="F32">
            <v>9375.379586382438</v>
          </cell>
          <cell r="H32">
            <v>4110.6451832255925</v>
          </cell>
          <cell r="J32">
            <v>4043.122621699014</v>
          </cell>
          <cell r="L32">
            <v>2681.8414482374833</v>
          </cell>
          <cell r="N32">
            <v>2637.7888005090676</v>
          </cell>
          <cell r="P32">
            <v>2734.7477103775122</v>
          </cell>
          <cell r="R32">
            <v>2689.8260101813553</v>
          </cell>
          <cell r="T32">
            <v>2019223.0529330338</v>
          </cell>
          <cell r="V32">
            <v>1995096.8437798282</v>
          </cell>
          <cell r="X32">
            <v>0.65241375226967713</v>
          </cell>
          <cell r="Z32">
            <v>0.7027485</v>
          </cell>
        </row>
        <row r="33">
          <cell r="D33">
            <v>6184.6710675987606</v>
          </cell>
          <cell r="F33">
            <v>6083.08</v>
          </cell>
          <cell r="H33">
            <v>4228.0816037021104</v>
          </cell>
          <cell r="J33">
            <v>4158.63</v>
          </cell>
          <cell r="L33">
            <v>3162.2845348729802</v>
          </cell>
          <cell r="N33">
            <v>3110.34</v>
          </cell>
          <cell r="P33">
            <v>3162.2845348729802</v>
          </cell>
          <cell r="R33">
            <v>3110.34</v>
          </cell>
          <cell r="T33">
            <v>2285907.6267189854</v>
          </cell>
          <cell r="V33">
            <v>2258595</v>
          </cell>
          <cell r="X33">
            <v>0.74792419618961059</v>
          </cell>
          <cell r="Z33">
            <v>0.70052000000000003</v>
          </cell>
        </row>
      </sheetData>
      <sheetData sheetId="4">
        <row r="22">
          <cell r="D22">
            <v>3635570.9582638512</v>
          </cell>
          <cell r="F22">
            <v>3575852.093518394</v>
          </cell>
          <cell r="H22">
            <v>2702558.3577933717</v>
          </cell>
          <cell r="J22">
            <v>2658165.4085459062</v>
          </cell>
          <cell r="L22">
            <v>2272788.6478006006</v>
          </cell>
          <cell r="N22">
            <v>2235455.2112066876</v>
          </cell>
          <cell r="P22">
            <v>2125730.1302913604</v>
          </cell>
          <cell r="R22">
            <v>2090812.3163926504</v>
          </cell>
          <cell r="T22">
            <v>1964465341.120935</v>
          </cell>
          <cell r="V22">
            <v>1940993391.5385137</v>
          </cell>
          <cell r="X22">
            <v>0.84097671424802223</v>
          </cell>
          <cell r="Y22"/>
          <cell r="Z22">
            <v>0.93237899999999996</v>
          </cell>
        </row>
        <row r="23">
          <cell r="D23">
            <v>3626254.6799714752</v>
          </cell>
          <cell r="F23">
            <v>3566688.846914757</v>
          </cell>
          <cell r="H23">
            <v>2799985.7874292778</v>
          </cell>
          <cell r="J23">
            <v>2753992.4690624312</v>
          </cell>
          <cell r="L23">
            <v>2668553.8195428411</v>
          </cell>
          <cell r="N23">
            <v>2624719.4379712171</v>
          </cell>
          <cell r="P23">
            <v>2668553.8195428411</v>
          </cell>
          <cell r="R23">
            <v>2624719.4379712171</v>
          </cell>
          <cell r="T23">
            <v>1904901192.2568691</v>
          </cell>
          <cell r="V23">
            <v>1882140930.8217475</v>
          </cell>
          <cell r="X23">
            <v>0.95305977320438218</v>
          </cell>
          <cell r="Y23"/>
          <cell r="Z23">
            <v>0.92661090000000002</v>
          </cell>
        </row>
        <row r="24">
          <cell r="D24">
            <v>3668005.4154587314</v>
          </cell>
          <cell r="F24">
            <v>3607753.773610434</v>
          </cell>
          <cell r="H24">
            <v>2728085.8871339159</v>
          </cell>
          <cell r="J24">
            <v>2683273.6158351204</v>
          </cell>
          <cell r="L24">
            <v>2565423.5325451116</v>
          </cell>
          <cell r="N24">
            <v>2523283.1967591648</v>
          </cell>
          <cell r="P24">
            <v>2701323.3943187762</v>
          </cell>
          <cell r="R24">
            <v>2656950.7309129434</v>
          </cell>
          <cell r="T24">
            <v>1529852668.3586085</v>
          </cell>
          <cell r="V24">
            <v>1511573585.5218728</v>
          </cell>
          <cell r="X24">
            <v>0.94037491438376419</v>
          </cell>
          <cell r="Y24"/>
          <cell r="Z24">
            <v>0.928956</v>
          </cell>
        </row>
        <row r="25">
          <cell r="D25">
            <v>3792275.639120182</v>
          </cell>
          <cell r="F25">
            <v>3729982.7012102972</v>
          </cell>
          <cell r="H25">
            <v>2802624.4730551001</v>
          </cell>
          <cell r="J25">
            <v>2756587.8109296518</v>
          </cell>
          <cell r="L25">
            <v>2786480.6575780869</v>
          </cell>
          <cell r="N25">
            <v>2740709.1781004304</v>
          </cell>
          <cell r="P25">
            <v>2786480.6575780869</v>
          </cell>
          <cell r="R25">
            <v>2740709.1781004304</v>
          </cell>
          <cell r="T25">
            <v>1952813302.6561909</v>
          </cell>
          <cell r="V25">
            <v>1929480574.6999555</v>
          </cell>
          <cell r="X25">
            <v>0.9942397507649624</v>
          </cell>
          <cell r="Y25"/>
          <cell r="Z25">
            <v>0.9164447</v>
          </cell>
        </row>
        <row r="26">
          <cell r="D26">
            <v>3791872.6034574918</v>
          </cell>
          <cell r="F26">
            <v>3729586.2859196211</v>
          </cell>
          <cell r="H26">
            <v>2829760.6355566075</v>
          </cell>
          <cell r="J26">
            <v>2783278.2275395943</v>
          </cell>
          <cell r="L26">
            <v>2618595.1831371253</v>
          </cell>
          <cell r="N26">
            <v>2575581.4355414659</v>
          </cell>
          <cell r="P26">
            <v>2620604.4383006813</v>
          </cell>
          <cell r="R26">
            <v>2577557.6861402011</v>
          </cell>
          <cell r="T26">
            <v>1640790260.2355278</v>
          </cell>
          <cell r="V26">
            <v>1621185665.8161623</v>
          </cell>
          <cell r="X26">
            <v>0.92537692066030663</v>
          </cell>
          <cell r="Y26"/>
          <cell r="Z26">
            <v>0.91381069999999998</v>
          </cell>
        </row>
        <row r="27">
          <cell r="D27">
            <v>3822892.9052853705</v>
          </cell>
          <cell r="F27">
            <v>3760097.0399404322</v>
          </cell>
          <cell r="H27">
            <v>2910580.6710426956</v>
          </cell>
          <cell r="J27">
            <v>2862770.6914218478</v>
          </cell>
          <cell r="L27">
            <v>2856280.043413037</v>
          </cell>
          <cell r="N27">
            <v>2809362.0204818635</v>
          </cell>
          <cell r="P27">
            <v>2696673.269211411</v>
          </cell>
          <cell r="R27">
            <v>2652376.9900091942</v>
          </cell>
          <cell r="T27">
            <v>1896023395.7731514</v>
          </cell>
          <cell r="V27">
            <v>1873369208.5899432</v>
          </cell>
          <cell r="X27">
            <v>0.98134371324255165</v>
          </cell>
          <cell r="Y27"/>
          <cell r="Z27">
            <v>0.92812099999999997</v>
          </cell>
        </row>
        <row r="28">
          <cell r="D28">
            <v>3833792.4584025061</v>
          </cell>
          <cell r="F28">
            <v>3770817.5540714334</v>
          </cell>
          <cell r="H28">
            <v>2974296.1602397538</v>
          </cell>
          <cell r="J28">
            <v>2925439.5728851468</v>
          </cell>
          <cell r="L28">
            <v>2863673.1588691203</v>
          </cell>
          <cell r="N28">
            <v>2816633.694638344</v>
          </cell>
          <cell r="P28">
            <v>2780044.2600439987</v>
          </cell>
          <cell r="R28">
            <v>2734378.5065604704</v>
          </cell>
          <cell r="T28">
            <v>1999778963.6381054</v>
          </cell>
          <cell r="V28">
            <v>1975885077.5878088</v>
          </cell>
          <cell r="X28">
            <v>0.96280699856005025</v>
          </cell>
          <cell r="Y28"/>
          <cell r="Z28">
            <v>0.91650799999999999</v>
          </cell>
        </row>
        <row r="29">
          <cell r="D29">
            <v>3884074.3528653528</v>
          </cell>
          <cell r="F29">
            <v>3820273.5046346714</v>
          </cell>
          <cell r="H29">
            <v>3007684.7612368348</v>
          </cell>
          <cell r="J29">
            <v>2958279.7237570961</v>
          </cell>
          <cell r="L29">
            <v>2936653.7967546922</v>
          </cell>
          <cell r="N29">
            <v>2888415.5329700196</v>
          </cell>
          <cell r="P29">
            <v>2858700.2721353024</v>
          </cell>
          <cell r="R29">
            <v>2811742.4938772828</v>
          </cell>
          <cell r="T29">
            <v>1989869664.7353249</v>
          </cell>
          <cell r="V29">
            <v>1966094177.5996718</v>
          </cell>
          <cell r="X29">
            <v>0.97638350754121839</v>
          </cell>
          <cell r="Y29"/>
          <cell r="Z29">
            <v>0.93610539999999998</v>
          </cell>
        </row>
        <row r="30">
          <cell r="D30">
            <v>3708053.7042620638</v>
          </cell>
          <cell r="F30">
            <v>3647144.2184685408</v>
          </cell>
          <cell r="H30">
            <v>2844542.1853388338</v>
          </cell>
          <cell r="J30">
            <v>2797816.9716161126</v>
          </cell>
          <cell r="L30">
            <v>2806810.0017130389</v>
          </cell>
          <cell r="N30">
            <v>2760704.5869700015</v>
          </cell>
          <cell r="P30">
            <v>2733187.4679508628</v>
          </cell>
          <cell r="R30">
            <v>2688291.3967157458</v>
          </cell>
          <cell r="T30">
            <v>1969255059.7239683</v>
          </cell>
          <cell r="V30">
            <v>1945725881.321465</v>
          </cell>
          <cell r="X30">
            <v>0.9867352349983517</v>
          </cell>
          <cell r="Y30"/>
          <cell r="Z30">
            <v>0.92305000000000004</v>
          </cell>
        </row>
        <row r="31">
          <cell r="D31">
            <v>3750896.6666703131</v>
          </cell>
          <cell r="F31">
            <v>3689283.4308725335</v>
          </cell>
          <cell r="H31">
            <v>2880897.1963286796</v>
          </cell>
          <cell r="J31">
            <v>2833574.8054337767</v>
          </cell>
          <cell r="L31">
            <v>2795807.9443313866</v>
          </cell>
          <cell r="N31">
            <v>2749883.2523370562</v>
          </cell>
          <cell r="P31">
            <v>2795807.9443313866</v>
          </cell>
          <cell r="R31">
            <v>2749883.2523370562</v>
          </cell>
          <cell r="T31">
            <v>1943718982.4165566</v>
          </cell>
          <cell r="V31">
            <v>1920494915.7951298</v>
          </cell>
          <cell r="X31">
            <v>0.97046432198076082</v>
          </cell>
          <cell r="Y31"/>
          <cell r="Z31">
            <v>0.91584299999999996</v>
          </cell>
        </row>
        <row r="32">
          <cell r="D32">
            <v>3669687.5020736363</v>
          </cell>
          <cell r="F32">
            <v>3609408.2298189467</v>
          </cell>
          <cell r="H32">
            <v>2721949.8280338109</v>
          </cell>
          <cell r="J32">
            <v>2677238.3492893837</v>
          </cell>
          <cell r="L32">
            <v>2709284.4990249225</v>
          </cell>
          <cell r="N32">
            <v>2664781.0643755551</v>
          </cell>
          <cell r="P32">
            <v>2707520.5412738165</v>
          </cell>
          <cell r="R32">
            <v>2663046.0818681079</v>
          </cell>
          <cell r="T32">
            <v>1842726010.82513</v>
          </cell>
          <cell r="V32">
            <v>1820708634.8425007</v>
          </cell>
          <cell r="X32">
            <v>0.99534696456251825</v>
          </cell>
          <cell r="Y32"/>
          <cell r="Z32">
            <v>0.93223100000000003</v>
          </cell>
        </row>
        <row r="33">
          <cell r="D33">
            <v>3624468.4037519437</v>
          </cell>
          <cell r="F33">
            <v>3564931.9125480396</v>
          </cell>
          <cell r="H33">
            <v>2730900.9565502899</v>
          </cell>
          <cell r="J33">
            <v>2686042.4441653886</v>
          </cell>
          <cell r="L33">
            <v>2603822.7470061844</v>
          </cell>
          <cell r="N33">
            <v>2561051.6554129496</v>
          </cell>
          <cell r="P33">
            <v>2603822.7470061844</v>
          </cell>
          <cell r="R33">
            <v>2561051.6554129496</v>
          </cell>
          <cell r="T33">
            <v>1871612101.715795</v>
          </cell>
          <cell r="V33">
            <v>1849249587.1069825</v>
          </cell>
          <cell r="X33">
            <v>0.95346656229355453</v>
          </cell>
          <cell r="Y33"/>
          <cell r="Z33">
            <v>0.92813199999999996</v>
          </cell>
        </row>
      </sheetData>
      <sheetData sheetId="5">
        <row r="22">
          <cell r="D22">
            <v>1463133.1738088119</v>
          </cell>
          <cell r="F22">
            <v>1460067.0330394292</v>
          </cell>
          <cell r="H22">
            <v>1241474.0075200857</v>
          </cell>
          <cell r="J22">
            <v>1238872.3755314697</v>
          </cell>
          <cell r="L22">
            <v>1019076.9849888196</v>
          </cell>
          <cell r="N22">
            <v>1016941.4080319525</v>
          </cell>
          <cell r="P22">
            <v>729341.09979401319</v>
          </cell>
          <cell r="R22">
            <v>727812.69313842256</v>
          </cell>
          <cell r="T22">
            <v>826004477.16110671</v>
          </cell>
          <cell r="V22">
            <v>822607109.79764247</v>
          </cell>
          <cell r="X22">
            <v>0.82086050840845481</v>
          </cell>
          <cell r="Y22"/>
          <cell r="Z22">
            <v>0.92330000000000001</v>
          </cell>
        </row>
        <row r="23">
          <cell r="D23">
            <v>1478765.9605037181</v>
          </cell>
          <cell r="F23">
            <v>1475667.0596783934</v>
          </cell>
          <cell r="H23">
            <v>1292762.1114743971</v>
          </cell>
          <cell r="J23">
            <v>1290053.0001740316</v>
          </cell>
          <cell r="L23">
            <v>1199641.241461159</v>
          </cell>
          <cell r="N23">
            <v>1197127.2741853697</v>
          </cell>
          <cell r="P23">
            <v>1199641.241461159</v>
          </cell>
          <cell r="R23">
            <v>1197127.2741853697</v>
          </cell>
          <cell r="T23">
            <v>746283214.03756917</v>
          </cell>
          <cell r="V23">
            <v>743213741.28605783</v>
          </cell>
          <cell r="X23">
            <v>0.92796751298115199</v>
          </cell>
          <cell r="Y23"/>
          <cell r="Z23">
            <v>0.93300000000000005</v>
          </cell>
        </row>
        <row r="24">
          <cell r="D24">
            <v>1484282.1906949682</v>
          </cell>
          <cell r="F24">
            <v>1481171.7300618384</v>
          </cell>
          <cell r="H24">
            <v>1239394.2151390172</v>
          </cell>
          <cell r="J24">
            <v>1236796.9415617376</v>
          </cell>
          <cell r="L24">
            <v>1190513.8565135896</v>
          </cell>
          <cell r="N24">
            <v>1188019.0165787742</v>
          </cell>
          <cell r="P24">
            <v>1172109.7377464087</v>
          </cell>
          <cell r="R24">
            <v>1169653.465468924</v>
          </cell>
          <cell r="T24">
            <v>1257315628.980324</v>
          </cell>
          <cell r="V24">
            <v>1252144273.1322877</v>
          </cell>
          <cell r="X24">
            <v>0.96056108861219347</v>
          </cell>
          <cell r="Y24"/>
          <cell r="Z24">
            <v>0.93889999999999996</v>
          </cell>
        </row>
        <row r="25">
          <cell r="D25">
            <v>1455014.1661461731</v>
          </cell>
          <cell r="F25">
            <v>1451965.0395630908</v>
          </cell>
          <cell r="H25">
            <v>1218123.9799573731</v>
          </cell>
          <cell r="J25">
            <v>1215571.2802688086</v>
          </cell>
          <cell r="L25">
            <v>1162139.3467438619</v>
          </cell>
          <cell r="N25">
            <v>1159703.9684102004</v>
          </cell>
          <cell r="P25">
            <v>1162139.3467438619</v>
          </cell>
          <cell r="R25">
            <v>1159703.9684102004</v>
          </cell>
          <cell r="T25">
            <v>842369202.21399188</v>
          </cell>
          <cell r="V25">
            <v>838904526.51946652</v>
          </cell>
          <cell r="X25">
            <v>0.95404028314468414</v>
          </cell>
          <cell r="Y25"/>
          <cell r="Z25">
            <v>0.9486</v>
          </cell>
        </row>
        <row r="26">
          <cell r="D26">
            <v>1407423.7020310368</v>
          </cell>
          <cell r="F26">
            <v>1404474.305988461</v>
          </cell>
          <cell r="H26">
            <v>1178415.485159846</v>
          </cell>
          <cell r="J26">
            <v>1175945.998562864</v>
          </cell>
          <cell r="L26">
            <v>1109655.0168717408</v>
          </cell>
          <cell r="N26">
            <v>1107329.6246599548</v>
          </cell>
          <cell r="P26">
            <v>1060532.6375265834</v>
          </cell>
          <cell r="R26">
            <v>1058310.1861356983</v>
          </cell>
          <cell r="T26">
            <v>938194255.1815567</v>
          </cell>
          <cell r="V26">
            <v>934335449.77399015</v>
          </cell>
          <cell r="X26">
            <v>0.94165006387473071</v>
          </cell>
          <cell r="Y26"/>
          <cell r="Z26">
            <v>0.92589999999999995</v>
          </cell>
        </row>
        <row r="27">
          <cell r="D27">
            <v>1487275.1435188323</v>
          </cell>
          <cell r="F27">
            <v>1484158.4108560346</v>
          </cell>
          <cell r="H27">
            <v>1275612.2058445262</v>
          </cell>
          <cell r="J27">
            <v>1272939.033873392</v>
          </cell>
          <cell r="L27">
            <v>1052804.9717005943</v>
          </cell>
          <cell r="N27">
            <v>1050598.7144003536</v>
          </cell>
          <cell r="P27">
            <v>1219731.2344592647</v>
          </cell>
          <cell r="R27">
            <v>1217175.1666093851</v>
          </cell>
          <cell r="T27">
            <v>843417878.58000779</v>
          </cell>
          <cell r="V27">
            <v>839948889.66568851</v>
          </cell>
          <cell r="X27">
            <v>0.82533309643551034</v>
          </cell>
          <cell r="Y27">
            <v>0.92559100000000005</v>
          </cell>
          <cell r="Z27">
            <v>0.91339999999999999</v>
          </cell>
        </row>
        <row r="28">
          <cell r="D28">
            <v>1467008.3793164217</v>
          </cell>
          <cell r="F28">
            <v>1463934.1176693162</v>
          </cell>
          <cell r="H28">
            <v>1263313.2926533939</v>
          </cell>
          <cell r="J28">
            <v>1260665.8942754155</v>
          </cell>
          <cell r="L28">
            <v>1202242.9736817919</v>
          </cell>
          <cell r="N28">
            <v>1199723.5542179344</v>
          </cell>
          <cell r="P28">
            <v>913148.98525399133</v>
          </cell>
          <cell r="R28">
            <v>911235.39093303191</v>
          </cell>
          <cell r="T28">
            <v>814020388.58075345</v>
          </cell>
          <cell r="V28">
            <v>810672311.93247235</v>
          </cell>
          <cell r="X28">
            <v>0.95165861126709683</v>
          </cell>
          <cell r="Y28"/>
          <cell r="Z28">
            <v>0.92500000000000004</v>
          </cell>
        </row>
        <row r="29">
          <cell r="D29">
            <v>1444019.5454800648</v>
          </cell>
          <cell r="F29">
            <v>1440993.4592157118</v>
          </cell>
          <cell r="H29">
            <v>1240931.1234971692</v>
          </cell>
          <cell r="J29">
            <v>1238330.6291758998</v>
          </cell>
          <cell r="L29">
            <v>1025385.9066594522</v>
          </cell>
          <cell r="N29">
            <v>1023237.1087311169</v>
          </cell>
          <cell r="P29">
            <v>945147.57139744691</v>
          </cell>
          <cell r="R29">
            <v>943166.92086363328</v>
          </cell>
          <cell r="T29">
            <v>812117601.25935078</v>
          </cell>
          <cell r="V29">
            <v>808777350.8005445</v>
          </cell>
          <cell r="X29">
            <v>0.82630364187315131</v>
          </cell>
          <cell r="Y29"/>
          <cell r="Z29">
            <v>0.91210000000000002</v>
          </cell>
        </row>
        <row r="30">
          <cell r="D30">
            <v>1424019.9304074473</v>
          </cell>
          <cell r="F30">
            <v>1421035.7553212726</v>
          </cell>
          <cell r="H30">
            <v>1216577.2007640626</v>
          </cell>
          <cell r="J30">
            <v>1214027.7425048025</v>
          </cell>
          <cell r="L30">
            <v>1045485.9199628868</v>
          </cell>
          <cell r="N30">
            <v>1043295.0004619168</v>
          </cell>
          <cell r="P30">
            <v>958290.21449846006</v>
          </cell>
          <cell r="R30">
            <v>956282.02225173148</v>
          </cell>
          <cell r="T30">
            <v>794529358.44060552</v>
          </cell>
          <cell r="V30">
            <v>791261448.6576494</v>
          </cell>
          <cell r="X30">
            <v>0.85936668820217643</v>
          </cell>
          <cell r="Y30"/>
          <cell r="Z30">
            <v>0.92020000000000002</v>
          </cell>
        </row>
        <row r="31">
          <cell r="D31">
            <v>1451050.2541485634</v>
          </cell>
          <cell r="F31">
            <v>1448009.4343364569</v>
          </cell>
          <cell r="H31">
            <v>1238556.324976482</v>
          </cell>
          <cell r="J31">
            <v>1235960.8072811915</v>
          </cell>
          <cell r="L31">
            <v>1140887.905896056</v>
          </cell>
          <cell r="N31">
            <v>1138497.062065718</v>
          </cell>
          <cell r="P31">
            <v>1140887.905896056</v>
          </cell>
          <cell r="R31">
            <v>1138497.062065718</v>
          </cell>
          <cell r="T31">
            <v>783730640.49379635</v>
          </cell>
          <cell r="V31">
            <v>780507145.98089528</v>
          </cell>
          <cell r="X31">
            <v>0.92114333671318449</v>
          </cell>
          <cell r="Y31"/>
          <cell r="Z31">
            <v>0.93420000000000003</v>
          </cell>
        </row>
        <row r="32">
          <cell r="D32">
            <v>1429401.390464921</v>
          </cell>
          <cell r="F32">
            <v>1426405.9379951314</v>
          </cell>
          <cell r="H32">
            <v>1206497.4367485361</v>
          </cell>
          <cell r="J32">
            <v>1203969.1016351024</v>
          </cell>
          <cell r="L32">
            <v>1164377.8291571329</v>
          </cell>
          <cell r="N32">
            <v>1161937.7598614239</v>
          </cell>
          <cell r="P32">
            <v>1151638.0094214866</v>
          </cell>
          <cell r="R32">
            <v>1149224.6376823536</v>
          </cell>
          <cell r="T32">
            <v>844264229.63356698</v>
          </cell>
          <cell r="V32">
            <v>840791759.6661458</v>
          </cell>
          <cell r="X32">
            <v>0.9650893517810416</v>
          </cell>
          <cell r="Y32"/>
          <cell r="Z32">
            <v>0.94159999999999999</v>
          </cell>
        </row>
        <row r="33">
          <cell r="D33">
            <v>1371372.9440642262</v>
          </cell>
          <cell r="F33">
            <v>1368499.0959627046</v>
          </cell>
          <cell r="H33">
            <v>1196100.7629852102</v>
          </cell>
          <cell r="J33">
            <v>1193594.21513343</v>
          </cell>
          <cell r="L33">
            <v>1137933.6984922464</v>
          </cell>
          <cell r="N33">
            <v>1135549.0454967034</v>
          </cell>
          <cell r="P33">
            <v>1137933.6984922464</v>
          </cell>
          <cell r="R33">
            <v>1135549.0454967034</v>
          </cell>
          <cell r="T33">
            <v>846773128.17909014</v>
          </cell>
          <cell r="V33">
            <v>843290339.07869518</v>
          </cell>
          <cell r="X33">
            <v>0.95136942781660705</v>
          </cell>
          <cell r="Y33"/>
          <cell r="Z33">
            <v>0.94689999999999996</v>
          </cell>
        </row>
      </sheetData>
      <sheetData sheetId="6">
        <row r="22">
          <cell r="D22">
            <v>5470720.4388714731</v>
          </cell>
          <cell r="F22">
            <v>5470720.4388714731</v>
          </cell>
          <cell r="H22">
            <v>4209762.7586206896</v>
          </cell>
          <cell r="J22">
            <v>4209762.7586206896</v>
          </cell>
          <cell r="L22">
            <v>3256920.7523510973</v>
          </cell>
          <cell r="N22">
            <v>3256920.7523510973</v>
          </cell>
          <cell r="P22">
            <v>2514537.6802507839</v>
          </cell>
          <cell r="R22">
            <v>2514537.6802507839</v>
          </cell>
          <cell r="T22">
            <v>2883682340.6269593</v>
          </cell>
          <cell r="V22">
            <v>2883682340.6269593</v>
          </cell>
          <cell r="X22">
            <v>0.77365897773731385</v>
          </cell>
          <cell r="Y22"/>
          <cell r="Z22">
            <v>0.8972</v>
          </cell>
        </row>
        <row r="23">
          <cell r="D23">
            <v>5347100.3125</v>
          </cell>
          <cell r="F23">
            <v>5347100.3125</v>
          </cell>
          <cell r="H23">
            <v>4210422.9375</v>
          </cell>
          <cell r="J23">
            <v>4210422.9375</v>
          </cell>
          <cell r="L23">
            <v>3871810.5625</v>
          </cell>
          <cell r="N23">
            <v>3871810.5625</v>
          </cell>
          <cell r="P23">
            <v>3871810.5625</v>
          </cell>
          <cell r="R23">
            <v>3871810.5625</v>
          </cell>
          <cell r="T23">
            <v>2730361843.1875</v>
          </cell>
          <cell r="V23">
            <v>2730361843.1875</v>
          </cell>
          <cell r="X23">
            <v>0.91957758637875553</v>
          </cell>
          <cell r="Y23"/>
          <cell r="Z23">
            <v>0.91690000000000005</v>
          </cell>
        </row>
        <row r="24">
          <cell r="D24">
            <v>5586791.3043478262</v>
          </cell>
          <cell r="F24">
            <v>5586791.3043478262</v>
          </cell>
          <cell r="H24">
            <v>4415905.2173913047</v>
          </cell>
          <cell r="J24">
            <v>4415905.2173913047</v>
          </cell>
          <cell r="L24">
            <v>3879455.962732919</v>
          </cell>
          <cell r="N24">
            <v>3879455.962732919</v>
          </cell>
          <cell r="P24">
            <v>3753841.801242236</v>
          </cell>
          <cell r="R24">
            <v>3753841.801242236</v>
          </cell>
          <cell r="T24">
            <v>2813057486.8322983</v>
          </cell>
          <cell r="V24">
            <v>2813057486.8322983</v>
          </cell>
          <cell r="X24">
            <v>0.87851884760894106</v>
          </cell>
          <cell r="Y24"/>
          <cell r="Z24">
            <v>0.90339999999999998</v>
          </cell>
        </row>
        <row r="25">
          <cell r="D25">
            <v>5825480.8074534163</v>
          </cell>
          <cell r="F25">
            <v>5825480.8074534163</v>
          </cell>
          <cell r="H25">
            <v>4456475.0310559003</v>
          </cell>
          <cell r="J25">
            <v>4456475.0310559003</v>
          </cell>
          <cell r="L25">
            <v>4272896.149068323</v>
          </cell>
          <cell r="N25">
            <v>4272896.149068323</v>
          </cell>
          <cell r="P25">
            <v>4272896.149068323</v>
          </cell>
          <cell r="R25">
            <v>4272896.149068323</v>
          </cell>
          <cell r="T25">
            <v>2938892357.9503107</v>
          </cell>
          <cell r="V25">
            <v>2938892357.9503107</v>
          </cell>
          <cell r="X25">
            <v>0.95880625815060805</v>
          </cell>
          <cell r="Y25"/>
          <cell r="Z25">
            <v>0.90769999999999995</v>
          </cell>
        </row>
        <row r="26">
          <cell r="D26">
            <v>5884967.6543209879</v>
          </cell>
          <cell r="F26">
            <v>5884967.6543209879</v>
          </cell>
          <cell r="H26">
            <v>4378300.6790123461</v>
          </cell>
          <cell r="J26">
            <v>4378300.6790123461</v>
          </cell>
          <cell r="L26">
            <v>3968375.0617283951</v>
          </cell>
          <cell r="N26">
            <v>3968375.0617283951</v>
          </cell>
          <cell r="P26">
            <v>3959671.4814814813</v>
          </cell>
          <cell r="R26">
            <v>3959671.4814814813</v>
          </cell>
          <cell r="T26">
            <v>2879778435.185185</v>
          </cell>
          <cell r="V26">
            <v>2879778435.185185</v>
          </cell>
          <cell r="X26">
            <v>0.9063733518236986</v>
          </cell>
          <cell r="Y26"/>
          <cell r="Z26">
            <v>0.91810000000000003</v>
          </cell>
        </row>
        <row r="27">
          <cell r="D27">
            <v>5663388.3435582817</v>
          </cell>
          <cell r="F27">
            <v>5663388.3435582817</v>
          </cell>
          <cell r="H27">
            <v>4472397.5460122703</v>
          </cell>
          <cell r="J27">
            <v>4472397.5460122703</v>
          </cell>
          <cell r="L27">
            <v>4329315.9509202456</v>
          </cell>
          <cell r="N27">
            <v>4329315.9509202456</v>
          </cell>
          <cell r="P27">
            <v>4080575.7055214723</v>
          </cell>
          <cell r="R27">
            <v>4080575.7055214723</v>
          </cell>
          <cell r="T27">
            <v>3043680780.1226993</v>
          </cell>
          <cell r="V27">
            <v>3043680780.1226993</v>
          </cell>
          <cell r="X27">
            <v>0.96800785403802025</v>
          </cell>
          <cell r="Y27"/>
          <cell r="Z27">
            <v>0.89770000000000005</v>
          </cell>
        </row>
        <row r="28">
          <cell r="D28">
            <v>5620150.09174312</v>
          </cell>
          <cell r="F28">
            <v>5620150.09174312</v>
          </cell>
          <cell r="H28">
            <v>4592163.7308868505</v>
          </cell>
          <cell r="J28">
            <v>4592163.7308868505</v>
          </cell>
          <cell r="L28">
            <v>4268518.0428134566</v>
          </cell>
          <cell r="N28">
            <v>4268518.0428134566</v>
          </cell>
          <cell r="P28">
            <v>3257736.5137614682</v>
          </cell>
          <cell r="R28">
            <v>3257736.5137614682</v>
          </cell>
          <cell r="T28">
            <v>2808721066.0550461</v>
          </cell>
          <cell r="V28">
            <v>2808721066.0550461</v>
          </cell>
          <cell r="X28">
            <v>0.92952218016606059</v>
          </cell>
          <cell r="Y28"/>
          <cell r="Z28">
            <v>0.91810000000000003</v>
          </cell>
        </row>
        <row r="29">
          <cell r="D29">
            <v>5730746.3636363633</v>
          </cell>
          <cell r="F29">
            <v>5730746.3636363633</v>
          </cell>
          <cell r="H29">
            <v>4537057.8787878789</v>
          </cell>
          <cell r="J29">
            <v>4537057.8787878789</v>
          </cell>
          <cell r="L29">
            <v>4199678.9696969697</v>
          </cell>
          <cell r="N29">
            <v>4199678.9696969697</v>
          </cell>
          <cell r="P29">
            <v>3203729.333333333</v>
          </cell>
          <cell r="R29">
            <v>3203729.333333333</v>
          </cell>
          <cell r="T29">
            <v>3032895311.2727275</v>
          </cell>
          <cell r="V29">
            <v>3032895311.2727275</v>
          </cell>
          <cell r="X29">
            <v>0.92563927591308504</v>
          </cell>
          <cell r="Y29"/>
          <cell r="Z29">
            <v>0.90010000000000001</v>
          </cell>
        </row>
        <row r="30">
          <cell r="D30">
            <v>5624944.6385542164</v>
          </cell>
          <cell r="F30">
            <v>5624944.6385542164</v>
          </cell>
          <cell r="H30">
            <v>4547874.8192771077</v>
          </cell>
          <cell r="J30">
            <v>4547874.8192771077</v>
          </cell>
          <cell r="L30">
            <v>4130135.6626506019</v>
          </cell>
          <cell r="N30">
            <v>4130135.6626506019</v>
          </cell>
          <cell r="P30">
            <v>3311565.1807228909</v>
          </cell>
          <cell r="R30">
            <v>3311565.1807228909</v>
          </cell>
          <cell r="T30">
            <v>2863733449.5180721</v>
          </cell>
          <cell r="V30">
            <v>2863733449.5180721</v>
          </cell>
          <cell r="X30">
            <v>0.90814629398860491</v>
          </cell>
          <cell r="Y30"/>
          <cell r="Z30">
            <v>0.9325</v>
          </cell>
        </row>
        <row r="31">
          <cell r="D31">
            <v>5823161.5662650596</v>
          </cell>
          <cell r="F31">
            <v>5823161.5662650596</v>
          </cell>
          <cell r="H31">
            <v>4624161.8072289154</v>
          </cell>
          <cell r="J31">
            <v>4624161.8072289154</v>
          </cell>
          <cell r="L31">
            <v>4087029.3975903611</v>
          </cell>
          <cell r="N31">
            <v>4087029.3975903611</v>
          </cell>
          <cell r="P31">
            <v>4087029.3975903611</v>
          </cell>
          <cell r="R31">
            <v>4087029.3975903611</v>
          </cell>
          <cell r="T31">
            <v>3147017789.3975902</v>
          </cell>
          <cell r="V31">
            <v>3147017789.3975902</v>
          </cell>
          <cell r="X31">
            <v>0.88384221140383556</v>
          </cell>
          <cell r="Y31"/>
          <cell r="Z31">
            <v>0.91879999999999995</v>
          </cell>
        </row>
        <row r="32">
          <cell r="D32">
            <v>6032147.6646706592</v>
          </cell>
          <cell r="F32">
            <v>6032147.6646706592</v>
          </cell>
          <cell r="H32">
            <v>4728173.3532934133</v>
          </cell>
          <cell r="J32">
            <v>4728173.3532934133</v>
          </cell>
          <cell r="L32">
            <v>4464180.6586826351</v>
          </cell>
          <cell r="N32">
            <v>4464180.6586826351</v>
          </cell>
          <cell r="P32">
            <v>4572399.4011976048</v>
          </cell>
          <cell r="R32">
            <v>4572399.4011976048</v>
          </cell>
          <cell r="T32">
            <v>3104211436.8263474</v>
          </cell>
          <cell r="V32">
            <v>3104211436.8263474</v>
          </cell>
          <cell r="X32">
            <v>0.94416602884771683</v>
          </cell>
          <cell r="Y32"/>
          <cell r="Z32">
            <v>0.91479999999999995</v>
          </cell>
        </row>
        <row r="33">
          <cell r="D33">
            <v>5915090</v>
          </cell>
          <cell r="F33">
            <v>5915090</v>
          </cell>
          <cell r="H33">
            <v>4667054</v>
          </cell>
          <cell r="J33">
            <v>4667054</v>
          </cell>
          <cell r="L33">
            <v>4262765</v>
          </cell>
          <cell r="N33">
            <v>4262765</v>
          </cell>
          <cell r="P33">
            <v>4262765</v>
          </cell>
          <cell r="R33">
            <v>4262765</v>
          </cell>
          <cell r="T33">
            <v>3190347604</v>
          </cell>
          <cell r="V33">
            <v>3190347604</v>
          </cell>
          <cell r="X33">
            <v>0.91337383282901807</v>
          </cell>
          <cell r="Y33"/>
          <cell r="Z33">
            <v>0.93110000000000004</v>
          </cell>
        </row>
      </sheetData>
      <sheetData sheetId="7">
        <row r="22">
          <cell r="D22">
            <v>90934.292990564922</v>
          </cell>
          <cell r="F22">
            <v>87681.625</v>
          </cell>
          <cell r="H22">
            <v>90934.292990564922</v>
          </cell>
          <cell r="J22">
            <v>87681.625</v>
          </cell>
          <cell r="L22">
            <v>90934.292990564922</v>
          </cell>
          <cell r="N22">
            <v>87681.625</v>
          </cell>
          <cell r="P22">
            <v>0</v>
          </cell>
          <cell r="R22">
            <v>0</v>
          </cell>
          <cell r="T22">
            <v>30377454.422961034</v>
          </cell>
          <cell r="V22">
            <v>29350835.662795201</v>
          </cell>
          <cell r="X22">
            <v>1</v>
          </cell>
          <cell r="Y22"/>
          <cell r="Z22">
            <v>0.45537</v>
          </cell>
        </row>
        <row r="23">
          <cell r="D23">
            <v>90934.292990564922</v>
          </cell>
          <cell r="F23">
            <v>87681.625</v>
          </cell>
          <cell r="H23">
            <v>90934.292990564922</v>
          </cell>
          <cell r="J23">
            <v>87681.625</v>
          </cell>
          <cell r="L23">
            <v>90934.292990564922</v>
          </cell>
          <cell r="N23">
            <v>87681.625</v>
          </cell>
          <cell r="P23">
            <v>90934.292990564922</v>
          </cell>
          <cell r="R23">
            <v>87681.625</v>
          </cell>
          <cell r="T23">
            <v>30320031.8439571</v>
          </cell>
          <cell r="V23">
            <v>29295353.703832753</v>
          </cell>
          <cell r="X23">
            <v>1</v>
          </cell>
          <cell r="Y23"/>
          <cell r="Z23">
            <v>0.45537</v>
          </cell>
        </row>
        <row r="24">
          <cell r="D24">
            <v>90934.292990564922</v>
          </cell>
          <cell r="F24">
            <v>87681.625</v>
          </cell>
          <cell r="H24">
            <v>90934.292990564922</v>
          </cell>
          <cell r="J24">
            <v>87681.625</v>
          </cell>
          <cell r="T24">
            <v>30301023.199911989</v>
          </cell>
          <cell r="V24">
            <v>29276987.464852609</v>
          </cell>
          <cell r="X24">
            <v>0</v>
          </cell>
          <cell r="Y24"/>
          <cell r="Z24">
            <v>0.45537</v>
          </cell>
        </row>
        <row r="25">
          <cell r="D25">
            <v>90934.292990564922</v>
          </cell>
          <cell r="F25">
            <v>87681.625</v>
          </cell>
          <cell r="H25">
            <v>90934.292990564922</v>
          </cell>
          <cell r="J25">
            <v>87681.625</v>
          </cell>
          <cell r="T25">
            <v>30277553.743691251</v>
          </cell>
          <cell r="V25">
            <v>29254311.168707483</v>
          </cell>
          <cell r="X25">
            <v>0</v>
          </cell>
          <cell r="Y25"/>
          <cell r="Z25">
            <v>0.45537</v>
          </cell>
        </row>
        <row r="26">
          <cell r="D26">
            <v>90934.292990564922</v>
          </cell>
          <cell r="F26">
            <v>87681.625</v>
          </cell>
          <cell r="H26">
            <v>90934.292990564922</v>
          </cell>
          <cell r="J26">
            <v>87681.625</v>
          </cell>
          <cell r="T26">
            <v>30215574.397780105</v>
          </cell>
          <cell r="V26">
            <v>29194426.440678708</v>
          </cell>
          <cell r="X26">
            <v>0</v>
          </cell>
          <cell r="Y26"/>
          <cell r="Z26">
            <v>0.45537</v>
          </cell>
        </row>
        <row r="27">
          <cell r="D27">
            <v>90934.292990564922</v>
          </cell>
          <cell r="F27">
            <v>87681.625</v>
          </cell>
          <cell r="H27">
            <v>90934.292990564922</v>
          </cell>
          <cell r="J27">
            <v>87681.625</v>
          </cell>
          <cell r="T27">
            <v>30179978.69870916</v>
          </cell>
          <cell r="V27">
            <v>29160033.713125344</v>
          </cell>
          <cell r="X27">
            <v>0</v>
          </cell>
          <cell r="Y27"/>
          <cell r="Z27">
            <v>0.45537</v>
          </cell>
        </row>
        <row r="28">
          <cell r="D28">
            <v>90934.292990564922</v>
          </cell>
          <cell r="F28">
            <v>87681.625</v>
          </cell>
          <cell r="H28">
            <v>90934.292990564922</v>
          </cell>
          <cell r="J28">
            <v>87681.625</v>
          </cell>
          <cell r="T28">
            <v>30140836.935062397</v>
          </cell>
          <cell r="V28">
            <v>29122214.761729609</v>
          </cell>
          <cell r="X28">
            <v>0</v>
          </cell>
          <cell r="Y28"/>
          <cell r="Z28">
            <v>0.45537</v>
          </cell>
        </row>
        <row r="29">
          <cell r="D29">
            <v>90934.292990564922</v>
          </cell>
          <cell r="F29">
            <v>87681.625</v>
          </cell>
          <cell r="H29">
            <v>90934.292990564922</v>
          </cell>
          <cell r="J29">
            <v>87681.625</v>
          </cell>
          <cell r="T29">
            <v>30131545.647296976</v>
          </cell>
          <cell r="V29">
            <v>29113237.476914972</v>
          </cell>
          <cell r="X29">
            <v>0</v>
          </cell>
          <cell r="Y29"/>
          <cell r="Z29">
            <v>0.45537</v>
          </cell>
        </row>
        <row r="30">
          <cell r="D30">
            <v>90934.292990564922</v>
          </cell>
          <cell r="F30">
            <v>87681.625</v>
          </cell>
          <cell r="H30">
            <v>90934.292990564922</v>
          </cell>
          <cell r="J30">
            <v>87681.625</v>
          </cell>
          <cell r="T30">
            <v>30188260.48615763</v>
          </cell>
          <cell r="V30">
            <v>29168035.614107884</v>
          </cell>
          <cell r="X30">
            <v>0</v>
          </cell>
          <cell r="Y30"/>
          <cell r="Z30">
            <v>0.45537</v>
          </cell>
        </row>
        <row r="31">
          <cell r="D31">
            <v>90934.292990564922</v>
          </cell>
          <cell r="F31">
            <v>87681.625</v>
          </cell>
          <cell r="H31">
            <v>90934.292990564922</v>
          </cell>
          <cell r="J31">
            <v>87681.625</v>
          </cell>
          <cell r="T31">
            <v>30225073.901219998</v>
          </cell>
          <cell r="V31">
            <v>29203604.904432133</v>
          </cell>
          <cell r="X31">
            <v>0</v>
          </cell>
          <cell r="Y31"/>
          <cell r="Z31">
            <v>0.45537</v>
          </cell>
        </row>
        <row r="32">
          <cell r="D32">
            <v>90934.292990564922</v>
          </cell>
          <cell r="F32">
            <v>87681.625</v>
          </cell>
          <cell r="H32">
            <v>90934.292990564922</v>
          </cell>
          <cell r="J32">
            <v>87681.625</v>
          </cell>
          <cell r="L32">
            <v>0</v>
          </cell>
          <cell r="N32">
            <v>0</v>
          </cell>
          <cell r="T32">
            <v>30293849.042868048</v>
          </cell>
          <cell r="V32">
            <v>29270055.761442441</v>
          </cell>
          <cell r="X32">
            <v>0</v>
          </cell>
          <cell r="Y32"/>
          <cell r="Z32">
            <v>0.45537</v>
          </cell>
        </row>
        <row r="33">
          <cell r="D33">
            <v>90934.292990564922</v>
          </cell>
          <cell r="F33">
            <v>87681.625</v>
          </cell>
          <cell r="H33">
            <v>90934.292990564922</v>
          </cell>
          <cell r="J33">
            <v>87681.625</v>
          </cell>
          <cell r="T33">
            <v>30340140.728268661</v>
          </cell>
          <cell r="V33">
            <v>29314783</v>
          </cell>
          <cell r="X33">
            <v>0</v>
          </cell>
          <cell r="Y33"/>
          <cell r="Z33">
            <v>0.45537</v>
          </cell>
        </row>
      </sheetData>
      <sheetData sheetId="8">
        <row r="22">
          <cell r="D22">
            <v>105693.38024256394</v>
          </cell>
          <cell r="F22">
            <v>105471.88927508626</v>
          </cell>
          <cell r="H22">
            <v>89360.767768842663</v>
          </cell>
          <cell r="J22">
            <v>89173.503411678146</v>
          </cell>
          <cell r="L22">
            <v>84419.644346894318</v>
          </cell>
          <cell r="N22">
            <v>84242.73460422545</v>
          </cell>
          <cell r="P22">
            <v>87739.126519041529</v>
          </cell>
          <cell r="R22">
            <v>87555.260472050228</v>
          </cell>
          <cell r="T22">
            <v>32953353.580079999</v>
          </cell>
          <cell r="V22">
            <v>32817816</v>
          </cell>
          <cell r="X22">
            <v>0.94470589784176895</v>
          </cell>
          <cell r="Z22">
            <v>0.49469999999999997</v>
          </cell>
        </row>
        <row r="23">
          <cell r="D23">
            <v>86276.976080255015</v>
          </cell>
          <cell r="F23">
            <v>86096.174114614332</v>
          </cell>
          <cell r="H23">
            <v>64912.699655787968</v>
          </cell>
          <cell r="J23">
            <v>64776.66865161957</v>
          </cell>
          <cell r="L23">
            <v>52137.809743316211</v>
          </cell>
          <cell r="N23">
            <v>52028.549788759818</v>
          </cell>
          <cell r="P23">
            <v>52137.809743316211</v>
          </cell>
          <cell r="R23">
            <v>52028.549788759818</v>
          </cell>
          <cell r="T23">
            <v>20687734.425914999</v>
          </cell>
          <cell r="V23">
            <v>20602645.5</v>
          </cell>
          <cell r="X23">
            <v>0.8031989120740155</v>
          </cell>
          <cell r="Z23">
            <v>0.45700000000000002</v>
          </cell>
        </row>
        <row r="24">
          <cell r="D24">
            <v>71897.781598088084</v>
          </cell>
          <cell r="F24">
            <v>71747.112661498933</v>
          </cell>
          <cell r="H24">
            <v>46902.906102242589</v>
          </cell>
          <cell r="J24">
            <v>46804.616407786241</v>
          </cell>
          <cell r="L24">
            <v>38069.009288784655</v>
          </cell>
          <cell r="N24">
            <v>37989.231901790896</v>
          </cell>
          <cell r="P24">
            <v>31382.907537642324</v>
          </cell>
          <cell r="R24">
            <v>31317.141540407469</v>
          </cell>
          <cell r="T24">
            <v>19159236.945517499</v>
          </cell>
          <cell r="V24">
            <v>19080434.75</v>
          </cell>
          <cell r="X24">
            <v>0.81165566171526504</v>
          </cell>
          <cell r="Z24">
            <v>0.54869999999999997</v>
          </cell>
        </row>
        <row r="25">
          <cell r="D25">
            <v>70868.090655752414</v>
          </cell>
          <cell r="F25">
            <v>70719.579538721096</v>
          </cell>
          <cell r="H25">
            <v>44022.171709591537</v>
          </cell>
          <cell r="J25">
            <v>43929.91887994366</v>
          </cell>
          <cell r="L25">
            <v>41948.764581445299</v>
          </cell>
          <cell r="N25">
            <v>41860.856782202674</v>
          </cell>
          <cell r="P25">
            <v>41948.764581445299</v>
          </cell>
          <cell r="R25">
            <v>41860.856782202674</v>
          </cell>
          <cell r="T25">
            <v>18823144.844250001</v>
          </cell>
          <cell r="V25">
            <v>18745725</v>
          </cell>
          <cell r="X25">
            <v>0.95290084410591469</v>
          </cell>
          <cell r="Z25">
            <v>0.5927</v>
          </cell>
        </row>
        <row r="26">
          <cell r="D26">
            <v>89289.486539985388</v>
          </cell>
          <cell r="F26">
            <v>89102.371559709994</v>
          </cell>
          <cell r="H26">
            <v>61859.800914074614</v>
          </cell>
          <cell r="J26">
            <v>61730.167562194008</v>
          </cell>
          <cell r="L26">
            <v>60742.230014440858</v>
          </cell>
          <cell r="N26">
            <v>60614.938643289948</v>
          </cell>
          <cell r="P26">
            <v>61554.872672463898</v>
          </cell>
          <cell r="R26">
            <v>61425.878327975151</v>
          </cell>
          <cell r="T26">
            <v>24387288.741854999</v>
          </cell>
          <cell r="V26">
            <v>24286983.5</v>
          </cell>
          <cell r="X26">
            <v>0.98193381027549542</v>
          </cell>
          <cell r="Z26">
            <v>0.52880000000000005</v>
          </cell>
        </row>
        <row r="27">
          <cell r="D27">
            <v>102366.58453875744</v>
          </cell>
          <cell r="F27">
            <v>102152.06520183358</v>
          </cell>
          <cell r="H27">
            <v>70371.890760891532</v>
          </cell>
          <cell r="J27">
            <v>70224.419479983568</v>
          </cell>
          <cell r="L27">
            <v>64790.620638387525</v>
          </cell>
          <cell r="N27">
            <v>64654.8454629154</v>
          </cell>
          <cell r="P27">
            <v>70310.537598268595</v>
          </cell>
          <cell r="R27">
            <v>70163.194889001694</v>
          </cell>
          <cell r="T27">
            <v>30601212.693434998</v>
          </cell>
          <cell r="V27">
            <v>30475349.5</v>
          </cell>
          <cell r="X27">
            <v>0.92068892760792864</v>
          </cell>
          <cell r="Z27">
            <v>0.60270000000000001</v>
          </cell>
        </row>
        <row r="28">
          <cell r="D28">
            <v>99956.05227352347</v>
          </cell>
          <cell r="F28">
            <v>99746.584446186476</v>
          </cell>
          <cell r="H28">
            <v>72575.336995198959</v>
          </cell>
          <cell r="J28">
            <v>72423.248174033492</v>
          </cell>
          <cell r="L28">
            <v>68796.499350287646</v>
          </cell>
          <cell r="N28">
            <v>68652.329458424952</v>
          </cell>
          <cell r="P28">
            <v>71741.958076748138</v>
          </cell>
          <cell r="R28">
            <v>71591.615683812139</v>
          </cell>
          <cell r="T28">
            <v>33120634.609169997</v>
          </cell>
          <cell r="V28">
            <v>32984409</v>
          </cell>
          <cell r="X28">
            <v>0.94793220670596001</v>
          </cell>
          <cell r="Z28">
            <v>0.61219999999999997</v>
          </cell>
        </row>
        <row r="29">
          <cell r="D29">
            <v>105364.10009280844</v>
          </cell>
          <cell r="F29">
            <v>105143.29916456286</v>
          </cell>
          <cell r="H29">
            <v>77669.672522013381</v>
          </cell>
          <cell r="J29">
            <v>77506.9080151815</v>
          </cell>
          <cell r="L29">
            <v>69301.501494254509</v>
          </cell>
          <cell r="N29">
            <v>69156.273320281922</v>
          </cell>
          <cell r="P29">
            <v>73056.396104411382</v>
          </cell>
          <cell r="R29">
            <v>72903.299176141489</v>
          </cell>
          <cell r="T29">
            <v>36920137.01292</v>
          </cell>
          <cell r="V29">
            <v>36768284</v>
          </cell>
          <cell r="X29">
            <v>0.89225947842914954</v>
          </cell>
          <cell r="Z29">
            <v>0.63759999999999994</v>
          </cell>
        </row>
        <row r="30">
          <cell r="D30">
            <v>85710.181435502775</v>
          </cell>
          <cell r="F30">
            <v>85530.567244289763</v>
          </cell>
          <cell r="H30">
            <v>66051.819452322467</v>
          </cell>
          <cell r="J30">
            <v>65913.401309572364</v>
          </cell>
          <cell r="L30">
            <v>60968.593912470838</v>
          </cell>
          <cell r="N30">
            <v>60840.828173306894</v>
          </cell>
          <cell r="P30">
            <v>65274.129710814515</v>
          </cell>
          <cell r="R30">
            <v>65137.341294096914</v>
          </cell>
          <cell r="T30">
            <v>25813256.265179999</v>
          </cell>
          <cell r="V30">
            <v>25707086</v>
          </cell>
          <cell r="X30">
            <v>0.92304185438039599</v>
          </cell>
          <cell r="Z30">
            <v>0.54169999999999996</v>
          </cell>
        </row>
        <row r="31">
          <cell r="D31">
            <v>73381.792472428424</v>
          </cell>
          <cell r="F31">
            <v>73228.013643776489</v>
          </cell>
          <cell r="H31">
            <v>57434.505953820903</v>
          </cell>
          <cell r="J31">
            <v>57314.146246702825</v>
          </cell>
          <cell r="L31">
            <v>57434.599822679505</v>
          </cell>
          <cell r="N31">
            <v>57314.239918849918</v>
          </cell>
          <cell r="P31">
            <v>57434.599822679505</v>
          </cell>
          <cell r="R31">
            <v>57314.239918849918</v>
          </cell>
          <cell r="T31">
            <v>23211399.5439975</v>
          </cell>
          <cell r="V31">
            <v>23115930.75</v>
          </cell>
          <cell r="X31">
            <v>1.0000016343634726</v>
          </cell>
          <cell r="Z31">
            <v>0.54210000000000003</v>
          </cell>
        </row>
        <row r="32">
          <cell r="D32">
            <v>65805.173317956796</v>
          </cell>
          <cell r="F32">
            <v>65667.272046658807</v>
          </cell>
          <cell r="H32">
            <v>43239.049797198095</v>
          </cell>
          <cell r="J32">
            <v>43148.4380772359</v>
          </cell>
          <cell r="L32">
            <v>37943.668565370455</v>
          </cell>
          <cell r="N32">
            <v>37864.153842301625</v>
          </cell>
          <cell r="P32">
            <v>37300.115975977285</v>
          </cell>
          <cell r="R32">
            <v>37221.949881226712</v>
          </cell>
          <cell r="T32">
            <v>19539112.779859498</v>
          </cell>
          <cell r="V32">
            <v>19458748.149999999</v>
          </cell>
          <cell r="X32">
            <v>0.87753243291274219</v>
          </cell>
          <cell r="Z32">
            <v>0.60419999999999996</v>
          </cell>
        </row>
        <row r="33">
          <cell r="D33">
            <v>73038.960389999993</v>
          </cell>
          <cell r="F33">
            <v>72885.899999999994</v>
          </cell>
          <cell r="H33">
            <v>53983.728259999996</v>
          </cell>
          <cell r="J33">
            <v>53870.6</v>
          </cell>
          <cell r="L33">
            <v>52652.338199999998</v>
          </cell>
          <cell r="N33">
            <v>52542</v>
          </cell>
          <cell r="P33">
            <v>52652.338199999998</v>
          </cell>
          <cell r="R33">
            <v>52542</v>
          </cell>
          <cell r="T33">
            <v>23847916.295835</v>
          </cell>
          <cell r="V33">
            <v>23749829.5</v>
          </cell>
          <cell r="X33">
            <v>0.97533719691260168</v>
          </cell>
          <cell r="Z33">
            <v>0.59260000000000002</v>
          </cell>
        </row>
      </sheetData>
      <sheetData sheetId="9">
        <row r="22">
          <cell r="D22">
            <v>152319.72841314529</v>
          </cell>
          <cell r="F22">
            <v>149817.68365495047</v>
          </cell>
          <cell r="H22">
            <v>115405.61806833629</v>
          </cell>
          <cell r="J22">
            <v>113509.93439845131</v>
          </cell>
          <cell r="L22">
            <v>103791.62921930401</v>
          </cell>
          <cell r="N22">
            <v>102086.72004871855</v>
          </cell>
          <cell r="P22">
            <v>115034.17009680411</v>
          </cell>
          <cell r="R22">
            <v>113144.5879310368</v>
          </cell>
          <cell r="T22">
            <v>41875819.022757262</v>
          </cell>
          <cell r="V22">
            <v>41375475.701727271</v>
          </cell>
          <cell r="X22">
            <v>0.8993637481135871</v>
          </cell>
          <cell r="Y22"/>
          <cell r="Z22">
            <v>0.4899</v>
          </cell>
        </row>
        <row r="23">
          <cell r="D23">
            <v>123301.39284982909</v>
          </cell>
          <cell r="F23">
            <v>121276.01106329348</v>
          </cell>
          <cell r="H23">
            <v>79989.94972666401</v>
          </cell>
          <cell r="J23">
            <v>78676.013334399569</v>
          </cell>
          <cell r="L23">
            <v>69321.850885734777</v>
          </cell>
          <cell r="N23">
            <v>68183.151549516377</v>
          </cell>
          <cell r="P23">
            <v>69321.850885734777</v>
          </cell>
          <cell r="R23">
            <v>68183.151549516377</v>
          </cell>
          <cell r="T23">
            <v>26685571.743520178</v>
          </cell>
          <cell r="V23">
            <v>26366725.5</v>
          </cell>
          <cell r="X23">
            <v>0.86663200967892207</v>
          </cell>
          <cell r="Y23"/>
          <cell r="Z23">
            <v>0.48149999999999998</v>
          </cell>
        </row>
        <row r="24">
          <cell r="D24">
            <v>99704.544343566493</v>
          </cell>
          <cell r="F24">
            <v>98066.770726570641</v>
          </cell>
          <cell r="H24">
            <v>62098.356337041121</v>
          </cell>
          <cell r="J24">
            <v>61078.312061855824</v>
          </cell>
          <cell r="L24">
            <v>51685.512028850797</v>
          </cell>
          <cell r="N24">
            <v>50836.511930218527</v>
          </cell>
          <cell r="P24">
            <v>38669.337552571356</v>
          </cell>
          <cell r="R24">
            <v>38034.144630851784</v>
          </cell>
          <cell r="T24">
            <v>25408000.23243304</v>
          </cell>
          <cell r="V24">
            <v>25104418.75</v>
          </cell>
          <cell r="X24">
            <v>0.83231690945772829</v>
          </cell>
          <cell r="Y24"/>
          <cell r="Z24">
            <v>0.55320000000000003</v>
          </cell>
        </row>
        <row r="25">
          <cell r="D25">
            <v>92270.684544443953</v>
          </cell>
          <cell r="F25">
            <v>90755.021504569799</v>
          </cell>
          <cell r="H25">
            <v>56796.504248876379</v>
          </cell>
          <cell r="J25">
            <v>55863.549619688456</v>
          </cell>
          <cell r="L25">
            <v>52573.105326151846</v>
          </cell>
          <cell r="N25">
            <v>51709.525381690954</v>
          </cell>
          <cell r="P25">
            <v>52573.105326151846</v>
          </cell>
          <cell r="R25">
            <v>51709.525381690954</v>
          </cell>
          <cell r="T25">
            <v>24661937.326223042</v>
          </cell>
          <cell r="V25">
            <v>24367270</v>
          </cell>
          <cell r="X25">
            <v>0.92563980867170914</v>
          </cell>
          <cell r="Y25"/>
          <cell r="Z25">
            <v>0.60580000000000001</v>
          </cell>
        </row>
        <row r="26">
          <cell r="D26">
            <v>110465.85913437762</v>
          </cell>
          <cell r="F26">
            <v>108651.31727111361</v>
          </cell>
          <cell r="H26">
            <v>74792.056244914347</v>
          </cell>
          <cell r="J26">
            <v>73563.50184666444</v>
          </cell>
          <cell r="L26">
            <v>72752.735402223421</v>
          </cell>
          <cell r="N26">
            <v>71557.679435712402</v>
          </cell>
          <cell r="P26">
            <v>73341.375925247747</v>
          </cell>
          <cell r="R26">
            <v>72136.650791450011</v>
          </cell>
          <cell r="T26">
            <v>30108189.330395166</v>
          </cell>
          <cell r="V26">
            <v>29748448.75</v>
          </cell>
          <cell r="X26">
            <v>0.97273345666533162</v>
          </cell>
          <cell r="Y26"/>
          <cell r="Z26">
            <v>0.54349999999999998</v>
          </cell>
        </row>
        <row r="27">
          <cell r="D27">
            <v>119869.50176845044</v>
          </cell>
          <cell r="F27">
            <v>117900.49314631261</v>
          </cell>
          <cell r="H27">
            <v>85539.635335083847</v>
          </cell>
          <cell r="J27">
            <v>84134.538316872698</v>
          </cell>
          <cell r="L27">
            <v>73369.445708962856</v>
          </cell>
          <cell r="N27">
            <v>72164.259493360805</v>
          </cell>
          <cell r="P27">
            <v>83320.966567744879</v>
          </cell>
          <cell r="R27">
            <v>81952.31399843948</v>
          </cell>
          <cell r="T27">
            <v>36061407.44930467</v>
          </cell>
          <cell r="V27">
            <v>35630536.25</v>
          </cell>
          <cell r="X27">
            <v>0.85772455565835881</v>
          </cell>
          <cell r="Y27"/>
          <cell r="Z27">
            <v>0.58819999999999995</v>
          </cell>
        </row>
        <row r="28">
          <cell r="D28">
            <v>119133.00646387879</v>
          </cell>
          <cell r="F28">
            <v>117176.09571136977</v>
          </cell>
          <cell r="H28">
            <v>87509.224113561679</v>
          </cell>
          <cell r="J28">
            <v>86071.774101222123</v>
          </cell>
          <cell r="L28">
            <v>82684.625771159321</v>
          </cell>
          <cell r="N28">
            <v>81326.425906642122</v>
          </cell>
          <cell r="P28">
            <v>82152.594592135953</v>
          </cell>
          <cell r="R28">
            <v>80803.13401462078</v>
          </cell>
          <cell r="T28">
            <v>39350365.031217553</v>
          </cell>
          <cell r="V28">
            <v>38880196.5</v>
          </cell>
          <cell r="X28">
            <v>0.94486754520710381</v>
          </cell>
          <cell r="Y28"/>
          <cell r="Z28">
            <v>0.60709999999999997</v>
          </cell>
        </row>
        <row r="29">
          <cell r="D29">
            <v>127767.01281709317</v>
          </cell>
          <cell r="F29">
            <v>125668.27755791429</v>
          </cell>
          <cell r="H29">
            <v>92229.316325092455</v>
          </cell>
          <cell r="J29">
            <v>90714.332810697117</v>
          </cell>
          <cell r="L29">
            <v>80364.44714342634</v>
          </cell>
          <cell r="N29">
            <v>79044.359156038088</v>
          </cell>
          <cell r="P29">
            <v>86569.922656850031</v>
          </cell>
          <cell r="R29">
            <v>85147.901862449711</v>
          </cell>
          <cell r="T29">
            <v>44096788.044179916</v>
          </cell>
          <cell r="V29">
            <v>43569908</v>
          </cell>
          <cell r="X29">
            <v>0.87135468791892057</v>
          </cell>
          <cell r="Y29"/>
          <cell r="Z29">
            <v>0.64559999999999995</v>
          </cell>
        </row>
        <row r="30">
          <cell r="D30">
            <v>118184.74579734406</v>
          </cell>
          <cell r="F30">
            <v>116243.41142916045</v>
          </cell>
          <cell r="H30">
            <v>82633.011326629072</v>
          </cell>
          <cell r="J30">
            <v>81275.659294836703</v>
          </cell>
          <cell r="L30">
            <v>82632.821289668718</v>
          </cell>
          <cell r="N30">
            <v>81275.472379474479</v>
          </cell>
          <cell r="P30">
            <v>76331.195684044811</v>
          </cell>
          <cell r="R30">
            <v>75077.358968094326</v>
          </cell>
          <cell r="T30">
            <v>32295662.58732393</v>
          </cell>
          <cell r="V30">
            <v>31909785.5</v>
          </cell>
          <cell r="X30">
            <v>0.99999770022951717</v>
          </cell>
          <cell r="Y30"/>
          <cell r="Z30">
            <v>0.54530000000000001</v>
          </cell>
        </row>
        <row r="31">
          <cell r="D31">
            <v>115648.75050442702</v>
          </cell>
          <cell r="F31">
            <v>113749.07307586347</v>
          </cell>
          <cell r="H31">
            <v>72446.409968448963</v>
          </cell>
          <cell r="J31">
            <v>71256.385785764374</v>
          </cell>
          <cell r="L31">
            <v>69318.859202337742</v>
          </cell>
          <cell r="N31">
            <v>68180.209008314123</v>
          </cell>
          <cell r="P31">
            <v>69318.859202337742</v>
          </cell>
          <cell r="R31">
            <v>68180.209008314123</v>
          </cell>
          <cell r="T31">
            <v>29789990.658813644</v>
          </cell>
          <cell r="V31">
            <v>29434052</v>
          </cell>
          <cell r="X31">
            <v>0.95682945825095711</v>
          </cell>
          <cell r="Y31"/>
          <cell r="Z31">
            <v>0.55520000000000003</v>
          </cell>
        </row>
        <row r="32">
          <cell r="D32">
            <v>123002.36995619429</v>
          </cell>
          <cell r="F32">
            <v>120981.9</v>
          </cell>
          <cell r="H32">
            <v>63395.959045696203</v>
          </cell>
          <cell r="J32">
            <v>62354.6</v>
          </cell>
          <cell r="L32">
            <v>47590.738244972999</v>
          </cell>
          <cell r="N32">
            <v>46809</v>
          </cell>
          <cell r="P32">
            <v>52123.189506399001</v>
          </cell>
          <cell r="R32">
            <v>51267</v>
          </cell>
          <cell r="T32">
            <v>26207870.037651882</v>
          </cell>
          <cell r="V32">
            <v>25894731.5</v>
          </cell>
          <cell r="X32">
            <v>0.75069040616089266</v>
          </cell>
          <cell r="Y32"/>
          <cell r="Z32">
            <v>0.56910000000000005</v>
          </cell>
        </row>
        <row r="33">
          <cell r="D33">
            <v>130124.9676585375</v>
          </cell>
          <cell r="F33">
            <v>127987.5</v>
          </cell>
          <cell r="H33">
            <v>73761.323302170902</v>
          </cell>
          <cell r="J33">
            <v>72549.7</v>
          </cell>
          <cell r="L33">
            <v>66119.089924701009</v>
          </cell>
          <cell r="N33">
            <v>65033</v>
          </cell>
          <cell r="P33">
            <v>66119.089924701009</v>
          </cell>
          <cell r="R33">
            <v>65033</v>
          </cell>
          <cell r="T33">
            <v>30580068.719690718</v>
          </cell>
          <cell r="V33">
            <v>30214690</v>
          </cell>
          <cell r="X33">
            <v>0.8963924041036696</v>
          </cell>
          <cell r="Y33"/>
          <cell r="Z33">
            <v>0.55979999999999996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"/>
      <sheetName val="SEC &lt; 10kW"/>
      <sheetName val="SEC &gt; 10kW "/>
      <sheetName val="PRIMARY  &lt; 10kW"/>
      <sheetName val="PRIMARY  &gt; 10kW DLS"/>
      <sheetName val="PRIMARY  SUBSTATIONS"/>
      <sheetName val="TRANSMISSION"/>
      <sheetName val="STREET LIGHTING"/>
      <sheetName val="WHOLESALE SUB "/>
      <sheetName val="WHOLESALE DLS"/>
      <sheetName val="36-MO LF-RES"/>
      <sheetName val="36 MO LF-SGS"/>
      <sheetName val="36 MO LF - LGS"/>
      <sheetName val="36 MO LF - SGP "/>
      <sheetName val="36 MO LF - LGP_DLS"/>
      <sheetName val="36 MO LF - LGP_SUBST"/>
      <sheetName val="36 MO LF -  HV"/>
      <sheetName val="36 MO LF -  WHLS SUB"/>
      <sheetName val="36 MO LF -  WHLS DLS"/>
    </sheetNames>
    <sheetDataSet>
      <sheetData sheetId="0">
        <row r="22">
          <cell r="D22">
            <v>38571560.465119377</v>
          </cell>
          <cell r="F22">
            <v>37191877.663999997</v>
          </cell>
          <cell r="H22">
            <v>14971612.595533267</v>
          </cell>
          <cell r="J22">
            <v>14436086.52</v>
          </cell>
          <cell r="L22">
            <v>14747112.930062156</v>
          </cell>
          <cell r="N22">
            <v>14219617.08</v>
          </cell>
          <cell r="P22">
            <v>14940174.450965526</v>
          </cell>
          <cell r="R22">
            <v>14405772.9</v>
          </cell>
          <cell r="T22">
            <v>4020679615.9639683</v>
          </cell>
          <cell r="V22">
            <v>3884799069</v>
          </cell>
          <cell r="X22">
            <v>0.98500497765096529</v>
          </cell>
          <cell r="Z22">
            <v>0.46295700000000001</v>
          </cell>
        </row>
        <row r="23">
          <cell r="D23">
            <v>33885127.691688262</v>
          </cell>
          <cell r="F23">
            <v>32673075.927999999</v>
          </cell>
          <cell r="H23">
            <v>8692064.8445788268</v>
          </cell>
          <cell r="J23">
            <v>8381154.6239999998</v>
          </cell>
          <cell r="L23">
            <v>7941475.5686713969</v>
          </cell>
          <cell r="N23">
            <v>7657413.5</v>
          </cell>
          <cell r="P23">
            <v>7941475.5686713969</v>
          </cell>
          <cell r="R23">
            <v>7657413.5</v>
          </cell>
          <cell r="T23">
            <v>4522310068.6309872</v>
          </cell>
          <cell r="V23">
            <v>4369476711</v>
          </cell>
          <cell r="X23">
            <v>0.91364660879450688</v>
          </cell>
          <cell r="Z23">
            <v>0.48046680000000003</v>
          </cell>
        </row>
        <row r="24">
          <cell r="D24">
            <v>31797668.975524459</v>
          </cell>
          <cell r="F24">
            <v>30660284.423999999</v>
          </cell>
          <cell r="H24">
            <v>6017253.6852625608</v>
          </cell>
          <cell r="J24">
            <v>5802019.9400000004</v>
          </cell>
          <cell r="L24">
            <v>6017253.7474883413</v>
          </cell>
          <cell r="N24">
            <v>5802020</v>
          </cell>
          <cell r="P24">
            <v>4976761.9470020253</v>
          </cell>
          <cell r="R24">
            <v>4798746</v>
          </cell>
          <cell r="T24">
            <v>2965102595.673789</v>
          </cell>
          <cell r="V24">
            <v>2864895715</v>
          </cell>
          <cell r="X24">
            <v>1.0000000103412261</v>
          </cell>
          <cell r="Z24">
            <v>0.59495229000000005</v>
          </cell>
        </row>
        <row r="25">
          <cell r="D25">
            <v>30229246.262263428</v>
          </cell>
          <cell r="F25">
            <v>29147963.300000001</v>
          </cell>
          <cell r="H25">
            <v>7530706.4839123655</v>
          </cell>
          <cell r="J25">
            <v>7261337.392</v>
          </cell>
          <cell r="L25">
            <v>6986566.8047748217</v>
          </cell>
          <cell r="N25">
            <v>6736661.2800000003</v>
          </cell>
          <cell r="P25">
            <v>6986566.8047748217</v>
          </cell>
          <cell r="R25">
            <v>6736661.2800000003</v>
          </cell>
          <cell r="T25">
            <v>2657531470.0170593</v>
          </cell>
          <cell r="V25">
            <v>2567719084</v>
          </cell>
          <cell r="X25">
            <v>0.92774387365913491</v>
          </cell>
          <cell r="Z25">
            <v>0.51174580000000003</v>
          </cell>
        </row>
        <row r="26">
          <cell r="D26">
            <v>30432693.025379762</v>
          </cell>
          <cell r="F26">
            <v>29344132.888</v>
          </cell>
          <cell r="H26">
            <v>11336948.7655857</v>
          </cell>
          <cell r="J26">
            <v>10931432.550000001</v>
          </cell>
          <cell r="L26">
            <v>11268698.75135703</v>
          </cell>
          <cell r="N26">
            <v>10865623.800000001</v>
          </cell>
          <cell r="P26">
            <v>11336948.7655857</v>
          </cell>
          <cell r="R26">
            <v>10931432.550000001</v>
          </cell>
          <cell r="T26">
            <v>2947334645.3720918</v>
          </cell>
          <cell r="V26">
            <v>2847728240</v>
          </cell>
          <cell r="X26">
            <v>0.99397986039807751</v>
          </cell>
          <cell r="Z26">
            <v>0.45782400000000001</v>
          </cell>
        </row>
        <row r="27">
          <cell r="D27">
            <v>31624579.080324437</v>
          </cell>
          <cell r="F27">
            <v>30493385.855999999</v>
          </cell>
          <cell r="H27">
            <v>12880925.910766708</v>
          </cell>
          <cell r="J27">
            <v>12420182.51</v>
          </cell>
          <cell r="L27">
            <v>11169460.702746198</v>
          </cell>
          <cell r="N27">
            <v>10769935.439999999</v>
          </cell>
          <cell r="P27">
            <v>12880925.910766708</v>
          </cell>
          <cell r="R27">
            <v>12420182.51</v>
          </cell>
          <cell r="T27">
            <v>4160780573.3351736</v>
          </cell>
          <cell r="V27">
            <v>4020165256</v>
          </cell>
          <cell r="X27">
            <v>0.86713181801706063</v>
          </cell>
          <cell r="Z27">
            <v>0.56086499999999995</v>
          </cell>
        </row>
        <row r="28">
          <cell r="D28">
            <v>31414930.447865684</v>
          </cell>
          <cell r="F28">
            <v>30291236.236000001</v>
          </cell>
          <cell r="H28">
            <v>12816158.071974808</v>
          </cell>
          <cell r="J28">
            <v>12357731.380000001</v>
          </cell>
          <cell r="L28">
            <v>12235684.792601936</v>
          </cell>
          <cell r="N28">
            <v>11798021.300000001</v>
          </cell>
          <cell r="P28">
            <v>12441296.931997389</v>
          </cell>
          <cell r="R28">
            <v>11996278.810000001</v>
          </cell>
          <cell r="T28">
            <v>5516646654.8738613</v>
          </cell>
          <cell r="V28">
            <v>5330209277</v>
          </cell>
          <cell r="X28">
            <v>0.95470769975581071</v>
          </cell>
          <cell r="Z28">
            <v>0.57697960000000004</v>
          </cell>
        </row>
        <row r="29">
          <cell r="D29">
            <v>32153152.748079583</v>
          </cell>
          <cell r="F29">
            <v>31003052.743999999</v>
          </cell>
          <cell r="H29">
            <v>14267884.190344671</v>
          </cell>
          <cell r="J29">
            <v>13757530.08</v>
          </cell>
          <cell r="L29">
            <v>12378740.918955797</v>
          </cell>
          <cell r="N29">
            <v>11935960.390000001</v>
          </cell>
          <cell r="P29">
            <v>13245419.976384969</v>
          </cell>
          <cell r="R29">
            <v>12771638.83</v>
          </cell>
          <cell r="T29">
            <v>5414383535.0257149</v>
          </cell>
          <cell r="V29">
            <v>5231402182</v>
          </cell>
          <cell r="X29">
            <v>0.86759471508275277</v>
          </cell>
          <cell r="Z29">
            <v>0.58881899999999998</v>
          </cell>
        </row>
        <row r="30">
          <cell r="D30">
            <v>30234546.471744951</v>
          </cell>
          <cell r="F30">
            <v>29153073.923999999</v>
          </cell>
          <cell r="H30">
            <v>11801419.157591362</v>
          </cell>
          <cell r="J30">
            <v>11379289.1</v>
          </cell>
          <cell r="L30">
            <v>10351816.483621115</v>
          </cell>
          <cell r="N30">
            <v>9981537.8900000006</v>
          </cell>
          <cell r="P30">
            <v>11305885.452528091</v>
          </cell>
          <cell r="R30">
            <v>10901480.354</v>
          </cell>
          <cell r="T30">
            <v>5602006475.670454</v>
          </cell>
          <cell r="V30">
            <v>5412684327</v>
          </cell>
          <cell r="X30">
            <v>0.87716708858376757</v>
          </cell>
          <cell r="Z30">
            <v>0.49796869999999999</v>
          </cell>
        </row>
        <row r="31">
          <cell r="D31">
            <v>29854723.972775478</v>
          </cell>
          <cell r="F31">
            <v>28786837.460000001</v>
          </cell>
          <cell r="H31">
            <v>9963975.0872479174</v>
          </cell>
          <cell r="J31">
            <v>9607569.3599999994</v>
          </cell>
          <cell r="L31">
            <v>9365459.6294028275</v>
          </cell>
          <cell r="N31">
            <v>9030462.4600000009</v>
          </cell>
          <cell r="P31">
            <v>9365459.6294028275</v>
          </cell>
          <cell r="R31">
            <v>9030462.4600000009</v>
          </cell>
          <cell r="T31">
            <v>4179840166.2380667</v>
          </cell>
          <cell r="V31">
            <v>4038580722</v>
          </cell>
          <cell r="X31">
            <v>0.93993205998566964</v>
          </cell>
          <cell r="Z31">
            <v>0.48607440000000002</v>
          </cell>
        </row>
        <row r="32">
          <cell r="D32">
            <v>32029230.649009533</v>
          </cell>
          <cell r="F32">
            <v>30883563.267999999</v>
          </cell>
          <cell r="H32">
            <v>6291220.7204402601</v>
          </cell>
          <cell r="J32">
            <v>6066187.3300000001</v>
          </cell>
          <cell r="L32">
            <v>4866448.9850332486</v>
          </cell>
          <cell r="N32">
            <v>4692378.87</v>
          </cell>
          <cell r="P32">
            <v>4801936.1682330864</v>
          </cell>
          <cell r="R32">
            <v>4630173.6399999997</v>
          </cell>
          <cell r="T32">
            <v>3282229170.7342005</v>
          </cell>
          <cell r="V32">
            <v>3171304865</v>
          </cell>
          <cell r="X32">
            <v>0.77353016231366534</v>
          </cell>
          <cell r="Z32">
            <v>0.59440999999999999</v>
          </cell>
        </row>
        <row r="33">
          <cell r="D33">
            <v>34024398.406004444</v>
          </cell>
          <cell r="F33">
            <v>32807365.008000001</v>
          </cell>
          <cell r="H33">
            <v>8114560.8197539775</v>
          </cell>
          <cell r="J33">
            <v>7824307.5899999999</v>
          </cell>
          <cell r="L33">
            <v>8085745.2740576807</v>
          </cell>
          <cell r="N33">
            <v>7796522.7599999998</v>
          </cell>
          <cell r="P33">
            <v>8085745.2740576807</v>
          </cell>
          <cell r="R33">
            <v>7796522.7599999998</v>
          </cell>
          <cell r="T33">
            <v>2949430330.9412184</v>
          </cell>
          <cell r="V33">
            <v>2849753101</v>
          </cell>
          <cell r="X33">
            <v>0.99644890877813763</v>
          </cell>
          <cell r="Z33">
            <v>0.55202499999999999</v>
          </cell>
        </row>
      </sheetData>
      <sheetData sheetId="1">
        <row r="22">
          <cell r="D22">
            <v>638416.09703707625</v>
          </cell>
          <cell r="F22">
            <v>615580.31599999999</v>
          </cell>
          <cell r="H22">
            <v>288755.46283197089</v>
          </cell>
          <cell r="J22">
            <v>278426.84399999998</v>
          </cell>
          <cell r="L22">
            <v>282070.3148885995</v>
          </cell>
          <cell r="N22">
            <v>271980.82</v>
          </cell>
          <cell r="P22">
            <v>270758.58057980618</v>
          </cell>
          <cell r="R22">
            <v>261073.7</v>
          </cell>
          <cell r="T22">
            <v>138953978.74962309</v>
          </cell>
          <cell r="V22">
            <v>134257971</v>
          </cell>
          <cell r="X22">
            <v>0.97684841049306304</v>
          </cell>
          <cell r="Z22">
            <v>0.72075120000000004</v>
          </cell>
        </row>
        <row r="23">
          <cell r="D23">
            <v>572055.0770594218</v>
          </cell>
          <cell r="F23">
            <v>551592.99199999997</v>
          </cell>
          <cell r="H23">
            <v>212074.84054334668</v>
          </cell>
          <cell r="J23">
            <v>204489.04399999999</v>
          </cell>
          <cell r="L23">
            <v>198242.91233060669</v>
          </cell>
          <cell r="N23">
            <v>191151.87599999999</v>
          </cell>
          <cell r="P23">
            <v>198242.91233060669</v>
          </cell>
          <cell r="R23">
            <v>191151.87599999999</v>
          </cell>
          <cell r="T23">
            <v>144780737.49512625</v>
          </cell>
          <cell r="V23">
            <v>139887812</v>
          </cell>
          <cell r="X23">
            <v>0.93477808033568777</v>
          </cell>
          <cell r="Z23">
            <v>0.80244550000000003</v>
          </cell>
        </row>
        <row r="24">
          <cell r="D24">
            <v>554780.25032276835</v>
          </cell>
          <cell r="F24">
            <v>534936.076</v>
          </cell>
          <cell r="H24">
            <v>195504.64195518859</v>
          </cell>
          <cell r="J24">
            <v>188511.552</v>
          </cell>
          <cell r="L24">
            <v>173899.31571180941</v>
          </cell>
          <cell r="N24">
            <v>167679.03599999999</v>
          </cell>
          <cell r="P24">
            <v>167408.37028200048</v>
          </cell>
          <cell r="R24">
            <v>161420.26800000001</v>
          </cell>
          <cell r="T24">
            <v>122617826.66675965</v>
          </cell>
          <cell r="V24">
            <v>118473906</v>
          </cell>
          <cell r="X24">
            <v>0.88948944624889614</v>
          </cell>
          <cell r="Z24">
            <v>0.82183399999999995</v>
          </cell>
        </row>
        <row r="25">
          <cell r="D25">
            <v>554496.76211049594</v>
          </cell>
          <cell r="F25">
            <v>534662.728</v>
          </cell>
          <cell r="H25">
            <v>203060.23730779198</v>
          </cell>
          <cell r="J25">
            <v>195796.88800000001</v>
          </cell>
          <cell r="L25">
            <v>191762.90619306639</v>
          </cell>
          <cell r="N25">
            <v>184903.65599999999</v>
          </cell>
          <cell r="P25">
            <v>191762.90619306639</v>
          </cell>
          <cell r="R25">
            <v>184903.65599999999</v>
          </cell>
          <cell r="T25">
            <v>118892341.33388846</v>
          </cell>
          <cell r="V25">
            <v>114874325</v>
          </cell>
          <cell r="X25">
            <v>0.94436463157677963</v>
          </cell>
          <cell r="Z25">
            <v>0.80308400000000002</v>
          </cell>
        </row>
        <row r="26">
          <cell r="D26">
            <v>582962.91212166543</v>
          </cell>
          <cell r="F26">
            <v>562110.66</v>
          </cell>
          <cell r="H26">
            <v>223530.4574509438</v>
          </cell>
          <cell r="J26">
            <v>215534.9</v>
          </cell>
          <cell r="L26">
            <v>207947.98112694162</v>
          </cell>
          <cell r="N26">
            <v>200509.8</v>
          </cell>
          <cell r="P26">
            <v>205581.7628434482</v>
          </cell>
          <cell r="R26">
            <v>198228.22</v>
          </cell>
          <cell r="T26">
            <v>117806635.45007128</v>
          </cell>
          <cell r="V26">
            <v>113825311</v>
          </cell>
          <cell r="X26">
            <v>0.93028924782019062</v>
          </cell>
          <cell r="Z26">
            <v>0.7917632</v>
          </cell>
        </row>
        <row r="27">
          <cell r="D27">
            <v>598699.45533059933</v>
          </cell>
          <cell r="F27">
            <v>577284.31599999999</v>
          </cell>
          <cell r="H27">
            <v>265946.01794904657</v>
          </cell>
          <cell r="J27">
            <v>256433.28</v>
          </cell>
          <cell r="L27">
            <v>263339.98150626221</v>
          </cell>
          <cell r="N27">
            <v>253920.46</v>
          </cell>
          <cell r="P27">
            <v>222308.70609930618</v>
          </cell>
          <cell r="R27">
            <v>214356.85</v>
          </cell>
          <cell r="T27">
            <v>134086595.49970151</v>
          </cell>
          <cell r="V27">
            <v>129555083</v>
          </cell>
          <cell r="X27">
            <v>0.99020088188241395</v>
          </cell>
          <cell r="Z27">
            <v>0.75697000000000003</v>
          </cell>
        </row>
        <row r="28">
          <cell r="D28">
            <v>596759.26792970172</v>
          </cell>
          <cell r="F28">
            <v>575413.52800000005</v>
          </cell>
          <cell r="H28">
            <v>269588.8396099729</v>
          </cell>
          <cell r="J28">
            <v>259945.8</v>
          </cell>
          <cell r="L28">
            <v>252296.52328052276</v>
          </cell>
          <cell r="N28">
            <v>243272.02</v>
          </cell>
          <cell r="P28">
            <v>256254.51852131641</v>
          </cell>
          <cell r="R28">
            <v>247088.44</v>
          </cell>
          <cell r="T28">
            <v>149949031.1374419</v>
          </cell>
          <cell r="V28">
            <v>144881441</v>
          </cell>
          <cell r="X28">
            <v>0.93585670551322619</v>
          </cell>
          <cell r="Z28">
            <v>0.76259600000000005</v>
          </cell>
        </row>
        <row r="29">
          <cell r="D29">
            <v>610853.15008616401</v>
          </cell>
          <cell r="F29">
            <v>589003.28</v>
          </cell>
          <cell r="H29">
            <v>278078.75921001541</v>
          </cell>
          <cell r="J29">
            <v>268132.03999999998</v>
          </cell>
          <cell r="L29">
            <v>272403.38427333086</v>
          </cell>
          <cell r="N29">
            <v>262659.67</v>
          </cell>
          <cell r="P29">
            <v>270005.23379331187</v>
          </cell>
          <cell r="R29">
            <v>260347.3</v>
          </cell>
          <cell r="T29">
            <v>149161572.64891958</v>
          </cell>
          <cell r="V29">
            <v>144120595</v>
          </cell>
          <cell r="X29">
            <v>0.97959076431149372</v>
          </cell>
          <cell r="Z29">
            <v>0.79647199999999996</v>
          </cell>
        </row>
        <row r="30">
          <cell r="D30">
            <v>589322.55700555292</v>
          </cell>
          <cell r="F30">
            <v>568242.82400000002</v>
          </cell>
          <cell r="H30">
            <v>259429.15340733223</v>
          </cell>
          <cell r="J30">
            <v>250149.52</v>
          </cell>
          <cell r="L30">
            <v>256252.2783932068</v>
          </cell>
          <cell r="N30">
            <v>247086.28</v>
          </cell>
          <cell r="P30">
            <v>256770.23542181202</v>
          </cell>
          <cell r="R30">
            <v>247585.71</v>
          </cell>
          <cell r="T30">
            <v>154260217.48058879</v>
          </cell>
          <cell r="V30">
            <v>149046929</v>
          </cell>
          <cell r="X30">
            <v>0.98775436387005666</v>
          </cell>
          <cell r="Z30">
            <v>0.73376980000000003</v>
          </cell>
        </row>
        <row r="31">
          <cell r="D31">
            <v>586453.81576129096</v>
          </cell>
          <cell r="F31">
            <v>565476.696</v>
          </cell>
          <cell r="H31">
            <v>237444.10055906023</v>
          </cell>
          <cell r="J31">
            <v>228950.86</v>
          </cell>
          <cell r="L31">
            <v>232152.28533536714</v>
          </cell>
          <cell r="N31">
            <v>223848.33</v>
          </cell>
          <cell r="P31">
            <v>232152.28533536714</v>
          </cell>
          <cell r="R31">
            <v>223848.33</v>
          </cell>
          <cell r="T31">
            <v>137508658.54979393</v>
          </cell>
          <cell r="V31">
            <v>132861496</v>
          </cell>
          <cell r="X31">
            <v>0.97771342723936483</v>
          </cell>
          <cell r="Z31">
            <v>0.7673778</v>
          </cell>
        </row>
        <row r="32">
          <cell r="D32">
            <v>568583.27673450892</v>
          </cell>
          <cell r="F32">
            <v>548245.37600000005</v>
          </cell>
          <cell r="H32">
            <v>198131.67752480792</v>
          </cell>
          <cell r="J32">
            <v>191044.62</v>
          </cell>
          <cell r="L32">
            <v>180265.16243185228</v>
          </cell>
          <cell r="N32">
            <v>173817.18</v>
          </cell>
          <cell r="P32">
            <v>181755.23135039772</v>
          </cell>
          <cell r="R32">
            <v>175253.95</v>
          </cell>
          <cell r="T32">
            <v>129961422.55712013</v>
          </cell>
          <cell r="V32">
            <v>125569322</v>
          </cell>
          <cell r="X32">
            <v>0.90982504506015405</v>
          </cell>
          <cell r="Z32">
            <v>0.83150900000000005</v>
          </cell>
        </row>
        <row r="33">
          <cell r="D33">
            <v>568373.23153714894</v>
          </cell>
          <cell r="F33">
            <v>548042.84400000004</v>
          </cell>
          <cell r="H33">
            <v>218588.43408318242</v>
          </cell>
          <cell r="J33">
            <v>210769.65</v>
          </cell>
          <cell r="L33">
            <v>196424.18135710433</v>
          </cell>
          <cell r="N33">
            <v>189398.2</v>
          </cell>
          <cell r="P33">
            <v>196424.18135710433</v>
          </cell>
          <cell r="R33">
            <v>189398.2</v>
          </cell>
          <cell r="T33">
            <v>123932499.5872141</v>
          </cell>
          <cell r="V33">
            <v>119744149</v>
          </cell>
          <cell r="X33">
            <v>0.89860281117324059</v>
          </cell>
          <cell r="Z33">
            <v>0.79725999999999997</v>
          </cell>
        </row>
      </sheetData>
      <sheetData sheetId="2">
        <row r="22">
          <cell r="D22">
            <v>12528145.688675493</v>
          </cell>
          <cell r="F22">
            <v>12080021.035999998</v>
          </cell>
          <cell r="H22">
            <v>7720632.7775167134</v>
          </cell>
          <cell r="J22">
            <v>7444470.1299999999</v>
          </cell>
          <cell r="L22">
            <v>6560063.6181316562</v>
          </cell>
          <cell r="N22">
            <v>6325413.8700000001</v>
          </cell>
          <cell r="P22">
            <v>7538488.8217135165</v>
          </cell>
          <cell r="R22">
            <v>7268841.3600000003</v>
          </cell>
          <cell r="T22">
            <v>3702372302.351007</v>
          </cell>
          <cell r="V22">
            <v>3577249084</v>
          </cell>
          <cell r="X22">
            <v>0.84967952850124473</v>
          </cell>
          <cell r="Y22"/>
          <cell r="Z22">
            <v>0.70950000000000002</v>
          </cell>
        </row>
        <row r="23">
          <cell r="D23">
            <v>11851916.498793092</v>
          </cell>
          <cell r="F23">
            <v>11427980.18</v>
          </cell>
          <cell r="H23">
            <v>7011766.918524717</v>
          </cell>
          <cell r="J23">
            <v>6760960</v>
          </cell>
          <cell r="L23">
            <v>6187522.5249083592</v>
          </cell>
          <cell r="N23">
            <v>5966198.3600000003</v>
          </cell>
          <cell r="P23">
            <v>6187522.5249083592</v>
          </cell>
          <cell r="R23">
            <v>5966198.3600000003</v>
          </cell>
          <cell r="T23">
            <v>3844232369.5744052</v>
          </cell>
          <cell r="V23">
            <v>3714314931</v>
          </cell>
          <cell r="X23">
            <v>0.88244840377697842</v>
          </cell>
          <cell r="Y23"/>
          <cell r="Z23">
            <v>0.70589599999999997</v>
          </cell>
        </row>
        <row r="24">
          <cell r="D24">
            <v>11416452.109005282</v>
          </cell>
          <cell r="F24">
            <v>11008092.104</v>
          </cell>
          <cell r="H24">
            <v>6864312.6221274845</v>
          </cell>
          <cell r="J24">
            <v>6618780.0599999996</v>
          </cell>
          <cell r="L24">
            <v>5614850.7509513227</v>
          </cell>
          <cell r="N24">
            <v>5414010.7300000004</v>
          </cell>
          <cell r="P24">
            <v>6385485.7572444789</v>
          </cell>
          <cell r="R24">
            <v>6157080.5599999996</v>
          </cell>
          <cell r="T24">
            <v>3617800123.2339535</v>
          </cell>
          <cell r="V24">
            <v>3495535057</v>
          </cell>
          <cell r="X24">
            <v>0.81797713187647469</v>
          </cell>
          <cell r="Y24"/>
          <cell r="Z24">
            <v>0.70328900000000005</v>
          </cell>
        </row>
        <row r="25">
          <cell r="D25">
            <v>11656494.467784524</v>
          </cell>
          <cell r="F25">
            <v>11239548.284</v>
          </cell>
          <cell r="H25">
            <v>7778053.7386700464</v>
          </cell>
          <cell r="J25">
            <v>7499837.176</v>
          </cell>
          <cell r="L25">
            <v>7183527.1027175672</v>
          </cell>
          <cell r="N25">
            <v>6926576.4199999999</v>
          </cell>
          <cell r="P25">
            <v>7183527.1027175672</v>
          </cell>
          <cell r="R25">
            <v>6926576.4199999999</v>
          </cell>
          <cell r="T25">
            <v>3633370547.2158175</v>
          </cell>
          <cell r="V25">
            <v>3510579272</v>
          </cell>
          <cell r="X25">
            <v>0.92356357310869708</v>
          </cell>
          <cell r="Y25"/>
          <cell r="Z25">
            <v>0.664466</v>
          </cell>
        </row>
        <row r="26">
          <cell r="D26">
            <v>12530383.153521696</v>
          </cell>
          <cell r="F26">
            <v>12082178.468</v>
          </cell>
          <cell r="H26">
            <v>8658733.0450490844</v>
          </cell>
          <cell r="J26">
            <v>8349015.0839999998</v>
          </cell>
          <cell r="L26">
            <v>7273045.4843638828</v>
          </cell>
          <cell r="N26">
            <v>7012892.7800000003</v>
          </cell>
          <cell r="P26">
            <v>7132505.9988218825</v>
          </cell>
          <cell r="R26">
            <v>6877380.3119999999</v>
          </cell>
          <cell r="T26">
            <v>3763078725.2691579</v>
          </cell>
          <cell r="V26">
            <v>3635903908</v>
          </cell>
          <cell r="X26">
            <v>0.83996647621819054</v>
          </cell>
          <cell r="Y26"/>
          <cell r="Z26">
            <v>0.66506100000000001</v>
          </cell>
        </row>
        <row r="27">
          <cell r="D27">
            <v>13072864.270845575</v>
          </cell>
          <cell r="F27">
            <v>12605255.344000001</v>
          </cell>
          <cell r="H27">
            <v>9444088.2193891443</v>
          </cell>
          <cell r="J27">
            <v>9106278.5500000007</v>
          </cell>
          <cell r="L27">
            <v>9247733.8864710126</v>
          </cell>
          <cell r="N27">
            <v>8916947.6999999993</v>
          </cell>
          <cell r="P27">
            <v>7567923.721348268</v>
          </cell>
          <cell r="R27">
            <v>7297223.3899999997</v>
          </cell>
          <cell r="T27">
            <v>4364523901.1990881</v>
          </cell>
          <cell r="V27">
            <v>4217022993</v>
          </cell>
          <cell r="X27">
            <v>0.97920875701743149</v>
          </cell>
          <cell r="Y27"/>
          <cell r="Z27">
            <v>0.69289900000000004</v>
          </cell>
        </row>
        <row r="28">
          <cell r="D28">
            <v>13148812.802674435</v>
          </cell>
          <cell r="F28">
            <v>12678487.24</v>
          </cell>
          <cell r="H28">
            <v>9378827.1686874777</v>
          </cell>
          <cell r="J28">
            <v>9043351.8499999996</v>
          </cell>
          <cell r="L28">
            <v>8888528.4936745148</v>
          </cell>
          <cell r="N28">
            <v>8570590.8800000008</v>
          </cell>
          <cell r="P28">
            <v>8805116.4834647886</v>
          </cell>
          <cell r="R28">
            <v>8490162.4700000007</v>
          </cell>
          <cell r="T28">
            <v>4882324593.8813467</v>
          </cell>
          <cell r="V28">
            <v>4717324395</v>
          </cell>
          <cell r="X28">
            <v>0.94772281584952389</v>
          </cell>
          <cell r="Y28"/>
          <cell r="Z28">
            <v>0.71400129999999995</v>
          </cell>
        </row>
        <row r="29">
          <cell r="D29">
            <v>13769820.91395228</v>
          </cell>
          <cell r="F29">
            <v>13277282.243999999</v>
          </cell>
          <cell r="H29">
            <v>10019610.763784941</v>
          </cell>
          <cell r="J29">
            <v>9661214.9800000004</v>
          </cell>
          <cell r="L29">
            <v>9748746.3786358088</v>
          </cell>
          <cell r="N29">
            <v>9400039.2599999998</v>
          </cell>
          <cell r="P29">
            <v>9414075.1903957315</v>
          </cell>
          <cell r="R29">
            <v>9077339.0700000003</v>
          </cell>
          <cell r="T29">
            <v>4861033960.0173197</v>
          </cell>
          <cell r="V29">
            <v>4696753287</v>
          </cell>
          <cell r="X29">
            <v>0.97296657609413839</v>
          </cell>
          <cell r="Y29"/>
          <cell r="Z29">
            <v>0.72129089999999996</v>
          </cell>
        </row>
        <row r="30">
          <cell r="D30">
            <v>12825667.56099363</v>
          </cell>
          <cell r="F30">
            <v>12366900.719999999</v>
          </cell>
          <cell r="H30">
            <v>9358338.3139971625</v>
          </cell>
          <cell r="J30">
            <v>9023595.8699999992</v>
          </cell>
          <cell r="L30">
            <v>9181263.9340414498</v>
          </cell>
          <cell r="N30">
            <v>8852855.3399999999</v>
          </cell>
          <cell r="P30">
            <v>8931168.0047577973</v>
          </cell>
          <cell r="R30">
            <v>8611705.1999999993</v>
          </cell>
          <cell r="T30">
            <v>5012681210.1758862</v>
          </cell>
          <cell r="V30">
            <v>4843275555</v>
          </cell>
          <cell r="X30">
            <v>0.98107843785783377</v>
          </cell>
          <cell r="Y30"/>
          <cell r="Z30">
            <v>0.65180099999999996</v>
          </cell>
        </row>
        <row r="31">
          <cell r="D31">
            <v>12157032.542299556</v>
          </cell>
          <cell r="F31">
            <v>11722182.396</v>
          </cell>
          <cell r="H31">
            <v>8549361.5135119166</v>
          </cell>
          <cell r="J31">
            <v>8243555.71</v>
          </cell>
          <cell r="L31">
            <v>8086185.8636987964</v>
          </cell>
          <cell r="N31">
            <v>7796947.5899999999</v>
          </cell>
          <cell r="P31">
            <v>8086185.8636987964</v>
          </cell>
          <cell r="R31">
            <v>7796947.5899999999</v>
          </cell>
          <cell r="T31">
            <v>4387831879.0455999</v>
          </cell>
          <cell r="V31">
            <v>4239543268</v>
          </cell>
          <cell r="X31">
            <v>0.94582336364170694</v>
          </cell>
          <cell r="Y31"/>
          <cell r="Z31">
            <v>0.66507470000000002</v>
          </cell>
        </row>
        <row r="32">
          <cell r="D32">
            <v>11522820.979046892</v>
          </cell>
          <cell r="F32">
            <v>11110656.220000001</v>
          </cell>
          <cell r="H32">
            <v>7197078.2080556462</v>
          </cell>
          <cell r="J32">
            <v>6939642.8099999996</v>
          </cell>
          <cell r="L32">
            <v>7193798.9612611048</v>
          </cell>
          <cell r="N32">
            <v>6936480.8600000003</v>
          </cell>
          <cell r="P32">
            <v>6996472.3401466543</v>
          </cell>
          <cell r="R32">
            <v>6746212.5</v>
          </cell>
          <cell r="T32">
            <v>4020239932.6838722</v>
          </cell>
          <cell r="V32">
            <v>3884374245</v>
          </cell>
          <cell r="X32">
            <v>0.99954436415726711</v>
          </cell>
          <cell r="Y32"/>
          <cell r="Z32">
            <v>0.67270209999999997</v>
          </cell>
        </row>
        <row r="33">
          <cell r="D33">
            <v>11407164.92366264</v>
          </cell>
          <cell r="F33">
            <v>10999137.116</v>
          </cell>
          <cell r="H33">
            <v>6437291.571794386</v>
          </cell>
          <cell r="J33">
            <v>6207033.3099999996</v>
          </cell>
          <cell r="L33">
            <v>6275065.5387714915</v>
          </cell>
          <cell r="N33">
            <v>6050610.0099999998</v>
          </cell>
          <cell r="P33">
            <v>6275065.5387714915</v>
          </cell>
          <cell r="R33">
            <v>6050610.0099999998</v>
          </cell>
          <cell r="T33">
            <v>3573157787.8640847</v>
          </cell>
          <cell r="V33">
            <v>3452401428</v>
          </cell>
          <cell r="X33">
            <v>0.97479902359344683</v>
          </cell>
          <cell r="Y33"/>
          <cell r="Z33">
            <v>0.74212999999999996</v>
          </cell>
        </row>
      </sheetData>
      <sheetData sheetId="3">
        <row r="22">
          <cell r="D22">
            <v>7210.3918322953441</v>
          </cell>
          <cell r="F22">
            <v>7091.9520000000002</v>
          </cell>
          <cell r="H22">
            <v>4809.2540991628321</v>
          </cell>
          <cell r="J22">
            <v>4730.2560000000003</v>
          </cell>
          <cell r="L22">
            <v>1857.4509886831802</v>
          </cell>
          <cell r="N22">
            <v>1826.94</v>
          </cell>
          <cell r="P22">
            <v>1749.7864622632683</v>
          </cell>
          <cell r="R22">
            <v>1721.0440000000001</v>
          </cell>
          <cell r="T22">
            <v>2618093.6731411307</v>
          </cell>
          <cell r="V22">
            <v>2586812</v>
          </cell>
          <cell r="X22">
            <v>0.38622433965518987</v>
          </cell>
          <cell r="Z22">
            <v>0.61276940000000002</v>
          </cell>
        </row>
        <row r="23">
          <cell r="D23">
            <v>6855.0265060271286</v>
          </cell>
          <cell r="F23">
            <v>6742.424</v>
          </cell>
          <cell r="H23">
            <v>3388.7566262559244</v>
          </cell>
          <cell r="J23">
            <v>3333.0920000000001</v>
          </cell>
          <cell r="L23">
            <v>3031.0569554169961</v>
          </cell>
          <cell r="N23">
            <v>2981.268</v>
          </cell>
          <cell r="P23">
            <v>3031.0569554169961</v>
          </cell>
          <cell r="R23">
            <v>2981.268</v>
          </cell>
          <cell r="T23">
            <v>2028477.7871565667</v>
          </cell>
          <cell r="V23">
            <v>2004241</v>
          </cell>
          <cell r="X23">
            <v>0.8944451578294268</v>
          </cell>
          <cell r="Z23">
            <v>0.84751730000000003</v>
          </cell>
        </row>
        <row r="24">
          <cell r="D24">
            <v>6925.8376692069842</v>
          </cell>
          <cell r="F24">
            <v>6812.0720000000001</v>
          </cell>
          <cell r="H24">
            <v>3050.9639531062562</v>
          </cell>
          <cell r="J24">
            <v>3000.848</v>
          </cell>
          <cell r="L24">
            <v>2789.8508389823278</v>
          </cell>
          <cell r="N24">
            <v>2744.0239999999999</v>
          </cell>
          <cell r="P24">
            <v>2711.9349720306359</v>
          </cell>
          <cell r="R24">
            <v>2667.3879999999999</v>
          </cell>
          <cell r="T24">
            <v>2068517.1884749217</v>
          </cell>
          <cell r="V24">
            <v>2043802</v>
          </cell>
          <cell r="X24">
            <v>0.91441619168981569</v>
          </cell>
          <cell r="Z24">
            <v>0.91583680000000001</v>
          </cell>
        </row>
        <row r="25">
          <cell r="D25">
            <v>6628.4649449916478</v>
          </cell>
          <cell r="F25">
            <v>6519.5839999999998</v>
          </cell>
          <cell r="H25">
            <v>3187.5800457263399</v>
          </cell>
          <cell r="J25">
            <v>3135.22</v>
          </cell>
          <cell r="L25">
            <v>2779.14091489353</v>
          </cell>
          <cell r="N25">
            <v>2733.49</v>
          </cell>
          <cell r="P25">
            <v>2779.14091489353</v>
          </cell>
          <cell r="R25">
            <v>2733.49</v>
          </cell>
          <cell r="T25">
            <v>2084454.613023344</v>
          </cell>
          <cell r="V25">
            <v>2059549</v>
          </cell>
          <cell r="X25">
            <v>0.87186545122830295</v>
          </cell>
          <cell r="Z25">
            <v>0.87491099999999999</v>
          </cell>
        </row>
        <row r="26">
          <cell r="D26">
            <v>6705.5023826275319</v>
          </cell>
          <cell r="F26">
            <v>6595.3559999999998</v>
          </cell>
          <cell r="H26">
            <v>3934.5865755637324</v>
          </cell>
          <cell r="J26">
            <v>3869.9560000000001</v>
          </cell>
          <cell r="L26">
            <v>2696.932538021304</v>
          </cell>
          <cell r="N26">
            <v>2652.6320000000001</v>
          </cell>
          <cell r="P26">
            <v>2678.7864657660484</v>
          </cell>
          <cell r="R26">
            <v>2634.7840000000001</v>
          </cell>
          <cell r="T26">
            <v>2317769.3186100684</v>
          </cell>
          <cell r="V26">
            <v>2290076</v>
          </cell>
          <cell r="X26">
            <v>0.68544241846677323</v>
          </cell>
          <cell r="Z26">
            <v>0.80336200000000002</v>
          </cell>
        </row>
        <row r="27">
          <cell r="D27">
            <v>6408.7071443512923</v>
          </cell>
          <cell r="F27">
            <v>6303.4359999999997</v>
          </cell>
          <cell r="H27">
            <v>2895.3355593222718</v>
          </cell>
          <cell r="J27">
            <v>2847.7759999999998</v>
          </cell>
          <cell r="L27">
            <v>2741.2118824218483</v>
          </cell>
          <cell r="N27">
            <v>2696.1840000000002</v>
          </cell>
          <cell r="P27">
            <v>2720.458989835884</v>
          </cell>
          <cell r="R27">
            <v>2675.7719999999999</v>
          </cell>
          <cell r="T27">
            <v>1979777.9081687606</v>
          </cell>
          <cell r="V27">
            <v>1956123</v>
          </cell>
          <cell r="X27">
            <v>0.94676828514602285</v>
          </cell>
          <cell r="Z27">
            <v>0.94078600000000001</v>
          </cell>
        </row>
        <row r="28">
          <cell r="D28">
            <v>6905.6093941290728</v>
          </cell>
          <cell r="F28">
            <v>6792.1760000000004</v>
          </cell>
          <cell r="H28">
            <v>3128.7334151719801</v>
          </cell>
          <cell r="J28">
            <v>3077.34</v>
          </cell>
          <cell r="L28">
            <v>2740.2114490343997</v>
          </cell>
          <cell r="N28">
            <v>2695.2</v>
          </cell>
          <cell r="P28">
            <v>2782.5875299173604</v>
          </cell>
          <cell r="R28">
            <v>2736.88</v>
          </cell>
          <cell r="T28">
            <v>1987596.3246694631</v>
          </cell>
          <cell r="V28">
            <v>1963848</v>
          </cell>
          <cell r="X28">
            <v>0.8758213262102984</v>
          </cell>
          <cell r="Z28">
            <v>0.85466299999999995</v>
          </cell>
        </row>
        <row r="29">
          <cell r="D29">
            <v>6506.7496163211963</v>
          </cell>
          <cell r="F29">
            <v>6399.8680000000004</v>
          </cell>
          <cell r="H29">
            <v>3098.4235369742159</v>
          </cell>
          <cell r="J29">
            <v>3047.5279999999998</v>
          </cell>
          <cell r="L29">
            <v>2772.3961231330322</v>
          </cell>
          <cell r="N29">
            <v>2726.8560000000002</v>
          </cell>
          <cell r="P29">
            <v>2655.6585605854921</v>
          </cell>
          <cell r="R29">
            <v>2612.0360000000001</v>
          </cell>
          <cell r="T29">
            <v>1957130.3086818713</v>
          </cell>
          <cell r="V29">
            <v>1933746</v>
          </cell>
          <cell r="X29">
            <v>0.89477635644364883</v>
          </cell>
          <cell r="Z29">
            <v>0.87548599999999999</v>
          </cell>
        </row>
        <row r="30">
          <cell r="D30">
            <v>6660.5235482162525</v>
          </cell>
          <cell r="F30">
            <v>6551.116</v>
          </cell>
          <cell r="H30">
            <v>2978.77007711448</v>
          </cell>
          <cell r="J30">
            <v>2929.84</v>
          </cell>
          <cell r="L30">
            <v>2779.9644423771001</v>
          </cell>
          <cell r="N30">
            <v>2734.3</v>
          </cell>
          <cell r="P30">
            <v>2824.5467635555501</v>
          </cell>
          <cell r="R30">
            <v>2778.15</v>
          </cell>
          <cell r="T30">
            <v>1973056.6002100336</v>
          </cell>
          <cell r="V30">
            <v>1949482</v>
          </cell>
          <cell r="X30">
            <v>0.93325915408349946</v>
          </cell>
          <cell r="Z30">
            <v>0.90551499999999996</v>
          </cell>
        </row>
        <row r="31">
          <cell r="D31">
            <v>7201.1317232578685</v>
          </cell>
          <cell r="F31">
            <v>7082.8440000000001</v>
          </cell>
          <cell r="H31">
            <v>2997.0096858246602</v>
          </cell>
          <cell r="J31">
            <v>2947.78</v>
          </cell>
          <cell r="L31">
            <v>2695.8426349813199</v>
          </cell>
          <cell r="N31">
            <v>2651.56</v>
          </cell>
          <cell r="P31">
            <v>2695.8426349813199</v>
          </cell>
          <cell r="R31">
            <v>2651.56</v>
          </cell>
          <cell r="T31">
            <v>1976941.0121879878</v>
          </cell>
          <cell r="V31">
            <v>1953320</v>
          </cell>
          <cell r="X31">
            <v>0.89951081831072865</v>
          </cell>
          <cell r="Z31">
            <v>0.90862449999999995</v>
          </cell>
        </row>
        <row r="32">
          <cell r="D32">
            <v>9556.277988184489</v>
          </cell>
          <cell r="F32">
            <v>9399.3040000000001</v>
          </cell>
          <cell r="H32">
            <v>4121.1348679036801</v>
          </cell>
          <cell r="J32">
            <v>4053.44</v>
          </cell>
          <cell r="L32">
            <v>2688.6850627784402</v>
          </cell>
          <cell r="N32">
            <v>2644.52</v>
          </cell>
          <cell r="P32">
            <v>2741.7263329239304</v>
          </cell>
          <cell r="R32">
            <v>2696.69</v>
          </cell>
          <cell r="T32">
            <v>2024375.7752371691</v>
          </cell>
          <cell r="V32">
            <v>2000188</v>
          </cell>
          <cell r="X32">
            <v>0.65241375226967713</v>
          </cell>
          <cell r="Z32">
            <v>0.7027485</v>
          </cell>
        </row>
        <row r="33">
          <cell r="D33">
            <v>6184.6710675987606</v>
          </cell>
          <cell r="F33">
            <v>6083.08</v>
          </cell>
          <cell r="H33">
            <v>4228.0816037021104</v>
          </cell>
          <cell r="J33">
            <v>4158.63</v>
          </cell>
          <cell r="L33">
            <v>3162.2845348729802</v>
          </cell>
          <cell r="N33">
            <v>3110.34</v>
          </cell>
          <cell r="P33">
            <v>3162.2845348729802</v>
          </cell>
          <cell r="R33">
            <v>3110.34</v>
          </cell>
          <cell r="T33">
            <v>2285907.6267189854</v>
          </cell>
          <cell r="V33">
            <v>2258595</v>
          </cell>
          <cell r="X33">
            <v>0.74792419618961059</v>
          </cell>
          <cell r="Z33">
            <v>0.70052000000000003</v>
          </cell>
        </row>
      </sheetData>
      <sheetData sheetId="4">
        <row r="22">
          <cell r="D22">
            <v>3430639.9855619613</v>
          </cell>
          <cell r="F22">
            <v>3374287.372</v>
          </cell>
          <cell r="H22">
            <v>2550219.7239434905</v>
          </cell>
          <cell r="J22">
            <v>2508329.13</v>
          </cell>
          <cell r="L22">
            <v>2144675.404052495</v>
          </cell>
          <cell r="N22">
            <v>2109446.39</v>
          </cell>
          <cell r="P22">
            <v>2005906.3259141918</v>
          </cell>
          <cell r="R22">
            <v>1972956.77</v>
          </cell>
          <cell r="T22">
            <v>1853731759.5689156</v>
          </cell>
          <cell r="V22">
            <v>1831582884</v>
          </cell>
          <cell r="X22">
            <v>0.84097671424802223</v>
          </cell>
          <cell r="Y22"/>
          <cell r="Z22">
            <v>0.93237899999999996</v>
          </cell>
        </row>
        <row r="23">
          <cell r="D23">
            <v>3426529.7578580617</v>
          </cell>
          <cell r="F23">
            <v>3370244.6599999997</v>
          </cell>
          <cell r="H23">
            <v>2645769.6628967957</v>
          </cell>
          <cell r="J23">
            <v>2602309.54</v>
          </cell>
          <cell r="L23">
            <v>2521576.6348714544</v>
          </cell>
          <cell r="N23">
            <v>2480156.54</v>
          </cell>
          <cell r="P23">
            <v>2521576.6348714544</v>
          </cell>
          <cell r="R23">
            <v>2480156.54</v>
          </cell>
          <cell r="T23">
            <v>1799984059.8892536</v>
          </cell>
          <cell r="V23">
            <v>1778477376</v>
          </cell>
          <cell r="X23">
            <v>0.95305977320438218</v>
          </cell>
          <cell r="Y23"/>
          <cell r="Z23">
            <v>0.92661090000000002</v>
          </cell>
        </row>
        <row r="24">
          <cell r="D24">
            <v>3468715.3537839707</v>
          </cell>
          <cell r="F24">
            <v>3411737.304</v>
          </cell>
          <cell r="H24">
            <v>2579863.5310791419</v>
          </cell>
          <cell r="J24">
            <v>2537486</v>
          </cell>
          <cell r="L24">
            <v>2426038.9471603436</v>
          </cell>
          <cell r="N24">
            <v>2386188.1800000002</v>
          </cell>
          <cell r="P24">
            <v>2554555.0979611943</v>
          </cell>
          <cell r="R24">
            <v>2512593.29</v>
          </cell>
          <cell r="T24">
            <v>1446732716.7506979</v>
          </cell>
          <cell r="V24">
            <v>1429446773</v>
          </cell>
          <cell r="X24">
            <v>0.94037491438376419</v>
          </cell>
          <cell r="Y24"/>
          <cell r="Z24">
            <v>0.928956</v>
          </cell>
        </row>
        <row r="25">
          <cell r="D25">
            <v>3564960.051023433</v>
          </cell>
          <cell r="F25">
            <v>3506401.06</v>
          </cell>
          <cell r="H25">
            <v>2634630.2946428307</v>
          </cell>
          <cell r="J25">
            <v>2591353.15</v>
          </cell>
          <cell r="L25">
            <v>2619454.1675035073</v>
          </cell>
          <cell r="N25">
            <v>2576426.31</v>
          </cell>
          <cell r="P25">
            <v>2619454.1675035073</v>
          </cell>
          <cell r="R25">
            <v>2576426.31</v>
          </cell>
          <cell r="T25">
            <v>1835758281.7190962</v>
          </cell>
          <cell r="V25">
            <v>1813824158</v>
          </cell>
          <cell r="X25">
            <v>0.9942397507649624</v>
          </cell>
          <cell r="Y25"/>
          <cell r="Z25">
            <v>0.9164447</v>
          </cell>
        </row>
        <row r="26">
          <cell r="D26">
            <v>3681007.7822159086</v>
          </cell>
          <cell r="F26">
            <v>3620542.56</v>
          </cell>
          <cell r="H26">
            <v>2747025.5492745955</v>
          </cell>
          <cell r="J26">
            <v>2701902.17</v>
          </cell>
          <cell r="L26">
            <v>2542034.0437629125</v>
          </cell>
          <cell r="N26">
            <v>2500277.91</v>
          </cell>
          <cell r="P26">
            <v>2543984.5533572389</v>
          </cell>
          <cell r="R26">
            <v>2502196.38</v>
          </cell>
          <cell r="T26">
            <v>1592817678.3692284</v>
          </cell>
          <cell r="V26">
            <v>1573786273</v>
          </cell>
          <cell r="X26">
            <v>0.92537692066030663</v>
          </cell>
          <cell r="Y26"/>
          <cell r="Z26">
            <v>0.91381069999999998</v>
          </cell>
        </row>
        <row r="27">
          <cell r="D27">
            <v>3723678.3890614118</v>
          </cell>
          <cell r="F27">
            <v>3662512.2479999997</v>
          </cell>
          <cell r="H27">
            <v>2835043.1500179605</v>
          </cell>
          <cell r="J27">
            <v>2788473.97</v>
          </cell>
          <cell r="L27">
            <v>2782151.7720414856</v>
          </cell>
          <cell r="N27">
            <v>2736451.4</v>
          </cell>
          <cell r="P27">
            <v>2626687.2297257143</v>
          </cell>
          <cell r="R27">
            <v>2583540.56</v>
          </cell>
          <cell r="T27">
            <v>1846816408.1275222</v>
          </cell>
          <cell r="V27">
            <v>1824750159</v>
          </cell>
          <cell r="X27">
            <v>0.98134371324255165</v>
          </cell>
          <cell r="Y27"/>
          <cell r="Z27">
            <v>0.92812099999999997</v>
          </cell>
        </row>
        <row r="28">
          <cell r="D28">
            <v>3719523.841345089</v>
          </cell>
          <cell r="F28">
            <v>3658425.9440000001</v>
          </cell>
          <cell r="H28">
            <v>2885645.3757652594</v>
          </cell>
          <cell r="J28">
            <v>2838244.99</v>
          </cell>
          <cell r="L28">
            <v>2778319.563149238</v>
          </cell>
          <cell r="N28">
            <v>2732682.14</v>
          </cell>
          <cell r="P28">
            <v>2697183.2767225364</v>
          </cell>
          <cell r="R28">
            <v>2652878.62</v>
          </cell>
          <cell r="T28">
            <v>1940174282.614068</v>
          </cell>
          <cell r="V28">
            <v>1916992569</v>
          </cell>
          <cell r="X28">
            <v>0.96280699856005025</v>
          </cell>
          <cell r="Y28"/>
          <cell r="Z28">
            <v>0.91650799999999999</v>
          </cell>
        </row>
        <row r="29">
          <cell r="D29">
            <v>3742011.6643641922</v>
          </cell>
          <cell r="F29">
            <v>3680544.3759999997</v>
          </cell>
          <cell r="H29">
            <v>2897676.6242839303</v>
          </cell>
          <cell r="J29">
            <v>2850078.61</v>
          </cell>
          <cell r="L29">
            <v>2829243.666138541</v>
          </cell>
          <cell r="N29">
            <v>2782769.75</v>
          </cell>
          <cell r="P29">
            <v>2754141.3452499448</v>
          </cell>
          <cell r="R29">
            <v>2708901.08</v>
          </cell>
          <cell r="T29">
            <v>1917088814.3557076</v>
          </cell>
          <cell r="V29">
            <v>1894182932</v>
          </cell>
          <cell r="X29">
            <v>0.97638350754121839</v>
          </cell>
          <cell r="Y29"/>
          <cell r="Z29">
            <v>0.93610539999999998</v>
          </cell>
        </row>
        <row r="30">
          <cell r="D30">
            <v>3686440.8024653429</v>
          </cell>
          <cell r="F30">
            <v>3625886.3360000001</v>
          </cell>
          <cell r="H30">
            <v>2827962.3793781772</v>
          </cell>
          <cell r="J30">
            <v>2781509.51</v>
          </cell>
          <cell r="L30">
            <v>2790450.1229822235</v>
          </cell>
          <cell r="N30">
            <v>2744613.44</v>
          </cell>
          <cell r="P30">
            <v>2717256.7082995251</v>
          </cell>
          <cell r="R30">
            <v>2672622.3199999998</v>
          </cell>
          <cell r="T30">
            <v>1957776985.3450589</v>
          </cell>
          <cell r="V30">
            <v>1934384950</v>
          </cell>
          <cell r="X30">
            <v>0.9867352349983517</v>
          </cell>
          <cell r="Y30"/>
          <cell r="Z30">
            <v>0.92305000000000004</v>
          </cell>
        </row>
        <row r="31">
          <cell r="D31">
            <v>3704169.1734473272</v>
          </cell>
          <cell r="F31">
            <v>3643323.4959999998</v>
          </cell>
          <cell r="H31">
            <v>2845007.8834041869</v>
          </cell>
          <cell r="J31">
            <v>2798275.02</v>
          </cell>
          <cell r="L31">
            <v>2760978.6465977635</v>
          </cell>
          <cell r="N31">
            <v>2715626.07</v>
          </cell>
          <cell r="P31">
            <v>2760978.6465977635</v>
          </cell>
          <cell r="R31">
            <v>2715626.07</v>
          </cell>
          <cell r="T31">
            <v>1919504741.4897637</v>
          </cell>
          <cell r="V31">
            <v>1896569993</v>
          </cell>
          <cell r="X31">
            <v>0.97046432198076082</v>
          </cell>
          <cell r="Y31"/>
          <cell r="Z31">
            <v>0.91584299999999996</v>
          </cell>
        </row>
        <row r="32">
          <cell r="D32">
            <v>3659381.5885519474</v>
          </cell>
          <cell r="F32">
            <v>3599271.6039999998</v>
          </cell>
          <cell r="H32">
            <v>2714305.5314766131</v>
          </cell>
          <cell r="J32">
            <v>2669719.62</v>
          </cell>
          <cell r="L32">
            <v>2701675.7716505001</v>
          </cell>
          <cell r="N32">
            <v>2657297.3199999998</v>
          </cell>
          <cell r="P32">
            <v>2699916.7677806243</v>
          </cell>
          <cell r="R32">
            <v>2655567.21</v>
          </cell>
          <cell r="T32">
            <v>1837550917.605067</v>
          </cell>
          <cell r="V32">
            <v>1815595375</v>
          </cell>
          <cell r="X32">
            <v>0.99534696456251825</v>
          </cell>
          <cell r="Y32"/>
          <cell r="Z32">
            <v>0.93223100000000003</v>
          </cell>
        </row>
        <row r="33">
          <cell r="D33">
            <v>3631967.5827314211</v>
          </cell>
          <cell r="F33">
            <v>3572307.9079999998</v>
          </cell>
          <cell r="H33">
            <v>2736551.3065511882</v>
          </cell>
          <cell r="J33">
            <v>2691599.98</v>
          </cell>
          <cell r="L33">
            <v>2609210.1667972966</v>
          </cell>
          <cell r="N33">
            <v>2566350.58</v>
          </cell>
          <cell r="P33">
            <v>2609210.1667972966</v>
          </cell>
          <cell r="R33">
            <v>2566350.58</v>
          </cell>
          <cell r="T33">
            <v>1875484546.6007864</v>
          </cell>
          <cell r="V33">
            <v>1853075763</v>
          </cell>
          <cell r="X33">
            <v>0.95346656229355453</v>
          </cell>
          <cell r="Y33"/>
          <cell r="Z33">
            <v>0.92813199999999996</v>
          </cell>
        </row>
      </sheetData>
      <sheetData sheetId="5">
        <row r="22">
          <cell r="D22">
            <v>1353225.8189999999</v>
          </cell>
          <cell r="F22">
            <v>1350390</v>
          </cell>
          <cell r="H22">
            <v>1148217.2031</v>
          </cell>
          <cell r="J22">
            <v>1145811</v>
          </cell>
          <cell r="L22">
            <v>942526.15709999995</v>
          </cell>
          <cell r="N22">
            <v>940551</v>
          </cell>
          <cell r="P22">
            <v>674554.59609999997</v>
          </cell>
          <cell r="R22">
            <v>673141</v>
          </cell>
          <cell r="T22">
            <v>763956832.57884002</v>
          </cell>
          <cell r="V22">
            <v>760814668</v>
          </cell>
          <cell r="X22">
            <v>0.82086050840845481</v>
          </cell>
          <cell r="Y22"/>
          <cell r="Z22">
            <v>0.92330000000000001</v>
          </cell>
        </row>
        <row r="23">
          <cell r="D23">
            <v>1376653.9149</v>
          </cell>
          <cell r="F23">
            <v>1373769</v>
          </cell>
          <cell r="H23">
            <v>1203494.0412000001</v>
          </cell>
          <cell r="J23">
            <v>1200972</v>
          </cell>
          <cell r="L23">
            <v>1116803.3722999999</v>
          </cell>
          <cell r="N23">
            <v>1114463</v>
          </cell>
          <cell r="P23">
            <v>1116803.3722999999</v>
          </cell>
          <cell r="R23">
            <v>1114463</v>
          </cell>
          <cell r="T23">
            <v>694750714.89947999</v>
          </cell>
          <cell r="V23">
            <v>691893196</v>
          </cell>
          <cell r="X23">
            <v>0.92796751298115199</v>
          </cell>
          <cell r="Y23"/>
          <cell r="Z23">
            <v>0.93300000000000005</v>
          </cell>
        </row>
        <row r="24">
          <cell r="D24">
            <v>1407298.1329000001</v>
          </cell>
          <cell r="F24">
            <v>1404349</v>
          </cell>
          <cell r="H24">
            <v>1175111.5629</v>
          </cell>
          <cell r="J24">
            <v>1172649</v>
          </cell>
          <cell r="L24">
            <v>1128766.4421000001</v>
          </cell>
          <cell r="N24">
            <v>1126401</v>
          </cell>
          <cell r="P24">
            <v>1111316.8747999999</v>
          </cell>
          <cell r="R24">
            <v>1108988</v>
          </cell>
          <cell r="T24">
            <v>1192103461.33812</v>
          </cell>
          <cell r="V24">
            <v>1187200324</v>
          </cell>
          <cell r="X24">
            <v>0.96056108861219347</v>
          </cell>
          <cell r="Y24"/>
          <cell r="Z24">
            <v>0.93889999999999996</v>
          </cell>
        </row>
        <row r="25">
          <cell r="D25">
            <v>1400131.1137000001</v>
          </cell>
          <cell r="F25">
            <v>1397197</v>
          </cell>
          <cell r="H25">
            <v>1172176.412</v>
          </cell>
          <cell r="J25">
            <v>1169720</v>
          </cell>
          <cell r="L25">
            <v>1118303.5160000001</v>
          </cell>
          <cell r="N25">
            <v>1115960</v>
          </cell>
          <cell r="P25">
            <v>1118303.5160000001</v>
          </cell>
          <cell r="R25">
            <v>1115960</v>
          </cell>
          <cell r="T25">
            <v>810595083.32235003</v>
          </cell>
          <cell r="V25">
            <v>807261095</v>
          </cell>
          <cell r="X25">
            <v>0.95404028314468414</v>
          </cell>
          <cell r="Y25"/>
          <cell r="Z25">
            <v>0.9486</v>
          </cell>
        </row>
        <row r="26">
          <cell r="D26">
            <v>1376259.0874999999</v>
          </cell>
          <cell r="F26">
            <v>1373375</v>
          </cell>
          <cell r="H26">
            <v>1152321.8047</v>
          </cell>
          <cell r="J26">
            <v>1149907</v>
          </cell>
          <cell r="L26">
            <v>1085083.9010000001</v>
          </cell>
          <cell r="N26">
            <v>1082810</v>
          </cell>
          <cell r="P26">
            <v>1037049.2396</v>
          </cell>
          <cell r="R26">
            <v>1034876</v>
          </cell>
          <cell r="T26">
            <v>917419798.79306996</v>
          </cell>
          <cell r="V26">
            <v>913646439</v>
          </cell>
          <cell r="X26">
            <v>0.94165006387473071</v>
          </cell>
          <cell r="Y26"/>
          <cell r="Z26">
            <v>0.92589999999999995</v>
          </cell>
        </row>
        <row r="27">
          <cell r="D27">
            <v>1420414.6198</v>
          </cell>
          <cell r="F27">
            <v>1417438</v>
          </cell>
          <cell r="H27">
            <v>1218266.9994000001</v>
          </cell>
          <cell r="J27">
            <v>1215714</v>
          </cell>
          <cell r="L27">
            <v>1005476.0749</v>
          </cell>
          <cell r="N27">
            <v>1003369</v>
          </cell>
          <cell r="P27">
            <v>1164898.1597</v>
          </cell>
          <cell r="R27">
            <v>1162457</v>
          </cell>
          <cell r="T27">
            <v>805501988.35523999</v>
          </cell>
          <cell r="V27">
            <v>802188948</v>
          </cell>
          <cell r="X27">
            <v>0.82533309643551034</v>
          </cell>
          <cell r="Y27">
            <v>0.92559100000000005</v>
          </cell>
          <cell r="Z27">
            <v>0.91339999999999999</v>
          </cell>
        </row>
        <row r="28">
          <cell r="D28">
            <v>1423646.3922999999</v>
          </cell>
          <cell r="F28">
            <v>1420663</v>
          </cell>
          <cell r="H28">
            <v>1225972.1462999999</v>
          </cell>
          <cell r="J28">
            <v>1223403</v>
          </cell>
          <cell r="L28">
            <v>1166706.9502000001</v>
          </cell>
          <cell r="N28">
            <v>1164262</v>
          </cell>
          <cell r="P28">
            <v>886158.03209999995</v>
          </cell>
          <cell r="R28">
            <v>884301</v>
          </cell>
          <cell r="T28">
            <v>789959488.84875</v>
          </cell>
          <cell r="V28">
            <v>786710375</v>
          </cell>
          <cell r="X28">
            <v>0.95165861126709683</v>
          </cell>
          <cell r="Y28"/>
          <cell r="Z28">
            <v>0.92500000000000004</v>
          </cell>
        </row>
        <row r="29">
          <cell r="D29">
            <v>1417685.9014999999</v>
          </cell>
          <cell r="F29">
            <v>1414715</v>
          </cell>
          <cell r="H29">
            <v>1218301.0708000001</v>
          </cell>
          <cell r="J29">
            <v>1215748</v>
          </cell>
          <cell r="L29">
            <v>1006686.6117</v>
          </cell>
          <cell r="N29">
            <v>1004577</v>
          </cell>
          <cell r="P29">
            <v>927911.5307</v>
          </cell>
          <cell r="R29">
            <v>925967</v>
          </cell>
          <cell r="T29">
            <v>797307541.48664999</v>
          </cell>
          <cell r="V29">
            <v>794028205</v>
          </cell>
          <cell r="X29">
            <v>0.82630364187315131</v>
          </cell>
          <cell r="Y29"/>
          <cell r="Z29">
            <v>0.91210000000000002</v>
          </cell>
        </row>
        <row r="30">
          <cell r="D30">
            <v>1397982.6113</v>
          </cell>
          <cell r="F30">
            <v>1395053</v>
          </cell>
          <cell r="H30">
            <v>1194332.8429999999</v>
          </cell>
          <cell r="J30">
            <v>1191830</v>
          </cell>
          <cell r="L30">
            <v>1026369.8599</v>
          </cell>
          <cell r="N30">
            <v>1024219</v>
          </cell>
          <cell r="P30">
            <v>940768.47369999997</v>
          </cell>
          <cell r="R30">
            <v>938797</v>
          </cell>
          <cell r="T30">
            <v>780001883.08424997</v>
          </cell>
          <cell r="V30">
            <v>776793725</v>
          </cell>
          <cell r="X30">
            <v>0.85936668820217643</v>
          </cell>
          <cell r="Y30"/>
          <cell r="Z30">
            <v>0.92020000000000002</v>
          </cell>
        </row>
        <row r="31">
          <cell r="D31">
            <v>1438071.6218000001</v>
          </cell>
          <cell r="F31">
            <v>1435058</v>
          </cell>
          <cell r="H31">
            <v>1227478.3026000001</v>
          </cell>
          <cell r="J31">
            <v>1224906</v>
          </cell>
          <cell r="L31">
            <v>1130683.4594000001</v>
          </cell>
          <cell r="N31">
            <v>1128314</v>
          </cell>
          <cell r="P31">
            <v>1130683.4594000001</v>
          </cell>
          <cell r="R31">
            <v>1128314</v>
          </cell>
          <cell r="T31">
            <v>776720716.60301995</v>
          </cell>
          <cell r="V31">
            <v>773526054</v>
          </cell>
          <cell r="X31">
            <v>0.92114333671318449</v>
          </cell>
          <cell r="Y31"/>
          <cell r="Z31">
            <v>0.93420000000000003</v>
          </cell>
        </row>
        <row r="32">
          <cell r="D32">
            <v>1436021.3252000001</v>
          </cell>
          <cell r="F32">
            <v>1433012</v>
          </cell>
          <cell r="H32">
            <v>1212085.0445000001</v>
          </cell>
          <cell r="J32">
            <v>1209545</v>
          </cell>
          <cell r="L32">
            <v>1169770.3699</v>
          </cell>
          <cell r="N32">
            <v>1167319</v>
          </cell>
          <cell r="P32">
            <v>1156971.5486999999</v>
          </cell>
          <cell r="R32">
            <v>1154547</v>
          </cell>
          <cell r="T32">
            <v>848174239.89143991</v>
          </cell>
          <cell r="V32">
            <v>844685688</v>
          </cell>
          <cell r="X32">
            <v>0.9650893517810416</v>
          </cell>
          <cell r="Y32"/>
          <cell r="Z32">
            <v>0.94159999999999999</v>
          </cell>
        </row>
        <row r="33">
          <cell r="D33">
            <v>1374274.9295000001</v>
          </cell>
          <cell r="F33">
            <v>1371395</v>
          </cell>
          <cell r="H33">
            <v>1198631.852</v>
          </cell>
          <cell r="J33">
            <v>1196120</v>
          </cell>
          <cell r="L33">
            <v>1140341.6991999999</v>
          </cell>
          <cell r="N33">
            <v>1137952</v>
          </cell>
          <cell r="P33">
            <v>1140341.6991999999</v>
          </cell>
          <cell r="R33">
            <v>1137952</v>
          </cell>
          <cell r="T33">
            <v>848564999.08920002</v>
          </cell>
          <cell r="V33">
            <v>845074840</v>
          </cell>
          <cell r="X33">
            <v>0.95136942781660705</v>
          </cell>
          <cell r="Y33"/>
          <cell r="Z33">
            <v>0.94689999999999996</v>
          </cell>
        </row>
      </sheetData>
      <sheetData sheetId="6">
        <row r="22">
          <cell r="D22">
            <v>5132823</v>
          </cell>
          <cell r="F22">
            <v>5132823</v>
          </cell>
          <cell r="H22">
            <v>3949748</v>
          </cell>
          <cell r="J22">
            <v>3949748</v>
          </cell>
          <cell r="L22">
            <v>3055758</v>
          </cell>
          <cell r="N22">
            <v>3055758</v>
          </cell>
          <cell r="P22">
            <v>2359228</v>
          </cell>
          <cell r="R22">
            <v>2359228</v>
          </cell>
          <cell r="T22">
            <v>2705572549</v>
          </cell>
          <cell r="V22">
            <v>2705572549</v>
          </cell>
          <cell r="X22">
            <v>0.77365897773731385</v>
          </cell>
          <cell r="Y22"/>
          <cell r="Z22">
            <v>0.8972</v>
          </cell>
        </row>
        <row r="23">
          <cell r="D23">
            <v>5032565</v>
          </cell>
          <cell r="F23">
            <v>5032565</v>
          </cell>
          <cell r="H23">
            <v>3962751</v>
          </cell>
          <cell r="J23">
            <v>3962751</v>
          </cell>
          <cell r="L23">
            <v>3644057</v>
          </cell>
          <cell r="N23">
            <v>3644057</v>
          </cell>
          <cell r="P23">
            <v>3644057</v>
          </cell>
          <cell r="R23">
            <v>3644057</v>
          </cell>
          <cell r="T23">
            <v>2569752323</v>
          </cell>
          <cell r="V23">
            <v>2569752323</v>
          </cell>
          <cell r="X23">
            <v>0.91957758637875553</v>
          </cell>
          <cell r="Y23"/>
          <cell r="Z23">
            <v>0.91690000000000005</v>
          </cell>
        </row>
        <row r="24">
          <cell r="D24">
            <v>5291020</v>
          </cell>
          <cell r="F24">
            <v>5291020</v>
          </cell>
          <cell r="H24">
            <v>4182122</v>
          </cell>
          <cell r="J24">
            <v>4182122</v>
          </cell>
          <cell r="L24">
            <v>3674073</v>
          </cell>
          <cell r="N24">
            <v>3674073</v>
          </cell>
          <cell r="P24">
            <v>3555109</v>
          </cell>
          <cell r="R24">
            <v>3555109</v>
          </cell>
          <cell r="T24">
            <v>2664130914</v>
          </cell>
          <cell r="V24">
            <v>2664130914</v>
          </cell>
          <cell r="X24">
            <v>0.87851884760894106</v>
          </cell>
          <cell r="Y24"/>
          <cell r="Z24">
            <v>0.90339999999999998</v>
          </cell>
        </row>
        <row r="25">
          <cell r="D25">
            <v>5517073</v>
          </cell>
          <cell r="F25">
            <v>5517073</v>
          </cell>
          <cell r="H25">
            <v>4220544</v>
          </cell>
          <cell r="J25">
            <v>4220544</v>
          </cell>
          <cell r="L25">
            <v>4046684</v>
          </cell>
          <cell r="N25">
            <v>4046684</v>
          </cell>
          <cell r="P25">
            <v>4046684</v>
          </cell>
          <cell r="R25">
            <v>4046684</v>
          </cell>
          <cell r="T25">
            <v>2783303939</v>
          </cell>
          <cell r="V25">
            <v>2783303939</v>
          </cell>
          <cell r="X25">
            <v>0.95880625815060805</v>
          </cell>
          <cell r="Y25"/>
          <cell r="Z25">
            <v>0.90769999999999995</v>
          </cell>
        </row>
        <row r="26">
          <cell r="D26">
            <v>5608028</v>
          </cell>
          <cell r="F26">
            <v>5608028</v>
          </cell>
          <cell r="H26">
            <v>4172263</v>
          </cell>
          <cell r="J26">
            <v>4172263</v>
          </cell>
          <cell r="L26">
            <v>3781628</v>
          </cell>
          <cell r="N26">
            <v>3781628</v>
          </cell>
          <cell r="P26">
            <v>3773334</v>
          </cell>
          <cell r="R26">
            <v>3773334</v>
          </cell>
          <cell r="T26">
            <v>2744259450</v>
          </cell>
          <cell r="V26">
            <v>2744259450</v>
          </cell>
          <cell r="X26">
            <v>0.9063733518236986</v>
          </cell>
          <cell r="Y26"/>
          <cell r="Z26">
            <v>0.91810000000000003</v>
          </cell>
        </row>
        <row r="27">
          <cell r="D27">
            <v>5430190</v>
          </cell>
          <cell r="F27">
            <v>5430190</v>
          </cell>
          <cell r="H27">
            <v>4288240</v>
          </cell>
          <cell r="J27">
            <v>4288240</v>
          </cell>
          <cell r="L27">
            <v>4151050</v>
          </cell>
          <cell r="N27">
            <v>4151050</v>
          </cell>
          <cell r="P27">
            <v>3912552</v>
          </cell>
          <cell r="R27">
            <v>3912552</v>
          </cell>
          <cell r="T27">
            <v>2918352748</v>
          </cell>
          <cell r="V27">
            <v>2918352748</v>
          </cell>
          <cell r="X27">
            <v>0.96800785403802025</v>
          </cell>
          <cell r="Y27"/>
          <cell r="Z27">
            <v>0.89770000000000005</v>
          </cell>
        </row>
        <row r="28">
          <cell r="D28">
            <v>5405262</v>
          </cell>
          <cell r="F28">
            <v>5405262</v>
          </cell>
          <cell r="H28">
            <v>4416581</v>
          </cell>
          <cell r="J28">
            <v>4416581</v>
          </cell>
          <cell r="L28">
            <v>4105310</v>
          </cell>
          <cell r="N28">
            <v>4105310</v>
          </cell>
          <cell r="P28">
            <v>3133176</v>
          </cell>
          <cell r="R28">
            <v>3133176</v>
          </cell>
          <cell r="T28">
            <v>2701328790</v>
          </cell>
          <cell r="V28">
            <v>2701328790</v>
          </cell>
          <cell r="X28">
            <v>0.92952218016606059</v>
          </cell>
          <cell r="Y28"/>
          <cell r="Z28">
            <v>0.91810000000000003</v>
          </cell>
        </row>
        <row r="29">
          <cell r="D29">
            <v>5562195</v>
          </cell>
          <cell r="F29">
            <v>5562195</v>
          </cell>
          <cell r="H29">
            <v>4403615</v>
          </cell>
          <cell r="J29">
            <v>4403615</v>
          </cell>
          <cell r="L29">
            <v>4076159</v>
          </cell>
          <cell r="N29">
            <v>4076159</v>
          </cell>
          <cell r="P29">
            <v>3109502</v>
          </cell>
          <cell r="R29">
            <v>3109502</v>
          </cell>
          <cell r="T29">
            <v>2943692508</v>
          </cell>
          <cell r="V29">
            <v>2943692508</v>
          </cell>
          <cell r="X29">
            <v>0.92563927591308504</v>
          </cell>
          <cell r="Y29"/>
          <cell r="Z29">
            <v>0.90010000000000001</v>
          </cell>
        </row>
        <row r="30">
          <cell r="D30">
            <v>5492593</v>
          </cell>
          <cell r="F30">
            <v>5492593</v>
          </cell>
          <cell r="H30">
            <v>4440866</v>
          </cell>
          <cell r="J30">
            <v>4440866</v>
          </cell>
          <cell r="L30">
            <v>4032956</v>
          </cell>
          <cell r="N30">
            <v>4032956</v>
          </cell>
          <cell r="P30">
            <v>3233646</v>
          </cell>
          <cell r="R30">
            <v>3233646</v>
          </cell>
          <cell r="T30">
            <v>2796351486</v>
          </cell>
          <cell r="V30">
            <v>2796351486</v>
          </cell>
          <cell r="X30">
            <v>0.90814629398860491</v>
          </cell>
          <cell r="Y30"/>
          <cell r="Z30">
            <v>0.9325</v>
          </cell>
        </row>
        <row r="31">
          <cell r="D31">
            <v>5686146</v>
          </cell>
          <cell r="F31">
            <v>5686146</v>
          </cell>
          <cell r="H31">
            <v>4515358</v>
          </cell>
          <cell r="J31">
            <v>4515358</v>
          </cell>
          <cell r="L31">
            <v>3990864</v>
          </cell>
          <cell r="N31">
            <v>3990864</v>
          </cell>
          <cell r="P31">
            <v>3990864</v>
          </cell>
          <cell r="R31">
            <v>3990864</v>
          </cell>
          <cell r="T31">
            <v>3072970312</v>
          </cell>
          <cell r="V31">
            <v>3072970312</v>
          </cell>
          <cell r="X31">
            <v>0.88384221140383556</v>
          </cell>
          <cell r="Y31"/>
          <cell r="Z31">
            <v>0.91879999999999995</v>
          </cell>
        </row>
        <row r="32">
          <cell r="D32">
            <v>5925698</v>
          </cell>
          <cell r="F32">
            <v>5925698</v>
          </cell>
          <cell r="H32">
            <v>4644735</v>
          </cell>
          <cell r="J32">
            <v>4644735</v>
          </cell>
          <cell r="L32">
            <v>4385401</v>
          </cell>
          <cell r="N32">
            <v>4385401</v>
          </cell>
          <cell r="P32">
            <v>4491710</v>
          </cell>
          <cell r="R32">
            <v>4491710</v>
          </cell>
          <cell r="T32">
            <v>3049431235</v>
          </cell>
          <cell r="V32">
            <v>3049431235</v>
          </cell>
          <cell r="X32">
            <v>0.94416602884771683</v>
          </cell>
          <cell r="Y32"/>
          <cell r="Z32">
            <v>0.91479999999999995</v>
          </cell>
        </row>
        <row r="33">
          <cell r="D33">
            <v>5915090</v>
          </cell>
          <cell r="F33">
            <v>5915090</v>
          </cell>
          <cell r="H33">
            <v>4667054</v>
          </cell>
          <cell r="J33">
            <v>4667054</v>
          </cell>
          <cell r="L33">
            <v>4262765</v>
          </cell>
          <cell r="N33">
            <v>4262765</v>
          </cell>
          <cell r="P33">
            <v>4262765</v>
          </cell>
          <cell r="R33">
            <v>4262765</v>
          </cell>
          <cell r="T33">
            <v>3190347604</v>
          </cell>
          <cell r="V33">
            <v>3190347604</v>
          </cell>
          <cell r="X33">
            <v>0.91337383282901807</v>
          </cell>
          <cell r="Y33"/>
          <cell r="Z33">
            <v>0.93110000000000004</v>
          </cell>
        </row>
      </sheetData>
      <sheetData sheetId="7">
        <row r="22">
          <cell r="D22">
            <v>92300.355261797667</v>
          </cell>
          <cell r="F22">
            <v>88998.823999999993</v>
          </cell>
          <cell r="H22">
            <v>92300.355261797667</v>
          </cell>
          <cell r="J22">
            <v>88998.823999999993</v>
          </cell>
          <cell r="L22">
            <v>92300.355261797667</v>
          </cell>
          <cell r="N22">
            <v>88998.823999999993</v>
          </cell>
          <cell r="P22">
            <v>0</v>
          </cell>
          <cell r="R22">
            <v>0</v>
          </cell>
          <cell r="T22">
            <v>31397985.01787227</v>
          </cell>
          <cell r="V22">
            <v>30336877</v>
          </cell>
          <cell r="X22">
            <v>1</v>
          </cell>
          <cell r="Y22"/>
          <cell r="Z22">
            <v>0.45537</v>
          </cell>
        </row>
        <row r="23">
          <cell r="D23">
            <v>92300.355261797667</v>
          </cell>
          <cell r="F23">
            <v>88998.823999999993</v>
          </cell>
          <cell r="H23">
            <v>92300.355261797667</v>
          </cell>
          <cell r="J23">
            <v>88998.823999999993</v>
          </cell>
          <cell r="L23">
            <v>92300.355261797667</v>
          </cell>
          <cell r="N23">
            <v>88998.823999999993</v>
          </cell>
          <cell r="P23">
            <v>92300.355261797667</v>
          </cell>
          <cell r="R23">
            <v>88998.823999999993</v>
          </cell>
          <cell r="T23">
            <v>31182477.863580763</v>
          </cell>
          <cell r="V23">
            <v>30128653</v>
          </cell>
          <cell r="X23">
            <v>1</v>
          </cell>
          <cell r="Y23"/>
          <cell r="Z23">
            <v>0.45537</v>
          </cell>
        </row>
        <row r="24">
          <cell r="D24">
            <v>92300.355261797667</v>
          </cell>
          <cell r="F24">
            <v>88998.823999999993</v>
          </cell>
          <cell r="H24">
            <v>92300.355261797667</v>
          </cell>
          <cell r="J24">
            <v>88998.823999999993</v>
          </cell>
          <cell r="T24">
            <v>31086820.06843999</v>
          </cell>
          <cell r="V24">
            <v>30036228</v>
          </cell>
          <cell r="X24">
            <v>0</v>
          </cell>
          <cell r="Y24"/>
          <cell r="Z24">
            <v>0.45537</v>
          </cell>
        </row>
        <row r="25">
          <cell r="D25">
            <v>92300.355261797667</v>
          </cell>
          <cell r="F25">
            <v>88998.823999999993</v>
          </cell>
          <cell r="H25">
            <v>92300.355261797667</v>
          </cell>
          <cell r="J25">
            <v>88998.823999999993</v>
          </cell>
          <cell r="T25">
            <v>30955832.281468809</v>
          </cell>
          <cell r="V25">
            <v>29909667</v>
          </cell>
          <cell r="X25">
            <v>0</v>
          </cell>
          <cell r="Y25"/>
          <cell r="Z25">
            <v>0.45537</v>
          </cell>
        </row>
        <row r="26">
          <cell r="D26">
            <v>92300.355261797667</v>
          </cell>
          <cell r="F26">
            <v>88998.823999999993</v>
          </cell>
          <cell r="H26">
            <v>92300.355261797667</v>
          </cell>
          <cell r="J26">
            <v>88998.823999999993</v>
          </cell>
          <cell r="T26">
            <v>30793808.6243014</v>
          </cell>
          <cell r="V26">
            <v>29753119</v>
          </cell>
          <cell r="X26">
            <v>0</v>
          </cell>
          <cell r="Y26"/>
          <cell r="Z26">
            <v>0.45537</v>
          </cell>
        </row>
        <row r="27">
          <cell r="D27">
            <v>92300.355261797667</v>
          </cell>
          <cell r="F27">
            <v>88998.823999999993</v>
          </cell>
          <cell r="H27">
            <v>92300.355261797667</v>
          </cell>
          <cell r="J27">
            <v>88998.823999999993</v>
          </cell>
          <cell r="T27">
            <v>30445187.839260306</v>
          </cell>
          <cell r="V27">
            <v>29416280</v>
          </cell>
          <cell r="X27">
            <v>0</v>
          </cell>
          <cell r="Y27"/>
          <cell r="Z27">
            <v>0.45537</v>
          </cell>
        </row>
        <row r="28">
          <cell r="D28">
            <v>92300.355261797667</v>
          </cell>
          <cell r="F28">
            <v>88998.823999999993</v>
          </cell>
          <cell r="H28">
            <v>92300.355261797667</v>
          </cell>
          <cell r="J28">
            <v>88998.823999999993</v>
          </cell>
          <cell r="T28">
            <v>30553748.698853556</v>
          </cell>
          <cell r="V28">
            <v>29521172</v>
          </cell>
          <cell r="X28">
            <v>0</v>
          </cell>
          <cell r="Y28"/>
          <cell r="Z28">
            <v>0.45537</v>
          </cell>
        </row>
        <row r="29">
          <cell r="D29">
            <v>92300.355261797667</v>
          </cell>
          <cell r="F29">
            <v>88998.823999999993</v>
          </cell>
          <cell r="H29">
            <v>92300.355261797667</v>
          </cell>
          <cell r="J29">
            <v>88998.823999999993</v>
          </cell>
          <cell r="T29">
            <v>30475328.453921814</v>
          </cell>
          <cell r="V29">
            <v>29445402</v>
          </cell>
          <cell r="X29">
            <v>0</v>
          </cell>
          <cell r="Y29"/>
          <cell r="Z29">
            <v>0.45537</v>
          </cell>
        </row>
        <row r="30">
          <cell r="D30">
            <v>92300.355261797667</v>
          </cell>
          <cell r="F30">
            <v>88998.823999999993</v>
          </cell>
          <cell r="H30">
            <v>92300.355261797667</v>
          </cell>
          <cell r="J30">
            <v>88998.823999999993</v>
          </cell>
          <cell r="T30">
            <v>30460770.460451972</v>
          </cell>
          <cell r="V30">
            <v>29431336</v>
          </cell>
          <cell r="X30">
            <v>0</v>
          </cell>
          <cell r="Y30"/>
          <cell r="Z30">
            <v>0.45537</v>
          </cell>
        </row>
        <row r="31">
          <cell r="D31">
            <v>92300.355261797667</v>
          </cell>
          <cell r="F31">
            <v>88998.823999999993</v>
          </cell>
          <cell r="H31">
            <v>92300.355261797667</v>
          </cell>
          <cell r="J31">
            <v>88998.823999999993</v>
          </cell>
          <cell r="T31">
            <v>30414483.161863051</v>
          </cell>
          <cell r="V31">
            <v>29386613</v>
          </cell>
          <cell r="X31">
            <v>0</v>
          </cell>
          <cell r="Y31"/>
          <cell r="Z31">
            <v>0.45537</v>
          </cell>
        </row>
        <row r="32">
          <cell r="D32">
            <v>92300.355261797667</v>
          </cell>
          <cell r="F32">
            <v>88998.823999999993</v>
          </cell>
          <cell r="H32">
            <v>92300.355261797667</v>
          </cell>
          <cell r="J32">
            <v>88998.823999999993</v>
          </cell>
          <cell r="L32">
            <v>0</v>
          </cell>
          <cell r="N32">
            <v>0</v>
          </cell>
          <cell r="T32">
            <v>30340208.00180595</v>
          </cell>
          <cell r="V32">
            <v>29314848</v>
          </cell>
          <cell r="X32">
            <v>0</v>
          </cell>
          <cell r="Y32"/>
          <cell r="Z32">
            <v>0.45537</v>
          </cell>
        </row>
        <row r="33">
          <cell r="D33">
            <v>92300.355261797667</v>
          </cell>
          <cell r="F33">
            <v>88998.823999999993</v>
          </cell>
          <cell r="H33">
            <v>92300.355261797667</v>
          </cell>
          <cell r="J33">
            <v>88998.823999999993</v>
          </cell>
          <cell r="T33">
            <v>30340140.728268661</v>
          </cell>
          <cell r="V33">
            <v>29314783</v>
          </cell>
          <cell r="X33">
            <v>0</v>
          </cell>
          <cell r="Y33"/>
          <cell r="Z33">
            <v>0.45537</v>
          </cell>
        </row>
      </sheetData>
      <sheetData sheetId="8">
        <row r="22">
          <cell r="D22">
            <v>117035.55963</v>
          </cell>
          <cell r="F22">
            <v>116790.3</v>
          </cell>
          <cell r="H22">
            <v>98950.260089999996</v>
          </cell>
          <cell r="J22">
            <v>98742.9</v>
          </cell>
          <cell r="L22">
            <v>93478.8943</v>
          </cell>
          <cell r="N22">
            <v>93283</v>
          </cell>
          <cell r="P22">
            <v>97154.597099999999</v>
          </cell>
          <cell r="R22">
            <v>96951</v>
          </cell>
          <cell r="T22">
            <v>36489647.403449997</v>
          </cell>
          <cell r="V22">
            <v>36339565</v>
          </cell>
          <cell r="X22">
            <v>0.94470589784176895</v>
          </cell>
          <cell r="Z22">
            <v>0.49469999999999997</v>
          </cell>
        </row>
        <row r="23">
          <cell r="D23">
            <v>93632.115389999992</v>
          </cell>
          <cell r="F23">
            <v>93435.9</v>
          </cell>
          <cell r="H23">
            <v>70446.527689999988</v>
          </cell>
          <cell r="J23">
            <v>70298.899999999994</v>
          </cell>
          <cell r="L23">
            <v>56582.574399999998</v>
          </cell>
          <cell r="N23">
            <v>56464</v>
          </cell>
          <cell r="P23">
            <v>56582.574399999998</v>
          </cell>
          <cell r="R23">
            <v>56464</v>
          </cell>
          <cell r="T23">
            <v>22451370.283574998</v>
          </cell>
          <cell r="V23">
            <v>22359027.5</v>
          </cell>
          <cell r="X23">
            <v>0.8031989120740155</v>
          </cell>
          <cell r="Z23">
            <v>0.45700000000000002</v>
          </cell>
        </row>
        <row r="24">
          <cell r="D24">
            <v>77446.396610000011</v>
          </cell>
          <cell r="F24">
            <v>77284.100000000006</v>
          </cell>
          <cell r="H24">
            <v>50522.575069999999</v>
          </cell>
          <cell r="J24">
            <v>50416.7</v>
          </cell>
          <cell r="L24">
            <v>41006.934099999999</v>
          </cell>
          <cell r="N24">
            <v>40921</v>
          </cell>
          <cell r="P24">
            <v>33804.841399999998</v>
          </cell>
          <cell r="R24">
            <v>33734</v>
          </cell>
          <cell r="T24">
            <v>20637825.3994275</v>
          </cell>
          <cell r="V24">
            <v>20552941.75</v>
          </cell>
          <cell r="X24">
            <v>0.81165566171526504</v>
          </cell>
          <cell r="Z24">
            <v>0.54869999999999997</v>
          </cell>
        </row>
        <row r="25">
          <cell r="D25">
            <v>75948.858370000002</v>
          </cell>
          <cell r="F25">
            <v>75789.7</v>
          </cell>
          <cell r="H25">
            <v>47178.266739999999</v>
          </cell>
          <cell r="J25">
            <v>47079.4</v>
          </cell>
          <cell r="L25">
            <v>44956.210200000001</v>
          </cell>
          <cell r="N25">
            <v>44862</v>
          </cell>
          <cell r="P25">
            <v>44956.210200000001</v>
          </cell>
          <cell r="R25">
            <v>44862</v>
          </cell>
          <cell r="T25">
            <v>20172638.328839999</v>
          </cell>
          <cell r="V25">
            <v>20089668</v>
          </cell>
          <cell r="X25">
            <v>0.95290084410591469</v>
          </cell>
          <cell r="Z25">
            <v>0.5927</v>
          </cell>
        </row>
        <row r="26">
          <cell r="D26">
            <v>95572.180989999993</v>
          </cell>
          <cell r="F26">
            <v>95371.9</v>
          </cell>
          <cell r="H26">
            <v>66212.454769999997</v>
          </cell>
          <cell r="J26">
            <v>66073.7</v>
          </cell>
          <cell r="L26">
            <v>65016.248</v>
          </cell>
          <cell r="N26">
            <v>64880</v>
          </cell>
          <cell r="P26">
            <v>65886.070800000001</v>
          </cell>
          <cell r="R26">
            <v>65748</v>
          </cell>
          <cell r="T26">
            <v>26103256.540155001</v>
          </cell>
          <cell r="V26">
            <v>25995893.5</v>
          </cell>
          <cell r="X26">
            <v>0.98193381027549542</v>
          </cell>
          <cell r="Z26">
            <v>0.52880000000000005</v>
          </cell>
        </row>
        <row r="27">
          <cell r="D27">
            <v>109849.40032</v>
          </cell>
          <cell r="F27">
            <v>109619.2</v>
          </cell>
          <cell r="H27">
            <v>75515.95117</v>
          </cell>
          <cell r="J27">
            <v>75357.7</v>
          </cell>
          <cell r="L27">
            <v>69526.700100000002</v>
          </cell>
          <cell r="N27">
            <v>69381</v>
          </cell>
          <cell r="P27">
            <v>75450.113199999993</v>
          </cell>
          <cell r="R27">
            <v>75292</v>
          </cell>
          <cell r="T27">
            <v>32838107.069654997</v>
          </cell>
          <cell r="V27">
            <v>32703043.5</v>
          </cell>
          <cell r="X27">
            <v>0.92068892760792864</v>
          </cell>
          <cell r="Z27">
            <v>0.60270000000000001</v>
          </cell>
        </row>
        <row r="28">
          <cell r="D28">
            <v>107223.79811</v>
          </cell>
          <cell r="F28">
            <v>106999.1</v>
          </cell>
          <cell r="H28">
            <v>77852.247110000011</v>
          </cell>
          <cell r="J28">
            <v>77689.100000000006</v>
          </cell>
          <cell r="L28">
            <v>73798.652400000006</v>
          </cell>
          <cell r="N28">
            <v>73644</v>
          </cell>
          <cell r="P28">
            <v>76958.273700000005</v>
          </cell>
          <cell r="R28">
            <v>76797</v>
          </cell>
          <cell r="T28">
            <v>35528816.493179999</v>
          </cell>
          <cell r="V28">
            <v>35382686</v>
          </cell>
          <cell r="X28">
            <v>0.94793220670596001</v>
          </cell>
          <cell r="Z28">
            <v>0.61219999999999997</v>
          </cell>
        </row>
        <row r="29">
          <cell r="D29">
            <v>112955.60969</v>
          </cell>
          <cell r="F29">
            <v>112718.9</v>
          </cell>
          <cell r="H29">
            <v>83265.791729999997</v>
          </cell>
          <cell r="J29">
            <v>83091.3</v>
          </cell>
          <cell r="L29">
            <v>74294.691900000005</v>
          </cell>
          <cell r="N29">
            <v>74139</v>
          </cell>
          <cell r="P29">
            <v>78320.127599999993</v>
          </cell>
          <cell r="R29">
            <v>78156</v>
          </cell>
          <cell r="T29">
            <v>39580242.06024</v>
          </cell>
          <cell r="V29">
            <v>39417448</v>
          </cell>
          <cell r="X29">
            <v>0.89225947842914954</v>
          </cell>
          <cell r="Z29">
            <v>0.63759999999999994</v>
          </cell>
        </row>
        <row r="30">
          <cell r="D30">
            <v>91844.168569999994</v>
          </cell>
          <cell r="F30">
            <v>91651.7</v>
          </cell>
          <cell r="H30">
            <v>70778.92426</v>
          </cell>
          <cell r="J30">
            <v>70630.600000000006</v>
          </cell>
          <cell r="L30">
            <v>65331.909500000002</v>
          </cell>
          <cell r="N30">
            <v>65195</v>
          </cell>
          <cell r="P30">
            <v>69945.577900000004</v>
          </cell>
          <cell r="R30">
            <v>69799</v>
          </cell>
          <cell r="T30">
            <v>27660623.511149999</v>
          </cell>
          <cell r="V30">
            <v>27546855</v>
          </cell>
          <cell r="X30">
            <v>0.92304185438039599</v>
          </cell>
          <cell r="Z30">
            <v>0.54169999999999996</v>
          </cell>
        </row>
        <row r="31">
          <cell r="D31">
            <v>78338.967080000002</v>
          </cell>
          <cell r="F31">
            <v>78174.8</v>
          </cell>
          <cell r="H31">
            <v>61314.39039</v>
          </cell>
          <cell r="J31">
            <v>61185.9</v>
          </cell>
          <cell r="L31">
            <v>61314.490599999997</v>
          </cell>
          <cell r="N31">
            <v>61186</v>
          </cell>
          <cell r="P31">
            <v>61314.490599999997</v>
          </cell>
          <cell r="R31">
            <v>61186</v>
          </cell>
          <cell r="T31">
            <v>24779403.766147498</v>
          </cell>
          <cell r="V31">
            <v>24677485.75</v>
          </cell>
          <cell r="X31">
            <v>1.0000016343634726</v>
          </cell>
          <cell r="Z31">
            <v>0.54210000000000003</v>
          </cell>
        </row>
        <row r="32">
          <cell r="D32">
            <v>68653.369949999993</v>
          </cell>
          <cell r="F32">
            <v>68509.5</v>
          </cell>
          <cell r="H32">
            <v>45110.533600000002</v>
          </cell>
          <cell r="J32">
            <v>45016</v>
          </cell>
          <cell r="L32">
            <v>39585.956299999998</v>
          </cell>
          <cell r="N32">
            <v>39503</v>
          </cell>
          <cell r="P32">
            <v>38914.549299999999</v>
          </cell>
          <cell r="R32">
            <v>38833</v>
          </cell>
          <cell r="T32">
            <v>20384809.742677499</v>
          </cell>
          <cell r="V32">
            <v>20300966.75</v>
          </cell>
          <cell r="X32">
            <v>0.87753243291274219</v>
          </cell>
          <cell r="Z32">
            <v>0.60419999999999996</v>
          </cell>
        </row>
        <row r="33">
          <cell r="D33">
            <v>73038.960389999993</v>
          </cell>
          <cell r="F33">
            <v>72885.899999999994</v>
          </cell>
          <cell r="H33">
            <v>53983.728259999996</v>
          </cell>
          <cell r="J33">
            <v>53870.6</v>
          </cell>
          <cell r="L33">
            <v>52652.338199999998</v>
          </cell>
          <cell r="N33">
            <v>52542</v>
          </cell>
          <cell r="P33">
            <v>52652.338199999998</v>
          </cell>
          <cell r="R33">
            <v>52542</v>
          </cell>
          <cell r="T33">
            <v>23847916.295835</v>
          </cell>
          <cell r="V33">
            <v>23749829.5</v>
          </cell>
          <cell r="X33">
            <v>0.97533719691260168</v>
          </cell>
          <cell r="Z33">
            <v>0.59260000000000002</v>
          </cell>
        </row>
      </sheetData>
      <sheetData sheetId="9">
        <row r="22">
          <cell r="D22">
            <v>168768.6389798508</v>
          </cell>
          <cell r="F22">
            <v>165996.4</v>
          </cell>
          <cell r="H22">
            <v>127868.19734337661</v>
          </cell>
          <cell r="J22">
            <v>125767.8</v>
          </cell>
          <cell r="L22">
            <v>115000.021227267</v>
          </cell>
          <cell r="N22">
            <v>113111</v>
          </cell>
          <cell r="P22">
            <v>127456.63694171101</v>
          </cell>
          <cell r="R22">
            <v>125363</v>
          </cell>
          <cell r="T22">
            <v>46397962.077953473</v>
          </cell>
          <cell r="V22">
            <v>45843587</v>
          </cell>
          <cell r="X22">
            <v>0.8993637481135871</v>
          </cell>
          <cell r="Y22"/>
          <cell r="Z22">
            <v>0.4899</v>
          </cell>
        </row>
        <row r="23">
          <cell r="D23">
            <v>133551.04533030809</v>
          </cell>
          <cell r="F23">
            <v>131357.29999999999</v>
          </cell>
          <cell r="H23">
            <v>86639.25974401171</v>
          </cell>
          <cell r="J23">
            <v>85216.1</v>
          </cell>
          <cell r="L23">
            <v>75084.355789046997</v>
          </cell>
          <cell r="N23">
            <v>73851</v>
          </cell>
          <cell r="P23">
            <v>75084.355789046997</v>
          </cell>
          <cell r="R23">
            <v>73851</v>
          </cell>
          <cell r="T23">
            <v>28903858.417273279</v>
          </cell>
          <cell r="V23">
            <v>28558507.5</v>
          </cell>
          <cell r="X23">
            <v>0.86663200967892207</v>
          </cell>
          <cell r="Y23"/>
          <cell r="Z23">
            <v>0.48149999999999998</v>
          </cell>
        </row>
        <row r="24">
          <cell r="D24">
            <v>106399.34419700521</v>
          </cell>
          <cell r="F24">
            <v>104651.6</v>
          </cell>
          <cell r="H24">
            <v>66268.036562161506</v>
          </cell>
          <cell r="J24">
            <v>65179.5</v>
          </cell>
          <cell r="L24">
            <v>55156.00738725</v>
          </cell>
          <cell r="N24">
            <v>54250</v>
          </cell>
          <cell r="P24">
            <v>41265.843831036</v>
          </cell>
          <cell r="R24">
            <v>40588</v>
          </cell>
          <cell r="T24">
            <v>27114055.631935392</v>
          </cell>
          <cell r="V24">
            <v>26790089.75</v>
          </cell>
          <cell r="X24">
            <v>0.83231690945772829</v>
          </cell>
          <cell r="Y24"/>
          <cell r="Z24">
            <v>0.55320000000000003</v>
          </cell>
        </row>
        <row r="25">
          <cell r="D25">
            <v>98138.651846380206</v>
          </cell>
          <cell r="F25">
            <v>96526.6</v>
          </cell>
          <cell r="H25">
            <v>60408.486011471403</v>
          </cell>
          <cell r="J25">
            <v>59416.2</v>
          </cell>
          <cell r="L25">
            <v>55916.499433805999</v>
          </cell>
          <cell r="N25">
            <v>54998</v>
          </cell>
          <cell r="P25">
            <v>55916.499433805999</v>
          </cell>
          <cell r="R25">
            <v>54998</v>
          </cell>
          <cell r="T25">
            <v>26230316.736727718</v>
          </cell>
          <cell r="V25">
            <v>25916910</v>
          </cell>
          <cell r="X25">
            <v>0.92563980867170914</v>
          </cell>
          <cell r="Y25"/>
          <cell r="Z25">
            <v>0.60580000000000001</v>
          </cell>
        </row>
        <row r="26">
          <cell r="D26">
            <v>118103.1947894304</v>
          </cell>
          <cell r="F26">
            <v>116163.2</v>
          </cell>
          <cell r="H26">
            <v>79962.9936037515</v>
          </cell>
          <cell r="J26">
            <v>78649.5</v>
          </cell>
          <cell r="L26">
            <v>77782.679173484998</v>
          </cell>
          <cell r="N26">
            <v>76505</v>
          </cell>
          <cell r="P26">
            <v>78412.016843028003</v>
          </cell>
          <cell r="R26">
            <v>77124</v>
          </cell>
          <cell r="T26">
            <v>32189794.902324725</v>
          </cell>
          <cell r="V26">
            <v>31805182.75</v>
          </cell>
          <cell r="X26">
            <v>0.97273345666533162</v>
          </cell>
          <cell r="Y26"/>
          <cell r="Z26">
            <v>0.54349999999999998</v>
          </cell>
        </row>
        <row r="27">
          <cell r="D27">
            <v>129041.46983231461</v>
          </cell>
          <cell r="F27">
            <v>126921.8</v>
          </cell>
          <cell r="H27">
            <v>92084.809811603394</v>
          </cell>
          <cell r="J27">
            <v>90572.2</v>
          </cell>
          <cell r="L27">
            <v>78983.402578542009</v>
          </cell>
          <cell r="N27">
            <v>77686</v>
          </cell>
          <cell r="P27">
            <v>89696.376769131006</v>
          </cell>
          <cell r="R27">
            <v>88223</v>
          </cell>
          <cell r="T27">
            <v>38820692.109567352</v>
          </cell>
          <cell r="V27">
            <v>38356852.25</v>
          </cell>
          <cell r="X27">
            <v>0.85772455565835881</v>
          </cell>
          <cell r="Y27"/>
          <cell r="Z27">
            <v>0.58819999999999995</v>
          </cell>
        </row>
        <row r="28">
          <cell r="D28">
            <v>128400.64344602551</v>
          </cell>
          <cell r="F28">
            <v>126291.5</v>
          </cell>
          <cell r="H28">
            <v>94316.772632197506</v>
          </cell>
          <cell r="J28">
            <v>92767.5</v>
          </cell>
          <cell r="L28">
            <v>89116.857428841002</v>
          </cell>
          <cell r="N28">
            <v>87653</v>
          </cell>
          <cell r="P28">
            <v>88543.438292133011</v>
          </cell>
          <cell r="R28">
            <v>87089</v>
          </cell>
          <cell r="T28">
            <v>42411522.547920175</v>
          </cell>
          <cell r="V28">
            <v>41904778.5</v>
          </cell>
          <cell r="X28">
            <v>0.94486754520710381</v>
          </cell>
          <cell r="Y28"/>
          <cell r="Z28">
            <v>0.60709999999999997</v>
          </cell>
        </row>
        <row r="29">
          <cell r="D29">
            <v>137636.14832905409</v>
          </cell>
          <cell r="F29">
            <v>135375.29999999999</v>
          </cell>
          <cell r="H29">
            <v>99353.405719675793</v>
          </cell>
          <cell r="J29">
            <v>97721.4</v>
          </cell>
          <cell r="L29">
            <v>86572.055834550003</v>
          </cell>
          <cell r="N29">
            <v>85150</v>
          </cell>
          <cell r="P29">
            <v>93256.862259825008</v>
          </cell>
          <cell r="R29">
            <v>91725</v>
          </cell>
          <cell r="T29">
            <v>47502965.955478847</v>
          </cell>
          <cell r="V29">
            <v>46935388</v>
          </cell>
          <cell r="X29">
            <v>0.87135468791892057</v>
          </cell>
          <cell r="Y29"/>
          <cell r="Z29">
            <v>0.64559999999999995</v>
          </cell>
        </row>
        <row r="30">
          <cell r="D30">
            <v>126458.03361533761</v>
          </cell>
          <cell r="F30">
            <v>124380.8</v>
          </cell>
          <cell r="H30">
            <v>88417.570758224407</v>
          </cell>
          <cell r="J30">
            <v>86965.2</v>
          </cell>
          <cell r="L30">
            <v>88417.367418105001</v>
          </cell>
          <cell r="N30">
            <v>86965</v>
          </cell>
          <cell r="P30">
            <v>81674.609058800997</v>
          </cell>
          <cell r="R30">
            <v>80333</v>
          </cell>
          <cell r="T30">
            <v>34556456.144522086</v>
          </cell>
          <cell r="V30">
            <v>34143566.5</v>
          </cell>
          <cell r="X30">
            <v>0.99999770022951717</v>
          </cell>
          <cell r="Y30"/>
          <cell r="Z30">
            <v>0.54530000000000001</v>
          </cell>
        </row>
        <row r="31">
          <cell r="D31">
            <v>119198.58801263821</v>
          </cell>
          <cell r="F31">
            <v>117240.6</v>
          </cell>
          <cell r="H31">
            <v>74670.151965829209</v>
          </cell>
          <cell r="J31">
            <v>73443.600000000006</v>
          </cell>
          <cell r="L31">
            <v>71446.601052981001</v>
          </cell>
          <cell r="N31">
            <v>70273</v>
          </cell>
          <cell r="P31">
            <v>71446.601052981001</v>
          </cell>
          <cell r="R31">
            <v>70273</v>
          </cell>
          <cell r="T31">
            <v>30704394.193211276</v>
          </cell>
          <cell r="V31">
            <v>30337530</v>
          </cell>
          <cell r="X31">
            <v>0.95682945825095711</v>
          </cell>
          <cell r="Y31"/>
          <cell r="Z31">
            <v>0.55520000000000003</v>
          </cell>
        </row>
        <row r="32">
          <cell r="D32">
            <v>123002.36995619429</v>
          </cell>
          <cell r="F32">
            <v>120981.9</v>
          </cell>
          <cell r="H32">
            <v>63395.959045696203</v>
          </cell>
          <cell r="J32">
            <v>62354.6</v>
          </cell>
          <cell r="L32">
            <v>47590.738244972999</v>
          </cell>
          <cell r="N32">
            <v>46809</v>
          </cell>
          <cell r="P32">
            <v>52123.189506399001</v>
          </cell>
          <cell r="R32">
            <v>51267</v>
          </cell>
          <cell r="T32">
            <v>26207870.037651882</v>
          </cell>
          <cell r="V32">
            <v>25894731.5</v>
          </cell>
          <cell r="X32">
            <v>0.75069040616089266</v>
          </cell>
          <cell r="Y32"/>
          <cell r="Z32">
            <v>0.56910000000000005</v>
          </cell>
        </row>
        <row r="33">
          <cell r="D33">
            <v>130124.9676585375</v>
          </cell>
          <cell r="F33">
            <v>127987.5</v>
          </cell>
          <cell r="H33">
            <v>73761.323302170902</v>
          </cell>
          <cell r="J33">
            <v>72549.7</v>
          </cell>
          <cell r="L33">
            <v>66119.089924701009</v>
          </cell>
          <cell r="N33">
            <v>65033</v>
          </cell>
          <cell r="P33">
            <v>66119.089924701009</v>
          </cell>
          <cell r="R33">
            <v>65033</v>
          </cell>
          <cell r="T33">
            <v>30580068.719690718</v>
          </cell>
          <cell r="V33">
            <v>30214690</v>
          </cell>
          <cell r="X33">
            <v>0.8963924041036696</v>
          </cell>
          <cell r="Y33"/>
          <cell r="Z33">
            <v>0.55979999999999996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V70"/>
  <x:sheetViews>
    <x:sheetView topLeftCell="B1" zoomScale="75" zoomScaleNormal="75" workbookViewId="0">
      <x:selection activeCell="U12" sqref="U12"/>
    </x:sheetView>
  </x:sheetViews>
  <x:sheetFormatPr defaultColWidth="9.140625" defaultRowHeight="18.75" customHeight="1" x14ac:dyDescent="0.25"/>
  <x:cols>
    <x:col min="1" max="1" width="4.7109375" style="3" customWidth="1"/>
    <x:col min="2" max="2" width="3.85546875" style="3" customWidth="1"/>
    <x:col min="3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4.2851562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6384" width="9.140625" style="3"/>
  </x:cols>
  <x:sheetData>
    <x:row r="1" spans="1:18" ht="18.75" customHeight="1" x14ac:dyDescent="0.25">
      <x:c r="A1" s="19"/>
      <x:c r="B1" s="19"/>
      <x:c r="C1" s="33"/>
      <x:c r="D1" s="20"/>
      <x:c r="E1" s="20"/>
      <x:c r="F1" s="20"/>
      <x:c r="G1" s="19"/>
      <x:c r="H1" s="20"/>
      <x:c r="I1" s="19"/>
      <x:c r="J1" s="20"/>
      <x:c r="K1" s="19"/>
      <x:c r="N1" s="19" t="s">
        <x:v>65</x:v>
      </x:c>
      <x:c r="O1" s="20"/>
      <x:c r="Q1" s="20"/>
    </x:row>
    <x:row r="2" spans="1:18" ht="18.75" customHeight="1" x14ac:dyDescent="0.25">
      <x:c r="A2" s="19"/>
      <x:c r="B2" s="19"/>
      <x:c r="C2" s="19"/>
      <x:c r="D2" s="20"/>
      <x:c r="E2" s="20"/>
      <x:c r="F2" s="20"/>
      <x:c r="G2" s="19"/>
      <x:c r="H2" s="20"/>
      <x:c r="I2" s="19"/>
      <x:c r="J2" s="20"/>
      <x:c r="K2" s="19"/>
      <x:c r="N2" s="19" t="s">
        <x:v>107</x:v>
      </x:c>
      <x:c r="O2" s="20"/>
      <x:c r="Q2" s="20"/>
    </x:row>
    <x:row r="3" spans="1:18" ht="18.75" customHeight="1" x14ac:dyDescent="0.25">
      <x:c r="A3" s="19"/>
      <x:c r="B3" s="19"/>
      <x:c r="C3" s="19"/>
      <x:c r="D3" s="20"/>
      <x:c r="E3" s="20"/>
      <x:c r="F3" s="20"/>
      <x:c r="G3" s="19"/>
      <x:c r="H3" s="20"/>
      <x:c r="I3" s="19"/>
      <x:c r="J3" s="20"/>
      <x:c r="K3" s="19"/>
      <x:c r="L3" s="20"/>
      <x:c r="M3" s="19"/>
      <x:c r="N3" s="20"/>
      <x:c r="O3" s="19"/>
      <x:c r="P3" s="20"/>
      <x:c r="Q3" s="20"/>
    </x:row>
    <x:row r="4" spans="1:18" ht="18.75" customHeight="1" x14ac:dyDescent="0.25">
      <x:c r="A4" s="19"/>
      <x:c r="B4" s="19"/>
      <x:c r="C4" s="19"/>
      <x:c r="D4" s="20"/>
      <x:c r="E4" s="20"/>
      <x:c r="F4" s="20"/>
      <x:c r="G4" s="19"/>
      <x:c r="H4" s="20"/>
      <x:c r="I4" s="19"/>
      <x:c r="J4" s="20"/>
      <x:c r="K4" s="19"/>
      <x:c r="L4" s="20"/>
      <x:c r="M4" s="19"/>
      <x:c r="N4" s="20"/>
      <x:c r="O4" s="19"/>
      <x:c r="P4" s="20"/>
      <x:c r="Q4" s="20"/>
    </x:row>
    <x:row r="5" spans="1:18" ht="18.75" customHeight="1" x14ac:dyDescent="0.25">
      <x:c r="A5" s="21" t="s">
        <x:v>122</x:v>
      </x:c>
      <x:c r="B5" s="22"/>
      <x:c r="C5" s="22"/>
      <x:c r="D5" s="23"/>
      <x:c r="E5" s="23"/>
      <x:c r="F5" s="23"/>
      <x:c r="G5" s="22"/>
      <x:c r="H5" s="23"/>
      <x:c r="I5" s="22"/>
      <x:c r="J5" s="23"/>
      <x:c r="K5" s="22"/>
      <x:c r="L5" s="23"/>
      <x:c r="M5" s="22"/>
      <x:c r="N5" s="23"/>
      <x:c r="O5" s="22"/>
      <x:c r="P5" s="23"/>
      <x:c r="Q5" s="23"/>
      <x:c r="R5" s="9"/>
    </x:row>
    <x:row r="6" spans="1:18" ht="18.75" customHeight="1" x14ac:dyDescent="0.25">
      <x:c r="A6" s="8" t="s">
        <x:v>42</x:v>
      </x:c>
      <x:c r="B6" s="9"/>
      <x:c r="C6" s="9"/>
      <x:c r="D6" s="10"/>
      <x:c r="E6" s="9"/>
      <x:c r="F6" s="10"/>
      <x:c r="G6" s="9"/>
      <x:c r="H6" s="10"/>
      <x:c r="I6" s="9"/>
      <x:c r="J6" s="10"/>
      <x:c r="K6" s="9"/>
      <x:c r="L6" s="10"/>
      <x:c r="M6" s="10"/>
      <x:c r="N6" s="10"/>
      <x:c r="O6" s="9"/>
      <x:c r="P6" s="10"/>
      <x:c r="Q6" s="10"/>
      <x:c r="R6" s="9"/>
    </x:row>
    <x:row r="7" spans="1:18" ht="18.75" customHeight="1" x14ac:dyDescent="0.25">
      <x:c r="A7" s="8" t="s">
        <x:v>100</x:v>
      </x:c>
      <x:c r="B7" s="9"/>
      <x:c r="C7" s="9"/>
      <x:c r="D7" s="10"/>
      <x:c r="E7" s="9"/>
      <x:c r="F7" s="10"/>
      <x:c r="G7" s="9"/>
      <x:c r="H7" s="10"/>
      <x:c r="I7" s="9"/>
      <x:c r="J7" s="10"/>
      <x:c r="K7" s="9"/>
      <x:c r="L7" s="10"/>
      <x:c r="M7" s="10"/>
      <x:c r="N7" s="10"/>
      <x:c r="O7" s="9"/>
      <x:c r="P7" s="10"/>
      <x:c r="Q7" s="10"/>
      <x:c r="R7" s="9"/>
    </x:row>
    <x:row r="8" spans="1:18" ht="18.75" customHeight="1" x14ac:dyDescent="0.25">
      <x:c r="A8" s="8" t="s">
        <x:v>109</x:v>
      </x:c>
      <x:c r="B8" s="9"/>
      <x:c r="C8" s="9"/>
      <x:c r="D8" s="10"/>
      <x:c r="E8" s="9"/>
      <x:c r="F8" s="10"/>
      <x:c r="G8" s="9"/>
      <x:c r="H8" s="10"/>
      <x:c r="I8" s="9"/>
      <x:c r="J8" s="10"/>
      <x:c r="K8" s="9"/>
      <x:c r="L8" s="10"/>
      <x:c r="M8" s="10"/>
      <x:c r="N8" s="10"/>
      <x:c r="O8" s="9"/>
      <x:c r="P8" s="10"/>
      <x:c r="Q8" s="10"/>
      <x:c r="R8" s="9"/>
    </x:row>
    <x:row r="9" spans="1:18" ht="18.75" customHeight="1" x14ac:dyDescent="0.25">
      <x:c r="A9" s="9"/>
      <x:c r="B9" s="9"/>
      <x:c r="C9" s="9"/>
      <x:c r="D9" s="10"/>
      <x:c r="E9" s="9"/>
      <x:c r="F9" s="10"/>
      <x:c r="G9" s="9"/>
      <x:c r="H9" s="10"/>
      <x:c r="I9" s="9"/>
      <x:c r="J9" s="10"/>
      <x:c r="K9" s="9"/>
      <x:c r="L9" s="10"/>
      <x:c r="M9" s="10"/>
      <x:c r="N9" s="10"/>
      <x:c r="O9" s="9"/>
      <x:c r="P9" s="10"/>
      <x:c r="Q9" s="10"/>
      <x:c r="R9" s="9"/>
    </x:row>
    <x:row r="10" spans="1:18" ht="18.75" customHeight="1" x14ac:dyDescent="0.25">
      <x:c r="A10" s="8" t="s">
        <x:v>45</x:v>
      </x:c>
      <x:c r="B10" s="9"/>
      <x:c r="C10" s="9"/>
      <x:c r="D10" s="10"/>
      <x:c r="E10" s="9"/>
      <x:c r="F10" s="10"/>
      <x:c r="G10" s="9"/>
      <x:c r="H10" s="10"/>
      <x:c r="I10" s="9"/>
      <x:c r="J10" s="10"/>
      <x:c r="K10" s="9"/>
      <x:c r="L10" s="10"/>
      <x:c r="M10" s="10"/>
      <x:c r="N10" s="10"/>
      <x:c r="O10" s="9"/>
      <x:c r="P10" s="10"/>
      <x:c r="Q10" s="10"/>
      <x:c r="R10" s="9"/>
    </x:row>
    <x:row r="11" spans="1:18" ht="18.75" customHeight="1" x14ac:dyDescent="0.25">
      <x:c r="A11" s="9"/>
      <x:c r="B11" s="9"/>
      <x:c r="C11" s="9"/>
      <x:c r="D11" s="10"/>
      <x:c r="E11" s="9"/>
      <x:c r="F11" s="10"/>
      <x:c r="G11" s="9"/>
      <x:c r="H11" s="10"/>
      <x:c r="I11" s="9"/>
      <x:c r="J11" s="10"/>
      <x:c r="K11" s="9"/>
      <x:c r="L11" s="10"/>
      <x:c r="M11" s="10"/>
      <x:c r="N11" s="10"/>
      <x:c r="O11" s="9"/>
      <x:c r="P11" s="10"/>
      <x:c r="Q11" s="10"/>
      <x:c r="R11" s="9"/>
    </x:row>
    <x:row r="12" spans="1:18" ht="18.75" customHeight="1" x14ac:dyDescent="0.25">
      <x:c r="A12" s="9"/>
      <x:c r="B12" s="9"/>
      <x:c r="C12" s="9"/>
      <x:c r="D12" s="10"/>
      <x:c r="E12" s="9"/>
      <x:c r="F12" s="10"/>
      <x:c r="G12" s="9"/>
      <x:c r="H12" s="10"/>
      <x:c r="I12" s="9"/>
      <x:c r="J12" s="10"/>
      <x:c r="K12" s="9"/>
      <x:c r="L12" s="10"/>
      <x:c r="M12" s="10"/>
      <x:c r="N12" s="10"/>
      <x:c r="O12" s="9"/>
      <x:c r="P12" s="10"/>
      <x:c r="Q12" s="10"/>
      <x:c r="R12" s="9"/>
    </x:row>
    <x:row r="13" spans="1:18" ht="18.75" customHeight="1" x14ac:dyDescent="0.25">
      <x:c r="A13" s="3">
        <x:v>1</x:v>
      </x:c>
      <x:c r="C13" s="24" t="s">
        <x:v>121</x:v>
      </x:c>
    </x:row>
    <x:row r="14" spans="1:18" ht="18.75" customHeight="1" x14ac:dyDescent="0.25">
      <x:c r="A14" s="3">
        <x:v>2</x:v>
      </x:c>
    </x:row>
    <x:row r="15" spans="1:18" ht="18.75" customHeight="1" x14ac:dyDescent="0.3">
      <x:c r="A15" s="3">
        <x:v>3</x:v>
      </x:c>
      <x:c r="C15" s="24" t="s">
        <x:v>66</x:v>
      </x:c>
    </x:row>
    <x:row r="16" spans="1:18" ht="18.75" customHeight="1" x14ac:dyDescent="0.25">
      <x:c r="A16" s="3">
        <x:v>4</x:v>
      </x:c>
    </x:row>
    <x:row r="17" spans="1:22" ht="18.75" customHeight="1" x14ac:dyDescent="0.25">
      <x:c r="A17" s="3">
        <x:v>5</x:v>
      </x:c>
      <x:c r="D17" s="4" t="s">
        <x:v>67</x:v>
      </x:c>
      <x:c r="L17" s="3"/>
      <x:c r="M17" s="3"/>
      <x:c r="N17" s="3"/>
      <x:c r="P17" s="3"/>
      <x:c r="Q17" s="3"/>
    </x:row>
    <x:row r="18" spans="1:22" ht="18.75" customHeight="1" x14ac:dyDescent="0.25">
      <x:c r="A18" s="3">
        <x:v>6</x:v>
      </x:c>
      <x:c r="L18" s="3"/>
      <x:c r="M18" s="3"/>
      <x:c r="N18" s="3"/>
      <x:c r="P18" s="3"/>
      <x:c r="Q18" s="3"/>
    </x:row>
    <x:row r="19" spans="1:22" ht="18.75" customHeight="1" x14ac:dyDescent="0.25">
      <x:c r="A19" s="3">
        <x:v>7</x:v>
      </x:c>
      <x:c r="D19" s="4" t="s">
        <x:v>78</x:v>
      </x:c>
      <x:c r="H19" s="25"/>
      <x:c r="L19" s="3"/>
      <x:c r="M19" s="3"/>
      <x:c r="N19" s="3"/>
      <x:c r="P19" s="3"/>
      <x:c r="Q19" s="3"/>
    </x:row>
    <x:row r="20" spans="1:22" ht="18.75" customHeight="1" x14ac:dyDescent="0.25">
      <x:c r="A20" s="3">
        <x:v>8</x:v>
      </x:c>
      <x:c r="H20" s="4" t="s">
        <x:v>79</x:v>
      </x:c>
      <x:c r="L20" s="3"/>
      <x:c r="M20" s="3"/>
      <x:c r="N20" s="3"/>
      <x:c r="P20" s="3"/>
      <x:c r="Q20" s="3"/>
    </x:row>
    <x:row r="21" spans="1:22" ht="18.75" customHeight="1" x14ac:dyDescent="0.25">
      <x:c r="A21" s="3">
        <x:v>9</x:v>
      </x:c>
      <x:c r="L21" s="3"/>
      <x:c r="M21" s="3"/>
      <x:c r="N21" s="3"/>
      <x:c r="P21" s="3"/>
      <x:c r="Q21" s="3"/>
    </x:row>
    <x:row r="22" spans="1:22" ht="18.75" customHeight="1" x14ac:dyDescent="0.25">
      <x:c r="A22" s="3">
        <x:v>10</x:v>
      </x:c>
      <x:c r="D22" s="4" t="s">
        <x:v>68</x:v>
      </x:c>
      <x:c r="L22" s="3"/>
      <x:c r="M22" s="3"/>
      <x:c r="N22" s="3"/>
      <x:c r="P22" s="3"/>
      <x:c r="Q22" s="3"/>
    </x:row>
    <x:row r="23" spans="1:22" ht="18.75" customHeight="1" x14ac:dyDescent="0.25">
      <x:c r="A23" s="3">
        <x:v>11</x:v>
      </x:c>
      <x:c r="D23" s="4" t="s">
        <x:v>80</x:v>
      </x:c>
      <x:c r="L23" s="3"/>
      <x:c r="M23" s="3"/>
      <x:c r="N23" s="3"/>
      <x:c r="P23" s="3"/>
      <x:c r="Q23" s="3"/>
      <x:c r="V23" s="4"/>
    </x:row>
    <x:row r="24" spans="1:22" ht="18.75" customHeight="1" x14ac:dyDescent="0.25">
      <x:c r="A24" s="3">
        <x:v>12</x:v>
      </x:c>
      <x:c r="L24" s="3"/>
      <x:c r="M24" s="3"/>
      <x:c r="N24" s="3"/>
      <x:c r="P24" s="3"/>
      <x:c r="Q24" s="3"/>
    </x:row>
    <x:row r="25" spans="1:22" ht="18.75" customHeight="1" x14ac:dyDescent="0.25">
      <x:c r="A25" s="3">
        <x:v>13</x:v>
      </x:c>
      <x:c r="D25" s="4" t="s">
        <x:v>81</x:v>
      </x:c>
      <x:c r="L25" s="3"/>
      <x:c r="M25" s="3"/>
      <x:c r="N25" s="3"/>
      <x:c r="P25" s="3"/>
      <x:c r="Q25" s="3"/>
    </x:row>
    <x:row r="26" spans="1:22" ht="18.75" customHeight="1" x14ac:dyDescent="0.25">
      <x:c r="A26" s="3">
        <x:v>14</x:v>
      </x:c>
      <x:c r="H26" s="3"/>
      <x:c r="J26" s="4" t="s">
        <x:v>108</x:v>
      </x:c>
      <x:c r="L26" s="3"/>
      <x:c r="M26" s="3"/>
      <x:c r="N26" s="3"/>
      <x:c r="P26" s="3"/>
      <x:c r="Q26" s="3"/>
    </x:row>
    <x:row r="27" spans="1:22" ht="18.75" customHeight="1" x14ac:dyDescent="0.25">
      <x:c r="A27" s="3">
        <x:v>15</x:v>
      </x:c>
      <x:c r="L27" s="3"/>
      <x:c r="M27" s="3"/>
      <x:c r="N27" s="3"/>
      <x:c r="P27" s="3"/>
      <x:c r="Q27" s="3"/>
    </x:row>
    <x:row r="28" spans="1:22" ht="18.75" customHeight="1" x14ac:dyDescent="0.3">
      <x:c r="A28" s="3">
        <x:v>16</x:v>
      </x:c>
      <x:c r="D28" s="4" t="s">
        <x:v>113</x:v>
      </x:c>
      <x:c r="L28" s="3"/>
      <x:c r="M28" s="3"/>
      <x:c r="N28" s="3"/>
      <x:c r="P28" s="3"/>
      <x:c r="Q28" s="3"/>
    </x:row>
    <x:row r="29" spans="1:22" ht="18.75" customHeight="1" x14ac:dyDescent="0.25">
      <x:c r="A29" s="3">
        <x:v>17</x:v>
      </x:c>
    </x:row>
    <x:row r="30" spans="1:22" ht="18.75" customHeight="1" x14ac:dyDescent="0.25">
      <x:c r="A30" s="3">
        <x:v>18</x:v>
      </x:c>
      <x:c r="F30" s="27" t="s">
        <x:v>110</x:v>
      </x:c>
      <x:c r="G30" s="27" t="s">
        <x:v>70</x:v>
      </x:c>
      <x:c r="H30" s="34" t="s">
        <x:v>112</x:v>
      </x:c>
      <x:c r="I30" s="28"/>
      <x:c r="J30" s="27"/>
      <x:c r="K30" s="7"/>
    </x:row>
    <x:row r="31" spans="1:22" ht="18.75" customHeight="1" x14ac:dyDescent="0.25">
      <x:c r="A31" s="3">
        <x:v>19</x:v>
      </x:c>
      <x:c r="F31" s="27"/>
      <x:c r="G31" s="27"/>
      <x:c r="H31" s="27" t="s">
        <x:v>111</x:v>
      </x:c>
      <x:c r="I31" s="27"/>
      <x:c r="J31" s="27"/>
      <x:c r="K31" s="7"/>
    </x:row>
    <x:row r="32" spans="1:22" ht="18.75" customHeight="1" x14ac:dyDescent="0.25">
      <x:c r="A32" s="3">
        <x:v>20</x:v>
      </x:c>
    </x:row>
    <x:row r="33" spans="1:18" ht="18.75" customHeight="1" x14ac:dyDescent="0.3">
      <x:c r="A33" s="3">
        <x:v>21</x:v>
      </x:c>
      <x:c r="C33" s="24" t="s">
        <x:v>71</x:v>
      </x:c>
    </x:row>
    <x:row r="34" spans="1:18" ht="18.75" customHeight="1" x14ac:dyDescent="0.25">
      <x:c r="A34" s="3">
        <x:v>22</x:v>
      </x:c>
    </x:row>
    <x:row r="35" spans="1:18" ht="18.75" customHeight="1" x14ac:dyDescent="0.3">
      <x:c r="A35" s="3">
        <x:v>23</x:v>
      </x:c>
      <x:c r="D35" s="4" t="s">
        <x:v>82</x:v>
      </x:c>
    </x:row>
    <x:row r="36" spans="1:18" ht="18.75" customHeight="1" x14ac:dyDescent="0.25">
      <x:c r="A36" s="3">
        <x:v>24</x:v>
      </x:c>
      <x:c r="D36" s="4" t="s">
        <x:v>83</x:v>
      </x:c>
    </x:row>
    <x:row r="37" spans="1:18" ht="18.75" customHeight="1" x14ac:dyDescent="0.25">
      <x:c r="A37" s="3">
        <x:v>25</x:v>
      </x:c>
    </x:row>
    <x:row r="38" spans="1:18" ht="18.75" customHeight="1" x14ac:dyDescent="0.3">
      <x:c r="A38" s="3">
        <x:v>26</x:v>
      </x:c>
      <x:c r="D38" s="4" t="s">
        <x:v>117</x:v>
      </x:c>
      <x:c r="E38" s="1"/>
      <x:c r="K38" s="4"/>
      <x:c r="M38" s="1"/>
      <x:c r="N38" s="2"/>
      <x:c r="O38" s="1"/>
      <x:c r="P38" s="2"/>
      <x:c r="Q38" s="2"/>
      <x:c r="R38" s="1"/>
    </x:row>
    <x:row r="39" spans="1:18" ht="18.75" customHeight="1" x14ac:dyDescent="0.25">
      <x:c r="A39" s="3">
        <x:v>27</x:v>
      </x:c>
      <x:c r="L39" s="4" t="s">
        <x:v>84</x:v>
      </x:c>
    </x:row>
    <x:row r="40" spans="1:18" ht="18.75" customHeight="1" x14ac:dyDescent="0.25">
      <x:c r="A40" s="3">
        <x:v>28</x:v>
      </x:c>
      <x:c r="D40" s="4" t="s">
        <x:v>68</x:v>
      </x:c>
    </x:row>
    <x:row r="41" spans="1:18" ht="18.75" customHeight="1" x14ac:dyDescent="0.25">
      <x:c r="A41" s="3">
        <x:v>29</x:v>
      </x:c>
      <x:c r="D41" s="4" t="s">
        <x:v>69</x:v>
      </x:c>
    </x:row>
    <x:row r="42" spans="1:18" ht="18.75" customHeight="1" x14ac:dyDescent="0.25">
      <x:c r="A42" s="3">
        <x:v>30</x:v>
      </x:c>
      <x:c r="D42" s="4" t="s">
        <x:v>73</x:v>
      </x:c>
    </x:row>
    <x:row r="43" spans="1:18" ht="18.75" customHeight="1" x14ac:dyDescent="0.25">
      <x:c r="A43" s="3">
        <x:v>31</x:v>
      </x:c>
    </x:row>
    <x:row r="44" spans="1:18" ht="18.75" customHeight="1" x14ac:dyDescent="0.3">
      <x:c r="A44" s="3">
        <x:v>32</x:v>
      </x:c>
      <x:c r="D44" s="4" t="s">
        <x:v>85</x:v>
      </x:c>
    </x:row>
    <x:row r="45" spans="1:18" ht="18.75" customHeight="1" x14ac:dyDescent="0.25">
      <x:c r="A45" s="3">
        <x:v>33</x:v>
      </x:c>
    </x:row>
    <x:row r="46" spans="1:18" ht="18.75" customHeight="1" x14ac:dyDescent="0.3">
      <x:c r="A46" s="3">
        <x:v>34</x:v>
      </x:c>
      <x:c r="D46" s="26" t="s">
        <x:v>114</x:v>
      </x:c>
    </x:row>
    <x:row r="47" spans="1:18" ht="18.75" customHeight="1" x14ac:dyDescent="0.25">
      <x:c r="A47" s="3">
        <x:v>35</x:v>
      </x:c>
      <x:c r="D47" s="26"/>
    </x:row>
    <x:row r="48" spans="1:18" ht="18.75" customHeight="1" x14ac:dyDescent="0.25">
      <x:c r="A48" s="3">
        <x:v>36</x:v>
      </x:c>
      <x:c r="F48" s="4" t="s">
        <x:v>101</x:v>
      </x:c>
      <x:c r="J48" s="4" t="s">
        <x:v>102</x:v>
      </x:c>
      <x:c r="L48" s="4" t="s">
        <x:v>103</x:v>
      </x:c>
    </x:row>
    <x:row r="49" spans="1:18" ht="18.75" customHeight="1" x14ac:dyDescent="0.25">
      <x:c r="A49" s="3">
        <x:v>37</x:v>
      </x:c>
      <x:c r="D49" s="4" t="s">
        <x:v>74</x:v>
      </x:c>
      <x:c r="F49" s="5" t="s">
        <x:v>116</x:v>
      </x:c>
      <x:c r="G49" s="5"/>
      <x:c r="H49" s="5"/>
      <x:c r="I49" s="5"/>
      <x:c r="J49" s="5"/>
      <x:c r="K49" s="5"/>
      <x:c r="L49" s="5"/>
    </x:row>
    <x:row r="50" spans="1:18" ht="18.75" customHeight="1" x14ac:dyDescent="0.25">
      <x:c r="A50" s="3">
        <x:v>38</x:v>
      </x:c>
      <x:c r="D50" s="4" t="s">
        <x:v>75</x:v>
      </x:c>
      <x:c r="F50" s="5" t="s">
        <x:v>115</x:v>
      </x:c>
      <x:c r="G50" s="5"/>
      <x:c r="H50" s="5"/>
      <x:c r="I50" s="5"/>
      <x:c r="J50" s="5"/>
      <x:c r="K50" s="5"/>
      <x:c r="L50" s="5"/>
    </x:row>
    <x:row r="51" spans="1:18" ht="18.75" customHeight="1" x14ac:dyDescent="0.25">
      <x:c r="A51" s="3">
        <x:v>39</x:v>
      </x:c>
    </x:row>
    <x:row r="52" spans="1:18" ht="18.75" customHeight="1" x14ac:dyDescent="0.3">
      <x:c r="A52" s="3">
        <x:v>40</x:v>
      </x:c>
      <x:c r="C52" s="24" t="s">
        <x:v>76</x:v>
      </x:c>
    </x:row>
    <x:row r="53" spans="1:18" ht="18.75" customHeight="1" x14ac:dyDescent="0.25">
      <x:c r="A53" s="3">
        <x:v>41</x:v>
      </x:c>
    </x:row>
    <x:row r="54" spans="1:18" ht="18.75" customHeight="1" x14ac:dyDescent="0.3">
      <x:c r="A54" s="3">
        <x:v>42</x:v>
      </x:c>
      <x:c r="D54" s="4" t="s">
        <x:v>86</x:v>
      </x:c>
    </x:row>
    <x:row r="55" spans="1:18" ht="18.75" customHeight="1" x14ac:dyDescent="0.25">
      <x:c r="A55" s="3">
        <x:v>43</x:v>
      </x:c>
      <x:c r="D55" s="4" t="s">
        <x:v>72</x:v>
      </x:c>
    </x:row>
    <x:row r="56" spans="1:18" ht="18.75" customHeight="1" x14ac:dyDescent="0.25">
      <x:c r="A56" s="3">
        <x:v>44</x:v>
      </x:c>
    </x:row>
    <x:row r="57" spans="1:18" ht="18.75" customHeight="1" x14ac:dyDescent="0.3">
      <x:c r="A57" s="3">
        <x:v>45</x:v>
      </x:c>
      <x:c r="D57" s="4" t="s">
        <x:v>87</x:v>
      </x:c>
      <x:c r="E57" s="1"/>
      <x:c r="F57" s="2"/>
      <x:c r="G57" s="1"/>
      <x:c r="H57" s="2"/>
      <x:c r="I57" s="1"/>
      <x:c r="J57" s="2"/>
      <x:c r="K57" s="1"/>
      <x:c r="L57" s="2"/>
      <x:c r="M57" s="2"/>
      <x:c r="N57" s="2"/>
      <x:c r="O57" s="1"/>
      <x:c r="P57" s="2"/>
      <x:c r="Q57" s="2"/>
      <x:c r="R57" s="1"/>
    </x:row>
    <x:row r="58" spans="1:18" ht="18.75" customHeight="1" x14ac:dyDescent="0.25">
      <x:c r="A58" s="3">
        <x:v>46</x:v>
      </x:c>
      <x:c r="M58" s="4" t="s">
        <x:v>84</x:v>
      </x:c>
    </x:row>
    <x:row r="59" spans="1:18" ht="18.75" customHeight="1" x14ac:dyDescent="0.25">
      <x:c r="A59" s="3">
        <x:v>47</x:v>
      </x:c>
      <x:c r="D59" s="4" t="s">
        <x:v>68</x:v>
      </x:c>
    </x:row>
    <x:row r="60" spans="1:18" ht="18.75" customHeight="1" x14ac:dyDescent="0.25">
      <x:c r="A60" s="3">
        <x:v>48</x:v>
      </x:c>
      <x:c r="D60" s="4" t="s">
        <x:v>69</x:v>
      </x:c>
    </x:row>
    <x:row r="61" spans="1:18" ht="18.75" customHeight="1" x14ac:dyDescent="0.25">
      <x:c r="A61" s="3">
        <x:v>49</x:v>
      </x:c>
      <x:c r="D61" s="4" t="s">
        <x:v>73</x:v>
      </x:c>
    </x:row>
    <x:row r="62" spans="1:18" ht="18.75" customHeight="1" x14ac:dyDescent="0.25">
      <x:c r="A62" s="3">
        <x:v>50</x:v>
      </x:c>
    </x:row>
    <x:row r="63" spans="1:18" ht="18.75" customHeight="1" x14ac:dyDescent="0.3">
      <x:c r="A63" s="3">
        <x:v>51</x:v>
      </x:c>
      <x:c r="D63" s="4" t="s">
        <x:v>88</x:v>
      </x:c>
    </x:row>
    <x:row r="64" spans="1:18" ht="18.75" customHeight="1" x14ac:dyDescent="0.25">
      <x:c r="A64" s="3">
        <x:v>52</x:v>
      </x:c>
    </x:row>
    <x:row r="65" spans="1:12" ht="18.75" customHeight="1" x14ac:dyDescent="0.25">
      <x:c r="A65" s="3">
        <x:v>53</x:v>
      </x:c>
    </x:row>
    <x:row r="66" spans="1:12" ht="18.75" customHeight="1" x14ac:dyDescent="0.3">
      <x:c r="A66" s="3">
        <x:v>54</x:v>
      </x:c>
      <x:c r="D66" s="26" t="s">
        <x:v>120</x:v>
      </x:c>
    </x:row>
    <x:row r="67" spans="1:12" ht="18.75" customHeight="1" x14ac:dyDescent="0.25">
      <x:c r="A67" s="3">
        <x:v>55</x:v>
      </x:c>
      <x:c r="D67" s="26"/>
    </x:row>
    <x:row r="68" spans="1:12" ht="18.75" customHeight="1" x14ac:dyDescent="0.25">
      <x:c r="A68" s="3">
        <x:v>56</x:v>
      </x:c>
      <x:c r="F68" s="4" t="s">
        <x:v>104</x:v>
      </x:c>
      <x:c r="J68" s="4" t="s">
        <x:v>105</x:v>
      </x:c>
      <x:c r="L68" s="4" t="s">
        <x:v>106</x:v>
      </x:c>
    </x:row>
    <x:row r="69" spans="1:12" ht="18.75" customHeight="1" x14ac:dyDescent="0.25">
      <x:c r="A69" s="3">
        <x:v>57</x:v>
      </x:c>
      <x:c r="D69" s="4" t="s">
        <x:v>74</x:v>
      </x:c>
      <x:c r="F69" s="5" t="s">
        <x:v>118</x:v>
      </x:c>
      <x:c r="G69" s="5"/>
      <x:c r="H69" s="5"/>
      <x:c r="I69" s="5"/>
      <x:c r="J69" s="5"/>
      <x:c r="K69" s="5"/>
      <x:c r="L69" s="5"/>
    </x:row>
    <x:row r="70" spans="1:12" ht="18.75" customHeight="1" x14ac:dyDescent="0.25">
      <x:c r="A70" s="3">
        <x:v>58</x:v>
      </x:c>
      <x:c r="D70" s="4" t="s">
        <x:v>75</x:v>
      </x:c>
      <x:c r="F70" s="5" t="s">
        <x:v>119</x:v>
      </x:c>
      <x:c r="G70" s="5"/>
      <x:c r="H70" s="5"/>
      <x:c r="I70" s="5"/>
      <x:c r="J70" s="5"/>
      <x:c r="K70" s="5"/>
      <x:c r="L70" s="5"/>
    </x:row>
  </x:sheetData>
  <x:pageMargins left="1.5" right="0.5" top="1" bottom="0.5" header="0.5" footer="0.5"/>
  <x:pageSetup scale="50" orientation="portrait" r:id="rId1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Z42"/>
  <x:sheetViews>
    <x:sheetView zoomScale="75" zoomScaleNormal="75" workbookViewId="0">
      <x:selection activeCell="F4" sqref="F4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4.140625" style="3" customWidth="1"/>
    <x:col min="8" max="8" width="14.85546875" style="4" customWidth="1"/>
    <x:col min="9" max="9" width="2.7109375" style="3" customWidth="1"/>
    <x:col min="10" max="10" width="14.7109375" style="4" customWidth="1"/>
    <x:col min="11" max="11" width="3.7109375" style="3" customWidth="1"/>
    <x:col min="12" max="12" width="15" style="4" customWidth="1"/>
    <x:col min="13" max="13" width="2.7109375" style="4" customWidth="1"/>
    <x:col min="14" max="14" width="14.5703125" style="4" customWidth="1"/>
    <x:col min="15" max="15" width="3.7109375" style="3" customWidth="1"/>
    <x:col min="16" max="16" width="15" style="4" customWidth="1"/>
    <x:col min="17" max="17" width="2.7109375" style="4" customWidth="1"/>
    <x:col min="18" max="18" width="15" style="4" customWidth="1"/>
    <x:col min="19" max="19" width="5.7109375" style="3" customWidth="1"/>
    <x:col min="20" max="20" width="20.42578125" style="4" customWidth="1"/>
    <x:col min="21" max="21" width="2.7109375" style="4" customWidth="1"/>
    <x:col min="22" max="22" width="20.28515625" style="4" customWidth="1"/>
    <x:col min="23" max="23" width="3.140625" style="3" customWidth="1"/>
    <x:col min="24" max="24" width="9.7109375" style="3" customWidth="1"/>
    <x:col min="25" max="25" width="1.7109375" style="3" customWidth="1"/>
    <x:col min="26" max="26" width="9.71093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90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s="29" customFormat="1" ht="18.75" customHeight="1" x14ac:dyDescent="0.25">
      <x:c r="A14" s="32" t="s">
        <x:v>89</x:v>
      </x:c>
      <x:c r="F14" s="30"/>
      <x:c r="J14" s="30"/>
      <x:c r="M14" s="30"/>
      <x:c r="O14" s="31"/>
      <x:c r="R14" s="30"/>
    </x:row>
    <x:row r="15" spans="1:26" ht="18.75" customHeight="1" x14ac:dyDescent="0.25">
      <x:c r="A15" s="3" t="s">
        <x:v>0</x:v>
      </x:c>
    </x:row>
    <x:row r="16" spans="1:26" ht="18.75" customHeight="1" x14ac:dyDescent="0.25">
      <x:c r="A16" s="3" t="s">
        <x:v>1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[1]RESIDENTIAL!D22-[2]RESIDENTIAL!D22</x:f>
        <x:v>2442604.792147696</x:v>
      </x:c>
      <x:c r="E23" s="4"/>
      <x:c r="F23" s="4">
        <x:f>[1]RESIDENTIAL!F22-[2]RESIDENTIAL!F22</x:f>
        <x:v>2355234.2066432387</x:v>
      </x:c>
      <x:c r="G23" s="4"/>
      <x:c r="H23" s="4">
        <x:f>[1]RESIDENTIAL!H22-[2]RESIDENTIAL!H22</x:f>
        <x:v>948100.93838694133</x:v>
      </x:c>
      <x:c r="I23" s="4"/>
      <x:c r="J23" s="4">
        <x:f>[1]RESIDENTIAL!J22-[2]RESIDENTIAL!J22</x:f>
        <x:v>914187.90654057451</x:v>
      </x:c>
      <x:c r="K23" s="4"/>
      <x:c r="L23" s="4">
        <x:f>[1]RESIDENTIAL!L22-[2]RESIDENTIAL!L22</x:f>
        <x:v>933884.14362668619</x:v>
      </x:c>
      <x:c r="N23" s="4">
        <x:f>[1]RESIDENTIAL!N22-[2]RESIDENTIAL!N22</x:f>
        <x:v>900479.63845078088</x:v>
      </x:c>
      <x:c r="O23" s="4"/>
      <x:c r="P23" s="4">
        <x:f>[1]RESIDENTIAL!P22-[2]RESIDENTIAL!P22</x:f>
        <x:v>946110.0683870893</x:v>
      </x:c>
      <x:c r="R23" s="4">
        <x:f>[1]RESIDENTIAL!R22-[2]RESIDENTIAL!R22</x:f>
        <x:v>912268.24882938899</x:v>
      </x:c>
      <x:c r="S23" s="4"/>
      <x:c r="T23" s="4">
        <x:f>[1]RESIDENTIAL!T22-[2]RESIDENTIAL!T22</x:f>
        <x:v>254615866.69601536</x:v>
      </x:c>
      <x:c r="V23" s="4">
        <x:f>[1]RESIDENTIAL!V22-[2]RESIDENTIAL!V22</x:f>
        <x:v>246011017.13401794</x:v>
      </x:c>
      <x:c r="X23" s="14">
        <x:f>[1]RESIDENTIAL!X22-[2]RESIDENTIAL!X22</x:f>
        <x:v>0</x:v>
      </x:c>
      <x:c r="Y23" s="14"/>
      <x:c r="Z23" s="14">
        <x:f>[1]RESIDENTIAL!Z22-[2]RESIDENTIAL!Z22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[1]RESIDENTIAL!D23-[2]RESIDENTIAL!D23</x:f>
        <x:v>-1575674.2869477347</x:v>
      </x:c>
      <x:c r="E24" s="4"/>
      <x:c r="F24" s="4">
        <x:f>[1]RESIDENTIAL!F23-[2]RESIDENTIAL!F23</x:f>
        <x:v>-1519313.3130163364</x:v>
      </x:c>
      <x:c r="G24" s="4"/>
      <x:c r="H24" s="4">
        <x:f>[1]RESIDENTIAL!H23-[2]RESIDENTIAL!H23</x:f>
        <x:v>-404185.08086202946</x:v>
      </x:c>
      <x:c r="I24" s="4"/>
      <x:c r="J24" s="4">
        <x:f>[1]RESIDENTIAL!J23-[2]RESIDENTIAL!J23</x:f>
        <x:v>-389727.6101813009</x:v>
      </x:c>
      <x:c r="K24" s="4"/>
      <x:c r="L24" s="4">
        <x:f>[1]RESIDENTIAL!L23-[2]RESIDENTIAL!L23</x:f>
        <x:v>-369282.32845492661</x:v>
      </x:c>
      <x:c r="N24" s="4">
        <x:f>[1]RESIDENTIAL!N23-[2]RESIDENTIAL!N23</x:f>
        <x:v>-356073.30939573329</x:v>
      </x:c>
      <x:c r="O24" s="4"/>
      <x:c r="P24" s="4">
        <x:f>[1]RESIDENTIAL!P23-[2]RESIDENTIAL!P23</x:f>
        <x:v>-369282.32845492661</x:v>
      </x:c>
      <x:c r="R24" s="4">
        <x:f>[1]RESIDENTIAL!R23-[2]RESIDENTIAL!R23</x:f>
        <x:v>-356073.30939573329</x:v>
      </x:c>
      <x:c r="S24" s="4"/>
      <x:c r="T24" s="4">
        <x:f>[1]RESIDENTIAL!T23-[2]RESIDENTIAL!T23</x:f>
        <x:v>-210289533.43724728</x:v>
      </x:c>
      <x:c r="V24" s="4">
        <x:f>[1]RESIDENTIAL!V23-[2]RESIDENTIAL!V23</x:f>
        <x:v>-203182710.82178736</x:v>
      </x:c>
      <x:c r="X24" s="14">
        <x:f>[1]RESIDENTIAL!X23-[2]RESIDENTIAL!X23</x:f>
        <x:v>0</x:v>
      </x:c>
      <x:c r="Y24" s="14"/>
      <x:c r="Z24" s="14">
        <x:f>[1]RESIDENTIAL!Z23-[2]RESIDENTIAL!Z23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[1]RESIDENTIAL!D24-[2]RESIDENTIAL!D24</x:f>
        <x:v>6870387.6069102325</x:v>
      </x:c>
      <x:c r="E25" s="4"/>
      <x:c r="F25" s="4">
        <x:f>[1]RESIDENTIAL!F24-[2]RESIDENTIAL!F24</x:f>
        <x:v>6624637.7460289337</x:v>
      </x:c>
      <x:c r="G25" s="4"/>
      <x:c r="H25" s="4">
        <x:f>[1]RESIDENTIAL!H24-[2]RESIDENTIAL!H24</x:f>
        <x:v>1300122.5083097769</x:v>
      </x:c>
      <x:c r="I25" s="4"/>
      <x:c r="J25" s="4">
        <x:f>[1]RESIDENTIAL!J24-[2]RESIDENTIAL!J24</x:f>
        <x:v>1253617.864929188</x:v>
      </x:c>
      <x:c r="K25" s="4"/>
      <x:c r="L25" s="4">
        <x:f>[1]RESIDENTIAL!L24-[2]RESIDENTIAL!L24</x:f>
        <x:v>1300122.5217546383</x:v>
      </x:c>
      <x:c r="N25" s="4">
        <x:f>[1]RESIDENTIAL!N24-[2]RESIDENTIAL!N24</x:f>
        <x:v>1253617.877893134</x:v>
      </x:c>
      <x:c r="O25" s="4"/>
      <x:c r="P25" s="4">
        <x:f>[1]RESIDENTIAL!P24-[2]RESIDENTIAL!P24</x:f>
        <x:v>1075307.8670497481</x:v>
      </x:c>
      <x:c r="R25" s="4">
        <x:f>[1]RESIDENTIAL!R24-[2]RESIDENTIAL!R24</x:f>
        <x:v>1036844.7156452695</x:v>
      </x:c>
      <x:c r="S25" s="4"/>
      <x:c r="T25" s="4">
        <x:f>[1]RESIDENTIAL!T24-[2]RESIDENTIAL!T24</x:f>
        <x:v>640657154.52962875</x:v>
      </x:c>
      <x:c r="V25" s="4">
        <x:f>[1]RESIDENTIAL!V24-[2]RESIDENTIAL!V24</x:f>
        <x:v>619005878.40500927</x:v>
      </x:c>
      <x:c r="X25" s="14">
        <x:f>[1]RESIDENTIAL!X24-[2]RESIDENTIAL!X24</x:f>
        <x:v>0</x:v>
      </x:c>
      <x:c r="Y25" s="14"/>
      <x:c r="Z25" s="14">
        <x:f>[1]RESIDENTIAL!Z24-[2]RESIDENTIAL!Z24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[1]RESIDENTIAL!D25-[2]RESIDENTIAL!D25</x:f>
        <x:v>2248670.4568138458</x:v>
      </x:c>
      <x:c r="E26" s="4"/>
      <x:c r="F26" s="4">
        <x:f>[1]RESIDENTIAL!F25-[2]RESIDENTIAL!F25</x:f>
        <x:v>2168236.792289</x:v>
      </x:c>
      <x:c r="G26" s="4"/>
      <x:c r="H26" s="4">
        <x:f>[1]RESIDENTIAL!H25-[2]RESIDENTIAL!H25</x:f>
        <x:v>560188.53538038116</x:v>
      </x:c>
      <x:c r="I26" s="4"/>
      <x:c r="J26" s="4">
        <x:f>[1]RESIDENTIAL!J25-[2]RESIDENTIAL!J25</x:f>
        <x:v>540150.90977414045</x:v>
      </x:c>
      <x:c r="K26" s="4"/>
      <x:c r="L26" s="4">
        <x:f>[1]RESIDENTIAL!L25-[2]RESIDENTIAL!L25</x:f>
        <x:v>519711.48179323319</x:v>
      </x:c>
      <x:c r="N26" s="4">
        <x:f>[1]RESIDENTIAL!N25-[2]RESIDENTIAL!N25</x:f>
        <x:v>501121.69739436731</x:v>
      </x:c>
      <x:c r="O26" s="4"/>
      <x:c r="P26" s="4">
        <x:f>[1]RESIDENTIAL!P25-[2]RESIDENTIAL!P25</x:f>
        <x:v>519711.48179323319</x:v>
      </x:c>
      <x:c r="R26" s="4">
        <x:f>[1]RESIDENTIAL!R25-[2]RESIDENTIAL!R25</x:f>
        <x:v>501121.69739436731</x:v>
      </x:c>
      <x:c r="S26" s="4"/>
      <x:c r="T26" s="4">
        <x:f>[1]RESIDENTIAL!T25-[2]RESIDENTIAL!T25</x:f>
        <x:v>197686454.13234949</x:v>
      </x:c>
      <x:c r="V26" s="4">
        <x:f>[1]RESIDENTIAL!V25-[2]RESIDENTIAL!V25</x:f>
        <x:v>191005557.84600592</x:v>
      </x:c>
      <x:c r="X26" s="14">
        <x:f>[1]RESIDENTIAL!X25-[2]RESIDENTIAL!X25</x:f>
        <x:v>0</x:v>
      </x:c>
      <x:c r="Y26" s="14"/>
      <x:c r="Z26" s="14">
        <x:f>[1]RESIDENTIAL!Z25-[2]RESIDENTIAL!Z25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[1]RESIDENTIAL!D26-[2]RESIDENTIAL!D26</x:f>
        <x:v>-318564.73890741915</x:v>
      </x:c>
      <x:c r="E27" s="4"/>
      <x:c r="F27" s="4">
        <x:f>[1]RESIDENTIAL!F26-[2]RESIDENTIAL!F26</x:f>
        <x:v>-307169.8592081368</x:v>
      </x:c>
      <x:c r="G27" s="4"/>
      <x:c r="H27" s="4">
        <x:f>[1]RESIDENTIAL!H26-[2]RESIDENTIAL!H26</x:f>
        <x:v>-118673.43190770969</x:v>
      </x:c>
      <x:c r="I27" s="4"/>
      <x:c r="J27" s="4">
        <x:f>[1]RESIDENTIAL!J26-[2]RESIDENTIAL!J26</x:f>
        <x:v>-114428.55067971349</x:v>
      </x:c>
      <x:c r="K27" s="4"/>
      <x:c r="L27" s="4">
        <x:f>[1]RESIDENTIAL!L26-[2]RESIDENTIAL!L26</x:f>
        <x:v>-117959.0012805853</x:v>
      </x:c>
      <x:c r="N27" s="4">
        <x:f>[1]RESIDENTIAL!N26-[2]RESIDENTIAL!N26</x:f>
        <x:v>-113739.67483017594</x:v>
      </x:c>
      <x:c r="O27" s="4"/>
      <x:c r="P27" s="4">
        <x:f>[1]RESIDENTIAL!P26-[2]RESIDENTIAL!P26</x:f>
        <x:v>-118673.43190770969</x:v>
      </x:c>
      <x:c r="R27" s="4">
        <x:f>[1]RESIDENTIAL!R26-[2]RESIDENTIAL!R26</x:f>
        <x:v>-114428.55067971349</x:v>
      </x:c>
      <x:c r="S27" s="4"/>
      <x:c r="T27" s="4">
        <x:f>[1]RESIDENTIAL!T26-[2]RESIDENTIAL!T26</x:f>
        <x:v>-30852244.689377785</x:v>
      </x:c>
      <x:c r="V27" s="4">
        <x:f>[1]RESIDENTIAL!V26-[2]RESIDENTIAL!V26</x:f>
        <x:v>-29809580.19385004</x:v>
      </x:c>
      <x:c r="X27" s="14">
        <x:f>[1]RESIDENTIAL!X26-[2]RESIDENTIAL!X26</x:f>
        <x:v>0</x:v>
      </x:c>
      <x:c r="Y27" s="14"/>
      <x:c r="Z27" s="14">
        <x:f>[1]RESIDENTIAL!Z26-[2]RESIDENTIAL!Z26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[1]RESIDENTIAL!D27-[2]RESIDENTIAL!D27</x:f>
        <x:v>-805276.99972658604</x:v>
      </x:c>
      <x:c r="E28" s="4"/>
      <x:c r="F28" s="4">
        <x:f>[1]RESIDENTIAL!F27-[2]RESIDENTIAL!F27</x:f>
        <x:v>-776472.69901221618</x:v>
      </x:c>
      <x:c r="G28" s="4"/>
      <x:c r="H28" s="4">
        <x:f>[1]RESIDENTIAL!H27-[2]RESIDENTIAL!H27</x:f>
        <x:v>-327995.30215964653</x:v>
      </x:c>
      <x:c r="I28" s="4"/>
      <x:c r="J28" s="4">
        <x:f>[1]RESIDENTIAL!J27-[2]RESIDENTIAL!J27</x:f>
        <x:v>-316263.09657136537</x:v>
      </x:c>
      <x:c r="K28" s="4"/>
      <x:c r="L28" s="4">
        <x:f>[1]RESIDENTIAL!L27-[2]RESIDENTIAL!L27</x:f>
        <x:v>-284415.16266275011</x:v>
      </x:c>
      <x:c r="N28" s="4">
        <x:f>[1]RESIDENTIAL!N27-[2]RESIDENTIAL!N27</x:f>
        <x:v>-274241.79390163347</x:v>
      </x:c>
      <x:c r="O28" s="4"/>
      <x:c r="P28" s="4">
        <x:f>[1]RESIDENTIAL!P27-[2]RESIDENTIAL!P27</x:f>
        <x:v>-327995.30215964653</x:v>
      </x:c>
      <x:c r="R28" s="4">
        <x:f>[1]RESIDENTIAL!R27-[2]RESIDENTIAL!R27</x:f>
        <x:v>-316263.09657136537</x:v>
      </x:c>
      <x:c r="S28" s="4"/>
      <x:c r="T28" s="4">
        <x:f>[1]RESIDENTIAL!T27-[2]RESIDENTIAL!T27</x:f>
        <x:v>-105948632.17327738</x:v>
      </x:c>
      <x:c r="V28" s="4">
        <x:f>[1]RESIDENTIAL!V27-[2]RESIDENTIAL!V27</x:f>
        <x:v>-102368053.89675188</x:v>
      </x:c>
      <x:c r="X28" s="14">
        <x:f>[1]RESIDENTIAL!X27-[2]RESIDENTIAL!X27</x:f>
        <x:v>0</x:v>
      </x:c>
      <x:c r="Y28" s="14"/>
      <x:c r="Z28" s="14">
        <x:f>[1]RESIDENTIAL!Z27-[2]RESIDENTIAL!Z27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[1]RESIDENTIAL!D28-[2]RESIDENTIAL!D28</x:f>
        <x:v>-1160477.3588205464</x:v>
      </x:c>
      <x:c r="E29" s="4"/>
      <x:c r="F29" s="4">
        <x:f>[1]RESIDENTIAL!F28-[2]RESIDENTIAL!F28</x:f>
        <x:v>-1118967.7430895194</x:v>
      </x:c>
      <x:c r="G29" s="4"/>
      <x:c r="H29" s="4">
        <x:f>[1]RESIDENTIAL!H28-[2]RESIDENTIAL!H28</x:f>
        <x:v>-473432.88867928647</x:v>
      </x:c>
      <x:c r="I29" s="4"/>
      <x:c r="J29" s="4">
        <x:f>[1]RESIDENTIAL!J28-[2]RESIDENTIAL!J28</x:f>
        <x:v>-456498.46326018125</x:v>
      </x:c>
      <x:c r="K29" s="4"/>
      <x:c r="L29" s="4">
        <x:f>[1]RESIDENTIAL!L28-[2]RESIDENTIAL!L28</x:f>
        <x:v>-451990.02413975075</x:v>
      </x:c>
      <x:c r="N29" s="4">
        <x:f>[1]RESIDENTIAL!N28-[2]RESIDENTIAL!N28</x:f>
        <x:v>-435822.59780118987</x:v>
      </x:c>
      <x:c r="O29" s="4"/>
      <x:c r="P29" s="4">
        <x:f>[1]RESIDENTIAL!P28-[2]RESIDENTIAL!P28</x:f>
        <x:v>-459585.40089422278</x:v>
      </x:c>
      <x:c r="R29" s="4">
        <x:f>[1]RESIDENTIAL!R28-[2]RESIDENTIAL!R28</x:f>
        <x:v>-443146.29224491864</x:v>
      </x:c>
      <x:c r="S29" s="4"/>
      <x:c r="T29" s="4">
        <x:f>[1]RESIDENTIAL!T28-[2]RESIDENTIAL!T28</x:f>
        <x:v>-203786653.29908943</x:v>
      </x:c>
      <x:c r="V29" s="4">
        <x:f>[1]RESIDENTIAL!V28-[2]RESIDENTIAL!V28</x:f>
        <x:v>-196899598.23399734</x:v>
      </x:c>
      <x:c r="X29" s="14">
        <x:f>[1]RESIDENTIAL!X28-[2]RESIDENTIAL!X28</x:f>
        <x:v>0</x:v>
      </x:c>
      <x:c r="Y29" s="14"/>
      <x:c r="Z29" s="14">
        <x:f>[1]RESIDENTIAL!Z28-[2]RESIDENTIAL!Z28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[1]RESIDENTIAL!D29-[2]RESIDENTIAL!D29</x:f>
        <x:v>1581823.3808850721</x:v>
      </x:c>
      <x:c r="E30" s="4"/>
      <x:c r="F30" s="4">
        <x:f>[1]RESIDENTIAL!F29-[2]RESIDENTIAL!F29</x:f>
        <x:v>1525242.4573575072</x:v>
      </x:c>
      <x:c r="G30" s="4"/>
      <x:c r="H30" s="4">
        <x:f>[1]RESIDENTIAL!H29-[2]RESIDENTIAL!H29</x:f>
        <x:v>701930.32032902725</x:v>
      </x:c>
      <x:c r="I30" s="4"/>
      <x:c r="J30" s="4">
        <x:f>[1]RESIDENTIAL!J29-[2]RESIDENTIAL!J29</x:f>
        <x:v>676822.67161416821</x:v>
      </x:c>
      <x:c r="K30" s="4"/>
      <x:c r="L30" s="4">
        <x:f>[1]RESIDENTIAL!L29-[2]RESIDENTIAL!L29</x:f>
        <x:v>608991.03627380729</x:v>
      </x:c>
      <x:c r="N30" s="4">
        <x:f>[1]RESIDENTIAL!N29-[2]RESIDENTIAL!N29</x:f>
        <x:v>587207.77294064127</x:v>
      </x:c>
      <x:c r="O30" s="4"/>
      <x:c r="P30" s="4">
        <x:f>[1]RESIDENTIAL!P29-[2]RESIDENTIAL!P29</x:f>
        <x:v>651628.6341325976</x:v>
      </x:c>
      <x:c r="R30" s="4">
        <x:f>[1]RESIDENTIAL!R29-[2]RESIDENTIAL!R29</x:f>
        <x:v>628320.24815110117</x:v>
      </x:c>
      <x:c r="S30" s="4"/>
      <x:c r="T30" s="4">
        <x:f>[1]RESIDENTIAL!T29-[2]RESIDENTIAL!T29</x:f>
        <x:v>266368854.58438873</x:v>
      </x:c>
      <x:c r="V30" s="4">
        <x:f>[1]RESIDENTIAL!V29-[2]RESIDENTIAL!V29</x:f>
        <x:v>257366807.88775921</x:v>
      </x:c>
      <x:c r="X30" s="14">
        <x:f>[1]RESIDENTIAL!X29-[2]RESIDENTIAL!X29</x:f>
        <x:v>0</x:v>
      </x:c>
      <x:c r="Y30" s="14"/>
      <x:c r="Z30" s="14">
        <x:f>[1]RESIDENTIAL!Z29-[2]RESIDENTIAL!Z29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[1]RESIDENTIAL!D30-[2]RESIDENTIAL!D30</x:f>
        <x:v>-937073.88909670338</x:v>
      </x:c>
      <x:c r="E31" s="4"/>
      <x:c r="F31" s="4">
        <x:f>[1]RESIDENTIAL!F30-[2]RESIDENTIAL!F30</x:f>
        <x:v>-903555.28853777796</x:v>
      </x:c>
      <x:c r="G31" s="4"/>
      <x:c r="H31" s="4">
        <x:f>[1]RESIDENTIAL!H30-[2]RESIDENTIAL!H30</x:f>
        <x:v>-365767.07896707579</x:v>
      </x:c>
      <x:c r="I31" s="4"/>
      <x:c r="J31" s="4">
        <x:f>[1]RESIDENTIAL!J30-[2]RESIDENTIAL!J30</x:f>
        <x:v>-352683.79838466644</x:v>
      </x:c>
      <x:c r="K31" s="4"/>
      <x:c r="L31" s="4">
        <x:f>[1]RESIDENTIAL!L30-[2]RESIDENTIAL!L30</x:f>
        <x:v>-320838.84375734068</x:v>
      </x:c>
      <x:c r="N31" s="4">
        <x:f>[1]RESIDENTIAL!N30-[2]RESIDENTIAL!N30</x:f>
        <x:v>-309362.6206197422</x:v>
      </x:c>
      <x:c r="O31" s="4"/>
      <x:c r="P31" s="4">
        <x:f>[1]RESIDENTIAL!P30-[2]RESIDENTIAL!P30</x:f>
        <x:v>-350408.76371614076</x:v>
      </x:c>
      <x:c r="R31" s="4">
        <x:f>[1]RESIDENTIAL!R30-[2]RESIDENTIAL!R30</x:f>
        <x:v>-337874.84134352021</x:v>
      </x:c>
      <x:c r="S31" s="4"/>
      <x:c r="T31" s="4">
        <x:f>[1]RESIDENTIAL!T30-[2]RESIDENTIAL!T30</x:f>
        <x:v>-173625690.06309605</x:v>
      </x:c>
      <x:c r="V31" s="4">
        <x:f>[1]RESIDENTIAL!V30-[2]RESIDENTIAL!V30</x:f>
        <x:v>-167757937.34808254</x:v>
      </x:c>
      <x:c r="X31" s="14">
        <x:f>[1]RESIDENTIAL!X30-[2]RESIDENTIAL!X30</x:f>
        <x:v>0</x:v>
      </x:c>
      <x:c r="Y31" s="14"/>
      <x:c r="Z31" s="14">
        <x:f>[1]RESIDENTIAL!Z30-[2]RESIDENTIAL!Z30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[1]RESIDENTIAL!D31-[2]RESIDENTIAL!D31</x:f>
        <x:v>-719208.21630084887</x:v>
      </x:c>
      <x:c r="E32" s="4"/>
      <x:c r="F32" s="4">
        <x:f>[1]RESIDENTIAL!F31-[2]RESIDENTIAL!F31</x:f>
        <x:v>-693482.54706453905</x:v>
      </x:c>
      <x:c r="G32" s="4"/>
      <x:c r="H32" s="4">
        <x:f>[1]RESIDENTIAL!H31-[2]RESIDENTIAL!H31</x:f>
        <x:v>-240034.80173859745</x:v>
      </x:c>
      <x:c r="I32" s="4"/>
      <x:c r="J32" s="4">
        <x:f>[1]RESIDENTIAL!J31-[2]RESIDENTIAL!J31</x:f>
        <x:v>-231448.89327040501</x:v>
      </x:c>
      <x:c r="K32" s="4"/>
      <x:c r="L32" s="4">
        <x:f>[1]RESIDENTIAL!L31-[2]RESIDENTIAL!L31</x:f>
        <x:v>-225616.40566640906</x:v>
      </x:c>
      <x:c r="N32" s="4">
        <x:f>[1]RESIDENTIAL!N31-[2]RESIDENTIAL!N31</x:f>
        <x:v>-217546.2350330539</x:v>
      </x:c>
      <x:c r="O32" s="4"/>
      <x:c r="P32" s="4">
        <x:f>[1]RESIDENTIAL!P31-[2]RESIDENTIAL!P31</x:f>
        <x:v>-225616.40566640906</x:v>
      </x:c>
      <x:c r="R32" s="4">
        <x:f>[1]RESIDENTIAL!R31-[2]RESIDENTIAL!R31</x:f>
        <x:v>-217546.2350330539</x:v>
      </x:c>
      <x:c r="S32" s="4"/>
      <x:c r="T32" s="4">
        <x:f>[1]RESIDENTIAL!T31-[2]RESIDENTIAL!T31</x:f>
        <x:v>-100693457.86362219</x:v>
      </x:c>
      <x:c r="V32" s="4">
        <x:f>[1]RESIDENTIAL!V31-[2]RESIDENTIAL!V31</x:f>
        <x:v>-97290480.397852898</x:v>
      </x:c>
      <x:c r="X32" s="14">
        <x:f>[1]RESIDENTIAL!X31-[2]RESIDENTIAL!X31</x:f>
        <x:v>0</x:v>
      </x:c>
      <x:c r="Y32" s="14"/>
      <x:c r="Z32" s="14">
        <x:f>[1]RESIDENTIAL!Z31-[2]RESIDENTIAL!Z31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[1]RESIDENTIAL!D32-[2]RESIDENTIAL!D32</x:f>
        <x:v>-1575559.7001542076</x:v>
      </x:c>
      <x:c r="E33" s="4"/>
      <x:c r="F33" s="4">
        <x:f>[1]RESIDENTIAL!F32-[2]RESIDENTIAL!F32</x:f>
        <x:v>-1519202.8249273077</x:v>
      </x:c>
      <x:c r="G33" s="4"/>
      <x:c r="H33" s="4">
        <x:f>[1]RESIDENTIAL!H32-[2]RESIDENTIAL!H32</x:f>
        <x:v>-309473.36639218684</x:v>
      </x:c>
      <x:c r="I33" s="4"/>
      <x:c r="J33" s="4">
        <x:f>[1]RESIDENTIAL!J32-[2]RESIDENTIAL!J32</x:f>
        <x:v>-298403.67992197163</x:v>
      </x:c>
      <x:c r="K33" s="4"/>
      <x:c r="L33" s="4">
        <x:f>[1]RESIDENTIAL!L32-[2]RESIDENTIAL!L32</x:f>
        <x:v>-239386.98333710432</x:v>
      </x:c>
      <x:c r="N33" s="4">
        <x:f>[1]RESIDENTIAL!N32-[2]RESIDENTIAL!N32</x:f>
        <x:v>-230824.24696503766</x:v>
      </x:c>
      <x:c r="O33" s="4"/>
      <x:c r="P33" s="4">
        <x:f>[1]RESIDENTIAL!P32-[2]RESIDENTIAL!P32</x:f>
        <x:v>-236213.51359605324</x:v>
      </x:c>
      <x:c r="R33" s="4">
        <x:f>[1]RESIDENTIAL!R32-[2]RESIDENTIAL!R32</x:f>
        <x:v>-227764.29043342918</x:v>
      </x:c>
      <x:c r="S33" s="4"/>
      <x:c r="T33" s="4">
        <x:f>[1]RESIDENTIAL!T32-[2]RESIDENTIAL!T32</x:f>
        <x:v>-161457140.97067404</x:v>
      </x:c>
      <x:c r="V33" s="4">
        <x:f>[1]RESIDENTIAL!V32-[2]RESIDENTIAL!V32</x:f>
        <x:v>-156000629.45475388</x:v>
      </x:c>
      <x:c r="X33" s="14">
        <x:f>[1]RESIDENTIAL!X32-[2]RESIDENTIAL!X32</x:f>
        <x:v>0</x:v>
      </x:c>
      <x:c r="Y33" s="14"/>
      <x:c r="Z33" s="14">
        <x:f>[1]RESIDENTIAL!Z32-[2]RESIDENTIAL!Z32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[1]RESIDENTIAL!D33-[2]RESIDENTIAL!D33</x:f>
        <x:v>3438647.3408924267</x:v>
      </x:c>
      <x:c r="E34" s="4"/>
      <x:c r="F34" s="4">
        <x:f>[1]RESIDENTIAL!F33-[2]RESIDENTIAL!F33</x:f>
        <x:v>3315648.8793799803</x:v>
      </x:c>
      <x:c r="G34" s="4"/>
      <x:c r="H34" s="4">
        <x:f>[1]RESIDENTIAL!H33-[2]RESIDENTIAL!H33</x:f>
        <x:v>820091.29602810834</x:v>
      </x:c>
      <x:c r="I34" s="4"/>
      <x:c r="J34" s="4">
        <x:f>[1]RESIDENTIAL!J33-[2]RESIDENTIAL!J33</x:f>
        <x:v>790757.09635265358</x:v>
      </x:c>
      <x:c r="K34" s="4"/>
      <x:c r="L34" s="4">
        <x:f>[1]RESIDENTIAL!L33-[2]RESIDENTIAL!L33</x:f>
        <x:v>817179.07702565938</x:v>
      </x:c>
      <x:c r="N34" s="4">
        <x:f>[1]RESIDENTIAL!N33-[2]RESIDENTIAL!N33</x:f>
        <x:v>787949.04576917179</x:v>
      </x:c>
      <x:c r="O34" s="4"/>
      <x:c r="P34" s="4">
        <x:f>[1]RESIDENTIAL!P33-[2]RESIDENTIAL!P33</x:f>
        <x:v>817179.07702565938</x:v>
      </x:c>
      <x:c r="R34" s="4">
        <x:f>[1]RESIDENTIAL!R33-[2]RESIDENTIAL!R33</x:f>
        <x:v>787949.04576917179</x:v>
      </x:c>
      <x:c r="S34" s="4"/>
      <x:c r="T34" s="17">
        <x:f>[1]RESIDENTIAL!T33-[2]RESIDENTIAL!T33</x:f>
        <x:v>298081707.23890591</x:v>
      </x:c>
      <x:c r="U34" s="17"/>
      <x:c r="V34" s="17">
        <x:f>[1]RESIDENTIAL!V33-[2]RESIDENTIAL!V33</x:f>
        <x:v>288007911.44111109</x:v>
      </x:c>
      <x:c r="X34" s="35">
        <x:f>[1]RESIDENTIAL!X33-[2]RESIDENTIAL!X33</x:f>
        <x:v>0</x:v>
      </x:c>
      <x:c r="Y34" s="35"/>
      <x:c r="Z34" s="35">
        <x:f>[1]RESIDENTIAL!Z33-[2]RESIDENTIAL!Z33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670756684.6849041</x:v>
      </x:c>
      <x:c r="U35" s="16"/>
      <x:c r="V35" s="16">
        <x:f>+SUM(V23:V34)</x:f>
        <x:v>648088182.36682749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honeticPr fontId="1" type="noConversion"/>
  <x:pageMargins left="0.5" right="1" top="1.5" bottom="0.5" header="0.5" footer="0.5"/>
  <x:pageSetup scale="50" orientation="landscape" r:id="rId1"/>
  <x:headerFooter alignWithMargins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Z41"/>
  <x:sheetViews>
    <x:sheetView topLeftCell="A3" zoomScale="75" zoomScaleNormal="75" workbookViewId="0">
      <x:selection activeCell="F5" sqref="F5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8.7109375" style="4" customWidth="1"/>
    <x:col min="21" max="21" width="2.7109375" style="4" customWidth="1"/>
    <x:col min="22" max="22" width="18.85546875" style="4" customWidth="1"/>
    <x:col min="23" max="23" width="3.7109375" style="3" customWidth="1"/>
    <x:col min="24" max="24" width="10.42578125" style="3" customWidth="1"/>
    <x:col min="25" max="25" width="1.7109375" style="3" customWidth="1"/>
    <x:col min="26" max="26" width="10.855468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91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30</x:v>
      </x:c>
    </x:row>
    <x:row r="16" spans="1:26" ht="18.75" customHeight="1" x14ac:dyDescent="0.25">
      <x:c r="A16" s="3" t="s">
        <x:v>1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'[1]SEC &lt; 10kW'!D22-'[2]SEC &lt; 10kW'!D22</x:f>
        <x:v>26554.04090676445</x:v>
      </x:c>
      <x:c r="E23" s="4"/>
      <x:c r="F23" s="4">
        <x:f>'[1]SEC &lt; 10kW'!F22-'[2]SEC &lt; 10kW'!F22</x:f>
        <x:v>25604.217951781466</x:v>
      </x:c>
      <x:c r="G23" s="4"/>
      <x:c r="H23" s="4">
        <x:f>'[1]SEC &lt; 10kW'!H22-'[2]SEC &lt; 10kW'!H22</x:f>
        <x:v>12010.386968119594</x:v>
      </x:c>
      <x:c r="I23" s="4"/>
      <x:c r="J23" s="4">
        <x:f>'[1]SEC &lt; 10kW'!J22-'[2]SEC &lt; 10kW'!J22</x:f>
        <x:v>11580.782250683056</x:v>
      </x:c>
      <x:c r="K23" s="4"/>
      <x:c r="L23" s="4">
        <x:f>'[1]SEC &lt; 10kW'!L22-'[2]SEC &lt; 10kW'!L22</x:f>
        <x:v>11732.327419214242</x:v>
      </x:c>
      <x:c r="N23" s="4">
        <x:f>'[1]SEC &lt; 10kW'!N22-'[2]SEC &lt; 10kW'!N22</x:f>
        <x:v>11312.668733846047</x:v>
      </x:c>
      <x:c r="O23" s="4"/>
      <x:c r="P23" s="4">
        <x:f>'[1]SEC &lt; 10kW'!P22-'[2]SEC &lt; 10kW'!P22</x:f>
        <x:v>11261.831363497244</x:v>
      </x:c>
      <x:c r="R23" s="4">
        <x:f>'[1]SEC &lt; 10kW'!R22-'[2]SEC &lt; 10kW'!R22</x:f>
        <x:v>10859.00205470185</x:v>
      </x:c>
      <x:c r="S23" s="4"/>
      <x:c r="T23" s="4">
        <x:f>'[1]SEC &lt; 10kW'!T22-'[2]SEC &lt; 10kW'!T22</x:f>
        <x:v>5779599.9396000206</x:v>
      </x:c>
      <x:c r="V23" s="4">
        <x:f>'[1]SEC &lt; 10kW'!V22-'[2]SEC &lt; 10kW'!V22</x:f>
        <x:v>5584275.9456394911</x:v>
      </x:c>
      <x:c r="X23" s="14">
        <x:f>'[1]SEC &lt; 10kW'!X22-'[2]SEC &lt; 10kW'!X22</x:f>
        <x:v>0</x:v>
      </x:c>
      <x:c r="Y23" s="14"/>
      <x:c r="Z23" s="14">
        <x:f>'[1]SEC &lt; 10kW'!Z22-'[2]SEC &lt; 10kW'!Z22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'[1]SEC &lt; 10kW'!D23-'[2]SEC &lt; 10kW'!D23</x:f>
        <x:v>15735.390148439212</x:v>
      </x:c>
      <x:c r="E24" s="4"/>
      <x:c r="F24" s="4">
        <x:f>'[1]SEC &lt; 10kW'!F23-'[2]SEC &lt; 10kW'!F23</x:f>
        <x:v>15172.544183823979</x:v>
      </x:c>
      <x:c r="G24" s="4"/>
      <x:c r="H24" s="4">
        <x:f>'[1]SEC &lt; 10kW'!H23-'[2]SEC &lt; 10kW'!H23</x:f>
        <x:v>5833.494868660986</x:v>
      </x:c>
      <x:c r="I24" s="4"/>
      <x:c r="J24" s="4">
        <x:f>'[1]SEC &lt; 10kW'!J23-'[2]SEC &lt; 10kW'!J23</x:f>
        <x:v>5624.8340718547988</x:v>
      </x:c>
      <x:c r="K24" s="4"/>
      <x:c r="L24" s="4">
        <x:f>'[1]SEC &lt; 10kW'!L23-'[2]SEC &lt; 10kW'!L23</x:f>
        <x:v>5453.0231349749956</x:v>
      </x:c>
      <x:c r="N24" s="4">
        <x:f>'[1]SEC &lt; 10kW'!N23-'[2]SEC &lt; 10kW'!N23</x:f>
        <x:v>5257.9715958951856</x:v>
      </x:c>
      <x:c r="O24" s="4"/>
      <x:c r="P24" s="4">
        <x:f>'[1]SEC &lt; 10kW'!P23-'[2]SEC &lt; 10kW'!P23</x:f>
        <x:v>5453.0231349749956</x:v>
      </x:c>
      <x:c r="R24" s="4">
        <x:f>'[1]SEC &lt; 10kW'!R23-'[2]SEC &lt; 10kW'!R23</x:f>
        <x:v>5257.9715958951856</x:v>
      </x:c>
      <x:c r="S24" s="4"/>
      <x:c r="T24" s="4">
        <x:f>'[1]SEC &lt; 10kW'!T23-'[2]SEC &lt; 10kW'!T23</x:f>
        <x:v>3982451.1342076957</x:v>
      </x:c>
      <x:c r="V24" s="4">
        <x:f>'[1]SEC &lt; 10kW'!V23-'[2]SEC &lt; 10kW'!V23</x:f>
        <x:v>3847862.5347518325</x:v>
      </x:c>
      <x:c r="X24" s="14">
        <x:f>'[1]SEC &lt; 10kW'!X23-'[2]SEC &lt; 10kW'!X23</x:f>
        <x:v>0</x:v>
      </x:c>
      <x:c r="Y24" s="14"/>
      <x:c r="Z24" s="14">
        <x:f>'[1]SEC &lt; 10kW'!Z23-'[2]SEC &lt; 10kW'!Z23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'[1]SEC &lt; 10kW'!D24-'[2]SEC &lt; 10kW'!D24</x:f>
        <x:v>45654.523473435431</x:v>
      </x:c>
      <x:c r="E25" s="4"/>
      <x:c r="F25" s="4">
        <x:f>'[1]SEC &lt; 10kW'!F24-'[2]SEC &lt; 10kW'!F24</x:f>
        <x:v>44021.487110113841</x:v>
      </x:c>
      <x:c r="G25" s="4"/>
      <x:c r="H25" s="4">
        <x:f>'[1]SEC &lt; 10kW'!H24-'[2]SEC &lt; 10kW'!H24</x:f>
        <x:v>16088.660798786266</x:v>
      </x:c>
      <x:c r="I25" s="4"/>
      <x:c r="J25" s="4">
        <x:f>'[1]SEC &lt; 10kW'!J24-'[2]SEC &lt; 10kW'!J24</x:f>
        <x:v>15513.178543739778</x:v>
      </x:c>
      <x:c r="K25" s="4"/>
      <x:c r="L25" s="4">
        <x:f>'[1]SEC &lt; 10kW'!L24-'[2]SEC &lt; 10kW'!L24</x:f>
        <x:v>14310.693984798738</x:v>
      </x:c>
      <x:c r="N25" s="4">
        <x:f>'[1]SEC &lt; 10kW'!N24-'[2]SEC &lt; 10kW'!N24</x:f>
        <x:v>13798.808592431364</x:v>
      </x:c>
      <x:c r="O25" s="4"/>
      <x:c r="P25" s="4">
        <x:f>'[1]SEC &lt; 10kW'!P24-'[2]SEC &lt; 10kW'!P24</x:f>
        <x:v>13776.534702240286</x:v>
      </x:c>
      <x:c r="R25" s="4">
        <x:f>'[1]SEC &lt; 10kW'!R24-'[2]SEC &lt; 10kW'!R24</x:f>
        <x:v>13283.755883895763</x:v>
      </x:c>
      <x:c r="S25" s="4"/>
      <x:c r="T25" s="4">
        <x:f>'[1]SEC &lt; 10kW'!T24-'[2]SEC &lt; 10kW'!T24</x:f>
        <x:v>10090587.115461126</x:v>
      </x:c>
      <x:c r="V25" s="4">
        <x:f>'[1]SEC &lt; 10kW'!V24-'[2]SEC &lt; 10kW'!V24</x:f>
        <x:v>9749571.5092953295</x:v>
      </x:c>
      <x:c r="X25" s="14">
        <x:f>'[1]SEC &lt; 10kW'!X24-'[2]SEC &lt; 10kW'!X24</x:f>
        <x:v>0</x:v>
      </x:c>
      <x:c r="Y25" s="14"/>
      <x:c r="Z25" s="14">
        <x:f>'[1]SEC &lt; 10kW'!Z24-'[2]SEC &lt; 10kW'!Z24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'[1]SEC &lt; 10kW'!D25-'[2]SEC &lt; 10kW'!D25</x:f>
        <x:v>14010.407450906117</x:v>
      </x:c>
      <x:c r="E26" s="4"/>
      <x:c r="F26" s="4">
        <x:f>'[1]SEC &lt; 10kW'!F25-'[2]SEC &lt; 10kW'!F25</x:f>
        <x:v>13509.263137230417</x:v>
      </x:c>
      <x:c r="G26" s="4"/>
      <x:c r="H26" s="4">
        <x:f>'[1]SEC &lt; 10kW'!H25-'[2]SEC &lt; 10kW'!H25</x:f>
        <x:v>5130.7002243467141</x:v>
      </x:c>
      <x:c r="I26" s="4"/>
      <x:c r="J26" s="4">
        <x:f>'[1]SEC &lt; 10kW'!J25-'[2]SEC &lt; 10kW'!J25</x:f>
        <x:v>4947.1779926332238</x:v>
      </x:c>
      <x:c r="K26" s="4"/>
      <x:c r="L26" s="4">
        <x:f>'[1]SEC &lt; 10kW'!L25-'[2]SEC &lt; 10kW'!L25</x:f>
        <x:v>4845.2518270961009</x:v>
      </x:c>
      <x:c r="N26" s="4">
        <x:f>'[1]SEC &lt; 10kW'!N25-'[2]SEC &lt; 10kW'!N25</x:f>
        <x:v>4671.9399223578221</x:v>
      </x:c>
      <x:c r="O26" s="4"/>
      <x:c r="P26" s="4">
        <x:f>'[1]SEC &lt; 10kW'!P25-'[2]SEC &lt; 10kW'!P25</x:f>
        <x:v>4845.2518270961009</x:v>
      </x:c>
      <x:c r="R26" s="4">
        <x:f>'[1]SEC &lt; 10kW'!R25-'[2]SEC &lt; 10kW'!R25</x:f>
        <x:v>4671.9399223578221</x:v>
      </x:c>
      <x:c r="S26" s="4"/>
      <x:c r="T26" s="4">
        <x:f>'[1]SEC &lt; 10kW'!T25-'[2]SEC &lt; 10kW'!T25</x:f>
        <x:v>3004039.443873316</x:v>
      </x:c>
      <x:c r="V26" s="4">
        <x:f>'[1]SEC &lt; 10kW'!V25-'[2]SEC &lt; 10kW'!V25</x:f>
        <x:v>2902516.6761516333</x:v>
      </x:c>
      <x:c r="X26" s="14">
        <x:f>'[1]SEC &lt; 10kW'!X25-'[2]SEC &lt; 10kW'!X25</x:f>
        <x:v>0</x:v>
      </x:c>
      <x:c r="Y26" s="14"/>
      <x:c r="Z26" s="14">
        <x:f>'[1]SEC &lt; 10kW'!Z25-'[2]SEC &lt; 10kW'!Z25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'[1]SEC &lt; 10kW'!D26-'[2]SEC &lt; 10kW'!D26</x:f>
        <x:v>1688.3674150225706</x:v>
      </x:c>
      <x:c r="E27" s="4"/>
      <x:c r="F27" s="4">
        <x:f>'[1]SEC &lt; 10kW'!F26-'[2]SEC &lt; 10kW'!F26</x:f>
        <x:v>1627.9754719332559</x:v>
      </x:c>
      <x:c r="G27" s="4"/>
      <x:c r="H27" s="4">
        <x:f>'[1]SEC &lt; 10kW'!H26-'[2]SEC &lt; 10kW'!H26</x:f>
        <x:v>647.38516426668502</x:v>
      </x:c>
      <x:c r="I27" s="4"/>
      <x:c r="J27" s="4">
        <x:f>'[1]SEC &lt; 10kW'!J26-'[2]SEC &lt; 10kW'!J26</x:f>
        <x:v>624.22856479111942</x:v>
      </x:c>
      <x:c r="K27" s="4"/>
      <x:c r="L27" s="4">
        <x:f>'[1]SEC &lt; 10kW'!L26-'[2]SEC &lt; 10kW'!L26</x:f>
        <x:v>602.25545751559548</x:v>
      </x:c>
      <x:c r="N27" s="4">
        <x:f>'[1]SEC &lt; 10kW'!N26-'[2]SEC &lt; 10kW'!N26</x:f>
        <x:v>580.71312200740795</x:v>
      </x:c>
      <x:c r="O27" s="4"/>
      <x:c r="P27" s="4">
        <x:f>'[1]SEC &lt; 10kW'!P26-'[2]SEC &lt; 10kW'!P26</x:f>
        <x:v>595.40245578324539</x:v>
      </x:c>
      <x:c r="R27" s="4">
        <x:f>'[1]SEC &lt; 10kW'!R26-'[2]SEC &lt; 10kW'!R26</x:f>
        <x:v>574.10524825306493</x:v>
      </x:c>
      <x:c r="S27" s="4"/>
      <x:c r="T27" s="4">
        <x:f>'[1]SEC &lt; 10kW'!T26-'[2]SEC &lt; 10kW'!T26</x:f>
        <x:v>341189.60302886367</x:v>
      </x:c>
      <x:c r="V27" s="4">
        <x:f>'[1]SEC &lt; 10kW'!V26-'[2]SEC &lt; 10kW'!V26</x:f>
        <x:v>329658.95788770914</x:v>
      </x:c>
      <x:c r="X27" s="14">
        <x:f>'[1]SEC &lt; 10kW'!X26-'[2]SEC &lt; 10kW'!X26</x:f>
        <x:v>0</x:v>
      </x:c>
      <x:c r="Y27" s="14"/>
      <x:c r="Z27" s="14">
        <x:f>'[1]SEC &lt; 10kW'!Z26-'[2]SEC &lt; 10kW'!Z26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'[1]SEC &lt; 10kW'!D27-'[2]SEC &lt; 10kW'!D27</x:f>
        <x:v>-3764.9809153133538</x:v>
      </x:c>
      <x:c r="E28" s="4"/>
      <x:c r="F28" s="4">
        <x:f>'[1]SEC &lt; 10kW'!F27-'[2]SEC &lt; 10kW'!F27</x:f>
        <x:v>-3630.3096872696187</x:v>
      </x:c>
      <x:c r="G28" s="4"/>
      <x:c r="H28" s="4">
        <x:f>'[1]SEC &lt; 10kW'!H27-'[2]SEC &lt; 10kW'!H27</x:f>
        <x:v>-1672.4279154869728</x:v>
      </x:c>
      <x:c r="I28" s="4"/>
      <x:c r="J28" s="4">
        <x:f>'[1]SEC &lt; 10kW'!J27-'[2]SEC &lt; 10kW'!J27</x:f>
        <x:v>-1612.6061192390334</x:v>
      </x:c>
      <x:c r="K28" s="4"/>
      <x:c r="L28" s="4">
        <x:f>'[1]SEC &lt; 10kW'!L27-'[2]SEC &lt; 10kW'!L27</x:f>
        <x:v>-1656.0395967999648</x:v>
      </x:c>
      <x:c r="N28" s="4">
        <x:f>'[1]SEC &lt; 10kW'!N27-'[2]SEC &lt; 10kW'!N27</x:f>
        <x:v>-1596.8040013994614</x:v>
      </x:c>
      <x:c r="O28" s="4"/>
      <x:c r="P28" s="4">
        <x:f>'[1]SEC &lt; 10kW'!P27-'[2]SEC &lt; 10kW'!P27</x:f>
        <x:v>-1398.010351136385</x:v>
      </x:c>
      <x:c r="R28" s="4">
        <x:f>'[1]SEC &lt; 10kW'!R27-'[2]SEC &lt; 10kW'!R27</x:f>
        <x:v>-1348.0043152386497</x:v>
      </x:c>
      <x:c r="S28" s="4"/>
      <x:c r="T28" s="4">
        <x:f>'[1]SEC &lt; 10kW'!T27-'[2]SEC &lt; 10kW'!T27</x:f>
        <x:v>-843216.85707388818</x:v>
      </x:c>
      <x:c r="V28" s="4">
        <x:f>'[1]SEC &lt; 10kW'!V27-'[2]SEC &lt; 10kW'!V27</x:f>
        <x:v>-814719.99119740725</x:v>
      </x:c>
      <x:c r="X28" s="14">
        <x:f>'[1]SEC &lt; 10kW'!X27-'[2]SEC &lt; 10kW'!X27</x:f>
        <x:v>0</x:v>
      </x:c>
      <x:c r="Y28" s="14"/>
      <x:c r="Z28" s="14">
        <x:f>'[1]SEC &lt; 10kW'!Z27-'[2]SEC &lt; 10kW'!Z27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'[1]SEC &lt; 10kW'!D28-'[2]SEC &lt; 10kW'!D28</x:f>
        <x:v>-7729.8490744264564</x:v>
      </x:c>
      <x:c r="E29" s="4"/>
      <x:c r="F29" s="4">
        <x:f>'[1]SEC &lt; 10kW'!F28-'[2]SEC &lt; 10kW'!F28</x:f>
        <x:v>-7453.3567652060883</x:v>
      </x:c>
      <x:c r="G29" s="4"/>
      <x:c r="H29" s="4">
        <x:f>'[1]SEC &lt; 10kW'!H28-'[2]SEC &lt; 10kW'!H28</x:f>
        <x:v>-3491.9961101975641</x:v>
      </x:c>
      <x:c r="I29" s="4"/>
      <x:c r="J29" s="4">
        <x:f>'[1]SEC &lt; 10kW'!J28-'[2]SEC &lt; 10kW'!J28</x:f>
        <x:v>-3367.0893935203203</x:v>
      </x:c>
      <x:c r="K29" s="4"/>
      <x:c r="L29" s="4">
        <x:f>'[1]SEC &lt; 10kW'!L28-'[2]SEC &lt; 10kW'!L28</x:f>
        <x:v>-3268.0079753544705</x:v>
      </x:c>
      <x:c r="N29" s="4">
        <x:f>'[1]SEC &lt; 10kW'!N28-'[2]SEC &lt; 10kW'!N28</x:f>
        <x:v>-3151.1131869884557</x:v>
      </x:c>
      <x:c r="O29" s="4"/>
      <x:c r="P29" s="4">
        <x:f>'[1]SEC &lt; 10kW'!P28-'[2]SEC &lt; 10kW'!P28</x:f>
        <x:v>-3319.2760619897745</x:v>
      </x:c>
      <x:c r="R29" s="4">
        <x:f>'[1]SEC &lt; 10kW'!R28-'[2]SEC &lt; 10kW'!R28</x:f>
        <x:v>-3200.5474432957999</x:v>
      </x:c>
      <x:c r="S29" s="4"/>
      <x:c r="T29" s="4">
        <x:f>'[1]SEC &lt; 10kW'!T28-'[2]SEC &lt; 10kW'!T28</x:f>
        <x:v>-1942296.4029867947</x:v>
      </x:c>
      <x:c r="V29" s="4">
        <x:f>'[1]SEC &lt; 10kW'!V28-'[2]SEC &lt; 10kW'!V28</x:f>
        <x:v>-1876655.6847967505</x:v>
      </x:c>
      <x:c r="X29" s="14">
        <x:f>'[1]SEC &lt; 10kW'!X28-'[2]SEC &lt; 10kW'!X28</x:f>
        <x:v>0</x:v>
      </x:c>
      <x:c r="Y29" s="14"/>
      <x:c r="Z29" s="14">
        <x:f>'[1]SEC &lt; 10kW'!Z28-'[2]SEC &lt; 10kW'!Z28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'[1]SEC &lt; 10kW'!D29-'[2]SEC &lt; 10kW'!D29</x:f>
        <x:v>16888.524398524081</x:v>
      </x:c>
      <x:c r="E30" s="4"/>
      <x:c r="F30" s="4">
        <x:f>'[1]SEC &lt; 10kW'!F29-'[2]SEC &lt; 10kW'!F29</x:f>
        <x:v>16284.431477004895</x:v>
      </x:c>
      <x:c r="G30" s="4"/>
      <x:c r="H30" s="4">
        <x:f>'[1]SEC &lt; 10kW'!H29-'[2]SEC &lt; 10kW'!H29</x:f>
        <x:v>7688.1651653384324</x:v>
      </x:c>
      <x:c r="I30" s="4"/>
      <x:c r="J30" s="4">
        <x:f>'[1]SEC &lt; 10kW'!J29-'[2]SEC &lt; 10kW'!J29</x:f>
        <x:v>7413.1638658609008</x:v>
      </x:c>
      <x:c r="K30" s="4"/>
      <x:c r="L30" s="4">
        <x:f>'[1]SEC &lt; 10kW'!L29-'[2]SEC &lt; 10kW'!L29</x:f>
        <x:v>7531.2555904668407</x:v>
      </x:c>
      <x:c r="N30" s="4">
        <x:f>'[1]SEC &lt; 10kW'!N29-'[2]SEC &lt; 10kW'!N29</x:f>
        <x:v>7261.8668573250179</x:v>
      </x:c>
      <x:c r="O30" s="4"/>
      <x:c r="P30" s="4">
        <x:f>'[1]SEC &lt; 10kW'!P29-'[2]SEC &lt; 10kW'!P29</x:f>
        <x:v>7464.9528745237039</x:v>
      </x:c>
      <x:c r="R30" s="4">
        <x:f>'[1]SEC &lt; 10kW'!R29-'[2]SEC &lt; 10kW'!R29</x:f>
        <x:v>7197.9357518573524</x:v>
      </x:c>
      <x:c r="S30" s="4"/>
      <x:c r="T30" s="4">
        <x:f>'[1]SEC &lt; 10kW'!T29-'[2]SEC &lt; 10kW'!T29</x:f>
        <x:v>4123935.2840337753</x:v>
      </x:c>
      <x:c r="V30" s="4">
        <x:f>'[1]SEC &lt; 10kW'!V29-'[2]SEC &lt; 10kW'!V29</x:f>
        <x:v>3984565.1686399579</x:v>
      </x:c>
      <x:c r="X30" s="14">
        <x:f>'[1]SEC &lt; 10kW'!X29-'[2]SEC &lt; 10kW'!X29</x:f>
        <x:v>0</x:v>
      </x:c>
      <x:c r="Y30" s="14"/>
      <x:c r="Z30" s="14">
        <x:f>'[1]SEC &lt; 10kW'!Z29-'[2]SEC &lt; 10kW'!Z29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'[1]SEC &lt; 10kW'!D30-'[2]SEC &lt; 10kW'!D30</x:f>
        <x:v>-9144.0712184283184</x:v>
      </x:c>
      <x:c r="E31" s="4"/>
      <x:c r="F31" s="4">
        <x:f>'[1]SEC &lt; 10kW'!F30-'[2]SEC &lt; 10kW'!F30</x:f>
        <x:v>-8816.9929866910679</x:v>
      </x:c>
      <x:c r="G31" s="4"/>
      <x:c r="H31" s="4">
        <x:f>'[1]SEC &lt; 10kW'!H30-'[2]SEC &lt; 10kW'!H30</x:f>
        <x:v>-4025.3654415451747</x:v>
      </x:c>
      <x:c r="I31" s="4"/>
      <x:c r="J31" s="4">
        <x:f>'[1]SEC &lt; 10kW'!J30-'[2]SEC &lt; 10kW'!J30</x:f>
        <x:v>-3881.380406951037</x:v>
      </x:c>
      <x:c r="K31" s="4"/>
      <x:c r="L31" s="4">
        <x:f>'[1]SEC &lt; 10kW'!L30-'[2]SEC &lt; 10kW'!L30</x:f>
        <x:v>-3976.0722810579755</x:v>
      </x:c>
      <x:c r="N31" s="4">
        <x:f>'[1]SEC &lt; 10kW'!N30-'[2]SEC &lt; 10kW'!N30</x:f>
        <x:v>-3833.8504348056158</x:v>
      </x:c>
      <x:c r="O31" s="4"/>
      <x:c r="P31" s="4">
        <x:f>'[1]SEC &lt; 10kW'!P30-'[2]SEC &lt; 10kW'!P30</x:f>
        <x:v>-3984.1090274905437</x:v>
      </x:c>
      <x:c r="R31" s="4">
        <x:f>'[1]SEC &lt; 10kW'!R30-'[2]SEC &lt; 10kW'!R30</x:f>
        <x:v>-3841.5997113848571</x:v>
      </x:c>
      <x:c r="S31" s="4"/>
      <x:c r="T31" s="4">
        <x:f>'[1]SEC &lt; 10kW'!T30-'[2]SEC &lt; 10kW'!T30</x:f>
        <x:v>-2393538.8151101172</x:v>
      </x:c>
      <x:c r="V31" s="4">
        <x:f>'[1]SEC &lt; 10kW'!V30-'[2]SEC &lt; 10kW'!V30</x:f>
        <x:v>-2312648.1711291075</x:v>
      </x:c>
      <x:c r="X31" s="14">
        <x:f>'[1]SEC &lt; 10kW'!X30-'[2]SEC &lt; 10kW'!X30</x:f>
        <x:v>0</x:v>
      </x:c>
      <x:c r="Y31" s="14"/>
      <x:c r="Z31" s="14">
        <x:f>'[1]SEC &lt; 10kW'!Z30-'[2]SEC &lt; 10kW'!Z30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'[1]SEC &lt; 10kW'!D31-'[2]SEC &lt; 10kW'!D31</x:f>
        <x:v>-5260.037272578571</x:v>
      </x:c>
      <x:c r="E32" s="4"/>
      <x:c r="F32" s="4">
        <x:f>'[1]SEC &lt; 10kW'!F31-'[2]SEC &lt; 10kW'!F31</x:f>
        <x:v>-5071.8887281403877</x:v>
      </x:c>
      <x:c r="G32" s="4"/>
      <x:c r="H32" s="4">
        <x:f>'[1]SEC &lt; 10kW'!H31-'[2]SEC &lt; 10kW'!H31</x:f>
        <x:v>-2129.6899867097964</x:v>
      </x:c>
      <x:c r="I32" s="4"/>
      <x:c r="J32" s="4">
        <x:f>'[1]SEC &lt; 10kW'!J31-'[2]SEC &lt; 10kW'!J31</x:f>
        <x:v>-2053.5121859947394</x:v>
      </x:c>
      <x:c r="K32" s="4"/>
      <x:c r="L32" s="4">
        <x:f>'[1]SEC &lt; 10kW'!L31-'[2]SEC &lt; 10kW'!L31</x:f>
        <x:v>-2082.226495863375</x:v>
      </x:c>
      <x:c r="N32" s="4">
        <x:f>'[1]SEC &lt; 10kW'!N31-'[2]SEC &lt; 10kW'!N31</x:f>
        <x:v>-2007.7464372467366</x:v>
      </x:c>
      <x:c r="O32" s="4"/>
      <x:c r="P32" s="4">
        <x:f>'[1]SEC &lt; 10kW'!P31-'[2]SEC &lt; 10kW'!P31</x:f>
        <x:v>-2082.226495863375</x:v>
      </x:c>
      <x:c r="R32" s="4">
        <x:f>'[1]SEC &lt; 10kW'!R31-'[2]SEC &lt; 10kW'!R31</x:f>
        <x:v>-2007.7464372467366</x:v>
      </x:c>
      <x:c r="S32" s="4"/>
      <x:c r="T32" s="4">
        <x:f>'[1]SEC &lt; 10kW'!T31-'[2]SEC &lt; 10kW'!T31</x:f>
        <x:v>-1233346.3434546292</x:v>
      </x:c>
      <x:c r="V32" s="4">
        <x:f>'[1]SEC &lt; 10kW'!V31-'[2]SEC &lt; 10kW'!V31</x:f>
        <x:v>-1191664.8886380792</x:v>
      </x:c>
      <x:c r="X32" s="14">
        <x:f>'[1]SEC &lt; 10kW'!X31-'[2]SEC &lt; 10kW'!X31</x:f>
        <x:v>0</x:v>
      </x:c>
      <x:c r="Y32" s="14"/>
      <x:c r="Z32" s="14">
        <x:f>'[1]SEC &lt; 10kW'!Z31-'[2]SEC &lt; 10kW'!Z31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'[1]SEC &lt; 10kW'!D32-'[2]SEC &lt; 10kW'!D32</x:f>
        <x:v>-9495.9645088010002</x:v>
      </x:c>
      <x:c r="E33" s="4"/>
      <x:c r="F33" s="4">
        <x:f>'[1]SEC &lt; 10kW'!F32-'[2]SEC &lt; 10kW'!F32</x:f>
        <x:v>-9156.2992540161358</x:v>
      </x:c>
      <x:c r="G33" s="4"/>
      <x:c r="H33" s="4">
        <x:f>'[1]SEC &lt; 10kW'!H32-'[2]SEC &lt; 10kW'!H32</x:f>
        <x:v>-3309.0163830535312</x:v>
      </x:c>
      <x:c r="I33" s="4"/>
      <x:c r="J33" s="4">
        <x:f>'[1]SEC &lt; 10kW'!J32-'[2]SEC &lt; 10kW'!J32</x:f>
        <x:v>-3190.654747245484</x:v>
      </x:c>
      <x:c r="K33" s="4"/>
      <x:c r="L33" s="4">
        <x:f>'[1]SEC &lt; 10kW'!L32-'[2]SEC &lt; 10kW'!L32</x:f>
        <x:v>-3010.6259798164829</x:v>
      </x:c>
      <x:c r="N33" s="4">
        <x:f>'[1]SEC &lt; 10kW'!N32-'[2]SEC &lt; 10kW'!N32</x:f>
        <x:v>-2902.9375991840207</x:v>
      </x:c>
      <x:c r="O33" s="4"/>
      <x:c r="P33" s="4">
        <x:f>'[1]SEC &lt; 10kW'!P32-'[2]SEC &lt; 10kW'!P32</x:f>
        <x:v>-3035.5117654967471</x:v>
      </x:c>
      <x:c r="R33" s="4">
        <x:f>'[1]SEC &lt; 10kW'!R32-'[2]SEC &lt; 10kW'!R32</x:f>
        <x:v>-2926.9332344508148</x:v>
      </x:c>
      <x:c r="S33" s="4"/>
      <x:c r="T33" s="4">
        <x:f>'[1]SEC &lt; 10kW'!T32-'[2]SEC &lt; 10kW'!T32</x:f>
        <x:v>-2170498.3361512721</x:v>
      </x:c>
      <x:c r="V33" s="4">
        <x:f>'[1]SEC &lt; 10kW'!V32-'[2]SEC &lt; 10kW'!V32</x:f>
        <x:v>-2097145.4383153915</x:v>
      </x:c>
      <x:c r="X33" s="14">
        <x:f>'[1]SEC &lt; 10kW'!X32-'[2]SEC &lt; 10kW'!X32</x:f>
        <x:v>0</x:v>
      </x:c>
      <x:c r="Y33" s="14"/>
      <x:c r="Z33" s="14">
        <x:f>'[1]SEC &lt; 10kW'!Z32-'[2]SEC &lt; 10kW'!Z32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'[1]SEC &lt; 10kW'!D33-'[2]SEC &lt; 10kW'!D33</x:f>
        <x:v>9625.0285176760517</x:v>
      </x:c>
      <x:c r="E34" s="4"/>
      <x:c r="F34" s="4">
        <x:f>'[1]SEC &lt; 10kW'!F33-'[2]SEC &lt; 10kW'!F33</x:f>
        <x:v>9280.7467166291317</x:v>
      </x:c>
      <x:c r="G34" s="4"/>
      <x:c r="H34" s="4">
        <x:f>'[1]SEC &lt; 10kW'!H33-'[2]SEC &lt; 10kW'!H33</x:f>
        <x:v>3701.6520042556804</x:v>
      </x:c>
      <x:c r="I34" s="4"/>
      <x:c r="J34" s="4">
        <x:f>'[1]SEC &lt; 10kW'!J33-'[2]SEC &lt; 10kW'!J33</x:f>
        <x:v>3569.2460153764114</x:v>
      </x:c>
      <x:c r="K34" s="4"/>
      <x:c r="L34" s="4">
        <x:f>'[1]SEC &lt; 10kW'!L33-'[2]SEC &lt; 10kW'!L33</x:f>
        <x:v>3326.3148970092298</x:v>
      </x:c>
      <x:c r="N34" s="4">
        <x:f>'[1]SEC &lt; 10kW'!N33-'[2]SEC &lt; 10kW'!N33</x:f>
        <x:v>3207.334503186139</x:v>
      </x:c>
      <x:c r="O34" s="4"/>
      <x:c r="P34" s="4">
        <x:f>'[1]SEC &lt; 10kW'!P33-'[2]SEC &lt; 10kW'!P33</x:f>
        <x:v>3326.3148970092298</x:v>
      </x:c>
      <x:c r="R34" s="4">
        <x:f>'[1]SEC &lt; 10kW'!R33-'[2]SEC &lt; 10kW'!R33</x:f>
        <x:v>3207.334503186139</x:v>
      </x:c>
      <x:c r="S34" s="4"/>
      <x:c r="T34" s="17">
        <x:f>'[1]SEC &lt; 10kW'!T33-'[2]SEC &lt; 10kW'!T33</x:f>
        <x:v>2098715.7322095633</x:v>
      </x:c>
      <x:c r="U34" s="17"/>
      <x:c r="V34" s="17">
        <x:f>'[1]SEC &lt; 10kW'!V33-'[2]SEC &lt; 10kW'!V33</x:f>
        <x:v>2027788.7574557811</x:v>
      </x:c>
      <x:c r="X34" s="14">
        <x:f>'[1]SEC &lt; 10kW'!X33-'[2]SEC &lt; 10kW'!X33</x:f>
        <x:v>0</x:v>
      </x:c>
      <x:c r="Y34" s="14"/>
      <x:c r="Z34" s="14">
        <x:f>'[1]SEC &lt; 10kW'!Z33-'[2]SEC &lt; 10kW'!Z33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20837621.497637659</x:v>
      </x:c>
      <x:c r="U35" s="16"/>
      <x:c r="V35" s="16">
        <x:f>+SUM(V23:V34)</x:f>
        <x:v>20133405.375744998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Z42"/>
  <x:sheetViews>
    <x:sheetView zoomScale="75" zoomScaleNormal="75" workbookViewId="0">
      <x:selection activeCell="A8" sqref="A8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4.140625" style="3" customWidth="1"/>
    <x:col min="8" max="8" width="14.42578125" style="4" customWidth="1"/>
    <x:col min="9" max="9" width="2.7109375" style="3" customWidth="1"/>
    <x:col min="10" max="10" width="14.85546875" style="4" customWidth="1"/>
    <x:col min="11" max="11" width="4.42578125" style="3" customWidth="1"/>
    <x:col min="12" max="12" width="14.28515625" style="4" customWidth="1"/>
    <x:col min="13" max="13" width="2.7109375" style="4" customWidth="1"/>
    <x:col min="14" max="14" width="14.85546875" style="4" customWidth="1"/>
    <x:col min="15" max="15" width="4.7109375" style="3" customWidth="1"/>
    <x:col min="16" max="16" width="14" style="4" customWidth="1"/>
    <x:col min="17" max="17" width="2.7109375" style="4" customWidth="1"/>
    <x:col min="18" max="18" width="15" style="4" customWidth="1"/>
    <x:col min="19" max="19" width="4.140625" style="3" customWidth="1"/>
    <x:col min="20" max="20" width="19" style="4" customWidth="1"/>
    <x:col min="21" max="21" width="2.7109375" style="4" customWidth="1"/>
    <x:col min="22" max="22" width="18.42578125" style="4" customWidth="1"/>
    <x:col min="23" max="23" width="3.7109375" style="3" customWidth="1"/>
    <x:col min="24" max="24" width="10.42578125" style="3" customWidth="1"/>
    <x:col min="25" max="25" width="1.7109375" style="3" customWidth="1"/>
    <x:col min="26" max="26" width="10.4257812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92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31</x:v>
      </x:c>
    </x:row>
    <x:row r="16" spans="1:26" ht="18.75" customHeight="1" x14ac:dyDescent="0.25">
      <x:c r="A16" s="3" t="s">
        <x:v>1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'[1]SEC &gt; 10kW '!D22-'[2]SEC &gt; 10kW '!D22</x:f>
        <x:v>320263.33712412417</x:v>
      </x:c>
      <x:c r="E23" s="4"/>
      <x:c r="F23" s="4">
        <x:f>'[1]SEC &gt; 10kW '!F22-'[2]SEC &gt; 10kW '!F22</x:f>
        <x:v>308807.69953178801</x:v>
      </x:c>
      <x:c r="G23" s="4"/>
      <x:c r="H23" s="4">
        <x:f>'[1]SEC &gt; 10kW '!H22-'[2]SEC &gt; 10kW '!H22</x:f>
        <x:v>197366.44827434234</x:v>
      </x:c>
      <x:c r="I23" s="4"/>
      <x:c r="J23" s="4">
        <x:f>'[1]SEC &gt; 10kW '!J22-'[2]SEC &gt; 10kW '!J22</x:f>
        <x:v>190306.76256501302</x:v>
      </x:c>
      <x:c r="K23" s="4"/>
      <x:c r="L23" s="4">
        <x:f>'[1]SEC &gt; 10kW '!L22-'[2]SEC &gt; 10kW '!L22</x:f>
        <x:v>167698.23071170878</x:v>
      </x:c>
      <x:c r="N23" s="4">
        <x:f>'[1]SEC &gt; 10kW '!N22-'[2]SEC &gt; 10kW '!N22</x:f>
        <x:v>161699.76028683875</x:v>
      </x:c>
      <x:c r="O23" s="4"/>
      <x:c r="P23" s="4">
        <x:f>'[1]SEC &gt; 10kW '!P22-'[2]SEC &gt; 10kW '!P22</x:f>
        <x:v>192710.2100271089</x:v>
      </x:c>
      <x:c r="R23" s="4">
        <x:f>'[1]SEC &gt; 10kW '!R22-'[2]SEC &gt; 10kW '!R22</x:f>
        <x:v>185817.07531416602</x:v>
      </x:c>
      <x:c r="S23" s="4"/>
      <x:c r="T23" s="4">
        <x:f>'[1]SEC &gt; 10kW '!T22-'[2]SEC &gt; 10kW '!T22</x:f>
        <x:v>94645619.415064335</x:v>
      </x:c>
      <x:c r="V23" s="4">
        <x:f>'[1]SEC &gt; 10kW '!V22-'[2]SEC &gt; 10kW '!V22</x:f>
        <x:v>91447031.175703049</x:v>
      </x:c>
      <x:c r="X23" s="36">
        <x:f>'[1]SEC &gt; 10kW '!X22-'[2]SEC &gt; 10kW '!X22</x:f>
        <x:v>0</x:v>
      </x:c>
      <x:c r="Y23" s="36">
        <x:f>'[1]SEC &gt; 10kW '!Y22-'[2]SEC &gt; 10kW '!Y22</x:f>
        <x:v>0</x:v>
      </x:c>
      <x:c r="Z23" s="36">
        <x:f>'[1]SEC &gt; 10kW '!Z22-'[2]SEC &gt; 10kW 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'[1]SEC &gt; 10kW '!D23-'[2]SEC &gt; 10kW '!D23</x:f>
        <x:v>-68046.332496982068</x:v>
      </x:c>
      <x:c r="E24" s="4"/>
      <x:c r="F24" s="4">
        <x:f>'[1]SEC &gt; 10kW '!F23-'[2]SEC &gt; 10kW '!F23</x:f>
        <x:v>-65612.353848120198</x:v>
      </x:c>
      <x:c r="G24" s="4"/>
      <x:c r="H24" s="4">
        <x:f>'[1]SEC &gt; 10kW '!H23-'[2]SEC &gt; 10kW '!H23</x:f>
        <x:v>-40257.204240162857</x:v>
      </x:c>
      <x:c r="I24" s="4"/>
      <x:c r="J24" s="4">
        <x:f>'[1]SEC &gt; 10kW '!J23-'[2]SEC &gt; 10kW '!J23</x:f>
        <x:v>-38817.226919008419</x:v>
      </x:c>
      <x:c r="K24" s="4"/>
      <x:c r="L24" s="4">
        <x:f>'[1]SEC &gt; 10kW '!L23-'[2]SEC &gt; 10kW '!L23</x:f>
        <x:v>-35524.905622255057</x:v>
      </x:c>
      <x:c r="N24" s="4">
        <x:f>'[1]SEC &gt; 10kW '!N23-'[2]SEC &gt; 10kW '!N23</x:f>
        <x:v>-34254.199933727272</x:v>
      </x:c>
      <x:c r="O24" s="4"/>
      <x:c r="P24" s="4">
        <x:f>'[1]SEC &gt; 10kW '!P23-'[2]SEC &gt; 10kW '!P23</x:f>
        <x:v>-35524.905622255057</x:v>
      </x:c>
      <x:c r="R24" s="4">
        <x:f>'[1]SEC &gt; 10kW '!R23-'[2]SEC &gt; 10kW '!R23</x:f>
        <x:v>-34254.199933727272</x:v>
      </x:c>
      <x:c r="S24" s="4"/>
      <x:c r="T24" s="4">
        <x:f>'[1]SEC &gt; 10kW '!T23-'[2]SEC &gt; 10kW '!T23</x:f>
        <x:v>-22071191.105873108</x:v>
      </x:c>
      <x:c r="V24" s="4">
        <x:f>'[1]SEC &gt; 10kW '!V23-'[2]SEC &gt; 10kW '!V23</x:f>
        <x:v>-21325285.983837605</x:v>
      </x:c>
      <x:c r="X24" s="36">
        <x:f>'[1]SEC &gt; 10kW '!X23-'[2]SEC &gt; 10kW '!X23</x:f>
        <x:v>0</x:v>
      </x:c>
      <x:c r="Y24" s="36">
        <x:f>'[1]SEC &gt; 10kW '!Y23-'[2]SEC &gt; 10kW '!Y23</x:f>
        <x:v>0</x:v>
      </x:c>
      <x:c r="Z24" s="36">
        <x:f>'[1]SEC &gt; 10kW '!Z23-'[2]SEC &gt; 10kW 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'[1]SEC &gt; 10kW '!D24-'[2]SEC &gt; 10kW '!D24</x:f>
        <x:v>230078.37396708503</x:v>
      </x:c>
      <x:c r="E25" s="4"/>
      <x:c r="F25" s="4">
        <x:f>'[1]SEC &gt; 10kW '!F24-'[2]SEC &gt; 10kW '!F24</x:f>
        <x:v>221848.60126294568</x:v>
      </x:c>
      <x:c r="G25" s="4"/>
      <x:c r="H25" s="4">
        <x:f>'[1]SEC &gt; 10kW '!H24-'[2]SEC &gt; 10kW '!H24</x:f>
        <x:v>138338.06434969883</x:v>
      </x:c>
      <x:c r="I25" s="4"/>
      <x:c r="J25" s="4">
        <x:f>'[1]SEC &gt; 10kW '!J24-'[2]SEC &gt; 10kW '!J24</x:f>
        <x:v>133389.7903928794</x:v>
      </x:c>
      <x:c r="K25" s="4"/>
      <x:c r="L25" s="4">
        <x:f>'[1]SEC &gt; 10kW '!L24-'[2]SEC &gt; 10kW '!L24</x:f>
        <x:v>113157.37310610991</x:v>
      </x:c>
      <x:c r="N25" s="4">
        <x:f>'[1]SEC &gt; 10kW '!N24-'[2]SEC &gt; 10kW '!N24</x:f>
        <x:v>109109.79816717189</x:v>
      </x:c>
      <x:c r="O25" s="4"/>
      <x:c r="P25" s="4">
        <x:f>'[1]SEC &gt; 10kW '!P24-'[2]SEC &gt; 10kW '!P24</x:f>
        <x:v>128688.15688000992</x:v>
      </x:c>
      <x:c r="R25" s="4">
        <x:f>'[1]SEC &gt; 10kW '!R24-'[2]SEC &gt; 10kW '!R24</x:f>
        <x:v>124085.05463021435</x:v>
      </x:c>
      <x:c r="S25" s="4"/>
      <x:c r="T25" s="4">
        <x:f>'[1]SEC &gt; 10kW '!T24-'[2]SEC &gt; 10kW '!T24</x:f>
        <x:v>72910354.437961102</x:v>
      </x:c>
      <x:c r="V25" s="4">
        <x:f>'[1]SEC &gt; 10kW '!V24-'[2]SEC &gt; 10kW '!V24</x:f>
        <x:v>70446318.556805134</x:v>
      </x:c>
      <x:c r="X25" s="36">
        <x:f>'[1]SEC &gt; 10kW '!X24-'[2]SEC &gt; 10kW '!X24</x:f>
        <x:v>0</x:v>
      </x:c>
      <x:c r="Y25" s="36">
        <x:f>'[1]SEC &gt; 10kW '!Y24-'[2]SEC &gt; 10kW '!Y24</x:f>
        <x:v>0</x:v>
      </x:c>
      <x:c r="Z25" s="36">
        <x:f>'[1]SEC &gt; 10kW '!Z24-'[2]SEC &gt; 10kW 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'[1]SEC &gt; 10kW '!D25-'[2]SEC &gt; 10kW '!D25</x:f>
        <x:v>157075.93294786289</x:v>
      </x:c>
      <x:c r="E26" s="4"/>
      <x:c r="F26" s="4">
        <x:f>'[1]SEC &gt; 10kW '!F25-'[2]SEC &gt; 10kW '!F25</x:f>
        <x:v>151457.41607831791</x:v>
      </x:c>
      <x:c r="G26" s="4"/>
      <x:c r="H26" s="4">
        <x:f>'[1]SEC &gt; 10kW '!H25-'[2]SEC &gt; 10kW '!H25</x:f>
        <x:v>104812.39028567076</x:v>
      </x:c>
      <x:c r="I26" s="4"/>
      <x:c r="J26" s="4">
        <x:f>'[1]SEC &gt; 10kW '!J25-'[2]SEC &gt; 10kW '!J25</x:f>
        <x:v>101063.31064052414</x:v>
      </x:c>
      <x:c r="K26" s="4"/>
      <x:c r="L26" s="4">
        <x:f>'[1]SEC &gt; 10kW '!L25-'[2]SEC &gt; 10kW '!L25</x:f>
        <x:v>96800.905678299256</x:v>
      </x:c>
      <x:c r="N26" s="4">
        <x:f>'[1]SEC &gt; 10kW '!N25-'[2]SEC &gt; 10kW '!N25</x:f>
        <x:v>93338.392285357229</x:v>
      </x:c>
      <x:c r="O26" s="4"/>
      <x:c r="P26" s="4">
        <x:f>'[1]SEC &gt; 10kW '!P25-'[2]SEC &gt; 10kW '!P25</x:f>
        <x:v>96800.905678299256</x:v>
      </x:c>
      <x:c r="R26" s="4">
        <x:f>'[1]SEC &gt; 10kW '!R25-'[2]SEC &gt; 10kW '!R25</x:f>
        <x:v>93338.392285357229</x:v>
      </x:c>
      <x:c r="S26" s="4"/>
      <x:c r="T26" s="4">
        <x:f>'[1]SEC &gt; 10kW '!T25-'[2]SEC &gt; 10kW '!T25</x:f>
        <x:v>48961123.777522564</x:v>
      </x:c>
      <x:c r="V26" s="4">
        <x:f>'[1]SEC &gt; 10kW '!V25-'[2]SEC &gt; 10kW '!V25</x:f>
        <x:v>47306462.149561882</x:v>
      </x:c>
      <x:c r="X26" s="36">
        <x:f>'[1]SEC &gt; 10kW '!X25-'[2]SEC &gt; 10kW '!X25</x:f>
        <x:v>0</x:v>
      </x:c>
      <x:c r="Y26" s="36">
        <x:f>'[1]SEC &gt; 10kW '!Y25-'[2]SEC &gt; 10kW '!Y25</x:f>
        <x:v>0</x:v>
      </x:c>
      <x:c r="Z26" s="36">
        <x:f>'[1]SEC &gt; 10kW '!Z25-'[2]SEC &gt; 10kW 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'[1]SEC &gt; 10kW '!D26-'[2]SEC &gt; 10kW '!D26</x:f>
        <x:v>-151431.2660139855</x:v>
      </x:c>
      <x:c r="E27" s="4"/>
      <x:c r="F27" s="4">
        <x:f>'[1]SEC &gt; 10kW '!F26-'[2]SEC &gt; 10kW '!F26</x:f>
        <x:v>-146014.65567331389</x:v>
      </x:c>
      <x:c r="G27" s="4"/>
      <x:c r="H27" s="4">
        <x:f>'[1]SEC &gt; 10kW '!H26-'[2]SEC &gt; 10kW '!H26</x:f>
        <x:v>-104641.88453171216</x:v>
      </x:c>
      <x:c r="I27" s="4"/>
      <x:c r="J27" s="4">
        <x:f>'[1]SEC &gt; 10kW '!J26-'[2]SEC &gt; 10kW '!J26</x:f>
        <x:v>-100898.9037805004</x:v>
      </x:c>
      <x:c r="K27" s="4"/>
      <x:c r="L27" s="4">
        <x:f>'[1]SEC &gt; 10kW '!L26-'[2]SEC &gt; 10kW '!L26</x:f>
        <x:v>-87895.67501493264</x:v>
      </x:c>
      <x:c r="N27" s="4">
        <x:f>'[1]SEC &gt; 10kW '!N26-'[2]SEC &gt; 10kW '!N26</x:f>
        <x:v>-84751.696662785485</x:v>
      </x:c>
      <x:c r="O27" s="4"/>
      <x:c r="P27" s="4">
        <x:f>'[1]SEC &gt; 10kW '!P26-'[2]SEC &gt; 10kW '!P26</x:f>
        <x:v>-86197.237548190169</x:v>
      </x:c>
      <x:c r="R27" s="4">
        <x:f>'[1]SEC &gt; 10kW '!R26-'[2]SEC &gt; 10kW '!R26</x:f>
        <x:v>-83114.011339160614</x:v>
      </x:c>
      <x:c r="S27" s="4"/>
      <x:c r="T27" s="4">
        <x:f>'[1]SEC &gt; 10kW '!T26-'[2]SEC &gt; 10kW '!T26</x:f>
        <x:v>-45477282.577560425</x:v>
      </x:c>
      <x:c r="V27" s="4">
        <x:f>'[1]SEC &gt; 10kW '!V26-'[2]SEC &gt; 10kW '!V26</x:f>
        <x:v>-43940358.818069935</x:v>
      </x:c>
      <x:c r="X27" s="36">
        <x:f>'[1]SEC &gt; 10kW '!X26-'[2]SEC &gt; 10kW '!X26</x:f>
        <x:v>0</x:v>
      </x:c>
      <x:c r="Y27" s="36">
        <x:f>'[1]SEC &gt; 10kW '!Y26-'[2]SEC &gt; 10kW '!Y26</x:f>
        <x:v>0</x:v>
      </x:c>
      <x:c r="Z27" s="36">
        <x:f>'[1]SEC &gt; 10kW '!Z26-'[2]SEC &gt; 10kW 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'[1]SEC &gt; 10kW '!D27-'[2]SEC &gt; 10kW '!D27</x:f>
        <x:v>-178306.609311454</x:v>
      </x:c>
      <x:c r="E28" s="4"/>
      <x:c r="F28" s="4">
        <x:f>'[1]SEC &gt; 10kW '!F27-'[2]SEC &gt; 10kW '!F27</x:f>
        <x:v>-171928.68321185</x:v>
      </x:c>
      <x:c r="G28" s="4"/>
      <x:c r="H28" s="4">
        <x:f>'[1]SEC &gt; 10kW '!H27-'[2]SEC &gt; 10kW '!H27</x:f>
        <x:v>-128812.11902375147</x:v>
      </x:c>
      <x:c r="I28" s="4"/>
      <x:c r="J28" s="4">
        <x:f>'[1]SEC &gt; 10kW '!J27-'[2]SEC &gt; 10kW '!J27</x:f>
        <x:v>-124204.58271851204</x:v>
      </x:c>
      <x:c r="K28" s="4"/>
      <x:c r="L28" s="4">
        <x:f>'[1]SEC &gt; 10kW '!L27-'[2]SEC &gt; 10kW '!L27</x:f>
        <x:v>-126133.95495803095</x:v>
      </x:c>
      <x:c r="N28" s="4">
        <x:f>'[1]SEC &gt; 10kW '!N27-'[2]SEC &gt; 10kW '!N27</x:f>
        <x:v>-121622.2150596641</x:v>
      </x:c>
      <x:c r="O28" s="4"/>
      <x:c r="P28" s="4">
        <x:f>'[1]SEC &gt; 10kW '!P27-'[2]SEC &gt; 10kW '!P27</x:f>
        <x:v>-103222.27710194513</x:v>
      </x:c>
      <x:c r="R28" s="4">
        <x:f>'[1]SEC &gt; 10kW '!R27-'[2]SEC &gt; 10kW '!R27</x:f>
        <x:v>-99530.07490186207</x:v>
      </x:c>
      <x:c r="S28" s="4"/>
      <x:c r="T28" s="4">
        <x:f>'[1]SEC &gt; 10kW '!T27-'[2]SEC &gt; 10kW '!T27</x:f>
        <x:v>-59529682.398460388</x:v>
      </x:c>
      <x:c r="V28" s="4">
        <x:f>'[1]SEC &gt; 10kW '!V27-'[2]SEC &gt; 10kW '!V27</x:f>
        <x:v>-57517851.917668343</x:v>
      </x:c>
      <x:c r="X28" s="36">
        <x:f>'[1]SEC &gt; 10kW '!X27-'[2]SEC &gt; 10kW '!X27</x:f>
        <x:v>0</x:v>
      </x:c>
      <x:c r="Y28" s="36">
        <x:f>'[1]SEC &gt; 10kW '!Y27-'[2]SEC &gt; 10kW '!Y27</x:f>
        <x:v>0</x:v>
      </x:c>
      <x:c r="Z28" s="36">
        <x:f>'[1]SEC &gt; 10kW '!Z27-'[2]SEC &gt; 10kW 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'[1]SEC &gt; 10kW '!D28-'[2]SEC &gt; 10kW '!D28</x:f>
        <x:v>-233623.72291785106</x:v>
      </x:c>
      <x:c r="E29" s="4"/>
      <x:c r="F29" s="4">
        <x:f>'[1]SEC &gt; 10kW '!F28-'[2]SEC &gt; 10kW '!F28</x:f>
        <x:v>-225267.13509624265</x:v>
      </x:c>
      <x:c r="G29" s="4"/>
      <x:c r="H29" s="4">
        <x:f>'[1]SEC &gt; 10kW '!H28-'[2]SEC &gt; 10kW '!H28</x:f>
        <x:v>-166639.8748414889</x:v>
      </x:c>
      <x:c r="I29" s="4"/>
      <x:c r="J29" s="4">
        <x:f>'[1]SEC &gt; 10kW '!J28-'[2]SEC &gt; 10kW '!J28</x:f>
        <x:v>-160679.26120473072</x:v>
      </x:c>
      <x:c r="K29" s="4"/>
      <x:c r="L29" s="4">
        <x:f>'[1]SEC &gt; 10kW '!L28-'[2]SEC &gt; 10kW '!L28</x:f>
        <x:v>-157928.41141758859</x:v>
      </x:c>
      <x:c r="N29" s="4">
        <x:f>'[1]SEC &gt; 10kW '!N28-'[2]SEC &gt; 10kW '!N28</x:f>
        <x:v>-152279.40187756717</x:v>
      </x:c>
      <x:c r="O29" s="4"/>
      <x:c r="P29" s="4">
        <x:f>'[1]SEC &gt; 10kW '!P28-'[2]SEC &gt; 10kW '!P28</x:f>
        <x:v>-156446.37462432683</x:v>
      </x:c>
      <x:c r="R29" s="4">
        <x:f>'[1]SEC &gt; 10kW '!R28-'[2]SEC &gt; 10kW '!R28</x:f>
        <x:v>-150850.37669829559</x:v>
      </x:c>
      <x:c r="S29" s="4"/>
      <x:c r="T29" s="4">
        <x:f>'[1]SEC &gt; 10kW '!T28-'[2]SEC &gt; 10kW '!T28</x:f>
        <x:v>-86747515.934209824</x:v>
      </x:c>
      <x:c r="V29" s="4">
        <x:f>'[1]SEC &gt; 10kW '!V28-'[2]SEC &gt; 10kW '!V28</x:f>
        <x:v>-83815847.400834084</x:v>
      </x:c>
      <x:c r="X29" s="36">
        <x:f>'[1]SEC &gt; 10kW '!X28-'[2]SEC &gt; 10kW '!X28</x:f>
        <x:v>0</x:v>
      </x:c>
      <x:c r="Y29" s="36">
        <x:f>'[1]SEC &gt; 10kW '!Y28-'[2]SEC &gt; 10kW '!Y28</x:f>
        <x:v>0</x:v>
      </x:c>
      <x:c r="Z29" s="36">
        <x:f>'[1]SEC &gt; 10kW '!Z28-'[2]SEC &gt; 10kW 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'[1]SEC &gt; 10kW '!D29-'[2]SEC &gt; 10kW '!D29</x:f>
        <x:v>282674.98723133467</x:v>
      </x:c>
      <x:c r="E30" s="4"/>
      <x:c r="F30" s="4">
        <x:f>'[1]SEC &gt; 10kW '!F29-'[2]SEC &gt; 10kW '!F29</x:f>
        <x:v>272563.86355661601</x:v>
      </x:c>
      <x:c r="G30" s="4"/>
      <x:c r="H30" s="4">
        <x:f>'[1]SEC &gt; 10kW '!H29-'[2]SEC &gt; 10kW '!H29</x:f>
        <x:v>205688.46627816744</x:v>
      </x:c>
      <x:c r="I30" s="4"/>
      <x:c r="J30" s="4">
        <x:f>'[1]SEC &gt; 10kW '!J29-'[2]SEC &gt; 10kW '!J29</x:f>
        <x:v>198331.1067134887</x:v>
      </x:c>
      <x:c r="K30" s="4"/>
      <x:c r="L30" s="4">
        <x:f>'[1]SEC &gt; 10kW '!L29-'[2]SEC &gt; 10kW '!L29</x:f>
        <x:v>200128.00277672149</x:v>
      </x:c>
      <x:c r="N30" s="4">
        <x:f>'[1]SEC &gt; 10kW '!N29-'[2]SEC &gt; 10kW '!N29</x:f>
        <x:v>192969.5378319826</x:v>
      </x:c>
      <x:c r="O30" s="4"/>
      <x:c r="P30" s="4">
        <x:f>'[1]SEC &gt; 10kW '!P29-'[2]SEC &gt; 10kW '!P29</x:f>
        <x:v>193257.6756712608</x:v>
      </x:c>
      <x:c r="R30" s="4">
        <x:f>'[1]SEC &gt; 10kW '!R29-'[2]SEC &gt; 10kW '!R29</x:f>
        <x:v>186344.95842330158</x:v>
      </x:c>
      <x:c r="S30" s="4"/>
      <x:c r="T30" s="4">
        <x:f>'[1]SEC &gt; 10kW '!T29-'[2]SEC &gt; 10kW '!T29</x:f>
        <x:v>99790165.839170456</x:v>
      </x:c>
      <x:c r="V30" s="4">
        <x:f>'[1]SEC &gt; 10kW '!V29-'[2]SEC &gt; 10kW '!V29</x:f>
        <x:v>96417715.504652023</x:v>
      </x:c>
      <x:c r="X30" s="36">
        <x:f>'[1]SEC &gt; 10kW '!X29-'[2]SEC &gt; 10kW '!X29</x:f>
        <x:v>0</x:v>
      </x:c>
      <x:c r="Y30" s="36">
        <x:f>'[1]SEC &gt; 10kW '!Y29-'[2]SEC &gt; 10kW '!Y29</x:f>
        <x:v>0</x:v>
      </x:c>
      <x:c r="Z30" s="36">
        <x:f>'[1]SEC &gt; 10kW '!Z29-'[2]SEC &gt; 10kW 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'[1]SEC &gt; 10kW '!D30-'[2]SEC &gt; 10kW '!D30</x:f>
        <x:v>-178049.76416985132</x:v>
      </x:c>
      <x:c r="E31" s="4"/>
      <x:c r="F31" s="4">
        <x:f>'[1]SEC &gt; 10kW '!F30-'[2]SEC &gt; 10kW '!F30</x:f>
        <x:v>-171681.02527501993</x:v>
      </x:c>
      <x:c r="G31" s="4"/>
      <x:c r="H31" s="4">
        <x:f>'[1]SEC &gt; 10kW '!H30-'[2]SEC &gt; 10kW '!H30</x:f>
        <x:v>-129915.25952975452</x:v>
      </x:c>
      <x:c r="I31" s="4"/>
      <x:c r="J31" s="4">
        <x:f>'[1]SEC &gt; 10kW '!J30-'[2]SEC &gt; 10kW '!J30</x:f>
        <x:v>-125268.26451542974</x:v>
      </x:c>
      <x:c r="K31" s="4"/>
      <x:c r="L31" s="4">
        <x:f>'[1]SEC &gt; 10kW '!L30-'[2]SEC &gt; 10kW '!L30</x:f>
        <x:v>-127457.05987334624</x:v>
      </x:c>
      <x:c r="N31" s="4">
        <x:f>'[1]SEC &gt; 10kW '!N30-'[2]SEC &gt; 10kW '!N30</x:f>
        <x:v>-122897.99326395988</x:v>
      </x:c>
      <x:c r="O31" s="4"/>
      <x:c r="P31" s="4">
        <x:f>'[1]SEC &gt; 10kW '!P30-'[2]SEC &gt; 10kW '!P30</x:f>
        <x:v>-123985.15316618979</x:v>
      </x:c>
      <x:c r="R31" s="4">
        <x:f>'[1]SEC &gt; 10kW '!R30-'[2]SEC &gt; 10kW '!R30</x:f>
        <x:v>-119550.27468694746</x:v>
      </x:c>
      <x:c r="S31" s="4"/>
      <x:c r="T31" s="4">
        <x:f>'[1]SEC &gt; 10kW '!T30-'[2]SEC &gt; 10kW '!T30</x:f>
        <x:v>-69587544.124783516</x:v>
      </x:c>
      <x:c r="V31" s="4">
        <x:f>'[1]SEC &gt; 10kW '!V30-'[2]SEC &gt; 10kW '!V30</x:f>
        <x:v>-67235804.006020546</x:v>
      </x:c>
      <x:c r="X31" s="36">
        <x:f>'[1]SEC &gt; 10kW '!X30-'[2]SEC &gt; 10kW '!X30</x:f>
        <x:v>0</x:v>
      </x:c>
      <x:c r="Y31" s="36">
        <x:f>'[1]SEC &gt; 10kW '!Y30-'[2]SEC &gt; 10kW '!Y30</x:f>
        <x:v>0</x:v>
      </x:c>
      <x:c r="Z31" s="36">
        <x:f>'[1]SEC &gt; 10kW '!Z30-'[2]SEC &gt; 10kW 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'[1]SEC &gt; 10kW '!D31-'[2]SEC &gt; 10kW '!D31</x:f>
        <x:v>-141744.38385239244</x:v>
      </x:c>
      <x:c r="E32" s="4"/>
      <x:c r="F32" s="4">
        <x:f>'[1]SEC &gt; 10kW '!F31-'[2]SEC &gt; 10kW '!F31</x:f>
        <x:v>-136674.26778246462</x:v>
      </x:c>
      <x:c r="G32" s="4"/>
      <x:c r="H32" s="4">
        <x:f>'[1]SEC &gt; 10kW '!H31-'[2]SEC &gt; 10kW '!H31</x:f>
        <x:v>-99680.902872279286</x:v>
      </x:c>
      <x:c r="I32" s="4"/>
      <x:c r="J32" s="4">
        <x:f>'[1]SEC &gt; 10kW '!J31-'[2]SEC &gt; 10kW '!J31</x:f>
        <x:v>-96115.373616151512</x:v>
      </x:c>
      <x:c r="K32" s="4"/>
      <x:c r="L32" s="4">
        <x:f>'[1]SEC &gt; 10kW '!L31-'[2]SEC &gt; 10kW '!L31</x:f>
        <x:v>-94280.526845501736</x:v>
      </x:c>
      <x:c r="N32" s="4">
        <x:f>'[1]SEC &gt; 10kW '!N31-'[2]SEC &gt; 10kW '!N31</x:f>
        <x:v>-90908.165971307084</x:v>
      </x:c>
      <x:c r="O32" s="4"/>
      <x:c r="P32" s="4">
        <x:f>'[1]SEC &gt; 10kW '!P31-'[2]SEC &gt; 10kW '!P31</x:f>
        <x:v>-94280.526845501736</x:v>
      </x:c>
      <x:c r="R32" s="4">
        <x:f>'[1]SEC &gt; 10kW '!R31-'[2]SEC &gt; 10kW '!R31</x:f>
        <x:v>-90908.165971307084</x:v>
      </x:c>
      <x:c r="S32" s="4"/>
      <x:c r="T32" s="4">
        <x:f>'[1]SEC &gt; 10kW '!T31-'[2]SEC &gt; 10kW '!T31</x:f>
        <x:v>-51159731.947674751</x:v>
      </x:c>
      <x:c r="V32" s="4">
        <x:f>'[1]SEC &gt; 10kW '!V31-'[2]SEC &gt; 10kW '!V31</x:f>
        <x:v>-49430767.438297272</x:v>
      </x:c>
      <x:c r="X32" s="36">
        <x:f>'[1]SEC &gt; 10kW '!X31-'[2]SEC &gt; 10kW '!X31</x:f>
        <x:v>0</x:v>
      </x:c>
      <x:c r="Y32" s="36">
        <x:f>'[1]SEC &gt; 10kW '!Y31-'[2]SEC &gt; 10kW '!Y31</x:f>
        <x:v>0</x:v>
      </x:c>
      <x:c r="Z32" s="36">
        <x:f>'[1]SEC &gt; 10kW '!Z31-'[2]SEC &gt; 10kW 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'[1]SEC &gt; 10kW '!D32-'[2]SEC &gt; 10kW '!D32</x:f>
        <x:v>-467029.61658377759</x:v>
      </x:c>
      <x:c r="E33" s="4"/>
      <x:c r="F33" s="4">
        <x:f>'[1]SEC &gt; 10kW '!F32-'[2]SEC &gt; 10kW '!F32</x:f>
        <x:v>-450324.23256913014</x:v>
      </x:c>
      <x:c r="G33" s="4"/>
      <x:c r="H33" s="4">
        <x:f>'[1]SEC &gt; 10kW '!H32-'[2]SEC &gt; 10kW '!H32</x:f>
        <x:v>-291703.62727528065</x:v>
      </x:c>
      <x:c r="I33" s="4"/>
      <x:c r="J33" s="4">
        <x:f>'[1]SEC &gt; 10kW '!J32-'[2]SEC &gt; 10kW '!J32</x:f>
        <x:v>-281269.55427634716</x:v>
      </x:c>
      <x:c r="K33" s="4"/>
      <x:c r="L33" s="4">
        <x:f>'[1]SEC &gt; 10kW '!L32-'[2]SEC &gt; 10kW '!L32</x:f>
        <x:v>-291570.7166472394</x:v>
      </x:c>
      <x:c r="N33" s="4">
        <x:f>'[1]SEC &gt; 10kW '!N32-'[2]SEC &gt; 10kW '!N32</x:f>
        <x:v>-281141.39778594952</x:v>
      </x:c>
      <x:c r="O33" s="4"/>
      <x:c r="P33" s="4">
        <x:f>'[1]SEC &gt; 10kW '!P32-'[2]SEC &gt; 10kW '!P32</x:f>
        <x:v>-283572.90288545005</x:v>
      </x:c>
      <x:c r="R33" s="4">
        <x:f>'[1]SEC &gt; 10kW '!R32-'[2]SEC &gt; 10kW '!R32</x:f>
        <x:v>-273429.66127798799</x:v>
      </x:c>
      <x:c r="S33" s="4"/>
      <x:c r="T33" s="4">
        <x:f>'[1]SEC &gt; 10kW '!T32-'[2]SEC &gt; 10kW '!T32</x:f>
        <x:v>-162943702.56643915</x:v>
      </x:c>
      <x:c r="V33" s="4">
        <x:f>'[1]SEC &gt; 10kW '!V32-'[2]SEC &gt; 10kW '!V32</x:f>
        <x:v>-157436952.0804882</x:v>
      </x:c>
      <x:c r="X33" s="36">
        <x:f>'[1]SEC &gt; 10kW '!X32-'[2]SEC &gt; 10kW '!X32</x:f>
        <x:v>0</x:v>
      </x:c>
      <x:c r="Y33" s="36">
        <x:f>'[1]SEC &gt; 10kW '!Y32-'[2]SEC &gt; 10kW '!Y32</x:f>
        <x:v>0</x:v>
      </x:c>
      <x:c r="Z33" s="36">
        <x:f>'[1]SEC &gt; 10kW '!Z32-'[2]SEC &gt; 10kW 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'[1]SEC &gt; 10kW '!D33-'[2]SEC &gt; 10kW '!D33</x:f>
        <x:v>98429.767289888114</x:v>
      </x:c>
      <x:c r="E34" s="4"/>
      <x:c r="F34" s="4">
        <x:f>'[1]SEC &gt; 10kW '!F33-'[2]SEC &gt; 10kW '!F33</x:f>
        <x:v>94908.990442633629</x:v>
      </x:c>
      <x:c r="G34" s="4"/>
      <x:c r="H34" s="4">
        <x:f>'[1]SEC &gt; 10kW '!H33-'[2]SEC &gt; 10kW '!H33</x:f>
        <x:v>55545.888538396917</x:v>
      </x:c>
      <x:c r="I34" s="4"/>
      <x:c r="J34" s="4">
        <x:f>'[1]SEC &gt; 10kW '!J33-'[2]SEC &gt; 10kW '!J33</x:f>
        <x:v>53559.043667066842</x:v>
      </x:c>
      <x:c r="K34" s="4"/>
      <x:c r="L34" s="4">
        <x:f>'[1]SEC &gt; 10kW '!L33-'[2]SEC &gt; 10kW '!L33</x:f>
        <x:v>54146.07791186031</x:v>
      </x:c>
      <x:c r="N34" s="4">
        <x:f>'[1]SEC &gt; 10kW '!N33-'[2]SEC &gt; 10kW '!N33</x:f>
        <x:v>52209.303471256047</x:v>
      </x:c>
      <x:c r="O34" s="4"/>
      <x:c r="P34" s="4">
        <x:f>'[1]SEC &gt; 10kW '!P33-'[2]SEC &gt; 10kW '!P33</x:f>
        <x:v>54146.07791186031</x:v>
      </x:c>
      <x:c r="R34" s="4">
        <x:f>'[1]SEC &gt; 10kW '!R33-'[2]SEC &gt; 10kW '!R33</x:f>
        <x:v>52209.303471256047</x:v>
      </x:c>
      <x:c r="S34" s="4"/>
      <x:c r="T34" s="17">
        <x:f>'[1]SEC &gt; 10kW '!T33-'[2]SEC &gt; 10kW '!T33</x:f>
        <x:v>30831945.702823162</x:v>
      </x:c>
      <x:c r="U34" s="16"/>
      <x:c r="V34" s="17">
        <x:f>'[1]SEC &gt; 10kW '!V33-'[2]SEC &gt; 10kW '!V33</x:f>
        <x:v>29789967.220024109</x:v>
      </x:c>
      <x:c r="X34" s="36">
        <x:f>'[1]SEC &gt; 10kW '!X33-'[2]SEC &gt; 10kW '!X33</x:f>
        <x:v>0</x:v>
      </x:c>
      <x:c r="Y34" s="36">
        <x:f>'[1]SEC &gt; 10kW '!Y33-'[2]SEC &gt; 10kW '!Y33</x:f>
        <x:v>0</x:v>
      </x:c>
      <x:c r="Z34" s="36">
        <x:f>'[1]SEC &gt; 10kW '!Z33-'[2]SEC &gt; 10kW 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-150377441.48245955</x:v>
      </x:c>
      <x:c r="U35" s="16"/>
      <x:c r="V35" s="16">
        <x:f>+SUM(V23:V34)</x:f>
        <x:v>-145295373.03846979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Z42"/>
  <x:sheetViews>
    <x:sheetView topLeftCell="A2" zoomScale="75" zoomScaleNormal="75" workbookViewId="0">
      <x:selection activeCell="A8" sqref="A8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7.7109375" style="4" customWidth="1"/>
    <x:col min="21" max="21" width="2.7109375" style="4" customWidth="1"/>
    <x:col min="22" max="22" width="17.7109375" style="4" customWidth="1"/>
    <x:col min="23" max="23" width="3.7109375" style="3" customWidth="1"/>
    <x:col min="24" max="24" width="10.28515625" style="3" customWidth="1"/>
    <x:col min="25" max="25" width="1.7109375" style="3" customWidth="1"/>
    <x:col min="26" max="26" width="10.855468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93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32</x:v>
      </x:c>
    </x:row>
    <x:row r="16" spans="1:26" ht="18.75" customHeight="1" x14ac:dyDescent="0.25">
      <x:c r="A16" s="3" t="s">
        <x:v>33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'[1]PRIMARY  &lt; 10kW'!D22-'[2]PRIMARY  &lt; 10kW'!D22</x:f>
        <x:v>-36.612589437234419</x:v>
      </x:c>
      <x:c r="E23" s="4"/>
      <x:c r="F23" s="4">
        <x:f>'[1]PRIMARY  &lt; 10kW'!F22-'[2]PRIMARY  &lt; 10kW'!F22</x:f>
        <x:v>-36.011181212314114</x:v>
      </x:c>
      <x:c r="G23" s="4"/>
      <x:c r="H23" s="4">
        <x:f>'[1]PRIMARY  &lt; 10kW'!H22-'[2]PRIMARY  &lt; 10kW'!H22</x:f>
        <x:v>-24.420204883086626</x:v>
      </x:c>
      <x:c r="I23" s="4"/>
      <x:c r="J23" s="4">
        <x:f>'[1]PRIMARY  &lt; 10kW'!J22-'[2]PRIMARY  &lt; 10kW'!J22</x:f>
        <x:v>-24.019072040622632</x:v>
      </x:c>
      <x:c r="K23" s="4"/>
      <x:c r="L23" s="4">
        <x:f>'[1]PRIMARY  &lt; 10kW'!L22-'[2]PRIMARY  &lt; 10kW'!L22</x:f>
        <x:v>-9.4316775052145658</x:v>
      </x:c>
      <x:c r="N23" s="4">
        <x:f>'[1]PRIMARY  &lt; 10kW'!N22-'[2]PRIMARY  &lt; 10kW'!N22</x:f>
        <x:v>-9.2767502380197584</x:v>
      </x:c>
      <x:c r="O23" s="4"/>
      <x:c r="P23" s="4">
        <x:f>'[1]PRIMARY  &lt; 10kW'!P22-'[2]PRIMARY  &lt; 10kW'!P22</x:f>
        <x:v>-8.8849836230444907</x:v>
      </x:c>
      <x:c r="R23" s="4">
        <x:f>'[1]PRIMARY  &lt; 10kW'!R22-'[2]PRIMARY  &lt; 10kW'!R22</x:f>
        <x:v>-8.7390364963505363</x:v>
      </x:c>
      <x:c r="S23" s="4"/>
      <x:c r="T23" s="4">
        <x:f>'[1]PRIMARY  &lt; 10kW'!T22-'[2]PRIMARY  &lt; 10kW'!T22</x:f>
        <x:v>-13294.033249844331</x:v>
      </x:c>
      <x:c r="V23" s="4">
        <x:f>'[1]PRIMARY  &lt; 10kW'!V22-'[2]PRIMARY  &lt; 10kW'!V22</x:f>
        <x:v>-13135.192637258209</x:v>
      </x:c>
      <x:c r="X23" s="14">
        <x:f>'[1]PRIMARY  &lt; 10kW'!X22-'[2]PRIMARY  &lt; 10kW'!X22</x:f>
        <x:v>0</x:v>
      </x:c>
      <x:c r="Y23" s="14"/>
      <x:c r="Z23" s="14">
        <x:f>'[1]PRIMARY  &lt; 10kW'!Z22-'[2]PRIMARY  &lt; 10kW'!Z22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'[1]PRIMARY  &lt; 10kW'!D23-'[2]PRIMARY  &lt; 10kW'!D23</x:f>
        <x:v>108.84520375739703</x:v>
      </x:c>
      <x:c r="E24" s="4"/>
      <x:c r="F24" s="4">
        <x:f>'[1]PRIMARY  &lt; 10kW'!F23-'[2]PRIMARY  &lt; 10kW'!F23</x:f>
        <x:v>107.05728321451716</x:v>
      </x:c>
      <x:c r="G24" s="4"/>
      <x:c r="H24" s="4">
        <x:f>'[1]PRIMARY  &lt; 10kW'!H23-'[2]PRIMARY  &lt; 10kW'!H23</x:f>
        <x:v>53.80721798008426</x:v>
      </x:c>
      <x:c r="I24" s="4"/>
      <x:c r="J24" s="4">
        <x:f>'[1]PRIMARY  &lt; 10kW'!J23-'[2]PRIMARY  &lt; 10kW'!J23</x:f>
        <x:v>52.92336616979901</x:v>
      </x:c>
      <x:c r="K24" s="4"/>
      <x:c r="L24" s="4">
        <x:f>'[1]PRIMARY  &lt; 10kW'!L23-'[2]PRIMARY  &lt; 10kW'!L23</x:f>
        <x:v>48.127605578559269</x:v>
      </x:c>
      <x:c r="N24" s="4">
        <x:f>'[1]PRIMARY  &lt; 10kW'!N23-'[2]PRIMARY  &lt; 10kW'!N23</x:f>
        <x:v>47.337048606610551</x:v>
      </x:c>
      <x:c r="O24" s="4"/>
      <x:c r="P24" s="4">
        <x:f>'[1]PRIMARY  &lt; 10kW'!P23-'[2]PRIMARY  &lt; 10kW'!P23</x:f>
        <x:v>48.127605578559269</x:v>
      </x:c>
      <x:c r="R24" s="4">
        <x:f>'[1]PRIMARY  &lt; 10kW'!R23-'[2]PRIMARY  &lt; 10kW'!R23</x:f>
        <x:v>47.337048606610551</x:v>
      </x:c>
      <x:c r="S24" s="4"/>
      <x:c r="T24" s="4">
        <x:f>'[1]PRIMARY  &lt; 10kW'!T23-'[2]PRIMARY  &lt; 10kW'!T23</x:f>
        <x:v>32208.493704041466</x:v>
      </x:c>
      <x:c r="V24" s="4">
        <x:f>'[1]PRIMARY  &lt; 10kW'!V23-'[2]PRIMARY  &lt; 10kW'!V23</x:f>
        <x:v>31823.658133506076</x:v>
      </x:c>
      <x:c r="X24" s="14">
        <x:f>'[1]PRIMARY  &lt; 10kW'!X23-'[2]PRIMARY  &lt; 10kW'!X23</x:f>
        <x:v>0</x:v>
      </x:c>
      <x:c r="Y24" s="14"/>
      <x:c r="Z24" s="14">
        <x:f>'[1]PRIMARY  &lt; 10kW'!Z23-'[2]PRIMARY  &lt; 10kW'!Z23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'[1]PRIMARY  &lt; 10kW'!D24-'[2]PRIMARY  &lt; 10kW'!D24</x:f>
        <x:v>87.244079166367555</x:v>
      </x:c>
      <x:c r="E25" s="4"/>
      <x:c r="F25" s="4">
        <x:f>'[1]PRIMARY  &lt; 10kW'!F24-'[2]PRIMARY  &lt; 10kW'!F24</x:f>
        <x:v>85.810984496124547</x:v>
      </x:c>
      <x:c r="G25" s="4"/>
      <x:c r="H25" s="4">
        <x:f>'[1]PRIMARY  &lt; 10kW'!H24-'[2]PRIMARY  &lt; 10kW'!H24</x:f>
        <x:v>38.432685455795763</x:v>
      </x:c>
      <x:c r="I25" s="4"/>
      <x:c r="J25" s="4">
        <x:f>'[1]PRIMARY  &lt; 10kW'!J24-'[2]PRIMARY  &lt; 10kW'!J24</x:f>
        <x:v>37.801379844961502</x:v>
      </x:c>
      <x:c r="K25" s="4"/>
      <x:c r="L25" s="4">
        <x:f>'[1]PRIMARY  &lt; 10kW'!L24-'[2]PRIMARY  &lt; 10kW'!L24</x:f>
        <x:v>35.143469870901754</x:v>
      </x:c>
      <x:c r="N25" s="4">
        <x:f>'[1]PRIMARY  &lt; 10kW'!N24-'[2]PRIMARY  &lt; 10kW'!N24</x:f>
        <x:v>34.566193798449603</x:v>
      </x:c>
      <x:c r="O25" s="4"/>
      <x:c r="P25" s="4">
        <x:f>'[1]PRIMARY  &lt; 10kW'!P24-'[2]PRIMARY  &lt; 10kW'!P24</x:f>
        <x:v>34.161971546897803</x:v>
      </x:c>
      <x:c r="R25" s="4">
        <x:f>'[1]PRIMARY  &lt; 10kW'!R24-'[2]PRIMARY  &lt; 10kW'!R24</x:f>
        <x:v>33.600817829457355</x:v>
      </x:c>
      <x:c r="S25" s="4"/>
      <x:c r="T25" s="4">
        <x:f>'[1]PRIMARY  &lt; 10kW'!T24-'[2]PRIMARY  &lt; 10kW'!T24</x:f>
        <x:v>26056.90256799804</x:v>
      </x:c>
      <x:c r="V25" s="4">
        <x:f>'[1]PRIMARY  &lt; 10kW'!V24-'[2]PRIMARY  &lt; 10kW'!V24</x:f>
        <x:v>25745.567829457344</x:v>
      </x:c>
      <x:c r="X25" s="14">
        <x:f>'[1]PRIMARY  &lt; 10kW'!X24-'[2]PRIMARY  &lt; 10kW'!X24</x:f>
        <x:v>0</x:v>
      </x:c>
      <x:c r="Y25" s="14"/>
      <x:c r="Z25" s="14">
        <x:f>'[1]PRIMARY  &lt; 10kW'!Z24-'[2]PRIMARY  &lt; 10kW'!Z24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'[1]PRIMARY  &lt; 10kW'!D25-'[2]PRIMARY  &lt; 10kW'!D25</x:f>
        <x:v>131.5342750958016</x:v>
      </x:c>
      <x:c r="E26" s="4"/>
      <x:c r="F26" s="4">
        <x:f>'[1]PRIMARY  &lt; 10kW'!F25-'[2]PRIMARY  &lt; 10kW'!F25</x:f>
        <x:v>129.37365777488685</x:v>
      </x:c>
      <x:c r="G26" s="4"/>
      <x:c r="H26" s="4">
        <x:f>'[1]PRIMARY  &lt; 10kW'!H25-'[2]PRIMARY  &lt; 10kW'!H25</x:f>
        <x:v>63.253865578824843</x:v>
      </x:c>
      <x:c r="I26" s="4"/>
      <x:c r="J26" s="4">
        <x:f>'[1]PRIMARY  &lt; 10kW'!J25-'[2]PRIMARY  &lt; 10kW'!J25</x:f>
        <x:v>62.214840598569026</x:v>
      </x:c>
      <x:c r="K26" s="4"/>
      <x:c r="L26" s="4">
        <x:f>'[1]PRIMARY  &lt; 10kW'!L25-'[2]PRIMARY  &lt; 10kW'!L25</x:f>
        <x:v>55.148860054816851</x:v>
      </x:c>
      <x:c r="N26" s="4">
        <x:f>'[1]PRIMARY  &lt; 10kW'!N25-'[2]PRIMARY  &lt; 10kW'!N25</x:f>
        <x:v>54.242970071568379</x:v>
      </x:c>
      <x:c r="O26" s="4"/>
      <x:c r="P26" s="4">
        <x:f>'[1]PRIMARY  &lt; 10kW'!P25-'[2]PRIMARY  &lt; 10kW'!P25</x:f>
        <x:v>55.148860054816851</x:v>
      </x:c>
      <x:c r="R26" s="4">
        <x:f>'[1]PRIMARY  &lt; 10kW'!R25-'[2]PRIMARY  &lt; 10kW'!R25</x:f>
        <x:v>54.242970071568379</x:v>
      </x:c>
      <x:c r="S26" s="4"/>
      <x:c r="T26" s="4">
        <x:f>'[1]PRIMARY  &lt; 10kW'!T25-'[2]PRIMARY  &lt; 10kW'!T25</x:f>
        <x:v>41363.608130912296</x:v>
      </x:c>
      <x:c r="V26" s="4">
        <x:f>'[1]PRIMARY  &lt; 10kW'!V25-'[2]PRIMARY  &lt; 10kW'!V25</x:f>
        <x:v>40869.384840598796</x:v>
      </x:c>
      <x:c r="X26" s="14">
        <x:f>'[1]PRIMARY  &lt; 10kW'!X25-'[2]PRIMARY  &lt; 10kW'!X25</x:f>
        <x:v>0</x:v>
      </x:c>
      <x:c r="Y26" s="14"/>
      <x:c r="Z26" s="14">
        <x:f>'[1]PRIMARY  &lt; 10kW'!Z25-'[2]PRIMARY  &lt; 10kW'!Z25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'[1]PRIMARY  &lt; 10kW'!D26-'[2]PRIMARY  &lt; 10kW'!D26</x:f>
        <x:v>121.95782183408301</x:v>
      </x:c>
      <x:c r="E27" s="4"/>
      <x:c r="F27" s="4">
        <x:f>'[1]PRIMARY  &lt; 10kW'!F26-'[2]PRIMARY  &lt; 10kW'!F26</x:f>
        <x:v>119.95450990581321</x:v>
      </x:c>
      <x:c r="G27" s="4"/>
      <x:c r="H27" s="4">
        <x:f>'[1]PRIMARY  &lt; 10kW'!H26-'[2]PRIMARY  &lt; 10kW'!H26</x:f>
        <x:v>71.56117188423741</x:v>
      </x:c>
      <x:c r="I27" s="4"/>
      <x:c r="J27" s="4">
        <x:f>'[1]PRIMARY  &lt; 10kW'!J26-'[2]PRIMARY  &lt; 10kW'!J26</x:f>
        <x:v>70.385688860018945</x:v>
      </x:c>
      <x:c r="K27" s="4"/>
      <x:c r="L27" s="4">
        <x:f>'[1]PRIMARY  &lt; 10kW'!L26-'[2]PRIMARY  &lt; 10kW'!L26</x:f>
        <x:v>49.051062724648546</x:v>
      </x:c>
      <x:c r="N27" s="4">
        <x:f>'[1]PRIMARY  &lt; 10kW'!N26-'[2]PRIMARY  &lt; 10kW'!N26</x:f>
        <x:v>48.245336797661366</x:v>
      </x:c>
      <x:c r="O27" s="4"/>
      <x:c r="P27" s="4">
        <x:f>'[1]PRIMARY  &lt; 10kW'!P26-'[2]PRIMARY  &lt; 10kW'!P26</x:f>
        <x:v>48.721026983727825</x:v>
      </x:c>
      <x:c r="R27" s="4">
        <x:f>'[1]PRIMARY  &lt; 10kW'!R26-'[2]PRIMARY  &lt; 10kW'!R26</x:f>
        <x:v>47.920722312439011</x:v>
      </x:c>
      <x:c r="S27" s="4"/>
      <x:c r="T27" s="4">
        <x:f>'[1]PRIMARY  &lt; 10kW'!T26-'[2]PRIMARY  &lt; 10kW'!T26</x:f>
        <x:v>42154.947009471711</x:v>
      </x:c>
      <x:c r="V27" s="4">
        <x:f>'[1]PRIMARY  &lt; 10kW'!V26-'[2]PRIMARY  &lt; 10kW'!V26</x:f>
        <x:v>41651.268593699206</x:v>
      </x:c>
      <x:c r="X27" s="14">
        <x:f>'[1]PRIMARY  &lt; 10kW'!X26-'[2]PRIMARY  &lt; 10kW'!X26</x:f>
        <x:v>0</x:v>
      </x:c>
      <x:c r="Y27" s="14"/>
      <x:c r="Z27" s="14">
        <x:f>'[1]PRIMARY  &lt; 10kW'!Z26-'[2]PRIMARY  &lt; 10kW'!Z26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'[1]PRIMARY  &lt; 10kW'!D27-'[2]PRIMARY  &lt; 10kW'!D27</x:f>
        <x:v>101.75847377615446</x:v>
      </x:c>
      <x:c r="E28" s="4"/>
      <x:c r="F28" s="4">
        <x:f>'[1]PRIMARY  &lt; 10kW'!F27-'[2]PRIMARY  &lt; 10kW'!F27</x:f>
        <x:v>100.08696176279955</x:v>
      </x:c>
      <x:c r="G28" s="4"/>
      <x:c r="H28" s="4">
        <x:f>'[1]PRIMARY  &lt; 10kW'!H27-'[2]PRIMARY  &lt; 10kW'!H27</x:f>
        <x:v>45.972599613347938</x:v>
      </x:c>
      <x:c r="I28" s="4"/>
      <x:c r="J28" s="4">
        <x:f>'[1]PRIMARY  &lt; 10kW'!J27-'[2]PRIMARY  &lt; 10kW'!J27</x:f>
        <x:v>45.217441348023385</x:v>
      </x:c>
      <x:c r="K28" s="4"/>
      <x:c r="L28" s="4">
        <x:f>'[1]PRIMARY  &lt; 10kW'!L27-'[2]PRIMARY  &lt; 10kW'!L27</x:f>
        <x:v>43.525399299633591</x:v>
      </x:c>
      <x:c r="N28" s="4">
        <x:f>'[1]PRIMARY  &lt; 10kW'!N27-'[2]PRIMARY  &lt; 10kW'!N27</x:f>
        <x:v>42.810439403758664</x:v>
      </x:c>
      <x:c r="O28" s="4"/>
      <x:c r="P28" s="4">
        <x:f>'[1]PRIMARY  &lt; 10kW'!P27-'[2]PRIMARY  &lt; 10kW'!P27</x:f>
        <x:v>43.195881562526665</x:v>
      </x:c>
      <x:c r="R28" s="4">
        <x:f>'[1]PRIMARY  &lt; 10kW'!R27-'[2]PRIMARY  &lt; 10kW'!R27</x:f>
        <x:v>42.486334413480108</x:v>
      </x:c>
      <x:c r="S28" s="4"/>
      <x:c r="T28" s="4">
        <x:f>'[1]PRIMARY  &lt; 10kW'!T27-'[2]PRIMARY  &lt; 10kW'!T27</x:f>
        <x:v>31435.229261266766</x:v>
      </x:c>
      <x:c r="V28" s="4">
        <x:f>'[1]PRIMARY  &lt; 10kW'!V27-'[2]PRIMARY  &lt; 10kW'!V27</x:f>
        <x:v>31059.632858068682</x:v>
      </x:c>
      <x:c r="X28" s="14">
        <x:f>'[1]PRIMARY  &lt; 10kW'!X27-'[2]PRIMARY  &lt; 10kW'!X27</x:f>
        <x:v>0</x:v>
      </x:c>
      <x:c r="Y28" s="14"/>
      <x:c r="Z28" s="14">
        <x:f>'[1]PRIMARY  &lt; 10kW'!Z27-'[2]PRIMARY  &lt; 10kW'!Z27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'[1]PRIMARY  &lt; 10kW'!D28-'[2]PRIMARY  &lt; 10kW'!D28</x:f>
        <x:v>84.731403608944674</x:v>
      </x:c>
      <x:c r="E29" s="4"/>
      <x:c r="F29" s="4">
        <x:f>'[1]PRIMARY  &lt; 10kW'!F28-'[2]PRIMARY  &lt; 10kW'!F28</x:f>
        <x:v>83.339582822085504</x:v>
      </x:c>
      <x:c r="G29" s="4"/>
      <x:c r="H29" s="4">
        <x:f>'[1]PRIMARY  &lt; 10kW'!H28-'[2]PRIMARY  &lt; 10kW'!H28</x:f>
        <x:v>38.389367057324762</x:v>
      </x:c>
      <x:c r="I29" s="4"/>
      <x:c r="J29" s="4">
        <x:f>'[1]PRIMARY  &lt; 10kW'!J28-'[2]PRIMARY  &lt; 10kW'!J28</x:f>
        <x:v>37.758773006134561</x:v>
      </x:c>
      <x:c r="K29" s="4"/>
      <x:c r="L29" s="4">
        <x:f>'[1]PRIMARY  &lt; 10kW'!L28-'[2]PRIMARY  &lt; 10kW'!L28</x:f>
        <x:v>33.622226368520387</x:v>
      </x:c>
      <x:c r="N29" s="4">
        <x:f>'[1]PRIMARY  &lt; 10kW'!N28-'[2]PRIMARY  &lt; 10kW'!N28</x:f>
        <x:v>33.06993865030654</x:v>
      </x:c>
      <x:c r="O29" s="4"/>
      <x:c r="P29" s="4">
        <x:f>'[1]PRIMARY  &lt; 10kW'!P28-'[2]PRIMARY  &lt; 10kW'!P28</x:f>
        <x:v>34.142178281194447</x:v>
      </x:c>
      <x:c r="R29" s="4">
        <x:f>'[1]PRIMARY  &lt; 10kW'!R28-'[2]PRIMARY  &lt; 10kW'!R28</x:f>
        <x:v>33.581349693251468</x:v>
      </x:c>
      <x:c r="S29" s="4"/>
      <x:c r="T29" s="4">
        <x:f>'[1]PRIMARY  &lt; 10kW'!T28-'[2]PRIMARY  &lt; 10kW'!T28</x:f>
        <x:v>24387.684965269407</x:v>
      </x:c>
      <x:c r="V29" s="4">
        <x:f>'[1]PRIMARY  &lt; 10kW'!V28-'[2]PRIMARY  &lt; 10kW'!V28</x:f>
        <x:v>24096.294478527503</x:v>
      </x:c>
      <x:c r="X29" s="14">
        <x:f>'[1]PRIMARY  &lt; 10kW'!X28-'[2]PRIMARY  &lt; 10kW'!X28</x:f>
        <x:v>0</x:v>
      </x:c>
      <x:c r="Y29" s="14"/>
      <x:c r="Z29" s="14">
        <x:f>'[1]PRIMARY  &lt; 10kW'!Z28-'[2]PRIMARY  &lt; 10kW'!Z28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'[1]PRIMARY  &lt; 10kW'!D29-'[2]PRIMARY  &lt; 10kW'!D29</x:f>
        <x:v>73.463302119755099</x:v>
      </x:c>
      <x:c r="E30" s="4"/>
      <x:c r="F30" s="4">
        <x:f>'[1]PRIMARY  &lt; 10kW'!F29-'[2]PRIMARY  &lt; 10kW'!F29</x:f>
        <x:v>72.256574193547749</x:v>
      </x:c>
      <x:c r="G30" s="4"/>
      <x:c r="H30" s="4">
        <x:f>'[1]PRIMARY  &lt; 10kW'!H29-'[2]PRIMARY  &lt; 10kW'!H29</x:f>
        <x:v>34.982201223901939</x:v>
      </x:c>
      <x:c r="I30" s="4"/>
      <x:c r="J30" s="4">
        <x:f>'[1]PRIMARY  &lt; 10kW'!J29-'[2]PRIMARY  &lt; 10kW'!J29</x:f>
        <x:v>34.407574193548044</x:v>
      </x:c>
      <x:c r="K30" s="4"/>
      <x:c r="L30" s="4">
        <x:f>'[1]PRIMARY  &lt; 10kW'!L29-'[2]PRIMARY  &lt; 10kW'!L29</x:f>
        <x:v>31.301246551502118</x:v>
      </x:c>
      <x:c r="N30" s="4">
        <x:f>'[1]PRIMARY  &lt; 10kW'!N29-'[2]PRIMARY  &lt; 10kW'!N29</x:f>
        <x:v>30.787083870967763</x:v>
      </x:c>
      <x:c r="O30" s="4"/>
      <x:c r="P30" s="4">
        <x:f>'[1]PRIMARY  &lt; 10kW'!P29-'[2]PRIMARY  &lt; 10kW'!P29</x:f>
        <x:v>29.98324181306225</x:v>
      </x:c>
      <x:c r="R30" s="4">
        <x:f>'[1]PRIMARY  &lt; 10kW'!R29-'[2]PRIMARY  &lt; 10kW'!R29</x:f>
        <x:v>29.490729032258059</x:v>
      </x:c>
      <x:c r="S30" s="4"/>
      <x:c r="T30" s="4">
        <x:f>'[1]PRIMARY  &lt; 10kW'!T29-'[2]PRIMARY  &lt; 10kW'!T29</x:f>
        <x:v>22096.632517375983</x:v>
      </x:c>
      <x:c r="V30" s="4">
        <x:f>'[1]PRIMARY  &lt; 10kW'!V29-'[2]PRIMARY  &lt; 10kW'!V29</x:f>
        <x:v>21832.616129032336</x:v>
      </x:c>
      <x:c r="X30" s="14">
        <x:f>'[1]PRIMARY  &lt; 10kW'!X29-'[2]PRIMARY  &lt; 10kW'!X29</x:f>
        <x:v>0</x:v>
      </x:c>
      <x:c r="Y30" s="14"/>
      <x:c r="Z30" s="14">
        <x:f>'[1]PRIMARY  &lt; 10kW'!Z29-'[2]PRIMARY  &lt; 10kW'!Z29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'[1]PRIMARY  &lt; 10kW'!D30-'[2]PRIMARY  &lt; 10kW'!D30</x:f>
        <x:v>27.734402987446629</x:v>
      </x:c>
      <x:c r="E31" s="4"/>
      <x:c r="F31" s="4">
        <x:f>'[1]PRIMARY  &lt; 10kW'!F30-'[2]PRIMARY  &lt; 10kW'!F30</x:f>
        <x:v>27.27883023702725</x:v>
      </x:c>
      <x:c r="G31" s="4"/>
      <x:c r="H31" s="4">
        <x:f>'[1]PRIMARY  &lt; 10kW'!H30-'[2]PRIMARY  &lt; 10kW'!H30</x:f>
        <x:v>12.403590968126082</x:v>
      </x:c>
      <x:c r="I31" s="4"/>
      <x:c r="J31" s="4">
        <x:f>'[1]PRIMARY  &lt; 10kW'!J30-'[2]PRIMARY  &lt; 10kW'!J30</x:f>
        <x:v>12.199846252402494</x:v>
      </x:c>
      <x:c r="K31" s="4"/>
      <x:c r="L31" s="4">
        <x:f>'[1]PRIMARY  &lt; 10kW'!L30-'[2]PRIMARY  &lt; 10kW'!L30</x:f>
        <x:v>11.575764814510876</x:v>
      </x:c>
      <x:c r="N31" s="4">
        <x:f>'[1]PRIMARY  &lt; 10kW'!N30-'[2]PRIMARY  &lt; 10kW'!N30</x:f>
        <x:v>11.385618193465689</x:v>
      </x:c>
      <x:c r="O31" s="4"/>
      <x:c r="P31" s="4">
        <x:f>'[1]PRIMARY  &lt; 10kW'!P30-'[2]PRIMARY  &lt; 10kW'!P30</x:f>
        <x:v>11.761405485657178</x:v>
      </x:c>
      <x:c r="R31" s="4">
        <x:f>'[1]PRIMARY  &lt; 10kW'!R30-'[2]PRIMARY  &lt; 10kW'!R30</x:f>
        <x:v>11.568209481101803</x:v>
      </x:c>
      <x:c r="S31" s="4"/>
      <x:c r="T31" s="4">
        <x:f>'[1]PRIMARY  &lt; 10kW'!T30-'[2]PRIMARY  &lt; 10kW'!T30</x:f>
        <x:v>8215.8026273960713</x:v>
      </x:c>
      <x:c r="V31" s="4">
        <x:f>'[1]PRIMARY  &lt; 10kW'!V30-'[2]PRIMARY  &lt; 10kW'!V30</x:f>
        <x:v>8117.6380525303539</x:v>
      </x:c>
      <x:c r="X31" s="14">
        <x:f>'[1]PRIMARY  &lt; 10kW'!X30-'[2]PRIMARY  &lt; 10kW'!X30</x:f>
        <x:v>0</x:v>
      </x:c>
      <x:c r="Y31" s="14"/>
      <x:c r="Z31" s="14">
        <x:f>'[1]PRIMARY  &lt; 10kW'!Z30-'[2]PRIMARY  &lt; 10kW'!Z30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'[1]PRIMARY  &lt; 10kW'!D31-'[2]PRIMARY  &lt; 10kW'!D31</x:f>
        <x:v>2.297744646859428</x:v>
      </x:c>
      <x:c r="E32" s="4"/>
      <x:c r="F32" s="4">
        <x:f>'[1]PRIMARY  &lt; 10kW'!F31-'[2]PRIMARY  &lt; 10kW'!F31</x:f>
        <x:v>2.2600012763241466</x:v>
      </x:c>
      <x:c r="G32" s="4"/>
      <x:c r="H32" s="4">
        <x:f>'[1]PRIMARY  &lt; 10kW'!H31-'[2]PRIMARY  &lt; 10kW'!H31</x:f>
        <x:v>0.9562889871808693</x:v>
      </x:c>
      <x:c r="I32" s="4"/>
      <x:c r="J32" s="4">
        <x:f>'[1]PRIMARY  &lt; 10kW'!J31-'[2]PRIMARY  &lt; 10kW'!J31</x:f>
        <x:v>0.9405807275047664</x:v>
      </x:c>
      <x:c r="K32" s="4"/>
      <x:c r="L32" s="4">
        <x:f>'[1]PRIMARY  &lt; 10kW'!L31-'[2]PRIMARY  &lt; 10kW'!L31</x:f>
        <x:v>0.86019228940085668</x:v>
      </x:c>
      <x:c r="N32" s="4">
        <x:f>'[1]PRIMARY  &lt; 10kW'!N31-'[2]PRIMARY  &lt; 10kW'!N31</x:f>
        <x:v>0.8460625398852244</x:v>
      </x:c>
      <x:c r="O32" s="4"/>
      <x:c r="P32" s="4">
        <x:f>'[1]PRIMARY  &lt; 10kW'!P31-'[2]PRIMARY  &lt; 10kW'!P31</x:f>
        <x:v>0.86019228940085668</x:v>
      </x:c>
      <x:c r="R32" s="4">
        <x:f>'[1]PRIMARY  &lt; 10kW'!R31-'[2]PRIMARY  &lt; 10kW'!R31</x:f>
        <x:v>0.8460625398852244</x:v>
      </x:c>
      <x:c r="S32" s="4"/>
      <x:c r="T32" s="4">
        <x:f>'[1]PRIMARY  &lt; 10kW'!T31-'[2]PRIMARY  &lt; 10kW'!T31</x:f>
        <x:v>630.80440720752813</x:v>
      </x:c>
      <x:c r="V32" s="4">
        <x:f>'[1]PRIMARY  &lt; 10kW'!V31-'[2]PRIMARY  &lt; 10kW'!V31</x:f>
        <x:v>623.26738991704769</x:v>
      </x:c>
      <x:c r="X32" s="14">
        <x:f>'[1]PRIMARY  &lt; 10kW'!X31-'[2]PRIMARY  &lt; 10kW'!X31</x:f>
        <x:v>0</x:v>
      </x:c>
      <x:c r="Y32" s="14"/>
      <x:c r="Z32" s="14">
        <x:f>'[1]PRIMARY  &lt; 10kW'!Z31-'[2]PRIMARY  &lt; 10kW'!Z31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'[1]PRIMARY  &lt; 10kW'!D32-'[2]PRIMARY  &lt; 10kW'!D32</x:f>
        <x:v>-24.323965607851278</x:v>
      </x:c>
      <x:c r="E33" s="4"/>
      <x:c r="F33" s="4">
        <x:f>'[1]PRIMARY  &lt; 10kW'!F32-'[2]PRIMARY  &lt; 10kW'!F32</x:f>
        <x:v>-23.924413617562095</x:v>
      </x:c>
      <x:c r="G33" s="4"/>
      <x:c r="H33" s="4">
        <x:f>'[1]PRIMARY  &lt; 10kW'!H32-'[2]PRIMARY  &lt; 10kW'!H32</x:f>
        <x:v>-10.489684678087542</x:v>
      </x:c>
      <x:c r="I33" s="4"/>
      <x:c r="J33" s="4">
        <x:f>'[1]PRIMARY  &lt; 10kW'!J32-'[2]PRIMARY  &lt; 10kW'!J32</x:f>
        <x:v>-10.317378300986093</x:v>
      </x:c>
      <x:c r="K33" s="4"/>
      <x:c r="L33" s="4">
        <x:f>'[1]PRIMARY  &lt; 10kW'!L32-'[2]PRIMARY  &lt; 10kW'!L32</x:f>
        <x:v>-6.843614540956878</x:v>
      </x:c>
      <x:c r="N33" s="4">
        <x:f>'[1]PRIMARY  &lt; 10kW'!N32-'[2]PRIMARY  &lt; 10kW'!N32</x:f>
        <x:v>-6.7311994909323403</x:v>
      </x:c>
      <x:c r="O33" s="4"/>
      <x:c r="P33" s="4">
        <x:f>'[1]PRIMARY  &lt; 10kW'!P32-'[2]PRIMARY  &lt; 10kW'!P32</x:f>
        <x:v>-6.9786225464181371</x:v>
      </x:c>
      <x:c r="R33" s="4">
        <x:f>'[1]PRIMARY  &lt; 10kW'!R32-'[2]PRIMARY  &lt; 10kW'!R32</x:f>
        <x:v>-6.8639898186447681</x:v>
      </x:c>
      <x:c r="S33" s="4"/>
      <x:c r="T33" s="4">
        <x:f>'[1]PRIMARY  &lt; 10kW'!T32-'[2]PRIMARY  &lt; 10kW'!T32</x:f>
        <x:v>-5152.7223041353282</x:v>
      </x:c>
      <x:c r="V33" s="4">
        <x:f>'[1]PRIMARY  &lt; 10kW'!V32-'[2]PRIMARY  &lt; 10kW'!V32</x:f>
        <x:v>-5091.1562201718334</x:v>
      </x:c>
      <x:c r="X33" s="14">
        <x:f>'[1]PRIMARY  &lt; 10kW'!X32-'[2]PRIMARY  &lt; 10kW'!X32</x:f>
        <x:v>0</x:v>
      </x:c>
      <x:c r="Y33" s="14"/>
      <x:c r="Z33" s="14">
        <x:f>'[1]PRIMARY  &lt; 10kW'!Z32-'[2]PRIMARY  &lt; 10kW'!Z32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'[1]PRIMARY  &lt; 10kW'!D33-'[2]PRIMARY  &lt; 10kW'!D33</x:f>
        <x:v>0</x:v>
      </x:c>
      <x:c r="E34" s="4"/>
      <x:c r="F34" s="4">
        <x:f>'[1]PRIMARY  &lt; 10kW'!F33-'[2]PRIMARY  &lt; 10kW'!F33</x:f>
        <x:v>0</x:v>
      </x:c>
      <x:c r="G34" s="4"/>
      <x:c r="H34" s="4">
        <x:f>'[1]PRIMARY  &lt; 10kW'!H33-'[2]PRIMARY  &lt; 10kW'!H33</x:f>
        <x:v>0</x:v>
      </x:c>
      <x:c r="I34" s="4"/>
      <x:c r="J34" s="4">
        <x:f>'[1]PRIMARY  &lt; 10kW'!J33-'[2]PRIMARY  &lt; 10kW'!J33</x:f>
        <x:v>0</x:v>
      </x:c>
      <x:c r="K34" s="4"/>
      <x:c r="L34" s="4">
        <x:f>'[1]PRIMARY  &lt; 10kW'!L33-'[2]PRIMARY  &lt; 10kW'!L33</x:f>
        <x:v>0</x:v>
      </x:c>
      <x:c r="N34" s="4">
        <x:f>'[1]PRIMARY  &lt; 10kW'!N33-'[2]PRIMARY  &lt; 10kW'!N33</x:f>
        <x:v>0</x:v>
      </x:c>
      <x:c r="O34" s="4"/>
      <x:c r="P34" s="4">
        <x:f>'[1]PRIMARY  &lt; 10kW'!P33-'[2]PRIMARY  &lt; 10kW'!P33</x:f>
        <x:v>0</x:v>
      </x:c>
      <x:c r="R34" s="4">
        <x:f>'[1]PRIMARY  &lt; 10kW'!R33-'[2]PRIMARY  &lt; 10kW'!R33</x:f>
        <x:v>0</x:v>
      </x:c>
      <x:c r="S34" s="4"/>
      <x:c r="T34" s="17">
        <x:f>'[1]PRIMARY  &lt; 10kW'!T33-'[2]PRIMARY  &lt; 10kW'!T33</x:f>
        <x:v>0</x:v>
      </x:c>
      <x:c r="U34" s="16"/>
      <x:c r="V34" s="17">
        <x:f>'[1]PRIMARY  &lt; 10kW'!V33-'[2]PRIMARY  &lt; 10kW'!V33</x:f>
        <x:v>0</x:v>
      </x:c>
      <x:c r="X34" s="14">
        <x:f>'[1]PRIMARY  &lt; 10kW'!X33-'[2]PRIMARY  &lt; 10kW'!X33</x:f>
        <x:v>0</x:v>
      </x:c>
      <x:c r="Y34" s="14"/>
      <x:c r="Z34" s="14">
        <x:f>'[1]PRIMARY  &lt; 10kW'!Z33-'[2]PRIMARY  &lt; 10kW'!Z33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210103.34963695961</x:v>
      </x:c>
      <x:c r="U35" s="16"/>
      <x:c r="V35" s="16">
        <x:f>+SUM(V23:V34)</x:f>
        <x:v>207592.9794479073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Z41"/>
  <x:sheetViews>
    <x:sheetView topLeftCell="A6" zoomScale="75" zoomScaleNormal="75" workbookViewId="0">
      <x:selection activeCell="S15" sqref="S15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4.4257812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3.14062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20.5703125" style="4" customWidth="1"/>
    <x:col min="21" max="21" width="2.7109375" style="4" customWidth="1"/>
    <x:col min="22" max="22" width="20.140625" style="4" customWidth="1"/>
    <x:col min="23" max="23" width="3.7109375" style="3" customWidth="1"/>
    <x:col min="24" max="24" width="9.28515625" style="3" customWidth="1"/>
    <x:col min="25" max="25" width="1.7109375" style="3" customWidth="1"/>
    <x:col min="26" max="26" width="9.71093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94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44</x:v>
      </x:c>
    </x:row>
    <x:row r="16" spans="1:26" ht="18.75" customHeight="1" x14ac:dyDescent="0.25">
      <x:c r="A16" s="3" t="s">
        <x:v>33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'[1]PRIMARY  &gt; 10kW DLS'!D22-'[2]PRIMARY  &gt; 10kW DLS'!D22</x:f>
        <x:v>204930.97270188993</x:v>
      </x:c>
      <x:c r="E23" s="4"/>
      <x:c r="F23" s="4">
        <x:f>'[1]PRIMARY  &gt; 10kW DLS'!F22-'[2]PRIMARY  &gt; 10kW DLS'!F22</x:f>
        <x:v>201564.72151839407</x:v>
      </x:c>
      <x:c r="G23" s="4"/>
      <x:c r="H23" s="4">
        <x:f>'[1]PRIMARY  &gt; 10kW DLS'!H22-'[2]PRIMARY  &gt; 10kW DLS'!H22</x:f>
        <x:v>152338.63384988112</x:v>
      </x:c>
      <x:c r="I23" s="4"/>
      <x:c r="J23" s="4">
        <x:f>'[1]PRIMARY  &gt; 10kW DLS'!J22-'[2]PRIMARY  &gt; 10kW DLS'!J22</x:f>
        <x:v>149836.2785459063</x:v>
      </x:c>
      <x:c r="K23" s="4"/>
      <x:c r="L23" s="4">
        <x:f>'[1]PRIMARY  &gt; 10kW DLS'!L22-'[2]PRIMARY  &gt; 10kW DLS'!L22</x:f>
        <x:v>128113.2437481056</x:v>
      </x:c>
      <x:c r="N23" s="4">
        <x:f>'[1]PRIMARY  &gt; 10kW DLS'!N22-'[2]PRIMARY  &gt; 10kW DLS'!N22</x:f>
        <x:v>126008.82120668748</x:v>
      </x:c>
      <x:c r="O23" s="4"/>
      <x:c r="P23" s="4">
        <x:f>'[1]PRIMARY  &gt; 10kW DLS'!P22-'[2]PRIMARY  &gt; 10kW DLS'!P22</x:f>
        <x:v>119823.80437716865</x:v>
      </x:c>
      <x:c r="R23" s="4">
        <x:f>'[1]PRIMARY  &gt; 10kW DLS'!R22-'[2]PRIMARY  &gt; 10kW DLS'!R22</x:f>
        <x:v>117855.54639265034</x:v>
      </x:c>
      <x:c r="S23" s="4"/>
      <x:c r="T23" s="4">
        <x:f>'[1]PRIMARY  &gt; 10kW DLS'!T22-'[2]PRIMARY  &gt; 10kW DLS'!T22</x:f>
        <x:v>110733581.55201936</x:v>
      </x:c>
      <x:c r="V23" s="4">
        <x:f>'[1]PRIMARY  &gt; 10kW DLS'!V22-'[2]PRIMARY  &gt; 10kW DLS'!V22</x:f>
        <x:v>109410507.53851366</x:v>
      </x:c>
      <x:c r="X23" s="36">
        <x:f>'[1]PRIMARY  &gt; 10kW DLS'!X22-'[2]PRIMARY  &gt; 10kW DLS'!X22</x:f>
        <x:v>0</x:v>
      </x:c>
      <x:c r="Y23" s="36">
        <x:f>'[1]PRIMARY  &gt; 10kW DLS'!Y22-'[2]PRIMARY  &gt; 10kW DLS'!Y22</x:f>
        <x:v>0</x:v>
      </x:c>
      <x:c r="Z23" s="36">
        <x:f>'[1]PRIMARY  &gt; 10kW DLS'!Z22-'[2]PRIMARY  &gt; 10kW DLS'!Z22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'[1]PRIMARY  &gt; 10kW DLS'!D23-'[2]PRIMARY  &gt; 10kW DLS'!D23</x:f>
        <x:v>199724.92211341346</x:v>
      </x:c>
      <x:c r="E24" s="4"/>
      <x:c r="F24" s="4">
        <x:f>'[1]PRIMARY  &gt; 10kW DLS'!F23-'[2]PRIMARY  &gt; 10kW DLS'!F23</x:f>
        <x:v>196444.18691475736</x:v>
      </x:c>
      <x:c r="G24" s="4"/>
      <x:c r="H24" s="4">
        <x:f>'[1]PRIMARY  &gt; 10kW DLS'!H23-'[2]PRIMARY  &gt; 10kW DLS'!H23</x:f>
        <x:v>154216.12453248212</x:v>
      </x:c>
      <x:c r="I24" s="4"/>
      <x:c r="J24" s="4">
        <x:f>'[1]PRIMARY  &gt; 10kW DLS'!J23-'[2]PRIMARY  &gt; 10kW DLS'!J23</x:f>
        <x:v>151682.92906243121</x:v>
      </x:c>
      <x:c r="K24" s="4"/>
      <x:c r="L24" s="4">
        <x:f>'[1]PRIMARY  &gt; 10kW DLS'!L23-'[2]PRIMARY  &gt; 10kW DLS'!L23</x:f>
        <x:v>146977.18467138661</x:v>
      </x:c>
      <x:c r="N24" s="4">
        <x:f>'[1]PRIMARY  &gt; 10kW DLS'!N23-'[2]PRIMARY  &gt; 10kW DLS'!N23</x:f>
        <x:v>144562.89797121705</x:v>
      </x:c>
      <x:c r="O24" s="4"/>
      <x:c r="P24" s="4">
        <x:f>'[1]PRIMARY  &gt; 10kW DLS'!P23-'[2]PRIMARY  &gt; 10kW DLS'!P23</x:f>
        <x:v>146977.18467138661</x:v>
      </x:c>
      <x:c r="R24" s="4">
        <x:f>'[1]PRIMARY  &gt; 10kW DLS'!R23-'[2]PRIMARY  &gt; 10kW DLS'!R23</x:f>
        <x:v>144562.89797121705</x:v>
      </x:c>
      <x:c r="S24" s="4"/>
      <x:c r="T24" s="4">
        <x:f>'[1]PRIMARY  &gt; 10kW DLS'!T23-'[2]PRIMARY  &gt; 10kW DLS'!T23</x:f>
        <x:v>104917132.36761546</x:v>
      </x:c>
      <x:c r="V24" s="4">
        <x:f>'[1]PRIMARY  &gt; 10kW DLS'!V23-'[2]PRIMARY  &gt; 10kW DLS'!V23</x:f>
        <x:v>103663554.82174754</x:v>
      </x:c>
      <x:c r="X24" s="36">
        <x:f>'[1]PRIMARY  &gt; 10kW DLS'!X23-'[2]PRIMARY  &gt; 10kW DLS'!X23</x:f>
        <x:v>0</x:v>
      </x:c>
      <x:c r="Y24" s="36">
        <x:f>'[1]PRIMARY  &gt; 10kW DLS'!Y23-'[2]PRIMARY  &gt; 10kW DLS'!Y23</x:f>
        <x:v>0</x:v>
      </x:c>
      <x:c r="Z24" s="36">
        <x:f>'[1]PRIMARY  &gt; 10kW DLS'!Z23-'[2]PRIMARY  &gt; 10kW DLS'!Z23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'[1]PRIMARY  &gt; 10kW DLS'!D24-'[2]PRIMARY  &gt; 10kW DLS'!D24</x:f>
        <x:v>199290.06167476065</x:v>
      </x:c>
      <x:c r="E25" s="4"/>
      <x:c r="F25" s="4">
        <x:f>'[1]PRIMARY  &gt; 10kW DLS'!F24-'[2]PRIMARY  &gt; 10kW DLS'!F24</x:f>
        <x:v>196016.46961043403</x:v>
      </x:c>
      <x:c r="G25" s="4"/>
      <x:c r="H25" s="4">
        <x:f>'[1]PRIMARY  &gt; 10kW DLS'!H24-'[2]PRIMARY  &gt; 10kW DLS'!H24</x:f>
        <x:v>148222.35605477402</x:v>
      </x:c>
      <x:c r="I25" s="4"/>
      <x:c r="J25" s="4">
        <x:f>'[1]PRIMARY  &gt; 10kW DLS'!J24-'[2]PRIMARY  &gt; 10kW DLS'!J24</x:f>
        <x:v>145787.61583512044</x:v>
      </x:c>
      <x:c r="K25" s="4"/>
      <x:c r="L25" s="4">
        <x:f>'[1]PRIMARY  &gt; 10kW DLS'!L24-'[2]PRIMARY  &gt; 10kW DLS'!L24</x:f>
        <x:v>139384.58538476797</x:v>
      </x:c>
      <x:c r="N25" s="4">
        <x:f>'[1]PRIMARY  &gt; 10kW DLS'!N24-'[2]PRIMARY  &gt; 10kW DLS'!N24</x:f>
        <x:v>137095.01675916463</x:v>
      </x:c>
      <x:c r="O25" s="4"/>
      <x:c r="P25" s="4">
        <x:f>'[1]PRIMARY  &gt; 10kW DLS'!P24-'[2]PRIMARY  &gt; 10kW DLS'!P24</x:f>
        <x:v>146768.29635758186</x:v>
      </x:c>
      <x:c r="R25" s="4">
        <x:f>'[1]PRIMARY  &gt; 10kW DLS'!R24-'[2]PRIMARY  &gt; 10kW DLS'!R24</x:f>
        <x:v>144357.44091294333</x:v>
      </x:c>
      <x:c r="S25" s="4"/>
      <x:c r="T25" s="4">
        <x:f>'[1]PRIMARY  &gt; 10kW DLS'!T24-'[2]PRIMARY  &gt; 10kW DLS'!T24</x:f>
        <x:v>83119951.607910633</x:v>
      </x:c>
      <x:c r="V25" s="4">
        <x:f>'[1]PRIMARY  &gt; 10kW DLS'!V24-'[2]PRIMARY  &gt; 10kW DLS'!V24</x:f>
        <x:v>82126812.521872759</x:v>
      </x:c>
      <x:c r="X25" s="36">
        <x:f>'[1]PRIMARY  &gt; 10kW DLS'!X24-'[2]PRIMARY  &gt; 10kW DLS'!X24</x:f>
        <x:v>0</x:v>
      </x:c>
      <x:c r="Y25" s="36">
        <x:f>'[1]PRIMARY  &gt; 10kW DLS'!Y24-'[2]PRIMARY  &gt; 10kW DLS'!Y24</x:f>
        <x:v>0</x:v>
      </x:c>
      <x:c r="Z25" s="36">
        <x:f>'[1]PRIMARY  &gt; 10kW DLS'!Z24-'[2]PRIMARY  &gt; 10kW DLS'!Z24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'[1]PRIMARY  &gt; 10kW DLS'!D25-'[2]PRIMARY  &gt; 10kW DLS'!D25</x:f>
        <x:v>227315.58809674904</x:v>
      </x:c>
      <x:c r="E26" s="4"/>
      <x:c r="F26" s="4">
        <x:f>'[1]PRIMARY  &gt; 10kW DLS'!F25-'[2]PRIMARY  &gt; 10kW DLS'!F25</x:f>
        <x:v>223581.64121029712</x:v>
      </x:c>
      <x:c r="G26" s="4"/>
      <x:c r="H26" s="4">
        <x:f>'[1]PRIMARY  &gt; 10kW DLS'!H25-'[2]PRIMARY  &gt; 10kW DLS'!H25</x:f>
        <x:v>167994.17841226934</x:v>
      </x:c>
      <x:c r="I26" s="4"/>
      <x:c r="J26" s="4">
        <x:f>'[1]PRIMARY  &gt; 10kW DLS'!J25-'[2]PRIMARY  &gt; 10kW DLS'!J25</x:f>
        <x:v>165234.66092965193</x:v>
      </x:c>
      <x:c r="K26" s="4"/>
      <x:c r="L26" s="4">
        <x:f>'[1]PRIMARY  &gt; 10kW DLS'!L25-'[2]PRIMARY  &gt; 10kW DLS'!L25</x:f>
        <x:v>167026.4900745796</x:v>
      </x:c>
      <x:c r="N26" s="4">
        <x:f>'[1]PRIMARY  &gt; 10kW DLS'!N25-'[2]PRIMARY  &gt; 10kW DLS'!N25</x:f>
        <x:v>164282.86810043035</x:v>
      </x:c>
      <x:c r="O26" s="4"/>
      <x:c r="P26" s="4">
        <x:f>'[1]PRIMARY  &gt; 10kW DLS'!P25-'[2]PRIMARY  &gt; 10kW DLS'!P25</x:f>
        <x:v>167026.4900745796</x:v>
      </x:c>
      <x:c r="R26" s="4">
        <x:f>'[1]PRIMARY  &gt; 10kW DLS'!R25-'[2]PRIMARY  &gt; 10kW DLS'!R25</x:f>
        <x:v>164282.86810043035</x:v>
      </x:c>
      <x:c r="S26" s="4"/>
      <x:c r="T26" s="4">
        <x:f>'[1]PRIMARY  &gt; 10kW DLS'!T25-'[2]PRIMARY  &gt; 10kW DLS'!T25</x:f>
        <x:v>117055020.93709469</x:v>
      </x:c>
      <x:c r="V26" s="4">
        <x:f>'[1]PRIMARY  &gt; 10kW DLS'!V25-'[2]PRIMARY  &gt; 10kW DLS'!V25</x:f>
        <x:v>115656416.69995546</x:v>
      </x:c>
      <x:c r="X26" s="36">
        <x:f>'[1]PRIMARY  &gt; 10kW DLS'!X25-'[2]PRIMARY  &gt; 10kW DLS'!X25</x:f>
        <x:v>0</x:v>
      </x:c>
      <x:c r="Y26" s="36">
        <x:f>'[1]PRIMARY  &gt; 10kW DLS'!Y25-'[2]PRIMARY  &gt; 10kW DLS'!Y25</x:f>
        <x:v>0</x:v>
      </x:c>
      <x:c r="Z26" s="36">
        <x:f>'[1]PRIMARY  &gt; 10kW DLS'!Z25-'[2]PRIMARY  &gt; 10kW DLS'!Z25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'[1]PRIMARY  &gt; 10kW DLS'!D26-'[2]PRIMARY  &gt; 10kW DLS'!D26</x:f>
        <x:v>110864.82124158321</x:v>
      </x:c>
      <x:c r="E27" s="4"/>
      <x:c r="F27" s="4">
        <x:f>'[1]PRIMARY  &gt; 10kW DLS'!F26-'[2]PRIMARY  &gt; 10kW DLS'!F26</x:f>
        <x:v>109043.72591962107</x:v>
      </x:c>
      <x:c r="G27" s="4"/>
      <x:c r="H27" s="4">
        <x:f>'[1]PRIMARY  &gt; 10kW DLS'!H26-'[2]PRIMARY  &gt; 10kW DLS'!H26</x:f>
        <x:v>82735.086282012053</x:v>
      </x:c>
      <x:c r="I27" s="4"/>
      <x:c r="J27" s="4">
        <x:f>'[1]PRIMARY  &gt; 10kW DLS'!J26-'[2]PRIMARY  &gt; 10kW DLS'!J26</x:f>
        <x:v>81376.05753959436</x:v>
      </x:c>
      <x:c r="K27" s="4"/>
      <x:c r="L27" s="4">
        <x:f>'[1]PRIMARY  &gt; 10kW DLS'!L26-'[2]PRIMARY  &gt; 10kW DLS'!L26</x:f>
        <x:v>76561.139374212828</x:v>
      </x:c>
      <x:c r="N27" s="4">
        <x:f>'[1]PRIMARY  &gt; 10kW DLS'!N26-'[2]PRIMARY  &gt; 10kW DLS'!N26</x:f>
        <x:v>75303.525541465729</x:v>
      </x:c>
      <x:c r="O27" s="4"/>
      <x:c r="P27" s="4">
        <x:f>'[1]PRIMARY  &gt; 10kW DLS'!P26-'[2]PRIMARY  &gt; 10kW DLS'!P26</x:f>
        <x:v>76619.884943442419</x:v>
      </x:c>
      <x:c r="R27" s="4">
        <x:f>'[1]PRIMARY  &gt; 10kW DLS'!R26-'[2]PRIMARY  &gt; 10kW DLS'!R26</x:f>
        <x:v>75361.306140201166</x:v>
      </x:c>
      <x:c r="S27" s="4"/>
      <x:c r="T27" s="4">
        <x:f>'[1]PRIMARY  &gt; 10kW DLS'!T26-'[2]PRIMARY  &gt; 10kW DLS'!T26</x:f>
        <x:v>47972581.866299391</x:v>
      </x:c>
      <x:c r="V27" s="4">
        <x:f>'[1]PRIMARY  &gt; 10kW DLS'!V26-'[2]PRIMARY  &gt; 10kW DLS'!V26</x:f>
        <x:v>47399392.816162348</x:v>
      </x:c>
      <x:c r="X27" s="36">
        <x:f>'[1]PRIMARY  &gt; 10kW DLS'!X26-'[2]PRIMARY  &gt; 10kW DLS'!X26</x:f>
        <x:v>0</x:v>
      </x:c>
      <x:c r="Y27" s="36">
        <x:f>'[1]PRIMARY  &gt; 10kW DLS'!Y26-'[2]PRIMARY  &gt; 10kW DLS'!Y26</x:f>
        <x:v>0</x:v>
      </x:c>
      <x:c r="Z27" s="36">
        <x:f>'[1]PRIMARY  &gt; 10kW DLS'!Z26-'[2]PRIMARY  &gt; 10kW DLS'!Z26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'[1]PRIMARY  &gt; 10kW DLS'!D27-'[2]PRIMARY  &gt; 10kW DLS'!D27</x:f>
        <x:v>99214.516223958693</x:v>
      </x:c>
      <x:c r="E28" s="4"/>
      <x:c r="F28" s="4">
        <x:f>'[1]PRIMARY  &gt; 10kW DLS'!F27-'[2]PRIMARY  &gt; 10kW DLS'!F27</x:f>
        <x:v>97584.791940432508</x:v>
      </x:c>
      <x:c r="G28" s="4"/>
      <x:c r="H28" s="4">
        <x:f>'[1]PRIMARY  &gt; 10kW DLS'!H27-'[2]PRIMARY  &gt; 10kW DLS'!H27</x:f>
        <x:v>75537.521024735179</x:v>
      </x:c>
      <x:c r="I28" s="4"/>
      <x:c r="J28" s="4">
        <x:f>'[1]PRIMARY  &gt; 10kW DLS'!J27-'[2]PRIMARY  &gt; 10kW DLS'!J27</x:f>
        <x:v>74296.721421847586</x:v>
      </x:c>
      <x:c r="K28" s="4"/>
      <x:c r="L28" s="4">
        <x:f>'[1]PRIMARY  &gt; 10kW DLS'!L27-'[2]PRIMARY  &gt; 10kW DLS'!L27</x:f>
        <x:v>74128.271371551324</x:v>
      </x:c>
      <x:c r="N28" s="4">
        <x:f>'[1]PRIMARY  &gt; 10kW DLS'!N27-'[2]PRIMARY  &gt; 10kW DLS'!N27</x:f>
        <x:v>72910.620481863618</x:v>
      </x:c>
      <x:c r="O28" s="4"/>
      <x:c r="P28" s="4">
        <x:f>'[1]PRIMARY  &gt; 10kW DLS'!P27-'[2]PRIMARY  &gt; 10kW DLS'!P27</x:f>
        <x:v>69986.039485696703</x:v>
      </x:c>
      <x:c r="Q28" s="16"/>
      <x:c r="R28" s="4">
        <x:f>'[1]PRIMARY  &gt; 10kW DLS'!R27-'[2]PRIMARY  &gt; 10kW DLS'!R27</x:f>
        <x:v>68836.430009194184</x:v>
      </x:c>
      <x:c r="S28" s="4"/>
      <x:c r="T28" s="4">
        <x:f>'[1]PRIMARY  &gt; 10kW DLS'!T27-'[2]PRIMARY  &gt; 10kW DLS'!T27</x:f>
        <x:v>49206987.645629168</x:v>
      </x:c>
      <x:c r="V28" s="4">
        <x:f>'[1]PRIMARY  &gt; 10kW DLS'!V27-'[2]PRIMARY  &gt; 10kW DLS'!V27</x:f>
        <x:v>48619049.589943171</x:v>
      </x:c>
      <x:c r="X28" s="36">
        <x:f>'[1]PRIMARY  &gt; 10kW DLS'!X27-'[2]PRIMARY  &gt; 10kW DLS'!X27</x:f>
        <x:v>0</x:v>
      </x:c>
      <x:c r="Y28" s="36">
        <x:f>'[1]PRIMARY  &gt; 10kW DLS'!Y27-'[2]PRIMARY  &gt; 10kW DLS'!Y27</x:f>
        <x:v>0</x:v>
      </x:c>
      <x:c r="Z28" s="36">
        <x:f>'[1]PRIMARY  &gt; 10kW DLS'!Z27-'[2]PRIMARY  &gt; 10kW DLS'!Z27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'[1]PRIMARY  &gt; 10kW DLS'!D28-'[2]PRIMARY  &gt; 10kW DLS'!D28</x:f>
        <x:v>114268.61705741705</x:v>
      </x:c>
      <x:c r="E29" s="4"/>
      <x:c r="F29" s="4">
        <x:f>'[1]PRIMARY  &gt; 10kW DLS'!F28-'[2]PRIMARY  &gt; 10kW DLS'!F28</x:f>
        <x:v>112391.61007143324</x:v>
      </x:c>
      <x:c r="G29" s="4"/>
      <x:c r="H29" s="4">
        <x:f>'[1]PRIMARY  &gt; 10kW DLS'!H28-'[2]PRIMARY  &gt; 10kW DLS'!H28</x:f>
        <x:v>88650.784474494401</x:v>
      </x:c>
      <x:c r="I29" s="4"/>
      <x:c r="J29" s="4">
        <x:f>'[1]PRIMARY  &gt; 10kW DLS'!J28-'[2]PRIMARY  &gt; 10kW DLS'!J28</x:f>
        <x:v>87194.582885146607</x:v>
      </x:c>
      <x:c r="K29" s="4"/>
      <x:c r="L29" s="4">
        <x:f>'[1]PRIMARY  &gt; 10kW DLS'!L28-'[2]PRIMARY  &gt; 10kW DLS'!L28</x:f>
        <x:v>85353.595719882287</x:v>
      </x:c>
      <x:c r="N29" s="4">
        <x:f>'[1]PRIMARY  &gt; 10kW DLS'!N28-'[2]PRIMARY  &gt; 10kW DLS'!N28</x:f>
        <x:v>83951.554638343863</x:v>
      </x:c>
      <x:c r="O29" s="4"/>
      <x:c r="P29" s="4">
        <x:f>'[1]PRIMARY  &gt; 10kW DLS'!P28-'[2]PRIMARY  &gt; 10kW DLS'!P28</x:f>
        <x:v>82860.983321462292</x:v>
      </x:c>
      <x:c r="R29" s="4">
        <x:f>'[1]PRIMARY  &gt; 10kW DLS'!R28-'[2]PRIMARY  &gt; 10kW DLS'!R28</x:f>
        <x:v>81499.886560470331</x:v>
      </x:c>
      <x:c r="S29" s="4"/>
      <x:c r="T29" s="4">
        <x:f>'[1]PRIMARY  &gt; 10kW DLS'!T28-'[2]PRIMARY  &gt; 10kW DLS'!T28</x:f>
        <x:v>59604681.024037361</x:v>
      </x:c>
      <x:c r="V29" s="4">
        <x:f>'[1]PRIMARY  &gt; 10kW DLS'!V28-'[2]PRIMARY  &gt; 10kW DLS'!V28</x:f>
        <x:v>58892508.587808847</x:v>
      </x:c>
      <x:c r="X29" s="36">
        <x:f>'[1]PRIMARY  &gt; 10kW DLS'!X28-'[2]PRIMARY  &gt; 10kW DLS'!X28</x:f>
        <x:v>0</x:v>
      </x:c>
      <x:c r="Y29" s="36">
        <x:f>'[1]PRIMARY  &gt; 10kW DLS'!Y28-'[2]PRIMARY  &gt; 10kW DLS'!Y28</x:f>
        <x:v>0</x:v>
      </x:c>
      <x:c r="Z29" s="36">
        <x:f>'[1]PRIMARY  &gt; 10kW DLS'!Z28-'[2]PRIMARY  &gt; 10kW DLS'!Z28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'[1]PRIMARY  &gt; 10kW DLS'!D29-'[2]PRIMARY  &gt; 10kW DLS'!D29</x:f>
        <x:v>142062.68850116059</x:v>
      </x:c>
      <x:c r="E30" s="4"/>
      <x:c r="F30" s="4">
        <x:f>'[1]PRIMARY  &gt; 10kW DLS'!F29-'[2]PRIMARY  &gt; 10kW DLS'!F29</x:f>
        <x:v>139729.12863467168</x:v>
      </x:c>
      <x:c r="G30" s="4"/>
      <x:c r="H30" s="4">
        <x:f>'[1]PRIMARY  &gt; 10kW DLS'!H29-'[2]PRIMARY  &gt; 10kW DLS'!H29</x:f>
        <x:v>110008.13695290452</x:v>
      </x:c>
      <x:c r="I30" s="4"/>
      <x:c r="J30" s="4">
        <x:f>'[1]PRIMARY  &gt; 10kW DLS'!J29-'[2]PRIMARY  &gt; 10kW DLS'!J29</x:f>
        <x:v>108201.11375709623</x:v>
      </x:c>
      <x:c r="K30" s="4"/>
      <x:c r="L30" s="4">
        <x:f>'[1]PRIMARY  &gt; 10kW DLS'!L29-'[2]PRIMARY  &gt; 10kW DLS'!L29</x:f>
        <x:v>107410.13061615126</x:v>
      </x:c>
      <x:c r="N30" s="4">
        <x:f>'[1]PRIMARY  &gt; 10kW DLS'!N29-'[2]PRIMARY  &gt; 10kW DLS'!N29</x:f>
        <x:v>105645.78297001962</x:v>
      </x:c>
      <x:c r="O30" s="4"/>
      <x:c r="P30" s="4">
        <x:f>'[1]PRIMARY  &gt; 10kW DLS'!P29-'[2]PRIMARY  &gt; 10kW DLS'!P29</x:f>
        <x:v>104558.92688535759</x:v>
      </x:c>
      <x:c r="R30" s="4">
        <x:f>'[1]PRIMARY  &gt; 10kW DLS'!R29-'[2]PRIMARY  &gt; 10kW DLS'!R29</x:f>
        <x:v>102841.41387728276</x:v>
      </x:c>
      <x:c r="S30" s="4"/>
      <x:c r="T30" s="4">
        <x:f>'[1]PRIMARY  &gt; 10kW DLS'!T29-'[2]PRIMARY  &gt; 10kW DLS'!T29</x:f>
        <x:v>72780850.379617214</x:v>
      </x:c>
      <x:c r="V30" s="4">
        <x:f>'[1]PRIMARY  &gt; 10kW DLS'!V29-'[2]PRIMARY  &gt; 10kW DLS'!V29</x:f>
        <x:v>71911245.599671841</x:v>
      </x:c>
      <x:c r="X30" s="36">
        <x:f>'[1]PRIMARY  &gt; 10kW DLS'!X29-'[2]PRIMARY  &gt; 10kW DLS'!X29</x:f>
        <x:v>0</x:v>
      </x:c>
      <x:c r="Y30" s="36">
        <x:f>'[1]PRIMARY  &gt; 10kW DLS'!Y29-'[2]PRIMARY  &gt; 10kW DLS'!Y29</x:f>
        <x:v>0</x:v>
      </x:c>
      <x:c r="Z30" s="36">
        <x:f>'[1]PRIMARY  &gt; 10kW DLS'!Z29-'[2]PRIMARY  &gt; 10kW DLS'!Z29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'[1]PRIMARY  &gt; 10kW DLS'!D30-'[2]PRIMARY  &gt; 10kW DLS'!D30</x:f>
        <x:v>21612.901796720922</x:v>
      </x:c>
      <x:c r="E31" s="4"/>
      <x:c r="F31" s="4">
        <x:f>'[1]PRIMARY  &gt; 10kW DLS'!F30-'[2]PRIMARY  &gt; 10kW DLS'!F30</x:f>
        <x:v>21257.882468540687</x:v>
      </x:c>
      <x:c r="G31" s="4"/>
      <x:c r="H31" s="4">
        <x:f>'[1]PRIMARY  &gt; 10kW DLS'!H30-'[2]PRIMARY  &gt; 10kW DLS'!H30</x:f>
        <x:v>16579.805960656609</x:v>
      </x:c>
      <x:c r="I31" s="4"/>
      <x:c r="J31" s="4">
        <x:f>'[1]PRIMARY  &gt; 10kW DLS'!J30-'[2]PRIMARY  &gt; 10kW DLS'!J30</x:f>
        <x:v>16307.461616112851</x:v>
      </x:c>
      <x:c r="K31" s="4"/>
      <x:c r="L31" s="4">
        <x:f>'[1]PRIMARY  &gt; 10kW DLS'!L30-'[2]PRIMARY  &gt; 10kW DLS'!L30</x:f>
        <x:v>16359.87873081537</x:v>
      </x:c>
      <x:c r="N31" s="4">
        <x:f>'[1]PRIMARY  &gt; 10kW DLS'!N30-'[2]PRIMARY  &gt; 10kW DLS'!N30</x:f>
        <x:v>16091.146970001515</x:v>
      </x:c>
      <x:c r="O31" s="4"/>
      <x:c r="P31" s="4">
        <x:f>'[1]PRIMARY  &gt; 10kW DLS'!P30-'[2]PRIMARY  &gt; 10kW DLS'!P30</x:f>
        <x:v>15930.75965133775</x:v>
      </x:c>
      <x:c r="R31" s="4">
        <x:f>'[1]PRIMARY  &gt; 10kW DLS'!R30-'[2]PRIMARY  &gt; 10kW DLS'!R30</x:f>
        <x:v>15669.076715745963</x:v>
      </x:c>
      <x:c r="S31" s="4"/>
      <x:c r="T31" s="4">
        <x:f>'[1]PRIMARY  &gt; 10kW DLS'!T30-'[2]PRIMARY  &gt; 10kW DLS'!T30</x:f>
        <x:v>11478074.378909349</x:v>
      </x:c>
      <x:c r="V31" s="4">
        <x:f>'[1]PRIMARY  &gt; 10kW DLS'!V30-'[2]PRIMARY  &gt; 10kW DLS'!V30</x:f>
        <x:v>11340931.321465015</x:v>
      </x:c>
      <x:c r="X31" s="36">
        <x:f>'[1]PRIMARY  &gt; 10kW DLS'!X30-'[2]PRIMARY  &gt; 10kW DLS'!X30</x:f>
        <x:v>0</x:v>
      </x:c>
      <x:c r="Y31" s="36">
        <x:f>'[1]PRIMARY  &gt; 10kW DLS'!Y30-'[2]PRIMARY  &gt; 10kW DLS'!Y30</x:f>
        <x:v>0</x:v>
      </x:c>
      <x:c r="Z31" s="36">
        <x:f>'[1]PRIMARY  &gt; 10kW DLS'!Z30-'[2]PRIMARY  &gt; 10kW DLS'!Z30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'[1]PRIMARY  &gt; 10kW DLS'!D31-'[2]PRIMARY  &gt; 10kW DLS'!D31</x:f>
        <x:v>46727.493222985882</x:v>
      </x:c>
      <x:c r="E32" s="4"/>
      <x:c r="F32" s="4">
        <x:f>'[1]PRIMARY  &gt; 10kW DLS'!F31-'[2]PRIMARY  &gt; 10kW DLS'!F31</x:f>
        <x:v>45959.93487253366</x:v>
      </x:c>
      <x:c r="G32" s="4"/>
      <x:c r="H32" s="4">
        <x:f>'[1]PRIMARY  &gt; 10kW DLS'!H31-'[2]PRIMARY  &gt; 10kW DLS'!H31</x:f>
        <x:v>35889.312924492639</x:v>
      </x:c>
      <x:c r="I32" s="4"/>
      <x:c r="J32" s="4">
        <x:f>'[1]PRIMARY  &gt; 10kW DLS'!J31-'[2]PRIMARY  &gt; 10kW DLS'!J31</x:f>
        <x:v>35299.785433776677</x:v>
      </x:c>
      <x:c r="K32" s="4"/>
      <x:c r="L32" s="4">
        <x:f>'[1]PRIMARY  &gt; 10kW DLS'!L31-'[2]PRIMARY  &gt; 10kW DLS'!L31</x:f>
        <x:v>34829.297733623069</x:v>
      </x:c>
      <x:c r="N32" s="4">
        <x:f>'[1]PRIMARY  &gt; 10kW DLS'!N31-'[2]PRIMARY  &gt; 10kW DLS'!N31</x:f>
        <x:v>34257.18233705638</x:v>
      </x:c>
      <x:c r="O32" s="4"/>
      <x:c r="P32" s="4">
        <x:f>'[1]PRIMARY  &gt; 10kW DLS'!P31-'[2]PRIMARY  &gt; 10kW DLS'!P31</x:f>
        <x:v>34829.297733623069</x:v>
      </x:c>
      <x:c r="R32" s="4">
        <x:f>'[1]PRIMARY  &gt; 10kW DLS'!R31-'[2]PRIMARY  &gt; 10kW DLS'!R31</x:f>
        <x:v>34257.18233705638</x:v>
      </x:c>
      <x:c r="S32" s="4"/>
      <x:c r="T32" s="4">
        <x:f>'[1]PRIMARY  &gt; 10kW DLS'!T31-'[2]PRIMARY  &gt; 10kW DLS'!T31</x:f>
        <x:v>24214240.92679286</x:v>
      </x:c>
      <x:c r="V32" s="4">
        <x:f>'[1]PRIMARY  &gt; 10kW DLS'!V31-'[2]PRIMARY  &gt; 10kW DLS'!V31</x:f>
        <x:v>23924922.795129776</x:v>
      </x:c>
      <x:c r="X32" s="36">
        <x:f>'[1]PRIMARY  &gt; 10kW DLS'!X31-'[2]PRIMARY  &gt; 10kW DLS'!X31</x:f>
        <x:v>0</x:v>
      </x:c>
      <x:c r="Y32" s="36">
        <x:f>'[1]PRIMARY  &gt; 10kW DLS'!Y31-'[2]PRIMARY  &gt; 10kW DLS'!Y31</x:f>
        <x:v>0</x:v>
      </x:c>
      <x:c r="Z32" s="36">
        <x:f>'[1]PRIMARY  &gt; 10kW DLS'!Z31-'[2]PRIMARY  &gt; 10kW DLS'!Z31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'[1]PRIMARY  &gt; 10kW DLS'!D32-'[2]PRIMARY  &gt; 10kW DLS'!D32</x:f>
        <x:v>10305.913521688897</x:v>
      </x:c>
      <x:c r="E33" s="4"/>
      <x:c r="F33" s="4">
        <x:f>'[1]PRIMARY  &gt; 10kW DLS'!F32-'[2]PRIMARY  &gt; 10kW DLS'!F32</x:f>
        <x:v>10136.625818946864</x:v>
      </x:c>
      <x:c r="G33" s="4"/>
      <x:c r="H33" s="4">
        <x:f>'[1]PRIMARY  &gt; 10kW DLS'!H32-'[2]PRIMARY  &gt; 10kW DLS'!H32</x:f>
        <x:v>7644.2965571978129</x:v>
      </x:c>
      <x:c r="I33" s="4"/>
      <x:c r="J33" s="4">
        <x:f>'[1]PRIMARY  &gt; 10kW DLS'!J32-'[2]PRIMARY  &gt; 10kW DLS'!J32</x:f>
        <x:v>7518.7292893836275</x:v>
      </x:c>
      <x:c r="K33" s="4"/>
      <x:c r="L33" s="4">
        <x:f>'[1]PRIMARY  &gt; 10kW DLS'!L32-'[2]PRIMARY  &gt; 10kW DLS'!L32</x:f>
        <x:v>7608.7273744223639</x:v>
      </x:c>
      <x:c r="N33" s="4">
        <x:f>'[1]PRIMARY  &gt; 10kW DLS'!N32-'[2]PRIMARY  &gt; 10kW DLS'!N32</x:f>
        <x:v>7483.7443755553104</x:v>
      </x:c>
      <x:c r="O33" s="4"/>
      <x:c r="P33" s="4">
        <x:f>'[1]PRIMARY  &gt; 10kW DLS'!P32-'[2]PRIMARY  &gt; 10kW DLS'!P32</x:f>
        <x:v>7603.7734931921586</x:v>
      </x:c>
      <x:c r="R33" s="4">
        <x:f>'[1]PRIMARY  &gt; 10kW DLS'!R32-'[2]PRIMARY  &gt; 10kW DLS'!R32</x:f>
        <x:v>7478.8718681079336</x:v>
      </x:c>
      <x:c r="S33" s="4"/>
      <x:c r="T33" s="4">
        <x:f>'[1]PRIMARY  &gt; 10kW DLS'!T32-'[2]PRIMARY  &gt; 10kW DLS'!T32</x:f>
        <x:v>5175093.2200629711</x:v>
      </x:c>
      <x:c r="V33" s="4">
        <x:f>'[1]PRIMARY  &gt; 10kW DLS'!V32-'[2]PRIMARY  &gt; 10kW DLS'!V32</x:f>
        <x:v>5113259.8425006866</x:v>
      </x:c>
      <x:c r="X33" s="36">
        <x:f>'[1]PRIMARY  &gt; 10kW DLS'!X32-'[2]PRIMARY  &gt; 10kW DLS'!X32</x:f>
        <x:v>0</x:v>
      </x:c>
      <x:c r="Y33" s="36">
        <x:f>'[1]PRIMARY  &gt; 10kW DLS'!Y32-'[2]PRIMARY  &gt; 10kW DLS'!Y32</x:f>
        <x:v>0</x:v>
      </x:c>
      <x:c r="Z33" s="36">
        <x:f>'[1]PRIMARY  &gt; 10kW DLS'!Z32-'[2]PRIMARY  &gt; 10kW DLS'!Z32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'[1]PRIMARY  &gt; 10kW DLS'!D33-'[2]PRIMARY  &gt; 10kW DLS'!D33</x:f>
        <x:v>-7499.1789794773795</x:v>
      </x:c>
      <x:c r="E34" s="4"/>
      <x:c r="F34" s="4">
        <x:f>'[1]PRIMARY  &gt; 10kW DLS'!F33-'[2]PRIMARY  &gt; 10kW DLS'!F33</x:f>
        <x:v>-7375.995451960247</x:v>
      </x:c>
      <x:c r="G34" s="4"/>
      <x:c r="H34" s="4">
        <x:f>'[1]PRIMARY  &gt; 10kW DLS'!H33-'[2]PRIMARY  &gt; 10kW DLS'!H33</x:f>
        <x:v>-5650.3500008983538</x:v>
      </x:c>
      <x:c r="I34" s="4"/>
      <x:c r="J34" s="4">
        <x:f>'[1]PRIMARY  &gt; 10kW DLS'!J33-'[2]PRIMARY  &gt; 10kW DLS'!J33</x:f>
        <x:v>-5557.5358346113935</x:v>
      </x:c>
      <x:c r="K34" s="4"/>
      <x:c r="L34" s="4">
        <x:f>'[1]PRIMARY  &gt; 10kW DLS'!L33-'[2]PRIMARY  &gt; 10kW DLS'!L33</x:f>
        <x:v>-5387.4197911121882</x:v>
      </x:c>
      <x:c r="N34" s="4">
        <x:f>'[1]PRIMARY  &gt; 10kW DLS'!N33-'[2]PRIMARY  &gt; 10kW DLS'!N33</x:f>
        <x:v>-5298.9245870504528</x:v>
      </x:c>
      <x:c r="O34" s="4"/>
      <x:c r="P34" s="4">
        <x:f>'[1]PRIMARY  &gt; 10kW DLS'!P33-'[2]PRIMARY  &gt; 10kW DLS'!P33</x:f>
        <x:v>-5387.4197911121882</x:v>
      </x:c>
      <x:c r="R34" s="4">
        <x:f>'[1]PRIMARY  &gt; 10kW DLS'!R33-'[2]PRIMARY  &gt; 10kW DLS'!R33</x:f>
        <x:v>-5298.9245870504528</x:v>
      </x:c>
      <x:c r="S34" s="4"/>
      <x:c r="T34" s="17">
        <x:f>'[1]PRIMARY  &gt; 10kW DLS'!T33-'[2]PRIMARY  &gt; 10kW DLS'!T33</x:f>
        <x:v>-3872444.8849914074</x:v>
      </x:c>
      <x:c r="V34" s="17">
        <x:f>'[1]PRIMARY  &gt; 10kW DLS'!V33-'[2]PRIMARY  &gt; 10kW DLS'!V33</x:f>
        <x:v>-3826175.8930175304</x:v>
      </x:c>
      <x:c r="X34" s="36">
        <x:f>'[1]PRIMARY  &gt; 10kW DLS'!X33-'[2]PRIMARY  &gt; 10kW DLS'!X33</x:f>
        <x:v>0</x:v>
      </x:c>
      <x:c r="Y34" s="36">
        <x:f>'[1]PRIMARY  &gt; 10kW DLS'!Y33-'[2]PRIMARY  &gt; 10kW DLS'!Y33</x:f>
        <x:v>0</x:v>
      </x:c>
      <x:c r="Z34" s="36">
        <x:f>'[1]PRIMARY  &gt; 10kW DLS'!Z33-'[2]PRIMARY  &gt; 10kW DLS'!Z33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682385751.02099705</x:v>
      </x:c>
      <x:c r="U35" s="16"/>
      <x:c r="V35" s="16">
        <x:f>+SUM(V23:V34)</x:f>
        <x:v>674232426.24175358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Z42"/>
  <x:sheetViews>
    <x:sheetView topLeftCell="A6" zoomScale="75" zoomScaleNormal="75" workbookViewId="0">
      <x:selection activeCell="F10" sqref="F10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9" style="4" customWidth="1"/>
    <x:col min="21" max="21" width="2.7109375" style="4" customWidth="1"/>
    <x:col min="22" max="22" width="18.85546875" style="4" customWidth="1"/>
    <x:col min="23" max="23" width="3.7109375" style="3" customWidth="1"/>
    <x:col min="24" max="24" width="9.85546875" style="3" customWidth="1"/>
    <x:col min="25" max="25" width="1.7109375" style="3" customWidth="1"/>
    <x:col min="26" max="26" width="9.71093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95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43</x:v>
      </x:c>
    </x:row>
    <x:row r="16" spans="1:26" ht="18.75" customHeight="1" x14ac:dyDescent="0.25">
      <x:c r="A16" s="3" t="s">
        <x:v>33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'[1]PRIMARY  SUBSTATIONS'!D22-'[2]PRIMARY  SUBSTATIONS'!D22</x:f>
        <x:v>109907.35480881203</x:v>
      </x:c>
      <x:c r="E23" s="4"/>
      <x:c r="F23" s="4">
        <x:f>'[1]PRIMARY  SUBSTATIONS'!F22-'[2]PRIMARY  SUBSTATIONS'!F22</x:f>
        <x:v>109677.03303942923</x:v>
      </x:c>
      <x:c r="G23" s="4"/>
      <x:c r="H23" s="4">
        <x:f>'[1]PRIMARY  SUBSTATIONS'!H22-'[2]PRIMARY  SUBSTATIONS'!H22</x:f>
        <x:v>93256.804420085624</x:v>
      </x:c>
      <x:c r="I23" s="4"/>
      <x:c r="J23" s="4">
        <x:f>'[1]PRIMARY  SUBSTATIONS'!J22-'[2]PRIMARY  SUBSTATIONS'!J22</x:f>
        <x:v>93061.375531469705</x:v>
      </x:c>
      <x:c r="K23" s="4"/>
      <x:c r="L23" s="4">
        <x:f>'[1]PRIMARY  SUBSTATIONS'!L22-'[2]PRIMARY  SUBSTATIONS'!L22</x:f>
        <x:v>76550.827888819622</x:v>
      </x:c>
      <x:c r="N23" s="4">
        <x:f>'[1]PRIMARY  SUBSTATIONS'!N22-'[2]PRIMARY  SUBSTATIONS'!N22</x:f>
        <x:v>76390.408031952451</x:v>
      </x:c>
      <x:c r="O23" s="4"/>
      <x:c r="P23" s="4">
        <x:f>'[1]PRIMARY  SUBSTATIONS'!P22-'[2]PRIMARY  SUBSTATIONS'!P22</x:f>
        <x:v>54786.503694013227</x:v>
      </x:c>
      <x:c r="R23" s="4">
        <x:f>'[1]PRIMARY  SUBSTATIONS'!R22-'[2]PRIMARY  SUBSTATIONS'!R22</x:f>
        <x:v>54671.693138422561</x:v>
      </x:c>
      <x:c r="S23" s="4"/>
      <x:c r="T23" s="4">
        <x:f>'[1]PRIMARY  SUBSTATIONS'!T22-'[2]PRIMARY  SUBSTATIONS'!T22</x:f>
        <x:v>62047644.582266688</x:v>
      </x:c>
      <x:c r="V23" s="4">
        <x:f>'[1]PRIMARY  SUBSTATIONS'!V22-'[2]PRIMARY  SUBSTATIONS'!V22</x:f>
        <x:v>61792441.797642469</x:v>
      </x:c>
      <x:c r="X23" s="36">
        <x:f>'[1]PRIMARY  SUBSTATIONS'!X22-'[2]PRIMARY  SUBSTATIONS'!X22</x:f>
        <x:v>0</x:v>
      </x:c>
      <x:c r="Y23" s="36">
        <x:f>'[1]PRIMARY  SUBSTATIONS'!Y22-'[2]PRIMARY  SUBSTATIONS'!Y22</x:f>
        <x:v>0</x:v>
      </x:c>
      <x:c r="Z23" s="36">
        <x:f>'[1]PRIMARY  SUBSTATIONS'!Z22-'[2]PRIMARY  SUBSTATIONS'!Z22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'[1]PRIMARY  SUBSTATIONS'!D23-'[2]PRIMARY  SUBSTATIONS'!D23</x:f>
        <x:v>102112.04560371814</x:v>
      </x:c>
      <x:c r="E24" s="4"/>
      <x:c r="F24" s="4">
        <x:f>'[1]PRIMARY  SUBSTATIONS'!F23-'[2]PRIMARY  SUBSTATIONS'!F23</x:f>
        <x:v>101898.05967839342</x:v>
      </x:c>
      <x:c r="G24" s="4"/>
      <x:c r="H24" s="4">
        <x:f>'[1]PRIMARY  SUBSTATIONS'!H23-'[2]PRIMARY  SUBSTATIONS'!H23</x:f>
        <x:v>89268.070274397032</x:v>
      </x:c>
      <x:c r="I24" s="4"/>
      <x:c r="J24" s="4">
        <x:f>'[1]PRIMARY  SUBSTATIONS'!J23-'[2]PRIMARY  SUBSTATIONS'!J23</x:f>
        <x:v>89081.000174031593</x:v>
      </x:c>
      <x:c r="K24" s="4"/>
      <x:c r="L24" s="4">
        <x:f>'[1]PRIMARY  SUBSTATIONS'!L23-'[2]PRIMARY  SUBSTATIONS'!L23</x:f>
        <x:v>82837.869161159033</x:v>
      </x:c>
      <x:c r="N24" s="4">
        <x:f>'[1]PRIMARY  SUBSTATIONS'!N23-'[2]PRIMARY  SUBSTATIONS'!N23</x:f>
        <x:v>82664.274185369723</x:v>
      </x:c>
      <x:c r="O24" s="4"/>
      <x:c r="P24" s="4">
        <x:f>'[1]PRIMARY  SUBSTATIONS'!P23-'[2]PRIMARY  SUBSTATIONS'!P23</x:f>
        <x:v>82837.869161159033</x:v>
      </x:c>
      <x:c r="R24" s="4">
        <x:f>'[1]PRIMARY  SUBSTATIONS'!R23-'[2]PRIMARY  SUBSTATIONS'!R23</x:f>
        <x:v>82664.274185369723</x:v>
      </x:c>
      <x:c r="S24" s="4"/>
      <x:c r="T24" s="4">
        <x:f>'[1]PRIMARY  SUBSTATIONS'!T23-'[2]PRIMARY  SUBSTATIONS'!T23</x:f>
        <x:v>51532499.13808918</x:v>
      </x:c>
      <x:c r="V24" s="4">
        <x:f>'[1]PRIMARY  SUBSTATIONS'!V23-'[2]PRIMARY  SUBSTATIONS'!V23</x:f>
        <x:v>51320545.28605783</x:v>
      </x:c>
      <x:c r="X24" s="36">
        <x:f>'[1]PRIMARY  SUBSTATIONS'!X23-'[2]PRIMARY  SUBSTATIONS'!X23</x:f>
        <x:v>0</x:v>
      </x:c>
      <x:c r="Y24" s="36">
        <x:f>'[1]PRIMARY  SUBSTATIONS'!Y23-'[2]PRIMARY  SUBSTATIONS'!Y23</x:f>
        <x:v>0</x:v>
      </x:c>
      <x:c r="Z24" s="36">
        <x:f>'[1]PRIMARY  SUBSTATIONS'!Z23-'[2]PRIMARY  SUBSTATIONS'!Z23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'[1]PRIMARY  SUBSTATIONS'!D24-'[2]PRIMARY  SUBSTATIONS'!D24</x:f>
        <x:v>76984.057794968132</x:v>
      </x:c>
      <x:c r="E25" s="4"/>
      <x:c r="F25" s="4">
        <x:f>'[1]PRIMARY  SUBSTATIONS'!F24-'[2]PRIMARY  SUBSTATIONS'!F24</x:f>
        <x:v>76822.730061838403</x:v>
      </x:c>
      <x:c r="G25" s="4"/>
      <x:c r="H25" s="4">
        <x:f>'[1]PRIMARY  SUBSTATIONS'!H24-'[2]PRIMARY  SUBSTATIONS'!H24</x:f>
        <x:v>64282.652239017189</x:v>
      </x:c>
      <x:c r="I25" s="4"/>
      <x:c r="J25" s="4">
        <x:f>'[1]PRIMARY  SUBSTATIONS'!J24-'[2]PRIMARY  SUBSTATIONS'!J24</x:f>
        <x:v>64147.941561737563</x:v>
      </x:c>
      <x:c r="K25" s="4"/>
      <x:c r="L25" s="4">
        <x:f>'[1]PRIMARY  SUBSTATIONS'!L24-'[2]PRIMARY  SUBSTATIONS'!L24</x:f>
        <x:v>61747.414413589519</x:v>
      </x:c>
      <x:c r="N25" s="4">
        <x:f>'[1]PRIMARY  SUBSTATIONS'!N24-'[2]PRIMARY  SUBSTATIONS'!N24</x:f>
        <x:v>61618.016578774201</x:v>
      </x:c>
      <x:c r="O25" s="4"/>
      <x:c r="P25" s="4">
        <x:f>'[1]PRIMARY  SUBSTATIONS'!P24-'[2]PRIMARY  SUBSTATIONS'!P24</x:f>
        <x:v>60792.862946408801</x:v>
      </x:c>
      <x:c r="R25" s="4">
        <x:f>'[1]PRIMARY  SUBSTATIONS'!R24-'[2]PRIMARY  SUBSTATIONS'!R24</x:f>
        <x:v>60665.465468924027</x:v>
      </x:c>
      <x:c r="S25" s="4"/>
      <x:c r="T25" s="4">
        <x:f>'[1]PRIMARY  SUBSTATIONS'!T24-'[2]PRIMARY  SUBSTATIONS'!T24</x:f>
        <x:v>65212167.642204046</x:v>
      </x:c>
      <x:c r="V25" s="4">
        <x:f>'[1]PRIMARY  SUBSTATIONS'!V24-'[2]PRIMARY  SUBSTATIONS'!V24</x:f>
        <x:v>64943949.132287741</x:v>
      </x:c>
      <x:c r="X25" s="36">
        <x:f>'[1]PRIMARY  SUBSTATIONS'!X24-'[2]PRIMARY  SUBSTATIONS'!X24</x:f>
        <x:v>0</x:v>
      </x:c>
      <x:c r="Y25" s="36">
        <x:f>'[1]PRIMARY  SUBSTATIONS'!Y24-'[2]PRIMARY  SUBSTATIONS'!Y24</x:f>
        <x:v>0</x:v>
      </x:c>
      <x:c r="Z25" s="36">
        <x:f>'[1]PRIMARY  SUBSTATIONS'!Z24-'[2]PRIMARY  SUBSTATIONS'!Z24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'[1]PRIMARY  SUBSTATIONS'!D25-'[2]PRIMARY  SUBSTATIONS'!D25</x:f>
        <x:v>54883.052446173038</x:v>
      </x:c>
      <x:c r="E26" s="4"/>
      <x:c r="F26" s="4">
        <x:f>'[1]PRIMARY  SUBSTATIONS'!F25-'[2]PRIMARY  SUBSTATIONS'!F25</x:f>
        <x:v>54768.039563090773</x:v>
      </x:c>
      <x:c r="G26" s="4"/>
      <x:c r="H26" s="4">
        <x:f>'[1]PRIMARY  SUBSTATIONS'!H25-'[2]PRIMARY  SUBSTATIONS'!H25</x:f>
        <x:v>45947.567957373103</x:v>
      </x:c>
      <x:c r="I26" s="4"/>
      <x:c r="J26" s="4">
        <x:f>'[1]PRIMARY  SUBSTATIONS'!J25-'[2]PRIMARY  SUBSTATIONS'!J25</x:f>
        <x:v>45851.280268808594</x:v>
      </x:c>
      <x:c r="K26" s="4"/>
      <x:c r="L26" s="4">
        <x:f>'[1]PRIMARY  SUBSTATIONS'!L25-'[2]PRIMARY  SUBSTATIONS'!L25</x:f>
        <x:v>43835.83074386185</x:v>
      </x:c>
      <x:c r="N26" s="4">
        <x:f>'[1]PRIMARY  SUBSTATIONS'!N25-'[2]PRIMARY  SUBSTATIONS'!N25</x:f>
        <x:v>43743.968410200439</x:v>
      </x:c>
      <x:c r="O26" s="4"/>
      <x:c r="P26" s="4">
        <x:f>'[1]PRIMARY  SUBSTATIONS'!P25-'[2]PRIMARY  SUBSTATIONS'!P25</x:f>
        <x:v>43835.83074386185</x:v>
      </x:c>
      <x:c r="R26" s="4">
        <x:f>'[1]PRIMARY  SUBSTATIONS'!R25-'[2]PRIMARY  SUBSTATIONS'!R25</x:f>
        <x:v>43743.968410200439</x:v>
      </x:c>
      <x:c r="S26" s="4"/>
      <x:c r="T26" s="4">
        <x:f>'[1]PRIMARY  SUBSTATIONS'!T25-'[2]PRIMARY  SUBSTATIONS'!T25</x:f>
        <x:v>31774118.891641855</x:v>
      </x:c>
      <x:c r="V26" s="4">
        <x:f>'[1]PRIMARY  SUBSTATIONS'!V25-'[2]PRIMARY  SUBSTATIONS'!V25</x:f>
        <x:v>31643431.519466519</x:v>
      </x:c>
      <x:c r="X26" s="36">
        <x:f>'[1]PRIMARY  SUBSTATIONS'!X25-'[2]PRIMARY  SUBSTATIONS'!X25</x:f>
        <x:v>0</x:v>
      </x:c>
      <x:c r="Y26" s="36">
        <x:f>'[1]PRIMARY  SUBSTATIONS'!Y25-'[2]PRIMARY  SUBSTATIONS'!Y25</x:f>
        <x:v>0</x:v>
      </x:c>
      <x:c r="Z26" s="36">
        <x:f>'[1]PRIMARY  SUBSTATIONS'!Z25-'[2]PRIMARY  SUBSTATIONS'!Z25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'[1]PRIMARY  SUBSTATIONS'!D26-'[2]PRIMARY  SUBSTATIONS'!D26</x:f>
        <x:v>31164.614531036932</x:v>
      </x:c>
      <x:c r="E27" s="4"/>
      <x:c r="F27" s="4">
        <x:f>'[1]PRIMARY  SUBSTATIONS'!F26-'[2]PRIMARY  SUBSTATIONS'!F26</x:f>
        <x:v>31099.305988461012</x:v>
      </x:c>
      <x:c r="G27" s="4"/>
      <x:c r="H27" s="4">
        <x:f>'[1]PRIMARY  SUBSTATIONS'!H26-'[2]PRIMARY  SUBSTATIONS'!H26</x:f>
        <x:v>26093.680459846044</x:v>
      </x:c>
      <x:c r="I27" s="4"/>
      <x:c r="J27" s="4">
        <x:f>'[1]PRIMARY  SUBSTATIONS'!J26-'[2]PRIMARY  SUBSTATIONS'!J26</x:f>
        <x:v>26038.998562864028</x:v>
      </x:c>
      <x:c r="K27" s="4"/>
      <x:c r="L27" s="4">
        <x:f>'[1]PRIMARY  SUBSTATIONS'!L26-'[2]PRIMARY  SUBSTATIONS'!L26</x:f>
        <x:v>24571.115871740738</x:v>
      </x:c>
      <x:c r="N27" s="4">
        <x:f>'[1]PRIMARY  SUBSTATIONS'!N26-'[2]PRIMARY  SUBSTATIONS'!N26</x:f>
        <x:v>24519.624659954803</x:v>
      </x:c>
      <x:c r="O27" s="4"/>
      <x:c r="P27" s="4">
        <x:f>'[1]PRIMARY  SUBSTATIONS'!P26-'[2]PRIMARY  SUBSTATIONS'!P26</x:f>
        <x:v>23483.39792658342</x:v>
      </x:c>
      <x:c r="R27" s="4">
        <x:f>'[1]PRIMARY  SUBSTATIONS'!R26-'[2]PRIMARY  SUBSTATIONS'!R26</x:f>
        <x:v>23434.186135698343</x:v>
      </x:c>
      <x:c r="S27" s="4"/>
      <x:c r="T27" s="4">
        <x:f>'[1]PRIMARY  SUBSTATIONS'!T26-'[2]PRIMARY  SUBSTATIONS'!T26</x:f>
        <x:v>20774456.388486743</x:v>
      </x:c>
      <x:c r="V27" s="4">
        <x:f>'[1]PRIMARY  SUBSTATIONS'!V26-'[2]PRIMARY  SUBSTATIONS'!V26</x:f>
        <x:v>20689010.773990154</x:v>
      </x:c>
      <x:c r="X27" s="36">
        <x:f>'[1]PRIMARY  SUBSTATIONS'!X26-'[2]PRIMARY  SUBSTATIONS'!X26</x:f>
        <x:v>0</x:v>
      </x:c>
      <x:c r="Y27" s="36">
        <x:f>'[1]PRIMARY  SUBSTATIONS'!Y26-'[2]PRIMARY  SUBSTATIONS'!Y26</x:f>
        <x:v>0</x:v>
      </x:c>
      <x:c r="Z27" s="36">
        <x:f>'[1]PRIMARY  SUBSTATIONS'!Z26-'[2]PRIMARY  SUBSTATIONS'!Z26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'[1]PRIMARY  SUBSTATIONS'!D27-'[2]PRIMARY  SUBSTATIONS'!D27</x:f>
        <x:v>66860.523718832294</x:v>
      </x:c>
      <x:c r="E28" s="4"/>
      <x:c r="F28" s="4">
        <x:f>'[1]PRIMARY  SUBSTATIONS'!F27-'[2]PRIMARY  SUBSTATIONS'!F27</x:f>
        <x:v>66720.410856034607</x:v>
      </x:c>
      <x:c r="G28" s="4"/>
      <x:c r="H28" s="4">
        <x:f>'[1]PRIMARY  SUBSTATIONS'!H27-'[2]PRIMARY  SUBSTATIONS'!H27</x:f>
        <x:v>57345.206444526091</x:v>
      </x:c>
      <x:c r="I28" s="4"/>
      <x:c r="J28" s="4">
        <x:f>'[1]PRIMARY  SUBSTATIONS'!J27-'[2]PRIMARY  SUBSTATIONS'!J27</x:f>
        <x:v>57225.033873392036</x:v>
      </x:c>
      <x:c r="K28" s="4"/>
      <x:c r="L28" s="4">
        <x:f>'[1]PRIMARY  SUBSTATIONS'!L27-'[2]PRIMARY  SUBSTATIONS'!L27</x:f>
        <x:v>47328.896800594288</x:v>
      </x:c>
      <x:c r="N28" s="4">
        <x:f>'[1]PRIMARY  SUBSTATIONS'!N27-'[2]PRIMARY  SUBSTATIONS'!N27</x:f>
        <x:v>47229.714400353609</x:v>
      </x:c>
      <x:c r="O28" s="4"/>
      <x:c r="P28" s="4">
        <x:f>'[1]PRIMARY  SUBSTATIONS'!P27-'[2]PRIMARY  SUBSTATIONS'!P27</x:f>
        <x:v>54833.074759264709</x:v>
      </x:c>
      <x:c r="R28" s="4">
        <x:f>'[1]PRIMARY  SUBSTATIONS'!R27-'[2]PRIMARY  SUBSTATIONS'!R27</x:f>
        <x:v>54718.166609385051</x:v>
      </x:c>
      <x:c r="S28" s="4"/>
      <x:c r="T28" s="4">
        <x:f>'[1]PRIMARY  SUBSTATIONS'!T27-'[2]PRIMARY  SUBSTATIONS'!T27</x:f>
        <x:v>37915890.224767804</x:v>
      </x:c>
      <x:c r="V28" s="4">
        <x:f>'[1]PRIMARY  SUBSTATIONS'!V27-'[2]PRIMARY  SUBSTATIONS'!V27</x:f>
        <x:v>37759941.665688515</x:v>
      </x:c>
      <x:c r="X28" s="36">
        <x:f>'[1]PRIMARY  SUBSTATIONS'!X27-'[2]PRIMARY  SUBSTATIONS'!X27</x:f>
        <x:v>0</x:v>
      </x:c>
      <x:c r="Y28" s="36">
        <x:f>'[1]PRIMARY  SUBSTATIONS'!Y27-'[2]PRIMARY  SUBSTATIONS'!Y27</x:f>
        <x:v>0</x:v>
      </x:c>
      <x:c r="Z28" s="36">
        <x:f>'[1]PRIMARY  SUBSTATIONS'!Z27-'[2]PRIMARY  SUBSTATIONS'!Z27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'[1]PRIMARY  SUBSTATIONS'!D28-'[2]PRIMARY  SUBSTATIONS'!D28</x:f>
        <x:v>43361.987016421743</x:v>
      </x:c>
      <x:c r="E29" s="4"/>
      <x:c r="F29" s="4">
        <x:f>'[1]PRIMARY  SUBSTATIONS'!F28-'[2]PRIMARY  SUBSTATIONS'!F28</x:f>
        <x:v>43271.117669316242</x:v>
      </x:c>
      <x:c r="G29" s="4"/>
      <x:c r="H29" s="4">
        <x:f>'[1]PRIMARY  SUBSTATIONS'!H28-'[2]PRIMARY  SUBSTATIONS'!H28</x:f>
        <x:v>37341.146353394026</x:v>
      </x:c>
      <x:c r="I29" s="4"/>
      <x:c r="J29" s="4">
        <x:f>'[1]PRIMARY  SUBSTATIONS'!J28-'[2]PRIMARY  SUBSTATIONS'!J28</x:f>
        <x:v>37262.894275415456</x:v>
      </x:c>
      <x:c r="K29" s="4"/>
      <x:c r="L29" s="4">
        <x:f>'[1]PRIMARY  SUBSTATIONS'!L28-'[2]PRIMARY  SUBSTATIONS'!L28</x:f>
        <x:v>35536.023481791839</x:v>
      </x:c>
      <x:c r="N29" s="4">
        <x:f>'[1]PRIMARY  SUBSTATIONS'!N28-'[2]PRIMARY  SUBSTATIONS'!N28</x:f>
        <x:v>35461.554217934376</x:v>
      </x:c>
      <x:c r="O29" s="4"/>
      <x:c r="P29" s="4">
        <x:f>'[1]PRIMARY  SUBSTATIONS'!P28-'[2]PRIMARY  SUBSTATIONS'!P28</x:f>
        <x:v>26990.953153991373</x:v>
      </x:c>
      <x:c r="R29" s="4">
        <x:f>'[1]PRIMARY  SUBSTATIONS'!R28-'[2]PRIMARY  SUBSTATIONS'!R28</x:f>
        <x:v>26934.390933031915</x:v>
      </x:c>
      <x:c r="S29" s="4"/>
      <x:c r="T29" s="4">
        <x:f>'[1]PRIMARY  SUBSTATIONS'!T28-'[2]PRIMARY  SUBSTATIONS'!T28</x:f>
        <x:v>24060899.73200345</x:v>
      </x:c>
      <x:c r="V29" s="4">
        <x:f>'[1]PRIMARY  SUBSTATIONS'!V28-'[2]PRIMARY  SUBSTATIONS'!V28</x:f>
        <x:v>23961936.932472348</x:v>
      </x:c>
      <x:c r="X29" s="36">
        <x:f>'[1]PRIMARY  SUBSTATIONS'!X28-'[2]PRIMARY  SUBSTATIONS'!X28</x:f>
        <x:v>0</x:v>
      </x:c>
      <x:c r="Y29" s="36">
        <x:f>'[1]PRIMARY  SUBSTATIONS'!Y28-'[2]PRIMARY  SUBSTATIONS'!Y28</x:f>
        <x:v>0</x:v>
      </x:c>
      <x:c r="Z29" s="36">
        <x:f>'[1]PRIMARY  SUBSTATIONS'!Z28-'[2]PRIMARY  SUBSTATIONS'!Z28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'[1]PRIMARY  SUBSTATIONS'!D29-'[2]PRIMARY  SUBSTATIONS'!D29</x:f>
        <x:v>26333.643980064895</x:v>
      </x:c>
      <x:c r="E30" s="4"/>
      <x:c r="F30" s="4">
        <x:f>'[1]PRIMARY  SUBSTATIONS'!F29-'[2]PRIMARY  SUBSTATIONS'!F29</x:f>
        <x:v>26278.459215711802</x:v>
      </x:c>
      <x:c r="G30" s="4"/>
      <x:c r="H30" s="4">
        <x:f>'[1]PRIMARY  SUBSTATIONS'!H29-'[2]PRIMARY  SUBSTATIONS'!H29</x:f>
        <x:v>22630.052697169129</x:v>
      </x:c>
      <x:c r="I30" s="4"/>
      <x:c r="J30" s="4">
        <x:f>'[1]PRIMARY  SUBSTATIONS'!J29-'[2]PRIMARY  SUBSTATIONS'!J29</x:f>
        <x:v>22582.629175899783</x:v>
      </x:c>
      <x:c r="K30" s="4"/>
      <x:c r="L30" s="4">
        <x:f>'[1]PRIMARY  SUBSTATIONS'!L29-'[2]PRIMARY  SUBSTATIONS'!L29</x:f>
        <x:v>18699.294959452236</x:v>
      </x:c>
      <x:c r="N30" s="4">
        <x:f>'[1]PRIMARY  SUBSTATIONS'!N29-'[2]PRIMARY  SUBSTATIONS'!N29</x:f>
        <x:v>18660.108731116867</x:v>
      </x:c>
      <x:c r="O30" s="4"/>
      <x:c r="P30" s="4">
        <x:f>'[1]PRIMARY  SUBSTATIONS'!P29-'[2]PRIMARY  SUBSTATIONS'!P29</x:f>
        <x:v>17236.040697446908</x:v>
      </x:c>
      <x:c r="R30" s="4">
        <x:f>'[1]PRIMARY  SUBSTATIONS'!R29-'[2]PRIMARY  SUBSTATIONS'!R29</x:f>
        <x:v>17199.920863633277</x:v>
      </x:c>
      <x:c r="S30" s="4"/>
      <x:c r="T30" s="4">
        <x:f>'[1]PRIMARY  SUBSTATIONS'!T29-'[2]PRIMARY  SUBSTATIONS'!T29</x:f>
        <x:v>14810059.772700787</x:v>
      </x:c>
      <x:c r="V30" s="4">
        <x:f>'[1]PRIMARY  SUBSTATIONS'!V29-'[2]PRIMARY  SUBSTATIONS'!V29</x:f>
        <x:v>14749145.8005445</x:v>
      </x:c>
      <x:c r="X30" s="36">
        <x:f>'[1]PRIMARY  SUBSTATIONS'!X29-'[2]PRIMARY  SUBSTATIONS'!X29</x:f>
        <x:v>0</x:v>
      </x:c>
      <x:c r="Y30" s="36">
        <x:f>'[1]PRIMARY  SUBSTATIONS'!Y29-'[2]PRIMARY  SUBSTATIONS'!Y29</x:f>
        <x:v>0</x:v>
      </x:c>
      <x:c r="Z30" s="36">
        <x:f>'[1]PRIMARY  SUBSTATIONS'!Z29-'[2]PRIMARY  SUBSTATIONS'!Z29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'[1]PRIMARY  SUBSTATIONS'!D30-'[2]PRIMARY  SUBSTATIONS'!D30</x:f>
        <x:v>26037.319107447285</x:v>
      </x:c>
      <x:c r="E31" s="4"/>
      <x:c r="F31" s="4">
        <x:f>'[1]PRIMARY  SUBSTATIONS'!F30-'[2]PRIMARY  SUBSTATIONS'!F30</x:f>
        <x:v>25982.755321272649</x:v>
      </x:c>
      <x:c r="G31" s="4"/>
      <x:c r="H31" s="4">
        <x:f>'[1]PRIMARY  SUBSTATIONS'!H30-'[2]PRIMARY  SUBSTATIONS'!H30</x:f>
        <x:v>22244.357764062705</x:v>
      </x:c>
      <x:c r="I31" s="4"/>
      <x:c r="J31" s="4">
        <x:f>'[1]PRIMARY  SUBSTATIONS'!J30-'[2]PRIMARY  SUBSTATIONS'!J30</x:f>
        <x:v>22197.742504802532</x:v>
      </x:c>
      <x:c r="K31" s="4"/>
      <x:c r="L31" s="4">
        <x:f>'[1]PRIMARY  SUBSTATIONS'!L30-'[2]PRIMARY  SUBSTATIONS'!L30</x:f>
        <x:v>19116.060062886798</x:v>
      </x:c>
      <x:c r="N31" s="4">
        <x:f>'[1]PRIMARY  SUBSTATIONS'!N30-'[2]PRIMARY  SUBSTATIONS'!N30</x:f>
        <x:v>19076.000461916788</x:v>
      </x:c>
      <x:c r="O31" s="4"/>
      <x:c r="P31" s="4">
        <x:f>'[1]PRIMARY  SUBSTATIONS'!P30-'[2]PRIMARY  SUBSTATIONS'!P30</x:f>
        <x:v>17521.740798460087</x:v>
      </x:c>
      <x:c r="R31" s="4">
        <x:f>'[1]PRIMARY  SUBSTATIONS'!R30-'[2]PRIMARY  SUBSTATIONS'!R30</x:f>
        <x:v>17485.022251731483</x:v>
      </x:c>
      <x:c r="S31" s="4"/>
      <x:c r="T31" s="4">
        <x:f>'[1]PRIMARY  SUBSTATIONS'!T30-'[2]PRIMARY  SUBSTATIONS'!T30</x:f>
        <x:v>14527475.356355548</x:v>
      </x:c>
      <x:c r="V31" s="4">
        <x:f>'[1]PRIMARY  SUBSTATIONS'!V30-'[2]PRIMARY  SUBSTATIONS'!V30</x:f>
        <x:v>14467723.657649398</x:v>
      </x:c>
      <x:c r="X31" s="36">
        <x:f>'[1]PRIMARY  SUBSTATIONS'!X30-'[2]PRIMARY  SUBSTATIONS'!X30</x:f>
        <x:v>0</x:v>
      </x:c>
      <x:c r="Y31" s="36">
        <x:f>'[1]PRIMARY  SUBSTATIONS'!Y30-'[2]PRIMARY  SUBSTATIONS'!Y30</x:f>
        <x:v>0</x:v>
      </x:c>
      <x:c r="Z31" s="36">
        <x:f>'[1]PRIMARY  SUBSTATIONS'!Z30-'[2]PRIMARY  SUBSTATIONS'!Z30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'[1]PRIMARY  SUBSTATIONS'!D31-'[2]PRIMARY  SUBSTATIONS'!D31</x:f>
        <x:v>12978.632348563289</x:v>
      </x:c>
      <x:c r="E32" s="4"/>
      <x:c r="F32" s="4">
        <x:f>'[1]PRIMARY  SUBSTATIONS'!F31-'[2]PRIMARY  SUBSTATIONS'!F31</x:f>
        <x:v>12951.434336456936</x:v>
      </x:c>
      <x:c r="G32" s="4"/>
      <x:c r="H32" s="4">
        <x:f>'[1]PRIMARY  SUBSTATIONS'!H31-'[2]PRIMARY  SUBSTATIONS'!H31</x:f>
        <x:v>11078.022376481909</x:v>
      </x:c>
      <x:c r="I32" s="4"/>
      <x:c r="J32" s="4">
        <x:f>'[1]PRIMARY  SUBSTATIONS'!J31-'[2]PRIMARY  SUBSTATIONS'!J31</x:f>
        <x:v>11054.807281191461</x:v>
      </x:c>
      <x:c r="K32" s="4"/>
      <x:c r="L32" s="4">
        <x:f>'[1]PRIMARY  SUBSTATIONS'!L31-'[2]PRIMARY  SUBSTATIONS'!L31</x:f>
        <x:v>10204.446496055927</x:v>
      </x:c>
      <x:c r="N32" s="4">
        <x:f>'[1]PRIMARY  SUBSTATIONS'!N31-'[2]PRIMARY  SUBSTATIONS'!N31</x:f>
        <x:v>10183.062065717997</x:v>
      </x:c>
      <x:c r="O32" s="4"/>
      <x:c r="P32" s="4">
        <x:f>'[1]PRIMARY  SUBSTATIONS'!P31-'[2]PRIMARY  SUBSTATIONS'!P31</x:f>
        <x:v>10204.446496055927</x:v>
      </x:c>
      <x:c r="R32" s="4">
        <x:f>'[1]PRIMARY  SUBSTATIONS'!R31-'[2]PRIMARY  SUBSTATIONS'!R31</x:f>
        <x:v>10183.062065717997</x:v>
      </x:c>
      <x:c r="S32" s="4"/>
      <x:c r="T32" s="4">
        <x:f>'[1]PRIMARY  SUBSTATIONS'!T31-'[2]PRIMARY  SUBSTATIONS'!T31</x:f>
        <x:v>7009923.8907763958</x:v>
      </x:c>
      <x:c r="V32" s="4">
        <x:f>'[1]PRIMARY  SUBSTATIONS'!V31-'[2]PRIMARY  SUBSTATIONS'!V31</x:f>
        <x:v>6981091.9808952808</x:v>
      </x:c>
      <x:c r="X32" s="36">
        <x:f>'[1]PRIMARY  SUBSTATIONS'!X31-'[2]PRIMARY  SUBSTATIONS'!X31</x:f>
        <x:v>0</x:v>
      </x:c>
      <x:c r="Y32" s="36">
        <x:f>'[1]PRIMARY  SUBSTATIONS'!Y31-'[2]PRIMARY  SUBSTATIONS'!Y31</x:f>
        <x:v>0</x:v>
      </x:c>
      <x:c r="Z32" s="36">
        <x:f>'[1]PRIMARY  SUBSTATIONS'!Z31-'[2]PRIMARY  SUBSTATIONS'!Z31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'[1]PRIMARY  SUBSTATIONS'!D32-'[2]PRIMARY  SUBSTATIONS'!D32</x:f>
        <x:v>-6619.9347350790631</x:v>
      </x:c>
      <x:c r="E33" s="4"/>
      <x:c r="F33" s="4">
        <x:f>'[1]PRIMARY  SUBSTATIONS'!F32-'[2]PRIMARY  SUBSTATIONS'!F32</x:f>
        <x:v>-6606.0620048686396</x:v>
      </x:c>
      <x:c r="G33" s="4"/>
      <x:c r="H33" s="4">
        <x:f>'[1]PRIMARY  SUBSTATIONS'!H32-'[2]PRIMARY  SUBSTATIONS'!H32</x:f>
        <x:v>-5587.6077514640056</x:v>
      </x:c>
      <x:c r="I33" s="4"/>
      <x:c r="J33" s="4">
        <x:f>'[1]PRIMARY  SUBSTATIONS'!J32-'[2]PRIMARY  SUBSTATIONS'!J32</x:f>
        <x:v>-5575.8983648975845</x:v>
      </x:c>
      <x:c r="K33" s="4"/>
      <x:c r="L33" s="4">
        <x:f>'[1]PRIMARY  SUBSTATIONS'!L32-'[2]PRIMARY  SUBSTATIONS'!L32</x:f>
        <x:v>-5392.5407428671606</x:v>
      </x:c>
      <x:c r="N33" s="4">
        <x:f>'[1]PRIMARY  SUBSTATIONS'!N32-'[2]PRIMARY  SUBSTATIONS'!N32</x:f>
        <x:v>-5381.2401385761332</x:v>
      </x:c>
      <x:c r="O33" s="4"/>
      <x:c r="P33" s="4">
        <x:f>'[1]PRIMARY  SUBSTATIONS'!P32-'[2]PRIMARY  SUBSTATIONS'!P32</x:f>
        <x:v>-5333.5392785132863</x:v>
      </x:c>
      <x:c r="R33" s="4">
        <x:f>'[1]PRIMARY  SUBSTATIONS'!R32-'[2]PRIMARY  SUBSTATIONS'!R32</x:f>
        <x:v>-5322.362317646388</x:v>
      </x:c>
      <x:c r="S33" s="4"/>
      <x:c r="T33" s="4">
        <x:f>'[1]PRIMARY  SUBSTATIONS'!T32-'[2]PRIMARY  SUBSTATIONS'!T32</x:f>
        <x:v>-3910010.2578729391</x:v>
      </x:c>
      <x:c r="V33" s="4">
        <x:f>'[1]PRIMARY  SUBSTATIONS'!V32-'[2]PRIMARY  SUBSTATIONS'!V32</x:f>
        <x:v>-3893928.3338541985</x:v>
      </x:c>
      <x:c r="X33" s="36">
        <x:f>'[1]PRIMARY  SUBSTATIONS'!X32-'[2]PRIMARY  SUBSTATIONS'!X32</x:f>
        <x:v>0</x:v>
      </x:c>
      <x:c r="Y33" s="36">
        <x:f>'[1]PRIMARY  SUBSTATIONS'!Y32-'[2]PRIMARY  SUBSTATIONS'!Y32</x:f>
        <x:v>0</x:v>
      </x:c>
      <x:c r="Z33" s="36">
        <x:f>'[1]PRIMARY  SUBSTATIONS'!Z32-'[2]PRIMARY  SUBSTATIONS'!Z32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'[1]PRIMARY  SUBSTATIONS'!D33-'[2]PRIMARY  SUBSTATIONS'!D33</x:f>
        <x:v>-2901.9854357738513</x:v>
      </x:c>
      <x:c r="E34" s="4"/>
      <x:c r="F34" s="4">
        <x:f>'[1]PRIMARY  SUBSTATIONS'!F33-'[2]PRIMARY  SUBSTATIONS'!F33</x:f>
        <x:v>-2895.904037295375</x:v>
      </x:c>
      <x:c r="G34" s="4"/>
      <x:c r="H34" s="4">
        <x:f>'[1]PRIMARY  SUBSTATIONS'!H33-'[2]PRIMARY  SUBSTATIONS'!H33</x:f>
        <x:v>-2531.0890147897881</x:v>
      </x:c>
      <x:c r="I34" s="4"/>
      <x:c r="J34" s="4">
        <x:f>'[1]PRIMARY  SUBSTATIONS'!J33-'[2]PRIMARY  SUBSTATIONS'!J33</x:f>
        <x:v>-2525.7848665700294</x:v>
      </x:c>
      <x:c r="K34" s="4"/>
      <x:c r="L34" s="4">
        <x:f>'[1]PRIMARY  SUBSTATIONS'!L33-'[2]PRIMARY  SUBSTATIONS'!L33</x:f>
        <x:v>-2408.0007077534683</x:v>
      </x:c>
      <x:c r="N34" s="4">
        <x:f>'[1]PRIMARY  SUBSTATIONS'!N33-'[2]PRIMARY  SUBSTATIONS'!N33</x:f>
        <x:v>-2402.9545032966416</x:v>
      </x:c>
      <x:c r="O34" s="4"/>
      <x:c r="P34" s="4">
        <x:f>'[1]PRIMARY  SUBSTATIONS'!P33-'[2]PRIMARY  SUBSTATIONS'!P33</x:f>
        <x:v>-2408.0007077534683</x:v>
      </x:c>
      <x:c r="R34" s="4">
        <x:f>'[1]PRIMARY  SUBSTATIONS'!R33-'[2]PRIMARY  SUBSTATIONS'!R33</x:f>
        <x:v>-2402.9545032966416</x:v>
      </x:c>
      <x:c r="S34" s="4"/>
      <x:c r="T34" s="17">
        <x:f>'[1]PRIMARY  SUBSTATIONS'!T33-'[2]PRIMARY  SUBSTATIONS'!T33</x:f>
        <x:v>-1791870.9101098776</x:v>
      </x:c>
      <x:c r="U34" s="16"/>
      <x:c r="V34" s="17">
        <x:f>'[1]PRIMARY  SUBSTATIONS'!V33-'[2]PRIMARY  SUBSTATIONS'!V33</x:f>
        <x:v>-1784500.921304822</x:v>
      </x:c>
      <x:c r="X34" s="36">
        <x:f>'[1]PRIMARY  SUBSTATIONS'!X33-'[2]PRIMARY  SUBSTATIONS'!X33</x:f>
        <x:v>0</x:v>
      </x:c>
      <x:c r="Y34" s="36">
        <x:f>'[1]PRIMARY  SUBSTATIONS'!Y33-'[2]PRIMARY  SUBSTATIONS'!Y33</x:f>
        <x:v>0</x:v>
      </x:c>
      <x:c r="Z34" s="36">
        <x:f>'[1]PRIMARY  SUBSTATIONS'!Z33-'[2]PRIMARY  SUBSTATIONS'!Z33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323963254.45130968</x:v>
      </x:c>
      <x:c r="U35" s="16"/>
      <x:c r="V35" s="16">
        <x:f>+SUM(V23:V34)</x:f>
        <x:v>322630789.29153574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Z42"/>
  <x:sheetViews>
    <x:sheetView topLeftCell="A4" zoomScale="75" zoomScaleNormal="75" workbookViewId="0">
      <x:selection activeCell="V12" sqref="V12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4.570312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4.28515625" style="4" customWidth="1"/>
    <x:col min="13" max="13" width="2.7109375" style="4" customWidth="1"/>
    <x:col min="14" max="14" width="13.28515625" style="4" customWidth="1"/>
    <x:col min="15" max="15" width="4.140625" style="3" customWidth="1"/>
    <x:col min="16" max="16" width="13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20.5703125" style="4" customWidth="1"/>
    <x:col min="21" max="21" width="2.7109375" style="4" customWidth="1"/>
    <x:col min="22" max="22" width="20.5703125" style="4" customWidth="1"/>
    <x:col min="23" max="23" width="3.7109375" style="3" customWidth="1"/>
    <x:col min="24" max="24" width="9.85546875" style="3" customWidth="1"/>
    <x:col min="25" max="25" width="1.7109375" style="3" customWidth="1"/>
    <x:col min="26" max="26" width="9.71093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96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34</x:v>
      </x:c>
    </x:row>
    <x:row r="16" spans="1:26" ht="18.75" customHeight="1" x14ac:dyDescent="0.25">
      <x:c r="A16" s="3" t="s">
        <x:v>35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[1]TRANSMISSION!D22-[2]TRANSMISSION!D22</x:f>
        <x:v>337897.43887147307</x:v>
      </x:c>
      <x:c r="E23" s="4"/>
      <x:c r="F23" s="4">
        <x:f>[1]TRANSMISSION!F22-[2]TRANSMISSION!F22</x:f>
        <x:v>337897.43887147307</x:v>
      </x:c>
      <x:c r="G23" s="4"/>
      <x:c r="H23" s="4">
        <x:f>[1]TRANSMISSION!H22-[2]TRANSMISSION!H22</x:f>
        <x:v>260014.75862068962</x:v>
      </x:c>
      <x:c r="I23" s="4"/>
      <x:c r="J23" s="4">
        <x:f>[1]TRANSMISSION!J22-[2]TRANSMISSION!J22</x:f>
        <x:v>260014.75862068962</x:v>
      </x:c>
      <x:c r="K23" s="4"/>
      <x:c r="L23" s="4">
        <x:f>[1]TRANSMISSION!L22-[2]TRANSMISSION!L22</x:f>
        <x:v>201162.7523510973</x:v>
      </x:c>
      <x:c r="N23" s="4">
        <x:f>[1]TRANSMISSION!N22-[2]TRANSMISSION!N22</x:f>
        <x:v>201162.7523510973</x:v>
      </x:c>
      <x:c r="O23" s="4"/>
      <x:c r="P23" s="4">
        <x:f>[1]TRANSMISSION!P22-[2]TRANSMISSION!P22</x:f>
        <x:v>155309.68025078392</x:v>
      </x:c>
      <x:c r="R23" s="4">
        <x:f>[1]TRANSMISSION!R22-[2]TRANSMISSION!R22</x:f>
        <x:v>155309.68025078392</x:v>
      </x:c>
      <x:c r="S23" s="4"/>
      <x:c r="T23" s="4">
        <x:f>[1]TRANSMISSION!T22-[2]TRANSMISSION!T22</x:f>
        <x:v>178109791.62695932</x:v>
      </x:c>
      <x:c r="V23" s="4">
        <x:f>[1]TRANSMISSION!V22-[2]TRANSMISSION!V22</x:f>
        <x:v>178109791.62695932</x:v>
      </x:c>
      <x:c r="X23" s="36">
        <x:f>[1]TRANSMISSION!X22-[2]TRANSMISSION!X22</x:f>
        <x:v>0</x:v>
      </x:c>
      <x:c r="Y23" s="36">
        <x:f>[1]TRANSMISSION!Y22-[2]TRANSMISSION!Y22</x:f>
        <x:v>0</x:v>
      </x:c>
      <x:c r="Z23" s="36">
        <x:f>[1]TRANSMISSION!Z22-[2]TRANSMISSION!Z22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[1]TRANSMISSION!D23-[2]TRANSMISSION!D23</x:f>
        <x:v>314535.3125</x:v>
      </x:c>
      <x:c r="E24" s="4"/>
      <x:c r="F24" s="4">
        <x:f>[1]TRANSMISSION!F23-[2]TRANSMISSION!F23</x:f>
        <x:v>314535.3125</x:v>
      </x:c>
      <x:c r="G24" s="4"/>
      <x:c r="H24" s="4">
        <x:f>[1]TRANSMISSION!H23-[2]TRANSMISSION!H23</x:f>
        <x:v>247671.9375</x:v>
      </x:c>
      <x:c r="I24" s="4"/>
      <x:c r="J24" s="4">
        <x:f>[1]TRANSMISSION!J23-[2]TRANSMISSION!J23</x:f>
        <x:v>247671.9375</x:v>
      </x:c>
      <x:c r="K24" s="4"/>
      <x:c r="L24" s="4">
        <x:f>[1]TRANSMISSION!L23-[2]TRANSMISSION!L23</x:f>
        <x:v>227753.5625</x:v>
      </x:c>
      <x:c r="N24" s="4">
        <x:f>[1]TRANSMISSION!N23-[2]TRANSMISSION!N23</x:f>
        <x:v>227753.5625</x:v>
      </x:c>
      <x:c r="O24" s="4"/>
      <x:c r="P24" s="4">
        <x:f>[1]TRANSMISSION!P23-[2]TRANSMISSION!P23</x:f>
        <x:v>227753.5625</x:v>
      </x:c>
      <x:c r="R24" s="4">
        <x:f>[1]TRANSMISSION!R23-[2]TRANSMISSION!R23</x:f>
        <x:v>227753.5625</x:v>
      </x:c>
      <x:c r="S24" s="4"/>
      <x:c r="T24" s="4">
        <x:f>[1]TRANSMISSION!T23-[2]TRANSMISSION!T23</x:f>
        <x:v>160609520.1875</x:v>
      </x:c>
      <x:c r="V24" s="4">
        <x:f>[1]TRANSMISSION!V23-[2]TRANSMISSION!V23</x:f>
        <x:v>160609520.1875</x:v>
      </x:c>
      <x:c r="X24" s="36">
        <x:f>[1]TRANSMISSION!X23-[2]TRANSMISSION!X23</x:f>
        <x:v>0</x:v>
      </x:c>
      <x:c r="Y24" s="36">
        <x:f>[1]TRANSMISSION!Y23-[2]TRANSMISSION!Y23</x:f>
        <x:v>0</x:v>
      </x:c>
      <x:c r="Z24" s="36">
        <x:f>[1]TRANSMISSION!Z23-[2]TRANSMISSION!Z23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[1]TRANSMISSION!D24-[2]TRANSMISSION!D24</x:f>
        <x:v>295771.30434782617</x:v>
      </x:c>
      <x:c r="E25" s="4"/>
      <x:c r="F25" s="4">
        <x:f>[1]TRANSMISSION!F24-[2]TRANSMISSION!F24</x:f>
        <x:v>295771.30434782617</x:v>
      </x:c>
      <x:c r="G25" s="4"/>
      <x:c r="H25" s="4">
        <x:f>[1]TRANSMISSION!H24-[2]TRANSMISSION!H24</x:f>
        <x:v>233783.21739130467</x:v>
      </x:c>
      <x:c r="I25" s="4"/>
      <x:c r="J25" s="4">
        <x:f>[1]TRANSMISSION!J24-[2]TRANSMISSION!J24</x:f>
        <x:v>233783.21739130467</x:v>
      </x:c>
      <x:c r="K25" s="4"/>
      <x:c r="L25" s="4">
        <x:f>[1]TRANSMISSION!L24-[2]TRANSMISSION!L24</x:f>
        <x:v>205382.96273291903</x:v>
      </x:c>
      <x:c r="N25" s="4">
        <x:f>[1]TRANSMISSION!N24-[2]TRANSMISSION!N24</x:f>
        <x:v>205382.96273291903</x:v>
      </x:c>
      <x:c r="O25" s="4"/>
      <x:c r="P25" s="4">
        <x:f>[1]TRANSMISSION!P24-[2]TRANSMISSION!P24</x:f>
        <x:v>198732.80124223605</x:v>
      </x:c>
      <x:c r="R25" s="4">
        <x:f>[1]TRANSMISSION!R24-[2]TRANSMISSION!R24</x:f>
        <x:v>198732.80124223605</x:v>
      </x:c>
      <x:c r="S25" s="4"/>
      <x:c r="T25" s="4">
        <x:f>[1]TRANSMISSION!T24-[2]TRANSMISSION!T24</x:f>
        <x:v>148926572.83229828</x:v>
      </x:c>
      <x:c r="V25" s="4">
        <x:f>[1]TRANSMISSION!V24-[2]TRANSMISSION!V24</x:f>
        <x:v>148926572.83229828</x:v>
      </x:c>
      <x:c r="X25" s="36">
        <x:f>[1]TRANSMISSION!X24-[2]TRANSMISSION!X24</x:f>
        <x:v>0</x:v>
      </x:c>
      <x:c r="Y25" s="36">
        <x:f>[1]TRANSMISSION!Y24-[2]TRANSMISSION!Y24</x:f>
        <x:v>0</x:v>
      </x:c>
      <x:c r="Z25" s="36">
        <x:f>[1]TRANSMISSION!Z24-[2]TRANSMISSION!Z24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[1]TRANSMISSION!D25-[2]TRANSMISSION!D25</x:f>
        <x:v>308407.80745341629</x:v>
      </x:c>
      <x:c r="E26" s="4"/>
      <x:c r="F26" s="4">
        <x:f>[1]TRANSMISSION!F25-[2]TRANSMISSION!F25</x:f>
        <x:v>308407.80745341629</x:v>
      </x:c>
      <x:c r="G26" s="4"/>
      <x:c r="H26" s="4">
        <x:f>[1]TRANSMISSION!H25-[2]TRANSMISSION!H25</x:f>
        <x:v>235931.03105590027</x:v>
      </x:c>
      <x:c r="I26" s="4"/>
      <x:c r="J26" s="4">
        <x:f>[1]TRANSMISSION!J25-[2]TRANSMISSION!J25</x:f>
        <x:v>235931.03105590027</x:v>
      </x:c>
      <x:c r="K26" s="4"/>
      <x:c r="L26" s="4">
        <x:f>[1]TRANSMISSION!L25-[2]TRANSMISSION!L25</x:f>
        <x:v>226212.14906832296</x:v>
      </x:c>
      <x:c r="N26" s="4">
        <x:f>[1]TRANSMISSION!N25-[2]TRANSMISSION!N25</x:f>
        <x:v>226212.14906832296</x:v>
      </x:c>
      <x:c r="O26" s="4"/>
      <x:c r="P26" s="4">
        <x:f>[1]TRANSMISSION!P25-[2]TRANSMISSION!P25</x:f>
        <x:v>226212.14906832296</x:v>
      </x:c>
      <x:c r="R26" s="4">
        <x:f>[1]TRANSMISSION!R25-[2]TRANSMISSION!R25</x:f>
        <x:v>226212.14906832296</x:v>
      </x:c>
      <x:c r="S26" s="4"/>
      <x:c r="T26" s="4">
        <x:f>[1]TRANSMISSION!T25-[2]TRANSMISSION!T25</x:f>
        <x:v>155588418.95031071</x:v>
      </x:c>
      <x:c r="V26" s="4">
        <x:f>[1]TRANSMISSION!V25-[2]TRANSMISSION!V25</x:f>
        <x:v>155588418.95031071</x:v>
      </x:c>
      <x:c r="X26" s="36">
        <x:f>[1]TRANSMISSION!X25-[2]TRANSMISSION!X25</x:f>
        <x:v>0</x:v>
      </x:c>
      <x:c r="Y26" s="36">
        <x:f>[1]TRANSMISSION!Y25-[2]TRANSMISSION!Y25</x:f>
        <x:v>0</x:v>
      </x:c>
      <x:c r="Z26" s="36">
        <x:f>[1]TRANSMISSION!Z25-[2]TRANSMISSION!Z25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[1]TRANSMISSION!D26-[2]TRANSMISSION!D26</x:f>
        <x:v>276939.65432098787</x:v>
      </x:c>
      <x:c r="E27" s="4"/>
      <x:c r="F27" s="4">
        <x:f>[1]TRANSMISSION!F26-[2]TRANSMISSION!F26</x:f>
        <x:v>276939.65432098787</x:v>
      </x:c>
      <x:c r="G27" s="4"/>
      <x:c r="H27" s="4">
        <x:f>[1]TRANSMISSION!H26-[2]TRANSMISSION!H26</x:f>
        <x:v>206037.67901234608</x:v>
      </x:c>
      <x:c r="I27" s="4"/>
      <x:c r="J27" s="4">
        <x:f>[1]TRANSMISSION!J26-[2]TRANSMISSION!J26</x:f>
        <x:v>206037.67901234608</x:v>
      </x:c>
      <x:c r="K27" s="4"/>
      <x:c r="L27" s="4">
        <x:f>[1]TRANSMISSION!L26-[2]TRANSMISSION!L26</x:f>
        <x:v>186747.06172839506</x:v>
      </x:c>
      <x:c r="N27" s="4">
        <x:f>[1]TRANSMISSION!N26-[2]TRANSMISSION!N26</x:f>
        <x:v>186747.06172839506</x:v>
      </x:c>
      <x:c r="O27" s="4"/>
      <x:c r="P27" s="4">
        <x:f>[1]TRANSMISSION!P26-[2]TRANSMISSION!P26</x:f>
        <x:v>186337.48148148134</x:v>
      </x:c>
      <x:c r="R27" s="4">
        <x:f>[1]TRANSMISSION!R26-[2]TRANSMISSION!R26</x:f>
        <x:v>186337.48148148134</x:v>
      </x:c>
      <x:c r="S27" s="4"/>
      <x:c r="T27" s="4">
        <x:f>[1]TRANSMISSION!T26-[2]TRANSMISSION!T26</x:f>
        <x:v>135518985.18518496</x:v>
      </x:c>
      <x:c r="V27" s="4">
        <x:f>[1]TRANSMISSION!V26-[2]TRANSMISSION!V26</x:f>
        <x:v>135518985.18518496</x:v>
      </x:c>
      <x:c r="X27" s="36">
        <x:f>[1]TRANSMISSION!X26-[2]TRANSMISSION!X26</x:f>
        <x:v>0</x:v>
      </x:c>
      <x:c r="Y27" s="36">
        <x:f>[1]TRANSMISSION!Y26-[2]TRANSMISSION!Y26</x:f>
        <x:v>0</x:v>
      </x:c>
      <x:c r="Z27" s="36">
        <x:f>[1]TRANSMISSION!Z26-[2]TRANSMISSION!Z26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[1]TRANSMISSION!D27-[2]TRANSMISSION!D27</x:f>
        <x:v>233198.34355828166</x:v>
      </x:c>
      <x:c r="E28" s="4"/>
      <x:c r="F28" s="4">
        <x:f>[1]TRANSMISSION!F27-[2]TRANSMISSION!F27</x:f>
        <x:v>233198.34355828166</x:v>
      </x:c>
      <x:c r="G28" s="4"/>
      <x:c r="H28" s="4">
        <x:f>[1]TRANSMISSION!H27-[2]TRANSMISSION!H27</x:f>
        <x:v>184157.54601227026</x:v>
      </x:c>
      <x:c r="I28" s="4"/>
      <x:c r="J28" s="4">
        <x:f>[1]TRANSMISSION!J27-[2]TRANSMISSION!J27</x:f>
        <x:v>184157.54601227026</x:v>
      </x:c>
      <x:c r="K28" s="4"/>
      <x:c r="L28" s="4">
        <x:f>[1]TRANSMISSION!L27-[2]TRANSMISSION!L27</x:f>
        <x:v>178265.95092024561</x:v>
      </x:c>
      <x:c r="N28" s="4">
        <x:f>[1]TRANSMISSION!N27-[2]TRANSMISSION!N27</x:f>
        <x:v>178265.95092024561</x:v>
      </x:c>
      <x:c r="O28" s="4"/>
      <x:c r="P28" s="4">
        <x:f>[1]TRANSMISSION!P27-[2]TRANSMISSION!P27</x:f>
        <x:v>168023.70552147226</x:v>
      </x:c>
      <x:c r="R28" s="4">
        <x:f>[1]TRANSMISSION!R27-[2]TRANSMISSION!R27</x:f>
        <x:v>168023.70552147226</x:v>
      </x:c>
      <x:c r="S28" s="4"/>
      <x:c r="T28" s="4">
        <x:f>[1]TRANSMISSION!T27-[2]TRANSMISSION!T27</x:f>
        <x:v>125328032.12269926</x:v>
      </x:c>
      <x:c r="V28" s="4">
        <x:f>[1]TRANSMISSION!V27-[2]TRANSMISSION!V27</x:f>
        <x:v>125328032.12269926</x:v>
      </x:c>
      <x:c r="X28" s="36">
        <x:f>[1]TRANSMISSION!X27-[2]TRANSMISSION!X27</x:f>
        <x:v>0</x:v>
      </x:c>
      <x:c r="Y28" s="36">
        <x:f>[1]TRANSMISSION!Y27-[2]TRANSMISSION!Y27</x:f>
        <x:v>0</x:v>
      </x:c>
      <x:c r="Z28" s="36">
        <x:f>[1]TRANSMISSION!Z27-[2]TRANSMISSION!Z27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[1]TRANSMISSION!D28-[2]TRANSMISSION!D28</x:f>
        <x:v>214888.09174311999</x:v>
      </x:c>
      <x:c r="E29" s="4"/>
      <x:c r="F29" s="4">
        <x:f>[1]TRANSMISSION!F28-[2]TRANSMISSION!F28</x:f>
        <x:v>214888.09174311999</x:v>
      </x:c>
      <x:c r="G29" s="4"/>
      <x:c r="H29" s="4">
        <x:f>[1]TRANSMISSION!H28-[2]TRANSMISSION!H28</x:f>
        <x:v>175582.73088685051</x:v>
      </x:c>
      <x:c r="I29" s="4"/>
      <x:c r="J29" s="4">
        <x:f>[1]TRANSMISSION!J28-[2]TRANSMISSION!J28</x:f>
        <x:v>175582.73088685051</x:v>
      </x:c>
      <x:c r="K29" s="4"/>
      <x:c r="L29" s="4">
        <x:f>[1]TRANSMISSION!L28-[2]TRANSMISSION!L28</x:f>
        <x:v>163208.04281345662</x:v>
      </x:c>
      <x:c r="N29" s="4">
        <x:f>[1]TRANSMISSION!N28-[2]TRANSMISSION!N28</x:f>
        <x:v>163208.04281345662</x:v>
      </x:c>
      <x:c r="O29" s="4"/>
      <x:c r="P29" s="4">
        <x:f>[1]TRANSMISSION!P28-[2]TRANSMISSION!P28</x:f>
        <x:v>124560.51376146823</x:v>
      </x:c>
      <x:c r="R29" s="4">
        <x:f>[1]TRANSMISSION!R28-[2]TRANSMISSION!R28</x:f>
        <x:v>124560.51376146823</x:v>
      </x:c>
      <x:c r="S29" s="4"/>
      <x:c r="T29" s="4">
        <x:f>[1]TRANSMISSION!T28-[2]TRANSMISSION!T28</x:f>
        <x:v>107392276.05504608</x:v>
      </x:c>
      <x:c r="V29" s="4">
        <x:f>[1]TRANSMISSION!V28-[2]TRANSMISSION!V28</x:f>
        <x:v>107392276.05504608</x:v>
      </x:c>
      <x:c r="X29" s="36">
        <x:f>[1]TRANSMISSION!X28-[2]TRANSMISSION!X28</x:f>
        <x:v>0</x:v>
      </x:c>
      <x:c r="Y29" s="36">
        <x:f>[1]TRANSMISSION!Y28-[2]TRANSMISSION!Y28</x:f>
        <x:v>0</x:v>
      </x:c>
      <x:c r="Z29" s="36">
        <x:f>[1]TRANSMISSION!Z28-[2]TRANSMISSION!Z28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[1]TRANSMISSION!D29-[2]TRANSMISSION!D29</x:f>
        <x:v>168551.3636363633</x:v>
      </x:c>
      <x:c r="E30" s="4"/>
      <x:c r="F30" s="4">
        <x:f>[1]TRANSMISSION!F29-[2]TRANSMISSION!F29</x:f>
        <x:v>168551.3636363633</x:v>
      </x:c>
      <x:c r="G30" s="4"/>
      <x:c r="H30" s="4">
        <x:f>[1]TRANSMISSION!H29-[2]TRANSMISSION!H29</x:f>
        <x:v>133442.8787878789</x:v>
      </x:c>
      <x:c r="I30" s="4"/>
      <x:c r="J30" s="4">
        <x:f>[1]TRANSMISSION!J29-[2]TRANSMISSION!J29</x:f>
        <x:v>133442.8787878789</x:v>
      </x:c>
      <x:c r="K30" s="4"/>
      <x:c r="L30" s="4">
        <x:f>[1]TRANSMISSION!L29-[2]TRANSMISSION!L29</x:f>
        <x:v>123519.96969696973</x:v>
      </x:c>
      <x:c r="N30" s="4">
        <x:f>[1]TRANSMISSION!N29-[2]TRANSMISSION!N29</x:f>
        <x:v>123519.96969696973</x:v>
      </x:c>
      <x:c r="O30" s="4"/>
      <x:c r="P30" s="4">
        <x:f>[1]TRANSMISSION!P29-[2]TRANSMISSION!P29</x:f>
        <x:v>94227.333333333023</x:v>
      </x:c>
      <x:c r="R30" s="4">
        <x:f>[1]TRANSMISSION!R29-[2]TRANSMISSION!R29</x:f>
        <x:v>94227.333333333023</x:v>
      </x:c>
      <x:c r="S30" s="4"/>
      <x:c r="T30" s="4">
        <x:f>[1]TRANSMISSION!T29-[2]TRANSMISSION!T29</x:f>
        <x:v>89202803.272727489</x:v>
      </x:c>
      <x:c r="V30" s="4">
        <x:f>[1]TRANSMISSION!V29-[2]TRANSMISSION!V29</x:f>
        <x:v>89202803.272727489</x:v>
      </x:c>
      <x:c r="X30" s="36">
        <x:f>[1]TRANSMISSION!X29-[2]TRANSMISSION!X29</x:f>
        <x:v>0</x:v>
      </x:c>
      <x:c r="Y30" s="36">
        <x:f>[1]TRANSMISSION!Y29-[2]TRANSMISSION!Y29</x:f>
        <x:v>0</x:v>
      </x:c>
      <x:c r="Z30" s="36">
        <x:f>[1]TRANSMISSION!Z29-[2]TRANSMISSION!Z29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[1]TRANSMISSION!D30-[2]TRANSMISSION!D30</x:f>
        <x:v>132351.63855421636</x:v>
      </x:c>
      <x:c r="E31" s="4"/>
      <x:c r="F31" s="4">
        <x:f>[1]TRANSMISSION!F30-[2]TRANSMISSION!F30</x:f>
        <x:v>132351.63855421636</x:v>
      </x:c>
      <x:c r="G31" s="4"/>
      <x:c r="H31" s="4">
        <x:f>[1]TRANSMISSION!H30-[2]TRANSMISSION!H30</x:f>
        <x:v>107008.81927710772</x:v>
      </x:c>
      <x:c r="I31" s="4"/>
      <x:c r="J31" s="4">
        <x:f>[1]TRANSMISSION!J30-[2]TRANSMISSION!J30</x:f>
        <x:v>107008.81927710772</x:v>
      </x:c>
      <x:c r="K31" s="4"/>
      <x:c r="L31" s="4">
        <x:f>[1]TRANSMISSION!L30-[2]TRANSMISSION!L30</x:f>
        <x:v>97179.662650601938</x:v>
      </x:c>
      <x:c r="N31" s="4">
        <x:f>[1]TRANSMISSION!N30-[2]TRANSMISSION!N30</x:f>
        <x:v>97179.662650601938</x:v>
      </x:c>
      <x:c r="O31" s="4"/>
      <x:c r="P31" s="4">
        <x:f>[1]TRANSMISSION!P30-[2]TRANSMISSION!P30</x:f>
        <x:v>77919.180722890887</x:v>
      </x:c>
      <x:c r="R31" s="4">
        <x:f>[1]TRANSMISSION!R30-[2]TRANSMISSION!R30</x:f>
        <x:v>77919.180722890887</x:v>
      </x:c>
      <x:c r="S31" s="4"/>
      <x:c r="T31" s="4">
        <x:f>[1]TRANSMISSION!T30-[2]TRANSMISSION!T30</x:f>
        <x:v>67381963.518072128</x:v>
      </x:c>
      <x:c r="V31" s="4">
        <x:f>[1]TRANSMISSION!V30-[2]TRANSMISSION!V30</x:f>
        <x:v>67381963.518072128</x:v>
      </x:c>
      <x:c r="X31" s="36">
        <x:f>[1]TRANSMISSION!X30-[2]TRANSMISSION!X30</x:f>
        <x:v>0</x:v>
      </x:c>
      <x:c r="Y31" s="36">
        <x:f>[1]TRANSMISSION!Y30-[2]TRANSMISSION!Y30</x:f>
        <x:v>0</x:v>
      </x:c>
      <x:c r="Z31" s="36">
        <x:f>[1]TRANSMISSION!Z30-[2]TRANSMISSION!Z30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[1]TRANSMISSION!D31-[2]TRANSMISSION!D31</x:f>
        <x:v>137015.56626505964</x:v>
      </x:c>
      <x:c r="E32" s="4"/>
      <x:c r="F32" s="4">
        <x:f>[1]TRANSMISSION!F31-[2]TRANSMISSION!F31</x:f>
        <x:v>137015.56626505964</x:v>
      </x:c>
      <x:c r="G32" s="4"/>
      <x:c r="H32" s="4">
        <x:f>[1]TRANSMISSION!H31-[2]TRANSMISSION!H31</x:f>
        <x:v>108803.80722891539</x:v>
      </x:c>
      <x:c r="I32" s="4"/>
      <x:c r="J32" s="4">
        <x:f>[1]TRANSMISSION!J31-[2]TRANSMISSION!J31</x:f>
        <x:v>108803.80722891539</x:v>
      </x:c>
      <x:c r="K32" s="4"/>
      <x:c r="L32" s="4">
        <x:f>[1]TRANSMISSION!L31-[2]TRANSMISSION!L31</x:f>
        <x:v>96165.39759036107</x:v>
      </x:c>
      <x:c r="N32" s="4">
        <x:f>[1]TRANSMISSION!N31-[2]TRANSMISSION!N31</x:f>
        <x:v>96165.39759036107</x:v>
      </x:c>
      <x:c r="O32" s="4"/>
      <x:c r="P32" s="4">
        <x:f>[1]TRANSMISSION!P31-[2]TRANSMISSION!P31</x:f>
        <x:v>96165.39759036107</x:v>
      </x:c>
      <x:c r="R32" s="4">
        <x:f>[1]TRANSMISSION!R31-[2]TRANSMISSION!R31</x:f>
        <x:v>96165.39759036107</x:v>
      </x:c>
      <x:c r="S32" s="4"/>
      <x:c r="T32" s="4">
        <x:f>[1]TRANSMISSION!T31-[2]TRANSMISSION!T31</x:f>
        <x:v>74047477.39759016</x:v>
      </x:c>
      <x:c r="V32" s="4">
        <x:f>[1]TRANSMISSION!V31-[2]TRANSMISSION!V31</x:f>
        <x:v>74047477.39759016</x:v>
      </x:c>
      <x:c r="X32" s="36">
        <x:f>[1]TRANSMISSION!X31-[2]TRANSMISSION!X31</x:f>
        <x:v>0</x:v>
      </x:c>
      <x:c r="Y32" s="36">
        <x:f>[1]TRANSMISSION!Y31-[2]TRANSMISSION!Y31</x:f>
        <x:v>0</x:v>
      </x:c>
      <x:c r="Z32" s="36">
        <x:f>[1]TRANSMISSION!Z31-[2]TRANSMISSION!Z31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[1]TRANSMISSION!D32-[2]TRANSMISSION!D32</x:f>
        <x:v>106449.66467065923</x:v>
      </x:c>
      <x:c r="E33" s="4"/>
      <x:c r="F33" s="4">
        <x:f>[1]TRANSMISSION!F32-[2]TRANSMISSION!F32</x:f>
        <x:v>106449.66467065923</x:v>
      </x:c>
      <x:c r="G33" s="4"/>
      <x:c r="H33" s="4">
        <x:f>[1]TRANSMISSION!H32-[2]TRANSMISSION!H32</x:f>
        <x:v>83438.353293413296</x:v>
      </x:c>
      <x:c r="I33" s="4"/>
      <x:c r="J33" s="4">
        <x:f>[1]TRANSMISSION!J32-[2]TRANSMISSION!J32</x:f>
        <x:v>83438.353293413296</x:v>
      </x:c>
      <x:c r="K33" s="4"/>
      <x:c r="L33" s="4">
        <x:f>[1]TRANSMISSION!L32-[2]TRANSMISSION!L32</x:f>
        <x:v>78779.658682635054</x:v>
      </x:c>
      <x:c r="N33" s="4">
        <x:f>[1]TRANSMISSION!N32-[2]TRANSMISSION!N32</x:f>
        <x:v>78779.658682635054</x:v>
      </x:c>
      <x:c r="O33" s="4"/>
      <x:c r="P33" s="4">
        <x:f>[1]TRANSMISSION!P32-[2]TRANSMISSION!P32</x:f>
        <x:v>80689.401197604835</x:v>
      </x:c>
      <x:c r="R33" s="4">
        <x:f>[1]TRANSMISSION!R32-[2]TRANSMISSION!R32</x:f>
        <x:v>80689.401197604835</x:v>
      </x:c>
      <x:c r="S33" s="4"/>
      <x:c r="T33" s="4">
        <x:f>[1]TRANSMISSION!T32-[2]TRANSMISSION!T32</x:f>
        <x:v>54780201.826347351</x:v>
      </x:c>
      <x:c r="V33" s="4">
        <x:f>[1]TRANSMISSION!V32-[2]TRANSMISSION!V32</x:f>
        <x:v>54780201.826347351</x:v>
      </x:c>
      <x:c r="X33" s="36">
        <x:f>[1]TRANSMISSION!X32-[2]TRANSMISSION!X32</x:f>
        <x:v>0</x:v>
      </x:c>
      <x:c r="Y33" s="36">
        <x:f>[1]TRANSMISSION!Y32-[2]TRANSMISSION!Y32</x:f>
        <x:v>0</x:v>
      </x:c>
      <x:c r="Z33" s="36">
        <x:f>[1]TRANSMISSION!Z32-[2]TRANSMISSION!Z32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[1]TRANSMISSION!D33-[2]TRANSMISSION!D33</x:f>
        <x:v>0</x:v>
      </x:c>
      <x:c r="E34" s="4"/>
      <x:c r="F34" s="4">
        <x:f>[1]TRANSMISSION!F33-[2]TRANSMISSION!F33</x:f>
        <x:v>0</x:v>
      </x:c>
      <x:c r="G34" s="4"/>
      <x:c r="H34" s="4">
        <x:f>[1]TRANSMISSION!H33-[2]TRANSMISSION!H33</x:f>
        <x:v>0</x:v>
      </x:c>
      <x:c r="I34" s="4"/>
      <x:c r="J34" s="4">
        <x:f>[1]TRANSMISSION!J33-[2]TRANSMISSION!J33</x:f>
        <x:v>0</x:v>
      </x:c>
      <x:c r="K34" s="4"/>
      <x:c r="L34" s="4">
        <x:f>[1]TRANSMISSION!L33-[2]TRANSMISSION!L33</x:f>
        <x:v>0</x:v>
      </x:c>
      <x:c r="N34" s="4">
        <x:f>[1]TRANSMISSION!N33-[2]TRANSMISSION!N33</x:f>
        <x:v>0</x:v>
      </x:c>
      <x:c r="O34" s="4"/>
      <x:c r="P34" s="4">
        <x:f>[1]TRANSMISSION!P33-[2]TRANSMISSION!P33</x:f>
        <x:v>0</x:v>
      </x:c>
      <x:c r="R34" s="4">
        <x:f>[1]TRANSMISSION!R33-[2]TRANSMISSION!R33</x:f>
        <x:v>0</x:v>
      </x:c>
      <x:c r="S34" s="4"/>
      <x:c r="T34" s="17">
        <x:f>[1]TRANSMISSION!T33-[2]TRANSMISSION!T33</x:f>
        <x:v>0</x:v>
      </x:c>
      <x:c r="V34" s="17">
        <x:f>[1]TRANSMISSION!V33-[2]TRANSMISSION!V33</x:f>
        <x:v>0</x:v>
      </x:c>
      <x:c r="X34" s="37">
        <x:f>[1]TRANSMISSION!X33-[2]TRANSMISSION!X33</x:f>
        <x:v>0</x:v>
      </x:c>
      <x:c r="Y34" s="37">
        <x:f>[1]TRANSMISSION!Y33-[2]TRANSMISSION!Y33</x:f>
        <x:v>0</x:v>
      </x:c>
      <x:c r="Z34" s="37">
        <x:f>[1]TRANSMISSION!Z33-[2]TRANSMISSION!Z33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1296886042.9747357</x:v>
      </x:c>
      <x:c r="U35" s="16"/>
      <x:c r="V35" s="16">
        <x:f>+SUM(V23:V34)</x:f>
        <x:v>1296886042.9747357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9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Z41"/>
  <x:sheetViews>
    <x:sheetView topLeftCell="A6" zoomScale="75" zoomScaleNormal="75" workbookViewId="0">
      <x:selection activeCell="A8" sqref="A8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7.7109375" style="4" customWidth="1"/>
    <x:col min="21" max="21" width="2.7109375" style="4" customWidth="1"/>
    <x:col min="22" max="22" width="17.7109375" style="4" customWidth="1"/>
    <x:col min="23" max="23" width="3.7109375" style="3" customWidth="1"/>
    <x:col min="24" max="24" width="9.85546875" style="3" customWidth="1"/>
    <x:col min="25" max="25" width="1.7109375" style="3" customWidth="1"/>
    <x:col min="26" max="26" width="10.2851562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97</x:v>
      </x:c>
    </x:row>
    <x:row r="3" spans="1:26" ht="18.75" customHeight="1" x14ac:dyDescent="0.3">
      <x:c r="D3" s="18"/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36</x:v>
      </x:c>
    </x:row>
    <x:row r="16" spans="1:26" ht="18.75" customHeight="1" x14ac:dyDescent="0.25">
      <x:c r="A16" s="3" t="s">
        <x:v>37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'[1]STREET LIGHTING'!D22-'[2]STREET LIGHTING'!D22</x:f>
        <x:v>-1366.0622712327458</x:v>
      </x:c>
      <x:c r="E23" s="4"/>
      <x:c r="F23" s="4">
        <x:f>'[1]STREET LIGHTING'!F22-'[2]STREET LIGHTING'!F22</x:f>
        <x:v>-1317.1989999999932</x:v>
      </x:c>
      <x:c r="G23" s="4"/>
      <x:c r="H23" s="4">
        <x:f>'[1]STREET LIGHTING'!H22-'[2]STREET LIGHTING'!H22</x:f>
        <x:v>-1366.0622712327458</x:v>
      </x:c>
      <x:c r="I23" s="4"/>
      <x:c r="J23" s="4">
        <x:f>'[1]STREET LIGHTING'!J22-'[2]STREET LIGHTING'!J22</x:f>
        <x:v>-1317.1989999999932</x:v>
      </x:c>
      <x:c r="K23" s="4"/>
      <x:c r="L23" s="4">
        <x:f>'[1]STREET LIGHTING'!L22-'[2]STREET LIGHTING'!L22</x:f>
        <x:v>-1366.0622712327458</x:v>
      </x:c>
      <x:c r="N23" s="4">
        <x:f>'[1]STREET LIGHTING'!N22-'[2]STREET LIGHTING'!N22</x:f>
        <x:v>-1317.1989999999932</x:v>
      </x:c>
      <x:c r="O23" s="4"/>
      <x:c r="P23" s="4">
        <x:f>'[1]STREET LIGHTING'!P22-'[2]STREET LIGHTING'!P22</x:f>
        <x:v>0</x:v>
      </x:c>
      <x:c r="R23" s="4">
        <x:f>'[1]STREET LIGHTING'!R22-'[2]STREET LIGHTING'!R22</x:f>
        <x:v>0</x:v>
      </x:c>
      <x:c r="S23" s="4"/>
      <x:c r="T23" s="4">
        <x:f>'[1]STREET LIGHTING'!T22-'[2]STREET LIGHTING'!T22</x:f>
        <x:v>-1020530.5949112363</x:v>
      </x:c>
      <x:c r="V23" s="4">
        <x:f>'[1]STREET LIGHTING'!V22-'[2]STREET LIGHTING'!V22</x:f>
        <x:v>-986041.33720479906</x:v>
      </x:c>
      <x:c r="X23" s="36">
        <x:f>'[1]STREET LIGHTING'!X22-'[2]STREET LIGHTING'!X22</x:f>
        <x:v>0</x:v>
      </x:c>
      <x:c r="Y23" s="36">
        <x:f>'[1]STREET LIGHTING'!Y22-'[2]STREET LIGHTING'!Y22</x:f>
        <x:v>0</x:v>
      </x:c>
      <x:c r="Z23" s="36">
        <x:f>'[1]STREET LIGHTING'!Z22-'[2]STREET LIGHTING'!Z22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'[1]STREET LIGHTING'!D23-'[2]STREET LIGHTING'!D23</x:f>
        <x:v>-1366.0622712327458</x:v>
      </x:c>
      <x:c r="E24" s="4"/>
      <x:c r="F24" s="4">
        <x:f>'[1]STREET LIGHTING'!F23-'[2]STREET LIGHTING'!F23</x:f>
        <x:v>-1317.1989999999932</x:v>
      </x:c>
      <x:c r="G24" s="4"/>
      <x:c r="H24" s="4">
        <x:f>'[1]STREET LIGHTING'!H23-'[2]STREET LIGHTING'!H23</x:f>
        <x:v>-1366.0622712327458</x:v>
      </x:c>
      <x:c r="I24" s="4"/>
      <x:c r="J24" s="4">
        <x:f>'[1]STREET LIGHTING'!J23-'[2]STREET LIGHTING'!J23</x:f>
        <x:v>-1317.1989999999932</x:v>
      </x:c>
      <x:c r="K24" s="4"/>
      <x:c r="L24" s="4">
        <x:f>'[1]STREET LIGHTING'!L23-'[2]STREET LIGHTING'!L23</x:f>
        <x:v>-1366.0622712327458</x:v>
      </x:c>
      <x:c r="N24" s="4">
        <x:f>'[1]STREET LIGHTING'!N23-'[2]STREET LIGHTING'!N23</x:f>
        <x:v>-1317.1989999999932</x:v>
      </x:c>
      <x:c r="O24" s="4"/>
      <x:c r="P24" s="4">
        <x:f>'[1]STREET LIGHTING'!P23-'[2]STREET LIGHTING'!P23</x:f>
        <x:v>-1366.0622712327458</x:v>
      </x:c>
      <x:c r="R24" s="4">
        <x:f>'[1]STREET LIGHTING'!R23-'[2]STREET LIGHTING'!R23</x:f>
        <x:v>-1317.1989999999932</x:v>
      </x:c>
      <x:c r="S24" s="4"/>
      <x:c r="T24" s="4">
        <x:f>'[1]STREET LIGHTING'!T23-'[2]STREET LIGHTING'!T23</x:f>
        <x:v>-862446.01962366328</x:v>
      </x:c>
      <x:c r="V24" s="4">
        <x:f>'[1]STREET LIGHTING'!V23-'[2]STREET LIGHTING'!V23</x:f>
        <x:v>-833299.296167247</x:v>
      </x:c>
      <x:c r="X24" s="36">
        <x:f>'[1]STREET LIGHTING'!X23-'[2]STREET LIGHTING'!X23</x:f>
        <x:v>0</x:v>
      </x:c>
      <x:c r="Y24" s="36">
        <x:f>'[1]STREET LIGHTING'!Y23-'[2]STREET LIGHTING'!Y23</x:f>
        <x:v>0</x:v>
      </x:c>
      <x:c r="Z24" s="36">
        <x:f>'[1]STREET LIGHTING'!Z23-'[2]STREET LIGHTING'!Z23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'[1]STREET LIGHTING'!D24-'[2]STREET LIGHTING'!D24</x:f>
        <x:v>-1366.0622712327458</x:v>
      </x:c>
      <x:c r="E25" s="4"/>
      <x:c r="F25" s="4">
        <x:f>'[1]STREET LIGHTING'!F24-'[2]STREET LIGHTING'!F24</x:f>
        <x:v>-1317.1989999999932</x:v>
      </x:c>
      <x:c r="G25" s="4"/>
      <x:c r="H25" s="4">
        <x:f>'[1]STREET LIGHTING'!H24-'[2]STREET LIGHTING'!H24</x:f>
        <x:v>-1366.0622712327458</x:v>
      </x:c>
      <x:c r="I25" s="4"/>
      <x:c r="J25" s="4">
        <x:f>'[1]STREET LIGHTING'!J24-'[2]STREET LIGHTING'!J24</x:f>
        <x:v>-1317.1989999999932</x:v>
      </x:c>
      <x:c r="K25" s="4"/>
      <x:c r="L25" s="4">
        <x:v>0</x:v>
      </x:c>
      <x:c r="N25" s="4">
        <x:v>0</x:v>
      </x:c>
      <x:c r="O25" s="4"/>
      <x:c r="P25" s="4">
        <x:v>0</x:v>
      </x:c>
      <x:c r="R25" s="4">
        <x:v>0</x:v>
      </x:c>
      <x:c r="S25" s="4"/>
      <x:c r="T25" s="4">
        <x:f>'[1]STREET LIGHTING'!T24-'[2]STREET LIGHTING'!T24</x:f>
        <x:v>-785796.86852800101</x:v>
      </x:c>
      <x:c r="V25" s="4">
        <x:f>'[1]STREET LIGHTING'!V24-'[2]STREET LIGHTING'!V24</x:f>
        <x:v>-759240.53514739126</x:v>
      </x:c>
      <x:c r="X25" s="36">
        <x:f>'[1]STREET LIGHTING'!X24-'[2]STREET LIGHTING'!X24</x:f>
        <x:v>0</x:v>
      </x:c>
      <x:c r="Y25" s="36">
        <x:f>'[1]STREET LIGHTING'!Y24-'[2]STREET LIGHTING'!Y24</x:f>
        <x:v>0</x:v>
      </x:c>
      <x:c r="Z25" s="36">
        <x:f>'[1]STREET LIGHTING'!Z24-'[2]STREET LIGHTING'!Z24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'[1]STREET LIGHTING'!D25-'[2]STREET LIGHTING'!D25</x:f>
        <x:v>-1366.0622712327458</x:v>
      </x:c>
      <x:c r="E26" s="4"/>
      <x:c r="F26" s="4">
        <x:f>'[1]STREET LIGHTING'!F25-'[2]STREET LIGHTING'!F25</x:f>
        <x:v>-1317.1989999999932</x:v>
      </x:c>
      <x:c r="G26" s="4"/>
      <x:c r="H26" s="4">
        <x:f>'[1]STREET LIGHTING'!H25-'[2]STREET LIGHTING'!H25</x:f>
        <x:v>-1366.0622712327458</x:v>
      </x:c>
      <x:c r="I26" s="4"/>
      <x:c r="J26" s="4">
        <x:f>'[1]STREET LIGHTING'!J25-'[2]STREET LIGHTING'!J25</x:f>
        <x:v>-1317.1989999999932</x:v>
      </x:c>
      <x:c r="K26" s="4"/>
      <x:c r="L26" s="4">
        <x:v>0</x:v>
      </x:c>
      <x:c r="N26" s="4">
        <x:v>0</x:v>
      </x:c>
      <x:c r="O26" s="4"/>
      <x:c r="P26" s="4">
        <x:v>0</x:v>
      </x:c>
      <x:c r="R26" s="4">
        <x:v>0</x:v>
      </x:c>
      <x:c r="S26" s="4"/>
      <x:c r="T26" s="4">
        <x:f>'[1]STREET LIGHTING'!T25-'[2]STREET LIGHTING'!T25</x:f>
        <x:v>-678278.53777755797</x:v>
      </x:c>
      <x:c r="V26" s="4">
        <x:f>'[1]STREET LIGHTING'!V25-'[2]STREET LIGHTING'!V25</x:f>
        <x:v>-655355.83129251748</x:v>
      </x:c>
      <x:c r="X26" s="36">
        <x:f>'[1]STREET LIGHTING'!X25-'[2]STREET LIGHTING'!X25</x:f>
        <x:v>0</x:v>
      </x:c>
      <x:c r="Y26" s="36">
        <x:f>'[1]STREET LIGHTING'!Y25-'[2]STREET LIGHTING'!Y25</x:f>
        <x:v>0</x:v>
      </x:c>
      <x:c r="Z26" s="36">
        <x:f>'[1]STREET LIGHTING'!Z25-'[2]STREET LIGHTING'!Z25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'[1]STREET LIGHTING'!D26-'[2]STREET LIGHTING'!D26</x:f>
        <x:v>-1366.0622712327458</x:v>
      </x:c>
      <x:c r="E27" s="4"/>
      <x:c r="F27" s="4">
        <x:f>'[1]STREET LIGHTING'!F26-'[2]STREET LIGHTING'!F26</x:f>
        <x:v>-1317.1989999999932</x:v>
      </x:c>
      <x:c r="G27" s="4"/>
      <x:c r="H27" s="4">
        <x:f>'[1]STREET LIGHTING'!H26-'[2]STREET LIGHTING'!H26</x:f>
        <x:v>-1366.0622712327458</x:v>
      </x:c>
      <x:c r="I27" s="4"/>
      <x:c r="J27" s="4">
        <x:f>'[1]STREET LIGHTING'!J26-'[2]STREET LIGHTING'!J26</x:f>
        <x:v>-1317.1989999999932</x:v>
      </x:c>
      <x:c r="K27" s="4"/>
      <x:c r="L27" s="4">
        <x:v>0</x:v>
      </x:c>
      <x:c r="N27" s="4">
        <x:v>0</x:v>
      </x:c>
      <x:c r="O27" s="4"/>
      <x:c r="P27" s="4">
        <x:v>0</x:v>
      </x:c>
      <x:c r="R27" s="4">
        <x:v>0</x:v>
      </x:c>
      <x:c r="S27" s="4"/>
      <x:c r="T27" s="4">
        <x:f>'[1]STREET LIGHTING'!T26-'[2]STREET LIGHTING'!T26</x:f>
        <x:v>-578234.22652129456</x:v>
      </x:c>
      <x:c r="V27" s="4">
        <x:f>'[1]STREET LIGHTING'!V26-'[2]STREET LIGHTING'!V26</x:f>
        <x:v>-558692.55932129174</x:v>
      </x:c>
      <x:c r="X27" s="36">
        <x:f>'[1]STREET LIGHTING'!X26-'[2]STREET LIGHTING'!X26</x:f>
        <x:v>0</x:v>
      </x:c>
      <x:c r="Y27" s="36">
        <x:f>'[1]STREET LIGHTING'!Y26-'[2]STREET LIGHTING'!Y26</x:f>
        <x:v>0</x:v>
      </x:c>
      <x:c r="Z27" s="36">
        <x:f>'[1]STREET LIGHTING'!Z26-'[2]STREET LIGHTING'!Z26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'[1]STREET LIGHTING'!D27-'[2]STREET LIGHTING'!D27</x:f>
        <x:v>-1366.0622712327458</x:v>
      </x:c>
      <x:c r="E28" s="4"/>
      <x:c r="F28" s="4">
        <x:f>'[1]STREET LIGHTING'!F27-'[2]STREET LIGHTING'!F27</x:f>
        <x:v>-1317.1989999999932</x:v>
      </x:c>
      <x:c r="G28" s="4"/>
      <x:c r="H28" s="4">
        <x:f>'[1]STREET LIGHTING'!H27-'[2]STREET LIGHTING'!H27</x:f>
        <x:v>-1366.0622712327458</x:v>
      </x:c>
      <x:c r="I28" s="4"/>
      <x:c r="J28" s="4">
        <x:f>'[1]STREET LIGHTING'!J27-'[2]STREET LIGHTING'!J27</x:f>
        <x:v>-1317.1989999999932</x:v>
      </x:c>
      <x:c r="K28" s="4"/>
      <x:c r="L28" s="4">
        <x:v>0</x:v>
      </x:c>
      <x:c r="N28" s="4">
        <x:v>0</x:v>
      </x:c>
      <x:c r="O28" s="4"/>
      <x:c r="P28" s="4">
        <x:v>0</x:v>
      </x:c>
      <x:c r="R28" s="4">
        <x:v>0</x:v>
      </x:c>
      <x:c r="S28" s="4"/>
      <x:c r="T28" s="4">
        <x:f>'[1]STREET LIGHTING'!T27-'[2]STREET LIGHTING'!T27</x:f>
        <x:v>-265209.14055114612</x:v>
      </x:c>
      <x:c r="V28" s="4">
        <x:f>'[1]STREET LIGHTING'!V27-'[2]STREET LIGHTING'!V27</x:f>
        <x:v>-256246.28687465563</x:v>
      </x:c>
      <x:c r="X28" s="36">
        <x:f>'[1]STREET LIGHTING'!X27-'[2]STREET LIGHTING'!X27</x:f>
        <x:v>0</x:v>
      </x:c>
      <x:c r="Y28" s="36">
        <x:f>'[1]STREET LIGHTING'!Y27-'[2]STREET LIGHTING'!Y27</x:f>
        <x:v>0</x:v>
      </x:c>
      <x:c r="Z28" s="36">
        <x:f>'[1]STREET LIGHTING'!Z27-'[2]STREET LIGHTING'!Z27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'[1]STREET LIGHTING'!D28-'[2]STREET LIGHTING'!D28</x:f>
        <x:v>-1366.0622712327458</x:v>
      </x:c>
      <x:c r="E29" s="4"/>
      <x:c r="F29" s="4">
        <x:f>'[1]STREET LIGHTING'!F28-'[2]STREET LIGHTING'!F28</x:f>
        <x:v>-1317.1989999999932</x:v>
      </x:c>
      <x:c r="G29" s="4"/>
      <x:c r="H29" s="4">
        <x:f>'[1]STREET LIGHTING'!H28-'[2]STREET LIGHTING'!H28</x:f>
        <x:v>-1366.0622712327458</x:v>
      </x:c>
      <x:c r="I29" s="4"/>
      <x:c r="J29" s="4">
        <x:f>'[1]STREET LIGHTING'!J28-'[2]STREET LIGHTING'!J28</x:f>
        <x:v>-1317.1989999999932</x:v>
      </x:c>
      <x:c r="K29" s="4"/>
      <x:c r="L29" s="4">
        <x:v>0</x:v>
      </x:c>
      <x:c r="N29" s="4">
        <x:v>0</x:v>
      </x:c>
      <x:c r="O29" s="4"/>
      <x:c r="P29" s="4">
        <x:v>0</x:v>
      </x:c>
      <x:c r="R29" s="4">
        <x:v>0</x:v>
      </x:c>
      <x:c r="S29" s="4"/>
      <x:c r="T29" s="4">
        <x:f>'[1]STREET LIGHTING'!T28-'[2]STREET LIGHTING'!T28</x:f>
        <x:v>-412911.7637911588</x:v>
      </x:c>
      <x:c r="V29" s="4">
        <x:f>'[1]STREET LIGHTING'!V28-'[2]STREET LIGHTING'!V28</x:f>
        <x:v>-398957.23827039078</x:v>
      </x:c>
      <x:c r="X29" s="36">
        <x:f>'[1]STREET LIGHTING'!X28-'[2]STREET LIGHTING'!X28</x:f>
        <x:v>0</x:v>
      </x:c>
      <x:c r="Y29" s="36">
        <x:f>'[1]STREET LIGHTING'!Y28-'[2]STREET LIGHTING'!Y28</x:f>
        <x:v>0</x:v>
      </x:c>
      <x:c r="Z29" s="36">
        <x:f>'[1]STREET LIGHTING'!Z28-'[2]STREET LIGHTING'!Z28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'[1]STREET LIGHTING'!D29-'[2]STREET LIGHTING'!D29</x:f>
        <x:v>-1366.0622712327458</x:v>
      </x:c>
      <x:c r="E30" s="4"/>
      <x:c r="F30" s="4">
        <x:f>'[1]STREET LIGHTING'!F29-'[2]STREET LIGHTING'!F29</x:f>
        <x:v>-1317.1989999999932</x:v>
      </x:c>
      <x:c r="G30" s="4"/>
      <x:c r="H30" s="4">
        <x:f>'[1]STREET LIGHTING'!H29-'[2]STREET LIGHTING'!H29</x:f>
        <x:v>-1366.0622712327458</x:v>
      </x:c>
      <x:c r="I30" s="4"/>
      <x:c r="J30" s="4">
        <x:f>'[1]STREET LIGHTING'!J29-'[2]STREET LIGHTING'!J29</x:f>
        <x:v>-1317.1989999999932</x:v>
      </x:c>
      <x:c r="K30" s="4"/>
      <x:c r="L30" s="4">
        <x:v>0</x:v>
      </x:c>
      <x:c r="N30" s="4">
        <x:v>0</x:v>
      </x:c>
      <x:c r="O30" s="4"/>
      <x:c r="P30" s="4">
        <x:v>0</x:v>
      </x:c>
      <x:c r="R30" s="4">
        <x:v>0</x:v>
      </x:c>
      <x:c r="S30" s="4"/>
      <x:c r="T30" s="4">
        <x:f>'[1]STREET LIGHTING'!T29-'[2]STREET LIGHTING'!T29</x:f>
        <x:v>-343782.80662483722</x:v>
      </x:c>
      <x:c r="V30" s="4">
        <x:f>'[1]STREET LIGHTING'!V29-'[2]STREET LIGHTING'!V29</x:f>
        <x:v>-332164.52308502793</x:v>
      </x:c>
      <x:c r="X30" s="36">
        <x:f>'[1]STREET LIGHTING'!X29-'[2]STREET LIGHTING'!X29</x:f>
        <x:v>0</x:v>
      </x:c>
      <x:c r="Y30" s="36">
        <x:f>'[1]STREET LIGHTING'!Y29-'[2]STREET LIGHTING'!Y29</x:f>
        <x:v>0</x:v>
      </x:c>
      <x:c r="Z30" s="36">
        <x:f>'[1]STREET LIGHTING'!Z29-'[2]STREET LIGHTING'!Z29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'[1]STREET LIGHTING'!D30-'[2]STREET LIGHTING'!D30</x:f>
        <x:v>-1366.0622712327458</x:v>
      </x:c>
      <x:c r="E31" s="4"/>
      <x:c r="F31" s="4">
        <x:f>'[1]STREET LIGHTING'!F30-'[2]STREET LIGHTING'!F30</x:f>
        <x:v>-1317.1989999999932</x:v>
      </x:c>
      <x:c r="G31" s="4"/>
      <x:c r="H31" s="4">
        <x:f>'[1]STREET LIGHTING'!H30-'[2]STREET LIGHTING'!H30</x:f>
        <x:v>-1366.0622712327458</x:v>
      </x:c>
      <x:c r="I31" s="4"/>
      <x:c r="J31" s="4">
        <x:f>'[1]STREET LIGHTING'!J30-'[2]STREET LIGHTING'!J30</x:f>
        <x:v>-1317.1989999999932</x:v>
      </x:c>
      <x:c r="K31" s="4"/>
      <x:c r="L31" s="4">
        <x:v>0</x:v>
      </x:c>
      <x:c r="N31" s="4">
        <x:v>0</x:v>
      </x:c>
      <x:c r="O31" s="4"/>
      <x:c r="P31" s="4">
        <x:v>0</x:v>
      </x:c>
      <x:c r="R31" s="4">
        <x:v>0</x:v>
      </x:c>
      <x:c r="S31" s="4"/>
      <x:c r="T31" s="4">
        <x:f>'[1]STREET LIGHTING'!T30-'[2]STREET LIGHTING'!T30</x:f>
        <x:v>-272509.9742943421</x:v>
      </x:c>
      <x:c r="V31" s="4">
        <x:f>'[1]STREET LIGHTING'!V30-'[2]STREET LIGHTING'!V30</x:f>
        <x:v>-263300.38589211553</x:v>
      </x:c>
      <x:c r="X31" s="36">
        <x:f>'[1]STREET LIGHTING'!X30-'[2]STREET LIGHTING'!X30</x:f>
        <x:v>0</x:v>
      </x:c>
      <x:c r="Y31" s="36">
        <x:f>'[1]STREET LIGHTING'!Y30-'[2]STREET LIGHTING'!Y30</x:f>
        <x:v>0</x:v>
      </x:c>
      <x:c r="Z31" s="36">
        <x:f>'[1]STREET LIGHTING'!Z30-'[2]STREET LIGHTING'!Z30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'[1]STREET LIGHTING'!D31-'[2]STREET LIGHTING'!D31</x:f>
        <x:v>-1366.0622712327458</x:v>
      </x:c>
      <x:c r="E32" s="4"/>
      <x:c r="F32" s="4">
        <x:f>'[1]STREET LIGHTING'!F31-'[2]STREET LIGHTING'!F31</x:f>
        <x:v>-1317.1989999999932</x:v>
      </x:c>
      <x:c r="G32" s="4"/>
      <x:c r="H32" s="4">
        <x:f>'[1]STREET LIGHTING'!H31-'[2]STREET LIGHTING'!H31</x:f>
        <x:v>-1366.0622712327458</x:v>
      </x:c>
      <x:c r="I32" s="4"/>
      <x:c r="J32" s="4">
        <x:f>'[1]STREET LIGHTING'!J31-'[2]STREET LIGHTING'!J31</x:f>
        <x:v>-1317.1989999999932</x:v>
      </x:c>
      <x:c r="K32" s="4"/>
      <x:c r="L32" s="4">
        <x:v>0</x:v>
      </x:c>
      <x:c r="N32" s="4">
        <x:v>0</x:v>
      </x:c>
      <x:c r="O32" s="4"/>
      <x:c r="P32" s="4">
        <x:v>0</x:v>
      </x:c>
      <x:c r="R32" s="4">
        <x:v>0</x:v>
      </x:c>
      <x:c r="S32" s="4"/>
      <x:c r="T32" s="4">
        <x:f>'[1]STREET LIGHTING'!T31-'[2]STREET LIGHTING'!T31</x:f>
        <x:v>-189409.2606430538</x:v>
      </x:c>
      <x:c r="V32" s="4">
        <x:f>'[1]STREET LIGHTING'!V31-'[2]STREET LIGHTING'!V31</x:f>
        <x:v>-183008.09556786716</x:v>
      </x:c>
      <x:c r="X32" s="36">
        <x:f>'[1]STREET LIGHTING'!X31-'[2]STREET LIGHTING'!X31</x:f>
        <x:v>0</x:v>
      </x:c>
      <x:c r="Y32" s="36">
        <x:f>'[1]STREET LIGHTING'!Y31-'[2]STREET LIGHTING'!Y31</x:f>
        <x:v>0</x:v>
      </x:c>
      <x:c r="Z32" s="36">
        <x:f>'[1]STREET LIGHTING'!Z31-'[2]STREET LIGHTING'!Z31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'[1]STREET LIGHTING'!D32-'[2]STREET LIGHTING'!D32</x:f>
        <x:v>-1366.0622712327458</x:v>
      </x:c>
      <x:c r="E33" s="4"/>
      <x:c r="F33" s="4">
        <x:f>'[1]STREET LIGHTING'!F32-'[2]STREET LIGHTING'!F32</x:f>
        <x:v>-1317.1989999999932</x:v>
      </x:c>
      <x:c r="G33" s="4"/>
      <x:c r="H33" s="4">
        <x:f>'[1]STREET LIGHTING'!H32-'[2]STREET LIGHTING'!H32</x:f>
        <x:v>-1366.0622712327458</x:v>
      </x:c>
      <x:c r="I33" s="4"/>
      <x:c r="J33" s="4">
        <x:f>'[1]STREET LIGHTING'!J32-'[2]STREET LIGHTING'!J32</x:f>
        <x:v>-1317.1989999999932</x:v>
      </x:c>
      <x:c r="K33" s="4"/>
      <x:c r="L33" s="4">
        <x:f>'[1]STREET LIGHTING'!L32-'[2]STREET LIGHTING'!L32</x:f>
        <x:v>0</x:v>
      </x:c>
      <x:c r="N33" s="4">
        <x:f>'[1]STREET LIGHTING'!N32-'[2]STREET LIGHTING'!N32</x:f>
        <x:v>0</x:v>
      </x:c>
      <x:c r="O33" s="4"/>
      <x:c r="P33" s="4">
        <x:v>0</x:v>
      </x:c>
      <x:c r="R33" s="4">
        <x:v>0</x:v>
      </x:c>
      <x:c r="S33" s="4"/>
      <x:c r="T33" s="4">
        <x:f>'[1]STREET LIGHTING'!T32-'[2]STREET LIGHTING'!T32</x:f>
        <x:v>-46358.958937902004</x:v>
      </x:c>
      <x:c r="V33" s="4">
        <x:f>'[1]STREET LIGHTING'!V32-'[2]STREET LIGHTING'!V32</x:f>
        <x:v>-44792.238557558507</x:v>
      </x:c>
      <x:c r="X33" s="36">
        <x:f>'[1]STREET LIGHTING'!X32-'[2]STREET LIGHTING'!X32</x:f>
        <x:v>0</x:v>
      </x:c>
      <x:c r="Y33" s="36">
        <x:f>'[1]STREET LIGHTING'!Y32-'[2]STREET LIGHTING'!Y32</x:f>
        <x:v>0</x:v>
      </x:c>
      <x:c r="Z33" s="36">
        <x:f>'[1]STREET LIGHTING'!Z32-'[2]STREET LIGHTING'!Z32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'[1]STREET LIGHTING'!D33-'[2]STREET LIGHTING'!D33</x:f>
        <x:v>-1366.0622712327458</x:v>
      </x:c>
      <x:c r="E34" s="4"/>
      <x:c r="F34" s="4">
        <x:f>'[1]STREET LIGHTING'!F33-'[2]STREET LIGHTING'!F33</x:f>
        <x:v>-1317.1989999999932</x:v>
      </x:c>
      <x:c r="G34" s="4"/>
      <x:c r="H34" s="4">
        <x:f>'[1]STREET LIGHTING'!H33-'[2]STREET LIGHTING'!H33</x:f>
        <x:v>-1366.0622712327458</x:v>
      </x:c>
      <x:c r="I34" s="4"/>
      <x:c r="J34" s="4">
        <x:f>'[1]STREET LIGHTING'!J33-'[2]STREET LIGHTING'!J33</x:f>
        <x:v>-1317.1989999999932</x:v>
      </x:c>
      <x:c r="K34" s="4"/>
      <x:c r="L34" s="4">
        <x:v>0</x:v>
      </x:c>
      <x:c r="N34" s="4">
        <x:v>0</x:v>
      </x:c>
      <x:c r="O34" s="4"/>
      <x:c r="P34" s="4">
        <x:v>0</x:v>
      </x:c>
      <x:c r="R34" s="4">
        <x:v>95090.160415556238</x:v>
      </x:c>
      <x:c r="S34" s="4"/>
      <x:c r="T34" s="17">
        <x:f>'[1]STREET LIGHTING'!T33-'[2]STREET LIGHTING'!T33</x:f>
        <x:v>0</x:v>
      </x:c>
      <x:c r="V34" s="17">
        <x:f>'[1]STREET LIGHTING'!V33-'[2]STREET LIGHTING'!V33</x:f>
        <x:v>0</x:v>
      </x:c>
      <x:c r="X34" s="36">
        <x:f>'[1]STREET LIGHTING'!X33-'[2]STREET LIGHTING'!X33</x:f>
        <x:v>0</x:v>
      </x:c>
      <x:c r="Y34" s="36">
        <x:f>'[1]STREET LIGHTING'!Y33-'[2]STREET LIGHTING'!Y33</x:f>
        <x:v>0</x:v>
      </x:c>
      <x:c r="Z34" s="36">
        <x:f>'[1]STREET LIGHTING'!Z33-'[2]STREET LIGHTING'!Z33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-5455468.1522041932</x:v>
      </x:c>
      <x:c r="U35" s="16"/>
      <x:c r="V35" s="16">
        <x:f>+SUM(V23:V34)</x:f>
        <x:v>-5271098.3273808621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</x:sheetData>
  <x:sortState xmlns:xlrd2="http://schemas.microsoft.com/office/spreadsheetml/2017/richdata2" ref="L118:L128">
    <x:sortCondition descending="1" ref="L118"/>
  </x:sortState>
  <x:pageMargins left="0.5" right="1" top="1.5" bottom="0.5" header="0.5" footer="0.5"/>
  <x:pageSetup scale="50" orientation="landscape" r:id="rId1"/>
  <x:headerFooter alignWithMargins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2"/>
  <x:sheetViews>
    <x:sheetView zoomScale="75" zoomScaleNormal="75" workbookViewId="0">
      <x:selection activeCell="A8" sqref="A8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7.7109375" style="4" customWidth="1"/>
    <x:col min="21" max="21" width="2.7109375" style="4" customWidth="1"/>
    <x:col min="22" max="22" width="17.7109375" style="4" customWidth="1"/>
    <x:col min="23" max="23" width="3.7109375" style="3" customWidth="1"/>
    <x:col min="24" max="24" width="11.5703125" style="3" customWidth="1"/>
    <x:col min="25" max="25" width="1.7109375" style="3" customWidth="1"/>
    <x:col min="26" max="26" width="11.4257812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98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47</x:v>
      </x:c>
    </x:row>
    <x:row r="16" spans="1:26" ht="18.75" customHeight="1" x14ac:dyDescent="0.25">
      <x:c r="A16" s="3" t="s">
        <x:v>41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'[1]WHOLESALE SUB '!D22-'[2]WHOLESALE SUB '!D22</x:f>
        <x:v>-11342.179387436059</x:v>
      </x:c>
      <x:c r="E23" s="4"/>
      <x:c r="F23" s="4">
        <x:f>'[1]WHOLESALE SUB '!F22-'[2]WHOLESALE SUB '!F22</x:f>
        <x:v>-11318.410724913745</x:v>
      </x:c>
      <x:c r="G23" s="4"/>
      <x:c r="H23" s="4">
        <x:f>'[1]WHOLESALE SUB '!H22-'[2]WHOLESALE SUB '!H22</x:f>
        <x:v>-9589.4923211573332</x:v>
      </x:c>
      <x:c r="I23" s="4"/>
      <x:c r="J23" s="4">
        <x:f>'[1]WHOLESALE SUB '!J22-'[2]WHOLESALE SUB '!J22</x:f>
        <x:v>-9569.396588321848</x:v>
      </x:c>
      <x:c r="K23" s="4"/>
      <x:c r="L23" s="4">
        <x:f>'[1]WHOLESALE SUB '!L22-'[2]WHOLESALE SUB '!L22</x:f>
        <x:v>-9059.2499531056819</x:v>
      </x:c>
      <x:c r="N23" s="4">
        <x:f>'[1]WHOLESALE SUB '!N22-'[2]WHOLESALE SUB '!N22</x:f>
        <x:v>-9040.2653957745497</x:v>
      </x:c>
      <x:c r="O23" s="4"/>
      <x:c r="P23" s="4">
        <x:f>'[1]WHOLESALE SUB '!P22-'[2]WHOLESALE SUB '!P22</x:f>
        <x:v>-9415.4705809584702</x:v>
      </x:c>
      <x:c r="R23" s="4">
        <x:f>'[1]WHOLESALE SUB '!R22-'[2]WHOLESALE SUB '!R22</x:f>
        <x:v>-9395.7395279497723</x:v>
      </x:c>
      <x:c r="S23" s="4"/>
      <x:c r="T23" s="4">
        <x:f>'[1]WHOLESALE SUB '!T22-'[2]WHOLESALE SUB '!T22</x:f>
        <x:v>-3536293.8233699985</x:v>
      </x:c>
      <x:c r="V23" s="4">
        <x:f>'[1]WHOLESALE SUB '!V22-'[2]WHOLESALE SUB '!V22</x:f>
        <x:v>-3521749</x:v>
      </x:c>
      <x:c r="X23" s="14">
        <x:f>'[1]WHOLESALE SUB '!X22-'[2]WHOLESALE SUB '!X22</x:f>
        <x:v>0</x:v>
      </x:c>
      <x:c r="Y23" s="14"/>
      <x:c r="Z23" s="14">
        <x:f>'[1]WHOLESALE SUB '!Z22-'[2]WHOLESALE SUB 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'[1]WHOLESALE SUB '!D23-'[2]WHOLESALE SUB '!D23</x:f>
        <x:v>-7355.1393097449763</x:v>
      </x:c>
      <x:c r="E24" s="4"/>
      <x:c r="F24" s="4">
        <x:f>'[1]WHOLESALE SUB '!F23-'[2]WHOLESALE SUB '!F23</x:f>
        <x:v>-7339.725885385662</x:v>
      </x:c>
      <x:c r="G24" s="4"/>
      <x:c r="H24" s="4">
        <x:f>'[1]WHOLESALE SUB '!H23-'[2]WHOLESALE SUB '!H23</x:f>
        <x:v>-5533.8280342120197</x:v>
      </x:c>
      <x:c r="I24" s="4"/>
      <x:c r="J24" s="4">
        <x:f>'[1]WHOLESALE SUB '!J23-'[2]WHOLESALE SUB '!J23</x:f>
        <x:v>-5522.2313483804246</x:v>
      </x:c>
      <x:c r="K24" s="4"/>
      <x:c r="L24" s="4">
        <x:f>'[1]WHOLESALE SUB '!L23-'[2]WHOLESALE SUB '!L23</x:f>
        <x:v>-4444.7646566837866</x:v>
      </x:c>
      <x:c r="N24" s="4">
        <x:f>'[1]WHOLESALE SUB '!N23-'[2]WHOLESALE SUB '!N23</x:f>
        <x:v>-4435.4502112401824</x:v>
      </x:c>
      <x:c r="O24" s="4"/>
      <x:c r="P24" s="4">
        <x:f>'[1]WHOLESALE SUB '!P23-'[2]WHOLESALE SUB '!P23</x:f>
        <x:v>-4444.7646566837866</x:v>
      </x:c>
      <x:c r="R24" s="4">
        <x:f>'[1]WHOLESALE SUB '!R23-'[2]WHOLESALE SUB '!R23</x:f>
        <x:v>-4435.4502112401824</x:v>
      </x:c>
      <x:c r="S24" s="4"/>
      <x:c r="T24" s="4">
        <x:f>'[1]WHOLESALE SUB '!T23-'[2]WHOLESALE SUB '!T23</x:f>
        <x:v>-1763635.8576599993</x:v>
      </x:c>
      <x:c r="V24" s="4">
        <x:f>'[1]WHOLESALE SUB '!V23-'[2]WHOLESALE SUB '!V23</x:f>
        <x:v>-1756382</x:v>
      </x:c>
      <x:c r="X24" s="14">
        <x:f>'[1]WHOLESALE SUB '!X23-'[2]WHOLESALE SUB '!X23</x:f>
        <x:v>0</x:v>
      </x:c>
      <x:c r="Y24" s="14"/>
      <x:c r="Z24" s="14">
        <x:f>'[1]WHOLESALE SUB '!Z23-'[2]WHOLESALE SUB 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'[1]WHOLESALE SUB '!D24-'[2]WHOLESALE SUB '!D24</x:f>
        <x:v>-5548.6150119119266</x:v>
      </x:c>
      <x:c r="E25" s="4"/>
      <x:c r="F25" s="4">
        <x:f>'[1]WHOLESALE SUB '!F24-'[2]WHOLESALE SUB '!F24</x:f>
        <x:v>-5536.9873385010724</x:v>
      </x:c>
      <x:c r="G25" s="4"/>
      <x:c r="H25" s="4">
        <x:f>'[1]WHOLESALE SUB '!H24-'[2]WHOLESALE SUB '!H24</x:f>
        <x:v>-3619.6689677574104</x:v>
      </x:c>
      <x:c r="I25" s="4"/>
      <x:c r="J25" s="4">
        <x:f>'[1]WHOLESALE SUB '!J24-'[2]WHOLESALE SUB '!J24</x:f>
        <x:v>-3612.0835922137558</x:v>
      </x:c>
      <x:c r="K25" s="4"/>
      <x:c r="L25" s="4">
        <x:f>'[1]WHOLESALE SUB '!L24-'[2]WHOLESALE SUB '!L24</x:f>
        <x:v>-2937.9248112153437</x:v>
      </x:c>
      <x:c r="N25" s="4">
        <x:f>'[1]WHOLESALE SUB '!N24-'[2]WHOLESALE SUB '!N24</x:f>
        <x:v>-2931.7680982091042</x:v>
      </x:c>
      <x:c r="O25" s="4"/>
      <x:c r="P25" s="4">
        <x:f>'[1]WHOLESALE SUB '!P24-'[2]WHOLESALE SUB '!P24</x:f>
        <x:v>-2421.9338623576732</x:v>
      </x:c>
      <x:c r="R25" s="4">
        <x:f>'[1]WHOLESALE SUB '!R24-'[2]WHOLESALE SUB '!R24</x:f>
        <x:v>-2416.8584595925313</x:v>
      </x:c>
      <x:c r="S25" s="4"/>
      <x:c r="T25" s="4">
        <x:f>'[1]WHOLESALE SUB '!T24-'[2]WHOLESALE SUB '!T24</x:f>
        <x:v>-1478588.4539100006</x:v>
      </x:c>
      <x:c r="V25" s="4">
        <x:f>'[1]WHOLESALE SUB '!V24-'[2]WHOLESALE SUB '!V24</x:f>
        <x:v>-1472507</x:v>
      </x:c>
      <x:c r="X25" s="14">
        <x:f>'[1]WHOLESALE SUB '!X24-'[2]WHOLESALE SUB '!X24</x:f>
        <x:v>0</x:v>
      </x:c>
      <x:c r="Y25" s="14"/>
      <x:c r="Z25" s="14">
        <x:f>'[1]WHOLESALE SUB '!Z24-'[2]WHOLESALE SUB 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'[1]WHOLESALE SUB '!D25-'[2]WHOLESALE SUB '!D25</x:f>
        <x:v>-5080.7677142475877</x:v>
      </x:c>
      <x:c r="E26" s="4"/>
      <x:c r="F26" s="4">
        <x:f>'[1]WHOLESALE SUB '!F25-'[2]WHOLESALE SUB '!F25</x:f>
        <x:v>-5070.1204612789006</x:v>
      </x:c>
      <x:c r="G26" s="4"/>
      <x:c r="H26" s="4">
        <x:f>'[1]WHOLESALE SUB '!H25-'[2]WHOLESALE SUB '!H25</x:f>
        <x:v>-3156.0950304084618</x:v>
      </x:c>
      <x:c r="I26" s="4"/>
      <x:c r="J26" s="4">
        <x:f>'[1]WHOLESALE SUB '!J25-'[2]WHOLESALE SUB '!J25</x:f>
        <x:v>-3149.4811200563418</x:v>
      </x:c>
      <x:c r="K26" s="4"/>
      <x:c r="L26" s="4">
        <x:f>'[1]WHOLESALE SUB '!L25-'[2]WHOLESALE SUB '!L25</x:f>
        <x:v>-3007.4456185547024</x:v>
      </x:c>
      <x:c r="N26" s="4">
        <x:f>'[1]WHOLESALE SUB '!N25-'[2]WHOLESALE SUB '!N25</x:f>
        <x:v>-3001.1432177973256</x:v>
      </x:c>
      <x:c r="O26" s="4"/>
      <x:c r="P26" s="4">
        <x:f>'[1]WHOLESALE SUB '!P25-'[2]WHOLESALE SUB '!P25</x:f>
        <x:v>-3007.4456185547024</x:v>
      </x:c>
      <x:c r="R26" s="4">
        <x:f>'[1]WHOLESALE SUB '!R25-'[2]WHOLESALE SUB '!R25</x:f>
        <x:v>-3001.1432177973256</x:v>
      </x:c>
      <x:c r="S26" s="4"/>
      <x:c r="T26" s="4">
        <x:f>'[1]WHOLESALE SUB '!T25-'[2]WHOLESALE SUB '!T25</x:f>
        <x:v>-1349493.4845899977</x:v>
      </x:c>
      <x:c r="V26" s="4">
        <x:f>'[1]WHOLESALE SUB '!V25-'[2]WHOLESALE SUB '!V25</x:f>
        <x:v>-1343943</x:v>
      </x:c>
      <x:c r="X26" s="14">
        <x:f>'[1]WHOLESALE SUB '!X25-'[2]WHOLESALE SUB '!X25</x:f>
        <x:v>0</x:v>
      </x:c>
      <x:c r="Y26" s="14"/>
      <x:c r="Z26" s="14">
        <x:f>'[1]WHOLESALE SUB '!Z25-'[2]WHOLESALE SUB 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'[1]WHOLESALE SUB '!D26-'[2]WHOLESALE SUB '!D26</x:f>
        <x:v>-6282.6944500146055</x:v>
      </x:c>
      <x:c r="E27" s="4"/>
      <x:c r="F27" s="4">
        <x:f>'[1]WHOLESALE SUB '!F26-'[2]WHOLESALE SUB '!F26</x:f>
        <x:v>-6269.5284402899997</x:v>
      </x:c>
      <x:c r="G27" s="4"/>
      <x:c r="H27" s="4">
        <x:f>'[1]WHOLESALE SUB '!H26-'[2]WHOLESALE SUB '!H26</x:f>
        <x:v>-4352.6538559253822</x:v>
      </x:c>
      <x:c r="I27" s="4"/>
      <x:c r="J27" s="4">
        <x:f>'[1]WHOLESALE SUB '!J26-'[2]WHOLESALE SUB '!J26</x:f>
        <x:v>-4343.5324378059886</x:v>
      </x:c>
      <x:c r="K27" s="4"/>
      <x:c r="L27" s="4">
        <x:f>'[1]WHOLESALE SUB '!L26-'[2]WHOLESALE SUB '!L26</x:f>
        <x:v>-4274.0179855591414</x:v>
      </x:c>
      <x:c r="N27" s="4">
        <x:f>'[1]WHOLESALE SUB '!N26-'[2]WHOLESALE SUB '!N26</x:f>
        <x:v>-4265.0613567100518</x:v>
      </x:c>
      <x:c r="O27" s="4"/>
      <x:c r="P27" s="4">
        <x:f>'[1]WHOLESALE SUB '!P26-'[2]WHOLESALE SUB '!P26</x:f>
        <x:v>-4331.1981275361031</x:v>
      </x:c>
      <x:c r="R27" s="4">
        <x:f>'[1]WHOLESALE SUB '!R26-'[2]WHOLESALE SUB '!R26</x:f>
        <x:v>-4322.1216720248485</x:v>
      </x:c>
      <x:c r="S27" s="4"/>
      <x:c r="T27" s="4">
        <x:f>'[1]WHOLESALE SUB '!T26-'[2]WHOLESALE SUB '!T26</x:f>
        <x:v>-1715967.7983000018</x:v>
      </x:c>
      <x:c r="V27" s="4">
        <x:f>'[1]WHOLESALE SUB '!V26-'[2]WHOLESALE SUB '!V26</x:f>
        <x:v>-1708910</x:v>
      </x:c>
      <x:c r="X27" s="14">
        <x:f>'[1]WHOLESALE SUB '!X26-'[2]WHOLESALE SUB '!X26</x:f>
        <x:v>0</x:v>
      </x:c>
      <x:c r="Y27" s="14"/>
      <x:c r="Z27" s="14">
        <x:f>'[1]WHOLESALE SUB '!Z26-'[2]WHOLESALE SUB 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'[1]WHOLESALE SUB '!D27-'[2]WHOLESALE SUB '!D27</x:f>
        <x:v>-7482.8157812425634</x:v>
      </x:c>
      <x:c r="E28" s="4"/>
      <x:c r="F28" s="4">
        <x:f>'[1]WHOLESALE SUB '!F27-'[2]WHOLESALE SUB '!F27</x:f>
        <x:v>-7467.1347981664148</x:v>
      </x:c>
      <x:c r="G28" s="4"/>
      <x:c r="H28" s="4">
        <x:f>'[1]WHOLESALE SUB '!H27-'[2]WHOLESALE SUB '!H27</x:f>
        <x:v>-5144.0604091084679</x:v>
      </x:c>
      <x:c r="I28" s="4"/>
      <x:c r="J28" s="4">
        <x:f>'[1]WHOLESALE SUB '!J27-'[2]WHOLESALE SUB '!J27</x:f>
        <x:v>-5133.2805200164294</x:v>
      </x:c>
      <x:c r="K28" s="4"/>
      <x:c r="L28" s="4">
        <x:f>'[1]WHOLESALE SUB '!L27-'[2]WHOLESALE SUB '!L27</x:f>
        <x:v>-4736.0794616124767</x:v>
      </x:c>
      <x:c r="N28" s="4">
        <x:f>'[1]WHOLESALE SUB '!N27-'[2]WHOLESALE SUB '!N27</x:f>
        <x:v>-4726.1545370845997</x:v>
      </x:c>
      <x:c r="O28" s="4"/>
      <x:c r="P28" s="4">
        <x:f>'[1]WHOLESALE SUB '!P27-'[2]WHOLESALE SUB '!P27</x:f>
        <x:v>-5139.5756017313979</x:v>
      </x:c>
      <x:c r="R28" s="4">
        <x:f>'[1]WHOLESALE SUB '!R27-'[2]WHOLESALE SUB '!R27</x:f>
        <x:v>-5128.8051109983062</x:v>
      </x:c>
      <x:c r="S28" s="4"/>
      <x:c r="T28" s="4">
        <x:f>'[1]WHOLESALE SUB '!T27-'[2]WHOLESALE SUB '!T27</x:f>
        <x:v>-2236894.376219999</x:v>
      </x:c>
      <x:c r="V28" s="4">
        <x:f>'[1]WHOLESALE SUB '!V27-'[2]WHOLESALE SUB '!V27</x:f>
        <x:v>-2227694</x:v>
      </x:c>
      <x:c r="X28" s="14">
        <x:f>'[1]WHOLESALE SUB '!X27-'[2]WHOLESALE SUB '!X27</x:f>
        <x:v>0</x:v>
      </x:c>
      <x:c r="Y28" s="14"/>
      <x:c r="Z28" s="14">
        <x:f>'[1]WHOLESALE SUB '!Z27-'[2]WHOLESALE SUB 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'[1]WHOLESALE SUB '!D28-'[2]WHOLESALE SUB '!D28</x:f>
        <x:v>-7267.7458364765334</x:v>
      </x:c>
      <x:c r="E29" s="4"/>
      <x:c r="F29" s="4">
        <x:f>'[1]WHOLESALE SUB '!F28-'[2]WHOLESALE SUB '!F28</x:f>
        <x:v>-7252.5155538135296</x:v>
      </x:c>
      <x:c r="G29" s="4"/>
      <x:c r="H29" s="4">
        <x:f>'[1]WHOLESALE SUB '!H28-'[2]WHOLESALE SUB '!H28</x:f>
        <x:v>-5276.9101148010523</x:v>
      </x:c>
      <x:c r="I29" s="4"/>
      <x:c r="J29" s="4">
        <x:f>'[1]WHOLESALE SUB '!J28-'[2]WHOLESALE SUB '!J28</x:f>
        <x:v>-5265.8518259665143</x:v>
      </x:c>
      <x:c r="K29" s="4"/>
      <x:c r="L29" s="4">
        <x:f>'[1]WHOLESALE SUB '!L28-'[2]WHOLESALE SUB '!L28</x:f>
        <x:v>-5002.1530497123604</x:v>
      </x:c>
      <x:c r="N29" s="4">
        <x:f>'[1]WHOLESALE SUB '!N28-'[2]WHOLESALE SUB '!N28</x:f>
        <x:v>-4991.6705415750475</x:v>
      </x:c>
      <x:c r="O29" s="4"/>
      <x:c r="P29" s="4">
        <x:f>'[1]WHOLESALE SUB '!P28-'[2]WHOLESALE SUB '!P28</x:f>
        <x:v>-5216.3156232518668</x:v>
      </x:c>
      <x:c r="R29" s="4">
        <x:f>'[1]WHOLESALE SUB '!R28-'[2]WHOLESALE SUB '!R28</x:f>
        <x:v>-5205.3843161878613</x:v>
      </x:c>
      <x:c r="S29" s="4"/>
      <x:c r="T29" s="4">
        <x:f>'[1]WHOLESALE SUB '!T28-'[2]WHOLESALE SUB '!T28</x:f>
        <x:v>-2408181.884010002</x:v>
      </x:c>
      <x:c r="V29" s="4">
        <x:f>'[1]WHOLESALE SUB '!V28-'[2]WHOLESALE SUB '!V28</x:f>
        <x:v>-2398277</x:v>
      </x:c>
      <x:c r="X29" s="14">
        <x:f>'[1]WHOLESALE SUB '!X28-'[2]WHOLESALE SUB '!X28</x:f>
        <x:v>0</x:v>
      </x:c>
      <x:c r="Y29" s="14"/>
      <x:c r="Z29" s="14">
        <x:f>'[1]WHOLESALE SUB '!Z28-'[2]WHOLESALE SUB 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'[1]WHOLESALE SUB '!D29-'[2]WHOLESALE SUB '!D29</x:f>
        <x:v>-7591.509597191558</x:v>
      </x:c>
      <x:c r="E30" s="4"/>
      <x:c r="F30" s="4">
        <x:f>'[1]WHOLESALE SUB '!F29-'[2]WHOLESALE SUB '!F29</x:f>
        <x:v>-7575.6008354371297</x:v>
      </x:c>
      <x:c r="G30" s="4"/>
      <x:c r="H30" s="4">
        <x:f>'[1]WHOLESALE SUB '!H29-'[2]WHOLESALE SUB '!H29</x:f>
        <x:v>-5596.1192079866159</x:v>
      </x:c>
      <x:c r="I30" s="4"/>
      <x:c r="J30" s="4">
        <x:f>'[1]WHOLESALE SUB '!J29-'[2]WHOLESALE SUB '!J29</x:f>
        <x:v>-5584.3919848185033</x:v>
      </x:c>
      <x:c r="K30" s="4"/>
      <x:c r="L30" s="4">
        <x:f>'[1]WHOLESALE SUB '!L29-'[2]WHOLESALE SUB '!L29</x:f>
        <x:v>-4993.1904057454958</x:v>
      </x:c>
      <x:c r="N30" s="4">
        <x:f>'[1]WHOLESALE SUB '!N29-'[2]WHOLESALE SUB '!N29</x:f>
        <x:v>-4982.7266797180782</x:v>
      </x:c>
      <x:c r="O30" s="4"/>
      <x:c r="P30" s="4">
        <x:f>'[1]WHOLESALE SUB '!P29-'[2]WHOLESALE SUB '!P29</x:f>
        <x:v>-5263.7314955886104</x:v>
      </x:c>
      <x:c r="R30" s="4">
        <x:f>'[1]WHOLESALE SUB '!R29-'[2]WHOLESALE SUB '!R29</x:f>
        <x:v>-5252.7008238585113</x:v>
      </x:c>
      <x:c r="S30" s="4"/>
      <x:c r="T30" s="4">
        <x:f>'[1]WHOLESALE SUB '!T29-'[2]WHOLESALE SUB '!T29</x:f>
        <x:v>-2660105.0473200008</x:v>
      </x:c>
      <x:c r="V30" s="4">
        <x:f>'[1]WHOLESALE SUB '!V29-'[2]WHOLESALE SUB '!V29</x:f>
        <x:v>-2649164</x:v>
      </x:c>
      <x:c r="X30" s="14">
        <x:f>'[1]WHOLESALE SUB '!X29-'[2]WHOLESALE SUB '!X29</x:f>
        <x:v>0</x:v>
      </x:c>
      <x:c r="Y30" s="14"/>
      <x:c r="Z30" s="14">
        <x:f>'[1]WHOLESALE SUB '!Z29-'[2]WHOLESALE SUB 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'[1]WHOLESALE SUB '!D30-'[2]WHOLESALE SUB '!D30</x:f>
        <x:v>-6133.9871344972198</x:v>
      </x:c>
      <x:c r="E31" s="4"/>
      <x:c r="F31" s="4">
        <x:f>'[1]WHOLESALE SUB '!F30-'[2]WHOLESALE SUB '!F30</x:f>
        <x:v>-6121.1327557102341</x:v>
      </x:c>
      <x:c r="G31" s="4"/>
      <x:c r="H31" s="4">
        <x:f>'[1]WHOLESALE SUB '!H30-'[2]WHOLESALE SUB '!H30</x:f>
        <x:v>-4727.1048076775332</x:v>
      </x:c>
      <x:c r="I31" s="4"/>
      <x:c r="J31" s="4">
        <x:f>'[1]WHOLESALE SUB '!J30-'[2]WHOLESALE SUB '!J30</x:f>
        <x:v>-4717.1986904276418</x:v>
      </x:c>
      <x:c r="K31" s="4"/>
      <x:c r="L31" s="4">
        <x:f>'[1]WHOLESALE SUB '!L30-'[2]WHOLESALE SUB '!L30</x:f>
        <x:v>-4363.3155875291632</x:v>
      </x:c>
      <x:c r="N31" s="4">
        <x:f>'[1]WHOLESALE SUB '!N30-'[2]WHOLESALE SUB '!N30</x:f>
        <x:v>-4354.1718266931057</x:v>
      </x:c>
      <x:c r="O31" s="4"/>
      <x:c r="P31" s="4">
        <x:f>'[1]WHOLESALE SUB '!P30-'[2]WHOLESALE SUB '!P30</x:f>
        <x:v>-4671.4481891854884</x:v>
      </x:c>
      <x:c r="R31" s="4">
        <x:f>'[1]WHOLESALE SUB '!R30-'[2]WHOLESALE SUB '!R30</x:f>
        <x:v>-4661.6587059030862</x:v>
      </x:c>
      <x:c r="S31" s="4"/>
      <x:c r="T31" s="4">
        <x:f>'[1]WHOLESALE SUB '!T30-'[2]WHOLESALE SUB '!T30</x:f>
        <x:v>-1847367.2459699996</x:v>
      </x:c>
      <x:c r="V31" s="4">
        <x:f>'[1]WHOLESALE SUB '!V30-'[2]WHOLESALE SUB '!V30</x:f>
        <x:v>-1839769</x:v>
      </x:c>
      <x:c r="X31" s="14">
        <x:f>'[1]WHOLESALE SUB '!X30-'[2]WHOLESALE SUB '!X30</x:f>
        <x:v>0</x:v>
      </x:c>
      <x:c r="Y31" s="14"/>
      <x:c r="Z31" s="14">
        <x:f>'[1]WHOLESALE SUB '!Z30-'[2]WHOLESALE SUB 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'[1]WHOLESALE SUB '!D31-'[2]WHOLESALE SUB '!D31</x:f>
        <x:v>-4957.1746075715782</x:v>
      </x:c>
      <x:c r="E32" s="4"/>
      <x:c r="F32" s="4">
        <x:f>'[1]WHOLESALE SUB '!F31-'[2]WHOLESALE SUB '!F31</x:f>
        <x:v>-4946.7863562235143</x:v>
      </x:c>
      <x:c r="G32" s="4"/>
      <x:c r="H32" s="4">
        <x:f>'[1]WHOLESALE SUB '!H31-'[2]WHOLESALE SUB '!H31</x:f>
        <x:v>-3879.884436179098</x:v>
      </x:c>
      <x:c r="I32" s="4"/>
      <x:c r="J32" s="4">
        <x:f>'[1]WHOLESALE SUB '!J31-'[2]WHOLESALE SUB '!J31</x:f>
        <x:v>-3871.7537532971764</x:v>
      </x:c>
      <x:c r="K32" s="4"/>
      <x:c r="L32" s="4">
        <x:f>'[1]WHOLESALE SUB '!L31-'[2]WHOLESALE SUB '!L31</x:f>
        <x:v>-3879.8907773204919</x:v>
      </x:c>
      <x:c r="N32" s="4">
        <x:f>'[1]WHOLESALE SUB '!N31-'[2]WHOLESALE SUB '!N31</x:f>
        <x:v>-3871.7600811500815</x:v>
      </x:c>
      <x:c r="O32" s="4"/>
      <x:c r="P32" s="4">
        <x:f>'[1]WHOLESALE SUB '!P31-'[2]WHOLESALE SUB '!P31</x:f>
        <x:v>-3879.8907773204919</x:v>
      </x:c>
      <x:c r="R32" s="4">
        <x:f>'[1]WHOLESALE SUB '!R31-'[2]WHOLESALE SUB '!R31</x:f>
        <x:v>-3871.7600811500815</x:v>
      </x:c>
      <x:c r="S32" s="4"/>
      <x:c r="T32" s="4">
        <x:f>'[1]WHOLESALE SUB '!T31-'[2]WHOLESALE SUB '!T31</x:f>
        <x:v>-1568004.2221499979</x:v>
      </x:c>
      <x:c r="V32" s="4">
        <x:f>'[1]WHOLESALE SUB '!V31-'[2]WHOLESALE SUB '!V31</x:f>
        <x:v>-1561555</x:v>
      </x:c>
      <x:c r="X32" s="14">
        <x:f>'[1]WHOLESALE SUB '!X31-'[2]WHOLESALE SUB '!X31</x:f>
        <x:v>0</x:v>
      </x:c>
      <x:c r="Y32" s="14"/>
      <x:c r="Z32" s="14">
        <x:f>'[1]WHOLESALE SUB '!Z31-'[2]WHOLESALE SUB 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'[1]WHOLESALE SUB '!D32-'[2]WHOLESALE SUB '!D32</x:f>
        <x:v>-2848.1966320431966</x:v>
      </x:c>
      <x:c r="E33" s="4"/>
      <x:c r="F33" s="4">
        <x:f>'[1]WHOLESALE SUB '!F32-'[2]WHOLESALE SUB '!F32</x:f>
        <x:v>-2842.2279533411929</x:v>
      </x:c>
      <x:c r="G33" s="4"/>
      <x:c r="H33" s="4">
        <x:f>'[1]WHOLESALE SUB '!H32-'[2]WHOLESALE SUB '!H32</x:f>
        <x:v>-1871.4838028019076</x:v>
      </x:c>
      <x:c r="I33" s="4"/>
      <x:c r="J33" s="4">
        <x:f>'[1]WHOLESALE SUB '!J32-'[2]WHOLESALE SUB '!J32</x:f>
        <x:v>-1867.5619227641</x:v>
      </x:c>
      <x:c r="K33" s="4"/>
      <x:c r="L33" s="4">
        <x:f>'[1]WHOLESALE SUB '!L32-'[2]WHOLESALE SUB '!L32</x:f>
        <x:v>-1642.2877346295427</x:v>
      </x:c>
      <x:c r="N33" s="4">
        <x:f>'[1]WHOLESALE SUB '!N32-'[2]WHOLESALE SUB '!N32</x:f>
        <x:v>-1638.8461576983755</x:v>
      </x:c>
      <x:c r="O33" s="4"/>
      <x:c r="P33" s="4">
        <x:f>'[1]WHOLESALE SUB '!P32-'[2]WHOLESALE SUB '!P32</x:f>
        <x:v>-1614.4333240227134</x:v>
      </x:c>
      <x:c r="R33" s="4">
        <x:f>'[1]WHOLESALE SUB '!R32-'[2]WHOLESALE SUB '!R32</x:f>
        <x:v>-1611.050118773288</x:v>
      </x:c>
      <x:c r="S33" s="4"/>
      <x:c r="T33" s="4">
        <x:f>'[1]WHOLESALE SUB '!T32-'[2]WHOLESALE SUB '!T32</x:f>
        <x:v>-845696.96281800047</x:v>
      </x:c>
      <x:c r="V33" s="4">
        <x:f>'[1]WHOLESALE SUB '!V32-'[2]WHOLESALE SUB '!V32</x:f>
        <x:v>-842218.60000000149</x:v>
      </x:c>
      <x:c r="X33" s="14">
        <x:f>'[1]WHOLESALE SUB '!X32-'[2]WHOLESALE SUB '!X32</x:f>
        <x:v>0</x:v>
      </x:c>
      <x:c r="Y33" s="14"/>
      <x:c r="Z33" s="14">
        <x:f>'[1]WHOLESALE SUB '!Z32-'[2]WHOLESALE SUB 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'[1]WHOLESALE SUB '!D33-'[2]WHOLESALE SUB '!D33</x:f>
        <x:v>0</x:v>
      </x:c>
      <x:c r="E34" s="4"/>
      <x:c r="F34" s="4">
        <x:f>'[1]WHOLESALE SUB '!F33-'[2]WHOLESALE SUB '!F33</x:f>
        <x:v>0</x:v>
      </x:c>
      <x:c r="G34" s="4"/>
      <x:c r="H34" s="4">
        <x:f>'[1]WHOLESALE SUB '!H33-'[2]WHOLESALE SUB '!H33</x:f>
        <x:v>0</x:v>
      </x:c>
      <x:c r="I34" s="4"/>
      <x:c r="J34" s="4">
        <x:f>'[1]WHOLESALE SUB '!J33-'[2]WHOLESALE SUB '!J33</x:f>
        <x:v>0</x:v>
      </x:c>
      <x:c r="K34" s="4"/>
      <x:c r="L34" s="4">
        <x:f>'[1]WHOLESALE SUB '!L33-'[2]WHOLESALE SUB '!L33</x:f>
        <x:v>0</x:v>
      </x:c>
      <x:c r="N34" s="4">
        <x:f>'[1]WHOLESALE SUB '!N33-'[2]WHOLESALE SUB '!N33</x:f>
        <x:v>0</x:v>
      </x:c>
      <x:c r="O34" s="4"/>
      <x:c r="P34" s="4">
        <x:f>'[1]WHOLESALE SUB '!P33-'[2]WHOLESALE SUB '!P33</x:f>
        <x:v>0</x:v>
      </x:c>
      <x:c r="R34" s="4">
        <x:f>'[1]WHOLESALE SUB '!R33-'[2]WHOLESALE SUB '!R33</x:f>
        <x:v>0</x:v>
      </x:c>
      <x:c r="S34" s="4"/>
      <x:c r="T34" s="17">
        <x:f>'[1]WHOLESALE SUB '!T33-'[2]WHOLESALE SUB '!T33</x:f>
        <x:v>0</x:v>
      </x:c>
      <x:c r="V34" s="17">
        <x:f>'[1]WHOLESALE SUB '!V33-'[2]WHOLESALE SUB '!V33</x:f>
        <x:v>0</x:v>
      </x:c>
      <x:c r="X34" s="14">
        <x:f>'[1]WHOLESALE SUB '!X33-'[2]WHOLESALE SUB '!X33</x:f>
        <x:v>0</x:v>
      </x:c>
      <x:c r="Y34" s="14"/>
      <x:c r="Z34" s="14">
        <x:f>'[1]WHOLESALE SUB '!Z33-'[2]WHOLESALE SUB 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-21410229.156317998</x:v>
      </x:c>
      <x:c r="U35" s="16"/>
      <x:c r="V35" s="16">
        <x:f>+SUM(V23:V34)</x:f>
        <x:v>-21322168.600000001</x:v>
      </x:c>
    </x:row>
    <x:row r="36" spans="1:26" ht="18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  <x:row r="42" spans="1:26" ht="15" customHeight="1" x14ac:dyDescent="0.25">
      <x:c r="A42" s="5"/>
      <x:c r="E42" s="4"/>
      <x:c r="G42" s="4"/>
      <x:c r="I42" s="4"/>
      <x:c r="K42" s="4"/>
      <x:c r="O42" s="4"/>
      <x:c r="S42" s="4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41"/>
  <x:sheetViews>
    <x:sheetView tabSelected="1" zoomScale="75" zoomScaleNormal="75" workbookViewId="0">
      <x:selection activeCell="AB10" sqref="AB10"/>
    </x:sheetView>
  </x:sheetViews>
  <x:sheetFormatPr defaultColWidth="9.140625" defaultRowHeight="18.75" customHeight="1" x14ac:dyDescent="0.25"/>
  <x:cols>
    <x:col min="1" max="1" width="4.7109375" style="3" customWidth="1"/>
    <x:col min="2" max="3" width="7.7109375" style="3" customWidth="1"/>
    <x:col min="4" max="4" width="20.5703125" style="4" customWidth="1"/>
    <x:col min="5" max="5" width="2.7109375" style="3" customWidth="1"/>
    <x:col min="6" max="6" width="20.85546875" style="4" customWidth="1"/>
    <x:col min="7" max="7" width="5.7109375" style="3" customWidth="1"/>
    <x:col min="8" max="8" width="13.85546875" style="4" customWidth="1"/>
    <x:col min="9" max="9" width="2.7109375" style="3" customWidth="1"/>
    <x:col min="10" max="10" width="14.85546875" style="4" customWidth="1"/>
    <x:col min="11" max="11" width="5.7109375" style="3" customWidth="1"/>
    <x:col min="12" max="12" width="12.7109375" style="4" customWidth="1"/>
    <x:col min="13" max="13" width="2.7109375" style="4" customWidth="1"/>
    <x:col min="14" max="14" width="13.28515625" style="4" customWidth="1"/>
    <x:col min="15" max="15" width="5.7109375" style="3" customWidth="1"/>
    <x:col min="16" max="16" width="12.7109375" style="4" customWidth="1"/>
    <x:col min="17" max="17" width="2.7109375" style="4" customWidth="1"/>
    <x:col min="18" max="18" width="13.85546875" style="4" customWidth="1"/>
    <x:col min="19" max="19" width="5.7109375" style="3" customWidth="1"/>
    <x:col min="20" max="20" width="17.7109375" style="4" customWidth="1"/>
    <x:col min="21" max="21" width="2.7109375" style="4" customWidth="1"/>
    <x:col min="22" max="22" width="17.7109375" style="4" customWidth="1"/>
    <x:col min="23" max="23" width="3.7109375" style="3" customWidth="1"/>
    <x:col min="24" max="24" width="10.28515625" style="3" customWidth="1"/>
    <x:col min="25" max="25" width="1.7109375" style="3" customWidth="1"/>
    <x:col min="26" max="26" width="9.7109375" style="3" customWidth="1"/>
    <x:col min="27" max="16384" width="9.140625" style="3"/>
  </x:cols>
  <x:sheetData>
    <x:row r="1" spans="1:26" ht="18.75" customHeight="1" x14ac:dyDescent="0.25">
      <x:c r="A1" s="7"/>
      <x:c r="V1" s="3" t="s">
        <x:v>77</x:v>
      </x:c>
    </x:row>
    <x:row r="2" spans="1:26" ht="18.75" customHeight="1" x14ac:dyDescent="0.25">
      <x:c r="V2" s="3" t="s">
        <x:v>99</x:v>
      </x:c>
    </x:row>
    <x:row r="7" spans="1:26" ht="18.75" customHeight="1" x14ac:dyDescent="0.25">
      <x:c r="A7" s="21" t="s">
        <x:v>123</x:v>
      </x:c>
      <x:c r="B7" s="9"/>
      <x:c r="C7" s="9"/>
      <x:c r="D7" s="9"/>
      <x:c r="E7" s="9"/>
      <x:c r="F7" s="10"/>
      <x:c r="G7" s="9"/>
      <x:c r="H7" s="9"/>
      <x:c r="I7" s="9"/>
      <x:c r="J7" s="10"/>
      <x:c r="K7" s="9"/>
      <x:c r="L7" s="9"/>
      <x:c r="M7" s="9"/>
      <x:c r="N7" s="8"/>
      <x:c r="O7" s="10"/>
      <x:c r="P7" s="9"/>
      <x:c r="Q7" s="9"/>
      <x:c r="R7" s="10"/>
      <x:c r="S7" s="9"/>
      <x:c r="T7" s="9"/>
      <x:c r="U7" s="9"/>
      <x:c r="V7" s="9"/>
      <x:c r="W7" s="9"/>
      <x:c r="X7" s="9"/>
      <x:c r="Y7" s="9"/>
      <x:c r="Z7" s="9"/>
    </x:row>
    <x:row r="8" spans="1:26" ht="18" customHeight="1" x14ac:dyDescent="0.25">
      <x:c r="A8" s="8" t="s">
        <x:v>42</x:v>
      </x:c>
      <x:c r="B8" s="9"/>
      <x:c r="C8" s="9"/>
      <x:c r="D8" s="9"/>
      <x:c r="E8" s="9"/>
      <x:c r="F8" s="10"/>
      <x:c r="G8" s="9"/>
      <x:c r="H8" s="9"/>
      <x:c r="I8" s="9"/>
      <x:c r="J8" s="10"/>
      <x:c r="K8" s="9"/>
      <x:c r="L8" s="10"/>
      <x:c r="M8" s="10"/>
      <x:c r="N8" s="8"/>
      <x:c r="O8" s="11"/>
      <x:c r="P8" s="9"/>
      <x:c r="Q8" s="9"/>
      <x:c r="R8" s="11"/>
      <x:c r="S8" s="8"/>
      <x:c r="T8" s="9"/>
      <x:c r="U8" s="9"/>
      <x:c r="V8" s="9"/>
      <x:c r="W8" s="9"/>
      <x:c r="X8" s="9"/>
      <x:c r="Y8" s="9"/>
      <x:c r="Z8" s="9"/>
    </x:row>
    <x:row r="9" spans="1:26" ht="18" customHeight="1" x14ac:dyDescent="0.25">
      <x:c r="A9" s="8" t="s">
        <x:v>100</x:v>
      </x:c>
      <x:c r="B9" s="9"/>
      <x:c r="C9" s="9"/>
      <x:c r="D9" s="9"/>
      <x:c r="E9" s="9"/>
      <x:c r="F9" s="10"/>
      <x:c r="G9" s="8"/>
      <x:c r="H9" s="9"/>
      <x:c r="I9" s="9"/>
      <x:c r="J9" s="10"/>
      <x:c r="K9" s="8"/>
      <x:c r="L9" s="8"/>
      <x:c r="M9" s="10"/>
      <x:c r="N9" s="10"/>
      <x:c r="O9" s="10"/>
      <x:c r="P9" s="9"/>
      <x:c r="Q9" s="8"/>
      <x:c r="R9" s="11"/>
      <x:c r="S9" s="8"/>
      <x:c r="T9" s="9"/>
      <x:c r="U9" s="9"/>
      <x:c r="V9" s="9"/>
      <x:c r="W9" s="9"/>
      <x:c r="X9" s="9"/>
      <x:c r="Y9" s="9"/>
      <x:c r="Z9" s="9"/>
    </x:row>
    <x:row r="10" spans="1:26" ht="18" customHeight="1" x14ac:dyDescent="0.25">
      <x:c r="A10" s="8" t="s">
        <x:v>109</x:v>
      </x:c>
      <x:c r="B10" s="9"/>
      <x:c r="C10" s="9"/>
      <x:c r="D10" s="9"/>
      <x:c r="E10" s="9"/>
      <x:c r="F10" s="9"/>
      <x:c r="G10" s="8"/>
      <x:c r="H10" s="9"/>
      <x:c r="I10" s="9"/>
      <x:c r="J10" s="9"/>
      <x:c r="K10" s="8"/>
      <x:c r="L10" s="11"/>
      <x:c r="M10" s="10"/>
      <x:c r="N10" s="10"/>
      <x:c r="O10" s="10"/>
      <x:c r="P10" s="9"/>
      <x:c r="Q10" s="8"/>
      <x:c r="R10" s="11"/>
      <x:c r="S10" s="8"/>
      <x:c r="T10" s="9"/>
      <x:c r="U10" s="9"/>
      <x:c r="V10" s="9"/>
      <x:c r="W10" s="9"/>
      <x:c r="X10" s="9"/>
      <x:c r="Y10" s="9"/>
      <x:c r="Z10" s="9"/>
    </x:row>
    <x:row r="11" spans="1:26" ht="18" customHeight="1" x14ac:dyDescent="0.25">
      <x:c r="A11" s="9"/>
      <x:c r="B11" s="9"/>
      <x:c r="C11" s="9"/>
      <x:c r="D11" s="9"/>
      <x:c r="E11" s="9"/>
      <x:c r="F11" s="10"/>
      <x:c r="G11" s="9"/>
      <x:c r="H11" s="9"/>
      <x:c r="I11" s="9"/>
      <x:c r="J11" s="10"/>
      <x:c r="K11" s="9"/>
      <x:c r="L11" s="10"/>
      <x:c r="M11" s="10"/>
      <x:c r="N11" s="10"/>
      <x:c r="O11" s="10"/>
      <x:c r="P11" s="9"/>
      <x:c r="Q11" s="9"/>
      <x:c r="R11" s="10"/>
      <x:c r="S11" s="9"/>
      <x:c r="T11" s="9"/>
      <x:c r="U11" s="9"/>
      <x:c r="V11" s="9"/>
      <x:c r="W11" s="9"/>
      <x:c r="X11" s="9"/>
      <x:c r="Y11" s="9"/>
      <x:c r="Z11" s="9"/>
    </x:row>
    <x:row r="12" spans="1:26" ht="18.75" customHeight="1" x14ac:dyDescent="0.25">
      <x:c r="A12" s="8" t="s">
        <x:v>45</x:v>
      </x:c>
      <x:c r="B12" s="9"/>
      <x:c r="C12" s="9"/>
      <x:c r="D12" s="9"/>
      <x:c r="E12" s="9"/>
      <x:c r="F12" s="10"/>
      <x:c r="G12" s="9"/>
      <x:c r="H12" s="9"/>
      <x:c r="I12" s="9"/>
      <x:c r="J12" s="10"/>
      <x:c r="K12" s="9"/>
      <x:c r="L12" s="11"/>
      <x:c r="M12" s="10"/>
      <x:c r="N12" s="11"/>
      <x:c r="O12" s="11"/>
      <x:c r="P12" s="9"/>
      <x:c r="Q12" s="9"/>
      <x:c r="R12" s="10"/>
      <x:c r="S12" s="9"/>
      <x:c r="T12" s="9"/>
      <x:c r="U12" s="9"/>
      <x:c r="V12" s="9"/>
      <x:c r="W12" s="9"/>
      <x:c r="X12" s="9"/>
      <x:c r="Y12" s="9"/>
      <x:c r="Z12" s="9"/>
    </x:row>
    <x:row r="13" spans="1:26" ht="18.75" customHeight="1" x14ac:dyDescent="0.25">
      <x:c r="A13" s="9"/>
      <x:c r="B13" s="9"/>
      <x:c r="C13" s="9"/>
      <x:c r="D13" s="9"/>
      <x:c r="E13" s="9"/>
      <x:c r="F13" s="10"/>
      <x:c r="G13" s="9"/>
      <x:c r="H13" s="9"/>
      <x:c r="I13" s="9"/>
      <x:c r="J13" s="10"/>
      <x:c r="K13" s="9"/>
      <x:c r="L13" s="9"/>
      <x:c r="M13" s="10"/>
      <x:c r="N13" s="9"/>
      <x:c r="O13" s="11"/>
      <x:c r="P13" s="9"/>
      <x:c r="Q13" s="9"/>
      <x:c r="R13" s="10"/>
      <x:c r="S13" s="9"/>
      <x:c r="T13" s="9"/>
      <x:c r="U13" s="9"/>
      <x:c r="V13" s="9"/>
      <x:c r="W13" s="9"/>
      <x:c r="X13" s="9"/>
      <x:c r="Y13" s="9"/>
      <x:c r="Z13" s="9"/>
    </x:row>
    <x:row r="14" spans="1:26" ht="18.75" customHeight="1" x14ac:dyDescent="0.25">
      <x:c r="A14" s="32" t="s">
        <x:v>89</x:v>
      </x:c>
      <x:c r="B14" s="9"/>
      <x:c r="C14" s="9"/>
      <x:c r="D14" s="9"/>
      <x:c r="E14" s="9"/>
      <x:c r="F14" s="10"/>
      <x:c r="G14" s="9"/>
      <x:c r="H14" s="9"/>
      <x:c r="I14" s="9"/>
      <x:c r="J14" s="10"/>
      <x:c r="K14" s="9"/>
      <x:c r="L14" s="9"/>
      <x:c r="M14" s="10"/>
      <x:c r="N14" s="9"/>
      <x:c r="O14" s="11"/>
      <x:c r="P14" s="9"/>
      <x:c r="Q14" s="9"/>
      <x:c r="R14" s="10"/>
      <x:c r="S14" s="9"/>
      <x:c r="T14" s="9"/>
      <x:c r="U14" s="9"/>
      <x:c r="V14" s="9"/>
      <x:c r="W14" s="9"/>
      <x:c r="X14" s="9"/>
      <x:c r="Y14" s="9"/>
      <x:c r="Z14" s="9"/>
    </x:row>
    <x:row r="15" spans="1:26" ht="18.75" customHeight="1" x14ac:dyDescent="0.25">
      <x:c r="A15" s="3" t="s">
        <x:v>46</x:v>
      </x:c>
    </x:row>
    <x:row r="16" spans="1:26" ht="18.75" customHeight="1" x14ac:dyDescent="0.25">
      <x:c r="A16" s="3" t="s">
        <x:v>41</x:v>
      </x:c>
    </x:row>
    <x:row r="17" spans="1:26" ht="15" customHeight="1" x14ac:dyDescent="0.25"/>
    <x:row r="18" spans="1:26" s="5" customFormat="1" ht="18.75" customHeight="1" x14ac:dyDescent="0.25">
      <x:c r="D18" s="5" t="s">
        <x:v>48</x:v>
      </x:c>
      <x:c r="F18" s="5" t="s">
        <x:v>49</x:v>
      </x:c>
      <x:c r="H18" s="5" t="s">
        <x:v>38</x:v>
      </x:c>
      <x:c r="J18" s="5" t="s">
        <x:v>54</x:v>
      </x:c>
      <x:c r="L18" s="5" t="s">
        <x:v>39</x:v>
      </x:c>
      <x:c r="N18" s="5" t="s">
        <x:v>40</x:v>
      </x:c>
      <x:c r="P18" s="5" t="s">
        <x:v>55</x:v>
      </x:c>
      <x:c r="R18" s="5" t="s">
        <x:v>56</x:v>
      </x:c>
      <x:c r="T18" s="5" t="s">
        <x:v>57</x:v>
      </x:c>
      <x:c r="V18" s="5" t="s">
        <x:v>58</x:v>
      </x:c>
      <x:c r="X18" s="5" t="s">
        <x:v>61</x:v>
      </x:c>
      <x:c r="Z18" s="5" t="s">
        <x:v>62</x:v>
      </x:c>
    </x:row>
    <x:row r="19" spans="1:26" s="5" customFormat="1" ht="18.75" customHeight="1" x14ac:dyDescent="0.25">
      <x:c r="D19" s="5" t="s">
        <x:v>50</x:v>
      </x:c>
      <x:c r="F19" s="5" t="s">
        <x:v>50</x:v>
      </x:c>
    </x:row>
    <x:row r="20" spans="1:26" ht="18.75" customHeight="1" x14ac:dyDescent="0.25">
      <x:c r="A20" s="3" t="s">
        <x:v>2</x:v>
      </x:c>
      <x:c r="D20" s="4" t="s">
        <x:v>52</x:v>
      </x:c>
      <x:c r="F20" s="4" t="s">
        <x:v>52</x:v>
      </x:c>
      <x:c r="H20" s="4" t="s">
        <x:v>6</x:v>
      </x:c>
      <x:c r="I20" s="4"/>
      <x:c r="J20" s="4" t="s">
        <x:v>60</x:v>
      </x:c>
      <x:c r="L20" s="4" t="s">
        <x:v>4</x:v>
      </x:c>
      <x:c r="M20" s="3" t="s">
        <x:v>5</x:v>
      </x:c>
      <x:c r="N20" s="4" t="s">
        <x:v>4</x:v>
      </x:c>
      <x:c r="P20" s="4" t="s">
        <x:v>3</x:v>
      </x:c>
      <x:c r="R20" s="4" t="s">
        <x:v>3</x:v>
      </x:c>
      <x:c r="T20" s="4" t="s">
        <x:v>7</x:v>
      </x:c>
      <x:c r="V20" s="4" t="s">
        <x:v>8</x:v>
      </x:c>
      <x:c r="X20" s="3" t="s">
        <x:v>64</x:v>
      </x:c>
    </x:row>
    <x:row r="21" spans="1:26" ht="18.75" customHeight="1" x14ac:dyDescent="0.25">
      <x:c r="A21" s="12" t="s">
        <x:v>9</x:v>
      </x:c>
      <x:c r="B21" s="12" t="s">
        <x:v>10</x:v>
      </x:c>
      <x:c r="D21" s="6" t="s">
        <x:v>51</x:v>
      </x:c>
      <x:c r="F21" s="6" t="s">
        <x:v>53</x:v>
      </x:c>
      <x:c r="H21" s="6" t="s">
        <x:v>11</x:v>
      </x:c>
      <x:c r="I21" s="4"/>
      <x:c r="J21" s="6" t="s">
        <x:v>12</x:v>
      </x:c>
      <x:c r="L21" s="6" t="s">
        <x:v>11</x:v>
      </x:c>
      <x:c r="M21" s="3"/>
      <x:c r="N21" s="6" t="s">
        <x:v>12</x:v>
      </x:c>
      <x:c r="P21" s="6" t="s">
        <x:v>11</x:v>
      </x:c>
      <x:c r="R21" s="6" t="s">
        <x:v>12</x:v>
      </x:c>
      <x:c r="T21" s="6" t="s">
        <x:v>13</x:v>
      </x:c>
      <x:c r="V21" s="6" t="s">
        <x:v>14</x:v>
      </x:c>
      <x:c r="X21" s="13" t="s">
        <x:v>15</x:v>
      </x:c>
      <x:c r="Z21" s="13" t="s">
        <x:v>63</x:v>
      </x:c>
    </x:row>
    <x:row r="22" spans="1:26" ht="18.75" customHeight="1" x14ac:dyDescent="0.25">
      <x:c r="M22" s="3"/>
      <x:c r="X22" s="14"/>
      <x:c r="Y22" s="14"/>
      <x:c r="Z22" s="14"/>
    </x:row>
    <x:row r="23" spans="1:26" ht="24.95" customHeight="1" x14ac:dyDescent="0.25">
      <x:c r="A23" s="15">
        <x:v>1</x:v>
      </x:c>
      <x:c r="B23" s="15" t="s">
        <x:v>16</x:v>
      </x:c>
      <x:c r="D23" s="4">
        <x:f>'[1]WHOLESALE DLS'!D22-'[2]WHOLESALE DLS'!D22</x:f>
        <x:v>-16448.910566705512</x:v>
      </x:c>
      <x:c r="E23" s="4"/>
      <x:c r="F23" s="4">
        <x:f>'[1]WHOLESALE DLS'!F22-'[2]WHOLESALE DLS'!F22</x:f>
        <x:v>-16178.716345049528</x:v>
      </x:c>
      <x:c r="G23" s="4"/>
      <x:c r="H23" s="4">
        <x:f>'[1]WHOLESALE DLS'!H22-'[2]WHOLESALE DLS'!H22</x:f>
        <x:v>-12462.57927504032</x:v>
      </x:c>
      <x:c r="I23" s="4"/>
      <x:c r="J23" s="4">
        <x:f>'[1]WHOLESALE DLS'!J22-'[2]WHOLESALE DLS'!J22</x:f>
        <x:v>-12257.865601548692</x:v>
      </x:c>
      <x:c r="K23" s="4"/>
      <x:c r="L23" s="4">
        <x:f>'[1]WHOLESALE DLS'!L22-'[2]WHOLESALE DLS'!L22</x:f>
        <x:v>-11208.39200796299</x:v>
      </x:c>
      <x:c r="N23" s="4">
        <x:f>'[1]WHOLESALE DLS'!N22-'[2]WHOLESALE DLS'!N22</x:f>
        <x:v>-11024.279951281453</x:v>
      </x:c>
      <x:c r="O23" s="4"/>
      <x:c r="P23" s="4">
        <x:f>'[1]WHOLESALE DLS'!P22-'[2]WHOLESALE DLS'!P22</x:f>
        <x:v>-12422.466844906899</x:v>
      </x:c>
      <x:c r="R23" s="4">
        <x:f>'[1]WHOLESALE DLS'!R22-'[2]WHOLESALE DLS'!R22</x:f>
        <x:v>-12218.412068963196</x:v>
      </x:c>
      <x:c r="S23" s="4"/>
      <x:c r="T23" s="4">
        <x:f>'[1]WHOLESALE DLS'!T22-'[2]WHOLESALE DLS'!T22</x:f>
        <x:v>-4522143.0551962107</x:v>
      </x:c>
      <x:c r="V23" s="4">
        <x:f>'[1]WHOLESALE DLS'!V22-'[2]WHOLESALE DLS'!V22</x:f>
        <x:v>-4468111.2982727289</x:v>
      </x:c>
      <x:c r="X23" s="36">
        <x:f>'[1]WHOLESALE DLS'!X22-'[2]WHOLESALE DLS'!X22</x:f>
        <x:v>0</x:v>
      </x:c>
      <x:c r="Y23" s="36">
        <x:f>'[1]WHOLESALE DLS'!Y22-'[2]WHOLESALE DLS'!Y22</x:f>
        <x:v>0</x:v>
      </x:c>
      <x:c r="Z23" s="36">
        <x:f>'[1]WHOLESALE DLS'!Z22-'[2]WHOLESALE DLS'!Z22</x:f>
        <x:v>0</x:v>
      </x:c>
    </x:row>
    <x:row r="24" spans="1:26" ht="24.95" customHeight="1" x14ac:dyDescent="0.25">
      <x:c r="A24" s="15">
        <x:v>2</x:v>
      </x:c>
      <x:c r="B24" s="15" t="s">
        <x:v>17</x:v>
      </x:c>
      <x:c r="D24" s="4">
        <x:f>'[1]WHOLESALE DLS'!D23-'[2]WHOLESALE DLS'!D23</x:f>
        <x:v>-10249.652480478995</x:v>
      </x:c>
      <x:c r="E24" s="4"/>
      <x:c r="F24" s="4">
        <x:f>'[1]WHOLESALE DLS'!F23-'[2]WHOLESALE DLS'!F23</x:f>
        <x:v>-10081.288936706507</x:v>
      </x:c>
      <x:c r="G24" s="4"/>
      <x:c r="H24" s="4">
        <x:f>'[1]WHOLESALE DLS'!H23-'[2]WHOLESALE DLS'!H23</x:f>
        <x:v>-6649.3100173476996</x:v>
      </x:c>
      <x:c r="I24" s="4"/>
      <x:c r="J24" s="4">
        <x:f>'[1]WHOLESALE DLS'!J23-'[2]WHOLESALE DLS'!J23</x:f>
        <x:v>-6540.0866656004364</x:v>
      </x:c>
      <x:c r="K24" s="4"/>
      <x:c r="L24" s="4">
        <x:f>'[1]WHOLESALE DLS'!L23-'[2]WHOLESALE DLS'!L23</x:f>
        <x:v>-5762.5049033122195</x:v>
      </x:c>
      <x:c r="N24" s="4">
        <x:f>'[1]WHOLESALE DLS'!N23-'[2]WHOLESALE DLS'!N23</x:f>
        <x:v>-5667.8484504836233</x:v>
      </x:c>
      <x:c r="O24" s="4"/>
      <x:c r="P24" s="4">
        <x:f>'[1]WHOLESALE DLS'!P23-'[2]WHOLESALE DLS'!P23</x:f>
        <x:v>-5762.5049033122195</x:v>
      </x:c>
      <x:c r="R24" s="4">
        <x:f>'[1]WHOLESALE DLS'!R23-'[2]WHOLESALE DLS'!R23</x:f>
        <x:v>-5667.8484504836233</x:v>
      </x:c>
      <x:c r="S24" s="4"/>
      <x:c r="T24" s="4">
        <x:f>'[1]WHOLESALE DLS'!T23-'[2]WHOLESALE DLS'!T23</x:f>
        <x:v>-2218286.6737531014</x:v>
      </x:c>
      <x:c r="V24" s="4">
        <x:f>'[1]WHOLESALE DLS'!V23-'[2]WHOLESALE DLS'!V23</x:f>
        <x:v>-2191782</x:v>
      </x:c>
      <x:c r="X24" s="36">
        <x:f>'[1]WHOLESALE DLS'!X23-'[2]WHOLESALE DLS'!X23</x:f>
        <x:v>0</x:v>
      </x:c>
      <x:c r="Y24" s="36">
        <x:f>'[1]WHOLESALE DLS'!Y23-'[2]WHOLESALE DLS'!Y23</x:f>
        <x:v>0</x:v>
      </x:c>
      <x:c r="Z24" s="36">
        <x:f>'[1]WHOLESALE DLS'!Z23-'[2]WHOLESALE DLS'!Z23</x:f>
        <x:v>0</x:v>
      </x:c>
    </x:row>
    <x:row r="25" spans="1:26" ht="24.95" customHeight="1" x14ac:dyDescent="0.25">
      <x:c r="A25" s="15">
        <x:v>3</x:v>
      </x:c>
      <x:c r="B25" s="15" t="s">
        <x:v>18</x:v>
      </x:c>
      <x:c r="D25" s="4">
        <x:f>'[1]WHOLESALE DLS'!D24-'[2]WHOLESALE DLS'!D24</x:f>
        <x:v>-6694.7998534387152</x:v>
      </x:c>
      <x:c r="E25" s="4"/>
      <x:c r="F25" s="4">
        <x:f>'[1]WHOLESALE DLS'!F24-'[2]WHOLESALE DLS'!F24</x:f>
        <x:v>-6584.8292734293645</x:v>
      </x:c>
      <x:c r="G25" s="4"/>
      <x:c r="H25" s="4">
        <x:f>'[1]WHOLESALE DLS'!H24-'[2]WHOLESALE DLS'!H24</x:f>
        <x:v>-4169.6802251203844</x:v>
      </x:c>
      <x:c r="I25" s="4"/>
      <x:c r="J25" s="4">
        <x:f>'[1]WHOLESALE DLS'!J24-'[2]WHOLESALE DLS'!J24</x:f>
        <x:v>-4101.1879381441759</x:v>
      </x:c>
      <x:c r="K25" s="4"/>
      <x:c r="L25" s="4">
        <x:f>'[1]WHOLESALE DLS'!L24-'[2]WHOLESALE DLS'!L24</x:f>
        <x:v>-3470.4953583992028</x:v>
      </x:c>
      <x:c r="N25" s="4">
        <x:f>'[1]WHOLESALE DLS'!N24-'[2]WHOLESALE DLS'!N24</x:f>
        <x:v>-3413.4880697814733</x:v>
      </x:c>
      <x:c r="O25" s="4"/>
      <x:c r="P25" s="4">
        <x:f>'[1]WHOLESALE DLS'!P24-'[2]WHOLESALE DLS'!P24</x:f>
        <x:v>-2596.5062784646434</x:v>
      </x:c>
      <x:c r="R25" s="4">
        <x:f>'[1]WHOLESALE DLS'!R24-'[2]WHOLESALE DLS'!R24</x:f>
        <x:v>-2553.8553691482157</x:v>
      </x:c>
      <x:c r="S25" s="4"/>
      <x:c r="T25" s="4">
        <x:f>'[1]WHOLESALE DLS'!T24-'[2]WHOLESALE DLS'!T24</x:f>
        <x:v>-1706055.3995023519</x:v>
      </x:c>
      <x:c r="V25" s="4">
        <x:f>'[1]WHOLESALE DLS'!V24-'[2]WHOLESALE DLS'!V24</x:f>
        <x:v>-1685671</x:v>
      </x:c>
      <x:c r="X25" s="36">
        <x:f>'[1]WHOLESALE DLS'!X24-'[2]WHOLESALE DLS'!X24</x:f>
        <x:v>0</x:v>
      </x:c>
      <x:c r="Y25" s="36">
        <x:f>'[1]WHOLESALE DLS'!Y24-'[2]WHOLESALE DLS'!Y24</x:f>
        <x:v>0</x:v>
      </x:c>
      <x:c r="Z25" s="36">
        <x:f>'[1]WHOLESALE DLS'!Z24-'[2]WHOLESALE DLS'!Z24</x:f>
        <x:v>0</x:v>
      </x:c>
    </x:row>
    <x:row r="26" spans="1:26" ht="24.95" customHeight="1" x14ac:dyDescent="0.25">
      <x:c r="A26" s="15">
        <x:v>4</x:v>
      </x:c>
      <x:c r="B26" s="15" t="s">
        <x:v>19</x:v>
      </x:c>
      <x:c r="D26" s="4">
        <x:f>'[1]WHOLESALE DLS'!D25-'[2]WHOLESALE DLS'!D25</x:f>
        <x:v>-5867.9673019362526</x:v>
      </x:c>
      <x:c r="E26" s="4"/>
      <x:c r="F26" s="4">
        <x:f>'[1]WHOLESALE DLS'!F25-'[2]WHOLESALE DLS'!F25</x:f>
        <x:v>-5771.5784954302071</x:v>
      </x:c>
      <x:c r="G26" s="4"/>
      <x:c r="H26" s="4">
        <x:f>'[1]WHOLESALE DLS'!H25-'[2]WHOLESALE DLS'!H25</x:f>
        <x:v>-3611.9817625950236</x:v>
      </x:c>
      <x:c r="I26" s="4"/>
      <x:c r="J26" s="4">
        <x:f>'[1]WHOLESALE DLS'!J25-'[2]WHOLESALE DLS'!J25</x:f>
        <x:v>-3552.6503803115411</x:v>
      </x:c>
      <x:c r="K26" s="4"/>
      <x:c r="L26" s="4">
        <x:f>'[1]WHOLESALE DLS'!L25-'[2]WHOLESALE DLS'!L25</x:f>
        <x:v>-3343.3941076541523</x:v>
      </x:c>
      <x:c r="N26" s="4">
        <x:f>'[1]WHOLESALE DLS'!N25-'[2]WHOLESALE DLS'!N25</x:f>
        <x:v>-3288.4746183090465</x:v>
      </x:c>
      <x:c r="O26" s="4"/>
      <x:c r="P26" s="4">
        <x:f>'[1]WHOLESALE DLS'!P25-'[2]WHOLESALE DLS'!P25</x:f>
        <x:v>-3343.3941076541523</x:v>
      </x:c>
      <x:c r="R26" s="4">
        <x:f>'[1]WHOLESALE DLS'!R25-'[2]WHOLESALE DLS'!R25</x:f>
        <x:v>-3288.4746183090465</x:v>
      </x:c>
      <x:c r="S26" s="4"/>
      <x:c r="T26" s="4">
        <x:f>'[1]WHOLESALE DLS'!T25-'[2]WHOLESALE DLS'!T25</x:f>
        <x:v>-1568379.4105046764</x:v>
      </x:c>
      <x:c r="V26" s="4">
        <x:f>'[1]WHOLESALE DLS'!V25-'[2]WHOLESALE DLS'!V25</x:f>
        <x:v>-1549640</x:v>
      </x:c>
      <x:c r="X26" s="36">
        <x:f>'[1]WHOLESALE DLS'!X25-'[2]WHOLESALE DLS'!X25</x:f>
        <x:v>0</x:v>
      </x:c>
      <x:c r="Y26" s="36">
        <x:f>'[1]WHOLESALE DLS'!Y25-'[2]WHOLESALE DLS'!Y25</x:f>
        <x:v>0</x:v>
      </x:c>
      <x:c r="Z26" s="36">
        <x:f>'[1]WHOLESALE DLS'!Z25-'[2]WHOLESALE DLS'!Z25</x:f>
        <x:v>0</x:v>
      </x:c>
    </x:row>
    <x:row r="27" spans="1:26" ht="24.95" customHeight="1" x14ac:dyDescent="0.25">
      <x:c r="A27" s="15">
        <x:v>5</x:v>
      </x:c>
      <x:c r="B27" s="15" t="s">
        <x:v>20</x:v>
      </x:c>
      <x:c r="D27" s="4">
        <x:f>'[1]WHOLESALE DLS'!D26-'[2]WHOLESALE DLS'!D26</x:f>
        <x:v>-7637.3356550527824</x:v>
      </x:c>
      <x:c r="E27" s="4"/>
      <x:c r="F27" s="4">
        <x:f>'[1]WHOLESALE DLS'!F26-'[2]WHOLESALE DLS'!F26</x:f>
        <x:v>-7511.8827288863831</x:v>
      </x:c>
      <x:c r="G27" s="4"/>
      <x:c r="H27" s="4">
        <x:f>'[1]WHOLESALE DLS'!H26-'[2]WHOLESALE DLS'!H26</x:f>
        <x:v>-5170.9373588371527</x:v>
      </x:c>
      <x:c r="I27" s="4"/>
      <x:c r="J27" s="4">
        <x:f>'[1]WHOLESALE DLS'!J26-'[2]WHOLESALE DLS'!J26</x:f>
        <x:v>-5085.9981533355603</x:v>
      </x:c>
      <x:c r="K27" s="4"/>
      <x:c r="L27" s="4">
        <x:f>'[1]WHOLESALE DLS'!L26-'[2]WHOLESALE DLS'!L26</x:f>
        <x:v>-5029.9437712615763</x:v>
      </x:c>
      <x:c r="N27" s="4">
        <x:f>'[1]WHOLESALE DLS'!N26-'[2]WHOLESALE DLS'!N26</x:f>
        <x:v>-4947.3205642875982</x:v>
      </x:c>
      <x:c r="O27" s="4"/>
      <x:c r="P27" s="4">
        <x:f>'[1]WHOLESALE DLS'!P26-'[2]WHOLESALE DLS'!P26</x:f>
        <x:v>-5070.6409177802561</x:v>
      </x:c>
      <x:c r="R27" s="4">
        <x:f>'[1]WHOLESALE DLS'!R26-'[2]WHOLESALE DLS'!R26</x:f>
        <x:v>-4987.3492085499893</x:v>
      </x:c>
      <x:c r="S27" s="4"/>
      <x:c r="T27" s="4">
        <x:f>'[1]WHOLESALE DLS'!T26-'[2]WHOLESALE DLS'!T26</x:f>
        <x:v>-2081605.5719295591</x:v>
      </x:c>
      <x:c r="V27" s="4">
        <x:f>'[1]WHOLESALE DLS'!V26-'[2]WHOLESALE DLS'!V26</x:f>
        <x:v>-2056734</x:v>
      </x:c>
      <x:c r="X27" s="36">
        <x:f>'[1]WHOLESALE DLS'!X26-'[2]WHOLESALE DLS'!X26</x:f>
        <x:v>0</x:v>
      </x:c>
      <x:c r="Y27" s="36">
        <x:f>'[1]WHOLESALE DLS'!Y26-'[2]WHOLESALE DLS'!Y26</x:f>
        <x:v>0</x:v>
      </x:c>
      <x:c r="Z27" s="36">
        <x:f>'[1]WHOLESALE DLS'!Z26-'[2]WHOLESALE DLS'!Z26</x:f>
        <x:v>0</x:v>
      </x:c>
    </x:row>
    <x:row r="28" spans="1:26" ht="24.95" customHeight="1" x14ac:dyDescent="0.25">
      <x:c r="A28" s="15">
        <x:v>6</x:v>
      </x:c>
      <x:c r="B28" s="15" t="s">
        <x:v>21</x:v>
      </x:c>
      <x:c r="D28" s="4">
        <x:f>'[1]WHOLESALE DLS'!D27-'[2]WHOLESALE DLS'!D27</x:f>
        <x:v>-9171.968063864173</x:v>
      </x:c>
      <x:c r="E28" s="4"/>
      <x:c r="F28" s="4">
        <x:f>'[1]WHOLESALE DLS'!F27-'[2]WHOLESALE DLS'!F27</x:f>
        <x:v>-9021.3068536873907</x:v>
      </x:c>
      <x:c r="G28" s="4"/>
      <x:c r="H28" s="4">
        <x:f>'[1]WHOLESALE DLS'!H27-'[2]WHOLESALE DLS'!H27</x:f>
        <x:v>-6545.1744765195472</x:v>
      </x:c>
      <x:c r="I28" s="4"/>
      <x:c r="J28" s="4">
        <x:f>'[1]WHOLESALE DLS'!J27-'[2]WHOLESALE DLS'!J27</x:f>
        <x:v>-6437.6616831272986</x:v>
      </x:c>
      <x:c r="K28" s="4"/>
      <x:c r="L28" s="4">
        <x:f>'[1]WHOLESALE DLS'!L27-'[2]WHOLESALE DLS'!L27</x:f>
        <x:v>-5613.9568695791531</x:v>
      </x:c>
      <x:c r="N28" s="4">
        <x:f>'[1]WHOLESALE DLS'!N27-'[2]WHOLESALE DLS'!N27</x:f>
        <x:v>-5521.7405066391948</x:v>
      </x:c>
      <x:c r="O28" s="4"/>
      <x:c r="P28" s="4">
        <x:f>'[1]WHOLESALE DLS'!P27-'[2]WHOLESALE DLS'!P27</x:f>
        <x:v>-6375.4102013861266</x:v>
      </x:c>
      <x:c r="R28" s="4">
        <x:f>'[1]WHOLESALE DLS'!R27-'[2]WHOLESALE DLS'!R27</x:f>
        <x:v>-6270.6860015605198</x:v>
      </x:c>
      <x:c r="S28" s="4"/>
      <x:c r="T28" s="4">
        <x:f>'[1]WHOLESALE DLS'!T27-'[2]WHOLESALE DLS'!T27</x:f>
        <x:v>-2759284.6602626815</x:v>
      </x:c>
      <x:c r="V28" s="4">
        <x:f>'[1]WHOLESALE DLS'!V27-'[2]WHOLESALE DLS'!V27</x:f>
        <x:v>-2726316</x:v>
      </x:c>
      <x:c r="X28" s="36">
        <x:f>'[1]WHOLESALE DLS'!X27-'[2]WHOLESALE DLS'!X27</x:f>
        <x:v>0</x:v>
      </x:c>
      <x:c r="Y28" s="36">
        <x:f>'[1]WHOLESALE DLS'!Y27-'[2]WHOLESALE DLS'!Y27</x:f>
        <x:v>0</x:v>
      </x:c>
      <x:c r="Z28" s="36">
        <x:f>'[1]WHOLESALE DLS'!Z27-'[2]WHOLESALE DLS'!Z27</x:f>
        <x:v>0</x:v>
      </x:c>
    </x:row>
    <x:row r="29" spans="1:26" ht="24.95" customHeight="1" x14ac:dyDescent="0.25">
      <x:c r="A29" s="15">
        <x:v>7</x:v>
      </x:c>
      <x:c r="B29" s="15" t="s">
        <x:v>22</x:v>
      </x:c>
      <x:c r="D29" s="4">
        <x:f>'[1]WHOLESALE DLS'!D28-'[2]WHOLESALE DLS'!D28</x:f>
        <x:v>-9267.6369821467233</x:v>
      </x:c>
      <x:c r="E29" s="4"/>
      <x:c r="F29" s="4">
        <x:f>'[1]WHOLESALE DLS'!F28-'[2]WHOLESALE DLS'!F28</x:f>
        <x:v>-9115.4042886302341</x:v>
      </x:c>
      <x:c r="G29" s="4"/>
      <x:c r="H29" s="4">
        <x:f>'[1]WHOLESALE DLS'!H28-'[2]WHOLESALE DLS'!H28</x:f>
        <x:v>-6807.5485186358273</x:v>
      </x:c>
      <x:c r="I29" s="4"/>
      <x:c r="J29" s="4">
        <x:f>'[1]WHOLESALE DLS'!J28-'[2]WHOLESALE DLS'!J28</x:f>
        <x:v>-6695.7258987778769</x:v>
      </x:c>
      <x:c r="K29" s="4"/>
      <x:c r="L29" s="4">
        <x:f>'[1]WHOLESALE DLS'!L28-'[2]WHOLESALE DLS'!L28</x:f>
        <x:v>-6432.2316576816811</x:v>
      </x:c>
      <x:c r="N29" s="4">
        <x:f>'[1]WHOLESALE DLS'!N28-'[2]WHOLESALE DLS'!N28</x:f>
        <x:v>-6326.5740933578782</x:v>
      </x:c>
      <x:c r="O29" s="4"/>
      <x:c r="P29" s="4">
        <x:f>'[1]WHOLESALE DLS'!P28-'[2]WHOLESALE DLS'!P28</x:f>
        <x:v>-6390.8436999970581</x:v>
      </x:c>
      <x:c r="R29" s="4">
        <x:f>'[1]WHOLESALE DLS'!R28-'[2]WHOLESALE DLS'!R28</x:f>
        <x:v>-6285.8659853792196</x:v>
      </x:c>
      <x:c r="S29" s="4"/>
      <x:c r="T29" s="4">
        <x:f>'[1]WHOLESALE DLS'!T28-'[2]WHOLESALE DLS'!T28</x:f>
        <x:v>-3061157.5167026222</x:v>
      </x:c>
      <x:c r="V29" s="4">
        <x:f>'[1]WHOLESALE DLS'!V28-'[2]WHOLESALE DLS'!V28</x:f>
        <x:v>-3024582</x:v>
      </x:c>
      <x:c r="X29" s="36">
        <x:f>'[1]WHOLESALE DLS'!X28-'[2]WHOLESALE DLS'!X28</x:f>
        <x:v>0</x:v>
      </x:c>
      <x:c r="Y29" s="36">
        <x:f>'[1]WHOLESALE DLS'!Y28-'[2]WHOLESALE DLS'!Y28</x:f>
        <x:v>0</x:v>
      </x:c>
      <x:c r="Z29" s="36">
        <x:f>'[1]WHOLESALE DLS'!Z28-'[2]WHOLESALE DLS'!Z28</x:f>
        <x:v>0</x:v>
      </x:c>
    </x:row>
    <x:row r="30" spans="1:26" ht="24.95" customHeight="1" x14ac:dyDescent="0.25">
      <x:c r="A30" s="15">
        <x:v>8</x:v>
      </x:c>
      <x:c r="B30" s="15" t="s">
        <x:v>23</x:v>
      </x:c>
      <x:c r="D30" s="4">
        <x:f>'[1]WHOLESALE DLS'!D29-'[2]WHOLESALE DLS'!D29</x:f>
        <x:v>-9869.1355119609216</x:v>
      </x:c>
      <x:c r="E30" s="4"/>
      <x:c r="F30" s="4">
        <x:f>'[1]WHOLESALE DLS'!F29-'[2]WHOLESALE DLS'!F29</x:f>
        <x:v>-9707.0224420856975</x:v>
      </x:c>
      <x:c r="G30" s="4"/>
      <x:c r="H30" s="4">
        <x:f>'[1]WHOLESALE DLS'!H29-'[2]WHOLESALE DLS'!H29</x:f>
        <x:v>-7124.0893945833377</x:v>
      </x:c>
      <x:c r="I30" s="4"/>
      <x:c r="J30" s="4">
        <x:f>'[1]WHOLESALE DLS'!J29-'[2]WHOLESALE DLS'!J29</x:f>
        <x:v>-7007.0671893028775</x:v>
      </x:c>
      <x:c r="K30" s="4"/>
      <x:c r="L30" s="4">
        <x:f>'[1]WHOLESALE DLS'!L29-'[2]WHOLESALE DLS'!L29</x:f>
        <x:v>-6207.6086911236634</x:v>
      </x:c>
      <x:c r="N30" s="4">
        <x:f>'[1]WHOLESALE DLS'!N29-'[2]WHOLESALE DLS'!N29</x:f>
        <x:v>-6105.6408439619117</x:v>
      </x:c>
      <x:c r="O30" s="4"/>
      <x:c r="P30" s="4">
        <x:f>'[1]WHOLESALE DLS'!P29-'[2]WHOLESALE DLS'!P29</x:f>
        <x:v>-6686.9396029749769</x:v>
      </x:c>
      <x:c r="R30" s="4">
        <x:f>'[1]WHOLESALE DLS'!R29-'[2]WHOLESALE DLS'!R29</x:f>
        <x:v>-6577.0981375502888</x:v>
      </x:c>
      <x:c r="S30" s="4"/>
      <x:c r="T30" s="4">
        <x:f>'[1]WHOLESALE DLS'!T29-'[2]WHOLESALE DLS'!T29</x:f>
        <x:v>-3406177.9112989306</x:v>
      </x:c>
      <x:c r="V30" s="4">
        <x:f>'[1]WHOLESALE DLS'!V29-'[2]WHOLESALE DLS'!V29</x:f>
        <x:v>-3365480</x:v>
      </x:c>
      <x:c r="X30" s="36">
        <x:f>'[1]WHOLESALE DLS'!X29-'[2]WHOLESALE DLS'!X29</x:f>
        <x:v>0</x:v>
      </x:c>
      <x:c r="Y30" s="36">
        <x:f>'[1]WHOLESALE DLS'!Y29-'[2]WHOLESALE DLS'!Y29</x:f>
        <x:v>0</x:v>
      </x:c>
      <x:c r="Z30" s="36">
        <x:f>'[1]WHOLESALE DLS'!Z29-'[2]WHOLESALE DLS'!Z29</x:f>
        <x:v>0</x:v>
      </x:c>
    </x:row>
    <x:row r="31" spans="1:26" ht="24.95" customHeight="1" x14ac:dyDescent="0.25">
      <x:c r="A31" s="15">
        <x:v>9</x:v>
      </x:c>
      <x:c r="B31" s="15" t="s">
        <x:v>24</x:v>
      </x:c>
      <x:c r="D31" s="4">
        <x:f>'[1]WHOLESALE DLS'!D30-'[2]WHOLESALE DLS'!D30</x:f>
        <x:v>-8273.2878179935506</x:v>
      </x:c>
      <x:c r="E31" s="4"/>
      <x:c r="F31" s="4">
        <x:f>'[1]WHOLESALE DLS'!F30-'[2]WHOLESALE DLS'!F30</x:f>
        <x:v>-8137.3885708395537</x:v>
      </x:c>
      <x:c r="G31" s="4"/>
      <x:c r="H31" s="4">
        <x:f>'[1]WHOLESALE DLS'!H30-'[2]WHOLESALE DLS'!H30</x:f>
        <x:v>-5784.5594315953349</x:v>
      </x:c>
      <x:c r="I31" s="4"/>
      <x:c r="J31" s="4">
        <x:f>'[1]WHOLESALE DLS'!J30-'[2]WHOLESALE DLS'!J30</x:f>
        <x:v>-5689.5407051632938</x:v>
      </x:c>
      <x:c r="K31" s="4"/>
      <x:c r="L31" s="4">
        <x:f>'[1]WHOLESALE DLS'!L30-'[2]WHOLESALE DLS'!L30</x:f>
        <x:v>-5784.5461284362827</x:v>
      </x:c>
      <x:c r="N31" s="4">
        <x:f>'[1]WHOLESALE DLS'!N30-'[2]WHOLESALE DLS'!N30</x:f>
        <x:v>-5689.5276205255213</x:v>
      </x:c>
      <x:c r="O31" s="4"/>
      <x:c r="P31" s="4">
        <x:f>'[1]WHOLESALE DLS'!P30-'[2]WHOLESALE DLS'!P30</x:f>
        <x:v>-5343.4133747561864</x:v>
      </x:c>
      <x:c r="R31" s="4">
        <x:f>'[1]WHOLESALE DLS'!R30-'[2]WHOLESALE DLS'!R30</x:f>
        <x:v>-5255.641031905674</x:v>
      </x:c>
      <x:c r="S31" s="4"/>
      <x:c r="T31" s="4">
        <x:f>'[1]WHOLESALE DLS'!T30-'[2]WHOLESALE DLS'!T30</x:f>
        <x:v>-2260793.5571981557</x:v>
      </x:c>
      <x:c r="V31" s="4">
        <x:f>'[1]WHOLESALE DLS'!V30-'[2]WHOLESALE DLS'!V30</x:f>
        <x:v>-2233781</x:v>
      </x:c>
      <x:c r="X31" s="36">
        <x:f>'[1]WHOLESALE DLS'!X30-'[2]WHOLESALE DLS'!X30</x:f>
        <x:v>0</x:v>
      </x:c>
      <x:c r="Y31" s="36">
        <x:f>'[1]WHOLESALE DLS'!Y30-'[2]WHOLESALE DLS'!Y30</x:f>
        <x:v>0</x:v>
      </x:c>
      <x:c r="Z31" s="36">
        <x:f>'[1]WHOLESALE DLS'!Z30-'[2]WHOLESALE DLS'!Z30</x:f>
        <x:v>0</x:v>
      </x:c>
    </x:row>
    <x:row r="32" spans="1:26" ht="24.95" customHeight="1" x14ac:dyDescent="0.25">
      <x:c r="A32" s="15">
        <x:v>10</x:v>
      </x:c>
      <x:c r="B32" s="15" t="s">
        <x:v>25</x:v>
      </x:c>
      <x:c r="D32" s="4">
        <x:f>'[1]WHOLESALE DLS'!D31-'[2]WHOLESALE DLS'!D31</x:f>
        <x:v>-3549.8375082111888</x:v>
      </x:c>
      <x:c r="E32" s="4"/>
      <x:c r="F32" s="4">
        <x:f>'[1]WHOLESALE DLS'!F31-'[2]WHOLESALE DLS'!F31</x:f>
        <x:v>-3491.5269241365313</x:v>
      </x:c>
      <x:c r="G32" s="4"/>
      <x:c r="H32" s="4">
        <x:f>'[1]WHOLESALE DLS'!H31-'[2]WHOLESALE DLS'!H31</x:f>
        <x:v>-2223.7419973802462</x:v>
      </x:c>
      <x:c r="I32" s="4"/>
      <x:c r="J32" s="4">
        <x:f>'[1]WHOLESALE DLS'!J31-'[2]WHOLESALE DLS'!J31</x:f>
        <x:v>-2187.2142142356315</x:v>
      </x:c>
      <x:c r="K32" s="4"/>
      <x:c r="L32" s="4">
        <x:f>'[1]WHOLESALE DLS'!L31-'[2]WHOLESALE DLS'!L31</x:f>
        <x:v>-2127.7418506432587</x:v>
      </x:c>
      <x:c r="N32" s="4">
        <x:f>'[1]WHOLESALE DLS'!N31-'[2]WHOLESALE DLS'!N31</x:f>
        <x:v>-2092.7909916858771</x:v>
      </x:c>
      <x:c r="O32" s="4"/>
      <x:c r="P32" s="4">
        <x:f>'[1]WHOLESALE DLS'!P31-'[2]WHOLESALE DLS'!P31</x:f>
        <x:v>-2127.7418506432587</x:v>
      </x:c>
      <x:c r="R32" s="4">
        <x:f>'[1]WHOLESALE DLS'!R31-'[2]WHOLESALE DLS'!R31</x:f>
        <x:v>-2092.7909916858771</x:v>
      </x:c>
      <x:c r="S32" s="4"/>
      <x:c r="T32" s="4">
        <x:f>'[1]WHOLESALE DLS'!T31-'[2]WHOLESALE DLS'!T31</x:f>
        <x:v>-914403.53439763188</x:v>
      </x:c>
      <x:c r="V32" s="4">
        <x:f>'[1]WHOLESALE DLS'!V31-'[2]WHOLESALE DLS'!V31</x:f>
        <x:v>-903478</x:v>
      </x:c>
      <x:c r="X32" s="36">
        <x:f>'[1]WHOLESALE DLS'!X31-'[2]WHOLESALE DLS'!X31</x:f>
        <x:v>0</x:v>
      </x:c>
      <x:c r="Y32" s="36">
        <x:f>'[1]WHOLESALE DLS'!Y31-'[2]WHOLESALE DLS'!Y31</x:f>
        <x:v>0</x:v>
      </x:c>
      <x:c r="Z32" s="36">
        <x:f>'[1]WHOLESALE DLS'!Z31-'[2]WHOLESALE DLS'!Z31</x:f>
        <x:v>0</x:v>
      </x:c>
    </x:row>
    <x:row r="33" spans="1:26" ht="24.95" customHeight="1" x14ac:dyDescent="0.25">
      <x:c r="A33" s="15">
        <x:v>11</x:v>
      </x:c>
      <x:c r="B33" s="15" t="s">
        <x:v>26</x:v>
      </x:c>
      <x:c r="D33" s="4">
        <x:f>'[1]WHOLESALE DLS'!D32-'[2]WHOLESALE DLS'!D32</x:f>
        <x:v>0</x:v>
      </x:c>
      <x:c r="E33" s="4"/>
      <x:c r="F33" s="4">
        <x:f>'[1]WHOLESALE DLS'!F32-'[2]WHOLESALE DLS'!F32</x:f>
        <x:v>0</x:v>
      </x:c>
      <x:c r="G33" s="4"/>
      <x:c r="H33" s="4">
        <x:f>'[1]WHOLESALE DLS'!H32-'[2]WHOLESALE DLS'!H32</x:f>
        <x:v>0</x:v>
      </x:c>
      <x:c r="I33" s="4"/>
      <x:c r="J33" s="4">
        <x:f>'[1]WHOLESALE DLS'!J32-'[2]WHOLESALE DLS'!J32</x:f>
        <x:v>0</x:v>
      </x:c>
      <x:c r="K33" s="4"/>
      <x:c r="L33" s="4">
        <x:f>'[1]WHOLESALE DLS'!L32-'[2]WHOLESALE DLS'!L32</x:f>
        <x:v>0</x:v>
      </x:c>
      <x:c r="N33" s="4">
        <x:f>'[1]WHOLESALE DLS'!N32-'[2]WHOLESALE DLS'!N32</x:f>
        <x:v>0</x:v>
      </x:c>
      <x:c r="O33" s="4"/>
      <x:c r="P33" s="4">
        <x:f>'[1]WHOLESALE DLS'!P32-'[2]WHOLESALE DLS'!P32</x:f>
        <x:v>0</x:v>
      </x:c>
      <x:c r="R33" s="4">
        <x:f>'[1]WHOLESALE DLS'!R32-'[2]WHOLESALE DLS'!R32</x:f>
        <x:v>0</x:v>
      </x:c>
      <x:c r="S33" s="4"/>
      <x:c r="T33" s="4">
        <x:f>'[1]WHOLESALE DLS'!T32-'[2]WHOLESALE DLS'!T32</x:f>
        <x:v>0</x:v>
      </x:c>
      <x:c r="V33" s="4">
        <x:f>'[1]WHOLESALE DLS'!V32-'[2]WHOLESALE DLS'!V32</x:f>
        <x:v>0</x:v>
      </x:c>
      <x:c r="X33" s="36">
        <x:f>'[1]WHOLESALE DLS'!X32-'[2]WHOLESALE DLS'!X32</x:f>
        <x:v>0</x:v>
      </x:c>
      <x:c r="Y33" s="36">
        <x:f>'[1]WHOLESALE DLS'!Y32-'[2]WHOLESALE DLS'!Y32</x:f>
        <x:v>0</x:v>
      </x:c>
      <x:c r="Z33" s="36">
        <x:f>'[1]WHOLESALE DLS'!Z32-'[2]WHOLESALE DLS'!Z32</x:f>
        <x:v>0</x:v>
      </x:c>
    </x:row>
    <x:row r="34" spans="1:26" ht="24.95" customHeight="1" thickBot="1" x14ac:dyDescent="0.3">
      <x:c r="A34" s="15">
        <x:v>12</x:v>
      </x:c>
      <x:c r="B34" s="15" t="s">
        <x:v>27</x:v>
      </x:c>
      <x:c r="D34" s="4">
        <x:f>'[1]WHOLESALE DLS'!D33-'[2]WHOLESALE DLS'!D33</x:f>
        <x:v>0</x:v>
      </x:c>
      <x:c r="E34" s="4"/>
      <x:c r="F34" s="4">
        <x:f>'[1]WHOLESALE DLS'!F33-'[2]WHOLESALE DLS'!F33</x:f>
        <x:v>0</x:v>
      </x:c>
      <x:c r="G34" s="4"/>
      <x:c r="H34" s="4">
        <x:f>'[1]WHOLESALE DLS'!H33-'[2]WHOLESALE DLS'!H33</x:f>
        <x:v>0</x:v>
      </x:c>
      <x:c r="I34" s="4"/>
      <x:c r="J34" s="4">
        <x:f>'[1]WHOLESALE DLS'!J33-'[2]WHOLESALE DLS'!J33</x:f>
        <x:v>0</x:v>
      </x:c>
      <x:c r="K34" s="4"/>
      <x:c r="L34" s="4">
        <x:f>'[1]WHOLESALE DLS'!L33-'[2]WHOLESALE DLS'!L33</x:f>
        <x:v>0</x:v>
      </x:c>
      <x:c r="N34" s="4">
        <x:f>'[1]WHOLESALE DLS'!N33-'[2]WHOLESALE DLS'!N33</x:f>
        <x:v>0</x:v>
      </x:c>
      <x:c r="O34" s="4"/>
      <x:c r="P34" s="4">
        <x:f>'[1]WHOLESALE DLS'!P33-'[2]WHOLESALE DLS'!P33</x:f>
        <x:v>0</x:v>
      </x:c>
      <x:c r="R34" s="4">
        <x:f>'[1]WHOLESALE DLS'!R33-'[2]WHOLESALE DLS'!R33</x:f>
        <x:v>0</x:v>
      </x:c>
      <x:c r="S34" s="4"/>
      <x:c r="T34" s="17">
        <x:f>'[1]WHOLESALE DLS'!T33-'[2]WHOLESALE DLS'!T33</x:f>
        <x:v>0</x:v>
      </x:c>
      <x:c r="V34" s="17">
        <x:f>'[1]WHOLESALE DLS'!V33-'[2]WHOLESALE DLS'!V33</x:f>
        <x:v>0</x:v>
      </x:c>
      <x:c r="X34" s="36">
        <x:f>'[1]WHOLESALE DLS'!X33-'[2]WHOLESALE DLS'!X33</x:f>
        <x:v>0</x:v>
      </x:c>
      <x:c r="Y34" s="36">
        <x:f>'[1]WHOLESALE DLS'!Y33-'[2]WHOLESALE DLS'!Y33</x:f>
        <x:v>0</x:v>
      </x:c>
      <x:c r="Z34" s="36">
        <x:f>'[1]WHOLESALE DLS'!Z33-'[2]WHOLESALE DLS'!Z33</x:f>
        <x:v>0</x:v>
      </x:c>
    </x:row>
    <x:row r="35" spans="1:26" ht="24.95" customHeight="1" thickTop="1" x14ac:dyDescent="0.25">
      <x:c r="A35" s="15">
        <x:v>13</x:v>
      </x:c>
      <x:c r="E35" s="4"/>
      <x:c r="G35" s="4"/>
      <x:c r="I35" s="4"/>
      <x:c r="K35" s="4"/>
      <x:c r="O35" s="4"/>
      <x:c r="S35" s="4"/>
      <x:c r="T35" s="16">
        <x:f>+SUM(T23:T34)</x:f>
        <x:v>-24498287.290745921</x:v>
      </x:c>
      <x:c r="U35" s="16"/>
      <x:c r="V35" s="16">
        <x:f>+SUM(V23:V34)</x:f>
        <x:v>-24205575.298272729</x:v>
      </x:c>
    </x:row>
    <x:row r="36" spans="1:26" ht="24.95" customHeight="1" x14ac:dyDescent="0.25">
      <x:c r="A36" s="15"/>
      <x:c r="E36" s="4"/>
      <x:c r="G36" s="4"/>
      <x:c r="I36" s="4"/>
      <x:c r="K36" s="4"/>
      <x:c r="O36" s="4"/>
      <x:c r="S36" s="4"/>
      <x:c r="T36" s="16"/>
      <x:c r="U36" s="16"/>
      <x:c r="V36" s="16"/>
    </x:row>
    <x:row r="37" spans="1:26" ht="18.75" customHeight="1" x14ac:dyDescent="0.25">
      <x:c r="E37" s="4"/>
      <x:c r="G37" s="4"/>
      <x:c r="I37" s="4"/>
      <x:c r="K37" s="4"/>
      <x:c r="O37" s="4"/>
      <x:c r="S37" s="4"/>
      <x:c r="T37" s="16"/>
      <x:c r="U37" s="16"/>
      <x:c r="V37" s="16"/>
    </x:row>
    <x:row r="38" spans="1:26" ht="15" customHeight="1" x14ac:dyDescent="0.25">
      <x:c r="A38" s="3" t="s">
        <x:v>59</x:v>
      </x:c>
      <x:c r="E38" s="4"/>
      <x:c r="G38" s="4"/>
      <x:c r="I38" s="4"/>
      <x:c r="K38" s="4"/>
      <x:c r="O38" s="4"/>
      <x:c r="S38" s="4"/>
    </x:row>
    <x:row r="39" spans="1:26" ht="15" customHeight="1" x14ac:dyDescent="0.25">
      <x:c r="A39" s="3" t="s">
        <x:v>28</x:v>
      </x:c>
      <x:c r="E39" s="4"/>
      <x:c r="G39" s="4"/>
      <x:c r="I39" s="4"/>
      <x:c r="K39" s="4"/>
      <x:c r="O39" s="4"/>
      <x:c r="S39" s="4"/>
    </x:row>
    <x:row r="40" spans="1:26" ht="15" customHeight="1" x14ac:dyDescent="0.25">
      <x:c r="A40" s="5" t="s">
        <x:v>29</x:v>
      </x:c>
      <x:c r="E40" s="4"/>
      <x:c r="G40" s="4"/>
      <x:c r="I40" s="4"/>
      <x:c r="K40" s="4"/>
      <x:c r="O40" s="4"/>
      <x:c r="S40" s="4"/>
    </x:row>
    <x:row r="41" spans="1:26" ht="15" customHeight="1" x14ac:dyDescent="0.25">
      <x:c r="A41" s="5"/>
      <x:c r="E41" s="4"/>
      <x:c r="G41" s="4"/>
      <x:c r="I41" s="4"/>
      <x:c r="K41" s="4"/>
      <x:c r="O41" s="4"/>
      <x:c r="S41" s="4"/>
    </x:row>
  </x:sheetData>
  <x:pageMargins left="0.5" right="1" top="1.5" bottom="0.5" header="0.5" footer="0.5"/>
  <x:pageSetup scale="50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2025-05-12T16:18:29.0000000Z</dcterms:modified>
</coreProperties>
</file>