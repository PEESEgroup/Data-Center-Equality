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573209D5-D5F3-418D-B75B-3D77C1321AFE}" xr6:coauthVersionLast="47" xr6:coauthVersionMax="47" xr10:uidLastSave="{00000000-0000-0000-0000-000000000000}"/>
  <x:bookViews>
    <x:workbookView xWindow="-120" yWindow="-120" windowWidth="29040" windowHeight="15720" firstSheet="4" activeTab="9" xr2:uid="{00000000-000D-0000-FFFF-FFFF00000000}"/>
  </x:bookViews>
  <x:sheets>
    <x:sheet name="RESIDENTIAL" sheetId="1" r:id="rId1"/>
    <x:sheet name="SEC &lt; 10kW" sheetId="37" r:id="rId2"/>
    <x:sheet name="SEC &gt; 10kW " sheetId="38" r:id="rId3"/>
    <x:sheet name="PRIMARY  &lt; 10kW" sheetId="39" r:id="rId4"/>
    <x:sheet name="PRIMARY  &gt; 10kW DLS" sheetId="40" r:id="rId5"/>
    <x:sheet name="PRIMARY  SUBSTATIONS" sheetId="41" r:id="rId6"/>
    <x:sheet name="TRANSMISSION" sheetId="42" r:id="rId7"/>
    <x:sheet name="STREET LIGHTING" sheetId="48" r:id="rId8"/>
    <x:sheet name="WHOLESALE SUB " sheetId="50" r:id="rId9"/>
    <x:sheet name="WHOLESALE DLS" sheetId="45" r:id="rId10"/>
  </x:sheets>
  <x:externalReferences>
    <x:externalReference r:id="rId11"/>
    <x:externalReference r:id="rId12"/>
    <x:externalReference r:id="rId13"/>
  </x:externalReferenc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T33" i="45" l="1"/>
  <x:c r="T32" i="45"/>
  <x:c r="T31" i="45"/>
  <x:c r="T30" i="45"/>
  <x:c r="T29" i="45"/>
  <x:c r="T28" i="45"/>
  <x:c r="T27" i="45"/>
  <x:c r="T26" i="45"/>
  <x:c r="T25" i="45"/>
  <x:c r="T24" i="45"/>
  <x:c r="T23" i="45"/>
  <x:c r="T22" i="45"/>
  <x:c r="T33" i="50"/>
  <x:c r="T32" i="50"/>
  <x:c r="T31" i="50"/>
  <x:c r="T30" i="50"/>
  <x:c r="T29" i="50"/>
  <x:c r="T28" i="50"/>
  <x:c r="T27" i="50"/>
  <x:c r="T26" i="50"/>
  <x:c r="T25" i="50"/>
  <x:c r="T24" i="50"/>
  <x:c r="T23" i="50"/>
  <x:c r="T22" i="50"/>
  <x:c r="T33" i="48"/>
  <x:c r="T32" i="48"/>
  <x:c r="T31" i="48"/>
  <x:c r="T30" i="48"/>
  <x:c r="T29" i="48"/>
  <x:c r="T28" i="48"/>
  <x:c r="T27" i="48"/>
  <x:c r="T26" i="48"/>
  <x:c r="T25" i="48"/>
  <x:c r="T24" i="48"/>
  <x:c r="T23" i="48"/>
  <x:c r="T22" i="48"/>
  <x:c r="T33" i="41"/>
  <x:c r="T32" i="41"/>
  <x:c r="T31" i="41"/>
  <x:c r="T30" i="41"/>
  <x:c r="T29" i="41"/>
  <x:c r="T28" i="41"/>
  <x:c r="T27" i="41"/>
  <x:c r="T26" i="41"/>
  <x:c r="T25" i="41"/>
  <x:c r="T24" i="41"/>
  <x:c r="T23" i="41"/>
  <x:c r="T22" i="41"/>
  <x:c r="T33" i="40"/>
  <x:c r="T32" i="40"/>
  <x:c r="T31" i="40"/>
  <x:c r="T30" i="40"/>
  <x:c r="T29" i="40"/>
  <x:c r="T28" i="40"/>
  <x:c r="T27" i="40"/>
  <x:c r="T26" i="40"/>
  <x:c r="T25" i="40"/>
  <x:c r="T24" i="40"/>
  <x:c r="T23" i="40"/>
  <x:c r="T22" i="40"/>
  <x:c r="T33" i="39"/>
  <x:c r="T32" i="39"/>
  <x:c r="T31" i="39"/>
  <x:c r="T30" i="39"/>
  <x:c r="T29" i="39"/>
  <x:c r="T28" i="39"/>
  <x:c r="T27" i="39"/>
  <x:c r="T26" i="39"/>
  <x:c r="T25" i="39"/>
  <x:c r="T24" i="39"/>
  <x:c r="T23" i="39"/>
  <x:c r="T22" i="39"/>
  <x:c r="T33" i="38"/>
  <x:c r="T32" i="38"/>
  <x:c r="T31" i="38"/>
  <x:c r="T30" i="38"/>
  <x:c r="T29" i="38"/>
  <x:c r="T28" i="38"/>
  <x:c r="T27" i="38"/>
  <x:c r="T26" i="38"/>
  <x:c r="T25" i="38"/>
  <x:c r="T24" i="38"/>
  <x:c r="T23" i="38"/>
  <x:c r="T22" i="38"/>
  <x:c r="T33" i="37"/>
  <x:c r="T32" i="37"/>
  <x:c r="T31" i="37"/>
  <x:c r="T30" i="37"/>
  <x:c r="T29" i="37"/>
  <x:c r="T28" i="37"/>
  <x:c r="T27" i="37"/>
  <x:c r="T26" i="37"/>
  <x:c r="T25" i="37"/>
  <x:c r="T24" i="37"/>
  <x:c r="T23" i="37"/>
  <x:c r="T22" i="37"/>
  <x:c r="T33" i="1"/>
  <x:c r="T32" i="1"/>
  <x:c r="T31" i="1"/>
  <x:c r="T30" i="1"/>
  <x:c r="T29" i="1"/>
  <x:c r="T28" i="1"/>
  <x:c r="T27" i="1"/>
  <x:c r="T26" i="1"/>
  <x:c r="T25" i="1"/>
  <x:c r="T24" i="1"/>
  <x:c r="T23" i="1"/>
  <x:c r="T22" i="1"/>
  <x:c r="P33" i="45"/>
  <x:c r="P32" i="45"/>
  <x:c r="P31" i="45"/>
  <x:c r="P30" i="45"/>
  <x:c r="P29" i="45"/>
  <x:c r="P28" i="45"/>
  <x:c r="P27" i="45"/>
  <x:c r="P26" i="45"/>
  <x:c r="P25" i="45"/>
  <x:c r="P24" i="45"/>
  <x:c r="P23" i="45"/>
  <x:c r="P22" i="45"/>
  <x:c r="L33" i="45"/>
  <x:c r="L32" i="45"/>
  <x:c r="L31" i="45"/>
  <x:c r="L30" i="45"/>
  <x:c r="L29" i="45"/>
  <x:c r="L28" i="45"/>
  <x:c r="L27" i="45"/>
  <x:c r="L26" i="45"/>
  <x:c r="L25" i="45"/>
  <x:c r="L24" i="45"/>
  <x:c r="L23" i="45"/>
  <x:c r="L22" i="45"/>
  <x:c r="H33" i="45"/>
  <x:c r="H32" i="45"/>
  <x:c r="H31" i="45"/>
  <x:c r="H30" i="45"/>
  <x:c r="H29" i="45"/>
  <x:c r="H28" i="45"/>
  <x:c r="H27" i="45"/>
  <x:c r="H26" i="45"/>
  <x:c r="H25" i="45"/>
  <x:c r="H24" i="45"/>
  <x:c r="H23" i="45"/>
  <x:c r="H22" i="45"/>
  <x:c r="D33" i="45"/>
  <x:c r="D32" i="45"/>
  <x:c r="D31" i="45"/>
  <x:c r="D30" i="45"/>
  <x:c r="D29" i="45"/>
  <x:c r="D28" i="45"/>
  <x:c r="D27" i="45"/>
  <x:c r="D26" i="45"/>
  <x:c r="D25" i="45"/>
  <x:c r="D24" i="45"/>
  <x:c r="D23" i="45"/>
  <x:c r="D22" i="45"/>
  <x:c r="P33" i="50"/>
  <x:c r="P32" i="50"/>
  <x:c r="P31" i="50"/>
  <x:c r="P30" i="50"/>
  <x:c r="P29" i="50"/>
  <x:c r="P28" i="50"/>
  <x:c r="P27" i="50"/>
  <x:c r="P26" i="50"/>
  <x:c r="P25" i="50"/>
  <x:c r="P24" i="50"/>
  <x:c r="P23" i="50"/>
  <x:c r="P22" i="50"/>
  <x:c r="L33" i="50"/>
  <x:c r="L32" i="50"/>
  <x:c r="L31" i="50"/>
  <x:c r="L30" i="50"/>
  <x:c r="L29" i="50"/>
  <x:c r="L28" i="50"/>
  <x:c r="L27" i="50"/>
  <x:c r="L26" i="50"/>
  <x:c r="L25" i="50"/>
  <x:c r="L24" i="50"/>
  <x:c r="L23" i="50"/>
  <x:c r="L22" i="50"/>
  <x:c r="H33" i="50"/>
  <x:c r="H32" i="50"/>
  <x:c r="H31" i="50"/>
  <x:c r="H30" i="50"/>
  <x:c r="H29" i="50"/>
  <x:c r="H28" i="50"/>
  <x:c r="H27" i="50"/>
  <x:c r="H26" i="50"/>
  <x:c r="H25" i="50"/>
  <x:c r="H24" i="50"/>
  <x:c r="H23" i="50"/>
  <x:c r="H22" i="50"/>
  <x:c r="D33" i="50"/>
  <x:c r="D32" i="50"/>
  <x:c r="D31" i="50"/>
  <x:c r="D30" i="50"/>
  <x:c r="D29" i="50"/>
  <x:c r="D28" i="50"/>
  <x:c r="D27" i="50"/>
  <x:c r="D26" i="50"/>
  <x:c r="D25" i="50"/>
  <x:c r="D24" i="50"/>
  <x:c r="D23" i="50"/>
  <x:c r="D22" i="50"/>
  <x:c r="P33" i="48"/>
  <x:c r="P32" i="48"/>
  <x:c r="P31" i="48"/>
  <x:c r="P30" i="48"/>
  <x:c r="P29" i="48"/>
  <x:c r="P28" i="48"/>
  <x:c r="P27" i="48"/>
  <x:c r="P26" i="48"/>
  <x:c r="P25" i="48"/>
  <x:c r="P24" i="48"/>
  <x:c r="P23" i="48"/>
  <x:c r="P22" i="48"/>
  <x:c r="L32" i="48"/>
  <x:c r="L31" i="48"/>
  <x:c r="L30" i="48"/>
  <x:c r="L29" i="48"/>
  <x:c r="L28" i="48"/>
  <x:c r="L27" i="48"/>
  <x:c r="L26" i="48"/>
  <x:c r="L25" i="48"/>
  <x:c r="L24" i="48"/>
  <x:c r="L23" i="48"/>
  <x:c r="L22" i="48"/>
  <x:c r="H33" i="48"/>
  <x:c r="H32" i="48"/>
  <x:c r="H31" i="48"/>
  <x:c r="H30" i="48"/>
  <x:c r="H29" i="48"/>
  <x:c r="H28" i="48"/>
  <x:c r="H27" i="48"/>
  <x:c r="H26" i="48"/>
  <x:c r="H25" i="48"/>
  <x:c r="H24" i="48"/>
  <x:c r="H23" i="48"/>
  <x:c r="H22" i="48"/>
  <x:c r="D33" i="48"/>
  <x:c r="D32" i="48"/>
  <x:c r="D31" i="48"/>
  <x:c r="D30" i="48"/>
  <x:c r="D29" i="48"/>
  <x:c r="D28" i="48"/>
  <x:c r="D27" i="48"/>
  <x:c r="D26" i="48"/>
  <x:c r="D25" i="48"/>
  <x:c r="D24" i="48"/>
  <x:c r="D23" i="48"/>
  <x:c r="D22" i="48"/>
  <x:c r="P33" i="41"/>
  <x:c r="P32" i="41"/>
  <x:c r="P31" i="41"/>
  <x:c r="P30" i="41"/>
  <x:c r="P29" i="41"/>
  <x:c r="P28" i="41"/>
  <x:c r="P27" i="41"/>
  <x:c r="P26" i="41"/>
  <x:c r="P25" i="41"/>
  <x:c r="P24" i="41"/>
  <x:c r="P23" i="41"/>
  <x:c r="P22" i="41"/>
  <x:c r="L33" i="41"/>
  <x:c r="L32" i="41"/>
  <x:c r="L31" i="41"/>
  <x:c r="L30" i="41"/>
  <x:c r="L29" i="41"/>
  <x:c r="L28" i="41"/>
  <x:c r="L27" i="41"/>
  <x:c r="L26" i="41"/>
  <x:c r="L25" i="41"/>
  <x:c r="L24" i="41"/>
  <x:c r="L23" i="41"/>
  <x:c r="L22" i="41"/>
  <x:c r="H33" i="41"/>
  <x:c r="H32" i="41"/>
  <x:c r="H31" i="41"/>
  <x:c r="H30" i="41"/>
  <x:c r="H29" i="41"/>
  <x:c r="H28" i="41"/>
  <x:c r="H27" i="41"/>
  <x:c r="H26" i="41"/>
  <x:c r="H25" i="41"/>
  <x:c r="H24" i="41"/>
  <x:c r="H23" i="41"/>
  <x:c r="H22" i="41"/>
  <x:c r="D33" i="41"/>
  <x:c r="D32" i="41"/>
  <x:c r="D31" i="41"/>
  <x:c r="D30" i="41"/>
  <x:c r="D29" i="41"/>
  <x:c r="D28" i="41"/>
  <x:c r="D27" i="41"/>
  <x:c r="D26" i="41"/>
  <x:c r="D25" i="41"/>
  <x:c r="D24" i="41"/>
  <x:c r="D23" i="41"/>
  <x:c r="D22" i="41"/>
  <x:c r="P33" i="40"/>
  <x:c r="P32" i="40"/>
  <x:c r="P31" i="40"/>
  <x:c r="P30" i="40"/>
  <x:c r="P29" i="40"/>
  <x:c r="P28" i="40"/>
  <x:c r="P27" i="40"/>
  <x:c r="P26" i="40"/>
  <x:c r="P25" i="40"/>
  <x:c r="P24" i="40"/>
  <x:c r="P23" i="40"/>
  <x:c r="P22" i="40"/>
  <x:c r="L33" i="40"/>
  <x:c r="L32" i="40"/>
  <x:c r="L31" i="40"/>
  <x:c r="L30" i="40"/>
  <x:c r="L29" i="40"/>
  <x:c r="L28" i="40"/>
  <x:c r="L27" i="40"/>
  <x:c r="L26" i="40"/>
  <x:c r="L25" i="40"/>
  <x:c r="L24" i="40"/>
  <x:c r="L23" i="40"/>
  <x:c r="L22" i="40"/>
  <x:c r="H33" i="40"/>
  <x:c r="H32" i="40"/>
  <x:c r="H31" i="40"/>
  <x:c r="H30" i="40"/>
  <x:c r="H29" i="40"/>
  <x:c r="H28" i="40"/>
  <x:c r="H27" i="40"/>
  <x:c r="H26" i="40"/>
  <x:c r="H25" i="40"/>
  <x:c r="H24" i="40"/>
  <x:c r="H23" i="40"/>
  <x:c r="H22" i="40"/>
  <x:c r="D33" i="40"/>
  <x:c r="D32" i="40"/>
  <x:c r="D31" i="40"/>
  <x:c r="D30" i="40"/>
  <x:c r="D29" i="40"/>
  <x:c r="D28" i="40"/>
  <x:c r="D27" i="40"/>
  <x:c r="D26" i="40"/>
  <x:c r="D25" i="40"/>
  <x:c r="D24" i="40"/>
  <x:c r="D23" i="40"/>
  <x:c r="D22" i="40"/>
  <x:c r="P33" i="39"/>
  <x:c r="P32" i="39"/>
  <x:c r="P31" i="39"/>
  <x:c r="P30" i="39"/>
  <x:c r="P29" i="39"/>
  <x:c r="P28" i="39"/>
  <x:c r="P27" i="39"/>
  <x:c r="P26" i="39"/>
  <x:c r="P25" i="39"/>
  <x:c r="P24" i="39"/>
  <x:c r="P23" i="39"/>
  <x:c r="P22" i="39"/>
  <x:c r="L33" i="39"/>
  <x:c r="L32" i="39"/>
  <x:c r="L31" i="39"/>
  <x:c r="L30" i="39"/>
  <x:c r="L29" i="39"/>
  <x:c r="L28" i="39"/>
  <x:c r="L27" i="39"/>
  <x:c r="L26" i="39"/>
  <x:c r="L25" i="39"/>
  <x:c r="L24" i="39"/>
  <x:c r="L23" i="39"/>
  <x:c r="L22" i="39"/>
  <x:c r="H33" i="39"/>
  <x:c r="H32" i="39"/>
  <x:c r="H31" i="39"/>
  <x:c r="H30" i="39"/>
  <x:c r="H29" i="39"/>
  <x:c r="H28" i="39"/>
  <x:c r="H27" i="39"/>
  <x:c r="H26" i="39"/>
  <x:c r="H25" i="39"/>
  <x:c r="H24" i="39"/>
  <x:c r="H23" i="39"/>
  <x:c r="H22" i="39"/>
  <x:c r="D33" i="39"/>
  <x:c r="D32" i="39"/>
  <x:c r="D31" i="39"/>
  <x:c r="D30" i="39"/>
  <x:c r="D29" i="39"/>
  <x:c r="D28" i="39"/>
  <x:c r="D27" i="39"/>
  <x:c r="D26" i="39"/>
  <x:c r="D25" i="39"/>
  <x:c r="D24" i="39"/>
  <x:c r="D23" i="39"/>
  <x:c r="D22" i="39"/>
  <x:c r="P33" i="38"/>
  <x:c r="P32" i="38"/>
  <x:c r="P31" i="38"/>
  <x:c r="P30" i="38"/>
  <x:c r="P29" i="38"/>
  <x:c r="P28" i="38"/>
  <x:c r="P27" i="38"/>
  <x:c r="P26" i="38"/>
  <x:c r="P25" i="38"/>
  <x:c r="P24" i="38"/>
  <x:c r="P23" i="38"/>
  <x:c r="P22" i="38"/>
  <x:c r="L33" i="38"/>
  <x:c r="L32" i="38"/>
  <x:c r="L31" i="38"/>
  <x:c r="L30" i="38"/>
  <x:c r="L29" i="38"/>
  <x:c r="L28" i="38"/>
  <x:c r="L27" i="38"/>
  <x:c r="L26" i="38"/>
  <x:c r="L25" i="38"/>
  <x:c r="L24" i="38"/>
  <x:c r="L23" i="38"/>
  <x:c r="L22" i="38"/>
  <x:c r="H33" i="38"/>
  <x:c r="H32" i="38"/>
  <x:c r="H31" i="38"/>
  <x:c r="H30" i="38"/>
  <x:c r="H29" i="38"/>
  <x:c r="H28" i="38"/>
  <x:c r="H27" i="38"/>
  <x:c r="H26" i="38"/>
  <x:c r="H25" i="38"/>
  <x:c r="H24" i="38"/>
  <x:c r="H23" i="38"/>
  <x:c r="H22" i="38"/>
  <x:c r="D33" i="38"/>
  <x:c r="D32" i="38"/>
  <x:c r="D31" i="38"/>
  <x:c r="D30" i="38"/>
  <x:c r="D29" i="38"/>
  <x:c r="D28" i="38"/>
  <x:c r="D27" i="38"/>
  <x:c r="D26" i="38"/>
  <x:c r="D25" i="38"/>
  <x:c r="D24" i="38"/>
  <x:c r="D23" i="38"/>
  <x:c r="D22" i="38"/>
  <x:c r="P33" i="37"/>
  <x:c r="P32" i="37"/>
  <x:c r="P31" i="37"/>
  <x:c r="P30" i="37"/>
  <x:c r="P29" i="37"/>
  <x:c r="P28" i="37"/>
  <x:c r="P27" i="37"/>
  <x:c r="P26" i="37"/>
  <x:c r="P25" i="37"/>
  <x:c r="P24" i="37"/>
  <x:c r="P23" i="37"/>
  <x:c r="P22" i="37"/>
  <x:c r="L33" i="37"/>
  <x:c r="L32" i="37"/>
  <x:c r="L31" i="37"/>
  <x:c r="L30" i="37"/>
  <x:c r="L29" i="37"/>
  <x:c r="L28" i="37"/>
  <x:c r="L27" i="37"/>
  <x:c r="L26" i="37"/>
  <x:c r="L25" i="37"/>
  <x:c r="L24" i="37"/>
  <x:c r="L23" i="37"/>
  <x:c r="L22" i="37"/>
  <x:c r="H33" i="37"/>
  <x:c r="H32" i="37"/>
  <x:c r="H31" i="37"/>
  <x:c r="H30" i="37"/>
  <x:c r="H29" i="37"/>
  <x:c r="H28" i="37"/>
  <x:c r="H27" i="37"/>
  <x:c r="H26" i="37"/>
  <x:c r="H25" i="37"/>
  <x:c r="H24" i="37"/>
  <x:c r="H23" i="37"/>
  <x:c r="H22" i="37"/>
  <x:c r="D33" i="37"/>
  <x:c r="D32" i="37"/>
  <x:c r="D31" i="37"/>
  <x:c r="D30" i="37"/>
  <x:c r="D29" i="37"/>
  <x:c r="D28" i="37"/>
  <x:c r="D27" i="37"/>
  <x:c r="D26" i="37"/>
  <x:c r="D25" i="37"/>
  <x:c r="D24" i="37"/>
  <x:c r="D23" i="37"/>
  <x:c r="D22" i="37"/>
  <x:c r="P33" i="1"/>
  <x:c r="P32" i="1"/>
  <x:c r="P31" i="1"/>
  <x:c r="P30" i="1"/>
  <x:c r="P29" i="1"/>
  <x:c r="P28" i="1"/>
  <x:c r="P27" i="1"/>
  <x:c r="P26" i="1"/>
  <x:c r="P25" i="1"/>
  <x:c r="P24" i="1"/>
  <x:c r="P23" i="1"/>
  <x:c r="P22" i="1"/>
  <x:c r="L33" i="1"/>
  <x:c r="L32" i="1"/>
  <x:c r="L31" i="1"/>
  <x:c r="L30" i="1"/>
  <x:c r="L29" i="1"/>
  <x:c r="L28" i="1"/>
  <x:c r="L27" i="1"/>
  <x:c r="L26" i="1"/>
  <x:c r="L25" i="1"/>
  <x:c r="L24" i="1"/>
  <x:c r="L23" i="1"/>
  <x:c r="L22" i="1"/>
  <x:c r="H33" i="1"/>
  <x:c r="H32" i="1"/>
  <x:c r="H31" i="1"/>
  <x:c r="H30" i="1"/>
  <x:c r="H29" i="1"/>
  <x:c r="H28" i="1"/>
  <x:c r="H27" i="1"/>
  <x:c r="H26" i="1"/>
  <x:c r="H25" i="1"/>
  <x:c r="H24" i="1"/>
  <x:c r="H23" i="1"/>
  <x:c r="H22" i="1"/>
  <x:c r="D33" i="1"/>
  <x:c r="D32" i="1"/>
  <x:c r="D31" i="1"/>
  <x:c r="D30" i="1"/>
  <x:c r="D29" i="1"/>
  <x:c r="D28" i="1"/>
  <x:c r="D27" i="1"/>
  <x:c r="D26" i="1"/>
  <x:c r="D25" i="1"/>
  <x:c r="D24" i="1"/>
  <x:c r="D23" i="1"/>
  <x:c r="D22" i="1"/>
  <x:c r="R30" i="50" l="1"/>
  <x:c r="R27" i="50"/>
  <x:c r="N27" i="50"/>
  <x:c r="N30" i="50"/>
  <x:c r="J30" i="50"/>
  <x:c r="F30" i="50"/>
  <x:c r="J33" i="1" l="1"/>
  <x:c r="J32" i="1"/>
  <x:c r="J31" i="1"/>
  <x:c r="J30" i="1"/>
  <x:c r="J29" i="1"/>
  <x:c r="J28" i="1"/>
  <x:c r="J27" i="1"/>
  <x:c r="J26" i="1"/>
  <x:c r="J25" i="1"/>
  <x:c r="J24" i="1"/>
  <x:c r="J23" i="1"/>
  <x:c r="J22" i="1"/>
  <x:c r="F22" i="1"/>
  <x:c r="F22" i="45"/>
  <x:c r="F23" i="45"/>
  <x:c r="R33" i="45"/>
  <x:c r="R32" i="45"/>
  <x:c r="R31" i="45"/>
  <x:c r="R30" i="45"/>
  <x:c r="R29" i="45"/>
  <x:c r="R28" i="45"/>
  <x:c r="R27" i="45"/>
  <x:c r="R26" i="45"/>
  <x:c r="R25" i="45"/>
  <x:c r="R24" i="45"/>
  <x:c r="R23" i="45"/>
  <x:c r="R22" i="45"/>
  <x:c r="N33" i="45"/>
  <x:c r="N32" i="45"/>
  <x:c r="N31" i="45"/>
  <x:c r="N30" i="45"/>
  <x:c r="N29" i="45"/>
  <x:c r="N28" i="45"/>
  <x:c r="N27" i="45"/>
  <x:c r="N26" i="45"/>
  <x:c r="N25" i="45"/>
  <x:c r="N24" i="45"/>
  <x:c r="N23" i="45"/>
  <x:c r="N22" i="45"/>
  <x:c r="J33" i="45"/>
  <x:c r="J32" i="45"/>
  <x:c r="J31" i="45"/>
  <x:c r="J30" i="45"/>
  <x:c r="J29" i="45"/>
  <x:c r="J28" i="45"/>
  <x:c r="J27" i="45"/>
  <x:c r="J26" i="45"/>
  <x:c r="J25" i="45"/>
  <x:c r="J24" i="45"/>
  <x:c r="J23" i="45"/>
  <x:c r="J22" i="45"/>
  <x:c r="F33" i="45"/>
  <x:c r="F32" i="45"/>
  <x:c r="F31" i="45"/>
  <x:c r="F30" i="45"/>
  <x:c r="F29" i="45"/>
  <x:c r="F28" i="45"/>
  <x:c r="F27" i="45"/>
  <x:c r="F26" i="45"/>
  <x:c r="F25" i="45"/>
  <x:c r="F24" i="45"/>
  <x:c r="V33" i="45"/>
  <x:c r="V32" i="45"/>
  <x:c r="V31" i="45"/>
  <x:c r="V30" i="45"/>
  <x:c r="V29" i="45"/>
  <x:c r="V28" i="45"/>
  <x:c r="V27" i="45"/>
  <x:c r="V26" i="45"/>
  <x:c r="V25" i="45"/>
  <x:c r="V24" i="45"/>
  <x:c r="V23" i="45"/>
  <x:c r="V22" i="45"/>
  <x:c r="R33" i="50"/>
  <x:c r="R32" i="50"/>
  <x:c r="R31" i="50"/>
  <x:c r="R29" i="50"/>
  <x:c r="R28" i="50"/>
  <x:c r="R26" i="50"/>
  <x:c r="R25" i="50"/>
  <x:c r="R24" i="50"/>
  <x:c r="R23" i="50"/>
  <x:c r="R22" i="50"/>
  <x:c r="N33" i="50"/>
  <x:c r="N32" i="50"/>
  <x:c r="N31" i="50"/>
  <x:c r="N29" i="50"/>
  <x:c r="N28" i="50"/>
  <x:c r="N26" i="50"/>
  <x:c r="N25" i="50"/>
  <x:c r="N24" i="50"/>
  <x:c r="N23" i="50"/>
  <x:c r="N22" i="50"/>
  <x:c r="J33" i="50"/>
  <x:c r="J32" i="50"/>
  <x:c r="J31" i="50"/>
  <x:c r="J29" i="50"/>
  <x:c r="J28" i="50"/>
  <x:c r="J27" i="50"/>
  <x:c r="J26" i="50"/>
  <x:c r="J25" i="50"/>
  <x:c r="J24" i="50"/>
  <x:c r="J23" i="50"/>
  <x:c r="J22" i="50"/>
  <x:c r="F33" i="50"/>
  <x:c r="F32" i="50"/>
  <x:c r="F31" i="50"/>
  <x:c r="F29" i="50"/>
  <x:c r="F28" i="50"/>
  <x:c r="F27" i="50"/>
  <x:c r="F26" i="50"/>
  <x:c r="F25" i="50"/>
  <x:c r="F24" i="50"/>
  <x:c r="F23" i="50"/>
  <x:c r="F22" i="50"/>
  <x:c r="V33" i="50"/>
  <x:c r="V32" i="50"/>
  <x:c r="V31" i="50"/>
  <x:c r="V30" i="50"/>
  <x:c r="V29" i="50"/>
  <x:c r="V28" i="50"/>
  <x:c r="V27" i="50"/>
  <x:c r="V26" i="50"/>
  <x:c r="V25" i="50"/>
  <x:c r="V24" i="50"/>
  <x:c r="V23" i="50"/>
  <x:c r="V22" i="50"/>
  <x:c r="V33" i="48"/>
  <x:c r="V32" i="48"/>
  <x:c r="V31" i="48"/>
  <x:c r="V30" i="48"/>
  <x:c r="V29" i="48"/>
  <x:c r="V28" i="48"/>
  <x:c r="V27" i="48"/>
  <x:c r="V26" i="48"/>
  <x:c r="V25" i="48"/>
  <x:c r="V24" i="48"/>
  <x:c r="V23" i="48"/>
  <x:c r="V22" i="48"/>
  <x:c r="R33" i="42"/>
  <x:c r="R32" i="42"/>
  <x:c r="R31" i="42"/>
  <x:c r="R30" i="42"/>
  <x:c r="R29" i="42"/>
  <x:c r="R28" i="42"/>
  <x:c r="R27" i="42"/>
  <x:c r="R26" i="42"/>
  <x:c r="R25" i="42"/>
  <x:c r="R24" i="42"/>
  <x:c r="R23" i="42"/>
  <x:c r="R22" i="42"/>
  <x:c r="N33" i="42"/>
  <x:c r="N32" i="42"/>
  <x:c r="N31" i="42"/>
  <x:c r="N30" i="42"/>
  <x:c r="N29" i="42"/>
  <x:c r="N28" i="42"/>
  <x:c r="N27" i="42"/>
  <x:c r="N26" i="42"/>
  <x:c r="N25" i="42"/>
  <x:c r="N24" i="42"/>
  <x:c r="N23" i="42"/>
  <x:c r="N22" i="42"/>
  <x:c r="J33" i="42"/>
  <x:c r="J32" i="42"/>
  <x:c r="J31" i="42"/>
  <x:c r="J30" i="42"/>
  <x:c r="J29" i="42"/>
  <x:c r="J28" i="42"/>
  <x:c r="J27" i="42"/>
  <x:c r="J26" i="42"/>
  <x:c r="J25" i="42"/>
  <x:c r="J24" i="42"/>
  <x:c r="J23" i="42"/>
  <x:c r="J22" i="42"/>
  <x:c r="F33" i="42"/>
  <x:c r="F32" i="42"/>
  <x:c r="F31" i="42"/>
  <x:c r="F30" i="42"/>
  <x:c r="F29" i="42"/>
  <x:c r="F28" i="42"/>
  <x:c r="F27" i="42"/>
  <x:c r="F26" i="42"/>
  <x:c r="F25" i="42"/>
  <x:c r="F24" i="42"/>
  <x:c r="F23" i="42"/>
  <x:c r="F22" i="42"/>
  <x:c r="V33" i="42"/>
  <x:c r="V32" i="42"/>
  <x:c r="V31" i="42"/>
  <x:c r="V30" i="42"/>
  <x:c r="V29" i="42"/>
  <x:c r="V28" i="42"/>
  <x:c r="V27" i="42"/>
  <x:c r="V26" i="42"/>
  <x:c r="V25" i="42"/>
  <x:c r="V24" i="42"/>
  <x:c r="V23" i="42"/>
  <x:c r="V22" i="42"/>
  <x:c r="R33" i="41"/>
  <x:c r="R32" i="41"/>
  <x:c r="R31" i="41"/>
  <x:c r="R30" i="41"/>
  <x:c r="R29" i="41"/>
  <x:c r="R28" i="41"/>
  <x:c r="R27" i="41"/>
  <x:c r="R26" i="41"/>
  <x:c r="R25" i="41"/>
  <x:c r="R24" i="41"/>
  <x:c r="R23" i="41"/>
  <x:c r="R22" i="41"/>
  <x:c r="N33" i="41"/>
  <x:c r="N32" i="41"/>
  <x:c r="N31" i="41"/>
  <x:c r="N30" i="41"/>
  <x:c r="N29" i="41"/>
  <x:c r="N28" i="41"/>
  <x:c r="N27" i="41"/>
  <x:c r="N26" i="41"/>
  <x:c r="N25" i="41"/>
  <x:c r="N24" i="41"/>
  <x:c r="N23" i="41"/>
  <x:c r="N22" i="41"/>
  <x:c r="J33" i="41"/>
  <x:c r="J32" i="41"/>
  <x:c r="J31" i="41"/>
  <x:c r="J30" i="41"/>
  <x:c r="J29" i="41"/>
  <x:c r="J28" i="41"/>
  <x:c r="J27" i="41"/>
  <x:c r="J26" i="41"/>
  <x:c r="J25" i="41"/>
  <x:c r="J24" i="41"/>
  <x:c r="J23" i="41"/>
  <x:c r="J22" i="41"/>
  <x:c r="F33" i="41"/>
  <x:c r="F32" i="41"/>
  <x:c r="F31" i="41"/>
  <x:c r="F30" i="41"/>
  <x:c r="F29" i="41"/>
  <x:c r="F28" i="41"/>
  <x:c r="F27" i="41"/>
  <x:c r="F26" i="41"/>
  <x:c r="F25" i="41"/>
  <x:c r="F24" i="41"/>
  <x:c r="F23" i="41"/>
  <x:c r="F22" i="41"/>
  <x:c r="V33" i="41"/>
  <x:c r="V32" i="41"/>
  <x:c r="V31" i="41"/>
  <x:c r="V30" i="41"/>
  <x:c r="V29" i="41"/>
  <x:c r="V28" i="41"/>
  <x:c r="V27" i="41"/>
  <x:c r="V26" i="41"/>
  <x:c r="V25" i="41"/>
  <x:c r="V24" i="41"/>
  <x:c r="V23" i="41"/>
  <x:c r="V22" i="41"/>
  <x:c r="R33" i="40"/>
  <x:c r="R32" i="40"/>
  <x:c r="R31" i="40"/>
  <x:c r="R30" i="40"/>
  <x:c r="R29" i="40"/>
  <x:c r="R28" i="40"/>
  <x:c r="R27" i="40"/>
  <x:c r="R26" i="40"/>
  <x:c r="R25" i="40"/>
  <x:c r="R24" i="40"/>
  <x:c r="R23" i="40"/>
  <x:c r="R22" i="40"/>
  <x:c r="N33" i="40"/>
  <x:c r="N32" i="40"/>
  <x:c r="N31" i="40"/>
  <x:c r="N30" i="40"/>
  <x:c r="N29" i="40"/>
  <x:c r="N28" i="40"/>
  <x:c r="N27" i="40"/>
  <x:c r="N26" i="40"/>
  <x:c r="N25" i="40"/>
  <x:c r="N24" i="40"/>
  <x:c r="N23" i="40"/>
  <x:c r="N22" i="40"/>
  <x:c r="J33" i="40"/>
  <x:c r="J32" i="40"/>
  <x:c r="J31" i="40"/>
  <x:c r="J30" i="40"/>
  <x:c r="J29" i="40"/>
  <x:c r="J28" i="40"/>
  <x:c r="J27" i="40"/>
  <x:c r="J26" i="40"/>
  <x:c r="J25" i="40"/>
  <x:c r="J24" i="40"/>
  <x:c r="J23" i="40"/>
  <x:c r="J22" i="40"/>
  <x:c r="F33" i="40"/>
  <x:c r="F32" i="40"/>
  <x:c r="F31" i="40"/>
  <x:c r="F30" i="40"/>
  <x:c r="F29" i="40"/>
  <x:c r="F28" i="40"/>
  <x:c r="F27" i="40"/>
  <x:c r="F26" i="40"/>
  <x:c r="F25" i="40"/>
  <x:c r="F24" i="40"/>
  <x:c r="F23" i="40"/>
  <x:c r="R33" i="38"/>
  <x:c r="R32" i="38"/>
  <x:c r="R31" i="38"/>
  <x:c r="R30" i="38"/>
  <x:c r="R29" i="38"/>
  <x:c r="R28" i="38"/>
  <x:c r="R27" i="38"/>
  <x:c r="R26" i="38"/>
  <x:c r="R25" i="38"/>
  <x:c r="R24" i="38"/>
  <x:c r="R23" i="38"/>
  <x:c r="R22" i="38"/>
  <x:c r="N33" i="38"/>
  <x:c r="N32" i="38"/>
  <x:c r="N31" i="38"/>
  <x:c r="N30" i="38"/>
  <x:c r="N29" i="38"/>
  <x:c r="N28" i="38"/>
  <x:c r="N27" i="38"/>
  <x:c r="N26" i="38"/>
  <x:c r="N25" i="38"/>
  <x:c r="N24" i="38"/>
  <x:c r="N23" i="38"/>
  <x:c r="N22" i="38"/>
  <x:c r="T34" i="50" l="1"/>
  <x:c r="J33" i="38"/>
  <x:c r="J32" i="38"/>
  <x:c r="J31" i="38"/>
  <x:c r="J30" i="38"/>
  <x:c r="J29" i="38"/>
  <x:c r="J28" i="38"/>
  <x:c r="J27" i="38"/>
  <x:c r="J26" i="38"/>
  <x:c r="J25" i="38"/>
  <x:c r="J24" i="38"/>
  <x:c r="J23" i="38"/>
  <x:c r="J22" i="38"/>
  <x:c r="F33" i="38"/>
  <x:c r="F32" i="38"/>
  <x:c r="F31" i="38"/>
  <x:c r="F30" i="38"/>
  <x:c r="F29" i="38"/>
  <x:c r="F28" i="38"/>
  <x:c r="F27" i="38"/>
  <x:c r="F26" i="38"/>
  <x:c r="F25" i="38"/>
  <x:c r="F24" i="38"/>
  <x:c r="F23" i="38"/>
  <x:c r="F22" i="38"/>
  <x:c r="F22" i="40"/>
  <x:c r="V33" i="40"/>
  <x:c r="V32" i="40"/>
  <x:c r="V31" i="40"/>
  <x:c r="V30" i="40"/>
  <x:c r="V29" i="40"/>
  <x:c r="V28" i="40"/>
  <x:c r="V27" i="40"/>
  <x:c r="V26" i="40"/>
  <x:c r="V25" i="40"/>
  <x:c r="V24" i="40"/>
  <x:c r="V23" i="40"/>
  <x:c r="V22" i="40"/>
  <x:c r="R33" i="39"/>
  <x:c r="R32" i="39"/>
  <x:c r="R31" i="39"/>
  <x:c r="R30" i="39"/>
  <x:c r="R29" i="39"/>
  <x:c r="R28" i="39"/>
  <x:c r="R27" i="39"/>
  <x:c r="R26" i="39"/>
  <x:c r="R25" i="39"/>
  <x:c r="R24" i="39"/>
  <x:c r="R23" i="39"/>
  <x:c r="R22" i="39"/>
  <x:c r="N33" i="39"/>
  <x:c r="N32" i="39"/>
  <x:c r="N31" i="39"/>
  <x:c r="N30" i="39"/>
  <x:c r="N29" i="39"/>
  <x:c r="N28" i="39"/>
  <x:c r="N27" i="39"/>
  <x:c r="N26" i="39"/>
  <x:c r="N25" i="39"/>
  <x:c r="N24" i="39"/>
  <x:c r="N23" i="39"/>
  <x:c r="N22" i="39"/>
  <x:c r="J33" i="39"/>
  <x:c r="J32" i="39"/>
  <x:c r="J31" i="39"/>
  <x:c r="J30" i="39"/>
  <x:c r="J29" i="39"/>
  <x:c r="J28" i="39"/>
  <x:c r="J27" i="39"/>
  <x:c r="J26" i="39"/>
  <x:c r="J25" i="39"/>
  <x:c r="J24" i="39"/>
  <x:c r="J23" i="39"/>
  <x:c r="J22" i="39"/>
  <x:c r="F33" i="39"/>
  <x:c r="F32" i="39"/>
  <x:c r="F31" i="39"/>
  <x:c r="F30" i="39"/>
  <x:c r="F29" i="39"/>
  <x:c r="F28" i="39"/>
  <x:c r="F27" i="39"/>
  <x:c r="F26" i="39"/>
  <x:c r="F25" i="39"/>
  <x:c r="F24" i="39"/>
  <x:c r="F23" i="39"/>
  <x:c r="F22" i="39"/>
  <x:c r="V33" i="39"/>
  <x:c r="V32" i="39"/>
  <x:c r="V31" i="39"/>
  <x:c r="V30" i="39"/>
  <x:c r="V29" i="39"/>
  <x:c r="V28" i="39"/>
  <x:c r="V27" i="39"/>
  <x:c r="V26" i="39"/>
  <x:c r="V25" i="39"/>
  <x:c r="V24" i="39"/>
  <x:c r="V23" i="39"/>
  <x:c r="V22" i="39"/>
  <x:c r="V25" i="38" l="1"/>
  <x:c r="V24" i="38"/>
  <x:c r="R24" i="37"/>
  <x:c r="J32" i="37"/>
  <x:c r="J31" i="37"/>
  <x:c r="R33" i="1"/>
  <x:c r="R32" i="1"/>
  <x:c r="J24" i="37"/>
  <x:c r="R25" i="1"/>
  <x:c r="N25" i="1"/>
  <x:c r="N24" i="1"/>
  <x:c r="F25" i="1"/>
  <x:c r="V30" i="38" l="1"/>
  <x:c r="N26" i="1"/>
  <x:c r="R26" i="1"/>
  <x:c r="F26" i="1"/>
  <x:c r="F25" i="37"/>
  <x:c r="R25" i="37"/>
  <x:c r="V25" i="37"/>
  <x:c r="N25" i="37"/>
  <x:c r="J25" i="37"/>
  <x:c r="N24" i="37"/>
  <x:c r="R24" i="1"/>
  <x:c r="R22" i="37"/>
  <x:c r="N22" i="37"/>
  <x:c r="J22" i="37"/>
  <x:c r="F22" i="37"/>
  <x:c r="V22" i="37"/>
  <x:c r="V26" i="37"/>
  <x:c r="R26" i="37"/>
  <x:c r="J26" i="37"/>
  <x:c r="N26" i="37"/>
  <x:c r="F26" i="37"/>
  <x:c r="V26" i="38"/>
  <x:c r="V33" i="38"/>
  <x:c r="R27" i="1"/>
  <x:c r="F27" i="1"/>
  <x:c r="N27" i="1"/>
  <x:c r="V27" i="38"/>
  <x:c r="F24" i="1"/>
  <x:c r="N31" i="1"/>
  <x:c r="R31" i="1"/>
  <x:c r="F31" i="1"/>
  <x:c r="R28" i="1"/>
  <x:c r="N28" i="1"/>
  <x:c r="F28" i="1"/>
  <x:c r="V29" i="38"/>
  <x:c r="R33" i="37"/>
  <x:c r="N33" i="37"/>
  <x:c r="J33" i="37"/>
  <x:c r="F33" i="37"/>
  <x:c r="V33" i="37"/>
  <x:c r="N30" i="37"/>
  <x:c r="F30" i="37"/>
  <x:c r="R30" i="37"/>
  <x:c r="J30" i="37"/>
  <x:c r="V30" i="37"/>
  <x:c r="V24" i="37"/>
  <x:c r="R28" i="37"/>
  <x:c r="N28" i="37"/>
  <x:c r="J28" i="37"/>
  <x:c r="F28" i="37"/>
  <x:c r="V28" i="37"/>
  <x:c r="N29" i="1"/>
  <x:c r="F29" i="1"/>
  <x:c r="R29" i="1"/>
  <x:c r="F24" i="37"/>
  <x:c r="N30" i="1"/>
  <x:c r="R30" i="1"/>
  <x:c r="F30" i="1"/>
  <x:c r="V32" i="38"/>
  <x:c r="N27" i="37"/>
  <x:c r="F27" i="37"/>
  <x:c r="R27" i="37"/>
  <x:c r="J27" i="37"/>
  <x:c r="V27" i="37"/>
  <x:c r="R22" i="1"/>
  <x:c r="N22" i="1"/>
  <x:c r="F29" i="37"/>
  <x:c r="J29" i="37"/>
  <x:c r="N29" i="37"/>
  <x:c r="V29" i="37"/>
  <x:c r="R29" i="37"/>
  <x:c r="V28" i="38"/>
  <x:c r="R31" i="37"/>
  <x:c r="V31" i="37"/>
  <x:c r="F31" i="37"/>
  <x:c r="V31" i="38"/>
  <x:c r="N32" i="1"/>
  <x:c r="F32" i="37"/>
  <x:c r="R32" i="37"/>
  <x:c r="N31" i="37"/>
  <x:c r="V32" i="37"/>
  <x:c r="N32" i="37"/>
  <x:c r="F33" i="1"/>
  <x:c r="N33" i="1"/>
  <x:c r="F32" i="1"/>
  <x:c r="V22" i="38"/>
  <x:c r="V33" i="1"/>
  <x:c r="V32" i="1"/>
  <x:c r="V31" i="1"/>
  <x:c r="V30" i="1"/>
  <x:c r="V29" i="1"/>
  <x:c r="V28" i="1"/>
  <x:c r="V27" i="1"/>
  <x:c r="V26" i="1"/>
  <x:c r="V25" i="1"/>
  <x:c r="V24" i="1"/>
  <x:c r="V22" i="1"/>
  <x:c r="V23" i="38" l="1"/>
  <x:c r="N23" i="1"/>
  <x:c r="R23" i="1"/>
  <x:c r="V23" i="1"/>
  <x:c r="F23" i="1"/>
  <x:c r="N23" i="37"/>
  <x:c r="J23" i="37"/>
  <x:c r="V23" i="37"/>
  <x:c r="F23" i="37"/>
  <x:c r="R23" i="37"/>
  <x:c r="V34" i="50"/>
  <x:c r="D32" i="42" l="1"/>
  <x:c r="D31" i="42"/>
  <x:c r="P33" i="42" l="1"/>
  <x:c r="P32" i="42"/>
  <x:c r="P31" i="42"/>
  <x:c r="P30" i="42"/>
  <x:c r="P29" i="42"/>
  <x:c r="P28" i="42"/>
  <x:c r="P27" i="42"/>
  <x:c r="P26" i="42"/>
  <x:c r="P25" i="42"/>
  <x:c r="P24" i="42"/>
  <x:c r="P23" i="42"/>
  <x:c r="P22" i="42"/>
  <x:c r="L33" i="42"/>
  <x:c r="L32" i="42"/>
  <x:c r="L31" i="42"/>
  <x:c r="L30" i="42"/>
  <x:c r="L29" i="42"/>
  <x:c r="L28" i="42"/>
  <x:c r="L27" i="42"/>
  <x:c r="L26" i="42"/>
  <x:c r="L25" i="42"/>
  <x:c r="L24" i="42"/>
  <x:c r="L23" i="42"/>
  <x:c r="L22" i="42"/>
  <x:c r="H33" i="42"/>
  <x:c r="H32" i="42"/>
  <x:c r="H31" i="42"/>
  <x:c r="H30" i="42"/>
  <x:c r="H29" i="42"/>
  <x:c r="H28" i="42"/>
  <x:c r="H27" i="42"/>
  <x:c r="H26" i="42"/>
  <x:c r="H25" i="42"/>
  <x:c r="H24" i="42"/>
  <x:c r="H23" i="42"/>
  <x:c r="H22" i="42"/>
  <x:c r="D33" i="42"/>
  <x:c r="D30" i="42"/>
  <x:c r="D29" i="42"/>
  <x:c r="D28" i="42"/>
  <x:c r="D27" i="42"/>
  <x:c r="D26" i="42"/>
  <x:c r="D25" i="42"/>
  <x:c r="D24" i="42"/>
  <x:c r="D23" i="42"/>
  <x:c r="D22" i="42"/>
  <x:c r="T32" i="42" l="1"/>
  <x:c r="T30" i="42"/>
  <x:c r="T33" i="42"/>
  <x:c r="T22" i="42"/>
  <x:c r="T23" i="42"/>
  <x:c r="T24" i="42"/>
  <x:c r="T25" i="42"/>
  <x:c r="T26" i="42"/>
  <x:c r="T27" i="42"/>
  <x:c r="T31" i="42"/>
  <x:c r="T28" i="42"/>
  <x:c r="T29" i="42"/>
  <x:c r="V34" i="48" l="1"/>
  <x:c r="V34" i="45" l="1"/>
  <x:c r="V34" i="42" l="1"/>
  <x:c r="T34" i="42"/>
  <x:c r="V34" i="41"/>
  <x:c r="V34" i="40"/>
  <x:c r="V34" i="39"/>
  <x:c r="V34" i="38"/>
  <x:c r="V34" i="37"/>
  <x:c r="V34" i="1" l="1"/>
  <x:c r="T34" i="41" l="1"/>
  <x:c r="T34" i="45" l="1"/>
  <x:c r="T34" i="40"/>
  <x:c r="T34" i="39"/>
  <x:c r="T34" i="48" l="1"/>
  <x:c r="T34" i="1"/>
  <x:c r="T34" i="38"/>
  <x:c r="T34" i="37"/>
</x:calcChain>
</file>

<file path=xl/sharedStrings.xml><?xml version="1.0" encoding="utf-8"?>
<sst xmlns="http://schemas.openxmlformats.org/spreadsheetml/2006/main" count="651" uniqueCount="82">
  <si>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</si>
  <si>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</si>
  <si>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</si>
  <si>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</si>
  <si>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</si>
  <si>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</si>
  <si>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</si>
  <si>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</si>
  <si>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</si>
  <si>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</si>
  <si>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</si>
  <si>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</si>
  <si>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</si>
  <si>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</si>
  <si>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</si>
  <si>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</si>
  <si>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</si>
  <si>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</si>
  <si>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</si>
  <si>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</si>
  <si>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</si>
  <si>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</si>
  <si>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</si>
  <si>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</si>
  <si>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</si>
  <si>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</si>
  <si>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</si>
  <si>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</si>
  <si>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</si>
  <si>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</si>
  <si>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</si>
  <si>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</si>
  <si>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</si>
  <si>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</si>
  <si>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</si>
  <si>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</si>
  <si>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</si>
  <si>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</si>
  <si>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    ( c )</t>
  </si>
  <si>
    <t xml:space="preserve">      ( e )</t>
  </si>
  <si>
    <t xml:space="preserve">      ( f )</t>
  </si>
  <si>
    <t>Voltage Level  =  Primary</t>
  </si>
  <si>
    <t>ONCOR ELECTRIC DELIVERY COMPANY LLC</t>
  </si>
  <si>
    <t xml:space="preserve">Rate Class     =  Primary Service Greater Than 10kW - Substation </t>
  </si>
  <si>
    <t xml:space="preserve">Rate Class     =  Primary Service Greater Than 10 kW - Distribution Line </t>
  </si>
  <si>
    <t>SPONSOR:  D. E. NELSON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</si>
  <si>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</si>
  <si>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</si>
  <si>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</si>
  <si>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</si>
  <si>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</si>
  <si>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</si>
  <si>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</si>
  <si>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</si>
  <si>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( d )</t>
  </si>
  <si>
    <t xml:space="preserve">      ( g )</t>
  </si>
  <si>
    <t xml:space="preserve">      ( h )</t>
  </si>
  <si>
    <t xml:space="preserve">           ( i )</t>
  </si>
  <si>
    <t xml:space="preserve">          ( j )</t>
  </si>
  <si>
    <t>*     AT SOURCE(BUSBAR)</t>
  </si>
  <si>
    <t xml:space="preserve">  CLASS</t>
  </si>
  <si>
    <t xml:space="preserve">   ( k )</t>
  </si>
  <si>
    <t xml:space="preserve">   ( l )</t>
  </si>
  <si>
    <t xml:space="preserve"> LOAD+</t>
  </si>
  <si>
    <t xml:space="preserve">     FACTOR</t>
  </si>
  <si>
    <t>FOR THE TEST YEAR ENDING  DECEMBER 31, 2024</t>
  </si>
  <si>
    <t>ADJUSTED TEST YEAR LOAD DATA</t>
  </si>
  <si>
    <t xml:space="preserve">TEST YEAR 2024 </t>
  </si>
  <si>
    <t xml:space="preserve">TEST YEAR 2024  </t>
  </si>
  <si>
    <t xml:space="preserve">TEST YEAR 2024   </t>
  </si>
  <si>
    <t>TEST YEAR 2024</t>
  </si>
  <si>
    <t xml:space="preserve">                   SCHEDULE  II-H-1.4</t>
  </si>
  <si>
    <t xml:space="preserve">                   PAGE   1  OF  10</t>
  </si>
  <si>
    <t xml:space="preserve">                   PAGE   2  OF  10</t>
  </si>
  <si>
    <t xml:space="preserve">                   PAGE   3  OF  10</t>
  </si>
  <si>
    <t xml:space="preserve">                   PAGE   4  OF  10</t>
  </si>
  <si>
    <t xml:space="preserve">                   PAGE   5  OF  10</t>
  </si>
  <si>
    <t xml:space="preserve">                   PAGE   6  OF  10</t>
  </si>
  <si>
    <t xml:space="preserve">                   PAGE   7  OF  10</t>
  </si>
  <si>
    <t xml:space="preserve">                   PAGE   8  OF  10</t>
  </si>
  <si>
    <t xml:space="preserve">                   PAGE   9  OF  10</t>
  </si>
  <si>
    <t xml:space="preserve">                   PAGE   10  OF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</si>
</sst>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* #,##0_);_(* \(#,##0\);_(* &quot;-&quot;??_);_(@_)"/>
  </numFmts>
  <fonts count="10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i/>
      <sz val="14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3" fontId="2" fillId="0" borderId="1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4" fillId="0" borderId="0" xfId="0" applyFont="1"/>
    <xf numFmtId="0" fontId="2" fillId="0" borderId="1" xfId="0" applyFont="1" applyBorder="1"/>
    <xf numFmtId="164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Border="1"/>
    <xf numFmtId="3" fontId="2" fillId="0" borderId="2" xfId="0" applyNumberFormat="1" applyFont="1" applyBorder="1"/>
    <xf numFmtId="3" fontId="5" fillId="0" borderId="0" xfId="0" applyNumberFormat="1" applyFont="1"/>
    <xf numFmtId="164" fontId="2" fillId="0" borderId="0" xfId="0" applyNumberFormat="1" applyFont="1" applyAlignment="1">
      <alignment horizontal="centerContinuous"/>
    </xf>
    <xf numFmtId="164" fontId="2" fillId="0" borderId="1" xfId="0" applyNumberFormat="1" applyFont="1" applyBorder="1"/>
    <xf numFmtId="3" fontId="6" fillId="0" borderId="0" xfId="0" applyNumberFormat="1" applyFont="1" applyFill="1" applyBorder="1" applyAlignment="1" applyProtection="1">
      <alignment horizontal="right" wrapText="1"/>
    </xf>
    <xf numFmtId="164" fontId="6" fillId="0" borderId="0" xfId="0" applyNumberFormat="1" applyFont="1" applyFill="1" applyBorder="1" applyAlignment="1" applyProtection="1">
      <alignment wrapText="1"/>
    </xf>
    <xf numFmtId="0" fontId="2" fillId="0" borderId="0" xfId="0" applyFont="1" applyBorder="1"/>
    <xf numFmtId="164" fontId="2" fillId="0" borderId="0" xfId="0" applyNumberFormat="1" applyFont="1" applyBorder="1"/>
    <xf numFmtId="3" fontId="6" fillId="0" borderId="2" xfId="0" applyNumberFormat="1" applyFont="1" applyFill="1" applyBorder="1" applyAlignment="1" applyProtection="1">
      <alignment horizontal="right" wrapText="1"/>
    </xf>
    <xf numFmtId="3" fontId="7" fillId="0" borderId="0" xfId="0" applyNumberFormat="1" applyFont="1"/>
    <xf numFmtId="3" fontId="8" fillId="0" borderId="0" xfId="0" applyNumberFormat="1" applyFont="1"/>
    <xf numFmtId="165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_H-1.3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</sheetNames>
    <sheetDataSet>
      <sheetData sheetId="0">
        <row r="16">
          <cell r="I16">
            <v>3884799069</v>
          </cell>
          <cell r="S16">
            <v>4130810086.1340179</v>
          </cell>
        </row>
        <row r="18">
          <cell r="I18">
            <v>4369476711</v>
          </cell>
          <cell r="S18">
            <v>4166294000.1782126</v>
          </cell>
        </row>
        <row r="20">
          <cell r="I20">
            <v>2864895715</v>
          </cell>
          <cell r="S20">
            <v>3483901593.4050093</v>
          </cell>
        </row>
        <row r="22">
          <cell r="I22">
            <v>2567719084</v>
          </cell>
          <cell r="S22">
            <v>2758724641.8460059</v>
          </cell>
        </row>
        <row r="24">
          <cell r="I24">
            <v>2847728240</v>
          </cell>
          <cell r="S24">
            <v>2817918659.80615</v>
          </cell>
        </row>
        <row r="26">
          <cell r="I26">
            <v>4020165256</v>
          </cell>
          <cell r="S26">
            <v>3917797202.1032481</v>
          </cell>
        </row>
        <row r="28">
          <cell r="I28">
            <v>5330209277</v>
          </cell>
          <cell r="S28">
            <v>5133309678.7660027</v>
          </cell>
        </row>
        <row r="30">
          <cell r="I30">
            <v>5231402182</v>
          </cell>
          <cell r="S30">
            <v>5488768989.8877592</v>
          </cell>
        </row>
        <row r="32">
          <cell r="I32">
            <v>5412684327</v>
          </cell>
          <cell r="S32">
            <v>5244926389.6519175</v>
          </cell>
        </row>
        <row r="34">
          <cell r="I34">
            <v>4038580722</v>
          </cell>
          <cell r="S34">
            <v>3941290241.6021471</v>
          </cell>
        </row>
        <row r="36">
          <cell r="I36">
            <v>3171304865</v>
          </cell>
          <cell r="S36">
            <v>3015304235.5452461</v>
          </cell>
        </row>
        <row r="38">
          <cell r="I38">
            <v>2849753101</v>
          </cell>
          <cell r="S38">
            <v>3137761012.4411111</v>
          </cell>
        </row>
      </sheetData>
      <sheetData sheetId="1">
        <row r="16">
          <cell r="I16">
            <v>134257971</v>
          </cell>
          <cell r="S16">
            <v>139842246.94563949</v>
          </cell>
        </row>
        <row r="18">
          <cell r="I18">
            <v>139887812</v>
          </cell>
          <cell r="S18">
            <v>143735674.53475183</v>
          </cell>
        </row>
        <row r="20">
          <cell r="I20">
            <v>118473906</v>
          </cell>
          <cell r="S20">
            <v>128223477.50929533</v>
          </cell>
        </row>
        <row r="22">
          <cell r="I22">
            <v>114874325</v>
          </cell>
          <cell r="S22">
            <v>117776841.67615163</v>
          </cell>
        </row>
        <row r="24">
          <cell r="I24">
            <v>113825311</v>
          </cell>
          <cell r="S24">
            <v>114154969.95788771</v>
          </cell>
        </row>
        <row r="26">
          <cell r="I26">
            <v>129555083</v>
          </cell>
          <cell r="S26">
            <v>128740363.00880259</v>
          </cell>
        </row>
        <row r="28">
          <cell r="I28">
            <v>144881441</v>
          </cell>
          <cell r="S28">
            <v>143004785.31520325</v>
          </cell>
        </row>
        <row r="30">
          <cell r="I30">
            <v>144120595</v>
          </cell>
          <cell r="S30">
            <v>148105160.16863996</v>
          </cell>
        </row>
        <row r="32">
          <cell r="I32">
            <v>149046929</v>
          </cell>
          <cell r="S32">
            <v>146734280.82887089</v>
          </cell>
        </row>
        <row r="34">
          <cell r="I34">
            <v>132861496</v>
          </cell>
          <cell r="S34">
            <v>131669831.11136192</v>
          </cell>
        </row>
        <row r="36">
          <cell r="I36">
            <v>125569322</v>
          </cell>
          <cell r="S36">
            <v>123472176.56168461</v>
          </cell>
        </row>
        <row r="38">
          <cell r="I38">
            <v>119744149</v>
          </cell>
          <cell r="S38">
            <v>121771937.75745578</v>
          </cell>
        </row>
      </sheetData>
      <sheetData sheetId="2">
        <row r="16">
          <cell r="I16">
            <v>2084514076</v>
          </cell>
          <cell r="S16">
            <v>2138600793.5176225</v>
          </cell>
        </row>
        <row r="18">
          <cell r="I18">
            <v>2208290507</v>
          </cell>
          <cell r="S18">
            <v>2184175238.9527702</v>
          </cell>
        </row>
        <row r="20">
          <cell r="I20">
            <v>2004090589</v>
          </cell>
          <cell r="S20">
            <v>2033271130.1892009</v>
          </cell>
        </row>
        <row r="22">
          <cell r="I22">
            <v>1995516212</v>
          </cell>
          <cell r="S22">
            <v>2011080579.2058601</v>
          </cell>
        </row>
        <row r="24">
          <cell r="I24">
            <v>2122032481</v>
          </cell>
          <cell r="S24">
            <v>2088122755.7362583</v>
          </cell>
        </row>
        <row r="26">
          <cell r="I26">
            <v>2537541941</v>
          </cell>
          <cell r="S26">
            <v>2489897991.8662014</v>
          </cell>
        </row>
        <row r="28">
          <cell r="I28">
            <v>2919070528</v>
          </cell>
          <cell r="S28">
            <v>2850592216.103189</v>
          </cell>
        </row>
        <row r="30">
          <cell r="I30">
            <v>2909968515</v>
          </cell>
          <cell r="S30">
            <v>2952488009.6183963</v>
          </cell>
        </row>
        <row r="32">
          <cell r="I32">
            <v>3003691540</v>
          </cell>
          <cell r="S32">
            <v>2958992198.9678431</v>
          </cell>
        </row>
        <row r="34">
          <cell r="I34">
            <v>2548274691</v>
          </cell>
          <cell r="S34">
            <v>2517930619.2669039</v>
          </cell>
        </row>
        <row r="36">
          <cell r="I36">
            <v>2277436942</v>
          </cell>
          <cell r="S36">
            <v>2185068690.7338939</v>
          </cell>
        </row>
        <row r="38">
          <cell r="I38">
            <v>1963848362</v>
          </cell>
          <cell r="S38">
            <v>1980793951.772557</v>
          </cell>
        </row>
      </sheetData>
      <sheetData sheetId="3">
        <row r="16">
          <cell r="I16">
            <v>1492735008</v>
          </cell>
          <cell r="S16">
            <v>1530095321.6580808</v>
          </cell>
        </row>
        <row r="18">
          <cell r="I18">
            <v>1506024424</v>
          </cell>
          <cell r="S18">
            <v>1508814406.0633922</v>
          </cell>
        </row>
        <row r="20">
          <cell r="I20">
            <v>1491444468</v>
          </cell>
          <cell r="S20">
            <v>1532710245.3676043</v>
          </cell>
        </row>
        <row r="22">
          <cell r="I22">
            <v>1515063060</v>
          </cell>
          <cell r="S22">
            <v>1546805154.9437017</v>
          </cell>
        </row>
        <row r="24">
          <cell r="I24">
            <v>1513871427</v>
          </cell>
          <cell r="S24">
            <v>1503840793.4456718</v>
          </cell>
        </row>
        <row r="26">
          <cell r="I26">
            <v>1679481052</v>
          </cell>
          <cell r="S26">
            <v>1669607149.21613</v>
          </cell>
        </row>
        <row r="28">
          <cell r="I28">
            <v>1798253867</v>
          </cell>
          <cell r="S28">
            <v>1782916331.4959772</v>
          </cell>
        </row>
        <row r="30">
          <cell r="I30">
            <v>1786784772</v>
          </cell>
          <cell r="S30">
            <v>1840682992.886256</v>
          </cell>
        </row>
        <row r="32">
          <cell r="I32">
            <v>1839584015</v>
          </cell>
          <cell r="S32">
            <v>1817047552.0261362</v>
          </cell>
        </row>
        <row r="34">
          <cell r="I34">
            <v>1691268577</v>
          </cell>
          <cell r="S34">
            <v>1672181881.2947989</v>
          </cell>
        </row>
        <row r="36">
          <cell r="I36">
            <v>1606937303</v>
          </cell>
          <cell r="S36">
            <v>1541868602.1856182</v>
          </cell>
        </row>
        <row r="38">
          <cell r="I38">
            <v>1488553066</v>
          </cell>
          <cell r="S38">
            <v>1501397443.4474671</v>
          </cell>
        </row>
      </sheetData>
      <sheetData sheetId="4">
        <row r="16">
          <cell r="I16">
            <v>2586812</v>
          </cell>
          <cell r="S16">
            <v>2573676.8073627418</v>
          </cell>
        </row>
        <row r="18">
          <cell r="I18">
            <v>2004241</v>
          </cell>
          <cell r="S18">
            <v>2036064.6581335061</v>
          </cell>
        </row>
        <row r="20">
          <cell r="I20">
            <v>2043802</v>
          </cell>
          <cell r="S20">
            <v>2069547.5678294573</v>
          </cell>
        </row>
        <row r="22">
          <cell r="I22">
            <v>2059549</v>
          </cell>
          <cell r="S22">
            <v>2100418.3848405988</v>
          </cell>
        </row>
        <row r="24">
          <cell r="I24">
            <v>2290076</v>
          </cell>
          <cell r="S24">
            <v>2331727.2685936992</v>
          </cell>
        </row>
        <row r="26">
          <cell r="I26">
            <v>1956123</v>
          </cell>
          <cell r="S26">
            <v>1987182.6328580687</v>
          </cell>
        </row>
        <row r="28">
          <cell r="I28">
            <v>1963848</v>
          </cell>
          <cell r="S28">
            <v>1987944.2944785275</v>
          </cell>
        </row>
        <row r="30">
          <cell r="I30">
            <v>1933746</v>
          </cell>
          <cell r="S30">
            <v>1955578.6161290323</v>
          </cell>
        </row>
        <row r="32">
          <cell r="I32">
            <v>1949482</v>
          </cell>
          <cell r="S32">
            <v>1957599.6380525304</v>
          </cell>
        </row>
        <row r="34">
          <cell r="I34">
            <v>1953320</v>
          </cell>
          <cell r="S34">
            <v>1953943.267389917</v>
          </cell>
        </row>
        <row r="36">
          <cell r="I36">
            <v>2000188</v>
          </cell>
          <cell r="S36">
            <v>1995096.8437798282</v>
          </cell>
        </row>
        <row r="38">
          <cell r="I38">
            <v>2258595</v>
          </cell>
          <cell r="S38">
            <v>2258595</v>
          </cell>
        </row>
      </sheetData>
      <sheetData sheetId="5">
        <row r="16">
          <cell r="I16">
            <v>159511720</v>
          </cell>
          <cell r="S16">
            <v>153919363.52096474</v>
          </cell>
        </row>
        <row r="18">
          <cell r="I18">
            <v>141685660</v>
          </cell>
          <cell r="S18">
            <v>136600938.53903818</v>
          </cell>
        </row>
        <row r="20">
          <cell r="I20">
            <v>54954202</v>
          </cell>
          <cell r="S20">
            <v>52655212.156101264</v>
          </cell>
        </row>
        <row r="22">
          <cell r="I22">
            <v>147642591</v>
          </cell>
          <cell r="S22">
            <v>142688590.19828644</v>
          </cell>
        </row>
        <row r="24">
          <cell r="I24">
            <v>122442100</v>
          </cell>
          <cell r="S24">
            <v>118714315.97851689</v>
          </cell>
        </row>
        <row r="26">
          <cell r="I26">
            <v>148161541</v>
          </cell>
          <cell r="S26">
            <v>143265134.89966804</v>
          </cell>
        </row>
        <row r="28">
          <cell r="I28">
            <v>172983745</v>
          </cell>
          <cell r="S28">
            <v>168162499.48564237</v>
          </cell>
        </row>
        <row r="30">
          <cell r="I30">
            <v>183402195</v>
          </cell>
          <cell r="S30">
            <v>179725285.9437758</v>
          </cell>
        </row>
        <row r="32">
          <cell r="I32">
            <v>177189770</v>
          </cell>
          <cell r="S32">
            <v>174352260.56442899</v>
          </cell>
        </row>
        <row r="34">
          <cell r="I34">
            <v>151490414</v>
          </cell>
          <cell r="S34">
            <v>150032390.01338729</v>
          </cell>
        </row>
        <row r="36">
          <cell r="I36">
            <v>94001743</v>
          </cell>
          <cell r="S36">
            <v>92282344.038914323</v>
          </cell>
        </row>
        <row r="38">
          <cell r="I38">
            <v>132222507</v>
          </cell>
          <cell r="S38">
            <v>131949497.88785301</v>
          </cell>
        </row>
      </sheetData>
      <sheetData sheetId="6">
        <row r="16">
          <cell r="I16">
            <v>1672071164</v>
          </cell>
          <cell r="S16">
            <v>1787074028.0175488</v>
          </cell>
        </row>
        <row r="18">
          <cell r="I18">
            <v>1636791716</v>
          </cell>
          <cell r="S18">
            <v>1745539992.2827094</v>
          </cell>
        </row>
        <row r="20">
          <cell r="I20">
            <v>1374492571</v>
          </cell>
          <cell r="S20">
            <v>1458918373.3657715</v>
          </cell>
        </row>
        <row r="22">
          <cell r="I22">
            <v>1666181567</v>
          </cell>
          <cell r="S22">
            <v>1786791984.5016689</v>
          </cell>
        </row>
        <row r="24">
          <cell r="I24">
            <v>1451344173</v>
          </cell>
          <cell r="S24">
            <v>1502471349.8376455</v>
          </cell>
        </row>
        <row r="26">
          <cell r="I26">
            <v>1676588618</v>
          </cell>
          <cell r="S26">
            <v>1730104073.6902752</v>
          </cell>
        </row>
        <row r="28">
          <cell r="I28">
            <v>1744008824</v>
          </cell>
          <cell r="S28">
            <v>1807722578.1021664</v>
          </cell>
        </row>
        <row r="30">
          <cell r="I30">
            <v>1710780737</v>
          </cell>
          <cell r="S30">
            <v>1786368891.6558959</v>
          </cell>
        </row>
        <row r="32">
          <cell r="I32">
            <v>1757195180</v>
          </cell>
          <cell r="S32">
            <v>1771373620.757036</v>
          </cell>
        </row>
        <row r="34">
          <cell r="I34">
            <v>1745079579</v>
          </cell>
          <cell r="S34">
            <v>1770462525.7817426</v>
          </cell>
        </row>
        <row r="36">
          <cell r="I36">
            <v>1721593632</v>
          </cell>
          <cell r="S36">
            <v>1728426290.8035865</v>
          </cell>
        </row>
        <row r="38">
          <cell r="I38">
            <v>1720853256</v>
          </cell>
          <cell r="S38">
            <v>1717300089.2191296</v>
          </cell>
        </row>
      </sheetData>
      <sheetData sheetId="7">
        <row r="16">
          <cell r="I16">
            <v>760814668</v>
          </cell>
          <cell r="S16">
            <v>822607109.79764247</v>
          </cell>
        </row>
        <row r="18">
          <cell r="I18">
            <v>691893196</v>
          </cell>
          <cell r="S18">
            <v>743213741.28605783</v>
          </cell>
        </row>
        <row r="20">
          <cell r="I20">
            <v>1187200324</v>
          </cell>
          <cell r="S20">
            <v>1252144273.1322877</v>
          </cell>
        </row>
        <row r="22">
          <cell r="I22">
            <v>807261095</v>
          </cell>
          <cell r="S22">
            <v>838904526.51946652</v>
          </cell>
        </row>
        <row r="24">
          <cell r="I24">
            <v>913646439</v>
          </cell>
          <cell r="S24">
            <v>934335449.77399015</v>
          </cell>
        </row>
        <row r="26">
          <cell r="I26">
            <v>802188948</v>
          </cell>
          <cell r="S26">
            <v>839948889.66568851</v>
          </cell>
        </row>
        <row r="28">
          <cell r="I28">
            <v>786710375</v>
          </cell>
          <cell r="S28">
            <v>810672311.93247235</v>
          </cell>
        </row>
        <row r="30">
          <cell r="I30">
            <v>794028205</v>
          </cell>
          <cell r="S30">
            <v>808777350.8005445</v>
          </cell>
        </row>
        <row r="32">
          <cell r="I32">
            <v>776793725</v>
          </cell>
          <cell r="S32">
            <v>791261448.6576494</v>
          </cell>
        </row>
        <row r="34">
          <cell r="I34">
            <v>773526054</v>
          </cell>
          <cell r="S34">
            <v>780507145.98089528</v>
          </cell>
        </row>
        <row r="36">
          <cell r="I36">
            <v>844685688</v>
          </cell>
          <cell r="S36">
            <v>840791759.6661458</v>
          </cell>
        </row>
        <row r="38">
          <cell r="I38">
            <v>845074840</v>
          </cell>
          <cell r="S38">
            <v>843290339.07869518</v>
          </cell>
        </row>
      </sheetData>
      <sheetData sheetId="8">
        <row r="16">
          <cell r="I16">
            <v>2705572549</v>
          </cell>
          <cell r="S16">
            <v>2883682340.6269593</v>
          </cell>
        </row>
        <row r="18">
          <cell r="I18">
            <v>2569752323</v>
          </cell>
          <cell r="S18">
            <v>2730361843.1875</v>
          </cell>
        </row>
        <row r="20">
          <cell r="I20">
            <v>2664130914</v>
          </cell>
          <cell r="S20">
            <v>2813057486.8322983</v>
          </cell>
        </row>
        <row r="22">
          <cell r="I22">
            <v>2783303939</v>
          </cell>
          <cell r="S22">
            <v>2938892357.9503107</v>
          </cell>
        </row>
        <row r="24">
          <cell r="I24">
            <v>2744259450</v>
          </cell>
          <cell r="S24">
            <v>2879778435.185185</v>
          </cell>
        </row>
        <row r="26">
          <cell r="I26">
            <v>2918352748</v>
          </cell>
          <cell r="S26">
            <v>3043680780.1226993</v>
          </cell>
        </row>
        <row r="28">
          <cell r="I28">
            <v>2701328790</v>
          </cell>
          <cell r="S28">
            <v>2808721066.0550461</v>
          </cell>
        </row>
        <row r="30">
          <cell r="I30">
            <v>2943692508</v>
          </cell>
          <cell r="S30">
            <v>3032895311.2727275</v>
          </cell>
        </row>
        <row r="32">
          <cell r="I32">
            <v>2796351486</v>
          </cell>
          <cell r="S32">
            <v>2863733449.5180721</v>
          </cell>
        </row>
        <row r="34">
          <cell r="I34">
            <v>3072970312</v>
          </cell>
          <cell r="S34">
            <v>3147017789.3975902</v>
          </cell>
        </row>
        <row r="36">
          <cell r="I36">
            <v>3049431235</v>
          </cell>
          <cell r="S36">
            <v>3104211436.8263474</v>
          </cell>
        </row>
        <row r="38">
          <cell r="I38">
            <v>3190347604</v>
          </cell>
          <cell r="S38">
            <v>3190347604</v>
          </cell>
        </row>
      </sheetData>
      <sheetData sheetId="9">
        <row r="16">
          <cell r="S16">
            <v>21850188</v>
          </cell>
        </row>
        <row r="18">
          <cell r="S18">
            <v>21850188</v>
          </cell>
        </row>
        <row r="20">
          <cell r="S20">
            <v>21850188</v>
          </cell>
        </row>
        <row r="22">
          <cell r="S22">
            <v>21850188</v>
          </cell>
        </row>
        <row r="24">
          <cell r="S24">
            <v>21850188</v>
          </cell>
        </row>
        <row r="26">
          <cell r="S26">
            <v>21850188</v>
          </cell>
        </row>
        <row r="28">
          <cell r="S28">
            <v>21850188</v>
          </cell>
        </row>
        <row r="30">
          <cell r="S30">
            <v>21850188</v>
          </cell>
        </row>
        <row r="32">
          <cell r="S32">
            <v>21850188</v>
          </cell>
        </row>
        <row r="34">
          <cell r="S34">
            <v>21850188</v>
          </cell>
        </row>
        <row r="36">
          <cell r="S36">
            <v>21850188</v>
          </cell>
        </row>
        <row r="38">
          <cell r="S38">
            <v>21850188</v>
          </cell>
        </row>
      </sheetData>
      <sheetData sheetId="10">
        <row r="16">
          <cell r="S16">
            <v>844798.72628726286</v>
          </cell>
        </row>
        <row r="18">
          <cell r="S18">
            <v>788806.00542005419</v>
          </cell>
        </row>
        <row r="20">
          <cell r="S20">
            <v>771315.63945578237</v>
          </cell>
        </row>
        <row r="22">
          <cell r="S22">
            <v>750064.35918367351</v>
          </cell>
        </row>
        <row r="24">
          <cell r="S24">
            <v>693662.45655172411</v>
          </cell>
        </row>
        <row r="26">
          <cell r="S26">
            <v>660078.68137931032</v>
          </cell>
        </row>
        <row r="28">
          <cell r="S28">
            <v>622909.2537931035</v>
          </cell>
        </row>
        <row r="30">
          <cell r="S30">
            <v>614652.34993084369</v>
          </cell>
        </row>
        <row r="32">
          <cell r="S32">
            <v>667894.61410788377</v>
          </cell>
        </row>
        <row r="34">
          <cell r="S34">
            <v>702787.90443213296</v>
          </cell>
        </row>
        <row r="36">
          <cell r="S36">
            <v>768278.76144244103</v>
          </cell>
        </row>
        <row r="38">
          <cell r="S38">
            <v>811382</v>
          </cell>
        </row>
      </sheetData>
      <sheetData sheetId="11">
        <row r="16">
          <cell r="S16">
            <v>21517.936507936509</v>
          </cell>
        </row>
        <row r="18">
          <cell r="S18">
            <v>22028.698412698413</v>
          </cell>
        </row>
        <row r="20">
          <cell r="S20">
            <v>21152.825396825396</v>
          </cell>
        </row>
        <row r="22">
          <cell r="S22">
            <v>19727.809523809523</v>
          </cell>
        </row>
        <row r="24">
          <cell r="S24">
            <v>16244.984126984127</v>
          </cell>
        </row>
        <row r="26">
          <cell r="S26">
            <v>15436.031746031746</v>
          </cell>
        </row>
        <row r="28">
          <cell r="S28">
            <v>14786.507936507936</v>
          </cell>
        </row>
        <row r="30">
          <cell r="S30">
            <v>14066.126984126984</v>
          </cell>
        </row>
        <row r="32">
          <cell r="S32">
            <v>15622</v>
          </cell>
        </row>
        <row r="34">
          <cell r="S34">
            <v>16298</v>
          </cell>
        </row>
        <row r="36">
          <cell r="S36">
            <v>17258</v>
          </cell>
        </row>
        <row r="38">
          <cell r="S38">
            <v>18882</v>
          </cell>
        </row>
      </sheetData>
      <sheetData sheetId="12">
        <row r="16">
          <cell r="S16">
            <v>6634331</v>
          </cell>
        </row>
        <row r="18">
          <cell r="S18">
            <v>6634331</v>
          </cell>
        </row>
        <row r="20">
          <cell r="S20">
            <v>6634331</v>
          </cell>
        </row>
        <row r="22">
          <cell r="S22">
            <v>6634331</v>
          </cell>
        </row>
        <row r="24">
          <cell r="S24">
            <v>6634331</v>
          </cell>
        </row>
        <row r="26">
          <cell r="S26">
            <v>6634331</v>
          </cell>
        </row>
        <row r="28">
          <cell r="S28">
            <v>6634331</v>
          </cell>
        </row>
        <row r="30">
          <cell r="S30">
            <v>6634331</v>
          </cell>
        </row>
        <row r="32">
          <cell r="S32">
            <v>6634331</v>
          </cell>
        </row>
        <row r="34">
          <cell r="S34">
            <v>6634331</v>
          </cell>
        </row>
        <row r="36">
          <cell r="S36">
            <v>6634331</v>
          </cell>
        </row>
        <row r="38">
          <cell r="S38">
            <v>6634331</v>
          </cell>
        </row>
      </sheetData>
      <sheetData sheetId="13">
        <row r="16">
          <cell r="I16">
            <v>36339565</v>
          </cell>
          <cell r="S16">
            <v>32817816</v>
          </cell>
        </row>
        <row r="18">
          <cell r="I18">
            <v>22359027.5</v>
          </cell>
          <cell r="S18">
            <v>20602645.5</v>
          </cell>
        </row>
        <row r="20">
          <cell r="I20">
            <v>20552941.75</v>
          </cell>
          <cell r="S20">
            <v>19080434.75</v>
          </cell>
        </row>
        <row r="22">
          <cell r="I22">
            <v>20089668</v>
          </cell>
          <cell r="S22">
            <v>18745725</v>
          </cell>
        </row>
        <row r="24">
          <cell r="I24">
            <v>25995893.5</v>
          </cell>
          <cell r="S24">
            <v>24286983.5</v>
          </cell>
        </row>
        <row r="26">
          <cell r="I26">
            <v>32703043.5</v>
          </cell>
          <cell r="S26">
            <v>30475349.5</v>
          </cell>
        </row>
        <row r="28">
          <cell r="I28">
            <v>35382686</v>
          </cell>
          <cell r="S28">
            <v>32984409</v>
          </cell>
        </row>
        <row r="30">
          <cell r="I30">
            <v>39417448</v>
          </cell>
          <cell r="S30">
            <v>36768284</v>
          </cell>
        </row>
        <row r="32">
          <cell r="I32">
            <v>27546855</v>
          </cell>
          <cell r="S32">
            <v>25707086</v>
          </cell>
        </row>
        <row r="34">
          <cell r="I34">
            <v>24677485.75</v>
          </cell>
          <cell r="S34">
            <v>23115930.75</v>
          </cell>
        </row>
        <row r="36">
          <cell r="I36">
            <v>20300966.75</v>
          </cell>
          <cell r="S36">
            <v>19458748.149999999</v>
          </cell>
        </row>
        <row r="38">
          <cell r="I38">
            <v>23749829.5</v>
          </cell>
          <cell r="S38">
            <v>23749829.5</v>
          </cell>
        </row>
      </sheetData>
      <sheetData sheetId="14">
        <row r="16">
          <cell r="I16">
            <v>45843587</v>
          </cell>
          <cell r="S16">
            <v>41375475.701727271</v>
          </cell>
        </row>
        <row r="18">
          <cell r="I18">
            <v>28558507.5</v>
          </cell>
          <cell r="S18">
            <v>26366725.5</v>
          </cell>
        </row>
        <row r="20">
          <cell r="I20">
            <v>26790089.75</v>
          </cell>
          <cell r="S20">
            <v>25104418.75</v>
          </cell>
        </row>
        <row r="22">
          <cell r="I22">
            <v>25916910</v>
          </cell>
          <cell r="S22">
            <v>24367270</v>
          </cell>
        </row>
        <row r="24">
          <cell r="I24">
            <v>31805182.75</v>
          </cell>
          <cell r="S24">
            <v>29748448.75</v>
          </cell>
        </row>
        <row r="26">
          <cell r="I26">
            <v>38356852.25</v>
          </cell>
          <cell r="S26">
            <v>35630536.25</v>
          </cell>
        </row>
        <row r="28">
          <cell r="I28">
            <v>41904778.5</v>
          </cell>
          <cell r="S28">
            <v>38880196.5</v>
          </cell>
        </row>
        <row r="30">
          <cell r="I30">
            <v>46935388</v>
          </cell>
          <cell r="S30">
            <v>43569908</v>
          </cell>
        </row>
        <row r="32">
          <cell r="I32">
            <v>34143566.5</v>
          </cell>
          <cell r="S32">
            <v>31909785.5</v>
          </cell>
        </row>
        <row r="34">
          <cell r="I34">
            <v>30337530</v>
          </cell>
          <cell r="S34">
            <v>29434052</v>
          </cell>
        </row>
        <row r="36">
          <cell r="I36">
            <v>25894731.5</v>
          </cell>
          <cell r="S36">
            <v>25894731.5</v>
          </cell>
        </row>
        <row r="38">
          <cell r="I38">
            <v>30214690</v>
          </cell>
          <cell r="S38">
            <v>30214690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  <sheetName val="36-MO LF-RES"/>
      <sheetName val="36 MO LF-SGS"/>
      <sheetName val="36 MO LF - LGS"/>
      <sheetName val="36 MO LF - SGP "/>
      <sheetName val="36 MO LF - LGP_DLS"/>
      <sheetName val="36 MO LF - LGP_SUBST"/>
      <sheetName val="36 MO LF -  HV"/>
      <sheetName val="36 MO LF -  WHLS SUB"/>
      <sheetName val="36 MO LF -  WHLS DLS"/>
    </sheetNames>
    <sheetDataSet>
      <sheetData sheetId="0">
        <row r="22">
          <cell r="F22">
            <v>37191877.663999997</v>
          </cell>
          <cell r="J22">
            <v>14436086.52</v>
          </cell>
          <cell r="N22">
            <v>14219617.08</v>
          </cell>
          <cell r="R22">
            <v>14405772.9</v>
          </cell>
        </row>
        <row r="23">
          <cell r="F23">
            <v>32673075.927999999</v>
          </cell>
          <cell r="J23">
            <v>8381154.6239999998</v>
          </cell>
          <cell r="N23">
            <v>7657413.5</v>
          </cell>
          <cell r="R23">
            <v>7657413.5</v>
          </cell>
        </row>
        <row r="24">
          <cell r="F24">
            <v>30660284.423999999</v>
          </cell>
          <cell r="J24">
            <v>5802019.9400000004</v>
          </cell>
          <cell r="N24">
            <v>5802020</v>
          </cell>
          <cell r="R24">
            <v>4798746</v>
          </cell>
        </row>
        <row r="25">
          <cell r="F25">
            <v>29147963.300000001</v>
          </cell>
          <cell r="J25">
            <v>7261337.392</v>
          </cell>
          <cell r="N25">
            <v>6736661.2800000003</v>
          </cell>
          <cell r="R25">
            <v>6736661.2800000003</v>
          </cell>
        </row>
        <row r="26">
          <cell r="F26">
            <v>29344132.888</v>
          </cell>
          <cell r="J26">
            <v>10931432.550000001</v>
          </cell>
          <cell r="N26">
            <v>10865623.800000001</v>
          </cell>
          <cell r="R26">
            <v>10931432.550000001</v>
          </cell>
        </row>
        <row r="27">
          <cell r="F27">
            <v>30493385.855999999</v>
          </cell>
          <cell r="J27">
            <v>12420182.51</v>
          </cell>
          <cell r="N27">
            <v>10769935.439999999</v>
          </cell>
          <cell r="R27">
            <v>12420182.51</v>
          </cell>
        </row>
        <row r="28">
          <cell r="F28">
            <v>30291236.236000001</v>
          </cell>
          <cell r="J28">
            <v>12357731.380000001</v>
          </cell>
          <cell r="N28">
            <v>11798021.300000001</v>
          </cell>
          <cell r="R28">
            <v>11996278.810000001</v>
          </cell>
        </row>
        <row r="29">
          <cell r="F29">
            <v>31003052.743999999</v>
          </cell>
          <cell r="J29">
            <v>13757530.08</v>
          </cell>
          <cell r="N29">
            <v>11935960.390000001</v>
          </cell>
          <cell r="R29">
            <v>12771638.83</v>
          </cell>
        </row>
        <row r="30">
          <cell r="F30">
            <v>29153073.923999999</v>
          </cell>
          <cell r="J30">
            <v>11379289.1</v>
          </cell>
          <cell r="N30">
            <v>9981537.8900000006</v>
          </cell>
          <cell r="R30">
            <v>10901480.354</v>
          </cell>
        </row>
        <row r="31">
          <cell r="F31">
            <v>28786837.460000001</v>
          </cell>
          <cell r="J31">
            <v>9607569.3599999994</v>
          </cell>
          <cell r="N31">
            <v>9030462.4600000009</v>
          </cell>
          <cell r="R31">
            <v>9030462.4600000009</v>
          </cell>
        </row>
        <row r="32">
          <cell r="F32">
            <v>30883563.267999999</v>
          </cell>
          <cell r="J32">
            <v>6066187.3300000001</v>
          </cell>
          <cell r="N32">
            <v>4692378.87</v>
          </cell>
          <cell r="R32">
            <v>4630173.6399999997</v>
          </cell>
        </row>
        <row r="33">
          <cell r="F33">
            <v>32807365.008000001</v>
          </cell>
          <cell r="J33">
            <v>7824307.5899999999</v>
          </cell>
          <cell r="N33">
            <v>7796522.7599999998</v>
          </cell>
          <cell r="R33">
            <v>7796522.7599999998</v>
          </cell>
        </row>
      </sheetData>
      <sheetData sheetId="1">
        <row r="22">
          <cell r="F22">
            <v>615580.31599999999</v>
          </cell>
          <cell r="J22">
            <v>278426.84399999998</v>
          </cell>
          <cell r="N22">
            <v>271980.82</v>
          </cell>
          <cell r="R22">
            <v>261073.7</v>
          </cell>
        </row>
        <row r="23">
          <cell r="F23">
            <v>551592.99199999997</v>
          </cell>
          <cell r="J23">
            <v>204489.04399999999</v>
          </cell>
          <cell r="N23">
            <v>191151.87599999999</v>
          </cell>
          <cell r="R23">
            <v>191151.87599999999</v>
          </cell>
        </row>
        <row r="24">
          <cell r="F24">
            <v>534936.076</v>
          </cell>
          <cell r="J24">
            <v>188511.552</v>
          </cell>
          <cell r="N24">
            <v>167679.03599999999</v>
          </cell>
          <cell r="R24">
            <v>161420.26800000001</v>
          </cell>
        </row>
        <row r="25">
          <cell r="F25">
            <v>534662.728</v>
          </cell>
          <cell r="J25">
            <v>195796.88800000001</v>
          </cell>
          <cell r="N25">
            <v>184903.65599999999</v>
          </cell>
          <cell r="R25">
            <v>184903.65599999999</v>
          </cell>
        </row>
        <row r="26">
          <cell r="F26">
            <v>562110.66</v>
          </cell>
          <cell r="J26">
            <v>215534.9</v>
          </cell>
          <cell r="N26">
            <v>200509.8</v>
          </cell>
          <cell r="R26">
            <v>198228.22</v>
          </cell>
        </row>
        <row r="27">
          <cell r="F27">
            <v>577284.31599999999</v>
          </cell>
          <cell r="J27">
            <v>256433.28</v>
          </cell>
          <cell r="N27">
            <v>253920.46</v>
          </cell>
          <cell r="R27">
            <v>214356.85</v>
          </cell>
        </row>
        <row r="28">
          <cell r="F28">
            <v>575413.52800000005</v>
          </cell>
          <cell r="J28">
            <v>259945.8</v>
          </cell>
          <cell r="N28">
            <v>243272.02</v>
          </cell>
          <cell r="R28">
            <v>247088.44</v>
          </cell>
        </row>
        <row r="29">
          <cell r="F29">
            <v>589003.28</v>
          </cell>
          <cell r="J29">
            <v>268132.03999999998</v>
          </cell>
          <cell r="N29">
            <v>262659.67</v>
          </cell>
          <cell r="R29">
            <v>260347.3</v>
          </cell>
        </row>
        <row r="30">
          <cell r="F30">
            <v>568242.82400000002</v>
          </cell>
          <cell r="J30">
            <v>250149.52</v>
          </cell>
          <cell r="N30">
            <v>247086.28</v>
          </cell>
          <cell r="R30">
            <v>247585.71</v>
          </cell>
        </row>
        <row r="31">
          <cell r="F31">
            <v>565476.696</v>
          </cell>
          <cell r="J31">
            <v>228950.86</v>
          </cell>
          <cell r="N31">
            <v>223848.33</v>
          </cell>
          <cell r="R31">
            <v>223848.33</v>
          </cell>
        </row>
        <row r="32">
          <cell r="F32">
            <v>548245.37600000005</v>
          </cell>
          <cell r="J32">
            <v>191044.62</v>
          </cell>
          <cell r="N32">
            <v>173817.18</v>
          </cell>
          <cell r="R32">
            <v>175253.95</v>
          </cell>
        </row>
        <row r="33">
          <cell r="F33">
            <v>548042.84400000004</v>
          </cell>
          <cell r="J33">
            <v>210769.65</v>
          </cell>
          <cell r="N33">
            <v>189398.2</v>
          </cell>
          <cell r="R33">
            <v>189398.2</v>
          </cell>
        </row>
      </sheetData>
      <sheetData sheetId="2">
        <row r="22">
          <cell r="F22">
            <v>12080021.035999998</v>
          </cell>
          <cell r="J22">
            <v>7444470.1299999999</v>
          </cell>
          <cell r="N22">
            <v>6325413.8700000001</v>
          </cell>
          <cell r="R22">
            <v>7268841.3600000003</v>
          </cell>
        </row>
        <row r="23">
          <cell r="F23">
            <v>11427980.18</v>
          </cell>
          <cell r="J23">
            <v>6760960</v>
          </cell>
          <cell r="N23">
            <v>5966198.3600000003</v>
          </cell>
          <cell r="R23">
            <v>5966198.3600000003</v>
          </cell>
        </row>
        <row r="24">
          <cell r="F24">
            <v>11008092.104</v>
          </cell>
          <cell r="J24">
            <v>6618780.0599999996</v>
          </cell>
          <cell r="N24">
            <v>5414010.7300000004</v>
          </cell>
          <cell r="R24">
            <v>6157080.5599999996</v>
          </cell>
        </row>
        <row r="25">
          <cell r="F25">
            <v>11239548.284</v>
          </cell>
          <cell r="J25">
            <v>7499837.176</v>
          </cell>
          <cell r="N25">
            <v>6926576.4199999999</v>
          </cell>
          <cell r="R25">
            <v>6926576.4199999999</v>
          </cell>
        </row>
        <row r="26">
          <cell r="F26">
            <v>12082178.468</v>
          </cell>
          <cell r="J26">
            <v>8349015.0839999998</v>
          </cell>
          <cell r="N26">
            <v>7012892.7800000003</v>
          </cell>
          <cell r="R26">
            <v>6877380.3119999999</v>
          </cell>
        </row>
        <row r="27">
          <cell r="F27">
            <v>12605255.344000001</v>
          </cell>
          <cell r="J27">
            <v>9106278.5500000007</v>
          </cell>
          <cell r="N27">
            <v>8916947.6999999993</v>
          </cell>
          <cell r="R27">
            <v>7297223.3899999997</v>
          </cell>
        </row>
        <row r="28">
          <cell r="F28">
            <v>12678487.24</v>
          </cell>
          <cell r="J28">
            <v>9043351.8499999996</v>
          </cell>
          <cell r="N28">
            <v>8570590.8800000008</v>
          </cell>
          <cell r="R28">
            <v>8490162.4700000007</v>
          </cell>
        </row>
        <row r="29">
          <cell r="F29">
            <v>13277282.243999999</v>
          </cell>
          <cell r="J29">
            <v>9661214.9800000004</v>
          </cell>
          <cell r="N29">
            <v>9400039.2599999998</v>
          </cell>
          <cell r="R29">
            <v>9077339.0700000003</v>
          </cell>
        </row>
        <row r="30">
          <cell r="F30">
            <v>12366900.719999999</v>
          </cell>
          <cell r="J30">
            <v>9023595.8699999992</v>
          </cell>
          <cell r="N30">
            <v>8852855.3399999999</v>
          </cell>
          <cell r="R30">
            <v>8611705.1999999993</v>
          </cell>
        </row>
        <row r="31">
          <cell r="F31">
            <v>11722182.396</v>
          </cell>
          <cell r="J31">
            <v>8243555.71</v>
          </cell>
          <cell r="N31">
            <v>7796947.5899999999</v>
          </cell>
          <cell r="R31">
            <v>7796947.5899999999</v>
          </cell>
        </row>
        <row r="32">
          <cell r="F32">
            <v>11110656.220000001</v>
          </cell>
          <cell r="J32">
            <v>6939642.8099999996</v>
          </cell>
          <cell r="N32">
            <v>6936480.8600000003</v>
          </cell>
          <cell r="R32">
            <v>6746212.5</v>
          </cell>
        </row>
        <row r="33">
          <cell r="F33">
            <v>10999137.116</v>
          </cell>
          <cell r="J33">
            <v>6207033.3099999996</v>
          </cell>
          <cell r="N33">
            <v>6050610.0099999998</v>
          </cell>
          <cell r="R33">
            <v>6050610.0099999998</v>
          </cell>
        </row>
      </sheetData>
      <sheetData sheetId="3">
        <row r="22">
          <cell r="F22">
            <v>7091.9520000000002</v>
          </cell>
          <cell r="J22">
            <v>4730.2560000000003</v>
          </cell>
          <cell r="N22">
            <v>1826.94</v>
          </cell>
          <cell r="R22">
            <v>1721.0440000000001</v>
          </cell>
        </row>
        <row r="23">
          <cell r="F23">
            <v>6742.424</v>
          </cell>
          <cell r="J23">
            <v>3333.0920000000001</v>
          </cell>
          <cell r="N23">
            <v>2981.268</v>
          </cell>
          <cell r="R23">
            <v>2981.268</v>
          </cell>
        </row>
        <row r="24">
          <cell r="F24">
            <v>6812.0720000000001</v>
          </cell>
          <cell r="J24">
            <v>3000.848</v>
          </cell>
          <cell r="N24">
            <v>2744.0239999999999</v>
          </cell>
          <cell r="R24">
            <v>2667.3879999999999</v>
          </cell>
        </row>
        <row r="25">
          <cell r="F25">
            <v>6519.5839999999998</v>
          </cell>
          <cell r="J25">
            <v>3135.22</v>
          </cell>
          <cell r="N25">
            <v>2733.49</v>
          </cell>
          <cell r="R25">
            <v>2733.49</v>
          </cell>
        </row>
        <row r="26">
          <cell r="F26">
            <v>6595.3559999999998</v>
          </cell>
          <cell r="J26">
            <v>3869.9560000000001</v>
          </cell>
          <cell r="N26">
            <v>2652.6320000000001</v>
          </cell>
          <cell r="R26">
            <v>2634.7840000000001</v>
          </cell>
        </row>
        <row r="27">
          <cell r="F27">
            <v>6303.4359999999997</v>
          </cell>
          <cell r="J27">
            <v>2847.7759999999998</v>
          </cell>
          <cell r="N27">
            <v>2696.1840000000002</v>
          </cell>
          <cell r="R27">
            <v>2675.7719999999999</v>
          </cell>
        </row>
        <row r="28">
          <cell r="F28">
            <v>6792.1760000000004</v>
          </cell>
          <cell r="J28">
            <v>3077.34</v>
          </cell>
          <cell r="N28">
            <v>2695.2</v>
          </cell>
          <cell r="R28">
            <v>2736.88</v>
          </cell>
        </row>
        <row r="29">
          <cell r="F29">
            <v>6399.8680000000004</v>
          </cell>
          <cell r="J29">
            <v>3047.5279999999998</v>
          </cell>
          <cell r="N29">
            <v>2726.8560000000002</v>
          </cell>
          <cell r="R29">
            <v>2612.0360000000001</v>
          </cell>
        </row>
        <row r="30">
          <cell r="F30">
            <v>6551.116</v>
          </cell>
          <cell r="J30">
            <v>2929.84</v>
          </cell>
          <cell r="N30">
            <v>2734.3</v>
          </cell>
          <cell r="R30">
            <v>2778.15</v>
          </cell>
        </row>
        <row r="31">
          <cell r="F31">
            <v>7082.8440000000001</v>
          </cell>
          <cell r="J31">
            <v>2947.78</v>
          </cell>
          <cell r="N31">
            <v>2651.56</v>
          </cell>
          <cell r="R31">
            <v>2651.56</v>
          </cell>
        </row>
        <row r="32">
          <cell r="F32">
            <v>9399.3040000000001</v>
          </cell>
          <cell r="J32">
            <v>4053.44</v>
          </cell>
          <cell r="N32">
            <v>2644.52</v>
          </cell>
          <cell r="R32">
            <v>2696.69</v>
          </cell>
        </row>
        <row r="33">
          <cell r="F33">
            <v>6083.08</v>
          </cell>
          <cell r="J33">
            <v>4158.63</v>
          </cell>
          <cell r="N33">
            <v>3110.34</v>
          </cell>
          <cell r="R33">
            <v>3110.34</v>
          </cell>
        </row>
      </sheetData>
      <sheetData sheetId="4">
        <row r="22">
          <cell r="F22">
            <v>3374287.372</v>
          </cell>
          <cell r="J22">
            <v>2508329.13</v>
          </cell>
          <cell r="N22">
            <v>2109446.39</v>
          </cell>
          <cell r="R22">
            <v>1972956.77</v>
          </cell>
        </row>
        <row r="23">
          <cell r="F23">
            <v>3370244.6599999997</v>
          </cell>
          <cell r="J23">
            <v>2602309.54</v>
          </cell>
          <cell r="N23">
            <v>2480156.54</v>
          </cell>
          <cell r="R23">
            <v>2480156.54</v>
          </cell>
        </row>
        <row r="24">
          <cell r="F24">
            <v>3411737.304</v>
          </cell>
          <cell r="J24">
            <v>2537486</v>
          </cell>
          <cell r="N24">
            <v>2386188.1800000002</v>
          </cell>
          <cell r="R24">
            <v>2512593.29</v>
          </cell>
        </row>
        <row r="25">
          <cell r="F25">
            <v>3506401.06</v>
          </cell>
          <cell r="J25">
            <v>2591353.15</v>
          </cell>
          <cell r="N25">
            <v>2576426.31</v>
          </cell>
          <cell r="R25">
            <v>2576426.31</v>
          </cell>
        </row>
        <row r="26">
          <cell r="F26">
            <v>3620542.56</v>
          </cell>
          <cell r="J26">
            <v>2701902.17</v>
          </cell>
          <cell r="N26">
            <v>2500277.91</v>
          </cell>
          <cell r="R26">
            <v>2502196.38</v>
          </cell>
        </row>
        <row r="27">
          <cell r="F27">
            <v>3662512.2479999997</v>
          </cell>
          <cell r="J27">
            <v>2788473.97</v>
          </cell>
          <cell r="N27">
            <v>2736451.4</v>
          </cell>
          <cell r="R27">
            <v>2583540.56</v>
          </cell>
        </row>
        <row r="28">
          <cell r="F28">
            <v>3658425.9440000001</v>
          </cell>
          <cell r="J28">
            <v>2838244.99</v>
          </cell>
          <cell r="N28">
            <v>2732682.14</v>
          </cell>
          <cell r="R28">
            <v>2652878.62</v>
          </cell>
        </row>
        <row r="29">
          <cell r="F29">
            <v>3680544.3759999997</v>
          </cell>
          <cell r="J29">
            <v>2850078.61</v>
          </cell>
          <cell r="N29">
            <v>2782769.75</v>
          </cell>
          <cell r="R29">
            <v>2708901.08</v>
          </cell>
        </row>
        <row r="30">
          <cell r="F30">
            <v>3625886.3360000001</v>
          </cell>
          <cell r="J30">
            <v>2781509.51</v>
          </cell>
          <cell r="N30">
            <v>2744613.44</v>
          </cell>
          <cell r="R30">
            <v>2672622.3199999998</v>
          </cell>
        </row>
        <row r="31">
          <cell r="F31">
            <v>3643323.4959999998</v>
          </cell>
          <cell r="J31">
            <v>2798275.02</v>
          </cell>
          <cell r="N31">
            <v>2715626.07</v>
          </cell>
          <cell r="R31">
            <v>2715626.07</v>
          </cell>
        </row>
        <row r="32">
          <cell r="F32">
            <v>3599271.6039999998</v>
          </cell>
          <cell r="J32">
            <v>2669719.62</v>
          </cell>
          <cell r="N32">
            <v>2657297.3199999998</v>
          </cell>
          <cell r="R32">
            <v>2655567.21</v>
          </cell>
        </row>
        <row r="33">
          <cell r="F33">
            <v>3572307.9079999998</v>
          </cell>
          <cell r="J33">
            <v>2691599.98</v>
          </cell>
          <cell r="N33">
            <v>2566350.58</v>
          </cell>
          <cell r="R33">
            <v>2566350.58</v>
          </cell>
        </row>
      </sheetData>
      <sheetData sheetId="5">
        <row r="22">
          <cell r="F22">
            <v>1350390</v>
          </cell>
          <cell r="J22">
            <v>1145811</v>
          </cell>
          <cell r="N22">
            <v>940551</v>
          </cell>
          <cell r="R22">
            <v>673141</v>
          </cell>
        </row>
        <row r="23">
          <cell r="F23">
            <v>1373769</v>
          </cell>
          <cell r="J23">
            <v>1200972</v>
          </cell>
          <cell r="N23">
            <v>1114463</v>
          </cell>
          <cell r="R23">
            <v>1114463</v>
          </cell>
        </row>
        <row r="24">
          <cell r="F24">
            <v>1404349</v>
          </cell>
          <cell r="J24">
            <v>1172649</v>
          </cell>
          <cell r="N24">
            <v>1126401</v>
          </cell>
          <cell r="R24">
            <v>1108988</v>
          </cell>
        </row>
        <row r="25">
          <cell r="F25">
            <v>1397197</v>
          </cell>
          <cell r="J25">
            <v>1169720</v>
          </cell>
          <cell r="N25">
            <v>1115960</v>
          </cell>
          <cell r="R25">
            <v>1115960</v>
          </cell>
        </row>
        <row r="26">
          <cell r="F26">
            <v>1373375</v>
          </cell>
          <cell r="J26">
            <v>1149907</v>
          </cell>
          <cell r="N26">
            <v>1082810</v>
          </cell>
          <cell r="R26">
            <v>1034876</v>
          </cell>
        </row>
        <row r="27">
          <cell r="F27">
            <v>1417438</v>
          </cell>
          <cell r="J27">
            <v>1215714</v>
          </cell>
          <cell r="N27">
            <v>1003369</v>
          </cell>
          <cell r="R27">
            <v>1162457</v>
          </cell>
        </row>
        <row r="28">
          <cell r="F28">
            <v>1420663</v>
          </cell>
          <cell r="J28">
            <v>1223403</v>
          </cell>
          <cell r="N28">
            <v>1164262</v>
          </cell>
          <cell r="R28">
            <v>884301</v>
          </cell>
        </row>
        <row r="29">
          <cell r="F29">
            <v>1414715</v>
          </cell>
          <cell r="J29">
            <v>1215748</v>
          </cell>
          <cell r="N29">
            <v>1004577</v>
          </cell>
          <cell r="R29">
            <v>925967</v>
          </cell>
        </row>
        <row r="30">
          <cell r="F30">
            <v>1395053</v>
          </cell>
          <cell r="J30">
            <v>1191830</v>
          </cell>
          <cell r="N30">
            <v>1024219</v>
          </cell>
          <cell r="R30">
            <v>938797</v>
          </cell>
        </row>
        <row r="31">
          <cell r="F31">
            <v>1435058</v>
          </cell>
          <cell r="J31">
            <v>1224906</v>
          </cell>
          <cell r="N31">
            <v>1128314</v>
          </cell>
          <cell r="R31">
            <v>1128314</v>
          </cell>
        </row>
        <row r="32">
          <cell r="F32">
            <v>1433012</v>
          </cell>
          <cell r="J32">
            <v>1209545</v>
          </cell>
          <cell r="N32">
            <v>1167319</v>
          </cell>
          <cell r="R32">
            <v>1154547</v>
          </cell>
        </row>
        <row r="33">
          <cell r="F33">
            <v>1371395</v>
          </cell>
          <cell r="J33">
            <v>1196120</v>
          </cell>
          <cell r="N33">
            <v>1137952</v>
          </cell>
          <cell r="R33">
            <v>1137952</v>
          </cell>
        </row>
      </sheetData>
      <sheetData sheetId="6">
        <row r="22">
          <cell r="F22">
            <v>5132823</v>
          </cell>
          <cell r="J22">
            <v>3949748</v>
          </cell>
          <cell r="N22">
            <v>3055758</v>
          </cell>
          <cell r="R22">
            <v>2359228</v>
          </cell>
        </row>
        <row r="23">
          <cell r="F23">
            <v>5032565</v>
          </cell>
          <cell r="J23">
            <v>3962751</v>
          </cell>
          <cell r="N23">
            <v>3644057</v>
          </cell>
          <cell r="R23">
            <v>3644057</v>
          </cell>
        </row>
        <row r="24">
          <cell r="F24">
            <v>5291020</v>
          </cell>
          <cell r="J24">
            <v>4182122</v>
          </cell>
          <cell r="N24">
            <v>3674073</v>
          </cell>
          <cell r="R24">
            <v>3555109</v>
          </cell>
        </row>
        <row r="25">
          <cell r="F25">
            <v>5517073</v>
          </cell>
          <cell r="J25">
            <v>4220544</v>
          </cell>
          <cell r="N25">
            <v>4046684</v>
          </cell>
          <cell r="R25">
            <v>4046684</v>
          </cell>
        </row>
        <row r="26">
          <cell r="F26">
            <v>5608028</v>
          </cell>
          <cell r="J26">
            <v>4172263</v>
          </cell>
          <cell r="N26">
            <v>3781628</v>
          </cell>
          <cell r="R26">
            <v>3773334</v>
          </cell>
        </row>
        <row r="27">
          <cell r="F27">
            <v>5430190</v>
          </cell>
          <cell r="J27">
            <v>4288240</v>
          </cell>
          <cell r="N27">
            <v>4151050</v>
          </cell>
          <cell r="R27">
            <v>3912552</v>
          </cell>
        </row>
        <row r="28">
          <cell r="F28">
            <v>5405262</v>
          </cell>
          <cell r="J28">
            <v>4416581</v>
          </cell>
          <cell r="N28">
            <v>4105310</v>
          </cell>
          <cell r="R28">
            <v>3133176</v>
          </cell>
        </row>
        <row r="29">
          <cell r="F29">
            <v>5562195</v>
          </cell>
          <cell r="J29">
            <v>4403615</v>
          </cell>
          <cell r="N29">
            <v>4076159</v>
          </cell>
          <cell r="R29">
            <v>3109502</v>
          </cell>
        </row>
        <row r="30">
          <cell r="F30">
            <v>5492593</v>
          </cell>
          <cell r="J30">
            <v>4440866</v>
          </cell>
          <cell r="N30">
            <v>4032956</v>
          </cell>
          <cell r="R30">
            <v>3233646</v>
          </cell>
        </row>
        <row r="31">
          <cell r="F31">
            <v>5686146</v>
          </cell>
          <cell r="J31">
            <v>4515358</v>
          </cell>
          <cell r="N31">
            <v>3990864</v>
          </cell>
          <cell r="R31">
            <v>3990864</v>
          </cell>
        </row>
        <row r="32">
          <cell r="F32">
            <v>5925698</v>
          </cell>
          <cell r="J32">
            <v>4644735</v>
          </cell>
          <cell r="N32">
            <v>4385401</v>
          </cell>
          <cell r="R32">
            <v>4491710</v>
          </cell>
        </row>
        <row r="33">
          <cell r="F33">
            <v>5915090</v>
          </cell>
          <cell r="J33">
            <v>4667054</v>
          </cell>
          <cell r="N33">
            <v>4262765</v>
          </cell>
          <cell r="R33">
            <v>4262765</v>
          </cell>
        </row>
      </sheetData>
      <sheetData sheetId="7"/>
      <sheetData sheetId="8">
        <row r="22">
          <cell r="F22">
            <v>116790.3</v>
          </cell>
          <cell r="J22">
            <v>98742.9</v>
          </cell>
          <cell r="N22">
            <v>93283</v>
          </cell>
          <cell r="R22">
            <v>96951</v>
          </cell>
        </row>
        <row r="23">
          <cell r="F23">
            <v>93435.9</v>
          </cell>
          <cell r="J23">
            <v>70298.899999999994</v>
          </cell>
          <cell r="N23">
            <v>56464</v>
          </cell>
          <cell r="R23">
            <v>56464</v>
          </cell>
        </row>
        <row r="24">
          <cell r="F24">
            <v>77284.100000000006</v>
          </cell>
          <cell r="J24">
            <v>50416.7</v>
          </cell>
          <cell r="N24">
            <v>40921</v>
          </cell>
          <cell r="R24">
            <v>33734</v>
          </cell>
        </row>
        <row r="25">
          <cell r="F25">
            <v>75789.7</v>
          </cell>
          <cell r="J25">
            <v>47079.4</v>
          </cell>
          <cell r="N25">
            <v>44862</v>
          </cell>
          <cell r="R25">
            <v>44862</v>
          </cell>
        </row>
        <row r="26">
          <cell r="F26">
            <v>95371.9</v>
          </cell>
          <cell r="J26">
            <v>66073.7</v>
          </cell>
          <cell r="N26">
            <v>64880</v>
          </cell>
          <cell r="R26">
            <v>65748</v>
          </cell>
        </row>
        <row r="27">
          <cell r="F27">
            <v>109619.2</v>
          </cell>
          <cell r="J27">
            <v>75357.7</v>
          </cell>
          <cell r="N27">
            <v>69381</v>
          </cell>
          <cell r="R27">
            <v>75292</v>
          </cell>
        </row>
        <row r="28">
          <cell r="F28">
            <v>106999.1</v>
          </cell>
          <cell r="J28">
            <v>77689.100000000006</v>
          </cell>
          <cell r="N28">
            <v>73644</v>
          </cell>
          <cell r="R28">
            <v>76797</v>
          </cell>
        </row>
        <row r="29">
          <cell r="F29">
            <v>112718.9</v>
          </cell>
          <cell r="J29">
            <v>83091.3</v>
          </cell>
          <cell r="N29">
            <v>74139</v>
          </cell>
          <cell r="R29">
            <v>78156</v>
          </cell>
        </row>
        <row r="30">
          <cell r="F30">
            <v>91651.7</v>
          </cell>
          <cell r="J30">
            <v>70630.600000000006</v>
          </cell>
          <cell r="N30">
            <v>65195</v>
          </cell>
          <cell r="R30">
            <v>69799</v>
          </cell>
        </row>
        <row r="31">
          <cell r="F31">
            <v>78174.8</v>
          </cell>
          <cell r="J31">
            <v>61185.9</v>
          </cell>
          <cell r="N31">
            <v>61186</v>
          </cell>
          <cell r="R31">
            <v>61186</v>
          </cell>
        </row>
        <row r="32">
          <cell r="F32">
            <v>68509.5</v>
          </cell>
          <cell r="J32">
            <v>45016</v>
          </cell>
          <cell r="N32">
            <v>39503</v>
          </cell>
          <cell r="R32">
            <v>38833</v>
          </cell>
        </row>
        <row r="33">
          <cell r="F33">
            <v>72885.899999999994</v>
          </cell>
          <cell r="J33">
            <v>53870.6</v>
          </cell>
          <cell r="N33">
            <v>52542</v>
          </cell>
          <cell r="R33">
            <v>52542</v>
          </cell>
        </row>
      </sheetData>
      <sheetData sheetId="9">
        <row r="22">
          <cell r="F22">
            <v>165996.4</v>
          </cell>
          <cell r="J22">
            <v>125767.8</v>
          </cell>
          <cell r="N22">
            <v>113111</v>
          </cell>
          <cell r="R22">
            <v>125363</v>
          </cell>
        </row>
        <row r="23">
          <cell r="F23">
            <v>131357.29999999999</v>
          </cell>
          <cell r="J23">
            <v>85216.1</v>
          </cell>
          <cell r="N23">
            <v>73851</v>
          </cell>
          <cell r="R23">
            <v>73851</v>
          </cell>
        </row>
        <row r="24">
          <cell r="F24">
            <v>104651.6</v>
          </cell>
          <cell r="J24">
            <v>65179.5</v>
          </cell>
          <cell r="N24">
            <v>54250</v>
          </cell>
          <cell r="R24">
            <v>40588</v>
          </cell>
        </row>
        <row r="25">
          <cell r="F25">
            <v>96526.6</v>
          </cell>
          <cell r="J25">
            <v>59416.2</v>
          </cell>
          <cell r="N25">
            <v>54998</v>
          </cell>
          <cell r="R25">
            <v>54998</v>
          </cell>
        </row>
        <row r="26">
          <cell r="F26">
            <v>116163.2</v>
          </cell>
          <cell r="J26">
            <v>78649.5</v>
          </cell>
          <cell r="N26">
            <v>76505</v>
          </cell>
          <cell r="R26">
            <v>77124</v>
          </cell>
        </row>
        <row r="27">
          <cell r="F27">
            <v>126921.8</v>
          </cell>
          <cell r="J27">
            <v>90572.2</v>
          </cell>
          <cell r="N27">
            <v>77686</v>
          </cell>
          <cell r="R27">
            <v>88223</v>
          </cell>
        </row>
        <row r="28">
          <cell r="F28">
            <v>126291.5</v>
          </cell>
          <cell r="J28">
            <v>92767.5</v>
          </cell>
          <cell r="N28">
            <v>87653</v>
          </cell>
          <cell r="R28">
            <v>87089</v>
          </cell>
        </row>
        <row r="29">
          <cell r="F29">
            <v>135375.29999999999</v>
          </cell>
          <cell r="J29">
            <v>97721.4</v>
          </cell>
          <cell r="N29">
            <v>85150</v>
          </cell>
          <cell r="R29">
            <v>91725</v>
          </cell>
        </row>
        <row r="30">
          <cell r="F30">
            <v>124380.8</v>
          </cell>
          <cell r="J30">
            <v>86965.2</v>
          </cell>
          <cell r="N30">
            <v>86965</v>
          </cell>
          <cell r="R30">
            <v>80333</v>
          </cell>
        </row>
        <row r="31">
          <cell r="F31">
            <v>117240.6</v>
          </cell>
          <cell r="J31">
            <v>73443.600000000006</v>
          </cell>
          <cell r="N31">
            <v>70273</v>
          </cell>
          <cell r="R31">
            <v>70273</v>
          </cell>
        </row>
        <row r="32">
          <cell r="F32">
            <v>120981.9</v>
          </cell>
          <cell r="J32">
            <v>62354.6</v>
          </cell>
          <cell r="N32">
            <v>46809</v>
          </cell>
          <cell r="R32">
            <v>51267</v>
          </cell>
        </row>
        <row r="33">
          <cell r="F33">
            <v>127987.5</v>
          </cell>
          <cell r="J33">
            <v>72549.7</v>
          </cell>
          <cell r="N33">
            <v>65033</v>
          </cell>
          <cell r="R33">
            <v>65033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gy Loss Factor"/>
      <sheetName val="Demand Loss Factor"/>
      <sheetName val="2024 Stats"/>
    </sheetNames>
    <sheetDataSet>
      <sheetData sheetId="0">
        <row r="53">
          <cell r="G53">
            <v>1.00413</v>
          </cell>
        </row>
        <row r="54">
          <cell r="G54">
            <v>1.0120927508999999</v>
          </cell>
        </row>
        <row r="55">
          <cell r="G55">
            <v>1.0349774967895433</v>
          </cell>
        </row>
      </sheetData>
      <sheetData sheetId="1">
        <row r="53">
          <cell r="G53">
            <v>1.0021</v>
          </cell>
        </row>
        <row r="54">
          <cell r="G54">
            <v>1.016700597</v>
          </cell>
        </row>
        <row r="55">
          <cell r="G55">
            <v>1.0370963470460877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Z41"/>
  <x:sheetViews>
    <x:sheetView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2" width="7.7109375" style="1" customWidth="1"/>
    <x:col min="3" max="3" width="3.140625" style="1" customWidth="1"/>
    <x:col min="4" max="4" width="20.140625" style="2" customWidth="1"/>
    <x:col min="5" max="5" width="2.7109375" style="1" customWidth="1"/>
    <x:col min="6" max="6" width="20.140625" style="2" customWidth="1"/>
    <x:col min="7" max="7" width="4.140625" style="1" customWidth="1"/>
    <x:col min="8" max="8" width="14.85546875" style="2" customWidth="1"/>
    <x:col min="9" max="9" width="2.7109375" style="1" customWidth="1"/>
    <x:col min="10" max="10" width="17" style="2" customWidth="1"/>
    <x:col min="11" max="11" width="3.7109375" style="1" customWidth="1"/>
    <x:col min="12" max="12" width="15.5703125" style="2" customWidth="1"/>
    <x:col min="13" max="13" width="2.7109375" style="2" customWidth="1"/>
    <x:col min="14" max="14" width="16.85546875" style="2" customWidth="1"/>
    <x:col min="15" max="15" width="3.7109375" style="1" customWidth="1"/>
    <x:col min="16" max="16" width="15" style="2" customWidth="1"/>
    <x:col min="17" max="17" width="2.7109375" style="2" customWidth="1"/>
    <x:col min="18" max="18" width="16.85546875" style="2" customWidth="1"/>
    <x:col min="19" max="19" width="3.7109375" style="1" customWidth="1"/>
    <x:col min="20" max="20" width="21.7109375" style="2" customWidth="1"/>
    <x:col min="21" max="21" width="2.7109375" style="2" customWidth="1"/>
    <x:col min="22" max="22" width="21.5703125" style="2" customWidth="1"/>
    <x:col min="23" max="23" width="3.140625" style="1" customWidth="1"/>
    <x:col min="24" max="24" width="9.7109375" style="1" customWidth="1"/>
    <x:col min="25" max="25" width="1.7109375" style="1" customWidth="1"/>
    <x:col min="26" max="26" width="9.4257812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72</x:v>
      </x:c>
    </x:row>
    <x:row r="7" spans="1:26" ht="18.75" customHeight="1" x14ac:dyDescent="0.25">
      <x:c r="A7" s="6" t="s">
        <x:v>67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0</x:v>
      </x:c>
      <x:c r="J14" s="25"/>
    </x:row>
    <x:row r="15" spans="1:26" ht="18.75" customHeight="1" x14ac:dyDescent="0.25">
      <x:c r="A15" s="1" t="s">
        <x:v>1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Factor'!$G$55</x:f>
        <x:v>41014165.257267073</x:v>
      </x:c>
      <x:c r="E22" s="2"/>
      <x:c r="F22" s="26">
        <x:f>([1]RES!$S$16/[1]RES!$I$16)*[2]RESIDENTIAL!$F$22</x:f>
        <x:v>39547111.870643236</x:v>
      </x:c>
      <x:c r="G22" s="2"/>
      <x:c r="H22" s="2">
        <x:f>J22*'[3]Demand Loss Factor'!$G$55</x:f>
        <x:v>15919713.533920208</x:v>
      </x:c>
      <x:c r="I22" s="2"/>
      <x:c r="J22" s="26">
        <x:f>([1]RES!$S$16/[1]RES!$I$16)*[2]RESIDENTIAL!$J$22</x:f>
        <x:v>15350274.426540574</x:v>
      </x:c>
      <x:c r="K22" s="2"/>
      <x:c r="L22" s="2">
        <x:f>N22*'[3]Demand Loss Factor'!$G$55</x:f>
        <x:v>15680997.073688842</x:v>
      </x:c>
      <x:c r="N22" s="26">
        <x:f>([1]RES!$S$16/[1]RES!$I$16)*[2]RESIDENTIAL!$N$22</x:f>
        <x:v>15120096.718450781</x:v>
      </x:c>
      <x:c r="O22" s="2"/>
      <x:c r="P22" s="2">
        <x:f>R22*'[3]Demand Loss Factor'!$G$55</x:f>
        <x:v>15886284.519352615</x:v>
      </x:c>
      <x:c r="R22" s="26">
        <x:f>([1]RES!$S$16/[1]RES!$I$16)*[2]RESIDENTIAL!$R$22</x:f>
        <x:v>15318041.148829389</x:v>
      </x:c>
      <x:c r="S22" s="2"/>
      <x:c r="T22" s="2">
        <x:f>V22*'[3]Energy Loss Factor'!$G$55</x:f>
        <x:v>4275295482.6599836</x:v>
      </x:c>
      <x:c r="V22" s="19">
        <x:f>[1]RES!$S$16</x:f>
        <x:v>4130810086.1340179</x:v>
      </x:c>
      <x:c r="W22" s="21"/>
      <x:c r="X22" s="22">
        <x:v>0.98500497765096529</x:v>
      </x:c>
      <x:c r="Y22" s="22"/>
      <x:c r="Z22" s="20">
        <x:v>0.46295700000000001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Factor'!$G$55</x:f>
        <x:v>32309453.404740527</x:v>
      </x:c>
      <x:c r="E23" s="2"/>
      <x:c r="F23" s="26">
        <x:f>([1]RES!$S$18/[1]RES!$I$18)*[2]RESIDENTIAL!$F$23</x:f>
        <x:v>31153762.614983663</x:v>
      </x:c>
      <x:c r="G23" s="2"/>
      <x:c r="H23" s="2">
        <x:f>J23*'[3]Demand Loss Factor'!$G$55</x:f>
        <x:v>8287879.7637167973</x:v>
      </x:c>
      <x:c r="I23" s="2"/>
      <x:c r="J23" s="26">
        <x:f>([1]RES!$S$18/[1]RES!$I$18)*[2]RESIDENTIAL!$J$23</x:f>
        <x:v>7991427.0138186989</x:v>
      </x:c>
      <x:c r="K23" s="2"/>
      <x:c r="L23" s="2">
        <x:f>N23*'[3]Demand Loss Factor'!$G$55</x:f>
        <x:v>7572193.2402164703</x:v>
      </x:c>
      <x:c r="N23" s="26">
        <x:f>([1]RES!$S$18/[1]RES!$I$18)*[2]RESIDENTIAL!$N$23</x:f>
        <x:v>7301340.1906042667</x:v>
      </x:c>
      <x:c r="O23" s="2"/>
      <x:c r="P23" s="2">
        <x:f>R23*'[3]Demand Loss Factor'!$G$55</x:f>
        <x:v>7572193.2402164703</x:v>
      </x:c>
      <x:c r="R23" s="26">
        <x:f>([1]RES!$S$18/[1]RES!$I$18)*[2]RESIDENTIAL!$R$23</x:f>
        <x:v>7301340.1906042667</x:v>
      </x:c>
      <x:c r="S23" s="2"/>
      <x:c r="T23" s="2">
        <x:f>V23*'[3]Energy Loss Factor'!$G$55</x:f>
        <x:v>4312020535.1937399</x:v>
      </x:c>
      <x:c r="V23" s="19">
        <x:f>[1]RES!$S$18</x:f>
        <x:v>4166294000.1782126</x:v>
      </x:c>
      <x:c r="W23" s="21"/>
      <x:c r="X23" s="22">
        <x:v>0.91364660879450688</x:v>
      </x:c>
      <x:c r="Y23" s="22"/>
      <x:c r="Z23" s="20">
        <x:v>0.48046680000000003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Factor'!$G$55</x:f>
        <x:v>38668056.582434691</x:v>
      </x:c>
      <x:c r="E24" s="2"/>
      <x:c r="F24" s="26">
        <x:f>([1]RES!$S$20/[1]RES!$I$20)*[2]RESIDENTIAL!$F$24</x:f>
        <x:v>37284922.170028932</x:v>
      </x:c>
      <x:c r="G24" s="2"/>
      <x:c r="H24" s="2">
        <x:f>J24*'[3]Demand Loss Factor'!$G$55</x:f>
        <x:v>7317376.1935723377</x:v>
      </x:c>
      <x:c r="I24" s="2"/>
      <x:c r="J24" s="26">
        <x:f>([1]RES!$S$20/[1]RES!$I$20)*[2]RESIDENTIAL!$J$24</x:f>
        <x:v>7055637.8049291885</x:v>
      </x:c>
      <x:c r="K24" s="2"/>
      <x:c r="L24" s="2">
        <x:f>N24*'[3]Demand Loss Factor'!$G$55</x:f>
        <x:v>7317376.2692429796</x:v>
      </x:c>
      <x:c r="N24" s="26">
        <x:f>([1]RES!$S$20/[1]RES!$I$20)*[2]RESIDENTIAL!$N$24</x:f>
        <x:v>7055637.877893134</x:v>
      </x:c>
      <x:c r="O24" s="2"/>
      <x:c r="P24" s="2">
        <x:f>R24*'[3]Demand Loss Factor'!$G$55</x:f>
        <x:v>6052069.8140517734</x:v>
      </x:c>
      <x:c r="R24" s="26">
        <x:f>([1]RES!$S$20/[1]RES!$I$20)*[2]RESIDENTIAL!$R$24</x:f>
        <x:v>5835590.7156452695</x:v>
      </x:c>
      <x:c r="S24" s="2"/>
      <x:c r="T24" s="2">
        <x:f>V24*'[3]Energy Loss Factor'!$G$55</x:f>
        <x:v>3605759750.2034178</x:v>
      </x:c>
      <x:c r="V24" s="19">
        <x:f>[1]RES!$S$20</x:f>
        <x:v>3483901593.4050093</x:v>
      </x:c>
      <x:c r="W24" s="21"/>
      <x:c r="X24" s="22">
        <x:v>1.0000000103412261</x:v>
      </x:c>
      <x:c r="Y24" s="22"/>
      <x:c r="Z24" s="20">
        <x:v>0.59495229000000005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Factor'!$G$55</x:f>
        <x:v>32477916.719077274</x:v>
      </x:c>
      <x:c r="E25" s="2"/>
      <x:c r="F25" s="26">
        <x:f>([1]RES!$S$22/[1]RES!$I$22)*[2]RESIDENTIAL!$F$25</x:f>
        <x:v>31316200.092289001</x:v>
      </x:c>
      <x:c r="G25" s="2"/>
      <x:c r="H25" s="2">
        <x:f>J25*'[3]Demand Loss Factor'!$G$55</x:f>
        <x:v>8090895.0192927467</x:v>
      </x:c>
      <x:c r="I25" s="2"/>
      <x:c r="J25" s="26">
        <x:f>([1]RES!$S$22/[1]RES!$I$22)*[2]RESIDENTIAL!$J$25</x:f>
        <x:v>7801488.3017741404</x:v>
      </x:c>
      <x:c r="K25" s="2"/>
      <x:c r="L25" s="2">
        <x:f>N25*'[3]Demand Loss Factor'!$G$55</x:f>
        <x:v>7506278.2865680549</x:v>
      </x:c>
      <x:c r="N25" s="26">
        <x:f>([1]RES!$S$22/[1]RES!$I$22)*[2]RESIDENTIAL!$N$25</x:f>
        <x:v>7237782.9773943676</x:v>
      </x:c>
      <x:c r="O25" s="2"/>
      <x:c r="P25" s="2">
        <x:f>R25*'[3]Demand Loss Factor'!$G$55</x:f>
        <x:v>7506278.2865680549</x:v>
      </x:c>
      <x:c r="R25" s="26">
        <x:f>([1]RES!$S$22/[1]RES!$I$22)*[2]RESIDENTIAL!$R$25</x:f>
        <x:v>7237782.9773943676</x:v>
      </x:c>
      <x:c r="S25" s="2"/>
      <x:c r="T25" s="2">
        <x:f>V25*'[3]Energy Loss Factor'!$G$55</x:f>
        <x:v>2855217924.1494088</x:v>
      </x:c>
      <x:c r="V25" s="19">
        <x:f>[1]RES!$S$22</x:f>
        <x:v>2758724641.8460059</x:v>
      </x:c>
      <x:c r="W25" s="21"/>
      <x:c r="X25" s="22">
        <x:v>0.92774387365913491</x:v>
      </x:c>
      <x:c r="Y25" s="22"/>
      <x:c r="Z25" s="20">
        <x:v>0.51174580000000003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Factor'!$G$55</x:f>
        <x:v>30114128.286472343</x:v>
      </x:c>
      <x:c r="E26" s="2"/>
      <x:c r="F26" s="26">
        <x:f>([1]RES!$S$24/[1]RES!$I$24)*[2]RESIDENTIAL!$F$26</x:f>
        <x:v>29036963.028791863</x:v>
      </x:c>
      <x:c r="G26" s="2"/>
      <x:c r="H26" s="2">
        <x:f>J26*'[3]Demand Loss Factor'!$G$55</x:f>
        <x:v>11218275.33367799</x:v>
      </x:c>
      <x:c r="I26" s="2"/>
      <x:c r="J26" s="26">
        <x:f>([1]RES!$S$24/[1]RES!$I$24)*[2]RESIDENTIAL!$J$26</x:f>
        <x:v>10817003.999320287</x:v>
      </x:c>
      <x:c r="K26" s="2"/>
      <x:c r="L26" s="2">
        <x:f>N26*'[3]Demand Loss Factor'!$G$55</x:f>
        <x:v>11150739.750076445</x:v>
      </x:c>
      <x:c r="N26" s="26">
        <x:f>([1]RES!$S$24/[1]RES!$I$24)*[2]RESIDENTIAL!$N$26</x:f>
        <x:v>10751884.125169825</x:v>
      </x:c>
      <x:c r="O26" s="2"/>
      <x:c r="P26" s="2">
        <x:f>R26*'[3]Demand Loss Factor'!$G$55</x:f>
        <x:v>11218275.33367799</x:v>
      </x:c>
      <x:c r="R26" s="26">
        <x:f>([1]RES!$S$24/[1]RES!$I$24)*[2]RESIDENTIAL!$R$26</x:f>
        <x:v>10817003.999320287</x:v>
      </x:c>
      <x:c r="S26" s="2"/>
      <x:c r="T26" s="2">
        <x:f>V26*'[3]Energy Loss Factor'!$G$55</x:f>
        <x:v>2916482400.682714</x:v>
      </x:c>
      <x:c r="V26" s="19">
        <x:f>[1]RES!$S$24</x:f>
        <x:v>2817918659.80615</x:v>
      </x:c>
      <x:c r="W26" s="21"/>
      <x:c r="X26" s="22">
        <x:v>0.99397986039807751</x:v>
      </x:c>
      <x:c r="Y26" s="22"/>
      <x:c r="Z26" s="20">
        <x:v>0.45782400000000001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Factor'!$G$55</x:f>
        <x:v>30819302.080597851</x:v>
      </x:c>
      <x:c r="E27" s="2"/>
      <x:c r="F27" s="26">
        <x:f>([1]RES!$S$26/[1]RES!$I$26)*[2]RESIDENTIAL!$F$27</x:f>
        <x:v>29716913.156987783</x:v>
      </x:c>
      <x:c r="G27" s="2"/>
      <x:c r="H27" s="2">
        <x:f>J27*'[3]Demand Loss Factor'!$G$55</x:f>
        <x:v>12552930.608607061</x:v>
      </x:c>
      <x:c r="I27" s="2"/>
      <x:c r="J27" s="26">
        <x:f>([1]RES!$S$26/[1]RES!$I$26)*[2]RESIDENTIAL!$J$27</x:f>
        <x:v>12103919.413428634</x:v>
      </x:c>
      <x:c r="K27" s="2"/>
      <x:c r="L27" s="2">
        <x:f>N27*'[3]Demand Loss Factor'!$G$55</x:f>
        <x:v>10885045.540083447</x:v>
      </x:c>
      <x:c r="N27" s="26">
        <x:f>([1]RES!$S$26/[1]RES!$I$26)*[2]RESIDENTIAL!$N$27</x:f>
        <x:v>10495693.646098366</x:v>
      </x:c>
      <x:c r="O27" s="2"/>
      <x:c r="P27" s="2">
        <x:f>R27*'[3]Demand Loss Factor'!$G$55</x:f>
        <x:v>12552930.608607061</x:v>
      </x:c>
      <x:c r="Q27" s="14"/>
      <x:c r="R27" s="26">
        <x:f>([1]RES!$S$26/[1]RES!$I$26)*[2]RESIDENTIAL!$R$27</x:f>
        <x:v>12103919.413428634</x:v>
      </x:c>
      <x:c r="S27" s="2"/>
      <x:c r="T27" s="2">
        <x:f>V27*'[3]Energy Loss Factor'!$G$55</x:f>
        <x:v>4054831941.1618962</x:v>
      </x:c>
      <x:c r="V27" s="19">
        <x:f>[1]RES!$S$26</x:f>
        <x:v>3917797202.1032481</x:v>
      </x:c>
      <x:c r="W27" s="21"/>
      <x:c r="X27" s="22">
        <x:v>0.86713181801706063</x:v>
      </x:c>
      <x:c r="Y27" s="22"/>
      <x:c r="Z27" s="20">
        <x:v>0.56086499999999995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Factor'!$G$55</x:f>
        <x:v>30254453.089045137</x:v>
      </x:c>
      <x:c r="E28" s="2"/>
      <x:c r="F28" s="26">
        <x:f>([1]RES!$S$28/[1]RES!$I$28)*[2]RESIDENTIAL!$F$28</x:f>
        <x:v>29172268.492910482</x:v>
      </x:c>
      <x:c r="G28" s="2"/>
      <x:c r="H28" s="2">
        <x:f>J28*'[3]Demand Loss Factor'!$G$55</x:f>
        <x:v>12342725.183295522</x:v>
      </x:c>
      <x:c r="I28" s="2"/>
      <x:c r="J28" s="26">
        <x:f>([1]RES!$S$28/[1]RES!$I$28)*[2]RESIDENTIAL!$J$28</x:f>
        <x:v>11901232.91673982</x:v>
      </x:c>
      <x:c r="K28" s="2"/>
      <x:c r="L28" s="2">
        <x:f>N28*'[3]Demand Loss Factor'!$G$55</x:f>
        <x:v>11783694.768462185</x:v>
      </x:c>
      <x:c r="N28" s="26">
        <x:f>([1]RES!$S$28/[1]RES!$I$28)*[2]RESIDENTIAL!$N$28</x:f>
        <x:v>11362198.702198811</x:v>
      </x:c>
      <x:c r="O28" s="2"/>
      <x:c r="P28" s="2">
        <x:f>R28*'[3]Demand Loss Factor'!$G$55</x:f>
        <x:v>11981711.531103166</x:v>
      </x:c>
      <x:c r="R28" s="26">
        <x:f>([1]RES!$S$28/[1]RES!$I$28)*[2]RESIDENTIAL!$R$28</x:f>
        <x:v>11553132.517755082</x:v>
      </x:c>
      <x:c r="S28" s="2"/>
      <x:c r="T28" s="2">
        <x:f>V28*'[3]Energy Loss Factor'!$G$55</x:f>
        <x:v>5312860001.5747719</x:v>
      </x:c>
      <x:c r="V28" s="19">
        <x:f>[1]RES!$S$28</x:f>
        <x:v>5133309678.7660027</x:v>
      </x:c>
      <x:c r="W28" s="21"/>
      <x:c r="X28" s="22">
        <x:v>0.95470769975581071</x:v>
      </x:c>
      <x:c r="Y28" s="22"/>
      <x:c r="Z28" s="20">
        <x:v>0.57697960000000004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Factor'!$G$55</x:f>
        <x:v>33734976.128964655</x:v>
      </x:c>
      <x:c r="E29" s="2"/>
      <x:c r="F29" s="26">
        <x:f>([1]RES!$S$30/[1]RES!$I$30)*[2]RESIDENTIAL!$F$29</x:f>
        <x:v>32528295.201357506</x:v>
      </x:c>
      <x:c r="G29" s="2"/>
      <x:c r="H29" s="2">
        <x:f>J29*'[3]Demand Loss Factor'!$G$55</x:f>
        <x:v>14969814.510673698</x:v>
      </x:c>
      <x:c r="I29" s="2"/>
      <x:c r="J29" s="26">
        <x:f>([1]RES!$S$30/[1]RES!$I$30)*[2]RESIDENTIAL!$J$29</x:f>
        <x:v>14434352.751614168</x:v>
      </x:c>
      <x:c r="K29" s="2"/>
      <x:c r="L29" s="2">
        <x:f>N29*'[3]Demand Loss Factor'!$G$55</x:f>
        <x:v>12987731.955229605</x:v>
      </x:c>
      <x:c r="N29" s="26">
        <x:f>([1]RES!$S$30/[1]RES!$I$30)*[2]RESIDENTIAL!$N$29</x:f>
        <x:v>12523168.162940642</x:v>
      </x:c>
      <x:c r="O29" s="2"/>
      <x:c r="P29" s="2">
        <x:f>R29*'[3]Demand Loss Factor'!$G$55</x:f>
        <x:v>13897048.610517567</x:v>
      </x:c>
      <x:c r="R29" s="26">
        <x:f>([1]RES!$S$30/[1]RES!$I$30)*[2]RESIDENTIAL!$R$29</x:f>
        <x:v>13399959.078151101</x:v>
      </x:c>
      <x:c r="S29" s="2"/>
      <x:c r="T29" s="2">
        <x:f>V29*'[3]Energy Loss Factor'!$G$55</x:f>
        <x:v>5680752389.6101036</x:v>
      </x:c>
      <x:c r="V29" s="19">
        <x:f>[1]RES!$S$30</x:f>
        <x:v>5488768989.8877592</x:v>
      </x:c>
      <x:c r="W29" s="21"/>
      <x:c r="X29" s="22">
        <x:v>0.86759471508275277</x:v>
      </x:c>
      <x:c r="Y29" s="22"/>
      <x:c r="Z29" s="20">
        <x:v>0.58881899999999998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Factor'!$G$55</x:f>
        <x:v>29297472.582648247</x:v>
      </x:c>
      <x:c r="E30" s="2"/>
      <x:c r="F30" s="26">
        <x:f>([1]RES!$S$32/[1]RES!$I$32)*[2]RESIDENTIAL!$F$30</x:f>
        <x:v>28249518.635462221</x:v>
      </x:c>
      <x:c r="G30" s="2"/>
      <x:c r="H30" s="2">
        <x:f>J30*'[3]Demand Loss Factor'!$G$55</x:f>
        <x:v>11435652.078624286</x:v>
      </x:c>
      <x:c r="I30" s="2"/>
      <x:c r="J30" s="26">
        <x:f>([1]RES!$S$32/[1]RES!$I$32)*[2]RESIDENTIAL!$J$30</x:f>
        <x:v>11026605.301615333</x:v>
      </x:c>
      <x:c r="K30" s="2"/>
      <x:c r="L30" s="2">
        <x:f>N30*'[3]Demand Loss Factor'!$G$55</x:f>
        <x:v>10030977.639863774</x:v>
      </x:c>
      <x:c r="N30" s="26">
        <x:f>([1]RES!$S$32/[1]RES!$I$32)*[2]RESIDENTIAL!$N$30</x:f>
        <x:v>9672175.2693802584</x:v>
      </x:c>
      <x:c r="O30" s="2"/>
      <x:c r="P30" s="2">
        <x:f>R30*'[3]Demand Loss Factor'!$G$55</x:f>
        <x:v>10955476.68881195</x:v>
      </x:c>
      <x:c r="R30" s="26">
        <x:f>([1]RES!$S$32/[1]RES!$I$32)*[2]RESIDENTIAL!$R$30</x:f>
        <x:v>10563605.51265648</x:v>
      </x:c>
      <x:c r="S30" s="2"/>
      <x:c r="T30" s="2">
        <x:f>V30*'[3]Energy Loss Factor'!$G$55</x:f>
        <x:v>5428380785.607358</x:v>
      </x:c>
      <x:c r="V30" s="19">
        <x:f>[1]RES!$S$32</x:f>
        <x:v>5244926389.6519175</x:v>
      </x:c>
      <x:c r="W30" s="21"/>
      <x:c r="X30" s="22">
        <x:v>0.87716708858376757</x:v>
      </x:c>
      <x:c r="Y30" s="22"/>
      <x:c r="Z30" s="20">
        <x:v>0.49796869999999999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Factor'!$G$55</x:f>
        <x:v>29135515.756474629</x:v>
      </x:c>
      <x:c r="E31" s="2"/>
      <x:c r="F31" s="26">
        <x:f>([1]RES!$S$34/[1]RES!$I$34)*[2]RESIDENTIAL!$F$31</x:f>
        <x:v>28093354.912935462</x:v>
      </x:c>
      <x:c r="G31" s="2"/>
      <x:c r="H31" s="2">
        <x:f>J31*'[3]Demand Loss Factor'!$G$55</x:f>
        <x:v>9723940.28550932</x:v>
      </x:c>
      <x:c r="I31" s="2"/>
      <x:c r="J31" s="26">
        <x:f>([1]RES!$S$34/[1]RES!$I$34)*[2]RESIDENTIAL!$J$31</x:f>
        <x:v>9376120.4667295944</x:v>
      </x:c>
      <x:c r="K31" s="2"/>
      <x:c r="L31" s="2">
        <x:f>N31*'[3]Demand Loss Factor'!$G$55</x:f>
        <x:v>9139843.2237364184</x:v>
      </x:c>
      <x:c r="N31" s="26">
        <x:f>([1]RES!$S$34/[1]RES!$I$34)*[2]RESIDENTIAL!$N$31</x:f>
        <x:v>8812916.224966947</x:v>
      </x:c>
      <x:c r="O31" s="2"/>
      <x:c r="P31" s="2">
        <x:f>R31*'[3]Demand Loss Factor'!$G$55</x:f>
        <x:v>9139843.2237364184</x:v>
      </x:c>
      <x:c r="R31" s="26">
        <x:f>([1]RES!$S$34/[1]RES!$I$34)*[2]RESIDENTIAL!$R$31</x:f>
        <x:v>8812916.224966947</x:v>
      </x:c>
      <x:c r="S31" s="2"/>
      <x:c r="T31" s="2">
        <x:f>V31*'[3]Energy Loss Factor'!$G$55</x:f>
        <x:v>4079146708.3744445</x:v>
      </x:c>
      <x:c r="V31" s="19">
        <x:f>[1]RES!$S$34</x:f>
        <x:v>3941290241.6021471</x:v>
      </x:c>
      <x:c r="W31" s="21"/>
      <x:c r="X31" s="22">
        <x:v>0.93993205998566964</x:v>
      </x:c>
      <x:c r="Y31" s="22"/>
      <x:c r="Z31" s="20">
        <x:v>0.48607440000000002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Factor'!$G$55</x:f>
        <x:v>30453670.948855326</x:v>
      </x:c>
      <x:c r="E32" s="2"/>
      <x:c r="F32" s="26">
        <x:f>([1]RES!$S$36/[1]RES!$I$36)*[2]RESIDENTIAL!$F$32</x:f>
        <x:v>29364360.443072692</x:v>
      </x:c>
      <x:c r="G32" s="2"/>
      <x:c r="H32" s="2">
        <x:f>J32*'[3]Demand Loss Factor'!$G$55</x:f>
        <x:v>5981747.3540480733</x:v>
      </x:c>
      <x:c r="I32" s="2"/>
      <x:c r="J32" s="26">
        <x:f>([1]RES!$S$36/[1]RES!$I$36)*[2]RESIDENTIAL!$J$32</x:f>
        <x:v>5767783.6500780284</x:v>
      </x:c>
      <x:c r="K32" s="2"/>
      <x:c r="L32" s="2">
        <x:f>N32*'[3]Demand Loss Factor'!$G$55</x:f>
        <x:v>4627062.0016961442</x:v>
      </x:c>
      <x:c r="N32" s="26">
        <x:f>([1]RES!$S$36/[1]RES!$I$36)*[2]RESIDENTIAL!$N$32</x:f>
        <x:v>4461554.6230349625</x:v>
      </x:c>
      <x:c r="O32" s="2"/>
      <x:c r="P32" s="2">
        <x:f>R32*'[3]Demand Loss Factor'!$G$55</x:f>
        <x:v>4565722.6546370331</x:v>
      </x:c>
      <x:c r="R32" s="26">
        <x:f>([1]RES!$S$36/[1]RES!$I$36)*[2]RESIDENTIAL!$R$32</x:f>
        <x:v>4402409.3495665705</x:v>
      </x:c>
      <x:c r="S32" s="2"/>
      <x:c r="T32" s="2">
        <x:f>V32*'[3]Energy Loss Factor'!$G$55</x:f>
        <x:v>3120772029.7635264</x:v>
      </x:c>
      <x:c r="V32" s="19">
        <x:f>[1]RES!$S$36</x:f>
        <x:v>3015304235.5452461</x:v>
      </x:c>
      <x:c r="W32" s="21"/>
      <x:c r="X32" s="22">
        <x:v>0.77353016231366534</x:v>
      </x:c>
      <x:c r="Y32" s="22"/>
      <x:c r="Z32" s="20">
        <x:v>0.59440999999999999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Factor'!$G$55</x:f>
        <x:v>37463045.74689687</x:v>
      </x:c>
      <x:c r="E33" s="2"/>
      <x:c r="F33" s="26">
        <x:f>([1]RES!$S$38/[1]RES!$I$38)*[2]RESIDENTIAL!$F$33</x:f>
        <x:v>36123013.887379982</x:v>
      </x:c>
      <x:c r="G33" s="2"/>
      <x:c r="H33" s="2">
        <x:f>J33*'[3]Demand Loss Factor'!$G$55</x:f>
        <x:v>8934652.1157820858</x:v>
      </x:c>
      <x:c r="I33" s="2"/>
      <x:c r="J33" s="26">
        <x:f>([1]RES!$S$38/[1]RES!$I$38)*[2]RESIDENTIAL!$J$33</x:f>
        <x:v>8615064.6863526534</x:v>
      </x:c>
      <x:c r="K33" s="2"/>
      <x:c r="L33" s="2">
        <x:f>N33*'[3]Demand Loss Factor'!$G$55</x:f>
        <x:v>8902924.3510833401</x:v>
      </x:c>
      <x:c r="N33" s="26">
        <x:f>([1]RES!$S$38/[1]RES!$I$38)*[2]RESIDENTIAL!$N$33</x:f>
        <x:v>8584471.8057691716</x:v>
      </x:c>
      <x:c r="O33" s="2"/>
      <x:c r="P33" s="2">
        <x:f>R33*'[3]Demand Loss Factor'!$G$55</x:f>
        <x:v>8902924.3510833401</x:v>
      </x:c>
      <x:c r="R33" s="26">
        <x:f>([1]RES!$S$38/[1]RES!$I$38)*[2]RESIDENTIAL!$R$33</x:f>
        <x:v>8584471.8057691716</x:v>
      </x:c>
      <x:c r="S33" s="2"/>
      <x:c r="T33" s="15">
        <x:f>V33*'[3]Energy Loss Factor'!$G$55</x:f>
        <x:v>3247512038.1801243</x:v>
      </x:c>
      <x:c r="V33" s="23">
        <x:f>[1]RES!$S$38</x:f>
        <x:v>3137761012.4411111</x:v>
      </x:c>
      <x:c r="W33" s="21"/>
      <x:c r="X33" s="22">
        <x:v>0.99644890877813763</x:v>
      </x:c>
      <x:c r="Y33" s="22"/>
      <x:c r="Z33" s="20">
        <x:v>0.55202499999999999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48889031987.161484</x:v>
      </x:c>
      <x:c r="U34" s="14"/>
      <x:c r="V34" s="14">
        <x:f>+SUM(V22:V33)</x:f>
        <x:v>47236806731.366829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honeticPr fontId="1" type="noConversion"/>
  <x:pageMargins left="0.5" right="1" top="1.5" bottom="0.5" header="0.5" footer="0.5"/>
  <x:pageSetup scale="49" orientation="landscape" r:id="rId1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Z40"/>
  <x:sheetViews>
    <x:sheetView topLeftCell="A5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2.710937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2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18.7109375" style="2" customWidth="1"/>
    <x:col min="21" max="21" width="2.7109375" style="2" customWidth="1"/>
    <x:col min="22" max="22" width="18.85546875" style="2" customWidth="1"/>
    <x:col min="23" max="23" width="3.7109375" style="1" customWidth="1"/>
    <x:col min="24" max="24" width="9.7109375" style="1" customWidth="1"/>
    <x:col min="25" max="25" width="1.7109375" style="1" customWidth="1"/>
    <x:col min="26" max="26" width="9.7109375" style="12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73</x:v>
      </x:c>
    </x:row>
    <x:row r="7" spans="1:26" ht="18.75" customHeight="1" x14ac:dyDescent="0.25">
      <x:c r="A7" s="6" t="s">
        <x:v>69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1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1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1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1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1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1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17"/>
    </x:row>
    <x:row r="14" spans="1:26" ht="18.75" customHeight="1" x14ac:dyDescent="0.25">
      <x:c r="A14" s="1" t="s">
        <x:v>30</x:v>
      </x:c>
      <x:c r="J14" s="25"/>
    </x:row>
    <x:row r="15" spans="1:26" ht="18.75" customHeight="1" x14ac:dyDescent="0.25">
      <x:c r="A15" s="1" t="s">
        <x:v>1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12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  <x:c r="Z18" s="12"/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8" t="s">
        <x:v>63</x:v>
      </x:c>
    </x:row>
    <x:row r="21" spans="1:26" ht="18.75" customHeight="1" x14ac:dyDescent="0.25">
      <x:c r="M21" s="1"/>
      <x:c r="X21" s="12"/>
      <x:c r="Y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Factor'!$G$55</x:f>
        <x:v>664970.1379438407</x:v>
      </x:c>
      <x:c r="E22" s="2"/>
      <x:c r="F22" s="2">
        <x:f>('[1]GS SEC SMALL'!$S$16/'[1]GS SEC SMALL'!$I$16)*'[2]SEC &lt; 10kW'!$F$22</x:f>
        <x:v>641184.53395178146</x:v>
      </x:c>
      <x:c r="G22" s="2"/>
      <x:c r="H22" s="2">
        <x:f>J22*'[3]Demand Loss Factor'!$G$55</x:f>
        <x:v>300765.84980009048</x:v>
      </x:c>
      <x:c r="I22" s="2"/>
      <x:c r="J22" s="2">
        <x:f>('[1]GS SEC SMALL'!$S$16/'[1]GS SEC SMALL'!$I$16)*'[2]SEC &lt; 10kW'!$J$22</x:f>
        <x:v>290007.62625068304</x:v>
      </x:c>
      <x:c r="K22" s="2"/>
      <x:c r="L22" s="2">
        <x:f>N22*'[3]Demand Loss Factor'!$G$55</x:f>
        <x:v>293802.64230781374</x:v>
      </x:c>
      <x:c r="N22" s="2">
        <x:f>('[1]GS SEC SMALL'!$S$16/'[1]GS SEC SMALL'!$I$16)*'[2]SEC &lt; 10kW'!$N$22</x:f>
        <x:v>283293.48873384605</x:v>
      </x:c>
      <x:c r="O22" s="2"/>
      <x:c r="P22" s="2">
        <x:f>R22*'[3]Demand Loss Factor'!$G$55</x:f>
        <x:v>282020.41194330342</x:v>
      </x:c>
      <x:c r="R22" s="2">
        <x:f>('[1]GS SEC SMALL'!$S$16/'[1]GS SEC SMALL'!$I$16)*'[2]SEC &lt; 10kW'!$R$22</x:f>
        <x:v>271932.70205470186</x:v>
      </x:c>
      <x:c r="S22" s="2"/>
      <x:c r="T22" s="2">
        <x:f>V22*'[3]Energy Loss Factor'!$G$55</x:f>
        <x:v>144733578.68922311</x:v>
      </x:c>
      <x:c r="V22" s="19">
        <x:f>'[1]GS SEC SMALL'!$S$16</x:f>
        <x:v>139842246.94563949</x:v>
      </x:c>
      <x:c r="X22" s="12">
        <x:v>0.97684841049306304</x:v>
      </x:c>
      <x:c r="Y22" s="12"/>
      <x:c r="Z22" s="12">
        <x:v>0.72075120000000004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Factor'!$G$55</x:f>
        <x:v>587790.46720786102</x:v>
      </x:c>
      <x:c r="E23" s="2"/>
      <x:c r="F23" s="2">
        <x:f>('[1]GS SEC SMALL'!$S$18/'[1]GS SEC SMALL'!$I$18)*'[2]SEC &lt; 10kW'!$F$23</x:f>
        <x:v>566765.53618382395</x:v>
      </x:c>
      <x:c r="G23" s="2"/>
      <x:c r="H23" s="2">
        <x:f>J23*'[3]Demand Loss Factor'!$G$55</x:f>
        <x:v>217908.33541200767</x:v>
      </x:c>
      <x:c r="I23" s="2"/>
      <x:c r="J23" s="2">
        <x:f>('[1]GS SEC SMALL'!$S$18/'[1]GS SEC SMALL'!$I$18)*'[2]SEC &lt; 10kW'!$J$23</x:f>
        <x:v>210113.87807185479</x:v>
      </x:c>
      <x:c r="K23" s="2"/>
      <x:c r="L23" s="2">
        <x:f>N23*'[3]Demand Loss Factor'!$G$55</x:f>
        <x:v>203695.93546558169</x:v>
      </x:c>
      <x:c r="N23" s="2">
        <x:f>('[1]GS SEC SMALL'!$S$18/'[1]GS SEC SMALL'!$I$18)*'[2]SEC &lt; 10kW'!$N$23</x:f>
        <x:v>196409.84759589517</x:v>
      </x:c>
      <x:c r="O23" s="2"/>
      <x:c r="P23" s="2">
        <x:f>R23*'[3]Demand Loss Factor'!$G$55</x:f>
        <x:v>203695.93546558169</x:v>
      </x:c>
      <x:c r="R23" s="2">
        <x:f>('[1]GS SEC SMALL'!$S$18/'[1]GS SEC SMALL'!$I$18)*'[2]SEC &lt; 10kW'!$R$23</x:f>
        <x:v>196409.84759589517</x:v>
      </x:c>
      <x:c r="S23" s="2"/>
      <x:c r="T23" s="2">
        <x:f>V23*'[3]Energy Loss Factor'!$G$55</x:f>
        <x:v>148763188.62933394</x:v>
      </x:c>
      <x:c r="V23" s="19">
        <x:f>'[1]GS SEC SMALL'!$S$18</x:f>
        <x:v>143735674.53475183</x:v>
      </x:c>
      <x:c r="X23" s="12">
        <x:v>0.93477808033568777</x:v>
      </x:c>
      <x:c r="Y23" s="12"/>
      <x:c r="Z23" s="12">
        <x:v>0.80244550000000003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Factor'!$G$55</x:f>
        <x:v>600434.77379620378</x:v>
      </x:c>
      <x:c r="E24" s="2"/>
      <x:c r="F24" s="2">
        <x:f>('[1]GS SEC SMALL'!$S$20/'[1]GS SEC SMALL'!$I$20)*'[2]SEC &lt; 10kW'!$F$24</x:f>
        <x:v>578957.56311011384</x:v>
      </x:c>
      <x:c r="G24" s="2"/>
      <x:c r="H24" s="2">
        <x:f>J24*'[3]Demand Loss Factor'!$G$55</x:f>
        <x:v>211593.30275397486</x:v>
      </x:c>
      <x:c r="I24" s="2"/>
      <x:c r="J24" s="2">
        <x:f>('[1]GS SEC SMALL'!$S$20/'[1]GS SEC SMALL'!$I$20)*'[2]SEC &lt; 10kW'!$J$24</x:f>
        <x:v>204024.73054373977</x:v>
      </x:c>
      <x:c r="K24" s="2"/>
      <x:c r="L24" s="2">
        <x:f>N24*'[3]Demand Loss Factor'!$G$55</x:f>
        <x:v>188210.00969660815</x:v>
      </x:c>
      <x:c r="N24" s="2">
        <x:f>('[1]GS SEC SMALL'!$S$20/'[1]GS SEC SMALL'!$I$20)*'[2]SEC &lt; 10kW'!$N$24</x:f>
        <x:v>181477.84459243136</x:v>
      </x:c>
      <x:c r="O24" s="2"/>
      <x:c r="P24" s="2">
        <x:f>R24*'[3]Demand Loss Factor'!$G$55</x:f>
        <x:v>181184.90498424077</x:v>
      </x:c>
      <x:c r="R24" s="2">
        <x:f>('[1]GS SEC SMALL'!$S$20/'[1]GS SEC SMALL'!$I$20)*'[2]SEC &lt; 10kW'!$R$24</x:f>
        <x:v>174704.02388389577</x:v>
      </x:c>
      <x:c r="S24" s="2"/>
      <x:c r="T24" s="2">
        <x:f>V24*'[3]Energy Loss Factor'!$G$55</x:f>
        <x:v>132708413.78222078</x:v>
      </x:c>
      <x:c r="V24" s="19">
        <x:f>'[1]GS SEC SMALL'!$S$20</x:f>
        <x:v>128223477.50929533</x:v>
      </x:c>
      <x:c r="X24" s="12">
        <x:v>0.88948944624889614</x:v>
      </x:c>
      <x:c r="Y24" s="12"/>
      <x:c r="Z24" s="12">
        <x:v>0.82183399999999995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Factor'!$G$55</x:f>
        <x:v>568507.16956140206</x:v>
      </x:c>
      <x:c r="E25" s="2"/>
      <x:c r="F25" s="2">
        <x:f>('[1]GS SEC SMALL'!$S$22/'[1]GS SEC SMALL'!$I$22)*'[2]SEC &lt; 10kW'!$F$25</x:f>
        <x:v>548171.99113723042</x:v>
      </x:c>
      <x:c r="G25" s="2"/>
      <x:c r="H25" s="2">
        <x:f>J25*'[3]Demand Loss Factor'!$G$55</x:f>
        <x:v>208190.93753213869</x:v>
      </x:c>
      <x:c r="I25" s="2"/>
      <x:c r="J25" s="2">
        <x:f>('[1]GS SEC SMALL'!$S$22/'[1]GS SEC SMALL'!$I$22)*'[2]SEC &lt; 10kW'!$J$25</x:f>
        <x:v>200744.06599263323</x:v>
      </x:c>
      <x:c r="K25" s="2"/>
      <x:c r="L25" s="2">
        <x:f>N25*'[3]Demand Loss Factor'!$G$55</x:f>
        <x:v>196608.15802016249</x:v>
      </x:c>
      <x:c r="N25" s="2">
        <x:f>('[1]GS SEC SMALL'!$S$22/'[1]GS SEC SMALL'!$I$22)*'[2]SEC &lt; 10kW'!$N$25</x:f>
        <x:v>189575.59592235781</x:v>
      </x:c>
      <x:c r="O25" s="2"/>
      <x:c r="P25" s="2">
        <x:f>R25*'[3]Demand Loss Factor'!$G$55</x:f>
        <x:v>196608.15802016249</x:v>
      </x:c>
      <x:c r="R25" s="2">
        <x:f>('[1]GS SEC SMALL'!$S$22/'[1]GS SEC SMALL'!$I$22)*'[2]SEC &lt; 10kW'!$R$25</x:f>
        <x:v>189575.59592235781</x:v>
      </x:c>
      <x:c r="S25" s="2"/>
      <x:c r="T25" s="2">
        <x:f>V25*'[3]Energy Loss Factor'!$G$55</x:f>
        <x:v>121896380.77776177</x:v>
      </x:c>
      <x:c r="V25" s="19">
        <x:f>'[1]GS SEC SMALL'!$S$22</x:f>
        <x:v>117776841.67615163</x:v>
      </x:c>
      <x:c r="X25" s="12">
        <x:v>0.94436463157677963</x:v>
      </x:c>
      <x:c r="Y25" s="12"/>
      <x:c r="Z25" s="12">
        <x:v>0.80308400000000002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Factor'!$G$55</x:f>
        <x:v>584651.279536688</x:v>
      </x:c>
      <x:c r="E26" s="2"/>
      <x:c r="F26" s="2">
        <x:f>('[1]GS SEC SMALL'!$S$24/'[1]GS SEC SMALL'!$I$24)*'[2]SEC &lt; 10kW'!$F$26</x:f>
        <x:v>563738.63547193329</x:v>
      </x:c>
      <x:c r="G26" s="2"/>
      <x:c r="H26" s="2">
        <x:f>J26*'[3]Demand Loss Factor'!$G$55</x:f>
        <x:v>224177.84261521048</x:v>
      </x:c>
      <x:c r="I26" s="2"/>
      <x:c r="J26" s="2">
        <x:f>('[1]GS SEC SMALL'!$S$24/'[1]GS SEC SMALL'!$I$24)*'[2]SEC &lt; 10kW'!$J$26</x:f>
        <x:v>216159.12856479111</x:v>
      </x:c>
      <x:c r="K26" s="2"/>
      <x:c r="L26" s="2">
        <x:f>N26*'[3]Demand Loss Factor'!$G$55</x:f>
        <x:v>208550.23658445722</x:v>
      </x:c>
      <x:c r="N26" s="2">
        <x:f>('[1]GS SEC SMALL'!$S$24/'[1]GS SEC SMALL'!$I$24)*'[2]SEC &lt; 10kW'!$N$26</x:f>
        <x:v>201090.5131220074</x:v>
      </x:c>
      <x:c r="O26" s="2"/>
      <x:c r="P26" s="2">
        <x:f>R26*'[3]Demand Loss Factor'!$G$55</x:f>
        <x:v>206177.16529923145</x:v>
      </x:c>
      <x:c r="R26" s="2">
        <x:f>('[1]GS SEC SMALL'!$S$24/'[1]GS SEC SMALL'!$I$24)*'[2]SEC &lt; 10kW'!$R$26</x:f>
        <x:v>198802.32524825307</x:v>
      </x:c>
      <x:c r="S26" s="2"/>
      <x:c r="T26" s="2">
        <x:f>V26*'[3]Energy Loss Factor'!$G$55</x:f>
        <x:v>118147825.05310014</x:v>
      </x:c>
      <x:c r="V26" s="19">
        <x:f>'[1]GS SEC SMALL'!$S$24</x:f>
        <x:v>114154969.95788771</x:v>
      </x:c>
      <x:c r="X26" s="12">
        <x:v>0.93028924782019062</x:v>
      </x:c>
      <x:c r="Y26" s="12"/>
      <x:c r="Z26" s="12">
        <x:v>0.7917632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Factor'!$G$55</x:f>
        <x:v>594934.47441528598</x:v>
      </x:c>
      <x:c r="E27" s="2"/>
      <x:c r="F27" s="2">
        <x:f>('[1]GS SEC SMALL'!$S$26/'[1]GS SEC SMALL'!$I$26)*'[2]SEC &lt; 10kW'!$F$27</x:f>
        <x:v>573654.00631273037</x:v>
      </x:c>
      <x:c r="G27" s="2"/>
      <x:c r="H27" s="2">
        <x:f>J27*'[3]Demand Loss Factor'!$G$55</x:f>
        <x:v>264273.59003355959</x:v>
      </x:c>
      <x:c r="I27" s="2"/>
      <x:c r="J27" s="2">
        <x:f>('[1]GS SEC SMALL'!$S$26/'[1]GS SEC SMALL'!$I$26)*'[2]SEC &lt; 10kW'!$J$27</x:f>
        <x:v>254820.67388076097</x:v>
      </x:c>
      <x:c r="K27" s="2"/>
      <x:c r="L27" s="2">
        <x:f>N27*'[3]Demand Loss Factor'!$G$55</x:f>
        <x:v>261683.94190946224</x:v>
      </x:c>
      <x:c r="N27" s="2">
        <x:f>('[1]GS SEC SMALL'!$S$26/'[1]GS SEC SMALL'!$I$26)*'[2]SEC &lt; 10kW'!$N$27</x:f>
        <x:v>252323.65599860053</x:v>
      </x:c>
      <x:c r="O27" s="2"/>
      <x:c r="P27" s="2">
        <x:f>R27*'[3]Demand Loss Factor'!$G$55</x:f>
        <x:v>220910.69574816979</x:v>
      </x:c>
      <x:c r="Q27" s="14"/>
      <x:c r="R27" s="2">
        <x:f>('[1]GS SEC SMALL'!$S$26/'[1]GS SEC SMALL'!$I$26)*'[2]SEC &lt; 10kW'!$R$27</x:f>
        <x:v>213008.84568476136</x:v>
      </x:c>
      <x:c r="S27" s="2"/>
      <x:c r="T27" s="2">
        <x:f>V27*'[3]Energy Loss Factor'!$G$55</x:f>
        <x:v>133243378.64262763</x:v>
      </x:c>
      <x:c r="V27" s="19">
        <x:f>'[1]GS SEC SMALL'!$S$26</x:f>
        <x:v>128740363.00880259</x:v>
      </x:c>
      <x:c r="X27" s="12">
        <x:v>0.99020088188241395</x:v>
      </x:c>
      <x:c r="Y27" s="12"/>
      <x:c r="Z27" s="12">
        <x:v>0.75697000000000003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Factor'!$G$55</x:f>
        <x:v>589029.41885527526</x:v>
      </x:c>
      <x:c r="E28" s="2"/>
      <x:c r="F28" s="2">
        <x:f>('[1]GS SEC SMALL'!$S$28/'[1]GS SEC SMALL'!$I$28)*'[2]SEC &lt; 10kW'!$F$28</x:f>
        <x:v>567960.17123479396</x:v>
      </x:c>
      <x:c r="G28" s="2"/>
      <x:c r="H28" s="2">
        <x:f>J28*'[3]Demand Loss Factor'!$G$55</x:f>
        <x:v>266096.84349977534</x:v>
      </x:c>
      <x:c r="I28" s="2"/>
      <x:c r="J28" s="2">
        <x:f>('[1]GS SEC SMALL'!$S$28/'[1]GS SEC SMALL'!$I$28)*'[2]SEC &lt; 10kW'!$J$28</x:f>
        <x:v>256578.71060647967</x:v>
      </x:c>
      <x:c r="K28" s="2"/>
      <x:c r="L28" s="2">
        <x:f>N28*'[3]Demand Loss Factor'!$G$55</x:f>
        <x:v>249028.51530516829</x:v>
      </x:c>
      <x:c r="N28" s="2">
        <x:f>('[1]GS SEC SMALL'!$S$28/'[1]GS SEC SMALL'!$I$28)*'[2]SEC &lt; 10kW'!$N$28</x:f>
        <x:v>240120.90681301153</x:v>
      </x:c>
      <x:c r="O28" s="2"/>
      <x:c r="P28" s="2">
        <x:f>R28*'[3]Demand Loss Factor'!$G$55</x:f>
        <x:v>252935.24245932663</x:v>
      </x:c>
      <x:c r="R28" s="2">
        <x:f>('[1]GS SEC SMALL'!$S$28/'[1]GS SEC SMALL'!$I$28)*'[2]SEC &lt; 10kW'!$R$28</x:f>
        <x:v>243887.8925567042</x:v>
      </x:c>
      <x:c r="S28" s="2"/>
      <x:c r="T28" s="2">
        <x:f>V28*'[3]Energy Loss Factor'!$G$55</x:f>
        <x:v>148006734.73445511</x:v>
      </x:c>
      <x:c r="V28" s="19">
        <x:f>'[1]GS SEC SMALL'!$S$28</x:f>
        <x:v>143004785.31520325</x:v>
      </x:c>
      <x:c r="X28" s="12">
        <x:v>0.93585670551322619</x:v>
      </x:c>
      <x:c r="Y28" s="12"/>
      <x:c r="Z28" s="12">
        <x:v>0.76259600000000005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Factor'!$G$55</x:f>
        <x:v>627741.67448468809</x:v>
      </x:c>
      <x:c r="E29" s="2"/>
      <x:c r="F29" s="2">
        <x:f>('[1]GS SEC SMALL'!$S$30/'[1]GS SEC SMALL'!$I$30)*'[2]SEC &lt; 10kW'!$F$29</x:f>
        <x:v>605287.71147700492</x:v>
      </x:c>
      <x:c r="G29" s="2"/>
      <x:c r="H29" s="2">
        <x:f>J29*'[3]Demand Loss Factor'!$G$55</x:f>
        <x:v>285766.92437535385</x:v>
      </x:c>
      <x:c r="I29" s="2"/>
      <x:c r="J29" s="2">
        <x:f>('[1]GS SEC SMALL'!$S$30/'[1]GS SEC SMALL'!$I$30)*'[2]SEC &lt; 10kW'!$J$29</x:f>
        <x:v>275545.20386586088</x:v>
      </x:c>
      <x:c r="K29" s="2"/>
      <x:c r="L29" s="2">
        <x:f>N29*'[3]Demand Loss Factor'!$G$55</x:f>
        <x:v>279934.6398637977</x:v>
      </x:c>
      <x:c r="N29" s="2">
        <x:f>('[1]GS SEC SMALL'!$S$30/'[1]GS SEC SMALL'!$I$30)*'[2]SEC &lt; 10kW'!$N$29</x:f>
        <x:v>269921.536857325</x:v>
      </x:c>
      <x:c r="O29" s="2"/>
      <x:c r="P29" s="2">
        <x:f>R29*'[3]Demand Loss Factor'!$G$55</x:f>
        <x:v>277470.18666783557</x:v>
      </x:c>
      <x:c r="R29" s="2">
        <x:f>('[1]GS SEC SMALL'!$S$30/'[1]GS SEC SMALL'!$I$30)*'[2]SEC &lt; 10kW'!$R$29</x:f>
        <x:v>267545.23575185734</x:v>
      </x:c>
      <x:c r="S29" s="2"/>
      <x:c r="T29" s="2">
        <x:f>V29*'[3]Energy Loss Factor'!$G$55</x:f>
        <x:v>153285507.93295336</x:v>
      </x:c>
      <x:c r="V29" s="19">
        <x:f>'[1]GS SEC SMALL'!$S$30</x:f>
        <x:v>148105160.16863996</x:v>
      </x:c>
      <x:c r="X29" s="12">
        <x:v>0.97959076431149372</x:v>
      </x:c>
      <x:c r="Y29" s="12"/>
      <x:c r="Z29" s="12">
        <x:v>0.79647199999999996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Factor'!$G$55</x:f>
        <x:v>580178.48578712461</x:v>
      </x:c>
      <x:c r="E30" s="2"/>
      <x:c r="F30" s="2">
        <x:f>('[1]GS SEC SMALL'!$S$32/'[1]GS SEC SMALL'!$I$32)*'[2]SEC &lt; 10kW'!$F$30</x:f>
        <x:v>559425.83101330895</x:v>
      </x:c>
      <x:c r="G30" s="2"/>
      <x:c r="H30" s="2">
        <x:f>J30*'[3]Demand Loss Factor'!$G$55</x:f>
        <x:v>255403.78796578705</x:v>
      </x:c>
      <x:c r="I30" s="2"/>
      <x:c r="J30" s="2">
        <x:f>('[1]GS SEC SMALL'!$S$32/'[1]GS SEC SMALL'!$I$32)*'[2]SEC &lt; 10kW'!$J$30</x:f>
        <x:v>246268.13959304895</x:v>
      </x:c>
      <x:c r="K30" s="2"/>
      <x:c r="L30" s="2">
        <x:f>N30*'[3]Demand Loss Factor'!$G$55</x:f>
        <x:v>252276.20611214882</x:v>
      </x:c>
      <x:c r="N30" s="2">
        <x:f>('[1]GS SEC SMALL'!$S$32/'[1]GS SEC SMALL'!$I$32)*'[2]SEC &lt; 10kW'!$N$30</x:f>
        <x:v>243252.42956519438</x:v>
      </x:c>
      <x:c r="O30" s="2"/>
      <x:c r="P30" s="2">
        <x:f>R30*'[3]Demand Loss Factor'!$G$55</x:f>
        <x:v>252786.12639432147</x:v>
      </x:c>
      <x:c r="R30" s="2">
        <x:f>('[1]GS SEC SMALL'!$S$32/'[1]GS SEC SMALL'!$I$32)*'[2]SEC &lt; 10kW'!$R$30</x:f>
        <x:v>243744.11028861513</x:v>
      </x:c>
      <x:c r="S30" s="2"/>
      <x:c r="T30" s="2">
        <x:f>V30*'[3]Energy Loss Factor'!$G$55</x:f>
        <x:v>151866678.66547868</x:v>
      </x:c>
      <x:c r="V30" s="19">
        <x:f>'[1]GS SEC SMALL'!$S$32</x:f>
        <x:v>146734280.82887089</x:v>
      </x:c>
      <x:c r="X30" s="12">
        <x:v>0.98775436387005666</x:v>
      </x:c>
      <x:c r="Y30" s="12"/>
      <x:c r="Z30" s="12">
        <x:v>0.73376980000000003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Factor'!$G$55</x:f>
        <x:v>581193.77848871239</x:v>
      </x:c>
      <x:c r="E31" s="2"/>
      <x:c r="F31" s="2">
        <x:f>('[1]GS SEC SMALL'!$S$34/'[1]GS SEC SMALL'!$I$34)*'[2]SEC &lt; 10kW'!$F$31</x:f>
        <x:v>560404.80727185961</x:v>
      </x:c>
      <x:c r="G31" s="2"/>
      <x:c r="H31" s="2">
        <x:f>J31*'[3]Demand Loss Factor'!$G$55</x:f>
        <x:v>235314.41057235043</x:v>
      </x:c>
      <x:c r="I31" s="2"/>
      <x:c r="J31" s="2">
        <x:f>('[1]GS SEC SMALL'!$S$34/'[1]GS SEC SMALL'!$I$34)*'[2]SEC &lt; 10kW'!$J$31</x:f>
        <x:v>226897.34781400525</x:v>
      </x:c>
      <x:c r="K31" s="2"/>
      <x:c r="L31" s="2">
        <x:f>N31*'[3]Demand Loss Factor'!$G$55</x:f>
        <x:v>230070.05883950376</x:v>
      </x:c>
      <x:c r="N31" s="2">
        <x:f>('[1]GS SEC SMALL'!$S$34/'[1]GS SEC SMALL'!$I$34)*'[2]SEC &lt; 10kW'!$N$31</x:f>
        <x:v>221840.58356275325</x:v>
      </x:c>
      <x:c r="O31" s="2"/>
      <x:c r="P31" s="2">
        <x:f>R31*'[3]Demand Loss Factor'!$G$55</x:f>
        <x:v>230070.05883950376</x:v>
      </x:c>
      <x:c r="R31" s="2">
        <x:f>('[1]GS SEC SMALL'!$S$34/'[1]GS SEC SMALL'!$I$34)*'[2]SEC &lt; 10kW'!$R$31</x:f>
        <x:v>221840.58356275325</x:v>
      </x:c>
      <x:c r="S31" s="2"/>
      <x:c r="T31" s="2">
        <x:f>V31*'[3]Energy Loss Factor'!$G$55</x:f>
        <x:v>136275312.2063393</x:v>
      </x:c>
      <x:c r="V31" s="19">
        <x:f>'[1]GS SEC SMALL'!$S$34</x:f>
        <x:v>131669831.11136192</x:v>
      </x:c>
      <x:c r="X31" s="12">
        <x:v>0.97771342723936483</x:v>
      </x:c>
      <x:c r="Y31" s="12"/>
      <x:c r="Z31" s="12">
        <x:v>0.7673778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Factor'!$G$55</x:f>
        <x:v>559087.31222570792</x:v>
      </x:c>
      <x:c r="E32" s="2"/>
      <x:c r="F32" s="2">
        <x:f>('[1]GS SEC SMALL'!$S$36/'[1]GS SEC SMALL'!$I$36)*'[2]SEC &lt; 10kW'!$F$32</x:f>
        <x:v>539089.07674598391</x:v>
      </x:c>
      <x:c r="G32" s="2"/>
      <x:c r="H32" s="2">
        <x:f>J32*'[3]Demand Loss Factor'!$G$55</x:f>
        <x:v>194822.66114175439</x:v>
      </x:c>
      <x:c r="I32" s="2"/>
      <x:c r="J32" s="2">
        <x:f>('[1]GS SEC SMALL'!$S$36/'[1]GS SEC SMALL'!$I$36)*'[2]SEC &lt; 10kW'!$J$32</x:f>
        <x:v>187853.96525275451</x:v>
      </x:c>
      <x:c r="K32" s="2"/>
      <x:c r="L32" s="2">
        <x:f>N32*'[3]Demand Loss Factor'!$G$55</x:f>
        <x:v>177254.5364520358</x:v>
      </x:c>
      <x:c r="N32" s="2">
        <x:f>('[1]GS SEC SMALL'!$S$36/'[1]GS SEC SMALL'!$I$36)*'[2]SEC &lt; 10kW'!$N$32</x:f>
        <x:v>170914.24240081597</x:v>
      </x:c>
      <x:c r="O32" s="2"/>
      <x:c r="P32" s="2">
        <x:f>R32*'[3]Demand Loss Factor'!$G$55</x:f>
        <x:v>178719.71958490097</x:v>
      </x:c>
      <x:c r="R32" s="2">
        <x:f>('[1]GS SEC SMALL'!$S$36/'[1]GS SEC SMALL'!$I$36)*'[2]SEC &lt; 10kW'!$R$32</x:f>
        <x:v>172327.0167655492</x:v>
      </x:c>
      <x:c r="S32" s="2"/>
      <x:c r="T32" s="2">
        <x:f>V32*'[3]Energy Loss Factor'!$G$55</x:f>
        <x:v>127790924.22096886</x:v>
      </x:c>
      <x:c r="V32" s="19">
        <x:f>'[1]GS SEC SMALL'!$S$36</x:f>
        <x:v>123472176.56168461</x:v>
      </x:c>
      <x:c r="X32" s="12">
        <x:v>0.90982504506015405</x:v>
      </x:c>
      <x:c r="Y32" s="12"/>
      <x:c r="Z32" s="12">
        <x:v>0.83150900000000005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Factor'!$G$55</x:f>
        <x:v>577998.26005482499</x:v>
      </x:c>
      <x:c r="E33" s="2"/>
      <x:c r="F33" s="2">
        <x:f>('[1]GS SEC SMALL'!$S$38/'[1]GS SEC SMALL'!$I$38)*'[2]SEC &lt; 10kW'!$F$33</x:f>
        <x:v>557323.59071662917</x:v>
      </x:c>
      <x:c r="G33" s="2"/>
      <x:c r="H33" s="2">
        <x:f>J33*'[3]Demand Loss Factor'!$G$55</x:f>
        <x:v>222290.0860874381</x:v>
      </x:c>
      <x:c r="I33" s="2"/>
      <x:c r="J33" s="2">
        <x:f>('[1]GS SEC SMALL'!$S$38/'[1]GS SEC SMALL'!$I$38)*'[2]SEC &lt; 10kW'!$J$33</x:f>
        <x:v>214338.89601537641</x:v>
      </x:c>
      <x:c r="K33" s="2"/>
      <x:c r="L33" s="2">
        <x:f>N33*'[3]Demand Loss Factor'!$G$55</x:f>
        <x:v>199750.49625411356</x:v>
      </x:c>
      <x:c r="N33" s="2">
        <x:f>('[1]GS SEC SMALL'!$S$38/'[1]GS SEC SMALL'!$I$38)*'[2]SEC &lt; 10kW'!$N$33</x:f>
        <x:v>192605.53450318615</x:v>
      </x:c>
      <x:c r="O33" s="2"/>
      <x:c r="P33" s="2">
        <x:f>R33*'[3]Demand Loss Factor'!$G$55</x:f>
        <x:v>199750.49625411356</x:v>
      </x:c>
      <x:c r="R33" s="2">
        <x:f>('[1]GS SEC SMALL'!$S$38/'[1]GS SEC SMALL'!$I$38)*'[2]SEC &lt; 10kW'!$R$33</x:f>
        <x:v>192605.53450318615</x:v>
      </x:c>
      <x:c r="S33" s="2"/>
      <x:c r="T33" s="15">
        <x:f>V33*'[3]Energy Loss Factor'!$G$55</x:f>
        <x:v>126031215.31942366</x:v>
      </x:c>
      <x:c r="V33" s="23">
        <x:f>'[1]GS SEC SMALL'!$S$38</x:f>
        <x:v>121771937.75745578</x:v>
      </x:c>
      <x:c r="X33" s="12">
        <x:v>0.89860281117324059</x:v>
      </x:c>
      <x:c r="Y33" s="12"/>
      <x:c r="Z33" s="12">
        <x:v>0.79725999999999997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1642749138.6538866</x:v>
      </x:c>
      <x:c r="U34" s="14"/>
      <x:c r="V34" s="14">
        <x:f>+SUM(V22:V33)</x:f>
        <x:v>1587231745.3757448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Z41"/>
  <x:sheetViews>
    <x:sheetView topLeftCell="A5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19.85546875" style="2" customWidth="1"/>
    <x:col min="5" max="5" width="2.7109375" style="1" customWidth="1"/>
    <x:col min="6" max="6" width="17.42578125" style="2" customWidth="1"/>
    <x:col min="7" max="7" width="4.140625" style="1" customWidth="1"/>
    <x:col min="8" max="8" width="14.85546875" style="2" customWidth="1"/>
    <x:col min="9" max="9" width="2.7109375" style="1" customWidth="1"/>
    <x:col min="10" max="10" width="14.85546875" style="2" customWidth="1"/>
    <x:col min="11" max="11" width="3.85546875" style="1" customWidth="1"/>
    <x:col min="12" max="12" width="15.2851562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4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21.140625" style="2" customWidth="1"/>
    <x:col min="21" max="21" width="2.7109375" style="2" customWidth="1"/>
    <x:col min="22" max="22" width="20.5703125" style="2" customWidth="1"/>
    <x:col min="23" max="23" width="3.7109375" style="1" customWidth="1"/>
    <x:col min="24" max="24" width="9.85546875" style="1" customWidth="1"/>
    <x:col min="25" max="25" width="1.7109375" style="1" customWidth="1"/>
    <x:col min="26" max="26" width="9.71093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74</x:v>
      </x:c>
    </x:row>
    <x:row r="7" spans="1:26" ht="18.75" customHeight="1" x14ac:dyDescent="0.25">
      <x:c r="A7" s="6" t="s">
        <x:v>67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31</x:v>
      </x:c>
      <x:c r="J14" s="25"/>
    </x:row>
    <x:row r="15" spans="1:26" ht="18.75" customHeight="1" x14ac:dyDescent="0.25">
      <x:c r="A15" s="1" t="s">
        <x:v>1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Factor'!$G$55</x:f>
        <x:v>12848409.025799617</x:v>
      </x:c>
      <x:c r="E22" s="2"/>
      <x:c r="F22" s="2">
        <x:f>('[1]GS SEC LRG NONIDR'!$S$16+'[1]GS SEC LRG IDR '!$S$16)/('[1]GS SEC LRG NONIDR'!$I$16+'[1]GS SEC LRG IDR '!$I$16)*'[2]SEC &gt; 10kW '!$F$22</x:f>
        <x:v>12388828.735531786</x:v>
      </x:c>
      <x:c r="G22" s="2"/>
      <x:c r="H22" s="2">
        <x:f>J22*'[3]Demand Loss Factor'!$G$55</x:f>
        <x:v>7917999.2257910557</x:v>
      </x:c>
      <x:c r="I22" s="2"/>
      <x:c r="J22" s="2">
        <x:f>('[1]GS SEC LRG NONIDR'!$S$16+'[1]GS SEC LRG IDR '!$S$16)/('[1]GS SEC LRG NONIDR'!$I$16+'[1]GS SEC LRG IDR '!$I$16)*'[2]SEC &gt; 10kW '!$J$22</x:f>
        <x:v>7634776.8925650129</x:v>
      </x:c>
      <x:c r="K22" s="2"/>
      <x:c r="L22" s="2">
        <x:f>N22*'[3]Demand Loss Factor'!$G$55</x:f>
        <x:v>6727761.848843365</x:v>
      </x:c>
      <x:c r="N22" s="2">
        <x:f>('[1]GS SEC LRG NONIDR'!$S$16+'[1]GS SEC LRG IDR '!$S$16)/('[1]GS SEC LRG NONIDR'!$I$16+'[1]GS SEC LRG IDR '!$I$16)*'[2]SEC &gt; 10kW '!$N$22</x:f>
        <x:v>6487113.6302868389</x:v>
      </x:c>
      <x:c r="O22" s="2"/>
      <x:c r="P22" s="2">
        <x:f>R22*'[3]Demand Loss Factor'!$G$55</x:f>
        <x:v>7731199.0317406254</x:v>
      </x:c>
      <x:c r="R22" s="2">
        <x:f>('[1]GS SEC LRG NONIDR'!$S$16+'[1]GS SEC LRG IDR '!$S$16)/('[1]GS SEC LRG NONIDR'!$I$16+'[1]GS SEC LRG IDR '!$I$16)*'[2]SEC &gt; 10kW '!$R$22</x:f>
        <x:v>7454658.4353141664</x:v>
      </x:c>
      <x:c r="S22" s="2"/>
      <x:c r="T22" s="2">
        <x:f>V22*'[3]Energy Loss Factor'!$G$55</x:f>
        <x:v>3797017921.7660713</x:v>
      </x:c>
      <x:c r="V22" s="2">
        <x:f>'[1]GS SEC LRG NONIDR'!$S$16+'[1]GS SEC LRG IDR '!$S$16</x:f>
        <x:v>3668696115.175703</x:v>
      </x:c>
      <x:c r="X22" s="12">
        <x:v>0.84967952850124473</x:v>
      </x:c>
      <x:c r="Y22" s="12"/>
      <x:c r="Z22" s="12">
        <x:v>0.70950000000000002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Factor'!$G$55</x:f>
        <x:v>11783870.16629611</x:v>
      </x:c>
      <x:c r="E23" s="2"/>
      <x:c r="F23" s="2">
        <x:f>('[1]GS SEC LRG NONIDR'!$S$18+'[1]GS SEC LRG IDR '!$S$18)/('[1]GS SEC LRG NONIDR'!$I$18+'[1]GS SEC LRG IDR '!$I$18)*'[2]SEC &gt; 10kW '!$F$23</x:f>
        <x:v>11362367.82615188</x:v>
      </x:c>
      <x:c r="G23" s="2"/>
      <x:c r="H23" s="2">
        <x:f>J23*'[3]Demand Loss Factor'!$G$55</x:f>
        <x:v>6971509.7142845541</x:v>
      </x:c>
      <x:c r="I23" s="2"/>
      <x:c r="J23" s="2">
        <x:f>('[1]GS SEC LRG NONIDR'!$S$18+'[1]GS SEC LRG IDR '!$S$18)/('[1]GS SEC LRG NONIDR'!$I$18+'[1]GS SEC LRG IDR '!$I$18)*'[2]SEC &gt; 10kW '!$J$23</x:f>
        <x:v>6722142.7730809916</x:v>
      </x:c>
      <x:c r="K23" s="2"/>
      <x:c r="L23" s="2">
        <x:f>N23*'[3]Demand Loss Factor'!$G$55</x:f>
        <x:v>6151997.6192861041</x:v>
      </x:c>
      <x:c r="N23" s="2">
        <x:f>('[1]GS SEC LRG NONIDR'!$S$18+'[1]GS SEC LRG IDR '!$S$18)/('[1]GS SEC LRG NONIDR'!$I$18+'[1]GS SEC LRG IDR '!$I$18)*'[2]SEC &gt; 10kW '!$N$23</x:f>
        <x:v>5931944.1600662731</x:v>
      </x:c>
      <x:c r="O23" s="2"/>
      <x:c r="P23" s="2">
        <x:f>R23*'[3]Demand Loss Factor'!$G$55</x:f>
        <x:v>6151997.6192861041</x:v>
      </x:c>
      <x:c r="R23" s="2">
        <x:f>('[1]GS SEC LRG NONIDR'!$S$18+'[1]GS SEC LRG IDR '!$S$18)/('[1]GS SEC LRG NONIDR'!$I$18+'[1]GS SEC LRG IDR '!$I$18)*'[2]SEC &gt; 10kW '!$R$23</x:f>
        <x:v>5931944.1600662731</x:v>
      </x:c>
      <x:c r="S23" s="2"/>
      <x:c r="T23" s="2">
        <x:f>V23*'[3]Energy Loss Factor'!$G$55</x:f>
        <x:v>3822161178.4685321</x:v>
      </x:c>
      <x:c r="V23" s="2">
        <x:f>'[1]GS SEC LRG NONIDR'!$S$18+'[1]GS SEC LRG IDR '!$S$18</x:f>
        <x:v>3692989645.0161624</x:v>
      </x:c>
      <x:c r="X23" s="12">
        <x:v>0.88244840377697842</x:v>
      </x:c>
      <x:c r="Y23" s="12"/>
      <x:c r="Z23" s="12">
        <x:v>0.70589599999999997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Factor'!$G$55</x:f>
        <x:v>11646530.482972367</x:v>
      </x:c>
      <x:c r="E24" s="2"/>
      <x:c r="F24" s="2">
        <x:f>('[1]GS SEC LRG NONIDR'!$S$20+'[1]GS SEC LRG IDR '!$S$20)/('[1]GS SEC LRG NONIDR'!$I$20+'[1]GS SEC LRG IDR '!$I$20)*'[2]SEC &gt; 10kW '!$F$24</x:f>
        <x:v>11229940.705262946</x:v>
      </x:c>
      <x:c r="G24" s="2"/>
      <x:c r="H24" s="2">
        <x:f>J24*'[3]Demand Loss Factor'!$G$55</x:f>
        <x:v>7002650.6864771834</x:v>
      </x:c>
      <x:c r="I24" s="2"/>
      <x:c r="J24" s="2">
        <x:f>('[1]GS SEC LRG NONIDR'!$S$20+'[1]GS SEC LRG IDR '!$S$20)/('[1]GS SEC LRG NONIDR'!$I$20+'[1]GS SEC LRG IDR '!$I$20)*'[2]SEC &gt; 10kW '!$J$24</x:f>
        <x:v>6752169.850392879</x:v>
      </x:c>
      <x:c r="K24" s="2"/>
      <x:c r="L24" s="2">
        <x:f>N24*'[3]Demand Loss Factor'!$G$55</x:f>
        <x:v>5728008.1240574326</x:v>
      </x:c>
      <x:c r="N24" s="2">
        <x:f>('[1]GS SEC LRG NONIDR'!$S$20+'[1]GS SEC LRG IDR '!$S$20)/('[1]GS SEC LRG NONIDR'!$I$20+'[1]GS SEC LRG IDR '!$I$20)*'[2]SEC &gt; 10kW '!$N$24</x:f>
        <x:v>5523120.5281671723</x:v>
      </x:c>
      <x:c r="O24" s="2"/>
      <x:c r="P24" s="2">
        <x:f>R24*'[3]Demand Loss Factor'!$G$55</x:f>
        <x:v>6514173.9141244888</x:v>
      </x:c>
      <x:c r="R24" s="2">
        <x:f>('[1]GS SEC LRG NONIDR'!$S$20+'[1]GS SEC LRG IDR '!$S$20)/('[1]GS SEC LRG NONIDR'!$I$20+'[1]GS SEC LRG IDR '!$I$20)*'[2]SEC &gt; 10kW '!$R$24</x:f>
        <x:v>6281165.6146302139</x:v>
      </x:c>
      <x:c r="S24" s="2"/>
      <x:c r="T24" s="2">
        <x:f>V24*'[3]Energy Loss Factor'!$G$55</x:f>
        <x:v>3690710477.6719146</x:v>
      </x:c>
      <x:c r="V24" s="2">
        <x:f>'[1]GS SEC LRG NONIDR'!$S$20+'[1]GS SEC LRG IDR '!$S$20</x:f>
        <x:v>3565981375.5568051</x:v>
      </x:c>
      <x:c r="X24" s="12">
        <x:v>0.81797713187647469</x:v>
      </x:c>
      <x:c r="Y24" s="12"/>
      <x:c r="Z24" s="12">
        <x:v>0.70328900000000005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Factor'!$G$55</x:f>
        <x:v>11813570.400732387</x:v>
      </x:c>
      <x:c r="E25" s="2"/>
      <x:c r="F25" s="2">
        <x:f>('[1]GS SEC LRG NONIDR'!$S$22+'[1]GS SEC LRG IDR '!$S$22)/('[1]GS SEC LRG NONIDR'!$I$22+'[1]GS SEC LRG IDR '!$I$22)*'[2]SEC &gt; 10kW '!$F$25</x:f>
        <x:v>11391005.700078318</x:v>
      </x:c>
      <x:c r="G25" s="2"/>
      <x:c r="H25" s="2">
        <x:f>J25*'[3]Demand Loss Factor'!$G$55</x:f>
        <x:v>7882866.1289557172</x:v>
      </x:c>
      <x:c r="I25" s="2"/>
      <x:c r="J25" s="2">
        <x:f>('[1]GS SEC LRG NONIDR'!$S$22+'[1]GS SEC LRG IDR '!$S$22)/('[1]GS SEC LRG NONIDR'!$I$22+'[1]GS SEC LRG IDR '!$I$22)*'[2]SEC &gt; 10kW '!$J$25</x:f>
        <x:v>7600900.4866405241</x:v>
      </x:c>
      <x:c r="K25" s="2"/>
      <x:c r="L25" s="2">
        <x:f>N25*'[3]Demand Loss Factor'!$G$55</x:f>
        <x:v>7280328.0083958665</x:v>
      </x:c>
      <x:c r="N25" s="2">
        <x:f>('[1]GS SEC LRG NONIDR'!$S$22+'[1]GS SEC LRG IDR '!$S$22)/('[1]GS SEC LRG NONIDR'!$I$22+'[1]GS SEC LRG IDR '!$I$22)*'[2]SEC &gt; 10kW '!$N$25</x:f>
        <x:v>7019914.8122853572</x:v>
      </x:c>
      <x:c r="O25" s="2"/>
      <x:c r="P25" s="2">
        <x:f>R25*'[3]Demand Loss Factor'!$G$55</x:f>
        <x:v>7280328.0083958665</x:v>
      </x:c>
      <x:c r="R25" s="2">
        <x:f>('[1]GS SEC LRG NONIDR'!$S$22+'[1]GS SEC LRG IDR '!$S$22)/('[1]GS SEC LRG NONIDR'!$I$22+'[1]GS SEC LRG IDR '!$I$22)*'[2]SEC &gt; 10kW '!$R$25</x:f>
        <x:v>7019914.8122853572</x:v>
      </x:c>
      <x:c r="S25" s="2"/>
      <x:c r="T25" s="2">
        <x:f>V25*'[3]Energy Loss Factor'!$G$55</x:f>
        <x:v>3682331670.99334</x:v>
      </x:c>
      <x:c r="V25" s="2">
        <x:f>'[1]GS SEC LRG NONIDR'!$S$22+'[1]GS SEC LRG IDR '!$S$22</x:f>
        <x:v>3557885734.1495619</x:v>
      </x:c>
      <x:c r="X25" s="12">
        <x:v>0.92356357310869708</x:v>
      </x:c>
      <x:c r="Y25" s="12"/>
      <x:c r="Z25" s="12">
        <x:v>0.664466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Factor'!$G$55</x:f>
        <x:v>12378951.887507711</x:v>
      </x:c>
      <x:c r="E26" s="2"/>
      <x:c r="F26" s="2">
        <x:f>('[1]GS SEC LRG NONIDR'!$S$24+'[1]GS SEC LRG IDR '!$S$24)/('[1]GS SEC LRG NONIDR'!$I$24+'[1]GS SEC LRG IDR '!$I$24)*'[2]SEC &gt; 10kW '!$F$26</x:f>
        <x:v>11936163.812326686</x:v>
      </x:c>
      <x:c r="G26" s="2"/>
      <x:c r="H26" s="2">
        <x:f>J26*'[3]Demand Loss Factor'!$G$55</x:f>
        <x:v>8554091.1605173722</x:v>
      </x:c>
      <x:c r="I26" s="2"/>
      <x:c r="J26" s="2">
        <x:f>('[1]GS SEC LRG NONIDR'!$S$24+'[1]GS SEC LRG IDR '!$S$24)/('[1]GS SEC LRG NONIDR'!$I$24+'[1]GS SEC LRG IDR '!$I$24)*'[2]SEC &gt; 10kW '!$J$26</x:f>
        <x:v>8248116.1802194994</x:v>
      </x:c>
      <x:c r="K26" s="2"/>
      <x:c r="L26" s="2">
        <x:f>N26*'[3]Demand Loss Factor'!$G$55</x:f>
        <x:v>7185149.8093489502</x:v>
      </x:c>
      <x:c r="N26" s="2">
        <x:f>('[1]GS SEC LRG NONIDR'!$S$24+'[1]GS SEC LRG IDR '!$S$24)/('[1]GS SEC LRG NONIDR'!$I$24+'[1]GS SEC LRG IDR '!$I$24)*'[2]SEC &gt; 10kW '!$N$26</x:f>
        <x:v>6928141.0833372148</x:v>
      </x:c>
      <x:c r="O26" s="2"/>
      <x:c r="P26" s="2">
        <x:f>R26*'[3]Demand Loss Factor'!$G$55</x:f>
        <x:v>7046308.7612736924</x:v>
      </x:c>
      <x:c r="R26" s="2">
        <x:f>('[1]GS SEC LRG NONIDR'!$S$24+'[1]GS SEC LRG IDR '!$S$24)/('[1]GS SEC LRG NONIDR'!$I$24+'[1]GS SEC LRG IDR '!$I$24)*'[2]SEC &gt; 10kW '!$R$26</x:f>
        <x:v>6794266.3006608393</x:v>
      </x:c>
      <x:c r="S26" s="2"/>
      <x:c r="T26" s="2">
        <x:f>V26*'[3]Energy Loss Factor'!$G$55</x:f>
        <x:v>3717601442.6915975</x:v>
      </x:c>
      <x:c r="V26" s="2">
        <x:f>'[1]GS SEC LRG NONIDR'!$S$24+'[1]GS SEC LRG IDR '!$S$24</x:f>
        <x:v>3591963549.1819301</x:v>
      </x:c>
      <x:c r="X26" s="12">
        <x:v>0.83996647621819054</x:v>
      </x:c>
      <x:c r="Y26" s="12"/>
      <x:c r="Z26" s="12">
        <x:v>0.66506100000000001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Factor'!$G$55</x:f>
        <x:v>12894557.661534121</x:v>
      </x:c>
      <x:c r="E27" s="2"/>
      <x:c r="F27" s="2">
        <x:f>('[1]GS SEC LRG NONIDR'!$S$26+'[1]GS SEC LRG IDR '!$S$26)/('[1]GS SEC LRG NONIDR'!$I$26+'[1]GS SEC LRG IDR '!$I$26)*'[2]SEC &gt; 10kW '!$F$27</x:f>
        <x:v>12433326.660788151</x:v>
      </x:c>
      <x:c r="G27" s="2"/>
      <x:c r="H27" s="2">
        <x:f>J27*'[3]Demand Loss Factor'!$G$55</x:f>
        <x:v>9315276.1003653929</x:v>
      </x:c>
      <x:c r="I27" s="2"/>
      <x:c r="J27" s="2">
        <x:f>('[1]GS SEC LRG NONIDR'!$S$26+'[1]GS SEC LRG IDR '!$S$26)/('[1]GS SEC LRG NONIDR'!$I$26+'[1]GS SEC LRG IDR '!$I$26)*'[2]SEC &gt; 10kW '!$J$27</x:f>
        <x:v>8982073.9672814887</x:v>
      </x:c>
      <x:c r="K27" s="2"/>
      <x:c r="L27" s="2">
        <x:f>N27*'[3]Demand Loss Factor'!$G$55</x:f>
        <x:v>9121599.9315129817</x:v>
      </x:c>
      <x:c r="N27" s="2">
        <x:f>('[1]GS SEC LRG NONIDR'!$S$26+'[1]GS SEC LRG IDR '!$S$26)/('[1]GS SEC LRG NONIDR'!$I$26+'[1]GS SEC LRG IDR '!$I$26)*'[2]SEC &gt; 10kW '!$N$27</x:f>
        <x:v>8795325.4849403352</x:v>
      </x:c>
      <x:c r="O27" s="2"/>
      <x:c r="P27" s="2">
        <x:f>R27*'[3]Demand Loss Factor'!$G$55</x:f>
        <x:v>7464701.4442463228</x:v>
      </x:c>
      <x:c r="Q27" s="14"/>
      <x:c r="R27" s="2">
        <x:f>('[1]GS SEC LRG NONIDR'!$S$26+'[1]GS SEC LRG IDR '!$S$26)/('[1]GS SEC LRG NONIDR'!$I$26+'[1]GS SEC LRG IDR '!$I$26)*'[2]SEC &gt; 10kW '!$R$27</x:f>
        <x:v>7197693.3150981376</x:v>
      </x:c>
      <x:c r="S27" s="2"/>
      <x:c r="T27" s="2">
        <x:f>V27*'[3]Energy Loss Factor'!$G$55</x:f>
        <x:v>4304994218.8006277</x:v>
      </x:c>
      <x:c r="V27" s="2">
        <x:f>'[1]GS SEC LRG NONIDR'!$S$26+'[1]GS SEC LRG IDR '!$S$26</x:f>
        <x:v>4159505141.0823317</x:v>
      </x:c>
      <x:c r="X27" s="12">
        <x:v>0.97920875701743149</x:v>
      </x:c>
      <x:c r="Y27" s="12"/>
      <x:c r="Z27" s="12">
        <x:v>0.69289900000000004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Factor'!$G$55</x:f>
        <x:v>12915189.079756584</x:v>
      </x:c>
      <x:c r="E28" s="2"/>
      <x:c r="F28" s="2">
        <x:f>('[1]GS SEC LRG NONIDR'!$S$28+'[1]GS SEC LRG IDR '!$S$28)/('[1]GS SEC LRG NONIDR'!$I$28+'[1]GS SEC LRG IDR '!$I$28)*'[2]SEC &gt; 10kW '!$F$28</x:f>
        <x:v>12453220.104903758</x:v>
      </x:c>
      <x:c r="G28" s="2"/>
      <x:c r="H28" s="2">
        <x:f>J28*'[3]Demand Loss Factor'!$G$55</x:f>
        <x:v>9212187.2938459888</x:v>
      </x:c>
      <x:c r="I28" s="2"/>
      <x:c r="J28" s="2">
        <x:f>('[1]GS SEC LRG NONIDR'!$S$28+'[1]GS SEC LRG IDR '!$S$28)/('[1]GS SEC LRG NONIDR'!$I$28+'[1]GS SEC LRG IDR '!$I$28)*'[2]SEC &gt; 10kW '!$J$28</x:f>
        <x:v>8882672.5887952689</x:v>
      </x:c>
      <x:c r="K28" s="2"/>
      <x:c r="L28" s="2">
        <x:f>N28*'[3]Demand Loss Factor'!$G$55</x:f>
        <x:v>8730600.0822569262</x:v>
      </x:c>
      <x:c r="N28" s="2">
        <x:f>('[1]GS SEC LRG NONIDR'!$S$28+'[1]GS SEC LRG IDR '!$S$28)/('[1]GS SEC LRG NONIDR'!$I$28+'[1]GS SEC LRG IDR '!$I$28)*'[2]SEC &gt; 10kW '!$N$28</x:f>
        <x:v>8418311.4781224336</x:v>
      </x:c>
      <x:c r="O28" s="2"/>
      <x:c r="P28" s="2">
        <x:f>R28*'[3]Demand Loss Factor'!$G$55</x:f>
        <x:v>8648670.1088404618</x:v>
      </x:c>
      <x:c r="R28" s="2">
        <x:f>('[1]GS SEC LRG NONIDR'!$S$28+'[1]GS SEC LRG IDR '!$S$28)/('[1]GS SEC LRG NONIDR'!$I$28+'[1]GS SEC LRG IDR '!$I$28)*'[2]SEC &gt; 10kW '!$R$28</x:f>
        <x:v>8339312.0933017051</x:v>
      </x:c>
      <x:c r="S28" s="2"/>
      <x:c r="T28" s="2">
        <x:f>V28*'[3]Energy Loss Factor'!$G$55</x:f>
        <x:v>4795577077.9471369</x:v>
      </x:c>
      <x:c r="V28" s="2">
        <x:f>'[1]GS SEC LRG NONIDR'!$S$28+'[1]GS SEC LRG IDR '!$S$28</x:f>
        <x:v>4633508547.5991659</x:v>
      </x:c>
      <x:c r="X28" s="12">
        <x:v>0.94772281584952389</x:v>
      </x:c>
      <x:c r="Y28" s="12"/>
      <x:c r="Z28" s="12">
        <x:v>0.71400129999999995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Factor'!$G$55</x:f>
        <x:v>14052495.901183615</x:v>
      </x:c>
      <x:c r="E29" s="2"/>
      <x:c r="F29" s="2">
        <x:f>('[1]GS SEC LRG NONIDR'!$S$30+'[1]GS SEC LRG IDR '!$S$30)/('[1]GS SEC LRG NONIDR'!$I$30+'[1]GS SEC LRG IDR '!$I$30)*'[2]SEC &gt; 10kW '!$F$29</x:f>
        <x:v>13549846.107556615</x:v>
      </x:c>
      <x:c r="G29" s="2"/>
      <x:c r="H29" s="2">
        <x:f>J29*'[3]Demand Loss Factor'!$G$55</x:f>
        <x:v>10225299.230063109</x:v>
      </x:c>
      <x:c r="I29" s="2"/>
      <x:c r="J29" s="2">
        <x:f>('[1]GS SEC LRG NONIDR'!$S$30+'[1]GS SEC LRG IDR '!$S$30)/('[1]GS SEC LRG NONIDR'!$I$30+'[1]GS SEC LRG IDR '!$I$30)*'[2]SEC &gt; 10kW '!$J$29</x:f>
        <x:v>9859546.0867134891</x:v>
      </x:c>
      <x:c r="K29" s="2"/>
      <x:c r="L29" s="2">
        <x:f>N29*'[3]Demand Loss Factor'!$G$55</x:f>
        <x:v>9948874.3814125303</x:v>
      </x:c>
      <x:c r="N29" s="2">
        <x:f>('[1]GS SEC LRG NONIDR'!$S$30+'[1]GS SEC LRG IDR '!$S$30)/('[1]GS SEC LRG NONIDR'!$I$30+'[1]GS SEC LRG IDR '!$I$30)*'[2]SEC &gt; 10kW '!$N$29</x:f>
        <x:v>9593008.7978319824</x:v>
      </x:c>
      <x:c r="O29" s="2"/>
      <x:c r="P29" s="2">
        <x:f>R29*'[3]Demand Loss Factor'!$G$55</x:f>
        <x:v>9607332.8660669923</x:v>
      </x:c>
      <x:c r="R29" s="2">
        <x:f>('[1]GS SEC LRG NONIDR'!$S$30+'[1]GS SEC LRG IDR '!$S$30)/('[1]GS SEC LRG NONIDR'!$I$30+'[1]GS SEC LRG IDR '!$I$30)*'[2]SEC &gt; 10kW '!$R$29</x:f>
        <x:v>9263684.0284233019</x:v>
      </x:c>
      <x:c r="S29" s="2"/>
      <x:c r="T29" s="2">
        <x:f>V29*'[3]Energy Loss Factor'!$G$55</x:f>
        <x:v>4960824125.8564901</x:v>
      </x:c>
      <x:c r="V29" s="2">
        <x:f>'[1]GS SEC LRG NONIDR'!$S$30+'[1]GS SEC LRG IDR '!$S$30</x:f>
        <x:v>4793171002.504652</x:v>
      </x:c>
      <x:c r="X29" s="12">
        <x:v>0.97296657609413839</x:v>
      </x:c>
      <x:c r="Y29" s="12"/>
      <x:c r="Z29" s="12">
        <x:v>0.72129089999999996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Factor'!$G$55</x:f>
        <x:v>12647617.796823779</x:v>
      </x:c>
      <x:c r="E30" s="2"/>
      <x:c r="F30" s="2">
        <x:f>('[1]GS SEC LRG NONIDR'!$S$32+'[1]GS SEC LRG IDR '!$S$32)/('[1]GS SEC LRG NONIDR'!$I$32+'[1]GS SEC LRG IDR '!$I$32)*'[2]SEC &gt; 10kW '!$F$30</x:f>
        <x:v>12195219.694724979</x:v>
      </x:c>
      <x:c r="G30" s="2"/>
      <x:c r="H30" s="2">
        <x:f>J30*'[3]Demand Loss Factor'!$G$55</x:f>
        <x:v>9228423.054467408</x:v>
      </x:c>
      <x:c r="I30" s="2"/>
      <x:c r="J30" s="2">
        <x:f>('[1]GS SEC LRG NONIDR'!$S$32+'[1]GS SEC LRG IDR '!$S$32)/('[1]GS SEC LRG NONIDR'!$I$32+'[1]GS SEC LRG IDR '!$I$32)*'[2]SEC &gt; 10kW '!$J$30</x:f>
        <x:v>8898327.6054845694</x:v>
      </x:c>
      <x:c r="K30" s="2"/>
      <x:c r="L30" s="2">
        <x:f>N30*'[3]Demand Loss Factor'!$G$55</x:f>
        <x:v>9053806.8741681036</x:v>
      </x:c>
      <x:c r="N30" s="2">
        <x:f>('[1]GS SEC LRG NONIDR'!$S$32+'[1]GS SEC LRG IDR '!$S$32)/('[1]GS SEC LRG NONIDR'!$I$32+'[1]GS SEC LRG IDR '!$I$32)*'[2]SEC &gt; 10kW '!$N$30</x:f>
        <x:v>8729957.34673604</x:v>
      </x:c>
      <x:c r="O30" s="2"/>
      <x:c r="P30" s="2">
        <x:f>R30*'[3]Demand Loss Factor'!$G$55</x:f>
        <x:v>8807182.8515916076</x:v>
      </x:c>
      <x:c r="R30" s="2">
        <x:f>('[1]GS SEC LRG NONIDR'!$S$32+'[1]GS SEC LRG IDR '!$S$32)/('[1]GS SEC LRG NONIDR'!$I$32+'[1]GS SEC LRG IDR '!$I$32)*'[2]SEC &gt; 10kW '!$R$30</x:f>
        <x:v>8492154.9253130518</x:v>
      </x:c>
      <x:c r="S30" s="2"/>
      <x:c r="T30" s="2">
        <x:f>V30*'[3]Energy Loss Factor'!$G$55</x:f>
        <x:v>4943093666.0511026</x:v>
      </x:c>
      <x:c r="V30" s="2">
        <x:f>'[1]GS SEC LRG NONIDR'!$S$32+'[1]GS SEC LRG IDR '!$S$32</x:f>
        <x:v>4776039750.9939795</x:v>
      </x:c>
      <x:c r="X30" s="12">
        <x:v>0.98107843785783377</x:v>
      </x:c>
      <x:c r="Y30" s="12"/>
      <x:c r="Z30" s="12">
        <x:v>0.65180099999999996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Factor'!$G$55</x:f>
        <x:v>12015288.158447163</x:v>
      </x:c>
      <x:c r="E31" s="2"/>
      <x:c r="F31" s="2">
        <x:f>('[1]GS SEC LRG NONIDR'!$S$34+'[1]GS SEC LRG IDR '!$S$34)/('[1]GS SEC LRG NONIDR'!$I$34+'[1]GS SEC LRG IDR '!$I$34)*'[2]SEC &gt; 10kW '!$F$31</x:f>
        <x:v>11585508.128217535</x:v>
      </x:c>
      <x:c r="G31" s="2"/>
      <x:c r="H31" s="2">
        <x:f>J31*'[3]Demand Loss Factor'!$G$55</x:f>
        <x:v>8449680.6106396373</x:v>
      </x:c>
      <x:c r="I31" s="2"/>
      <x:c r="J31" s="2">
        <x:f>('[1]GS SEC LRG NONIDR'!$S$34+'[1]GS SEC LRG IDR '!$S$34)/('[1]GS SEC LRG NONIDR'!$I$34+'[1]GS SEC LRG IDR '!$I$34)*'[2]SEC &gt; 10kW '!$J$31</x:f>
        <x:v>8147440.3363838485</x:v>
      </x:c>
      <x:c r="K31" s="2"/>
      <x:c r="L31" s="2">
        <x:f>N31*'[3]Demand Loss Factor'!$G$55</x:f>
        <x:v>7991905.3368532946</x:v>
      </x:c>
      <x:c r="N31" s="2">
        <x:f>('[1]GS SEC LRG NONIDR'!$S$34+'[1]GS SEC LRG IDR '!$S$34)/('[1]GS SEC LRG NONIDR'!$I$34+'[1]GS SEC LRG IDR '!$I$34)*'[2]SEC &gt; 10kW '!$N$31</x:f>
        <x:v>7706039.4240286928</x:v>
      </x:c>
      <x:c r="O31" s="2"/>
      <x:c r="P31" s="2">
        <x:f>R31*'[3]Demand Loss Factor'!$G$55</x:f>
        <x:v>7991905.3368532946</x:v>
      </x:c>
      <x:c r="R31" s="2">
        <x:f>('[1]GS SEC LRG NONIDR'!$S$34+'[1]GS SEC LRG IDR '!$S$34)/('[1]GS SEC LRG NONIDR'!$I$34+'[1]GS SEC LRG IDR '!$I$34)*'[2]SEC &gt; 10kW '!$R$31</x:f>
        <x:v>7706039.4240286928</x:v>
      </x:c>
      <x:c r="S31" s="2"/>
      <x:c r="T31" s="2">
        <x:f>V31*'[3]Energy Loss Factor'!$G$55</x:f>
        <x:v>4336672147.0979252</x:v>
      </x:c>
      <x:c r="V31" s="2">
        <x:f>'[1]GS SEC LRG NONIDR'!$S$34+'[1]GS SEC LRG IDR '!$S$34</x:f>
        <x:v>4190112500.5617027</x:v>
      </x:c>
      <x:c r="X31" s="12">
        <x:v>0.94582336364170694</x:v>
      </x:c>
      <x:c r="Y31" s="12"/>
      <x:c r="Z31" s="12">
        <x:v>0.66507470000000002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Factor'!$G$55</x:f>
        <x:v>11055791.362463115</x:v>
      </x:c>
      <x:c r="E32" s="2"/>
      <x:c r="F32" s="2">
        <x:f>('[1]GS SEC LRG NONIDR'!$S$36+'[1]GS SEC LRG IDR '!$S$36)/('[1]GS SEC LRG NONIDR'!$I$36+'[1]GS SEC LRG IDR '!$I$36)*'[2]SEC &gt; 10kW '!$F$32</x:f>
        <x:v>10660331.987430871</x:v>
      </x:c>
      <x:c r="G32" s="2"/>
      <x:c r="H32" s="2">
        <x:f>J32*'[3]Demand Loss Factor'!$G$55</x:f>
        <x:v>6905374.5807803655</x:v>
      </x:c>
      <x:c r="I32" s="2"/>
      <x:c r="J32" s="2">
        <x:f>('[1]GS SEC LRG NONIDR'!$S$36+'[1]GS SEC LRG IDR '!$S$36)/('[1]GS SEC LRG NONIDR'!$I$36+'[1]GS SEC LRG IDR '!$I$36)*'[2]SEC &gt; 10kW '!$J$32</x:f>
        <x:v>6658373.2557236524</x:v>
      </x:c>
      <x:c r="K32" s="2"/>
      <x:c r="L32" s="2">
        <x:f>N32*'[3]Demand Loss Factor'!$G$55</x:f>
        <x:v>6902228.2446138654</x:v>
      </x:c>
      <x:c r="N32" s="2">
        <x:f>('[1]GS SEC LRG NONIDR'!$S$36+'[1]GS SEC LRG IDR '!$S$36)/('[1]GS SEC LRG NONIDR'!$I$36+'[1]GS SEC LRG IDR '!$I$36)*'[2]SEC &gt; 10kW '!$N$32</x:f>
        <x:v>6655339.4622140508</x:v>
      </x:c>
      <x:c r="O32" s="2"/>
      <x:c r="P32" s="2">
        <x:f>R32*'[3]Demand Loss Factor'!$G$55</x:f>
        <x:v>6712899.4372612042</x:v>
      </x:c>
      <x:c r="R32" s="2">
        <x:f>('[1]GS SEC LRG NONIDR'!$S$36+'[1]GS SEC LRG IDR '!$S$36)/('[1]GS SEC LRG NONIDR'!$I$36+'[1]GS SEC LRG IDR '!$I$36)*'[2]SEC &gt; 10kW '!$R$32</x:f>
        <x:v>6472782.838722012</x:v>
      </x:c>
      <x:c r="S32" s="2"/>
      <x:c r="T32" s="2">
        <x:f>V32*'[3]Energy Loss Factor'!$G$55</x:f>
        <x:v>3857296230.1174331</x:v>
      </x:c>
      <x:c r="V32" s="2">
        <x:f>'[1]GS SEC LRG NONIDR'!$S$36+'[1]GS SEC LRG IDR '!$S$36</x:f>
        <x:v>3726937292.9195118</x:v>
      </x:c>
      <x:c r="X32" s="12">
        <x:v>0.99954436415726711</x:v>
      </x:c>
      <x:c r="Y32" s="12"/>
      <x:c r="Z32" s="12">
        <x:v>0.67270209999999997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Factor'!$G$55</x:f>
        <x:v>11505594.690952528</x:v>
      </x:c>
      <x:c r="E33" s="2"/>
      <x:c r="F33" s="2">
        <x:f>('[1]GS SEC LRG NONIDR'!$S$38+'[1]GS SEC LRG IDR '!$S$38)/('[1]GS SEC LRG NONIDR'!$I$38+'[1]GS SEC LRG IDR '!$I$38)*'[2]SEC &gt; 10kW '!$F$33</x:f>
        <x:v>11094046.106442634</x:v>
      </x:c>
      <x:c r="G33" s="2"/>
      <x:c r="H33" s="2">
        <x:f>J33*'[3]Demand Loss Factor'!$G$55</x:f>
        <x:v>6492837.4603327829</x:v>
      </x:c>
      <x:c r="I33" s="2"/>
      <x:c r="J33" s="2">
        <x:f>('[1]GS SEC LRG NONIDR'!$S$38+'[1]GS SEC LRG IDR '!$S$38)/('[1]GS SEC LRG NONIDR'!$I$38+'[1]GS SEC LRG IDR '!$I$38)*'[2]SEC &gt; 10kW '!$J$33</x:f>
        <x:v>6260592.3536670664</x:v>
      </x:c>
      <x:c r="K33" s="2"/>
      <x:c r="L33" s="2">
        <x:f>N33*'[3]Demand Loss Factor'!$G$55</x:f>
        <x:v>6329211.6166833518</x:v>
      </x:c>
      <x:c r="N33" s="2">
        <x:f>('[1]GS SEC LRG NONIDR'!$S$38+'[1]GS SEC LRG IDR '!$S$38)/('[1]GS SEC LRG NONIDR'!$I$38+'[1]GS SEC LRG IDR '!$I$38)*'[2]SEC &gt; 10kW '!$N$33</x:f>
        <x:v>6102819.3134712558</x:v>
      </x:c>
      <x:c r="O33" s="2"/>
      <x:c r="P33" s="2">
        <x:f>R33*'[3]Demand Loss Factor'!$G$55</x:f>
        <x:v>6329211.6166833518</x:v>
      </x:c>
      <x:c r="R33" s="2">
        <x:f>('[1]GS SEC LRG NONIDR'!$S$38+'[1]GS SEC LRG IDR '!$S$38)/('[1]GS SEC LRG NONIDR'!$I$38+'[1]GS SEC LRG IDR '!$I$38)*'[2]SEC &gt; 10kW '!$R$33</x:f>
        <x:v>6102819.3134712558</x:v>
      </x:c>
      <x:c r="S33" s="2"/>
      <x:c r="T33" s="15">
        <x:f>V33*'[3]Energy Loss Factor'!$G$55</x:f>
        <x:v>3603989733.5669079</x:v>
      </x:c>
      <x:c r="V33" s="15">
        <x:f>'[1]GS SEC LRG NONIDR'!$S$38+'[1]GS SEC LRG IDR '!$S$38</x:f>
        <x:v>3482191395.2200241</x:v>
      </x:c>
      <x:c r="X33" s="12">
        <x:v>0.97479902359344683</x:v>
      </x:c>
      <x:c r="Y33" s="12"/>
      <x:c r="Z33" s="12">
        <x:v>0.74212999999999996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49512269891.029083</x:v>
      </x:c>
      <x:c r="U34" s="14"/>
      <x:c r="V34" s="14">
        <x:f>+SUM(V22:V33)</x:f>
        <x:v>47838982049.961525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Z41"/>
  <x:sheetViews>
    <x:sheetView topLeftCell="A13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2.710937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2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17.7109375" style="2" customWidth="1"/>
    <x:col min="21" max="21" width="2.7109375" style="2" customWidth="1"/>
    <x:col min="22" max="22" width="17.7109375" style="2" customWidth="1"/>
    <x:col min="23" max="23" width="3.7109375" style="1" customWidth="1"/>
    <x:col min="24" max="24" width="10.28515625" style="1" customWidth="1"/>
    <x:col min="25" max="25" width="1.7109375" style="1" customWidth="1"/>
    <x:col min="26" max="26" width="9.71093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75</x:v>
      </x:c>
    </x:row>
    <x:row r="7" spans="1:26" ht="18.75" customHeight="1" x14ac:dyDescent="0.25">
      <x:c r="A7" s="6" t="s">
        <x:v>67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32</x:v>
      </x:c>
    </x:row>
    <x:row r="15" spans="1:26" ht="18.75" customHeight="1" x14ac:dyDescent="0.25">
      <x:c r="A15" s="1" t="s">
        <x:v>33</x:v>
      </x:c>
      <x:c r="J15" s="25"/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Factor'!$G$54</x:f>
        <x:v>7173.7792428581097</x:v>
      </x:c>
      <x:c r="E22" s="2"/>
      <x:c r="F22" s="14">
        <x:f>('[1]GS PRI SMALL'!$S$16/'[1]GS PRI SMALL'!$I$16)*'[2]PRIMARY  &lt; 10kW'!$F$22</x:f>
        <x:v>7055.9408187876861</x:v>
      </x:c>
      <x:c r="G22" s="2"/>
      <x:c r="H22" s="2">
        <x:f>J22*'[3]Demand Loss Factor'!$G$54</x:f>
        <x:v>4784.8338942797454</x:v>
      </x:c>
      <x:c r="I22" s="2"/>
      <x:c r="J22" s="14">
        <x:f>('[1]GS PRI SMALL'!$S$16/'[1]GS PRI SMALL'!$I$16)*'[2]PRIMARY  &lt; 10kW'!$J$22</x:f>
        <x:v>4706.2369279593777</x:v>
      </x:c>
      <x:c r="K22" s="2"/>
      <x:c r="L22" s="2">
        <x:f>N22*'[3]Demand Loss Factor'!$G$54</x:f>
        <x:v>1848.0193111779656</x:v>
      </x:c>
      <x:c r="N22" s="14">
        <x:f>('[1]GS PRI SMALL'!$S$16/'[1]GS PRI SMALL'!$I$16)*'[2]PRIMARY  &lt; 10kW'!$N$22</x:f>
        <x:v>1817.6632497619803</x:v>
      </x:c>
      <x:c r="O22" s="2"/>
      <x:c r="P22" s="2">
        <x:f>R22*'[3]Demand Loss Factor'!$G$54</x:f>
        <x:v>1740.9014786402238</x:v>
      </x:c>
      <x:c r="R22" s="14">
        <x:f>('[1]GS PRI SMALL'!$S$16/'[1]GS PRI SMALL'!$I$16)*'[2]PRIMARY  &lt; 10kW'!$R$22</x:f>
        <x:v>1712.3049635036496</x:v>
      </x:c>
      <x:c r="S22" s="2"/>
      <x:c r="T22" s="2">
        <x:f>V22*'[3]Energy Loss Factor'!$G$54</x:f>
        <x:v>2604799.6398912864</x:v>
      </x:c>
      <x:c r="V22" s="2">
        <x:f>'[1]GS PRI SMALL'!$S$16</x:f>
        <x:v>2573676.8073627418</x:v>
      </x:c>
      <x:c r="X22" s="12">
        <x:v>0.38622433965518987</x:v>
      </x:c>
      <x:c r="Y22" s="12"/>
      <x:c r="Z22" s="12">
        <x:v>0.61276940000000002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Factor'!$G$54</x:f>
        <x:v>6963.8717097845256</x:v>
      </x:c>
      <x:c r="E23" s="2"/>
      <x:c r="F23" s="14">
        <x:f>('[1]GS PRI SMALL'!$S$18/'[1]GS PRI SMALL'!$I$18)*'[2]PRIMARY  &lt; 10kW'!$F$23</x:f>
        <x:v>6849.4812832145171</x:v>
      </x:c>
      <x:c r="G23" s="2"/>
      <x:c r="H23" s="2">
        <x:f>J23*'[3]Demand Loss Factor'!$G$54</x:f>
        <x:v>3442.5638442360087</x:v>
      </x:c>
      <x:c r="I23" s="2"/>
      <x:c r="J23" s="14">
        <x:f>('[1]GS PRI SMALL'!$S$18/'[1]GS PRI SMALL'!$I$18)*'[2]PRIMARY  &lt; 10kW'!$J$23</x:f>
        <x:v>3386.0153661697991</x:v>
      </x:c>
      <x:c r="K23" s="2"/>
      <x:c r="L23" s="2">
        <x:f>N23*'[3]Demand Loss Factor'!$G$54</x:f>
        <x:v>3079.1845609955553</x:v>
      </x:c>
      <x:c r="N23" s="14">
        <x:f>('[1]GS PRI SMALL'!$S$18/'[1]GS PRI SMALL'!$I$18)*'[2]PRIMARY  &lt; 10kW'!$N$23</x:f>
        <x:v>3028.6050486066106</x:v>
      </x:c>
      <x:c r="O23" s="2"/>
      <x:c r="P23" s="2">
        <x:f>R23*'[3]Demand Loss Factor'!$G$54</x:f>
        <x:v>3079.1845609955553</x:v>
      </x:c>
      <x:c r="R23" s="14">
        <x:f>('[1]GS PRI SMALL'!$S$18/'[1]GS PRI SMALL'!$I$18)*'[2]PRIMARY  &lt; 10kW'!$R$23</x:f>
        <x:v>3028.6050486066106</x:v>
      </x:c>
      <x:c r="S23" s="2"/>
      <x:c r="T23" s="2">
        <x:f>V23*'[3]Energy Loss Factor'!$G$54</x:f>
        <x:v>2060686.2808606082</x:v>
      </x:c>
      <x:c r="V23" s="2">
        <x:f>'[1]GS PRI SMALL'!$S$18</x:f>
        <x:v>2036064.6581335061</x:v>
      </x:c>
      <x:c r="X23" s="12">
        <x:v>0.8944451578294268</x:v>
      </x:c>
      <x:c r="Y23" s="12"/>
      <x:c r="Z23" s="12">
        <x:v>0.84751730000000003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Factor'!$G$54</x:f>
        <x:v>7013.0817483733517</x:v>
      </x:c>
      <x:c r="E24" s="2"/>
      <x:c r="F24" s="14">
        <x:f>('[1]GS PRI SMALL'!$S$20/'[1]GS PRI SMALL'!$I$20)*'[2]PRIMARY  &lt; 10kW'!$F$24</x:f>
        <x:v>6897.8829844961247</x:v>
      </x:c>
      <x:c r="G24" s="2"/>
      <x:c r="H24" s="2">
        <x:f>J24*'[3]Demand Loss Factor'!$G$54</x:f>
        <x:v>3089.396638562052</x:v>
      </x:c>
      <x:c r="I24" s="2"/>
      <x:c r="J24" s="14">
        <x:f>('[1]GS PRI SMALL'!$S$20/'[1]GS PRI SMALL'!$I$20)*'[2]PRIMARY  &lt; 10kW'!$J$24</x:f>
        <x:v>3038.6493798449615</x:v>
      </x:c>
      <x:c r="K24" s="2"/>
      <x:c r="L24" s="2">
        <x:f>N24*'[3]Demand Loss Factor'!$G$54</x:f>
        <x:v>2824.9943088532295</x:v>
      </x:c>
      <x:c r="N24" s="14">
        <x:f>('[1]GS PRI SMALL'!$S$20/'[1]GS PRI SMALL'!$I$20)*'[2]PRIMARY  &lt; 10kW'!$N$24</x:f>
        <x:v>2778.5901937984495</x:v>
      </x:c>
      <x:c r="O24" s="2"/>
      <x:c r="P24" s="2">
        <x:f>R24*'[3]Demand Loss Factor'!$G$54</x:f>
        <x:v>2746.0969435775337</x:v>
      </x:c>
      <x:c r="R24" s="14">
        <x:f>('[1]GS PRI SMALL'!$S$20/'[1]GS PRI SMALL'!$I$20)*'[2]PRIMARY  &lt; 10kW'!$R$24</x:f>
        <x:v>2700.9888178294573</x:v>
      </x:c>
      <x:c r="S24" s="2"/>
      <x:c r="T24" s="2">
        <x:f>V24*'[3]Energy Loss Factor'!$G$54</x:f>
        <x:v>2094574.0910429198</x:v>
      </x:c>
      <x:c r="V24" s="2">
        <x:f>'[1]GS PRI SMALL'!$S$20</x:f>
        <x:v>2069547.5678294573</x:v>
      </x:c>
      <x:c r="X24" s="12">
        <x:v>0.91441619168981569</x:v>
      </x:c>
      <x:c r="Y24" s="12"/>
      <x:c r="Z24" s="12">
        <x:v>0.91583680000000001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Factor'!$G$54</x:f>
        <x:v>6759.9992200874494</x:v>
      </x:c>
      <x:c r="E25" s="2"/>
      <x:c r="F25" s="14">
        <x:f>('[1]GS PRI SMALL'!$S$22/'[1]GS PRI SMALL'!$I$22)*'[2]PRIMARY  &lt; 10kW'!$F$25</x:f>
        <x:v>6648.9576577748867</x:v>
      </x:c>
      <x:c r="G25" s="2"/>
      <x:c r="H25" s="2">
        <x:f>J25*'[3]Demand Loss Factor'!$G$54</x:f>
        <x:v>3250.8339113051647</x:v>
      </x:c>
      <x:c r="I25" s="2"/>
      <x:c r="J25" s="14">
        <x:f>('[1]GS PRI SMALL'!$S$22/'[1]GS PRI SMALL'!$I$22)*'[2]PRIMARY  &lt; 10kW'!$J$25</x:f>
        <x:v>3197.4348405985688</x:v>
      </x:c>
      <x:c r="K25" s="2"/>
      <x:c r="L25" s="2">
        <x:f>N25*'[3]Demand Loss Factor'!$G$54</x:f>
        <x:v>2834.2897749483468</x:v>
      </x:c>
      <x:c r="N25" s="14">
        <x:f>('[1]GS PRI SMALL'!$S$22/'[1]GS PRI SMALL'!$I$22)*'[2]PRIMARY  &lt; 10kW'!$N$25</x:f>
        <x:v>2787.7329700715682</x:v>
      </x:c>
      <x:c r="O25" s="2"/>
      <x:c r="P25" s="2">
        <x:f>R25*'[3]Demand Loss Factor'!$G$54</x:f>
        <x:v>2834.2897749483468</x:v>
      </x:c>
      <x:c r="R25" s="14">
        <x:f>('[1]GS PRI SMALL'!$S$22/'[1]GS PRI SMALL'!$I$22)*'[2]PRIMARY  &lt; 10kW'!$R$25</x:f>
        <x:v>2787.7329700715682</x:v>
      </x:c>
      <x:c r="T25" s="2">
        <x:f>V25*'[3]Energy Loss Factor'!$G$54</x:f>
        <x:v>2125818.2211542563</x:v>
      </x:c>
      <x:c r="V25" s="2">
        <x:f>'[1]GS PRI SMALL'!$S$22</x:f>
        <x:v>2100418.3848405988</x:v>
      </x:c>
      <x:c r="X25" s="12">
        <x:v>0.87186545122830295</x:v>
      </x:c>
      <x:c r="Y25" s="12"/>
      <x:c r="Z25" s="12">
        <x:v>0.87491099999999999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Factor'!$G$54</x:f>
        <x:v>6827.4602044616149</x:v>
      </x:c>
      <x:c r="E26" s="2"/>
      <x:c r="F26" s="14">
        <x:f>('[1]GS PRI SMALL'!$S$24/'[1]GS PRI SMALL'!$I$24)*'[2]PRIMARY  &lt; 10kW'!$F$26</x:f>
        <x:v>6715.310509905813</x:v>
      </x:c>
      <x:c r="G26" s="2"/>
      <x:c r="H26" s="2">
        <x:f>J26*'[3]Demand Loss Factor'!$G$54</x:f>
        <x:v>4006.1477474479698</x:v>
      </x:c>
      <x:c r="I26" s="2"/>
      <x:c r="J26" s="14">
        <x:f>('[1]GS PRI SMALL'!$S$24/'[1]GS PRI SMALL'!$I$24)*'[2]PRIMARY  &lt; 10kW'!$J$26</x:f>
        <x:v>3940.3416888600191</x:v>
      </x:c>
      <x:c r="K26" s="2"/>
      <x:c r="L26" s="2">
        <x:f>N26*'[3]Demand Loss Factor'!$G$54</x:f>
        <x:v>2745.9836007459526</x:v>
      </x:c>
      <x:c r="N26" s="14">
        <x:f>('[1]GS PRI SMALL'!$S$24/'[1]GS PRI SMALL'!$I$24)*'[2]PRIMARY  &lt; 10kW'!$N$26</x:f>
        <x:v>2700.8773367976614</x:v>
      </x:c>
      <x:c r="O26" s="2"/>
      <x:c r="P26" s="2">
        <x:f>R26*'[3]Demand Loss Factor'!$G$54</x:f>
        <x:v>2727.5074927497762</x:v>
      </x:c>
      <x:c r="R26" s="14">
        <x:f>('[1]GS PRI SMALL'!$S$24/'[1]GS PRI SMALL'!$I$24)*'[2]PRIMARY  &lt; 10kW'!$R$26</x:f>
        <x:v>2682.7047223124391</x:v>
      </x:c>
      <x:c r="S26" s="2"/>
      <x:c r="T26" s="2">
        <x:f>V26*'[3]Energy Loss Factor'!$G$54</x:f>
        <x:v>2359924.2656195401</x:v>
      </x:c>
      <x:c r="V26" s="2">
        <x:f>'[1]GS PRI SMALL'!$S$24</x:f>
        <x:v>2331727.2685936992</x:v>
      </x:c>
      <x:c r="X26" s="12">
        <x:v>0.68544241846677323</x:v>
      </x:c>
      <x:c r="Y26" s="12"/>
      <x:c r="Z26" s="12">
        <x:v>0.80336200000000002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Factor'!$G$54</x:f>
        <x:v>6510.4656181274468</x:v>
      </x:c>
      <x:c r="E27" s="2"/>
      <x:c r="F27" s="14">
        <x:f>('[1]GS PRI SMALL'!$S$26/'[1]GS PRI SMALL'!$I$26)*'[2]PRIMARY  &lt; 10kW'!$F$27</x:f>
        <x:v>6403.5229617627992</x:v>
      </x:c>
      <x:c r="G27" s="2"/>
      <x:c r="H27" s="2">
        <x:f>J27*'[3]Demand Loss Factor'!$G$54</x:f>
        <x:v>2941.3081589356198</x:v>
      </x:c>
      <x:c r="I27" s="2"/>
      <x:c r="J27" s="14">
        <x:f>('[1]GS PRI SMALL'!$S$26/'[1]GS PRI SMALL'!$I$26)*'[2]PRIMARY  &lt; 10kW'!$J$27</x:f>
        <x:v>2892.9934413480232</x:v>
      </x:c>
      <x:c r="K27" s="2"/>
      <x:c r="L27" s="2">
        <x:f>N27*'[3]Demand Loss Factor'!$G$54</x:f>
        <x:v>2784.7372817214818</x:v>
      </x:c>
      <x:c r="N27" s="14">
        <x:f>('[1]GS PRI SMALL'!$S$26/'[1]GS PRI SMALL'!$I$26)*'[2]PRIMARY  &lt; 10kW'!$N$27</x:f>
        <x:v>2738.9944394037589</x:v>
      </x:c>
      <x:c r="O27" s="2"/>
      <x:c r="P27" s="2">
        <x:f>R27*'[3]Demand Loss Factor'!$G$54</x:f>
        <x:v>2763.6548713984107</x:v>
      </x:c>
      <x:c r="Q27" s="14"/>
      <x:c r="R27" s="14">
        <x:f>('[1]GS PRI SMALL'!$S$26/'[1]GS PRI SMALL'!$I$26)*'[2]PRIMARY  &lt; 10kW'!$R$27</x:f>
        <x:v>2718.25833441348</x:v>
      </x:c>
      <x:c r="S27" s="2"/>
      <x:c r="T27" s="2">
        <x:f>V27*'[3]Energy Loss Factor'!$G$54</x:f>
        <x:v>2011213.1374300274</x:v>
      </x:c>
      <x:c r="V27" s="2">
        <x:f>'[1]GS PRI SMALL'!$S$26</x:f>
        <x:v>1987182.6328580687</x:v>
      </x:c>
      <x:c r="X27" s="12">
        <x:v>0.94676828514602285</x:v>
      </x:c>
      <x:c r="Y27" s="12"/>
      <x:c r="Z27" s="12">
        <x:v>0.94078600000000001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Factor'!$G$54</x:f>
        <x:v>6990.3407977380175</x:v>
      </x:c>
      <x:c r="E28" s="2"/>
      <x:c r="F28" s="14">
        <x:f>('[1]GS PRI SMALL'!$S$28/'[1]GS PRI SMALL'!$I$28)*'[2]PRIMARY  &lt; 10kW'!$F$28</x:f>
        <x:v>6875.5155828220859</x:v>
      </x:c>
      <x:c r="G28" s="2"/>
      <x:c r="H28" s="2">
        <x:f>J28*'[3]Demand Loss Factor'!$G$54</x:f>
        <x:v>3167.1227822293049</x:v>
      </x:c>
      <x:c r="I28" s="2"/>
      <x:c r="J28" s="14">
        <x:f>('[1]GS PRI SMALL'!$S$28/'[1]GS PRI SMALL'!$I$28)*'[2]PRIMARY  &lt; 10kW'!$J$28</x:f>
        <x:v>3115.0987730061347</x:v>
      </x:c>
      <x:c r="K28" s="2"/>
      <x:c r="L28" s="2">
        <x:f>N28*'[3]Demand Loss Factor'!$G$54</x:f>
        <x:v>2773.8336754029201</x:v>
      </x:c>
      <x:c r="N28" s="14">
        <x:f>('[1]GS PRI SMALL'!$S$28/'[1]GS PRI SMALL'!$I$28)*'[2]PRIMARY  &lt; 10kW'!$N$28</x:f>
        <x:v>2728.2699386503064</x:v>
      </x:c>
      <x:c r="O28" s="2"/>
      <x:c r="P28" s="2">
        <x:f>R28*'[3]Demand Loss Factor'!$G$54</x:f>
        <x:v>2816.7297081985548</x:v>
      </x:c>
      <x:c r="R28" s="14">
        <x:f>('[1]GS PRI SMALL'!$S$28/'[1]GS PRI SMALL'!$I$28)*'[2]PRIMARY  &lt; 10kW'!$R$28</x:f>
        <x:v>2770.4613496932516</x:v>
      </x:c>
      <x:c r="S28" s="2"/>
      <x:c r="T28" s="2">
        <x:f>V28*'[3]Energy Loss Factor'!$G$54</x:f>
        <x:v>2011984.0096347325</x:v>
      </x:c>
      <x:c r="V28" s="2">
        <x:f>'[1]GS PRI SMALL'!$S$28</x:f>
        <x:v>1987944.2944785275</x:v>
      </x:c>
      <x:c r="X28" s="12">
        <x:v>0.8758213262102984</x:v>
      </x:c>
      <x:c r="Y28" s="12"/>
      <x:c r="Z28" s="12">
        <x:v>0.85466299999999995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Factor'!$G$54</x:f>
        <x:v>6580.2129184409514</x:v>
      </x:c>
      <x:c r="E29" s="2"/>
      <x:c r="F29" s="14">
        <x:f>('[1]GS PRI SMALL'!$S$30/'[1]GS PRI SMALL'!$I$30)*'[2]PRIMARY  &lt; 10kW'!$F$29</x:f>
        <x:v>6472.1245741935481</x:v>
      </x:c>
      <x:c r="G29" s="2"/>
      <x:c r="H29" s="2">
        <x:f>J29*'[3]Demand Loss Factor'!$G$54</x:f>
        <x:v>3133.4057381981179</x:v>
      </x:c>
      <x:c r="I29" s="2"/>
      <x:c r="J29" s="14">
        <x:f>('[1]GS PRI SMALL'!$S$30/'[1]GS PRI SMALL'!$I$30)*'[2]PRIMARY  &lt; 10kW'!$J$29</x:f>
        <x:v>3081.9355741935478</x:v>
      </x:c>
      <x:c r="K29" s="2"/>
      <x:c r="L29" s="2">
        <x:f>N29*'[3]Demand Loss Factor'!$G$54</x:f>
        <x:v>2803.6973696845344</x:v>
      </x:c>
      <x:c r="N29" s="14">
        <x:f>('[1]GS PRI SMALL'!$S$30/'[1]GS PRI SMALL'!$I$30)*'[2]PRIMARY  &lt; 10kW'!$N$29</x:f>
        <x:v>2757.643083870968</x:v>
      </x:c>
      <x:c r="O29" s="2"/>
      <x:c r="P29" s="2">
        <x:f>R29*'[3]Demand Loss Factor'!$G$54</x:f>
        <x:v>2685.6418023985543</x:v>
      </x:c>
      <x:c r="R29" s="14">
        <x:f>('[1]GS PRI SMALL'!$S$30/'[1]GS PRI SMALL'!$I$30)*'[2]PRIMARY  &lt; 10kW'!$R$29</x:f>
        <x:v>2641.5267290322581</x:v>
      </x:c>
      <x:c r="S29" s="2"/>
      <x:c r="T29" s="2">
        <x:f>V29*'[3]Energy Loss Factor'!$G$54</x:f>
        <x:v>1979226.9411992473</x:v>
      </x:c>
      <x:c r="V29" s="2">
        <x:f>'[1]GS PRI SMALL'!$S$30</x:f>
        <x:v>1955578.6161290323</x:v>
      </x:c>
      <x:c r="X29" s="12">
        <x:v>0.89477635644364883</x:v>
      </x:c>
      <x:c r="Y29" s="12"/>
      <x:c r="Z29" s="12">
        <x:v>0.87548599999999999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Factor'!$G$54</x:f>
        <x:v>6688.2579512036991</x:v>
      </x:c>
      <x:c r="E30" s="2"/>
      <x:c r="F30" s="14">
        <x:f>('[1]GS PRI SMALL'!$S$32/'[1]GS PRI SMALL'!$I$32)*'[2]PRIMARY  &lt; 10kW'!$F$30</x:f>
        <x:v>6578.3948302370272</x:v>
      </x:c>
      <x:c r="G30" s="2"/>
      <x:c r="H30" s="2">
        <x:f>J30*'[3]Demand Loss Factor'!$G$54</x:f>
        <x:v>2991.1736680826061</x:v>
      </x:c>
      <x:c r="I30" s="2"/>
      <x:c r="J30" s="14">
        <x:f>('[1]GS PRI SMALL'!$S$32/'[1]GS PRI SMALL'!$I$32)*'[2]PRIMARY  &lt; 10kW'!$J$30</x:f>
        <x:v>2942.0398462524026</x:v>
      </x:c>
      <x:c r="K30" s="2"/>
      <x:c r="L30" s="2">
        <x:f>N30*'[3]Demand Loss Factor'!$G$54</x:f>
        <x:v>2791.540207191611</x:v>
      </x:c>
      <x:c r="N30" s="14">
        <x:f>('[1]GS PRI SMALL'!$S$32/'[1]GS PRI SMALL'!$I$32)*'[2]PRIMARY  &lt; 10kW'!$N$30</x:f>
        <x:v>2745.6856181934659</x:v>
      </x:c>
      <x:c r="O30" s="2"/>
      <x:c r="P30" s="2">
        <x:f>R30*'[3]Demand Loss Factor'!$G$54</x:f>
        <x:v>2836.3081690412073</x:v>
      </x:c>
      <x:c r="R30" s="14">
        <x:f>('[1]GS PRI SMALL'!$S$32/'[1]GS PRI SMALL'!$I$32)*'[2]PRIMARY  &lt; 10kW'!$R$30</x:f>
        <x:v>2789.7182094811019</x:v>
      </x:c>
      <x:c r="S30" s="2"/>
      <x:c r="T30" s="2">
        <x:f>V30*'[3]Energy Loss Factor'!$G$54</x:f>
        <x:v>1981272.4028374297</x:v>
      </x:c>
      <x:c r="V30" s="2">
        <x:f>'[1]GS PRI SMALL'!$S$32</x:f>
        <x:v>1957599.6380525304</x:v>
      </x:c>
      <x:c r="X30" s="12">
        <x:v>0.93325915408349946</x:v>
      </x:c>
      <x:c r="Y30" s="12"/>
      <x:c r="Z30" s="12">
        <x:v>0.90551499999999996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Factor'!$G$54</x:f>
        <x:v>7203.429467904728</x:v>
      </x:c>
      <x:c r="E31" s="2"/>
      <x:c r="F31" s="14">
        <x:f>('[1]GS PRI SMALL'!$S$34/'[1]GS PRI SMALL'!$I$34)*'[2]PRIMARY  &lt; 10kW'!$F$31</x:f>
        <x:v>7085.1040012763242</x:v>
      </x:c>
      <x:c r="G31" s="2"/>
      <x:c r="H31" s="2">
        <x:f>J31*'[3]Demand Loss Factor'!$G$54</x:f>
        <x:v>2997.9659748118411</x:v>
      </x:c>
      <x:c r="I31" s="2"/>
      <x:c r="J31" s="14">
        <x:f>('[1]GS PRI SMALL'!$S$34/'[1]GS PRI SMALL'!$I$34)*'[2]PRIMARY  &lt; 10kW'!$J$31</x:f>
        <x:v>2948.720580727505</x:v>
      </x:c>
      <x:c r="K31" s="2"/>
      <x:c r="L31" s="2">
        <x:f>N31*'[3]Demand Loss Factor'!$G$54</x:f>
        <x:v>2696.7028272707207</x:v>
      </x:c>
      <x:c r="N31" s="14">
        <x:f>('[1]GS PRI SMALL'!$S$34/'[1]GS PRI SMALL'!$I$34)*'[2]PRIMARY  &lt; 10kW'!$N$31</x:f>
        <x:v>2652.4060625398852</x:v>
      </x:c>
      <x:c r="O31" s="2"/>
      <x:c r="P31" s="2">
        <x:f>R31*'[3]Demand Loss Factor'!$G$54</x:f>
        <x:v>2696.7028272707207</x:v>
      </x:c>
      <x:c r="R31" s="14">
        <x:f>('[1]GS PRI SMALL'!$S$34/'[1]GS PRI SMALL'!$I$34)*'[2]PRIMARY  &lt; 10kW'!$R$31</x:f>
        <x:v>2652.4060625398852</x:v>
      </x:c>
      <x:c r="S31" s="2"/>
      <x:c r="T31" s="2">
        <x:f>V31*'[3]Energy Loss Factor'!$G$54</x:f>
        <x:v>1977571.8165951953</x:v>
      </x:c>
      <x:c r="V31" s="2">
        <x:f>'[1]GS PRI SMALL'!$S$34</x:f>
        <x:v>1953943.267389917</x:v>
      </x:c>
      <x:c r="X31" s="12">
        <x:v>0.89951081831072865</x:v>
      </x:c>
      <x:c r="Y31" s="12"/>
      <x:c r="Z31" s="12">
        <x:v>0.90862449999999995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Factor'!$G$54</x:f>
        <x:v>9531.9540225766377</x:v>
      </x:c>
      <x:c r="E32" s="2"/>
      <x:c r="F32" s="14">
        <x:f>('[1]GS PRI SMALL'!$S$36/'[1]GS PRI SMALL'!$I$36)*'[2]PRIMARY  &lt; 10kW'!$F$32</x:f>
        <x:v>9375.379586382438</x:v>
      </x:c>
      <x:c r="G32" s="2"/>
      <x:c r="H32" s="2">
        <x:f>J32*'[3]Demand Loss Factor'!$G$54</x:f>
        <x:v>4110.6451832255925</x:v>
      </x:c>
      <x:c r="I32" s="2"/>
      <x:c r="J32" s="14">
        <x:f>('[1]GS PRI SMALL'!$S$36/'[1]GS PRI SMALL'!$I$36)*'[2]PRIMARY  &lt; 10kW'!$J$32</x:f>
        <x:v>4043.122621699014</x:v>
      </x:c>
      <x:c r="K32" s="2"/>
      <x:c r="L32" s="2">
        <x:f>N32*'[3]Demand Loss Factor'!$G$54</x:f>
        <x:v>2681.8414482374833</x:v>
      </x:c>
      <x:c r="N32" s="14">
        <x:f>('[1]GS PRI SMALL'!$S$36/'[1]GS PRI SMALL'!$I$36)*'[2]PRIMARY  &lt; 10kW'!$N$32</x:f>
        <x:v>2637.7888005090676</x:v>
      </x:c>
      <x:c r="O32" s="2"/>
      <x:c r="P32" s="2">
        <x:f>R32*'[3]Demand Loss Factor'!$G$54</x:f>
        <x:v>2734.7477103775122</x:v>
      </x:c>
      <x:c r="R32" s="14">
        <x:f>('[1]GS PRI SMALL'!$S$36/'[1]GS PRI SMALL'!$I$36)*'[2]PRIMARY  &lt; 10kW'!$R$32</x:f>
        <x:v>2689.8260101813553</x:v>
      </x:c>
      <x:c r="S32" s="2"/>
      <x:c r="T32" s="2">
        <x:f>V32*'[3]Energy Loss Factor'!$G$54</x:f>
        <x:v>2019223.0529330338</x:v>
      </x:c>
      <x:c r="V32" s="2">
        <x:f>'[1]GS PRI SMALL'!$S$36</x:f>
        <x:v>1995096.8437798282</x:v>
      </x:c>
      <x:c r="X32" s="12">
        <x:v>0.65241375226967713</x:v>
      </x:c>
      <x:c r="Y32" s="12"/>
      <x:c r="Z32" s="12">
        <x:v>0.7027485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Factor'!$G$54</x:f>
        <x:v>6184.6710675987606</x:v>
      </x:c>
      <x:c r="E33" s="2"/>
      <x:c r="F33" s="14">
        <x:f>('[1]GS PRI SMALL'!$S$38/'[1]GS PRI SMALL'!$I$38)*'[2]PRIMARY  &lt; 10kW'!$F$33</x:f>
        <x:v>6083.08</x:v>
      </x:c>
      <x:c r="G33" s="2"/>
      <x:c r="H33" s="2">
        <x:f>J33*'[3]Demand Loss Factor'!$G$54</x:f>
        <x:v>4228.0816037021104</x:v>
      </x:c>
      <x:c r="I33" s="2"/>
      <x:c r="J33" s="14">
        <x:f>('[1]GS PRI SMALL'!$S$38/'[1]GS PRI SMALL'!$I$38)*'[2]PRIMARY  &lt; 10kW'!$J$33</x:f>
        <x:v>4158.63</x:v>
      </x:c>
      <x:c r="K33" s="2"/>
      <x:c r="L33" s="2">
        <x:f>N33*'[3]Demand Loss Factor'!$G$54</x:f>
        <x:v>3162.2845348729802</x:v>
      </x:c>
      <x:c r="N33" s="14">
        <x:f>('[1]GS PRI SMALL'!$S$38/'[1]GS PRI SMALL'!$I$38)*'[2]PRIMARY  &lt; 10kW'!$N$33</x:f>
        <x:v>3110.34</x:v>
      </x:c>
      <x:c r="O33" s="2"/>
      <x:c r="P33" s="2">
        <x:f>R33*'[3]Demand Loss Factor'!$G$54</x:f>
        <x:v>3162.2845348729802</x:v>
      </x:c>
      <x:c r="R33" s="14">
        <x:f>('[1]GS PRI SMALL'!$S$38/'[1]GS PRI SMALL'!$I$38)*'[2]PRIMARY  &lt; 10kW'!$R$33</x:f>
        <x:v>3110.34</x:v>
      </x:c>
      <x:c r="S33" s="2"/>
      <x:c r="T33" s="15">
        <x:f>V33*'[3]Energy Loss Factor'!$G$54</x:f>
        <x:v>2285907.6267189854</x:v>
      </x:c>
      <x:c r="V33" s="15">
        <x:f>'[1]GS PRI SMALL'!$S$38</x:f>
        <x:v>2258595</x:v>
      </x:c>
      <x:c r="X33" s="12">
        <x:v>0.74792419618961059</x:v>
      </x:c>
      <x:c r="Y33" s="12"/>
      <x:c r="Z33" s="12">
        <x:v>0.70052000000000003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25512201.485917266</x:v>
      </x:c>
      <x:c r="U34" s="14"/>
      <x:c r="V34" s="14">
        <x:f>+SUM(V22:V33)</x:f>
        <x:v>25207374.979447909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Z40"/>
  <x:sheetViews>
    <x:sheetView topLeftCell="A7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2" width="7.7109375" style="1" customWidth="1"/>
    <x:col min="3" max="3" width="5.42578125" style="1" customWidth="1"/>
    <x:col min="4" max="4" width="20.5703125" style="2" customWidth="1"/>
    <x:col min="5" max="5" width="2.7109375" style="1" customWidth="1"/>
    <x:col min="6" max="6" width="21.42578125" style="2" customWidth="1"/>
    <x:col min="7" max="7" width="4.570312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4.42578125" style="1" customWidth="1"/>
    <x:col min="12" max="12" width="14.42578125" style="2" customWidth="1"/>
    <x:col min="13" max="13" width="2.7109375" style="2" customWidth="1"/>
    <x:col min="14" max="14" width="14.85546875" style="2" customWidth="1"/>
    <x:col min="15" max="15" width="4.42578125" style="1" customWidth="1"/>
    <x:col min="16" max="16" width="14.42578125" style="2" customWidth="1"/>
    <x:col min="17" max="17" width="2.7109375" style="2" customWidth="1"/>
    <x:col min="18" max="18" width="13.85546875" style="2" customWidth="1"/>
    <x:col min="19" max="19" width="4.140625" style="1" customWidth="1"/>
    <x:col min="20" max="20" width="20.5703125" style="2" customWidth="1"/>
    <x:col min="21" max="21" width="2.7109375" style="2" customWidth="1"/>
    <x:col min="22" max="22" width="21.42578125" style="2" customWidth="1"/>
    <x:col min="23" max="23" width="3.7109375" style="1" customWidth="1"/>
    <x:col min="24" max="24" width="10.5703125" style="1" customWidth="1"/>
    <x:col min="25" max="25" width="1.7109375" style="1" customWidth="1"/>
    <x:col min="26" max="26" width="9.71093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76</x:v>
      </x:c>
    </x:row>
    <x:row r="7" spans="1:26" ht="18.75" customHeight="1" x14ac:dyDescent="0.25">
      <x:c r="A7" s="6" t="s">
        <x:v>70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44</x:v>
      </x:c>
      <x:c r="L14" s="25"/>
    </x:row>
    <x:row r="15" spans="1:26" ht="18.75" customHeight="1" x14ac:dyDescent="0.25">
      <x:c r="A15" s="1" t="s">
        <x:v>33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Factor'!$G$54</x:f>
        <x:v>3635570.9582638512</x:v>
      </x:c>
      <x:c r="E22" s="2"/>
      <x:c r="F22" s="19">
        <x:f>('[1]GS PRI LRG NONIDR'!$S$16+'[1]GS PRI LRG IDR '!$S$16)/('[1]GS PRI LRG NONIDR'!$I$16+'[1]GS PRI LRG IDR '!$I$16)*'[2]PRIMARY  &gt; 10kW DLS'!$F$22</x:f>
        <x:v>3575852.093518394</x:v>
      </x:c>
      <x:c r="G22" s="2"/>
      <x:c r="H22" s="2">
        <x:f>J22*'[3]Demand Loss Factor'!$G$54</x:f>
        <x:v>2702558.3577933717</x:v>
      </x:c>
      <x:c r="I22" s="2"/>
      <x:c r="J22" s="19">
        <x:f>('[1]GS PRI LRG NONIDR'!$S$16+'[1]GS PRI LRG IDR '!$S$16)/('[1]GS PRI LRG NONIDR'!$I$16+'[1]GS PRI LRG IDR '!$I$16)*'[2]PRIMARY  &gt; 10kW DLS'!$J$22</x:f>
        <x:v>2658165.4085459062</x:v>
      </x:c>
      <x:c r="K22" s="2"/>
      <x:c r="L22" s="2">
        <x:f>N22*'[3]Demand Loss Factor'!$G$54</x:f>
        <x:v>2272788.6478006006</x:v>
      </x:c>
      <x:c r="N22" s="19">
        <x:f>('[1]GS PRI LRG NONIDR'!$S$16+'[1]GS PRI LRG IDR '!$S$16)/('[1]GS PRI LRG NONIDR'!$I$16+'[1]GS PRI LRG IDR '!$I$16)*'[2]PRIMARY  &gt; 10kW DLS'!$N$22</x:f>
        <x:v>2235455.2112066876</x:v>
      </x:c>
      <x:c r="O22" s="2"/>
      <x:c r="P22" s="2">
        <x:f>R22*'[3]Demand Loss Factor'!$G$54</x:f>
        <x:v>2125730.1302913604</x:v>
      </x:c>
      <x:c r="R22" s="19">
        <x:f>('[1]GS PRI LRG NONIDR'!$S$16+'[1]GS PRI LRG IDR '!$S$16)/('[1]GS PRI LRG NONIDR'!$I$16+'[1]GS PRI LRG IDR '!$I$16)*'[2]PRIMARY  &gt; 10kW DLS'!$R$22</x:f>
        <x:v>2090812.3163926504</x:v>
      </x:c>
      <x:c r="S22" s="2"/>
      <x:c r="T22" s="2">
        <x:f>V22*'[3]Energy Loss Factor'!$G$54</x:f>
        <x:v>1964465341.120935</x:v>
      </x:c>
      <x:c r="V22" s="2">
        <x:f>'[1]GS PRI LRG NONIDR'!$S$16+'[1]GS PRI LRG IDR '!$S$16</x:f>
        <x:v>1940993391.5385137</x:v>
      </x:c>
      <x:c r="X22" s="12">
        <x:v>0.84097671424802223</x:v>
      </x:c>
      <x:c r="Y22" s="12"/>
      <x:c r="Z22" s="12">
        <x:v>0.93237899999999996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Factor'!$G$54</x:f>
        <x:v>3626254.6799714752</x:v>
      </x:c>
      <x:c r="E23" s="2"/>
      <x:c r="F23" s="19">
        <x:f>('[1]GS PRI LRG NONIDR'!$S$18+'[1]GS PRI LRG IDR '!$S$18)/('[1]GS PRI LRG NONIDR'!$I$18+'[1]GS PRI LRG IDR '!$I$18)*'[2]PRIMARY  &gt; 10kW DLS'!$F$23</x:f>
        <x:v>3566688.846914757</x:v>
      </x:c>
      <x:c r="G23" s="2"/>
      <x:c r="H23" s="2">
        <x:f>J23*'[3]Demand Loss Factor'!$G$54</x:f>
        <x:v>2799985.7874292778</x:v>
      </x:c>
      <x:c r="I23" s="2"/>
      <x:c r="J23" s="19">
        <x:f>('[1]GS PRI LRG NONIDR'!$S$18+'[1]GS PRI LRG IDR '!$S$18)/('[1]GS PRI LRG NONIDR'!$I$18+'[1]GS PRI LRG IDR '!$I$18)*'[2]PRIMARY  &gt; 10kW DLS'!$J$23</x:f>
        <x:v>2753992.4690624312</x:v>
      </x:c>
      <x:c r="K23" s="2"/>
      <x:c r="L23" s="2">
        <x:f>N23*'[3]Demand Loss Factor'!$G$54</x:f>
        <x:v>2668553.8195428411</x:v>
      </x:c>
      <x:c r="N23" s="19">
        <x:f>('[1]GS PRI LRG NONIDR'!$S$18+'[1]GS PRI LRG IDR '!$S$18)/('[1]GS PRI LRG NONIDR'!$I$18+'[1]GS PRI LRG IDR '!$I$18)*'[2]PRIMARY  &gt; 10kW DLS'!$N$23</x:f>
        <x:v>2624719.4379712171</x:v>
      </x:c>
      <x:c r="O23" s="2"/>
      <x:c r="P23" s="2">
        <x:f>R23*'[3]Demand Loss Factor'!$G$54</x:f>
        <x:v>2668553.8195428411</x:v>
      </x:c>
      <x:c r="R23" s="19">
        <x:f>('[1]GS PRI LRG NONIDR'!$S$18+'[1]GS PRI LRG IDR '!$S$18)/('[1]GS PRI LRG NONIDR'!$I$18+'[1]GS PRI LRG IDR '!$I$18)*'[2]PRIMARY  &gt; 10kW DLS'!$R$23</x:f>
        <x:v>2624719.4379712171</x:v>
      </x:c>
      <x:c r="S23" s="2"/>
      <x:c r="T23" s="2">
        <x:f>V23*'[3]Energy Loss Factor'!$G$54</x:f>
        <x:v>1904901192.2568691</x:v>
      </x:c>
      <x:c r="V23" s="2">
        <x:f>'[1]GS PRI LRG NONIDR'!$S$18+'[1]GS PRI LRG IDR '!$S$18</x:f>
        <x:v>1882140930.8217475</x:v>
      </x:c>
      <x:c r="X23" s="12">
        <x:v>0.95305977320438218</x:v>
      </x:c>
      <x:c r="Y23" s="12"/>
      <x:c r="Z23" s="12">
        <x:v>0.92661090000000002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Factor'!$G$54</x:f>
        <x:v>3668005.4154587314</x:v>
      </x:c>
      <x:c r="E24" s="2"/>
      <x:c r="F24" s="19">
        <x:f>('[1]GS PRI LRG NONIDR'!$S$20+'[1]GS PRI LRG IDR '!$S$20)/('[1]GS PRI LRG NONIDR'!$I$20+'[1]GS PRI LRG IDR '!$I$20)*'[2]PRIMARY  &gt; 10kW DLS'!$F$24</x:f>
        <x:v>3607753.773610434</x:v>
      </x:c>
      <x:c r="G24" s="2"/>
      <x:c r="H24" s="2">
        <x:f>J24*'[3]Demand Loss Factor'!$G$54</x:f>
        <x:v>2728085.8871339159</x:v>
      </x:c>
      <x:c r="I24" s="2"/>
      <x:c r="J24" s="19">
        <x:f>('[1]GS PRI LRG NONIDR'!$S$20+'[1]GS PRI LRG IDR '!$S$20)/('[1]GS PRI LRG NONIDR'!$I$20+'[1]GS PRI LRG IDR '!$I$20)*'[2]PRIMARY  &gt; 10kW DLS'!$J$24</x:f>
        <x:v>2683273.6158351204</x:v>
      </x:c>
      <x:c r="K24" s="2"/>
      <x:c r="L24" s="2">
        <x:f>N24*'[3]Demand Loss Factor'!$G$54</x:f>
        <x:v>2565423.5325451116</x:v>
      </x:c>
      <x:c r="N24" s="19">
        <x:f>('[1]GS PRI LRG NONIDR'!$S$20+'[1]GS PRI LRG IDR '!$S$20)/('[1]GS PRI LRG NONIDR'!$I$20+'[1]GS PRI LRG IDR '!$I$20)*'[2]PRIMARY  &gt; 10kW DLS'!$N$24</x:f>
        <x:v>2523283.1967591648</x:v>
      </x:c>
      <x:c r="O24" s="2"/>
      <x:c r="P24" s="2">
        <x:f>R24*'[3]Demand Loss Factor'!$G$54</x:f>
        <x:v>2701323.3943187762</x:v>
      </x:c>
      <x:c r="R24" s="19">
        <x:f>('[1]GS PRI LRG NONIDR'!$S$20+'[1]GS PRI LRG IDR '!$S$20)/('[1]GS PRI LRG NONIDR'!$I$20+'[1]GS PRI LRG IDR '!$I$20)*'[2]PRIMARY  &gt; 10kW DLS'!$R$24</x:f>
        <x:v>2656950.7309129434</x:v>
      </x:c>
      <x:c r="S24" s="2"/>
      <x:c r="T24" s="2">
        <x:f>V24*'[3]Energy Loss Factor'!$G$54</x:f>
        <x:v>1529852668.3586085</x:v>
      </x:c>
      <x:c r="V24" s="2">
        <x:f>'[1]GS PRI LRG NONIDR'!$S$20+'[1]GS PRI LRG IDR '!$S$20</x:f>
        <x:v>1511573585.5218728</x:v>
      </x:c>
      <x:c r="X24" s="12">
        <x:v>0.94037491438376419</x:v>
      </x:c>
      <x:c r="Y24" s="12"/>
      <x:c r="Z24" s="12">
        <x:v>0.928956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Factor'!$G$54</x:f>
        <x:v>3792275.639120182</x:v>
      </x:c>
      <x:c r="E25" s="2"/>
      <x:c r="F25" s="19">
        <x:f>('[1]GS PRI LRG NONIDR'!$S$22+'[1]GS PRI LRG IDR '!$S$22)/('[1]GS PRI LRG NONIDR'!$I$22+'[1]GS PRI LRG IDR '!$I$22)*'[2]PRIMARY  &gt; 10kW DLS'!$F$25</x:f>
        <x:v>3729982.7012102972</x:v>
      </x:c>
      <x:c r="G25" s="2"/>
      <x:c r="H25" s="2">
        <x:f>J25*'[3]Demand Loss Factor'!$G$54</x:f>
        <x:v>2802624.4730551001</x:v>
      </x:c>
      <x:c r="I25" s="2"/>
      <x:c r="J25" s="19">
        <x:f>('[1]GS PRI LRG NONIDR'!$S$22+'[1]GS PRI LRG IDR '!$S$22)/('[1]GS PRI LRG NONIDR'!$I$22+'[1]GS PRI LRG IDR '!$I$22)*'[2]PRIMARY  &gt; 10kW DLS'!$J$25</x:f>
        <x:v>2756587.8109296518</x:v>
      </x:c>
      <x:c r="K25" s="2"/>
      <x:c r="L25" s="2">
        <x:f>N25*'[3]Demand Loss Factor'!$G$54</x:f>
        <x:v>2786480.6575780869</x:v>
      </x:c>
      <x:c r="N25" s="19">
        <x:f>('[1]GS PRI LRG NONIDR'!$S$22+'[1]GS PRI LRG IDR '!$S$22)/('[1]GS PRI LRG NONIDR'!$I$22+'[1]GS PRI LRG IDR '!$I$22)*'[2]PRIMARY  &gt; 10kW DLS'!$N$25</x:f>
        <x:v>2740709.1781004304</x:v>
      </x:c>
      <x:c r="O25" s="2"/>
      <x:c r="P25" s="2">
        <x:f>R25*'[3]Demand Loss Factor'!$G$54</x:f>
        <x:v>2786480.6575780869</x:v>
      </x:c>
      <x:c r="R25" s="19">
        <x:f>('[1]GS PRI LRG NONIDR'!$S$22+'[1]GS PRI LRG IDR '!$S$22)/('[1]GS PRI LRG NONIDR'!$I$22+'[1]GS PRI LRG IDR '!$I$22)*'[2]PRIMARY  &gt; 10kW DLS'!$R$25</x:f>
        <x:v>2740709.1781004304</x:v>
      </x:c>
      <x:c r="S25" s="2"/>
      <x:c r="T25" s="2">
        <x:f>V25*'[3]Energy Loss Factor'!$G$54</x:f>
        <x:v>1952813302.6561909</x:v>
      </x:c>
      <x:c r="V25" s="2">
        <x:f>'[1]GS PRI LRG NONIDR'!$S$22+'[1]GS PRI LRG IDR '!$S$22</x:f>
        <x:v>1929480574.6999555</x:v>
      </x:c>
      <x:c r="X25" s="12">
        <x:v>0.9942397507649624</x:v>
      </x:c>
      <x:c r="Y25" s="12"/>
      <x:c r="Z25" s="12">
        <x:v>0.9164447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Factor'!$G$54</x:f>
        <x:v>3791872.6034574918</x:v>
      </x:c>
      <x:c r="E26" s="2"/>
      <x:c r="F26" s="19">
        <x:f>('[1]GS PRI LRG NONIDR'!$S$24+'[1]GS PRI LRG IDR '!$S$24)/('[1]GS PRI LRG NONIDR'!$I$24+'[1]GS PRI LRG IDR '!$I$24)*'[2]PRIMARY  &gt; 10kW DLS'!$F$26</x:f>
        <x:v>3729586.2859196211</x:v>
      </x:c>
      <x:c r="G26" s="2"/>
      <x:c r="H26" s="2">
        <x:f>J26*'[3]Demand Loss Factor'!$G$54</x:f>
        <x:v>2829760.6355566075</x:v>
      </x:c>
      <x:c r="I26" s="2"/>
      <x:c r="J26" s="19">
        <x:f>('[1]GS PRI LRG NONIDR'!$S$24+'[1]GS PRI LRG IDR '!$S$24)/('[1]GS PRI LRG NONIDR'!$I$24+'[1]GS PRI LRG IDR '!$I$24)*'[2]PRIMARY  &gt; 10kW DLS'!$J$26</x:f>
        <x:v>2783278.2275395943</x:v>
      </x:c>
      <x:c r="K26" s="2"/>
      <x:c r="L26" s="2">
        <x:f>N26*'[3]Demand Loss Factor'!$G$54</x:f>
        <x:v>2618595.1831371253</x:v>
      </x:c>
      <x:c r="N26" s="19">
        <x:f>('[1]GS PRI LRG NONIDR'!$S$24+'[1]GS PRI LRG IDR '!$S$24)/('[1]GS PRI LRG NONIDR'!$I$24+'[1]GS PRI LRG IDR '!$I$24)*'[2]PRIMARY  &gt; 10kW DLS'!$N$26</x:f>
        <x:v>2575581.4355414659</x:v>
      </x:c>
      <x:c r="O26" s="2"/>
      <x:c r="P26" s="2">
        <x:f>R26*'[3]Demand Loss Factor'!$G$54</x:f>
        <x:v>2620604.4383006813</x:v>
      </x:c>
      <x:c r="R26" s="19">
        <x:f>('[1]GS PRI LRG NONIDR'!$S$24+'[1]GS PRI LRG IDR '!$S$24)/('[1]GS PRI LRG NONIDR'!$I$24+'[1]GS PRI LRG IDR '!$I$24)*'[2]PRIMARY  &gt; 10kW DLS'!$R$26</x:f>
        <x:v>2577557.6861402011</x:v>
      </x:c>
      <x:c r="S26" s="2"/>
      <x:c r="T26" s="2">
        <x:f>V26*'[3]Energy Loss Factor'!$G$54</x:f>
        <x:v>1640790260.2355278</x:v>
      </x:c>
      <x:c r="V26" s="2">
        <x:f>'[1]GS PRI LRG NONIDR'!$S$24+'[1]GS PRI LRG IDR '!$S$24</x:f>
        <x:v>1621185665.8161623</x:v>
      </x:c>
      <x:c r="X26" s="12">
        <x:v>0.92537692066030663</x:v>
      </x:c>
      <x:c r="Y26" s="12"/>
      <x:c r="Z26" s="12">
        <x:v>0.91381069999999998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Factor'!$G$54</x:f>
        <x:v>3822892.9052853705</x:v>
      </x:c>
      <x:c r="E27" s="2"/>
      <x:c r="F27" s="19">
        <x:f>('[1]GS PRI LRG NONIDR'!$S$26+'[1]GS PRI LRG IDR '!$S$26)/('[1]GS PRI LRG NONIDR'!$I$26+'[1]GS PRI LRG IDR '!$I$26)*'[2]PRIMARY  &gt; 10kW DLS'!$F$27</x:f>
        <x:v>3760097.0399404322</x:v>
      </x:c>
      <x:c r="G27" s="2"/>
      <x:c r="H27" s="2">
        <x:f>J27*'[3]Demand Loss Factor'!$G$54</x:f>
        <x:v>2910580.6710426956</x:v>
      </x:c>
      <x:c r="I27" s="2"/>
      <x:c r="J27" s="19">
        <x:f>('[1]GS PRI LRG NONIDR'!$S$26+'[1]GS PRI LRG IDR '!$S$26)/('[1]GS PRI LRG NONIDR'!$I$26+'[1]GS PRI LRG IDR '!$I$26)*'[2]PRIMARY  &gt; 10kW DLS'!$J$27</x:f>
        <x:v>2862770.6914218478</x:v>
      </x:c>
      <x:c r="K27" s="2"/>
      <x:c r="L27" s="2">
        <x:f>N27*'[3]Demand Loss Factor'!$G$54</x:f>
        <x:v>2856280.043413037</x:v>
      </x:c>
      <x:c r="N27" s="19">
        <x:f>('[1]GS PRI LRG NONIDR'!$S$26+'[1]GS PRI LRG IDR '!$S$26)/('[1]GS PRI LRG NONIDR'!$I$26+'[1]GS PRI LRG IDR '!$I$26)*'[2]PRIMARY  &gt; 10kW DLS'!$N$27</x:f>
        <x:v>2809362.0204818635</x:v>
      </x:c>
      <x:c r="O27" s="2"/>
      <x:c r="P27" s="2">
        <x:f>R27*'[3]Demand Loss Factor'!$G$54</x:f>
        <x:v>2696673.269211411</x:v>
      </x:c>
      <x:c r="Q27" s="14"/>
      <x:c r="R27" s="19">
        <x:f>('[1]GS PRI LRG NONIDR'!$S$26+'[1]GS PRI LRG IDR '!$S$26)/('[1]GS PRI LRG NONIDR'!$I$26+'[1]GS PRI LRG IDR '!$I$26)*'[2]PRIMARY  &gt; 10kW DLS'!$R$27</x:f>
        <x:v>2652376.9900091942</x:v>
      </x:c>
      <x:c r="S27" s="2"/>
      <x:c r="T27" s="2">
        <x:f>V27*'[3]Energy Loss Factor'!$G$54</x:f>
        <x:v>1896023395.7731514</x:v>
      </x:c>
      <x:c r="V27" s="2">
        <x:f>'[1]GS PRI LRG NONIDR'!$S$26+'[1]GS PRI LRG IDR '!$S$26</x:f>
        <x:v>1873369208.5899432</x:v>
      </x:c>
      <x:c r="X27" s="12">
        <x:v>0.98134371324255165</x:v>
      </x:c>
      <x:c r="Y27" s="12"/>
      <x:c r="Z27" s="12">
        <x:v>0.92812099999999997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Factor'!$G$54</x:f>
        <x:v>3833792.4584025061</x:v>
      </x:c>
      <x:c r="E28" s="2"/>
      <x:c r="F28" s="19">
        <x:f>('[1]GS PRI LRG NONIDR'!$S$28+'[1]GS PRI LRG IDR '!$S$28)/('[1]GS PRI LRG NONIDR'!$I$28+'[1]GS PRI LRG IDR '!$I$28)*'[2]PRIMARY  &gt; 10kW DLS'!$F$28</x:f>
        <x:v>3770817.5540714334</x:v>
      </x:c>
      <x:c r="G28" s="2"/>
      <x:c r="H28" s="2">
        <x:f>J28*'[3]Demand Loss Factor'!$G$54</x:f>
        <x:v>2974296.1602397538</x:v>
      </x:c>
      <x:c r="I28" s="2"/>
      <x:c r="J28" s="19">
        <x:f>('[1]GS PRI LRG NONIDR'!$S$28+'[1]GS PRI LRG IDR '!$S$28)/('[1]GS PRI LRG NONIDR'!$I$28+'[1]GS PRI LRG IDR '!$I$28)*'[2]PRIMARY  &gt; 10kW DLS'!$J$28</x:f>
        <x:v>2925439.5728851468</x:v>
      </x:c>
      <x:c r="K28" s="2"/>
      <x:c r="L28" s="2">
        <x:f>N28*'[3]Demand Loss Factor'!$G$54</x:f>
        <x:v>2863673.1588691203</x:v>
      </x:c>
      <x:c r="N28" s="19">
        <x:f>('[1]GS PRI LRG NONIDR'!$S$28+'[1]GS PRI LRG IDR '!$S$28)/('[1]GS PRI LRG NONIDR'!$I$28+'[1]GS PRI LRG IDR '!$I$28)*'[2]PRIMARY  &gt; 10kW DLS'!$N$28</x:f>
        <x:v>2816633.694638344</x:v>
      </x:c>
      <x:c r="O28" s="2"/>
      <x:c r="P28" s="2">
        <x:f>R28*'[3]Demand Loss Factor'!$G$54</x:f>
        <x:v>2780044.2600439987</x:v>
      </x:c>
      <x:c r="R28" s="19">
        <x:f>('[1]GS PRI LRG NONIDR'!$S$28+'[1]GS PRI LRG IDR '!$S$28)/('[1]GS PRI LRG NONIDR'!$I$28+'[1]GS PRI LRG IDR '!$I$28)*'[2]PRIMARY  &gt; 10kW DLS'!$R$28</x:f>
        <x:v>2734378.5065604704</x:v>
      </x:c>
      <x:c r="S28" s="2"/>
      <x:c r="T28" s="2">
        <x:f>V28*'[3]Energy Loss Factor'!$G$54</x:f>
        <x:v>1999778963.6381054</x:v>
      </x:c>
      <x:c r="V28" s="2">
        <x:f>'[1]GS PRI LRG NONIDR'!$S$28+'[1]GS PRI LRG IDR '!$S$28</x:f>
        <x:v>1975885077.5878088</x:v>
      </x:c>
      <x:c r="X28" s="12">
        <x:v>0.96280699856005025</x:v>
      </x:c>
      <x:c r="Y28" s="12"/>
      <x:c r="Z28" s="12">
        <x:v>0.91650799999999999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Factor'!$G$54</x:f>
        <x:v>3884074.3528653528</x:v>
      </x:c>
      <x:c r="E29" s="2"/>
      <x:c r="F29" s="19">
        <x:f>('[1]GS PRI LRG NONIDR'!$S$30+'[1]GS PRI LRG IDR '!$S$30)/('[1]GS PRI LRG NONIDR'!$I$30+'[1]GS PRI LRG IDR '!$I$30)*'[2]PRIMARY  &gt; 10kW DLS'!$F$29</x:f>
        <x:v>3820273.5046346714</x:v>
      </x:c>
      <x:c r="G29" s="2"/>
      <x:c r="H29" s="2">
        <x:f>J29*'[3]Demand Loss Factor'!$G$54</x:f>
        <x:v>3007684.7612368348</x:v>
      </x:c>
      <x:c r="I29" s="2"/>
      <x:c r="J29" s="19">
        <x:f>('[1]GS PRI LRG NONIDR'!$S$30+'[1]GS PRI LRG IDR '!$S$30)/('[1]GS PRI LRG NONIDR'!$I$30+'[1]GS PRI LRG IDR '!$I$30)*'[2]PRIMARY  &gt; 10kW DLS'!$J$29</x:f>
        <x:v>2958279.7237570961</x:v>
      </x:c>
      <x:c r="K29" s="2"/>
      <x:c r="L29" s="2">
        <x:f>N29*'[3]Demand Loss Factor'!$G$54</x:f>
        <x:v>2936653.7967546922</x:v>
      </x:c>
      <x:c r="N29" s="19">
        <x:f>('[1]GS PRI LRG NONIDR'!$S$30+'[1]GS PRI LRG IDR '!$S$30)/('[1]GS PRI LRG NONIDR'!$I$30+'[1]GS PRI LRG IDR '!$I$30)*'[2]PRIMARY  &gt; 10kW DLS'!$N$29</x:f>
        <x:v>2888415.5329700196</x:v>
      </x:c>
      <x:c r="O29" s="2"/>
      <x:c r="P29" s="2">
        <x:f>R29*'[3]Demand Loss Factor'!$G$54</x:f>
        <x:v>2858700.2721353024</x:v>
      </x:c>
      <x:c r="R29" s="19">
        <x:f>('[1]GS PRI LRG NONIDR'!$S$30+'[1]GS PRI LRG IDR '!$S$30)/('[1]GS PRI LRG NONIDR'!$I$30+'[1]GS PRI LRG IDR '!$I$30)*'[2]PRIMARY  &gt; 10kW DLS'!$R$29</x:f>
        <x:v>2811742.4938772828</x:v>
      </x:c>
      <x:c r="S29" s="2"/>
      <x:c r="T29" s="2">
        <x:f>V29*'[3]Energy Loss Factor'!$G$54</x:f>
        <x:v>1989869664.7353249</x:v>
      </x:c>
      <x:c r="V29" s="2">
        <x:f>'[1]GS PRI LRG NONIDR'!$S$30+'[1]GS PRI LRG IDR '!$S$30</x:f>
        <x:v>1966094177.5996718</x:v>
      </x:c>
      <x:c r="X29" s="12">
        <x:v>0.97638350754121839</x:v>
      </x:c>
      <x:c r="Y29" s="12"/>
      <x:c r="Z29" s="12">
        <x:v>0.93610539999999998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Factor'!$G$54</x:f>
        <x:v>3708053.7042620638</x:v>
      </x:c>
      <x:c r="E30" s="2"/>
      <x:c r="F30" s="19">
        <x:f>('[1]GS PRI LRG NONIDR'!$S$32+'[1]GS PRI LRG IDR '!$S$32)/('[1]GS PRI LRG NONIDR'!$I$32+'[1]GS PRI LRG IDR '!$I$32)*'[2]PRIMARY  &gt; 10kW DLS'!$F$30</x:f>
        <x:v>3647144.2184685408</x:v>
      </x:c>
      <x:c r="G30" s="2"/>
      <x:c r="H30" s="2">
        <x:f>J30*'[3]Demand Loss Factor'!$G$54</x:f>
        <x:v>2844542.1853388338</x:v>
      </x:c>
      <x:c r="I30" s="2"/>
      <x:c r="J30" s="19">
        <x:f>('[1]GS PRI LRG NONIDR'!$S$32+'[1]GS PRI LRG IDR '!$S$32)/('[1]GS PRI LRG NONIDR'!$I$32+'[1]GS PRI LRG IDR '!$I$32)*'[2]PRIMARY  &gt; 10kW DLS'!$J$30</x:f>
        <x:v>2797816.9716161126</x:v>
      </x:c>
      <x:c r="K30" s="2"/>
      <x:c r="L30" s="2">
        <x:f>N30*'[3]Demand Loss Factor'!$G$54</x:f>
        <x:v>2806810.0017130389</x:v>
      </x:c>
      <x:c r="N30" s="19">
        <x:f>('[1]GS PRI LRG NONIDR'!$S$32+'[1]GS PRI LRG IDR '!$S$32)/('[1]GS PRI LRG NONIDR'!$I$32+'[1]GS PRI LRG IDR '!$I$32)*'[2]PRIMARY  &gt; 10kW DLS'!$N$30</x:f>
        <x:v>2760704.5869700015</x:v>
      </x:c>
      <x:c r="O30" s="2"/>
      <x:c r="P30" s="2">
        <x:f>R30*'[3]Demand Loss Factor'!$G$54</x:f>
        <x:v>2733187.4679508628</x:v>
      </x:c>
      <x:c r="R30" s="19">
        <x:f>('[1]GS PRI LRG NONIDR'!$S$32+'[1]GS PRI LRG IDR '!$S$32)/('[1]GS PRI LRG NONIDR'!$I$32+'[1]GS PRI LRG IDR '!$I$32)*'[2]PRIMARY  &gt; 10kW DLS'!$R$30</x:f>
        <x:v>2688291.3967157458</x:v>
      </x:c>
      <x:c r="S30" s="2"/>
      <x:c r="T30" s="2">
        <x:f>V30*'[3]Energy Loss Factor'!$G$54</x:f>
        <x:v>1969255059.7239683</x:v>
      </x:c>
      <x:c r="V30" s="2">
        <x:f>'[1]GS PRI LRG NONIDR'!$S$32+'[1]GS PRI LRG IDR '!$S$32</x:f>
        <x:v>1945725881.321465</x:v>
      </x:c>
      <x:c r="X30" s="12">
        <x:v>0.9867352349983517</x:v>
      </x:c>
      <x:c r="Y30" s="12"/>
      <x:c r="Z30" s="12">
        <x:v>0.92305000000000004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Factor'!$G$54</x:f>
        <x:v>3750896.6666703131</x:v>
      </x:c>
      <x:c r="E31" s="2"/>
      <x:c r="F31" s="19">
        <x:f>('[1]GS PRI LRG NONIDR'!$S$34+'[1]GS PRI LRG IDR '!$S$34)/('[1]GS PRI LRG NONIDR'!$I$34+'[1]GS PRI LRG IDR '!$I$34)*'[2]PRIMARY  &gt; 10kW DLS'!$F$31</x:f>
        <x:v>3689283.4308725335</x:v>
      </x:c>
      <x:c r="G31" s="2"/>
      <x:c r="H31" s="2">
        <x:f>J31*'[3]Demand Loss Factor'!$G$54</x:f>
        <x:v>2880897.1963286796</x:v>
      </x:c>
      <x:c r="I31" s="2"/>
      <x:c r="J31" s="19">
        <x:f>('[1]GS PRI LRG NONIDR'!$S$34+'[1]GS PRI LRG IDR '!$S$34)/('[1]GS PRI LRG NONIDR'!$I$34+'[1]GS PRI LRG IDR '!$I$34)*'[2]PRIMARY  &gt; 10kW DLS'!$J$31</x:f>
        <x:v>2833574.8054337767</x:v>
      </x:c>
      <x:c r="K31" s="2"/>
      <x:c r="L31" s="2">
        <x:f>N31*'[3]Demand Loss Factor'!$G$54</x:f>
        <x:v>2795807.9443313866</x:v>
      </x:c>
      <x:c r="N31" s="19">
        <x:f>('[1]GS PRI LRG NONIDR'!$S$34+'[1]GS PRI LRG IDR '!$S$34)/('[1]GS PRI LRG NONIDR'!$I$34+'[1]GS PRI LRG IDR '!$I$34)*'[2]PRIMARY  &gt; 10kW DLS'!$N$31</x:f>
        <x:v>2749883.2523370562</x:v>
      </x:c>
      <x:c r="O31" s="2"/>
      <x:c r="P31" s="2">
        <x:f>R31*'[3]Demand Loss Factor'!$G$54</x:f>
        <x:v>2795807.9443313866</x:v>
      </x:c>
      <x:c r="R31" s="19">
        <x:f>('[1]GS PRI LRG NONIDR'!$S$34+'[1]GS PRI LRG IDR '!$S$34)/('[1]GS PRI LRG NONIDR'!$I$34+'[1]GS PRI LRG IDR '!$I$34)*'[2]PRIMARY  &gt; 10kW DLS'!$R$31</x:f>
        <x:v>2749883.2523370562</x:v>
      </x:c>
      <x:c r="S31" s="2"/>
      <x:c r="T31" s="2">
        <x:f>V31*'[3]Energy Loss Factor'!$G$54</x:f>
        <x:v>1943718982.4165566</x:v>
      </x:c>
      <x:c r="V31" s="2">
        <x:f>'[1]GS PRI LRG NONIDR'!$S$34+'[1]GS PRI LRG IDR '!$S$34</x:f>
        <x:v>1920494915.7951298</x:v>
      </x:c>
      <x:c r="X31" s="12">
        <x:v>0.97046432198076082</x:v>
      </x:c>
      <x:c r="Y31" s="12"/>
      <x:c r="Z31" s="12">
        <x:v>0.91584299999999996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Factor'!$G$54</x:f>
        <x:v>3669687.5020736363</x:v>
      </x:c>
      <x:c r="E32" s="2"/>
      <x:c r="F32" s="19">
        <x:f>('[1]GS PRI LRG NONIDR'!$S$36+'[1]GS PRI LRG IDR '!$S$36)/('[1]GS PRI LRG NONIDR'!$I$36+'[1]GS PRI LRG IDR '!$I$36)*'[2]PRIMARY  &gt; 10kW DLS'!$F$32</x:f>
        <x:v>3609408.2298189467</x:v>
      </x:c>
      <x:c r="G32" s="2"/>
      <x:c r="H32" s="2">
        <x:f>J32*'[3]Demand Loss Factor'!$G$54</x:f>
        <x:v>2721949.8280338109</x:v>
      </x:c>
      <x:c r="I32" s="2"/>
      <x:c r="J32" s="19">
        <x:f>('[1]GS PRI LRG NONIDR'!$S$36+'[1]GS PRI LRG IDR '!$S$36)/('[1]GS PRI LRG NONIDR'!$I$36+'[1]GS PRI LRG IDR '!$I$36)*'[2]PRIMARY  &gt; 10kW DLS'!$J$32</x:f>
        <x:v>2677238.3492893837</x:v>
      </x:c>
      <x:c r="K32" s="2"/>
      <x:c r="L32" s="2">
        <x:f>N32*'[3]Demand Loss Factor'!$G$54</x:f>
        <x:v>2709284.4990249225</x:v>
      </x:c>
      <x:c r="N32" s="19">
        <x:f>('[1]GS PRI LRG NONIDR'!$S$36+'[1]GS PRI LRG IDR '!$S$36)/('[1]GS PRI LRG NONIDR'!$I$36+'[1]GS PRI LRG IDR '!$I$36)*'[2]PRIMARY  &gt; 10kW DLS'!$N$32</x:f>
        <x:v>2664781.0643755551</x:v>
      </x:c>
      <x:c r="O32" s="2"/>
      <x:c r="P32" s="2">
        <x:f>R32*'[3]Demand Loss Factor'!$G$54</x:f>
        <x:v>2707520.5412738165</x:v>
      </x:c>
      <x:c r="R32" s="19">
        <x:f>('[1]GS PRI LRG NONIDR'!$S$36+'[1]GS PRI LRG IDR '!$S$36)/('[1]GS PRI LRG NONIDR'!$I$36+'[1]GS PRI LRG IDR '!$I$36)*'[2]PRIMARY  &gt; 10kW DLS'!$R$32</x:f>
        <x:v>2663046.0818681079</x:v>
      </x:c>
      <x:c r="S32" s="2"/>
      <x:c r="T32" s="2">
        <x:f>V32*'[3]Energy Loss Factor'!$G$54</x:f>
        <x:v>1842726010.82513</x:v>
      </x:c>
      <x:c r="V32" s="2">
        <x:f>'[1]GS PRI LRG NONIDR'!$S$36+'[1]GS PRI LRG IDR '!$S$36</x:f>
        <x:v>1820708634.8425007</x:v>
      </x:c>
      <x:c r="X32" s="12">
        <x:v>0.99534696456251825</x:v>
      </x:c>
      <x:c r="Y32" s="12"/>
      <x:c r="Z32" s="12">
        <x:v>0.93223100000000003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Factor'!$G$54</x:f>
        <x:v>3624468.4037519437</x:v>
      </x:c>
      <x:c r="E33" s="2"/>
      <x:c r="F33" s="19">
        <x:f>('[1]GS PRI LRG NONIDR'!$S$38+'[1]GS PRI LRG IDR '!$S$38)/('[1]GS PRI LRG NONIDR'!$I$38+'[1]GS PRI LRG IDR '!$I$38)*'[2]PRIMARY  &gt; 10kW DLS'!$F$33</x:f>
        <x:v>3564931.9125480396</x:v>
      </x:c>
      <x:c r="G33" s="2"/>
      <x:c r="H33" s="2">
        <x:f>J33*'[3]Demand Loss Factor'!$G$54</x:f>
        <x:v>2730900.9565502899</x:v>
      </x:c>
      <x:c r="I33" s="2"/>
      <x:c r="J33" s="19">
        <x:f>('[1]GS PRI LRG NONIDR'!$S$38+'[1]GS PRI LRG IDR '!$S$38)/('[1]GS PRI LRG NONIDR'!$I$38+'[1]GS PRI LRG IDR '!$I$38)*'[2]PRIMARY  &gt; 10kW DLS'!$J$33</x:f>
        <x:v>2686042.4441653886</x:v>
      </x:c>
      <x:c r="K33" s="2"/>
      <x:c r="L33" s="2">
        <x:f>N33*'[3]Demand Loss Factor'!$G$54</x:f>
        <x:v>2603822.7470061844</x:v>
      </x:c>
      <x:c r="N33" s="19">
        <x:f>('[1]GS PRI LRG NONIDR'!$S$38+'[1]GS PRI LRG IDR '!$S$38)/('[1]GS PRI LRG NONIDR'!$I$38+'[1]GS PRI LRG IDR '!$I$38)*'[2]PRIMARY  &gt; 10kW DLS'!$N$33</x:f>
        <x:v>2561051.6554129496</x:v>
      </x:c>
      <x:c r="O33" s="2"/>
      <x:c r="P33" s="2">
        <x:f>R33*'[3]Demand Loss Factor'!$G$54</x:f>
        <x:v>2603822.7470061844</x:v>
      </x:c>
      <x:c r="R33" s="19">
        <x:f>('[1]GS PRI LRG NONIDR'!$S$38+'[1]GS PRI LRG IDR '!$S$38)/('[1]GS PRI LRG NONIDR'!$I$38+'[1]GS PRI LRG IDR '!$I$38)*'[2]PRIMARY  &gt; 10kW DLS'!$R$33</x:f>
        <x:v>2561051.6554129496</x:v>
      </x:c>
      <x:c r="S33" s="2"/>
      <x:c r="T33" s="15">
        <x:f>V33*'[3]Energy Loss Factor'!$G$54</x:f>
        <x:v>1871612101.715795</x:v>
      </x:c>
      <x:c r="V33" s="15">
        <x:f>'[1]GS PRI LRG NONIDR'!$S$38+'[1]GS PRI LRG IDR '!$S$38</x:f>
        <x:v>1849249587.1069825</x:v>
      </x:c>
      <x:c r="X33" s="12">
        <x:v>0.95346656229355453</x:v>
      </x:c>
      <x:c r="Y33" s="12"/>
      <x:c r="Z33" s="12">
        <x:v>0.92813199999999996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22505806943.456161</x:v>
      </x:c>
      <x:c r="U34" s="14"/>
      <x:c r="V34" s="14">
        <x:f>+SUM(V22:V33)</x:f>
        <x:v>22236901631.241749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Z41"/>
  <x:sheetViews>
    <x:sheetView topLeftCell="A7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2" width="7.7109375" style="1" customWidth="1"/>
    <x:col min="3" max="3" width="5.2851562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4.28515625" style="2" customWidth="1"/>
    <x:col min="13" max="13" width="2.7109375" style="2" customWidth="1"/>
    <x:col min="14" max="14" width="15.140625" style="2" customWidth="1"/>
    <x:col min="15" max="15" width="5.7109375" style="1" customWidth="1"/>
    <x:col min="16" max="16" width="13.85546875" style="2" customWidth="1"/>
    <x:col min="17" max="17" width="2.7109375" style="2" customWidth="1"/>
    <x:col min="18" max="18" width="13.85546875" style="2" customWidth="1"/>
    <x:col min="19" max="19" width="4.140625" style="1" customWidth="1"/>
    <x:col min="20" max="20" width="20.140625" style="2" customWidth="1"/>
    <x:col min="21" max="21" width="2.7109375" style="2" customWidth="1"/>
    <x:col min="22" max="22" width="20.140625" style="2" customWidth="1"/>
    <x:col min="23" max="23" width="3.7109375" style="1" customWidth="1"/>
    <x:col min="24" max="24" width="9.85546875" style="1" customWidth="1"/>
    <x:col min="25" max="25" width="1.7109375" style="1" customWidth="1"/>
    <x:col min="26" max="26" width="9.71093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77</x:v>
      </x:c>
    </x:row>
    <x:row r="7" spans="1:26" ht="18.75" customHeight="1" x14ac:dyDescent="0.25">
      <x:c r="A7" s="6" t="s">
        <x:v>67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43</x:v>
      </x:c>
      <x:c r="J14" s="24"/>
    </x:row>
    <x:row r="15" spans="1:26" ht="18.75" customHeight="1" x14ac:dyDescent="0.25">
      <x:c r="A15" s="1" t="s">
        <x:v>33</x:v>
      </x:c>
      <x:c r="J15" s="25"/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R21" s="2" t="s">
        <x:v>5</x:v>
      </x:c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Factor'!$G$53</x:f>
        <x:v>1463133.1738088119</x:v>
      </x:c>
      <x:c r="E22" s="2"/>
      <x:c r="F22" s="2">
        <x:f>('[1]GS PRI LRG SUB'!$S$16/'[1]GS PRI LRG SUB'!$I$16)*'[2]PRIMARY  SUBSTATIONS'!$F$22</x:f>
        <x:v>1460067.0330394292</x:v>
      </x:c>
      <x:c r="G22" s="2"/>
      <x:c r="H22" s="2">
        <x:f>J22*'[3]Demand Loss Factor'!$G$53</x:f>
        <x:v>1241474.0075200857</x:v>
      </x:c>
      <x:c r="I22" s="2"/>
      <x:c r="J22" s="2">
        <x:f>('[1]GS PRI LRG SUB'!$S$16/'[1]GS PRI LRG SUB'!$I$16)*'[2]PRIMARY  SUBSTATIONS'!$J$22</x:f>
        <x:v>1238872.3755314697</x:v>
      </x:c>
      <x:c r="K22" s="2"/>
      <x:c r="L22" s="2">
        <x:f>N22*'[3]Demand Loss Factor'!$G$53</x:f>
        <x:v>1019076.9849888196</x:v>
      </x:c>
      <x:c r="N22" s="2">
        <x:f>('[1]GS PRI LRG SUB'!$S$16/'[1]GS PRI LRG SUB'!$I$16)*'[2]PRIMARY  SUBSTATIONS'!$N$22</x:f>
        <x:v>1016941.4080319525</x:v>
      </x:c>
      <x:c r="O22" s="2"/>
      <x:c r="P22" s="2">
        <x:f>R22*'[3]Demand Loss Factor'!$G$53</x:f>
        <x:v>729341.09979401319</x:v>
      </x:c>
      <x:c r="R22" s="2">
        <x:f>('[1]GS PRI LRG SUB'!$S$16/'[1]GS PRI LRG SUB'!$I$16)*'[2]PRIMARY  SUBSTATIONS'!$R$22</x:f>
        <x:v>727812.69313842256</x:v>
      </x:c>
      <x:c r="S22" s="2"/>
      <x:c r="T22" s="2">
        <x:f>V22*'[3]Energy Loss Factor'!$G$53</x:f>
        <x:v>826004477.16110671</x:v>
      </x:c>
      <x:c r="V22" s="2">
        <x:f>'[1]GS PRI LRG SUB'!$S$16</x:f>
        <x:v>822607109.79764247</x:v>
      </x:c>
      <x:c r="X22" s="12">
        <x:v>0.82086050840845481</x:v>
      </x:c>
      <x:c r="Y22" s="12"/>
      <x:c r="Z22" s="12">
        <x:v>0.92330000000000001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Factor'!$G$53</x:f>
        <x:v>1478765.9605037181</x:v>
      </x:c>
      <x:c r="E23" s="2"/>
      <x:c r="F23" s="2">
        <x:f>('[1]GS PRI LRG SUB'!$S$18/'[1]GS PRI LRG SUB'!$I$18)*'[2]PRIMARY  SUBSTATIONS'!$F$23</x:f>
        <x:v>1475667.0596783934</x:v>
      </x:c>
      <x:c r="G23" s="2"/>
      <x:c r="H23" s="2">
        <x:f>J23*'[3]Demand Loss Factor'!$G$53</x:f>
        <x:v>1292762.1114743971</x:v>
      </x:c>
      <x:c r="I23" s="2"/>
      <x:c r="J23" s="2">
        <x:f>('[1]GS PRI LRG SUB'!$S$18/'[1]GS PRI LRG SUB'!$I$18)*'[2]PRIMARY  SUBSTATIONS'!$J$23</x:f>
        <x:v>1290053.0001740316</x:v>
      </x:c>
      <x:c r="K23" s="2"/>
      <x:c r="L23" s="2">
        <x:f>N23*'[3]Demand Loss Factor'!$G$53</x:f>
        <x:v>1199641.241461159</x:v>
      </x:c>
      <x:c r="N23" s="2">
        <x:f>('[1]GS PRI LRG SUB'!$S$18/'[1]GS PRI LRG SUB'!$I$18)*'[2]PRIMARY  SUBSTATIONS'!$N$23</x:f>
        <x:v>1197127.2741853697</x:v>
      </x:c>
      <x:c r="O23" s="2"/>
      <x:c r="P23" s="2">
        <x:f>R23*'[3]Demand Loss Factor'!$G$53</x:f>
        <x:v>1199641.241461159</x:v>
      </x:c>
      <x:c r="R23" s="2">
        <x:f>('[1]GS PRI LRG SUB'!$S$18/'[1]GS PRI LRG SUB'!$I$18)*'[2]PRIMARY  SUBSTATIONS'!$R$23</x:f>
        <x:v>1197127.2741853697</x:v>
      </x:c>
      <x:c r="S23" s="2"/>
      <x:c r="T23" s="2">
        <x:f>V23*'[3]Energy Loss Factor'!$G$53</x:f>
        <x:v>746283214.03756917</x:v>
      </x:c>
      <x:c r="V23" s="2">
        <x:f>'[1]GS PRI LRG SUB'!$S$18</x:f>
        <x:v>743213741.28605783</x:v>
      </x:c>
      <x:c r="X23" s="12">
        <x:v>0.92796751298115199</x:v>
      </x:c>
      <x:c r="Y23" s="12"/>
      <x:c r="Z23" s="12">
        <x:v>0.93300000000000005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Factor'!$G$53</x:f>
        <x:v>1484282.1906949682</x:v>
      </x:c>
      <x:c r="E24" s="2"/>
      <x:c r="F24" s="2">
        <x:f>('[1]GS PRI LRG SUB'!$S$20/'[1]GS PRI LRG SUB'!$I$20)*'[2]PRIMARY  SUBSTATIONS'!$F$24</x:f>
        <x:v>1481171.7300618384</x:v>
      </x:c>
      <x:c r="G24" s="2"/>
      <x:c r="H24" s="2">
        <x:f>J24*'[3]Demand Loss Factor'!$G$53</x:f>
        <x:v>1239394.2151390172</x:v>
      </x:c>
      <x:c r="I24" s="2"/>
      <x:c r="J24" s="2">
        <x:f>('[1]GS PRI LRG SUB'!$S$20/'[1]GS PRI LRG SUB'!$I$20)*'[2]PRIMARY  SUBSTATIONS'!$J$24</x:f>
        <x:v>1236796.9415617376</x:v>
      </x:c>
      <x:c r="K24" s="2"/>
      <x:c r="L24" s="2">
        <x:f>N24*'[3]Demand Loss Factor'!$G$53</x:f>
        <x:v>1190513.8565135896</x:v>
      </x:c>
      <x:c r="N24" s="2">
        <x:f>('[1]GS PRI LRG SUB'!$S$20/'[1]GS PRI LRG SUB'!$I$20)*'[2]PRIMARY  SUBSTATIONS'!$N$24</x:f>
        <x:v>1188019.0165787742</x:v>
      </x:c>
      <x:c r="O24" s="2"/>
      <x:c r="P24" s="2">
        <x:f>R24*'[3]Demand Loss Factor'!$G$53</x:f>
        <x:v>1172109.7377464087</x:v>
      </x:c>
      <x:c r="R24" s="2">
        <x:f>('[1]GS PRI LRG SUB'!$S$20/'[1]GS PRI LRG SUB'!$I$20)*'[2]PRIMARY  SUBSTATIONS'!$R$24</x:f>
        <x:v>1169653.465468924</x:v>
      </x:c>
      <x:c r="S24" s="2"/>
      <x:c r="T24" s="2">
        <x:f>V24*'[3]Energy Loss Factor'!$G$53</x:f>
        <x:v>1257315628.980324</x:v>
      </x:c>
      <x:c r="V24" s="2">
        <x:f>'[1]GS PRI LRG SUB'!$S$20</x:f>
        <x:v>1252144273.1322877</x:v>
      </x:c>
      <x:c r="X24" s="12">
        <x:v>0.96056108861219347</x:v>
      </x:c>
      <x:c r="Y24" s="12"/>
      <x:c r="Z24" s="12">
        <x:v>0.93889999999999996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Factor'!$G$53</x:f>
        <x:v>1455014.1661461731</x:v>
      </x:c>
      <x:c r="E25" s="2"/>
      <x:c r="F25" s="2">
        <x:f>('[1]GS PRI LRG SUB'!$S$22/'[1]GS PRI LRG SUB'!$I$22)*'[2]PRIMARY  SUBSTATIONS'!$F$25</x:f>
        <x:v>1451965.0395630908</x:v>
      </x:c>
      <x:c r="G25" s="2"/>
      <x:c r="H25" s="2">
        <x:f>J25*'[3]Demand Loss Factor'!$G$53</x:f>
        <x:v>1218123.9799573731</x:v>
      </x:c>
      <x:c r="I25" s="2"/>
      <x:c r="J25" s="2">
        <x:f>('[1]GS PRI LRG SUB'!$S$22/'[1]GS PRI LRG SUB'!$I$22)*'[2]PRIMARY  SUBSTATIONS'!$J$25</x:f>
        <x:v>1215571.2802688086</x:v>
      </x:c>
      <x:c r="K25" s="2"/>
      <x:c r="L25" s="2">
        <x:f>N25*'[3]Demand Loss Factor'!$G$53</x:f>
        <x:v>1162139.3467438619</x:v>
      </x:c>
      <x:c r="N25" s="2">
        <x:f>('[1]GS PRI LRG SUB'!$S$22/'[1]GS PRI LRG SUB'!$I$22)*'[2]PRIMARY  SUBSTATIONS'!$N$25</x:f>
        <x:v>1159703.9684102004</x:v>
      </x:c>
      <x:c r="O25" s="2"/>
      <x:c r="P25" s="2">
        <x:f>R25*'[3]Demand Loss Factor'!$G$53</x:f>
        <x:v>1162139.3467438619</x:v>
      </x:c>
      <x:c r="R25" s="2">
        <x:f>('[1]GS PRI LRG SUB'!$S$22/'[1]GS PRI LRG SUB'!$I$22)*'[2]PRIMARY  SUBSTATIONS'!$R$25</x:f>
        <x:v>1159703.9684102004</x:v>
      </x:c>
      <x:c r="S25" s="2"/>
      <x:c r="T25" s="2">
        <x:f>V25*'[3]Energy Loss Factor'!$G$53</x:f>
        <x:v>842369202.21399188</x:v>
      </x:c>
      <x:c r="V25" s="2">
        <x:f>'[1]GS PRI LRG SUB'!$S$22</x:f>
        <x:v>838904526.51946652</x:v>
      </x:c>
      <x:c r="X25" s="12">
        <x:v>0.95404028314468414</x:v>
      </x:c>
      <x:c r="Y25" s="12"/>
      <x:c r="Z25" s="12">
        <x:v>0.9486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Factor'!$G$53</x:f>
        <x:v>1407423.7020310368</x:v>
      </x:c>
      <x:c r="E26" s="2"/>
      <x:c r="F26" s="2">
        <x:f>('[1]GS PRI LRG SUB'!$S$24/'[1]GS PRI LRG SUB'!$I$24)*'[2]PRIMARY  SUBSTATIONS'!$F$26</x:f>
        <x:v>1404474.305988461</x:v>
      </x:c>
      <x:c r="G26" s="2"/>
      <x:c r="H26" s="2">
        <x:f>J26*'[3]Demand Loss Factor'!$G$53</x:f>
        <x:v>1178415.485159846</x:v>
      </x:c>
      <x:c r="I26" s="2"/>
      <x:c r="J26" s="2">
        <x:f>('[1]GS PRI LRG SUB'!$S$24/'[1]GS PRI LRG SUB'!$I$24)*'[2]PRIMARY  SUBSTATIONS'!$J$26</x:f>
        <x:v>1175945.998562864</x:v>
      </x:c>
      <x:c r="K26" s="2"/>
      <x:c r="L26" s="2">
        <x:f>N26*'[3]Demand Loss Factor'!$G$53</x:f>
        <x:v>1109655.0168717408</x:v>
      </x:c>
      <x:c r="N26" s="2">
        <x:f>('[1]GS PRI LRG SUB'!$S$24/'[1]GS PRI LRG SUB'!$I$24)*'[2]PRIMARY  SUBSTATIONS'!$N$26</x:f>
        <x:v>1107329.6246599548</x:v>
      </x:c>
      <x:c r="O26" s="2"/>
      <x:c r="P26" s="2">
        <x:f>R26*'[3]Demand Loss Factor'!$G$53</x:f>
        <x:v>1060532.6375265834</x:v>
      </x:c>
      <x:c r="R26" s="2">
        <x:f>('[1]GS PRI LRG SUB'!$S$24/'[1]GS PRI LRG SUB'!$I$24)*'[2]PRIMARY  SUBSTATIONS'!$R$26</x:f>
        <x:v>1058310.1861356983</x:v>
      </x:c>
      <x:c r="S26" s="2"/>
      <x:c r="T26" s="2">
        <x:f>V26*'[3]Energy Loss Factor'!$G$53</x:f>
        <x:v>938194255.1815567</x:v>
      </x:c>
      <x:c r="V26" s="2">
        <x:f>'[1]GS PRI LRG SUB'!$S$24</x:f>
        <x:v>934335449.77399015</x:v>
      </x:c>
      <x:c r="X26" s="12">
        <x:v>0.94165006387473071</x:v>
      </x:c>
      <x:c r="Y26" s="12"/>
      <x:c r="Z26" s="12">
        <x:v>0.92589999999999995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Factor'!$G$53</x:f>
        <x:v>1487275.1435188323</x:v>
      </x:c>
      <x:c r="E27" s="2"/>
      <x:c r="F27" s="2">
        <x:f>('[1]GS PRI LRG SUB'!$S$26/'[1]GS PRI LRG SUB'!$I$26)*'[2]PRIMARY  SUBSTATIONS'!$F$27</x:f>
        <x:v>1484158.4108560346</x:v>
      </x:c>
      <x:c r="G27" s="2"/>
      <x:c r="H27" s="2">
        <x:f>J27*'[3]Demand Loss Factor'!$G$53</x:f>
        <x:v>1275612.2058445262</x:v>
      </x:c>
      <x:c r="I27" s="2"/>
      <x:c r="J27" s="2">
        <x:f>('[1]GS PRI LRG SUB'!$S$26/'[1]GS PRI LRG SUB'!$I$26)*'[2]PRIMARY  SUBSTATIONS'!$J$27</x:f>
        <x:v>1272939.033873392</x:v>
      </x:c>
      <x:c r="K27" s="2"/>
      <x:c r="L27" s="2">
        <x:f>N27*'[3]Demand Loss Factor'!$G$53</x:f>
        <x:v>1052804.9717005943</x:v>
      </x:c>
      <x:c r="N27" s="2">
        <x:f>('[1]GS PRI LRG SUB'!$S$26/'[1]GS PRI LRG SUB'!$I$26)*'[2]PRIMARY  SUBSTATIONS'!$N$27</x:f>
        <x:v>1050598.7144003536</x:v>
      </x:c>
      <x:c r="O27" s="2"/>
      <x:c r="P27" s="2">
        <x:f>R27*'[3]Demand Loss Factor'!$G$53</x:f>
        <x:v>1219731.2344592647</x:v>
      </x:c>
      <x:c r="Q27" s="14"/>
      <x:c r="R27" s="2">
        <x:f>('[1]GS PRI LRG SUB'!$S$26/'[1]GS PRI LRG SUB'!$I$26)*'[2]PRIMARY  SUBSTATIONS'!$R$27</x:f>
        <x:v>1217175.1666093851</x:v>
      </x:c>
      <x:c r="S27" s="2"/>
      <x:c r="T27" s="2">
        <x:f>V27*'[3]Energy Loss Factor'!$G$53</x:f>
        <x:v>843417878.58000779</x:v>
      </x:c>
      <x:c r="V27" s="2">
        <x:f>'[1]GS PRI LRG SUB'!$S$26</x:f>
        <x:v>839948889.66568851</x:v>
      </x:c>
      <x:c r="X27" s="12">
        <x:v>0.82533309643551034</x:v>
      </x:c>
      <x:c r="Y27" s="12">
        <x:v>0.92559100000000005</x:v>
      </x:c>
      <x:c r="Z27" s="12">
        <x:v>0.91339999999999999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Factor'!$G$53</x:f>
        <x:v>1467008.3793164217</x:v>
      </x:c>
      <x:c r="E28" s="2"/>
      <x:c r="F28" s="2">
        <x:f>('[1]GS PRI LRG SUB'!$S$28/'[1]GS PRI LRG SUB'!$I$28)*'[2]PRIMARY  SUBSTATIONS'!$F$28</x:f>
        <x:v>1463934.1176693162</x:v>
      </x:c>
      <x:c r="G28" s="2"/>
      <x:c r="H28" s="2">
        <x:f>J28*'[3]Demand Loss Factor'!$G$53</x:f>
        <x:v>1263313.2926533939</x:v>
      </x:c>
      <x:c r="I28" s="2"/>
      <x:c r="J28" s="2">
        <x:f>('[1]GS PRI LRG SUB'!$S$28/'[1]GS PRI LRG SUB'!$I$28)*'[2]PRIMARY  SUBSTATIONS'!$J$28</x:f>
        <x:v>1260665.8942754155</x:v>
      </x:c>
      <x:c r="K28" s="2"/>
      <x:c r="L28" s="2">
        <x:f>N28*'[3]Demand Loss Factor'!$G$53</x:f>
        <x:v>1202242.9736817919</x:v>
      </x:c>
      <x:c r="N28" s="2">
        <x:f>('[1]GS PRI LRG SUB'!$S$28/'[1]GS PRI LRG SUB'!$I$28)*'[2]PRIMARY  SUBSTATIONS'!$N$28</x:f>
        <x:v>1199723.5542179344</x:v>
      </x:c>
      <x:c r="O28" s="2"/>
      <x:c r="P28" s="2">
        <x:f>R28*'[3]Demand Loss Factor'!$G$53</x:f>
        <x:v>913148.98525399133</x:v>
      </x:c>
      <x:c r="R28" s="2">
        <x:f>('[1]GS PRI LRG SUB'!$S$28/'[1]GS PRI LRG SUB'!$I$28)*'[2]PRIMARY  SUBSTATIONS'!$R$28</x:f>
        <x:v>911235.39093303191</x:v>
      </x:c>
      <x:c r="S28" s="2"/>
      <x:c r="T28" s="2">
        <x:f>V28*'[3]Energy Loss Factor'!$G$53</x:f>
        <x:v>814020388.58075345</x:v>
      </x:c>
      <x:c r="V28" s="2">
        <x:f>'[1]GS PRI LRG SUB'!$S$28</x:f>
        <x:v>810672311.93247235</x:v>
      </x:c>
      <x:c r="X28" s="12">
        <x:v>0.95165861126709683</x:v>
      </x:c>
      <x:c r="Y28" s="12"/>
      <x:c r="Z28" s="12">
        <x:v>0.92500000000000004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Factor'!$G$53</x:f>
        <x:v>1444019.5454800648</x:v>
      </x:c>
      <x:c r="E29" s="2"/>
      <x:c r="F29" s="2">
        <x:f>('[1]GS PRI LRG SUB'!$S$30/'[1]GS PRI LRG SUB'!$I$30)*'[2]PRIMARY  SUBSTATIONS'!$F$29</x:f>
        <x:v>1440993.4592157118</x:v>
      </x:c>
      <x:c r="G29" s="2"/>
      <x:c r="H29" s="2">
        <x:f>J29*'[3]Demand Loss Factor'!$G$53</x:f>
        <x:v>1240931.1234971692</x:v>
      </x:c>
      <x:c r="I29" s="2"/>
      <x:c r="J29" s="2">
        <x:f>('[1]GS PRI LRG SUB'!$S$30/'[1]GS PRI LRG SUB'!$I$30)*'[2]PRIMARY  SUBSTATIONS'!$J$29</x:f>
        <x:v>1238330.6291758998</x:v>
      </x:c>
      <x:c r="K29" s="2"/>
      <x:c r="L29" s="2">
        <x:f>N29*'[3]Demand Loss Factor'!$G$53</x:f>
        <x:v>1025385.9066594522</x:v>
      </x:c>
      <x:c r="N29" s="2">
        <x:f>('[1]GS PRI LRG SUB'!$S$30/'[1]GS PRI LRG SUB'!$I$30)*'[2]PRIMARY  SUBSTATIONS'!$N$29</x:f>
        <x:v>1023237.1087311169</x:v>
      </x:c>
      <x:c r="O29" s="2"/>
      <x:c r="P29" s="2">
        <x:f>R29*'[3]Demand Loss Factor'!$G$53</x:f>
        <x:v>945147.57139744691</x:v>
      </x:c>
      <x:c r="R29" s="2">
        <x:f>('[1]GS PRI LRG SUB'!$S$30/'[1]GS PRI LRG SUB'!$I$30)*'[2]PRIMARY  SUBSTATIONS'!$R$29</x:f>
        <x:v>943166.92086363328</x:v>
      </x:c>
      <x:c r="S29" s="2"/>
      <x:c r="T29" s="2">
        <x:f>V29*'[3]Energy Loss Factor'!$G$53</x:f>
        <x:v>812117601.25935078</x:v>
      </x:c>
      <x:c r="V29" s="2">
        <x:f>'[1]GS PRI LRG SUB'!$S$30</x:f>
        <x:v>808777350.8005445</x:v>
      </x:c>
      <x:c r="X29" s="12">
        <x:v>0.82630364187315131</x:v>
      </x:c>
      <x:c r="Y29" s="12"/>
      <x:c r="Z29" s="12">
        <x:v>0.91210000000000002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Factor'!$G$53</x:f>
        <x:v>1424019.9304074473</x:v>
      </x:c>
      <x:c r="E30" s="2"/>
      <x:c r="F30" s="2">
        <x:f>('[1]GS PRI LRG SUB'!$S$32/'[1]GS PRI LRG SUB'!$I$32)*'[2]PRIMARY  SUBSTATIONS'!$F$30</x:f>
        <x:v>1421035.7553212726</x:v>
      </x:c>
      <x:c r="G30" s="2"/>
      <x:c r="H30" s="2">
        <x:f>J30*'[3]Demand Loss Factor'!$G$53</x:f>
        <x:v>1216577.2007640626</x:v>
      </x:c>
      <x:c r="I30" s="2"/>
      <x:c r="J30" s="2">
        <x:f>('[1]GS PRI LRG SUB'!$S$32/'[1]GS PRI LRG SUB'!$I$32)*'[2]PRIMARY  SUBSTATIONS'!$J$30</x:f>
        <x:v>1214027.7425048025</x:v>
      </x:c>
      <x:c r="K30" s="2"/>
      <x:c r="L30" s="2">
        <x:f>N30*'[3]Demand Loss Factor'!$G$53</x:f>
        <x:v>1045485.9199628868</x:v>
      </x:c>
      <x:c r="N30" s="2">
        <x:f>('[1]GS PRI LRG SUB'!$S$32/'[1]GS PRI LRG SUB'!$I$32)*'[2]PRIMARY  SUBSTATIONS'!$N$30</x:f>
        <x:v>1043295.0004619168</x:v>
      </x:c>
      <x:c r="O30" s="2"/>
      <x:c r="P30" s="2">
        <x:f>R30*'[3]Demand Loss Factor'!$G$53</x:f>
        <x:v>958290.21449846006</x:v>
      </x:c>
      <x:c r="R30" s="2">
        <x:f>('[1]GS PRI LRG SUB'!$S$32/'[1]GS PRI LRG SUB'!$I$32)*'[2]PRIMARY  SUBSTATIONS'!$R$30</x:f>
        <x:v>956282.02225173148</x:v>
      </x:c>
      <x:c r="S30" s="2"/>
      <x:c r="T30" s="2">
        <x:f>V30*'[3]Energy Loss Factor'!$G$53</x:f>
        <x:v>794529358.44060552</x:v>
      </x:c>
      <x:c r="V30" s="2">
        <x:f>'[1]GS PRI LRG SUB'!$S$32</x:f>
        <x:v>791261448.6576494</x:v>
      </x:c>
      <x:c r="X30" s="12">
        <x:v>0.85936668820217643</x:v>
      </x:c>
      <x:c r="Y30" s="12"/>
      <x:c r="Z30" s="12">
        <x:v>0.92020000000000002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Factor'!$G$53</x:f>
        <x:v>1451050.2541485634</x:v>
      </x:c>
      <x:c r="E31" s="2"/>
      <x:c r="F31" s="2">
        <x:f>('[1]GS PRI LRG SUB'!$S$34/'[1]GS PRI LRG SUB'!$I$34)*'[2]PRIMARY  SUBSTATIONS'!$F$31</x:f>
        <x:v>1448009.4343364569</x:v>
      </x:c>
      <x:c r="G31" s="2"/>
      <x:c r="H31" s="2">
        <x:f>J31*'[3]Demand Loss Factor'!$G$53</x:f>
        <x:v>1238556.324976482</x:v>
      </x:c>
      <x:c r="I31" s="2"/>
      <x:c r="J31" s="2">
        <x:f>('[1]GS PRI LRG SUB'!$S$34/'[1]GS PRI LRG SUB'!$I$34)*'[2]PRIMARY  SUBSTATIONS'!$J$31</x:f>
        <x:v>1235960.8072811915</x:v>
      </x:c>
      <x:c r="K31" s="2"/>
      <x:c r="L31" s="2">
        <x:f>N31*'[3]Demand Loss Factor'!$G$53</x:f>
        <x:v>1140887.905896056</x:v>
      </x:c>
      <x:c r="N31" s="2">
        <x:f>('[1]GS PRI LRG SUB'!$S$34/'[1]GS PRI LRG SUB'!$I$34)*'[2]PRIMARY  SUBSTATIONS'!$N$31</x:f>
        <x:v>1138497.062065718</x:v>
      </x:c>
      <x:c r="O31" s="2"/>
      <x:c r="P31" s="2">
        <x:f>R31*'[3]Demand Loss Factor'!$G$53</x:f>
        <x:v>1140887.905896056</x:v>
      </x:c>
      <x:c r="R31" s="2">
        <x:f>('[1]GS PRI LRG SUB'!$S$34/'[1]GS PRI LRG SUB'!$I$34)*'[2]PRIMARY  SUBSTATIONS'!$R$31</x:f>
        <x:v>1138497.062065718</x:v>
      </x:c>
      <x:c r="S31" s="2"/>
      <x:c r="T31" s="2">
        <x:f>V31*'[3]Energy Loss Factor'!$G$53</x:f>
        <x:v>783730640.49379635</x:v>
      </x:c>
      <x:c r="V31" s="2">
        <x:f>'[1]GS PRI LRG SUB'!$S$34</x:f>
        <x:v>780507145.98089528</x:v>
      </x:c>
      <x:c r="X31" s="12">
        <x:v>0.92114333671318449</x:v>
      </x:c>
      <x:c r="Y31" s="12"/>
      <x:c r="Z31" s="12">
        <x:v>0.93420000000000003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Factor'!$G$53</x:f>
        <x:v>1429401.390464921</x:v>
      </x:c>
      <x:c r="E32" s="2"/>
      <x:c r="F32" s="2">
        <x:f>('[1]GS PRI LRG SUB'!$S$36/'[1]GS PRI LRG SUB'!$I$36)*'[2]PRIMARY  SUBSTATIONS'!$F$32</x:f>
        <x:v>1426405.9379951314</x:v>
      </x:c>
      <x:c r="G32" s="2"/>
      <x:c r="H32" s="2">
        <x:f>J32*'[3]Demand Loss Factor'!$G$53</x:f>
        <x:v>1206497.4367485361</x:v>
      </x:c>
      <x:c r="I32" s="2"/>
      <x:c r="J32" s="2">
        <x:f>('[1]GS PRI LRG SUB'!$S$36/'[1]GS PRI LRG SUB'!$I$36)*'[2]PRIMARY  SUBSTATIONS'!$J$32</x:f>
        <x:v>1203969.1016351024</x:v>
      </x:c>
      <x:c r="K32" s="2"/>
      <x:c r="L32" s="2">
        <x:f>N32*'[3]Demand Loss Factor'!$G$53</x:f>
        <x:v>1164377.8291571329</x:v>
      </x:c>
      <x:c r="N32" s="2">
        <x:f>('[1]GS PRI LRG SUB'!$S$36/'[1]GS PRI LRG SUB'!$I$36)*'[2]PRIMARY  SUBSTATIONS'!$N$32</x:f>
        <x:v>1161937.7598614239</x:v>
      </x:c>
      <x:c r="O32" s="2"/>
      <x:c r="P32" s="2">
        <x:f>R32*'[3]Demand Loss Factor'!$G$53</x:f>
        <x:v>1151638.0094214866</x:v>
      </x:c>
      <x:c r="R32" s="2">
        <x:f>('[1]GS PRI LRG SUB'!$S$36/'[1]GS PRI LRG SUB'!$I$36)*'[2]PRIMARY  SUBSTATIONS'!$R$32</x:f>
        <x:v>1149224.6376823536</x:v>
      </x:c>
      <x:c r="S32" s="2"/>
      <x:c r="T32" s="2">
        <x:f>V32*'[3]Energy Loss Factor'!$G$53</x:f>
        <x:v>844264229.63356698</x:v>
      </x:c>
      <x:c r="V32" s="2">
        <x:f>'[1]GS PRI LRG SUB'!$S$36</x:f>
        <x:v>840791759.6661458</x:v>
      </x:c>
      <x:c r="X32" s="12">
        <x:v>0.9650893517810416</x:v>
      </x:c>
      <x:c r="Y32" s="12"/>
      <x:c r="Z32" s="12">
        <x:v>0.94159999999999999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Factor'!$G$53</x:f>
        <x:v>1371372.9440642262</x:v>
      </x:c>
      <x:c r="E33" s="2"/>
      <x:c r="F33" s="2">
        <x:f>('[1]GS PRI LRG SUB'!$S$38/'[1]GS PRI LRG SUB'!$I$38)*'[2]PRIMARY  SUBSTATIONS'!$F$33</x:f>
        <x:v>1368499.0959627046</x:v>
      </x:c>
      <x:c r="G33" s="2"/>
      <x:c r="H33" s="2">
        <x:f>J33*'[3]Demand Loss Factor'!$G$53</x:f>
        <x:v>1196100.7629852102</x:v>
      </x:c>
      <x:c r="I33" s="2"/>
      <x:c r="J33" s="2">
        <x:f>('[1]GS PRI LRG SUB'!$S$38/'[1]GS PRI LRG SUB'!$I$38)*'[2]PRIMARY  SUBSTATIONS'!$J$33</x:f>
        <x:v>1193594.21513343</x:v>
      </x:c>
      <x:c r="K33" s="2"/>
      <x:c r="L33" s="2">
        <x:f>N33*'[3]Demand Loss Factor'!$G$53</x:f>
        <x:v>1137933.6984922464</x:v>
      </x:c>
      <x:c r="N33" s="2">
        <x:f>('[1]GS PRI LRG SUB'!$S$38/'[1]GS PRI LRG SUB'!$I$38)*'[2]PRIMARY  SUBSTATIONS'!$N$33</x:f>
        <x:v>1135549.0454967034</x:v>
      </x:c>
      <x:c r="O33" s="2"/>
      <x:c r="P33" s="2">
        <x:f>R33*'[3]Demand Loss Factor'!$G$53</x:f>
        <x:v>1137933.6984922464</x:v>
      </x:c>
      <x:c r="R33" s="2">
        <x:f>('[1]GS PRI LRG SUB'!$S$38/'[1]GS PRI LRG SUB'!$I$38)*'[2]PRIMARY  SUBSTATIONS'!$R$33</x:f>
        <x:v>1135549.0454967034</x:v>
      </x:c>
      <x:c r="S33" s="2"/>
      <x:c r="T33" s="15">
        <x:f>V33*'[3]Energy Loss Factor'!$G$53</x:f>
        <x:v>846773128.17909014</x:v>
      </x:c>
      <x:c r="V33" s="15">
        <x:f>'[1]GS PRI LRG SUB'!$S$38</x:f>
        <x:v>843290339.07869518</x:v>
      </x:c>
      <x:c r="X33" s="12">
        <x:v>0.95136942781660705</x:v>
      </x:c>
      <x:c r="Y33" s="12"/>
      <x:c r="Z33" s="12">
        <x:v>0.94689999999999996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10349020002.74172</x:v>
      </x:c>
      <x:c r="U34" s="14"/>
      <x:c r="V34" s="14">
        <x:f>+SUM(V22:V33)</x:f>
        <x:v>10306454346.291536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Z41"/>
  <x:sheetViews>
    <x:sheetView topLeftCell="A7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4.570312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4.28515625" style="2" customWidth="1"/>
    <x:col min="13" max="13" width="2.7109375" style="2" customWidth="1"/>
    <x:col min="14" max="14" width="13.28515625" style="2" customWidth="1"/>
    <x:col min="15" max="15" width="4.140625" style="1" customWidth="1"/>
    <x:col min="16" max="16" width="13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20.5703125" style="2" customWidth="1"/>
    <x:col min="21" max="21" width="2.7109375" style="2" customWidth="1"/>
    <x:col min="22" max="22" width="20.5703125" style="2" customWidth="1"/>
    <x:col min="23" max="23" width="3.7109375" style="1" customWidth="1"/>
    <x:col min="24" max="24" width="9.85546875" style="1" customWidth="1"/>
    <x:col min="25" max="25" width="1.7109375" style="1" customWidth="1"/>
    <x:col min="26" max="26" width="9.7109375" style="12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78</x:v>
      </x:c>
    </x:row>
    <x:row r="7" spans="1:26" ht="18.75" customHeight="1" x14ac:dyDescent="0.25">
      <x:c r="A7" s="6" t="s">
        <x:v>69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1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1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1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1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1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1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17"/>
    </x:row>
    <x:row r="14" spans="1:26" ht="18.75" customHeight="1" x14ac:dyDescent="0.25">
      <x:c r="A14" s="1" t="s">
        <x:v>34</x:v>
      </x:c>
      <x:c r="H14" s="25"/>
      <x:c r="J14" s="25"/>
    </x:row>
    <x:row r="15" spans="1:26" ht="18.75" customHeight="1" x14ac:dyDescent="0.25">
      <x:c r="A15" s="1" t="s">
        <x:v>35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12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  <x:c r="Z18" s="12"/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8" t="s">
        <x:v>63</x:v>
      </x:c>
    </x:row>
    <x:row r="21" spans="1:26" ht="18.75" customHeight="1" x14ac:dyDescent="0.25">
      <x:c r="M21" s="1"/>
      <x:c r="X21" s="12"/>
      <x:c r="Y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F22*1</x:f>
        <x:v>5470720.4388714731</x:v>
      </x:c>
      <x:c r="E22" s="2"/>
      <x:c r="F22" s="2">
        <x:f>([1]TRANSMISSION!$S$16/[1]TRANSMISSION!$I$16)*[2]TRANSMISSION!$F$22</x:f>
        <x:v>5470720.4388714731</x:v>
      </x:c>
      <x:c r="H22" s="2">
        <x:f>J22*1</x:f>
        <x:v>4209762.7586206896</x:v>
      </x:c>
      <x:c r="J22" s="2">
        <x:f>([1]TRANSMISSION!$S$16/[1]TRANSMISSION!$I$16)*[2]TRANSMISSION!$J$22</x:f>
        <x:v>4209762.7586206896</x:v>
      </x:c>
      <x:c r="L22" s="2">
        <x:f>N22*1</x:f>
        <x:v>3256920.7523510973</x:v>
      </x:c>
      <x:c r="N22" s="2">
        <x:f>([1]TRANSMISSION!$S$16/[1]TRANSMISSION!$I$16)*[2]TRANSMISSION!$N$22</x:f>
        <x:v>3256920.7523510973</x:v>
      </x:c>
      <x:c r="P22" s="2">
        <x:f>R22*1</x:f>
        <x:v>2514537.6802507839</x:v>
      </x:c>
      <x:c r="R22" s="2">
        <x:f>([1]TRANSMISSION!$S$16/[1]TRANSMISSION!$I$16)*[2]TRANSMISSION!$R$22</x:f>
        <x:v>2514537.6802507839</x:v>
      </x:c>
      <x:c r="S22" s="2"/>
      <x:c r="T22" s="2">
        <x:f>V22*1</x:f>
        <x:v>2883682340.6269593</x:v>
      </x:c>
      <x:c r="V22" s="2">
        <x:f>[1]TRANSMISSION!$S$16</x:f>
        <x:v>2883682340.6269593</x:v>
      </x:c>
      <x:c r="X22" s="12">
        <x:v>0.77365897773731385</x:v>
      </x:c>
      <x:c r="Y22" s="12"/>
      <x:c r="Z22" s="12">
        <x:v>0.8972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 t="shared" ref="D23:D33" si="0">F23*1</x:f>
        <x:v>5347100.3125</x:v>
      </x:c>
      <x:c r="E23" s="2"/>
      <x:c r="F23" s="2">
        <x:f>([1]TRANSMISSION!$S$18/[1]TRANSMISSION!$I$18)*[2]TRANSMISSION!$F$23</x:f>
        <x:v>5347100.3125</x:v>
      </x:c>
      <x:c r="G23" s="2"/>
      <x:c r="H23" s="2">
        <x:f t="shared" ref="H23:H33" si="1">J23*1</x:f>
        <x:v>4210422.9375</x:v>
      </x:c>
      <x:c r="I23" s="2"/>
      <x:c r="J23" s="2">
        <x:f>([1]TRANSMISSION!$S$18/[1]TRANSMISSION!$I$18)*[2]TRANSMISSION!$J$23</x:f>
        <x:v>4210422.9375</x:v>
      </x:c>
      <x:c r="K23" s="2"/>
      <x:c r="L23" s="2">
        <x:f t="shared" ref="L23:L33" si="2">N23*1</x:f>
        <x:v>3871810.5625</x:v>
      </x:c>
      <x:c r="N23" s="2">
        <x:f>([1]TRANSMISSION!$S$18/[1]TRANSMISSION!$I$18)*[2]TRANSMISSION!$N$23</x:f>
        <x:v>3871810.5625</x:v>
      </x:c>
      <x:c r="O23" s="2"/>
      <x:c r="P23" s="2">
        <x:f t="shared" ref="P23:P33" si="3">R23*1</x:f>
        <x:v>3871810.5625</x:v>
      </x:c>
      <x:c r="R23" s="2">
        <x:f>([1]TRANSMISSION!$S$18/[1]TRANSMISSION!$I$18)*[2]TRANSMISSION!$R$23</x:f>
        <x:v>3871810.5625</x:v>
      </x:c>
      <x:c r="S23" s="2"/>
      <x:c r="T23" s="2">
        <x:f t="shared" ref="T23:T33" si="4">V23*1</x:f>
        <x:v>2730361843.1875</x:v>
      </x:c>
      <x:c r="V23" s="2">
        <x:f>[1]TRANSMISSION!$S$18</x:f>
        <x:v>2730361843.1875</x:v>
      </x:c>
      <x:c r="X23" s="12">
        <x:v>0.91957758637875553</x:v>
      </x:c>
      <x:c r="Y23" s="12"/>
      <x:c r="Z23" s="12">
        <x:v>0.91690000000000005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 t="shared" si="0"/>
        <x:v>5586791.3043478262</x:v>
      </x:c>
      <x:c r="E24" s="2"/>
      <x:c r="F24" s="2">
        <x:f>([1]TRANSMISSION!$S$20/[1]TRANSMISSION!$I$20)*[2]TRANSMISSION!$F$24</x:f>
        <x:v>5586791.3043478262</x:v>
      </x:c>
      <x:c r="G24" s="2"/>
      <x:c r="H24" s="2">
        <x:f t="shared" si="1"/>
        <x:v>4415905.2173913047</x:v>
      </x:c>
      <x:c r="I24" s="2"/>
      <x:c r="J24" s="2">
        <x:f>([1]TRANSMISSION!$S$20/[1]TRANSMISSION!$I$20)*[2]TRANSMISSION!$J$24</x:f>
        <x:v>4415905.2173913047</x:v>
      </x:c>
      <x:c r="K24" s="2"/>
      <x:c r="L24" s="2">
        <x:f t="shared" si="2"/>
        <x:v>3879455.962732919</x:v>
      </x:c>
      <x:c r="N24" s="2">
        <x:f>([1]TRANSMISSION!$S$20/[1]TRANSMISSION!$I$20)*[2]TRANSMISSION!$N$24</x:f>
        <x:v>3879455.962732919</x:v>
      </x:c>
      <x:c r="O24" s="2"/>
      <x:c r="P24" s="2">
        <x:f t="shared" si="3"/>
        <x:v>3753841.801242236</x:v>
      </x:c>
      <x:c r="R24" s="2">
        <x:f>([1]TRANSMISSION!$S$20/[1]TRANSMISSION!$I$20)*[2]TRANSMISSION!$R$24</x:f>
        <x:v>3753841.801242236</x:v>
      </x:c>
      <x:c r="S24" s="2"/>
      <x:c r="T24" s="2">
        <x:f t="shared" si="4"/>
        <x:v>2813057486.8322983</x:v>
      </x:c>
      <x:c r="V24" s="2">
        <x:f>[1]TRANSMISSION!$S$20</x:f>
        <x:v>2813057486.8322983</x:v>
      </x:c>
      <x:c r="X24" s="12">
        <x:v>0.87851884760894106</x:v>
      </x:c>
      <x:c r="Y24" s="12"/>
      <x:c r="Z24" s="12">
        <x:v>0.90339999999999998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 t="shared" si="0"/>
        <x:v>5825480.8074534163</x:v>
      </x:c>
      <x:c r="E25" s="2"/>
      <x:c r="F25" s="2">
        <x:f>([1]TRANSMISSION!$S$22/[1]TRANSMISSION!$I$22)*[2]TRANSMISSION!$F$25</x:f>
        <x:v>5825480.8074534163</x:v>
      </x:c>
      <x:c r="G25" s="2"/>
      <x:c r="H25" s="2">
        <x:f t="shared" si="1"/>
        <x:v>4456475.0310559003</x:v>
      </x:c>
      <x:c r="I25" s="2"/>
      <x:c r="J25" s="2">
        <x:f>([1]TRANSMISSION!$S$22/[1]TRANSMISSION!$I$22)*[2]TRANSMISSION!$J$25</x:f>
        <x:v>4456475.0310559003</x:v>
      </x:c>
      <x:c r="K25" s="2"/>
      <x:c r="L25" s="2">
        <x:f t="shared" si="2"/>
        <x:v>4272896.149068323</x:v>
      </x:c>
      <x:c r="N25" s="2">
        <x:f>([1]TRANSMISSION!$S$22/[1]TRANSMISSION!$I$22)*[2]TRANSMISSION!$N$25</x:f>
        <x:v>4272896.149068323</x:v>
      </x:c>
      <x:c r="O25" s="2"/>
      <x:c r="P25" s="2">
        <x:f t="shared" si="3"/>
        <x:v>4272896.149068323</x:v>
      </x:c>
      <x:c r="R25" s="2">
        <x:f>([1]TRANSMISSION!$S$22/[1]TRANSMISSION!$I$22)*[2]TRANSMISSION!$R$25</x:f>
        <x:v>4272896.149068323</x:v>
      </x:c>
      <x:c r="S25" s="2"/>
      <x:c r="T25" s="2">
        <x:f t="shared" si="4"/>
        <x:v>2938892357.9503107</x:v>
      </x:c>
      <x:c r="V25" s="2">
        <x:f>[1]TRANSMISSION!$S$22</x:f>
        <x:v>2938892357.9503107</x:v>
      </x:c>
      <x:c r="X25" s="12">
        <x:v>0.95880625815060805</x:v>
      </x:c>
      <x:c r="Y25" s="12"/>
      <x:c r="Z25" s="12">
        <x:v>0.90769999999999995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 t="shared" si="0"/>
        <x:v>5884967.6543209879</x:v>
      </x:c>
      <x:c r="E26" s="2"/>
      <x:c r="F26" s="2">
        <x:f>([1]TRANSMISSION!$S$24/[1]TRANSMISSION!$I$24)*[2]TRANSMISSION!$F$26</x:f>
        <x:v>5884967.6543209879</x:v>
      </x:c>
      <x:c r="G26" s="2"/>
      <x:c r="H26" s="2">
        <x:f t="shared" si="1"/>
        <x:v>4378300.6790123461</x:v>
      </x:c>
      <x:c r="I26" s="2"/>
      <x:c r="J26" s="2">
        <x:f>([1]TRANSMISSION!$S$24/[1]TRANSMISSION!$I$24)*[2]TRANSMISSION!$J$26</x:f>
        <x:v>4378300.6790123461</x:v>
      </x:c>
      <x:c r="K26" s="2"/>
      <x:c r="L26" s="2">
        <x:f t="shared" si="2"/>
        <x:v>3968375.0617283951</x:v>
      </x:c>
      <x:c r="N26" s="2">
        <x:f>([1]TRANSMISSION!$S$24/[1]TRANSMISSION!$I$24)*[2]TRANSMISSION!$N$26</x:f>
        <x:v>3968375.0617283951</x:v>
      </x:c>
      <x:c r="O26" s="2"/>
      <x:c r="P26" s="2">
        <x:f t="shared" si="3"/>
        <x:v>3959671.4814814813</x:v>
      </x:c>
      <x:c r="R26" s="2">
        <x:f>([1]TRANSMISSION!$S$24/[1]TRANSMISSION!$I$24)*[2]TRANSMISSION!$R$26</x:f>
        <x:v>3959671.4814814813</x:v>
      </x:c>
      <x:c r="S26" s="2"/>
      <x:c r="T26" s="2">
        <x:f t="shared" si="4"/>
        <x:v>2879778435.185185</x:v>
      </x:c>
      <x:c r="V26" s="2">
        <x:f>[1]TRANSMISSION!$S$24</x:f>
        <x:v>2879778435.185185</x:v>
      </x:c>
      <x:c r="X26" s="12">
        <x:v>0.9063733518236986</x:v>
      </x:c>
      <x:c r="Y26" s="12"/>
      <x:c r="Z26" s="12">
        <x:v>0.91810000000000003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 t="shared" si="0"/>
        <x:v>5663388.3435582817</x:v>
      </x:c>
      <x:c r="E27" s="2"/>
      <x:c r="F27" s="2">
        <x:f>([1]TRANSMISSION!$S$26/[1]TRANSMISSION!$I$26)*[2]TRANSMISSION!$F$27</x:f>
        <x:v>5663388.3435582817</x:v>
      </x:c>
      <x:c r="G27" s="2"/>
      <x:c r="H27" s="2">
        <x:f t="shared" si="1"/>
        <x:v>4472397.5460122703</x:v>
      </x:c>
      <x:c r="I27" s="2"/>
      <x:c r="J27" s="2">
        <x:f>([1]TRANSMISSION!$S$26/[1]TRANSMISSION!$I$26)*[2]TRANSMISSION!$J$27</x:f>
        <x:v>4472397.5460122703</x:v>
      </x:c>
      <x:c r="K27" s="2"/>
      <x:c r="L27" s="2">
        <x:f t="shared" si="2"/>
        <x:v>4329315.9509202456</x:v>
      </x:c>
      <x:c r="N27" s="2">
        <x:f>([1]TRANSMISSION!$S$26/[1]TRANSMISSION!$I$26)*[2]TRANSMISSION!$N$27</x:f>
        <x:v>4329315.9509202456</x:v>
      </x:c>
      <x:c r="O27" s="2"/>
      <x:c r="P27" s="2">
        <x:f t="shared" si="3"/>
        <x:v>4080575.7055214723</x:v>
      </x:c>
      <x:c r="Q27" s="14"/>
      <x:c r="R27" s="2">
        <x:f>([1]TRANSMISSION!$S$26/[1]TRANSMISSION!$I$26)*[2]TRANSMISSION!$R$27</x:f>
        <x:v>4080575.7055214723</x:v>
      </x:c>
      <x:c r="S27" s="2"/>
      <x:c r="T27" s="2">
        <x:f t="shared" si="4"/>
        <x:v>3043680780.1226993</x:v>
      </x:c>
      <x:c r="V27" s="2">
        <x:f>[1]TRANSMISSION!$S$26</x:f>
        <x:v>3043680780.1226993</x:v>
      </x:c>
      <x:c r="X27" s="12">
        <x:v>0.96800785403802025</x:v>
      </x:c>
      <x:c r="Y27" s="12"/>
      <x:c r="Z27" s="12">
        <x:v>0.89770000000000005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 t="shared" si="0"/>
        <x:v>5620150.09174312</x:v>
      </x:c>
      <x:c r="E28" s="2"/>
      <x:c r="F28" s="2">
        <x:f>([1]TRANSMISSION!$S$28/[1]TRANSMISSION!$I$28)*[2]TRANSMISSION!$F$28</x:f>
        <x:v>5620150.09174312</x:v>
      </x:c>
      <x:c r="G28" s="2"/>
      <x:c r="H28" s="2">
        <x:f t="shared" si="1"/>
        <x:v>4592163.7308868505</x:v>
      </x:c>
      <x:c r="I28" s="2"/>
      <x:c r="J28" s="2">
        <x:f>([1]TRANSMISSION!$S$28/[1]TRANSMISSION!$I$28)*[2]TRANSMISSION!$J$28</x:f>
        <x:v>4592163.7308868505</x:v>
      </x:c>
      <x:c r="K28" s="2"/>
      <x:c r="L28" s="2">
        <x:f t="shared" si="2"/>
        <x:v>4268518.0428134566</x:v>
      </x:c>
      <x:c r="N28" s="2">
        <x:f>([1]TRANSMISSION!$S$28/[1]TRANSMISSION!$I$28)*[2]TRANSMISSION!$N$28</x:f>
        <x:v>4268518.0428134566</x:v>
      </x:c>
      <x:c r="O28" s="2"/>
      <x:c r="P28" s="2">
        <x:f t="shared" si="3"/>
        <x:v>3257736.5137614682</x:v>
      </x:c>
      <x:c r="R28" s="2">
        <x:f>([1]TRANSMISSION!$S$28/[1]TRANSMISSION!$I$28)*[2]TRANSMISSION!$R$28</x:f>
        <x:v>3257736.5137614682</x:v>
      </x:c>
      <x:c r="S28" s="2"/>
      <x:c r="T28" s="2">
        <x:f t="shared" si="4"/>
        <x:v>2808721066.0550461</x:v>
      </x:c>
      <x:c r="V28" s="2">
        <x:f>[1]TRANSMISSION!$S$28</x:f>
        <x:v>2808721066.0550461</x:v>
      </x:c>
      <x:c r="X28" s="12">
        <x:v>0.92952218016606059</x:v>
      </x:c>
      <x:c r="Y28" s="12"/>
      <x:c r="Z28" s="12">
        <x:v>0.91810000000000003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 t="shared" si="0"/>
        <x:v>5730746.3636363633</x:v>
      </x:c>
      <x:c r="E29" s="2"/>
      <x:c r="F29" s="2">
        <x:f>([1]TRANSMISSION!$S$30/[1]TRANSMISSION!$I$30)*[2]TRANSMISSION!$F$29</x:f>
        <x:v>5730746.3636363633</x:v>
      </x:c>
      <x:c r="G29" s="2"/>
      <x:c r="H29" s="2">
        <x:f t="shared" si="1"/>
        <x:v>4537057.8787878789</x:v>
      </x:c>
      <x:c r="I29" s="2"/>
      <x:c r="J29" s="2">
        <x:f>([1]TRANSMISSION!$S$30/[1]TRANSMISSION!$I$30)*[2]TRANSMISSION!$J$29</x:f>
        <x:v>4537057.8787878789</x:v>
      </x:c>
      <x:c r="K29" s="2"/>
      <x:c r="L29" s="2">
        <x:f t="shared" si="2"/>
        <x:v>4199678.9696969697</x:v>
      </x:c>
      <x:c r="N29" s="2">
        <x:f>([1]TRANSMISSION!$S$30/[1]TRANSMISSION!$I$30)*[2]TRANSMISSION!$N$29</x:f>
        <x:v>4199678.9696969697</x:v>
      </x:c>
      <x:c r="O29" s="2"/>
      <x:c r="P29" s="2">
        <x:f t="shared" si="3"/>
        <x:v>3203729.333333333</x:v>
      </x:c>
      <x:c r="R29" s="2">
        <x:f>([1]TRANSMISSION!$S$30/[1]TRANSMISSION!$I$30)*[2]TRANSMISSION!$R$29</x:f>
        <x:v>3203729.333333333</x:v>
      </x:c>
      <x:c r="S29" s="2"/>
      <x:c r="T29" s="2">
        <x:f t="shared" si="4"/>
        <x:v>3032895311.2727275</x:v>
      </x:c>
      <x:c r="V29" s="2">
        <x:f>[1]TRANSMISSION!$S$30</x:f>
        <x:v>3032895311.2727275</x:v>
      </x:c>
      <x:c r="X29" s="12">
        <x:v>0.92563927591308504</x:v>
      </x:c>
      <x:c r="Y29" s="12"/>
      <x:c r="Z29" s="12">
        <x:v>0.90010000000000001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 t="shared" si="0"/>
        <x:v>5624944.6385542164</x:v>
      </x:c>
      <x:c r="E30" s="2"/>
      <x:c r="F30" s="2">
        <x:f>([1]TRANSMISSION!$S$32/[1]TRANSMISSION!$I$32)*[2]TRANSMISSION!$F$30</x:f>
        <x:v>5624944.6385542164</x:v>
      </x:c>
      <x:c r="G30" s="2"/>
      <x:c r="H30" s="2">
        <x:f t="shared" si="1"/>
        <x:v>4547874.8192771077</x:v>
      </x:c>
      <x:c r="I30" s="2"/>
      <x:c r="J30" s="2">
        <x:f>([1]TRANSMISSION!$S$32/[1]TRANSMISSION!$I$32)*[2]TRANSMISSION!$J$30</x:f>
        <x:v>4547874.8192771077</x:v>
      </x:c>
      <x:c r="K30" s="2"/>
      <x:c r="L30" s="2">
        <x:f t="shared" si="2"/>
        <x:v>4130135.6626506019</x:v>
      </x:c>
      <x:c r="N30" s="2">
        <x:f>([1]TRANSMISSION!$S$32/[1]TRANSMISSION!$I$32)*[2]TRANSMISSION!$N$30</x:f>
        <x:v>4130135.6626506019</x:v>
      </x:c>
      <x:c r="O30" s="2"/>
      <x:c r="P30" s="2">
        <x:f t="shared" si="3"/>
        <x:v>3311565.1807228909</x:v>
      </x:c>
      <x:c r="R30" s="2">
        <x:f>([1]TRANSMISSION!$S$32/[1]TRANSMISSION!$I$32)*[2]TRANSMISSION!$R$30</x:f>
        <x:v>3311565.1807228909</x:v>
      </x:c>
      <x:c r="S30" s="2"/>
      <x:c r="T30" s="2">
        <x:f t="shared" si="4"/>
        <x:v>2863733449.5180721</x:v>
      </x:c>
      <x:c r="V30" s="2">
        <x:f>[1]TRANSMISSION!$S$32</x:f>
        <x:v>2863733449.5180721</x:v>
      </x:c>
      <x:c r="X30" s="12">
        <x:v>0.90814629398860491</x:v>
      </x:c>
      <x:c r="Y30" s="12"/>
      <x:c r="Z30" s="12">
        <x:v>0.9325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 t="shared" si="0"/>
        <x:v>5823161.5662650596</x:v>
      </x:c>
      <x:c r="E31" s="2"/>
      <x:c r="F31" s="2">
        <x:f>([1]TRANSMISSION!$S$34/[1]TRANSMISSION!$I$34)*[2]TRANSMISSION!$F$31</x:f>
        <x:v>5823161.5662650596</x:v>
      </x:c>
      <x:c r="G31" s="2"/>
      <x:c r="H31" s="2">
        <x:f t="shared" si="1"/>
        <x:v>4624161.8072289154</x:v>
      </x:c>
      <x:c r="I31" s="2"/>
      <x:c r="J31" s="2">
        <x:f>([1]TRANSMISSION!$S$34/[1]TRANSMISSION!$I$34)*[2]TRANSMISSION!$J$31</x:f>
        <x:v>4624161.8072289154</x:v>
      </x:c>
      <x:c r="K31" s="2"/>
      <x:c r="L31" s="2">
        <x:f t="shared" si="2"/>
        <x:v>4087029.3975903611</x:v>
      </x:c>
      <x:c r="N31" s="2">
        <x:f>([1]TRANSMISSION!$S$34/[1]TRANSMISSION!$I$34)*[2]TRANSMISSION!$N$31</x:f>
        <x:v>4087029.3975903611</x:v>
      </x:c>
      <x:c r="O31" s="2"/>
      <x:c r="P31" s="2">
        <x:f t="shared" si="3"/>
        <x:v>4087029.3975903611</x:v>
      </x:c>
      <x:c r="R31" s="2">
        <x:f>([1]TRANSMISSION!$S$34/[1]TRANSMISSION!$I$34)*[2]TRANSMISSION!$R$31</x:f>
        <x:v>4087029.3975903611</x:v>
      </x:c>
      <x:c r="S31" s="2"/>
      <x:c r="T31" s="2">
        <x:f t="shared" si="4"/>
        <x:v>3147017789.3975902</x:v>
      </x:c>
      <x:c r="V31" s="2">
        <x:f>[1]TRANSMISSION!$S$34</x:f>
        <x:v>3147017789.3975902</x:v>
      </x:c>
      <x:c r="X31" s="12">
        <x:v>0.88384221140383556</x:v>
      </x:c>
      <x:c r="Y31" s="12"/>
      <x:c r="Z31" s="12">
        <x:v>0.91879999999999995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 t="shared" si="0"/>
        <x:v>6032147.6646706592</x:v>
      </x:c>
      <x:c r="E32" s="2"/>
      <x:c r="F32" s="2">
        <x:f>([1]TRANSMISSION!$S$36/[1]TRANSMISSION!$I$36)*[2]TRANSMISSION!$F$32</x:f>
        <x:v>6032147.6646706592</x:v>
      </x:c>
      <x:c r="G32" s="2"/>
      <x:c r="H32" s="2">
        <x:f t="shared" si="1"/>
        <x:v>4728173.3532934133</x:v>
      </x:c>
      <x:c r="I32" s="2"/>
      <x:c r="J32" s="2">
        <x:f>([1]TRANSMISSION!$S$36/[1]TRANSMISSION!$I$36)*[2]TRANSMISSION!$J$32</x:f>
        <x:v>4728173.3532934133</x:v>
      </x:c>
      <x:c r="K32" s="2"/>
      <x:c r="L32" s="2">
        <x:f t="shared" si="2"/>
        <x:v>4464180.6586826351</x:v>
      </x:c>
      <x:c r="N32" s="2">
        <x:f>([1]TRANSMISSION!$S$36/[1]TRANSMISSION!$I$36)*[2]TRANSMISSION!$N$32</x:f>
        <x:v>4464180.6586826351</x:v>
      </x:c>
      <x:c r="O32" s="2"/>
      <x:c r="P32" s="2">
        <x:f t="shared" si="3"/>
        <x:v>4572399.4011976048</x:v>
      </x:c>
      <x:c r="R32" s="2">
        <x:f>([1]TRANSMISSION!$S$36/[1]TRANSMISSION!$I$36)*[2]TRANSMISSION!$R$32</x:f>
        <x:v>4572399.4011976048</x:v>
      </x:c>
      <x:c r="S32" s="2"/>
      <x:c r="T32" s="2">
        <x:f t="shared" si="4"/>
        <x:v>3104211436.8263474</x:v>
      </x:c>
      <x:c r="V32" s="2">
        <x:f>[1]TRANSMISSION!$S$36</x:f>
        <x:v>3104211436.8263474</x:v>
      </x:c>
      <x:c r="X32" s="12">
        <x:v>0.94416602884771683</x:v>
      </x:c>
      <x:c r="Y32" s="12"/>
      <x:c r="Z32" s="12">
        <x:v>0.91479999999999995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 t="shared" si="0"/>
        <x:v>5915090</x:v>
      </x:c>
      <x:c r="E33" s="2"/>
      <x:c r="F33" s="2">
        <x:f>([1]TRANSMISSION!$S$38/[1]TRANSMISSION!$I$38)*[2]TRANSMISSION!$F$33</x:f>
        <x:v>5915090</x:v>
      </x:c>
      <x:c r="G33" s="2"/>
      <x:c r="H33" s="2">
        <x:f t="shared" si="1"/>
        <x:v>4667054</x:v>
      </x:c>
      <x:c r="I33" s="2"/>
      <x:c r="J33" s="2">
        <x:f>([1]TRANSMISSION!$S$38/[1]TRANSMISSION!$I$38)*[2]TRANSMISSION!$J$33</x:f>
        <x:v>4667054</x:v>
      </x:c>
      <x:c r="K33" s="2"/>
      <x:c r="L33" s="2">
        <x:f t="shared" si="2"/>
        <x:v>4262765</x:v>
      </x:c>
      <x:c r="N33" s="2">
        <x:f>([1]TRANSMISSION!$S$38/[1]TRANSMISSION!$I$38)*[2]TRANSMISSION!$N$33</x:f>
        <x:v>4262765</x:v>
      </x:c>
      <x:c r="O33" s="2"/>
      <x:c r="P33" s="2">
        <x:f t="shared" si="3"/>
        <x:v>4262765</x:v>
      </x:c>
      <x:c r="R33" s="2">
        <x:f>([1]TRANSMISSION!$S$38/[1]TRANSMISSION!$I$38)*[2]TRANSMISSION!$R$33</x:f>
        <x:v>4262765</x:v>
      </x:c>
      <x:c r="S33" s="2"/>
      <x:c r="T33" s="15">
        <x:f t="shared" si="4"/>
        <x:v>3190347604</x:v>
      </x:c>
      <x:c r="V33" s="15">
        <x:f>[1]TRANSMISSION!$S$38</x:f>
        <x:v>3190347604</x:v>
      </x:c>
      <x:c r="X33" s="12">
        <x:v>0.91337383282901807</x:v>
      </x:c>
      <x:c r="Y33" s="12"/>
      <x:c r="Z33" s="12">
        <x:v>0.93110000000000004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35436379900.974739</x:v>
      </x:c>
      <x:c r="U34" s="14"/>
      <x:c r="V34" s="14">
        <x:f>+SUM(V22:V33)</x:f>
        <x:v>35436379900.974739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Z40"/>
  <x:sheetViews>
    <x:sheetView topLeftCell="A6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2.710937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2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17.7109375" style="2" customWidth="1"/>
    <x:col min="21" max="21" width="2.7109375" style="2" customWidth="1"/>
    <x:col min="22" max="22" width="17.7109375" style="2" customWidth="1"/>
    <x:col min="23" max="23" width="3.7109375" style="1" customWidth="1"/>
    <x:col min="24" max="24" width="9.85546875" style="1" customWidth="1"/>
    <x:col min="25" max="25" width="1.7109375" style="1" customWidth="1"/>
    <x:col min="26" max="26" width="10.2851562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79</x:v>
      </x:c>
    </x:row>
    <x:row r="3" spans="1:26" ht="18.75" customHeight="1" x14ac:dyDescent="0.3">
      <x:c r="D3" s="16"/>
    </x:row>
    <x:row r="7" spans="1:26" ht="18.75" customHeight="1" x14ac:dyDescent="0.25">
      <x:c r="A7" s="6" t="s">
        <x:v>68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36</x:v>
      </x:c>
      <x:c r="T14" s="24"/>
    </x:row>
    <x:row r="15" spans="1:26" ht="18.75" customHeight="1" x14ac:dyDescent="0.25">
      <x:c r="A15" s="1" t="s">
        <x:v>37</x:v>
      </x:c>
      <x:c r="T15" s="24"/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Factor'!$G$55</x:f>
        <x:v>90934.292990564922</x:v>
      </x:c>
      <x:c r="E22" s="2"/>
      <x:c r="F22" s="2">
        <x:v>87681.625</x:v>
      </x:c>
      <x:c r="G22" s="2"/>
      <x:c r="H22" s="2">
        <x:f>J22*'[3]Demand Loss Factor'!$G$55</x:f>
        <x:v>90934.292990564922</x:v>
      </x:c>
      <x:c r="I22" s="2"/>
      <x:c r="J22" s="2">
        <x:v>87681.625</x:v>
      </x:c>
      <x:c r="K22" s="2"/>
      <x:c r="L22" s="2">
        <x:f>N22*'[3]Demand Loss Factor'!$G$55</x:f>
        <x:v>90934.292990564922</x:v>
      </x:c>
      <x:c r="N22" s="2">
        <x:v>87681.625</x:v>
      </x:c>
      <x:c r="O22" s="2"/>
      <x:c r="P22" s="2">
        <x:f>R22*'[3]Demand Loss Factor'!$G$55</x:f>
        <x:v>0</x:v>
      </x:c>
      <x:c r="R22" s="2">
        <x:v>0</x:v>
      </x:c>
      <x:c r="S22" s="2"/>
      <x:c r="T22" s="2">
        <x:f>V22*'[3]Energy Loss Factor'!$G$55</x:f>
        <x:v>30377454.422961034</x:v>
      </x:c>
      <x:c r="V22" s="2">
        <x:f>'[1]SL - UNMETERED'!$S$16+'[1]SL - METERED NON CO'!$S$16+'[1]SL - METERED CO OWNED'!$S$16+'[1]OUTDOOR LIGHTING'!$S$16</x:f>
        <x:v>29350835.662795201</x:v>
      </x:c>
      <x:c r="X22" s="12">
        <x:v>1</x:v>
      </x:c>
      <x:c r="Y22" s="12"/>
      <x:c r="Z22" s="12">
        <x:v>0.45537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Factor'!$G$55</x:f>
        <x:v>90934.292990564922</x:v>
      </x:c>
      <x:c r="E23" s="2"/>
      <x:c r="F23" s="2">
        <x:v>87681.625</x:v>
      </x:c>
      <x:c r="G23" s="2"/>
      <x:c r="H23" s="2">
        <x:f>J23*'[3]Demand Loss Factor'!$G$55</x:f>
        <x:v>90934.292990564922</x:v>
      </x:c>
      <x:c r="I23" s="2"/>
      <x:c r="J23" s="2">
        <x:v>87681.625</x:v>
      </x:c>
      <x:c r="K23" s="2"/>
      <x:c r="L23" s="2">
        <x:f>N23*'[3]Demand Loss Factor'!$G$55</x:f>
        <x:v>90934.292990564922</x:v>
      </x:c>
      <x:c r="N23" s="2">
        <x:v>87681.625</x:v>
      </x:c>
      <x:c r="O23" s="2"/>
      <x:c r="P23" s="2">
        <x:f>R23*'[3]Demand Loss Factor'!$G$55</x:f>
        <x:v>90934.292990564922</x:v>
      </x:c>
      <x:c r="R23" s="2">
        <x:v>87681.625</x:v>
      </x:c>
      <x:c r="S23" s="2"/>
      <x:c r="T23" s="2">
        <x:f>V23*'[3]Energy Loss Factor'!$G$55</x:f>
        <x:v>30320031.8439571</x:v>
      </x:c>
      <x:c r="V23" s="2">
        <x:f>'[1]SL - UNMETERED'!$S$18+'[1]SL - METERED NON CO'!$S$18+'[1]SL - METERED CO OWNED'!$S$18+'[1]OUTDOOR LIGHTING'!$S$18</x:f>
        <x:v>29295353.703832753</x:v>
      </x:c>
      <x:c r="X23" s="12">
        <x:v>1</x:v>
      </x:c>
      <x:c r="Y23" s="12"/>
      <x:c r="Z23" s="12">
        <x:v>0.45537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Factor'!$G$55</x:f>
        <x:v>90934.292990564922</x:v>
      </x:c>
      <x:c r="E24" s="2"/>
      <x:c r="F24" s="2">
        <x:v>87681.625</x:v>
      </x:c>
      <x:c r="G24" s="2"/>
      <x:c r="H24" s="2">
        <x:f>J24*'[3]Demand Loss Factor'!$G$55</x:f>
        <x:v>90934.292990564922</x:v>
      </x:c>
      <x:c r="I24" s="2"/>
      <x:c r="J24" s="2">
        <x:v>87681.625</x:v>
      </x:c>
      <x:c r="K24" s="2"/>
      <x:c r="L24" s="2">
        <x:f>N24*'[3]Demand Loss Factor'!$G$55</x:f>
        <x:v>0</x:v>
      </x:c>
      <x:c r="N24" s="2">
        <x:v>0</x:v>
      </x:c>
      <x:c r="O24" s="2"/>
      <x:c r="P24" s="2">
        <x:f>R24*'[3]Demand Loss Factor'!$G$55</x:f>
        <x:v>0</x:v>
      </x:c>
      <x:c r="R24" s="2">
        <x:v>0</x:v>
      </x:c>
      <x:c r="S24" s="2"/>
      <x:c r="T24" s="2">
        <x:f>V24*'[3]Energy Loss Factor'!$G$55</x:f>
        <x:v>30301023.199911989</x:v>
      </x:c>
      <x:c r="V24" s="2">
        <x:f>'[1]SL - UNMETERED'!$S$20+'[1]SL - METERED NON CO'!$S$20+'[1]SL - METERED CO OWNED'!$S$20+'[1]OUTDOOR LIGHTING'!$S$20</x:f>
        <x:v>29276987.464852609</x:v>
      </x:c>
      <x:c r="X24" s="12">
        <x:v>0</x:v>
      </x:c>
      <x:c r="Y24" s="12"/>
      <x:c r="Z24" s="12">
        <x:v>0.45537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Factor'!$G$55</x:f>
        <x:v>90934.292990564922</x:v>
      </x:c>
      <x:c r="E25" s="2"/>
      <x:c r="F25" s="2">
        <x:v>87681.625</x:v>
      </x:c>
      <x:c r="G25" s="2"/>
      <x:c r="H25" s="2">
        <x:f>J25*'[3]Demand Loss Factor'!$G$55</x:f>
        <x:v>90934.292990564922</x:v>
      </x:c>
      <x:c r="I25" s="2"/>
      <x:c r="J25" s="2">
        <x:v>87681.625</x:v>
      </x:c>
      <x:c r="K25" s="2"/>
      <x:c r="L25" s="2">
        <x:f>N25*'[3]Demand Loss Factor'!$G$55</x:f>
        <x:v>0</x:v>
      </x:c>
      <x:c r="N25" s="2">
        <x:v>0</x:v>
      </x:c>
      <x:c r="O25" s="2"/>
      <x:c r="P25" s="2">
        <x:f>R25*'[3]Demand Loss Factor'!$G$55</x:f>
        <x:v>0</x:v>
      </x:c>
      <x:c r="R25" s="2">
        <x:v>0</x:v>
      </x:c>
      <x:c r="S25" s="2"/>
      <x:c r="T25" s="2">
        <x:f>V25*'[3]Energy Loss Factor'!$G$55</x:f>
        <x:v>30277553.743691251</x:v>
      </x:c>
      <x:c r="V25" s="2">
        <x:f>'[1]SL - UNMETERED'!$S$22+'[1]SL - METERED NON CO'!$S$22+'[1]SL - METERED CO OWNED'!$S$22+'[1]OUTDOOR LIGHTING'!$S$22</x:f>
        <x:v>29254311.168707483</x:v>
      </x:c>
      <x:c r="X25" s="12">
        <x:v>0</x:v>
      </x:c>
      <x:c r="Y25" s="12"/>
      <x:c r="Z25" s="12">
        <x:v>0.45537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Factor'!$G$55</x:f>
        <x:v>90934.292990564922</x:v>
      </x:c>
      <x:c r="E26" s="2"/>
      <x:c r="F26" s="2">
        <x:v>87681.625</x:v>
      </x:c>
      <x:c r="G26" s="2"/>
      <x:c r="H26" s="2">
        <x:f>J26*'[3]Demand Loss Factor'!$G$55</x:f>
        <x:v>90934.292990564922</x:v>
      </x:c>
      <x:c r="I26" s="2"/>
      <x:c r="J26" s="2">
        <x:v>87681.625</x:v>
      </x:c>
      <x:c r="K26" s="2"/>
      <x:c r="L26" s="2">
        <x:f>N26*'[3]Demand Loss Factor'!$G$55</x:f>
        <x:v>0</x:v>
      </x:c>
      <x:c r="N26" s="2">
        <x:v>0</x:v>
      </x:c>
      <x:c r="O26" s="2"/>
      <x:c r="P26" s="2">
        <x:f>R26*'[3]Demand Loss Factor'!$G$55</x:f>
        <x:v>0</x:v>
      </x:c>
      <x:c r="R26" s="2">
        <x:v>0</x:v>
      </x:c>
      <x:c r="S26" s="2"/>
      <x:c r="T26" s="2">
        <x:f>V26*'[3]Energy Loss Factor'!$G$55</x:f>
        <x:v>30215574.397780105</x:v>
      </x:c>
      <x:c r="V26" s="2">
        <x:f>'[1]SL - UNMETERED'!$S$24+'[1]SL - METERED NON CO'!$S$24+'[1]SL - METERED CO OWNED'!$S$24+'[1]OUTDOOR LIGHTING'!$S$24</x:f>
        <x:v>29194426.440678708</x:v>
      </x:c>
      <x:c r="X26" s="12">
        <x:v>0</x:v>
      </x:c>
      <x:c r="Y26" s="12"/>
      <x:c r="Z26" s="12">
        <x:v>0.45537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Factor'!$G$55</x:f>
        <x:v>90934.292990564922</x:v>
      </x:c>
      <x:c r="E27" s="2"/>
      <x:c r="F27" s="2">
        <x:v>87681.625</x:v>
      </x:c>
      <x:c r="G27" s="2"/>
      <x:c r="H27" s="2">
        <x:f>J27*'[3]Demand Loss Factor'!$G$55</x:f>
        <x:v>90934.292990564922</x:v>
      </x:c>
      <x:c r="I27" s="2"/>
      <x:c r="J27" s="2">
        <x:v>87681.625</x:v>
      </x:c>
      <x:c r="K27" s="2"/>
      <x:c r="L27" s="2">
        <x:f>N27*'[3]Demand Loss Factor'!$G$55</x:f>
        <x:v>0</x:v>
      </x:c>
      <x:c r="N27" s="2">
        <x:v>0</x:v>
      </x:c>
      <x:c r="O27" s="2"/>
      <x:c r="P27" s="2">
        <x:f>R27*'[3]Demand Loss Factor'!$G$55</x:f>
        <x:v>0</x:v>
      </x:c>
      <x:c r="Q27" s="14"/>
      <x:c r="R27" s="2">
        <x:v>0</x:v>
      </x:c>
      <x:c r="S27" s="2"/>
      <x:c r="T27" s="2">
        <x:f>V27*'[3]Energy Loss Factor'!$G$55</x:f>
        <x:v>30179978.69870916</x:v>
      </x:c>
      <x:c r="V27" s="2">
        <x:f>'[1]SL - UNMETERED'!$S$26+'[1]SL - METERED NON CO'!$S$26+'[1]SL - METERED CO OWNED'!$S$26+'[1]OUTDOOR LIGHTING'!$S$26</x:f>
        <x:v>29160033.713125344</x:v>
      </x:c>
      <x:c r="X27" s="12">
        <x:v>0</x:v>
      </x:c>
      <x:c r="Y27" s="12"/>
      <x:c r="Z27" s="12">
        <x:v>0.45537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Factor'!$G$55</x:f>
        <x:v>90934.292990564922</x:v>
      </x:c>
      <x:c r="E28" s="2"/>
      <x:c r="F28" s="2">
        <x:v>87681.625</x:v>
      </x:c>
      <x:c r="G28" s="2"/>
      <x:c r="H28" s="2">
        <x:f>J28*'[3]Demand Loss Factor'!$G$55</x:f>
        <x:v>90934.292990564922</x:v>
      </x:c>
      <x:c r="I28" s="2"/>
      <x:c r="J28" s="2">
        <x:v>87681.625</x:v>
      </x:c>
      <x:c r="K28" s="2"/>
      <x:c r="L28" s="2">
        <x:f>N28*'[3]Demand Loss Factor'!$G$55</x:f>
        <x:v>0</x:v>
      </x:c>
      <x:c r="N28" s="2">
        <x:v>0</x:v>
      </x:c>
      <x:c r="O28" s="2"/>
      <x:c r="P28" s="2">
        <x:f>R28*'[3]Demand Loss Factor'!$G$55</x:f>
        <x:v>0</x:v>
      </x:c>
      <x:c r="R28" s="2">
        <x:v>0</x:v>
      </x:c>
      <x:c r="S28" s="2"/>
      <x:c r="T28" s="2">
        <x:f>V28*'[3]Energy Loss Factor'!$G$55</x:f>
        <x:v>30140836.935062397</x:v>
      </x:c>
      <x:c r="V28" s="2">
        <x:f>'[1]SL - UNMETERED'!$S$28+'[1]SL - METERED NON CO'!$S$28+'[1]SL - METERED CO OWNED'!$S$28+'[1]OUTDOOR LIGHTING'!$S$28</x:f>
        <x:v>29122214.761729609</x:v>
      </x:c>
      <x:c r="X28" s="12">
        <x:v>0</x:v>
      </x:c>
      <x:c r="Y28" s="12"/>
      <x:c r="Z28" s="12">
        <x:v>0.45537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Factor'!$G$55</x:f>
        <x:v>90934.292990564922</x:v>
      </x:c>
      <x:c r="E29" s="2"/>
      <x:c r="F29" s="2">
        <x:v>87681.625</x:v>
      </x:c>
      <x:c r="G29" s="2"/>
      <x:c r="H29" s="2">
        <x:f>J29*'[3]Demand Loss Factor'!$G$55</x:f>
        <x:v>90934.292990564922</x:v>
      </x:c>
      <x:c r="I29" s="2"/>
      <x:c r="J29" s="2">
        <x:v>87681.625</x:v>
      </x:c>
      <x:c r="K29" s="2"/>
      <x:c r="L29" s="2">
        <x:f>N29*'[3]Demand Loss Factor'!$G$55</x:f>
        <x:v>0</x:v>
      </x:c>
      <x:c r="N29" s="2">
        <x:v>0</x:v>
      </x:c>
      <x:c r="O29" s="2"/>
      <x:c r="P29" s="2">
        <x:f>R29*'[3]Demand Loss Factor'!$G$55</x:f>
        <x:v>0</x:v>
      </x:c>
      <x:c r="R29" s="2">
        <x:v>0</x:v>
      </x:c>
      <x:c r="S29" s="2"/>
      <x:c r="T29" s="2">
        <x:f>V29*'[3]Energy Loss Factor'!$G$55</x:f>
        <x:v>30131545.647296976</x:v>
      </x:c>
      <x:c r="V29" s="2">
        <x:f>'[1]SL - UNMETERED'!$S$30+'[1]SL - METERED NON CO'!$S$30+'[1]SL - METERED CO OWNED'!$S$30+'[1]OUTDOOR LIGHTING'!$S$30</x:f>
        <x:v>29113237.476914972</x:v>
      </x:c>
      <x:c r="X29" s="12">
        <x:v>0</x:v>
      </x:c>
      <x:c r="Y29" s="12"/>
      <x:c r="Z29" s="12">
        <x:v>0.45537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Factor'!$G$55</x:f>
        <x:v>90934.292990564922</x:v>
      </x:c>
      <x:c r="E30" s="2"/>
      <x:c r="F30" s="2">
        <x:v>87681.625</x:v>
      </x:c>
      <x:c r="G30" s="2"/>
      <x:c r="H30" s="2">
        <x:f>J30*'[3]Demand Loss Factor'!$G$55</x:f>
        <x:v>90934.292990564922</x:v>
      </x:c>
      <x:c r="I30" s="2"/>
      <x:c r="J30" s="2">
        <x:v>87681.625</x:v>
      </x:c>
      <x:c r="K30" s="2"/>
      <x:c r="L30" s="2">
        <x:f>N30*'[3]Demand Loss Factor'!$G$55</x:f>
        <x:v>0</x:v>
      </x:c>
      <x:c r="N30" s="2">
        <x:v>0</x:v>
      </x:c>
      <x:c r="O30" s="2"/>
      <x:c r="P30" s="2">
        <x:f>R30*'[3]Demand Loss Factor'!$G$55</x:f>
        <x:v>0</x:v>
      </x:c>
      <x:c r="R30" s="2">
        <x:v>0</x:v>
      </x:c>
      <x:c r="S30" s="2"/>
      <x:c r="T30" s="2">
        <x:f>V30*'[3]Energy Loss Factor'!$G$55</x:f>
        <x:v>30188260.48615763</x:v>
      </x:c>
      <x:c r="V30" s="2">
        <x:f>'[1]SL - UNMETERED'!$S$32+'[1]SL - METERED NON CO'!$S$32+'[1]SL - METERED CO OWNED'!$S$32+'[1]OUTDOOR LIGHTING'!$S$32</x:f>
        <x:v>29168035.614107884</x:v>
      </x:c>
      <x:c r="X30" s="12">
        <x:v>0</x:v>
      </x:c>
      <x:c r="Y30" s="12"/>
      <x:c r="Z30" s="12">
        <x:v>0.45537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Factor'!$G$55</x:f>
        <x:v>90934.292990564922</x:v>
      </x:c>
      <x:c r="E31" s="2"/>
      <x:c r="F31" s="2">
        <x:v>87681.625</x:v>
      </x:c>
      <x:c r="G31" s="2"/>
      <x:c r="H31" s="2">
        <x:f>J31*'[3]Demand Loss Factor'!$G$55</x:f>
        <x:v>90934.292990564922</x:v>
      </x:c>
      <x:c r="I31" s="2"/>
      <x:c r="J31" s="2">
        <x:v>87681.625</x:v>
      </x:c>
      <x:c r="K31" s="2"/>
      <x:c r="L31" s="2">
        <x:f>N31*'[3]Demand Loss Factor'!$G$55</x:f>
        <x:v>0</x:v>
      </x:c>
      <x:c r="N31" s="2">
        <x:v>0</x:v>
      </x:c>
      <x:c r="O31" s="2"/>
      <x:c r="P31" s="2">
        <x:f>R31*'[3]Demand Loss Factor'!$G$55</x:f>
        <x:v>0</x:v>
      </x:c>
      <x:c r="R31" s="2">
        <x:v>0</x:v>
      </x:c>
      <x:c r="S31" s="2"/>
      <x:c r="T31" s="2">
        <x:f>V31*'[3]Energy Loss Factor'!$G$55</x:f>
        <x:v>30225073.901219998</x:v>
      </x:c>
      <x:c r="V31" s="2">
        <x:f>'[1]SL - UNMETERED'!$S$34+'[1]SL - METERED NON CO'!$S$34+'[1]SL - METERED CO OWNED'!$S$34+'[1]OUTDOOR LIGHTING'!$S$34</x:f>
        <x:v>29203604.904432133</x:v>
      </x:c>
      <x:c r="X31" s="12">
        <x:v>0</x:v>
      </x:c>
      <x:c r="Y31" s="12"/>
      <x:c r="Z31" s="12">
        <x:v>0.45537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Factor'!$G$55</x:f>
        <x:v>90934.292990564922</x:v>
      </x:c>
      <x:c r="E32" s="2"/>
      <x:c r="F32" s="2">
        <x:v>87681.625</x:v>
      </x:c>
      <x:c r="G32" s="2"/>
      <x:c r="H32" s="2">
        <x:f>J32*'[3]Demand Loss Factor'!$G$55</x:f>
        <x:v>90934.292990564922</x:v>
      </x:c>
      <x:c r="I32" s="2"/>
      <x:c r="J32" s="2">
        <x:v>87681.625</x:v>
      </x:c>
      <x:c r="K32" s="2"/>
      <x:c r="L32" s="2">
        <x:f>N32*'[3]Demand Loss Factor'!$G$55</x:f>
        <x:v>0</x:v>
      </x:c>
      <x:c r="N32" s="2">
        <x:v>0</x:v>
      </x:c>
      <x:c r="O32" s="2"/>
      <x:c r="P32" s="2">
        <x:f>R32*'[3]Demand Loss Factor'!$G$55</x:f>
        <x:v>0</x:v>
      </x:c>
      <x:c r="R32" s="2">
        <x:v>0</x:v>
      </x:c>
      <x:c r="S32" s="2"/>
      <x:c r="T32" s="2">
        <x:f>V32*'[3]Energy Loss Factor'!$G$55</x:f>
        <x:v>30293849.042868048</x:v>
      </x:c>
      <x:c r="V32" s="2">
        <x:f>'[1]SL - UNMETERED'!$S$36+'[1]SL - METERED NON CO'!$S$36+'[1]SL - METERED CO OWNED'!$S$36+'[1]OUTDOOR LIGHTING'!$S$36</x:f>
        <x:v>29270055.761442441</x:v>
      </x:c>
      <x:c r="X32" s="12">
        <x:v>0</x:v>
      </x:c>
      <x:c r="Y32" s="12"/>
      <x:c r="Z32" s="12">
        <x:v>0.45537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Factor'!$G$55</x:f>
        <x:v>90934.292990564922</x:v>
      </x:c>
      <x:c r="E33" s="2"/>
      <x:c r="F33" s="2">
        <x:v>87681.625</x:v>
      </x:c>
      <x:c r="G33" s="2"/>
      <x:c r="H33" s="2">
        <x:f>J33*'[3]Demand Loss Factor'!$G$55</x:f>
        <x:v>90934.292990564922</x:v>
      </x:c>
      <x:c r="I33" s="2"/>
      <x:c r="J33" s="2">
        <x:v>87681.625</x:v>
      </x:c>
      <x:c r="K33" s="2"/>
      <x:c r="L33" s="2">
        <x:v>0</x:v>
      </x:c>
      <x:c r="N33" s="2">
        <x:v>0</x:v>
      </x:c>
      <x:c r="O33" s="2"/>
      <x:c r="P33" s="2">
        <x:f>R33*'[3]Demand Loss Factor'!$G$55</x:f>
        <x:v>0</x:v>
      </x:c>
      <x:c r="R33" s="2">
        <x:v>0</x:v>
      </x:c>
      <x:c r="S33" s="2"/>
      <x:c r="T33" s="15">
        <x:f>V33*'[3]Energy Loss Factor'!$G$55</x:f>
        <x:v>30340140.728268661</x:v>
      </x:c>
      <x:c r="V33" s="15">
        <x:f>'[1]SL - UNMETERED'!$S$38+'[1]SL - METERED NON CO'!$S$38+'[1]SL - METERED CO OWNED'!$S$38+'[1]OUTDOOR LIGHTING'!$S$38</x:f>
        <x:v>29314783</x:v>
      </x:c>
      <x:c r="X33" s="12">
        <x:v>0</x:v>
      </x:c>
      <x:c r="Y33" s="12"/>
      <x:c r="Z33" s="12">
        <x:v>0.45537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14">
        <x:f>+SUM(T22:T33)</x:f>
        <x:v>362991323.0478844</x:v>
      </x:c>
      <x:c r="U34" s="14"/>
      <x:c r="V34" s="14">
        <x:f>+SUM(V22:V33)</x:f>
        <x:v>350723879.6726191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BF1298-516B-4100-A4AD-32F4DCB28ED7}" mc:Ignorable="x14ac xr xr2 xr3">
  <x:dimension ref="A1:Z41"/>
  <x:sheetViews>
    <x:sheetView topLeftCell="A12" zoomScale="75" zoomScaleNormal="75" workbookViewId="0">
      <x:selection activeCell="V34" sqref="V34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2.710937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2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17.7109375" style="2" customWidth="1"/>
    <x:col min="21" max="21" width="2.7109375" style="2" customWidth="1"/>
    <x:col min="22" max="22" width="17.7109375" style="2" customWidth="1"/>
    <x:col min="23" max="23" width="3.7109375" style="1" customWidth="1"/>
    <x:col min="24" max="24" width="9.7109375" style="1" customWidth="1"/>
    <x:col min="25" max="25" width="1.7109375" style="1" customWidth="1"/>
    <x:col min="26" max="26" width="9.71093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80</x:v>
      </x:c>
    </x:row>
    <x:row r="7" spans="1:26" ht="18.75" customHeight="1" x14ac:dyDescent="0.25">
      <x:c r="A7" s="6" t="s">
        <x:v>67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47</x:v>
      </x:c>
    </x:row>
    <x:row r="15" spans="1:26" ht="18.75" customHeight="1" x14ac:dyDescent="0.25">
      <x:c r="A15" s="1" t="s">
        <x:v>41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Factor'!$G$53</x:f>
        <x:v>105693.38024256394</x:v>
      </x:c>
      <x:c r="E22" s="2"/>
      <x:c r="F22" s="2">
        <x:f>('[1]WHOLESALE-SUB'!$S$16/'[1]WHOLESALE-SUB'!$I$16)*'[2]WHOLESALE SUB '!$F$22</x:f>
        <x:v>105471.88927508626</x:v>
      </x:c>
      <x:c r="G22" s="2"/>
      <x:c r="H22" s="2">
        <x:f>J22*'[3]Demand Loss Factor'!$G$53</x:f>
        <x:v>89360.767768842663</x:v>
      </x:c>
      <x:c r="I22" s="2"/>
      <x:c r="J22" s="2">
        <x:f>('[1]WHOLESALE-SUB'!$S$16/'[1]WHOLESALE-SUB'!$I$16)*'[2]WHOLESALE SUB '!$J$22</x:f>
        <x:v>89173.503411678146</x:v>
      </x:c>
      <x:c r="K22" s="2"/>
      <x:c r="L22" s="2">
        <x:f>N22*'[3]Demand Loss Factor'!$G$53</x:f>
        <x:v>84419.644346894318</x:v>
      </x:c>
      <x:c r="N22" s="2">
        <x:f>('[1]WHOLESALE-SUB'!$S$16/'[1]WHOLESALE-SUB'!$I$16)*'[2]WHOLESALE SUB '!$N$22</x:f>
        <x:v>84242.73460422545</x:v>
      </x:c>
      <x:c r="O22" s="2"/>
      <x:c r="P22" s="2">
        <x:f>R22*'[3]Demand Loss Factor'!$G$53</x:f>
        <x:v>87739.126519041529</x:v>
      </x:c>
      <x:c r="R22" s="2">
        <x:f>('[1]WHOLESALE-SUB'!$S$16/'[1]WHOLESALE-SUB'!$I$16)*'[2]WHOLESALE SUB '!$R$22</x:f>
        <x:v>87555.260472050228</x:v>
      </x:c>
      <x:c r="S22" s="2"/>
      <x:c r="T22" s="2">
        <x:f>V22*'[3]Energy Loss Factor'!$G$53</x:f>
        <x:v>32953353.580079999</x:v>
      </x:c>
      <x:c r="V22" s="2">
        <x:f>'[1]WHOLESALE-SUB'!$S$16</x:f>
        <x:v>32817816</x:v>
      </x:c>
      <x:c r="X22" s="12">
        <x:v>0.94470589784176895</x:v>
      </x:c>
      <x:c r="Y22" s="12"/>
      <x:c r="Z22" s="12">
        <x:v>0.49469999999999997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Factor'!$G$53</x:f>
        <x:v>86276.976080255015</x:v>
      </x:c>
      <x:c r="E23" s="2"/>
      <x:c r="F23" s="2">
        <x:f>('[1]WHOLESALE-SUB'!$S$18/'[1]WHOLESALE-SUB'!$I$18)*'[2]WHOLESALE SUB '!$F$23</x:f>
        <x:v>86096.174114614332</x:v>
      </x:c>
      <x:c r="G23" s="2"/>
      <x:c r="H23" s="2">
        <x:f>J23*'[3]Demand Loss Factor'!$G$53</x:f>
        <x:v>64912.699655787968</x:v>
      </x:c>
      <x:c r="I23" s="2"/>
      <x:c r="J23" s="2">
        <x:f>('[1]WHOLESALE-SUB'!$S$18/'[1]WHOLESALE-SUB'!$I$18)*'[2]WHOLESALE SUB '!$J$23</x:f>
        <x:v>64776.66865161957</x:v>
      </x:c>
      <x:c r="K23" s="2"/>
      <x:c r="L23" s="2">
        <x:f>N23*'[3]Demand Loss Factor'!$G$53</x:f>
        <x:v>52137.809743316211</x:v>
      </x:c>
      <x:c r="N23" s="2">
        <x:f>('[1]WHOLESALE-SUB'!$S$18/'[1]WHOLESALE-SUB'!$I$18)*'[2]WHOLESALE SUB '!$N$23</x:f>
        <x:v>52028.549788759818</x:v>
      </x:c>
      <x:c r="O23" s="2"/>
      <x:c r="P23" s="2">
        <x:f>R23*'[3]Demand Loss Factor'!$G$53</x:f>
        <x:v>52137.809743316211</x:v>
      </x:c>
      <x:c r="R23" s="2">
        <x:f>('[1]WHOLESALE-SUB'!$S$18/'[1]WHOLESALE-SUB'!$I$18)*'[2]WHOLESALE SUB '!$R$23</x:f>
        <x:v>52028.549788759818</x:v>
      </x:c>
      <x:c r="S23" s="2"/>
      <x:c r="T23" s="2">
        <x:f>V23*'[3]Energy Loss Factor'!$G$53</x:f>
        <x:v>20687734.425914999</x:v>
      </x:c>
      <x:c r="V23" s="2">
        <x:f>'[1]WHOLESALE-SUB'!$S$18</x:f>
        <x:v>20602645.5</x:v>
      </x:c>
      <x:c r="X23" s="12">
        <x:v>0.8031989120740155</x:v>
      </x:c>
      <x:c r="Y23" s="12"/>
      <x:c r="Z23" s="12">
        <x:v>0.45700000000000002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Factor'!$G$53</x:f>
        <x:v>71897.781598088084</x:v>
      </x:c>
      <x:c r="E24" s="2"/>
      <x:c r="F24" s="2">
        <x:f>('[1]WHOLESALE-SUB'!$S$20/'[1]WHOLESALE-SUB'!$I$20)*'[2]WHOLESALE SUB '!$F$24</x:f>
        <x:v>71747.112661498933</x:v>
      </x:c>
      <x:c r="G24" s="2"/>
      <x:c r="H24" s="2">
        <x:f>J24*'[3]Demand Loss Factor'!$G$53</x:f>
        <x:v>46902.906102242589</x:v>
      </x:c>
      <x:c r="I24" s="2"/>
      <x:c r="J24" s="2">
        <x:f>('[1]WHOLESALE-SUB'!$S$20/'[1]WHOLESALE-SUB'!$I$20)*'[2]WHOLESALE SUB '!$J$24</x:f>
        <x:v>46804.616407786241</x:v>
      </x:c>
      <x:c r="K24" s="2"/>
      <x:c r="L24" s="2">
        <x:f>N24*'[3]Demand Loss Factor'!$G$53</x:f>
        <x:v>38069.009288784655</x:v>
      </x:c>
      <x:c r="N24" s="2">
        <x:f>('[1]WHOLESALE-SUB'!$S$20/'[1]WHOLESALE-SUB'!$I$20)*'[2]WHOLESALE SUB '!$N$24</x:f>
        <x:v>37989.231901790896</x:v>
      </x:c>
      <x:c r="O24" s="2"/>
      <x:c r="P24" s="2">
        <x:f>R24*'[3]Demand Loss Factor'!$G$53</x:f>
        <x:v>31382.907537642324</x:v>
      </x:c>
      <x:c r="R24" s="2">
        <x:f>('[1]WHOLESALE-SUB'!$S$20/'[1]WHOLESALE-SUB'!$I$20)*'[2]WHOLESALE SUB '!$R$24</x:f>
        <x:v>31317.141540407469</x:v>
      </x:c>
      <x:c r="S24" s="2"/>
      <x:c r="T24" s="2">
        <x:f>V24*'[3]Energy Loss Factor'!$G$53</x:f>
        <x:v>19159236.945517499</x:v>
      </x:c>
      <x:c r="V24" s="2">
        <x:f>'[1]WHOLESALE-SUB'!$S$20</x:f>
        <x:v>19080434.75</x:v>
      </x:c>
      <x:c r="X24" s="12">
        <x:v>0.81165566171526504</x:v>
      </x:c>
      <x:c r="Y24" s="12"/>
      <x:c r="Z24" s="12">
        <x:v>0.54869999999999997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Factor'!$G$53</x:f>
        <x:v>70868.090655752414</x:v>
      </x:c>
      <x:c r="E25" s="2"/>
      <x:c r="F25" s="2">
        <x:f>('[1]WHOLESALE-SUB'!$S$22/'[1]WHOLESALE-SUB'!$I$22)*'[2]WHOLESALE SUB '!$F$25</x:f>
        <x:v>70719.579538721096</x:v>
      </x:c>
      <x:c r="G25" s="2"/>
      <x:c r="H25" s="2">
        <x:f>J25*'[3]Demand Loss Factor'!$G$53</x:f>
        <x:v>44022.171709591537</x:v>
      </x:c>
      <x:c r="I25" s="2"/>
      <x:c r="J25" s="2">
        <x:f>('[1]WHOLESALE-SUB'!$S$22/'[1]WHOLESALE-SUB'!$I$22)*'[2]WHOLESALE SUB '!$J$25</x:f>
        <x:v>43929.91887994366</x:v>
      </x:c>
      <x:c r="K25" s="2"/>
      <x:c r="L25" s="2">
        <x:f>N25*'[3]Demand Loss Factor'!$G$53</x:f>
        <x:v>41948.764581445299</x:v>
      </x:c>
      <x:c r="N25" s="2">
        <x:f>('[1]WHOLESALE-SUB'!$S$22/'[1]WHOLESALE-SUB'!$I$22)*'[2]WHOLESALE SUB '!$N$25</x:f>
        <x:v>41860.856782202674</x:v>
      </x:c>
      <x:c r="O25" s="2"/>
      <x:c r="P25" s="2">
        <x:f>R25*'[3]Demand Loss Factor'!$G$53</x:f>
        <x:v>41948.764581445299</x:v>
      </x:c>
      <x:c r="R25" s="2">
        <x:f>('[1]WHOLESALE-SUB'!$S$22/'[1]WHOLESALE-SUB'!$I$22)*'[2]WHOLESALE SUB '!$R$25</x:f>
        <x:v>41860.856782202674</x:v>
      </x:c>
      <x:c r="S25" s="2"/>
      <x:c r="T25" s="2">
        <x:f>V25*'[3]Energy Loss Factor'!$G$53</x:f>
        <x:v>18823144.844250001</x:v>
      </x:c>
      <x:c r="V25" s="2">
        <x:f>'[1]WHOLESALE-SUB'!$S$22</x:f>
        <x:v>18745725</x:v>
      </x:c>
      <x:c r="X25" s="12">
        <x:v>0.95290084410591469</x:v>
      </x:c>
      <x:c r="Y25" s="12"/>
      <x:c r="Z25" s="12">
        <x:v>0.5927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Factor'!$G$53</x:f>
        <x:v>89289.486539985388</x:v>
      </x:c>
      <x:c r="E26" s="2"/>
      <x:c r="F26" s="2">
        <x:f>('[1]WHOLESALE-SUB'!$S$24/'[1]WHOLESALE-SUB'!$I$24)*'[2]WHOLESALE SUB '!$F$26</x:f>
        <x:v>89102.371559709994</x:v>
      </x:c>
      <x:c r="G26" s="2"/>
      <x:c r="H26" s="2">
        <x:f>J26*'[3]Demand Loss Factor'!$G$53</x:f>
        <x:v>61859.800914074614</x:v>
      </x:c>
      <x:c r="I26" s="2"/>
      <x:c r="J26" s="2">
        <x:f>('[1]WHOLESALE-SUB'!$S$24/'[1]WHOLESALE-SUB'!$I$24)*'[2]WHOLESALE SUB '!$J$26</x:f>
        <x:v>61730.167562194008</x:v>
      </x:c>
      <x:c r="K26" s="2"/>
      <x:c r="L26" s="2">
        <x:f>N26*'[3]Demand Loss Factor'!$G$53</x:f>
        <x:v>60742.230014440858</x:v>
      </x:c>
      <x:c r="N26" s="2">
        <x:f>('[1]WHOLESALE-SUB'!$S$24/'[1]WHOLESALE-SUB'!$I$24)*'[2]WHOLESALE SUB '!$N$26</x:f>
        <x:v>60614.938643289948</x:v>
      </x:c>
      <x:c r="O26" s="2"/>
      <x:c r="P26" s="2">
        <x:f>R26*'[3]Demand Loss Factor'!$G$53</x:f>
        <x:v>61554.872672463898</x:v>
      </x:c>
      <x:c r="R26" s="2">
        <x:f>('[1]WHOLESALE-SUB'!$S$24/'[1]WHOLESALE-SUB'!$I$24)*'[2]WHOLESALE SUB '!$R$26</x:f>
        <x:v>61425.878327975151</x:v>
      </x:c>
      <x:c r="S26" s="2"/>
      <x:c r="T26" s="2">
        <x:f>V26*'[3]Energy Loss Factor'!$G$53</x:f>
        <x:v>24387288.741854999</x:v>
      </x:c>
      <x:c r="V26" s="2">
        <x:f>'[1]WHOLESALE-SUB'!$S$24</x:f>
        <x:v>24286983.5</x:v>
      </x:c>
      <x:c r="X26" s="12">
        <x:v>0.98193381027549542</x:v>
      </x:c>
      <x:c r="Y26" s="12"/>
      <x:c r="Z26" s="12">
        <x:v>0.52880000000000005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Factor'!$G$53</x:f>
        <x:v>102366.58453875744</x:v>
      </x:c>
      <x:c r="E27" s="2"/>
      <x:c r="F27" s="2">
        <x:f>('[1]WHOLESALE-SUB'!$S$26/'[1]WHOLESALE-SUB'!$I$26)*'[2]WHOLESALE SUB '!$F$27</x:f>
        <x:v>102152.06520183358</x:v>
      </x:c>
      <x:c r="G27" s="2"/>
      <x:c r="H27" s="2">
        <x:f>J27*'[3]Demand Loss Factor'!$G$53</x:f>
        <x:v>70371.890760891532</x:v>
      </x:c>
      <x:c r="I27" s="2"/>
      <x:c r="J27" s="2">
        <x:f>('[1]WHOLESALE-SUB'!$S$26/'[1]WHOLESALE-SUB'!$I$26)*'[2]WHOLESALE SUB '!$J$27</x:f>
        <x:v>70224.419479983568</x:v>
      </x:c>
      <x:c r="K27" s="2"/>
      <x:c r="L27" s="2">
        <x:f>N27*'[3]Demand Loss Factor'!$G$53</x:f>
        <x:v>64790.620638387525</x:v>
      </x:c>
      <x:c r="N27" s="2">
        <x:f>('[1]WHOLESALE-SUB'!$S$26/'[1]WHOLESALE-SUB'!$I$26)*'[2]WHOLESALE SUB '!$N$27</x:f>
        <x:v>64654.8454629154</x:v>
      </x:c>
      <x:c r="O27" s="2"/>
      <x:c r="P27" s="2">
        <x:f>R27*'[3]Demand Loss Factor'!$G$53</x:f>
        <x:v>70310.537598268595</x:v>
      </x:c>
      <x:c r="R27" s="2">
        <x:f>('[1]WHOLESALE-SUB'!$S$26/'[1]WHOLESALE-SUB'!$I$26)*'[2]WHOLESALE SUB '!$R$27</x:f>
        <x:v>70163.194889001694</x:v>
      </x:c>
      <x:c r="S27" s="2"/>
      <x:c r="T27" s="2">
        <x:f>V27*'[3]Energy Loss Factor'!$G$53</x:f>
        <x:v>30601212.693434998</x:v>
      </x:c>
      <x:c r="V27" s="2">
        <x:f>'[1]WHOLESALE-SUB'!$S$26</x:f>
        <x:v>30475349.5</x:v>
      </x:c>
      <x:c r="X27" s="12">
        <x:v>0.92068892760792864</x:v>
      </x:c>
      <x:c r="Y27" s="12"/>
      <x:c r="Z27" s="12">
        <x:v>0.60270000000000001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Factor'!$G$53</x:f>
        <x:v>99956.05227352347</x:v>
      </x:c>
      <x:c r="E28" s="2"/>
      <x:c r="F28" s="2">
        <x:f>('[1]WHOLESALE-SUB'!$S$28/'[1]WHOLESALE-SUB'!$I$28)*'[2]WHOLESALE SUB '!$F$28</x:f>
        <x:v>99746.584446186476</x:v>
      </x:c>
      <x:c r="G28" s="2"/>
      <x:c r="H28" s="2">
        <x:f>J28*'[3]Demand Loss Factor'!$G$53</x:f>
        <x:v>72575.336995198959</x:v>
      </x:c>
      <x:c r="I28" s="2"/>
      <x:c r="J28" s="2">
        <x:f>('[1]WHOLESALE-SUB'!$S$28/'[1]WHOLESALE-SUB'!$I$28)*'[2]WHOLESALE SUB '!$J$28</x:f>
        <x:v>72423.248174033492</x:v>
      </x:c>
      <x:c r="K28" s="2"/>
      <x:c r="L28" s="2">
        <x:f>N28*'[3]Demand Loss Factor'!$G$53</x:f>
        <x:v>68796.499350287646</x:v>
      </x:c>
      <x:c r="N28" s="2">
        <x:f>('[1]WHOLESALE-SUB'!$S$28/'[1]WHOLESALE-SUB'!$I$28)*'[2]WHOLESALE SUB '!$N$28</x:f>
        <x:v>68652.329458424952</x:v>
      </x:c>
      <x:c r="O28" s="2"/>
      <x:c r="P28" s="2">
        <x:f>R28*'[3]Demand Loss Factor'!$G$53</x:f>
        <x:v>71741.958076748138</x:v>
      </x:c>
      <x:c r="R28" s="2">
        <x:f>('[1]WHOLESALE-SUB'!$S$28/'[1]WHOLESALE-SUB'!$I$28)*'[2]WHOLESALE SUB '!$R$28</x:f>
        <x:v>71591.615683812139</x:v>
      </x:c>
      <x:c r="S28" s="2"/>
      <x:c r="T28" s="2">
        <x:f>V28*'[3]Energy Loss Factor'!$G$53</x:f>
        <x:v>33120634.609169997</x:v>
      </x:c>
      <x:c r="V28" s="2">
        <x:f>'[1]WHOLESALE-SUB'!$S$28</x:f>
        <x:v>32984409</x:v>
      </x:c>
      <x:c r="X28" s="12">
        <x:v>0.94793220670596001</x:v>
      </x:c>
      <x:c r="Y28" s="12"/>
      <x:c r="Z28" s="12">
        <x:v>0.61219999999999997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Factor'!$G$53</x:f>
        <x:v>105364.10009280844</x:v>
      </x:c>
      <x:c r="E29" s="2"/>
      <x:c r="F29" s="2">
        <x:f>('[1]WHOLESALE-SUB'!$S$30/'[1]WHOLESALE-SUB'!$I$30)*'[2]WHOLESALE SUB '!$F$29</x:f>
        <x:v>105143.29916456286</x:v>
      </x:c>
      <x:c r="G29" s="2"/>
      <x:c r="H29" s="2">
        <x:f>J29*'[3]Demand Loss Factor'!$G$53</x:f>
        <x:v>77669.672522013381</x:v>
      </x:c>
      <x:c r="I29" s="2"/>
      <x:c r="J29" s="2">
        <x:f>('[1]WHOLESALE-SUB'!$S$30/'[1]WHOLESALE-SUB'!$I$30)*'[2]WHOLESALE SUB '!$J$29</x:f>
        <x:v>77506.9080151815</x:v>
      </x:c>
      <x:c r="K29" s="2"/>
      <x:c r="L29" s="2">
        <x:f>N29*'[3]Demand Loss Factor'!$G$53</x:f>
        <x:v>69301.501494254509</x:v>
      </x:c>
      <x:c r="N29" s="2">
        <x:f>('[1]WHOLESALE-SUB'!$S$30/'[1]WHOLESALE-SUB'!$I$30)*'[2]WHOLESALE SUB '!$N$29</x:f>
        <x:v>69156.273320281922</x:v>
      </x:c>
      <x:c r="O29" s="2"/>
      <x:c r="P29" s="2">
        <x:f>R29*'[3]Demand Loss Factor'!$G$53</x:f>
        <x:v>73056.396104411382</x:v>
      </x:c>
      <x:c r="R29" s="2">
        <x:f>('[1]WHOLESALE-SUB'!$S$30/'[1]WHOLESALE-SUB'!$I$30)*'[2]WHOLESALE SUB '!$R$29</x:f>
        <x:v>72903.299176141489</x:v>
      </x:c>
      <x:c r="S29" s="2"/>
      <x:c r="T29" s="2">
        <x:f>V29*'[3]Energy Loss Factor'!$G$53</x:f>
        <x:v>36920137.01292</x:v>
      </x:c>
      <x:c r="V29" s="2">
        <x:f>'[1]WHOLESALE-SUB'!$S$30</x:f>
        <x:v>36768284</x:v>
      </x:c>
      <x:c r="X29" s="12">
        <x:v>0.89225947842914954</x:v>
      </x:c>
      <x:c r="Y29" s="12"/>
      <x:c r="Z29" s="12">
        <x:v>0.63759999999999994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Factor'!$G$53</x:f>
        <x:v>85710.181435502775</x:v>
      </x:c>
      <x:c r="E30" s="2"/>
      <x:c r="F30" s="2">
        <x:f>('[1]WHOLESALE-SUB'!$S$32/'[1]WHOLESALE-SUB'!$I$32)*'[2]WHOLESALE SUB '!$F$30</x:f>
        <x:v>85530.567244289763</x:v>
      </x:c>
      <x:c r="G30" s="2"/>
      <x:c r="H30" s="2">
        <x:f>J30*'[3]Demand Loss Factor'!$G$53</x:f>
        <x:v>66051.819452322467</x:v>
      </x:c>
      <x:c r="I30" s="2"/>
      <x:c r="J30" s="2">
        <x:f>('[1]WHOLESALE-SUB'!$S$32/'[1]WHOLESALE-SUB'!$I$32)*'[2]WHOLESALE SUB '!$J$30</x:f>
        <x:v>65913.401309572364</x:v>
      </x:c>
      <x:c r="K30" s="2"/>
      <x:c r="L30" s="2">
        <x:f>N30*'[3]Demand Loss Factor'!$G$53</x:f>
        <x:v>60968.593912470838</x:v>
      </x:c>
      <x:c r="N30" s="2">
        <x:f>('[1]WHOLESALE-SUB'!$S$32/'[1]WHOLESALE-SUB'!$I$32)*'[2]WHOLESALE SUB '!$N$30</x:f>
        <x:v>60840.828173306894</x:v>
      </x:c>
      <x:c r="O30" s="2"/>
      <x:c r="P30" s="2">
        <x:f>R30*'[3]Demand Loss Factor'!$G$53</x:f>
        <x:v>65274.129710814515</x:v>
      </x:c>
      <x:c r="R30" s="2">
        <x:f>('[1]WHOLESALE-SUB'!$S$32/'[1]WHOLESALE-SUB'!$I$32)*'[2]WHOLESALE SUB '!$R$30</x:f>
        <x:v>65137.341294096914</x:v>
      </x:c>
      <x:c r="S30" s="2"/>
      <x:c r="T30" s="2">
        <x:f>V30*'[3]Energy Loss Factor'!$G$53</x:f>
        <x:v>25813256.265179999</x:v>
      </x:c>
      <x:c r="V30" s="2">
        <x:f>'[1]WHOLESALE-SUB'!$S$32</x:f>
        <x:v>25707086</x:v>
      </x:c>
      <x:c r="X30" s="12">
        <x:v>0.92304185438039599</x:v>
      </x:c>
      <x:c r="Y30" s="12"/>
      <x:c r="Z30" s="12">
        <x:v>0.54169999999999996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Factor'!$G$53</x:f>
        <x:v>73381.792472428424</x:v>
      </x:c>
      <x:c r="E31" s="2"/>
      <x:c r="F31" s="2">
        <x:f>('[1]WHOLESALE-SUB'!$S$34/'[1]WHOLESALE-SUB'!$I$34)*'[2]WHOLESALE SUB '!$F$31</x:f>
        <x:v>73228.013643776489</x:v>
      </x:c>
      <x:c r="G31" s="2"/>
      <x:c r="H31" s="2">
        <x:f>J31*'[3]Demand Loss Factor'!$G$53</x:f>
        <x:v>57434.505953820903</x:v>
      </x:c>
      <x:c r="I31" s="2"/>
      <x:c r="J31" s="2">
        <x:f>('[1]WHOLESALE-SUB'!$S$34/'[1]WHOLESALE-SUB'!$I$34)*'[2]WHOLESALE SUB '!$J$31</x:f>
        <x:v>57314.146246702825</x:v>
      </x:c>
      <x:c r="K31" s="2"/>
      <x:c r="L31" s="2">
        <x:f>N31*'[3]Demand Loss Factor'!$G$53</x:f>
        <x:v>57434.599822679505</x:v>
      </x:c>
      <x:c r="N31" s="2">
        <x:f>('[1]WHOLESALE-SUB'!$S$34/'[1]WHOLESALE-SUB'!$I$34)*'[2]WHOLESALE SUB '!$N$31</x:f>
        <x:v>57314.239918849918</x:v>
      </x:c>
      <x:c r="O31" s="2"/>
      <x:c r="P31" s="2">
        <x:f>R31*'[3]Demand Loss Factor'!$G$53</x:f>
        <x:v>57434.599822679505</x:v>
      </x:c>
      <x:c r="R31" s="2">
        <x:f>('[1]WHOLESALE-SUB'!$S$34/'[1]WHOLESALE-SUB'!$I$34)*'[2]WHOLESALE SUB '!$R$31</x:f>
        <x:v>57314.239918849918</x:v>
      </x:c>
      <x:c r="S31" s="2"/>
      <x:c r="T31" s="2">
        <x:f>V31*'[3]Energy Loss Factor'!$G$53</x:f>
        <x:v>23211399.5439975</x:v>
      </x:c>
      <x:c r="V31" s="2">
        <x:f>'[1]WHOLESALE-SUB'!$S$34</x:f>
        <x:v>23115930.75</x:v>
      </x:c>
      <x:c r="X31" s="12">
        <x:v>1.0000016343634726</x:v>
      </x:c>
      <x:c r="Y31" s="12"/>
      <x:c r="Z31" s="12">
        <x:v>0.54210000000000003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Factor'!$G$53</x:f>
        <x:v>65805.173317956796</x:v>
      </x:c>
      <x:c r="E32" s="2"/>
      <x:c r="F32" s="2">
        <x:f>('[1]WHOLESALE-SUB'!$S$36/'[1]WHOLESALE-SUB'!$I$36)*'[2]WHOLESALE SUB '!$F$32</x:f>
        <x:v>65667.272046658807</x:v>
      </x:c>
      <x:c r="G32" s="2"/>
      <x:c r="H32" s="2">
        <x:f>J32*'[3]Demand Loss Factor'!$G$53</x:f>
        <x:v>43239.049797198095</x:v>
      </x:c>
      <x:c r="I32" s="2"/>
      <x:c r="J32" s="2">
        <x:f>('[1]WHOLESALE-SUB'!$S$36/'[1]WHOLESALE-SUB'!$I$36)*'[2]WHOLESALE SUB '!$J$32</x:f>
        <x:v>43148.4380772359</x:v>
      </x:c>
      <x:c r="K32" s="2"/>
      <x:c r="L32" s="2">
        <x:f>N32*'[3]Demand Loss Factor'!$G$53</x:f>
        <x:v>37943.668565370455</x:v>
      </x:c>
      <x:c r="N32" s="2">
        <x:f>('[1]WHOLESALE-SUB'!$S$36/'[1]WHOLESALE-SUB'!$I$36)*'[2]WHOLESALE SUB '!$N$32</x:f>
        <x:v>37864.153842301625</x:v>
      </x:c>
      <x:c r="O32" s="2"/>
      <x:c r="P32" s="2">
        <x:f>R32*'[3]Demand Loss Factor'!$G$53</x:f>
        <x:v>37300.115975977285</x:v>
      </x:c>
      <x:c r="R32" s="2">
        <x:f>('[1]WHOLESALE-SUB'!$S$36/'[1]WHOLESALE-SUB'!$I$36)*'[2]WHOLESALE SUB '!$R$32</x:f>
        <x:v>37221.949881226712</x:v>
      </x:c>
      <x:c r="S32" s="2"/>
      <x:c r="T32" s="2">
        <x:f>V32*'[3]Energy Loss Factor'!$G$53</x:f>
        <x:v>19539112.779859498</x:v>
      </x:c>
      <x:c r="V32" s="2">
        <x:f>'[1]WHOLESALE-SUB'!$S$36</x:f>
        <x:v>19458748.149999999</x:v>
      </x:c>
      <x:c r="X32" s="12">
        <x:v>0.87753243291274219</x:v>
      </x:c>
      <x:c r="Y32" s="12"/>
      <x:c r="Z32" s="12">
        <x:v>0.60419999999999996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Factor'!$G$53</x:f>
        <x:v>73038.960389999993</x:v>
      </x:c>
      <x:c r="E33" s="2"/>
      <x:c r="F33" s="2">
        <x:f>('[1]WHOLESALE-SUB'!$S$38/'[1]WHOLESALE-SUB'!$I$38)*'[2]WHOLESALE SUB '!$F$33</x:f>
        <x:v>72885.899999999994</x:v>
      </x:c>
      <x:c r="G33" s="2"/>
      <x:c r="H33" s="2">
        <x:f>J33*'[3]Demand Loss Factor'!$G$53</x:f>
        <x:v>53983.728259999996</x:v>
      </x:c>
      <x:c r="I33" s="2"/>
      <x:c r="J33" s="2">
        <x:f>('[1]WHOLESALE-SUB'!$S$38/'[1]WHOLESALE-SUB'!$I$38)*'[2]WHOLESALE SUB '!$J$33</x:f>
        <x:v>53870.6</x:v>
      </x:c>
      <x:c r="K33" s="2"/>
      <x:c r="L33" s="2">
        <x:f>N33*'[3]Demand Loss Factor'!$G$53</x:f>
        <x:v>52652.338199999998</x:v>
      </x:c>
      <x:c r="N33" s="2">
        <x:f>('[1]WHOLESALE-SUB'!$S$38/'[1]WHOLESALE-SUB'!$I$38)*'[2]WHOLESALE SUB '!$N$33</x:f>
        <x:v>52542</x:v>
      </x:c>
      <x:c r="O33" s="2"/>
      <x:c r="P33" s="2">
        <x:f>R33*'[3]Demand Loss Factor'!$G$53</x:f>
        <x:v>52652.338199999998</x:v>
      </x:c>
      <x:c r="R33" s="2">
        <x:f>('[1]WHOLESALE-SUB'!$S$38/'[1]WHOLESALE-SUB'!$I$38)*'[2]WHOLESALE SUB '!$R$33</x:f>
        <x:v>52542</x:v>
      </x:c>
      <x:c r="S33" s="2"/>
      <x:c r="T33" s="15">
        <x:f>V33*'[3]Energy Loss Factor'!$G$53</x:f>
        <x:v>23847916.295835</x:v>
      </x:c>
      <x:c r="V33" s="15">
        <x:f>'[1]WHOLESALE-SUB'!$S$38</x:f>
        <x:v>23749829.5</x:v>
      </x:c>
      <x:c r="X33" s="12">
        <x:v>0.97533719691260168</x:v>
      </x:c>
      <x:c r="Y33" s="12"/>
      <x:c r="Z33" s="12">
        <x:v>0.59260000000000002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K34" s="2"/>
      <x:c r="O34" s="2"/>
      <x:c r="S34" s="2"/>
      <x:c r="T34" s="2">
        <x:f>+SUM(T22:T33)</x:f>
        <x:v>309064427.73801452</x:v>
      </x:c>
      <x:c r="V34" s="2">
        <x:f>+SUM(V22:V33)</x:f>
        <x:v>307793241.64999998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</x:row>
    <x:row r="36" spans="1:26" ht="18.75" customHeight="1" x14ac:dyDescent="0.25">
      <x:c r="E36" s="2"/>
      <x:c r="G36" s="2"/>
      <x:c r="I36" s="2"/>
      <x:c r="K36" s="2"/>
      <x:c r="O36" s="2"/>
      <x:c r="S36" s="2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  <x:row r="41" spans="1:26" ht="15" customHeight="1" x14ac:dyDescent="0.25">
      <x:c r="A41" s="3"/>
      <x:c r="E41" s="2"/>
      <x:c r="G41" s="2"/>
      <x:c r="I41" s="2"/>
      <x:c r="K41" s="2"/>
      <x:c r="O41" s="2"/>
      <x:c r="S41" s="2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0"/>
  <x:sheetViews>
    <x:sheetView tabSelected="1" topLeftCell="A7" zoomScale="75" zoomScaleNormal="75" workbookViewId="0">
      <x:selection activeCell="AE23" sqref="AE23"/>
    </x:sheetView>
  </x:sheetViews>
  <x:sheetFormatPr defaultColWidth="9.140625" defaultRowHeight="18.75" customHeight="1" x14ac:dyDescent="0.25"/>
  <x:cols>
    <x:col min="1" max="1" width="4.7109375" style="1" customWidth="1"/>
    <x:col min="2" max="3" width="7.7109375" style="1" customWidth="1"/>
    <x:col min="4" max="4" width="20.5703125" style="2" customWidth="1"/>
    <x:col min="5" max="5" width="2.7109375" style="1" customWidth="1"/>
    <x:col min="6" max="6" width="20.85546875" style="2" customWidth="1"/>
    <x:col min="7" max="7" width="5.7109375" style="1" customWidth="1"/>
    <x:col min="8" max="8" width="13.85546875" style="2" customWidth="1"/>
    <x:col min="9" max="9" width="2.7109375" style="1" customWidth="1"/>
    <x:col min="10" max="10" width="14.85546875" style="2" customWidth="1"/>
    <x:col min="11" max="11" width="5.7109375" style="1" customWidth="1"/>
    <x:col min="12" max="12" width="12.7109375" style="2" customWidth="1"/>
    <x:col min="13" max="13" width="2.7109375" style="2" customWidth="1"/>
    <x:col min="14" max="14" width="13.28515625" style="2" customWidth="1"/>
    <x:col min="15" max="15" width="5.7109375" style="1" customWidth="1"/>
    <x:col min="16" max="16" width="12.7109375" style="2" customWidth="1"/>
    <x:col min="17" max="17" width="2.7109375" style="2" customWidth="1"/>
    <x:col min="18" max="18" width="13.85546875" style="2" customWidth="1"/>
    <x:col min="19" max="19" width="5.7109375" style="1" customWidth="1"/>
    <x:col min="20" max="20" width="17.7109375" style="2" customWidth="1"/>
    <x:col min="21" max="21" width="2.7109375" style="2" customWidth="1"/>
    <x:col min="22" max="22" width="17.7109375" style="2" customWidth="1"/>
    <x:col min="23" max="23" width="3.7109375" style="1" customWidth="1"/>
    <x:col min="24" max="24" width="10.28515625" style="1" customWidth="1"/>
    <x:col min="25" max="25" width="1.7109375" style="1" customWidth="1"/>
    <x:col min="26" max="26" width="11.85546875" style="1" customWidth="1"/>
    <x:col min="27" max="16384" width="9.140625" style="1"/>
  </x:cols>
  <x:sheetData>
    <x:row r="1" spans="1:26" ht="18.75" customHeight="1" x14ac:dyDescent="0.25">
      <x:c r="A1" s="5"/>
      <x:c r="V1" s="1" t="s">
        <x:v>71</x:v>
      </x:c>
    </x:row>
    <x:row r="2" spans="1:26" ht="18.75" customHeight="1" x14ac:dyDescent="0.25">
      <x:c r="V2" s="1" t="s">
        <x:v>81</x:v>
      </x:c>
    </x:row>
    <x:row r="7" spans="1:26" ht="18.75" customHeight="1" x14ac:dyDescent="0.25">
      <x:c r="A7" s="6" t="s">
        <x:v>68</x:v>
      </x:c>
      <x:c r="B7" s="7"/>
      <x:c r="C7" s="7"/>
      <x:c r="D7" s="7"/>
      <x:c r="E7" s="7"/>
      <x:c r="F7" s="8"/>
      <x:c r="G7" s="7"/>
      <x:c r="H7" s="7"/>
      <x:c r="I7" s="7"/>
      <x:c r="J7" s="8"/>
      <x:c r="K7" s="7"/>
      <x:c r="L7" s="7"/>
      <x:c r="M7" s="7"/>
      <x:c r="N7" s="6"/>
      <x:c r="O7" s="8"/>
      <x:c r="P7" s="7"/>
      <x:c r="Q7" s="7"/>
      <x:c r="R7" s="8"/>
      <x:c r="S7" s="7"/>
      <x:c r="T7" s="7"/>
      <x:c r="U7" s="7"/>
      <x:c r="V7" s="7"/>
      <x:c r="W7" s="7"/>
      <x:c r="X7" s="7"/>
      <x:c r="Y7" s="7"/>
      <x:c r="Z7" s="7"/>
    </x:row>
    <x:row r="8" spans="1:26" ht="18" customHeight="1" x14ac:dyDescent="0.25">
      <x:c r="A8" s="6" t="s">
        <x:v>42</x:v>
      </x:c>
      <x:c r="B8" s="7"/>
      <x:c r="C8" s="7"/>
      <x:c r="D8" s="7"/>
      <x:c r="E8" s="7"/>
      <x:c r="F8" s="8"/>
      <x:c r="G8" s="7"/>
      <x:c r="H8" s="7"/>
      <x:c r="I8" s="7"/>
      <x:c r="J8" s="8"/>
      <x:c r="K8" s="7"/>
      <x:c r="L8" s="8"/>
      <x:c r="M8" s="8"/>
      <x:c r="N8" s="6"/>
      <x:c r="O8" s="9"/>
      <x:c r="P8" s="7"/>
      <x:c r="Q8" s="7"/>
      <x:c r="R8" s="9"/>
      <x:c r="S8" s="6"/>
      <x:c r="T8" s="7"/>
      <x:c r="U8" s="7"/>
      <x:c r="V8" s="7"/>
      <x:c r="W8" s="7"/>
      <x:c r="X8" s="7"/>
      <x:c r="Y8" s="7"/>
      <x:c r="Z8" s="7"/>
    </x:row>
    <x:row r="9" spans="1:26" ht="18" customHeight="1" x14ac:dyDescent="0.25">
      <x:c r="A9" s="6" t="s">
        <x:v>66</x:v>
      </x:c>
      <x:c r="B9" s="7"/>
      <x:c r="C9" s="7"/>
      <x:c r="D9" s="7"/>
      <x:c r="E9" s="7"/>
      <x:c r="F9" s="8"/>
      <x:c r="G9" s="6"/>
      <x:c r="H9" s="7"/>
      <x:c r="I9" s="7"/>
      <x:c r="J9" s="8"/>
      <x:c r="K9" s="6"/>
      <x:c r="L9" s="6"/>
      <x:c r="M9" s="8"/>
      <x:c r="N9" s="8"/>
      <x:c r="O9" s="8"/>
      <x:c r="P9" s="7"/>
      <x:c r="Q9" s="6"/>
      <x:c r="R9" s="9"/>
      <x:c r="S9" s="6"/>
      <x:c r="T9" s="7"/>
      <x:c r="U9" s="7"/>
      <x:c r="V9" s="7"/>
      <x:c r="W9" s="7"/>
      <x:c r="X9" s="7"/>
      <x:c r="Y9" s="7"/>
      <x:c r="Z9" s="7"/>
    </x:row>
    <x:row r="10" spans="1:26" ht="18" customHeight="1" x14ac:dyDescent="0.25">
      <x:c r="A10" s="6" t="s">
        <x:v>65</x:v>
      </x:c>
      <x:c r="B10" s="7"/>
      <x:c r="C10" s="7"/>
      <x:c r="D10" s="7"/>
      <x:c r="E10" s="7"/>
      <x:c r="F10" s="7"/>
      <x:c r="G10" s="6"/>
      <x:c r="H10" s="7"/>
      <x:c r="I10" s="7"/>
      <x:c r="J10" s="7"/>
      <x:c r="K10" s="6"/>
      <x:c r="L10" s="9"/>
      <x:c r="M10" s="8"/>
      <x:c r="N10" s="8"/>
      <x:c r="O10" s="8"/>
      <x:c r="P10" s="7"/>
      <x:c r="Q10" s="6"/>
      <x:c r="R10" s="9"/>
      <x:c r="S10" s="6"/>
      <x:c r="T10" s="7"/>
      <x:c r="U10" s="7"/>
      <x:c r="V10" s="7"/>
      <x:c r="W10" s="7"/>
      <x:c r="X10" s="7"/>
      <x:c r="Y10" s="7"/>
      <x:c r="Z10" s="7"/>
    </x:row>
    <x:row r="11" spans="1:26" ht="18" customHeight="1" x14ac:dyDescent="0.25">
      <x:c r="A11" s="7"/>
      <x:c r="B11" s="7"/>
      <x:c r="C11" s="7"/>
      <x:c r="D11" s="7"/>
      <x:c r="E11" s="7"/>
      <x:c r="F11" s="8"/>
      <x:c r="G11" s="7"/>
      <x:c r="H11" s="7"/>
      <x:c r="I11" s="7"/>
      <x:c r="J11" s="8"/>
      <x:c r="K11" s="7"/>
      <x:c r="L11" s="8"/>
      <x:c r="M11" s="8"/>
      <x:c r="N11" s="8"/>
      <x:c r="O11" s="8"/>
      <x:c r="P11" s="7"/>
      <x:c r="Q11" s="7"/>
      <x:c r="R11" s="8"/>
      <x:c r="S11" s="7"/>
      <x:c r="T11" s="7"/>
      <x:c r="U11" s="7"/>
      <x:c r="V11" s="7"/>
      <x:c r="W11" s="7"/>
      <x:c r="X11" s="7"/>
      <x:c r="Y11" s="7"/>
      <x:c r="Z11" s="7"/>
    </x:row>
    <x:row r="12" spans="1:26" ht="18.75" customHeight="1" x14ac:dyDescent="0.25">
      <x:c r="A12" s="6" t="s">
        <x:v>45</x:v>
      </x:c>
      <x:c r="B12" s="7"/>
      <x:c r="C12" s="7"/>
      <x:c r="D12" s="7"/>
      <x:c r="E12" s="7"/>
      <x:c r="F12" s="8"/>
      <x:c r="G12" s="7"/>
      <x:c r="H12" s="7"/>
      <x:c r="I12" s="7"/>
      <x:c r="J12" s="8"/>
      <x:c r="K12" s="7"/>
      <x:c r="L12" s="9"/>
      <x:c r="M12" s="8"/>
      <x:c r="N12" s="9"/>
      <x:c r="O12" s="9"/>
      <x:c r="P12" s="7"/>
      <x:c r="Q12" s="7"/>
      <x:c r="R12" s="8"/>
      <x:c r="S12" s="7"/>
      <x:c r="T12" s="7"/>
      <x:c r="U12" s="7"/>
      <x:c r="V12" s="7"/>
      <x:c r="W12" s="7"/>
      <x:c r="X12" s="7"/>
      <x:c r="Y12" s="7"/>
      <x:c r="Z12" s="7"/>
    </x:row>
    <x:row r="13" spans="1:26" ht="18.75" customHeight="1" x14ac:dyDescent="0.25">
      <x:c r="A13" s="7"/>
      <x:c r="B13" s="7"/>
      <x:c r="C13" s="7"/>
      <x:c r="D13" s="7"/>
      <x:c r="E13" s="7"/>
      <x:c r="F13" s="8"/>
      <x:c r="G13" s="7"/>
      <x:c r="H13" s="7"/>
      <x:c r="I13" s="7"/>
      <x:c r="J13" s="8"/>
      <x:c r="K13" s="7"/>
      <x:c r="L13" s="7"/>
      <x:c r="M13" s="8"/>
      <x:c r="N13" s="7"/>
      <x:c r="O13" s="9"/>
      <x:c r="P13" s="7"/>
      <x:c r="Q13" s="7"/>
      <x:c r="R13" s="8"/>
      <x:c r="S13" s="7"/>
      <x:c r="T13" s="7"/>
      <x:c r="U13" s="7"/>
      <x:c r="V13" s="7"/>
      <x:c r="W13" s="7"/>
      <x:c r="X13" s="7"/>
      <x:c r="Y13" s="7"/>
      <x:c r="Z13" s="7"/>
    </x:row>
    <x:row r="14" spans="1:26" ht="18.75" customHeight="1" x14ac:dyDescent="0.25">
      <x:c r="A14" s="1" t="s">
        <x:v>46</x:v>
      </x:c>
    </x:row>
    <x:row r="15" spans="1:26" ht="18.75" customHeight="1" x14ac:dyDescent="0.25">
      <x:c r="A15" s="1" t="s">
        <x:v>41</x:v>
      </x:c>
    </x:row>
    <x:row r="16" spans="1:26" ht="15" customHeight="1" x14ac:dyDescent="0.25"/>
    <x:row r="17" spans="1:26" s="3" customFormat="1" ht="18.75" customHeight="1" x14ac:dyDescent="0.25">
      <x:c r="D17" s="3" t="s">
        <x:v>48</x:v>
      </x:c>
      <x:c r="F17" s="3" t="s">
        <x:v>49</x:v>
      </x:c>
      <x:c r="H17" s="3" t="s">
        <x:v>38</x:v>
      </x:c>
      <x:c r="J17" s="3" t="s">
        <x:v>54</x:v>
      </x:c>
      <x:c r="L17" s="3" t="s">
        <x:v>39</x:v>
      </x:c>
      <x:c r="N17" s="3" t="s">
        <x:v>40</x:v>
      </x:c>
      <x:c r="P17" s="3" t="s">
        <x:v>55</x:v>
      </x:c>
      <x:c r="R17" s="3" t="s">
        <x:v>56</x:v>
      </x:c>
      <x:c r="T17" s="3" t="s">
        <x:v>57</x:v>
      </x:c>
      <x:c r="V17" s="3" t="s">
        <x:v>58</x:v>
      </x:c>
      <x:c r="X17" s="3" t="s">
        <x:v>61</x:v>
      </x:c>
      <x:c r="Z17" s="3" t="s">
        <x:v>62</x:v>
      </x:c>
    </x:row>
    <x:row r="18" spans="1:26" s="3" customFormat="1" ht="18.75" customHeight="1" x14ac:dyDescent="0.25">
      <x:c r="D18" s="3" t="s">
        <x:v>50</x:v>
      </x:c>
      <x:c r="F18" s="3" t="s">
        <x:v>50</x:v>
      </x:c>
    </x:row>
    <x:row r="19" spans="1:26" ht="18.75" customHeight="1" x14ac:dyDescent="0.25">
      <x:c r="A19" s="1" t="s">
        <x:v>2</x:v>
      </x:c>
      <x:c r="D19" s="2" t="s">
        <x:v>52</x:v>
      </x:c>
      <x:c r="F19" s="2" t="s">
        <x:v>52</x:v>
      </x:c>
      <x:c r="H19" s="2" t="s">
        <x:v>6</x:v>
      </x:c>
      <x:c r="I19" s="2"/>
      <x:c r="J19" s="2" t="s">
        <x:v>60</x:v>
      </x:c>
      <x:c r="L19" s="2" t="s">
        <x:v>4</x:v>
      </x:c>
      <x:c r="M19" s="1" t="s">
        <x:v>5</x:v>
      </x:c>
      <x:c r="N19" s="2" t="s">
        <x:v>4</x:v>
      </x:c>
      <x:c r="P19" s="2" t="s">
        <x:v>3</x:v>
      </x:c>
      <x:c r="R19" s="2" t="s">
        <x:v>3</x:v>
      </x:c>
      <x:c r="T19" s="2" t="s">
        <x:v>7</x:v>
      </x:c>
      <x:c r="V19" s="2" t="s">
        <x:v>8</x:v>
      </x:c>
      <x:c r="X19" s="1" t="s">
        <x:v>64</x:v>
      </x:c>
    </x:row>
    <x:row r="20" spans="1:26" ht="18.75" customHeight="1" x14ac:dyDescent="0.25">
      <x:c r="A20" s="10" t="s">
        <x:v>9</x:v>
      </x:c>
      <x:c r="B20" s="10" t="s">
        <x:v>10</x:v>
      </x:c>
      <x:c r="D20" s="4" t="s">
        <x:v>51</x:v>
      </x:c>
      <x:c r="F20" s="4" t="s">
        <x:v>53</x:v>
      </x:c>
      <x:c r="H20" s="4" t="s">
        <x:v>11</x:v>
      </x:c>
      <x:c r="I20" s="2"/>
      <x:c r="J20" s="4" t="s">
        <x:v>12</x:v>
      </x:c>
      <x:c r="L20" s="4" t="s">
        <x:v>11</x:v>
      </x:c>
      <x:c r="M20" s="1"/>
      <x:c r="N20" s="4" t="s">
        <x:v>12</x:v>
      </x:c>
      <x:c r="P20" s="4" t="s">
        <x:v>11</x:v>
      </x:c>
      <x:c r="R20" s="4" t="s">
        <x:v>12</x:v>
      </x:c>
      <x:c r="T20" s="4" t="s">
        <x:v>13</x:v>
      </x:c>
      <x:c r="V20" s="4" t="s">
        <x:v>14</x:v>
      </x:c>
      <x:c r="X20" s="11" t="s">
        <x:v>15</x:v>
      </x:c>
      <x:c r="Z20" s="11" t="s">
        <x:v>63</x:v>
      </x:c>
    </x:row>
    <x:row r="21" spans="1:26" ht="18.75" customHeight="1" x14ac:dyDescent="0.25">
      <x:c r="M21" s="1"/>
      <x:c r="X21" s="12"/>
      <x:c r="Y21" s="12"/>
      <x:c r="Z21" s="12"/>
    </x:row>
    <x:row r="22" spans="1:26" ht="24.95" customHeight="1" x14ac:dyDescent="0.25">
      <x:c r="A22" s="13">
        <x:v>1</x:v>
      </x:c>
      <x:c r="B22" s="13" t="s">
        <x:v>16</x:v>
      </x:c>
      <x:c r="D22" s="2">
        <x:f>F22*'[3]Demand Loss Factor'!$G$54</x:f>
        <x:v>152319.72841314529</x:v>
      </x:c>
      <x:c r="E22" s="2"/>
      <x:c r="F22" s="2">
        <x:f>('[1]WHOLESALE-DLS'!$S$16/'[1]WHOLESALE-DLS'!$I$16)*'[2]WHOLESALE DLS'!$F$22</x:f>
        <x:v>149817.68365495047</x:v>
      </x:c>
      <x:c r="G22" s="2"/>
      <x:c r="H22" s="2">
        <x:f>J22*'[3]Demand Loss Factor'!$G$54</x:f>
        <x:v>115405.61806833629</x:v>
      </x:c>
      <x:c r="I22" s="2"/>
      <x:c r="J22" s="2">
        <x:f>('[1]WHOLESALE-DLS'!$S$16/'[1]WHOLESALE-DLS'!$I$16)*'[2]WHOLESALE DLS'!$J$22</x:f>
        <x:v>113509.93439845131</x:v>
      </x:c>
      <x:c r="K22" s="2"/>
      <x:c r="L22" s="2">
        <x:f>N22*'[3]Demand Loss Factor'!$G$54</x:f>
        <x:v>103791.62921930401</x:v>
      </x:c>
      <x:c r="N22" s="2">
        <x:f>('[1]WHOLESALE-DLS'!$S$16/'[1]WHOLESALE-DLS'!$I$16)*'[2]WHOLESALE DLS'!$N$22</x:f>
        <x:v>102086.72004871855</x:v>
      </x:c>
      <x:c r="O22" s="2"/>
      <x:c r="P22" s="2">
        <x:f>R22*'[3]Demand Loss Factor'!$G$54</x:f>
        <x:v>115034.17009680411</x:v>
      </x:c>
      <x:c r="R22" s="2">
        <x:f>('[1]WHOLESALE-DLS'!$S$16/'[1]WHOLESALE-DLS'!$I$16)*'[2]WHOLESALE DLS'!$R$22</x:f>
        <x:v>113144.5879310368</x:v>
      </x:c>
      <x:c r="S22" s="2"/>
      <x:c r="T22" s="2">
        <x:f>V22*'[3]Energy Loss Factor'!$G$54</x:f>
        <x:v>41875819.022757262</x:v>
      </x:c>
      <x:c r="V22" s="2">
        <x:f>'[1]WHOLESALE-DLS'!$S$16</x:f>
        <x:v>41375475.701727271</x:v>
      </x:c>
      <x:c r="X22" s="12">
        <x:v>0.8993637481135871</x:v>
      </x:c>
      <x:c r="Y22" s="12"/>
      <x:c r="Z22" s="20">
        <x:v>0.4899</x:v>
      </x:c>
    </x:row>
    <x:row r="23" spans="1:26" ht="24.95" customHeight="1" x14ac:dyDescent="0.25">
      <x:c r="A23" s="13">
        <x:v>2</x:v>
      </x:c>
      <x:c r="B23" s="13" t="s">
        <x:v>17</x:v>
      </x:c>
      <x:c r="D23" s="2">
        <x:f>F23*'[3]Demand Loss Factor'!$G$54</x:f>
        <x:v>123301.39284982909</x:v>
      </x:c>
      <x:c r="E23" s="2"/>
      <x:c r="F23" s="2">
        <x:f>('[1]WHOLESALE-DLS'!$S$18/'[1]WHOLESALE-DLS'!$I$18)*'[2]WHOLESALE DLS'!$F$23</x:f>
        <x:v>121276.01106329348</x:v>
      </x:c>
      <x:c r="G23" s="2"/>
      <x:c r="H23" s="2">
        <x:f>J23*'[3]Demand Loss Factor'!$G$54</x:f>
        <x:v>79989.94972666401</x:v>
      </x:c>
      <x:c r="I23" s="2"/>
      <x:c r="J23" s="2">
        <x:f>('[1]WHOLESALE-DLS'!$S$18/'[1]WHOLESALE-DLS'!$I$18)*'[2]WHOLESALE DLS'!$J$23</x:f>
        <x:v>78676.013334399569</x:v>
      </x:c>
      <x:c r="K23" s="2"/>
      <x:c r="L23" s="2">
        <x:f>N23*'[3]Demand Loss Factor'!$G$54</x:f>
        <x:v>69321.850885734777</x:v>
      </x:c>
      <x:c r="N23" s="2">
        <x:f>('[1]WHOLESALE-DLS'!$S$18/'[1]WHOLESALE-DLS'!$I$18)*'[2]WHOLESALE DLS'!$N$23</x:f>
        <x:v>68183.151549516377</x:v>
      </x:c>
      <x:c r="O23" s="2"/>
      <x:c r="P23" s="2">
        <x:f>R23*'[3]Demand Loss Factor'!$G$54</x:f>
        <x:v>69321.850885734777</x:v>
      </x:c>
      <x:c r="R23" s="2">
        <x:f>('[1]WHOLESALE-DLS'!$S$18/'[1]WHOLESALE-DLS'!$I$18)*'[2]WHOLESALE DLS'!$R$23</x:f>
        <x:v>68183.151549516377</x:v>
      </x:c>
      <x:c r="S23" s="2"/>
      <x:c r="T23" s="2">
        <x:f>V23*'[3]Energy Loss Factor'!$G$54</x:f>
        <x:v>26685571.743520178</x:v>
      </x:c>
      <x:c r="V23" s="2">
        <x:f>'[1]WHOLESALE-DLS'!$S$18</x:f>
        <x:v>26366725.5</x:v>
      </x:c>
      <x:c r="X23" s="12">
        <x:v>0.86663200967892207</x:v>
      </x:c>
      <x:c r="Y23" s="12"/>
      <x:c r="Z23" s="20">
        <x:v>0.48149999999999998</x:v>
      </x:c>
    </x:row>
    <x:row r="24" spans="1:26" ht="24.95" customHeight="1" x14ac:dyDescent="0.25">
      <x:c r="A24" s="13">
        <x:v>3</x:v>
      </x:c>
      <x:c r="B24" s="13" t="s">
        <x:v>18</x:v>
      </x:c>
      <x:c r="D24" s="2">
        <x:f>F24*'[3]Demand Loss Factor'!$G$54</x:f>
        <x:v>99704.544343566493</x:v>
      </x:c>
      <x:c r="E24" s="2"/>
      <x:c r="F24" s="2">
        <x:f>('[1]WHOLESALE-DLS'!$S$20/'[1]WHOLESALE-DLS'!$I$20)*'[2]WHOLESALE DLS'!$F$24</x:f>
        <x:v>98066.770726570641</x:v>
      </x:c>
      <x:c r="G24" s="2"/>
      <x:c r="H24" s="2">
        <x:f>J24*'[3]Demand Loss Factor'!$G$54</x:f>
        <x:v>62098.356337041121</x:v>
      </x:c>
      <x:c r="I24" s="2"/>
      <x:c r="J24" s="2">
        <x:f>('[1]WHOLESALE-DLS'!$S$20/'[1]WHOLESALE-DLS'!$I$20)*'[2]WHOLESALE DLS'!$J$24</x:f>
        <x:v>61078.312061855824</x:v>
      </x:c>
      <x:c r="K24" s="2"/>
      <x:c r="L24" s="2">
        <x:f>N24*'[3]Demand Loss Factor'!$G$54</x:f>
        <x:v>51685.512028850797</x:v>
      </x:c>
      <x:c r="N24" s="2">
        <x:f>('[1]WHOLESALE-DLS'!$S$20/'[1]WHOLESALE-DLS'!$I$20)*'[2]WHOLESALE DLS'!$N$24</x:f>
        <x:v>50836.511930218527</x:v>
      </x:c>
      <x:c r="O24" s="2"/>
      <x:c r="P24" s="2">
        <x:f>R24*'[3]Demand Loss Factor'!$G$54</x:f>
        <x:v>38669.337552571356</x:v>
      </x:c>
      <x:c r="R24" s="2">
        <x:f>('[1]WHOLESALE-DLS'!$S$20/'[1]WHOLESALE-DLS'!$I$20)*'[2]WHOLESALE DLS'!$R$24</x:f>
        <x:v>38034.144630851784</x:v>
      </x:c>
      <x:c r="S24" s="2"/>
      <x:c r="T24" s="2">
        <x:f>V24*'[3]Energy Loss Factor'!$G$54</x:f>
        <x:v>25408000.23243304</x:v>
      </x:c>
      <x:c r="V24" s="2">
        <x:f>'[1]WHOLESALE-DLS'!$S$20</x:f>
        <x:v>25104418.75</x:v>
      </x:c>
      <x:c r="X24" s="12">
        <x:v>0.83231690945772829</x:v>
      </x:c>
      <x:c r="Y24" s="12"/>
      <x:c r="Z24" s="20">
        <x:v>0.55320000000000003</x:v>
      </x:c>
    </x:row>
    <x:row r="25" spans="1:26" ht="24.95" customHeight="1" x14ac:dyDescent="0.25">
      <x:c r="A25" s="13">
        <x:v>4</x:v>
      </x:c>
      <x:c r="B25" s="13" t="s">
        <x:v>19</x:v>
      </x:c>
      <x:c r="D25" s="2">
        <x:f>F25*'[3]Demand Loss Factor'!$G$54</x:f>
        <x:v>92270.684544443953</x:v>
      </x:c>
      <x:c r="E25" s="2"/>
      <x:c r="F25" s="2">
        <x:f>('[1]WHOLESALE-DLS'!$S$22/'[1]WHOLESALE-DLS'!$I$22)*'[2]WHOLESALE DLS'!$F$25</x:f>
        <x:v>90755.021504569799</x:v>
      </x:c>
      <x:c r="G25" s="2"/>
      <x:c r="H25" s="2">
        <x:f>J25*'[3]Demand Loss Factor'!$G$54</x:f>
        <x:v>56796.504248876379</x:v>
      </x:c>
      <x:c r="I25" s="2"/>
      <x:c r="J25" s="2">
        <x:f>('[1]WHOLESALE-DLS'!$S$22/'[1]WHOLESALE-DLS'!$I$22)*'[2]WHOLESALE DLS'!$J$25</x:f>
        <x:v>55863.549619688456</x:v>
      </x:c>
      <x:c r="K25" s="2"/>
      <x:c r="L25" s="2">
        <x:f>N25*'[3]Demand Loss Factor'!$G$54</x:f>
        <x:v>52573.105326151846</x:v>
      </x:c>
      <x:c r="N25" s="2">
        <x:f>('[1]WHOLESALE-DLS'!$S$22/'[1]WHOLESALE-DLS'!$I$22)*'[2]WHOLESALE DLS'!$N$25</x:f>
        <x:v>51709.525381690954</x:v>
      </x:c>
      <x:c r="O25" s="2"/>
      <x:c r="P25" s="2">
        <x:f>R25*'[3]Demand Loss Factor'!$G$54</x:f>
        <x:v>52573.105326151846</x:v>
      </x:c>
      <x:c r="R25" s="2">
        <x:f>('[1]WHOLESALE-DLS'!$S$22/'[1]WHOLESALE-DLS'!$I$22)*'[2]WHOLESALE DLS'!$R$25</x:f>
        <x:v>51709.525381690954</x:v>
      </x:c>
      <x:c r="S25" s="2"/>
      <x:c r="T25" s="2">
        <x:f>V25*'[3]Energy Loss Factor'!$G$54</x:f>
        <x:v>24661937.326223042</x:v>
      </x:c>
      <x:c r="V25" s="2">
        <x:f>'[1]WHOLESALE-DLS'!$S$22</x:f>
        <x:v>24367270</x:v>
      </x:c>
      <x:c r="X25" s="12">
        <x:v>0.92563980867170914</x:v>
      </x:c>
      <x:c r="Y25" s="12"/>
      <x:c r="Z25" s="20">
        <x:v>0.60580000000000001</x:v>
      </x:c>
    </x:row>
    <x:row r="26" spans="1:26" ht="24.95" customHeight="1" x14ac:dyDescent="0.25">
      <x:c r="A26" s="13">
        <x:v>5</x:v>
      </x:c>
      <x:c r="B26" s="13" t="s">
        <x:v>20</x:v>
      </x:c>
      <x:c r="D26" s="2">
        <x:f>F26*'[3]Demand Loss Factor'!$G$54</x:f>
        <x:v>110465.85913437762</x:v>
      </x:c>
      <x:c r="E26" s="2"/>
      <x:c r="F26" s="2">
        <x:f>('[1]WHOLESALE-DLS'!$S$24/'[1]WHOLESALE-DLS'!$I$24)*'[2]WHOLESALE DLS'!$F$26</x:f>
        <x:v>108651.31727111361</x:v>
      </x:c>
      <x:c r="G26" s="2"/>
      <x:c r="H26" s="2">
        <x:f>J26*'[3]Demand Loss Factor'!$G$54</x:f>
        <x:v>74792.056244914347</x:v>
      </x:c>
      <x:c r="I26" s="2"/>
      <x:c r="J26" s="2">
        <x:f>('[1]WHOLESALE-DLS'!$S$24/'[1]WHOLESALE-DLS'!$I$24)*'[2]WHOLESALE DLS'!$J$26</x:f>
        <x:v>73563.50184666444</x:v>
      </x:c>
      <x:c r="K26" s="2"/>
      <x:c r="L26" s="2">
        <x:f>N26*'[3]Demand Loss Factor'!$G$54</x:f>
        <x:v>72752.735402223421</x:v>
      </x:c>
      <x:c r="N26" s="2">
        <x:f>('[1]WHOLESALE-DLS'!$S$24/'[1]WHOLESALE-DLS'!$I$24)*'[2]WHOLESALE DLS'!$N$26</x:f>
        <x:v>71557.679435712402</x:v>
      </x:c>
      <x:c r="O26" s="2"/>
      <x:c r="P26" s="2">
        <x:f>R26*'[3]Demand Loss Factor'!$G$54</x:f>
        <x:v>73341.375925247747</x:v>
      </x:c>
      <x:c r="R26" s="2">
        <x:f>('[1]WHOLESALE-DLS'!$S$24/'[1]WHOLESALE-DLS'!$I$24)*'[2]WHOLESALE DLS'!$R$26</x:f>
        <x:v>72136.650791450011</x:v>
      </x:c>
      <x:c r="S26" s="2"/>
      <x:c r="T26" s="2">
        <x:f>V26*'[3]Energy Loss Factor'!$G$54</x:f>
        <x:v>30108189.330395166</x:v>
      </x:c>
      <x:c r="V26" s="2">
        <x:f>'[1]WHOLESALE-DLS'!$S$24</x:f>
        <x:v>29748448.75</x:v>
      </x:c>
      <x:c r="X26" s="12">
        <x:v>0.97273345666533162</x:v>
      </x:c>
      <x:c r="Y26" s="12"/>
      <x:c r="Z26" s="20">
        <x:v>0.54349999999999998</x:v>
      </x:c>
    </x:row>
    <x:row r="27" spans="1:26" ht="24.95" customHeight="1" x14ac:dyDescent="0.25">
      <x:c r="A27" s="13">
        <x:v>6</x:v>
      </x:c>
      <x:c r="B27" s="13" t="s">
        <x:v>21</x:v>
      </x:c>
      <x:c r="D27" s="2">
        <x:f>F27*'[3]Demand Loss Factor'!$G$54</x:f>
        <x:v>119869.50176845044</x:v>
      </x:c>
      <x:c r="E27" s="2"/>
      <x:c r="F27" s="2">
        <x:f>('[1]WHOLESALE-DLS'!$S$26/'[1]WHOLESALE-DLS'!$I$26)*'[2]WHOLESALE DLS'!$F$27</x:f>
        <x:v>117900.49314631261</x:v>
      </x:c>
      <x:c r="G27" s="2"/>
      <x:c r="H27" s="2">
        <x:f>J27*'[3]Demand Loss Factor'!$G$54</x:f>
        <x:v>85539.635335083847</x:v>
      </x:c>
      <x:c r="I27" s="2"/>
      <x:c r="J27" s="2">
        <x:f>('[1]WHOLESALE-DLS'!$S$26/'[1]WHOLESALE-DLS'!$I$26)*'[2]WHOLESALE DLS'!$J$27</x:f>
        <x:v>84134.538316872698</x:v>
      </x:c>
      <x:c r="K27" s="2"/>
      <x:c r="L27" s="2">
        <x:f>N27*'[3]Demand Loss Factor'!$G$54</x:f>
        <x:v>73369.445708962856</x:v>
      </x:c>
      <x:c r="N27" s="2">
        <x:f>('[1]WHOLESALE-DLS'!$S$26/'[1]WHOLESALE-DLS'!$I$26)*'[2]WHOLESALE DLS'!$N$27</x:f>
        <x:v>72164.259493360805</x:v>
      </x:c>
      <x:c r="O27" s="2"/>
      <x:c r="P27" s="2">
        <x:f>R27*'[3]Demand Loss Factor'!$G$54</x:f>
        <x:v>83320.966567744879</x:v>
      </x:c>
      <x:c r="Q27" s="14"/>
      <x:c r="R27" s="2">
        <x:f>('[1]WHOLESALE-DLS'!$S$26/'[1]WHOLESALE-DLS'!$I$26)*'[2]WHOLESALE DLS'!$R$27</x:f>
        <x:v>81952.31399843948</x:v>
      </x:c>
      <x:c r="S27" s="2"/>
      <x:c r="T27" s="2">
        <x:f>V27*'[3]Energy Loss Factor'!$G$54</x:f>
        <x:v>36061407.44930467</x:v>
      </x:c>
      <x:c r="V27" s="2">
        <x:f>'[1]WHOLESALE-DLS'!$S$26</x:f>
        <x:v>35630536.25</x:v>
      </x:c>
      <x:c r="X27" s="12">
        <x:v>0.85772455565835881</x:v>
      </x:c>
      <x:c r="Y27" s="12"/>
      <x:c r="Z27" s="20">
        <x:v>0.58819999999999995</x:v>
      </x:c>
    </x:row>
    <x:row r="28" spans="1:26" ht="24.95" customHeight="1" x14ac:dyDescent="0.25">
      <x:c r="A28" s="13">
        <x:v>7</x:v>
      </x:c>
      <x:c r="B28" s="13" t="s">
        <x:v>22</x:v>
      </x:c>
      <x:c r="D28" s="2">
        <x:f>F28*'[3]Demand Loss Factor'!$G$54</x:f>
        <x:v>119133.00646387879</x:v>
      </x:c>
      <x:c r="E28" s="2"/>
      <x:c r="F28" s="2">
        <x:f>('[1]WHOLESALE-DLS'!$S$28/'[1]WHOLESALE-DLS'!$I$28)*'[2]WHOLESALE DLS'!$F$28</x:f>
        <x:v>117176.09571136977</x:v>
      </x:c>
      <x:c r="G28" s="2"/>
      <x:c r="H28" s="2">
        <x:f>J28*'[3]Demand Loss Factor'!$G$54</x:f>
        <x:v>87509.224113561679</x:v>
      </x:c>
      <x:c r="I28" s="2"/>
      <x:c r="J28" s="2">
        <x:f>('[1]WHOLESALE-DLS'!$S$28/'[1]WHOLESALE-DLS'!$I$28)*'[2]WHOLESALE DLS'!$J$28</x:f>
        <x:v>86071.774101222123</x:v>
      </x:c>
      <x:c r="K28" s="2"/>
      <x:c r="L28" s="2">
        <x:f>N28*'[3]Demand Loss Factor'!$G$54</x:f>
        <x:v>82684.625771159321</x:v>
      </x:c>
      <x:c r="N28" s="2">
        <x:f>('[1]WHOLESALE-DLS'!$S$28/'[1]WHOLESALE-DLS'!$I$28)*'[2]WHOLESALE DLS'!$N$28</x:f>
        <x:v>81326.425906642122</x:v>
      </x:c>
      <x:c r="O28" s="2"/>
      <x:c r="P28" s="2">
        <x:f>R28*'[3]Demand Loss Factor'!$G$54</x:f>
        <x:v>82152.594592135953</x:v>
      </x:c>
      <x:c r="R28" s="2">
        <x:f>('[1]WHOLESALE-DLS'!$S$28/'[1]WHOLESALE-DLS'!$I$28)*'[2]WHOLESALE DLS'!$R$28</x:f>
        <x:v>80803.13401462078</x:v>
      </x:c>
      <x:c r="S28" s="2"/>
      <x:c r="T28" s="2">
        <x:f>V28*'[3]Energy Loss Factor'!$G$54</x:f>
        <x:v>39350365.031217553</x:v>
      </x:c>
      <x:c r="V28" s="2">
        <x:f>'[1]WHOLESALE-DLS'!$S$28</x:f>
        <x:v>38880196.5</x:v>
      </x:c>
      <x:c r="X28" s="12">
        <x:v>0.94486754520710381</x:v>
      </x:c>
      <x:c r="Y28" s="12"/>
      <x:c r="Z28" s="20">
        <x:v>0.60709999999999997</x:v>
      </x:c>
    </x:row>
    <x:row r="29" spans="1:26" ht="24.95" customHeight="1" x14ac:dyDescent="0.25">
      <x:c r="A29" s="13">
        <x:v>8</x:v>
      </x:c>
      <x:c r="B29" s="13" t="s">
        <x:v>23</x:v>
      </x:c>
      <x:c r="D29" s="2">
        <x:f>F29*'[3]Demand Loss Factor'!$G$54</x:f>
        <x:v>127767.01281709317</x:v>
      </x:c>
      <x:c r="E29" s="2"/>
      <x:c r="F29" s="2">
        <x:f>('[1]WHOLESALE-DLS'!$S$30/'[1]WHOLESALE-DLS'!$I$30)*'[2]WHOLESALE DLS'!$F$29</x:f>
        <x:v>125668.27755791429</x:v>
      </x:c>
      <x:c r="G29" s="2"/>
      <x:c r="H29" s="2">
        <x:f>J29*'[3]Demand Loss Factor'!$G$54</x:f>
        <x:v>92229.316325092455</x:v>
      </x:c>
      <x:c r="I29" s="2"/>
      <x:c r="J29" s="2">
        <x:f>('[1]WHOLESALE-DLS'!$S$30/'[1]WHOLESALE-DLS'!$I$30)*'[2]WHOLESALE DLS'!$J$29</x:f>
        <x:v>90714.332810697117</x:v>
      </x:c>
      <x:c r="K29" s="2"/>
      <x:c r="L29" s="2">
        <x:f>N29*'[3]Demand Loss Factor'!$G$54</x:f>
        <x:v>80364.44714342634</x:v>
      </x:c>
      <x:c r="N29" s="2">
        <x:f>('[1]WHOLESALE-DLS'!$S$30/'[1]WHOLESALE-DLS'!$I$30)*'[2]WHOLESALE DLS'!$N$29</x:f>
        <x:v>79044.359156038088</x:v>
      </x:c>
      <x:c r="O29" s="2"/>
      <x:c r="P29" s="2">
        <x:f>R29*'[3]Demand Loss Factor'!$G$54</x:f>
        <x:v>86569.922656850031</x:v>
      </x:c>
      <x:c r="R29" s="2">
        <x:f>('[1]WHOLESALE-DLS'!$S$30/'[1]WHOLESALE-DLS'!$I$30)*'[2]WHOLESALE DLS'!$R$29</x:f>
        <x:v>85147.901862449711</x:v>
      </x:c>
      <x:c r="S29" s="2"/>
      <x:c r="T29" s="2">
        <x:f>V29*'[3]Energy Loss Factor'!$G$54</x:f>
        <x:v>44096788.044179916</x:v>
      </x:c>
      <x:c r="V29" s="2">
        <x:f>'[1]WHOLESALE-DLS'!$S$30</x:f>
        <x:v>43569908</x:v>
      </x:c>
      <x:c r="X29" s="12">
        <x:v>0.87135468791892057</x:v>
      </x:c>
      <x:c r="Y29" s="12"/>
      <x:c r="Z29" s="20">
        <x:v>0.64559999999999995</x:v>
      </x:c>
    </x:row>
    <x:row r="30" spans="1:26" ht="24.95" customHeight="1" x14ac:dyDescent="0.25">
      <x:c r="A30" s="13">
        <x:v>9</x:v>
      </x:c>
      <x:c r="B30" s="13" t="s">
        <x:v>24</x:v>
      </x:c>
      <x:c r="D30" s="2">
        <x:f>F30*'[3]Demand Loss Factor'!$G$54</x:f>
        <x:v>118184.74579734406</x:v>
      </x:c>
      <x:c r="E30" s="2"/>
      <x:c r="F30" s="2">
        <x:f>('[1]WHOLESALE-DLS'!$S$32/'[1]WHOLESALE-DLS'!$I$32)*'[2]WHOLESALE DLS'!$F$30</x:f>
        <x:v>116243.41142916045</x:v>
      </x:c>
      <x:c r="G30" s="2"/>
      <x:c r="H30" s="2">
        <x:f>J30*'[3]Demand Loss Factor'!$G$54</x:f>
        <x:v>82633.011326629072</x:v>
      </x:c>
      <x:c r="I30" s="2"/>
      <x:c r="J30" s="2">
        <x:f>('[1]WHOLESALE-DLS'!$S$32/'[1]WHOLESALE-DLS'!$I$32)*'[2]WHOLESALE DLS'!$J$30</x:f>
        <x:v>81275.659294836703</x:v>
      </x:c>
      <x:c r="K30" s="2"/>
      <x:c r="L30" s="2">
        <x:f>N30*'[3]Demand Loss Factor'!$G$54</x:f>
        <x:v>82632.821289668718</x:v>
      </x:c>
      <x:c r="N30" s="2">
        <x:f>('[1]WHOLESALE-DLS'!$S$32/'[1]WHOLESALE-DLS'!$I$32)*'[2]WHOLESALE DLS'!$N$30</x:f>
        <x:v>81275.472379474479</x:v>
      </x:c>
      <x:c r="O30" s="2"/>
      <x:c r="P30" s="2">
        <x:f>R30*'[3]Demand Loss Factor'!$G$54</x:f>
        <x:v>76331.195684044811</x:v>
      </x:c>
      <x:c r="R30" s="2">
        <x:f>('[1]WHOLESALE-DLS'!$S$32/'[1]WHOLESALE-DLS'!$I$32)*'[2]WHOLESALE DLS'!$R$30</x:f>
        <x:v>75077.358968094326</x:v>
      </x:c>
      <x:c r="S30" s="2"/>
      <x:c r="T30" s="2">
        <x:f>V30*'[3]Energy Loss Factor'!$G$54</x:f>
        <x:v>32295662.58732393</x:v>
      </x:c>
      <x:c r="V30" s="2">
        <x:f>'[1]WHOLESALE-DLS'!$S$32</x:f>
        <x:v>31909785.5</x:v>
      </x:c>
      <x:c r="X30" s="12">
        <x:v>0.99999770022951717</x:v>
      </x:c>
      <x:c r="Y30" s="12"/>
      <x:c r="Z30" s="20">
        <x:v>0.54530000000000001</x:v>
      </x:c>
    </x:row>
    <x:row r="31" spans="1:26" ht="24.95" customHeight="1" x14ac:dyDescent="0.25">
      <x:c r="A31" s="13">
        <x:v>10</x:v>
      </x:c>
      <x:c r="B31" s="13" t="s">
        <x:v>25</x:v>
      </x:c>
      <x:c r="D31" s="2">
        <x:f>F31*'[3]Demand Loss Factor'!$G$54</x:f>
        <x:v>115648.75050442702</x:v>
      </x:c>
      <x:c r="E31" s="2"/>
      <x:c r="F31" s="2">
        <x:f>('[1]WHOLESALE-DLS'!$S$34/'[1]WHOLESALE-DLS'!$I$34)*'[2]WHOLESALE DLS'!$F$31</x:f>
        <x:v>113749.07307586347</x:v>
      </x:c>
      <x:c r="G31" s="2"/>
      <x:c r="H31" s="2">
        <x:f>J31*'[3]Demand Loss Factor'!$G$54</x:f>
        <x:v>72446.409968448963</x:v>
      </x:c>
      <x:c r="I31" s="2"/>
      <x:c r="J31" s="2">
        <x:f>('[1]WHOLESALE-DLS'!$S$34/'[1]WHOLESALE-DLS'!$I$34)*'[2]WHOLESALE DLS'!$J$31</x:f>
        <x:v>71256.385785764374</x:v>
      </x:c>
      <x:c r="K31" s="2"/>
      <x:c r="L31" s="2">
        <x:f>N31*'[3]Demand Loss Factor'!$G$54</x:f>
        <x:v>69318.859202337742</x:v>
      </x:c>
      <x:c r="N31" s="2">
        <x:f>('[1]WHOLESALE-DLS'!$S$34/'[1]WHOLESALE-DLS'!$I$34)*'[2]WHOLESALE DLS'!$N$31</x:f>
        <x:v>68180.209008314123</x:v>
      </x:c>
      <x:c r="O31" s="2"/>
      <x:c r="P31" s="2">
        <x:f>R31*'[3]Demand Loss Factor'!$G$54</x:f>
        <x:v>69318.859202337742</x:v>
      </x:c>
      <x:c r="R31" s="2">
        <x:f>('[1]WHOLESALE-DLS'!$S$34/'[1]WHOLESALE-DLS'!$I$34)*'[2]WHOLESALE DLS'!$R$31</x:f>
        <x:v>68180.209008314123</x:v>
      </x:c>
      <x:c r="S31" s="2"/>
      <x:c r="T31" s="2">
        <x:f>V31*'[3]Energy Loss Factor'!$G$54</x:f>
        <x:v>29789990.658813644</x:v>
      </x:c>
      <x:c r="V31" s="2">
        <x:f>'[1]WHOLESALE-DLS'!$S$34</x:f>
        <x:v>29434052</x:v>
      </x:c>
      <x:c r="X31" s="12">
        <x:v>0.95682945825095711</x:v>
      </x:c>
      <x:c r="Y31" s="12"/>
      <x:c r="Z31" s="20">
        <x:v>0.55520000000000003</x:v>
      </x:c>
    </x:row>
    <x:row r="32" spans="1:26" ht="24.95" customHeight="1" x14ac:dyDescent="0.25">
      <x:c r="A32" s="13">
        <x:v>11</x:v>
      </x:c>
      <x:c r="B32" s="13" t="s">
        <x:v>26</x:v>
      </x:c>
      <x:c r="D32" s="2">
        <x:f>F32*'[3]Demand Loss Factor'!$G$54</x:f>
        <x:v>123002.36995619429</x:v>
      </x:c>
      <x:c r="E32" s="2"/>
      <x:c r="F32" s="2">
        <x:f>('[1]WHOLESALE-DLS'!$S$36/'[1]WHOLESALE-DLS'!$I$36)*'[2]WHOLESALE DLS'!$F$32</x:f>
        <x:v>120981.9</x:v>
      </x:c>
      <x:c r="G32" s="2"/>
      <x:c r="H32" s="2">
        <x:f>J32*'[3]Demand Loss Factor'!$G$54</x:f>
        <x:v>63395.959045696203</x:v>
      </x:c>
      <x:c r="I32" s="2"/>
      <x:c r="J32" s="2">
        <x:f>('[1]WHOLESALE-DLS'!$S$36/'[1]WHOLESALE-DLS'!$I$36)*'[2]WHOLESALE DLS'!$J$32</x:f>
        <x:v>62354.6</x:v>
      </x:c>
      <x:c r="K32" s="2"/>
      <x:c r="L32" s="2">
        <x:f>N32*'[3]Demand Loss Factor'!$G$54</x:f>
        <x:v>47590.738244972999</x:v>
      </x:c>
      <x:c r="N32" s="2">
        <x:f>('[1]WHOLESALE-DLS'!$S$36/'[1]WHOLESALE-DLS'!$I$36)*'[2]WHOLESALE DLS'!$N$32</x:f>
        <x:v>46809</x:v>
      </x:c>
      <x:c r="O32" s="2"/>
      <x:c r="P32" s="2">
        <x:f>R32*'[3]Demand Loss Factor'!$G$54</x:f>
        <x:v>52123.189506399001</x:v>
      </x:c>
      <x:c r="R32" s="2">
        <x:f>('[1]WHOLESALE-DLS'!$S$36/'[1]WHOLESALE-DLS'!$I$36)*'[2]WHOLESALE DLS'!$R$32</x:f>
        <x:v>51267</x:v>
      </x:c>
      <x:c r="S32" s="2"/>
      <x:c r="T32" s="2">
        <x:f>V32*'[3]Energy Loss Factor'!$G$54</x:f>
        <x:v>26207870.037651882</x:v>
      </x:c>
      <x:c r="V32" s="2">
        <x:f>'[1]WHOLESALE-DLS'!$S$36</x:f>
        <x:v>25894731.5</x:v>
      </x:c>
      <x:c r="X32" s="12">
        <x:v>0.75069040616089266</x:v>
      </x:c>
      <x:c r="Y32" s="12"/>
      <x:c r="Z32" s="20">
        <x:v>0.56910000000000005</x:v>
      </x:c>
    </x:row>
    <x:row r="33" spans="1:26" ht="24.95" customHeight="1" thickBot="1" x14ac:dyDescent="0.3">
      <x:c r="A33" s="13">
        <x:v>12</x:v>
      </x:c>
      <x:c r="B33" s="13" t="s">
        <x:v>27</x:v>
      </x:c>
      <x:c r="D33" s="2">
        <x:f>F33*'[3]Demand Loss Factor'!$G$54</x:f>
        <x:v>130124.9676585375</x:v>
      </x:c>
      <x:c r="E33" s="2"/>
      <x:c r="F33" s="2">
        <x:f>('[1]WHOLESALE-DLS'!$S$38/'[1]WHOLESALE-DLS'!$I$38)*'[2]WHOLESALE DLS'!$F$33</x:f>
        <x:v>127987.5</x:v>
      </x:c>
      <x:c r="G33" s="2"/>
      <x:c r="H33" s="2">
        <x:f>J33*'[3]Demand Loss Factor'!$G$54</x:f>
        <x:v>73761.323302170902</x:v>
      </x:c>
      <x:c r="I33" s="2"/>
      <x:c r="J33" s="2">
        <x:f>('[1]WHOLESALE-DLS'!$S$38/'[1]WHOLESALE-DLS'!$I$38)*'[2]WHOLESALE DLS'!$J$33</x:f>
        <x:v>72549.7</x:v>
      </x:c>
      <x:c r="K33" s="2"/>
      <x:c r="L33" s="2">
        <x:f>N33*'[3]Demand Loss Factor'!$G$54</x:f>
        <x:v>66119.089924701009</x:v>
      </x:c>
      <x:c r="N33" s="2">
        <x:f>('[1]WHOLESALE-DLS'!$S$38/'[1]WHOLESALE-DLS'!$I$38)*'[2]WHOLESALE DLS'!$N$33</x:f>
        <x:v>65033</x:v>
      </x:c>
      <x:c r="O33" s="2"/>
      <x:c r="P33" s="2">
        <x:f>R33*'[3]Demand Loss Factor'!$G$54</x:f>
        <x:v>66119.089924701009</x:v>
      </x:c>
      <x:c r="R33" s="2">
        <x:f>('[1]WHOLESALE-DLS'!$S$38/'[1]WHOLESALE-DLS'!$I$38)*'[2]WHOLESALE DLS'!$R$33</x:f>
        <x:v>65033</x:v>
      </x:c>
      <x:c r="S33" s="2"/>
      <x:c r="T33" s="15">
        <x:f>V33*'[3]Energy Loss Factor'!$G$54</x:f>
        <x:v>30580068.719690718</x:v>
      </x:c>
      <x:c r="V33" s="15">
        <x:f>'[1]WHOLESALE-DLS'!$S$38</x:f>
        <x:v>30214690</x:v>
      </x:c>
      <x:c r="X33" s="12">
        <x:v>0.8963924041036696</x:v>
      </x:c>
      <x:c r="Y33" s="12"/>
      <x:c r="Z33" s="20">
        <x:v>0.55979999999999996</x:v>
      </x:c>
    </x:row>
    <x:row r="34" spans="1:26" ht="24.95" customHeight="1" thickTop="1" x14ac:dyDescent="0.25">
      <x:c r="A34" s="13">
        <x:v>13</x:v>
      </x:c>
      <x:c r="E34" s="2"/>
      <x:c r="G34" s="2"/>
      <x:c r="I34" s="2"/>
      <x:c r="J34" s="14"/>
      <x:c r="K34" s="2"/>
      <x:c r="O34" s="2"/>
      <x:c r="S34" s="2"/>
      <x:c r="T34" s="14">
        <x:f>+SUM(T22:T33)</x:f>
        <x:v>387121670.18351102</x:v>
      </x:c>
      <x:c r="U34" s="14"/>
      <x:c r="V34" s="14">
        <x:f>+SUM(V22:V33)</x:f>
        <x:v>382496238.45172727</x:v>
      </x:c>
    </x:row>
    <x:row r="35" spans="1:26" ht="24.95" customHeight="1" x14ac:dyDescent="0.25">
      <x:c r="A35" s="13"/>
      <x:c r="E35" s="2"/>
      <x:c r="G35" s="2"/>
      <x:c r="I35" s="2"/>
      <x:c r="K35" s="2"/>
      <x:c r="O35" s="2"/>
      <x:c r="S35" s="2"/>
      <x:c r="T35" s="14"/>
      <x:c r="U35" s="14"/>
      <x:c r="V35" s="14"/>
    </x:row>
    <x:row r="36" spans="1:26" ht="18.75" customHeight="1" x14ac:dyDescent="0.25">
      <x:c r="E36" s="2"/>
      <x:c r="G36" s="2"/>
      <x:c r="I36" s="2"/>
      <x:c r="K36" s="2"/>
      <x:c r="O36" s="2"/>
      <x:c r="S36" s="2"/>
      <x:c r="T36" s="14"/>
      <x:c r="U36" s="14"/>
      <x:c r="V36" s="14"/>
    </x:row>
    <x:row r="37" spans="1:26" ht="15" customHeight="1" x14ac:dyDescent="0.25">
      <x:c r="A37" s="1" t="s">
        <x:v>59</x:v>
      </x:c>
      <x:c r="E37" s="2"/>
      <x:c r="G37" s="2"/>
      <x:c r="I37" s="2"/>
      <x:c r="K37" s="2"/>
      <x:c r="O37" s="2"/>
      <x:c r="S37" s="2"/>
    </x:row>
    <x:row r="38" spans="1:26" ht="15" customHeight="1" x14ac:dyDescent="0.25">
      <x:c r="A38" s="1" t="s">
        <x:v>28</x:v>
      </x:c>
      <x:c r="E38" s="2"/>
      <x:c r="G38" s="2"/>
      <x:c r="I38" s="2"/>
      <x:c r="K38" s="2"/>
      <x:c r="O38" s="2"/>
      <x:c r="S38" s="2"/>
    </x:row>
    <x:row r="39" spans="1:26" ht="15" customHeight="1" x14ac:dyDescent="0.25">
      <x:c r="A39" s="3" t="s">
        <x:v>29</x:v>
      </x:c>
      <x:c r="E39" s="2"/>
      <x:c r="G39" s="2"/>
      <x:c r="I39" s="2"/>
      <x:c r="K39" s="2"/>
      <x:c r="O39" s="2"/>
      <x:c r="S39" s="2"/>
    </x:row>
    <x:row r="40" spans="1:26" ht="15" customHeight="1" x14ac:dyDescent="0.25">
      <x:c r="A40" s="3"/>
      <x:c r="E40" s="2"/>
      <x:c r="G40" s="2"/>
      <x:c r="I40" s="2"/>
      <x:c r="K40" s="2"/>
      <x:c r="O40" s="2"/>
      <x:c r="S40" s="2"/>
    </x:row>
  </x:sheetData>
  <x:pageMargins left="0.5" right="1" top="1.5" bottom="0.5" header="0.5" footer="0.5"/>
  <x:pageSetup scale="50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2025-04-24T14:17:20.0000000Z</dcterms:modified>
</coreProperties>
</file>