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Schedule II-H WP\"/>
    </mc:Choice>
  </mc:AlternateContent>
  <xr:revisionPtr revIDLastSave="0" documentId="13_ncr:1_{F8E05263-07A5-4E95-85AA-ED59E4AC3D07}" xr6:coauthVersionLast="47" xr6:coauthVersionMax="47" xr10:uidLastSave="{00000000-0000-0000-0000-000000000000}"/>
  <x:bookViews>
    <x:workbookView xWindow="-120" yWindow="-120" windowWidth="29040" windowHeight="15720" activeTab="1" xr2:uid="{00000000-000D-0000-FFFF-FFFF00000000}"/>
  </x:bookViews>
  <x:sheets>
    <x:sheet name="Energy Loss Factor" sheetId="1" r:id="rId1"/>
    <x:sheet name="Demand Loss Factor" sheetId="2" r:id="rId2"/>
    <x:sheet name="2024 Stats" sheetId="3" r:id="rId3"/>
  </x:sheets>
  <x:definedNames>
    <x:definedName name="_xlnm.Print_Area" localSheetId="2">'2024 Stats'!$C$1:$H$47</x:definedName>
    <x:definedName name="_xlnm.Print_Area" localSheetId="1">'Demand Loss Factor'!$A$1:$H$55</x:definedName>
    <x:definedName name="_xlnm.Print_Area" localSheetId="0">'Energy Loss Factor'!$A$1:$H$55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H17" i="3" l="1"/>
  <x:c r="H19" i="3" s="1"/>
  <x:c r="H21" i="3" s="1"/>
  <x:c r="E17" i="3"/>
  <x:c r="E19" i="3" s="1"/>
  <x:c r="E21" i="3" s="1"/>
  <x:c r="G31" i="2"/>
  <x:c r="G24" i="2"/>
  <x:c r="G23" i="2"/>
  <x:c r="G37" i="2" s="1"/>
  <x:c r="G22" i="2"/>
  <x:c r="G25" i="2" s="1"/>
  <x:c r="G24" i="1"/>
  <x:c r="G23" i="1"/>
  <x:c r="G37" i="1" s="1"/>
  <x:c r="G22" i="1"/>
  <x:c r="G31" i="1" s="1"/>
  <x:c r="E24" i="2" l="1"/>
  <x:c r="G42" i="2" s="1"/>
  <x:c r="H23" i="3"/>
  <x:c r="H25" i="3" s="1"/>
  <x:c r="E24" i="1"/>
  <x:c r="G42" i="1" s="1"/>
  <x:c r="E23" i="3"/>
  <x:c r="E25" i="3" s="1"/>
  <x:c r="G25" i="1"/>
  <x:c r="E27" i="3" l="1"/>
  <x:c r="E29" i="3" s="1"/>
  <x:c r="E23" i="1"/>
  <x:c r="G36" i="1" s="1"/>
  <x:c r="H27" i="3"/>
  <x:c r="H29" i="3" s="1"/>
  <x:c r="E23" i="2"/>
  <x:c r="G36" i="2" s="1"/>
  <x:c r="H31" i="3" l="1"/>
  <x:c r="E22" i="2"/>
  <x:c r="G16" i="2"/>
  <x:c r="G29" i="2" s="1"/>
  <x:c r="E22" i="1"/>
  <x:c r="E31" i="3"/>
  <x:c r="G16" i="1"/>
  <x:c r="G29" i="1" s="1"/>
  <x:c r="G30" i="1" l="1"/>
  <x:c r="G33" i="1" s="1"/>
  <x:c r="G48" i="1" s="1"/>
  <x:c r="G53" i="1" s="1"/>
  <x:c r="E25" i="1"/>
  <x:c r="E25" i="2"/>
  <x:c r="G30" i="2"/>
  <x:c r="G33" i="2" s="1"/>
  <x:c r="G48" i="2" s="1"/>
  <x:c r="G53" i="2" s="1"/>
  <x:c r="G32" i="2" l="1"/>
  <x:c r="G35" i="2" s="1"/>
  <x:c r="G32" i="1"/>
  <x:c r="G35" i="1" s="1"/>
  <x:c r="G38" i="1" l="1"/>
  <x:c r="G41" i="1" s="1"/>
  <x:c r="G39" i="1"/>
  <x:c r="G49" i="1" s="1"/>
  <x:c r="G54" i="1" s="1"/>
  <x:c r="G38" i="2"/>
  <x:c r="G41" i="2" s="1"/>
  <x:c r="G39" i="2"/>
  <x:c r="G49" i="2" s="1"/>
  <x:c r="G54" i="2" s="1"/>
  <x:c r="G43" i="2" l="1"/>
  <x:c r="G44" i="2"/>
  <x:c r="G50" i="2" s="1"/>
  <x:c r="G55" i="2" s="1"/>
  <x:c r="G43" i="1"/>
  <x:c r="G44" i="1"/>
  <x:c r="G50" i="1" s="1"/>
  <x:c r="G55" i="1" s="1"/>
</x:calcChain>
</file>

<file path=xl/sharedStrings.xml><?xml version="1.0" encoding="utf-8"?>
<sst xmlns="http://schemas.openxmlformats.org/spreadsheetml/2006/main" count="137" uniqueCount="98">
  <si>
    <t xml:space="preserve">                                                WP/II-H-1.3/1</t>
  </si>
  <si>
    <t xml:space="preserve">                                                Page 1 of 3</t>
  </si>
  <si>
    <t>2024 Test Year Data</t>
  </si>
  <si>
    <t>Oncor Electric Delivery Company LLC</t>
  </si>
  <si>
    <t>Unadjusted Test Year Load Data</t>
  </si>
  <si>
    <t>For the Test Year Ended December 31, 2024</t>
  </si>
  <si>
    <t>Sponsor: D. E. Nelson</t>
  </si>
  <si>
    <t>System Line Loss Calculation (Test Year 2024)</t>
  </si>
  <si>
    <t>Energy Loss Factor Calculation</t>
  </si>
  <si>
    <t>Line</t>
  </si>
  <si>
    <t>No.</t>
  </si>
  <si>
    <t>(a)</t>
  </si>
  <si>
    <t>(b)</t>
  </si>
  <si>
    <t>(c)</t>
  </si>
  <si>
    <t>(d)</t>
  </si>
  <si>
    <t>System Net Consumed, MWh (as Calculated page 3)</t>
  </si>
  <si>
    <t>Booked Sales and Energy Losses by Voltage Level, MWh</t>
  </si>
  <si>
    <t>(Booked Sales and Energy Losses Page 3):</t>
  </si>
  <si>
    <t>Energy</t>
  </si>
  <si>
    <t>Booked</t>
  </si>
  <si>
    <t>Losses</t>
  </si>
  <si>
    <t>Sales</t>
  </si>
  <si>
    <t>Substation</t>
  </si>
  <si>
    <t>Primary</t>
  </si>
  <si>
    <t>Secondary</t>
  </si>
  <si>
    <t xml:space="preserve">    Total</t>
  </si>
  <si>
    <t>Percent Losses Calculation Procedure</t>
  </si>
  <si>
    <t>Substation:</t>
  </si>
  <si>
    <t xml:space="preserve">      Input to Distribution Substation Transformation System, MWh</t>
  </si>
  <si>
    <t xml:space="preserve">      Substation Losses, MWh</t>
  </si>
  <si>
    <t xml:space="preserve">      Substation Sales, MWh</t>
  </si>
  <si>
    <t xml:space="preserve">      Remainder to Distribution Primary System, MWh</t>
  </si>
  <si>
    <t xml:space="preserve">      Percent Losses (Line 15/Line14) </t>
  </si>
  <si>
    <t>Primary:</t>
  </si>
  <si>
    <t xml:space="preserve">      Input to Distribution Primary System, MWh</t>
  </si>
  <si>
    <t xml:space="preserve">      Primary Losses, MWh</t>
  </si>
  <si>
    <t xml:space="preserve">      Primary Sales, MWh</t>
  </si>
  <si>
    <t xml:space="preserve">      Remainder to Distribution Secondary System, MWh</t>
  </si>
  <si>
    <t xml:space="preserve">      Percent Losses (Line 21/Line 20) </t>
  </si>
  <si>
    <t>Secondary:</t>
  </si>
  <si>
    <t xml:space="preserve">      Input to Distribution Secondary System, MWh</t>
  </si>
  <si>
    <t xml:space="preserve">      Secondary Losses, MWh</t>
  </si>
  <si>
    <t xml:space="preserve">      Secondary Sales, MWh</t>
  </si>
  <si>
    <t xml:space="preserve">      Percent Losses (Line 27/Line 26) </t>
  </si>
  <si>
    <t>Loss Factors</t>
  </si>
  <si>
    <t xml:space="preserve">      Loss Element by Voltage Level (1 - (Percent Losses/100):</t>
  </si>
  <si>
    <t xml:space="preserve">          Substation</t>
  </si>
  <si>
    <t xml:space="preserve">          Primary</t>
  </si>
  <si>
    <t xml:space="preserve">          Secondary</t>
  </si>
  <si>
    <t xml:space="preserve">      Factor by Voltage Level :</t>
  </si>
  <si>
    <t xml:space="preserve">          Substation (1.0/Line 33)</t>
  </si>
  <si>
    <t xml:space="preserve">          Primary (Line 38/Line 34)</t>
  </si>
  <si>
    <t xml:space="preserve">          Secondary (Line 39/Line 35)</t>
  </si>
  <si>
    <t xml:space="preserve">                                                 WP/II-H-1.3/1</t>
  </si>
  <si>
    <t xml:space="preserve">                                                  Page 2 of 3</t>
  </si>
  <si>
    <t>Demand Loss Factor Calculation</t>
  </si>
  <si>
    <t>System Peak Demand, MW (as Calculated Page 3)</t>
  </si>
  <si>
    <t>Coincident Demand and Demand Losses, MW</t>
  </si>
  <si>
    <t>(Coincident Demands and Demand Losses Page 3):</t>
  </si>
  <si>
    <t>Demand</t>
  </si>
  <si>
    <t>Coincident</t>
  </si>
  <si>
    <t xml:space="preserve">      Input to Distribution Substation System, MW</t>
  </si>
  <si>
    <t xml:space="preserve">      Substation Losses, MW</t>
  </si>
  <si>
    <t xml:space="preserve">      Substation Demand, MW</t>
  </si>
  <si>
    <t xml:space="preserve">      Remainder to Distribution Primary System, MW</t>
  </si>
  <si>
    <t xml:space="preserve">      Percent Losses (Line 15/Line 14) </t>
  </si>
  <si>
    <t xml:space="preserve">      Input to Distribution Primary System, MW</t>
  </si>
  <si>
    <t xml:space="preserve">      Primary Losses, MW</t>
  </si>
  <si>
    <t xml:space="preserve">      Primary Demand, MW</t>
  </si>
  <si>
    <t xml:space="preserve">      Remainder to Distribution Secondary System, MW</t>
  </si>
  <si>
    <t xml:space="preserve">      Input to Distribution Secondary System, MW</t>
  </si>
  <si>
    <t xml:space="preserve">      Secondary Losses, MW</t>
  </si>
  <si>
    <t xml:space="preserve">      Secondary Demand, MW</t>
  </si>
  <si>
    <t xml:space="preserve">                                   WP/II-H-1.3/1</t>
  </si>
  <si>
    <t xml:space="preserve">                                    Page 3 of 3</t>
  </si>
  <si>
    <t>Calculated Losses Using 2015 Oncor Integrated Power System Loss Analysis</t>
  </si>
  <si>
    <t>MWh</t>
  </si>
  <si>
    <t>MW</t>
  </si>
  <si>
    <t>Retail Sales from Service Drop</t>
  </si>
  <si>
    <t>Service Drop Factor   *</t>
  </si>
  <si>
    <t>Output from Secondary</t>
  </si>
  <si>
    <t>Secondary Conductor Loss Factor  *</t>
  </si>
  <si>
    <t>Output from Line Transformers</t>
  </si>
  <si>
    <t>Line Transformer Loss Factor  *</t>
  </si>
  <si>
    <t>Input to Line Transformers</t>
  </si>
  <si>
    <t>Sales from Primary</t>
  </si>
  <si>
    <t>Output from Primary Lines</t>
  </si>
  <si>
    <t>Primary Line Loss Factor  *</t>
  </si>
  <si>
    <t>Output from Distribution Substations</t>
  </si>
  <si>
    <t>Sales from Substations</t>
  </si>
  <si>
    <t>Total Output from Distribution Substations</t>
  </si>
  <si>
    <t>Distribution Substation Loss Factor  *</t>
  </si>
  <si>
    <t>Input to Distribution Substations</t>
  </si>
  <si>
    <t xml:space="preserve"> </t>
  </si>
  <si>
    <t>Total System Losses</t>
  </si>
  <si>
    <t>NOTE:</t>
  </si>
  <si>
    <t xml:space="preserve">      2024 Annual Energy from company records and Demand at ERCOT's 2024 annual peak</t>
  </si>
  <si>
    <t xml:space="preserve">      * For Loss Factors, refer to WP/II-H-1.3/2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</si>
</sst>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%"/>
    <numFmt numFmtId="165" formatCode="#,##0.0"/>
    <numFmt numFmtId="166" formatCode="0.000000"/>
    <numFmt numFmtId="167" formatCode="0.0"/>
    <numFmt numFmtId="168" formatCode="#,##0.00000"/>
    <numFmt numFmtId="169" formatCode="0.00000"/>
    <numFmt numFmtId="170" formatCode="0.00000000"/>
  </numFmts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Continuous"/>
    </xf>
    <xf numFmtId="0" fontId="2" fillId="0" borderId="0" xfId="0" applyFont="1"/>
    <xf numFmtId="4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quotePrefix="1"/>
    <xf numFmtId="3" fontId="0" fillId="0" borderId="0" xfId="0" applyNumberForma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164" fontId="0" fillId="0" borderId="0" xfId="0" applyNumberFormat="1"/>
    <xf numFmtId="170" fontId="0" fillId="0" borderId="2" xfId="0" applyNumberFormat="1" applyBorder="1"/>
    <xf numFmtId="165" fontId="0" fillId="0" borderId="0" xfId="0" applyNumberFormat="1"/>
    <xf numFmtId="167" fontId="0" fillId="0" borderId="0" xfId="0" applyNumberFormat="1"/>
    <xf numFmtId="165" fontId="1" fillId="0" borderId="0" xfId="0" applyNumberFormat="1" applyFont="1"/>
    <xf numFmtId="167" fontId="1" fillId="0" borderId="0" xfId="0" applyNumberFormat="1" applyFont="1"/>
    <xf numFmtId="168" fontId="0" fillId="0" borderId="0" xfId="0" applyNumberFormat="1"/>
    <xf numFmtId="164" fontId="1" fillId="0" borderId="0" xfId="0" applyNumberFormat="1" applyFont="1"/>
    <xf numFmtId="169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G55"/>
  <x:sheetViews>
    <x:sheetView zoomScale="80" zoomScaleNormal="80" workbookViewId="0"/>
  </x:sheetViews>
  <x:sheetFormatPr defaultRowHeight="15" x14ac:dyDescent="0.25"/>
  <x:cols>
    <x:col min="1" max="1" width="4.28515625" style="5" bestFit="1" customWidth="1"/>
    <x:col min="2" max="2" width="2.140625" style="5" customWidth="1"/>
    <x:col min="3" max="3" width="55.28515625" style="14" customWidth="1"/>
    <x:col min="4" max="4" width="0.85546875" style="14" customWidth="1"/>
    <x:col min="5" max="5" width="15.85546875" style="14" customWidth="1"/>
    <x:col min="6" max="6" width="2.85546875" style="14" customWidth="1"/>
    <x:col min="7" max="7" width="15.7109375" style="14" customWidth="1"/>
  </x:cols>
  <x:sheetData>
    <x:row r="1" spans="1:7" x14ac:dyDescent="0.25">
      <x:c r="E1" t="s">
        <x:v>0</x:v>
      </x:c>
    </x:row>
    <x:row r="3" spans="1:7" x14ac:dyDescent="0.25">
      <x:c r="E3" t="s">
        <x:v>1</x:v>
      </x:c>
    </x:row>
    <x:row r="4" spans="1:7" x14ac:dyDescent="0.25">
      <x:c r="C4" s="24" t="s">
        <x:v>2</x:v>
      </x:c>
      <x:c r="D4" s="25"/>
      <x:c r="E4" s="25"/>
      <x:c r="F4" s="25"/>
      <x:c r="G4" s="25"/>
    </x:row>
    <x:row r="5" spans="1:7" x14ac:dyDescent="0.25">
      <x:c r="C5" s="24" t="s">
        <x:v>3</x:v>
      </x:c>
      <x:c r="D5" s="25"/>
      <x:c r="E5" s="25"/>
      <x:c r="F5" s="25"/>
      <x:c r="G5" s="25"/>
    </x:row>
    <x:row r="6" spans="1:7" x14ac:dyDescent="0.25">
      <x:c r="C6" s="24" t="s">
        <x:v>4</x:v>
      </x:c>
      <x:c r="D6" s="25"/>
      <x:c r="E6" s="25"/>
      <x:c r="F6" s="25"/>
      <x:c r="G6" s="25"/>
    </x:row>
    <x:row r="7" spans="1:7" x14ac:dyDescent="0.25">
      <x:c r="C7" s="24" t="s">
        <x:v>5</x:v>
      </x:c>
      <x:c r="D7" s="25"/>
      <x:c r="E7" s="25"/>
      <x:c r="F7" s="25"/>
      <x:c r="G7" s="25"/>
    </x:row>
    <x:row r="8" spans="1:7" x14ac:dyDescent="0.25">
      <x:c r="C8" s="26" t="s">
        <x:v>6</x:v>
      </x:c>
      <x:c r="D8" s="25"/>
      <x:c r="E8" s="25"/>
      <x:c r="F8" s="25"/>
      <x:c r="G8" s="25"/>
    </x:row>
    <x:row r="9" spans="1:7" x14ac:dyDescent="0.25">
      <x:c r="C9" s="1"/>
      <x:c r="D9" s="1"/>
      <x:c r="E9" s="1"/>
      <x:c r="F9" s="1"/>
      <x:c r="G9" s="1"/>
    </x:row>
    <x:row r="10" spans="1:7" x14ac:dyDescent="0.25">
      <x:c r="C10" s="24" t="s">
        <x:v>7</x:v>
      </x:c>
      <x:c r="D10" s="25"/>
      <x:c r="E10" s="25"/>
      <x:c r="F10" s="25"/>
      <x:c r="G10" s="25"/>
    </x:row>
    <x:row r="11" spans="1:7" x14ac:dyDescent="0.25">
      <x:c r="C11" s="24" t="s">
        <x:v>8</x:v>
      </x:c>
      <x:c r="D11" s="25"/>
      <x:c r="E11" s="25"/>
      <x:c r="F11" s="25"/>
      <x:c r="G11" s="25"/>
    </x:row>
    <x:row r="13" spans="1:7" x14ac:dyDescent="0.25">
      <x:c r="A13" s="13" t="s">
        <x:v>9</x:v>
      </x:c>
      <x:c r="B13" s="13"/>
    </x:row>
    <x:row r="14" spans="1:7" x14ac:dyDescent="0.25">
      <x:c r="A14" s="8" t="s">
        <x:v>10</x:v>
      </x:c>
      <x:c r="B14" s="12"/>
    </x:row>
    <x:row r="15" spans="1:7" x14ac:dyDescent="0.25">
      <x:c r="A15" s="13" t="s">
        <x:v>11</x:v>
      </x:c>
      <x:c r="B15" s="13"/>
      <x:c r="C15" s="13" t="s">
        <x:v>12</x:v>
      </x:c>
      <x:c r="D15" s="13"/>
      <x:c r="E15" s="13" t="s">
        <x:v>13</x:v>
      </x:c>
      <x:c r="F15" s="13"/>
      <x:c r="G15" s="13" t="s">
        <x:v>14</x:v>
      </x:c>
    </x:row>
    <x:row r="16" spans="1:7" x14ac:dyDescent="0.25">
      <x:c r="A16" s="5">
        <x:v>1</x:v>
      </x:c>
      <x:c r="C16" t="s">
        <x:v>15</x:v>
      </x:c>
      <x:c r="G16" s="10">
        <x:f>'2024 Stats'!E29</x:f>
        <x:v>191736910.11651418</x:v>
      </x:c>
    </x:row>
    <x:row r="17" spans="1:7" x14ac:dyDescent="0.25">
      <x:c r="A17" s="5">
        <x:v>2</x:v>
      </x:c>
    </x:row>
    <x:row r="18" spans="1:7" x14ac:dyDescent="0.25">
      <x:c r="A18" s="5">
        <x:v>3</x:v>
      </x:c>
      <x:c r="C18" t="s">
        <x:v>16</x:v>
      </x:c>
    </x:row>
    <x:row r="19" spans="1:7" x14ac:dyDescent="0.25">
      <x:c r="A19" s="5">
        <x:v>4</x:v>
      </x:c>
      <x:c r="C19" t="s">
        <x:v>17</x:v>
      </x:c>
    </x:row>
    <x:row r="20" spans="1:7" x14ac:dyDescent="0.25">
      <x:c r="A20" s="5">
        <x:v>5</x:v>
      </x:c>
      <x:c r="E20" s="13" t="s">
        <x:v>18</x:v>
      </x:c>
      <x:c r="G20" s="13" t="s">
        <x:v>19</x:v>
      </x:c>
    </x:row>
    <x:row r="21" spans="1:7" x14ac:dyDescent="0.25">
      <x:c r="A21" s="5">
        <x:v>6</x:v>
      </x:c>
      <x:c r="E21" s="12" t="s">
        <x:v>20</x:v>
      </x:c>
      <x:c r="G21" s="12" t="s">
        <x:v>21</x:v>
      </x:c>
    </x:row>
    <x:row r="22" spans="1:7" x14ac:dyDescent="0.25">
      <x:c r="A22" s="5">
        <x:v>7</x:v>
      </x:c>
      <x:c r="C22" t="s">
        <x:v>22</x:v>
      </x:c>
      <x:c r="E22" s="10">
        <x:f>('2024 Stats'!E29-'2024 Stats'!E27)</x:f>
        <x:v>788616.45283100009</x:v>
      </x:c>
      <x:c r="G22" s="10">
        <x:f>'2024 Stats'!E26</x:f>
        <x:v>6412195</x:v>
      </x:c>
    </x:row>
    <x:row r="23" spans="1:7" x14ac:dyDescent="0.25">
      <x:c r="A23" s="5">
        <x:v>8</x:v>
      </x:c>
      <x:c r="C23" t="s">
        <x:v>23</x:v>
      </x:c>
      <x:c r="E23" s="10">
        <x:f>('2024 Stats'!E25-'2024 Stats'!E23)</x:f>
        <x:v>1451858.0282390714</x:v>
      </x:c>
      <x:c r="G23" s="10">
        <x:f>'2024 Stats'!E22</x:f>
        <x:v>17209450</x:v>
      </x:c>
    </x:row>
    <x:row r="24" spans="1:7" x14ac:dyDescent="0.25">
      <x:c r="A24" s="5">
        <x:v>9</x:v>
      </x:c>
      <x:c r="C24" t="s">
        <x:v>24</x:v>
      </x:c>
      <x:c r="E24" s="11">
        <x:f>'2024 Stats'!E21-'2024 Stats'!E15</x:f>
        <x:v>3667714.9454441071</x:v>
      </x:c>
      <x:c r="G24" s="11">
        <x:f>'2024 Stats'!E15</x:f>
        <x:v>162207075.69</x:v>
      </x:c>
    </x:row>
    <x:row r="25" spans="1:7" x14ac:dyDescent="0.25">
      <x:c r="A25" s="5">
        <x:v>10</x:v>
      </x:c>
      <x:c r="C25" s="9" t="s">
        <x:v>25</x:v>
      </x:c>
      <x:c r="E25" s="10">
        <x:f>SUM(E22:E24)</x:f>
        <x:v>5908189.4265141785</x:v>
      </x:c>
      <x:c r="G25" s="10">
        <x:f>SUM(G22:G24)</x:f>
        <x:v>185828720.69</x:v>
      </x:c>
    </x:row>
    <x:row r="26" spans="1:7" x14ac:dyDescent="0.25">
      <x:c r="A26" s="5">
        <x:v>11</x:v>
      </x:c>
    </x:row>
    <x:row r="27" spans="1:7" x14ac:dyDescent="0.25">
      <x:c r="A27" s="5">
        <x:v>12</x:v>
      </x:c>
      <x:c r="C27" t="s">
        <x:v>26</x:v>
      </x:c>
    </x:row>
    <x:row r="28" spans="1:7" x14ac:dyDescent="0.25">
      <x:c r="A28" s="5">
        <x:v>13</x:v>
      </x:c>
      <x:c r="C28" t="s">
        <x:v>27</x:v>
      </x:c>
    </x:row>
    <x:row r="29" spans="1:7" x14ac:dyDescent="0.25">
      <x:c r="A29" s="5">
        <x:v>14</x:v>
      </x:c>
      <x:c r="C29" s="9" t="s">
        <x:v>28</x:v>
      </x:c>
      <x:c r="G29" s="10">
        <x:f>G16</x:f>
        <x:v>191736910.11651418</x:v>
      </x:c>
    </x:row>
    <x:row r="30" spans="1:7" x14ac:dyDescent="0.25">
      <x:c r="A30" s="5">
        <x:v>15</x:v>
      </x:c>
      <x:c r="C30" s="9" t="s">
        <x:v>29</x:v>
      </x:c>
      <x:c r="G30" s="10">
        <x:f>E22</x:f>
        <x:v>788616.45283100009</x:v>
      </x:c>
    </x:row>
    <x:row r="31" spans="1:7" x14ac:dyDescent="0.25">
      <x:c r="A31" s="5">
        <x:v>16</x:v>
      </x:c>
      <x:c r="C31" s="9" t="s">
        <x:v>30</x:v>
      </x:c>
      <x:c r="G31" s="11">
        <x:f>G22</x:f>
        <x:v>6412195</x:v>
      </x:c>
    </x:row>
    <x:row r="32" spans="1:7" x14ac:dyDescent="0.25">
      <x:c r="A32" s="5">
        <x:v>17</x:v>
      </x:c>
      <x:c r="C32" s="9" t="s">
        <x:v>31</x:v>
      </x:c>
      <x:c r="G32" s="10">
        <x:f>G29-G30-G31</x:f>
        <x:v>184536098.66368318</x:v>
      </x:c>
    </x:row>
    <x:row r="33" spans="1:7" x14ac:dyDescent="0.25">
      <x:c r="A33" s="5">
        <x:v>18</x:v>
      </x:c>
      <x:c r="C33" s="9" t="s">
        <x:v>32</x:v>
      </x:c>
      <x:c r="G33" s="15">
        <x:f>G30/G29</x:f>
        <x:v>4.1130132552557345E-3</x:v>
      </x:c>
    </x:row>
    <x:row r="34" spans="1:7" x14ac:dyDescent="0.25">
      <x:c r="A34" s="5">
        <x:v>19</x:v>
      </x:c>
      <x:c r="C34" t="s">
        <x:v>33</x:v>
      </x:c>
    </x:row>
    <x:row r="35" spans="1:7" x14ac:dyDescent="0.25">
      <x:c r="A35" s="5">
        <x:v>20</x:v>
      </x:c>
      <x:c r="C35" s="9" t="s">
        <x:v>34</x:v>
      </x:c>
      <x:c r="G35" s="10">
        <x:f>G32</x:f>
        <x:v>184536098.66368318</x:v>
      </x:c>
    </x:row>
    <x:row r="36" spans="1:7" x14ac:dyDescent="0.25">
      <x:c r="A36" s="5">
        <x:v>21</x:v>
      </x:c>
      <x:c r="C36" s="9" t="s">
        <x:v>35</x:v>
      </x:c>
      <x:c r="G36" s="10">
        <x:f>E23</x:f>
        <x:v>1451858.0282390714</x:v>
      </x:c>
    </x:row>
    <x:row r="37" spans="1:7" x14ac:dyDescent="0.25">
      <x:c r="A37" s="5">
        <x:v>22</x:v>
      </x:c>
      <x:c r="C37" s="9" t="s">
        <x:v>36</x:v>
      </x:c>
      <x:c r="G37" s="11">
        <x:f>G23</x:f>
        <x:v>17209450</x:v>
      </x:c>
    </x:row>
    <x:row r="38" spans="1:7" x14ac:dyDescent="0.25">
      <x:c r="A38" s="5">
        <x:v>23</x:v>
      </x:c>
      <x:c r="C38" s="9" t="s">
        <x:v>37</x:v>
      </x:c>
      <x:c r="G38" s="10">
        <x:f>G35-G36-G37</x:f>
        <x:v>165874790.6354441</x:v>
      </x:c>
    </x:row>
    <x:row r="39" spans="1:7" x14ac:dyDescent="0.25">
      <x:c r="A39" s="5">
        <x:v>24</x:v>
      </x:c>
      <x:c r="C39" s="9" t="s">
        <x:v>38</x:v>
      </x:c>
      <x:c r="G39" s="15">
        <x:f>G36/G35</x:f>
        <x:v>7.8676098538588961E-3</x:v>
      </x:c>
    </x:row>
    <x:row r="40" spans="1:7" x14ac:dyDescent="0.25">
      <x:c r="A40" s="5">
        <x:v>25</x:v>
      </x:c>
      <x:c r="C40" t="s">
        <x:v>39</x:v>
      </x:c>
    </x:row>
    <x:row r="41" spans="1:7" x14ac:dyDescent="0.25">
      <x:c r="A41" s="5">
        <x:v>26</x:v>
      </x:c>
      <x:c r="C41" s="9" t="s">
        <x:v>40</x:v>
      </x:c>
      <x:c r="G41" s="10">
        <x:f>G38</x:f>
        <x:v>165874790.6354441</x:v>
      </x:c>
    </x:row>
    <x:row r="42" spans="1:7" x14ac:dyDescent="0.25">
      <x:c r="A42" s="5">
        <x:v>27</x:v>
      </x:c>
      <x:c r="C42" s="9" t="s">
        <x:v>41</x:v>
      </x:c>
      <x:c r="G42" s="11">
        <x:f>E24</x:f>
        <x:v>3667714.9454441071</x:v>
      </x:c>
    </x:row>
    <x:row r="43" spans="1:7" x14ac:dyDescent="0.25">
      <x:c r="A43" s="5">
        <x:v>28</x:v>
      </x:c>
      <x:c r="C43" s="9" t="s">
        <x:v>42</x:v>
      </x:c>
      <x:c r="G43" s="10">
        <x:f>G41-G42</x:f>
        <x:v>162207075.69</x:v>
      </x:c>
    </x:row>
    <x:row r="44" spans="1:7" x14ac:dyDescent="0.25">
      <x:c r="A44" s="5">
        <x:v>29</x:v>
      </x:c>
      <x:c r="C44" s="9" t="s">
        <x:v>43</x:v>
      </x:c>
      <x:c r="G44" s="15">
        <x:f>G42/G41</x:f>
        <x:v>2.2111346343790896E-2</x:v>
      </x:c>
    </x:row>
    <x:row r="45" spans="1:7" x14ac:dyDescent="0.25">
      <x:c r="A45" s="5">
        <x:v>30</x:v>
      </x:c>
    </x:row>
    <x:row r="46" spans="1:7" x14ac:dyDescent="0.25">
      <x:c r="A46" s="5">
        <x:v>31</x:v>
      </x:c>
      <x:c r="C46" t="s">
        <x:v>44</x:v>
      </x:c>
    </x:row>
    <x:row r="47" spans="1:7" x14ac:dyDescent="0.25">
      <x:c r="A47" s="5">
        <x:v>32</x:v>
      </x:c>
      <x:c r="C47" s="9" t="s">
        <x:v>45</x:v>
      </x:c>
    </x:row>
    <x:row r="48" spans="1:7" x14ac:dyDescent="0.25">
      <x:c r="A48" s="5">
        <x:v>33</x:v>
      </x:c>
      <x:c r="C48" s="9" t="s">
        <x:v>46</x:v>
      </x:c>
      <x:c r="G48" s="4">
        <x:f>1-G33</x:f>
        <x:v>0.9958869867447443</x:v>
      </x:c>
    </x:row>
    <x:row r="49" spans="1:7" x14ac:dyDescent="0.25">
      <x:c r="A49" s="5">
        <x:v>34</x:v>
      </x:c>
      <x:c r="C49" s="9" t="s">
        <x:v>47</x:v>
      </x:c>
      <x:c r="G49" s="4">
        <x:f>1-G39</x:f>
        <x:v>0.99213239014614107</x:v>
      </x:c>
    </x:row>
    <x:row r="50" spans="1:7" x14ac:dyDescent="0.25">
      <x:c r="A50" s="5">
        <x:v>35</x:v>
      </x:c>
      <x:c r="C50" s="9" t="s">
        <x:v>48</x:v>
      </x:c>
      <x:c r="G50" s="4">
        <x:f>1-G44</x:f>
        <x:v>0.97788865365620914</x:v>
      </x:c>
    </x:row>
    <x:row r="51" spans="1:7" x14ac:dyDescent="0.25">
      <x:c r="A51" s="5">
        <x:v>36</x:v>
      </x:c>
    </x:row>
    <x:row r="52" spans="1:7" ht="15" customHeight="1" thickBot="1" x14ac:dyDescent="0.3">
      <x:c r="A52" s="5">
        <x:v>37</x:v>
      </x:c>
      <x:c r="C52" s="9" t="s">
        <x:v>49</x:v>
      </x:c>
    </x:row>
    <x:row r="53" spans="1:7" ht="15" customHeight="1" thickBot="1" x14ac:dyDescent="0.3">
      <x:c r="A53" s="5">
        <x:v>38</x:v>
      </x:c>
      <x:c r="C53" s="9" t="s">
        <x:v>50</x:v>
      </x:c>
      <x:c r="G53" s="16">
        <x:f>1/G48</x:f>
        <x:v>1.00413</x:v>
      </x:c>
    </x:row>
    <x:row r="54" spans="1:7" ht="15" customHeight="1" thickBot="1" x14ac:dyDescent="0.3">
      <x:c r="A54" s="5">
        <x:v>39</x:v>
      </x:c>
      <x:c r="C54" s="9" t="s">
        <x:v>51</x:v>
      </x:c>
      <x:c r="G54" s="16">
        <x:f>G53/G49</x:f>
        <x:v>1.0120927508999999</x:v>
      </x:c>
    </x:row>
    <x:row r="55" spans="1:7" ht="15" customHeight="1" thickBot="1" x14ac:dyDescent="0.3">
      <x:c r="A55" s="5">
        <x:v>40</x:v>
      </x:c>
      <x:c r="C55" s="9" t="s">
        <x:v>52</x:v>
      </x:c>
      <x:c r="G55" s="16">
        <x:f>G54/G50</x:f>
        <x:v>1.0349774967895433</x:v>
      </x:c>
    </x:row>
  </x:sheetData>
  <x:mergeCells count="7">
    <x:mergeCell ref="C4:G4"/>
    <x:mergeCell ref="C7:G7"/>
    <x:mergeCell ref="C6:G6"/>
    <x:mergeCell ref="C10:G10"/>
    <x:mergeCell ref="C11:G11"/>
    <x:mergeCell ref="C5:G5"/>
    <x:mergeCell ref="C8:G8"/>
  </x:mergeCells>
  <x:pageMargins left="1.5" right="0.75" top="1" bottom="1" header="0.3" footer="0.3"/>
  <x:pageSetup scale="74" orientation="portrait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G55"/>
  <x:sheetViews>
    <x:sheetView tabSelected="1" zoomScale="80" zoomScaleNormal="80" workbookViewId="0">
      <x:selection activeCell="K18" sqref="K18"/>
    </x:sheetView>
  </x:sheetViews>
  <x:sheetFormatPr defaultRowHeight="15" x14ac:dyDescent="0.25"/>
  <x:cols>
    <x:col min="1" max="1" width="4.28515625" style="14" customWidth="1"/>
    <x:col min="2" max="2" width="2" style="14" customWidth="1"/>
    <x:col min="3" max="3" width="55.28515625" style="14" customWidth="1"/>
    <x:col min="4" max="4" width="0.85546875" style="14" customWidth="1"/>
    <x:col min="5" max="5" width="15.85546875" style="14" customWidth="1"/>
    <x:col min="6" max="6" width="2.85546875" style="14" customWidth="1"/>
    <x:col min="7" max="7" width="15.7109375" style="14" customWidth="1"/>
  </x:cols>
  <x:sheetData>
    <x:row r="1" spans="1:7" x14ac:dyDescent="0.25">
      <x:c r="E1" t="s">
        <x:v>53</x:v>
      </x:c>
    </x:row>
    <x:row r="3" spans="1:7" x14ac:dyDescent="0.25">
      <x:c r="E3" t="s">
        <x:v>54</x:v>
      </x:c>
    </x:row>
    <x:row r="4" spans="1:7" x14ac:dyDescent="0.25">
      <x:c r="C4" s="24" t="s">
        <x:v>2</x:v>
      </x:c>
      <x:c r="D4" s="25"/>
      <x:c r="E4" s="25"/>
      <x:c r="F4" s="25"/>
      <x:c r="G4" s="25"/>
    </x:row>
    <x:row r="5" spans="1:7" x14ac:dyDescent="0.25">
      <x:c r="C5" s="24" t="s">
        <x:v>3</x:v>
      </x:c>
      <x:c r="D5" s="25"/>
      <x:c r="E5" s="25"/>
      <x:c r="F5" s="25"/>
      <x:c r="G5" s="25"/>
    </x:row>
    <x:row r="6" spans="1:7" x14ac:dyDescent="0.25">
      <x:c r="C6" s="24" t="s">
        <x:v>4</x:v>
      </x:c>
      <x:c r="D6" s="25"/>
      <x:c r="E6" s="25"/>
      <x:c r="F6" s="25"/>
      <x:c r="G6" s="25"/>
    </x:row>
    <x:row r="7" spans="1:7" x14ac:dyDescent="0.25">
      <x:c r="C7" s="24" t="s">
        <x:v>5</x:v>
      </x:c>
      <x:c r="D7" s="25"/>
      <x:c r="E7" s="25"/>
      <x:c r="F7" s="25"/>
      <x:c r="G7" s="25"/>
    </x:row>
    <x:row r="8" spans="1:7" x14ac:dyDescent="0.25">
      <x:c r="A8" s="5"/>
      <x:c r="B8" s="5"/>
      <x:c r="C8" s="26" t="s">
        <x:v>6</x:v>
      </x:c>
      <x:c r="D8" s="25"/>
      <x:c r="E8" s="25"/>
      <x:c r="F8" s="25"/>
      <x:c r="G8" s="25"/>
    </x:row>
    <x:row r="9" spans="1:7" x14ac:dyDescent="0.25">
      <x:c r="C9" s="1"/>
      <x:c r="D9" s="1"/>
      <x:c r="E9" s="1"/>
      <x:c r="F9" s="1"/>
      <x:c r="G9" s="1"/>
    </x:row>
    <x:row r="10" spans="1:7" x14ac:dyDescent="0.25">
      <x:c r="C10" s="24" t="s">
        <x:v>7</x:v>
      </x:c>
      <x:c r="D10" s="25"/>
      <x:c r="E10" s="25"/>
      <x:c r="F10" s="25"/>
      <x:c r="G10" s="25"/>
    </x:row>
    <x:row r="11" spans="1:7" x14ac:dyDescent="0.25">
      <x:c r="C11" s="24" t="s">
        <x:v>55</x:v>
      </x:c>
      <x:c r="D11" s="25"/>
      <x:c r="E11" s="25"/>
      <x:c r="F11" s="25"/>
      <x:c r="G11" s="25"/>
    </x:row>
    <x:row r="13" spans="1:7" x14ac:dyDescent="0.25">
      <x:c r="A13" t="s">
        <x:v>9</x:v>
      </x:c>
    </x:row>
    <x:row r="14" spans="1:7" x14ac:dyDescent="0.25">
      <x:c r="A14" s="7" t="s">
        <x:v>10</x:v>
      </x:c>
      <x:c r="B14" s="6"/>
    </x:row>
    <x:row r="15" spans="1:7" x14ac:dyDescent="0.25">
      <x:c r="A15" s="13" t="s">
        <x:v>11</x:v>
      </x:c>
      <x:c r="B15" s="13"/>
      <x:c r="C15" s="13" t="s">
        <x:v>12</x:v>
      </x:c>
      <x:c r="D15" s="13"/>
      <x:c r="E15" s="13" t="s">
        <x:v>13</x:v>
      </x:c>
      <x:c r="F15" s="13"/>
      <x:c r="G15" s="13" t="s">
        <x:v>14</x:v>
      </x:c>
    </x:row>
    <x:row r="16" spans="1:7" x14ac:dyDescent="0.25">
      <x:c r="A16" s="5">
        <x:v>1</x:v>
      </x:c>
      <x:c r="C16" t="s">
        <x:v>56</x:v>
      </x:c>
      <x:c r="G16" s="17">
        <x:f>'2024 Stats'!H29</x:f>
        <x:v>312153.61957215524</x:v>
      </x:c>
    </x:row>
    <x:row r="17" spans="1:7" x14ac:dyDescent="0.25">
      <x:c r="A17" s="5">
        <x:v>2</x:v>
      </x:c>
    </x:row>
    <x:row r="18" spans="1:7" x14ac:dyDescent="0.25">
      <x:c r="A18" s="5">
        <x:v>3</x:v>
      </x:c>
      <x:c r="C18" t="s">
        <x:v>57</x:v>
      </x:c>
    </x:row>
    <x:row r="19" spans="1:7" x14ac:dyDescent="0.25">
      <x:c r="A19" s="5">
        <x:v>4</x:v>
      </x:c>
      <x:c r="C19" t="s">
        <x:v>58</x:v>
      </x:c>
    </x:row>
    <x:row r="20" spans="1:7" x14ac:dyDescent="0.25">
      <x:c r="A20" s="5">
        <x:v>5</x:v>
      </x:c>
      <x:c r="E20" s="13" t="s">
        <x:v>59</x:v>
      </x:c>
      <x:c r="G20" s="13" t="s">
        <x:v>60</x:v>
      </x:c>
    </x:row>
    <x:row r="21" spans="1:7" x14ac:dyDescent="0.25">
      <x:c r="A21" s="5">
        <x:v>6</x:v>
      </x:c>
      <x:c r="E21" s="12" t="s">
        <x:v>20</x:v>
      </x:c>
      <x:c r="G21" s="12" t="s">
        <x:v>59</x:v>
      </x:c>
    </x:row>
    <x:row r="22" spans="1:7" x14ac:dyDescent="0.25">
      <x:c r="A22" s="5">
        <x:v>7</x:v>
      </x:c>
      <x:c r="C22" t="s">
        <x:v>22</x:v>
      </x:c>
      <x:c r="E22" s="17">
        <x:f>'2024 Stats'!H29-'2024 Stats'!H27</x:f>
        <x:v>654.14888843579683</x:v>
      </x:c>
      <x:c r="F22" s="18"/>
      <x:c r="G22" s="17">
        <x:f>'2024 Stats'!H26</x:f>
        <x:v>766.78099999999995</x:v>
      </x:c>
    </x:row>
    <x:row r="23" spans="1:7" x14ac:dyDescent="0.25">
      <x:c r="A23" s="5">
        <x:v>8</x:v>
      </x:c>
      <x:c r="C23" t="s">
        <x:v>23</x:v>
      </x:c>
      <x:c r="E23" s="17">
        <x:f>'2024 Stats'!H25-'2024 Stats'!H23</x:f>
        <x:v>4462.3587221106282</x:v>
      </x:c>
      <x:c r="F23" s="18"/>
      <x:c r="G23" s="17">
        <x:f>'2024 Stats'!H22</x:f>
        <x:v>2197.9</x:v>
      </x:c>
    </x:row>
    <x:row r="24" spans="1:7" x14ac:dyDescent="0.25">
      <x:c r="A24" s="5">
        <x:v>9</x:v>
      </x:c>
      <x:c r="C24" t="s">
        <x:v>24</x:v>
      </x:c>
      <x:c r="E24" s="19">
        <x:f>'2024 Stats'!H21-'2024 Stats'!H15</x:f>
        <x:v>5979.9509616087889</x:v>
      </x:c>
      <x:c r="F24" s="18"/>
      <x:c r="G24" s="19">
        <x:f>'2024 Stats'!H15</x:f>
        <x:v>298092.48</x:v>
      </x:c>
    </x:row>
    <x:row r="25" spans="1:7" x14ac:dyDescent="0.25">
      <x:c r="A25" s="5">
        <x:v>10</x:v>
      </x:c>
      <x:c r="C25" s="9" t="s">
        <x:v>25</x:v>
      </x:c>
      <x:c r="E25" s="17">
        <x:f>SUM(E22:E24)</x:f>
        <x:v>11096.458572155214</x:v>
      </x:c>
      <x:c r="F25" s="18"/>
      <x:c r="G25" s="17">
        <x:f>SUM(G22:G24)</x:f>
        <x:v>301057.16099999996</x:v>
      </x:c>
    </x:row>
    <x:row r="26" spans="1:7" x14ac:dyDescent="0.25">
      <x:c r="A26" s="5">
        <x:v>11</x:v>
      </x:c>
    </x:row>
    <x:row r="27" spans="1:7" x14ac:dyDescent="0.25">
      <x:c r="A27" s="5">
        <x:v>12</x:v>
      </x:c>
      <x:c r="C27" t="s">
        <x:v>26</x:v>
      </x:c>
    </x:row>
    <x:row r="28" spans="1:7" x14ac:dyDescent="0.25">
      <x:c r="A28" s="5">
        <x:v>13</x:v>
      </x:c>
      <x:c r="C28" t="s">
        <x:v>27</x:v>
      </x:c>
    </x:row>
    <x:row r="29" spans="1:7" x14ac:dyDescent="0.25">
      <x:c r="A29" s="5">
        <x:v>14</x:v>
      </x:c>
      <x:c r="C29" s="9" t="s">
        <x:v>61</x:v>
      </x:c>
      <x:c r="G29" s="17">
        <x:f>G16</x:f>
        <x:v>312153.61957215524</x:v>
      </x:c>
    </x:row>
    <x:row r="30" spans="1:7" x14ac:dyDescent="0.25">
      <x:c r="A30" s="5">
        <x:v>15</x:v>
      </x:c>
      <x:c r="C30" s="9" t="s">
        <x:v>62</x:v>
      </x:c>
      <x:c r="G30" s="17">
        <x:f>E22</x:f>
        <x:v>654.14888843579683</x:v>
      </x:c>
    </x:row>
    <x:row r="31" spans="1:7" x14ac:dyDescent="0.25">
      <x:c r="A31" s="5">
        <x:v>16</x:v>
      </x:c>
      <x:c r="C31" s="9" t="s">
        <x:v>63</x:v>
      </x:c>
      <x:c r="G31" s="19">
        <x:f>G22</x:f>
        <x:v>766.78099999999995</x:v>
      </x:c>
    </x:row>
    <x:row r="32" spans="1:7" x14ac:dyDescent="0.25">
      <x:c r="A32" s="5">
        <x:v>17</x:v>
      </x:c>
      <x:c r="C32" s="9" t="s">
        <x:v>64</x:v>
      </x:c>
      <x:c r="G32" s="17">
        <x:f>G29-G30-G31</x:f>
        <x:v>310732.68968371942</x:v>
      </x:c>
    </x:row>
    <x:row r="33" spans="1:7" x14ac:dyDescent="0.25">
      <x:c r="A33" s="5">
        <x:v>18</x:v>
      </x:c>
      <x:c r="C33" s="9" t="s">
        <x:v>65</x:v>
      </x:c>
      <x:c r="G33" s="15">
        <x:f>G30/G29</x:f>
        <x:v>2.0955992415926106E-3</x:v>
      </x:c>
    </x:row>
    <x:row r="34" spans="1:7" x14ac:dyDescent="0.25">
      <x:c r="A34" s="5">
        <x:v>19</x:v>
      </x:c>
      <x:c r="C34" t="s">
        <x:v>33</x:v>
      </x:c>
    </x:row>
    <x:row r="35" spans="1:7" x14ac:dyDescent="0.25">
      <x:c r="A35" s="5">
        <x:v>20</x:v>
      </x:c>
      <x:c r="C35" s="9" t="s">
        <x:v>66</x:v>
      </x:c>
      <x:c r="G35" s="18">
        <x:f>G32</x:f>
        <x:v>310732.68968371942</x:v>
      </x:c>
    </x:row>
    <x:row r="36" spans="1:7" x14ac:dyDescent="0.25">
      <x:c r="A36" s="5">
        <x:v>21</x:v>
      </x:c>
      <x:c r="C36" s="9" t="s">
        <x:v>67</x:v>
      </x:c>
      <x:c r="G36" s="18">
        <x:f>E23</x:f>
        <x:v>4462.3587221106282</x:v>
      </x:c>
    </x:row>
    <x:row r="37" spans="1:7" x14ac:dyDescent="0.25">
      <x:c r="A37" s="5">
        <x:v>22</x:v>
      </x:c>
      <x:c r="C37" s="9" t="s">
        <x:v>68</x:v>
      </x:c>
      <x:c r="G37" s="20">
        <x:f>G23</x:f>
        <x:v>2197.9</x:v>
      </x:c>
    </x:row>
    <x:row r="38" spans="1:7" x14ac:dyDescent="0.25">
      <x:c r="A38" s="5">
        <x:v>23</x:v>
      </x:c>
      <x:c r="C38" s="9" t="s">
        <x:v>69</x:v>
      </x:c>
      <x:c r="G38" s="18">
        <x:f>G35-G36-G37</x:f>
        <x:v>304072.43096160877</x:v>
      </x:c>
    </x:row>
    <x:row r="39" spans="1:7" x14ac:dyDescent="0.25">
      <x:c r="A39" s="5">
        <x:v>24</x:v>
      </x:c>
      <x:c r="C39" s="9" t="s">
        <x:v>38</x:v>
      </x:c>
      <x:c r="G39" s="15">
        <x:f>G36/G35</x:f>
        <x:v>1.4360763673280269E-2</x:v>
      </x:c>
    </x:row>
    <x:row r="40" spans="1:7" x14ac:dyDescent="0.25">
      <x:c r="A40" s="5">
        <x:v>25</x:v>
      </x:c>
      <x:c r="C40" t="s">
        <x:v>39</x:v>
      </x:c>
    </x:row>
    <x:row r="41" spans="1:7" x14ac:dyDescent="0.25">
      <x:c r="A41" s="5">
        <x:v>26</x:v>
      </x:c>
      <x:c r="C41" s="9" t="s">
        <x:v>70</x:v>
      </x:c>
      <x:c r="G41" s="17">
        <x:f>G38</x:f>
        <x:v>304072.43096160877</x:v>
      </x:c>
    </x:row>
    <x:row r="42" spans="1:7" x14ac:dyDescent="0.25">
      <x:c r="A42" s="5">
        <x:v>27</x:v>
      </x:c>
      <x:c r="C42" s="9" t="s">
        <x:v>71</x:v>
      </x:c>
      <x:c r="G42" s="20">
        <x:f>E24</x:f>
        <x:v>5979.9509616087889</x:v>
      </x:c>
    </x:row>
    <x:row r="43" spans="1:7" x14ac:dyDescent="0.25">
      <x:c r="A43" s="5">
        <x:v>28</x:v>
      </x:c>
      <x:c r="C43" s="9" t="s">
        <x:v>72</x:v>
      </x:c>
      <x:c r="G43" s="17">
        <x:f>G41-G42</x:f>
        <x:v>298092.48</x:v>
      </x:c>
    </x:row>
    <x:row r="44" spans="1:7" x14ac:dyDescent="0.25">
      <x:c r="A44" s="5">
        <x:v>29</x:v>
      </x:c>
      <x:c r="C44" s="9" t="s">
        <x:v>43</x:v>
      </x:c>
      <x:c r="G44" s="15">
        <x:f>G42/G41</x:f>
        <x:v>1.9666205655993189E-2</x:v>
      </x:c>
    </x:row>
    <x:row r="45" spans="1:7" x14ac:dyDescent="0.25">
      <x:c r="A45" s="5">
        <x:v>30</x:v>
      </x:c>
    </x:row>
    <x:row r="46" spans="1:7" x14ac:dyDescent="0.25">
      <x:c r="A46" s="5">
        <x:v>31</x:v>
      </x:c>
      <x:c r="C46" t="s">
        <x:v>44</x:v>
      </x:c>
    </x:row>
    <x:row r="47" spans="1:7" x14ac:dyDescent="0.25">
      <x:c r="A47" s="5">
        <x:v>32</x:v>
      </x:c>
      <x:c r="C47" s="9" t="s">
        <x:v>45</x:v>
      </x:c>
    </x:row>
    <x:row r="48" spans="1:7" x14ac:dyDescent="0.25">
      <x:c r="A48" s="5">
        <x:v>33</x:v>
      </x:c>
      <x:c r="C48" s="9" t="s">
        <x:v>46</x:v>
      </x:c>
      <x:c r="G48" s="4">
        <x:f>1-G33</x:f>
        <x:v>0.99790440075840736</x:v>
      </x:c>
    </x:row>
    <x:row r="49" spans="1:7" x14ac:dyDescent="0.25">
      <x:c r="A49" s="5">
        <x:v>34</x:v>
      </x:c>
      <x:c r="C49" s="9" t="s">
        <x:v>47</x:v>
      </x:c>
      <x:c r="G49" s="4">
        <x:f>1-G39</x:f>
        <x:v>0.98563923632671968</x:v>
      </x:c>
    </x:row>
    <x:row r="50" spans="1:7" x14ac:dyDescent="0.25">
      <x:c r="A50" s="5">
        <x:v>35</x:v>
      </x:c>
      <x:c r="C50" s="9" t="s">
        <x:v>48</x:v>
      </x:c>
      <x:c r="G50" s="4">
        <x:f>1-G44</x:f>
        <x:v>0.9803337943440068</x:v>
      </x:c>
    </x:row>
    <x:row r="51" spans="1:7" x14ac:dyDescent="0.25">
      <x:c r="A51" s="5">
        <x:v>36</x:v>
      </x:c>
    </x:row>
    <x:row r="52" spans="1:7" ht="15" customHeight="1" thickBot="1" x14ac:dyDescent="0.3">
      <x:c r="A52" s="5">
        <x:v>37</x:v>
      </x:c>
      <x:c r="C52" s="9" t="s">
        <x:v>49</x:v>
      </x:c>
    </x:row>
    <x:row r="53" spans="1:7" ht="15" customHeight="1" thickBot="1" x14ac:dyDescent="0.3">
      <x:c r="A53" s="5">
        <x:v>38</x:v>
      </x:c>
      <x:c r="C53" s="9" t="s">
        <x:v>50</x:v>
      </x:c>
      <x:c r="G53" s="16">
        <x:f>1/G48</x:f>
        <x:v>1.0021</x:v>
      </x:c>
    </x:row>
    <x:row r="54" spans="1:7" ht="15" customHeight="1" thickBot="1" x14ac:dyDescent="0.3">
      <x:c r="A54" s="5">
        <x:v>39</x:v>
      </x:c>
      <x:c r="C54" s="9" t="s">
        <x:v>51</x:v>
      </x:c>
      <x:c r="G54" s="16">
        <x:f>G53/G49</x:f>
        <x:v>1.016700597</x:v>
      </x:c>
    </x:row>
    <x:row r="55" spans="1:7" ht="15" customHeight="1" thickBot="1" x14ac:dyDescent="0.3">
      <x:c r="A55" s="5">
        <x:v>40</x:v>
      </x:c>
      <x:c r="C55" s="9" t="s">
        <x:v>52</x:v>
      </x:c>
      <x:c r="G55" s="16">
        <x:f>G54/G50</x:f>
        <x:v>1.0370963470460877</x:v>
      </x:c>
    </x:row>
  </x:sheetData>
  <x:mergeCells count="7">
    <x:mergeCell ref="C7:G7"/>
    <x:mergeCell ref="C4:G4"/>
    <x:mergeCell ref="C6:G6"/>
    <x:mergeCell ref="C10:G10"/>
    <x:mergeCell ref="C11:G11"/>
    <x:mergeCell ref="C5:G5"/>
    <x:mergeCell ref="C8:G8"/>
  </x:mergeCells>
  <x:pageMargins left="1.5" right="0.75" top="1" bottom="1" header="0.3" footer="0.3"/>
  <x:pageSetup scale="75" orientation="portrait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J36"/>
  <x:sheetViews>
    <x:sheetView zoomScale="80" zoomScaleNormal="80" workbookViewId="0"/>
  </x:sheetViews>
  <x:sheetFormatPr defaultRowHeight="15" x14ac:dyDescent="0.25"/>
  <x:cols>
    <x:col min="1" max="1" width="4.28515625" style="14" customWidth="1"/>
    <x:col min="2" max="2" width="2.140625" style="14" customWidth="1"/>
    <x:col min="3" max="3" width="42.85546875" style="14" customWidth="1"/>
    <x:col min="4" max="4" width="0.85546875" style="14" customWidth="1"/>
    <x:col min="5" max="5" width="15.28515625" style="14" customWidth="1"/>
    <x:col min="6" max="7" width="9.140625" style="14" customWidth="1"/>
    <x:col min="8" max="8" width="11.28515625" style="14" bestFit="1" customWidth="1"/>
  </x:cols>
  <x:sheetData>
    <x:row r="1" spans="3:8" x14ac:dyDescent="0.25">
      <x:c r="F1" t="s">
        <x:v>73</x:v>
      </x:c>
    </x:row>
    <x:row r="2" spans="3:8" x14ac:dyDescent="0.25">
      <x:c r="F2" t="s">
        <x:v>74</x:v>
      </x:c>
    </x:row>
    <x:row r="4" spans="3:8" x14ac:dyDescent="0.25">
      <x:c r="C4" s="24" t="s">
        <x:v>2</x:v>
      </x:c>
      <x:c r="D4" s="25"/>
      <x:c r="E4" s="25"/>
      <x:c r="F4" s="25"/>
      <x:c r="G4" s="25"/>
      <x:c r="H4" s="25"/>
    </x:row>
    <x:row r="5" spans="3:8" x14ac:dyDescent="0.25">
      <x:c r="C5" s="1" t="s">
        <x:v>3</x:v>
      </x:c>
      <x:c r="D5" s="1"/>
      <x:c r="E5" s="1"/>
      <x:c r="F5" s="1"/>
      <x:c r="G5" s="1"/>
      <x:c r="H5" s="1"/>
    </x:row>
    <x:row r="6" spans="3:8" x14ac:dyDescent="0.25">
      <x:c r="C6" s="1" t="s">
        <x:v>4</x:v>
      </x:c>
      <x:c r="D6" s="1"/>
      <x:c r="E6" s="1"/>
      <x:c r="F6" s="1"/>
      <x:c r="G6" s="1"/>
      <x:c r="H6" s="1"/>
    </x:row>
    <x:row r="7" spans="3:8" x14ac:dyDescent="0.25">
      <x:c r="C7" s="1" t="s">
        <x:v>5</x:v>
      </x:c>
      <x:c r="D7" s="1"/>
      <x:c r="E7" s="1"/>
      <x:c r="F7" s="1"/>
      <x:c r="G7" s="1"/>
      <x:c r="H7" s="1"/>
    </x:row>
    <x:row r="8" spans="3:8" x14ac:dyDescent="0.25">
      <x:c r="C8" s="26" t="s">
        <x:v>6</x:v>
      </x:c>
      <x:c r="D8" s="25"/>
      <x:c r="E8" s="25"/>
      <x:c r="F8" s="25"/>
      <x:c r="G8" s="25"/>
      <x:c r="H8" s="25"/>
    </x:row>
    <x:row r="9" spans="3:8" x14ac:dyDescent="0.25">
      <x:c r="C9" s="1"/>
      <x:c r="D9" s="1"/>
      <x:c r="E9" s="1"/>
      <x:c r="F9" s="1"/>
      <x:c r="G9" s="1"/>
      <x:c r="H9" s="1"/>
    </x:row>
    <x:row r="10" spans="3:8" x14ac:dyDescent="0.25">
      <x:c r="C10" s="24" t="s">
        <x:v>7</x:v>
      </x:c>
      <x:c r="D10" s="25"/>
      <x:c r="E10" s="25"/>
      <x:c r="F10" s="25"/>
      <x:c r="G10" s="25"/>
      <x:c r="H10" s="25"/>
    </x:row>
    <x:row r="11" spans="3:8" x14ac:dyDescent="0.25">
      <x:c r="C11" s="27"/>
      <x:c r="D11" s="25"/>
      <x:c r="E11" s="25"/>
      <x:c r="F11" s="25"/>
      <x:c r="G11" s="25"/>
      <x:c r="H11" s="25"/>
    </x:row>
    <x:row r="12" spans="3:8" x14ac:dyDescent="0.25">
      <x:c r="C12" s="2" t="s">
        <x:v>75</x:v>
      </x:c>
    </x:row>
    <x:row r="14" spans="3:8" x14ac:dyDescent="0.25">
      <x:c r="E14" s="12" t="s">
        <x:v>76</x:v>
      </x:c>
      <x:c r="H14" s="12" t="s">
        <x:v>77</x:v>
      </x:c>
    </x:row>
    <x:row r="15" spans="3:8" x14ac:dyDescent="0.25">
      <x:c r="C15" t="s">
        <x:v>78</x:v>
      </x:c>
      <x:c r="E15" s="10">
        <x:v>162207075.69</x:v>
      </x:c>
      <x:c r="H15" s="3">
        <x:v>298092.48</x:v>
      </x:c>
    </x:row>
    <x:row r="16" spans="3:8" x14ac:dyDescent="0.25">
      <x:c r="C16" t="s">
        <x:v>79</x:v>
      </x:c>
      <x:c r="E16">
        <x:v>1.0037315</x:v>
      </x:c>
      <x:c r="H16">
        <x:v>1.0045999999999999</x:v>
      </x:c>
    </x:row>
    <x:row r="17" spans="3:10" x14ac:dyDescent="0.25">
      <x:c r="C17" t="s">
        <x:v>80</x:v>
      </x:c>
      <x:c r="E17" s="10">
        <x:f>E15*E16</x:f>
        <x:v>162812351.39293724</x:v>
      </x:c>
      <x:c r="F17" s="15"/>
      <x:c r="G17" s="15"/>
      <x:c r="H17" s="3">
        <x:f>H15*H16</x:f>
        <x:v>299463.70540799998</x:v>
      </x:c>
    </x:row>
    <x:row r="18" spans="3:10" x14ac:dyDescent="0.25">
      <x:c r="C18" t="s">
        <x:v>81</x:v>
      </x:c>
      <x:c r="E18" s="21">
        <x:v>1.0011099999999999</x:v>
      </x:c>
      <x:c r="F18" s="15"/>
      <x:c r="G18" s="15"/>
      <x:c r="H18">
        <x:v>1.0022899999999999</x:v>
      </x:c>
    </x:row>
    <x:row r="19" spans="3:10" x14ac:dyDescent="0.25">
      <x:c r="C19" t="s">
        <x:v>82</x:v>
      </x:c>
      <x:c r="E19" s="10">
        <x:f>E17*E18</x:f>
        <x:v>162993073.10298339</x:v>
      </x:c>
      <x:c r="F19" s="22"/>
      <x:c r="G19" s="22"/>
      <x:c r="H19" s="3">
        <x:f>H17*H18</x:f>
        <x:v>300149.47729338426</x:v>
      </x:c>
    </x:row>
    <x:row r="20" spans="3:10" x14ac:dyDescent="0.25">
      <x:c r="C20" t="s">
        <x:v>83</x:v>
      </x:c>
      <x:c r="E20" s="21">
        <x:v>1.0176799999999999</x:v>
      </x:c>
      <x:c r="F20" s="15"/>
      <x:c r="G20" s="15"/>
      <x:c r="H20" s="23">
        <x:v>1.0130699999999999</x:v>
      </x:c>
    </x:row>
    <x:row r="21" spans="3:10" x14ac:dyDescent="0.25">
      <x:c r="C21" t="s">
        <x:v>84</x:v>
      </x:c>
      <x:c r="E21" s="10">
        <x:f>E19*E20</x:f>
        <x:v>165874790.6354441</x:v>
      </x:c>
      <x:c r="H21" s="3">
        <x:f>H19*H20</x:f>
        <x:v>304072.43096160877</x:v>
      </x:c>
    </x:row>
    <x:row r="22" spans="3:10" x14ac:dyDescent="0.25">
      <x:c r="C22" t="s">
        <x:v>85</x:v>
      </x:c>
      <x:c r="E22" s="10">
        <x:v>17209450</x:v>
      </x:c>
      <x:c r="H22" s="3">
        <x:v>2197.9</x:v>
      </x:c>
    </x:row>
    <x:row r="23" spans="3:10" x14ac:dyDescent="0.25">
      <x:c r="C23" t="s">
        <x:v>86</x:v>
      </x:c>
      <x:c r="E23" s="10">
        <x:f>E21+E22</x:f>
        <x:v>183084240.6354441</x:v>
      </x:c>
      <x:c r="H23" s="3">
        <x:f>H21+H22</x:f>
        <x:v>306270.33096160879</x:v>
      </x:c>
    </x:row>
    <x:row r="24" spans="3:10" x14ac:dyDescent="0.25">
      <x:c r="C24" t="s">
        <x:v>87</x:v>
      </x:c>
      <x:c r="E24" s="21">
        <x:v>1.00793</x:v>
      </x:c>
      <x:c r="H24">
        <x:v>1.01457</x:v>
      </x:c>
    </x:row>
    <x:row r="25" spans="3:10" x14ac:dyDescent="0.25">
      <x:c r="C25" t="s">
        <x:v>88</x:v>
      </x:c>
      <x:c r="E25" s="10">
        <x:f>E23*E24</x:f>
        <x:v>184536098.66368318</x:v>
      </x:c>
      <x:c r="F25" s="15"/>
      <x:c r="G25" s="15"/>
      <x:c r="H25" s="3">
        <x:f>H23*H24</x:f>
        <x:v>310732.68968371942</x:v>
      </x:c>
    </x:row>
    <x:row r="26" spans="3:10" x14ac:dyDescent="0.25">
      <x:c r="C26" t="s">
        <x:v>89</x:v>
      </x:c>
      <x:c r="E26" s="10">
        <x:v>6412195</x:v>
      </x:c>
      <x:c r="F26" s="15"/>
      <x:c r="G26" s="15"/>
      <x:c r="H26" s="3">
        <x:v>766.78099999999995</x:v>
      </x:c>
    </x:row>
    <x:row r="27" spans="3:10" x14ac:dyDescent="0.25">
      <x:c r="C27" t="s">
        <x:v>90</x:v>
      </x:c>
      <x:c r="E27" s="10">
        <x:f>E25+E26</x:f>
        <x:v>190948293.66368318</x:v>
      </x:c>
      <x:c r="F27" s="15"/>
      <x:c r="G27" s="15"/>
      <x:c r="H27" s="3">
        <x:f>H25+H26</x:f>
        <x:v>311499.47068371944</x:v>
      </x:c>
    </x:row>
    <x:row r="28" spans="3:10" x14ac:dyDescent="0.25">
      <x:c r="C28" t="s">
        <x:v>91</x:v>
      </x:c>
      <x:c r="E28" s="21">
        <x:v>1.00413</x:v>
      </x:c>
      <x:c r="F28" s="15"/>
      <x:c r="G28" s="15"/>
      <x:c r="H28">
        <x:v>1.0021</x:v>
      </x:c>
    </x:row>
    <x:row r="29" spans="3:10" x14ac:dyDescent="0.25">
      <x:c r="C29" t="s">
        <x:v>92</x:v>
      </x:c>
      <x:c r="E29" s="10">
        <x:f>E27*E28</x:f>
        <x:v>191736910.11651418</x:v>
      </x:c>
      <x:c r="H29" s="3">
        <x:f>H27*H28</x:f>
        <x:v>312153.61957215524</x:v>
      </x:c>
    </x:row>
    <x:row r="30" spans="3:10" x14ac:dyDescent="0.25">
      <x:c r="J30" t="s">
        <x:v>93</x:v>
      </x:c>
    </x:row>
    <x:row r="31" spans="3:10" x14ac:dyDescent="0.25">
      <x:c r="C31" t="s">
        <x:v>94</x:v>
      </x:c>
      <x:c r="E31" s="10">
        <x:f>E29-E26-E22-E15</x:f>
        <x:v>5908189.4265141785</x:v>
      </x:c>
      <x:c r="H31" s="3">
        <x:f>H29-H26-H22-H15</x:f>
        <x:v>11096.458572155214</x:v>
      </x:c>
    </x:row>
    <x:row r="33" spans="3:3" x14ac:dyDescent="0.25">
      <x:c r="C33" t="s">
        <x:v>95</x:v>
      </x:c>
    </x:row>
    <x:row r="34" spans="3:3" x14ac:dyDescent="0.25">
      <x:c r="C34" s="9" t="s">
        <x:v>96</x:v>
      </x:c>
    </x:row>
    <x:row r="35" spans="3:3" x14ac:dyDescent="0.25">
      <x:c r="C35" s="9"/>
    </x:row>
    <x:row r="36" spans="3:3" x14ac:dyDescent="0.25">
      <x:c r="C36" t="s">
        <x:v>97</x:v>
      </x:c>
    </x:row>
  </x:sheetData>
  <x:mergeCells count="4">
    <x:mergeCell ref="C11:H11"/>
    <x:mergeCell ref="C8:H8"/>
    <x:mergeCell ref="C10:H10"/>
    <x:mergeCell ref="C4:H4"/>
  </x:mergeCells>
  <x:pageMargins left="1.5" right="0.75" top="1" bottom="1" header="0.3" footer="0.3"/>
  <x:pageSetup scale="88" orientation="portrait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2025-04-24T14:01:54.0000000Z</dcterms:modified>
</coreProperties>
</file>