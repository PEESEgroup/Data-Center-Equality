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H (Historic Billing Determinants)\Schedule II-H WP\"/>
    </mc:Choice>
  </mc:AlternateContent>
  <xr:revisionPtr revIDLastSave="0" documentId="13_ncr:1_{0D70FCCE-7BC3-4848-878C-3B62D5191CFA}" xr6:coauthVersionLast="47" xr6:coauthVersionMax="47" xr10:uidLastSave="{00000000-0000-0000-0000-000000000000}"/>
  <x:bookViews>
    <x:workbookView xWindow="-108" yWindow="-108" windowWidth="23256" windowHeight="12456" xr2:uid="{00000000-000D-0000-FFFF-FFFF00000000}"/>
  </x:bookViews>
  <x:sheets>
    <x:sheet name="SECGT10 Seasonal Weights" sheetId="4" r:id="rId1"/>
    <x:sheet name="SECGT10 Monthly Weather Weights" sheetId="1" r:id="rId2"/>
    <x:sheet name="SECGT10 Weights by Year (21-23)" sheetId="3" r:id="rId3"/>
    <x:sheet name="SECGT10 Sales by Year (21-23)" sheetId="2" r:id="rId4"/>
  </x:sheets>
  <x:externalReferences>
    <x:externalReference r:id="rId5"/>
    <x:externalReference r:id="rId6"/>
    <x:externalReference r:id="rId7"/>
  </x:externalReferences>
  <x:definedNames>
    <x:definedName name="_xlnm.Database">#REF!</x:definedName>
    <x:definedName name="HOURLY">[1]HOURLY!$A$1:$G$745</x:definedName>
    <x:definedName name="OLE_LINK2" localSheetId="0">'SECGT10 Seasonal Weights'!$B$24</x:definedName>
    <x:definedName name="_xlnm.Print_Area" localSheetId="3">'SECGT10 Sales by Year (21-23)'!$A$1:$P$64</x:definedName>
    <x:definedName name="_xlnm.Print_Area" localSheetId="0">'SECGT10 Seasonal Weights'!$A$1:$P$36</x:definedName>
    <x:definedName name="_xlnm.Print_Area" localSheetId="2">'SECGT10 Weights by Year (21-23)'!$A$1:$P$64</x:definedName>
    <x:definedName name="rngBilled">OFFSET([2]Sheet2!$A$2,0,0,[2]Sheet2!$B$1,9)</x:definedName>
    <x:definedName name="rngYear">OFFSET('[3]Daily Actual_August'!$A$2,0,0,'[3]Daily Actual_August'!$C$1,8)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D54" i="2" l="1"/>
  <x:c r="D61" i="2"/>
  <x:c r="D46" i="3" s="1"/>
  <x:c r="D62" i="2"/>
  <x:c r="D32" i="3" s="1"/>
  <x:c r="D63" i="2"/>
  <x:c r="D58" i="3" s="1"/>
  <x:c r="E54" i="2"/>
  <x:c r="E61" i="2"/>
  <x:c r="E14" i="2"/>
  <x:c r="F54" i="2"/>
  <x:c r="F19" i="2"/>
  <x:c r="F62" i="2"/>
  <x:c r="F57" i="3" s="1"/>
  <x:c r="F63" i="2"/>
  <x:c r="F18" i="3" s="1"/>
  <x:c r="F24" i="2"/>
  <x:c r="N29" i="2"/>
  <x:c r="N39" i="2"/>
  <x:c r="N24" i="2"/>
  <x:c r="N14" i="2"/>
  <x:c r="O54" i="2"/>
  <x:c r="O14" i="2"/>
  <x:c r="O62" i="2"/>
  <x:c r="O12" i="3" s="1"/>
  <x:c r="O63" i="2"/>
  <x:c r="H54" i="2"/>
  <x:c r="H59" i="2"/>
  <x:c r="H19" i="2"/>
  <x:c r="H34" i="2"/>
  <x:c r="H39" i="2"/>
  <x:c r="H62" i="2"/>
  <x:c r="H32" i="3" s="1"/>
  <x:c r="H44" i="2"/>
  <x:c r="H63" i="2"/>
  <x:c r="I54" i="2"/>
  <x:c r="I19" i="2"/>
  <x:c r="I34" i="2"/>
  <x:c r="I63" i="2"/>
  <x:c r="I58" i="3" s="1"/>
  <x:c r="J54" i="2"/>
  <x:c r="J19" i="2"/>
  <x:c r="K54" i="2"/>
  <x:c r="K24" i="2"/>
  <x:c r="K19" i="2"/>
  <x:c r="P12" i="2"/>
  <x:c r="K63" i="2"/>
  <x:c r="K43" i="3" s="1"/>
  <x:c r="L54" i="2"/>
  <x:c r="L49" i="2"/>
  <x:c r="L19" i="2"/>
  <x:c r="L61" i="2"/>
  <x:c r="L62" i="2"/>
  <x:c r="L59" i="2"/>
  <x:c r="L63" i="2"/>
  <x:c r="L39" i="2"/>
  <x:c r="D19" i="2"/>
  <x:c r="E19" i="2"/>
  <x:c r="N19" i="2"/>
  <x:c r="O19" i="2"/>
  <x:c r="D44" i="2"/>
  <x:c r="E44" i="2"/>
  <x:c r="F44" i="2"/>
  <x:c r="N44" i="2"/>
  <x:c r="D59" i="2"/>
  <x:c r="E59" i="2"/>
  <x:c r="F59" i="2"/>
  <x:c r="N59" i="2"/>
  <x:c r="O59" i="2"/>
  <x:c r="D29" i="2"/>
  <x:c r="E29" i="2"/>
  <x:c r="O29" i="2"/>
  <x:c r="K29" i="2"/>
  <x:c r="D39" i="2"/>
  <x:c r="E39" i="2"/>
  <x:c r="O39" i="2"/>
  <x:c r="J39" i="2"/>
  <x:c r="K39" i="2"/>
  <x:c r="D49" i="2"/>
  <x:c r="E49" i="2"/>
  <x:c r="O49" i="2"/>
  <x:c r="I49" i="2"/>
  <x:c r="J49" i="2"/>
  <x:c r="K49" i="2"/>
  <x:c r="D34" i="2"/>
  <x:c r="E34" i="2"/>
  <x:c r="F34" i="2"/>
  <x:c r="N34" i="2"/>
  <x:c r="O34" i="2"/>
  <x:c r="D24" i="2"/>
  <x:c r="E24" i="2"/>
  <x:c r="O24" i="2"/>
  <x:c r="H24" i="2"/>
  <x:c r="I24" i="2"/>
  <x:c r="J24" i="2"/>
  <x:c r="H14" i="2"/>
  <x:c r="I14" i="2"/>
  <x:c r="K14" i="2"/>
  <x:c r="L14" i="2"/>
  <x:c r="D14" i="2"/>
  <x:c r="F14" i="2"/>
  <x:c r="G14" i="2"/>
  <x:c r="P13" i="2"/>
  <x:c r="M29" i="2"/>
  <x:c r="M49" i="2"/>
  <x:c r="P46" i="2"/>
  <x:c r="P51" i="2"/>
  <x:c r="P21" i="2"/>
  <x:c r="M19" i="2"/>
  <x:c r="P16" i="2"/>
  <x:c r="M62" i="2"/>
  <x:c r="P42" i="2"/>
  <x:c r="P47" i="2"/>
  <x:c r="M54" i="2"/>
  <x:c r="G62" i="2"/>
  <x:c r="G34" i="2"/>
  <x:c r="P43" i="2"/>
  <x:c r="P58" i="2"/>
  <x:c r="P23" i="2"/>
  <x:c r="G19" i="2"/>
  <x:c r="M44" i="2"/>
  <x:c r="G59" i="2"/>
  <x:c r="M59" i="2"/>
  <x:c r="G29" i="2"/>
  <x:c r="G39" i="2"/>
  <x:c r="M39" i="2"/>
  <x:c r="G49" i="2"/>
  <x:c r="G24" i="2"/>
  <x:c r="M24" i="2"/>
  <x:c r="C18" i="2"/>
  <x:c r="C23" i="2" s="1"/>
  <x:c r="C28" i="2" s="1"/>
  <x:c r="C33" i="2" s="1"/>
  <x:c r="C38" i="2" s="1"/>
  <x:c r="C43" i="2" s="1"/>
  <x:c r="C48" i="2" s="1"/>
  <x:c r="C53" i="2" s="1"/>
  <x:c r="C58" i="2" s="1"/>
  <x:c r="C63" i="2" s="1"/>
  <x:c r="C17" i="2"/>
  <x:c r="C22" i="2" s="1"/>
  <x:c r="C27" i="2" s="1"/>
  <x:c r="C32" i="2" s="1"/>
  <x:c r="C37" i="2" s="1"/>
  <x:c r="C42" i="2" s="1"/>
  <x:c r="C47" i="2" s="1"/>
  <x:c r="C52" i="2" s="1"/>
  <x:c r="C57" i="2" s="1"/>
  <x:c r="C62" i="2" s="1"/>
  <x:c r="C16" i="2"/>
  <x:c r="C21" i="2" s="1"/>
  <x:c r="C26" i="2" s="1"/>
  <x:c r="C31" i="2" s="1"/>
  <x:c r="C36" i="2" s="1"/>
  <x:c r="C41" i="2" s="1"/>
  <x:c r="C46" i="2" s="1"/>
  <x:c r="C51" i="2" s="1"/>
  <x:c r="C56" i="2" s="1"/>
  <x:c r="C61" i="2" s="1"/>
  <x:c r="A12" i="3"/>
  <x:c r="A13" i="3"/>
  <x:c r="A14" i="3"/>
  <x:c r="A15" i="3"/>
  <x:c r="A16" i="3"/>
  <x:c r="A17" i="3"/>
  <x:c r="A18" i="3"/>
  <x:c r="A19" i="3"/>
  <x:c r="A20" i="3"/>
  <x:c r="A21" i="3"/>
  <x:c r="A22" i="3"/>
  <x:c r="A23" i="3"/>
  <x:c r="A24" i="3"/>
  <x:c r="A25" i="3"/>
  <x:c r="A26" i="3"/>
  <x:c r="A27" i="3"/>
  <x:c r="A28" i="3"/>
  <x:c r="A29" i="3"/>
  <x:c r="A30" i="3"/>
  <x:c r="A31" i="3"/>
  <x:c r="A32" i="3"/>
  <x:c r="A33" i="3"/>
  <x:c r="A34" i="3"/>
  <x:c r="A35" i="3"/>
  <x:c r="A36" i="3"/>
  <x:c r="A37" i="3"/>
  <x:c r="A38" i="3"/>
  <x:c r="A39" i="3"/>
  <x:c r="A40" i="3"/>
  <x:c r="A41" i="3"/>
  <x:c r="A42" i="3"/>
  <x:c r="A43" i="3"/>
  <x:c r="A44" i="3"/>
  <x:c r="A45" i="3"/>
  <x:c r="A46" i="3"/>
  <x:c r="A47" i="3"/>
  <x:c r="A48" i="3"/>
  <x:c r="A49" i="3"/>
  <x:c r="A50" i="3"/>
  <x:c r="A51" i="3"/>
  <x:c r="A52" i="3"/>
  <x:c r="A53" i="3"/>
  <x:c r="A54" i="3"/>
  <x:c r="A55" i="3"/>
  <x:c r="A56" i="3"/>
  <x:c r="A57" i="3"/>
  <x:c r="A58" i="3"/>
  <x:c r="A59" i="3"/>
  <x:c r="A60" i="3"/>
  <x:c r="A61" i="3"/>
  <x:c r="A62" i="3"/>
  <x:c r="A63" i="3"/>
  <x:c r="A64" i="3"/>
  <x:c r="C64" i="3"/>
  <x:c r="B4" i="2"/>
  <x:c r="B4" i="3"/>
  <x:c r="B4" i="1"/>
  <x:c r="C17" i="3"/>
  <x:c r="C22" i="3"/>
  <x:c r="C27" i="3"/>
  <x:c r="C32" i="3"/>
  <x:c r="C37" i="3"/>
  <x:c r="C42" i="3"/>
  <x:c r="C47" i="3"/>
  <x:c r="C52" i="3"/>
  <x:c r="C57" i="3"/>
  <x:c r="C62" i="3"/>
  <x:c r="C18" i="3"/>
  <x:c r="C23" i="3"/>
  <x:c r="C28" i="3"/>
  <x:c r="C33" i="3"/>
  <x:c r="C38" i="3"/>
  <x:c r="C43" i="3"/>
  <x:c r="C48" i="3"/>
  <x:c r="C53" i="3"/>
  <x:c r="C58" i="3"/>
  <x:c r="C63" i="3"/>
  <x:c r="C16" i="3"/>
  <x:c r="C21" i="3"/>
  <x:c r="C26" i="3"/>
  <x:c r="C31" i="3"/>
  <x:c r="C36" i="3"/>
  <x:c r="C41" i="3"/>
  <x:c r="C46" i="3"/>
  <x:c r="C51" i="3"/>
  <x:c r="C56" i="3"/>
  <x:c r="C61" i="3"/>
  <x:c r="A12" i="4"/>
  <x:c r="A13" i="4"/>
  <x:c r="A14" i="4"/>
  <x:c r="A15" i="4"/>
  <x:c r="A16" i="4" s="1"/>
  <x:c r="A17" i="4" s="1"/>
  <x:c r="A18" i="4" s="1"/>
  <x:c r="A19" i="4" s="1"/>
  <x:c r="A20" i="4" s="1"/>
  <x:c r="A21" i="4" s="1"/>
  <x:c r="A22" i="4" s="1"/>
  <x:c r="A23" i="4" s="1"/>
  <x:c r="A24" i="4" s="1"/>
  <x:c r="A25" i="4" s="1"/>
  <x:c r="A26" i="4" s="1"/>
  <x:c r="A27" i="4" s="1"/>
  <x:c r="A28" i="4" s="1"/>
  <x:c r="A29" i="4" s="1"/>
  <x:c r="A30" i="4" s="1"/>
  <x:c r="A31" i="4" s="1"/>
  <x:c r="A32" i="4" s="1"/>
  <x:c r="A33" i="4" s="1"/>
  <x:c r="A34" i="4" s="1"/>
  <x:c r="A35" i="4" s="1"/>
  <x:c r="A36" i="4" s="1"/>
  <x:c r="A12" i="2"/>
  <x:c r="A13" i="2" s="1"/>
  <x:c r="A14" i="2" s="1"/>
  <x:c r="A15" i="2" s="1"/>
  <x:c r="A16" i="2" s="1"/>
  <x:c r="A17" i="2" s="1"/>
  <x:c r="A18" i="2" s="1"/>
  <x:c r="A19" i="2" s="1"/>
  <x:c r="A20" i="2" s="1"/>
  <x:c r="A21" i="2" s="1"/>
  <x:c r="A22" i="2" s="1"/>
  <x:c r="A23" i="2" s="1"/>
  <x:c r="A24" i="2" s="1"/>
  <x:c r="A25" i="2" s="1"/>
  <x:c r="A26" i="2" s="1"/>
  <x:c r="A27" i="2" s="1"/>
  <x:c r="A28" i="2" s="1"/>
  <x:c r="A29" i="2" s="1"/>
  <x:c r="A30" i="2" s="1"/>
  <x:c r="A31" i="2" s="1"/>
  <x:c r="A32" i="2" s="1"/>
  <x:c r="A33" i="2" s="1"/>
  <x:c r="A34" i="2" s="1"/>
  <x:c r="A35" i="2" s="1"/>
  <x:c r="A36" i="2" s="1"/>
  <x:c r="A37" i="2" s="1"/>
  <x:c r="A38" i="2" s="1"/>
  <x:c r="A39" i="2" s="1"/>
  <x:c r="A40" i="2" s="1"/>
  <x:c r="A41" i="2" s="1"/>
  <x:c r="A42" i="2" s="1"/>
  <x:c r="A43" i="2" s="1"/>
  <x:c r="A44" i="2" s="1"/>
  <x:c r="A45" i="2" s="1"/>
  <x:c r="A46" i="2" s="1"/>
  <x:c r="A47" i="2" s="1"/>
  <x:c r="A48" i="2" s="1"/>
  <x:c r="A49" i="2" s="1"/>
  <x:c r="A50" i="2" s="1"/>
  <x:c r="A51" i="2" s="1"/>
  <x:c r="A52" i="2" s="1"/>
  <x:c r="A53" i="2" s="1"/>
  <x:c r="A54" i="2" s="1"/>
  <x:c r="A55" i="2" s="1"/>
  <x:c r="A56" i="2" s="1"/>
  <x:c r="A57" i="2" s="1"/>
  <x:c r="A58" i="2" s="1"/>
  <x:c r="A59" i="2" s="1"/>
  <x:c r="A60" i="2" s="1"/>
  <x:c r="A61" i="2" s="1"/>
  <x:c r="A62" i="2" s="1"/>
  <x:c r="A63" i="2" s="1"/>
  <x:c r="A64" i="2" s="1"/>
  <x:c r="A12" i="1"/>
  <x:c r="A13" i="1"/>
  <x:c r="A14" i="1"/>
  <x:c r="A15" i="1"/>
  <x:c r="A16" i="1"/>
  <x:c r="A17" i="1"/>
  <x:c r="A18" i="1"/>
  <x:c r="A19" i="1"/>
  <x:c r="A20" i="1"/>
  <x:c r="D26" i="3"/>
  <x:c r="O57" i="3"/>
  <x:c r="M63" i="2"/>
  <x:c r="M28" i="3" s="1"/>
  <x:c r="E36" i="3"/>
  <x:c r="O18" i="3"/>
  <x:c r="O47" i="3"/>
  <x:c r="L21" i="3"/>
  <x:c r="F32" i="3"/>
  <x:c r="O22" i="3"/>
  <x:c r="I43" i="3"/>
  <x:c r="K58" i="3"/>
  <x:c r="D37" i="3"/>
  <x:c r="D47" i="3"/>
  <x:c r="I48" i="3"/>
  <x:c r="L31" i="3"/>
  <x:c r="O33" i="3"/>
  <x:c r="D53" i="3"/>
  <x:c r="D42" i="3"/>
  <x:c r="H18" i="3"/>
  <x:c r="D36" i="3"/>
  <x:c r="D31" i="3"/>
  <x:c r="I53" i="3"/>
  <x:c r="D41" i="3"/>
  <x:c r="O58" i="3"/>
  <x:c r="I33" i="3"/>
  <x:c r="L41" i="3"/>
  <x:c r="I13" i="3"/>
  <x:c r="I18" i="3"/>
  <x:c r="M33" i="3"/>
  <x:c r="F42" i="3"/>
  <x:c r="E21" i="3"/>
  <x:c r="E16" i="3"/>
  <x:c r="L52" i="3"/>
  <x:c r="E11" i="3"/>
  <x:c r="F37" i="3"/>
  <x:c r="L26" i="3"/>
  <x:c r="L56" i="3"/>
  <x:c r="L27" i="3"/>
  <x:c r="E56" i="3"/>
  <x:c r="L32" i="3"/>
  <x:c r="O32" i="3"/>
  <x:c r="L51" i="3"/>
  <x:c r="F12" i="3"/>
  <x:c r="E51" i="3"/>
  <x:c r="O43" i="3"/>
  <x:c r="L12" i="3"/>
  <x:c r="O38" i="3"/>
  <x:c r="E31" i="3"/>
  <x:c r="L46" i="3"/>
  <x:c r="O37" i="3"/>
  <x:c r="I23" i="3"/>
  <x:c r="D57" i="3"/>
  <x:c r="D12" i="3"/>
  <x:c r="D16" i="3"/>
  <x:c r="D51" i="3"/>
  <x:c r="D11" i="3"/>
  <x:c r="D21" i="3"/>
  <x:c r="O52" i="3"/>
  <x:c r="H38" i="3"/>
  <x:c r="E46" i="3"/>
  <x:c r="I28" i="3"/>
  <x:c r="L11" i="3"/>
  <x:c r="L16" i="3"/>
  <x:c r="O53" i="3"/>
  <x:c r="D48" i="3"/>
  <x:c r="F47" i="3"/>
  <x:c r="L17" i="3"/>
  <x:c r="L36" i="3"/>
  <x:c r="O48" i="3"/>
  <x:c r="L57" i="3"/>
  <x:c r="O28" i="3"/>
  <x:c r="O27" i="3"/>
  <x:c r="O17" i="3"/>
  <x:c r="O42" i="3"/>
  <x:c r="D43" i="3"/>
  <x:c r="O13" i="3"/>
  <x:c r="F17" i="3"/>
  <x:c r="D13" i="3"/>
  <x:c r="D28" i="3"/>
  <x:c r="D33" i="3"/>
  <x:c r="F52" i="3"/>
  <x:c r="F27" i="3"/>
  <x:c r="O23" i="3"/>
  <x:c r="E26" i="3"/>
  <x:c r="F22" i="3"/>
  <x:c r="F53" i="3" l="1"/>
  <x:c r="M23" i="3"/>
  <x:c r="D18" i="3"/>
  <x:c r="D56" i="3"/>
  <x:c r="D61" i="3" s="1"/>
  <x:c r="D38" i="3"/>
  <x:c r="D52" i="3"/>
  <x:c r="F13" i="3"/>
  <x:c r="D17" i="3"/>
  <x:c r="F43" i="3"/>
  <x:c r="F23" i="3"/>
  <x:c r="F38" i="3"/>
  <x:c r="F33" i="3"/>
  <x:c r="D23" i="3"/>
  <x:c r="H42" i="3"/>
  <x:c r="D27" i="3"/>
  <x:c r="D22" i="3"/>
  <x:c r="K33" i="3"/>
  <x:c r="I38" i="3"/>
  <x:c r="I63" i="3" s="1"/>
  <x:c r="F58" i="3"/>
  <x:c r="F28" i="3"/>
  <x:c r="F48" i="3"/>
  <x:c r="M13" i="3"/>
  <x:c r="L61" i="3"/>
  <x:c r="F62" i="3"/>
  <x:c r="O63" i="3"/>
  <x:c r="O62" i="3"/>
  <x:c r="M57" i="3"/>
  <x:c r="M27" i="3"/>
  <x:c r="M37" i="3"/>
  <x:c r="M42" i="3"/>
  <x:c r="M22" i="3"/>
  <x:c r="M12" i="3"/>
  <x:c r="M47" i="3"/>
  <x:c r="M17" i="3"/>
  <x:c r="G27" i="3"/>
  <x:c r="G17" i="3"/>
  <x:c r="G22" i="3"/>
  <x:c r="G37" i="3"/>
  <x:c r="G47" i="3"/>
  <x:c r="G42" i="3"/>
  <x:c r="G52" i="3"/>
  <x:c r="G32" i="3"/>
  <x:c r="G57" i="3"/>
  <x:c r="G12" i="3"/>
  <x:c r="P53" i="2"/>
  <x:c r="G54" i="2"/>
  <x:c r="L23" i="3"/>
  <x:c r="L33" i="3"/>
  <x:c r="L53" i="3"/>
  <x:c r="L43" i="3"/>
  <x:c r="L13" i="3"/>
  <x:c r="L18" i="3"/>
  <x:c r="L48" i="3"/>
  <x:c r="L38" i="3"/>
  <x:c r="L28" i="3"/>
  <x:c r="L58" i="3"/>
  <x:c r="H23" i="3"/>
  <x:c r="H53" i="3"/>
  <x:c r="H28" i="3"/>
  <x:c r="H58" i="3"/>
  <x:c r="H33" i="3"/>
  <x:c r="H13" i="3"/>
  <x:c r="H43" i="3"/>
  <x:c r="P41" i="2"/>
  <x:c r="H57" i="3"/>
  <x:c r="K18" i="3"/>
  <x:c r="M61" i="2"/>
  <x:c r="P19" i="2"/>
  <x:c r="P38" i="2"/>
  <x:c r="I39" i="2"/>
  <x:c r="P39" i="2" s="1"/>
  <x:c r="N62" i="2"/>
  <x:c r="N54" i="2"/>
  <x:c r="E62" i="2"/>
  <x:c r="J61" i="2"/>
  <x:c r="J31" i="3"/>
  <x:c r="P31" i="2"/>
  <x:c r="M52" i="3"/>
  <x:c r="M16" i="3"/>
  <x:c r="K48" i="3"/>
  <x:c r="H27" i="3"/>
  <x:c r="H12" i="3"/>
  <x:c r="G63" i="2"/>
  <x:c r="G33" i="3" s="1"/>
  <x:c r="K13" i="3"/>
  <x:c r="L22" i="3"/>
  <x:c r="L24" i="2"/>
  <x:c r="P24" i="2" s="1"/>
  <x:c r="K61" i="2"/>
  <x:c r="K34" i="2"/>
  <x:c r="F39" i="2"/>
  <x:c r="P17" i="2"/>
  <x:c r="K38" i="3"/>
  <x:c r="K53" i="3"/>
  <x:c r="M43" i="3"/>
  <x:c r="K28" i="3"/>
  <x:c r="P37" i="2"/>
  <x:c r="J34" i="2"/>
  <x:c r="O44" i="2"/>
  <x:c r="L44" i="2"/>
  <x:c r="K44" i="2"/>
  <x:c r="O61" i="2"/>
  <x:c r="O41" i="3" s="1"/>
  <x:c r="F49" i="2"/>
  <x:c r="P33" i="2"/>
  <x:c r="K23" i="3"/>
  <x:c r="I59" i="2"/>
  <x:c r="F61" i="2"/>
  <x:c r="F29" i="2"/>
  <x:c r="E63" i="2"/>
  <x:c r="E64" i="2" s="1"/>
  <x:c r="M18" i="3"/>
  <x:c r="G61" i="2"/>
  <x:c r="G41" i="3" s="1"/>
  <x:c r="P57" i="2"/>
  <x:c r="P56" i="2"/>
  <x:c r="P26" i="2"/>
  <x:c r="L34" i="2"/>
  <x:c r="P11" i="2"/>
  <x:c r="J14" i="2"/>
  <x:c r="P14" i="2" s="1"/>
  <x:c r="I29" i="2"/>
  <x:c r="I62" i="2"/>
  <x:c r="I27" i="3" s="1"/>
  <x:c r="H52" i="3"/>
  <x:c r="M32" i="3"/>
  <x:c r="K62" i="2"/>
  <x:c r="K17" i="3" s="1"/>
  <x:c r="J29" i="2"/>
  <x:c r="J63" i="2"/>
  <x:c r="J18" i="3" s="1"/>
  <x:c r="P28" i="2"/>
  <x:c r="I44" i="2"/>
  <x:c r="I61" i="2"/>
  <x:c r="H61" i="2"/>
  <x:c r="H16" i="3" s="1"/>
  <x:c r="H29" i="2"/>
  <x:c r="N49" i="2"/>
  <x:c r="P48" i="2"/>
  <x:c r="M58" i="3"/>
  <x:c r="M53" i="3"/>
  <x:c r="M48" i="3"/>
  <x:c r="H22" i="3"/>
  <x:c r="M38" i="3"/>
  <x:c r="P32" i="2"/>
  <x:c r="J59" i="2"/>
  <x:c r="L37" i="3"/>
  <x:c r="L42" i="3"/>
  <x:c r="L47" i="3"/>
  <x:c r="J62" i="2"/>
  <x:c r="J57" i="3" s="1"/>
  <x:c r="H48" i="3"/>
  <x:c r="H49" i="2"/>
  <x:c r="N63" i="2"/>
  <x:c r="P22" i="2"/>
  <x:c r="H17" i="3"/>
  <x:c r="M34" i="2"/>
  <x:c r="G44" i="2"/>
  <x:c r="P27" i="2"/>
  <x:c r="P18" i="2"/>
  <x:c r="P36" i="2"/>
  <x:c r="D64" i="2"/>
  <x:c r="D34" i="3" s="1"/>
  <x:c r="C19" i="1" s="1"/>
  <x:c r="D19" i="4" s="1"/>
  <x:c r="H37" i="3"/>
  <x:c r="P52" i="2"/>
  <x:c r="L64" i="2"/>
  <x:c r="L14" i="3" s="1"/>
  <x:c r="K11" i="1" s="1"/>
  <x:c r="H47" i="3"/>
  <x:c r="M14" i="2"/>
  <x:c r="K59" i="2"/>
  <x:c r="J44" i="2"/>
  <x:c r="E41" i="3"/>
  <x:c r="E61" i="3" s="1"/>
  <x:c r="N61" i="2"/>
  <x:c r="L29" i="2"/>
  <x:c r="P59" i="2" l="1"/>
  <x:c r="D19" i="3"/>
  <x:c r="C13" i="1" s="1"/>
  <x:c r="D13" i="4" s="1"/>
  <x:c r="F63" i="3"/>
  <x:c r="D54" i="3"/>
  <x:c r="C12" i="1" s="1"/>
  <x:c r="D12" i="4" s="1"/>
  <x:c r="D63" i="3"/>
  <x:c r="D59" i="3"/>
  <x:c r="C15" i="1" s="1"/>
  <x:c r="D15" i="4" s="1"/>
  <x:c r="D39" i="3"/>
  <x:c r="C17" i="1" s="1"/>
  <x:c r="D17" i="4" s="1"/>
  <x:c r="E14" i="3"/>
  <x:c r="D11" i="1" s="1"/>
  <x:c r="E54" i="3"/>
  <x:c r="D12" i="1" s="1"/>
  <x:c r="E12" i="4" s="1"/>
  <x:c r="E49" i="3"/>
  <x:c r="D18" i="1" s="1"/>
  <x:c r="E18" i="4" s="1"/>
  <x:c r="E24" i="3"/>
  <x:c r="D20" i="1" s="1"/>
  <x:c r="E20" i="4" s="1"/>
  <x:c r="E44" i="3"/>
  <x:c r="D14" i="1" s="1"/>
  <x:c r="E14" i="4" s="1"/>
  <x:c r="L19" i="3"/>
  <x:c r="K13" i="1" s="1"/>
  <x:c r="L13" i="4" s="1"/>
  <x:c r="M63" i="3"/>
  <x:c r="G53" i="3"/>
  <x:c r="L29" i="3"/>
  <x:c r="K16" i="1" s="1"/>
  <x:c r="L16" i="4" s="1"/>
  <x:c r="D62" i="3"/>
  <x:c r="P34" i="2"/>
  <x:c r="L62" i="3"/>
  <x:c r="N43" i="3"/>
  <x:c r="N58" i="3"/>
  <x:c r="N28" i="3"/>
  <x:c r="N18" i="3"/>
  <x:c r="N23" i="3"/>
  <x:c r="N33" i="3"/>
  <x:c r="N13" i="3"/>
  <x:c r="E11" i="4"/>
  <x:c r="N64" i="2"/>
  <x:c r="N21" i="3"/>
  <x:c r="N16" i="3"/>
  <x:c r="N26" i="3"/>
  <x:c r="N11" i="3"/>
  <x:c r="N51" i="3"/>
  <x:c r="N56" i="3"/>
  <x:c r="N36" i="3"/>
  <x:c r="N31" i="3"/>
  <x:c r="N41" i="3"/>
  <x:c r="N46" i="3"/>
  <x:c r="L39" i="3"/>
  <x:c r="K17" i="1" s="1"/>
  <x:c r="L17" i="4" s="1"/>
  <x:c r="P18" i="3"/>
  <x:c r="K27" i="3"/>
  <x:c r="K37" i="3"/>
  <x:c r="K52" i="3"/>
  <x:c r="K57" i="3"/>
  <x:c r="K47" i="3"/>
  <x:c r="K32" i="3"/>
  <x:c r="K42" i="3"/>
  <x:c r="K22" i="3"/>
  <x:c r="K12" i="3"/>
  <x:c r="L34" i="3"/>
  <x:c r="K19" i="1" s="1"/>
  <x:c r="L19" i="4" s="1"/>
  <x:c r="L49" i="3"/>
  <x:c r="K18" i="1" s="1"/>
  <x:c r="L18" i="4" s="1"/>
  <x:c r="L63" i="3"/>
  <x:c r="G62" i="3"/>
  <x:c r="E39" i="3"/>
  <x:c r="D17" i="1" s="1"/>
  <x:c r="E17" i="4" s="1"/>
  <x:c r="E59" i="3"/>
  <x:c r="D15" i="1" s="1"/>
  <x:c r="E15" i="4" s="1"/>
  <x:c r="E34" i="3"/>
  <x:c r="D19" i="1" s="1"/>
  <x:c r="E19" i="4" s="1"/>
  <x:c r="E19" i="3"/>
  <x:c r="D13" i="1" s="1"/>
  <x:c r="E13" i="4" s="1"/>
  <x:c r="P62" i="2"/>
  <x:c r="P27" i="3" s="1"/>
  <x:c r="L24" i="3"/>
  <x:c r="K20" i="1" s="1"/>
  <x:c r="L20" i="4" s="1"/>
  <x:c r="E29" i="3"/>
  <x:c r="E57" i="3"/>
  <x:c r="E42" i="3"/>
  <x:c r="E12" i="3"/>
  <x:c r="E17" i="3"/>
  <x:c r="E32" i="3"/>
  <x:c r="E47" i="3"/>
  <x:c r="E52" i="3"/>
  <x:c r="E22" i="3"/>
  <x:c r="E37" i="3"/>
  <x:c r="E27" i="3"/>
  <x:c r="M51" i="3"/>
  <x:c r="M36" i="3"/>
  <x:c r="M46" i="3"/>
  <x:c r="M41" i="3"/>
  <x:c r="M64" i="2"/>
  <x:c r="M14" i="3" s="1"/>
  <x:c r="L11" i="1" s="1"/>
  <x:c r="M31" i="3"/>
  <x:c r="M21" i="3"/>
  <x:c r="M56" i="3"/>
  <x:c r="M11" i="3"/>
  <x:c r="H63" i="3"/>
  <x:c r="J23" i="3"/>
  <x:c r="J13" i="3"/>
  <x:c r="J53" i="3"/>
  <x:c r="J43" i="3"/>
  <x:c r="J48" i="3"/>
  <x:c r="J33" i="3"/>
  <x:c r="J58" i="3"/>
  <x:c r="J28" i="3"/>
  <x:c r="J38" i="3"/>
  <x:c r="L11" i="4"/>
  <x:c r="K16" i="3"/>
  <x:c r="K51" i="3"/>
  <x:c r="K26" i="3"/>
  <x:c r="K41" i="3"/>
  <x:c r="K21" i="3"/>
  <x:c r="K31" i="3"/>
  <x:c r="K36" i="3"/>
  <x:c r="K11" i="3"/>
  <x:c r="K56" i="3"/>
  <x:c r="K64" i="2"/>
  <x:c r="K44" i="3" s="1"/>
  <x:c r="J14" i="1" s="1"/>
  <x:c r="K14" i="4" s="1"/>
  <x:c r="K46" i="3"/>
  <x:c r="L54" i="3"/>
  <x:c r="K12" i="1" s="1"/>
  <x:c r="L12" i="4" s="1"/>
  <x:c r="P61" i="2"/>
  <x:c r="P56" i="3" s="1"/>
  <x:c r="G56" i="3"/>
  <x:c r="G51" i="3"/>
  <x:c r="G11" i="3"/>
  <x:c r="G31" i="3"/>
  <x:c r="G16" i="3"/>
  <x:c r="G26" i="3"/>
  <x:c r="G21" i="3"/>
  <x:c r="G64" i="2"/>
  <x:c r="G44" i="3" s="1"/>
  <x:c r="F14" i="1" s="1"/>
  <x:c r="G14" i="4" s="1"/>
  <x:c r="G46" i="3"/>
  <x:c r="G36" i="3"/>
  <x:c r="I12" i="3"/>
  <x:c r="I32" i="3"/>
  <x:c r="I37" i="3"/>
  <x:c r="I47" i="3"/>
  <x:c r="I52" i="3"/>
  <x:c r="I22" i="3"/>
  <x:c r="I17" i="3"/>
  <x:c r="I57" i="3"/>
  <x:c r="I42" i="3"/>
  <x:c r="G18" i="3"/>
  <x:c r="G13" i="3"/>
  <x:c r="G43" i="3"/>
  <x:c r="G23" i="3"/>
  <x:c r="G28" i="3"/>
  <x:c r="G48" i="3"/>
  <x:c r="G38" i="3"/>
  <x:c r="G58" i="3"/>
  <x:c r="N32" i="3"/>
  <x:c r="N47" i="3"/>
  <x:c r="N22" i="3"/>
  <x:c r="N42" i="3"/>
  <x:c r="N17" i="3"/>
  <x:c r="N12" i="3"/>
  <x:c r="N37" i="3"/>
  <x:c r="N52" i="3"/>
  <x:c r="N57" i="3"/>
  <x:c r="N27" i="3"/>
  <x:c r="N53" i="3"/>
  <x:c r="M62" i="3"/>
  <x:c r="P44" i="2"/>
  <x:c r="H21" i="3"/>
  <x:c r="H64" i="2"/>
  <x:c r="H29" i="3" s="1"/>
  <x:c r="H31" i="3"/>
  <x:c r="H41" i="3"/>
  <x:c r="H36" i="3"/>
  <x:c r="H46" i="3"/>
  <x:c r="H26" i="3"/>
  <x:c r="H11" i="3"/>
  <x:c r="H56" i="3"/>
  <x:c r="H51" i="3"/>
  <x:c r="P49" i="2"/>
  <x:c r="D44" i="3"/>
  <x:c r="C14" i="1" s="1"/>
  <x:c r="D14" i="4" s="1"/>
  <x:c r="D29" i="3"/>
  <x:c r="D49" i="3"/>
  <x:c r="C18" i="1" s="1"/>
  <x:c r="D18" i="4" s="1"/>
  <x:c r="D24" i="3"/>
  <x:c r="C20" i="1" s="1"/>
  <x:c r="D20" i="4" s="1"/>
  <x:c r="D14" i="3"/>
  <x:c r="C11" i="1" s="1"/>
  <x:c r="E53" i="3"/>
  <x:c r="E38" i="3"/>
  <x:c r="E18" i="3"/>
  <x:c r="E43" i="3"/>
  <x:c r="E23" i="3"/>
  <x:c r="E58" i="3"/>
  <x:c r="E28" i="3"/>
  <x:c r="E48" i="3"/>
  <x:c r="E13" i="3"/>
  <x:c r="E33" i="3"/>
  <x:c r="L44" i="3"/>
  <x:c r="K14" i="1" s="1"/>
  <x:c r="L14" i="4" s="1"/>
  <x:c r="N38" i="3"/>
  <x:c r="F64" i="2"/>
  <x:c r="F29" i="3" s="1"/>
  <x:c r="F41" i="3"/>
  <x:c r="F56" i="3"/>
  <x:c r="F46" i="3"/>
  <x:c r="F31" i="3"/>
  <x:c r="F26" i="3"/>
  <x:c r="F21" i="3"/>
  <x:c r="F16" i="3"/>
  <x:c r="F36" i="3"/>
  <x:c r="F11" i="3"/>
  <x:c r="F51" i="3"/>
  <x:c r="J47" i="3"/>
  <x:c r="J32" i="3"/>
  <x:c r="J17" i="3"/>
  <x:c r="J37" i="3"/>
  <x:c r="J22" i="3"/>
  <x:c r="J12" i="3"/>
  <x:c r="J42" i="3"/>
  <x:c r="J52" i="3"/>
  <x:c r="J27" i="3"/>
  <x:c r="K63" i="3"/>
  <x:c r="J64" i="2"/>
  <x:c r="J14" i="3" s="1"/>
  <x:c r="I11" i="1" s="1"/>
  <x:c r="J11" i="3"/>
  <x:c r="J16" i="3"/>
  <x:c r="J26" i="3"/>
  <x:c r="J51" i="3"/>
  <x:c r="J36" i="3"/>
  <x:c r="J21" i="3"/>
  <x:c r="J56" i="3"/>
  <x:c r="J46" i="3"/>
  <x:c r="J41" i="3"/>
  <x:c r="O64" i="2"/>
  <x:c r="O44" i="3" s="1"/>
  <x:c r="N14" i="1" s="1"/>
  <x:c r="O14" i="4" s="1"/>
  <x:c r="O21" i="3"/>
  <x:c r="O56" i="3"/>
  <x:c r="O36" i="3"/>
  <x:c r="O31" i="3"/>
  <x:c r="O46" i="3"/>
  <x:c r="O26" i="3"/>
  <x:c r="O51" i="3"/>
  <x:c r="O11" i="3"/>
  <x:c r="O16" i="3"/>
  <x:c r="I31" i="3"/>
  <x:c r="I64" i="2"/>
  <x:c r="I44" i="3" s="1"/>
  <x:c r="H14" i="1" s="1"/>
  <x:c r="I14" i="4" s="1"/>
  <x:c r="I11" i="3"/>
  <x:c r="I51" i="3"/>
  <x:c r="I16" i="3"/>
  <x:c r="I46" i="3"/>
  <x:c r="I36" i="3"/>
  <x:c r="I56" i="3"/>
  <x:c r="I26" i="3"/>
  <x:c r="I21" i="3"/>
  <x:c r="I41" i="3"/>
  <x:c r="P63" i="2"/>
  <x:c r="P33" i="3" s="1"/>
  <x:c r="P29" i="2"/>
  <x:c r="L59" i="3"/>
  <x:c r="K15" i="1" s="1"/>
  <x:c r="L15" i="4" s="1"/>
  <x:c r="H62" i="3"/>
  <x:c r="M26" i="3"/>
  <x:c r="N48" i="3"/>
  <x:c r="P54" i="2"/>
  <x:c r="I59" i="3" l="1"/>
  <x:c r="H15" i="1" s="1"/>
  <x:c r="I15" i="4" s="1"/>
  <x:c r="M34" i="3"/>
  <x:c r="L19" i="1" s="1"/>
  <x:c r="M19" i="4" s="1"/>
  <x:c r="H61" i="3"/>
  <x:c r="P38" i="3"/>
  <x:c r="M61" i="3"/>
  <x:c r="I62" i="3"/>
  <x:c r="G61" i="3"/>
  <x:c r="I61" i="3"/>
  <x:c r="K61" i="3"/>
  <x:c r="J11" i="4"/>
  <x:c r="G16" i="1"/>
  <x:c r="H16" i="4" s="1"/>
  <x:c r="N44" i="3"/>
  <x:c r="M14" i="1" s="1"/>
  <x:c r="N14" i="4" s="1"/>
  <x:c r="N14" i="3"/>
  <x:c r="M11" i="1" s="1"/>
  <x:c r="N24" i="3"/>
  <x:c r="M20" i="1" s="1"/>
  <x:c r="N20" i="4" s="1"/>
  <x:c r="N34" i="3"/>
  <x:c r="M19" i="1" s="1"/>
  <x:c r="N19" i="4" s="1"/>
  <x:c r="N29" i="3"/>
  <x:c r="N39" i="3"/>
  <x:c r="M17" i="1" s="1"/>
  <x:c r="N17" i="4" s="1"/>
  <x:c r="N19" i="3"/>
  <x:c r="M13" i="1" s="1"/>
  <x:c r="N13" i="4" s="1"/>
  <x:c r="N59" i="3"/>
  <x:c r="M15" i="1" s="1"/>
  <x:c r="N15" i="4" s="1"/>
  <x:c r="P57" i="3"/>
  <x:c r="J34" i="3"/>
  <x:c r="I19" i="1" s="1"/>
  <x:c r="J19" i="4" s="1"/>
  <x:c r="P48" i="3"/>
  <x:c r="K21" i="1"/>
  <x:c r="E62" i="3"/>
  <x:c r="P47" i="3"/>
  <x:c r="P42" i="3"/>
  <x:c r="P12" i="3"/>
  <x:c r="J61" i="3"/>
  <x:c r="L21" i="4"/>
  <x:c r="P58" i="3"/>
  <x:c r="P23" i="3"/>
  <x:c r="P13" i="3"/>
  <x:c r="P43" i="3"/>
  <x:c r="J24" i="3"/>
  <x:c r="I20" i="1" s="1"/>
  <x:c r="J20" i="4" s="1"/>
  <x:c r="J49" i="3"/>
  <x:c r="I18" i="1" s="1"/>
  <x:c r="J18" i="4" s="1"/>
  <x:c r="J39" i="3"/>
  <x:c r="I17" i="1" s="1"/>
  <x:c r="J17" i="4" s="1"/>
  <x:c r="J54" i="3"/>
  <x:c r="I12" i="1" s="1"/>
  <x:c r="J12" i="4" s="1"/>
  <x:c r="J19" i="3"/>
  <x:c r="I13" i="1" s="1"/>
  <x:c r="J13" i="4" s="1"/>
  <x:c r="L64" i="3"/>
  <x:c r="F59" i="3"/>
  <x:c r="E15" i="1" s="1"/>
  <x:c r="F15" i="4" s="1"/>
  <x:c r="F34" i="3"/>
  <x:c r="E19" i="1" s="1"/>
  <x:c r="F19" i="4" s="1"/>
  <x:c r="F19" i="3"/>
  <x:c r="E13" i="1" s="1"/>
  <x:c r="F13" i="4" s="1"/>
  <x:c r="F44" i="3"/>
  <x:c r="E14" i="1" s="1"/>
  <x:c r="F14" i="4" s="1"/>
  <x:c r="F14" i="3"/>
  <x:c r="E11" i="1" s="1"/>
  <x:c r="F54" i="3"/>
  <x:c r="E12" i="1" s="1"/>
  <x:c r="F12" i="4" s="1"/>
  <x:c r="F24" i="3"/>
  <x:c r="E20" i="1" s="1"/>
  <x:c r="F20" i="4" s="1"/>
  <x:c r="J59" i="3"/>
  <x:c r="I15" i="1" s="1"/>
  <x:c r="J15" i="4" s="1"/>
  <x:c r="N62" i="3"/>
  <x:c r="G59" i="3"/>
  <x:c r="F15" i="1" s="1"/>
  <x:c r="G15" i="4" s="1"/>
  <x:c r="G29" i="3"/>
  <x:c r="G19" i="3"/>
  <x:c r="F13" i="1" s="1"/>
  <x:c r="G13" i="4" s="1"/>
  <x:c r="G39" i="3"/>
  <x:c r="F17" i="1" s="1"/>
  <x:c r="G17" i="4" s="1"/>
  <x:c r="G14" i="3"/>
  <x:c r="F11" i="1" s="1"/>
  <x:c r="G34" i="3"/>
  <x:c r="F19" i="1" s="1"/>
  <x:c r="G19" i="4" s="1"/>
  <x:c r="G24" i="3"/>
  <x:c r="F20" i="1" s="1"/>
  <x:c r="G20" i="4" s="1"/>
  <x:c r="G49" i="3"/>
  <x:c r="F18" i="1" s="1"/>
  <x:c r="G18" i="4" s="1"/>
  <x:c r="C16" i="1"/>
  <x:c r="D16" i="4" s="1"/>
  <x:c r="D64" i="3"/>
  <x:c r="I39" i="3"/>
  <x:c r="H17" i="1" s="1"/>
  <x:c r="I17" i="4" s="1"/>
  <x:c r="G63" i="3"/>
  <x:c r="P36" i="3"/>
  <x:c r="P52" i="3"/>
  <x:c r="J62" i="3"/>
  <x:c r="I29" i="3"/>
  <x:c r="P17" i="3"/>
  <x:c r="J63" i="3"/>
  <x:c r="J29" i="3"/>
  <x:c r="P11" i="3"/>
  <x:c r="H59" i="3"/>
  <x:c r="G15" i="1" s="1"/>
  <x:c r="H15" i="4" s="1"/>
  <x:c r="H34" i="3"/>
  <x:c r="G19" i="1" s="1"/>
  <x:c r="H19" i="4" s="1"/>
  <x:c r="H39" i="3"/>
  <x:c r="G17" i="1" s="1"/>
  <x:c r="H17" i="4" s="1"/>
  <x:c r="H24" i="3"/>
  <x:c r="G20" i="1" s="1"/>
  <x:c r="H20" i="4" s="1"/>
  <x:c r="H54" i="3"/>
  <x:c r="G12" i="1" s="1"/>
  <x:c r="H12" i="4" s="1"/>
  <x:c r="H44" i="3"/>
  <x:c r="G14" i="1" s="1"/>
  <x:c r="H14" i="4" s="1"/>
  <x:c r="H14" i="3"/>
  <x:c r="G11" i="1" s="1"/>
  <x:c r="H19" i="3"/>
  <x:c r="G13" i="1" s="1"/>
  <x:c r="H13" i="4" s="1"/>
  <x:c r="K24" i="3"/>
  <x:c r="J20" i="1" s="1"/>
  <x:c r="K20" i="4" s="1"/>
  <x:c r="K49" i="3"/>
  <x:c r="J18" i="1" s="1"/>
  <x:c r="K18" i="4" s="1"/>
  <x:c r="K29" i="3"/>
  <x:c r="K39" i="3"/>
  <x:c r="J17" i="1" s="1"/>
  <x:c r="K17" i="4" s="1"/>
  <x:c r="K14" i="3"/>
  <x:c r="J11" i="1" s="1"/>
  <x:c r="K19" i="3"/>
  <x:c r="J13" i="1" s="1"/>
  <x:c r="K13" i="4" s="1"/>
  <x:c r="K54" i="3"/>
  <x:c r="J12" i="1" s="1"/>
  <x:c r="K12" i="4" s="1"/>
  <x:c r="K59" i="3"/>
  <x:c r="J15" i="1" s="1"/>
  <x:c r="K15" i="4" s="1"/>
  <x:c r="P54" i="3"/>
  <x:c r="O12" i="1" s="1"/>
  <x:c r="P12" i="4" s="1"/>
  <x:c r="F39" i="3"/>
  <x:c r="E17" i="1" s="1"/>
  <x:c r="F17" i="4" s="1"/>
  <x:c r="M11" i="4"/>
  <x:c r="N54" i="3"/>
  <x:c r="M12" i="1" s="1"/>
  <x:c r="N12" i="4" s="1"/>
  <x:c r="K34" i="3"/>
  <x:c r="J19" i="1" s="1"/>
  <x:c r="K19" i="4" s="1"/>
  <x:c r="N61" i="3"/>
  <x:c r="N63" i="3"/>
  <x:c r="P28" i="3"/>
  <x:c r="O19" i="3"/>
  <x:c r="N13" i="1" s="1"/>
  <x:c r="O13" i="4" s="1"/>
  <x:c r="O34" i="3"/>
  <x:c r="N19" i="1" s="1"/>
  <x:c r="O19" i="4" s="1"/>
  <x:c r="O59" i="3"/>
  <x:c r="N15" i="1" s="1"/>
  <x:c r="O15" i="4" s="1"/>
  <x:c r="O29" i="3"/>
  <x:c r="O14" i="3"/>
  <x:c r="N11" i="1" s="1"/>
  <x:c r="O54" i="3"/>
  <x:c r="N12" i="1" s="1"/>
  <x:c r="O12" i="4" s="1"/>
  <x:c r="O49" i="3"/>
  <x:c r="N18" i="1" s="1"/>
  <x:c r="O18" i="4" s="1"/>
  <x:c r="O39" i="3"/>
  <x:c r="N17" i="1" s="1"/>
  <x:c r="O17" i="4" s="1"/>
  <x:c r="O24" i="3"/>
  <x:c r="N20" i="1" s="1"/>
  <x:c r="O20" i="4" s="1"/>
  <x:c r="P22" i="3"/>
  <x:c r="G54" i="3"/>
  <x:c r="F12" i="1" s="1"/>
  <x:c r="G12" i="4" s="1"/>
  <x:c r="P32" i="3"/>
  <x:c r="N49" i="3"/>
  <x:c r="M18" i="1" s="1"/>
  <x:c r="N18" i="4" s="1"/>
  <x:c r="J44" i="3"/>
  <x:c r="I14" i="1" s="1"/>
  <x:c r="J14" i="4" s="1"/>
  <x:c r="M24" i="3"/>
  <x:c r="L20" i="1" s="1"/>
  <x:c r="M20" i="4" s="1"/>
  <x:c r="M49" i="3"/>
  <x:c r="L18" i="1" s="1"/>
  <x:c r="M18" i="4" s="1"/>
  <x:c r="M29" i="3"/>
  <x:c r="M39" i="3"/>
  <x:c r="L17" i="1" s="1"/>
  <x:c r="M17" i="4" s="1"/>
  <x:c r="M44" i="3"/>
  <x:c r="L14" i="1" s="1"/>
  <x:c r="M14" i="4" s="1"/>
  <x:c r="M54" i="3"/>
  <x:c r="L12" i="1" s="1"/>
  <x:c r="M12" i="4" s="1"/>
  <x:c r="M19" i="3"/>
  <x:c r="L13" i="1" s="1"/>
  <x:c r="M13" i="4" s="1"/>
  <x:c r="M59" i="3"/>
  <x:c r="L15" i="1" s="1"/>
  <x:c r="M15" i="4" s="1"/>
  <x:c r="E64" i="3"/>
  <x:c r="D16" i="1"/>
  <x:c r="K62" i="3"/>
  <x:c r="P64" i="2"/>
  <x:c r="P49" i="3" s="1"/>
  <x:c r="O18" i="1" s="1"/>
  <x:c r="P18" i="4" s="1"/>
  <x:c r="P21" i="3"/>
  <x:c r="P51" i="3"/>
  <x:c r="P46" i="3"/>
  <x:c r="P16" i="3"/>
  <x:c r="E16" i="1"/>
  <x:c r="F16" i="4" s="1"/>
  <x:c r="P41" i="3"/>
  <x:c r="I49" i="3"/>
  <x:c r="H18" i="1" s="1"/>
  <x:c r="I18" i="4" s="1"/>
  <x:c r="I24" i="3"/>
  <x:c r="H20" i="1" s="1"/>
  <x:c r="I20" i="4" s="1"/>
  <x:c r="I14" i="3"/>
  <x:c r="H11" i="1" s="1"/>
  <x:c r="I34" i="3"/>
  <x:c r="H19" i="1" s="1"/>
  <x:c r="I19" i="4" s="1"/>
  <x:c r="I19" i="3"/>
  <x:c r="H13" i="1" s="1"/>
  <x:c r="I13" i="4" s="1"/>
  <x:c r="I54" i="3"/>
  <x:c r="H12" i="1" s="1"/>
  <x:c r="I12" i="4" s="1"/>
  <x:c r="D11" i="4"/>
  <x:c r="P26" i="3"/>
  <x:c r="P31" i="3"/>
  <x:c r="P37" i="3"/>
  <x:c r="H49" i="3"/>
  <x:c r="G18" i="1" s="1"/>
  <x:c r="H18" i="4" s="1"/>
  <x:c r="O61" i="3"/>
  <x:c r="F61" i="3"/>
  <x:c r="E63" i="3"/>
  <x:c r="F49" i="3"/>
  <x:c r="E18" i="1" s="1"/>
  <x:c r="F18" i="4" s="1"/>
  <x:c r="P53" i="3"/>
  <x:c r="D29" i="4" l="1"/>
  <x:c r="P29" i="3"/>
  <x:c r="D32" i="4"/>
  <x:c r="D35" i="4"/>
  <x:c r="D33" i="4"/>
  <x:c r="P44" i="3"/>
  <x:c r="O14" i="1" s="1"/>
  <x:c r="P14" i="4" s="1"/>
  <x:c r="P62" i="3"/>
  <x:c r="P63" i="3"/>
  <x:c r="D28" i="4"/>
  <x:c r="F64" i="3"/>
  <x:c r="D34" i="4"/>
  <x:c r="C21" i="1"/>
  <x:c r="K64" i="3"/>
  <x:c r="J16" i="1"/>
  <x:c r="K16" i="4" s="1"/>
  <x:c r="I16" i="1"/>
  <x:c r="J16" i="4" s="1"/>
  <x:c r="J21" i="4" s="1"/>
  <x:c r="J64" i="3"/>
  <x:c r="P61" i="3"/>
  <x:c r="F28" i="4"/>
  <x:c r="H16" i="1"/>
  <x:c r="I16" i="4" s="1"/>
  <x:c r="I64" i="3"/>
  <x:c r="D30" i="4"/>
  <x:c r="G11" i="4"/>
  <x:c r="N11" i="4"/>
  <x:c r="D21" i="4"/>
  <x:c r="M64" i="3"/>
  <x:c r="L16" i="1"/>
  <x:c r="M16" i="4" s="1"/>
  <x:c r="M21" i="4" s="1"/>
  <x:c r="O11" i="4"/>
  <x:c r="L21" i="1"/>
  <x:c r="H11" i="4"/>
  <x:c r="G21" i="1"/>
  <x:c r="N16" i="1"/>
  <x:c r="O16" i="4" s="1"/>
  <x:c r="O64" i="3"/>
  <x:c r="F29" i="4"/>
  <x:c r="F16" i="1"/>
  <x:c r="G16" i="4" s="1"/>
  <x:c r="G64" i="3"/>
  <x:c r="H64" i="3"/>
  <x:c r="F27" i="4"/>
  <x:c r="O16" i="1"/>
  <x:c r="P16" i="4" s="1"/>
  <x:c r="I11" i="4"/>
  <x:c r="P34" i="3"/>
  <x:c r="O19" i="1" s="1"/>
  <x:c r="P19" i="4" s="1"/>
  <x:c r="P24" i="3"/>
  <x:c r="O20" i="1" s="1"/>
  <x:c r="P20" i="4" s="1"/>
  <x:c r="P39" i="3"/>
  <x:c r="O17" i="1" s="1"/>
  <x:c r="P17" i="4" s="1"/>
  <x:c r="P19" i="3"/>
  <x:c r="O13" i="1" s="1"/>
  <x:c r="P13" i="4" s="1"/>
  <x:c r="P59" i="3"/>
  <x:c r="O15" i="1" s="1"/>
  <x:c r="P15" i="4" s="1"/>
  <x:c r="P14" i="3"/>
  <x:c r="O11" i="1" s="1"/>
  <x:c r="F35" i="4"/>
  <x:c r="F32" i="4"/>
  <x:c r="E16" i="4"/>
  <x:c r="E21" i="4" s="1"/>
  <x:c r="D21" i="1"/>
  <x:c r="F33" i="4"/>
  <x:c r="K11" i="4"/>
  <x:c r="J21" i="1"/>
  <x:c r="F30" i="4"/>
  <x:c r="D27" i="4"/>
  <x:c r="F34" i="4"/>
  <x:c r="F11" i="4"/>
  <x:c r="F21" i="4" s="1"/>
  <x:c r="E21" i="1"/>
  <x:c r="M16" i="1"/>
  <x:c r="N16" i="4" s="1"/>
  <x:c r="N64" i="3"/>
  <x:c r="D26" i="4" l="1"/>
  <x:c r="O21" i="4"/>
  <x:c r="H21" i="1"/>
  <x:c r="D31" i="4"/>
  <x:c r="M21" i="1"/>
  <x:c r="K21" i="4"/>
  <x:c r="N21" i="4"/>
  <x:c r="F31" i="4"/>
  <x:c r="F21" i="1"/>
  <x:c r="I21" i="4"/>
  <x:c r="G21" i="4"/>
  <x:c r="P64" i="3"/>
  <x:c r="N21" i="1"/>
  <x:c r="I21" i="1"/>
  <x:c r="F26" i="4"/>
  <x:c r="H21" i="4"/>
  <x:c r="P11" i="4"/>
  <x:c r="O21" i="1"/>
  <x:c r="D36" i="4" l="1"/>
  <x:c r="F36" i="4"/>
  <x:c r="P21" i="4"/>
</x:calcChain>
</file>

<file path=xl/sharedStrings.xml><?xml version="1.0" encoding="utf-8"?>
<sst xmlns="http://schemas.openxmlformats.org/spreadsheetml/2006/main" count="242" uniqueCount="48">
  <si>
    <t>Annual</t>
  </si>
  <si>
    <t xml:space="preserve">Total </t>
  </si>
  <si>
    <t>Midland Odessa</t>
  </si>
  <si>
    <t>Waco</t>
  </si>
  <si>
    <t>Wichita Falls</t>
  </si>
  <si>
    <t>Lufkin</t>
  </si>
  <si>
    <t>Austin</t>
  </si>
  <si>
    <t>Killeen</t>
  </si>
  <si>
    <t>Longview</t>
  </si>
  <si>
    <t>Abilene</t>
  </si>
  <si>
    <t xml:space="preserve">PUC DOCKET NO. </t>
  </si>
  <si>
    <t>ONCOR ELECTRIC DELIVERY COMPANY</t>
  </si>
  <si>
    <t>Line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</si>
  <si>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</si>
  <si>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</si>
  <si>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</si>
  <si>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</si>
  <si>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</si>
  <si>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</si>
  <si>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</si>
  <si>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</si>
  <si>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</si>
  <si>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</si>
  <si>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</si>
  <si>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</si>
  <si>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</si>
  <si>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</si>
  <si>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No.</t>
  </si>
  <si>
    <t>Weather Station</t>
  </si>
  <si>
    <t>Dallas-Fort Worth</t>
  </si>
  <si>
    <t>Midland-Odessa</t>
  </si>
  <si>
    <t>Killeen-Temple</t>
  </si>
  <si>
    <t>Wichita Falls.</t>
  </si>
  <si>
    <t>Year</t>
  </si>
  <si>
    <t>System</t>
  </si>
  <si>
    <t>ONCOR ELECTRIC DELIVERY COMPANY LLC</t>
  </si>
  <si>
    <t>Nov to Mar</t>
  </si>
  <si>
    <t>May to Sep</t>
  </si>
  <si>
    <t>SPONSOR: D. E. NELSON</t>
  </si>
  <si>
    <t>WEATHER WEIGHTS</t>
  </si>
  <si>
    <t>SEASONAL WEIGHTS</t>
  </si>
  <si>
    <t>(o)</t>
  </si>
  <si>
    <t>Sherman-Denison</t>
  </si>
  <si>
    <t>HDD</t>
  </si>
  <si>
    <t>CDD</t>
  </si>
  <si>
    <t>Denison</t>
  </si>
  <si>
    <t>FOR THE TEST YEAR ENDING DECEMBER 31, 2024</t>
  </si>
  <si>
    <t>SECONDARY SERVICE GREATER THAN 10 KW MONTHLY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</si>
</sst>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m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2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0" fontId="1" fillId="0" borderId="0"/>
    <xf numFmtId="0" fontId="6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73"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Border="1" applyAlignment="1" applyProtection="1">
      <alignment horizontal="center"/>
      <protection locked="0"/>
    </xf>
    <xf numFmtId="164" fontId="7" fillId="0" borderId="0" xfId="4" applyNumberFormat="1" applyFont="1" applyBorder="1" applyAlignment="1" applyProtection="1">
      <alignment horizontal="right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7" fillId="0" borderId="0" xfId="0" applyNumberFormat="1" applyFont="1" applyFill="1" applyProtection="1">
      <protection locked="0"/>
    </xf>
    <xf numFmtId="164" fontId="7" fillId="0" borderId="1" xfId="0" applyNumberFormat="1" applyFont="1" applyFill="1" applyBorder="1" applyProtection="1">
      <protection locked="0"/>
    </xf>
    <xf numFmtId="164" fontId="7" fillId="0" borderId="0" xfId="4" applyNumberFormat="1" applyFont="1" applyFill="1" applyBorder="1" applyAlignment="1" applyProtection="1">
      <alignment horizontal="right"/>
      <protection locked="0"/>
    </xf>
    <xf numFmtId="0" fontId="7" fillId="0" borderId="0" xfId="0" applyFont="1" applyProtection="1">
      <protection locked="0"/>
    </xf>
    <xf numFmtId="3" fontId="7" fillId="0" borderId="0" xfId="0" applyNumberFormat="1" applyFont="1" applyFill="1" applyBorder="1" applyAlignment="1" applyProtection="1">
      <protection locked="0"/>
    </xf>
    <xf numFmtId="164" fontId="7" fillId="0" borderId="0" xfId="0" applyNumberFormat="1" applyFont="1" applyFill="1" applyBorder="1" applyProtection="1">
      <protection locked="0"/>
    </xf>
    <xf numFmtId="164" fontId="7" fillId="0" borderId="0" xfId="0" applyNumberFormat="1" applyFont="1" applyFill="1" applyBorder="1" applyAlignment="1" applyProtection="1">
      <protection locked="0"/>
    </xf>
    <xf numFmtId="0" fontId="6" fillId="0" borderId="0" xfId="0" applyFont="1" applyFill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0" xfId="0"/>
    <xf numFmtId="0" fontId="6" fillId="0" borderId="0" xfId="0" applyFont="1" applyAlignment="1" applyProtection="1">
      <protection locked="0"/>
    </xf>
    <xf numFmtId="0" fontId="0" fillId="0" borderId="0" xfId="0" quotePrefix="1" applyAlignment="1">
      <alignment horizontal="center"/>
    </xf>
    <xf numFmtId="0" fontId="4" fillId="0" borderId="0" xfId="0" applyFont="1" applyAlignment="1">
      <alignment horizontal="center"/>
    </xf>
    <xf numFmtId="165" fontId="7" fillId="0" borderId="2" xfId="2" applyNumberFormat="1" applyFont="1" applyBorder="1" applyAlignment="1">
      <alignment horizontal="right" vertical="center" wrapText="1"/>
    </xf>
    <xf numFmtId="165" fontId="7" fillId="0" borderId="3" xfId="2" applyNumberFormat="1" applyFont="1" applyBorder="1" applyAlignment="1">
      <alignment horizontal="right" vertical="center" wrapText="1"/>
    </xf>
    <xf numFmtId="165" fontId="7" fillId="0" borderId="4" xfId="2" applyNumberFormat="1" applyFont="1" applyBorder="1" applyAlignment="1">
      <alignment horizontal="right" vertical="center" wrapText="1"/>
    </xf>
    <xf numFmtId="0" fontId="7" fillId="0" borderId="5" xfId="2" applyFont="1" applyBorder="1" applyAlignment="1">
      <alignment horizontal="right" vertical="center" wrapText="1"/>
    </xf>
    <xf numFmtId="0" fontId="6" fillId="0" borderId="0" xfId="0" applyFont="1" applyAlignment="1" applyProtection="1">
      <alignment horizontal="center"/>
      <protection locked="0"/>
    </xf>
    <xf numFmtId="0" fontId="1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 applyAlignment="1"/>
    <xf numFmtId="0" fontId="1" fillId="0" borderId="0" xfId="1" applyFont="1" applyProtection="1">
      <protection locked="0"/>
    </xf>
    <xf numFmtId="0" fontId="1" fillId="0" borderId="0" xfId="1"/>
    <xf numFmtId="0" fontId="1" fillId="0" borderId="0" xfId="1" applyFont="1" applyAlignment="1" applyProtection="1">
      <protection locked="0"/>
    </xf>
    <xf numFmtId="0" fontId="1" fillId="0" borderId="0" xfId="1" quotePrefix="1" applyAlignment="1">
      <alignment horizontal="center"/>
    </xf>
    <xf numFmtId="0" fontId="4" fillId="0" borderId="0" xfId="1" applyFont="1" applyAlignment="1">
      <alignment horizontal="center"/>
    </xf>
    <xf numFmtId="165" fontId="5" fillId="0" borderId="2" xfId="3" applyNumberFormat="1" applyFont="1" applyBorder="1" applyAlignment="1" applyProtection="1">
      <alignment horizontal="right" vertical="center" wrapText="1"/>
      <protection locked="0"/>
    </xf>
    <xf numFmtId="0" fontId="5" fillId="0" borderId="0" xfId="3" applyFont="1" applyBorder="1" applyAlignment="1" applyProtection="1">
      <alignment horizontal="right"/>
      <protection locked="0"/>
    </xf>
    <xf numFmtId="165" fontId="5" fillId="0" borderId="3" xfId="3" applyNumberFormat="1" applyFont="1" applyBorder="1" applyAlignment="1" applyProtection="1">
      <alignment horizontal="right" vertical="center" wrapText="1"/>
      <protection locked="0"/>
    </xf>
    <xf numFmtId="165" fontId="5" fillId="0" borderId="4" xfId="3" applyNumberFormat="1" applyFont="1" applyBorder="1" applyAlignment="1" applyProtection="1">
      <alignment horizontal="right" vertical="center" wrapText="1"/>
      <protection locked="0"/>
    </xf>
    <xf numFmtId="0" fontId="5" fillId="0" borderId="5" xfId="3" applyFont="1" applyBorder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right"/>
      <protection locked="0"/>
    </xf>
    <xf numFmtId="0" fontId="1" fillId="0" borderId="0" xfId="1" applyFont="1" applyAlignment="1" applyProtection="1">
      <alignment horizontal="center"/>
      <protection locked="0"/>
    </xf>
    <xf numFmtId="0" fontId="5" fillId="0" borderId="0" xfId="3" applyFont="1" applyFill="1" applyBorder="1" applyAlignment="1" applyProtection="1">
      <alignment horizontal="center"/>
      <protection locked="0"/>
    </xf>
    <xf numFmtId="164" fontId="5" fillId="0" borderId="0" xfId="3" applyNumberFormat="1" applyFont="1" applyFill="1" applyProtection="1">
      <protection locked="0"/>
    </xf>
    <xf numFmtId="164" fontId="5" fillId="0" borderId="1" xfId="3" applyNumberFormat="1" applyFont="1" applyFill="1" applyBorder="1" applyProtection="1">
      <protection locked="0"/>
    </xf>
    <xf numFmtId="164" fontId="5" fillId="0" borderId="0" xfId="5" applyNumberFormat="1" applyFont="1" applyFill="1" applyBorder="1" applyAlignment="1" applyProtection="1">
      <alignment horizontal="right"/>
      <protection locked="0"/>
    </xf>
    <xf numFmtId="164" fontId="1" fillId="0" borderId="0" xfId="1" applyNumberFormat="1" applyFont="1" applyProtection="1">
      <protection locked="0"/>
    </xf>
    <xf numFmtId="164" fontId="6" fillId="0" borderId="0" xfId="4" applyNumberFormat="1" applyFont="1" applyProtection="1">
      <protection locked="0"/>
    </xf>
    <xf numFmtId="10" fontId="1" fillId="0" borderId="0" xfId="1" applyNumberFormat="1" applyFont="1" applyProtection="1">
      <protection locked="0"/>
    </xf>
    <xf numFmtId="0" fontId="1" fillId="0" borderId="1" xfId="1" applyFont="1" applyBorder="1" applyProtection="1">
      <protection locked="0"/>
    </xf>
    <xf numFmtId="0" fontId="7" fillId="0" borderId="6" xfId="0" applyFont="1" applyFill="1" applyBorder="1" applyAlignment="1" applyProtection="1">
      <alignment horizontal="center"/>
      <protection locked="0"/>
    </xf>
    <xf numFmtId="3" fontId="7" fillId="0" borderId="6" xfId="0" applyNumberFormat="1" applyFont="1" applyFill="1" applyBorder="1" applyAlignment="1" applyProtection="1">
      <protection locked="0"/>
    </xf>
    <xf numFmtId="3" fontId="7" fillId="0" borderId="7" xfId="0" applyNumberFormat="1" applyFont="1" applyFill="1" applyBorder="1" applyAlignment="1" applyProtection="1">
      <protection locked="0"/>
    </xf>
    <xf numFmtId="3" fontId="7" fillId="0" borderId="8" xfId="0" applyNumberFormat="1" applyFont="1" applyFill="1" applyBorder="1" applyAlignment="1" applyProtection="1">
      <protection locked="0"/>
    </xf>
    <xf numFmtId="3" fontId="7" fillId="0" borderId="9" xfId="0" applyNumberFormat="1" applyFont="1" applyFill="1" applyBorder="1" applyAlignment="1" applyProtection="1">
      <protection locked="0"/>
    </xf>
    <xf numFmtId="0" fontId="7" fillId="0" borderId="10" xfId="0" applyFont="1" applyFill="1" applyBorder="1" applyAlignment="1" applyProtection="1">
      <alignment horizontal="center"/>
      <protection locked="0"/>
    </xf>
    <xf numFmtId="3" fontId="7" fillId="0" borderId="10" xfId="0" applyNumberFormat="1" applyFont="1" applyFill="1" applyBorder="1" applyAlignment="1" applyProtection="1">
      <protection locked="0"/>
    </xf>
    <xf numFmtId="3" fontId="7" fillId="0" borderId="11" xfId="0" applyNumberFormat="1" applyFont="1" applyFill="1" applyBorder="1" applyAlignment="1" applyProtection="1">
      <protection locked="0"/>
    </xf>
    <xf numFmtId="0" fontId="7" fillId="0" borderId="6" xfId="0" applyFont="1" applyBorder="1" applyAlignment="1" applyProtection="1">
      <alignment horizontal="center"/>
      <protection locked="0"/>
    </xf>
    <xf numFmtId="164" fontId="7" fillId="0" borderId="6" xfId="4" applyNumberFormat="1" applyFont="1" applyBorder="1" applyAlignment="1" applyProtection="1">
      <alignment horizontal="right"/>
      <protection locked="0"/>
    </xf>
    <xf numFmtId="164" fontId="7" fillId="0" borderId="7" xfId="4" applyNumberFormat="1" applyFont="1" applyBorder="1" applyAlignment="1" applyProtection="1">
      <alignment horizontal="right"/>
      <protection locked="0"/>
    </xf>
    <xf numFmtId="164" fontId="7" fillId="0" borderId="8" xfId="4" applyNumberFormat="1" applyFont="1" applyBorder="1" applyAlignment="1" applyProtection="1">
      <alignment horizontal="right"/>
      <protection locked="0"/>
    </xf>
    <xf numFmtId="164" fontId="7" fillId="0" borderId="9" xfId="4" applyNumberFormat="1" applyFont="1" applyBorder="1" applyAlignment="1" applyProtection="1">
      <alignment horizontal="right"/>
      <protection locked="0"/>
    </xf>
    <xf numFmtId="164" fontId="1" fillId="0" borderId="12" xfId="1" applyNumberFormat="1" applyFont="1" applyBorder="1" applyProtection="1">
      <protection locked="0"/>
    </xf>
    <xf numFmtId="164" fontId="7" fillId="0" borderId="6" xfId="0" applyNumberFormat="1" applyFont="1" applyFill="1" applyBorder="1" applyAlignment="1" applyProtection="1">
      <protection locked="0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1" fillId="0" borderId="5" xfId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 applyAlignment="1"/>
    <xf numFmtId="0" fontId="3" fillId="0" borderId="0" xfId="0" applyFont="1" applyAlignment="1">
      <alignment horizontal="center"/>
    </xf>
    <xf numFmtId="0" fontId="0" fillId="0" borderId="0" xfId="0" applyAlignment="1"/>
    <xf numFmtId="0" fontId="3" fillId="0" borderId="0" xfId="1" applyFont="1" applyAlignment="1">
      <alignment horizontal="center" vertical="center"/>
    </xf>
    <xf numFmtId="0" fontId="0" fillId="0" borderId="0" xfId="0" applyProtection="1">
      <protection locked="0"/>
    </xf>
  </cellXfs>
  <cellStyles count="6">
    <cellStyle name="Normal" xfId="0" builtinId="0"/>
    <cellStyle name="Normal 2" xfId="1" xr:uid="{00000000-0005-0000-0000-000002000000}"/>
    <cellStyle name="Normal_System Weather Weights WF" xfId="2" xr:uid="{00000000-0005-0000-0000-000003000000}"/>
    <cellStyle name="Normal_System Weather Weights WF 2" xfId="3" xr:uid="{00000000-0005-0000-0000-000004000000}"/>
    <cellStyle name="Percent" xfId="4" builtinId="5"/>
    <cellStyle name="Percent_System Weather Weights WF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16</xdr:col>
      <xdr:colOff>0</xdr:colOff>
      <xdr:row>2</xdr:row>
      <xdr:rowOff>66675</xdr:rowOff>
    </xdr:from>
    <xdr:to>
      <xdr:col>16</xdr:col>
      <xdr:colOff>66675</xdr:colOff>
      <xdr:row>5</xdr:row>
      <xdr:rowOff>0</xdr:rowOff>
    </xdr:to>
    <xdr:sp macro="" textlink="">
      <xdr:nvSpPr>
        <xdr:cNvPr id="2102" name="Text Box 1" descr="" title="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SpPr txBox="1">
          <a:spLocks noChangeArrowheads="1"/>
        </xdr:cNvSpPr>
      </xdr:nvSpPr>
      <xdr:spPr bwMode="auto">
        <a:xfrm>
          <a:off x="13382625" y="466725"/>
          <a:ext cx="666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a0i\Local%20Settings\Temporary%20Internet%20Files\OLK1F5\UFH6\Load_Data\FeederLevelData\Jan2006Hrl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%20from%20Itron_2007%20Project\2008%20Normalization\Observed%20Spline%20Degree%20Day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ehm\2008%20Oncor%20Electric%20Delivery%20Rate%20Case\2008%20PUC%20Rate%20Filing\5.2%20Example%20Actu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URLY"/>
    </sheetNames>
    <sheetDataSet>
      <sheetData sheetId="0" refreshError="1">
        <row r="1">
          <cell r="A1" t="str">
            <v>YEAR</v>
          </cell>
          <cell r="B1" t="str">
            <v>MONTH</v>
          </cell>
          <cell r="C1" t="str">
            <v>DAY</v>
          </cell>
          <cell r="D1" t="str">
            <v>HR</v>
          </cell>
          <cell r="E1" t="str">
            <v>PIMW_LOW_SIDE_HRLY</v>
          </cell>
          <cell r="F1" t="str">
            <v>PIMW_HI_SIDE_HRLY</v>
          </cell>
          <cell r="G1" t="str">
            <v>PIMW_HRLY</v>
          </cell>
        </row>
        <row r="2">
          <cell r="A2">
            <v>2006</v>
          </cell>
          <cell r="B2">
            <v>1</v>
          </cell>
          <cell r="C2">
            <v>1</v>
          </cell>
          <cell r="D2">
            <v>1</v>
          </cell>
          <cell r="E2">
            <v>6378.1362749999944</v>
          </cell>
          <cell r="F2">
            <v>20.997575000000005</v>
          </cell>
          <cell r="G2">
            <v>5508.2766250000186</v>
          </cell>
        </row>
        <row r="3">
          <cell r="A3">
            <v>2006</v>
          </cell>
          <cell r="B3">
            <v>1</v>
          </cell>
          <cell r="C3">
            <v>1</v>
          </cell>
          <cell r="D3">
            <v>2</v>
          </cell>
          <cell r="E3">
            <v>8044.9016749999782</v>
          </cell>
          <cell r="F3">
            <v>27.354775000000007</v>
          </cell>
          <cell r="G3">
            <v>6750.6001750000141</v>
          </cell>
        </row>
        <row r="4">
          <cell r="A4">
            <v>2006</v>
          </cell>
          <cell r="B4">
            <v>1</v>
          </cell>
          <cell r="C4">
            <v>1</v>
          </cell>
          <cell r="D4">
            <v>3</v>
          </cell>
          <cell r="E4">
            <v>7770.3656999999967</v>
          </cell>
          <cell r="F4">
            <v>27.035600000000006</v>
          </cell>
          <cell r="G4">
            <v>6499.003700000002</v>
          </cell>
        </row>
        <row r="5">
          <cell r="A5">
            <v>2006</v>
          </cell>
          <cell r="B5">
            <v>1</v>
          </cell>
          <cell r="C5">
            <v>1</v>
          </cell>
          <cell r="D5">
            <v>4</v>
          </cell>
          <cell r="E5">
            <v>7562.6908999999905</v>
          </cell>
          <cell r="F5">
            <v>26.461300000000001</v>
          </cell>
          <cell r="G5">
            <v>6298.312225000027</v>
          </cell>
        </row>
        <row r="6">
          <cell r="A6">
            <v>2006</v>
          </cell>
          <cell r="B6">
            <v>1</v>
          </cell>
          <cell r="C6">
            <v>1</v>
          </cell>
          <cell r="D6">
            <v>5</v>
          </cell>
          <cell r="E6">
            <v>7452.5575250000038</v>
          </cell>
          <cell r="F6">
            <v>26.295124999999999</v>
          </cell>
          <cell r="G6">
            <v>6204.6437500000311</v>
          </cell>
        </row>
        <row r="7">
          <cell r="A7">
            <v>2006</v>
          </cell>
          <cell r="B7">
            <v>1</v>
          </cell>
          <cell r="C7">
            <v>1</v>
          </cell>
          <cell r="D7">
            <v>6</v>
          </cell>
          <cell r="E7">
            <v>7490.0334500000044</v>
          </cell>
          <cell r="F7">
            <v>26.866750000000007</v>
          </cell>
          <cell r="G7">
            <v>6241.9931500000275</v>
          </cell>
        </row>
        <row r="8">
          <cell r="A8">
            <v>2006</v>
          </cell>
          <cell r="B8">
            <v>1</v>
          </cell>
          <cell r="C8">
            <v>1</v>
          </cell>
          <cell r="D8">
            <v>7</v>
          </cell>
          <cell r="E8">
            <v>7619.8838250000008</v>
          </cell>
          <cell r="F8">
            <v>27.223425000000006</v>
          </cell>
          <cell r="G8">
            <v>6367.1193000000258</v>
          </cell>
        </row>
        <row r="9">
          <cell r="A9">
            <v>2006</v>
          </cell>
          <cell r="B9">
            <v>1</v>
          </cell>
          <cell r="C9">
            <v>1</v>
          </cell>
          <cell r="D9">
            <v>8</v>
          </cell>
          <cell r="E9">
            <v>7758.4093250000069</v>
          </cell>
          <cell r="F9">
            <v>29.367425000000001</v>
          </cell>
          <cell r="G9">
            <v>6498.4174000000285</v>
          </cell>
        </row>
        <row r="10">
          <cell r="A10">
            <v>2006</v>
          </cell>
          <cell r="B10">
            <v>1</v>
          </cell>
          <cell r="C10">
            <v>1</v>
          </cell>
          <cell r="D10">
            <v>9</v>
          </cell>
          <cell r="E10">
            <v>7854.2098250000145</v>
          </cell>
          <cell r="F10">
            <v>30.251275000000003</v>
          </cell>
          <cell r="G10">
            <v>6605.4064250000338</v>
          </cell>
        </row>
        <row r="11">
          <cell r="A11">
            <v>2006</v>
          </cell>
          <cell r="B11">
            <v>1</v>
          </cell>
          <cell r="C11">
            <v>1</v>
          </cell>
          <cell r="D11">
            <v>10</v>
          </cell>
          <cell r="E11">
            <v>8279.7070249999924</v>
          </cell>
          <cell r="F11">
            <v>31.521774999999998</v>
          </cell>
          <cell r="G11">
            <v>6973.0813250000201</v>
          </cell>
        </row>
        <row r="12">
          <cell r="A12">
            <v>2006</v>
          </cell>
          <cell r="B12">
            <v>1</v>
          </cell>
          <cell r="C12">
            <v>1</v>
          </cell>
          <cell r="D12">
            <v>11</v>
          </cell>
          <cell r="E12">
            <v>8640.0900249999868</v>
          </cell>
          <cell r="F12">
            <v>32.014575000000001</v>
          </cell>
          <cell r="G12">
            <v>7247.1309000000019</v>
          </cell>
        </row>
        <row r="13">
          <cell r="A13">
            <v>2006</v>
          </cell>
          <cell r="B13">
            <v>1</v>
          </cell>
          <cell r="C13">
            <v>1</v>
          </cell>
          <cell r="D13">
            <v>12</v>
          </cell>
          <cell r="E13">
            <v>8891.1538749999745</v>
          </cell>
          <cell r="F13">
            <v>32.4696</v>
          </cell>
          <cell r="G13">
            <v>7448.6912750000229</v>
          </cell>
        </row>
        <row r="14">
          <cell r="A14">
            <v>2006</v>
          </cell>
          <cell r="B14">
            <v>1</v>
          </cell>
          <cell r="C14">
            <v>1</v>
          </cell>
          <cell r="D14">
            <v>13</v>
          </cell>
          <cell r="E14">
            <v>9120.4305749999749</v>
          </cell>
          <cell r="F14">
            <v>32.586200000000005</v>
          </cell>
          <cell r="G14">
            <v>7661.4618000000492</v>
          </cell>
        </row>
        <row r="15">
          <cell r="A15">
            <v>2006</v>
          </cell>
          <cell r="B15">
            <v>1</v>
          </cell>
          <cell r="C15">
            <v>1</v>
          </cell>
          <cell r="D15">
            <v>14</v>
          </cell>
          <cell r="E15">
            <v>9191.8475999999882</v>
          </cell>
          <cell r="F15">
            <v>34.210425000000008</v>
          </cell>
          <cell r="G15">
            <v>7716.9012000000175</v>
          </cell>
        </row>
        <row r="16">
          <cell r="A16">
            <v>2006</v>
          </cell>
          <cell r="B16">
            <v>1</v>
          </cell>
          <cell r="C16">
            <v>1</v>
          </cell>
          <cell r="D16">
            <v>15</v>
          </cell>
          <cell r="E16">
            <v>9183.3202249999704</v>
          </cell>
          <cell r="F16">
            <v>36.253875000000001</v>
          </cell>
          <cell r="G16">
            <v>7694.9042250000202</v>
          </cell>
        </row>
        <row r="17">
          <cell r="A17">
            <v>2006</v>
          </cell>
          <cell r="B17">
            <v>1</v>
          </cell>
          <cell r="C17">
            <v>1</v>
          </cell>
          <cell r="D17">
            <v>16</v>
          </cell>
          <cell r="E17">
            <v>9048.2295500000055</v>
          </cell>
          <cell r="F17">
            <v>36.657650000000011</v>
          </cell>
          <cell r="G17">
            <v>7621.216825000025</v>
          </cell>
        </row>
        <row r="18">
          <cell r="A18">
            <v>2006</v>
          </cell>
          <cell r="B18">
            <v>1</v>
          </cell>
          <cell r="C18">
            <v>1</v>
          </cell>
          <cell r="D18">
            <v>17</v>
          </cell>
          <cell r="E18">
            <v>9089.7506000000012</v>
          </cell>
          <cell r="F18">
            <v>35.965374999999995</v>
          </cell>
          <cell r="G18">
            <v>7640.4907000000776</v>
          </cell>
        </row>
        <row r="19">
          <cell r="A19">
            <v>2006</v>
          </cell>
          <cell r="B19">
            <v>1</v>
          </cell>
          <cell r="C19">
            <v>1</v>
          </cell>
          <cell r="D19">
            <v>18</v>
          </cell>
          <cell r="E19">
            <v>9306.8506500000149</v>
          </cell>
          <cell r="F19">
            <v>35.947425000000003</v>
          </cell>
          <cell r="G19">
            <v>7896.1520750000336</v>
          </cell>
        </row>
        <row r="20">
          <cell r="A20">
            <v>2006</v>
          </cell>
          <cell r="B20">
            <v>1</v>
          </cell>
          <cell r="C20">
            <v>1</v>
          </cell>
          <cell r="D20">
            <v>19</v>
          </cell>
          <cell r="E20">
            <v>10087.15765000001</v>
          </cell>
          <cell r="F20">
            <v>39.167825000000008</v>
          </cell>
          <cell r="G20">
            <v>8664.060475000002</v>
          </cell>
        </row>
        <row r="21">
          <cell r="A21">
            <v>2006</v>
          </cell>
          <cell r="B21">
            <v>1</v>
          </cell>
          <cell r="C21">
            <v>1</v>
          </cell>
          <cell r="D21">
            <v>20</v>
          </cell>
          <cell r="E21">
            <v>10116.680175000012</v>
          </cell>
          <cell r="F21">
            <v>40.478875000000009</v>
          </cell>
          <cell r="G21">
            <v>8673.6767750000308</v>
          </cell>
        </row>
        <row r="22">
          <cell r="A22">
            <v>2006</v>
          </cell>
          <cell r="B22">
            <v>1</v>
          </cell>
          <cell r="C22">
            <v>1</v>
          </cell>
          <cell r="D22">
            <v>21</v>
          </cell>
          <cell r="E22">
            <v>9901.910425</v>
          </cell>
          <cell r="F22">
            <v>38.362150000000007</v>
          </cell>
          <cell r="G22">
            <v>8453.1640750000188</v>
          </cell>
        </row>
        <row r="23">
          <cell r="A23">
            <v>2006</v>
          </cell>
          <cell r="B23">
            <v>1</v>
          </cell>
          <cell r="C23">
            <v>1</v>
          </cell>
          <cell r="D23">
            <v>22</v>
          </cell>
          <cell r="E23">
            <v>9489.7307499999933</v>
          </cell>
          <cell r="F23">
            <v>32.546775000000004</v>
          </cell>
          <cell r="G23">
            <v>8151.1382000000167</v>
          </cell>
        </row>
        <row r="25">
          <cell r="A25">
            <v>2006</v>
          </cell>
          <cell r="B25">
            <v>1</v>
          </cell>
          <cell r="C25">
            <v>1</v>
          </cell>
          <cell r="D25">
            <v>24</v>
          </cell>
          <cell r="E25">
            <v>8535.7770000000073</v>
          </cell>
          <cell r="F25">
            <v>30.259399999999996</v>
          </cell>
          <cell r="G25">
            <v>7174.401525000012</v>
          </cell>
        </row>
        <row r="26">
          <cell r="A26">
            <v>2006</v>
          </cell>
          <cell r="B26">
            <v>1</v>
          </cell>
          <cell r="C26">
            <v>2</v>
          </cell>
          <cell r="D26">
            <v>1</v>
          </cell>
          <cell r="E26">
            <v>7888.6961749999991</v>
          </cell>
          <cell r="F26">
            <v>28.294650000000001</v>
          </cell>
          <cell r="G26">
            <v>6650.2944000000407</v>
          </cell>
        </row>
        <row r="27">
          <cell r="A27">
            <v>2006</v>
          </cell>
          <cell r="B27">
            <v>1</v>
          </cell>
          <cell r="C27">
            <v>2</v>
          </cell>
          <cell r="D27">
            <v>2</v>
          </cell>
          <cell r="E27">
            <v>7549.3004000000237</v>
          </cell>
          <cell r="F27">
            <v>26.50985</v>
          </cell>
          <cell r="G27">
            <v>6280.4889000000385</v>
          </cell>
        </row>
        <row r="28">
          <cell r="A28">
            <v>2006</v>
          </cell>
          <cell r="B28">
            <v>1</v>
          </cell>
          <cell r="C28">
            <v>2</v>
          </cell>
          <cell r="D28">
            <v>3</v>
          </cell>
          <cell r="E28">
            <v>7315.0605750000204</v>
          </cell>
          <cell r="F28">
            <v>26.291150000000002</v>
          </cell>
          <cell r="G28">
            <v>6070.9082249999983</v>
          </cell>
        </row>
        <row r="29">
          <cell r="A29">
            <v>2006</v>
          </cell>
          <cell r="B29">
            <v>1</v>
          </cell>
          <cell r="C29">
            <v>2</v>
          </cell>
          <cell r="D29">
            <v>4</v>
          </cell>
          <cell r="E29">
            <v>7222.9926250000271</v>
          </cell>
          <cell r="F29">
            <v>26.479849999999999</v>
          </cell>
          <cell r="G29">
            <v>6007.4899500000365</v>
          </cell>
        </row>
        <row r="30">
          <cell r="A30">
            <v>2006</v>
          </cell>
          <cell r="B30">
            <v>1</v>
          </cell>
          <cell r="C30">
            <v>2</v>
          </cell>
          <cell r="D30">
            <v>5</v>
          </cell>
          <cell r="E30">
            <v>7307.167875000001</v>
          </cell>
          <cell r="F30">
            <v>27.225675000000003</v>
          </cell>
          <cell r="G30">
            <v>6084.849750000034</v>
          </cell>
        </row>
        <row r="31">
          <cell r="A31">
            <v>2006</v>
          </cell>
          <cell r="B31">
            <v>1</v>
          </cell>
          <cell r="C31">
            <v>2</v>
          </cell>
          <cell r="D31">
            <v>6</v>
          </cell>
          <cell r="E31">
            <v>7589.4523499999805</v>
          </cell>
          <cell r="F31">
            <v>28.626775000000002</v>
          </cell>
          <cell r="G31">
            <v>6332.3921500000306</v>
          </cell>
        </row>
        <row r="32">
          <cell r="A32">
            <v>2006</v>
          </cell>
          <cell r="B32">
            <v>1</v>
          </cell>
          <cell r="C32">
            <v>2</v>
          </cell>
          <cell r="D32">
            <v>7</v>
          </cell>
          <cell r="E32">
            <v>8089.0351500000052</v>
          </cell>
          <cell r="F32">
            <v>33.186250000000001</v>
          </cell>
          <cell r="G32">
            <v>6789.7047250000278</v>
          </cell>
        </row>
        <row r="33">
          <cell r="A33">
            <v>2006</v>
          </cell>
          <cell r="B33">
            <v>1</v>
          </cell>
          <cell r="C33">
            <v>2</v>
          </cell>
          <cell r="D33">
            <v>8</v>
          </cell>
          <cell r="E33">
            <v>8648.4802750000435</v>
          </cell>
          <cell r="F33">
            <v>37.225574999999992</v>
          </cell>
          <cell r="G33">
            <v>7230.4740750000246</v>
          </cell>
        </row>
        <row r="34">
          <cell r="A34">
            <v>2006</v>
          </cell>
          <cell r="B34">
            <v>1</v>
          </cell>
          <cell r="C34">
            <v>2</v>
          </cell>
          <cell r="D34">
            <v>9</v>
          </cell>
          <cell r="E34">
            <v>8933.7565499999928</v>
          </cell>
          <cell r="F34">
            <v>39.782224999999997</v>
          </cell>
          <cell r="G34">
            <v>7479.0834749999967</v>
          </cell>
        </row>
        <row r="35">
          <cell r="A35">
            <v>2006</v>
          </cell>
          <cell r="B35">
            <v>1</v>
          </cell>
          <cell r="C35">
            <v>2</v>
          </cell>
          <cell r="D35">
            <v>10</v>
          </cell>
          <cell r="E35">
            <v>9382.2778999999664</v>
          </cell>
          <cell r="F35">
            <v>40.769950000000009</v>
          </cell>
          <cell r="G35">
            <v>7886.611200000003</v>
          </cell>
        </row>
        <row r="36">
          <cell r="A36">
            <v>2006</v>
          </cell>
          <cell r="B36">
            <v>1</v>
          </cell>
          <cell r="C36">
            <v>2</v>
          </cell>
          <cell r="D36">
            <v>11</v>
          </cell>
          <cell r="E36">
            <v>9786.7662500000388</v>
          </cell>
          <cell r="F36">
            <v>39.837649999999996</v>
          </cell>
          <cell r="G36">
            <v>8252.187650000029</v>
          </cell>
        </row>
        <row r="37">
          <cell r="A37">
            <v>2006</v>
          </cell>
          <cell r="B37">
            <v>1</v>
          </cell>
          <cell r="C37">
            <v>2</v>
          </cell>
          <cell r="D37">
            <v>12</v>
          </cell>
          <cell r="E37">
            <v>9934.1763000000137</v>
          </cell>
          <cell r="F37">
            <v>40.148949999999999</v>
          </cell>
          <cell r="G37">
            <v>8398.7358500000264</v>
          </cell>
        </row>
        <row r="38">
          <cell r="A38">
            <v>2006</v>
          </cell>
          <cell r="B38">
            <v>1</v>
          </cell>
          <cell r="C38">
            <v>2</v>
          </cell>
          <cell r="D38">
            <v>13</v>
          </cell>
          <cell r="E38">
            <v>10005.495174999955</v>
          </cell>
          <cell r="F38">
            <v>39.289400000000001</v>
          </cell>
          <cell r="G38">
            <v>8442.6831499999898</v>
          </cell>
        </row>
        <row r="39">
          <cell r="A39">
            <v>2006</v>
          </cell>
          <cell r="B39">
            <v>1</v>
          </cell>
          <cell r="C39">
            <v>2</v>
          </cell>
          <cell r="D39">
            <v>14</v>
          </cell>
          <cell r="E39">
            <v>9972.0225499999633</v>
          </cell>
          <cell r="F39">
            <v>39.44755</v>
          </cell>
          <cell r="G39">
            <v>8394.4647250000562</v>
          </cell>
        </row>
        <row r="40">
          <cell r="A40">
            <v>2006</v>
          </cell>
          <cell r="B40">
            <v>1</v>
          </cell>
          <cell r="C40">
            <v>2</v>
          </cell>
          <cell r="D40">
            <v>15</v>
          </cell>
          <cell r="E40">
            <v>9904.6171499999855</v>
          </cell>
          <cell r="F40">
            <v>39.242224999999998</v>
          </cell>
          <cell r="G40">
            <v>8343.6841000000186</v>
          </cell>
        </row>
        <row r="41">
          <cell r="A41">
            <v>2006</v>
          </cell>
          <cell r="B41">
            <v>1</v>
          </cell>
          <cell r="C41">
            <v>2</v>
          </cell>
          <cell r="D41">
            <v>16</v>
          </cell>
          <cell r="E41">
            <v>9814.4121749999904</v>
          </cell>
          <cell r="F41">
            <v>39.025025000000007</v>
          </cell>
          <cell r="G41">
            <v>8279.5152000000307</v>
          </cell>
        </row>
        <row r="42">
          <cell r="A42">
            <v>2006</v>
          </cell>
          <cell r="B42">
            <v>1</v>
          </cell>
          <cell r="C42">
            <v>2</v>
          </cell>
          <cell r="D42">
            <v>17</v>
          </cell>
          <cell r="E42">
            <v>9715.1591749999625</v>
          </cell>
          <cell r="F42">
            <v>38.691750000000006</v>
          </cell>
          <cell r="G42">
            <v>8254.6325499999948</v>
          </cell>
        </row>
        <row r="43">
          <cell r="A43">
            <v>2006</v>
          </cell>
          <cell r="B43">
            <v>1</v>
          </cell>
          <cell r="C43">
            <v>2</v>
          </cell>
          <cell r="D43">
            <v>18</v>
          </cell>
          <cell r="E43">
            <v>9845.6958500000237</v>
          </cell>
          <cell r="F43">
            <v>38.422475000000006</v>
          </cell>
          <cell r="G43">
            <v>8436.0100000000075</v>
          </cell>
        </row>
        <row r="44">
          <cell r="A44">
            <v>2006</v>
          </cell>
          <cell r="B44">
            <v>1</v>
          </cell>
          <cell r="C44">
            <v>2</v>
          </cell>
          <cell r="D44">
            <v>19</v>
          </cell>
          <cell r="E44">
            <v>10741.877599999978</v>
          </cell>
          <cell r="F44">
            <v>42.418374999999997</v>
          </cell>
          <cell r="G44">
            <v>9255.0055500000399</v>
          </cell>
        </row>
        <row r="45">
          <cell r="A45">
            <v>2006</v>
          </cell>
          <cell r="B45">
            <v>1</v>
          </cell>
          <cell r="C45">
            <v>2</v>
          </cell>
          <cell r="D45">
            <v>20</v>
          </cell>
          <cell r="E45">
            <v>10774.956375000012</v>
          </cell>
          <cell r="F45">
            <v>43.521900000000002</v>
          </cell>
          <cell r="G45">
            <v>9285.1762749999871</v>
          </cell>
        </row>
        <row r="46">
          <cell r="A46">
            <v>2006</v>
          </cell>
          <cell r="B46">
            <v>1</v>
          </cell>
          <cell r="C46">
            <v>2</v>
          </cell>
          <cell r="D46">
            <v>21</v>
          </cell>
          <cell r="E46">
            <v>10575.678374999985</v>
          </cell>
          <cell r="F46">
            <v>41.117575000000002</v>
          </cell>
          <cell r="G46">
            <v>9078.8075750000407</v>
          </cell>
        </row>
        <row r="47">
          <cell r="A47">
            <v>2006</v>
          </cell>
          <cell r="B47">
            <v>1</v>
          </cell>
          <cell r="C47">
            <v>2</v>
          </cell>
          <cell r="D47">
            <v>22</v>
          </cell>
          <cell r="E47">
            <v>10130.703249999977</v>
          </cell>
          <cell r="F47">
            <v>38.528675</v>
          </cell>
          <cell r="G47">
            <v>8697.5171000000028</v>
          </cell>
        </row>
        <row r="49">
          <cell r="A49">
            <v>2006</v>
          </cell>
          <cell r="B49">
            <v>1</v>
          </cell>
          <cell r="C49">
            <v>2</v>
          </cell>
          <cell r="D49">
            <v>24</v>
          </cell>
          <cell r="E49">
            <v>8864.9762999999912</v>
          </cell>
          <cell r="F49">
            <v>34.369649999999993</v>
          </cell>
          <cell r="G49">
            <v>7462.5196500000739</v>
          </cell>
        </row>
        <row r="50">
          <cell r="A50">
            <v>2006</v>
          </cell>
          <cell r="B50">
            <v>1</v>
          </cell>
          <cell r="C50">
            <v>3</v>
          </cell>
          <cell r="D50">
            <v>1</v>
          </cell>
          <cell r="E50">
            <v>8285.1203250000399</v>
          </cell>
          <cell r="F50">
            <v>33.490224999999995</v>
          </cell>
          <cell r="G50">
            <v>6961.7451000000065</v>
          </cell>
        </row>
        <row r="51">
          <cell r="A51">
            <v>2006</v>
          </cell>
          <cell r="B51">
            <v>1</v>
          </cell>
          <cell r="C51">
            <v>3</v>
          </cell>
          <cell r="D51">
            <v>2</v>
          </cell>
          <cell r="E51">
            <v>8007.4171999999671</v>
          </cell>
          <cell r="F51">
            <v>31.912475000000004</v>
          </cell>
          <cell r="G51">
            <v>6715.2576250000211</v>
          </cell>
        </row>
        <row r="52">
          <cell r="A52">
            <v>2006</v>
          </cell>
          <cell r="B52">
            <v>1</v>
          </cell>
          <cell r="C52">
            <v>3</v>
          </cell>
          <cell r="D52">
            <v>3</v>
          </cell>
          <cell r="E52">
            <v>7937.3922750000256</v>
          </cell>
          <cell r="F52">
            <v>31.524374999999999</v>
          </cell>
          <cell r="G52">
            <v>6642.2603500000159</v>
          </cell>
        </row>
        <row r="53">
          <cell r="A53">
            <v>2006</v>
          </cell>
          <cell r="B53">
            <v>1</v>
          </cell>
          <cell r="C53">
            <v>3</v>
          </cell>
          <cell r="D53">
            <v>4</v>
          </cell>
          <cell r="E53">
            <v>7989.3808000000008</v>
          </cell>
          <cell r="F53">
            <v>32.364350000000009</v>
          </cell>
          <cell r="G53">
            <v>6695.6562000000131</v>
          </cell>
        </row>
        <row r="54">
          <cell r="A54">
            <v>2006</v>
          </cell>
          <cell r="B54">
            <v>1</v>
          </cell>
          <cell r="C54">
            <v>3</v>
          </cell>
          <cell r="D54">
            <v>5</v>
          </cell>
          <cell r="E54">
            <v>8245.2097000000031</v>
          </cell>
          <cell r="F54">
            <v>35.400575000000003</v>
          </cell>
          <cell r="G54">
            <v>6938.6503500000044</v>
          </cell>
        </row>
        <row r="55">
          <cell r="A55">
            <v>2006</v>
          </cell>
          <cell r="B55">
            <v>1</v>
          </cell>
          <cell r="C55">
            <v>3</v>
          </cell>
          <cell r="D55">
            <v>6</v>
          </cell>
          <cell r="E55">
            <v>9014.2835250000044</v>
          </cell>
          <cell r="F55">
            <v>39.93480000000001</v>
          </cell>
          <cell r="G55">
            <v>7592.879324999979</v>
          </cell>
        </row>
        <row r="56">
          <cell r="A56">
            <v>2006</v>
          </cell>
          <cell r="B56">
            <v>1</v>
          </cell>
          <cell r="C56">
            <v>3</v>
          </cell>
          <cell r="D56">
            <v>7</v>
          </cell>
          <cell r="E56">
            <v>10387.087524999984</v>
          </cell>
          <cell r="F56">
            <v>46.299774999999997</v>
          </cell>
          <cell r="G56">
            <v>8839.0598999999838</v>
          </cell>
        </row>
        <row r="57">
          <cell r="A57">
            <v>2006</v>
          </cell>
          <cell r="B57">
            <v>1</v>
          </cell>
          <cell r="C57">
            <v>3</v>
          </cell>
          <cell r="D57">
            <v>8</v>
          </cell>
          <cell r="E57">
            <v>11397.867899999967</v>
          </cell>
          <cell r="F57">
            <v>47.731724999999997</v>
          </cell>
          <cell r="G57">
            <v>9823.6959749999787</v>
          </cell>
        </row>
        <row r="58">
          <cell r="A58">
            <v>2006</v>
          </cell>
          <cell r="B58">
            <v>1</v>
          </cell>
          <cell r="C58">
            <v>3</v>
          </cell>
          <cell r="D58">
            <v>9</v>
          </cell>
          <cell r="E58">
            <v>11303.23165000004</v>
          </cell>
          <cell r="F58">
            <v>48.192525000000003</v>
          </cell>
          <cell r="G58">
            <v>9722.576225000028</v>
          </cell>
        </row>
        <row r="59">
          <cell r="A59">
            <v>2006</v>
          </cell>
          <cell r="B59">
            <v>1</v>
          </cell>
          <cell r="C59">
            <v>3</v>
          </cell>
          <cell r="D59">
            <v>10</v>
          </cell>
          <cell r="E59">
            <v>11165.839950000027</v>
          </cell>
          <cell r="F59">
            <v>45.168350000000004</v>
          </cell>
          <cell r="G59">
            <v>9517.6611749999665</v>
          </cell>
        </row>
        <row r="60">
          <cell r="A60">
            <v>2006</v>
          </cell>
          <cell r="B60">
            <v>1</v>
          </cell>
          <cell r="C60">
            <v>3</v>
          </cell>
          <cell r="D60">
            <v>11</v>
          </cell>
          <cell r="E60">
            <v>11150.580100000001</v>
          </cell>
          <cell r="F60">
            <v>46.086775000000003</v>
          </cell>
          <cell r="G60">
            <v>9423.8797499999964</v>
          </cell>
        </row>
        <row r="61">
          <cell r="A61">
            <v>2006</v>
          </cell>
          <cell r="B61">
            <v>1</v>
          </cell>
          <cell r="C61">
            <v>3</v>
          </cell>
          <cell r="D61">
            <v>12</v>
          </cell>
          <cell r="E61">
            <v>10936.401749999975</v>
          </cell>
          <cell r="F61">
            <v>43.433850000000007</v>
          </cell>
          <cell r="G61">
            <v>9294.9999250000328</v>
          </cell>
        </row>
        <row r="62">
          <cell r="A62">
            <v>2006</v>
          </cell>
          <cell r="B62">
            <v>1</v>
          </cell>
          <cell r="C62">
            <v>3</v>
          </cell>
          <cell r="D62">
            <v>13</v>
          </cell>
          <cell r="E62">
            <v>10755.817299999992</v>
          </cell>
          <cell r="F62">
            <v>47.295050000000003</v>
          </cell>
          <cell r="G62">
            <v>9230.9956250000032</v>
          </cell>
        </row>
        <row r="63">
          <cell r="A63">
            <v>2006</v>
          </cell>
          <cell r="B63">
            <v>1</v>
          </cell>
          <cell r="C63">
            <v>3</v>
          </cell>
          <cell r="D63">
            <v>14</v>
          </cell>
          <cell r="E63">
            <v>10839.503600000016</v>
          </cell>
          <cell r="F63">
            <v>46.048725000000005</v>
          </cell>
          <cell r="G63">
            <v>9271.0964999999942</v>
          </cell>
        </row>
        <row r="64">
          <cell r="A64">
            <v>2006</v>
          </cell>
          <cell r="B64">
            <v>1</v>
          </cell>
          <cell r="C64">
            <v>3</v>
          </cell>
          <cell r="D64">
            <v>15</v>
          </cell>
          <cell r="E64">
            <v>10890.950975</v>
          </cell>
          <cell r="F64">
            <v>42.079625000000007</v>
          </cell>
          <cell r="G64">
            <v>9317.844150000019</v>
          </cell>
        </row>
        <row r="65">
          <cell r="A65">
            <v>2006</v>
          </cell>
          <cell r="B65">
            <v>1</v>
          </cell>
          <cell r="C65">
            <v>3</v>
          </cell>
          <cell r="D65">
            <v>16</v>
          </cell>
          <cell r="E65">
            <v>10943.322625000013</v>
          </cell>
          <cell r="F65">
            <v>42.876849999999997</v>
          </cell>
          <cell r="G65">
            <v>9319.0930250000474</v>
          </cell>
        </row>
        <row r="66">
          <cell r="A66">
            <v>2006</v>
          </cell>
          <cell r="B66">
            <v>1</v>
          </cell>
          <cell r="C66">
            <v>3</v>
          </cell>
          <cell r="D66">
            <v>17</v>
          </cell>
          <cell r="E66">
            <v>10937.597275000015</v>
          </cell>
          <cell r="F66">
            <v>41.061900000000009</v>
          </cell>
          <cell r="G66">
            <v>9367.4194750000115</v>
          </cell>
        </row>
        <row r="67">
          <cell r="A67">
            <v>2006</v>
          </cell>
          <cell r="B67">
            <v>1</v>
          </cell>
          <cell r="C67">
            <v>3</v>
          </cell>
          <cell r="D67">
            <v>18</v>
          </cell>
          <cell r="E67">
            <v>10822.268474999983</v>
          </cell>
          <cell r="F67">
            <v>44.777025000000002</v>
          </cell>
          <cell r="G67">
            <v>9379.874125000033</v>
          </cell>
        </row>
        <row r="68">
          <cell r="A68">
            <v>2006</v>
          </cell>
          <cell r="B68">
            <v>1</v>
          </cell>
          <cell r="C68">
            <v>3</v>
          </cell>
          <cell r="D68">
            <v>19</v>
          </cell>
          <cell r="E68">
            <v>11522.136675000018</v>
          </cell>
          <cell r="F68">
            <v>47.458874999999999</v>
          </cell>
          <cell r="G68">
            <v>10006.036324999985</v>
          </cell>
        </row>
        <row r="69">
          <cell r="A69">
            <v>2006</v>
          </cell>
          <cell r="B69">
            <v>1</v>
          </cell>
          <cell r="C69">
            <v>3</v>
          </cell>
          <cell r="D69">
            <v>20</v>
          </cell>
          <cell r="E69">
            <v>11458.25960000003</v>
          </cell>
          <cell r="F69">
            <v>44.895150000000001</v>
          </cell>
          <cell r="G69">
            <v>9977.7938000000086</v>
          </cell>
        </row>
        <row r="70">
          <cell r="A70">
            <v>2006</v>
          </cell>
          <cell r="B70">
            <v>1</v>
          </cell>
          <cell r="C70">
            <v>3</v>
          </cell>
          <cell r="D70">
            <v>21</v>
          </cell>
          <cell r="E70">
            <v>11220.134300000047</v>
          </cell>
          <cell r="F70">
            <v>44.567824999999999</v>
          </cell>
          <cell r="G70">
            <v>9672.750299999967</v>
          </cell>
        </row>
        <row r="71">
          <cell r="A71">
            <v>2006</v>
          </cell>
          <cell r="B71">
            <v>1</v>
          </cell>
          <cell r="C71">
            <v>3</v>
          </cell>
          <cell r="D71">
            <v>22</v>
          </cell>
          <cell r="E71">
            <v>10606.965700000026</v>
          </cell>
          <cell r="F71">
            <v>39.508825000000002</v>
          </cell>
          <cell r="G71">
            <v>9204.3562000000147</v>
          </cell>
        </row>
        <row r="73">
          <cell r="A73">
            <v>2006</v>
          </cell>
          <cell r="B73">
            <v>1</v>
          </cell>
          <cell r="C73">
            <v>3</v>
          </cell>
          <cell r="D73">
            <v>24</v>
          </cell>
          <cell r="E73">
            <v>9067.265449999999</v>
          </cell>
          <cell r="F73">
            <v>37.300225000000012</v>
          </cell>
          <cell r="G73">
            <v>7690.3492000000369</v>
          </cell>
        </row>
        <row r="74">
          <cell r="A74">
            <v>2006</v>
          </cell>
          <cell r="B74">
            <v>1</v>
          </cell>
          <cell r="C74">
            <v>4</v>
          </cell>
          <cell r="D74">
            <v>1</v>
          </cell>
          <cell r="E74">
            <v>8361.1853000000083</v>
          </cell>
          <cell r="F74">
            <v>32.568350000000009</v>
          </cell>
          <cell r="G74">
            <v>7030.021225000025</v>
          </cell>
        </row>
        <row r="75">
          <cell r="A75">
            <v>2006</v>
          </cell>
          <cell r="B75">
            <v>1</v>
          </cell>
          <cell r="C75">
            <v>4</v>
          </cell>
          <cell r="D75">
            <v>2</v>
          </cell>
          <cell r="E75">
            <v>7914.2579500000074</v>
          </cell>
          <cell r="F75">
            <v>31.485474999999997</v>
          </cell>
          <cell r="G75">
            <v>6604.1836250000051</v>
          </cell>
        </row>
        <row r="76">
          <cell r="A76">
            <v>2006</v>
          </cell>
          <cell r="B76">
            <v>1</v>
          </cell>
          <cell r="C76">
            <v>4</v>
          </cell>
          <cell r="D76">
            <v>3</v>
          </cell>
          <cell r="E76">
            <v>7680.5914000000002</v>
          </cell>
          <cell r="F76">
            <v>30.289874999999995</v>
          </cell>
          <cell r="G76">
            <v>6394.2201250000417</v>
          </cell>
        </row>
        <row r="77">
          <cell r="A77">
            <v>2006</v>
          </cell>
          <cell r="B77">
            <v>1</v>
          </cell>
          <cell r="C77">
            <v>4</v>
          </cell>
          <cell r="D77">
            <v>4</v>
          </cell>
          <cell r="E77">
            <v>7589.4184249999807</v>
          </cell>
          <cell r="F77">
            <v>30.468574999999998</v>
          </cell>
          <cell r="G77">
            <v>6319.2775000000338</v>
          </cell>
        </row>
        <row r="78">
          <cell r="A78">
            <v>2006</v>
          </cell>
          <cell r="B78">
            <v>1</v>
          </cell>
          <cell r="C78">
            <v>4</v>
          </cell>
          <cell r="D78">
            <v>5</v>
          </cell>
          <cell r="E78">
            <v>7688.4628500000099</v>
          </cell>
          <cell r="F78">
            <v>29.638799999999996</v>
          </cell>
          <cell r="G78">
            <v>6410.9914749999953</v>
          </cell>
        </row>
        <row r="79">
          <cell r="A79">
            <v>2006</v>
          </cell>
          <cell r="B79">
            <v>1</v>
          </cell>
          <cell r="C79">
            <v>4</v>
          </cell>
          <cell r="D79">
            <v>6</v>
          </cell>
          <cell r="E79">
            <v>8241.8940749999965</v>
          </cell>
          <cell r="F79">
            <v>32.321624999999997</v>
          </cell>
          <cell r="G79">
            <v>6877.0715750000163</v>
          </cell>
        </row>
        <row r="80">
          <cell r="A80">
            <v>2006</v>
          </cell>
          <cell r="B80">
            <v>1</v>
          </cell>
          <cell r="C80">
            <v>4</v>
          </cell>
          <cell r="D80">
            <v>7</v>
          </cell>
          <cell r="E80">
            <v>9445.2732250000045</v>
          </cell>
          <cell r="F80">
            <v>35.059925</v>
          </cell>
          <cell r="G80">
            <v>7975.4805249999872</v>
          </cell>
        </row>
        <row r="81">
          <cell r="A81">
            <v>2006</v>
          </cell>
          <cell r="B81">
            <v>1</v>
          </cell>
          <cell r="C81">
            <v>4</v>
          </cell>
          <cell r="D81">
            <v>8</v>
          </cell>
          <cell r="E81">
            <v>10429.417374999975</v>
          </cell>
          <cell r="F81">
            <v>38.508600000000008</v>
          </cell>
          <cell r="G81">
            <v>8931.0217249999841</v>
          </cell>
        </row>
        <row r="82">
          <cell r="A82">
            <v>2006</v>
          </cell>
          <cell r="B82">
            <v>1</v>
          </cell>
          <cell r="C82">
            <v>4</v>
          </cell>
          <cell r="D82">
            <v>9</v>
          </cell>
          <cell r="E82">
            <v>10411.612074999979</v>
          </cell>
          <cell r="F82">
            <v>30.440625000000001</v>
          </cell>
          <cell r="G82">
            <v>8841.5458250000447</v>
          </cell>
        </row>
        <row r="83">
          <cell r="A83">
            <v>2006</v>
          </cell>
          <cell r="B83">
            <v>1</v>
          </cell>
          <cell r="C83">
            <v>4</v>
          </cell>
          <cell r="D83">
            <v>10</v>
          </cell>
          <cell r="E83">
            <v>10602.512374999969</v>
          </cell>
          <cell r="F83">
            <v>41.337449999999997</v>
          </cell>
          <cell r="G83">
            <v>8924.2767250000416</v>
          </cell>
        </row>
        <row r="84">
          <cell r="A84">
            <v>2006</v>
          </cell>
          <cell r="B84">
            <v>1</v>
          </cell>
          <cell r="C84">
            <v>4</v>
          </cell>
          <cell r="D84">
            <v>11</v>
          </cell>
          <cell r="E84">
            <v>10708.304549999999</v>
          </cell>
          <cell r="F84">
            <v>39.074450000000006</v>
          </cell>
          <cell r="G84">
            <v>9025.7948750000214</v>
          </cell>
        </row>
        <row r="85">
          <cell r="A85">
            <v>2006</v>
          </cell>
          <cell r="B85">
            <v>1</v>
          </cell>
          <cell r="C85">
            <v>4</v>
          </cell>
          <cell r="D85">
            <v>12</v>
          </cell>
          <cell r="E85">
            <v>10751.473050000021</v>
          </cell>
          <cell r="F85">
            <v>46.927500000000002</v>
          </cell>
          <cell r="G85">
            <v>9084.3709500000241</v>
          </cell>
        </row>
        <row r="86">
          <cell r="A86">
            <v>2006</v>
          </cell>
          <cell r="B86">
            <v>1</v>
          </cell>
          <cell r="C86">
            <v>4</v>
          </cell>
          <cell r="D86">
            <v>13</v>
          </cell>
          <cell r="E86">
            <v>10720.530175000007</v>
          </cell>
          <cell r="F86">
            <v>45.000599999999999</v>
          </cell>
          <cell r="G86">
            <v>9048.1620000000548</v>
          </cell>
        </row>
        <row r="87">
          <cell r="A87">
            <v>2006</v>
          </cell>
          <cell r="B87">
            <v>1</v>
          </cell>
          <cell r="C87">
            <v>4</v>
          </cell>
          <cell r="D87">
            <v>14</v>
          </cell>
          <cell r="E87">
            <v>10714.588375000043</v>
          </cell>
          <cell r="F87">
            <v>50.004075</v>
          </cell>
          <cell r="G87">
            <v>9038.0510250000552</v>
          </cell>
        </row>
        <row r="88">
          <cell r="A88">
            <v>2006</v>
          </cell>
          <cell r="B88">
            <v>1</v>
          </cell>
          <cell r="C88">
            <v>4</v>
          </cell>
          <cell r="D88">
            <v>15</v>
          </cell>
          <cell r="E88">
            <v>10617.98744999997</v>
          </cell>
          <cell r="F88">
            <v>45.304049999999997</v>
          </cell>
          <cell r="G88">
            <v>8975.9846000000725</v>
          </cell>
        </row>
        <row r="89">
          <cell r="A89">
            <v>2006</v>
          </cell>
          <cell r="B89">
            <v>1</v>
          </cell>
          <cell r="C89">
            <v>4</v>
          </cell>
          <cell r="D89">
            <v>16</v>
          </cell>
          <cell r="E89">
            <v>10518.703849999965</v>
          </cell>
          <cell r="F89">
            <v>45.1297</v>
          </cell>
          <cell r="G89">
            <v>8873.8207749999874</v>
          </cell>
        </row>
        <row r="90">
          <cell r="A90">
            <v>2006</v>
          </cell>
          <cell r="B90">
            <v>1</v>
          </cell>
          <cell r="C90">
            <v>4</v>
          </cell>
          <cell r="D90">
            <v>17</v>
          </cell>
          <cell r="E90">
            <v>10513.976299999991</v>
          </cell>
          <cell r="F90">
            <v>47.294450000000012</v>
          </cell>
          <cell r="G90">
            <v>8848.2294499999916</v>
          </cell>
        </row>
        <row r="91">
          <cell r="A91">
            <v>2006</v>
          </cell>
          <cell r="B91">
            <v>1</v>
          </cell>
          <cell r="C91">
            <v>4</v>
          </cell>
          <cell r="D91">
            <v>18</v>
          </cell>
          <cell r="E91">
            <v>10680.457200000008</v>
          </cell>
          <cell r="F91">
            <v>47.073999999999998</v>
          </cell>
          <cell r="G91">
            <v>9040.7864749999735</v>
          </cell>
        </row>
        <row r="92">
          <cell r="A92">
            <v>2006</v>
          </cell>
          <cell r="B92">
            <v>1</v>
          </cell>
          <cell r="C92">
            <v>4</v>
          </cell>
          <cell r="D92">
            <v>19</v>
          </cell>
          <cell r="E92">
            <v>11563.730399999984</v>
          </cell>
          <cell r="F92">
            <v>52.064000000000007</v>
          </cell>
          <cell r="G92">
            <v>9854.6079749999935</v>
          </cell>
        </row>
        <row r="93">
          <cell r="A93">
            <v>2006</v>
          </cell>
          <cell r="B93">
            <v>1</v>
          </cell>
          <cell r="C93">
            <v>4</v>
          </cell>
          <cell r="D93">
            <v>20</v>
          </cell>
          <cell r="E93">
            <v>11529.677324999973</v>
          </cell>
          <cell r="F93">
            <v>53.167000000000009</v>
          </cell>
          <cell r="G93">
            <v>9854.7160500000173</v>
          </cell>
        </row>
        <row r="94">
          <cell r="A94">
            <v>2006</v>
          </cell>
          <cell r="B94">
            <v>1</v>
          </cell>
          <cell r="C94">
            <v>4</v>
          </cell>
          <cell r="D94">
            <v>21</v>
          </cell>
          <cell r="E94">
            <v>11326.462324999997</v>
          </cell>
          <cell r="F94">
            <v>51.129200000000004</v>
          </cell>
          <cell r="G94">
            <v>9639.654900000005</v>
          </cell>
        </row>
        <row r="95">
          <cell r="A95">
            <v>2006</v>
          </cell>
          <cell r="B95">
            <v>1</v>
          </cell>
          <cell r="C95">
            <v>4</v>
          </cell>
          <cell r="D95">
            <v>22</v>
          </cell>
          <cell r="E95">
            <v>10848.533549999986</v>
          </cell>
          <cell r="F95">
            <v>49.765349999999998</v>
          </cell>
          <cell r="G95">
            <v>9304.0511750000132</v>
          </cell>
        </row>
        <row r="97">
          <cell r="A97">
            <v>2006</v>
          </cell>
          <cell r="B97">
            <v>1</v>
          </cell>
          <cell r="C97">
            <v>4</v>
          </cell>
          <cell r="D97">
            <v>24</v>
          </cell>
          <cell r="E97">
            <v>9600.904500000026</v>
          </cell>
          <cell r="F97">
            <v>47.001274999999993</v>
          </cell>
          <cell r="G97">
            <v>8072.4371749999846</v>
          </cell>
        </row>
        <row r="98">
          <cell r="A98">
            <v>2006</v>
          </cell>
          <cell r="B98">
            <v>1</v>
          </cell>
          <cell r="C98">
            <v>5</v>
          </cell>
          <cell r="D98">
            <v>1</v>
          </cell>
          <cell r="E98">
            <v>9146.8220500000043</v>
          </cell>
          <cell r="F98">
            <v>42.280075000000004</v>
          </cell>
          <cell r="G98">
            <v>7627.41377499999</v>
          </cell>
        </row>
        <row r="99">
          <cell r="A99">
            <v>2006</v>
          </cell>
          <cell r="B99">
            <v>1</v>
          </cell>
          <cell r="C99">
            <v>5</v>
          </cell>
          <cell r="D99">
            <v>2</v>
          </cell>
          <cell r="E99">
            <v>8771.4267249999903</v>
          </cell>
          <cell r="F99">
            <v>38.881774999999998</v>
          </cell>
          <cell r="G99">
            <v>7276.8809500000425</v>
          </cell>
        </row>
        <row r="100">
          <cell r="A100">
            <v>2006</v>
          </cell>
          <cell r="B100">
            <v>1</v>
          </cell>
          <cell r="C100">
            <v>5</v>
          </cell>
          <cell r="D100">
            <v>3</v>
          </cell>
          <cell r="E100">
            <v>8574.566350000001</v>
          </cell>
          <cell r="F100">
            <v>37.835675000000002</v>
          </cell>
          <cell r="G100">
            <v>7173.1481750000148</v>
          </cell>
        </row>
        <row r="101">
          <cell r="A101">
            <v>2006</v>
          </cell>
          <cell r="B101">
            <v>1</v>
          </cell>
          <cell r="C101">
            <v>5</v>
          </cell>
          <cell r="D101">
            <v>4</v>
          </cell>
          <cell r="E101">
            <v>8593.5542499999992</v>
          </cell>
          <cell r="F101">
            <v>37.698799999999999</v>
          </cell>
          <cell r="G101">
            <v>7215.5201000000216</v>
          </cell>
        </row>
        <row r="102">
          <cell r="A102">
            <v>2006</v>
          </cell>
          <cell r="B102">
            <v>1</v>
          </cell>
          <cell r="C102">
            <v>5</v>
          </cell>
          <cell r="D102">
            <v>5</v>
          </cell>
          <cell r="E102">
            <v>8882.2336500000001</v>
          </cell>
          <cell r="F102">
            <v>38.158500000000004</v>
          </cell>
          <cell r="G102">
            <v>7461.301425000016</v>
          </cell>
        </row>
        <row r="103">
          <cell r="A103">
            <v>2006</v>
          </cell>
          <cell r="B103">
            <v>1</v>
          </cell>
          <cell r="C103">
            <v>5</v>
          </cell>
          <cell r="D103">
            <v>6</v>
          </cell>
          <cell r="E103">
            <v>9585.6746000000148</v>
          </cell>
          <cell r="F103">
            <v>41.317050000000009</v>
          </cell>
          <cell r="G103">
            <v>8124.7065000000393</v>
          </cell>
        </row>
        <row r="104">
          <cell r="A104">
            <v>2006</v>
          </cell>
          <cell r="B104">
            <v>1</v>
          </cell>
          <cell r="C104">
            <v>5</v>
          </cell>
          <cell r="D104">
            <v>7</v>
          </cell>
          <cell r="E104">
            <v>11022.939475000034</v>
          </cell>
          <cell r="F104">
            <v>45.531474999999993</v>
          </cell>
          <cell r="G104">
            <v>9450.6231749999788</v>
          </cell>
        </row>
        <row r="105">
          <cell r="A105">
            <v>2006</v>
          </cell>
          <cell r="B105">
            <v>1</v>
          </cell>
          <cell r="C105">
            <v>5</v>
          </cell>
          <cell r="D105">
            <v>8</v>
          </cell>
          <cell r="E105">
            <v>12281.758875000045</v>
          </cell>
          <cell r="F105">
            <v>50.125949999999996</v>
          </cell>
          <cell r="G105">
            <v>10534.354550000033</v>
          </cell>
        </row>
        <row r="106">
          <cell r="A106">
            <v>2006</v>
          </cell>
          <cell r="B106">
            <v>1</v>
          </cell>
          <cell r="C106">
            <v>5</v>
          </cell>
          <cell r="D106">
            <v>9</v>
          </cell>
          <cell r="E106">
            <v>12012.437275000011</v>
          </cell>
          <cell r="F106">
            <v>47.317775000000005</v>
          </cell>
          <cell r="G106">
            <v>10299.695725000051</v>
          </cell>
        </row>
        <row r="107">
          <cell r="A107">
            <v>2006</v>
          </cell>
          <cell r="B107">
            <v>1</v>
          </cell>
          <cell r="C107">
            <v>5</v>
          </cell>
          <cell r="D107">
            <v>10</v>
          </cell>
          <cell r="E107">
            <v>11774.244149999991</v>
          </cell>
          <cell r="F107">
            <v>46.747550000000004</v>
          </cell>
          <cell r="G107">
            <v>9999.7764000000407</v>
          </cell>
        </row>
        <row r="108">
          <cell r="A108">
            <v>2006</v>
          </cell>
          <cell r="B108">
            <v>1</v>
          </cell>
          <cell r="C108">
            <v>5</v>
          </cell>
          <cell r="D108">
            <v>11</v>
          </cell>
          <cell r="E108">
            <v>11568.103875000006</v>
          </cell>
          <cell r="F108">
            <v>43.848575000000011</v>
          </cell>
          <cell r="G108">
            <v>9831.4264250000288</v>
          </cell>
        </row>
        <row r="109">
          <cell r="A109">
            <v>2006</v>
          </cell>
          <cell r="B109">
            <v>1</v>
          </cell>
          <cell r="C109">
            <v>5</v>
          </cell>
          <cell r="D109">
            <v>12</v>
          </cell>
          <cell r="E109">
            <v>11255.511999999984</v>
          </cell>
          <cell r="F109">
            <v>46.815549999999995</v>
          </cell>
          <cell r="G109">
            <v>9636.4506000000183</v>
          </cell>
        </row>
        <row r="110">
          <cell r="A110">
            <v>2006</v>
          </cell>
          <cell r="B110">
            <v>1</v>
          </cell>
          <cell r="C110">
            <v>5</v>
          </cell>
          <cell r="D110">
            <v>13</v>
          </cell>
          <cell r="E110">
            <v>11025.124050000046</v>
          </cell>
          <cell r="F110">
            <v>43.416274999999999</v>
          </cell>
          <cell r="G110">
            <v>9421.1816749999834</v>
          </cell>
        </row>
        <row r="111">
          <cell r="A111">
            <v>2006</v>
          </cell>
          <cell r="B111">
            <v>1</v>
          </cell>
          <cell r="C111">
            <v>5</v>
          </cell>
          <cell r="D111">
            <v>14</v>
          </cell>
          <cell r="E111">
            <v>11006.228475000036</v>
          </cell>
          <cell r="F111">
            <v>40.105050000000006</v>
          </cell>
          <cell r="G111">
            <v>9309.4791499999792</v>
          </cell>
        </row>
        <row r="112">
          <cell r="A112">
            <v>2006</v>
          </cell>
          <cell r="B112">
            <v>1</v>
          </cell>
          <cell r="C112">
            <v>5</v>
          </cell>
          <cell r="D112">
            <v>15</v>
          </cell>
          <cell r="E112">
            <v>10804.638575000037</v>
          </cell>
          <cell r="F112">
            <v>42.517825000000002</v>
          </cell>
          <cell r="G112">
            <v>9146.1637499999615</v>
          </cell>
        </row>
        <row r="113">
          <cell r="A113">
            <v>2006</v>
          </cell>
          <cell r="B113">
            <v>1</v>
          </cell>
          <cell r="C113">
            <v>5</v>
          </cell>
          <cell r="D113">
            <v>16</v>
          </cell>
          <cell r="E113">
            <v>10647.035150000012</v>
          </cell>
          <cell r="F113">
            <v>40.815825000000004</v>
          </cell>
          <cell r="G113">
            <v>8977.3814250000614</v>
          </cell>
        </row>
        <row r="114">
          <cell r="A114">
            <v>2006</v>
          </cell>
          <cell r="B114">
            <v>1</v>
          </cell>
          <cell r="C114">
            <v>5</v>
          </cell>
          <cell r="D114">
            <v>17</v>
          </cell>
          <cell r="E114">
            <v>10510.831700000015</v>
          </cell>
          <cell r="F114">
            <v>37.68515</v>
          </cell>
          <cell r="G114">
            <v>8944.9923250000102</v>
          </cell>
        </row>
        <row r="115">
          <cell r="A115">
            <v>2006</v>
          </cell>
          <cell r="B115">
            <v>1</v>
          </cell>
          <cell r="C115">
            <v>5</v>
          </cell>
          <cell r="D115">
            <v>18</v>
          </cell>
          <cell r="E115">
            <v>10817.105499999965</v>
          </cell>
          <cell r="F115">
            <v>41.267750000000007</v>
          </cell>
          <cell r="G115">
            <v>9215.9821500000162</v>
          </cell>
        </row>
        <row r="116">
          <cell r="A116">
            <v>2006</v>
          </cell>
          <cell r="B116">
            <v>1</v>
          </cell>
          <cell r="C116">
            <v>5</v>
          </cell>
          <cell r="D116">
            <v>19</v>
          </cell>
          <cell r="E116">
            <v>11937.68950000004</v>
          </cell>
          <cell r="F116">
            <v>46.830175000000004</v>
          </cell>
          <cell r="G116">
            <v>10150.185774999993</v>
          </cell>
        </row>
        <row r="117">
          <cell r="A117">
            <v>2006</v>
          </cell>
          <cell r="B117">
            <v>1</v>
          </cell>
          <cell r="C117">
            <v>5</v>
          </cell>
          <cell r="D117">
            <v>20</v>
          </cell>
          <cell r="E117">
            <v>12086.42850000002</v>
          </cell>
          <cell r="F117">
            <v>51.538024999999998</v>
          </cell>
          <cell r="G117">
            <v>10324.189449999971</v>
          </cell>
        </row>
        <row r="118">
          <cell r="A118">
            <v>2006</v>
          </cell>
          <cell r="B118">
            <v>1</v>
          </cell>
          <cell r="C118">
            <v>5</v>
          </cell>
          <cell r="D118">
            <v>21</v>
          </cell>
          <cell r="E118">
            <v>11913.627550000027</v>
          </cell>
          <cell r="F118">
            <v>49.831650000000003</v>
          </cell>
          <cell r="G118">
            <v>10208.546500000002</v>
          </cell>
        </row>
        <row r="119">
          <cell r="A119">
            <v>2006</v>
          </cell>
          <cell r="B119">
            <v>1</v>
          </cell>
          <cell r="C119">
            <v>5</v>
          </cell>
          <cell r="D119">
            <v>22</v>
          </cell>
          <cell r="E119">
            <v>11479.001175000007</v>
          </cell>
          <cell r="F119">
            <v>48.896400000000007</v>
          </cell>
          <cell r="G119">
            <v>9890.9816500000106</v>
          </cell>
        </row>
        <row r="121">
          <cell r="A121">
            <v>2006</v>
          </cell>
          <cell r="B121">
            <v>1</v>
          </cell>
          <cell r="C121">
            <v>5</v>
          </cell>
          <cell r="D121">
            <v>24</v>
          </cell>
          <cell r="E121">
            <v>10060.542549999964</v>
          </cell>
          <cell r="F121">
            <v>47.421725000000002</v>
          </cell>
          <cell r="G121">
            <v>8561.0150750000248</v>
          </cell>
        </row>
        <row r="122">
          <cell r="A122">
            <v>2006</v>
          </cell>
          <cell r="B122">
            <v>1</v>
          </cell>
          <cell r="C122">
            <v>6</v>
          </cell>
          <cell r="D122">
            <v>1</v>
          </cell>
          <cell r="E122">
            <v>9502.283800000032</v>
          </cell>
          <cell r="F122">
            <v>42.814474999999995</v>
          </cell>
          <cell r="G122">
            <v>8060.8054000000448</v>
          </cell>
        </row>
        <row r="123">
          <cell r="A123">
            <v>2006</v>
          </cell>
          <cell r="B123">
            <v>1</v>
          </cell>
          <cell r="C123">
            <v>6</v>
          </cell>
          <cell r="D123">
            <v>2</v>
          </cell>
          <cell r="E123">
            <v>9268.2694749999991</v>
          </cell>
          <cell r="F123">
            <v>42.130775</v>
          </cell>
          <cell r="G123">
            <v>7827.4951500000179</v>
          </cell>
        </row>
        <row r="124">
          <cell r="A124">
            <v>2006</v>
          </cell>
          <cell r="B124">
            <v>1</v>
          </cell>
          <cell r="C124">
            <v>6</v>
          </cell>
          <cell r="D124">
            <v>3</v>
          </cell>
          <cell r="E124">
            <v>9300.0577250000078</v>
          </cell>
          <cell r="F124">
            <v>44.099749999999993</v>
          </cell>
          <cell r="G124">
            <v>7792.1019499999975</v>
          </cell>
        </row>
        <row r="125">
          <cell r="A125">
            <v>2006</v>
          </cell>
          <cell r="B125">
            <v>1</v>
          </cell>
          <cell r="C125">
            <v>6</v>
          </cell>
          <cell r="D125">
            <v>4</v>
          </cell>
          <cell r="E125">
            <v>9466.4318249999815</v>
          </cell>
          <cell r="F125">
            <v>45.722850000000001</v>
          </cell>
          <cell r="G125">
            <v>7875.021600000021</v>
          </cell>
        </row>
        <row r="126">
          <cell r="A126">
            <v>2006</v>
          </cell>
          <cell r="B126">
            <v>1</v>
          </cell>
          <cell r="C126">
            <v>6</v>
          </cell>
          <cell r="D126">
            <v>5</v>
          </cell>
          <cell r="E126">
            <v>9750.7191250000033</v>
          </cell>
          <cell r="F126">
            <v>46.553350000000002</v>
          </cell>
          <cell r="G126">
            <v>8158.3311500000418</v>
          </cell>
        </row>
        <row r="127">
          <cell r="A127">
            <v>2006</v>
          </cell>
          <cell r="B127">
            <v>1</v>
          </cell>
          <cell r="C127">
            <v>6</v>
          </cell>
          <cell r="D127">
            <v>6</v>
          </cell>
          <cell r="E127">
            <v>10599.035175000015</v>
          </cell>
          <cell r="F127">
            <v>50.200625000000002</v>
          </cell>
          <cell r="G127">
            <v>8922.8668750000506</v>
          </cell>
        </row>
        <row r="128">
          <cell r="A128">
            <v>2006</v>
          </cell>
          <cell r="B128">
            <v>1</v>
          </cell>
          <cell r="C128">
            <v>6</v>
          </cell>
          <cell r="D128">
            <v>7</v>
          </cell>
          <cell r="E128">
            <v>12067.676950000015</v>
          </cell>
          <cell r="F128">
            <v>56.277974999999998</v>
          </cell>
          <cell r="G128">
            <v>10282.513550000065</v>
          </cell>
        </row>
        <row r="129">
          <cell r="A129">
            <v>2006</v>
          </cell>
          <cell r="B129">
            <v>1</v>
          </cell>
          <cell r="C129">
            <v>6</v>
          </cell>
          <cell r="D129">
            <v>8</v>
          </cell>
          <cell r="E129">
            <v>13200.797175000018</v>
          </cell>
          <cell r="F129">
            <v>63.604124999999996</v>
          </cell>
          <cell r="G129">
            <v>11362.74634999995</v>
          </cell>
        </row>
        <row r="130">
          <cell r="A130">
            <v>2006</v>
          </cell>
          <cell r="B130">
            <v>1</v>
          </cell>
          <cell r="C130">
            <v>6</v>
          </cell>
          <cell r="D130">
            <v>9</v>
          </cell>
          <cell r="E130">
            <v>12856.51897499999</v>
          </cell>
          <cell r="F130">
            <v>63.533274999999989</v>
          </cell>
          <cell r="G130">
            <v>11045.351050000056</v>
          </cell>
        </row>
        <row r="131">
          <cell r="A131">
            <v>2006</v>
          </cell>
          <cell r="B131">
            <v>1</v>
          </cell>
          <cell r="C131">
            <v>6</v>
          </cell>
          <cell r="D131">
            <v>10</v>
          </cell>
          <cell r="E131">
            <v>12465.600475000007</v>
          </cell>
          <cell r="F131">
            <v>57.645425000000003</v>
          </cell>
          <cell r="G131">
            <v>10646.529925000001</v>
          </cell>
        </row>
        <row r="132">
          <cell r="A132">
            <v>2006</v>
          </cell>
          <cell r="B132">
            <v>1</v>
          </cell>
          <cell r="C132">
            <v>6</v>
          </cell>
          <cell r="D132">
            <v>11</v>
          </cell>
          <cell r="E132">
            <v>12148.740575000007</v>
          </cell>
          <cell r="F132">
            <v>57.194650000000003</v>
          </cell>
          <cell r="G132">
            <v>10345.571225000029</v>
          </cell>
        </row>
        <row r="133">
          <cell r="A133">
            <v>2006</v>
          </cell>
          <cell r="B133">
            <v>1</v>
          </cell>
          <cell r="C133">
            <v>6</v>
          </cell>
          <cell r="D133">
            <v>12</v>
          </cell>
          <cell r="E133">
            <v>11726.339199999991</v>
          </cell>
          <cell r="F133">
            <v>53.309950000000008</v>
          </cell>
          <cell r="G133">
            <v>9988.4732249999579</v>
          </cell>
        </row>
        <row r="134">
          <cell r="A134">
            <v>2006</v>
          </cell>
          <cell r="B134">
            <v>1</v>
          </cell>
          <cell r="C134">
            <v>6</v>
          </cell>
          <cell r="D134">
            <v>13</v>
          </cell>
          <cell r="E134">
            <v>11314.637350000032</v>
          </cell>
          <cell r="F134">
            <v>49.023849999999996</v>
          </cell>
          <cell r="G134">
            <v>9612.1881749999829</v>
          </cell>
        </row>
        <row r="135">
          <cell r="A135">
            <v>2006</v>
          </cell>
          <cell r="B135">
            <v>1</v>
          </cell>
          <cell r="C135">
            <v>6</v>
          </cell>
          <cell r="D135">
            <v>14</v>
          </cell>
          <cell r="E135">
            <v>11072.56239999999</v>
          </cell>
          <cell r="F135">
            <v>44.554349999999999</v>
          </cell>
          <cell r="G135">
            <v>9379.2364000000034</v>
          </cell>
        </row>
        <row r="136">
          <cell r="A136">
            <v>2006</v>
          </cell>
          <cell r="B136">
            <v>1</v>
          </cell>
          <cell r="C136">
            <v>6</v>
          </cell>
          <cell r="D136">
            <v>15</v>
          </cell>
          <cell r="E136">
            <v>10813.140499999981</v>
          </cell>
          <cell r="F136">
            <v>41.999425000000002</v>
          </cell>
          <cell r="G136">
            <v>9135.0549750000391</v>
          </cell>
        </row>
        <row r="137">
          <cell r="A137">
            <v>2006</v>
          </cell>
          <cell r="B137">
            <v>1</v>
          </cell>
          <cell r="C137">
            <v>6</v>
          </cell>
          <cell r="D137">
            <v>16</v>
          </cell>
          <cell r="E137">
            <v>10570.248825000004</v>
          </cell>
          <cell r="F137">
            <v>39.978150000000014</v>
          </cell>
          <cell r="G137">
            <v>8930.5995499999863</v>
          </cell>
        </row>
        <row r="138">
          <cell r="A138">
            <v>2006</v>
          </cell>
          <cell r="B138">
            <v>1</v>
          </cell>
          <cell r="C138">
            <v>6</v>
          </cell>
          <cell r="D138">
            <v>17</v>
          </cell>
          <cell r="E138">
            <v>10464.600950000005</v>
          </cell>
          <cell r="F138">
            <v>38.596574999999994</v>
          </cell>
          <cell r="G138">
            <v>8843.8767750000043</v>
          </cell>
        </row>
        <row r="139">
          <cell r="A139">
            <v>2006</v>
          </cell>
          <cell r="B139">
            <v>1</v>
          </cell>
          <cell r="C139">
            <v>6</v>
          </cell>
          <cell r="D139">
            <v>18</v>
          </cell>
          <cell r="E139">
            <v>10660.827124999994</v>
          </cell>
          <cell r="F139">
            <v>40.078025000000011</v>
          </cell>
          <cell r="G139">
            <v>9038.1972249999581</v>
          </cell>
        </row>
        <row r="140">
          <cell r="A140">
            <v>2006</v>
          </cell>
          <cell r="B140">
            <v>1</v>
          </cell>
          <cell r="C140">
            <v>6</v>
          </cell>
          <cell r="D140">
            <v>19</v>
          </cell>
          <cell r="E140">
            <v>11507.322424999995</v>
          </cell>
          <cell r="F140">
            <v>41.604600000000005</v>
          </cell>
          <cell r="G140">
            <v>9870.9474250000385</v>
          </cell>
        </row>
        <row r="141">
          <cell r="A141">
            <v>2006</v>
          </cell>
          <cell r="B141">
            <v>1</v>
          </cell>
          <cell r="C141">
            <v>6</v>
          </cell>
          <cell r="D141">
            <v>20</v>
          </cell>
          <cell r="E141">
            <v>11529.843674999996</v>
          </cell>
          <cell r="F141">
            <v>40.404850000000017</v>
          </cell>
          <cell r="G141">
            <v>9989.1612250000326</v>
          </cell>
        </row>
        <row r="142">
          <cell r="A142">
            <v>2006</v>
          </cell>
          <cell r="B142">
            <v>1</v>
          </cell>
          <cell r="C142">
            <v>6</v>
          </cell>
          <cell r="D142">
            <v>21</v>
          </cell>
          <cell r="E142">
            <v>11469.427249999982</v>
          </cell>
          <cell r="F142">
            <v>39.015299999999996</v>
          </cell>
          <cell r="G142">
            <v>9933.8678000000473</v>
          </cell>
        </row>
        <row r="143">
          <cell r="A143">
            <v>2006</v>
          </cell>
          <cell r="B143">
            <v>1</v>
          </cell>
          <cell r="C143">
            <v>6</v>
          </cell>
          <cell r="D143">
            <v>22</v>
          </cell>
          <cell r="E143">
            <v>11304.154625000021</v>
          </cell>
          <cell r="F143">
            <v>38.359700000000004</v>
          </cell>
          <cell r="G143">
            <v>9773.9276499999887</v>
          </cell>
        </row>
        <row r="145">
          <cell r="A145">
            <v>2006</v>
          </cell>
          <cell r="B145">
            <v>1</v>
          </cell>
          <cell r="C145">
            <v>6</v>
          </cell>
          <cell r="D145">
            <v>24</v>
          </cell>
          <cell r="E145">
            <v>10475.233750000014</v>
          </cell>
          <cell r="F145">
            <v>37.860525000000003</v>
          </cell>
          <cell r="G145">
            <v>8933.9011000000119</v>
          </cell>
        </row>
        <row r="146">
          <cell r="A146">
            <v>2006</v>
          </cell>
          <cell r="B146">
            <v>1</v>
          </cell>
          <cell r="C146">
            <v>7</v>
          </cell>
          <cell r="D146">
            <v>1</v>
          </cell>
          <cell r="E146">
            <v>9929.2034999999796</v>
          </cell>
          <cell r="F146">
            <v>37.116324999999996</v>
          </cell>
          <cell r="G146">
            <v>8479.0732000000062</v>
          </cell>
        </row>
        <row r="147">
          <cell r="A147">
            <v>2006</v>
          </cell>
          <cell r="B147">
            <v>1</v>
          </cell>
          <cell r="C147">
            <v>7</v>
          </cell>
          <cell r="D147">
            <v>2</v>
          </cell>
          <cell r="E147">
            <v>9726.985350000019</v>
          </cell>
          <cell r="F147">
            <v>37.645975</v>
          </cell>
          <cell r="G147">
            <v>8230.7280250000185</v>
          </cell>
        </row>
        <row r="148">
          <cell r="A148">
            <v>2006</v>
          </cell>
          <cell r="B148">
            <v>1</v>
          </cell>
          <cell r="C148">
            <v>7</v>
          </cell>
          <cell r="D148">
            <v>3</v>
          </cell>
          <cell r="E148">
            <v>2974.4287250000002</v>
          </cell>
          <cell r="F148">
            <v>4.3265500000000001</v>
          </cell>
          <cell r="G148">
            <v>3642.5544249999939</v>
          </cell>
        </row>
        <row r="149">
          <cell r="A149">
            <v>2006</v>
          </cell>
          <cell r="B149">
            <v>1</v>
          </cell>
          <cell r="C149">
            <v>7</v>
          </cell>
          <cell r="D149">
            <v>4</v>
          </cell>
          <cell r="E149">
            <v>9686.4323999999997</v>
          </cell>
          <cell r="F149">
            <v>38.516525000000001</v>
          </cell>
          <cell r="G149">
            <v>8097.1906500000205</v>
          </cell>
        </row>
        <row r="150">
          <cell r="A150">
            <v>2006</v>
          </cell>
          <cell r="B150">
            <v>1</v>
          </cell>
          <cell r="C150">
            <v>7</v>
          </cell>
          <cell r="D150">
            <v>5</v>
          </cell>
          <cell r="E150">
            <v>9765.5474499999673</v>
          </cell>
          <cell r="F150">
            <v>38.659275000000008</v>
          </cell>
          <cell r="G150">
            <v>8218.6567250000317</v>
          </cell>
        </row>
        <row r="151">
          <cell r="A151">
            <v>2006</v>
          </cell>
          <cell r="B151">
            <v>1</v>
          </cell>
          <cell r="C151">
            <v>7</v>
          </cell>
          <cell r="D151">
            <v>6</v>
          </cell>
          <cell r="E151">
            <v>10054.106600000041</v>
          </cell>
          <cell r="F151">
            <v>39.812200000000011</v>
          </cell>
          <cell r="G151">
            <v>8498.3006750000404</v>
          </cell>
        </row>
        <row r="152">
          <cell r="A152">
            <v>2006</v>
          </cell>
          <cell r="B152">
            <v>1</v>
          </cell>
          <cell r="C152">
            <v>7</v>
          </cell>
          <cell r="D152">
            <v>7</v>
          </cell>
          <cell r="E152">
            <v>10613.408474999975</v>
          </cell>
          <cell r="F152">
            <v>40.720149999999997</v>
          </cell>
          <cell r="G152">
            <v>9027.4683750000459</v>
          </cell>
        </row>
        <row r="153">
          <cell r="A153">
            <v>2006</v>
          </cell>
          <cell r="B153">
            <v>1</v>
          </cell>
          <cell r="C153">
            <v>7</v>
          </cell>
          <cell r="D153">
            <v>8</v>
          </cell>
          <cell r="E153">
            <v>11250.9624</v>
          </cell>
          <cell r="F153">
            <v>42.831400000000009</v>
          </cell>
          <cell r="G153">
            <v>9603.3461750000279</v>
          </cell>
        </row>
        <row r="154">
          <cell r="A154">
            <v>2006</v>
          </cell>
          <cell r="B154">
            <v>1</v>
          </cell>
          <cell r="C154">
            <v>7</v>
          </cell>
          <cell r="D154">
            <v>9</v>
          </cell>
          <cell r="E154">
            <v>11507.042774999973</v>
          </cell>
          <cell r="F154">
            <v>44.373050000000013</v>
          </cell>
          <cell r="G154">
            <v>9855.889599999995</v>
          </cell>
        </row>
        <row r="155">
          <cell r="A155">
            <v>2006</v>
          </cell>
          <cell r="B155">
            <v>1</v>
          </cell>
          <cell r="C155">
            <v>7</v>
          </cell>
          <cell r="D155">
            <v>10</v>
          </cell>
          <cell r="E155">
            <v>11480.55012499998</v>
          </cell>
          <cell r="F155">
            <v>43.588100000000004</v>
          </cell>
          <cell r="G155">
            <v>9776.9258750000408</v>
          </cell>
        </row>
        <row r="156">
          <cell r="A156">
            <v>2006</v>
          </cell>
          <cell r="B156">
            <v>1</v>
          </cell>
          <cell r="C156">
            <v>7</v>
          </cell>
          <cell r="D156">
            <v>11</v>
          </cell>
          <cell r="E156">
            <v>11187.741624999993</v>
          </cell>
          <cell r="F156">
            <v>41.894300000000001</v>
          </cell>
          <cell r="G156">
            <v>9533.2784249999513</v>
          </cell>
        </row>
        <row r="157">
          <cell r="A157">
            <v>2006</v>
          </cell>
          <cell r="B157">
            <v>1</v>
          </cell>
          <cell r="C157">
            <v>7</v>
          </cell>
          <cell r="D157">
            <v>12</v>
          </cell>
          <cell r="E157">
            <v>10808.768925000002</v>
          </cell>
          <cell r="F157">
            <v>39.502325000000006</v>
          </cell>
          <cell r="G157">
            <v>9162.1062250000232</v>
          </cell>
        </row>
        <row r="158">
          <cell r="A158">
            <v>2006</v>
          </cell>
          <cell r="B158">
            <v>1</v>
          </cell>
          <cell r="C158">
            <v>7</v>
          </cell>
          <cell r="D158">
            <v>13</v>
          </cell>
          <cell r="E158">
            <v>10375.608025000009</v>
          </cell>
          <cell r="F158">
            <v>36.469675000000002</v>
          </cell>
          <cell r="G158">
            <v>8798.5619500000048</v>
          </cell>
        </row>
        <row r="159">
          <cell r="A159">
            <v>2006</v>
          </cell>
          <cell r="B159">
            <v>1</v>
          </cell>
          <cell r="C159">
            <v>7</v>
          </cell>
          <cell r="D159">
            <v>14</v>
          </cell>
          <cell r="E159">
            <v>10051.741050000017</v>
          </cell>
          <cell r="F159">
            <v>34.117974999999994</v>
          </cell>
          <cell r="G159">
            <v>8498.264799999999</v>
          </cell>
        </row>
        <row r="160">
          <cell r="A160">
            <v>2006</v>
          </cell>
          <cell r="B160">
            <v>1</v>
          </cell>
          <cell r="C160">
            <v>7</v>
          </cell>
          <cell r="D160">
            <v>15</v>
          </cell>
          <cell r="E160">
            <v>9805.8847500000393</v>
          </cell>
          <cell r="F160">
            <v>32.578774999999993</v>
          </cell>
          <cell r="G160">
            <v>8276.8947750000134</v>
          </cell>
        </row>
        <row r="161">
          <cell r="A161">
            <v>2006</v>
          </cell>
          <cell r="B161">
            <v>1</v>
          </cell>
          <cell r="C161">
            <v>7</v>
          </cell>
          <cell r="D161">
            <v>16</v>
          </cell>
          <cell r="E161">
            <v>9673.7895250000329</v>
          </cell>
          <cell r="F161">
            <v>32.188749999999999</v>
          </cell>
          <cell r="G161">
            <v>8157.2656999999963</v>
          </cell>
        </row>
        <row r="162">
          <cell r="A162">
            <v>2006</v>
          </cell>
          <cell r="B162">
            <v>1</v>
          </cell>
          <cell r="C162">
            <v>7</v>
          </cell>
          <cell r="D162">
            <v>17</v>
          </cell>
          <cell r="E162">
            <v>9627.2904999999919</v>
          </cell>
          <cell r="F162">
            <v>31.477525000000007</v>
          </cell>
          <cell r="G162">
            <v>8114.6730499999967</v>
          </cell>
        </row>
        <row r="163">
          <cell r="A163">
            <v>2006</v>
          </cell>
          <cell r="B163">
            <v>1</v>
          </cell>
          <cell r="C163">
            <v>7</v>
          </cell>
          <cell r="D163">
            <v>18</v>
          </cell>
          <cell r="E163">
            <v>9710.569449999979</v>
          </cell>
          <cell r="F163">
            <v>31.754325000000005</v>
          </cell>
          <cell r="G163">
            <v>8249.4606000000131</v>
          </cell>
        </row>
        <row r="164">
          <cell r="A164">
            <v>2006</v>
          </cell>
          <cell r="B164">
            <v>1</v>
          </cell>
          <cell r="C164">
            <v>7</v>
          </cell>
          <cell r="D164">
            <v>19</v>
          </cell>
          <cell r="E164">
            <v>10495.751650000007</v>
          </cell>
          <cell r="F164">
            <v>32.965200000000003</v>
          </cell>
          <cell r="G164">
            <v>8914.2465749999956</v>
          </cell>
        </row>
        <row r="165">
          <cell r="A165">
            <v>2006</v>
          </cell>
          <cell r="B165">
            <v>1</v>
          </cell>
          <cell r="C165">
            <v>7</v>
          </cell>
          <cell r="D165">
            <v>20</v>
          </cell>
          <cell r="E165">
            <v>10514.375650000027</v>
          </cell>
          <cell r="F165">
            <v>33.85915</v>
          </cell>
          <cell r="G165">
            <v>8988.2889000000159</v>
          </cell>
        </row>
        <row r="166">
          <cell r="A166">
            <v>2006</v>
          </cell>
          <cell r="B166">
            <v>1</v>
          </cell>
          <cell r="C166">
            <v>7</v>
          </cell>
          <cell r="D166">
            <v>21</v>
          </cell>
          <cell r="E166">
            <v>10240.865874999992</v>
          </cell>
          <cell r="F166">
            <v>31.78</v>
          </cell>
          <cell r="G166">
            <v>8726.0412499999966</v>
          </cell>
        </row>
        <row r="167">
          <cell r="A167">
            <v>2006</v>
          </cell>
          <cell r="B167">
            <v>1</v>
          </cell>
          <cell r="C167">
            <v>7</v>
          </cell>
          <cell r="D167">
            <v>22</v>
          </cell>
          <cell r="E167">
            <v>9905.1322750000072</v>
          </cell>
          <cell r="F167">
            <v>30.606975000000002</v>
          </cell>
          <cell r="G167">
            <v>8387.3153750000674</v>
          </cell>
        </row>
        <row r="169">
          <cell r="A169">
            <v>2006</v>
          </cell>
          <cell r="B169">
            <v>1</v>
          </cell>
          <cell r="C169">
            <v>7</v>
          </cell>
          <cell r="D169">
            <v>24</v>
          </cell>
          <cell r="E169">
            <v>8941.2974000000104</v>
          </cell>
          <cell r="F169">
            <v>29.885925</v>
          </cell>
          <cell r="G169">
            <v>7464.149200000038</v>
          </cell>
        </row>
        <row r="170">
          <cell r="A170">
            <v>2006</v>
          </cell>
          <cell r="B170">
            <v>1</v>
          </cell>
          <cell r="C170">
            <v>8</v>
          </cell>
          <cell r="D170">
            <v>1</v>
          </cell>
          <cell r="E170">
            <v>6201.6007999999883</v>
          </cell>
          <cell r="F170">
            <v>21.421050000000001</v>
          </cell>
          <cell r="G170">
            <v>5160.7624250000272</v>
          </cell>
        </row>
        <row r="171">
          <cell r="A171">
            <v>2006</v>
          </cell>
          <cell r="B171">
            <v>1</v>
          </cell>
          <cell r="C171">
            <v>8</v>
          </cell>
          <cell r="D171">
            <v>2</v>
          </cell>
          <cell r="E171">
            <v>7943.468674999991</v>
          </cell>
          <cell r="F171">
            <v>27.797850000000004</v>
          </cell>
          <cell r="G171">
            <v>6585.3476750000227</v>
          </cell>
        </row>
        <row r="172">
          <cell r="A172">
            <v>2006</v>
          </cell>
          <cell r="B172">
            <v>1</v>
          </cell>
          <cell r="C172">
            <v>8</v>
          </cell>
          <cell r="D172">
            <v>3</v>
          </cell>
          <cell r="E172">
            <v>7712.688174999982</v>
          </cell>
          <cell r="F172">
            <v>27.906999999999996</v>
          </cell>
          <cell r="G172">
            <v>6427.5947250000017</v>
          </cell>
        </row>
        <row r="173">
          <cell r="A173">
            <v>2006</v>
          </cell>
          <cell r="B173">
            <v>1</v>
          </cell>
          <cell r="C173">
            <v>8</v>
          </cell>
          <cell r="D173">
            <v>4</v>
          </cell>
          <cell r="E173">
            <v>7612.5074749999903</v>
          </cell>
          <cell r="F173">
            <v>28.702024999999995</v>
          </cell>
          <cell r="G173">
            <v>6342.3516250000112</v>
          </cell>
        </row>
        <row r="174">
          <cell r="A174">
            <v>2006</v>
          </cell>
          <cell r="B174">
            <v>1</v>
          </cell>
          <cell r="C174">
            <v>8</v>
          </cell>
          <cell r="D174">
            <v>5</v>
          </cell>
          <cell r="E174">
            <v>7634.9680750000043</v>
          </cell>
          <cell r="F174">
            <v>28.691300000000002</v>
          </cell>
          <cell r="G174">
            <v>6381.3965500000113</v>
          </cell>
        </row>
        <row r="175">
          <cell r="A175">
            <v>2006</v>
          </cell>
          <cell r="B175">
            <v>1</v>
          </cell>
          <cell r="C175">
            <v>8</v>
          </cell>
          <cell r="D175">
            <v>6</v>
          </cell>
          <cell r="E175">
            <v>7806.4165749999875</v>
          </cell>
          <cell r="F175">
            <v>18.499025</v>
          </cell>
          <cell r="G175">
            <v>6529.7132750000001</v>
          </cell>
        </row>
        <row r="176">
          <cell r="A176">
            <v>2006</v>
          </cell>
          <cell r="B176">
            <v>1</v>
          </cell>
          <cell r="C176">
            <v>8</v>
          </cell>
          <cell r="D176">
            <v>7</v>
          </cell>
          <cell r="E176">
            <v>8120.7334249999931</v>
          </cell>
          <cell r="F176">
            <v>31.538575000000002</v>
          </cell>
          <cell r="G176">
            <v>6829.8007500000194</v>
          </cell>
        </row>
        <row r="177">
          <cell r="A177">
            <v>2006</v>
          </cell>
          <cell r="B177">
            <v>1</v>
          </cell>
          <cell r="C177">
            <v>8</v>
          </cell>
          <cell r="D177">
            <v>8</v>
          </cell>
          <cell r="E177">
            <v>8531.8133750000197</v>
          </cell>
          <cell r="F177">
            <v>34.17915</v>
          </cell>
          <cell r="G177">
            <v>7230.4502500000008</v>
          </cell>
        </row>
        <row r="178">
          <cell r="A178">
            <v>2006</v>
          </cell>
          <cell r="B178">
            <v>1</v>
          </cell>
          <cell r="C178">
            <v>8</v>
          </cell>
          <cell r="D178">
            <v>9</v>
          </cell>
          <cell r="E178">
            <v>8912.7249500000307</v>
          </cell>
          <cell r="F178">
            <v>36.495675000000006</v>
          </cell>
          <cell r="G178">
            <v>7544.4494749999867</v>
          </cell>
        </row>
        <row r="179">
          <cell r="A179">
            <v>2006</v>
          </cell>
          <cell r="B179">
            <v>1</v>
          </cell>
          <cell r="C179">
            <v>8</v>
          </cell>
          <cell r="D179">
            <v>10</v>
          </cell>
          <cell r="E179">
            <v>9354.5597499999767</v>
          </cell>
          <cell r="F179">
            <v>38.133200000000002</v>
          </cell>
          <cell r="G179">
            <v>7831.6719000000094</v>
          </cell>
        </row>
        <row r="180">
          <cell r="A180">
            <v>2006</v>
          </cell>
          <cell r="B180">
            <v>1</v>
          </cell>
          <cell r="C180">
            <v>8</v>
          </cell>
          <cell r="D180">
            <v>11</v>
          </cell>
          <cell r="E180">
            <v>9473.8033999999843</v>
          </cell>
          <cell r="F180">
            <v>38.003299999999989</v>
          </cell>
          <cell r="G180">
            <v>7911.0410250000332</v>
          </cell>
        </row>
        <row r="181">
          <cell r="A181">
            <v>2006</v>
          </cell>
          <cell r="B181">
            <v>1</v>
          </cell>
          <cell r="C181">
            <v>8</v>
          </cell>
          <cell r="D181">
            <v>12</v>
          </cell>
          <cell r="E181">
            <v>9475.955450000034</v>
          </cell>
          <cell r="F181">
            <v>38.44435</v>
          </cell>
          <cell r="G181">
            <v>7880.8129000000527</v>
          </cell>
        </row>
        <row r="182">
          <cell r="A182">
            <v>2006</v>
          </cell>
          <cell r="B182">
            <v>1</v>
          </cell>
          <cell r="C182">
            <v>8</v>
          </cell>
          <cell r="D182">
            <v>13</v>
          </cell>
          <cell r="E182">
            <v>9479.507349999978</v>
          </cell>
          <cell r="F182">
            <v>38.183825000000006</v>
          </cell>
          <cell r="G182">
            <v>7936.1998750000494</v>
          </cell>
        </row>
        <row r="183">
          <cell r="A183">
            <v>2006</v>
          </cell>
          <cell r="B183">
            <v>1</v>
          </cell>
          <cell r="C183">
            <v>8</v>
          </cell>
          <cell r="D183">
            <v>14</v>
          </cell>
          <cell r="E183">
            <v>9509.6038249999801</v>
          </cell>
          <cell r="F183">
            <v>36.831000000000003</v>
          </cell>
          <cell r="G183">
            <v>8001.1895500000401</v>
          </cell>
        </row>
        <row r="184">
          <cell r="A184">
            <v>2006</v>
          </cell>
          <cell r="B184">
            <v>1</v>
          </cell>
          <cell r="C184">
            <v>8</v>
          </cell>
          <cell r="D184">
            <v>15</v>
          </cell>
          <cell r="E184">
            <v>9453.8693250000033</v>
          </cell>
          <cell r="F184">
            <v>36.468299999999999</v>
          </cell>
          <cell r="G184">
            <v>7980.0103250000175</v>
          </cell>
        </row>
        <row r="185">
          <cell r="A185">
            <v>2006</v>
          </cell>
          <cell r="B185">
            <v>1</v>
          </cell>
          <cell r="C185">
            <v>8</v>
          </cell>
          <cell r="D185">
            <v>16</v>
          </cell>
          <cell r="E185">
            <v>9443.2601750000176</v>
          </cell>
          <cell r="F185">
            <v>36.271850000000008</v>
          </cell>
          <cell r="G185">
            <v>7945.8802500000083</v>
          </cell>
        </row>
        <row r="186">
          <cell r="A186">
            <v>2006</v>
          </cell>
          <cell r="B186">
            <v>1</v>
          </cell>
          <cell r="C186">
            <v>8</v>
          </cell>
          <cell r="D186">
            <v>17</v>
          </cell>
          <cell r="E186">
            <v>9486.6474249999901</v>
          </cell>
          <cell r="F186">
            <v>37.023500000000006</v>
          </cell>
          <cell r="G186">
            <v>7978.0145500000317</v>
          </cell>
        </row>
        <row r="187">
          <cell r="A187">
            <v>2006</v>
          </cell>
          <cell r="B187">
            <v>1</v>
          </cell>
          <cell r="C187">
            <v>8</v>
          </cell>
          <cell r="D187">
            <v>18</v>
          </cell>
          <cell r="E187">
            <v>9780.8471749999826</v>
          </cell>
          <cell r="F187">
            <v>38.557700000000004</v>
          </cell>
          <cell r="G187">
            <v>8267.2734750000272</v>
          </cell>
        </row>
        <row r="188">
          <cell r="A188">
            <v>2006</v>
          </cell>
          <cell r="B188">
            <v>1</v>
          </cell>
          <cell r="C188">
            <v>8</v>
          </cell>
          <cell r="D188">
            <v>19</v>
          </cell>
          <cell r="E188">
            <v>10567.353400000004</v>
          </cell>
          <cell r="F188">
            <v>40.866375000000012</v>
          </cell>
          <cell r="G188">
            <v>8985.3237500000305</v>
          </cell>
        </row>
        <row r="189">
          <cell r="A189">
            <v>2006</v>
          </cell>
          <cell r="B189">
            <v>1</v>
          </cell>
          <cell r="C189">
            <v>8</v>
          </cell>
          <cell r="D189">
            <v>20</v>
          </cell>
          <cell r="E189">
            <v>10615.565850000001</v>
          </cell>
          <cell r="F189">
            <v>42.311475000000009</v>
          </cell>
          <cell r="G189">
            <v>9062.4978750000319</v>
          </cell>
        </row>
        <row r="190">
          <cell r="A190">
            <v>2006</v>
          </cell>
          <cell r="B190">
            <v>1</v>
          </cell>
          <cell r="C190">
            <v>8</v>
          </cell>
          <cell r="D190">
            <v>21</v>
          </cell>
          <cell r="E190">
            <v>10366.830149999996</v>
          </cell>
          <cell r="F190">
            <v>41.978925000000004</v>
          </cell>
          <cell r="G190">
            <v>8866.7345750000186</v>
          </cell>
        </row>
        <row r="191">
          <cell r="A191">
            <v>2006</v>
          </cell>
          <cell r="B191">
            <v>1</v>
          </cell>
          <cell r="C191">
            <v>8</v>
          </cell>
          <cell r="D191">
            <v>22</v>
          </cell>
          <cell r="E191">
            <v>9988.7338500000096</v>
          </cell>
          <cell r="F191">
            <v>40.795550000000013</v>
          </cell>
          <cell r="G191">
            <v>8538.329400000006</v>
          </cell>
        </row>
        <row r="193">
          <cell r="A193">
            <v>2006</v>
          </cell>
          <cell r="B193">
            <v>1</v>
          </cell>
          <cell r="C193">
            <v>8</v>
          </cell>
          <cell r="D193">
            <v>24</v>
          </cell>
          <cell r="E193">
            <v>8722.0475250000018</v>
          </cell>
          <cell r="F193">
            <v>35.726700000000008</v>
          </cell>
          <cell r="G193">
            <v>7300.7943500000301</v>
          </cell>
        </row>
        <row r="194">
          <cell r="A194">
            <v>2006</v>
          </cell>
          <cell r="B194">
            <v>1</v>
          </cell>
          <cell r="C194">
            <v>9</v>
          </cell>
          <cell r="D194">
            <v>1</v>
          </cell>
          <cell r="E194">
            <v>8080.0212250000159</v>
          </cell>
          <cell r="F194">
            <v>32.610575000000004</v>
          </cell>
          <cell r="G194">
            <v>6782.6361000000034</v>
          </cell>
        </row>
        <row r="195">
          <cell r="A195">
            <v>2006</v>
          </cell>
          <cell r="B195">
            <v>1</v>
          </cell>
          <cell r="C195">
            <v>9</v>
          </cell>
          <cell r="D195">
            <v>2</v>
          </cell>
          <cell r="E195">
            <v>7856.6561750000064</v>
          </cell>
          <cell r="F195">
            <v>30.629324999999998</v>
          </cell>
          <cell r="G195">
            <v>6527.035150000017</v>
          </cell>
        </row>
        <row r="196">
          <cell r="A196">
            <v>2006</v>
          </cell>
          <cell r="B196">
            <v>1</v>
          </cell>
          <cell r="C196">
            <v>9</v>
          </cell>
          <cell r="D196">
            <v>3</v>
          </cell>
          <cell r="E196">
            <v>7813.371125000016</v>
          </cell>
          <cell r="F196">
            <v>29.293600000000001</v>
          </cell>
          <cell r="G196">
            <v>6448.4961500000099</v>
          </cell>
        </row>
        <row r="197">
          <cell r="A197">
            <v>2006</v>
          </cell>
          <cell r="B197">
            <v>1</v>
          </cell>
          <cell r="C197">
            <v>9</v>
          </cell>
          <cell r="D197">
            <v>4</v>
          </cell>
          <cell r="E197">
            <v>7884.3919750000086</v>
          </cell>
          <cell r="F197">
            <v>30.891874999999999</v>
          </cell>
          <cell r="G197">
            <v>6508.3479750000124</v>
          </cell>
        </row>
        <row r="198">
          <cell r="A198">
            <v>2006</v>
          </cell>
          <cell r="B198">
            <v>1</v>
          </cell>
          <cell r="C198">
            <v>9</v>
          </cell>
          <cell r="D198">
            <v>5</v>
          </cell>
          <cell r="E198">
            <v>8202.135250000003</v>
          </cell>
          <cell r="F198">
            <v>34.793075000000009</v>
          </cell>
          <cell r="G198">
            <v>6770.8323000000073</v>
          </cell>
        </row>
        <row r="199">
          <cell r="A199">
            <v>2006</v>
          </cell>
          <cell r="B199">
            <v>1</v>
          </cell>
          <cell r="C199">
            <v>9</v>
          </cell>
          <cell r="D199">
            <v>6</v>
          </cell>
          <cell r="E199">
            <v>8971.5929499999984</v>
          </cell>
          <cell r="F199">
            <v>36.873700000000007</v>
          </cell>
          <cell r="G199">
            <v>7496.2920750000458</v>
          </cell>
        </row>
        <row r="200">
          <cell r="A200">
            <v>2006</v>
          </cell>
          <cell r="B200">
            <v>1</v>
          </cell>
          <cell r="C200">
            <v>9</v>
          </cell>
          <cell r="D200">
            <v>7</v>
          </cell>
          <cell r="E200">
            <v>10503.649250000009</v>
          </cell>
          <cell r="F200">
            <v>43.277800000000006</v>
          </cell>
          <cell r="G200">
            <v>8875.5104749999864</v>
          </cell>
        </row>
        <row r="201">
          <cell r="A201">
            <v>2006</v>
          </cell>
          <cell r="B201">
            <v>1</v>
          </cell>
          <cell r="C201">
            <v>9</v>
          </cell>
          <cell r="D201">
            <v>8</v>
          </cell>
          <cell r="E201">
            <v>11691.791450000017</v>
          </cell>
          <cell r="F201">
            <v>43.564300000000003</v>
          </cell>
          <cell r="G201">
            <v>10001.891675000023</v>
          </cell>
        </row>
        <row r="202">
          <cell r="A202">
            <v>2006</v>
          </cell>
          <cell r="B202">
            <v>1</v>
          </cell>
          <cell r="C202">
            <v>9</v>
          </cell>
          <cell r="D202">
            <v>9</v>
          </cell>
          <cell r="E202">
            <v>11577.386575000013</v>
          </cell>
          <cell r="F202">
            <v>46.842525000000002</v>
          </cell>
          <cell r="G202">
            <v>9825.1021000000237</v>
          </cell>
        </row>
        <row r="203">
          <cell r="A203">
            <v>2006</v>
          </cell>
          <cell r="B203">
            <v>1</v>
          </cell>
          <cell r="C203">
            <v>9</v>
          </cell>
          <cell r="D203">
            <v>10</v>
          </cell>
          <cell r="E203">
            <v>11426.12117499998</v>
          </cell>
          <cell r="F203">
            <v>44.535775000000001</v>
          </cell>
          <cell r="G203">
            <v>9718.1833500000103</v>
          </cell>
        </row>
        <row r="204">
          <cell r="A204">
            <v>2006</v>
          </cell>
          <cell r="B204">
            <v>1</v>
          </cell>
          <cell r="C204">
            <v>9</v>
          </cell>
          <cell r="D204">
            <v>11</v>
          </cell>
          <cell r="E204">
            <v>6804.2436749999915</v>
          </cell>
          <cell r="F204">
            <v>29.357924999999998</v>
          </cell>
          <cell r="G204">
            <v>5779.2855500000023</v>
          </cell>
        </row>
        <row r="205">
          <cell r="A205">
            <v>2006</v>
          </cell>
          <cell r="B205">
            <v>1</v>
          </cell>
          <cell r="C205">
            <v>9</v>
          </cell>
          <cell r="D205">
            <v>12</v>
          </cell>
          <cell r="E205">
            <v>7922.0444499999903</v>
          </cell>
          <cell r="F205">
            <v>12.271625</v>
          </cell>
          <cell r="G205">
            <v>6632.0251750000043</v>
          </cell>
        </row>
        <row r="206">
          <cell r="A206">
            <v>2006</v>
          </cell>
          <cell r="B206">
            <v>1</v>
          </cell>
          <cell r="C206">
            <v>9</v>
          </cell>
          <cell r="D206">
            <v>13</v>
          </cell>
          <cell r="E206">
            <v>8288.788025000018</v>
          </cell>
          <cell r="F206">
            <v>34.814300000000003</v>
          </cell>
          <cell r="G206">
            <v>6775.5018750000299</v>
          </cell>
        </row>
        <row r="207">
          <cell r="A207">
            <v>2006</v>
          </cell>
          <cell r="B207">
            <v>1</v>
          </cell>
          <cell r="C207">
            <v>9</v>
          </cell>
          <cell r="D207">
            <v>14</v>
          </cell>
          <cell r="E207">
            <v>10015.771650000012</v>
          </cell>
          <cell r="F207">
            <v>40.185899999999997</v>
          </cell>
          <cell r="G207">
            <v>8454.9541500000123</v>
          </cell>
        </row>
        <row r="208">
          <cell r="A208">
            <v>2006</v>
          </cell>
          <cell r="B208">
            <v>1</v>
          </cell>
          <cell r="C208">
            <v>9</v>
          </cell>
          <cell r="D208">
            <v>15</v>
          </cell>
          <cell r="E208">
            <v>8683.9710750000013</v>
          </cell>
          <cell r="F208">
            <v>41.440275</v>
          </cell>
          <cell r="G208">
            <v>7236.6019999999926</v>
          </cell>
        </row>
        <row r="209">
          <cell r="A209">
            <v>2006</v>
          </cell>
          <cell r="B209">
            <v>1</v>
          </cell>
          <cell r="C209">
            <v>9</v>
          </cell>
          <cell r="D209">
            <v>16</v>
          </cell>
          <cell r="E209">
            <v>8711.5115499999774</v>
          </cell>
          <cell r="F209">
            <v>18.835425000000001</v>
          </cell>
          <cell r="G209">
            <v>7199.6021000000237</v>
          </cell>
        </row>
        <row r="210">
          <cell r="A210">
            <v>2006</v>
          </cell>
          <cell r="B210">
            <v>1</v>
          </cell>
          <cell r="C210">
            <v>9</v>
          </cell>
          <cell r="D210">
            <v>17</v>
          </cell>
          <cell r="E210">
            <v>8886.1916999999885</v>
          </cell>
          <cell r="F210">
            <v>38.663800000000002</v>
          </cell>
          <cell r="G210">
            <v>7449.3250000000862</v>
          </cell>
        </row>
        <row r="211">
          <cell r="A211">
            <v>2006</v>
          </cell>
          <cell r="B211">
            <v>1</v>
          </cell>
          <cell r="C211">
            <v>9</v>
          </cell>
          <cell r="D211">
            <v>18</v>
          </cell>
          <cell r="E211">
            <v>8501.7104249999884</v>
          </cell>
          <cell r="F211">
            <v>32.404850000000003</v>
          </cell>
          <cell r="G211">
            <v>7338.9714249999806</v>
          </cell>
        </row>
        <row r="212">
          <cell r="A212">
            <v>2006</v>
          </cell>
          <cell r="B212">
            <v>1</v>
          </cell>
          <cell r="C212">
            <v>9</v>
          </cell>
          <cell r="D212">
            <v>19</v>
          </cell>
          <cell r="E212">
            <v>9351.8785249999746</v>
          </cell>
          <cell r="F212">
            <v>34.274425000000015</v>
          </cell>
          <cell r="G212">
            <v>8123.0217249999951</v>
          </cell>
        </row>
        <row r="213">
          <cell r="A213">
            <v>2006</v>
          </cell>
          <cell r="B213">
            <v>1</v>
          </cell>
          <cell r="C213">
            <v>9</v>
          </cell>
          <cell r="D213">
            <v>20</v>
          </cell>
          <cell r="E213">
            <v>10615.55285</v>
          </cell>
          <cell r="F213">
            <v>41.134575000000012</v>
          </cell>
          <cell r="G213">
            <v>9105.2622749999773</v>
          </cell>
        </row>
        <row r="214">
          <cell r="A214">
            <v>2006</v>
          </cell>
          <cell r="B214">
            <v>1</v>
          </cell>
          <cell r="C214">
            <v>9</v>
          </cell>
          <cell r="D214">
            <v>21</v>
          </cell>
          <cell r="E214">
            <v>7517.8215250000012</v>
          </cell>
          <cell r="F214">
            <v>32.851275000000008</v>
          </cell>
          <cell r="G214">
            <v>6328.9428250000219</v>
          </cell>
        </row>
        <row r="215">
          <cell r="A215">
            <v>2006</v>
          </cell>
          <cell r="B215">
            <v>1</v>
          </cell>
          <cell r="C215">
            <v>9</v>
          </cell>
          <cell r="D215">
            <v>22</v>
          </cell>
          <cell r="E215">
            <v>8849.7074249999969</v>
          </cell>
          <cell r="F215">
            <v>35.010325000000002</v>
          </cell>
          <cell r="G215">
            <v>7352.5890750000144</v>
          </cell>
        </row>
        <row r="217">
          <cell r="A217">
            <v>2006</v>
          </cell>
          <cell r="B217">
            <v>1</v>
          </cell>
          <cell r="C217">
            <v>9</v>
          </cell>
          <cell r="D217">
            <v>24</v>
          </cell>
          <cell r="E217">
            <v>7633.0114000000058</v>
          </cell>
          <cell r="F217">
            <v>37.946624999999997</v>
          </cell>
          <cell r="G217">
            <v>6276.1561000000074</v>
          </cell>
        </row>
        <row r="218">
          <cell r="A218">
            <v>2006</v>
          </cell>
          <cell r="B218">
            <v>1</v>
          </cell>
          <cell r="C218">
            <v>10</v>
          </cell>
          <cell r="D218">
            <v>1</v>
          </cell>
          <cell r="E218">
            <v>6514.4983250000014</v>
          </cell>
          <cell r="F218">
            <v>21.206150000000004</v>
          </cell>
          <cell r="G218">
            <v>5348.2395250000245</v>
          </cell>
        </row>
        <row r="219">
          <cell r="A219">
            <v>2006</v>
          </cell>
          <cell r="B219">
            <v>1</v>
          </cell>
          <cell r="C219">
            <v>10</v>
          </cell>
          <cell r="D219">
            <v>2</v>
          </cell>
          <cell r="E219">
            <v>8317.2714750000196</v>
          </cell>
          <cell r="F219">
            <v>29.347075000000007</v>
          </cell>
          <cell r="G219">
            <v>6872.7063000000026</v>
          </cell>
        </row>
        <row r="220">
          <cell r="A220">
            <v>2006</v>
          </cell>
          <cell r="B220">
            <v>1</v>
          </cell>
          <cell r="C220">
            <v>10</v>
          </cell>
          <cell r="D220">
            <v>3</v>
          </cell>
          <cell r="E220">
            <v>6614.6973250000037</v>
          </cell>
          <cell r="F220">
            <v>27.733500000000006</v>
          </cell>
          <cell r="G220">
            <v>5456.8621500000072</v>
          </cell>
        </row>
        <row r="221">
          <cell r="A221">
            <v>2006</v>
          </cell>
          <cell r="B221">
            <v>1</v>
          </cell>
          <cell r="C221">
            <v>10</v>
          </cell>
          <cell r="D221">
            <v>4</v>
          </cell>
          <cell r="E221">
            <v>8652.865875000005</v>
          </cell>
          <cell r="F221">
            <v>37.907975000000008</v>
          </cell>
          <cell r="G221">
            <v>7046.5077500000616</v>
          </cell>
        </row>
        <row r="222">
          <cell r="A222">
            <v>2006</v>
          </cell>
          <cell r="B222">
            <v>1</v>
          </cell>
          <cell r="C222">
            <v>10</v>
          </cell>
          <cell r="D222">
            <v>5</v>
          </cell>
          <cell r="E222">
            <v>4264.7686499999909</v>
          </cell>
          <cell r="F222">
            <v>19.834875000000004</v>
          </cell>
          <cell r="G222">
            <v>3505.483899999997</v>
          </cell>
        </row>
        <row r="223">
          <cell r="A223">
            <v>2006</v>
          </cell>
          <cell r="B223">
            <v>1</v>
          </cell>
          <cell r="C223">
            <v>10</v>
          </cell>
          <cell r="D223">
            <v>6</v>
          </cell>
          <cell r="E223">
            <v>8718.3659249999855</v>
          </cell>
          <cell r="F223">
            <v>43.051175000000001</v>
          </cell>
          <cell r="G223">
            <v>7433.7354250000199</v>
          </cell>
        </row>
        <row r="224">
          <cell r="A224">
            <v>2006</v>
          </cell>
          <cell r="B224">
            <v>1</v>
          </cell>
          <cell r="C224">
            <v>10</v>
          </cell>
          <cell r="D224">
            <v>7</v>
          </cell>
          <cell r="E224">
            <v>7606.6867499999971</v>
          </cell>
          <cell r="F224">
            <v>29.609475</v>
          </cell>
          <cell r="G224">
            <v>6291.7895750000171</v>
          </cell>
        </row>
        <row r="225">
          <cell r="A225">
            <v>2006</v>
          </cell>
          <cell r="B225">
            <v>1</v>
          </cell>
          <cell r="C225">
            <v>10</v>
          </cell>
          <cell r="D225">
            <v>8</v>
          </cell>
          <cell r="E225">
            <v>5154.424425000002</v>
          </cell>
          <cell r="F225">
            <v>22.958300000000001</v>
          </cell>
          <cell r="G225">
            <v>4459.4178750000119</v>
          </cell>
        </row>
        <row r="226">
          <cell r="A226">
            <v>2006</v>
          </cell>
          <cell r="B226">
            <v>1</v>
          </cell>
          <cell r="C226">
            <v>10</v>
          </cell>
          <cell r="D226">
            <v>9</v>
          </cell>
          <cell r="E226">
            <v>6169.4325750000071</v>
          </cell>
          <cell r="F226">
            <v>29.280275</v>
          </cell>
          <cell r="G226">
            <v>5166.9019500000149</v>
          </cell>
        </row>
        <row r="227">
          <cell r="A227">
            <v>2006</v>
          </cell>
          <cell r="B227">
            <v>1</v>
          </cell>
          <cell r="C227">
            <v>10</v>
          </cell>
          <cell r="D227">
            <v>10</v>
          </cell>
          <cell r="E227">
            <v>9703.325674999991</v>
          </cell>
          <cell r="F227">
            <v>53.137999999999991</v>
          </cell>
          <cell r="G227">
            <v>8115.5749500000084</v>
          </cell>
        </row>
        <row r="228">
          <cell r="A228">
            <v>2006</v>
          </cell>
          <cell r="B228">
            <v>1</v>
          </cell>
          <cell r="C228">
            <v>10</v>
          </cell>
          <cell r="D228">
            <v>11</v>
          </cell>
          <cell r="E228">
            <v>9336.5647749999862</v>
          </cell>
          <cell r="F228">
            <v>50.517774999999993</v>
          </cell>
          <cell r="G228">
            <v>8033.5153000000128</v>
          </cell>
        </row>
        <row r="229">
          <cell r="A229">
            <v>2006</v>
          </cell>
          <cell r="B229">
            <v>1</v>
          </cell>
          <cell r="C229">
            <v>10</v>
          </cell>
          <cell r="D229">
            <v>12</v>
          </cell>
          <cell r="E229">
            <v>6512.1761249999872</v>
          </cell>
          <cell r="F229">
            <v>46.172424999999997</v>
          </cell>
          <cell r="G229">
            <v>5581.7173750000065</v>
          </cell>
        </row>
        <row r="230">
          <cell r="A230">
            <v>2006</v>
          </cell>
          <cell r="B230">
            <v>1</v>
          </cell>
          <cell r="C230">
            <v>10</v>
          </cell>
          <cell r="D230">
            <v>13</v>
          </cell>
          <cell r="E230">
            <v>9489.6062249999941</v>
          </cell>
          <cell r="F230">
            <v>50.991700000000009</v>
          </cell>
          <cell r="G230">
            <v>7934.7154500000197</v>
          </cell>
        </row>
        <row r="231">
          <cell r="A231">
            <v>2006</v>
          </cell>
          <cell r="B231">
            <v>1</v>
          </cell>
          <cell r="C231">
            <v>10</v>
          </cell>
          <cell r="D231">
            <v>14</v>
          </cell>
          <cell r="E231">
            <v>9063.8287249999867</v>
          </cell>
          <cell r="F231">
            <v>43.483624999999996</v>
          </cell>
          <cell r="G231">
            <v>7660.536874999998</v>
          </cell>
        </row>
        <row r="232">
          <cell r="A232">
            <v>2006</v>
          </cell>
          <cell r="B232">
            <v>1</v>
          </cell>
          <cell r="C232">
            <v>10</v>
          </cell>
          <cell r="D232">
            <v>15</v>
          </cell>
          <cell r="E232">
            <v>9680.799524999984</v>
          </cell>
          <cell r="F232">
            <v>43.494174999999998</v>
          </cell>
          <cell r="G232">
            <v>8137.8118000000395</v>
          </cell>
        </row>
        <row r="233">
          <cell r="A233">
            <v>2006</v>
          </cell>
          <cell r="B233">
            <v>1</v>
          </cell>
          <cell r="C233">
            <v>10</v>
          </cell>
          <cell r="D233">
            <v>16</v>
          </cell>
          <cell r="E233">
            <v>8920.9137249999749</v>
          </cell>
          <cell r="F233">
            <v>45.442775000000005</v>
          </cell>
          <cell r="G233">
            <v>7382.8478000000123</v>
          </cell>
        </row>
        <row r="234">
          <cell r="A234">
            <v>2006</v>
          </cell>
          <cell r="B234">
            <v>1</v>
          </cell>
          <cell r="C234">
            <v>10</v>
          </cell>
          <cell r="D234">
            <v>17</v>
          </cell>
          <cell r="E234">
            <v>6694.282224999999</v>
          </cell>
          <cell r="F234">
            <v>28.766999999999999</v>
          </cell>
          <cell r="G234">
            <v>5645.3533999999872</v>
          </cell>
        </row>
        <row r="235">
          <cell r="A235">
            <v>2006</v>
          </cell>
          <cell r="B235">
            <v>1</v>
          </cell>
          <cell r="C235">
            <v>10</v>
          </cell>
          <cell r="D235">
            <v>18</v>
          </cell>
          <cell r="E235">
            <v>9886.7681000000121</v>
          </cell>
          <cell r="F235">
            <v>45.2898</v>
          </cell>
          <cell r="G235">
            <v>8477.3188000000064</v>
          </cell>
        </row>
        <row r="236">
          <cell r="A236">
            <v>2006</v>
          </cell>
          <cell r="B236">
            <v>1</v>
          </cell>
          <cell r="C236">
            <v>10</v>
          </cell>
          <cell r="D236">
            <v>19</v>
          </cell>
          <cell r="E236">
            <v>9468.2140000000272</v>
          </cell>
          <cell r="F236">
            <v>42.104299999999988</v>
          </cell>
          <cell r="G236">
            <v>8086.9253250000129</v>
          </cell>
        </row>
        <row r="237">
          <cell r="A237">
            <v>2006</v>
          </cell>
          <cell r="B237">
            <v>1</v>
          </cell>
          <cell r="C237">
            <v>10</v>
          </cell>
          <cell r="D237">
            <v>20</v>
          </cell>
          <cell r="E237">
            <v>10361.083075000019</v>
          </cell>
          <cell r="F237">
            <v>49.270225000000011</v>
          </cell>
          <cell r="G237">
            <v>8778.3507500000032</v>
          </cell>
        </row>
        <row r="238">
          <cell r="A238">
            <v>2006</v>
          </cell>
          <cell r="B238">
            <v>1</v>
          </cell>
          <cell r="C238">
            <v>10</v>
          </cell>
          <cell r="D238">
            <v>21</v>
          </cell>
          <cell r="E238">
            <v>9426.9127749999989</v>
          </cell>
          <cell r="F238">
            <v>48.383675000000011</v>
          </cell>
          <cell r="G238">
            <v>8043.7050750000317</v>
          </cell>
        </row>
        <row r="239">
          <cell r="A239">
            <v>2006</v>
          </cell>
          <cell r="B239">
            <v>1</v>
          </cell>
          <cell r="C239">
            <v>10</v>
          </cell>
          <cell r="D239">
            <v>22</v>
          </cell>
          <cell r="E239">
            <v>9526.4464499999922</v>
          </cell>
          <cell r="F239">
            <v>43.821450000000006</v>
          </cell>
          <cell r="G239">
            <v>8311.1804250000096</v>
          </cell>
        </row>
        <row r="241">
          <cell r="A241">
            <v>2006</v>
          </cell>
          <cell r="B241">
            <v>1</v>
          </cell>
          <cell r="C241">
            <v>10</v>
          </cell>
          <cell r="D241">
            <v>24</v>
          </cell>
          <cell r="E241">
            <v>8734.8200249999845</v>
          </cell>
          <cell r="F241">
            <v>37.738250000000008</v>
          </cell>
          <cell r="G241">
            <v>7620.0064500000244</v>
          </cell>
        </row>
        <row r="242">
          <cell r="A242">
            <v>2006</v>
          </cell>
          <cell r="B242">
            <v>1</v>
          </cell>
          <cell r="C242">
            <v>11</v>
          </cell>
          <cell r="D242">
            <v>1</v>
          </cell>
          <cell r="E242">
            <v>7242.8746500000188</v>
          </cell>
          <cell r="F242">
            <v>28.353725000000001</v>
          </cell>
          <cell r="G242">
            <v>6073.9148750000331</v>
          </cell>
        </row>
        <row r="243">
          <cell r="A243">
            <v>2006</v>
          </cell>
          <cell r="B243">
            <v>1</v>
          </cell>
          <cell r="C243">
            <v>11</v>
          </cell>
          <cell r="D243">
            <v>2</v>
          </cell>
          <cell r="E243">
            <v>9273.194475000013</v>
          </cell>
          <cell r="F243">
            <v>38.9251</v>
          </cell>
          <cell r="G243">
            <v>7582.890574999994</v>
          </cell>
        </row>
        <row r="244">
          <cell r="A244">
            <v>2006</v>
          </cell>
          <cell r="B244">
            <v>1</v>
          </cell>
          <cell r="C244">
            <v>11</v>
          </cell>
          <cell r="D244">
            <v>3</v>
          </cell>
          <cell r="E244">
            <v>8854.4172499999859</v>
          </cell>
          <cell r="F244">
            <v>24.747300000000006</v>
          </cell>
          <cell r="G244">
            <v>7240.3844000000045</v>
          </cell>
        </row>
        <row r="245">
          <cell r="A245">
            <v>2006</v>
          </cell>
          <cell r="B245">
            <v>1</v>
          </cell>
          <cell r="C245">
            <v>11</v>
          </cell>
          <cell r="D245">
            <v>4</v>
          </cell>
          <cell r="E245">
            <v>9468.3818249999968</v>
          </cell>
          <cell r="F245">
            <v>32.865724999999998</v>
          </cell>
          <cell r="G245">
            <v>8033.6023250000198</v>
          </cell>
        </row>
        <row r="246">
          <cell r="A246">
            <v>2006</v>
          </cell>
          <cell r="B246">
            <v>1</v>
          </cell>
          <cell r="C246">
            <v>11</v>
          </cell>
          <cell r="D246">
            <v>5</v>
          </cell>
          <cell r="E246">
            <v>10545.287874999984</v>
          </cell>
          <cell r="F246">
            <v>43.583925000000001</v>
          </cell>
          <cell r="G246">
            <v>8868.7953500000476</v>
          </cell>
        </row>
        <row r="247">
          <cell r="A247">
            <v>2006</v>
          </cell>
          <cell r="B247">
            <v>1</v>
          </cell>
          <cell r="C247">
            <v>11</v>
          </cell>
          <cell r="D247">
            <v>6</v>
          </cell>
          <cell r="E247">
            <v>11288.65029999997</v>
          </cell>
          <cell r="F247">
            <v>49.84350000000002</v>
          </cell>
          <cell r="G247">
            <v>9664.9628750000138</v>
          </cell>
        </row>
        <row r="248">
          <cell r="A248">
            <v>2006</v>
          </cell>
          <cell r="B248">
            <v>1</v>
          </cell>
          <cell r="C248">
            <v>11</v>
          </cell>
          <cell r="D248">
            <v>7</v>
          </cell>
          <cell r="E248">
            <v>12784.689275000026</v>
          </cell>
          <cell r="F248">
            <v>58.277525000000026</v>
          </cell>
          <cell r="G248">
            <v>11011.20674999997</v>
          </cell>
        </row>
        <row r="249">
          <cell r="A249">
            <v>2006</v>
          </cell>
          <cell r="B249">
            <v>1</v>
          </cell>
          <cell r="C249">
            <v>11</v>
          </cell>
          <cell r="D249">
            <v>8</v>
          </cell>
          <cell r="E249">
            <v>13977.107799999962</v>
          </cell>
          <cell r="F249">
            <v>63.565975000000009</v>
          </cell>
          <cell r="G249">
            <v>12033.484949999969</v>
          </cell>
        </row>
        <row r="250">
          <cell r="A250">
            <v>2006</v>
          </cell>
          <cell r="B250">
            <v>1</v>
          </cell>
          <cell r="C250">
            <v>11</v>
          </cell>
          <cell r="D250">
            <v>9</v>
          </cell>
          <cell r="E250">
            <v>13364.742275000015</v>
          </cell>
          <cell r="F250">
            <v>61.416675000000005</v>
          </cell>
          <cell r="G250">
            <v>11535.829675000075</v>
          </cell>
        </row>
        <row r="251">
          <cell r="A251">
            <v>2006</v>
          </cell>
          <cell r="B251">
            <v>1</v>
          </cell>
          <cell r="C251">
            <v>11</v>
          </cell>
          <cell r="D251">
            <v>10</v>
          </cell>
          <cell r="E251">
            <v>12866.752825000012</v>
          </cell>
          <cell r="F251">
            <v>60.286050000000003</v>
          </cell>
          <cell r="G251">
            <v>10939.775250000077</v>
          </cell>
        </row>
        <row r="252">
          <cell r="A252">
            <v>2006</v>
          </cell>
          <cell r="B252">
            <v>1</v>
          </cell>
          <cell r="C252">
            <v>11</v>
          </cell>
          <cell r="D252">
            <v>11</v>
          </cell>
          <cell r="E252">
            <v>12376.666124999965</v>
          </cell>
          <cell r="F252">
            <v>53.405450000000002</v>
          </cell>
          <cell r="G252">
            <v>10479.953799999999</v>
          </cell>
        </row>
        <row r="253">
          <cell r="A253">
            <v>2006</v>
          </cell>
          <cell r="B253">
            <v>1</v>
          </cell>
          <cell r="C253">
            <v>11</v>
          </cell>
          <cell r="D253">
            <v>12</v>
          </cell>
          <cell r="E253">
            <v>11879.694424999978</v>
          </cell>
          <cell r="F253">
            <v>53.015200000000007</v>
          </cell>
          <cell r="G253">
            <v>10034.072574999967</v>
          </cell>
        </row>
        <row r="254">
          <cell r="A254">
            <v>2006</v>
          </cell>
          <cell r="B254">
            <v>1</v>
          </cell>
          <cell r="C254">
            <v>11</v>
          </cell>
          <cell r="D254">
            <v>13</v>
          </cell>
          <cell r="E254">
            <v>11447.138600000009</v>
          </cell>
          <cell r="F254">
            <v>49.157724999999999</v>
          </cell>
          <cell r="G254">
            <v>9650.8446750000076</v>
          </cell>
        </row>
        <row r="255">
          <cell r="A255">
            <v>2006</v>
          </cell>
          <cell r="B255">
            <v>1</v>
          </cell>
          <cell r="C255">
            <v>11</v>
          </cell>
          <cell r="D255">
            <v>14</v>
          </cell>
          <cell r="E255">
            <v>11164.096724999972</v>
          </cell>
          <cell r="F255">
            <v>44.590325</v>
          </cell>
          <cell r="G255">
            <v>9391.5341500000468</v>
          </cell>
        </row>
        <row r="256">
          <cell r="A256">
            <v>2006</v>
          </cell>
          <cell r="B256">
            <v>1</v>
          </cell>
          <cell r="C256">
            <v>11</v>
          </cell>
          <cell r="D256">
            <v>15</v>
          </cell>
          <cell r="E256">
            <v>10915.726975000036</v>
          </cell>
          <cell r="F256">
            <v>39.277799999999999</v>
          </cell>
          <cell r="G256">
            <v>9168.2504250000202</v>
          </cell>
        </row>
        <row r="257">
          <cell r="A257">
            <v>2006</v>
          </cell>
          <cell r="B257">
            <v>1</v>
          </cell>
          <cell r="C257">
            <v>11</v>
          </cell>
          <cell r="D257">
            <v>16</v>
          </cell>
          <cell r="E257">
            <v>10696.63297500001</v>
          </cell>
          <cell r="F257">
            <v>41.270725000000006</v>
          </cell>
          <cell r="G257">
            <v>9006.8106249999655</v>
          </cell>
        </row>
        <row r="258">
          <cell r="A258">
            <v>2006</v>
          </cell>
          <cell r="B258">
            <v>1</v>
          </cell>
          <cell r="C258">
            <v>11</v>
          </cell>
          <cell r="D258">
            <v>17</v>
          </cell>
          <cell r="E258">
            <v>10574.682349999986</v>
          </cell>
          <cell r="F258">
            <v>41.057925000000004</v>
          </cell>
          <cell r="G258">
            <v>8979.7221500000305</v>
          </cell>
        </row>
        <row r="259">
          <cell r="A259">
            <v>2006</v>
          </cell>
          <cell r="B259">
            <v>1</v>
          </cell>
          <cell r="C259">
            <v>11</v>
          </cell>
          <cell r="D259">
            <v>18</v>
          </cell>
          <cell r="E259">
            <v>10616.110125000023</v>
          </cell>
          <cell r="F259">
            <v>42.7498</v>
          </cell>
          <cell r="G259">
            <v>9121.1951749999589</v>
          </cell>
        </row>
        <row r="260">
          <cell r="A260">
            <v>2006</v>
          </cell>
          <cell r="B260">
            <v>1</v>
          </cell>
          <cell r="C260">
            <v>11</v>
          </cell>
          <cell r="D260">
            <v>19</v>
          </cell>
          <cell r="E260">
            <v>11511.069099999982</v>
          </cell>
          <cell r="F260">
            <v>46.889175000000009</v>
          </cell>
          <cell r="G260">
            <v>9951.9797750000289</v>
          </cell>
        </row>
        <row r="261">
          <cell r="A261">
            <v>2006</v>
          </cell>
          <cell r="B261">
            <v>1</v>
          </cell>
          <cell r="C261">
            <v>11</v>
          </cell>
          <cell r="D261">
            <v>20</v>
          </cell>
          <cell r="E261">
            <v>11559.970549999987</v>
          </cell>
          <cell r="F261">
            <v>45.73682500000001</v>
          </cell>
          <cell r="G261">
            <v>10008.276475000024</v>
          </cell>
        </row>
        <row r="262">
          <cell r="A262">
            <v>2006</v>
          </cell>
          <cell r="B262">
            <v>1</v>
          </cell>
          <cell r="C262">
            <v>11</v>
          </cell>
          <cell r="D262">
            <v>21</v>
          </cell>
          <cell r="E262">
            <v>11435.791849999981</v>
          </cell>
          <cell r="F262">
            <v>43.852900000000012</v>
          </cell>
          <cell r="G262">
            <v>9827.5646750000396</v>
          </cell>
        </row>
        <row r="263">
          <cell r="A263">
            <v>2006</v>
          </cell>
          <cell r="B263">
            <v>1</v>
          </cell>
          <cell r="C263">
            <v>11</v>
          </cell>
          <cell r="D263">
            <v>22</v>
          </cell>
          <cell r="E263">
            <v>11054.903674999981</v>
          </cell>
          <cell r="F263">
            <v>45.171025000000007</v>
          </cell>
          <cell r="G263">
            <v>9479.03460000001</v>
          </cell>
        </row>
        <row r="265">
          <cell r="A265">
            <v>2006</v>
          </cell>
          <cell r="B265">
            <v>1</v>
          </cell>
          <cell r="C265">
            <v>11</v>
          </cell>
          <cell r="D265">
            <v>24</v>
          </cell>
          <cell r="E265">
            <v>9637.3126499999908</v>
          </cell>
          <cell r="F265">
            <v>37.950775000000007</v>
          </cell>
          <cell r="G265">
            <v>8053.4076750000104</v>
          </cell>
        </row>
        <row r="266">
          <cell r="A266">
            <v>2006</v>
          </cell>
          <cell r="B266">
            <v>1</v>
          </cell>
          <cell r="C266">
            <v>12</v>
          </cell>
          <cell r="D266">
            <v>1</v>
          </cell>
          <cell r="E266">
            <v>8857.6067499999972</v>
          </cell>
          <cell r="F266">
            <v>35.871500000000005</v>
          </cell>
          <cell r="G266">
            <v>7471.8818249999986</v>
          </cell>
        </row>
        <row r="267">
          <cell r="A267">
            <v>2006</v>
          </cell>
          <cell r="B267">
            <v>1</v>
          </cell>
          <cell r="C267">
            <v>12</v>
          </cell>
          <cell r="D267">
            <v>2</v>
          </cell>
          <cell r="E267">
            <v>8650.8039250000056</v>
          </cell>
          <cell r="F267">
            <v>30.349825000000003</v>
          </cell>
          <cell r="G267">
            <v>7181.707600000007</v>
          </cell>
        </row>
        <row r="268">
          <cell r="A268">
            <v>2006</v>
          </cell>
          <cell r="B268">
            <v>1</v>
          </cell>
          <cell r="C268">
            <v>12</v>
          </cell>
          <cell r="D268">
            <v>3</v>
          </cell>
          <cell r="E268">
            <v>8543.0951999999925</v>
          </cell>
          <cell r="F268">
            <v>30.131100000000004</v>
          </cell>
          <cell r="G268">
            <v>7043.9012499999862</v>
          </cell>
        </row>
        <row r="269">
          <cell r="A269">
            <v>2006</v>
          </cell>
          <cell r="B269">
            <v>1</v>
          </cell>
          <cell r="C269">
            <v>12</v>
          </cell>
          <cell r="D269">
            <v>4</v>
          </cell>
          <cell r="E269">
            <v>8464.7531500000059</v>
          </cell>
          <cell r="F269">
            <v>30.796399999999998</v>
          </cell>
          <cell r="G269">
            <v>6986.9933000000192</v>
          </cell>
        </row>
        <row r="270">
          <cell r="A270">
            <v>2006</v>
          </cell>
          <cell r="B270">
            <v>1</v>
          </cell>
          <cell r="C270">
            <v>12</v>
          </cell>
          <cell r="D270">
            <v>5</v>
          </cell>
          <cell r="E270">
            <v>8609.4938250000159</v>
          </cell>
          <cell r="F270">
            <v>32.037950000000002</v>
          </cell>
          <cell r="G270">
            <v>7129.6163249999818</v>
          </cell>
        </row>
        <row r="271">
          <cell r="A271">
            <v>2006</v>
          </cell>
          <cell r="B271">
            <v>1</v>
          </cell>
          <cell r="C271">
            <v>12</v>
          </cell>
          <cell r="D271">
            <v>6</v>
          </cell>
          <cell r="E271">
            <v>9245.2971749999833</v>
          </cell>
          <cell r="F271">
            <v>35.400350000000003</v>
          </cell>
          <cell r="G271">
            <v>7721.3009000000211</v>
          </cell>
        </row>
        <row r="272">
          <cell r="A272">
            <v>2006</v>
          </cell>
          <cell r="B272">
            <v>1</v>
          </cell>
          <cell r="C272">
            <v>12</v>
          </cell>
          <cell r="D272">
            <v>7</v>
          </cell>
          <cell r="E272">
            <v>10491.506575000012</v>
          </cell>
          <cell r="F272">
            <v>39.380075000000012</v>
          </cell>
          <cell r="G272">
            <v>8906.8214999999927</v>
          </cell>
        </row>
        <row r="273">
          <cell r="A273">
            <v>2006</v>
          </cell>
          <cell r="B273">
            <v>1</v>
          </cell>
          <cell r="C273">
            <v>12</v>
          </cell>
          <cell r="D273">
            <v>8</v>
          </cell>
          <cell r="E273">
            <v>11590.995249999985</v>
          </cell>
          <cell r="F273">
            <v>46.721175000000002</v>
          </cell>
          <cell r="G273">
            <v>9897.7002500000417</v>
          </cell>
        </row>
        <row r="274">
          <cell r="A274">
            <v>2006</v>
          </cell>
          <cell r="B274">
            <v>1</v>
          </cell>
          <cell r="C274">
            <v>12</v>
          </cell>
          <cell r="D274">
            <v>9</v>
          </cell>
          <cell r="E274">
            <v>11303.832225000004</v>
          </cell>
          <cell r="F274">
            <v>43.949825000000004</v>
          </cell>
          <cell r="G274">
            <v>9617.7481749999515</v>
          </cell>
        </row>
        <row r="275">
          <cell r="A275">
            <v>2006</v>
          </cell>
          <cell r="B275">
            <v>1</v>
          </cell>
          <cell r="C275">
            <v>12</v>
          </cell>
          <cell r="D275">
            <v>10</v>
          </cell>
          <cell r="E275">
            <v>11127.127324999987</v>
          </cell>
          <cell r="F275">
            <v>41.236499999999999</v>
          </cell>
          <cell r="G275">
            <v>9418.6085500000008</v>
          </cell>
        </row>
        <row r="276">
          <cell r="A276">
            <v>2006</v>
          </cell>
          <cell r="B276">
            <v>1</v>
          </cell>
          <cell r="C276">
            <v>12</v>
          </cell>
          <cell r="D276">
            <v>11</v>
          </cell>
          <cell r="E276">
            <v>11073.838424999994</v>
          </cell>
          <cell r="F276">
            <v>43.697075000000005</v>
          </cell>
          <cell r="G276">
            <v>9324.6292750000212</v>
          </cell>
        </row>
        <row r="277">
          <cell r="A277">
            <v>2006</v>
          </cell>
          <cell r="B277">
            <v>1</v>
          </cell>
          <cell r="C277">
            <v>12</v>
          </cell>
          <cell r="D277">
            <v>12</v>
          </cell>
          <cell r="E277">
            <v>10922.408899999951</v>
          </cell>
          <cell r="F277">
            <v>43.353825000000008</v>
          </cell>
          <cell r="G277">
            <v>9257.8709249999793</v>
          </cell>
        </row>
        <row r="278">
          <cell r="A278">
            <v>2006</v>
          </cell>
          <cell r="B278">
            <v>1</v>
          </cell>
          <cell r="C278">
            <v>12</v>
          </cell>
          <cell r="D278">
            <v>13</v>
          </cell>
          <cell r="E278">
            <v>10734.33127500002</v>
          </cell>
          <cell r="F278">
            <v>42.221725000000006</v>
          </cell>
          <cell r="G278">
            <v>9205.2022000000215</v>
          </cell>
        </row>
        <row r="279">
          <cell r="A279">
            <v>2006</v>
          </cell>
          <cell r="B279">
            <v>1</v>
          </cell>
          <cell r="C279">
            <v>12</v>
          </cell>
          <cell r="D279">
            <v>14</v>
          </cell>
          <cell r="E279">
            <v>10810.345724999977</v>
          </cell>
          <cell r="F279">
            <v>40.993299999999998</v>
          </cell>
          <cell r="G279">
            <v>9210.1662499999893</v>
          </cell>
        </row>
        <row r="280">
          <cell r="A280">
            <v>2006</v>
          </cell>
          <cell r="B280">
            <v>1</v>
          </cell>
          <cell r="C280">
            <v>12</v>
          </cell>
          <cell r="D280">
            <v>15</v>
          </cell>
          <cell r="E280">
            <v>10642.089625000004</v>
          </cell>
          <cell r="F280">
            <v>37.342224999999999</v>
          </cell>
          <cell r="G280">
            <v>9166.1937500000076</v>
          </cell>
        </row>
        <row r="281">
          <cell r="A281">
            <v>2006</v>
          </cell>
          <cell r="B281">
            <v>1</v>
          </cell>
          <cell r="C281">
            <v>12</v>
          </cell>
          <cell r="D281">
            <v>16</v>
          </cell>
          <cell r="E281">
            <v>10763.749199999991</v>
          </cell>
          <cell r="F281">
            <v>40.214850000000006</v>
          </cell>
          <cell r="G281">
            <v>9127.1089250000241</v>
          </cell>
        </row>
        <row r="282">
          <cell r="A282">
            <v>2006</v>
          </cell>
          <cell r="B282">
            <v>1</v>
          </cell>
          <cell r="C282">
            <v>12</v>
          </cell>
          <cell r="D282">
            <v>17</v>
          </cell>
          <cell r="E282">
            <v>10745.368900000012</v>
          </cell>
          <cell r="F282">
            <v>35.590874999999997</v>
          </cell>
          <cell r="G282">
            <v>9134.9346500000465</v>
          </cell>
        </row>
        <row r="283">
          <cell r="A283">
            <v>2006</v>
          </cell>
          <cell r="B283">
            <v>1</v>
          </cell>
          <cell r="C283">
            <v>12</v>
          </cell>
          <cell r="D283">
            <v>18</v>
          </cell>
          <cell r="E283">
            <v>10807.300249999977</v>
          </cell>
          <cell r="F283">
            <v>36.520924999999998</v>
          </cell>
          <cell r="G283">
            <v>9176.9623750000464</v>
          </cell>
        </row>
        <row r="284">
          <cell r="A284">
            <v>2006</v>
          </cell>
          <cell r="B284">
            <v>1</v>
          </cell>
          <cell r="C284">
            <v>12</v>
          </cell>
          <cell r="D284">
            <v>19</v>
          </cell>
          <cell r="E284">
            <v>11535.94265000001</v>
          </cell>
          <cell r="F284">
            <v>43.437000000000005</v>
          </cell>
          <cell r="G284">
            <v>9821.0946500000136</v>
          </cell>
        </row>
        <row r="285">
          <cell r="A285">
            <v>2006</v>
          </cell>
          <cell r="B285">
            <v>1</v>
          </cell>
          <cell r="C285">
            <v>12</v>
          </cell>
          <cell r="D285">
            <v>20</v>
          </cell>
          <cell r="E285">
            <v>11482.356724999987</v>
          </cell>
          <cell r="F285">
            <v>45.010525000000001</v>
          </cell>
          <cell r="G285">
            <v>9826.5570749999497</v>
          </cell>
        </row>
        <row r="286">
          <cell r="A286">
            <v>2006</v>
          </cell>
          <cell r="B286">
            <v>1</v>
          </cell>
          <cell r="C286">
            <v>12</v>
          </cell>
          <cell r="D286">
            <v>21</v>
          </cell>
          <cell r="E286">
            <v>11226.212550000004</v>
          </cell>
          <cell r="F286">
            <v>41.441049999999997</v>
          </cell>
          <cell r="G286">
            <v>9572.7321750000719</v>
          </cell>
        </row>
        <row r="287">
          <cell r="A287">
            <v>2006</v>
          </cell>
          <cell r="B287">
            <v>1</v>
          </cell>
          <cell r="C287">
            <v>12</v>
          </cell>
          <cell r="D287">
            <v>22</v>
          </cell>
          <cell r="E287">
            <v>10754.571175000014</v>
          </cell>
          <cell r="F287">
            <v>40.889049999999997</v>
          </cell>
          <cell r="G287">
            <v>9124.546799999991</v>
          </cell>
        </row>
        <row r="289">
          <cell r="A289">
            <v>2006</v>
          </cell>
          <cell r="B289">
            <v>1</v>
          </cell>
          <cell r="C289">
            <v>12</v>
          </cell>
          <cell r="D289">
            <v>24</v>
          </cell>
          <cell r="E289">
            <v>9198.0026000000016</v>
          </cell>
          <cell r="F289">
            <v>35.433350000000011</v>
          </cell>
          <cell r="G289">
            <v>7671.7285000000165</v>
          </cell>
        </row>
        <row r="290">
          <cell r="A290">
            <v>2006</v>
          </cell>
          <cell r="B290">
            <v>1</v>
          </cell>
          <cell r="C290">
            <v>13</v>
          </cell>
          <cell r="D290">
            <v>1</v>
          </cell>
          <cell r="E290">
            <v>8482.3431500000115</v>
          </cell>
          <cell r="F290">
            <v>31.578375000000001</v>
          </cell>
          <cell r="G290">
            <v>7079.0020500000037</v>
          </cell>
        </row>
        <row r="291">
          <cell r="A291">
            <v>2006</v>
          </cell>
          <cell r="B291">
            <v>1</v>
          </cell>
          <cell r="C291">
            <v>13</v>
          </cell>
          <cell r="D291">
            <v>2</v>
          </cell>
          <cell r="E291">
            <v>8142.0895250000294</v>
          </cell>
          <cell r="F291">
            <v>27.881225000000001</v>
          </cell>
          <cell r="G291">
            <v>6794.787150000051</v>
          </cell>
        </row>
        <row r="292">
          <cell r="A292">
            <v>2006</v>
          </cell>
          <cell r="B292">
            <v>1</v>
          </cell>
          <cell r="C292">
            <v>13</v>
          </cell>
          <cell r="D292">
            <v>3</v>
          </cell>
          <cell r="E292">
            <v>8144.925750000014</v>
          </cell>
          <cell r="F292">
            <v>29.589800000000007</v>
          </cell>
          <cell r="G292">
            <v>6707.4739499999941</v>
          </cell>
        </row>
        <row r="293">
          <cell r="A293">
            <v>2006</v>
          </cell>
          <cell r="B293">
            <v>1</v>
          </cell>
          <cell r="C293">
            <v>13</v>
          </cell>
          <cell r="D293">
            <v>4</v>
          </cell>
          <cell r="E293">
            <v>8213.8221250000206</v>
          </cell>
          <cell r="F293">
            <v>31.91810000000001</v>
          </cell>
          <cell r="G293">
            <v>6768.8703000000341</v>
          </cell>
        </row>
        <row r="294">
          <cell r="A294">
            <v>2006</v>
          </cell>
          <cell r="B294">
            <v>1</v>
          </cell>
          <cell r="C294">
            <v>13</v>
          </cell>
          <cell r="D294">
            <v>5</v>
          </cell>
          <cell r="E294">
            <v>8512.8336749999798</v>
          </cell>
          <cell r="F294">
            <v>33.80415</v>
          </cell>
          <cell r="G294">
            <v>7046.1299499999932</v>
          </cell>
        </row>
        <row r="295">
          <cell r="A295">
            <v>2006</v>
          </cell>
          <cell r="B295">
            <v>1</v>
          </cell>
          <cell r="C295">
            <v>13</v>
          </cell>
          <cell r="D295">
            <v>6</v>
          </cell>
          <cell r="E295">
            <v>9279.8658499999892</v>
          </cell>
          <cell r="F295">
            <v>37.858024999999998</v>
          </cell>
          <cell r="G295">
            <v>7753.4319750000068</v>
          </cell>
        </row>
        <row r="296">
          <cell r="A296">
            <v>2006</v>
          </cell>
          <cell r="B296">
            <v>1</v>
          </cell>
          <cell r="C296">
            <v>13</v>
          </cell>
          <cell r="D296">
            <v>7</v>
          </cell>
          <cell r="E296">
            <v>10910.214525000018</v>
          </cell>
          <cell r="F296">
            <v>45.190600000000003</v>
          </cell>
          <cell r="G296">
            <v>9168.167600000028</v>
          </cell>
        </row>
        <row r="297">
          <cell r="A297">
            <v>2006</v>
          </cell>
          <cell r="B297">
            <v>1</v>
          </cell>
          <cell r="C297">
            <v>13</v>
          </cell>
          <cell r="D297">
            <v>8</v>
          </cell>
          <cell r="E297">
            <v>12245.633075000009</v>
          </cell>
          <cell r="F297">
            <v>53.959699999999998</v>
          </cell>
          <cell r="G297">
            <v>10394.305650000017</v>
          </cell>
        </row>
        <row r="298">
          <cell r="A298">
            <v>2006</v>
          </cell>
          <cell r="B298">
            <v>1</v>
          </cell>
          <cell r="C298">
            <v>13</v>
          </cell>
          <cell r="D298">
            <v>9</v>
          </cell>
          <cell r="E298">
            <v>10797.717424999999</v>
          </cell>
          <cell r="F298">
            <v>45.352074999999999</v>
          </cell>
          <cell r="G298">
            <v>9074.6184499999654</v>
          </cell>
        </row>
        <row r="299">
          <cell r="A299">
            <v>2006</v>
          </cell>
          <cell r="B299">
            <v>1</v>
          </cell>
          <cell r="C299">
            <v>13</v>
          </cell>
          <cell r="D299">
            <v>10</v>
          </cell>
          <cell r="E299">
            <v>10147.78685000001</v>
          </cell>
          <cell r="F299">
            <v>51.343650000000011</v>
          </cell>
          <cell r="G299">
            <v>8427.7691249999916</v>
          </cell>
        </row>
        <row r="300">
          <cell r="A300">
            <v>2006</v>
          </cell>
          <cell r="B300">
            <v>1</v>
          </cell>
          <cell r="C300">
            <v>13</v>
          </cell>
          <cell r="D300">
            <v>11</v>
          </cell>
          <cell r="E300">
            <v>7131.9436500000129</v>
          </cell>
          <cell r="F300">
            <v>35.050449999999998</v>
          </cell>
          <cell r="G300">
            <v>6063.3233000000209</v>
          </cell>
        </row>
        <row r="301">
          <cell r="A301">
            <v>2006</v>
          </cell>
          <cell r="B301">
            <v>1</v>
          </cell>
          <cell r="C301">
            <v>13</v>
          </cell>
          <cell r="D301">
            <v>12</v>
          </cell>
          <cell r="E301">
            <v>8900.9223500000135</v>
          </cell>
          <cell r="F301">
            <v>38.665025</v>
          </cell>
          <cell r="G301">
            <v>7588.2888750000066</v>
          </cell>
        </row>
        <row r="302">
          <cell r="A302">
            <v>2006</v>
          </cell>
          <cell r="B302">
            <v>1</v>
          </cell>
          <cell r="C302">
            <v>13</v>
          </cell>
          <cell r="D302">
            <v>13</v>
          </cell>
          <cell r="E302">
            <v>6052.7889250000017</v>
          </cell>
          <cell r="F302">
            <v>19.917350000000003</v>
          </cell>
          <cell r="G302">
            <v>5323.0052999999934</v>
          </cell>
        </row>
        <row r="303">
          <cell r="A303">
            <v>2006</v>
          </cell>
          <cell r="B303">
            <v>1</v>
          </cell>
          <cell r="C303">
            <v>13</v>
          </cell>
          <cell r="D303">
            <v>14</v>
          </cell>
          <cell r="E303">
            <v>8443.2780250000069</v>
          </cell>
          <cell r="F303">
            <v>35.1995</v>
          </cell>
          <cell r="G303">
            <v>6883.6109500000248</v>
          </cell>
        </row>
        <row r="304">
          <cell r="A304">
            <v>2006</v>
          </cell>
          <cell r="B304">
            <v>1</v>
          </cell>
          <cell r="C304">
            <v>13</v>
          </cell>
          <cell r="D304">
            <v>15</v>
          </cell>
          <cell r="E304">
            <v>9721.9161750000403</v>
          </cell>
          <cell r="F304">
            <v>26.771424999999994</v>
          </cell>
          <cell r="G304">
            <v>8121.1265250000388</v>
          </cell>
        </row>
        <row r="305">
          <cell r="A305">
            <v>2006</v>
          </cell>
          <cell r="B305">
            <v>1</v>
          </cell>
          <cell r="C305">
            <v>13</v>
          </cell>
          <cell r="D305">
            <v>16</v>
          </cell>
          <cell r="E305">
            <v>8779.9276249999966</v>
          </cell>
          <cell r="F305">
            <v>25.204049999999999</v>
          </cell>
          <cell r="G305">
            <v>7188.7333750000189</v>
          </cell>
        </row>
        <row r="306">
          <cell r="A306">
            <v>2006</v>
          </cell>
          <cell r="B306">
            <v>1</v>
          </cell>
          <cell r="C306">
            <v>13</v>
          </cell>
          <cell r="D306">
            <v>17</v>
          </cell>
          <cell r="E306">
            <v>8817.6389749999744</v>
          </cell>
          <cell r="F306">
            <v>34.323599999999999</v>
          </cell>
          <cell r="G306">
            <v>7518.4140499999939</v>
          </cell>
        </row>
        <row r="307">
          <cell r="A307">
            <v>2006</v>
          </cell>
          <cell r="B307">
            <v>1</v>
          </cell>
          <cell r="C307">
            <v>13</v>
          </cell>
          <cell r="D307">
            <v>18</v>
          </cell>
          <cell r="E307">
            <v>9171.9036999999844</v>
          </cell>
          <cell r="F307">
            <v>32.910550000000001</v>
          </cell>
          <cell r="G307">
            <v>7487.3504749999956</v>
          </cell>
        </row>
        <row r="308">
          <cell r="A308">
            <v>2006</v>
          </cell>
          <cell r="B308">
            <v>1</v>
          </cell>
          <cell r="C308">
            <v>13</v>
          </cell>
          <cell r="D308">
            <v>19</v>
          </cell>
          <cell r="E308">
            <v>8359.7046000000064</v>
          </cell>
          <cell r="F308">
            <v>23.179875000000006</v>
          </cell>
          <cell r="G308">
            <v>6981.8074750000042</v>
          </cell>
        </row>
        <row r="309">
          <cell r="A309">
            <v>2006</v>
          </cell>
          <cell r="B309">
            <v>1</v>
          </cell>
          <cell r="C309">
            <v>13</v>
          </cell>
          <cell r="D309">
            <v>20</v>
          </cell>
          <cell r="E309">
            <v>4562.3677749999997</v>
          </cell>
          <cell r="F309">
            <v>18.899850000000001</v>
          </cell>
          <cell r="G309">
            <v>3960.8799499999955</v>
          </cell>
        </row>
        <row r="310">
          <cell r="A310">
            <v>2006</v>
          </cell>
          <cell r="B310">
            <v>1</v>
          </cell>
          <cell r="C310">
            <v>13</v>
          </cell>
          <cell r="D310">
            <v>21</v>
          </cell>
          <cell r="E310">
            <v>7480.5913499999942</v>
          </cell>
          <cell r="F310">
            <v>34.427424999999999</v>
          </cell>
          <cell r="G310">
            <v>6455.4219749999975</v>
          </cell>
        </row>
        <row r="311">
          <cell r="A311">
            <v>2006</v>
          </cell>
          <cell r="B311">
            <v>1</v>
          </cell>
          <cell r="C311">
            <v>13</v>
          </cell>
          <cell r="D311">
            <v>22</v>
          </cell>
          <cell r="E311">
            <v>10013.095049999962</v>
          </cell>
          <cell r="F311">
            <v>42.961275000000001</v>
          </cell>
          <cell r="G311">
            <v>8661.2140500000187</v>
          </cell>
        </row>
        <row r="313">
          <cell r="A313">
            <v>2006</v>
          </cell>
          <cell r="B313">
            <v>1</v>
          </cell>
          <cell r="C313">
            <v>13</v>
          </cell>
          <cell r="D313">
            <v>24</v>
          </cell>
          <cell r="E313">
            <v>10629.447749999988</v>
          </cell>
          <cell r="F313">
            <v>44.643500000000003</v>
          </cell>
          <cell r="G313">
            <v>8957.9003000000448</v>
          </cell>
        </row>
        <row r="314">
          <cell r="A314">
            <v>2006</v>
          </cell>
          <cell r="B314">
            <v>1</v>
          </cell>
          <cell r="C314">
            <v>14</v>
          </cell>
          <cell r="D314">
            <v>1</v>
          </cell>
          <cell r="E314">
            <v>10167.206299999989</v>
          </cell>
          <cell r="F314">
            <v>44.149650000000008</v>
          </cell>
          <cell r="G314">
            <v>8562.9527499999804</v>
          </cell>
        </row>
        <row r="315">
          <cell r="A315">
            <v>2006</v>
          </cell>
          <cell r="B315">
            <v>1</v>
          </cell>
          <cell r="C315">
            <v>14</v>
          </cell>
          <cell r="D315">
            <v>2</v>
          </cell>
          <cell r="E315">
            <v>9994.6721249999937</v>
          </cell>
          <cell r="F315">
            <v>43.632949999999994</v>
          </cell>
          <cell r="G315">
            <v>8410.2179250000245</v>
          </cell>
        </row>
        <row r="316">
          <cell r="A316">
            <v>2006</v>
          </cell>
          <cell r="B316">
            <v>1</v>
          </cell>
          <cell r="C316">
            <v>14</v>
          </cell>
          <cell r="D316">
            <v>3</v>
          </cell>
          <cell r="E316">
            <v>3594.8045750000028</v>
          </cell>
          <cell r="F316">
            <v>3.243325</v>
          </cell>
          <cell r="G316">
            <v>4997.0807750000113</v>
          </cell>
        </row>
        <row r="317">
          <cell r="A317">
            <v>2006</v>
          </cell>
          <cell r="B317">
            <v>1</v>
          </cell>
          <cell r="C317">
            <v>14</v>
          </cell>
          <cell r="D317">
            <v>4</v>
          </cell>
          <cell r="E317">
            <v>10088.640425000025</v>
          </cell>
          <cell r="F317">
            <v>41.883324999999999</v>
          </cell>
          <cell r="G317">
            <v>8474.4710500000347</v>
          </cell>
        </row>
        <row r="318">
          <cell r="A318">
            <v>2006</v>
          </cell>
          <cell r="B318">
            <v>1</v>
          </cell>
          <cell r="C318">
            <v>14</v>
          </cell>
          <cell r="D318">
            <v>5</v>
          </cell>
          <cell r="E318">
            <v>10278.639975000013</v>
          </cell>
          <cell r="F318">
            <v>42.799799999999998</v>
          </cell>
          <cell r="G318">
            <v>8663.3778749999619</v>
          </cell>
        </row>
        <row r="319">
          <cell r="A319">
            <v>2006</v>
          </cell>
          <cell r="B319">
            <v>1</v>
          </cell>
          <cell r="C319">
            <v>14</v>
          </cell>
          <cell r="D319">
            <v>6</v>
          </cell>
          <cell r="E319">
            <v>10673.943775</v>
          </cell>
          <cell r="F319">
            <v>44.797775000000001</v>
          </cell>
          <cell r="G319">
            <v>9059.2708750000074</v>
          </cell>
        </row>
        <row r="320">
          <cell r="A320">
            <v>2006</v>
          </cell>
          <cell r="B320">
            <v>1</v>
          </cell>
          <cell r="C320">
            <v>14</v>
          </cell>
          <cell r="D320">
            <v>7</v>
          </cell>
          <cell r="E320">
            <v>11365.446600000008</v>
          </cell>
          <cell r="F320">
            <v>47.886849999999995</v>
          </cell>
          <cell r="G320">
            <v>9692.6066250000185</v>
          </cell>
        </row>
        <row r="321">
          <cell r="A321">
            <v>2006</v>
          </cell>
          <cell r="B321">
            <v>1</v>
          </cell>
          <cell r="C321">
            <v>14</v>
          </cell>
          <cell r="D321">
            <v>8</v>
          </cell>
          <cell r="E321">
            <v>12031.41720000002</v>
          </cell>
          <cell r="F321">
            <v>50.762875000000008</v>
          </cell>
          <cell r="G321">
            <v>10346.617925000002</v>
          </cell>
        </row>
        <row r="322">
          <cell r="A322">
            <v>2006</v>
          </cell>
          <cell r="B322">
            <v>1</v>
          </cell>
          <cell r="C322">
            <v>14</v>
          </cell>
          <cell r="D322">
            <v>9</v>
          </cell>
          <cell r="E322">
            <v>12379.021324999998</v>
          </cell>
          <cell r="F322">
            <v>51.545500000000004</v>
          </cell>
          <cell r="G322">
            <v>10641.963525000067</v>
          </cell>
        </row>
        <row r="323">
          <cell r="A323">
            <v>2006</v>
          </cell>
          <cell r="B323">
            <v>1</v>
          </cell>
          <cell r="C323">
            <v>14</v>
          </cell>
          <cell r="D323">
            <v>10</v>
          </cell>
          <cell r="E323">
            <v>12168.623099999968</v>
          </cell>
          <cell r="F323">
            <v>49.98940000000001</v>
          </cell>
          <cell r="G323">
            <v>10483.981725000025</v>
          </cell>
        </row>
        <row r="324">
          <cell r="A324">
            <v>2006</v>
          </cell>
          <cell r="B324">
            <v>1</v>
          </cell>
          <cell r="C324">
            <v>14</v>
          </cell>
          <cell r="D324">
            <v>11</v>
          </cell>
          <cell r="E324">
            <v>11808.517949999989</v>
          </cell>
          <cell r="F324">
            <v>44.831375000000001</v>
          </cell>
          <cell r="G324">
            <v>10066.141375000012</v>
          </cell>
        </row>
        <row r="325">
          <cell r="A325">
            <v>2006</v>
          </cell>
          <cell r="B325">
            <v>1</v>
          </cell>
          <cell r="C325">
            <v>14</v>
          </cell>
          <cell r="D325">
            <v>12</v>
          </cell>
          <cell r="E325">
            <v>11211.155524999989</v>
          </cell>
          <cell r="F325">
            <v>39.308575000000005</v>
          </cell>
          <cell r="G325">
            <v>9535.2234500000613</v>
          </cell>
        </row>
        <row r="326">
          <cell r="A326">
            <v>2006</v>
          </cell>
          <cell r="B326">
            <v>1</v>
          </cell>
          <cell r="C326">
            <v>14</v>
          </cell>
          <cell r="D326">
            <v>13</v>
          </cell>
          <cell r="E326">
            <v>10675.193199999994</v>
          </cell>
          <cell r="F326">
            <v>35.511875000000003</v>
          </cell>
          <cell r="G326">
            <v>8995.5314250000301</v>
          </cell>
        </row>
        <row r="327">
          <cell r="A327">
            <v>2006</v>
          </cell>
          <cell r="B327">
            <v>1</v>
          </cell>
          <cell r="C327">
            <v>14</v>
          </cell>
          <cell r="D327">
            <v>14</v>
          </cell>
          <cell r="E327">
            <v>10171.62874999996</v>
          </cell>
          <cell r="F327">
            <v>33.234100000000012</v>
          </cell>
          <cell r="G327">
            <v>8536.7559500000498</v>
          </cell>
        </row>
        <row r="328">
          <cell r="A328">
            <v>2006</v>
          </cell>
          <cell r="B328">
            <v>1</v>
          </cell>
          <cell r="C328">
            <v>14</v>
          </cell>
          <cell r="D328">
            <v>15</v>
          </cell>
          <cell r="E328">
            <v>9787.3413500000242</v>
          </cell>
          <cell r="F328">
            <v>33.112250000000003</v>
          </cell>
          <cell r="G328">
            <v>8216.718400000027</v>
          </cell>
        </row>
        <row r="329">
          <cell r="A329">
            <v>2006</v>
          </cell>
          <cell r="B329">
            <v>1</v>
          </cell>
          <cell r="C329">
            <v>14</v>
          </cell>
          <cell r="D329">
            <v>16</v>
          </cell>
          <cell r="E329">
            <v>9478.2047750000111</v>
          </cell>
          <cell r="F329">
            <v>32.487575000000007</v>
          </cell>
          <cell r="G329">
            <v>8032.6994000000577</v>
          </cell>
        </row>
        <row r="330">
          <cell r="A330">
            <v>2006</v>
          </cell>
          <cell r="B330">
            <v>1</v>
          </cell>
          <cell r="C330">
            <v>14</v>
          </cell>
          <cell r="D330">
            <v>17</v>
          </cell>
          <cell r="E330">
            <v>9405.660099999981</v>
          </cell>
          <cell r="F330">
            <v>31.451175000000003</v>
          </cell>
          <cell r="G330">
            <v>7993.1586500000276</v>
          </cell>
        </row>
        <row r="331">
          <cell r="A331">
            <v>2006</v>
          </cell>
          <cell r="B331">
            <v>1</v>
          </cell>
          <cell r="C331">
            <v>14</v>
          </cell>
          <cell r="D331">
            <v>18</v>
          </cell>
          <cell r="E331">
            <v>9753.9921749999794</v>
          </cell>
          <cell r="F331">
            <v>32.478549999999998</v>
          </cell>
          <cell r="G331">
            <v>8280.7124250000179</v>
          </cell>
        </row>
        <row r="332">
          <cell r="A332">
            <v>2006</v>
          </cell>
          <cell r="B332">
            <v>1</v>
          </cell>
          <cell r="C332">
            <v>14</v>
          </cell>
          <cell r="D332">
            <v>19</v>
          </cell>
          <cell r="E332">
            <v>10620.29117500002</v>
          </cell>
          <cell r="F332">
            <v>35.208874999999999</v>
          </cell>
          <cell r="G332">
            <v>9080.0344500000065</v>
          </cell>
        </row>
        <row r="333">
          <cell r="A333">
            <v>2006</v>
          </cell>
          <cell r="B333">
            <v>1</v>
          </cell>
          <cell r="C333">
            <v>14</v>
          </cell>
          <cell r="D333">
            <v>20</v>
          </cell>
          <cell r="E333">
            <v>10755.815374999987</v>
          </cell>
          <cell r="F333">
            <v>35.961850000000005</v>
          </cell>
          <cell r="G333">
            <v>9158.513899999989</v>
          </cell>
        </row>
        <row r="334">
          <cell r="A334">
            <v>2006</v>
          </cell>
          <cell r="B334">
            <v>1</v>
          </cell>
          <cell r="C334">
            <v>14</v>
          </cell>
          <cell r="D334">
            <v>21</v>
          </cell>
          <cell r="E334">
            <v>10654.846625000006</v>
          </cell>
          <cell r="F334">
            <v>34.652999999999999</v>
          </cell>
          <cell r="G334">
            <v>9020.8412499999722</v>
          </cell>
        </row>
        <row r="335">
          <cell r="A335">
            <v>2006</v>
          </cell>
          <cell r="B335">
            <v>1</v>
          </cell>
          <cell r="C335">
            <v>14</v>
          </cell>
          <cell r="D335">
            <v>22</v>
          </cell>
          <cell r="E335">
            <v>10354.687724999989</v>
          </cell>
          <cell r="F335">
            <v>33.479900000000001</v>
          </cell>
          <cell r="G335">
            <v>8776.8976500000354</v>
          </cell>
        </row>
        <row r="337">
          <cell r="A337">
            <v>2006</v>
          </cell>
          <cell r="B337">
            <v>1</v>
          </cell>
          <cell r="C337">
            <v>14</v>
          </cell>
          <cell r="D337">
            <v>24</v>
          </cell>
          <cell r="E337">
            <v>9415.2465750000028</v>
          </cell>
          <cell r="F337">
            <v>31.115250000000003</v>
          </cell>
          <cell r="G337">
            <v>7961.0872750000181</v>
          </cell>
        </row>
        <row r="338">
          <cell r="A338">
            <v>2006</v>
          </cell>
          <cell r="B338">
            <v>1</v>
          </cell>
          <cell r="C338">
            <v>15</v>
          </cell>
          <cell r="D338">
            <v>1</v>
          </cell>
          <cell r="E338">
            <v>6546.4810500000012</v>
          </cell>
          <cell r="F338">
            <v>21.194325000000003</v>
          </cell>
          <cell r="G338">
            <v>5566.828325000004</v>
          </cell>
        </row>
        <row r="339">
          <cell r="A339">
            <v>2006</v>
          </cell>
          <cell r="B339">
            <v>1</v>
          </cell>
          <cell r="C339">
            <v>15</v>
          </cell>
          <cell r="D339">
            <v>2</v>
          </cell>
          <cell r="E339">
            <v>8481.8507000000045</v>
          </cell>
          <cell r="F339">
            <v>27.838750000000001</v>
          </cell>
          <cell r="G339">
            <v>7196.4718749999947</v>
          </cell>
        </row>
        <row r="340">
          <cell r="A340">
            <v>2006</v>
          </cell>
          <cell r="B340">
            <v>1</v>
          </cell>
          <cell r="C340">
            <v>15</v>
          </cell>
          <cell r="D340">
            <v>3</v>
          </cell>
          <cell r="E340">
            <v>8272.2433499999897</v>
          </cell>
          <cell r="F340">
            <v>27.631975000000004</v>
          </cell>
          <cell r="G340">
            <v>7013.9039500000072</v>
          </cell>
        </row>
        <row r="341">
          <cell r="A341">
            <v>2006</v>
          </cell>
          <cell r="B341">
            <v>1</v>
          </cell>
          <cell r="C341">
            <v>15</v>
          </cell>
          <cell r="D341">
            <v>4</v>
          </cell>
          <cell r="E341">
            <v>8183.5669749999861</v>
          </cell>
          <cell r="F341">
            <v>27.501550000000005</v>
          </cell>
          <cell r="G341">
            <v>6933.41795000004</v>
          </cell>
        </row>
        <row r="342">
          <cell r="A342">
            <v>2006</v>
          </cell>
          <cell r="B342">
            <v>1</v>
          </cell>
          <cell r="C342">
            <v>15</v>
          </cell>
          <cell r="D342">
            <v>5</v>
          </cell>
          <cell r="E342">
            <v>8193.6514749999878</v>
          </cell>
          <cell r="F342">
            <v>27.641750000000005</v>
          </cell>
          <cell r="G342">
            <v>6956.7416249999897</v>
          </cell>
        </row>
        <row r="343">
          <cell r="A343">
            <v>2006</v>
          </cell>
          <cell r="B343">
            <v>1</v>
          </cell>
          <cell r="C343">
            <v>15</v>
          </cell>
          <cell r="D343">
            <v>6</v>
          </cell>
          <cell r="E343">
            <v>8347.5260250000138</v>
          </cell>
          <cell r="F343">
            <v>28.775500000000008</v>
          </cell>
          <cell r="G343">
            <v>7073.1452750000199</v>
          </cell>
        </row>
        <row r="344">
          <cell r="A344">
            <v>2006</v>
          </cell>
          <cell r="B344">
            <v>1</v>
          </cell>
          <cell r="C344">
            <v>15</v>
          </cell>
          <cell r="D344">
            <v>7</v>
          </cell>
          <cell r="E344">
            <v>8659.3101750000042</v>
          </cell>
          <cell r="F344">
            <v>29.91555</v>
          </cell>
          <cell r="G344">
            <v>7356.8934000000263</v>
          </cell>
        </row>
        <row r="345">
          <cell r="A345">
            <v>2006</v>
          </cell>
          <cell r="B345">
            <v>1</v>
          </cell>
          <cell r="C345">
            <v>15</v>
          </cell>
          <cell r="D345">
            <v>8</v>
          </cell>
          <cell r="E345">
            <v>9119.738649999992</v>
          </cell>
          <cell r="F345">
            <v>32.747574999999998</v>
          </cell>
          <cell r="G345">
            <v>7739.1841000000413</v>
          </cell>
        </row>
        <row r="346">
          <cell r="A346">
            <v>2006</v>
          </cell>
          <cell r="B346">
            <v>1</v>
          </cell>
          <cell r="C346">
            <v>15</v>
          </cell>
          <cell r="D346">
            <v>9</v>
          </cell>
          <cell r="E346">
            <v>9720.0322749999996</v>
          </cell>
          <cell r="F346">
            <v>35.802749999999996</v>
          </cell>
          <cell r="G346">
            <v>8132.2132250000077</v>
          </cell>
        </row>
        <row r="347">
          <cell r="A347">
            <v>2006</v>
          </cell>
          <cell r="B347">
            <v>1</v>
          </cell>
          <cell r="C347">
            <v>15</v>
          </cell>
          <cell r="D347">
            <v>10</v>
          </cell>
          <cell r="E347">
            <v>10096.446724999978</v>
          </cell>
          <cell r="F347">
            <v>37.445100000000004</v>
          </cell>
          <cell r="G347">
            <v>8496.4419750000052</v>
          </cell>
        </row>
        <row r="348">
          <cell r="A348">
            <v>2006</v>
          </cell>
          <cell r="B348">
            <v>1</v>
          </cell>
          <cell r="C348">
            <v>15</v>
          </cell>
          <cell r="D348">
            <v>11</v>
          </cell>
          <cell r="E348">
            <v>10220.929174999979</v>
          </cell>
          <cell r="F348">
            <v>35.860925000000009</v>
          </cell>
          <cell r="G348">
            <v>8603.2059250000384</v>
          </cell>
        </row>
        <row r="349">
          <cell r="A349">
            <v>2006</v>
          </cell>
          <cell r="B349">
            <v>1</v>
          </cell>
          <cell r="C349">
            <v>15</v>
          </cell>
          <cell r="D349">
            <v>12</v>
          </cell>
          <cell r="E349">
            <v>10066.380300000001</v>
          </cell>
          <cell r="F349">
            <v>35.637575000000005</v>
          </cell>
          <cell r="G349">
            <v>8488.9951499999861</v>
          </cell>
        </row>
        <row r="350">
          <cell r="A350">
            <v>2006</v>
          </cell>
          <cell r="B350">
            <v>1</v>
          </cell>
          <cell r="C350">
            <v>15</v>
          </cell>
          <cell r="D350">
            <v>13</v>
          </cell>
          <cell r="E350">
            <v>10021.304550000024</v>
          </cell>
          <cell r="F350">
            <v>35.317500000000003</v>
          </cell>
          <cell r="G350">
            <v>8452.02405000002</v>
          </cell>
        </row>
        <row r="351">
          <cell r="A351">
            <v>2006</v>
          </cell>
          <cell r="B351">
            <v>1</v>
          </cell>
          <cell r="C351">
            <v>15</v>
          </cell>
          <cell r="D351">
            <v>14</v>
          </cell>
          <cell r="E351">
            <v>9899.0581250000068</v>
          </cell>
          <cell r="F351">
            <v>35.970775000000003</v>
          </cell>
          <cell r="G351">
            <v>8358.9900500000131</v>
          </cell>
        </row>
        <row r="352">
          <cell r="A352">
            <v>2006</v>
          </cell>
          <cell r="B352">
            <v>1</v>
          </cell>
          <cell r="C352">
            <v>15</v>
          </cell>
          <cell r="D352">
            <v>15</v>
          </cell>
          <cell r="E352">
            <v>9737.4359000000004</v>
          </cell>
          <cell r="F352">
            <v>34.892625000000002</v>
          </cell>
          <cell r="G352">
            <v>8205.129649999988</v>
          </cell>
        </row>
        <row r="353">
          <cell r="A353">
            <v>2006</v>
          </cell>
          <cell r="B353">
            <v>1</v>
          </cell>
          <cell r="C353">
            <v>15</v>
          </cell>
          <cell r="D353">
            <v>16</v>
          </cell>
          <cell r="E353">
            <v>9493.9007249999831</v>
          </cell>
          <cell r="F353">
            <v>35.812049999999999</v>
          </cell>
          <cell r="G353">
            <v>7998.1317750000107</v>
          </cell>
        </row>
        <row r="354">
          <cell r="A354">
            <v>2006</v>
          </cell>
          <cell r="B354">
            <v>1</v>
          </cell>
          <cell r="C354">
            <v>15</v>
          </cell>
          <cell r="D354">
            <v>17</v>
          </cell>
          <cell r="E354">
            <v>9525.1179999999858</v>
          </cell>
          <cell r="F354">
            <v>35.280350000000006</v>
          </cell>
          <cell r="G354">
            <v>8005.2784250000368</v>
          </cell>
        </row>
        <row r="355">
          <cell r="A355">
            <v>2006</v>
          </cell>
          <cell r="B355">
            <v>1</v>
          </cell>
          <cell r="C355">
            <v>15</v>
          </cell>
          <cell r="D355">
            <v>18</v>
          </cell>
          <cell r="E355">
            <v>9711.3501499999857</v>
          </cell>
          <cell r="F355">
            <v>36.870875000000012</v>
          </cell>
          <cell r="G355">
            <v>8228.9186000000245</v>
          </cell>
        </row>
        <row r="356">
          <cell r="A356">
            <v>2006</v>
          </cell>
          <cell r="B356">
            <v>1</v>
          </cell>
          <cell r="C356">
            <v>15</v>
          </cell>
          <cell r="D356">
            <v>19</v>
          </cell>
          <cell r="E356">
            <v>10370.644174999996</v>
          </cell>
          <cell r="F356">
            <v>38.638800000000003</v>
          </cell>
          <cell r="G356">
            <v>8901.6433000000234</v>
          </cell>
        </row>
        <row r="357">
          <cell r="A357">
            <v>2006</v>
          </cell>
          <cell r="B357">
            <v>1</v>
          </cell>
          <cell r="C357">
            <v>15</v>
          </cell>
          <cell r="D357">
            <v>20</v>
          </cell>
          <cell r="E357">
            <v>10383.351574999966</v>
          </cell>
          <cell r="F357">
            <v>37.869550000000004</v>
          </cell>
          <cell r="G357">
            <v>8925.8105499999965</v>
          </cell>
        </row>
        <row r="358">
          <cell r="A358">
            <v>2006</v>
          </cell>
          <cell r="B358">
            <v>1</v>
          </cell>
          <cell r="C358">
            <v>15</v>
          </cell>
          <cell r="D358">
            <v>21</v>
          </cell>
          <cell r="E358">
            <v>10238.900274999993</v>
          </cell>
          <cell r="F358">
            <v>36.696424999999991</v>
          </cell>
          <cell r="G358">
            <v>8725.2441750000235</v>
          </cell>
        </row>
        <row r="359">
          <cell r="A359">
            <v>2006</v>
          </cell>
          <cell r="B359">
            <v>1</v>
          </cell>
          <cell r="C359">
            <v>15</v>
          </cell>
          <cell r="D359">
            <v>22</v>
          </cell>
          <cell r="E359">
            <v>9906.9300749999875</v>
          </cell>
          <cell r="F359">
            <v>35.222375</v>
          </cell>
          <cell r="G359">
            <v>8395.4000500000275</v>
          </cell>
        </row>
        <row r="361">
          <cell r="A361">
            <v>2006</v>
          </cell>
          <cell r="B361">
            <v>1</v>
          </cell>
          <cell r="C361">
            <v>15</v>
          </cell>
          <cell r="D361">
            <v>24</v>
          </cell>
          <cell r="E361">
            <v>8754.0601249999909</v>
          </cell>
          <cell r="F361">
            <v>31.482825000000002</v>
          </cell>
          <cell r="G361">
            <v>7360.4662499999977</v>
          </cell>
        </row>
        <row r="362">
          <cell r="A362">
            <v>2006</v>
          </cell>
          <cell r="B362">
            <v>1</v>
          </cell>
          <cell r="C362">
            <v>16</v>
          </cell>
          <cell r="D362">
            <v>1</v>
          </cell>
          <cell r="E362">
            <v>8193.0546500000037</v>
          </cell>
          <cell r="F362">
            <v>29.562275000000007</v>
          </cell>
          <cell r="G362">
            <v>6855.5297250000349</v>
          </cell>
        </row>
        <row r="363">
          <cell r="A363">
            <v>2006</v>
          </cell>
          <cell r="B363">
            <v>1</v>
          </cell>
          <cell r="C363">
            <v>16</v>
          </cell>
          <cell r="D363">
            <v>2</v>
          </cell>
          <cell r="E363">
            <v>7850.6815250000145</v>
          </cell>
          <cell r="F363">
            <v>28.698600000000003</v>
          </cell>
          <cell r="G363">
            <v>6566.4979500000054</v>
          </cell>
        </row>
        <row r="364">
          <cell r="A364">
            <v>2006</v>
          </cell>
          <cell r="B364">
            <v>1</v>
          </cell>
          <cell r="C364">
            <v>16</v>
          </cell>
          <cell r="D364">
            <v>3</v>
          </cell>
          <cell r="E364">
            <v>7708.9129499999781</v>
          </cell>
          <cell r="F364">
            <v>28.603525000000001</v>
          </cell>
          <cell r="G364">
            <v>6438.1139500000036</v>
          </cell>
        </row>
        <row r="365">
          <cell r="A365">
            <v>2006</v>
          </cell>
          <cell r="B365">
            <v>1</v>
          </cell>
          <cell r="C365">
            <v>16</v>
          </cell>
          <cell r="D365">
            <v>4</v>
          </cell>
          <cell r="E365">
            <v>7653.1483749999934</v>
          </cell>
          <cell r="F365">
            <v>30.755575</v>
          </cell>
          <cell r="G365">
            <v>6416.6293250000244</v>
          </cell>
        </row>
        <row r="366">
          <cell r="A366">
            <v>2006</v>
          </cell>
          <cell r="B366">
            <v>1</v>
          </cell>
          <cell r="C366">
            <v>16</v>
          </cell>
          <cell r="D366">
            <v>5</v>
          </cell>
          <cell r="E366">
            <v>7780.7722500000091</v>
          </cell>
          <cell r="F366">
            <v>34.607824999999998</v>
          </cell>
          <cell r="G366">
            <v>6523.3555000000142</v>
          </cell>
        </row>
        <row r="367">
          <cell r="A367">
            <v>2006</v>
          </cell>
          <cell r="B367">
            <v>1</v>
          </cell>
          <cell r="C367">
            <v>16</v>
          </cell>
          <cell r="D367">
            <v>6</v>
          </cell>
          <cell r="E367">
            <v>8264.3412499999813</v>
          </cell>
          <cell r="F367">
            <v>35.806175000000003</v>
          </cell>
          <cell r="G367">
            <v>6974.672350000008</v>
          </cell>
        </row>
        <row r="368">
          <cell r="A368">
            <v>2006</v>
          </cell>
          <cell r="B368">
            <v>1</v>
          </cell>
          <cell r="C368">
            <v>16</v>
          </cell>
          <cell r="D368">
            <v>7</v>
          </cell>
          <cell r="E368">
            <v>9129.8164500000312</v>
          </cell>
          <cell r="F368">
            <v>39.581799999999994</v>
          </cell>
          <cell r="G368">
            <v>7763.3442750000113</v>
          </cell>
        </row>
        <row r="369">
          <cell r="A369">
            <v>2006</v>
          </cell>
          <cell r="B369">
            <v>1</v>
          </cell>
          <cell r="C369">
            <v>16</v>
          </cell>
          <cell r="D369">
            <v>8</v>
          </cell>
          <cell r="E369">
            <v>10099.219825000009</v>
          </cell>
          <cell r="F369">
            <v>43.173749999999998</v>
          </cell>
          <cell r="G369">
            <v>8488.7635500000051</v>
          </cell>
        </row>
        <row r="370">
          <cell r="A370">
            <v>2006</v>
          </cell>
          <cell r="B370">
            <v>1</v>
          </cell>
          <cell r="C370">
            <v>16</v>
          </cell>
          <cell r="D370">
            <v>9</v>
          </cell>
          <cell r="E370">
            <v>10417.651925000027</v>
          </cell>
          <cell r="F370">
            <v>42.736625000000004</v>
          </cell>
          <cell r="G370">
            <v>8798.2926750000079</v>
          </cell>
        </row>
        <row r="371">
          <cell r="A371">
            <v>2006</v>
          </cell>
          <cell r="B371">
            <v>1</v>
          </cell>
          <cell r="C371">
            <v>16</v>
          </cell>
          <cell r="D371">
            <v>10</v>
          </cell>
          <cell r="E371">
            <v>10803.921449999978</v>
          </cell>
          <cell r="F371">
            <v>42.236050000000006</v>
          </cell>
          <cell r="G371">
            <v>9061.8113000000158</v>
          </cell>
        </row>
        <row r="372">
          <cell r="A372">
            <v>2006</v>
          </cell>
          <cell r="B372">
            <v>1</v>
          </cell>
          <cell r="C372">
            <v>16</v>
          </cell>
          <cell r="D372">
            <v>11</v>
          </cell>
          <cell r="E372">
            <v>11129.024700000055</v>
          </cell>
          <cell r="F372">
            <v>43.541925000000006</v>
          </cell>
          <cell r="G372">
            <v>9323.5464249999986</v>
          </cell>
        </row>
        <row r="373">
          <cell r="A373">
            <v>2006</v>
          </cell>
          <cell r="B373">
            <v>1</v>
          </cell>
          <cell r="C373">
            <v>16</v>
          </cell>
          <cell r="D373">
            <v>12</v>
          </cell>
          <cell r="E373">
            <v>11130.40972499999</v>
          </cell>
          <cell r="F373">
            <v>43.717699999999994</v>
          </cell>
          <cell r="G373">
            <v>9466.2372750000468</v>
          </cell>
        </row>
        <row r="374">
          <cell r="A374">
            <v>2006</v>
          </cell>
          <cell r="B374">
            <v>1</v>
          </cell>
          <cell r="C374">
            <v>16</v>
          </cell>
          <cell r="D374">
            <v>13</v>
          </cell>
          <cell r="E374">
            <v>10978.263799999995</v>
          </cell>
          <cell r="F374">
            <v>43.289449999999995</v>
          </cell>
          <cell r="G374">
            <v>9374.2845000000125</v>
          </cell>
        </row>
        <row r="375">
          <cell r="A375">
            <v>2006</v>
          </cell>
          <cell r="B375">
            <v>1</v>
          </cell>
          <cell r="C375">
            <v>16</v>
          </cell>
          <cell r="D375">
            <v>14</v>
          </cell>
          <cell r="E375">
            <v>10910.645150000046</v>
          </cell>
          <cell r="F375">
            <v>44.478574999999999</v>
          </cell>
          <cell r="G375">
            <v>9265.7984250000445</v>
          </cell>
        </row>
        <row r="376">
          <cell r="A376">
            <v>2006</v>
          </cell>
          <cell r="B376">
            <v>1</v>
          </cell>
          <cell r="C376">
            <v>16</v>
          </cell>
          <cell r="D376">
            <v>15</v>
          </cell>
          <cell r="E376">
            <v>10768.374624999997</v>
          </cell>
          <cell r="F376">
            <v>40.740450000000003</v>
          </cell>
          <cell r="G376">
            <v>9131.9415500000632</v>
          </cell>
        </row>
        <row r="377">
          <cell r="A377">
            <v>2006</v>
          </cell>
          <cell r="B377">
            <v>1</v>
          </cell>
          <cell r="C377">
            <v>16</v>
          </cell>
          <cell r="D377">
            <v>16</v>
          </cell>
          <cell r="E377">
            <v>10633.300275000025</v>
          </cell>
          <cell r="F377">
            <v>43.288849999999996</v>
          </cell>
          <cell r="G377">
            <v>9041.3103250000368</v>
          </cell>
        </row>
        <row r="378">
          <cell r="A378">
            <v>2006</v>
          </cell>
          <cell r="B378">
            <v>1</v>
          </cell>
          <cell r="C378">
            <v>16</v>
          </cell>
          <cell r="D378">
            <v>17</v>
          </cell>
          <cell r="E378">
            <v>10627.576649999977</v>
          </cell>
          <cell r="F378">
            <v>42.501775000000002</v>
          </cell>
          <cell r="G378">
            <v>9024.1829250000574</v>
          </cell>
        </row>
        <row r="379">
          <cell r="A379">
            <v>2006</v>
          </cell>
          <cell r="B379">
            <v>1</v>
          </cell>
          <cell r="C379">
            <v>16</v>
          </cell>
          <cell r="D379">
            <v>18</v>
          </cell>
          <cell r="E379">
            <v>10874.798949999991</v>
          </cell>
          <cell r="F379">
            <v>43.213649999999994</v>
          </cell>
          <cell r="G379">
            <v>9301.3846750000339</v>
          </cell>
        </row>
        <row r="380">
          <cell r="A380">
            <v>2006</v>
          </cell>
          <cell r="B380">
            <v>1</v>
          </cell>
          <cell r="C380">
            <v>16</v>
          </cell>
          <cell r="D380">
            <v>19</v>
          </cell>
          <cell r="E380">
            <v>11563.929374999991</v>
          </cell>
          <cell r="F380">
            <v>46.15617499999999</v>
          </cell>
          <cell r="G380">
            <v>9944.2151250000334</v>
          </cell>
        </row>
        <row r="381">
          <cell r="A381">
            <v>2006</v>
          </cell>
          <cell r="B381">
            <v>1</v>
          </cell>
          <cell r="C381">
            <v>16</v>
          </cell>
          <cell r="D381">
            <v>20</v>
          </cell>
          <cell r="E381">
            <v>11550.37602499996</v>
          </cell>
          <cell r="F381">
            <v>49.164999999999999</v>
          </cell>
          <cell r="G381">
            <v>9946.9806250000165</v>
          </cell>
        </row>
        <row r="382">
          <cell r="A382">
            <v>2006</v>
          </cell>
          <cell r="B382">
            <v>1</v>
          </cell>
          <cell r="C382">
            <v>16</v>
          </cell>
          <cell r="D382">
            <v>21</v>
          </cell>
          <cell r="E382">
            <v>11437.985899999989</v>
          </cell>
          <cell r="F382">
            <v>44.183949999999996</v>
          </cell>
          <cell r="G382">
            <v>9754.01840000005</v>
          </cell>
        </row>
        <row r="383">
          <cell r="A383">
            <v>2006</v>
          </cell>
          <cell r="B383">
            <v>1</v>
          </cell>
          <cell r="C383">
            <v>16</v>
          </cell>
          <cell r="D383">
            <v>22</v>
          </cell>
          <cell r="E383">
            <v>11031.854849999992</v>
          </cell>
          <cell r="F383">
            <v>43.548850000000002</v>
          </cell>
          <cell r="G383">
            <v>9378.1325250000264</v>
          </cell>
        </row>
        <row r="385">
          <cell r="A385">
            <v>2006</v>
          </cell>
          <cell r="B385">
            <v>1</v>
          </cell>
          <cell r="C385">
            <v>16</v>
          </cell>
          <cell r="D385">
            <v>24</v>
          </cell>
          <cell r="E385">
            <v>9536.3240249999835</v>
          </cell>
          <cell r="F385">
            <v>41.139249999999997</v>
          </cell>
          <cell r="G385">
            <v>8028.3510250000045</v>
          </cell>
        </row>
        <row r="386">
          <cell r="A386">
            <v>2006</v>
          </cell>
          <cell r="B386">
            <v>1</v>
          </cell>
          <cell r="C386">
            <v>17</v>
          </cell>
          <cell r="D386">
            <v>1</v>
          </cell>
          <cell r="E386">
            <v>8925.5790250000027</v>
          </cell>
          <cell r="F386">
            <v>36.153000000000006</v>
          </cell>
          <cell r="G386">
            <v>7528.7040000000297</v>
          </cell>
        </row>
        <row r="387">
          <cell r="A387">
            <v>2006</v>
          </cell>
          <cell r="B387">
            <v>1</v>
          </cell>
          <cell r="C387">
            <v>17</v>
          </cell>
          <cell r="D387">
            <v>2</v>
          </cell>
          <cell r="E387">
            <v>8688.8838999999844</v>
          </cell>
          <cell r="F387">
            <v>32.552800000000005</v>
          </cell>
          <cell r="G387">
            <v>7345.0280750000456</v>
          </cell>
        </row>
        <row r="388">
          <cell r="A388">
            <v>2006</v>
          </cell>
          <cell r="B388">
            <v>1</v>
          </cell>
          <cell r="C388">
            <v>17</v>
          </cell>
          <cell r="D388">
            <v>3</v>
          </cell>
          <cell r="E388">
            <v>8713.40265000002</v>
          </cell>
          <cell r="F388">
            <v>33.591625000000001</v>
          </cell>
          <cell r="G388">
            <v>7371.3019250000198</v>
          </cell>
        </row>
        <row r="389">
          <cell r="A389">
            <v>2006</v>
          </cell>
          <cell r="B389">
            <v>1</v>
          </cell>
          <cell r="C389">
            <v>17</v>
          </cell>
          <cell r="D389">
            <v>4</v>
          </cell>
          <cell r="E389">
            <v>8880.8213250000063</v>
          </cell>
          <cell r="F389">
            <v>34.599174999999995</v>
          </cell>
          <cell r="G389">
            <v>7527.1905750000087</v>
          </cell>
        </row>
        <row r="390">
          <cell r="A390">
            <v>2006</v>
          </cell>
          <cell r="B390">
            <v>1</v>
          </cell>
          <cell r="C390">
            <v>17</v>
          </cell>
          <cell r="D390">
            <v>5</v>
          </cell>
          <cell r="E390">
            <v>9269.560875000032</v>
          </cell>
          <cell r="F390">
            <v>37.543750000000003</v>
          </cell>
          <cell r="G390">
            <v>7859.8041500000099</v>
          </cell>
        </row>
        <row r="391">
          <cell r="A391">
            <v>2006</v>
          </cell>
          <cell r="B391">
            <v>1</v>
          </cell>
          <cell r="C391">
            <v>17</v>
          </cell>
          <cell r="D391">
            <v>6</v>
          </cell>
          <cell r="E391">
            <v>10444.702399999996</v>
          </cell>
          <cell r="F391">
            <v>43.149225000000001</v>
          </cell>
          <cell r="G391">
            <v>8748.7182750000356</v>
          </cell>
        </row>
        <row r="392">
          <cell r="A392">
            <v>2006</v>
          </cell>
          <cell r="B392">
            <v>1</v>
          </cell>
          <cell r="C392">
            <v>17</v>
          </cell>
          <cell r="D392">
            <v>7</v>
          </cell>
          <cell r="E392">
            <v>12143.157374999942</v>
          </cell>
          <cell r="F392">
            <v>50.389150000000008</v>
          </cell>
          <cell r="G392">
            <v>10282.408599999982</v>
          </cell>
        </row>
        <row r="393">
          <cell r="A393">
            <v>2006</v>
          </cell>
          <cell r="B393">
            <v>1</v>
          </cell>
          <cell r="C393">
            <v>17</v>
          </cell>
          <cell r="D393">
            <v>8</v>
          </cell>
          <cell r="E393">
            <v>13510.719224999988</v>
          </cell>
          <cell r="F393">
            <v>59.234850000000002</v>
          </cell>
          <cell r="G393">
            <v>11562.934274999967</v>
          </cell>
        </row>
        <row r="394">
          <cell r="A394">
            <v>2006</v>
          </cell>
          <cell r="B394">
            <v>1</v>
          </cell>
          <cell r="C394">
            <v>17</v>
          </cell>
          <cell r="D394">
            <v>9</v>
          </cell>
          <cell r="E394">
            <v>13174.080400000019</v>
          </cell>
          <cell r="F394">
            <v>52.395299999999999</v>
          </cell>
          <cell r="G394">
            <v>11240.045875000034</v>
          </cell>
        </row>
        <row r="395">
          <cell r="A395">
            <v>2006</v>
          </cell>
          <cell r="B395">
            <v>1</v>
          </cell>
          <cell r="C395">
            <v>17</v>
          </cell>
          <cell r="D395">
            <v>10</v>
          </cell>
          <cell r="E395">
            <v>12844.37404999998</v>
          </cell>
          <cell r="F395">
            <v>48.999124999999992</v>
          </cell>
          <cell r="G395">
            <v>10921.870200000014</v>
          </cell>
        </row>
        <row r="396">
          <cell r="A396">
            <v>2006</v>
          </cell>
          <cell r="B396">
            <v>1</v>
          </cell>
          <cell r="C396">
            <v>17</v>
          </cell>
          <cell r="D396">
            <v>11</v>
          </cell>
          <cell r="E396">
            <v>12686.865049999969</v>
          </cell>
          <cell r="F396">
            <v>50.921125000000004</v>
          </cell>
          <cell r="G396">
            <v>10785.421275000002</v>
          </cell>
        </row>
        <row r="397">
          <cell r="A397">
            <v>2006</v>
          </cell>
          <cell r="B397">
            <v>1</v>
          </cell>
          <cell r="C397">
            <v>17</v>
          </cell>
          <cell r="D397">
            <v>12</v>
          </cell>
          <cell r="E397">
            <v>12431.474975000006</v>
          </cell>
          <cell r="F397">
            <v>48.273199999999996</v>
          </cell>
          <cell r="G397">
            <v>10587.358725000016</v>
          </cell>
        </row>
        <row r="398">
          <cell r="A398">
            <v>2006</v>
          </cell>
          <cell r="B398">
            <v>1</v>
          </cell>
          <cell r="C398">
            <v>17</v>
          </cell>
          <cell r="D398">
            <v>13</v>
          </cell>
          <cell r="E398">
            <v>12132.729899999997</v>
          </cell>
          <cell r="F398">
            <v>47.231225000000002</v>
          </cell>
          <cell r="G398">
            <v>10326.061549999997</v>
          </cell>
        </row>
        <row r="399">
          <cell r="A399">
            <v>2006</v>
          </cell>
          <cell r="B399">
            <v>1</v>
          </cell>
          <cell r="C399">
            <v>17</v>
          </cell>
          <cell r="D399">
            <v>14</v>
          </cell>
          <cell r="E399">
            <v>11923.510050000034</v>
          </cell>
          <cell r="F399">
            <v>46.825875000000018</v>
          </cell>
          <cell r="G399">
            <v>10103.561625000058</v>
          </cell>
        </row>
        <row r="400">
          <cell r="A400">
            <v>2006</v>
          </cell>
          <cell r="B400">
            <v>1</v>
          </cell>
          <cell r="C400">
            <v>17</v>
          </cell>
          <cell r="D400">
            <v>15</v>
          </cell>
          <cell r="E400">
            <v>11673.407100000037</v>
          </cell>
          <cell r="F400">
            <v>40.430050000000001</v>
          </cell>
          <cell r="G400">
            <v>9828.7749250000525</v>
          </cell>
        </row>
        <row r="401">
          <cell r="A401">
            <v>2006</v>
          </cell>
          <cell r="B401">
            <v>1</v>
          </cell>
          <cell r="C401">
            <v>17</v>
          </cell>
          <cell r="D401">
            <v>16</v>
          </cell>
          <cell r="E401">
            <v>11362.54265000001</v>
          </cell>
          <cell r="F401">
            <v>44.983525</v>
          </cell>
          <cell r="G401">
            <v>9603.4737500000538</v>
          </cell>
        </row>
        <row r="402">
          <cell r="A402">
            <v>2006</v>
          </cell>
          <cell r="B402">
            <v>1</v>
          </cell>
          <cell r="C402">
            <v>17</v>
          </cell>
          <cell r="D402">
            <v>17</v>
          </cell>
          <cell r="E402">
            <v>11295.986825</v>
          </cell>
          <cell r="F402">
            <v>41.892925000000012</v>
          </cell>
          <cell r="G402">
            <v>9568.4811500000178</v>
          </cell>
        </row>
        <row r="403">
          <cell r="A403">
            <v>2006</v>
          </cell>
          <cell r="B403">
            <v>1</v>
          </cell>
          <cell r="C403">
            <v>17</v>
          </cell>
          <cell r="D403">
            <v>18</v>
          </cell>
          <cell r="E403">
            <v>11717.65907499997</v>
          </cell>
          <cell r="F403">
            <v>44.092524999999995</v>
          </cell>
          <cell r="G403">
            <v>9900.1866000000355</v>
          </cell>
        </row>
        <row r="404">
          <cell r="A404">
            <v>2006</v>
          </cell>
          <cell r="B404">
            <v>1</v>
          </cell>
          <cell r="C404">
            <v>17</v>
          </cell>
          <cell r="D404">
            <v>19</v>
          </cell>
          <cell r="E404">
            <v>12907.167150000014</v>
          </cell>
          <cell r="F404">
            <v>50.977400000000003</v>
          </cell>
          <cell r="G404">
            <v>10987.700824999974</v>
          </cell>
        </row>
        <row r="405">
          <cell r="A405">
            <v>2006</v>
          </cell>
          <cell r="B405">
            <v>1</v>
          </cell>
          <cell r="C405">
            <v>17</v>
          </cell>
          <cell r="D405">
            <v>20</v>
          </cell>
          <cell r="E405">
            <v>13257.172624999976</v>
          </cell>
          <cell r="F405">
            <v>51.931249999999999</v>
          </cell>
          <cell r="G405">
            <v>11333.255750000011</v>
          </cell>
        </row>
        <row r="406">
          <cell r="A406">
            <v>2006</v>
          </cell>
          <cell r="B406">
            <v>1</v>
          </cell>
          <cell r="C406">
            <v>17</v>
          </cell>
          <cell r="D406">
            <v>21</v>
          </cell>
          <cell r="E406">
            <v>13153.303100000008</v>
          </cell>
          <cell r="F406">
            <v>53.785525</v>
          </cell>
          <cell r="G406">
            <v>11309.566775000023</v>
          </cell>
        </row>
        <row r="407">
          <cell r="A407">
            <v>2006</v>
          </cell>
          <cell r="B407">
            <v>1</v>
          </cell>
          <cell r="C407">
            <v>17</v>
          </cell>
          <cell r="D407">
            <v>22</v>
          </cell>
          <cell r="E407">
            <v>12747.080699999975</v>
          </cell>
          <cell r="F407">
            <v>54.476899999999986</v>
          </cell>
          <cell r="G407">
            <v>11090.213724999976</v>
          </cell>
        </row>
        <row r="409">
          <cell r="A409">
            <v>2006</v>
          </cell>
          <cell r="B409">
            <v>1</v>
          </cell>
          <cell r="C409">
            <v>17</v>
          </cell>
          <cell r="D409">
            <v>24</v>
          </cell>
          <cell r="E409">
            <v>11374.445600000012</v>
          </cell>
          <cell r="F409">
            <v>50.841250000000002</v>
          </cell>
          <cell r="G409">
            <v>9659.6136000000279</v>
          </cell>
        </row>
        <row r="410">
          <cell r="A410">
            <v>2006</v>
          </cell>
          <cell r="B410">
            <v>1</v>
          </cell>
          <cell r="C410">
            <v>18</v>
          </cell>
          <cell r="D410">
            <v>1</v>
          </cell>
          <cell r="E410">
            <v>10849.39017499999</v>
          </cell>
          <cell r="F410">
            <v>44.872775000000004</v>
          </cell>
          <cell r="G410">
            <v>9080.4704999999976</v>
          </cell>
        </row>
        <row r="411">
          <cell r="A411">
            <v>2006</v>
          </cell>
          <cell r="B411">
            <v>1</v>
          </cell>
          <cell r="C411">
            <v>18</v>
          </cell>
          <cell r="D411">
            <v>2</v>
          </cell>
          <cell r="E411">
            <v>10576.473550000017</v>
          </cell>
          <cell r="F411">
            <v>43.384724999999996</v>
          </cell>
          <cell r="G411">
            <v>8876.9995249999702</v>
          </cell>
        </row>
        <row r="412">
          <cell r="A412">
            <v>2006</v>
          </cell>
          <cell r="B412">
            <v>1</v>
          </cell>
          <cell r="C412">
            <v>18</v>
          </cell>
          <cell r="D412">
            <v>3</v>
          </cell>
          <cell r="E412">
            <v>10470.304450000031</v>
          </cell>
          <cell r="F412">
            <v>43.762925000000003</v>
          </cell>
          <cell r="G412">
            <v>8807.7586000000047</v>
          </cell>
        </row>
        <row r="413">
          <cell r="A413">
            <v>2006</v>
          </cell>
          <cell r="B413">
            <v>1</v>
          </cell>
          <cell r="C413">
            <v>18</v>
          </cell>
          <cell r="D413">
            <v>4</v>
          </cell>
          <cell r="E413">
            <v>10529.688074999982</v>
          </cell>
          <cell r="F413">
            <v>43.972274999999996</v>
          </cell>
          <cell r="G413">
            <v>8832.4843499999643</v>
          </cell>
        </row>
        <row r="414">
          <cell r="A414">
            <v>2006</v>
          </cell>
          <cell r="B414">
            <v>1</v>
          </cell>
          <cell r="C414">
            <v>18</v>
          </cell>
          <cell r="D414">
            <v>5</v>
          </cell>
          <cell r="E414">
            <v>10745.919924999998</v>
          </cell>
          <cell r="F414">
            <v>46.060724999999998</v>
          </cell>
          <cell r="G414">
            <v>9073.5405250000113</v>
          </cell>
        </row>
        <row r="415">
          <cell r="A415">
            <v>2006</v>
          </cell>
          <cell r="B415">
            <v>1</v>
          </cell>
          <cell r="C415">
            <v>18</v>
          </cell>
          <cell r="D415">
            <v>6</v>
          </cell>
          <cell r="E415">
            <v>11596.097725000005</v>
          </cell>
          <cell r="F415">
            <v>49.413875000000004</v>
          </cell>
          <cell r="G415">
            <v>9819.2969499999599</v>
          </cell>
        </row>
        <row r="416">
          <cell r="A416">
            <v>2006</v>
          </cell>
          <cell r="B416">
            <v>1</v>
          </cell>
          <cell r="C416">
            <v>18</v>
          </cell>
          <cell r="D416">
            <v>7</v>
          </cell>
          <cell r="E416">
            <v>13095.892775000035</v>
          </cell>
          <cell r="F416">
            <v>58.539424999999994</v>
          </cell>
          <cell r="G416">
            <v>11166.888050000016</v>
          </cell>
        </row>
        <row r="417">
          <cell r="A417">
            <v>2006</v>
          </cell>
          <cell r="B417">
            <v>1</v>
          </cell>
          <cell r="C417">
            <v>18</v>
          </cell>
          <cell r="D417">
            <v>8</v>
          </cell>
          <cell r="E417">
            <v>14161.167650000021</v>
          </cell>
          <cell r="F417">
            <v>65.046599999999998</v>
          </cell>
          <cell r="G417">
            <v>12131.482399999977</v>
          </cell>
        </row>
        <row r="418">
          <cell r="A418">
            <v>2006</v>
          </cell>
          <cell r="B418">
            <v>1</v>
          </cell>
          <cell r="C418">
            <v>18</v>
          </cell>
          <cell r="D418">
            <v>9</v>
          </cell>
          <cell r="E418">
            <v>13503.689625000005</v>
          </cell>
          <cell r="F418">
            <v>59.671475000000001</v>
          </cell>
          <cell r="G418">
            <v>11535.621625000025</v>
          </cell>
        </row>
        <row r="419">
          <cell r="A419">
            <v>2006</v>
          </cell>
          <cell r="B419">
            <v>1</v>
          </cell>
          <cell r="C419">
            <v>18</v>
          </cell>
          <cell r="D419">
            <v>10</v>
          </cell>
          <cell r="E419">
            <v>12777.050974999982</v>
          </cell>
          <cell r="F419">
            <v>55.41525</v>
          </cell>
          <cell r="G419">
            <v>10860.477500000075</v>
          </cell>
        </row>
        <row r="420">
          <cell r="A420">
            <v>2006</v>
          </cell>
          <cell r="B420">
            <v>1</v>
          </cell>
          <cell r="C420">
            <v>18</v>
          </cell>
          <cell r="D420">
            <v>11</v>
          </cell>
          <cell r="E420">
            <v>12268.065500000004</v>
          </cell>
          <cell r="F420">
            <v>50.814324999999997</v>
          </cell>
          <cell r="G420">
            <v>10408.333950000075</v>
          </cell>
        </row>
        <row r="421">
          <cell r="A421">
            <v>2006</v>
          </cell>
          <cell r="B421">
            <v>1</v>
          </cell>
          <cell r="C421">
            <v>18</v>
          </cell>
          <cell r="D421">
            <v>12</v>
          </cell>
          <cell r="E421">
            <v>11738.349049999933</v>
          </cell>
          <cell r="F421">
            <v>46.210350000000005</v>
          </cell>
          <cell r="G421">
            <v>9934.9963750000461</v>
          </cell>
        </row>
        <row r="422">
          <cell r="A422">
            <v>2006</v>
          </cell>
          <cell r="B422">
            <v>1</v>
          </cell>
          <cell r="C422">
            <v>18</v>
          </cell>
          <cell r="D422">
            <v>13</v>
          </cell>
          <cell r="E422">
            <v>11283.941899999998</v>
          </cell>
          <cell r="F422">
            <v>45.131749999999997</v>
          </cell>
          <cell r="G422">
            <v>9558.9200250000558</v>
          </cell>
        </row>
        <row r="423">
          <cell r="A423">
            <v>2006</v>
          </cell>
          <cell r="B423">
            <v>1</v>
          </cell>
          <cell r="C423">
            <v>18</v>
          </cell>
          <cell r="D423">
            <v>14</v>
          </cell>
          <cell r="E423">
            <v>10987.926650000038</v>
          </cell>
          <cell r="F423">
            <v>42.239324999999994</v>
          </cell>
          <cell r="G423">
            <v>9290.0860000000157</v>
          </cell>
        </row>
        <row r="424">
          <cell r="A424">
            <v>2006</v>
          </cell>
          <cell r="B424">
            <v>1</v>
          </cell>
          <cell r="C424">
            <v>18</v>
          </cell>
          <cell r="D424">
            <v>15</v>
          </cell>
          <cell r="E424">
            <v>10791.825375000009</v>
          </cell>
          <cell r="F424">
            <v>38.929074999999997</v>
          </cell>
          <cell r="G424">
            <v>9124.3034000000407</v>
          </cell>
        </row>
        <row r="425">
          <cell r="A425">
            <v>2006</v>
          </cell>
          <cell r="B425">
            <v>1</v>
          </cell>
          <cell r="C425">
            <v>18</v>
          </cell>
          <cell r="D425">
            <v>16</v>
          </cell>
          <cell r="E425">
            <v>10604.52845000002</v>
          </cell>
          <cell r="F425">
            <v>41.043775000000011</v>
          </cell>
          <cell r="G425">
            <v>8995.6624000000429</v>
          </cell>
        </row>
        <row r="426">
          <cell r="A426">
            <v>2006</v>
          </cell>
          <cell r="B426">
            <v>1</v>
          </cell>
          <cell r="C426">
            <v>18</v>
          </cell>
          <cell r="D426">
            <v>17</v>
          </cell>
          <cell r="E426">
            <v>10559.414325000069</v>
          </cell>
          <cell r="F426">
            <v>39.323075000000003</v>
          </cell>
          <cell r="G426">
            <v>8948.3434750000233</v>
          </cell>
        </row>
        <row r="427">
          <cell r="A427">
            <v>2006</v>
          </cell>
          <cell r="B427">
            <v>1</v>
          </cell>
          <cell r="C427">
            <v>18</v>
          </cell>
          <cell r="D427">
            <v>18</v>
          </cell>
          <cell r="E427">
            <v>10663.083574999941</v>
          </cell>
          <cell r="F427">
            <v>43.015125000000005</v>
          </cell>
          <cell r="G427">
            <v>9053.5472499999923</v>
          </cell>
        </row>
        <row r="428">
          <cell r="A428">
            <v>2006</v>
          </cell>
          <cell r="B428">
            <v>1</v>
          </cell>
          <cell r="C428">
            <v>18</v>
          </cell>
          <cell r="D428">
            <v>19</v>
          </cell>
          <cell r="E428">
            <v>11439.996775000036</v>
          </cell>
          <cell r="F428">
            <v>43.017374999999994</v>
          </cell>
          <cell r="G428">
            <v>9787.7688749999033</v>
          </cell>
        </row>
        <row r="429">
          <cell r="A429">
            <v>2006</v>
          </cell>
          <cell r="B429">
            <v>1</v>
          </cell>
          <cell r="C429">
            <v>18</v>
          </cell>
          <cell r="D429">
            <v>20</v>
          </cell>
          <cell r="E429">
            <v>11629.269500000017</v>
          </cell>
          <cell r="F429">
            <v>43.751649999999998</v>
          </cell>
          <cell r="G429">
            <v>9948.3383499999909</v>
          </cell>
        </row>
        <row r="430">
          <cell r="A430">
            <v>2006</v>
          </cell>
          <cell r="B430">
            <v>1</v>
          </cell>
          <cell r="C430">
            <v>18</v>
          </cell>
          <cell r="D430">
            <v>21</v>
          </cell>
          <cell r="E430">
            <v>11460.698849999973</v>
          </cell>
          <cell r="F430">
            <v>44.592575000000004</v>
          </cell>
          <cell r="G430">
            <v>9800.9259499999807</v>
          </cell>
        </row>
        <row r="431">
          <cell r="A431">
            <v>2006</v>
          </cell>
          <cell r="B431">
            <v>1</v>
          </cell>
          <cell r="C431">
            <v>18</v>
          </cell>
          <cell r="D431">
            <v>22</v>
          </cell>
          <cell r="E431">
            <v>10967.456575000009</v>
          </cell>
          <cell r="F431">
            <v>43.578450000000004</v>
          </cell>
          <cell r="G431">
            <v>9478.3899250000359</v>
          </cell>
        </row>
        <row r="433">
          <cell r="A433">
            <v>2006</v>
          </cell>
          <cell r="B433">
            <v>1</v>
          </cell>
          <cell r="C433">
            <v>18</v>
          </cell>
          <cell r="D433">
            <v>24</v>
          </cell>
          <cell r="E433">
            <v>9505.1776249999803</v>
          </cell>
          <cell r="F433">
            <v>41.147324999999995</v>
          </cell>
          <cell r="G433">
            <v>7940.7671250000094</v>
          </cell>
        </row>
        <row r="434">
          <cell r="A434">
            <v>2006</v>
          </cell>
          <cell r="B434">
            <v>1</v>
          </cell>
          <cell r="C434">
            <v>19</v>
          </cell>
          <cell r="D434">
            <v>1</v>
          </cell>
          <cell r="E434">
            <v>8769.4067499999946</v>
          </cell>
          <cell r="F434">
            <v>35.268874999999994</v>
          </cell>
          <cell r="G434">
            <v>7348.6442250000136</v>
          </cell>
        </row>
        <row r="435">
          <cell r="A435">
            <v>2006</v>
          </cell>
          <cell r="B435">
            <v>1</v>
          </cell>
          <cell r="C435">
            <v>19</v>
          </cell>
          <cell r="D435">
            <v>2</v>
          </cell>
          <cell r="E435">
            <v>8458.7482749999654</v>
          </cell>
          <cell r="F435">
            <v>32.717249999999993</v>
          </cell>
          <cell r="G435">
            <v>7040.2151250000579</v>
          </cell>
        </row>
        <row r="436">
          <cell r="A436">
            <v>2006</v>
          </cell>
          <cell r="B436">
            <v>1</v>
          </cell>
          <cell r="C436">
            <v>19</v>
          </cell>
          <cell r="D436">
            <v>3</v>
          </cell>
          <cell r="E436">
            <v>8324.3307999999925</v>
          </cell>
          <cell r="F436">
            <v>32.873649999999998</v>
          </cell>
          <cell r="G436">
            <v>6910.7882500000205</v>
          </cell>
        </row>
        <row r="437">
          <cell r="A437">
            <v>2006</v>
          </cell>
          <cell r="B437">
            <v>1</v>
          </cell>
          <cell r="C437">
            <v>19</v>
          </cell>
          <cell r="D437">
            <v>4</v>
          </cell>
          <cell r="E437">
            <v>8255.0006499999836</v>
          </cell>
          <cell r="F437">
            <v>32.620899999999999</v>
          </cell>
          <cell r="G437">
            <v>6889.5145250000442</v>
          </cell>
        </row>
        <row r="438">
          <cell r="A438">
            <v>2006</v>
          </cell>
          <cell r="B438">
            <v>1</v>
          </cell>
          <cell r="C438">
            <v>19</v>
          </cell>
          <cell r="D438">
            <v>5</v>
          </cell>
          <cell r="E438">
            <v>8412.6389749999616</v>
          </cell>
          <cell r="F438">
            <v>34.181549999999994</v>
          </cell>
          <cell r="G438">
            <v>7053.8102500000696</v>
          </cell>
        </row>
        <row r="439">
          <cell r="A439">
            <v>2006</v>
          </cell>
          <cell r="B439">
            <v>1</v>
          </cell>
          <cell r="C439">
            <v>19</v>
          </cell>
          <cell r="D439">
            <v>6</v>
          </cell>
          <cell r="E439">
            <v>9085.7772749999986</v>
          </cell>
          <cell r="F439">
            <v>36.549249999999994</v>
          </cell>
          <cell r="G439">
            <v>7639.8668250000419</v>
          </cell>
        </row>
        <row r="440">
          <cell r="A440">
            <v>2006</v>
          </cell>
          <cell r="B440">
            <v>1</v>
          </cell>
          <cell r="C440">
            <v>19</v>
          </cell>
          <cell r="D440">
            <v>7</v>
          </cell>
          <cell r="E440">
            <v>10502.242375000013</v>
          </cell>
          <cell r="F440">
            <v>42.543549999999996</v>
          </cell>
          <cell r="G440">
            <v>8883.0917750000117</v>
          </cell>
        </row>
        <row r="441">
          <cell r="A441">
            <v>2006</v>
          </cell>
          <cell r="B441">
            <v>1</v>
          </cell>
          <cell r="C441">
            <v>19</v>
          </cell>
          <cell r="D441">
            <v>8</v>
          </cell>
          <cell r="E441">
            <v>11538.505975</v>
          </cell>
          <cell r="F441">
            <v>49.177224999999993</v>
          </cell>
          <cell r="G441">
            <v>9883.7427250000055</v>
          </cell>
        </row>
        <row r="442">
          <cell r="A442">
            <v>2006</v>
          </cell>
          <cell r="B442">
            <v>1</v>
          </cell>
          <cell r="C442">
            <v>19</v>
          </cell>
          <cell r="D442">
            <v>9</v>
          </cell>
          <cell r="E442">
            <v>11209.941350000001</v>
          </cell>
          <cell r="F442">
            <v>46.718699999999998</v>
          </cell>
          <cell r="G442">
            <v>9529.4478500000041</v>
          </cell>
        </row>
        <row r="443">
          <cell r="A443">
            <v>2006</v>
          </cell>
          <cell r="B443">
            <v>1</v>
          </cell>
          <cell r="C443">
            <v>19</v>
          </cell>
          <cell r="D443">
            <v>10</v>
          </cell>
          <cell r="E443">
            <v>11049.233974999977</v>
          </cell>
          <cell r="F443">
            <v>44.895050000000005</v>
          </cell>
          <cell r="G443">
            <v>9300.7747750000508</v>
          </cell>
        </row>
        <row r="444">
          <cell r="A444">
            <v>2006</v>
          </cell>
          <cell r="B444">
            <v>1</v>
          </cell>
          <cell r="C444">
            <v>19</v>
          </cell>
          <cell r="D444">
            <v>11</v>
          </cell>
          <cell r="E444">
            <v>10983.189075000042</v>
          </cell>
          <cell r="F444">
            <v>46.440350000000002</v>
          </cell>
          <cell r="G444">
            <v>9264.7440750000587</v>
          </cell>
        </row>
        <row r="445">
          <cell r="A445">
            <v>2006</v>
          </cell>
          <cell r="B445">
            <v>1</v>
          </cell>
          <cell r="C445">
            <v>19</v>
          </cell>
          <cell r="D445">
            <v>12</v>
          </cell>
          <cell r="E445">
            <v>9077.8006000000187</v>
          </cell>
          <cell r="F445">
            <v>39.517975</v>
          </cell>
          <cell r="G445">
            <v>7666.8453750000226</v>
          </cell>
        </row>
        <row r="446">
          <cell r="A446">
            <v>2006</v>
          </cell>
          <cell r="B446">
            <v>1</v>
          </cell>
          <cell r="C446">
            <v>19</v>
          </cell>
          <cell r="D446">
            <v>13</v>
          </cell>
          <cell r="E446">
            <v>8643.5773000000063</v>
          </cell>
          <cell r="F446">
            <v>33.118699999999997</v>
          </cell>
          <cell r="G446">
            <v>7176.2905000000028</v>
          </cell>
        </row>
        <row r="447">
          <cell r="A447">
            <v>2006</v>
          </cell>
          <cell r="B447">
            <v>1</v>
          </cell>
          <cell r="C447">
            <v>19</v>
          </cell>
          <cell r="D447">
            <v>14</v>
          </cell>
          <cell r="E447">
            <v>7210.6130750000202</v>
          </cell>
          <cell r="F447">
            <v>27.194075000000002</v>
          </cell>
          <cell r="G447">
            <v>6189.5498249999964</v>
          </cell>
        </row>
        <row r="448">
          <cell r="A448">
            <v>2006</v>
          </cell>
          <cell r="B448">
            <v>1</v>
          </cell>
          <cell r="C448">
            <v>19</v>
          </cell>
          <cell r="D448">
            <v>15</v>
          </cell>
          <cell r="E448">
            <v>7917.1445249999979</v>
          </cell>
          <cell r="F448">
            <v>28.637975000000001</v>
          </cell>
          <cell r="G448">
            <v>6443.1035999999986</v>
          </cell>
        </row>
        <row r="449">
          <cell r="A449">
            <v>2006</v>
          </cell>
          <cell r="B449">
            <v>1</v>
          </cell>
          <cell r="C449">
            <v>19</v>
          </cell>
          <cell r="D449">
            <v>16</v>
          </cell>
          <cell r="E449">
            <v>9509.9987250000268</v>
          </cell>
          <cell r="F449">
            <v>42.081424999999996</v>
          </cell>
          <cell r="G449">
            <v>7825.2813750000332</v>
          </cell>
        </row>
        <row r="450">
          <cell r="A450">
            <v>2006</v>
          </cell>
          <cell r="B450">
            <v>1</v>
          </cell>
          <cell r="C450">
            <v>19</v>
          </cell>
          <cell r="D450">
            <v>17</v>
          </cell>
          <cell r="E450">
            <v>10513.659100000015</v>
          </cell>
          <cell r="F450">
            <v>44.58057500000001</v>
          </cell>
          <cell r="G450">
            <v>8934.7794750000194</v>
          </cell>
        </row>
        <row r="451">
          <cell r="A451">
            <v>2006</v>
          </cell>
          <cell r="B451">
            <v>1</v>
          </cell>
          <cell r="C451">
            <v>19</v>
          </cell>
          <cell r="D451">
            <v>18</v>
          </cell>
          <cell r="E451">
            <v>9091.3902500000167</v>
          </cell>
          <cell r="F451">
            <v>40.878675000000001</v>
          </cell>
          <cell r="G451">
            <v>7643.3607000000047</v>
          </cell>
        </row>
        <row r="452">
          <cell r="A452">
            <v>2006</v>
          </cell>
          <cell r="B452">
            <v>1</v>
          </cell>
          <cell r="C452">
            <v>19</v>
          </cell>
          <cell r="D452">
            <v>19</v>
          </cell>
          <cell r="E452">
            <v>10195.454425000018</v>
          </cell>
          <cell r="F452">
            <v>32.385375000000003</v>
          </cell>
          <cell r="G452">
            <v>8522.6568000000043</v>
          </cell>
        </row>
        <row r="453">
          <cell r="A453">
            <v>2006</v>
          </cell>
          <cell r="B453">
            <v>1</v>
          </cell>
          <cell r="C453">
            <v>19</v>
          </cell>
          <cell r="D453">
            <v>20</v>
          </cell>
          <cell r="E453">
            <v>8311.7124249999979</v>
          </cell>
          <cell r="F453">
            <v>27.742750000000001</v>
          </cell>
          <cell r="G453">
            <v>7120.0969750000368</v>
          </cell>
        </row>
        <row r="454">
          <cell r="A454">
            <v>2006</v>
          </cell>
          <cell r="B454">
            <v>1</v>
          </cell>
          <cell r="C454">
            <v>19</v>
          </cell>
          <cell r="D454">
            <v>21</v>
          </cell>
          <cell r="E454">
            <v>9999.2417750000295</v>
          </cell>
          <cell r="F454">
            <v>33.76147499999999</v>
          </cell>
          <cell r="G454">
            <v>8368.4890499999965</v>
          </cell>
        </row>
        <row r="455">
          <cell r="A455">
            <v>2006</v>
          </cell>
          <cell r="B455">
            <v>1</v>
          </cell>
          <cell r="C455">
            <v>19</v>
          </cell>
          <cell r="D455">
            <v>22</v>
          </cell>
          <cell r="E455">
            <v>5798.2891249999975</v>
          </cell>
          <cell r="F455">
            <v>16.558425</v>
          </cell>
          <cell r="G455">
            <v>4793.0730250000088</v>
          </cell>
        </row>
        <row r="457">
          <cell r="A457">
            <v>2006</v>
          </cell>
          <cell r="B457">
            <v>1</v>
          </cell>
          <cell r="C457">
            <v>19</v>
          </cell>
          <cell r="D457">
            <v>24</v>
          </cell>
          <cell r="E457">
            <v>9112.6207500000419</v>
          </cell>
          <cell r="F457">
            <v>35.60217500000001</v>
          </cell>
          <cell r="G457">
            <v>7648.4216500000548</v>
          </cell>
        </row>
        <row r="458">
          <cell r="A458">
            <v>2006</v>
          </cell>
          <cell r="B458">
            <v>1</v>
          </cell>
          <cell r="C458">
            <v>20</v>
          </cell>
          <cell r="D458">
            <v>1</v>
          </cell>
          <cell r="E458">
            <v>8415.7905250000258</v>
          </cell>
          <cell r="F458">
            <v>35.563550000000006</v>
          </cell>
          <cell r="G458">
            <v>7044.3048999999619</v>
          </cell>
        </row>
        <row r="459">
          <cell r="A459">
            <v>2006</v>
          </cell>
          <cell r="B459">
            <v>1</v>
          </cell>
          <cell r="C459">
            <v>20</v>
          </cell>
          <cell r="D459">
            <v>2</v>
          </cell>
          <cell r="E459">
            <v>8068.6179000000211</v>
          </cell>
          <cell r="F459">
            <v>31.065149999999999</v>
          </cell>
          <cell r="G459">
            <v>6691.9515750000337</v>
          </cell>
        </row>
        <row r="460">
          <cell r="A460">
            <v>2006</v>
          </cell>
          <cell r="B460">
            <v>1</v>
          </cell>
          <cell r="C460">
            <v>20</v>
          </cell>
          <cell r="D460">
            <v>3</v>
          </cell>
          <cell r="E460">
            <v>7926.6471500000052</v>
          </cell>
          <cell r="F460">
            <v>33.032325</v>
          </cell>
          <cell r="G460">
            <v>6487.284750000008</v>
          </cell>
        </row>
        <row r="461">
          <cell r="A461">
            <v>2006</v>
          </cell>
          <cell r="B461">
            <v>1</v>
          </cell>
          <cell r="C461">
            <v>20</v>
          </cell>
          <cell r="D461">
            <v>4</v>
          </cell>
          <cell r="E461">
            <v>7845.190325000005</v>
          </cell>
          <cell r="F461">
            <v>34.021675000000002</v>
          </cell>
          <cell r="G461">
            <v>6439.9625000000242</v>
          </cell>
        </row>
        <row r="462">
          <cell r="A462">
            <v>2006</v>
          </cell>
          <cell r="B462">
            <v>1</v>
          </cell>
          <cell r="C462">
            <v>20</v>
          </cell>
          <cell r="D462">
            <v>5</v>
          </cell>
          <cell r="E462">
            <v>7944.9815499999713</v>
          </cell>
          <cell r="F462">
            <v>35.340025000000004</v>
          </cell>
          <cell r="G462">
            <v>6576.0217000000139</v>
          </cell>
        </row>
        <row r="463">
          <cell r="A463">
            <v>2006</v>
          </cell>
          <cell r="B463">
            <v>1</v>
          </cell>
          <cell r="C463">
            <v>20</v>
          </cell>
          <cell r="D463">
            <v>6</v>
          </cell>
          <cell r="E463">
            <v>8531.8075749999898</v>
          </cell>
          <cell r="F463">
            <v>38.255700000000004</v>
          </cell>
          <cell r="G463">
            <v>7096.1396000000568</v>
          </cell>
        </row>
        <row r="464">
          <cell r="A464">
            <v>2006</v>
          </cell>
          <cell r="B464">
            <v>1</v>
          </cell>
          <cell r="C464">
            <v>20</v>
          </cell>
          <cell r="D464">
            <v>7</v>
          </cell>
          <cell r="E464">
            <v>9759.0127500000108</v>
          </cell>
          <cell r="F464">
            <v>41.328725000000006</v>
          </cell>
          <cell r="G464">
            <v>8244.7461999999905</v>
          </cell>
        </row>
        <row r="465">
          <cell r="A465">
            <v>2006</v>
          </cell>
          <cell r="B465">
            <v>1</v>
          </cell>
          <cell r="C465">
            <v>20</v>
          </cell>
          <cell r="D465">
            <v>8</v>
          </cell>
          <cell r="E465">
            <v>10940.769074999964</v>
          </cell>
          <cell r="F465">
            <v>49.018274999999996</v>
          </cell>
          <cell r="G465">
            <v>9280.2469500000207</v>
          </cell>
        </row>
        <row r="466">
          <cell r="A466">
            <v>2006</v>
          </cell>
          <cell r="B466">
            <v>1</v>
          </cell>
          <cell r="C466">
            <v>20</v>
          </cell>
          <cell r="D466">
            <v>9</v>
          </cell>
          <cell r="E466">
            <v>10846.717650000002</v>
          </cell>
          <cell r="F466">
            <v>48.986750000000001</v>
          </cell>
          <cell r="G466">
            <v>9182.3134500000106</v>
          </cell>
        </row>
        <row r="467">
          <cell r="A467">
            <v>2006</v>
          </cell>
          <cell r="B467">
            <v>1</v>
          </cell>
          <cell r="C467">
            <v>20</v>
          </cell>
          <cell r="D467">
            <v>10</v>
          </cell>
          <cell r="E467">
            <v>10797.823474999977</v>
          </cell>
          <cell r="F467">
            <v>47.709200000000003</v>
          </cell>
          <cell r="G467">
            <v>9130.476124999961</v>
          </cell>
        </row>
        <row r="468">
          <cell r="A468">
            <v>2006</v>
          </cell>
          <cell r="B468">
            <v>1</v>
          </cell>
          <cell r="C468">
            <v>20</v>
          </cell>
          <cell r="D468">
            <v>11</v>
          </cell>
          <cell r="E468">
            <v>4003.2140999999965</v>
          </cell>
          <cell r="F468">
            <v>0.67365000000000008</v>
          </cell>
          <cell r="G468">
            <v>6087.4613750000335</v>
          </cell>
        </row>
        <row r="469">
          <cell r="A469">
            <v>2006</v>
          </cell>
          <cell r="B469">
            <v>1</v>
          </cell>
          <cell r="C469">
            <v>20</v>
          </cell>
          <cell r="D469">
            <v>12</v>
          </cell>
          <cell r="E469">
            <v>10872.104124999983</v>
          </cell>
          <cell r="F469">
            <v>49.78105</v>
          </cell>
          <cell r="G469">
            <v>9222.0261500000615</v>
          </cell>
        </row>
        <row r="470">
          <cell r="A470">
            <v>2006</v>
          </cell>
          <cell r="B470">
            <v>1</v>
          </cell>
          <cell r="C470">
            <v>20</v>
          </cell>
          <cell r="D470">
            <v>13</v>
          </cell>
          <cell r="E470">
            <v>10771.848350000007</v>
          </cell>
          <cell r="F470">
            <v>45.169000000000004</v>
          </cell>
          <cell r="G470">
            <v>9136.8676999999952</v>
          </cell>
        </row>
        <row r="471">
          <cell r="A471">
            <v>2006</v>
          </cell>
          <cell r="B471">
            <v>1</v>
          </cell>
          <cell r="C471">
            <v>20</v>
          </cell>
          <cell r="D471">
            <v>14</v>
          </cell>
          <cell r="E471">
            <v>10778.010175000034</v>
          </cell>
          <cell r="F471">
            <v>44.695950000000011</v>
          </cell>
          <cell r="G471">
            <v>9155.564750000025</v>
          </cell>
        </row>
        <row r="472">
          <cell r="A472">
            <v>2006</v>
          </cell>
          <cell r="B472">
            <v>1</v>
          </cell>
          <cell r="C472">
            <v>20</v>
          </cell>
          <cell r="D472">
            <v>15</v>
          </cell>
          <cell r="E472">
            <v>10341.354750000004</v>
          </cell>
          <cell r="F472">
            <v>37.592425000000006</v>
          </cell>
          <cell r="G472">
            <v>8692.5658250000197</v>
          </cell>
        </row>
        <row r="473">
          <cell r="A473">
            <v>2006</v>
          </cell>
          <cell r="B473">
            <v>1</v>
          </cell>
          <cell r="C473">
            <v>20</v>
          </cell>
          <cell r="D473">
            <v>16</v>
          </cell>
          <cell r="E473">
            <v>10186.255500000008</v>
          </cell>
          <cell r="F473">
            <v>39.754925</v>
          </cell>
          <cell r="G473">
            <v>8619.0754250000045</v>
          </cell>
        </row>
        <row r="474">
          <cell r="A474">
            <v>2006</v>
          </cell>
          <cell r="B474">
            <v>1</v>
          </cell>
          <cell r="C474">
            <v>20</v>
          </cell>
          <cell r="D474">
            <v>17</v>
          </cell>
          <cell r="E474">
            <v>10504.445175000012</v>
          </cell>
          <cell r="F474">
            <v>44.614050000000006</v>
          </cell>
          <cell r="G474">
            <v>8863.0873749999828</v>
          </cell>
        </row>
        <row r="475">
          <cell r="A475">
            <v>2006</v>
          </cell>
          <cell r="B475">
            <v>1</v>
          </cell>
          <cell r="C475">
            <v>20</v>
          </cell>
          <cell r="D475">
            <v>18</v>
          </cell>
          <cell r="E475">
            <v>10400.553250000017</v>
          </cell>
          <cell r="F475">
            <v>44.388950000000015</v>
          </cell>
          <cell r="G475">
            <v>8781.72685000003</v>
          </cell>
        </row>
        <row r="476">
          <cell r="A476">
            <v>2006</v>
          </cell>
          <cell r="B476">
            <v>1</v>
          </cell>
          <cell r="C476">
            <v>20</v>
          </cell>
          <cell r="D476">
            <v>19</v>
          </cell>
          <cell r="E476">
            <v>10933.662874999973</v>
          </cell>
          <cell r="F476">
            <v>43.154375000000002</v>
          </cell>
          <cell r="G476">
            <v>9307.840100000034</v>
          </cell>
        </row>
        <row r="477">
          <cell r="A477">
            <v>2006</v>
          </cell>
          <cell r="B477">
            <v>1</v>
          </cell>
          <cell r="C477">
            <v>20</v>
          </cell>
          <cell r="D477">
            <v>20</v>
          </cell>
          <cell r="E477">
            <v>10975.187974999988</v>
          </cell>
          <cell r="F477">
            <v>44.741024999999993</v>
          </cell>
          <cell r="G477">
            <v>9349.1472499999982</v>
          </cell>
        </row>
        <row r="478">
          <cell r="A478">
            <v>2006</v>
          </cell>
          <cell r="B478">
            <v>1</v>
          </cell>
          <cell r="C478">
            <v>20</v>
          </cell>
          <cell r="D478">
            <v>21</v>
          </cell>
          <cell r="E478">
            <v>10799.106175000004</v>
          </cell>
          <cell r="F478">
            <v>41.627775000000007</v>
          </cell>
          <cell r="G478">
            <v>9181.2966750000214</v>
          </cell>
        </row>
        <row r="479">
          <cell r="A479">
            <v>2006</v>
          </cell>
          <cell r="B479">
            <v>1</v>
          </cell>
          <cell r="C479">
            <v>20</v>
          </cell>
          <cell r="D479">
            <v>22</v>
          </cell>
          <cell r="E479">
            <v>10584.28362499998</v>
          </cell>
          <cell r="F479">
            <v>41.081225000000003</v>
          </cell>
          <cell r="G479">
            <v>8971.8139249999931</v>
          </cell>
        </row>
        <row r="481">
          <cell r="A481">
            <v>2006</v>
          </cell>
          <cell r="B481">
            <v>1</v>
          </cell>
          <cell r="C481">
            <v>20</v>
          </cell>
          <cell r="D481">
            <v>24</v>
          </cell>
          <cell r="E481">
            <v>9133.8898249999856</v>
          </cell>
          <cell r="F481">
            <v>27.1313</v>
          </cell>
          <cell r="G481">
            <v>7728.4399999999841</v>
          </cell>
        </row>
        <row r="482">
          <cell r="A482">
            <v>2006</v>
          </cell>
          <cell r="B482">
            <v>1</v>
          </cell>
          <cell r="C482">
            <v>21</v>
          </cell>
          <cell r="D482">
            <v>1</v>
          </cell>
          <cell r="E482">
            <v>9314.8442499999874</v>
          </cell>
          <cell r="F482">
            <v>34.453624999999995</v>
          </cell>
          <cell r="G482">
            <v>7795.910874999985</v>
          </cell>
        </row>
        <row r="483">
          <cell r="A483">
            <v>2006</v>
          </cell>
          <cell r="B483">
            <v>1</v>
          </cell>
          <cell r="C483">
            <v>21</v>
          </cell>
          <cell r="D483">
            <v>2</v>
          </cell>
          <cell r="E483">
            <v>9121.0163999999604</v>
          </cell>
          <cell r="F483">
            <v>33.238075000000009</v>
          </cell>
          <cell r="G483">
            <v>7595.2757249999922</v>
          </cell>
        </row>
        <row r="484">
          <cell r="A484">
            <v>2006</v>
          </cell>
          <cell r="B484">
            <v>1</v>
          </cell>
          <cell r="C484">
            <v>21</v>
          </cell>
          <cell r="D484">
            <v>3</v>
          </cell>
          <cell r="E484">
            <v>3145.4948000000013</v>
          </cell>
          <cell r="F484">
            <v>1.159575</v>
          </cell>
          <cell r="G484">
            <v>4235.7014749999935</v>
          </cell>
        </row>
        <row r="485">
          <cell r="A485">
            <v>2006</v>
          </cell>
          <cell r="B485">
            <v>1</v>
          </cell>
          <cell r="C485">
            <v>21</v>
          </cell>
          <cell r="D485">
            <v>4</v>
          </cell>
          <cell r="E485">
            <v>9128.9381499999836</v>
          </cell>
          <cell r="F485">
            <v>34.500425000000007</v>
          </cell>
          <cell r="G485">
            <v>7591.2471500000011</v>
          </cell>
        </row>
        <row r="486">
          <cell r="A486">
            <v>2006</v>
          </cell>
          <cell r="B486">
            <v>1</v>
          </cell>
          <cell r="C486">
            <v>21</v>
          </cell>
          <cell r="D486">
            <v>5</v>
          </cell>
          <cell r="E486">
            <v>9303.691449999993</v>
          </cell>
          <cell r="F486">
            <v>35.834575000000001</v>
          </cell>
          <cell r="G486">
            <v>7762.6373250000061</v>
          </cell>
        </row>
        <row r="487">
          <cell r="A487">
            <v>2006</v>
          </cell>
          <cell r="B487">
            <v>1</v>
          </cell>
          <cell r="C487">
            <v>21</v>
          </cell>
          <cell r="D487">
            <v>6</v>
          </cell>
          <cell r="E487">
            <v>9779.3302749999966</v>
          </cell>
          <cell r="F487">
            <v>39.789400000000001</v>
          </cell>
          <cell r="G487">
            <v>8151.2611250000227</v>
          </cell>
        </row>
        <row r="488">
          <cell r="A488">
            <v>2006</v>
          </cell>
          <cell r="B488">
            <v>1</v>
          </cell>
          <cell r="C488">
            <v>21</v>
          </cell>
          <cell r="D488">
            <v>7</v>
          </cell>
          <cell r="E488">
            <v>10459.12965000005</v>
          </cell>
          <cell r="F488">
            <v>43.514825000000002</v>
          </cell>
          <cell r="G488">
            <v>8801.1961499999779</v>
          </cell>
        </row>
        <row r="489">
          <cell r="A489">
            <v>2006</v>
          </cell>
          <cell r="B489">
            <v>1</v>
          </cell>
          <cell r="C489">
            <v>21</v>
          </cell>
          <cell r="D489">
            <v>8</v>
          </cell>
          <cell r="E489">
            <v>11263.008999999995</v>
          </cell>
          <cell r="F489">
            <v>49.092424999999999</v>
          </cell>
          <cell r="G489">
            <v>9510.3500249999724</v>
          </cell>
        </row>
        <row r="490">
          <cell r="A490">
            <v>2006</v>
          </cell>
          <cell r="B490">
            <v>1</v>
          </cell>
          <cell r="C490">
            <v>21</v>
          </cell>
          <cell r="D490">
            <v>9</v>
          </cell>
          <cell r="E490">
            <v>11773.936474999995</v>
          </cell>
          <cell r="F490">
            <v>52.616499999999988</v>
          </cell>
          <cell r="G490">
            <v>9951.4348750000445</v>
          </cell>
        </row>
        <row r="491">
          <cell r="A491">
            <v>2006</v>
          </cell>
          <cell r="B491">
            <v>1</v>
          </cell>
          <cell r="C491">
            <v>21</v>
          </cell>
          <cell r="D491">
            <v>10</v>
          </cell>
          <cell r="E491">
            <v>11937.051350000011</v>
          </cell>
          <cell r="F491">
            <v>51.639975000000007</v>
          </cell>
          <cell r="G491">
            <v>10113.085049999969</v>
          </cell>
        </row>
        <row r="492">
          <cell r="A492">
            <v>2006</v>
          </cell>
          <cell r="B492">
            <v>1</v>
          </cell>
          <cell r="C492">
            <v>21</v>
          </cell>
          <cell r="D492">
            <v>11</v>
          </cell>
          <cell r="E492">
            <v>11768.259950000076</v>
          </cell>
          <cell r="F492">
            <v>49.624300000000012</v>
          </cell>
          <cell r="G492">
            <v>9963.6612750000277</v>
          </cell>
        </row>
        <row r="493">
          <cell r="A493">
            <v>2006</v>
          </cell>
          <cell r="B493">
            <v>1</v>
          </cell>
          <cell r="C493">
            <v>21</v>
          </cell>
          <cell r="D493">
            <v>12</v>
          </cell>
          <cell r="E493">
            <v>11338.240374999979</v>
          </cell>
          <cell r="F493">
            <v>46.683925000000002</v>
          </cell>
          <cell r="G493">
            <v>9592.4922499999975</v>
          </cell>
        </row>
        <row r="494">
          <cell r="A494">
            <v>2006</v>
          </cell>
          <cell r="B494">
            <v>1</v>
          </cell>
          <cell r="C494">
            <v>21</v>
          </cell>
          <cell r="D494">
            <v>13</v>
          </cell>
          <cell r="E494">
            <v>10841.720699999989</v>
          </cell>
          <cell r="F494">
            <v>43.611949999999993</v>
          </cell>
          <cell r="G494">
            <v>9166.8208500000055</v>
          </cell>
        </row>
        <row r="495">
          <cell r="A495">
            <v>2006</v>
          </cell>
          <cell r="B495">
            <v>1</v>
          </cell>
          <cell r="C495">
            <v>21</v>
          </cell>
          <cell r="D495">
            <v>14</v>
          </cell>
          <cell r="E495">
            <v>10362.327199999989</v>
          </cell>
          <cell r="F495">
            <v>40.373575000000002</v>
          </cell>
          <cell r="G495">
            <v>8731.8931500000235</v>
          </cell>
        </row>
        <row r="496">
          <cell r="A496">
            <v>2006</v>
          </cell>
          <cell r="B496">
            <v>1</v>
          </cell>
          <cell r="C496">
            <v>21</v>
          </cell>
          <cell r="D496">
            <v>15</v>
          </cell>
          <cell r="E496">
            <v>9989.7660000000087</v>
          </cell>
          <cell r="F496">
            <v>39.529025000000004</v>
          </cell>
          <cell r="G496">
            <v>8368.2104000000054</v>
          </cell>
        </row>
        <row r="497">
          <cell r="A497">
            <v>2006</v>
          </cell>
          <cell r="B497">
            <v>1</v>
          </cell>
          <cell r="C497">
            <v>21</v>
          </cell>
          <cell r="D497">
            <v>16</v>
          </cell>
          <cell r="E497">
            <v>9750.3723999999966</v>
          </cell>
          <cell r="F497">
            <v>39.964149999999997</v>
          </cell>
          <cell r="G497">
            <v>8142.0758250000463</v>
          </cell>
        </row>
        <row r="498">
          <cell r="A498">
            <v>2006</v>
          </cell>
          <cell r="B498">
            <v>1</v>
          </cell>
          <cell r="C498">
            <v>21</v>
          </cell>
          <cell r="D498">
            <v>17</v>
          </cell>
          <cell r="E498">
            <v>9720.7159749999955</v>
          </cell>
          <cell r="F498">
            <v>40.254449999999999</v>
          </cell>
          <cell r="G498">
            <v>8096.4159000000391</v>
          </cell>
        </row>
        <row r="499">
          <cell r="A499">
            <v>2006</v>
          </cell>
          <cell r="B499">
            <v>1</v>
          </cell>
          <cell r="C499">
            <v>21</v>
          </cell>
          <cell r="D499">
            <v>18</v>
          </cell>
          <cell r="E499">
            <v>10069.149174999995</v>
          </cell>
          <cell r="F499">
            <v>41.965674999999997</v>
          </cell>
          <cell r="G499">
            <v>8400.2446749999963</v>
          </cell>
        </row>
        <row r="500">
          <cell r="A500">
            <v>2006</v>
          </cell>
          <cell r="B500">
            <v>1</v>
          </cell>
          <cell r="C500">
            <v>21</v>
          </cell>
          <cell r="D500">
            <v>19</v>
          </cell>
          <cell r="E500">
            <v>10947.076274999978</v>
          </cell>
          <cell r="F500">
            <v>43.398650000000004</v>
          </cell>
          <cell r="G500">
            <v>9212.5520250000081</v>
          </cell>
        </row>
        <row r="501">
          <cell r="A501">
            <v>2006</v>
          </cell>
          <cell r="B501">
            <v>1</v>
          </cell>
          <cell r="C501">
            <v>21</v>
          </cell>
          <cell r="D501">
            <v>20</v>
          </cell>
          <cell r="E501">
            <v>11067.949625000005</v>
          </cell>
          <cell r="F501">
            <v>43.874350000000007</v>
          </cell>
          <cell r="G501">
            <v>9363.1311750000059</v>
          </cell>
        </row>
        <row r="502">
          <cell r="A502">
            <v>2006</v>
          </cell>
          <cell r="B502">
            <v>1</v>
          </cell>
          <cell r="C502">
            <v>21</v>
          </cell>
          <cell r="D502">
            <v>21</v>
          </cell>
          <cell r="E502">
            <v>10948.570324999999</v>
          </cell>
          <cell r="F502">
            <v>43.513900000000007</v>
          </cell>
          <cell r="G502">
            <v>9219.2641750000457</v>
          </cell>
        </row>
        <row r="503">
          <cell r="A503">
            <v>2006</v>
          </cell>
          <cell r="B503">
            <v>1</v>
          </cell>
          <cell r="C503">
            <v>21</v>
          </cell>
          <cell r="D503">
            <v>22</v>
          </cell>
          <cell r="E503">
            <v>10628.511875000007</v>
          </cell>
          <cell r="F503">
            <v>42.076774999999998</v>
          </cell>
          <cell r="G503">
            <v>8990.0411749999857</v>
          </cell>
        </row>
        <row r="505">
          <cell r="A505">
            <v>2006</v>
          </cell>
          <cell r="B505">
            <v>1</v>
          </cell>
          <cell r="C505">
            <v>21</v>
          </cell>
          <cell r="D505">
            <v>24</v>
          </cell>
          <cell r="E505">
            <v>9653.5744249999989</v>
          </cell>
          <cell r="F505">
            <v>41.421924999999995</v>
          </cell>
          <cell r="G505">
            <v>8094.4070000000138</v>
          </cell>
        </row>
        <row r="506">
          <cell r="A506">
            <v>2006</v>
          </cell>
          <cell r="B506">
            <v>1</v>
          </cell>
          <cell r="C506">
            <v>22</v>
          </cell>
          <cell r="D506">
            <v>1</v>
          </cell>
          <cell r="E506">
            <v>6713.341425000006</v>
          </cell>
          <cell r="F506">
            <v>29.805375000000002</v>
          </cell>
          <cell r="G506">
            <v>5650.3071499999978</v>
          </cell>
        </row>
        <row r="507">
          <cell r="A507">
            <v>2006</v>
          </cell>
          <cell r="B507">
            <v>1</v>
          </cell>
          <cell r="C507">
            <v>22</v>
          </cell>
          <cell r="D507">
            <v>2</v>
          </cell>
          <cell r="E507">
            <v>8742.8832749999965</v>
          </cell>
          <cell r="F507">
            <v>41.786050000000003</v>
          </cell>
          <cell r="G507">
            <v>7290.8472499999743</v>
          </cell>
        </row>
        <row r="508">
          <cell r="A508">
            <v>2006</v>
          </cell>
          <cell r="B508">
            <v>1</v>
          </cell>
          <cell r="C508">
            <v>22</v>
          </cell>
          <cell r="D508">
            <v>3</v>
          </cell>
          <cell r="E508">
            <v>8666.3417000000045</v>
          </cell>
          <cell r="F508">
            <v>40.598100000000002</v>
          </cell>
          <cell r="G508">
            <v>7164.0148000000127</v>
          </cell>
        </row>
        <row r="509">
          <cell r="A509">
            <v>2006</v>
          </cell>
          <cell r="B509">
            <v>1</v>
          </cell>
          <cell r="C509">
            <v>22</v>
          </cell>
          <cell r="D509">
            <v>4</v>
          </cell>
          <cell r="E509">
            <v>8560.0627999999779</v>
          </cell>
          <cell r="F509">
            <v>41.614774999999995</v>
          </cell>
          <cell r="G509">
            <v>7140.8805500000099</v>
          </cell>
        </row>
        <row r="510">
          <cell r="A510">
            <v>2006</v>
          </cell>
          <cell r="B510">
            <v>1</v>
          </cell>
          <cell r="C510">
            <v>22</v>
          </cell>
          <cell r="D510">
            <v>5</v>
          </cell>
          <cell r="E510">
            <v>8682.5662749999938</v>
          </cell>
          <cell r="F510">
            <v>37.719075000000004</v>
          </cell>
          <cell r="G510">
            <v>7179.0771250000162</v>
          </cell>
        </row>
        <row r="511">
          <cell r="A511">
            <v>2006</v>
          </cell>
          <cell r="B511">
            <v>1</v>
          </cell>
          <cell r="C511">
            <v>22</v>
          </cell>
          <cell r="D511">
            <v>6</v>
          </cell>
          <cell r="E511">
            <v>8811.5380499999992</v>
          </cell>
          <cell r="F511">
            <v>39.292499999999997</v>
          </cell>
          <cell r="G511">
            <v>7337.709525000002</v>
          </cell>
        </row>
        <row r="512">
          <cell r="A512">
            <v>2006</v>
          </cell>
          <cell r="B512">
            <v>1</v>
          </cell>
          <cell r="C512">
            <v>22</v>
          </cell>
          <cell r="D512">
            <v>7</v>
          </cell>
          <cell r="E512">
            <v>9081.300274999965</v>
          </cell>
          <cell r="F512">
            <v>40.235900000000001</v>
          </cell>
          <cell r="G512">
            <v>7675.9358250000123</v>
          </cell>
        </row>
        <row r="513">
          <cell r="A513">
            <v>2006</v>
          </cell>
          <cell r="B513">
            <v>1</v>
          </cell>
          <cell r="C513">
            <v>22</v>
          </cell>
          <cell r="D513">
            <v>8</v>
          </cell>
          <cell r="E513">
            <v>9707.5454000000373</v>
          </cell>
          <cell r="F513">
            <v>42.689575000000005</v>
          </cell>
          <cell r="G513">
            <v>8179.7794500000236</v>
          </cell>
        </row>
        <row r="514">
          <cell r="A514">
            <v>2006</v>
          </cell>
          <cell r="B514">
            <v>1</v>
          </cell>
          <cell r="C514">
            <v>22</v>
          </cell>
          <cell r="D514">
            <v>9</v>
          </cell>
          <cell r="E514">
            <v>10348.350099999974</v>
          </cell>
          <cell r="F514">
            <v>47.119324999999996</v>
          </cell>
          <cell r="G514">
            <v>8712.0094250000147</v>
          </cell>
        </row>
        <row r="515">
          <cell r="A515">
            <v>2006</v>
          </cell>
          <cell r="B515">
            <v>1</v>
          </cell>
          <cell r="C515">
            <v>22</v>
          </cell>
          <cell r="D515">
            <v>10</v>
          </cell>
          <cell r="E515">
            <v>10867.365475000037</v>
          </cell>
          <cell r="F515">
            <v>49.756600000000006</v>
          </cell>
          <cell r="G515">
            <v>9245.1069500000322</v>
          </cell>
        </row>
        <row r="516">
          <cell r="A516">
            <v>2006</v>
          </cell>
          <cell r="B516">
            <v>1</v>
          </cell>
          <cell r="C516">
            <v>22</v>
          </cell>
          <cell r="D516">
            <v>11</v>
          </cell>
          <cell r="E516">
            <v>11229.15615000001</v>
          </cell>
          <cell r="F516">
            <v>50.035250000000005</v>
          </cell>
          <cell r="G516">
            <v>9619.0313749999787</v>
          </cell>
        </row>
        <row r="517">
          <cell r="A517">
            <v>2006</v>
          </cell>
          <cell r="B517">
            <v>1</v>
          </cell>
          <cell r="C517">
            <v>22</v>
          </cell>
          <cell r="D517">
            <v>12</v>
          </cell>
          <cell r="E517">
            <v>11559.174749999998</v>
          </cell>
          <cell r="F517">
            <v>47.999100000000006</v>
          </cell>
          <cell r="G517">
            <v>9892.5767999999753</v>
          </cell>
        </row>
        <row r="518">
          <cell r="A518">
            <v>2006</v>
          </cell>
          <cell r="B518">
            <v>1</v>
          </cell>
          <cell r="C518">
            <v>22</v>
          </cell>
          <cell r="D518">
            <v>13</v>
          </cell>
          <cell r="E518">
            <v>11680.258549999951</v>
          </cell>
          <cell r="F518">
            <v>46.936300000000003</v>
          </cell>
          <cell r="G518">
            <v>9962.2044250000072</v>
          </cell>
        </row>
        <row r="519">
          <cell r="A519">
            <v>2006</v>
          </cell>
          <cell r="B519">
            <v>1</v>
          </cell>
          <cell r="C519">
            <v>22</v>
          </cell>
          <cell r="D519">
            <v>14</v>
          </cell>
          <cell r="E519">
            <v>11571.017475000008</v>
          </cell>
          <cell r="F519">
            <v>48.290800000000004</v>
          </cell>
          <cell r="G519">
            <v>9899.1075250000158</v>
          </cell>
        </row>
        <row r="520">
          <cell r="A520">
            <v>2006</v>
          </cell>
          <cell r="B520">
            <v>1</v>
          </cell>
          <cell r="C520">
            <v>22</v>
          </cell>
          <cell r="D520">
            <v>15</v>
          </cell>
          <cell r="E520">
            <v>11385.410924999996</v>
          </cell>
          <cell r="F520">
            <v>48.303400000000011</v>
          </cell>
          <cell r="G520">
            <v>9782.7502249999889</v>
          </cell>
        </row>
        <row r="521">
          <cell r="A521">
            <v>2006</v>
          </cell>
          <cell r="B521">
            <v>1</v>
          </cell>
          <cell r="C521">
            <v>22</v>
          </cell>
          <cell r="D521">
            <v>16</v>
          </cell>
          <cell r="E521">
            <v>11330.993150000024</v>
          </cell>
          <cell r="F521">
            <v>46.717425000000013</v>
          </cell>
          <cell r="G521">
            <v>9697.8867500000088</v>
          </cell>
        </row>
        <row r="522">
          <cell r="A522">
            <v>2006</v>
          </cell>
          <cell r="B522">
            <v>1</v>
          </cell>
          <cell r="C522">
            <v>22</v>
          </cell>
          <cell r="D522">
            <v>17</v>
          </cell>
          <cell r="E522">
            <v>11439.667199999991</v>
          </cell>
          <cell r="F522">
            <v>45.548300000000012</v>
          </cell>
          <cell r="G522">
            <v>9764.1679750000294</v>
          </cell>
        </row>
        <row r="523">
          <cell r="A523">
            <v>2006</v>
          </cell>
          <cell r="B523">
            <v>1</v>
          </cell>
          <cell r="C523">
            <v>22</v>
          </cell>
          <cell r="D523">
            <v>18</v>
          </cell>
          <cell r="E523">
            <v>11721.072500000051</v>
          </cell>
          <cell r="F523">
            <v>46.812799999999996</v>
          </cell>
          <cell r="G523">
            <v>10026.820500000038</v>
          </cell>
        </row>
        <row r="524">
          <cell r="A524">
            <v>2006</v>
          </cell>
          <cell r="B524">
            <v>1</v>
          </cell>
          <cell r="C524">
            <v>22</v>
          </cell>
          <cell r="D524">
            <v>19</v>
          </cell>
          <cell r="E524">
            <v>12402.588675000032</v>
          </cell>
          <cell r="F524">
            <v>48.247625000000006</v>
          </cell>
          <cell r="G524">
            <v>10633.739475000002</v>
          </cell>
        </row>
        <row r="525">
          <cell r="A525">
            <v>2006</v>
          </cell>
          <cell r="B525">
            <v>1</v>
          </cell>
          <cell r="C525">
            <v>22</v>
          </cell>
          <cell r="D525">
            <v>20</v>
          </cell>
          <cell r="E525">
            <v>12544.745425000023</v>
          </cell>
          <cell r="F525">
            <v>49.547400000000017</v>
          </cell>
          <cell r="G525">
            <v>10756.434924999965</v>
          </cell>
        </row>
        <row r="526">
          <cell r="A526">
            <v>2006</v>
          </cell>
          <cell r="B526">
            <v>1</v>
          </cell>
          <cell r="C526">
            <v>22</v>
          </cell>
          <cell r="D526">
            <v>21</v>
          </cell>
          <cell r="E526">
            <v>12362.605174999997</v>
          </cell>
          <cell r="F526">
            <v>49.69487500000001</v>
          </cell>
          <cell r="G526">
            <v>10602.453324999973</v>
          </cell>
        </row>
        <row r="527">
          <cell r="A527">
            <v>2006</v>
          </cell>
          <cell r="B527">
            <v>1</v>
          </cell>
          <cell r="C527">
            <v>22</v>
          </cell>
          <cell r="D527">
            <v>22</v>
          </cell>
          <cell r="E527">
            <v>11979.861050000003</v>
          </cell>
          <cell r="F527">
            <v>48.667124999999999</v>
          </cell>
          <cell r="G527">
            <v>10255.730624999973</v>
          </cell>
        </row>
        <row r="529">
          <cell r="A529">
            <v>2006</v>
          </cell>
          <cell r="B529">
            <v>1</v>
          </cell>
          <cell r="C529">
            <v>22</v>
          </cell>
          <cell r="D529">
            <v>24</v>
          </cell>
          <cell r="E529">
            <v>10487.443500000016</v>
          </cell>
          <cell r="F529">
            <v>43.673050000000003</v>
          </cell>
          <cell r="G529">
            <v>8842.2317500000045</v>
          </cell>
        </row>
        <row r="530">
          <cell r="A530">
            <v>2006</v>
          </cell>
          <cell r="B530">
            <v>1</v>
          </cell>
          <cell r="C530">
            <v>23</v>
          </cell>
          <cell r="D530">
            <v>1</v>
          </cell>
          <cell r="E530">
            <v>9834.4893499999671</v>
          </cell>
          <cell r="F530">
            <v>41.852624999999996</v>
          </cell>
          <cell r="G530">
            <v>8259.275924999989</v>
          </cell>
        </row>
        <row r="531">
          <cell r="A531">
            <v>2006</v>
          </cell>
          <cell r="B531">
            <v>1</v>
          </cell>
          <cell r="C531">
            <v>23</v>
          </cell>
          <cell r="D531">
            <v>2</v>
          </cell>
          <cell r="E531">
            <v>9523.3920499999713</v>
          </cell>
          <cell r="F531">
            <v>41.595550000000003</v>
          </cell>
          <cell r="G531">
            <v>7993.9390249999833</v>
          </cell>
        </row>
        <row r="532">
          <cell r="A532">
            <v>2006</v>
          </cell>
          <cell r="B532">
            <v>1</v>
          </cell>
          <cell r="C532">
            <v>23</v>
          </cell>
          <cell r="D532">
            <v>3</v>
          </cell>
          <cell r="E532">
            <v>9511.6110499999995</v>
          </cell>
          <cell r="F532">
            <v>41.694875000000003</v>
          </cell>
          <cell r="G532">
            <v>7946.2862250000171</v>
          </cell>
        </row>
        <row r="533">
          <cell r="A533">
            <v>2006</v>
          </cell>
          <cell r="B533">
            <v>1</v>
          </cell>
          <cell r="C533">
            <v>23</v>
          </cell>
          <cell r="D533">
            <v>4</v>
          </cell>
          <cell r="E533">
            <v>9631.6773999999787</v>
          </cell>
          <cell r="F533">
            <v>41.841100000000004</v>
          </cell>
          <cell r="G533">
            <v>8038.9383500000195</v>
          </cell>
        </row>
        <row r="534">
          <cell r="A534">
            <v>2006</v>
          </cell>
          <cell r="B534">
            <v>1</v>
          </cell>
          <cell r="C534">
            <v>23</v>
          </cell>
          <cell r="D534">
            <v>5</v>
          </cell>
          <cell r="E534">
            <v>9904.7696500000511</v>
          </cell>
          <cell r="F534">
            <v>42.879524999999994</v>
          </cell>
          <cell r="G534">
            <v>8350.692874999977</v>
          </cell>
        </row>
        <row r="535">
          <cell r="A535">
            <v>2006</v>
          </cell>
          <cell r="B535">
            <v>1</v>
          </cell>
          <cell r="C535">
            <v>23</v>
          </cell>
          <cell r="D535">
            <v>6</v>
          </cell>
          <cell r="E535">
            <v>10823.323550000032</v>
          </cell>
          <cell r="F535">
            <v>47.967925000000008</v>
          </cell>
          <cell r="G535">
            <v>9177.8019500000137</v>
          </cell>
        </row>
        <row r="536">
          <cell r="A536">
            <v>2006</v>
          </cell>
          <cell r="B536">
            <v>1</v>
          </cell>
          <cell r="C536">
            <v>23</v>
          </cell>
          <cell r="D536">
            <v>7</v>
          </cell>
          <cell r="E536">
            <v>12446.85500000002</v>
          </cell>
          <cell r="F536">
            <v>50.612625000000008</v>
          </cell>
          <cell r="G536">
            <v>10639.086049999985</v>
          </cell>
        </row>
        <row r="537">
          <cell r="A537">
            <v>2006</v>
          </cell>
          <cell r="B537">
            <v>1</v>
          </cell>
          <cell r="C537">
            <v>23</v>
          </cell>
          <cell r="D537">
            <v>8</v>
          </cell>
          <cell r="E537">
            <v>13732.898125000011</v>
          </cell>
          <cell r="F537">
            <v>60.073050000000009</v>
          </cell>
          <cell r="G537">
            <v>11792.671424999966</v>
          </cell>
        </row>
        <row r="538">
          <cell r="A538">
            <v>2006</v>
          </cell>
          <cell r="B538">
            <v>1</v>
          </cell>
          <cell r="C538">
            <v>23</v>
          </cell>
          <cell r="D538">
            <v>9</v>
          </cell>
          <cell r="E538">
            <v>13336.588849999991</v>
          </cell>
          <cell r="F538">
            <v>60.638475</v>
          </cell>
          <cell r="G538">
            <v>11469.11075000002</v>
          </cell>
        </row>
        <row r="539">
          <cell r="A539">
            <v>2006</v>
          </cell>
          <cell r="B539">
            <v>1</v>
          </cell>
          <cell r="C539">
            <v>23</v>
          </cell>
          <cell r="D539">
            <v>10</v>
          </cell>
          <cell r="E539">
            <v>12984.460599999999</v>
          </cell>
          <cell r="F539">
            <v>64.436175000000006</v>
          </cell>
          <cell r="G539">
            <v>11120.943275000001</v>
          </cell>
        </row>
        <row r="540">
          <cell r="A540">
            <v>2006</v>
          </cell>
          <cell r="B540">
            <v>1</v>
          </cell>
          <cell r="C540">
            <v>23</v>
          </cell>
          <cell r="D540">
            <v>11</v>
          </cell>
          <cell r="E540">
            <v>12611.302374999997</v>
          </cell>
          <cell r="F540">
            <v>60.209974999999986</v>
          </cell>
          <cell r="G540">
            <v>10762.658100000042</v>
          </cell>
        </row>
        <row r="541">
          <cell r="A541">
            <v>2006</v>
          </cell>
          <cell r="B541">
            <v>1</v>
          </cell>
          <cell r="C541">
            <v>23</v>
          </cell>
          <cell r="D541">
            <v>12</v>
          </cell>
          <cell r="E541">
            <v>10260.329400000008</v>
          </cell>
          <cell r="F541">
            <v>54.393725000000011</v>
          </cell>
          <cell r="G541">
            <v>8551.613374999999</v>
          </cell>
        </row>
        <row r="542">
          <cell r="A542">
            <v>2006</v>
          </cell>
          <cell r="B542">
            <v>1</v>
          </cell>
          <cell r="C542">
            <v>23</v>
          </cell>
          <cell r="D542">
            <v>13</v>
          </cell>
          <cell r="E542">
            <v>10515.042749999988</v>
          </cell>
          <cell r="F542">
            <v>40.894849999999998</v>
          </cell>
          <cell r="G542">
            <v>8834.8448000000626</v>
          </cell>
        </row>
        <row r="543">
          <cell r="A543">
            <v>2006</v>
          </cell>
          <cell r="B543">
            <v>1</v>
          </cell>
          <cell r="C543">
            <v>23</v>
          </cell>
          <cell r="D543">
            <v>14</v>
          </cell>
          <cell r="E543">
            <v>8589.2685999999885</v>
          </cell>
          <cell r="F543">
            <v>32.971550000000001</v>
          </cell>
          <cell r="G543">
            <v>6958.6943499999943</v>
          </cell>
        </row>
        <row r="544">
          <cell r="A544">
            <v>2006</v>
          </cell>
          <cell r="B544">
            <v>1</v>
          </cell>
          <cell r="C544">
            <v>23</v>
          </cell>
          <cell r="D544">
            <v>15</v>
          </cell>
          <cell r="E544">
            <v>11068.881749999991</v>
          </cell>
          <cell r="F544">
            <v>51.367175000000003</v>
          </cell>
          <cell r="G544">
            <v>9361.6373250000361</v>
          </cell>
        </row>
        <row r="545">
          <cell r="A545">
            <v>2006</v>
          </cell>
          <cell r="B545">
            <v>1</v>
          </cell>
          <cell r="C545">
            <v>23</v>
          </cell>
          <cell r="D545">
            <v>16</v>
          </cell>
          <cell r="E545">
            <v>10847.12757500002</v>
          </cell>
          <cell r="F545">
            <v>50.454300000000003</v>
          </cell>
          <cell r="G545">
            <v>9144.2971750000233</v>
          </cell>
        </row>
        <row r="546">
          <cell r="A546">
            <v>2006</v>
          </cell>
          <cell r="B546">
            <v>1</v>
          </cell>
          <cell r="C546">
            <v>23</v>
          </cell>
          <cell r="D546">
            <v>17</v>
          </cell>
          <cell r="E546">
            <v>10792.039849999999</v>
          </cell>
          <cell r="F546">
            <v>50.977174999999995</v>
          </cell>
          <cell r="G546">
            <v>9109.5075500000476</v>
          </cell>
        </row>
        <row r="547">
          <cell r="A547">
            <v>2006</v>
          </cell>
          <cell r="B547">
            <v>1</v>
          </cell>
          <cell r="C547">
            <v>23</v>
          </cell>
          <cell r="D547">
            <v>18</v>
          </cell>
          <cell r="E547">
            <v>10995.955649999962</v>
          </cell>
          <cell r="F547">
            <v>49.803500000000014</v>
          </cell>
          <cell r="G547">
            <v>9319.7207250000338</v>
          </cell>
        </row>
        <row r="548">
          <cell r="A548">
            <v>2006</v>
          </cell>
          <cell r="B548">
            <v>1</v>
          </cell>
          <cell r="C548">
            <v>23</v>
          </cell>
          <cell r="D548">
            <v>19</v>
          </cell>
          <cell r="E548">
            <v>12026.244650000024</v>
          </cell>
          <cell r="F548">
            <v>54.403725000000001</v>
          </cell>
          <cell r="G548">
            <v>10266.149025000077</v>
          </cell>
        </row>
        <row r="549">
          <cell r="A549">
            <v>2006</v>
          </cell>
          <cell r="B549">
            <v>1</v>
          </cell>
          <cell r="C549">
            <v>23</v>
          </cell>
          <cell r="D549">
            <v>20</v>
          </cell>
          <cell r="E549">
            <v>12334.908799999996</v>
          </cell>
          <cell r="F549">
            <v>58.991675000000008</v>
          </cell>
          <cell r="G549">
            <v>10589.233299999996</v>
          </cell>
        </row>
        <row r="550">
          <cell r="A550">
            <v>2006</v>
          </cell>
          <cell r="B550">
            <v>1</v>
          </cell>
          <cell r="C550">
            <v>23</v>
          </cell>
          <cell r="D550">
            <v>21</v>
          </cell>
          <cell r="E550">
            <v>12396.826199999958</v>
          </cell>
          <cell r="F550">
            <v>59.97182500000001</v>
          </cell>
          <cell r="G550">
            <v>10561.047199999975</v>
          </cell>
        </row>
        <row r="551">
          <cell r="A551">
            <v>2006</v>
          </cell>
          <cell r="B551">
            <v>1</v>
          </cell>
          <cell r="C551">
            <v>23</v>
          </cell>
          <cell r="D551">
            <v>22</v>
          </cell>
          <cell r="E551">
            <v>12027.418050000011</v>
          </cell>
          <cell r="F551">
            <v>59.428275000000006</v>
          </cell>
          <cell r="G551">
            <v>10310.37754999997</v>
          </cell>
        </row>
        <row r="553">
          <cell r="A553">
            <v>2006</v>
          </cell>
          <cell r="B553">
            <v>1</v>
          </cell>
          <cell r="C553">
            <v>23</v>
          </cell>
          <cell r="D553">
            <v>24</v>
          </cell>
          <cell r="E553">
            <v>10615.601450000015</v>
          </cell>
          <cell r="F553">
            <v>54.6965</v>
          </cell>
          <cell r="G553">
            <v>9038.4926999999989</v>
          </cell>
        </row>
        <row r="554">
          <cell r="A554">
            <v>2006</v>
          </cell>
          <cell r="B554">
            <v>1</v>
          </cell>
          <cell r="C554">
            <v>24</v>
          </cell>
          <cell r="D554">
            <v>1</v>
          </cell>
          <cell r="E554">
            <v>10063.545175000012</v>
          </cell>
          <cell r="F554">
            <v>49.843725000000006</v>
          </cell>
          <cell r="G554">
            <v>8571.1867000000275</v>
          </cell>
        </row>
        <row r="555">
          <cell r="A555">
            <v>2006</v>
          </cell>
          <cell r="B555">
            <v>1</v>
          </cell>
          <cell r="C555">
            <v>24</v>
          </cell>
          <cell r="D555">
            <v>2</v>
          </cell>
          <cell r="E555">
            <v>9999.2996499999808</v>
          </cell>
          <cell r="F555">
            <v>45.848999999999997</v>
          </cell>
          <cell r="G555">
            <v>8439.058200000034</v>
          </cell>
        </row>
        <row r="556">
          <cell r="A556">
            <v>2006</v>
          </cell>
          <cell r="B556">
            <v>1</v>
          </cell>
          <cell r="C556">
            <v>24</v>
          </cell>
          <cell r="D556">
            <v>3</v>
          </cell>
          <cell r="E556">
            <v>10144.772175000007</v>
          </cell>
          <cell r="F556">
            <v>46.495550000000001</v>
          </cell>
          <cell r="G556">
            <v>8474.9404000000195</v>
          </cell>
        </row>
        <row r="557">
          <cell r="A557">
            <v>2006</v>
          </cell>
          <cell r="B557">
            <v>1</v>
          </cell>
          <cell r="C557">
            <v>24</v>
          </cell>
          <cell r="D557">
            <v>4</v>
          </cell>
          <cell r="E557">
            <v>10286.557650000008</v>
          </cell>
          <cell r="F557">
            <v>47.847850000000008</v>
          </cell>
          <cell r="G557">
            <v>8595.2776000000104</v>
          </cell>
        </row>
        <row r="558">
          <cell r="A558">
            <v>2006</v>
          </cell>
          <cell r="B558">
            <v>1</v>
          </cell>
          <cell r="C558">
            <v>24</v>
          </cell>
          <cell r="D558">
            <v>5</v>
          </cell>
          <cell r="E558">
            <v>10650.821674999992</v>
          </cell>
          <cell r="F558">
            <v>50.220675</v>
          </cell>
          <cell r="G558">
            <v>8945.1260500000408</v>
          </cell>
        </row>
        <row r="559">
          <cell r="A559">
            <v>2006</v>
          </cell>
          <cell r="B559">
            <v>1</v>
          </cell>
          <cell r="C559">
            <v>24</v>
          </cell>
          <cell r="D559">
            <v>6</v>
          </cell>
          <cell r="E559">
            <v>11507.143874999996</v>
          </cell>
          <cell r="F559">
            <v>54.766525000000001</v>
          </cell>
          <cell r="G559">
            <v>9754.4883250000403</v>
          </cell>
        </row>
        <row r="560">
          <cell r="A560">
            <v>2006</v>
          </cell>
          <cell r="B560">
            <v>1</v>
          </cell>
          <cell r="C560">
            <v>24</v>
          </cell>
          <cell r="D560">
            <v>7</v>
          </cell>
          <cell r="E560">
            <v>13087.445199999967</v>
          </cell>
          <cell r="F560">
            <v>64.316724999999991</v>
          </cell>
          <cell r="G560">
            <v>11240.286449999991</v>
          </cell>
        </row>
        <row r="561">
          <cell r="A561">
            <v>2006</v>
          </cell>
          <cell r="B561">
            <v>1</v>
          </cell>
          <cell r="C561">
            <v>24</v>
          </cell>
          <cell r="D561">
            <v>8</v>
          </cell>
          <cell r="E561">
            <v>14265.372274999962</v>
          </cell>
          <cell r="F561">
            <v>72.527125000000012</v>
          </cell>
          <cell r="G561">
            <v>12318.595849999952</v>
          </cell>
        </row>
        <row r="562">
          <cell r="A562">
            <v>2006</v>
          </cell>
          <cell r="B562">
            <v>1</v>
          </cell>
          <cell r="C562">
            <v>24</v>
          </cell>
          <cell r="D562">
            <v>9</v>
          </cell>
          <cell r="E562">
            <v>13664.728175000002</v>
          </cell>
          <cell r="F562">
            <v>65.420400000000001</v>
          </cell>
          <cell r="G562">
            <v>11744.797324999992</v>
          </cell>
        </row>
        <row r="563">
          <cell r="A563">
            <v>2006</v>
          </cell>
          <cell r="B563">
            <v>1</v>
          </cell>
          <cell r="C563">
            <v>24</v>
          </cell>
          <cell r="D563">
            <v>10</v>
          </cell>
          <cell r="E563">
            <v>12825.383324999988</v>
          </cell>
          <cell r="F563">
            <v>60.63822500000002</v>
          </cell>
          <cell r="G563">
            <v>11039.957975000088</v>
          </cell>
        </row>
        <row r="564">
          <cell r="A564">
            <v>2006</v>
          </cell>
          <cell r="B564">
            <v>1</v>
          </cell>
          <cell r="C564">
            <v>24</v>
          </cell>
          <cell r="D564">
            <v>11</v>
          </cell>
          <cell r="E564">
            <v>12238.211275000009</v>
          </cell>
          <cell r="F564">
            <v>56.171875</v>
          </cell>
          <cell r="G564">
            <v>10468.140674999962</v>
          </cell>
        </row>
        <row r="565">
          <cell r="A565">
            <v>2006</v>
          </cell>
          <cell r="B565">
            <v>1</v>
          </cell>
          <cell r="C565">
            <v>24</v>
          </cell>
          <cell r="D565">
            <v>12</v>
          </cell>
          <cell r="E565">
            <v>11654.545375000014</v>
          </cell>
          <cell r="F565">
            <v>51.560100000000006</v>
          </cell>
          <cell r="G565">
            <v>9987.5380749999913</v>
          </cell>
        </row>
        <row r="566">
          <cell r="A566">
            <v>2006</v>
          </cell>
          <cell r="B566">
            <v>1</v>
          </cell>
          <cell r="C566">
            <v>24</v>
          </cell>
          <cell r="D566">
            <v>13</v>
          </cell>
          <cell r="E566">
            <v>11295.696974999955</v>
          </cell>
          <cell r="F566">
            <v>48.592325000000002</v>
          </cell>
          <cell r="G566">
            <v>9590.1243000000122</v>
          </cell>
        </row>
        <row r="567">
          <cell r="A567">
            <v>2006</v>
          </cell>
          <cell r="B567">
            <v>1</v>
          </cell>
          <cell r="C567">
            <v>24</v>
          </cell>
          <cell r="D567">
            <v>14</v>
          </cell>
          <cell r="E567">
            <v>11009.814724999982</v>
          </cell>
          <cell r="F567">
            <v>47.213274999999996</v>
          </cell>
          <cell r="G567">
            <v>9306.1014750000159</v>
          </cell>
        </row>
        <row r="568">
          <cell r="A568">
            <v>2006</v>
          </cell>
          <cell r="B568">
            <v>1</v>
          </cell>
          <cell r="C568">
            <v>24</v>
          </cell>
          <cell r="D568">
            <v>15</v>
          </cell>
          <cell r="E568">
            <v>10813.046649999993</v>
          </cell>
          <cell r="F568">
            <v>43.251049999999999</v>
          </cell>
          <cell r="G568">
            <v>9126.5630250000049</v>
          </cell>
        </row>
        <row r="569">
          <cell r="A569">
            <v>2006</v>
          </cell>
          <cell r="B569">
            <v>1</v>
          </cell>
          <cell r="C569">
            <v>24</v>
          </cell>
          <cell r="D569">
            <v>16</v>
          </cell>
          <cell r="E569">
            <v>10629.544274999998</v>
          </cell>
          <cell r="F569">
            <v>47.04657499999999</v>
          </cell>
          <cell r="G569">
            <v>8980.0410500000344</v>
          </cell>
        </row>
        <row r="570">
          <cell r="A570">
            <v>2006</v>
          </cell>
          <cell r="B570">
            <v>1</v>
          </cell>
          <cell r="C570">
            <v>24</v>
          </cell>
          <cell r="D570">
            <v>17</v>
          </cell>
          <cell r="E570">
            <v>10557.479074999996</v>
          </cell>
          <cell r="F570">
            <v>45.03627500000001</v>
          </cell>
          <cell r="G570">
            <v>8924.9462499999881</v>
          </cell>
        </row>
        <row r="571">
          <cell r="A571">
            <v>2006</v>
          </cell>
          <cell r="B571">
            <v>1</v>
          </cell>
          <cell r="C571">
            <v>24</v>
          </cell>
          <cell r="D571">
            <v>18</v>
          </cell>
          <cell r="E571">
            <v>10597.161325000046</v>
          </cell>
          <cell r="F571">
            <v>42.193674999999999</v>
          </cell>
          <cell r="G571">
            <v>8965.1551000000673</v>
          </cell>
        </row>
        <row r="572">
          <cell r="A572">
            <v>2006</v>
          </cell>
          <cell r="B572">
            <v>1</v>
          </cell>
          <cell r="C572">
            <v>24</v>
          </cell>
          <cell r="D572">
            <v>19</v>
          </cell>
          <cell r="E572">
            <v>11411.342874999973</v>
          </cell>
          <cell r="F572">
            <v>48.637325000000004</v>
          </cell>
          <cell r="G572">
            <v>9713.2779750000409</v>
          </cell>
        </row>
        <row r="573">
          <cell r="A573">
            <v>2006</v>
          </cell>
          <cell r="B573">
            <v>1</v>
          </cell>
          <cell r="C573">
            <v>24</v>
          </cell>
          <cell r="D573">
            <v>20</v>
          </cell>
          <cell r="E573">
            <v>11697.252399999959</v>
          </cell>
          <cell r="F573">
            <v>48.872549999999997</v>
          </cell>
          <cell r="G573">
            <v>9991.2839249999852</v>
          </cell>
        </row>
        <row r="574">
          <cell r="A574">
            <v>2006</v>
          </cell>
          <cell r="B574">
            <v>1</v>
          </cell>
          <cell r="C574">
            <v>24</v>
          </cell>
          <cell r="D574">
            <v>21</v>
          </cell>
          <cell r="E574">
            <v>11614.113975000035</v>
          </cell>
          <cell r="F574">
            <v>49.420950000000005</v>
          </cell>
          <cell r="G574">
            <v>9884.3439250000192</v>
          </cell>
        </row>
        <row r="575">
          <cell r="A575">
            <v>2006</v>
          </cell>
          <cell r="B575">
            <v>1</v>
          </cell>
          <cell r="C575">
            <v>24</v>
          </cell>
          <cell r="D575">
            <v>22</v>
          </cell>
          <cell r="E575">
            <v>11264.894224999971</v>
          </cell>
          <cell r="F575">
            <v>47.57777500000001</v>
          </cell>
          <cell r="G575">
            <v>9636.457775000059</v>
          </cell>
        </row>
        <row r="577">
          <cell r="A577">
            <v>2006</v>
          </cell>
          <cell r="B577">
            <v>1</v>
          </cell>
          <cell r="C577">
            <v>24</v>
          </cell>
          <cell r="D577">
            <v>24</v>
          </cell>
          <cell r="E577">
            <v>9981.0432750000255</v>
          </cell>
          <cell r="F577">
            <v>49.252875000000003</v>
          </cell>
          <cell r="G577">
            <v>8375.832100000016</v>
          </cell>
        </row>
        <row r="578">
          <cell r="A578">
            <v>2006</v>
          </cell>
          <cell r="B578">
            <v>1</v>
          </cell>
          <cell r="C578">
            <v>25</v>
          </cell>
          <cell r="D578">
            <v>1</v>
          </cell>
          <cell r="E578">
            <v>9484.486099999991</v>
          </cell>
          <cell r="F578">
            <v>45.101275000000001</v>
          </cell>
          <cell r="G578">
            <v>7909.6259250000185</v>
          </cell>
        </row>
        <row r="579">
          <cell r="A579">
            <v>2006</v>
          </cell>
          <cell r="B579">
            <v>1</v>
          </cell>
          <cell r="C579">
            <v>25</v>
          </cell>
          <cell r="D579">
            <v>2</v>
          </cell>
          <cell r="E579">
            <v>9299.2948000000142</v>
          </cell>
          <cell r="F579">
            <v>41.198650000000008</v>
          </cell>
          <cell r="G579">
            <v>7741.4334750000053</v>
          </cell>
        </row>
        <row r="580">
          <cell r="A580">
            <v>2006</v>
          </cell>
          <cell r="B580">
            <v>1</v>
          </cell>
          <cell r="C580">
            <v>25</v>
          </cell>
          <cell r="D580">
            <v>3</v>
          </cell>
          <cell r="E580">
            <v>9301.9962249999862</v>
          </cell>
          <cell r="F580">
            <v>43.07105</v>
          </cell>
          <cell r="G580">
            <v>7736.8339749999941</v>
          </cell>
        </row>
        <row r="581">
          <cell r="A581">
            <v>2006</v>
          </cell>
          <cell r="B581">
            <v>1</v>
          </cell>
          <cell r="C581">
            <v>25</v>
          </cell>
          <cell r="D581">
            <v>4</v>
          </cell>
          <cell r="E581">
            <v>9410.9897500000243</v>
          </cell>
          <cell r="F581">
            <v>44.519149999999996</v>
          </cell>
          <cell r="G581">
            <v>7854.4232749999865</v>
          </cell>
        </row>
        <row r="582">
          <cell r="A582">
            <v>2006</v>
          </cell>
          <cell r="B582">
            <v>1</v>
          </cell>
          <cell r="C582">
            <v>25</v>
          </cell>
          <cell r="D582">
            <v>5</v>
          </cell>
          <cell r="E582">
            <v>9801.9535750000123</v>
          </cell>
          <cell r="F582">
            <v>46.505399999999995</v>
          </cell>
          <cell r="G582">
            <v>8176.9053250000079</v>
          </cell>
        </row>
        <row r="583">
          <cell r="A583">
            <v>2006</v>
          </cell>
          <cell r="B583">
            <v>1</v>
          </cell>
          <cell r="C583">
            <v>25</v>
          </cell>
          <cell r="D583">
            <v>6</v>
          </cell>
          <cell r="E583">
            <v>10145.603424999999</v>
          </cell>
          <cell r="F583">
            <v>48.563475000000004</v>
          </cell>
          <cell r="G583">
            <v>9027.3151249999828</v>
          </cell>
        </row>
        <row r="584">
          <cell r="A584">
            <v>2006</v>
          </cell>
          <cell r="B584">
            <v>1</v>
          </cell>
          <cell r="C584">
            <v>25</v>
          </cell>
          <cell r="D584">
            <v>7</v>
          </cell>
          <cell r="E584">
            <v>11773.758099999997</v>
          </cell>
          <cell r="F584">
            <v>55.19357500000001</v>
          </cell>
          <cell r="G584">
            <v>10520.734175000007</v>
          </cell>
        </row>
        <row r="585">
          <cell r="A585">
            <v>2006</v>
          </cell>
          <cell r="B585">
            <v>1</v>
          </cell>
          <cell r="C585">
            <v>25</v>
          </cell>
          <cell r="D585">
            <v>8</v>
          </cell>
          <cell r="E585">
            <v>12962.661625000028</v>
          </cell>
          <cell r="F585">
            <v>64.92410000000001</v>
          </cell>
          <cell r="G585">
            <v>11615.800724999974</v>
          </cell>
        </row>
        <row r="586">
          <cell r="A586">
            <v>2006</v>
          </cell>
          <cell r="B586">
            <v>1</v>
          </cell>
          <cell r="C586">
            <v>25</v>
          </cell>
          <cell r="D586">
            <v>9</v>
          </cell>
          <cell r="E586">
            <v>12374.337600000001</v>
          </cell>
          <cell r="F586">
            <v>58.428899999999999</v>
          </cell>
          <cell r="G586">
            <v>11079.286700000022</v>
          </cell>
        </row>
        <row r="587">
          <cell r="A587">
            <v>2006</v>
          </cell>
          <cell r="B587">
            <v>1</v>
          </cell>
          <cell r="C587">
            <v>25</v>
          </cell>
          <cell r="D587">
            <v>10</v>
          </cell>
          <cell r="E587">
            <v>11701.769600000016</v>
          </cell>
          <cell r="F587">
            <v>54.970349999999989</v>
          </cell>
          <cell r="G587">
            <v>10514.577775000073</v>
          </cell>
        </row>
        <row r="588">
          <cell r="A588">
            <v>2006</v>
          </cell>
          <cell r="B588">
            <v>1</v>
          </cell>
          <cell r="C588">
            <v>25</v>
          </cell>
          <cell r="D588">
            <v>11</v>
          </cell>
          <cell r="E588">
            <v>11269.41432499998</v>
          </cell>
          <cell r="F588">
            <v>53.521875000000001</v>
          </cell>
          <cell r="G588">
            <v>10085.535049999999</v>
          </cell>
        </row>
        <row r="589">
          <cell r="A589">
            <v>2006</v>
          </cell>
          <cell r="B589">
            <v>1</v>
          </cell>
          <cell r="C589">
            <v>25</v>
          </cell>
          <cell r="D589">
            <v>12</v>
          </cell>
          <cell r="E589">
            <v>10849.58445000004</v>
          </cell>
          <cell r="F589">
            <v>46.348700000000008</v>
          </cell>
          <cell r="G589">
            <v>9698.4778749999787</v>
          </cell>
        </row>
        <row r="590">
          <cell r="A590">
            <v>2006</v>
          </cell>
          <cell r="B590">
            <v>1</v>
          </cell>
          <cell r="C590">
            <v>25</v>
          </cell>
          <cell r="D590">
            <v>13</v>
          </cell>
          <cell r="E590">
            <v>10520.076424999972</v>
          </cell>
          <cell r="F590">
            <v>45.368375</v>
          </cell>
          <cell r="G590">
            <v>9400.5498000000243</v>
          </cell>
        </row>
        <row r="591">
          <cell r="A591">
            <v>2006</v>
          </cell>
          <cell r="B591">
            <v>1</v>
          </cell>
          <cell r="C591">
            <v>25</v>
          </cell>
          <cell r="D591">
            <v>14</v>
          </cell>
          <cell r="E591">
            <v>10304.277224999998</v>
          </cell>
          <cell r="F591">
            <v>44.8476</v>
          </cell>
          <cell r="G591">
            <v>9192.6478750000224</v>
          </cell>
        </row>
        <row r="592">
          <cell r="A592">
            <v>2006</v>
          </cell>
          <cell r="B592">
            <v>1</v>
          </cell>
          <cell r="C592">
            <v>25</v>
          </cell>
          <cell r="D592">
            <v>15</v>
          </cell>
          <cell r="E592">
            <v>10139.265924999978</v>
          </cell>
          <cell r="F592">
            <v>37.998075</v>
          </cell>
          <cell r="G592">
            <v>9055.5071500000304</v>
          </cell>
        </row>
        <row r="593">
          <cell r="A593">
            <v>2006</v>
          </cell>
          <cell r="B593">
            <v>1</v>
          </cell>
          <cell r="C593">
            <v>25</v>
          </cell>
          <cell r="D593">
            <v>16</v>
          </cell>
          <cell r="E593">
            <v>9975.8312749999968</v>
          </cell>
          <cell r="F593">
            <v>41.11377499999999</v>
          </cell>
          <cell r="G593">
            <v>8905.4543750000521</v>
          </cell>
        </row>
        <row r="594">
          <cell r="A594">
            <v>2006</v>
          </cell>
          <cell r="B594">
            <v>1</v>
          </cell>
          <cell r="C594">
            <v>25</v>
          </cell>
          <cell r="D594">
            <v>17</v>
          </cell>
          <cell r="E594">
            <v>9951.3949499999944</v>
          </cell>
          <cell r="F594">
            <v>40.944750000000006</v>
          </cell>
          <cell r="G594">
            <v>8879.0317000000141</v>
          </cell>
        </row>
        <row r="595">
          <cell r="A595">
            <v>2006</v>
          </cell>
          <cell r="B595">
            <v>1</v>
          </cell>
          <cell r="C595">
            <v>25</v>
          </cell>
          <cell r="D595">
            <v>18</v>
          </cell>
          <cell r="E595">
            <v>10045.799124999963</v>
          </cell>
          <cell r="F595">
            <v>37.081699999999998</v>
          </cell>
          <cell r="G595">
            <v>8979.8367750000998</v>
          </cell>
        </row>
        <row r="596">
          <cell r="A596">
            <v>2006</v>
          </cell>
          <cell r="B596">
            <v>1</v>
          </cell>
          <cell r="C596">
            <v>25</v>
          </cell>
          <cell r="D596">
            <v>19</v>
          </cell>
          <cell r="E596">
            <v>10847.903400000028</v>
          </cell>
          <cell r="F596">
            <v>41.852650000000004</v>
          </cell>
          <cell r="G596">
            <v>9738.420800000009</v>
          </cell>
        </row>
        <row r="597">
          <cell r="A597">
            <v>2006</v>
          </cell>
          <cell r="B597">
            <v>1</v>
          </cell>
          <cell r="C597">
            <v>25</v>
          </cell>
          <cell r="D597">
            <v>20</v>
          </cell>
          <cell r="E597">
            <v>11096.54200000001</v>
          </cell>
          <cell r="F597">
            <v>42.304575000000007</v>
          </cell>
          <cell r="G597">
            <v>9958.586600000006</v>
          </cell>
        </row>
        <row r="598">
          <cell r="A598">
            <v>2006</v>
          </cell>
          <cell r="B598">
            <v>1</v>
          </cell>
          <cell r="C598">
            <v>25</v>
          </cell>
          <cell r="D598">
            <v>21</v>
          </cell>
          <cell r="E598">
            <v>10997.55834999999</v>
          </cell>
          <cell r="F598">
            <v>40.606675000000003</v>
          </cell>
          <cell r="G598">
            <v>9871.3450250000042</v>
          </cell>
        </row>
        <row r="599">
          <cell r="A599">
            <v>2006</v>
          </cell>
          <cell r="B599">
            <v>1</v>
          </cell>
          <cell r="C599">
            <v>25</v>
          </cell>
          <cell r="D599">
            <v>22</v>
          </cell>
          <cell r="E599">
            <v>10625.789950000026</v>
          </cell>
          <cell r="F599">
            <v>37.60282500000001</v>
          </cell>
          <cell r="G599">
            <v>9582.3293500000291</v>
          </cell>
        </row>
        <row r="601">
          <cell r="A601">
            <v>2006</v>
          </cell>
          <cell r="B601">
            <v>1</v>
          </cell>
          <cell r="C601">
            <v>25</v>
          </cell>
          <cell r="D601">
            <v>24</v>
          </cell>
          <cell r="E601">
            <v>9129.1862249999922</v>
          </cell>
          <cell r="F601">
            <v>29.303274999999999</v>
          </cell>
          <cell r="G601">
            <v>8157.2226000000483</v>
          </cell>
        </row>
        <row r="602">
          <cell r="A602">
            <v>2006</v>
          </cell>
          <cell r="B602">
            <v>1</v>
          </cell>
          <cell r="C602">
            <v>26</v>
          </cell>
          <cell r="D602">
            <v>1</v>
          </cell>
          <cell r="E602">
            <v>8550.8909499999827</v>
          </cell>
          <cell r="F602">
            <v>33.808875</v>
          </cell>
          <cell r="G602">
            <v>7612.2345250000135</v>
          </cell>
        </row>
        <row r="603">
          <cell r="A603">
            <v>2006</v>
          </cell>
          <cell r="B603">
            <v>1</v>
          </cell>
          <cell r="C603">
            <v>26</v>
          </cell>
          <cell r="D603">
            <v>2</v>
          </cell>
          <cell r="E603">
            <v>8265.1169250000039</v>
          </cell>
          <cell r="F603">
            <v>30.646375000000003</v>
          </cell>
          <cell r="G603">
            <v>7363.8498750000426</v>
          </cell>
        </row>
        <row r="604">
          <cell r="A604">
            <v>2006</v>
          </cell>
          <cell r="B604">
            <v>1</v>
          </cell>
          <cell r="C604">
            <v>26</v>
          </cell>
          <cell r="D604">
            <v>3</v>
          </cell>
          <cell r="E604">
            <v>8220.5566250000284</v>
          </cell>
          <cell r="F604">
            <v>31.153624999999998</v>
          </cell>
          <cell r="G604">
            <v>7300.6921250000487</v>
          </cell>
        </row>
        <row r="605">
          <cell r="A605">
            <v>2006</v>
          </cell>
          <cell r="B605">
            <v>1</v>
          </cell>
          <cell r="C605">
            <v>26</v>
          </cell>
          <cell r="D605">
            <v>4</v>
          </cell>
          <cell r="E605">
            <v>8281.5844749999997</v>
          </cell>
          <cell r="F605">
            <v>34.028375000000004</v>
          </cell>
          <cell r="G605">
            <v>7347.7733750000198</v>
          </cell>
        </row>
        <row r="606">
          <cell r="A606">
            <v>2006</v>
          </cell>
          <cell r="B606">
            <v>1</v>
          </cell>
          <cell r="C606">
            <v>26</v>
          </cell>
          <cell r="D606">
            <v>5</v>
          </cell>
          <cell r="E606">
            <v>8528.1374750000105</v>
          </cell>
          <cell r="F606">
            <v>33.6815</v>
          </cell>
          <cell r="G606">
            <v>7580.8018500000107</v>
          </cell>
        </row>
        <row r="607">
          <cell r="A607">
            <v>2006</v>
          </cell>
          <cell r="B607">
            <v>1</v>
          </cell>
          <cell r="C607">
            <v>26</v>
          </cell>
          <cell r="D607">
            <v>6</v>
          </cell>
          <cell r="E607">
            <v>9246.8741749999954</v>
          </cell>
          <cell r="F607">
            <v>36.201074999999996</v>
          </cell>
          <cell r="G607">
            <v>8262.846000000045</v>
          </cell>
        </row>
        <row r="608">
          <cell r="A608">
            <v>2006</v>
          </cell>
          <cell r="B608">
            <v>1</v>
          </cell>
          <cell r="C608">
            <v>26</v>
          </cell>
          <cell r="D608">
            <v>7</v>
          </cell>
          <cell r="E608">
            <v>10717.561124999993</v>
          </cell>
          <cell r="F608">
            <v>40.429725000000005</v>
          </cell>
          <cell r="G608">
            <v>9592.481150000016</v>
          </cell>
        </row>
        <row r="609">
          <cell r="A609">
            <v>2006</v>
          </cell>
          <cell r="B609">
            <v>1</v>
          </cell>
          <cell r="C609">
            <v>26</v>
          </cell>
          <cell r="D609">
            <v>8</v>
          </cell>
          <cell r="E609">
            <v>11841.252975000018</v>
          </cell>
          <cell r="F609">
            <v>46.030849999999994</v>
          </cell>
          <cell r="G609">
            <v>10619.088949999996</v>
          </cell>
        </row>
        <row r="610">
          <cell r="A610">
            <v>2006</v>
          </cell>
          <cell r="B610">
            <v>1</v>
          </cell>
          <cell r="C610">
            <v>26</v>
          </cell>
          <cell r="D610">
            <v>9</v>
          </cell>
          <cell r="E610">
            <v>11518.452149999997</v>
          </cell>
          <cell r="F610">
            <v>44.053999999999988</v>
          </cell>
          <cell r="G610">
            <v>10345.205250000005</v>
          </cell>
        </row>
        <row r="611">
          <cell r="A611">
            <v>2006</v>
          </cell>
          <cell r="B611">
            <v>1</v>
          </cell>
          <cell r="C611">
            <v>26</v>
          </cell>
          <cell r="D611">
            <v>10</v>
          </cell>
          <cell r="E611">
            <v>11359.210624999974</v>
          </cell>
          <cell r="F611">
            <v>39.399725000000004</v>
          </cell>
          <cell r="G611">
            <v>10194.919550000039</v>
          </cell>
        </row>
        <row r="612">
          <cell r="A612">
            <v>2006</v>
          </cell>
          <cell r="B612">
            <v>1</v>
          </cell>
          <cell r="C612">
            <v>26</v>
          </cell>
          <cell r="D612">
            <v>11</v>
          </cell>
          <cell r="E612">
            <v>11286.783899999988</v>
          </cell>
          <cell r="F612">
            <v>41.010550000000002</v>
          </cell>
          <cell r="G612">
            <v>10140.893200000033</v>
          </cell>
        </row>
        <row r="613">
          <cell r="A613">
            <v>2006</v>
          </cell>
          <cell r="B613">
            <v>1</v>
          </cell>
          <cell r="C613">
            <v>26</v>
          </cell>
          <cell r="D613">
            <v>12</v>
          </cell>
          <cell r="E613">
            <v>11204.614399999997</v>
          </cell>
          <cell r="F613">
            <v>40.06</v>
          </cell>
          <cell r="G613">
            <v>10031.79947500002</v>
          </cell>
        </row>
        <row r="614">
          <cell r="A614">
            <v>2006</v>
          </cell>
          <cell r="B614">
            <v>1</v>
          </cell>
          <cell r="C614">
            <v>26</v>
          </cell>
          <cell r="D614">
            <v>13</v>
          </cell>
          <cell r="E614">
            <v>11107.938249999961</v>
          </cell>
          <cell r="F614">
            <v>38.767299999999999</v>
          </cell>
          <cell r="G614">
            <v>9936.8182750000396</v>
          </cell>
        </row>
        <row r="615">
          <cell r="A615">
            <v>2006</v>
          </cell>
          <cell r="B615">
            <v>1</v>
          </cell>
          <cell r="C615">
            <v>26</v>
          </cell>
          <cell r="D615">
            <v>14</v>
          </cell>
          <cell r="E615">
            <v>11012.609974999999</v>
          </cell>
          <cell r="F615">
            <v>39.465325</v>
          </cell>
          <cell r="G615">
            <v>9888.7428500000296</v>
          </cell>
        </row>
        <row r="616">
          <cell r="A616">
            <v>2006</v>
          </cell>
          <cell r="B616">
            <v>1</v>
          </cell>
          <cell r="C616">
            <v>26</v>
          </cell>
          <cell r="D616">
            <v>15</v>
          </cell>
          <cell r="E616">
            <v>10806.324049999988</v>
          </cell>
          <cell r="F616">
            <v>34.404225000000004</v>
          </cell>
          <cell r="G616">
            <v>9711.2947249999561</v>
          </cell>
        </row>
        <row r="617">
          <cell r="A617">
            <v>2006</v>
          </cell>
          <cell r="B617">
            <v>1</v>
          </cell>
          <cell r="C617">
            <v>26</v>
          </cell>
          <cell r="D617">
            <v>16</v>
          </cell>
          <cell r="E617">
            <v>10551.639300000019</v>
          </cell>
          <cell r="F617">
            <v>35.131375000000006</v>
          </cell>
          <cell r="G617">
            <v>9454.3854750000155</v>
          </cell>
        </row>
        <row r="618">
          <cell r="A618">
            <v>2006</v>
          </cell>
          <cell r="B618">
            <v>1</v>
          </cell>
          <cell r="C618">
            <v>26</v>
          </cell>
          <cell r="D618">
            <v>17</v>
          </cell>
          <cell r="E618">
            <v>10597.680849999961</v>
          </cell>
          <cell r="F618">
            <v>36.157499999999999</v>
          </cell>
          <cell r="G618">
            <v>9493.3990499999854</v>
          </cell>
        </row>
        <row r="619">
          <cell r="A619">
            <v>2006</v>
          </cell>
          <cell r="B619">
            <v>1</v>
          </cell>
          <cell r="C619">
            <v>26</v>
          </cell>
          <cell r="D619">
            <v>18</v>
          </cell>
          <cell r="E619">
            <v>10933.532199999963</v>
          </cell>
          <cell r="F619">
            <v>38.606825000000008</v>
          </cell>
          <cell r="G619">
            <v>9829.8428250000234</v>
          </cell>
        </row>
        <row r="620">
          <cell r="A620">
            <v>2006</v>
          </cell>
          <cell r="B620">
            <v>1</v>
          </cell>
          <cell r="C620">
            <v>26</v>
          </cell>
          <cell r="D620">
            <v>19</v>
          </cell>
          <cell r="E620">
            <v>11761.859025000034</v>
          </cell>
          <cell r="F620">
            <v>39.7699</v>
          </cell>
          <cell r="G620">
            <v>10598.398975000042</v>
          </cell>
        </row>
        <row r="621">
          <cell r="A621">
            <v>2006</v>
          </cell>
          <cell r="B621">
            <v>1</v>
          </cell>
          <cell r="C621">
            <v>26</v>
          </cell>
          <cell r="D621">
            <v>20</v>
          </cell>
          <cell r="E621">
            <v>11982.580174999997</v>
          </cell>
          <cell r="F621">
            <v>43.896825</v>
          </cell>
          <cell r="G621">
            <v>10820.305799999956</v>
          </cell>
        </row>
        <row r="622">
          <cell r="A622">
            <v>2006</v>
          </cell>
          <cell r="B622">
            <v>1</v>
          </cell>
          <cell r="C622">
            <v>26</v>
          </cell>
          <cell r="D622">
            <v>21</v>
          </cell>
          <cell r="E622">
            <v>11856.326249999989</v>
          </cell>
          <cell r="F622">
            <v>43.776949999999992</v>
          </cell>
          <cell r="G622">
            <v>10700.393974999981</v>
          </cell>
        </row>
        <row r="623">
          <cell r="A623">
            <v>2006</v>
          </cell>
          <cell r="B623">
            <v>1</v>
          </cell>
          <cell r="C623">
            <v>26</v>
          </cell>
          <cell r="D623">
            <v>22</v>
          </cell>
          <cell r="E623">
            <v>11442.716224999971</v>
          </cell>
          <cell r="F623">
            <v>42.641574999999996</v>
          </cell>
          <cell r="G623">
            <v>10383.204275000004</v>
          </cell>
        </row>
        <row r="625">
          <cell r="A625">
            <v>2006</v>
          </cell>
          <cell r="B625">
            <v>1</v>
          </cell>
          <cell r="C625">
            <v>26</v>
          </cell>
          <cell r="D625">
            <v>24</v>
          </cell>
          <cell r="E625">
            <v>9982.5391749999944</v>
          </cell>
          <cell r="F625">
            <v>37.846125000000008</v>
          </cell>
          <cell r="G625">
            <v>8954.7241250000043</v>
          </cell>
        </row>
        <row r="626">
          <cell r="A626">
            <v>2006</v>
          </cell>
          <cell r="B626">
            <v>1</v>
          </cell>
          <cell r="C626">
            <v>27</v>
          </cell>
          <cell r="D626">
            <v>1</v>
          </cell>
          <cell r="E626">
            <v>9503.2465249999696</v>
          </cell>
          <cell r="F626">
            <v>36.508100000000006</v>
          </cell>
          <cell r="G626">
            <v>8474.1542750000499</v>
          </cell>
        </row>
        <row r="627">
          <cell r="A627">
            <v>2006</v>
          </cell>
          <cell r="B627">
            <v>1</v>
          </cell>
          <cell r="C627">
            <v>27</v>
          </cell>
          <cell r="D627">
            <v>2</v>
          </cell>
          <cell r="E627">
            <v>9235.6171750000121</v>
          </cell>
          <cell r="F627">
            <v>34.015374999999999</v>
          </cell>
          <cell r="G627">
            <v>8220.4369000000115</v>
          </cell>
        </row>
        <row r="628">
          <cell r="A628">
            <v>2006</v>
          </cell>
          <cell r="B628">
            <v>1</v>
          </cell>
          <cell r="C628">
            <v>27</v>
          </cell>
          <cell r="D628">
            <v>3</v>
          </cell>
          <cell r="E628">
            <v>9140.7222749999946</v>
          </cell>
          <cell r="F628">
            <v>34.412274999999994</v>
          </cell>
          <cell r="G628">
            <v>8130.8470750000388</v>
          </cell>
        </row>
        <row r="629">
          <cell r="A629">
            <v>2006</v>
          </cell>
          <cell r="B629">
            <v>1</v>
          </cell>
          <cell r="C629">
            <v>27</v>
          </cell>
          <cell r="D629">
            <v>4</v>
          </cell>
          <cell r="E629">
            <v>9158.1620000000221</v>
          </cell>
          <cell r="F629">
            <v>34.339374999999997</v>
          </cell>
          <cell r="G629">
            <v>8135.8552250000084</v>
          </cell>
        </row>
        <row r="630">
          <cell r="A630">
            <v>2006</v>
          </cell>
          <cell r="B630">
            <v>1</v>
          </cell>
          <cell r="C630">
            <v>27</v>
          </cell>
          <cell r="D630">
            <v>5</v>
          </cell>
          <cell r="E630">
            <v>9357.9677750000228</v>
          </cell>
          <cell r="F630">
            <v>35.176324999999999</v>
          </cell>
          <cell r="G630">
            <v>8330.8942000000443</v>
          </cell>
        </row>
        <row r="631">
          <cell r="A631">
            <v>2006</v>
          </cell>
          <cell r="B631">
            <v>1</v>
          </cell>
          <cell r="C631">
            <v>27</v>
          </cell>
          <cell r="D631">
            <v>6</v>
          </cell>
          <cell r="E631">
            <v>10031.165625000003</v>
          </cell>
          <cell r="F631">
            <v>38.422175000000003</v>
          </cell>
          <cell r="G631">
            <v>8963.2214250000306</v>
          </cell>
        </row>
        <row r="632">
          <cell r="A632">
            <v>2006</v>
          </cell>
          <cell r="B632">
            <v>1</v>
          </cell>
          <cell r="C632">
            <v>27</v>
          </cell>
          <cell r="D632">
            <v>7</v>
          </cell>
          <cell r="E632">
            <v>11423.801974999971</v>
          </cell>
          <cell r="F632">
            <v>44.820475000000002</v>
          </cell>
          <cell r="G632">
            <v>10235.778825000016</v>
          </cell>
        </row>
        <row r="633">
          <cell r="A633">
            <v>2006</v>
          </cell>
          <cell r="B633">
            <v>1</v>
          </cell>
          <cell r="C633">
            <v>27</v>
          </cell>
          <cell r="D633">
            <v>8</v>
          </cell>
          <cell r="E633">
            <v>12402.662249999987</v>
          </cell>
          <cell r="F633">
            <v>47.230925000000006</v>
          </cell>
          <cell r="G633">
            <v>11126.405100000078</v>
          </cell>
        </row>
        <row r="634">
          <cell r="A634">
            <v>2006</v>
          </cell>
          <cell r="B634">
            <v>1</v>
          </cell>
          <cell r="C634">
            <v>27</v>
          </cell>
          <cell r="D634">
            <v>9</v>
          </cell>
          <cell r="E634">
            <v>12118.264099999988</v>
          </cell>
          <cell r="F634">
            <v>45.605650000000011</v>
          </cell>
          <cell r="G634">
            <v>10861.046124999984</v>
          </cell>
        </row>
        <row r="635">
          <cell r="A635">
            <v>2006</v>
          </cell>
          <cell r="B635">
            <v>1</v>
          </cell>
          <cell r="C635">
            <v>27</v>
          </cell>
          <cell r="D635">
            <v>10</v>
          </cell>
          <cell r="E635">
            <v>11960.568675000048</v>
          </cell>
          <cell r="F635">
            <v>45.283150000000006</v>
          </cell>
          <cell r="G635">
            <v>10725.615674999961</v>
          </cell>
        </row>
        <row r="636">
          <cell r="A636">
            <v>2006</v>
          </cell>
          <cell r="B636">
            <v>1</v>
          </cell>
          <cell r="C636">
            <v>27</v>
          </cell>
          <cell r="D636">
            <v>11</v>
          </cell>
          <cell r="E636">
            <v>11887.128075000035</v>
          </cell>
          <cell r="F636">
            <v>44.298274999999997</v>
          </cell>
          <cell r="G636">
            <v>10668.738425000096</v>
          </cell>
        </row>
        <row r="637">
          <cell r="A637">
            <v>2006</v>
          </cell>
          <cell r="B637">
            <v>1</v>
          </cell>
          <cell r="C637">
            <v>27</v>
          </cell>
          <cell r="D637">
            <v>12</v>
          </cell>
          <cell r="E637">
            <v>11698.953724999998</v>
          </cell>
          <cell r="F637">
            <v>41.460974999999998</v>
          </cell>
          <cell r="G637">
            <v>10498.170524999987</v>
          </cell>
        </row>
        <row r="638">
          <cell r="A638">
            <v>2006</v>
          </cell>
          <cell r="B638">
            <v>1</v>
          </cell>
          <cell r="C638">
            <v>27</v>
          </cell>
          <cell r="D638">
            <v>13</v>
          </cell>
          <cell r="E638">
            <v>11421.80577499997</v>
          </cell>
          <cell r="F638">
            <v>35.463450000000009</v>
          </cell>
          <cell r="G638">
            <v>10251.238799999976</v>
          </cell>
        </row>
        <row r="639">
          <cell r="A639">
            <v>2006</v>
          </cell>
          <cell r="B639">
            <v>1</v>
          </cell>
          <cell r="C639">
            <v>27</v>
          </cell>
          <cell r="D639">
            <v>14</v>
          </cell>
          <cell r="E639">
            <v>11227.807199999985</v>
          </cell>
          <cell r="F639">
            <v>33.351649999999999</v>
          </cell>
          <cell r="G639">
            <v>10070.176650000016</v>
          </cell>
        </row>
        <row r="640">
          <cell r="A640">
            <v>2006</v>
          </cell>
          <cell r="B640">
            <v>1</v>
          </cell>
          <cell r="C640">
            <v>27</v>
          </cell>
          <cell r="D640">
            <v>15</v>
          </cell>
          <cell r="E640">
            <v>10952.138924999972</v>
          </cell>
          <cell r="F640">
            <v>31.947475000000004</v>
          </cell>
          <cell r="G640">
            <v>9810.7685250000686</v>
          </cell>
        </row>
        <row r="641">
          <cell r="A641">
            <v>2006</v>
          </cell>
          <cell r="B641">
            <v>1</v>
          </cell>
          <cell r="C641">
            <v>27</v>
          </cell>
          <cell r="D641">
            <v>16</v>
          </cell>
          <cell r="E641">
            <v>10637.258950000014</v>
          </cell>
          <cell r="F641">
            <v>29.823950000000007</v>
          </cell>
          <cell r="G641">
            <v>9542.6301000000039</v>
          </cell>
        </row>
        <row r="642">
          <cell r="A642">
            <v>2006</v>
          </cell>
          <cell r="B642">
            <v>1</v>
          </cell>
          <cell r="C642">
            <v>27</v>
          </cell>
          <cell r="D642">
            <v>17</v>
          </cell>
          <cell r="E642">
            <v>10579.401725000012</v>
          </cell>
          <cell r="F642">
            <v>30.412525000000002</v>
          </cell>
          <cell r="G642">
            <v>9524.7640000000192</v>
          </cell>
        </row>
        <row r="643">
          <cell r="A643">
            <v>2006</v>
          </cell>
          <cell r="B643">
            <v>1</v>
          </cell>
          <cell r="C643">
            <v>27</v>
          </cell>
          <cell r="D643">
            <v>18</v>
          </cell>
          <cell r="E643">
            <v>10720.756399999942</v>
          </cell>
          <cell r="F643">
            <v>32.662700000000001</v>
          </cell>
          <cell r="G643">
            <v>9685.8613250000017</v>
          </cell>
        </row>
        <row r="644">
          <cell r="A644">
            <v>2006</v>
          </cell>
          <cell r="B644">
            <v>1</v>
          </cell>
          <cell r="C644">
            <v>27</v>
          </cell>
          <cell r="D644">
            <v>19</v>
          </cell>
          <cell r="E644">
            <v>11249.869525000015</v>
          </cell>
          <cell r="F644">
            <v>34.288250000000005</v>
          </cell>
          <cell r="G644">
            <v>10176.896500000032</v>
          </cell>
        </row>
        <row r="645">
          <cell r="A645">
            <v>2006</v>
          </cell>
          <cell r="B645">
            <v>1</v>
          </cell>
          <cell r="C645">
            <v>27</v>
          </cell>
          <cell r="D645">
            <v>20</v>
          </cell>
          <cell r="E645">
            <v>11112.107249999966</v>
          </cell>
          <cell r="F645">
            <v>35.348475000000001</v>
          </cell>
          <cell r="G645">
            <v>10029.942950000028</v>
          </cell>
        </row>
        <row r="646">
          <cell r="A646">
            <v>2006</v>
          </cell>
          <cell r="B646">
            <v>1</v>
          </cell>
          <cell r="C646">
            <v>27</v>
          </cell>
          <cell r="D646">
            <v>21</v>
          </cell>
          <cell r="E646">
            <v>10800.047599999993</v>
          </cell>
          <cell r="F646">
            <v>33.381700000000002</v>
          </cell>
          <cell r="G646">
            <v>9731.7071250000008</v>
          </cell>
        </row>
        <row r="647">
          <cell r="A647">
            <v>2006</v>
          </cell>
          <cell r="B647">
            <v>1</v>
          </cell>
          <cell r="C647">
            <v>27</v>
          </cell>
          <cell r="D647">
            <v>22</v>
          </cell>
          <cell r="E647">
            <v>10352.055399999987</v>
          </cell>
          <cell r="F647">
            <v>32.007475000000007</v>
          </cell>
          <cell r="G647">
            <v>9353.367249999983</v>
          </cell>
        </row>
        <row r="649">
          <cell r="A649">
            <v>2006</v>
          </cell>
          <cell r="B649">
            <v>1</v>
          </cell>
          <cell r="C649">
            <v>27</v>
          </cell>
          <cell r="D649">
            <v>24</v>
          </cell>
          <cell r="E649">
            <v>9398.9738749999742</v>
          </cell>
          <cell r="F649">
            <v>26.669950000000004</v>
          </cell>
          <cell r="G649">
            <v>8170.6894250000014</v>
          </cell>
        </row>
        <row r="650">
          <cell r="A650">
            <v>2006</v>
          </cell>
          <cell r="B650">
            <v>1</v>
          </cell>
          <cell r="C650">
            <v>28</v>
          </cell>
          <cell r="D650">
            <v>1</v>
          </cell>
          <cell r="E650">
            <v>8889.7050249999829</v>
          </cell>
          <cell r="F650">
            <v>26.430699999999995</v>
          </cell>
          <cell r="G650">
            <v>7565.5237000000207</v>
          </cell>
        </row>
        <row r="651">
          <cell r="A651">
            <v>2006</v>
          </cell>
          <cell r="B651">
            <v>1</v>
          </cell>
          <cell r="C651">
            <v>28</v>
          </cell>
          <cell r="D651">
            <v>2</v>
          </cell>
          <cell r="E651">
            <v>8527.1592750000182</v>
          </cell>
          <cell r="F651">
            <v>27.361299999999996</v>
          </cell>
          <cell r="G651">
            <v>7153.6758750000108</v>
          </cell>
        </row>
        <row r="652">
          <cell r="A652">
            <v>2006</v>
          </cell>
          <cell r="B652">
            <v>1</v>
          </cell>
          <cell r="C652">
            <v>28</v>
          </cell>
          <cell r="D652">
            <v>3</v>
          </cell>
          <cell r="E652">
            <v>2436.1766000000025</v>
          </cell>
          <cell r="F652">
            <v>1.1539750000000002</v>
          </cell>
          <cell r="G652">
            <v>3279.6114499999931</v>
          </cell>
        </row>
        <row r="653">
          <cell r="A653">
            <v>2006</v>
          </cell>
          <cell r="B653">
            <v>1</v>
          </cell>
          <cell r="C653">
            <v>28</v>
          </cell>
          <cell r="D653">
            <v>4</v>
          </cell>
          <cell r="E653">
            <v>8027.1262750000178</v>
          </cell>
          <cell r="F653">
            <v>28.202275000000004</v>
          </cell>
          <cell r="G653">
            <v>6734.1899499999872</v>
          </cell>
        </row>
        <row r="654">
          <cell r="A654">
            <v>2006</v>
          </cell>
          <cell r="B654">
            <v>1</v>
          </cell>
          <cell r="C654">
            <v>28</v>
          </cell>
          <cell r="D654">
            <v>5</v>
          </cell>
          <cell r="E654">
            <v>7975.0490250000048</v>
          </cell>
          <cell r="F654">
            <v>29.27355</v>
          </cell>
          <cell r="G654">
            <v>6720.8032750000366</v>
          </cell>
        </row>
        <row r="655">
          <cell r="A655">
            <v>2006</v>
          </cell>
          <cell r="B655">
            <v>1</v>
          </cell>
          <cell r="C655">
            <v>28</v>
          </cell>
          <cell r="D655">
            <v>6</v>
          </cell>
          <cell r="E655">
            <v>8150.9278500000028</v>
          </cell>
          <cell r="F655">
            <v>29.902625</v>
          </cell>
          <cell r="G655">
            <v>6871.1733500000237</v>
          </cell>
        </row>
        <row r="656">
          <cell r="A656">
            <v>2006</v>
          </cell>
          <cell r="B656">
            <v>1</v>
          </cell>
          <cell r="C656">
            <v>28</v>
          </cell>
          <cell r="D656">
            <v>7</v>
          </cell>
          <cell r="E656">
            <v>8583.1285499999831</v>
          </cell>
          <cell r="F656">
            <v>29.963999999999999</v>
          </cell>
          <cell r="G656">
            <v>7266.7323000000151</v>
          </cell>
        </row>
        <row r="657">
          <cell r="A657">
            <v>2006</v>
          </cell>
          <cell r="B657">
            <v>1</v>
          </cell>
          <cell r="C657">
            <v>28</v>
          </cell>
          <cell r="D657">
            <v>8</v>
          </cell>
          <cell r="E657">
            <v>9135.444150000003</v>
          </cell>
          <cell r="F657">
            <v>30.251024999999998</v>
          </cell>
          <cell r="G657">
            <v>7797.9648999999836</v>
          </cell>
        </row>
        <row r="658">
          <cell r="A658">
            <v>2006</v>
          </cell>
          <cell r="B658">
            <v>1</v>
          </cell>
          <cell r="C658">
            <v>28</v>
          </cell>
          <cell r="D658">
            <v>9</v>
          </cell>
          <cell r="E658">
            <v>9728.9055749999698</v>
          </cell>
          <cell r="F658">
            <v>31.130725000000002</v>
          </cell>
          <cell r="G658">
            <v>8335.9044750000012</v>
          </cell>
        </row>
        <row r="659">
          <cell r="A659">
            <v>2006</v>
          </cell>
          <cell r="B659">
            <v>1</v>
          </cell>
          <cell r="C659">
            <v>28</v>
          </cell>
          <cell r="D659">
            <v>10</v>
          </cell>
          <cell r="E659">
            <v>10396.560624999982</v>
          </cell>
          <cell r="F659">
            <v>32.411000000000001</v>
          </cell>
          <cell r="G659">
            <v>8840.2073000000219</v>
          </cell>
        </row>
        <row r="660">
          <cell r="A660">
            <v>2006</v>
          </cell>
          <cell r="B660">
            <v>1</v>
          </cell>
          <cell r="C660">
            <v>28</v>
          </cell>
          <cell r="D660">
            <v>11</v>
          </cell>
          <cell r="E660">
            <v>10751.664549999983</v>
          </cell>
          <cell r="F660">
            <v>32.86985</v>
          </cell>
          <cell r="G660">
            <v>9213.8036750000028</v>
          </cell>
        </row>
        <row r="661">
          <cell r="A661">
            <v>2006</v>
          </cell>
          <cell r="B661">
            <v>1</v>
          </cell>
          <cell r="C661">
            <v>28</v>
          </cell>
          <cell r="D661">
            <v>12</v>
          </cell>
          <cell r="E661">
            <v>10747.252849999986</v>
          </cell>
          <cell r="F661">
            <v>32.077600000000004</v>
          </cell>
          <cell r="G661">
            <v>9231.6345000000583</v>
          </cell>
        </row>
        <row r="662">
          <cell r="A662">
            <v>2006</v>
          </cell>
          <cell r="B662">
            <v>1</v>
          </cell>
          <cell r="C662">
            <v>28</v>
          </cell>
          <cell r="D662">
            <v>13</v>
          </cell>
          <cell r="E662">
            <v>10578.719425000014</v>
          </cell>
          <cell r="F662">
            <v>31.1219</v>
          </cell>
          <cell r="G662">
            <v>9075.9099000000206</v>
          </cell>
        </row>
        <row r="663">
          <cell r="A663">
            <v>2006</v>
          </cell>
          <cell r="B663">
            <v>1</v>
          </cell>
          <cell r="C663">
            <v>28</v>
          </cell>
          <cell r="D663">
            <v>14</v>
          </cell>
          <cell r="E663">
            <v>10306.347349999987</v>
          </cell>
          <cell r="F663">
            <v>30.673900000000003</v>
          </cell>
          <cell r="G663">
            <v>8828.0073750000247</v>
          </cell>
        </row>
        <row r="664">
          <cell r="A664">
            <v>2006</v>
          </cell>
          <cell r="B664">
            <v>1</v>
          </cell>
          <cell r="C664">
            <v>28</v>
          </cell>
          <cell r="D664">
            <v>15</v>
          </cell>
          <cell r="E664">
            <v>9997.2668749999866</v>
          </cell>
          <cell r="F664">
            <v>29.770475000000005</v>
          </cell>
          <cell r="G664">
            <v>8505.5951000000387</v>
          </cell>
        </row>
        <row r="665">
          <cell r="A665">
            <v>2006</v>
          </cell>
          <cell r="B665">
            <v>1</v>
          </cell>
          <cell r="C665">
            <v>28</v>
          </cell>
          <cell r="D665">
            <v>16</v>
          </cell>
          <cell r="E665">
            <v>9762.7126250000092</v>
          </cell>
          <cell r="F665">
            <v>30.829599999999999</v>
          </cell>
          <cell r="G665">
            <v>8271.8983000000262</v>
          </cell>
        </row>
        <row r="666">
          <cell r="A666">
            <v>2006</v>
          </cell>
          <cell r="B666">
            <v>1</v>
          </cell>
          <cell r="C666">
            <v>28</v>
          </cell>
          <cell r="D666">
            <v>17</v>
          </cell>
          <cell r="E666">
            <v>9592.2094999999408</v>
          </cell>
          <cell r="F666">
            <v>31.336950000000005</v>
          </cell>
          <cell r="G666">
            <v>8135.951450000046</v>
          </cell>
        </row>
        <row r="667">
          <cell r="A667">
            <v>2006</v>
          </cell>
          <cell r="B667">
            <v>1</v>
          </cell>
          <cell r="C667">
            <v>28</v>
          </cell>
          <cell r="D667">
            <v>18</v>
          </cell>
          <cell r="E667">
            <v>9703.3882249999824</v>
          </cell>
          <cell r="F667">
            <v>31.771950000000004</v>
          </cell>
          <cell r="G667">
            <v>8176.1604750000115</v>
          </cell>
        </row>
        <row r="668">
          <cell r="A668">
            <v>2006</v>
          </cell>
          <cell r="B668">
            <v>1</v>
          </cell>
          <cell r="C668">
            <v>28</v>
          </cell>
          <cell r="D668">
            <v>19</v>
          </cell>
          <cell r="E668">
            <v>10356.354874999945</v>
          </cell>
          <cell r="F668">
            <v>35.26925</v>
          </cell>
          <cell r="G668">
            <v>8689.1697999999742</v>
          </cell>
        </row>
        <row r="669">
          <cell r="A669">
            <v>2006</v>
          </cell>
          <cell r="B669">
            <v>1</v>
          </cell>
          <cell r="C669">
            <v>28</v>
          </cell>
          <cell r="D669">
            <v>20</v>
          </cell>
          <cell r="E669">
            <v>10557.673449999993</v>
          </cell>
          <cell r="F669">
            <v>38.774125000000005</v>
          </cell>
          <cell r="G669">
            <v>8907.8080000000155</v>
          </cell>
        </row>
        <row r="670">
          <cell r="A670">
            <v>2006</v>
          </cell>
          <cell r="B670">
            <v>1</v>
          </cell>
          <cell r="C670">
            <v>28</v>
          </cell>
          <cell r="D670">
            <v>21</v>
          </cell>
          <cell r="E670">
            <v>10406.441124999988</v>
          </cell>
          <cell r="F670">
            <v>38.412649999999999</v>
          </cell>
          <cell r="G670">
            <v>8786.8870500000376</v>
          </cell>
        </row>
        <row r="671">
          <cell r="A671">
            <v>2006</v>
          </cell>
          <cell r="B671">
            <v>1</v>
          </cell>
          <cell r="C671">
            <v>28</v>
          </cell>
          <cell r="D671">
            <v>22</v>
          </cell>
          <cell r="E671">
            <v>10114.007924999969</v>
          </cell>
          <cell r="F671">
            <v>37.979399999999998</v>
          </cell>
          <cell r="G671">
            <v>8587.3926250000186</v>
          </cell>
        </row>
        <row r="673">
          <cell r="A673">
            <v>2006</v>
          </cell>
          <cell r="B673">
            <v>1</v>
          </cell>
          <cell r="C673">
            <v>28</v>
          </cell>
          <cell r="D673">
            <v>24</v>
          </cell>
          <cell r="E673">
            <v>9324.0299000000323</v>
          </cell>
          <cell r="F673">
            <v>36.259724999999996</v>
          </cell>
          <cell r="G673">
            <v>7876.0702250000322</v>
          </cell>
        </row>
        <row r="674">
          <cell r="A674">
            <v>2006</v>
          </cell>
          <cell r="B674">
            <v>1</v>
          </cell>
          <cell r="C674">
            <v>29</v>
          </cell>
          <cell r="D674">
            <v>1</v>
          </cell>
          <cell r="E674">
            <v>7035.7467750000123</v>
          </cell>
          <cell r="F674">
            <v>26.952750000000005</v>
          </cell>
          <cell r="G674">
            <v>6166.9028500000049</v>
          </cell>
        </row>
        <row r="675">
          <cell r="A675">
            <v>2006</v>
          </cell>
          <cell r="B675">
            <v>1</v>
          </cell>
          <cell r="C675">
            <v>29</v>
          </cell>
          <cell r="D675">
            <v>2</v>
          </cell>
          <cell r="E675">
            <v>8701.3868750000092</v>
          </cell>
          <cell r="F675">
            <v>34.074950000000001</v>
          </cell>
          <cell r="G675">
            <v>7276.9928750000072</v>
          </cell>
        </row>
        <row r="676">
          <cell r="A676">
            <v>2006</v>
          </cell>
          <cell r="B676">
            <v>1</v>
          </cell>
          <cell r="C676">
            <v>29</v>
          </cell>
          <cell r="D676">
            <v>3</v>
          </cell>
          <cell r="E676">
            <v>8615.7963749999817</v>
          </cell>
          <cell r="F676">
            <v>33.341074999999996</v>
          </cell>
          <cell r="G676">
            <v>7206.5162500000315</v>
          </cell>
        </row>
        <row r="677">
          <cell r="A677">
            <v>2006</v>
          </cell>
          <cell r="B677">
            <v>1</v>
          </cell>
          <cell r="C677">
            <v>29</v>
          </cell>
          <cell r="D677">
            <v>4</v>
          </cell>
          <cell r="E677">
            <v>8637.7391999999891</v>
          </cell>
          <cell r="F677">
            <v>33.651724999999999</v>
          </cell>
          <cell r="G677">
            <v>7242.3488750000233</v>
          </cell>
        </row>
        <row r="678">
          <cell r="A678">
            <v>2006</v>
          </cell>
          <cell r="B678">
            <v>1</v>
          </cell>
          <cell r="C678">
            <v>29</v>
          </cell>
          <cell r="D678">
            <v>5</v>
          </cell>
          <cell r="E678">
            <v>8771.555775000028</v>
          </cell>
          <cell r="F678">
            <v>34.878225000000008</v>
          </cell>
          <cell r="G678">
            <v>7388.1836250000233</v>
          </cell>
        </row>
        <row r="679">
          <cell r="A679">
            <v>2006</v>
          </cell>
          <cell r="B679">
            <v>1</v>
          </cell>
          <cell r="C679">
            <v>29</v>
          </cell>
          <cell r="D679">
            <v>6</v>
          </cell>
          <cell r="E679">
            <v>9172.2722999999751</v>
          </cell>
          <cell r="F679">
            <v>36.356350000000006</v>
          </cell>
          <cell r="G679">
            <v>7691.8210749999871</v>
          </cell>
        </row>
        <row r="680">
          <cell r="A680">
            <v>2006</v>
          </cell>
          <cell r="B680">
            <v>1</v>
          </cell>
          <cell r="C680">
            <v>29</v>
          </cell>
          <cell r="D680">
            <v>7</v>
          </cell>
          <cell r="E680">
            <v>9580.5967750000091</v>
          </cell>
          <cell r="F680">
            <v>37.525974999999995</v>
          </cell>
          <cell r="G680">
            <v>8175.8714749999872</v>
          </cell>
        </row>
        <row r="681">
          <cell r="A681">
            <v>2006</v>
          </cell>
          <cell r="B681">
            <v>1</v>
          </cell>
          <cell r="C681">
            <v>29</v>
          </cell>
          <cell r="D681">
            <v>8</v>
          </cell>
          <cell r="E681">
            <v>10181.144225000004</v>
          </cell>
          <cell r="F681">
            <v>39.913249999999998</v>
          </cell>
          <cell r="G681">
            <v>8747.6503749999938</v>
          </cell>
        </row>
        <row r="682">
          <cell r="A682">
            <v>2006</v>
          </cell>
          <cell r="B682">
            <v>1</v>
          </cell>
          <cell r="C682">
            <v>29</v>
          </cell>
          <cell r="D682">
            <v>9</v>
          </cell>
          <cell r="E682">
            <v>10588.079100000021</v>
          </cell>
          <cell r="F682">
            <v>42.080624999999998</v>
          </cell>
          <cell r="G682">
            <v>9057.6317750000471</v>
          </cell>
        </row>
        <row r="683">
          <cell r="A683">
            <v>2006</v>
          </cell>
          <cell r="B683">
            <v>1</v>
          </cell>
          <cell r="C683">
            <v>29</v>
          </cell>
          <cell r="D683">
            <v>10</v>
          </cell>
          <cell r="E683">
            <v>10589.903024999985</v>
          </cell>
          <cell r="F683">
            <v>43.116924999999995</v>
          </cell>
          <cell r="G683">
            <v>8971.284674999999</v>
          </cell>
        </row>
        <row r="684">
          <cell r="A684">
            <v>2006</v>
          </cell>
          <cell r="B684">
            <v>1</v>
          </cell>
          <cell r="C684">
            <v>29</v>
          </cell>
          <cell r="D684">
            <v>11</v>
          </cell>
          <cell r="E684">
            <v>10354.365474999988</v>
          </cell>
          <cell r="F684">
            <v>40.210400000000014</v>
          </cell>
          <cell r="G684">
            <v>8687.7599500000506</v>
          </cell>
        </row>
        <row r="685">
          <cell r="A685">
            <v>2006</v>
          </cell>
          <cell r="B685">
            <v>1</v>
          </cell>
          <cell r="C685">
            <v>29</v>
          </cell>
          <cell r="D685">
            <v>12</v>
          </cell>
          <cell r="E685">
            <v>9880.8145000000059</v>
          </cell>
          <cell r="F685">
            <v>35.817825000000006</v>
          </cell>
          <cell r="G685">
            <v>8357.6689750000169</v>
          </cell>
        </row>
        <row r="686">
          <cell r="A686">
            <v>2006</v>
          </cell>
          <cell r="B686">
            <v>1</v>
          </cell>
          <cell r="C686">
            <v>29</v>
          </cell>
          <cell r="D686">
            <v>13</v>
          </cell>
          <cell r="E686">
            <v>9577.2820500000144</v>
          </cell>
          <cell r="F686">
            <v>34.524175</v>
          </cell>
          <cell r="G686">
            <v>8154.1432499999964</v>
          </cell>
        </row>
        <row r="687">
          <cell r="A687">
            <v>2006</v>
          </cell>
          <cell r="B687">
            <v>1</v>
          </cell>
          <cell r="C687">
            <v>29</v>
          </cell>
          <cell r="D687">
            <v>14</v>
          </cell>
          <cell r="E687">
            <v>9385.5039500000021</v>
          </cell>
          <cell r="F687">
            <v>34.799300000000002</v>
          </cell>
          <cell r="G687">
            <v>7972.4519000000419</v>
          </cell>
        </row>
        <row r="688">
          <cell r="A688">
            <v>2006</v>
          </cell>
          <cell r="B688">
            <v>1</v>
          </cell>
          <cell r="C688">
            <v>29</v>
          </cell>
          <cell r="D688">
            <v>15</v>
          </cell>
          <cell r="E688">
            <v>9373.6243750000031</v>
          </cell>
          <cell r="F688">
            <v>35.507300000000001</v>
          </cell>
          <cell r="G688">
            <v>7819.6039750000646</v>
          </cell>
        </row>
        <row r="689">
          <cell r="A689">
            <v>2006</v>
          </cell>
          <cell r="B689">
            <v>1</v>
          </cell>
          <cell r="C689">
            <v>29</v>
          </cell>
          <cell r="D689">
            <v>16</v>
          </cell>
          <cell r="E689">
            <v>9218.094199999985</v>
          </cell>
          <cell r="F689">
            <v>36.396324999999997</v>
          </cell>
          <cell r="G689">
            <v>7710.4571000000324</v>
          </cell>
        </row>
        <row r="690">
          <cell r="A690">
            <v>2006</v>
          </cell>
          <cell r="B690">
            <v>1</v>
          </cell>
          <cell r="C690">
            <v>29</v>
          </cell>
          <cell r="D690">
            <v>17</v>
          </cell>
          <cell r="E690">
            <v>9108.6314000000002</v>
          </cell>
          <cell r="F690">
            <v>37.578999999999994</v>
          </cell>
          <cell r="G690">
            <v>7679.550325000002</v>
          </cell>
        </row>
        <row r="691">
          <cell r="A691">
            <v>2006</v>
          </cell>
          <cell r="B691">
            <v>1</v>
          </cell>
          <cell r="C691">
            <v>29</v>
          </cell>
          <cell r="D691">
            <v>18</v>
          </cell>
          <cell r="E691">
            <v>9341.3158750000075</v>
          </cell>
          <cell r="F691">
            <v>38.359025000000003</v>
          </cell>
          <cell r="G691">
            <v>7819.6368750000083</v>
          </cell>
        </row>
        <row r="692">
          <cell r="A692">
            <v>2006</v>
          </cell>
          <cell r="B692">
            <v>1</v>
          </cell>
          <cell r="C692">
            <v>29</v>
          </cell>
          <cell r="D692">
            <v>19</v>
          </cell>
          <cell r="E692">
            <v>10179.045175000017</v>
          </cell>
          <cell r="F692">
            <v>39.345124999999996</v>
          </cell>
          <cell r="G692">
            <v>8572.4844750000393</v>
          </cell>
        </row>
        <row r="693">
          <cell r="A693">
            <v>2006</v>
          </cell>
          <cell r="B693">
            <v>1</v>
          </cell>
          <cell r="C693">
            <v>29</v>
          </cell>
          <cell r="D693">
            <v>20</v>
          </cell>
          <cell r="E693">
            <v>10417.726000000041</v>
          </cell>
          <cell r="F693">
            <v>42.006050000000002</v>
          </cell>
          <cell r="G693">
            <v>8973.4170000000322</v>
          </cell>
        </row>
        <row r="694">
          <cell r="A694">
            <v>2006</v>
          </cell>
          <cell r="B694">
            <v>1</v>
          </cell>
          <cell r="C694">
            <v>29</v>
          </cell>
          <cell r="D694">
            <v>21</v>
          </cell>
          <cell r="E694">
            <v>10307.698399999967</v>
          </cell>
          <cell r="F694">
            <v>41.921250000000001</v>
          </cell>
          <cell r="G694">
            <v>8903.9934999999969</v>
          </cell>
        </row>
        <row r="695">
          <cell r="A695">
            <v>2006</v>
          </cell>
          <cell r="B695">
            <v>1</v>
          </cell>
          <cell r="C695">
            <v>29</v>
          </cell>
          <cell r="D695">
            <v>22</v>
          </cell>
          <cell r="E695">
            <v>9976.083600000029</v>
          </cell>
          <cell r="F695">
            <v>39.5563</v>
          </cell>
          <cell r="G695">
            <v>8625.7144499999922</v>
          </cell>
        </row>
        <row r="697">
          <cell r="A697">
            <v>2006</v>
          </cell>
          <cell r="B697">
            <v>1</v>
          </cell>
          <cell r="C697">
            <v>29</v>
          </cell>
          <cell r="D697">
            <v>24</v>
          </cell>
          <cell r="E697">
            <v>8775.4078000000172</v>
          </cell>
          <cell r="F697">
            <v>34.209125000000007</v>
          </cell>
          <cell r="G697">
            <v>7483.4906500000498</v>
          </cell>
        </row>
        <row r="698">
          <cell r="A698">
            <v>2006</v>
          </cell>
          <cell r="B698">
            <v>1</v>
          </cell>
          <cell r="C698">
            <v>30</v>
          </cell>
          <cell r="D698">
            <v>1</v>
          </cell>
          <cell r="E698">
            <v>8200.6784999999709</v>
          </cell>
          <cell r="F698">
            <v>32.029325000000007</v>
          </cell>
          <cell r="G698">
            <v>6942.4543000000003</v>
          </cell>
        </row>
        <row r="699">
          <cell r="A699">
            <v>2006</v>
          </cell>
          <cell r="B699">
            <v>1</v>
          </cell>
          <cell r="C699">
            <v>30</v>
          </cell>
          <cell r="D699">
            <v>2</v>
          </cell>
          <cell r="E699">
            <v>7982.9708249999894</v>
          </cell>
          <cell r="F699">
            <v>30.684999999999999</v>
          </cell>
          <cell r="G699">
            <v>6712.2330000000366</v>
          </cell>
        </row>
        <row r="700">
          <cell r="A700">
            <v>2006</v>
          </cell>
          <cell r="B700">
            <v>1</v>
          </cell>
          <cell r="C700">
            <v>30</v>
          </cell>
          <cell r="D700">
            <v>3</v>
          </cell>
          <cell r="E700">
            <v>7873.7923500000252</v>
          </cell>
          <cell r="F700">
            <v>31.027774999999998</v>
          </cell>
          <cell r="G700">
            <v>6653.4119000000255</v>
          </cell>
        </row>
        <row r="701">
          <cell r="A701">
            <v>2006</v>
          </cell>
          <cell r="B701">
            <v>1</v>
          </cell>
          <cell r="C701">
            <v>30</v>
          </cell>
          <cell r="D701">
            <v>4</v>
          </cell>
          <cell r="E701">
            <v>7907.6193999999869</v>
          </cell>
          <cell r="F701">
            <v>32.586600000000004</v>
          </cell>
          <cell r="G701">
            <v>6733.0867749999725</v>
          </cell>
        </row>
        <row r="702">
          <cell r="A702">
            <v>2006</v>
          </cell>
          <cell r="B702">
            <v>1</v>
          </cell>
          <cell r="C702">
            <v>30</v>
          </cell>
          <cell r="D702">
            <v>5</v>
          </cell>
          <cell r="E702">
            <v>8325.40354999999</v>
          </cell>
          <cell r="F702">
            <v>36.114149999999995</v>
          </cell>
          <cell r="G702">
            <v>6999.155775000002</v>
          </cell>
        </row>
        <row r="703">
          <cell r="A703">
            <v>2006</v>
          </cell>
          <cell r="B703">
            <v>1</v>
          </cell>
          <cell r="C703">
            <v>30</v>
          </cell>
          <cell r="D703">
            <v>6</v>
          </cell>
          <cell r="E703">
            <v>9277.1909249999899</v>
          </cell>
          <cell r="F703">
            <v>41.180124999999997</v>
          </cell>
          <cell r="G703">
            <v>7778.505624999967</v>
          </cell>
        </row>
        <row r="704">
          <cell r="A704">
            <v>2006</v>
          </cell>
          <cell r="B704">
            <v>1</v>
          </cell>
          <cell r="C704">
            <v>30</v>
          </cell>
          <cell r="D704">
            <v>7</v>
          </cell>
          <cell r="E704">
            <v>10943.31</v>
          </cell>
          <cell r="F704">
            <v>47.21392500000001</v>
          </cell>
          <cell r="G704">
            <v>9278.5003000000324</v>
          </cell>
        </row>
        <row r="705">
          <cell r="A705">
            <v>2006</v>
          </cell>
          <cell r="B705">
            <v>1</v>
          </cell>
          <cell r="C705">
            <v>30</v>
          </cell>
          <cell r="D705">
            <v>8</v>
          </cell>
          <cell r="E705">
            <v>12311.449649999991</v>
          </cell>
          <cell r="F705">
            <v>53.322674999999997</v>
          </cell>
          <cell r="G705">
            <v>10495.285650000014</v>
          </cell>
        </row>
        <row r="706">
          <cell r="A706">
            <v>2006</v>
          </cell>
          <cell r="B706">
            <v>1</v>
          </cell>
          <cell r="C706">
            <v>30</v>
          </cell>
          <cell r="D706">
            <v>9</v>
          </cell>
          <cell r="E706">
            <v>11983.41917499999</v>
          </cell>
          <cell r="F706">
            <v>50.703375000000015</v>
          </cell>
          <cell r="G706">
            <v>10206.72745</v>
          </cell>
        </row>
        <row r="707">
          <cell r="A707">
            <v>2006</v>
          </cell>
          <cell r="B707">
            <v>1</v>
          </cell>
          <cell r="C707">
            <v>30</v>
          </cell>
          <cell r="D707">
            <v>10</v>
          </cell>
          <cell r="E707">
            <v>11664.88879999997</v>
          </cell>
          <cell r="F707">
            <v>48.754775000000009</v>
          </cell>
          <cell r="G707">
            <v>9888.4428499999849</v>
          </cell>
        </row>
        <row r="708">
          <cell r="A708">
            <v>2006</v>
          </cell>
          <cell r="B708">
            <v>1</v>
          </cell>
          <cell r="C708">
            <v>30</v>
          </cell>
          <cell r="D708">
            <v>11</v>
          </cell>
          <cell r="E708">
            <v>11449.867949999965</v>
          </cell>
          <cell r="F708">
            <v>46.018324999999997</v>
          </cell>
          <cell r="G708">
            <v>9709.9616249999945</v>
          </cell>
        </row>
        <row r="709">
          <cell r="A709">
            <v>2006</v>
          </cell>
          <cell r="B709">
            <v>1</v>
          </cell>
          <cell r="C709">
            <v>30</v>
          </cell>
          <cell r="D709">
            <v>12</v>
          </cell>
          <cell r="E709">
            <v>11244.131799999997</v>
          </cell>
          <cell r="F709">
            <v>46.776600000000002</v>
          </cell>
          <cell r="G709">
            <v>9511.0548250000174</v>
          </cell>
        </row>
        <row r="710">
          <cell r="A710">
            <v>2006</v>
          </cell>
          <cell r="B710">
            <v>1</v>
          </cell>
          <cell r="C710">
            <v>30</v>
          </cell>
          <cell r="D710">
            <v>13</v>
          </cell>
          <cell r="E710">
            <v>11049.646725000001</v>
          </cell>
          <cell r="F710">
            <v>44.624725000000005</v>
          </cell>
          <cell r="G710">
            <v>9308.4120249999833</v>
          </cell>
        </row>
        <row r="711">
          <cell r="A711">
            <v>2006</v>
          </cell>
          <cell r="B711">
            <v>1</v>
          </cell>
          <cell r="C711">
            <v>30</v>
          </cell>
          <cell r="D711">
            <v>14</v>
          </cell>
          <cell r="E711">
            <v>10911.353225000017</v>
          </cell>
          <cell r="F711">
            <v>43.657449999999997</v>
          </cell>
          <cell r="G711">
            <v>9208.7910500000526</v>
          </cell>
        </row>
        <row r="712">
          <cell r="A712">
            <v>2006</v>
          </cell>
          <cell r="B712">
            <v>1</v>
          </cell>
          <cell r="C712">
            <v>30</v>
          </cell>
          <cell r="D712">
            <v>15</v>
          </cell>
          <cell r="E712">
            <v>10701.326299999972</v>
          </cell>
          <cell r="F712">
            <v>39.422775000000001</v>
          </cell>
          <cell r="G712">
            <v>9043.8899000000147</v>
          </cell>
        </row>
        <row r="713">
          <cell r="A713">
            <v>2006</v>
          </cell>
          <cell r="B713">
            <v>1</v>
          </cell>
          <cell r="C713">
            <v>30</v>
          </cell>
          <cell r="D713">
            <v>16</v>
          </cell>
          <cell r="E713">
            <v>10514.468100000026</v>
          </cell>
          <cell r="F713">
            <v>42.946625000000004</v>
          </cell>
          <cell r="G713">
            <v>8881.2447000000229</v>
          </cell>
        </row>
        <row r="714">
          <cell r="A714">
            <v>2006</v>
          </cell>
          <cell r="B714">
            <v>1</v>
          </cell>
          <cell r="C714">
            <v>30</v>
          </cell>
          <cell r="D714">
            <v>17</v>
          </cell>
          <cell r="E714">
            <v>10528.950925000016</v>
          </cell>
          <cell r="F714">
            <v>40.938675000000003</v>
          </cell>
          <cell r="G714">
            <v>8852.6637750000209</v>
          </cell>
        </row>
        <row r="715">
          <cell r="A715">
            <v>2006</v>
          </cell>
          <cell r="B715">
            <v>1</v>
          </cell>
          <cell r="C715">
            <v>30</v>
          </cell>
          <cell r="D715">
            <v>18</v>
          </cell>
          <cell r="E715">
            <v>10550.83420000003</v>
          </cell>
          <cell r="F715">
            <v>41.621225000000003</v>
          </cell>
          <cell r="G715">
            <v>8929.50875000005</v>
          </cell>
        </row>
        <row r="716">
          <cell r="A716">
            <v>2006</v>
          </cell>
          <cell r="B716">
            <v>1</v>
          </cell>
          <cell r="C716">
            <v>30</v>
          </cell>
          <cell r="D716">
            <v>19</v>
          </cell>
          <cell r="E716">
            <v>11381.915100000002</v>
          </cell>
          <cell r="F716">
            <v>46.447749999999992</v>
          </cell>
          <cell r="G716">
            <v>9632.2853750000377</v>
          </cell>
        </row>
        <row r="717">
          <cell r="A717">
            <v>2006</v>
          </cell>
          <cell r="B717">
            <v>1</v>
          </cell>
          <cell r="C717">
            <v>30</v>
          </cell>
          <cell r="D717">
            <v>20</v>
          </cell>
          <cell r="E717">
            <v>11763.577550000002</v>
          </cell>
          <cell r="F717">
            <v>51.188249999999996</v>
          </cell>
          <cell r="G717">
            <v>10048.218600000015</v>
          </cell>
        </row>
        <row r="718">
          <cell r="A718">
            <v>2006</v>
          </cell>
          <cell r="B718">
            <v>1</v>
          </cell>
          <cell r="C718">
            <v>30</v>
          </cell>
          <cell r="D718">
            <v>21</v>
          </cell>
          <cell r="E718">
            <v>11637.37787500002</v>
          </cell>
          <cell r="F718">
            <v>50.537375000000004</v>
          </cell>
          <cell r="G718">
            <v>9965.5748000000203</v>
          </cell>
        </row>
        <row r="719">
          <cell r="A719">
            <v>2006</v>
          </cell>
          <cell r="B719">
            <v>1</v>
          </cell>
          <cell r="C719">
            <v>30</v>
          </cell>
          <cell r="D719">
            <v>22</v>
          </cell>
          <cell r="E719">
            <v>11277.162324999961</v>
          </cell>
          <cell r="F719">
            <v>47.366849999999992</v>
          </cell>
          <cell r="G719">
            <v>9707.9528000000209</v>
          </cell>
        </row>
        <row r="721">
          <cell r="A721">
            <v>2006</v>
          </cell>
          <cell r="B721">
            <v>1</v>
          </cell>
          <cell r="C721">
            <v>30</v>
          </cell>
          <cell r="D721">
            <v>24</v>
          </cell>
          <cell r="E721">
            <v>9928.6776499999851</v>
          </cell>
          <cell r="F721">
            <v>43.241824999999999</v>
          </cell>
          <cell r="G721">
            <v>8486.374075000007</v>
          </cell>
        </row>
        <row r="722">
          <cell r="A722">
            <v>2006</v>
          </cell>
          <cell r="B722">
            <v>1</v>
          </cell>
          <cell r="C722">
            <v>31</v>
          </cell>
          <cell r="D722">
            <v>1</v>
          </cell>
          <cell r="E722">
            <v>9432.9857749999792</v>
          </cell>
          <cell r="F722">
            <v>36.048249999999996</v>
          </cell>
          <cell r="G722">
            <v>8035.8905000000086</v>
          </cell>
        </row>
        <row r="723">
          <cell r="A723">
            <v>2006</v>
          </cell>
          <cell r="B723">
            <v>1</v>
          </cell>
          <cell r="C723">
            <v>31</v>
          </cell>
          <cell r="D723">
            <v>2</v>
          </cell>
          <cell r="E723">
            <v>9334.576525000015</v>
          </cell>
          <cell r="F723">
            <v>31.816999999999997</v>
          </cell>
          <cell r="G723">
            <v>7893.2988500000292</v>
          </cell>
        </row>
        <row r="724">
          <cell r="A724">
            <v>2006</v>
          </cell>
          <cell r="B724">
            <v>1</v>
          </cell>
          <cell r="C724">
            <v>31</v>
          </cell>
          <cell r="D724">
            <v>3</v>
          </cell>
          <cell r="E724">
            <v>9325.5824000000102</v>
          </cell>
          <cell r="F724">
            <v>31.930350000000001</v>
          </cell>
          <cell r="G724">
            <v>7899.5115750000241</v>
          </cell>
        </row>
        <row r="725">
          <cell r="A725">
            <v>2006</v>
          </cell>
          <cell r="B725">
            <v>1</v>
          </cell>
          <cell r="C725">
            <v>31</v>
          </cell>
          <cell r="D725">
            <v>4</v>
          </cell>
          <cell r="E725">
            <v>9493.3651750000226</v>
          </cell>
          <cell r="F725">
            <v>32.211575000000011</v>
          </cell>
          <cell r="G725">
            <v>7990.0589749999917</v>
          </cell>
        </row>
        <row r="726">
          <cell r="A726">
            <v>2006</v>
          </cell>
          <cell r="B726">
            <v>1</v>
          </cell>
          <cell r="C726">
            <v>31</v>
          </cell>
          <cell r="D726">
            <v>5</v>
          </cell>
          <cell r="E726">
            <v>9811.9324999999881</v>
          </cell>
          <cell r="F726">
            <v>33.304375</v>
          </cell>
          <cell r="G726">
            <v>8276.8099500000117</v>
          </cell>
        </row>
        <row r="727">
          <cell r="A727">
            <v>2006</v>
          </cell>
          <cell r="B727">
            <v>1</v>
          </cell>
          <cell r="C727">
            <v>31</v>
          </cell>
          <cell r="D727">
            <v>6</v>
          </cell>
          <cell r="E727">
            <v>10600.891575000009</v>
          </cell>
          <cell r="F727">
            <v>37.236175000000003</v>
          </cell>
          <cell r="G727">
            <v>9047.2920000000049</v>
          </cell>
        </row>
        <row r="728">
          <cell r="A728">
            <v>2006</v>
          </cell>
          <cell r="B728">
            <v>1</v>
          </cell>
          <cell r="C728">
            <v>31</v>
          </cell>
          <cell r="D728">
            <v>7</v>
          </cell>
          <cell r="E728">
            <v>12211.790724999988</v>
          </cell>
          <cell r="F728">
            <v>43.654525</v>
          </cell>
          <cell r="G728">
            <v>10497.012049999994</v>
          </cell>
        </row>
        <row r="729">
          <cell r="A729">
            <v>2006</v>
          </cell>
          <cell r="B729">
            <v>1</v>
          </cell>
          <cell r="C729">
            <v>31</v>
          </cell>
          <cell r="D729">
            <v>8</v>
          </cell>
          <cell r="E729">
            <v>13437.964425000009</v>
          </cell>
          <cell r="F729">
            <v>48.022500000000001</v>
          </cell>
          <cell r="G729">
            <v>11539.568050000067</v>
          </cell>
        </row>
        <row r="730">
          <cell r="A730">
            <v>2006</v>
          </cell>
          <cell r="B730">
            <v>1</v>
          </cell>
          <cell r="C730">
            <v>31</v>
          </cell>
          <cell r="D730">
            <v>9</v>
          </cell>
          <cell r="E730">
            <v>12882.008049999997</v>
          </cell>
          <cell r="F730">
            <v>50.164225000000009</v>
          </cell>
          <cell r="G730">
            <v>10989.841250000019</v>
          </cell>
        </row>
        <row r="731">
          <cell r="A731">
            <v>2006</v>
          </cell>
          <cell r="B731">
            <v>1</v>
          </cell>
          <cell r="C731">
            <v>31</v>
          </cell>
          <cell r="D731">
            <v>10</v>
          </cell>
          <cell r="E731">
            <v>9986.0382249999984</v>
          </cell>
          <cell r="F731">
            <v>41.008974999999992</v>
          </cell>
          <cell r="G731">
            <v>8509.9627750000309</v>
          </cell>
        </row>
        <row r="732">
          <cell r="A732">
            <v>2006</v>
          </cell>
          <cell r="B732">
            <v>1</v>
          </cell>
          <cell r="C732">
            <v>31</v>
          </cell>
          <cell r="D732">
            <v>11</v>
          </cell>
          <cell r="E732">
            <v>9503.3884499999986</v>
          </cell>
          <cell r="F732">
            <v>28.174925000000005</v>
          </cell>
          <cell r="G732">
            <v>8010.8372750000217</v>
          </cell>
        </row>
        <row r="733">
          <cell r="A733">
            <v>2006</v>
          </cell>
          <cell r="B733">
            <v>1</v>
          </cell>
          <cell r="C733">
            <v>31</v>
          </cell>
          <cell r="D733">
            <v>12</v>
          </cell>
          <cell r="E733">
            <v>7441.8431499999861</v>
          </cell>
          <cell r="F733">
            <v>17.069399999999998</v>
          </cell>
          <cell r="G733">
            <v>6217.4995500000268</v>
          </cell>
        </row>
        <row r="734">
          <cell r="A734">
            <v>2006</v>
          </cell>
          <cell r="B734">
            <v>1</v>
          </cell>
          <cell r="C734">
            <v>31</v>
          </cell>
          <cell r="D734">
            <v>13</v>
          </cell>
          <cell r="E734">
            <v>4489.2050250000075</v>
          </cell>
          <cell r="F734">
            <v>14.507075000000002</v>
          </cell>
          <cell r="G734">
            <v>3740.9051250000011</v>
          </cell>
        </row>
        <row r="735">
          <cell r="A735">
            <v>2006</v>
          </cell>
          <cell r="B735">
            <v>1</v>
          </cell>
          <cell r="C735">
            <v>31</v>
          </cell>
          <cell r="D735">
            <v>14</v>
          </cell>
          <cell r="E735">
            <v>10900.931699999994</v>
          </cell>
          <cell r="F735">
            <v>34.953200000000002</v>
          </cell>
          <cell r="G735">
            <v>9224.3137000000261</v>
          </cell>
        </row>
        <row r="736">
          <cell r="A736">
            <v>2006</v>
          </cell>
          <cell r="B736">
            <v>1</v>
          </cell>
          <cell r="C736">
            <v>31</v>
          </cell>
          <cell r="D736">
            <v>15</v>
          </cell>
          <cell r="E736">
            <v>8054.4519750000227</v>
          </cell>
          <cell r="F736">
            <v>23.166425000000004</v>
          </cell>
          <cell r="G736">
            <v>6814.1572250000354</v>
          </cell>
        </row>
        <row r="737">
          <cell r="A737">
            <v>2006</v>
          </cell>
          <cell r="B737">
            <v>1</v>
          </cell>
          <cell r="C737">
            <v>31</v>
          </cell>
          <cell r="D737">
            <v>16</v>
          </cell>
          <cell r="E737">
            <v>8463.8161750000108</v>
          </cell>
          <cell r="F737">
            <v>29.590375000000002</v>
          </cell>
          <cell r="G737">
            <v>7105.3328499999943</v>
          </cell>
        </row>
        <row r="738">
          <cell r="A738">
            <v>2006</v>
          </cell>
          <cell r="B738">
            <v>1</v>
          </cell>
          <cell r="C738">
            <v>31</v>
          </cell>
          <cell r="D738">
            <v>17</v>
          </cell>
          <cell r="E738">
            <v>10477.585724999984</v>
          </cell>
          <cell r="F738">
            <v>33.957700000000003</v>
          </cell>
          <cell r="G738">
            <v>8866.5997499999885</v>
          </cell>
        </row>
        <row r="739">
          <cell r="A739">
            <v>2006</v>
          </cell>
          <cell r="B739">
            <v>1</v>
          </cell>
          <cell r="C739">
            <v>31</v>
          </cell>
          <cell r="D739">
            <v>18</v>
          </cell>
          <cell r="E739">
            <v>10511.836349999976</v>
          </cell>
          <cell r="F739">
            <v>39.573575000000005</v>
          </cell>
          <cell r="G739">
            <v>8956.6339750000097</v>
          </cell>
        </row>
        <row r="740">
          <cell r="A740">
            <v>2006</v>
          </cell>
          <cell r="B740">
            <v>1</v>
          </cell>
          <cell r="C740">
            <v>31</v>
          </cell>
          <cell r="D740">
            <v>19</v>
          </cell>
          <cell r="E740">
            <v>11270.162199999952</v>
          </cell>
          <cell r="F740">
            <v>40.844225000000002</v>
          </cell>
          <cell r="G740">
            <v>9662.5342250000576</v>
          </cell>
        </row>
        <row r="741">
          <cell r="A741">
            <v>2006</v>
          </cell>
          <cell r="B741">
            <v>1</v>
          </cell>
          <cell r="C741">
            <v>31</v>
          </cell>
          <cell r="D741">
            <v>20</v>
          </cell>
          <cell r="E741">
            <v>11592.368825000003</v>
          </cell>
          <cell r="F741">
            <v>42.356700000000011</v>
          </cell>
          <cell r="G741">
            <v>9939.6199499999948</v>
          </cell>
        </row>
        <row r="742">
          <cell r="A742">
            <v>2006</v>
          </cell>
          <cell r="B742">
            <v>1</v>
          </cell>
          <cell r="C742">
            <v>31</v>
          </cell>
          <cell r="D742">
            <v>21</v>
          </cell>
          <cell r="E742">
            <v>11514.426125000025</v>
          </cell>
          <cell r="F742">
            <v>42.771900000000002</v>
          </cell>
          <cell r="G742">
            <v>9828.5143500000049</v>
          </cell>
        </row>
        <row r="743">
          <cell r="A743">
            <v>2006</v>
          </cell>
          <cell r="B743">
            <v>1</v>
          </cell>
          <cell r="C743">
            <v>31</v>
          </cell>
          <cell r="D743">
            <v>22</v>
          </cell>
          <cell r="E743">
            <v>11102.118274999999</v>
          </cell>
          <cell r="F743">
            <v>38.750824999999999</v>
          </cell>
          <cell r="G743">
            <v>9471.3192000000126</v>
          </cell>
        </row>
        <row r="745">
          <cell r="A745">
            <v>2006</v>
          </cell>
          <cell r="B745">
            <v>1</v>
          </cell>
          <cell r="C745">
            <v>31</v>
          </cell>
          <cell r="D745">
            <v>24</v>
          </cell>
          <cell r="E745">
            <v>9345.1728499999863</v>
          </cell>
          <cell r="F745">
            <v>35.830475000000007</v>
          </cell>
          <cell r="G745">
            <v>7995.0888500000065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ed DD"/>
      <sheetName val="Sheet2"/>
      <sheetName val="Chart1"/>
      <sheetName val="Sheet3"/>
      <sheetName val="Chart4"/>
      <sheetName val="Calendar DD"/>
      <sheetName val="Sheet1"/>
      <sheetName val="observed_daily"/>
      <sheetName val="wthr_weights"/>
    </sheetNames>
    <sheetDataSet>
      <sheetData sheetId="0" refreshError="1"/>
      <sheetData sheetId="1" refreshError="1">
        <row r="1">
          <cell r="B1">
            <v>13589</v>
          </cell>
        </row>
        <row r="2">
          <cell r="A2" t="str">
            <v>RevPeriod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mple"/>
      <sheetName val="Daily Actual_August"/>
      <sheetName val="Actual daily Base65_AUG CYC1"/>
      <sheetName val="Actual daily Base70 CYC1"/>
      <sheetName val="Actual daily Base75 CYC1"/>
      <sheetName val="Daily Actual_FEB CYC1"/>
      <sheetName val="Actual daily Base45_FEB CYC1"/>
      <sheetName val="Actual daily Base55_FEB CYC 1"/>
      <sheetName val="Actual daily Base60 FEB CYC 1"/>
      <sheetName val="Example  HEATING"/>
      <sheetName val="Sys&amp;SplineWts"/>
    </sheetNames>
    <sheetDataSet>
      <sheetData sheetId="0" refreshError="1"/>
      <sheetData sheetId="1" refreshError="1">
        <row r="2">
          <cell r="A2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P36"/>
  <x:sheetViews>
    <x:sheetView tabSelected="1" view="pageBreakPreview" zoomScaleNormal="100" zoomScaleSheetLayoutView="100" workbookViewId="0">
      <x:pane xSplit="3" topLeftCell="D1" activePane="topRight" state="frozen"/>
      <x:selection pane="topRight"/>
    </x:sheetView>
  </x:sheetViews>
  <x:sheetFormatPr defaultColWidth="9.109375" defaultRowHeight="13.2" x14ac:dyDescent="0.25"/>
  <x:cols>
    <x:col min="1" max="1" width="8.109375" style="29" customWidth="1"/>
    <x:col min="2" max="2" width="16.88671875" style="29" customWidth="1"/>
    <x:col min="3" max="3" width="4.44140625" style="29" bestFit="1" customWidth="1"/>
    <x:col min="4" max="4" width="9.88671875" style="29" bestFit="1" customWidth="1"/>
    <x:col min="5" max="13" width="9.109375" style="29"/>
    <x:col min="14" max="14" width="9.6640625" style="29" bestFit="1" customWidth="1"/>
    <x:col min="15" max="15" width="9.109375" style="29"/>
    <x:col min="16" max="16" width="9.5546875" style="29" bestFit="1" customWidth="1"/>
    <x:col min="17" max="16384" width="9.109375" style="29"/>
  </x:cols>
  <x:sheetData>
    <x:row r="1" spans="1:16" ht="15.6" x14ac:dyDescent="0.3">
      <x:c r="A1" s="26"/>
      <x:c r="B1" s="67" t="s">
        <x:v>10</x:v>
      </x:c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</x:row>
    <x:row r="2" spans="1:16" ht="15.6" x14ac:dyDescent="0.3">
      <x:c r="A2" s="26"/>
      <x:c r="B2" s="67" t="s">
        <x:v>35</x:v>
      </x:c>
      <x:c r="C2" s="67"/>
      <x:c r="D2" s="67"/>
      <x:c r="E2" s="67"/>
      <x:c r="F2" s="67"/>
      <x:c r="G2" s="68"/>
      <x:c r="H2" s="68"/>
      <x:c r="I2" s="68"/>
      <x:c r="J2" s="68"/>
      <x:c r="K2" s="68"/>
      <x:c r="L2" s="68"/>
      <x:c r="M2" s="68"/>
      <x:c r="N2" s="68"/>
      <x:c r="O2" s="68"/>
      <x:c r="P2" s="68"/>
    </x:row>
    <x:row r="3" spans="1:16" ht="15.6" x14ac:dyDescent="0.3">
      <x:c r="A3" s="26"/>
      <x:c r="B3" s="67" t="s">
        <x:v>39</x:v>
      </x:c>
      <x:c r="C3" s="67"/>
      <x:c r="D3" s="67"/>
      <x:c r="E3" s="67"/>
      <x:c r="F3" s="67"/>
      <x:c r="G3" s="68"/>
      <x:c r="H3" s="68"/>
      <x:c r="I3" s="68"/>
      <x:c r="J3" s="68"/>
      <x:c r="K3" s="68"/>
      <x:c r="L3" s="68"/>
      <x:c r="M3" s="68"/>
      <x:c r="N3" s="68"/>
      <x:c r="O3" s="68"/>
      <x:c r="P3" s="68"/>
    </x:row>
    <x:row r="4" spans="1:16" ht="15.6" x14ac:dyDescent="0.3">
      <x:c r="A4" s="26"/>
      <x:c r="B4" s="69" t="s">
        <x:v>46</x:v>
      </x:c>
      <x:c r="C4" s="69"/>
      <x:c r="D4" s="69"/>
      <x:c r="E4" s="69"/>
      <x:c r="F4" s="69"/>
      <x:c r="G4" s="70"/>
      <x:c r="H4" s="70"/>
      <x:c r="I4" s="70"/>
      <x:c r="J4" s="70"/>
      <x:c r="K4" s="70"/>
      <x:c r="L4" s="70"/>
      <x:c r="M4" s="70"/>
      <x:c r="N4" s="70"/>
      <x:c r="O4" s="70"/>
      <x:c r="P4" s="70"/>
    </x:row>
    <x:row r="5" spans="1:16" ht="15.6" x14ac:dyDescent="0.3">
      <x:c r="A5" s="26"/>
      <x:c r="B5" s="67"/>
      <x:c r="C5" s="67"/>
      <x:c r="D5" s="67"/>
      <x:c r="E5" s="67"/>
      <x:c r="F5" s="67"/>
      <x:c r="G5" s="30"/>
      <x:c r="H5" s="30"/>
      <x:c r="I5" s="31"/>
      <x:c r="J5" s="31"/>
      <x:c r="K5" s="31"/>
      <x:c r="L5" s="31"/>
      <x:c r="M5" s="31"/>
      <x:c r="N5" s="31"/>
      <x:c r="O5" s="31"/>
      <x:c r="P5" s="31"/>
    </x:row>
    <x:row r="6" spans="1:16" ht="15.6" x14ac:dyDescent="0.3">
      <x:c r="A6" s="26"/>
      <x:c r="B6" s="67" t="s">
        <x:v>38</x:v>
      </x:c>
      <x:c r="C6" s="67"/>
      <x:c r="D6" s="67"/>
      <x:c r="E6" s="67"/>
      <x:c r="F6" s="67"/>
      <x:c r="G6" s="68"/>
      <x:c r="H6" s="68"/>
      <x:c r="I6" s="68"/>
      <x:c r="J6" s="68"/>
      <x:c r="K6" s="68"/>
      <x:c r="L6" s="68"/>
      <x:c r="M6" s="68"/>
      <x:c r="N6" s="68"/>
      <x:c r="O6" s="68"/>
      <x:c r="P6" s="68"/>
    </x:row>
    <x:row r="7" spans="1:16" ht="15.6" x14ac:dyDescent="0.3">
      <x:c r="A7" s="26"/>
      <x:c r="B7" s="27"/>
      <x:c r="C7" s="27"/>
      <x:c r="D7" s="27"/>
      <x:c r="E7" s="27"/>
      <x:c r="F7" s="27"/>
      <x:c r="G7" s="28"/>
      <x:c r="H7" s="28"/>
      <x:c r="I7" s="31"/>
      <x:c r="J7" s="31"/>
      <x:c r="K7" s="31"/>
      <x:c r="L7" s="31"/>
      <x:c r="M7" s="31"/>
      <x:c r="N7" s="31"/>
      <x:c r="O7" s="31"/>
      <x:c r="P7" s="31"/>
    </x:row>
    <x:row r="8" spans="1:16" ht="15.6" x14ac:dyDescent="0.3">
      <x:c r="A8" s="26"/>
      <x:c r="B8" s="71" t="s">
        <x:v>47</x:v>
      </x:c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</x:row>
    <x:row r="9" spans="1:16" x14ac:dyDescent="0.25">
      <x:c r="A9" s="26" t="s">
        <x:v>12</x:v>
      </x:c>
      <x:c r="B9" s="26" t="s">
        <x:v>13</x:v>
      </x:c>
      <x:c r="C9" s="26"/>
      <x:c r="D9" s="32" t="s">
        <x:v>14</x:v>
      </x:c>
      <x:c r="E9" s="32" t="s">
        <x:v>15</x:v>
      </x:c>
      <x:c r="F9" s="32" t="s">
        <x:v>16</x:v>
      </x:c>
      <x:c r="G9" s="32" t="s">
        <x:v>17</x:v>
      </x:c>
      <x:c r="H9" s="32" t="s">
        <x:v>18</x:v>
      </x:c>
      <x:c r="I9" s="32" t="s">
        <x:v>19</x:v>
      </x:c>
      <x:c r="J9" s="32" t="s">
        <x:v>20</x:v>
      </x:c>
      <x:c r="K9" s="32" t="s">
        <x:v>21</x:v>
      </x:c>
      <x:c r="L9" s="32" t="s">
        <x:v>22</x:v>
      </x:c>
      <x:c r="M9" s="32" t="s">
        <x:v>23</x:v>
      </x:c>
      <x:c r="N9" s="32" t="s">
        <x:v>24</x:v>
      </x:c>
      <x:c r="O9" s="32" t="s">
        <x:v>25</x:v>
      </x:c>
      <x:c r="P9" s="32" t="s">
        <x:v>26</x:v>
      </x:c>
    </x:row>
    <x:row r="10" spans="1:16" s="39" customFormat="1" x14ac:dyDescent="0.25">
      <x:c r="A10" s="33" t="s">
        <x:v>27</x:v>
      </x:c>
      <x:c r="B10" s="34" t="s">
        <x:v>28</x:v>
      </x:c>
      <x:c r="C10" s="35"/>
      <x:c r="D10" s="36">
        <x:v>36892</x:v>
      </x:c>
      <x:c r="E10" s="37">
        <x:v>36923</x:v>
      </x:c>
      <x:c r="F10" s="37">
        <x:v>36951</x:v>
      </x:c>
      <x:c r="G10" s="37">
        <x:v>36982</x:v>
      </x:c>
      <x:c r="H10" s="37">
        <x:v>37012</x:v>
      </x:c>
      <x:c r="I10" s="37">
        <x:v>37043</x:v>
      </x:c>
      <x:c r="J10" s="37">
        <x:v>37073</x:v>
      </x:c>
      <x:c r="K10" s="37">
        <x:v>37104</x:v>
      </x:c>
      <x:c r="L10" s="37">
        <x:v>37135</x:v>
      </x:c>
      <x:c r="M10" s="37">
        <x:v>37165</x:v>
      </x:c>
      <x:c r="N10" s="37">
        <x:v>37196</x:v>
      </x:c>
      <x:c r="O10" s="37">
        <x:v>37226</x:v>
      </x:c>
      <x:c r="P10" s="38" t="s">
        <x:v>0</x:v>
      </x:c>
    </x:row>
    <x:row r="11" spans="1:16" x14ac:dyDescent="0.25">
      <x:c r="A11" s="40">
        <x:v>1</x:v>
      </x:c>
      <x:c r="B11" s="30" t="s">
        <x:v>29</x:v>
      </x:c>
      <x:c r="C11" s="41"/>
      <x:c r="D11" s="42">
        <x:f>+'SECGT10 Monthly Weather Weights'!C11</x:f>
        <x:v>0.73809943092901531</x:v>
      </x:c>
      <x:c r="E11" s="42">
        <x:f>+'SECGT10 Monthly Weather Weights'!D11</x:f>
        <x:v>0.73645071511989402</x:v>
      </x:c>
      <x:c r="F11" s="42">
        <x:f>+'SECGT10 Monthly Weather Weights'!E11</x:f>
        <x:v>0.73448838413479556</x:v>
      </x:c>
      <x:c r="G11" s="42">
        <x:f>+'SECGT10 Monthly Weather Weights'!F11</x:f>
        <x:v>0.73282169058918323</x:v>
      </x:c>
      <x:c r="H11" s="42">
        <x:f>+'SECGT10 Monthly Weather Weights'!G11</x:f>
        <x:v>0.73368948694883729</x:v>
      </x:c>
      <x:c r="I11" s="42">
        <x:f>+'SECGT10 Monthly Weather Weights'!H11</x:f>
        <x:v>0.74044528944262489</x:v>
      </x:c>
      <x:c r="J11" s="42">
        <x:f>+'SECGT10 Monthly Weather Weights'!I11</x:f>
        <x:v>0.73692629126830611</x:v>
      </x:c>
      <x:c r="K11" s="42">
        <x:f>+'SECGT10 Monthly Weather Weights'!J11</x:f>
        <x:v>0.73888794170637828</x:v>
      </x:c>
      <x:c r="L11" s="42">
        <x:f>+'SECGT10 Monthly Weather Weights'!K11</x:f>
        <x:v>0.73884176981578431</x:v>
      </x:c>
      <x:c r="M11" s="42">
        <x:f>+'SECGT10 Monthly Weather Weights'!L11</x:f>
        <x:v>0.73947753986129694</x:v>
      </x:c>
      <x:c r="N11" s="42">
        <x:f>+'SECGT10 Monthly Weather Weights'!M11</x:f>
        <x:v>0.73647134878853027</x:v>
      </x:c>
      <x:c r="O11" s="42">
        <x:f>+'SECGT10 Monthly Weather Weights'!N11</x:f>
        <x:v>0.73448081327189696</x:v>
      </x:c>
      <x:c r="P11" s="42">
        <x:f>+'SECGT10 Monthly Weather Weights'!O11</x:f>
        <x:v>0.73696442987694355</x:v>
      </x:c>
    </x:row>
    <x:row r="12" spans="1:16" x14ac:dyDescent="0.25">
      <x:c r="A12" s="40">
        <x:f>+A11+1</x:f>
        <x:v>2</x:v>
      </x:c>
      <x:c r="B12" s="30" t="s">
        <x:v>30</x:v>
      </x:c>
      <x:c r="C12" s="41"/>
      <x:c r="D12" s="42">
        <x:f>+'SECGT10 Monthly Weather Weights'!C12</x:f>
        <x:v>7.2014840229198518E-2</x:v>
      </x:c>
      <x:c r="E12" s="42">
        <x:f>+'SECGT10 Monthly Weather Weights'!D12</x:f>
        <x:v>7.3220001476724875E-2</x:v>
      </x:c>
      <x:c r="F12" s="42">
        <x:f>+'SECGT10 Monthly Weather Weights'!E12</x:f>
        <x:v>7.316659889328625E-2</x:v>
      </x:c>
      <x:c r="G12" s="42">
        <x:f>+'SECGT10 Monthly Weather Weights'!F12</x:f>
        <x:v>7.5845117343970675E-2</x:v>
      </x:c>
      <x:c r="H12" s="42">
        <x:f>+'SECGT10 Monthly Weather Weights'!G12</x:f>
        <x:v>7.2564184915924521E-2</x:v>
      </x:c>
      <x:c r="I12" s="42">
        <x:f>+'SECGT10 Monthly Weather Weights'!H12</x:f>
        <x:v>6.6924378778714891E-2</x:v>
      </x:c>
      <x:c r="J12" s="42">
        <x:f>+'SECGT10 Monthly Weather Weights'!I12</x:f>
        <x:v>6.7407717971516609E-2</x:v>
      </x:c>
      <x:c r="K12" s="42">
        <x:f>+'SECGT10 Monthly Weather Weights'!J12</x:f>
        <x:v>6.5742486964662727E-2</x:v>
      </x:c>
      <x:c r="L12" s="42">
        <x:f>+'SECGT10 Monthly Weather Weights'!K12</x:f>
        <x:v>6.3500729766719805E-2</x:v>
      </x:c>
      <x:c r="M12" s="42">
        <x:f>+'SECGT10 Monthly Weather Weights'!L12</x:f>
        <x:v>6.4205886008692301E-2</x:v>
      </x:c>
      <x:c r="N12" s="42">
        <x:f>+'SECGT10 Monthly Weather Weights'!M12</x:f>
        <x:v>7.02211101088311E-2</x:v>
      </x:c>
      <x:c r="O12" s="42">
        <x:f>+'SECGT10 Monthly Weather Weights'!N12</x:f>
        <x:v>7.4220093785135263E-2</x:v>
      </x:c>
      <x:c r="P12" s="42">
        <x:f>+'SECGT10 Monthly Weather Weights'!O12</x:f>
        <x:v>6.9427565754597548E-2</x:v>
      </x:c>
    </x:row>
    <x:row r="13" spans="1:16" x14ac:dyDescent="0.25">
      <x:c r="A13" s="40">
        <x:f t="shared" ref="A13:A36" si="0">+A12+1</x:f>
        <x:v>3</x:v>
      </x:c>
      <x:c r="B13" s="30" t="s">
        <x:v>5</x:v>
      </x:c>
      <x:c r="C13" s="41"/>
      <x:c r="D13" s="42">
        <x:f>+'SECGT10 Monthly Weather Weights'!C13</x:f>
        <x:v>2.3933488712172098E-2</x:v>
      </x:c>
      <x:c r="E13" s="42">
        <x:f>+'SECGT10 Monthly Weather Weights'!D13</x:f>
        <x:v>2.4018641096813204E-2</x:v>
      </x:c>
      <x:c r="F13" s="42">
        <x:f>+'SECGT10 Monthly Weather Weights'!E13</x:f>
        <x:v>2.4026880651734188E-2</x:v>
      </x:c>
      <x:c r="G13" s="42">
        <x:f>+'SECGT10 Monthly Weather Weights'!F13</x:f>
        <x:v>2.4485182057289959E-2</x:v>
      </x:c>
      <x:c r="H13" s="42">
        <x:f>+'SECGT10 Monthly Weather Weights'!G13</x:f>
        <x:v>2.4836226984065062E-2</x:v>
      </x:c>
      <x:c r="I13" s="42">
        <x:f>+'SECGT10 Monthly Weather Weights'!H13</x:f>
        <x:v>2.5214532241033111E-2</x:v>
      </x:c>
      <x:c r="J13" s="42">
        <x:f>+'SECGT10 Monthly Weather Weights'!I13</x:f>
        <x:v>2.4974872091860615E-2</x:v>
      </x:c>
      <x:c r="K13" s="42">
        <x:f>+'SECGT10 Monthly Weather Weights'!J13</x:f>
        <x:v>2.4737832009825645E-2</x:v>
      </x:c>
      <x:c r="L13" s="42">
        <x:f>+'SECGT10 Monthly Weather Weights'!K13</x:f>
        <x:v>2.4839112610876297E-2</x:v>
      </x:c>
      <x:c r="M13" s="42">
        <x:f>+'SECGT10 Monthly Weather Weights'!L13</x:f>
        <x:v>2.4524929251933728E-2</x:v>
      </x:c>
      <x:c r="N13" s="42">
        <x:f>+'SECGT10 Monthly Weather Weights'!M13</x:f>
        <x:v>2.442241981725193E-2</x:v>
      </x:c>
      <x:c r="O13" s="42">
        <x:f>+'SECGT10 Monthly Weather Weights'!N13</x:f>
        <x:v>2.395186673810273E-2</x:v>
      </x:c>
      <x:c r="P13" s="42">
        <x:f>+'SECGT10 Monthly Weather Weights'!O13</x:f>
        <x:v>2.4535470427255159E-2</x:v>
      </x:c>
    </x:row>
    <x:row r="14" spans="1:16" x14ac:dyDescent="0.25">
      <x:c r="A14" s="40">
        <x:f t="shared" si="0"/>
        <x:v>4</x:v>
      </x:c>
      <x:c r="B14" s="30" t="s">
        <x:v>9</x:v>
      </x:c>
      <x:c r="C14" s="41"/>
      <x:c r="D14" s="42">
        <x:f>+'SECGT10 Monthly Weather Weights'!C14</x:f>
        <x:v>1.0887982336084163E-2</x:v>
      </x:c>
      <x:c r="E14" s="42">
        <x:f>+'SECGT10 Monthly Weather Weights'!D14</x:f>
        <x:v>1.1136679837599027E-2</x:v>
      </x:c>
      <x:c r="F14" s="42">
        <x:f>+'SECGT10 Monthly Weather Weights'!E14</x:f>
        <x:v>1.084455315957167E-2</x:v>
      </x:c>
      <x:c r="G14" s="42">
        <x:f>+'SECGT10 Monthly Weather Weights'!F14</x:f>
        <x:v>1.070708197585064E-2</x:v>
      </x:c>
      <x:c r="H14" s="42">
        <x:f>+'SECGT10 Monthly Weather Weights'!G14</x:f>
        <x:v>1.0641905336907126E-2</x:v>
      </x:c>
      <x:c r="I14" s="42">
        <x:f>+'SECGT10 Monthly Weather Weights'!H14</x:f>
        <x:v>6.8244114454428517E-3</x:v>
      </x:c>
      <x:c r="J14" s="42">
        <x:f>+'SECGT10 Monthly Weather Weights'!I14</x:f>
        <x:v>1.09319882274189E-2</x:v>
      </x:c>
      <x:c r="K14" s="42">
        <x:f>+'SECGT10 Monthly Weather Weights'!J14</x:f>
        <x:v>1.0987608059593324E-2</x:v>
      </x:c>
      <x:c r="L14" s="42">
        <x:f>+'SECGT10 Monthly Weather Weights'!K14</x:f>
        <x:v>1.0850571894827047E-2</x:v>
      </x:c>
      <x:c r="M14" s="42">
        <x:f>+'SECGT10 Monthly Weather Weights'!L14</x:f>
        <x:v>1.0172650666657949E-2</x:v>
      </x:c>
      <x:c r="N14" s="42">
        <x:f>+'SECGT10 Monthly Weather Weights'!M14</x:f>
        <x:v>9.9136218242871169E-3</x:v>
      </x:c>
      <x:c r="O14" s="42">
        <x:f>+'SECGT10 Monthly Weather Weights'!N14</x:f>
        <x:v>1.0363100438899705E-2</x:v>
      </x:c>
      <x:c r="P14" s="42">
        <x:f>+'SECGT10 Monthly Weather Weights'!O14</x:f>
        <x:v>1.035926476185022E-2</x:v>
      </x:c>
    </x:row>
    <x:row r="15" spans="1:16" x14ac:dyDescent="0.25">
      <x:c r="A15" s="40">
        <x:f t="shared" si="0"/>
        <x:v>5</x:v>
      </x:c>
      <x:c r="B15" s="30" t="s">
        <x:v>42</x:v>
      </x:c>
      <x:c r="C15" s="41"/>
      <x:c r="D15" s="42">
        <x:f>+'SECGT10 Monthly Weather Weights'!C15</x:f>
        <x:v>2.3990112611091984E-2</x:v>
      </x:c>
      <x:c r="E15" s="42">
        <x:f>+'SECGT10 Monthly Weather Weights'!D15</x:f>
        <x:v>2.4379688513279162E-2</x:v>
      </x:c>
      <x:c r="F15" s="42">
        <x:f>+'SECGT10 Monthly Weather Weights'!E15</x:f>
        <x:v>2.4528480970382183E-2</x:v>
      </x:c>
      <x:c r="G15" s="42">
        <x:f>+'SECGT10 Monthly Weather Weights'!F15</x:f>
        <x:v>2.3816952567037742E-2</x:v>
      </x:c>
      <x:c r="H15" s="42">
        <x:f>+'SECGT10 Monthly Weather Weights'!G15</x:f>
        <x:v>2.3478475863500565E-2</x:v>
      </x:c>
      <x:c r="I15" s="42">
        <x:f>+'SECGT10 Monthly Weather Weights'!H15</x:f>
        <x:v>2.3671557861787346E-2</x:v>
      </x:c>
      <x:c r="J15" s="42">
        <x:f>+'SECGT10 Monthly Weather Weights'!I15</x:f>
        <x:v>2.3682202360007357E-2</x:v>
      </x:c>
      <x:c r="K15" s="42">
        <x:f>+'SECGT10 Monthly Weather Weights'!J15</x:f>
        <x:v>2.3936227171450494E-2</x:v>
      </x:c>
      <x:c r="L15" s="42">
        <x:f>+'SECGT10 Monthly Weather Weights'!K15</x:f>
        <x:v>2.4185414681479105E-2</x:v>
      </x:c>
      <x:c r="M15" s="42">
        <x:f>+'SECGT10 Monthly Weather Weights'!L15</x:f>
        <x:v>2.4036245043013542E-2</x:v>
      </x:c>
      <x:c r="N15" s="42">
        <x:f>+'SECGT10 Monthly Weather Weights'!M15</x:f>
        <x:v>2.3374303162362078E-2</x:v>
      </x:c>
      <x:c r="O15" s="42">
        <x:f>+'SECGT10 Monthly Weather Weights'!N15</x:f>
        <x:v>2.410301194986475E-2</x:v>
      </x:c>
      <x:c r="P15" s="42">
        <x:f>+'SECGT10 Monthly Weather Weights'!O15</x:f>
        <x:v>2.3929384288723821E-2</x:v>
      </x:c>
    </x:row>
    <x:row r="16" spans="1:16" x14ac:dyDescent="0.25">
      <x:c r="A16" s="40">
        <x:f t="shared" si="0"/>
        <x:v>6</x:v>
      </x:c>
      <x:c r="B16" s="30" t="s">
        <x:v>31</x:v>
      </x:c>
      <x:c r="C16" s="41"/>
      <x:c r="D16" s="42">
        <x:f>+'SECGT10 Monthly Weather Weights'!C16</x:f>
        <x:v>2.6520175432384056E-2</x:v>
      </x:c>
      <x:c r="E16" s="42">
        <x:f>+'SECGT10 Monthly Weather Weights'!D16</x:f>
        <x:v>2.6764592084266792E-2</x:v>
      </x:c>
      <x:c r="F16" s="42">
        <x:f>+'SECGT10 Monthly Weather Weights'!E16</x:f>
        <x:v>2.7112215871776483E-2</x:v>
      </x:c>
      <x:c r="G16" s="42">
        <x:f>+'SECGT10 Monthly Weather Weights'!F16</x:f>
        <x:v>2.6901610518966706E-2</x:v>
      </x:c>
      <x:c r="H16" s="42">
        <x:f>+'SECGT10 Monthly Weather Weights'!G16</x:f>
        <x:v>2.7420974443951852E-2</x:v>
      </x:c>
      <x:c r="I16" s="42">
        <x:f>+'SECGT10 Monthly Weather Weights'!H16</x:f>
        <x:v>2.7630763159077056E-2</x:v>
      </x:c>
      <x:c r="J16" s="42">
        <x:f>+'SECGT10 Monthly Weather Weights'!I16</x:f>
        <x:v>2.7309359957492712E-2</x:v>
      </x:c>
      <x:c r="K16" s="42">
        <x:f>+'SECGT10 Monthly Weather Weights'!J16</x:f>
        <x:v>2.7386463472124322E-2</x:v>
      </x:c>
      <x:c r="L16" s="42">
        <x:f>+'SECGT10 Monthly Weather Weights'!K16</x:f>
        <x:v>2.785110177357273E-2</x:v>
      </x:c>
      <x:c r="M16" s="42">
        <x:f>+'SECGT10 Monthly Weather Weights'!L16</x:f>
        <x:v>2.7959080576357244E-2</x:v>
      </x:c>
      <x:c r="N16" s="42">
        <x:f>+'SECGT10 Monthly Weather Weights'!M16</x:f>
        <x:v>2.7611926270005117E-2</x:v>
      </x:c>
      <x:c r="O16" s="42">
        <x:f>+'SECGT10 Monthly Weather Weights'!N16</x:f>
        <x:v>2.717412835600826E-2</x:v>
      </x:c>
      <x:c r="P16" s="42">
        <x:f>+'SECGT10 Monthly Weather Weights'!O16</x:f>
        <x:v>2.7336566813513572E-2</x:v>
      </x:c>
    </x:row>
    <x:row r="17" spans="1:16" x14ac:dyDescent="0.25">
      <x:c r="A17" s="40">
        <x:f t="shared" si="0"/>
        <x:v>7</x:v>
      </x:c>
      <x:c r="B17" s="30" t="s">
        <x:v>3</x:v>
      </x:c>
      <x:c r="C17" s="41"/>
      <x:c r="D17" s="42">
        <x:f>+'SECGT10 Monthly Weather Weights'!C17</x:f>
        <x:v>3.1941384301448411E-2</x:v>
      </x:c>
      <x:c r="E17" s="42">
        <x:f>+'SECGT10 Monthly Weather Weights'!D17</x:f>
        <x:v>3.1820219511938461E-2</x:v>
      </x:c>
      <x:c r="F17" s="42">
        <x:f>+'SECGT10 Monthly Weather Weights'!E17</x:f>
        <x:v>3.2552429798929014E-2</x:v>
      </x:c>
      <x:c r="G17" s="42">
        <x:f>+'SECGT10 Monthly Weather Weights'!F17</x:f>
        <x:v>3.2402357149272559E-2</x:v>
      </x:c>
      <x:c r="H17" s="42">
        <x:f>+'SECGT10 Monthly Weather Weights'!G17</x:f>
        <x:v>3.3065372277019923E-2</x:v>
      </x:c>
      <x:c r="I17" s="42">
        <x:f>+'SECGT10 Monthly Weather Weights'!H17</x:f>
        <x:v>3.3673474862453118E-2</x:v>
      </x:c>
      <x:c r="J17" s="42">
        <x:f>+'SECGT10 Monthly Weather Weights'!I17</x:f>
        <x:v>3.3763142689966615E-2</x:v>
      </x:c>
      <x:c r="K17" s="42">
        <x:f>+'SECGT10 Monthly Weather Weights'!J17</x:f>
        <x:v>3.3608391377179532E-2</x:v>
      </x:c>
      <x:c r="L17" s="42">
        <x:f>+'SECGT10 Monthly Weather Weights'!K17</x:f>
        <x:v>3.4102657418309951E-2</x:v>
      </x:c>
      <x:c r="M17" s="42">
        <x:f>+'SECGT10 Monthly Weather Weights'!L17</x:f>
        <x:v>3.4488161145752927E-2</x:v>
      </x:c>
      <x:c r="N17" s="42">
        <x:f>+'SECGT10 Monthly Weather Weights'!M17</x:f>
        <x:v>3.3931228940917858E-2</x:v>
      </x:c>
      <x:c r="O17" s="42">
        <x:f>+'SECGT10 Monthly Weather Weights'!N17</x:f>
        <x:v>3.2331174037767106E-2</x:v>
      </x:c>
      <x:c r="P17" s="42">
        <x:f>+'SECGT10 Monthly Weather Weights'!O17</x:f>
        <x:v>3.3226325451440192E-2</x:v>
      </x:c>
    </x:row>
    <x:row r="18" spans="1:16" x14ac:dyDescent="0.25">
      <x:c r="A18" s="40">
        <x:f t="shared" si="0"/>
        <x:v>8</x:v>
      </x:c>
      <x:c r="B18" s="30" t="s">
        <x:v>32</x:v>
      </x:c>
      <x:c r="C18" s="41"/>
      <x:c r="D18" s="42">
        <x:f>+'SECGT10 Monthly Weather Weights'!C18</x:f>
        <x:v>1.3696096080933627E-2</x:v>
      </x:c>
      <x:c r="E18" s="42">
        <x:f>+'SECGT10 Monthly Weather Weights'!D18</x:f>
        <x:v>1.3998398399461336E-2</x:v>
      </x:c>
      <x:c r="F18" s="42">
        <x:f>+'SECGT10 Monthly Weather Weights'!E18</x:f>
        <x:v>1.4241169704726119E-2</x:v>
      </x:c>
      <x:c r="G18" s="42">
        <x:f>+'SECGT10 Monthly Weather Weights'!F18</x:f>
        <x:v>1.3631317036838245E-2</x:v>
      </x:c>
      <x:c r="H18" s="42">
        <x:f>+'SECGT10 Monthly Weather Weights'!G18</x:f>
        <x:v>1.3768960435037947E-2</x:v>
      </x:c>
      <x:c r="I18" s="42">
        <x:f>+'SECGT10 Monthly Weather Weights'!H18</x:f>
        <x:v>1.4131390214286945E-2</x:v>
      </x:c>
      <x:c r="J18" s="42">
        <x:f>+'SECGT10 Monthly Weather Weights'!I18</x:f>
        <x:v>1.4487373246176946E-2</x:v>
      </x:c>
      <x:c r="K18" s="42">
        <x:f>+'SECGT10 Monthly Weather Weights'!J18</x:f>
        <x:v>1.4722876679696921E-2</x:v>
      </x:c>
      <x:c r="L18" s="42">
        <x:f>+'SECGT10 Monthly Weather Weights'!K18</x:f>
        <x:v>1.4827486613133016E-2</x:v>
      </x:c>
      <x:c r="M18" s="42">
        <x:f>+'SECGT10 Monthly Weather Weights'!L18</x:f>
        <x:v>1.4575938820659183E-2</x:v>
      </x:c>
      <x:c r="N18" s="42">
        <x:f>+'SECGT10 Monthly Weather Weights'!M18</x:f>
        <x:v>1.3881213123973796E-2</x:v>
      </x:c>
      <x:c r="O18" s="42">
        <x:f>+'SECGT10 Monthly Weather Weights'!N18</x:f>
        <x:v>1.3748347627863044E-2</x:v>
      </x:c>
      <x:c r="P18" s="42">
        <x:f>+'SECGT10 Monthly Weather Weights'!O18</x:f>
        <x:v>1.4193923808924723E-2</x:v>
      </x:c>
    </x:row>
    <x:row r="19" spans="1:16" x14ac:dyDescent="0.25">
      <x:c r="A19" s="40">
        <x:f t="shared" si="0"/>
        <x:v>9</x:v>
      </x:c>
      <x:c r="B19" s="30" t="s">
        <x:v>8</x:v>
      </x:c>
      <x:c r="C19" s="41"/>
      <x:c r="D19" s="42">
        <x:f>+'SECGT10 Monthly Weather Weights'!C19</x:f>
        <x:v>3.0542201326663746E-2</x:v>
      </x:c>
      <x:c r="E19" s="42">
        <x:f>+'SECGT10 Monthly Weather Weights'!D19</x:f>
        <x:v>3.0313625431761793E-2</x:v>
      </x:c>
      <x:c r="F19" s="42">
        <x:f>+'SECGT10 Monthly Weather Weights'!E19</x:f>
        <x:v>3.0667348817206636E-2</x:v>
      </x:c>
      <x:c r="G19" s="42">
        <x:f>+'SECGT10 Monthly Weather Weights'!F19</x:f>
        <x:v>3.0333630526113826E-2</x:v>
      </x:c>
      <x:c r="H19" s="42">
        <x:f>+'SECGT10 Monthly Weather Weights'!G19</x:f>
        <x:v>3.0702554676748785E-2</x:v>
      </x:c>
      <x:c r="I19" s="42">
        <x:f>+'SECGT10 Monthly Weather Weights'!H19</x:f>
        <x:v>3.1410057579788583E-2</x:v>
      </x:c>
      <x:c r="J19" s="42">
        <x:f>+'SECGT10 Monthly Weather Weights'!I19</x:f>
        <x:v>3.1353177255206456E-2</x:v>
      </x:c>
      <x:c r="K19" s="42">
        <x:f>+'SECGT10 Monthly Weather Weights'!J19</x:f>
        <x:v>3.1216790949248792E-2</x:v>
      </x:c>
      <x:c r="L19" s="42">
        <x:f>+'SECGT10 Monthly Weather Weights'!K19</x:f>
        <x:v>3.1360314611681601E-2</x:v>
      </x:c>
      <x:c r="M19" s="42">
        <x:f>+'SECGT10 Monthly Weather Weights'!L19</x:f>
        <x:v>3.1075127690380056E-2</x:v>
      </x:c>
      <x:c r="N19" s="42">
        <x:f>+'SECGT10 Monthly Weather Weights'!M19</x:f>
        <x:v>3.0493313742993477E-2</x:v>
      </x:c>
      <x:c r="O19" s="42">
        <x:f>+'SECGT10 Monthly Weather Weights'!N19</x:f>
        <x:v>3.0535065157640734E-2</x:v>
      </x:c>
      <x:c r="P19" s="42">
        <x:f>+'SECGT10 Monthly Weather Weights'!O19</x:f>
        <x:v>3.0883103274725321E-2</x:v>
      </x:c>
    </x:row>
    <x:row r="20" spans="1:16" x14ac:dyDescent="0.25">
      <x:c r="A20" s="40">
        <x:f t="shared" si="0"/>
        <x:v>10</x:v>
      </x:c>
      <x:c r="B20" s="30" t="s">
        <x:v>6</x:v>
      </x:c>
      <x:c r="C20" s="41"/>
      <x:c r="D20" s="43">
        <x:f>+'SECGT10 Monthly Weather Weights'!C20</x:f>
        <x:v>2.8374288041008281E-2</x:v>
      </x:c>
      <x:c r="E20" s="43">
        <x:f>+'SECGT10 Monthly Weather Weights'!D20</x:f>
        <x:v>2.7897438528261299E-2</x:v>
      </x:c>
      <x:c r="F20" s="43">
        <x:f>+'SECGT10 Monthly Weather Weights'!E20</x:f>
        <x:v>2.8371937997591867E-2</x:v>
      </x:c>
      <x:c r="G20" s="43">
        <x:f>+'SECGT10 Monthly Weather Weights'!F20</x:f>
        <x:v>2.9055060235476299E-2</x:v>
      </x:c>
      <x:c r="H20" s="43">
        <x:f>+'SECGT10 Monthly Weather Weights'!G20</x:f>
        <x:v>2.9831858118006864E-2</x:v>
      </x:c>
      <x:c r="I20" s="43">
        <x:f>+'SECGT10 Monthly Weather Weights'!H20</x:f>
        <x:v>3.0074144414791081E-2</x:v>
      </x:c>
      <x:c r="J20" s="43">
        <x:f>+'SECGT10 Monthly Weather Weights'!I20</x:f>
        <x:v>2.9163874932047633E-2</x:v>
      </x:c>
      <x:c r="K20" s="43">
        <x:f>+'SECGT10 Monthly Weather Weights'!J20</x:f>
        <x:v>2.8773381609839953E-2</x:v>
      </x:c>
      <x:c r="L20" s="43">
        <x:f>+'SECGT10 Monthly Weather Weights'!K20</x:f>
        <x:v>2.9640840813616207E-2</x:v>
      </x:c>
      <x:c r="M20" s="43">
        <x:f>+'SECGT10 Monthly Weather Weights'!L20</x:f>
        <x:v>2.9484440935256154E-2</x:v>
      </x:c>
      <x:c r="N20" s="43">
        <x:f>+'SECGT10 Monthly Weather Weights'!M20</x:f>
        <x:v>2.967951422084732E-2</x:v>
      </x:c>
      <x:c r="O20" s="43">
        <x:f>+'SECGT10 Monthly Weather Weights'!N20</x:f>
        <x:v>2.90923986368215E-2</x:v>
      </x:c>
      <x:c r="P20" s="43">
        <x:f>+'SECGT10 Monthly Weather Weights'!O20</x:f>
        <x:v>2.9143965542026116E-2</x:v>
      </x:c>
    </x:row>
    <x:row r="21" spans="1:16" x14ac:dyDescent="0.25">
      <x:c r="A21" s="40">
        <x:f t="shared" si="0"/>
        <x:v>11</x:v>
      </x:c>
      <x:c r="C21" s="41"/>
      <x:c r="D21" s="44">
        <x:f t="shared" ref="D21:P21" si="1">SUM(D11:D20)</x:f>
        <x:v>1.0000000000000002</x:v>
      </x:c>
      <x:c r="E21" s="44">
        <x:f t="shared" si="1"/>
        <x:v>1</x:v>
      </x:c>
      <x:c r="F21" s="44">
        <x:f t="shared" si="1"/>
        <x:v>1</x:v>
      </x:c>
      <x:c r="G21" s="44">
        <x:f t="shared" si="1"/>
        <x:v>1</x:v>
      </x:c>
      <x:c r="H21" s="44">
        <x:f t="shared" si="1"/>
        <x:v>0.99999999999999989</x:v>
      </x:c>
      <x:c r="I21" s="44">
        <x:f t="shared" si="1"/>
        <x:v>0.99999999999999989</x:v>
      </x:c>
      <x:c r="J21" s="44">
        <x:f t="shared" si="1"/>
        <x:v>1</x:v>
      </x:c>
      <x:c r="K21" s="44">
        <x:f t="shared" si="1"/>
        <x:v>1</x:v>
      </x:c>
      <x:c r="L21" s="44">
        <x:f t="shared" si="1"/>
        <x:v>1.0000000000000002</x:v>
      </x:c>
      <x:c r="M21" s="44">
        <x:f t="shared" si="1"/>
        <x:v>0.99999999999999989</x:v>
      </x:c>
      <x:c r="N21" s="44">
        <x:f t="shared" si="1"/>
        <x:v>1</x:v>
      </x:c>
      <x:c r="O21" s="44">
        <x:f t="shared" si="1"/>
        <x:v>0.99999999999999989</x:v>
      </x:c>
      <x:c r="P21" s="44">
        <x:f t="shared" si="1"/>
        <x:v>1.0000000000000002</x:v>
      </x:c>
    </x:row>
    <x:row r="22" spans="1:16" x14ac:dyDescent="0.25">
      <x:c r="A22" s="40">
        <x:f t="shared" si="0"/>
        <x:v>12</x:v>
      </x:c>
    </x:row>
    <x:row r="23" spans="1:16" ht="15.6" x14ac:dyDescent="0.3">
      <x:c r="A23" s="40">
        <x:f t="shared" si="0"/>
        <x:v>13</x:v>
      </x:c>
      <x:c r="D23" s="64" t="s">
        <x:v>40</x:v>
      </x:c>
      <x:c r="E23" s="65"/>
      <x:c r="F23" s="66"/>
      <x:c r="G23" s="27"/>
      <x:c r="H23" s="27"/>
      <x:c r="I23" s="28"/>
      <x:c r="J23" s="28"/>
    </x:row>
    <x:row r="24" spans="1:16" x14ac:dyDescent="0.25">
      <x:c r="A24" s="40">
        <x:f t="shared" si="0"/>
        <x:v>14</x:v>
      </x:c>
      <x:c r="D24" s="29" t="s">
        <x:v>36</x:v>
      </x:c>
      <x:c r="F24" s="29" t="s">
        <x:v>37</x:v>
      </x:c>
    </x:row>
    <x:row r="25" spans="1:16" x14ac:dyDescent="0.25">
      <x:c r="A25" s="40">
        <x:f t="shared" si="0"/>
        <x:v>15</x:v>
      </x:c>
      <x:c r="B25" s="34" t="s">
        <x:v>28</x:v>
      </x:c>
      <x:c r="D25" s="48" t="s">
        <x:v>43</x:v>
      </x:c>
      <x:c r="E25" s="48"/>
      <x:c r="F25" s="48" t="s">
        <x:v>44</x:v>
      </x:c>
    </x:row>
    <x:row r="26" spans="1:16" ht="13.8" x14ac:dyDescent="0.3">
      <x:c r="A26" s="40">
        <x:f t="shared" si="0"/>
        <x:v>16</x:v>
      </x:c>
      <x:c r="B26" s="29" t="s">
        <x:v>29</x:v>
      </x:c>
      <x:c r="D26" s="45">
        <x:f>ROUND(AVERAGE(D11:F11,N11:O11),3)</x:f>
        <x:v>0.73599999999999999</x:v>
      </x:c>
      <x:c r="F26" s="45">
        <x:f>ROUND(AVERAGE(H11:L11),3)</x:f>
        <x:v>0.73799999999999999</x:v>
      </x:c>
      <x:c r="H26" s="46"/>
      <x:c r="I26" s="46"/>
      <x:c r="K26" s="47"/>
      <x:c r="L26" s="47"/>
    </x:row>
    <x:row r="27" spans="1:16" x14ac:dyDescent="0.25">
      <x:c r="A27" s="40">
        <x:f t="shared" si="0"/>
        <x:v>17</x:v>
      </x:c>
      <x:c r="B27" s="29" t="s">
        <x:v>30</x:v>
      </x:c>
      <x:c r="D27" s="45">
        <x:f t="shared" ref="D27:D34" si="2">ROUND(AVERAGE(D12:F12,N12:O12),3)</x:f>
        <x:v>7.2999999999999995E-2</x:v>
      </x:c>
      <x:c r="F27" s="45">
        <x:f t="shared" ref="F27:F35" si="3">ROUND(AVERAGE(H12:L12),3)</x:f>
        <x:v>6.7000000000000004E-2</x:v>
      </x:c>
      <x:c r="H27" s="45"/>
      <x:c r="I27" s="45"/>
      <x:c r="K27" s="47"/>
      <x:c r="L27" s="47"/>
    </x:row>
    <x:row r="28" spans="1:16" x14ac:dyDescent="0.25">
      <x:c r="A28" s="40">
        <x:f t="shared" si="0"/>
        <x:v>18</x:v>
      </x:c>
      <x:c r="B28" s="29" t="s">
        <x:v>5</x:v>
      </x:c>
      <x:c r="D28" s="45">
        <x:f t="shared" si="2"/>
        <x:v>2.4E-2</x:v>
      </x:c>
      <x:c r="F28" s="45">
        <x:f t="shared" si="3"/>
        <x:v>2.5000000000000001E-2</x:v>
      </x:c>
      <x:c r="H28" s="45"/>
      <x:c r="I28" s="45"/>
      <x:c r="K28" s="47"/>
      <x:c r="L28" s="47"/>
    </x:row>
    <x:row r="29" spans="1:16" x14ac:dyDescent="0.25">
      <x:c r="A29" s="40">
        <x:f t="shared" si="0"/>
        <x:v>19</x:v>
      </x:c>
      <x:c r="B29" s="29" t="s">
        <x:v>9</x:v>
      </x:c>
      <x:c r="D29" s="45">
        <x:f t="shared" si="2"/>
        <x:v>1.0999999999999999E-2</x:v>
      </x:c>
      <x:c r="F29" s="45">
        <x:f t="shared" si="3"/>
        <x:v>0.01</x:v>
      </x:c>
      <x:c r="H29" s="45"/>
      <x:c r="I29" s="45"/>
      <x:c r="K29" s="47"/>
      <x:c r="L29" s="47"/>
    </x:row>
    <x:row r="30" spans="1:16" x14ac:dyDescent="0.25">
      <x:c r="A30" s="40">
        <x:f t="shared" si="0"/>
        <x:v>20</x:v>
      </x:c>
      <x:c r="B30" s="29" t="s">
        <x:v>42</x:v>
      </x:c>
      <x:c r="D30" s="45">
        <x:f t="shared" si="2"/>
        <x:v>2.4E-2</x:v>
      </x:c>
      <x:c r="F30" s="45">
        <x:f t="shared" si="3"/>
        <x:v>2.4E-2</x:v>
      </x:c>
      <x:c r="H30" s="45"/>
      <x:c r="I30" s="45"/>
      <x:c r="K30" s="47"/>
      <x:c r="L30" s="47"/>
    </x:row>
    <x:row r="31" spans="1:16" x14ac:dyDescent="0.25">
      <x:c r="A31" s="40">
        <x:f t="shared" si="0"/>
        <x:v>21</x:v>
      </x:c>
      <x:c r="B31" s="29" t="s">
        <x:v>31</x:v>
      </x:c>
      <x:c r="D31" s="45">
        <x:f>ROUND(AVERAGE(D16:F16,N16:O16),3)</x:f>
        <x:v>2.7E-2</x:v>
      </x:c>
      <x:c r="F31" s="45">
        <x:f t="shared" si="3"/>
        <x:v>2.8000000000000001E-2</x:v>
      </x:c>
      <x:c r="H31" s="45"/>
      <x:c r="I31" s="45"/>
      <x:c r="K31" s="47"/>
      <x:c r="L31" s="47"/>
    </x:row>
    <x:row r="32" spans="1:16" x14ac:dyDescent="0.25">
      <x:c r="A32" s="40">
        <x:f t="shared" si="0"/>
        <x:v>22</x:v>
      </x:c>
      <x:c r="B32" s="29" t="s">
        <x:v>3</x:v>
      </x:c>
      <x:c r="D32" s="45">
        <x:f t="shared" si="2"/>
        <x:v>3.3000000000000002E-2</x:v>
      </x:c>
      <x:c r="F32" s="45">
        <x:f t="shared" si="3"/>
        <x:v>3.4000000000000002E-2</x:v>
      </x:c>
      <x:c r="H32" s="45"/>
      <x:c r="I32" s="45"/>
      <x:c r="K32" s="47"/>
      <x:c r="L32" s="47"/>
    </x:row>
    <x:row r="33" spans="1:12" x14ac:dyDescent="0.25">
      <x:c r="A33" s="40">
        <x:f t="shared" si="0"/>
        <x:v>23</x:v>
      </x:c>
      <x:c r="B33" s="29" t="s">
        <x:v>32</x:v>
      </x:c>
      <x:c r="D33" s="45">
        <x:f t="shared" si="2"/>
        <x:v>1.4E-2</x:v>
      </x:c>
      <x:c r="F33" s="45">
        <x:f t="shared" si="3"/>
        <x:v>1.4E-2</x:v>
      </x:c>
      <x:c r="H33" s="45"/>
      <x:c r="I33" s="45"/>
      <x:c r="K33" s="47"/>
      <x:c r="L33" s="47"/>
    </x:row>
    <x:row r="34" spans="1:12" x14ac:dyDescent="0.25">
      <x:c r="A34" s="40">
        <x:f t="shared" si="0"/>
        <x:v>24</x:v>
      </x:c>
      <x:c r="B34" s="29" t="s">
        <x:v>8</x:v>
      </x:c>
      <x:c r="D34" s="45">
        <x:f t="shared" si="2"/>
        <x:v>3.1E-2</x:v>
      </x:c>
      <x:c r="F34" s="45">
        <x:f t="shared" si="3"/>
        <x:v>3.1E-2</x:v>
      </x:c>
      <x:c r="H34" s="45"/>
      <x:c r="I34" s="45"/>
      <x:c r="K34" s="47"/>
      <x:c r="L34" s="47"/>
    </x:row>
    <x:row r="35" spans="1:12" x14ac:dyDescent="0.25">
      <x:c r="A35" s="40">
        <x:f t="shared" si="0"/>
        <x:v>25</x:v>
      </x:c>
      <x:c r="B35" s="29" t="s">
        <x:v>6</x:v>
      </x:c>
      <x:c r="D35" s="45">
        <x:f>ROUND(AVERAGE(D20:F20,N20:O20),3)</x:f>
        <x:v>2.9000000000000001E-2</x:v>
      </x:c>
      <x:c r="E35" s="48"/>
      <x:c r="F35" s="45">
        <x:f t="shared" si="3"/>
        <x:v>2.9000000000000001E-2</x:v>
      </x:c>
      <x:c r="H35" s="45"/>
      <x:c r="I35" s="45"/>
      <x:c r="K35" s="47"/>
      <x:c r="L35" s="47"/>
    </x:row>
    <x:row r="36" spans="1:12" x14ac:dyDescent="0.25">
      <x:c r="A36" s="40">
        <x:f t="shared" si="0"/>
        <x:v>26</x:v>
      </x:c>
      <x:c r="D36" s="62">
        <x:f t="shared" ref="D36" si="4">AVERAGE(D21:F21,N21:O21)</x:f>
        <x:v>1</x:v>
      </x:c>
      <x:c r="F36" s="62">
        <x:f t="shared" ref="F36" si="5">AVERAGE(H21:L21)</x:f>
        <x:v>1</x:v>
      </x:c>
      <x:c r="H36" s="45"/>
      <x:c r="I36" s="45"/>
      <x:c r="K36" s="47"/>
      <x:c r="L36" s="47"/>
    </x:row>
  </x:sheetData>
  <x:mergeCells count="8">
    <x:mergeCell ref="D23:F23"/>
    <x:mergeCell ref="B1:P1"/>
    <x:mergeCell ref="B2:P2"/>
    <x:mergeCell ref="B3:P3"/>
    <x:mergeCell ref="B4:P4"/>
    <x:mergeCell ref="B5:F5"/>
    <x:mergeCell ref="B6:P6"/>
    <x:mergeCell ref="B8:P8"/>
  </x:mergeCells>
  <x:printOptions horizontalCentered="1"/>
  <x:pageMargins left="0.5" right="0.5" top="0.7" bottom="1" header="0.5" footer="0.43"/>
  <x:pageSetup scale="85" orientation="landscape" r:id="rId1"/>
  <x:headerFooter alignWithMargins="0">
    <x:oddHeader>&amp;RWP/II-H-5.2/3
Page &amp;P of &amp;N</x:oddHeader>
    <x:oddFooter>&amp;R]</x:oddFooter>
  </x:headerFooter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pageSetUpPr fitToPage="1"/>
  </x:sheetPr>
  <x:dimension ref="A1:AC21"/>
  <x:sheetViews>
    <x:sheetView zoomScaleNormal="100" zoomScaleSheetLayoutView="100" workbookViewId="0"/>
  </x:sheetViews>
  <x:sheetFormatPr defaultColWidth="9.109375" defaultRowHeight="13.8" x14ac:dyDescent="0.3"/>
  <x:cols>
    <x:col min="1" max="1" width="8.109375" style="1" customWidth="1"/>
    <x:col min="2" max="2" width="16.88671875" style="1" customWidth="1"/>
    <x:col min="3" max="3" width="7.109375" style="1" customWidth="1"/>
    <x:col min="4" max="4" width="9.88671875" style="1" bestFit="1" customWidth="1"/>
    <x:col min="5" max="13" width="9.109375" style="1"/>
    <x:col min="14" max="14" width="9.6640625" style="1" bestFit="1" customWidth="1"/>
    <x:col min="15" max="16384" width="9.109375" style="1"/>
  </x:cols>
  <x:sheetData>
    <x:row r="1" spans="1:29" ht="15.6" x14ac:dyDescent="0.3">
      <x:c r="A1" s="14"/>
      <x:c r="B1" s="69" t="s">
        <x:v>10</x:v>
      </x:c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</x:row>
    <x:row r="2" spans="1:29" ht="15.6" x14ac:dyDescent="0.3">
      <x:c r="A2" s="14"/>
      <x:c r="B2" s="69" t="s">
        <x:v>11</x:v>
      </x:c>
      <x:c r="C2" s="69"/>
      <x:c r="D2" s="69"/>
      <x:c r="E2" s="69"/>
      <x:c r="F2" s="69"/>
      <x:c r="G2" s="70"/>
      <x:c r="H2" s="70"/>
      <x:c r="I2" s="70"/>
      <x:c r="J2" s="70"/>
      <x:c r="K2" s="70"/>
      <x:c r="L2" s="70"/>
      <x:c r="M2" s="70"/>
      <x:c r="N2" s="70"/>
      <x:c r="O2" s="70"/>
    </x:row>
    <x:row r="3" spans="1:29" ht="15.6" x14ac:dyDescent="0.3">
      <x:c r="A3" s="14"/>
      <x:c r="B3" s="69" t="s">
        <x:v>39</x:v>
      </x:c>
      <x:c r="C3" s="69"/>
      <x:c r="D3" s="69"/>
      <x:c r="E3" s="69"/>
      <x:c r="F3" s="69"/>
      <x:c r="G3" s="70"/>
      <x:c r="H3" s="70"/>
      <x:c r="I3" s="70"/>
      <x:c r="J3" s="70"/>
      <x:c r="K3" s="70"/>
      <x:c r="L3" s="70"/>
      <x:c r="M3" s="70"/>
      <x:c r="N3" s="70"/>
      <x:c r="O3" s="70"/>
    </x:row>
    <x:row r="4" spans="1:29" ht="15.6" x14ac:dyDescent="0.3">
      <x:c r="A4" s="14"/>
      <x:c r="B4" s="69" t="str">
        <x:f>+'SECGT10 Seasonal Weights'!B4:P4</x:f>
        <x:v>FOR THE TEST YEAR ENDING DECEMBER 31, 2024</x:v>
      </x:c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</x:row>
    <x:row r="5" spans="1:29" ht="15.6" x14ac:dyDescent="0.3">
      <x:c r="A5" s="14"/>
      <x:c r="B5" s="69"/>
      <x:c r="C5" s="69"/>
      <x:c r="D5" s="69"/>
      <x:c r="E5" s="69"/>
      <x:c r="F5" s="69"/>
      <x:c r="G5" s="17"/>
      <x:c r="H5" s="17"/>
      <x:c r="I5" s="18"/>
      <x:c r="J5" s="18"/>
      <x:c r="K5" s="18"/>
      <x:c r="L5" s="18"/>
      <x:c r="M5" s="18"/>
      <x:c r="N5" s="18"/>
      <x:c r="O5" s="18"/>
    </x:row>
    <x:row r="6" spans="1:29" ht="15.6" x14ac:dyDescent="0.3">
      <x:c r="A6" s="14"/>
      <x:c r="B6" s="69" t="s">
        <x:v>38</x:v>
      </x:c>
      <x:c r="C6" s="69"/>
      <x:c r="D6" s="69"/>
      <x:c r="E6" s="69"/>
      <x:c r="F6" s="69"/>
      <x:c r="G6" s="70"/>
      <x:c r="H6" s="70"/>
      <x:c r="I6" s="70"/>
      <x:c r="J6" s="70"/>
      <x:c r="K6" s="70"/>
      <x:c r="L6" s="70"/>
      <x:c r="M6" s="70"/>
      <x:c r="N6" s="70"/>
      <x:c r="O6" s="70"/>
    </x:row>
    <x:row r="7" spans="1:29" ht="15.6" x14ac:dyDescent="0.3">
      <x:c r="A7" s="14"/>
      <x:c r="B7" s="15"/>
      <x:c r="C7" s="15"/>
      <x:c r="D7" s="15"/>
      <x:c r="E7" s="15"/>
      <x:c r="F7" s="15"/>
      <x:c r="G7" s="16"/>
      <x:c r="H7" s="16"/>
      <x:c r="I7" s="18"/>
      <x:c r="J7" s="18"/>
      <x:c r="K7" s="18"/>
      <x:c r="L7" s="18"/>
      <x:c r="M7" s="18"/>
      <x:c r="N7" s="18"/>
      <x:c r="O7" s="18"/>
    </x:row>
    <x:row r="8" spans="1:29" ht="15.6" x14ac:dyDescent="0.3">
      <x:c r="A8" s="14"/>
      <x:c r="B8" s="71" t="s">
        <x:v>47</x:v>
      </x:c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</x:row>
    <x:row r="9" spans="1:29" ht="14.4" x14ac:dyDescent="0.3">
      <x:c r="A9" s="14" t="s">
        <x:v>12</x:v>
      </x:c>
      <x:c r="B9" s="14" t="s">
        <x:v>13</x:v>
      </x:c>
      <x:c r="C9" s="19" t="s">
        <x:v>14</x:v>
      </x:c>
      <x:c r="D9" s="19" t="s">
        <x:v>15</x:v>
      </x:c>
      <x:c r="E9" s="19" t="s">
        <x:v>16</x:v>
      </x:c>
      <x:c r="F9" s="19" t="s">
        <x:v>17</x:v>
      </x:c>
      <x:c r="G9" s="19" t="s">
        <x:v>18</x:v>
      </x:c>
      <x:c r="H9" s="19" t="s">
        <x:v>19</x:v>
      </x:c>
      <x:c r="I9" s="19" t="s">
        <x:v>20</x:v>
      </x:c>
      <x:c r="J9" s="19" t="s">
        <x:v>21</x:v>
      </x:c>
      <x:c r="K9" s="19" t="s">
        <x:v>22</x:v>
      </x:c>
      <x:c r="L9" s="19" t="s">
        <x:v>23</x:v>
      </x:c>
      <x:c r="M9" s="19" t="s">
        <x:v>24</x:v>
      </x:c>
      <x:c r="N9" s="19" t="s">
        <x:v>25</x:v>
      </x:c>
      <x:c r="O9" s="19" t="s">
        <x:v>26</x:v>
      </x:c>
    </x:row>
    <x:row r="10" spans="1:29" ht="15.75" customHeight="1" x14ac:dyDescent="0.3">
      <x:c r="A10" s="20" t="s">
        <x:v>27</x:v>
      </x:c>
      <x:c r="B10" s="21" t="s">
        <x:v>28</x:v>
      </x:c>
      <x:c r="C10" s="22">
        <x:v>36892</x:v>
      </x:c>
      <x:c r="D10" s="23">
        <x:v>36923</x:v>
      </x:c>
      <x:c r="E10" s="23">
        <x:v>36951</x:v>
      </x:c>
      <x:c r="F10" s="23">
        <x:v>36982</x:v>
      </x:c>
      <x:c r="G10" s="23">
        <x:v>37012</x:v>
      </x:c>
      <x:c r="H10" s="23">
        <x:v>37043</x:v>
      </x:c>
      <x:c r="I10" s="23">
        <x:v>37073</x:v>
      </x:c>
      <x:c r="J10" s="23">
        <x:v>37104</x:v>
      </x:c>
      <x:c r="K10" s="23">
        <x:v>37135</x:v>
      </x:c>
      <x:c r="L10" s="23">
        <x:v>37165</x:v>
      </x:c>
      <x:c r="M10" s="23">
        <x:v>37196</x:v>
      </x:c>
      <x:c r="N10" s="23">
        <x:v>37226</x:v>
      </x:c>
      <x:c r="O10" s="24" t="s">
        <x:v>0</x:v>
      </x:c>
    </x:row>
    <x:row r="11" spans="1:29" ht="14.4" x14ac:dyDescent="0.3">
      <x:c r="A11" s="25">
        <x:v>1</x:v>
      </x:c>
      <x:c r="B11" s="17" t="s">
        <x:v>29</x:v>
      </x:c>
      <x:c r="C11" s="5">
        <x:f>+'SECGT10 Weights by Year (21-23)'!D14</x:f>
        <x:v>0.73809943092901531</x:v>
      </x:c>
      <x:c r="D11" s="5">
        <x:f>+'SECGT10 Weights by Year (21-23)'!E14</x:f>
        <x:v>0.73645071511989402</x:v>
      </x:c>
      <x:c r="E11" s="5">
        <x:f>+'SECGT10 Weights by Year (21-23)'!F14</x:f>
        <x:v>0.73448838413479556</x:v>
      </x:c>
      <x:c r="F11" s="5">
        <x:f>+'SECGT10 Weights by Year (21-23)'!G14</x:f>
        <x:v>0.73282169058918323</x:v>
      </x:c>
      <x:c r="G11" s="5">
        <x:f>+'SECGT10 Weights by Year (21-23)'!H14</x:f>
        <x:v>0.73368948694883729</x:v>
      </x:c>
      <x:c r="H11" s="5">
        <x:f>+'SECGT10 Weights by Year (21-23)'!I14</x:f>
        <x:v>0.74044528944262489</x:v>
      </x:c>
      <x:c r="I11" s="5">
        <x:f>+'SECGT10 Weights by Year (21-23)'!J14</x:f>
        <x:v>0.73692629126830611</x:v>
      </x:c>
      <x:c r="J11" s="5">
        <x:f>+'SECGT10 Weights by Year (21-23)'!K14</x:f>
        <x:v>0.73888794170637828</x:v>
      </x:c>
      <x:c r="K11" s="5">
        <x:f>+'SECGT10 Weights by Year (21-23)'!L14</x:f>
        <x:v>0.73884176981578431</x:v>
      </x:c>
      <x:c r="L11" s="5">
        <x:f>+'SECGT10 Weights by Year (21-23)'!M14</x:f>
        <x:v>0.73947753986129694</x:v>
      </x:c>
      <x:c r="M11" s="5">
        <x:f>+'SECGT10 Weights by Year (21-23)'!N14</x:f>
        <x:v>0.73647134878853027</x:v>
      </x:c>
      <x:c r="N11" s="5">
        <x:f>+'SECGT10 Weights by Year (21-23)'!O14</x:f>
        <x:v>0.73448081327189696</x:v>
      </x:c>
      <x:c r="O11" s="5">
        <x:f>+'SECGT10 Weights by Year (21-23)'!P14</x:f>
        <x:v>0.73696442987694355</x:v>
      </x:c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5"/>
      <x:c r="AC11" s="45"/>
    </x:row>
    <x:row r="12" spans="1:29" ht="14.4" x14ac:dyDescent="0.3">
      <x:c r="A12" s="25">
        <x:f>+A11+1</x:f>
        <x:v>2</x:v>
      </x:c>
      <x:c r="B12" s="17" t="s">
        <x:v>30</x:v>
      </x:c>
      <x:c r="C12" s="5">
        <x:f>+'SECGT10 Weights by Year (21-23)'!D54</x:f>
        <x:v>7.2014840229198518E-2</x:v>
      </x:c>
      <x:c r="D12" s="5">
        <x:f>+'SECGT10 Weights by Year (21-23)'!E54</x:f>
        <x:v>7.3220001476724875E-2</x:v>
      </x:c>
      <x:c r="E12" s="5">
        <x:f>+'SECGT10 Weights by Year (21-23)'!F54</x:f>
        <x:v>7.316659889328625E-2</x:v>
      </x:c>
      <x:c r="F12" s="5">
        <x:f>+'SECGT10 Weights by Year (21-23)'!G54</x:f>
        <x:v>7.5845117343970675E-2</x:v>
      </x:c>
      <x:c r="G12" s="5">
        <x:f>+'SECGT10 Weights by Year (21-23)'!H54</x:f>
        <x:v>7.2564184915924521E-2</x:v>
      </x:c>
      <x:c r="H12" s="5">
        <x:f>+'SECGT10 Weights by Year (21-23)'!I54</x:f>
        <x:v>6.6924378778714891E-2</x:v>
      </x:c>
      <x:c r="I12" s="5">
        <x:f>+'SECGT10 Weights by Year (21-23)'!J54</x:f>
        <x:v>6.7407717971516609E-2</x:v>
      </x:c>
      <x:c r="J12" s="5">
        <x:f>+'SECGT10 Weights by Year (21-23)'!K54</x:f>
        <x:v>6.5742486964662727E-2</x:v>
      </x:c>
      <x:c r="K12" s="5">
        <x:f>+'SECGT10 Weights by Year (21-23)'!L54</x:f>
        <x:v>6.3500729766719805E-2</x:v>
      </x:c>
      <x:c r="L12" s="5">
        <x:f>+'SECGT10 Weights by Year (21-23)'!M54</x:f>
        <x:v>6.4205886008692301E-2</x:v>
      </x:c>
      <x:c r="M12" s="5">
        <x:f>+'SECGT10 Weights by Year (21-23)'!N54</x:f>
        <x:v>7.02211101088311E-2</x:v>
      </x:c>
      <x:c r="N12" s="5">
        <x:f>+'SECGT10 Weights by Year (21-23)'!O54</x:f>
        <x:v>7.4220093785135263E-2</x:v>
      </x:c>
      <x:c r="O12" s="5">
        <x:f>+'SECGT10 Weights by Year (21-23)'!P54</x:f>
        <x:v>6.9427565754597548E-2</x:v>
      </x:c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</x:row>
    <x:row r="13" spans="1:29" ht="14.4" x14ac:dyDescent="0.3">
      <x:c r="A13" s="25">
        <x:f t="shared" ref="A13:A20" si="0">+A12+1</x:f>
        <x:v>3</x:v>
      </x:c>
      <x:c r="B13" s="17" t="s">
        <x:v>5</x:v>
      </x:c>
      <x:c r="C13" s="5">
        <x:f>+'SECGT10 Weights by Year (21-23)'!D19</x:f>
        <x:v>2.3933488712172098E-2</x:v>
      </x:c>
      <x:c r="D13" s="5">
        <x:f>+'SECGT10 Weights by Year (21-23)'!E19</x:f>
        <x:v>2.4018641096813204E-2</x:v>
      </x:c>
      <x:c r="E13" s="5">
        <x:f>+'SECGT10 Weights by Year (21-23)'!F19</x:f>
        <x:v>2.4026880651734188E-2</x:v>
      </x:c>
      <x:c r="F13" s="5">
        <x:f>+'SECGT10 Weights by Year (21-23)'!G19</x:f>
        <x:v>2.4485182057289959E-2</x:v>
      </x:c>
      <x:c r="G13" s="5">
        <x:f>+'SECGT10 Weights by Year (21-23)'!H19</x:f>
        <x:v>2.4836226984065062E-2</x:v>
      </x:c>
      <x:c r="H13" s="5">
        <x:f>+'SECGT10 Weights by Year (21-23)'!I19</x:f>
        <x:v>2.5214532241033111E-2</x:v>
      </x:c>
      <x:c r="I13" s="5">
        <x:f>+'SECGT10 Weights by Year (21-23)'!J19</x:f>
        <x:v>2.4974872091860615E-2</x:v>
      </x:c>
      <x:c r="J13" s="5">
        <x:f>+'SECGT10 Weights by Year (21-23)'!K19</x:f>
        <x:v>2.4737832009825645E-2</x:v>
      </x:c>
      <x:c r="K13" s="5">
        <x:f>+'SECGT10 Weights by Year (21-23)'!L19</x:f>
        <x:v>2.4839112610876297E-2</x:v>
      </x:c>
      <x:c r="L13" s="5">
        <x:f>+'SECGT10 Weights by Year (21-23)'!M19</x:f>
        <x:v>2.4524929251933728E-2</x:v>
      </x:c>
      <x:c r="M13" s="5">
        <x:f>+'SECGT10 Weights by Year (21-23)'!N19</x:f>
        <x:v>2.442241981725193E-2</x:v>
      </x:c>
      <x:c r="N13" s="5">
        <x:f>+'SECGT10 Weights by Year (21-23)'!O19</x:f>
        <x:v>2.395186673810273E-2</x:v>
      </x:c>
      <x:c r="O13" s="5">
        <x:f>+'SECGT10 Weights by Year (21-23)'!P19</x:f>
        <x:v>2.4535470427255159E-2</x:v>
      </x:c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5"/>
      <x:c r="AC13" s="45"/>
    </x:row>
    <x:row r="14" spans="1:29" ht="14.4" x14ac:dyDescent="0.3">
      <x:c r="A14" s="25">
        <x:f t="shared" si="0"/>
        <x:v>4</x:v>
      </x:c>
      <x:c r="B14" s="17" t="s">
        <x:v>9</x:v>
      </x:c>
      <x:c r="C14" s="5">
        <x:f>+'SECGT10 Weights by Year (21-23)'!D44</x:f>
        <x:v>1.0887982336084163E-2</x:v>
      </x:c>
      <x:c r="D14" s="5">
        <x:f>+'SECGT10 Weights by Year (21-23)'!E44</x:f>
        <x:v>1.1136679837599027E-2</x:v>
      </x:c>
      <x:c r="E14" s="5">
        <x:f>+'SECGT10 Weights by Year (21-23)'!F44</x:f>
        <x:v>1.084455315957167E-2</x:v>
      </x:c>
      <x:c r="F14" s="5">
        <x:f>+'SECGT10 Weights by Year (21-23)'!G44</x:f>
        <x:v>1.070708197585064E-2</x:v>
      </x:c>
      <x:c r="G14" s="5">
        <x:f>+'SECGT10 Weights by Year (21-23)'!H44</x:f>
        <x:v>1.0641905336907126E-2</x:v>
      </x:c>
      <x:c r="H14" s="5">
        <x:f>+'SECGT10 Weights by Year (21-23)'!I44</x:f>
        <x:v>6.8244114454428517E-3</x:v>
      </x:c>
      <x:c r="I14" s="5">
        <x:f>+'SECGT10 Weights by Year (21-23)'!J44</x:f>
        <x:v>1.09319882274189E-2</x:v>
      </x:c>
      <x:c r="J14" s="5">
        <x:f>+'SECGT10 Weights by Year (21-23)'!K44</x:f>
        <x:v>1.0987608059593324E-2</x:v>
      </x:c>
      <x:c r="K14" s="5">
        <x:f>+'SECGT10 Weights by Year (21-23)'!L44</x:f>
        <x:v>1.0850571894827047E-2</x:v>
      </x:c>
      <x:c r="L14" s="5">
        <x:f>+'SECGT10 Weights by Year (21-23)'!M44</x:f>
        <x:v>1.0172650666657949E-2</x:v>
      </x:c>
      <x:c r="M14" s="5">
        <x:f>+'SECGT10 Weights by Year (21-23)'!N44</x:f>
        <x:v>9.9136218242871169E-3</x:v>
      </x:c>
      <x:c r="N14" s="5">
        <x:f>+'SECGT10 Weights by Year (21-23)'!O44</x:f>
        <x:v>1.0363100438899705E-2</x:v>
      </x:c>
      <x:c r="O14" s="5">
        <x:f>+'SECGT10 Weights by Year (21-23)'!P44</x:f>
        <x:v>1.035926476185022E-2</x:v>
      </x:c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5"/>
      <x:c r="AC14" s="45"/>
    </x:row>
    <x:row r="15" spans="1:29" ht="14.4" x14ac:dyDescent="0.3">
      <x:c r="A15" s="25">
        <x:f t="shared" si="0"/>
        <x:v>5</x:v>
      </x:c>
      <x:c r="B15" s="17" t="s">
        <x:v>42</x:v>
      </x:c>
      <x:c r="C15" s="5">
        <x:f>+'SECGT10 Weights by Year (21-23)'!D59</x:f>
        <x:v>2.3990112611091984E-2</x:v>
      </x:c>
      <x:c r="D15" s="5">
        <x:f>+'SECGT10 Weights by Year (21-23)'!E59</x:f>
        <x:v>2.4379688513279162E-2</x:v>
      </x:c>
      <x:c r="E15" s="5">
        <x:f>+'SECGT10 Weights by Year (21-23)'!F59</x:f>
        <x:v>2.4528480970382183E-2</x:v>
      </x:c>
      <x:c r="F15" s="5">
        <x:f>+'SECGT10 Weights by Year (21-23)'!G59</x:f>
        <x:v>2.3816952567037742E-2</x:v>
      </x:c>
      <x:c r="G15" s="5">
        <x:f>+'SECGT10 Weights by Year (21-23)'!H59</x:f>
        <x:v>2.3478475863500565E-2</x:v>
      </x:c>
      <x:c r="H15" s="5">
        <x:f>+'SECGT10 Weights by Year (21-23)'!I59</x:f>
        <x:v>2.3671557861787346E-2</x:v>
      </x:c>
      <x:c r="I15" s="5">
        <x:f>+'SECGT10 Weights by Year (21-23)'!J59</x:f>
        <x:v>2.3682202360007357E-2</x:v>
      </x:c>
      <x:c r="J15" s="5">
        <x:f>+'SECGT10 Weights by Year (21-23)'!K59</x:f>
        <x:v>2.3936227171450494E-2</x:v>
      </x:c>
      <x:c r="K15" s="5">
        <x:f>+'SECGT10 Weights by Year (21-23)'!L59</x:f>
        <x:v>2.4185414681479105E-2</x:v>
      </x:c>
      <x:c r="L15" s="5">
        <x:f>+'SECGT10 Weights by Year (21-23)'!M59</x:f>
        <x:v>2.4036245043013542E-2</x:v>
      </x:c>
      <x:c r="M15" s="5">
        <x:f>+'SECGT10 Weights by Year (21-23)'!N59</x:f>
        <x:v>2.3374303162362078E-2</x:v>
      </x:c>
      <x:c r="N15" s="5">
        <x:f>+'SECGT10 Weights by Year (21-23)'!O59</x:f>
        <x:v>2.410301194986475E-2</x:v>
      </x:c>
      <x:c r="O15" s="5">
        <x:f>+'SECGT10 Weights by Year (21-23)'!P59</x:f>
        <x:v>2.3929384288723821E-2</x:v>
      </x:c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5"/>
      <x:c r="AC15" s="45"/>
    </x:row>
    <x:row r="16" spans="1:29" ht="14.4" x14ac:dyDescent="0.3">
      <x:c r="A16" s="25">
        <x:f t="shared" si="0"/>
        <x:v>6</x:v>
      </x:c>
      <x:c r="B16" s="17" t="s">
        <x:v>31</x:v>
      </x:c>
      <x:c r="C16" s="5">
        <x:f>+'SECGT10 Weights by Year (21-23)'!D29</x:f>
        <x:v>2.6520175432384056E-2</x:v>
      </x:c>
      <x:c r="D16" s="5">
        <x:f>+'SECGT10 Weights by Year (21-23)'!E29</x:f>
        <x:v>2.6764592084266792E-2</x:v>
      </x:c>
      <x:c r="E16" s="5">
        <x:f>+'SECGT10 Weights by Year (21-23)'!F29</x:f>
        <x:v>2.7112215871776483E-2</x:v>
      </x:c>
      <x:c r="F16" s="5">
        <x:f>+'SECGT10 Weights by Year (21-23)'!G29</x:f>
        <x:v>2.6901610518966706E-2</x:v>
      </x:c>
      <x:c r="G16" s="5">
        <x:f>+'SECGT10 Weights by Year (21-23)'!H29</x:f>
        <x:v>2.7420974443951852E-2</x:v>
      </x:c>
      <x:c r="H16" s="5">
        <x:f>+'SECGT10 Weights by Year (21-23)'!I29</x:f>
        <x:v>2.7630763159077056E-2</x:v>
      </x:c>
      <x:c r="I16" s="5">
        <x:f>+'SECGT10 Weights by Year (21-23)'!J29</x:f>
        <x:v>2.7309359957492712E-2</x:v>
      </x:c>
      <x:c r="J16" s="5">
        <x:f>+'SECGT10 Weights by Year (21-23)'!K29</x:f>
        <x:v>2.7386463472124322E-2</x:v>
      </x:c>
      <x:c r="K16" s="5">
        <x:f>+'SECGT10 Weights by Year (21-23)'!L29</x:f>
        <x:v>2.785110177357273E-2</x:v>
      </x:c>
      <x:c r="L16" s="5">
        <x:f>+'SECGT10 Weights by Year (21-23)'!M29</x:f>
        <x:v>2.7959080576357244E-2</x:v>
      </x:c>
      <x:c r="M16" s="5">
        <x:f>+'SECGT10 Weights by Year (21-23)'!N29</x:f>
        <x:v>2.7611926270005117E-2</x:v>
      </x:c>
      <x:c r="N16" s="5">
        <x:f>+'SECGT10 Weights by Year (21-23)'!O29</x:f>
        <x:v>2.717412835600826E-2</x:v>
      </x:c>
      <x:c r="O16" s="5">
        <x:f>+'SECGT10 Weights by Year (21-23)'!P29</x:f>
        <x:v>2.7336566813513572E-2</x:v>
      </x:c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  <x:c r="AA16" s="45"/>
      <x:c r="AB16" s="45"/>
      <x:c r="AC16" s="45"/>
    </x:row>
    <x:row r="17" spans="1:29" ht="14.4" x14ac:dyDescent="0.3">
      <x:c r="A17" s="25">
        <x:f t="shared" si="0"/>
        <x:v>7</x:v>
      </x:c>
      <x:c r="B17" s="17" t="s">
        <x:v>3</x:v>
      </x:c>
      <x:c r="C17" s="5">
        <x:f>+'SECGT10 Weights by Year (21-23)'!D39</x:f>
        <x:v>3.1941384301448411E-2</x:v>
      </x:c>
      <x:c r="D17" s="5">
        <x:f>+'SECGT10 Weights by Year (21-23)'!E39</x:f>
        <x:v>3.1820219511938461E-2</x:v>
      </x:c>
      <x:c r="E17" s="5">
        <x:f>+'SECGT10 Weights by Year (21-23)'!F39</x:f>
        <x:v>3.2552429798929014E-2</x:v>
      </x:c>
      <x:c r="F17" s="5">
        <x:f>+'SECGT10 Weights by Year (21-23)'!G39</x:f>
        <x:v>3.2402357149272559E-2</x:v>
      </x:c>
      <x:c r="G17" s="5">
        <x:f>+'SECGT10 Weights by Year (21-23)'!H39</x:f>
        <x:v>3.3065372277019923E-2</x:v>
      </x:c>
      <x:c r="H17" s="5">
        <x:f>+'SECGT10 Weights by Year (21-23)'!I39</x:f>
        <x:v>3.3673474862453118E-2</x:v>
      </x:c>
      <x:c r="I17" s="5">
        <x:f>+'SECGT10 Weights by Year (21-23)'!J39</x:f>
        <x:v>3.3763142689966615E-2</x:v>
      </x:c>
      <x:c r="J17" s="5">
        <x:f>+'SECGT10 Weights by Year (21-23)'!K39</x:f>
        <x:v>3.3608391377179532E-2</x:v>
      </x:c>
      <x:c r="K17" s="5">
        <x:f>+'SECGT10 Weights by Year (21-23)'!L39</x:f>
        <x:v>3.4102657418309951E-2</x:v>
      </x:c>
      <x:c r="L17" s="5">
        <x:f>+'SECGT10 Weights by Year (21-23)'!M39</x:f>
        <x:v>3.4488161145752927E-2</x:v>
      </x:c>
      <x:c r="M17" s="5">
        <x:f>+'SECGT10 Weights by Year (21-23)'!N39</x:f>
        <x:v>3.3931228940917858E-2</x:v>
      </x:c>
      <x:c r="N17" s="5">
        <x:f>+'SECGT10 Weights by Year (21-23)'!O39</x:f>
        <x:v>3.2331174037767106E-2</x:v>
      </x:c>
      <x:c r="O17" s="5">
        <x:f>+'SECGT10 Weights by Year (21-23)'!P39</x:f>
        <x:v>3.3226325451440192E-2</x:v>
      </x:c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  <x:c r="AA17" s="45"/>
      <x:c r="AB17" s="45"/>
      <x:c r="AC17" s="45"/>
    </x:row>
    <x:row r="18" spans="1:29" ht="14.4" x14ac:dyDescent="0.3">
      <x:c r="A18" s="25">
        <x:f t="shared" si="0"/>
        <x:v>8</x:v>
      </x:c>
      <x:c r="B18" s="17" t="s">
        <x:v>32</x:v>
      </x:c>
      <x:c r="C18" s="5">
        <x:f>+'SECGT10 Weights by Year (21-23)'!D49</x:f>
        <x:v>1.3696096080933627E-2</x:v>
      </x:c>
      <x:c r="D18" s="5">
        <x:f>+'SECGT10 Weights by Year (21-23)'!E49</x:f>
        <x:v>1.3998398399461336E-2</x:v>
      </x:c>
      <x:c r="E18" s="5">
        <x:f>+'SECGT10 Weights by Year (21-23)'!F49</x:f>
        <x:v>1.4241169704726119E-2</x:v>
      </x:c>
      <x:c r="F18" s="5">
        <x:f>+'SECGT10 Weights by Year (21-23)'!G49</x:f>
        <x:v>1.3631317036838245E-2</x:v>
      </x:c>
      <x:c r="G18" s="5">
        <x:f>+'SECGT10 Weights by Year (21-23)'!H49</x:f>
        <x:v>1.3768960435037947E-2</x:v>
      </x:c>
      <x:c r="H18" s="5">
        <x:f>+'SECGT10 Weights by Year (21-23)'!I49</x:f>
        <x:v>1.4131390214286945E-2</x:v>
      </x:c>
      <x:c r="I18" s="5">
        <x:f>+'SECGT10 Weights by Year (21-23)'!J49</x:f>
        <x:v>1.4487373246176946E-2</x:v>
      </x:c>
      <x:c r="J18" s="5">
        <x:f>+'SECGT10 Weights by Year (21-23)'!K49</x:f>
        <x:v>1.4722876679696921E-2</x:v>
      </x:c>
      <x:c r="K18" s="5">
        <x:f>+'SECGT10 Weights by Year (21-23)'!L49</x:f>
        <x:v>1.4827486613133016E-2</x:v>
      </x:c>
      <x:c r="L18" s="5">
        <x:f>+'SECGT10 Weights by Year (21-23)'!M49</x:f>
        <x:v>1.4575938820659183E-2</x:v>
      </x:c>
      <x:c r="M18" s="5">
        <x:f>+'SECGT10 Weights by Year (21-23)'!N49</x:f>
        <x:v>1.3881213123973796E-2</x:v>
      </x:c>
      <x:c r="N18" s="5">
        <x:f>+'SECGT10 Weights by Year (21-23)'!O49</x:f>
        <x:v>1.3748347627863044E-2</x:v>
      </x:c>
      <x:c r="O18" s="5">
        <x:f>+'SECGT10 Weights by Year (21-23)'!P49</x:f>
        <x:v>1.4193923808924723E-2</x:v>
      </x:c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  <x:c r="AA18" s="45"/>
      <x:c r="AB18" s="45"/>
      <x:c r="AC18" s="45"/>
    </x:row>
    <x:row r="19" spans="1:29" ht="14.4" x14ac:dyDescent="0.3">
      <x:c r="A19" s="25">
        <x:f t="shared" si="0"/>
        <x:v>9</x:v>
      </x:c>
      <x:c r="B19" s="17" t="s">
        <x:v>8</x:v>
      </x:c>
      <x:c r="C19" s="5">
        <x:f>+'SECGT10 Weights by Year (21-23)'!D34</x:f>
        <x:v>3.0542201326663746E-2</x:v>
      </x:c>
      <x:c r="D19" s="5">
        <x:f>+'SECGT10 Weights by Year (21-23)'!E34</x:f>
        <x:v>3.0313625431761793E-2</x:v>
      </x:c>
      <x:c r="E19" s="5">
        <x:f>+'SECGT10 Weights by Year (21-23)'!F34</x:f>
        <x:v>3.0667348817206636E-2</x:v>
      </x:c>
      <x:c r="F19" s="5">
        <x:f>+'SECGT10 Weights by Year (21-23)'!G34</x:f>
        <x:v>3.0333630526113826E-2</x:v>
      </x:c>
      <x:c r="G19" s="5">
        <x:f>+'SECGT10 Weights by Year (21-23)'!H34</x:f>
        <x:v>3.0702554676748785E-2</x:v>
      </x:c>
      <x:c r="H19" s="5">
        <x:f>+'SECGT10 Weights by Year (21-23)'!I34</x:f>
        <x:v>3.1410057579788583E-2</x:v>
      </x:c>
      <x:c r="I19" s="5">
        <x:f>+'SECGT10 Weights by Year (21-23)'!J34</x:f>
        <x:v>3.1353177255206456E-2</x:v>
      </x:c>
      <x:c r="J19" s="5">
        <x:f>+'SECGT10 Weights by Year (21-23)'!K34</x:f>
        <x:v>3.1216790949248792E-2</x:v>
      </x:c>
      <x:c r="K19" s="5">
        <x:f>+'SECGT10 Weights by Year (21-23)'!L34</x:f>
        <x:v>3.1360314611681601E-2</x:v>
      </x:c>
      <x:c r="L19" s="5">
        <x:f>+'SECGT10 Weights by Year (21-23)'!M34</x:f>
        <x:v>3.1075127690380056E-2</x:v>
      </x:c>
      <x:c r="M19" s="5">
        <x:f>+'SECGT10 Weights by Year (21-23)'!N34</x:f>
        <x:v>3.0493313742993477E-2</x:v>
      </x:c>
      <x:c r="N19" s="5">
        <x:f>+'SECGT10 Weights by Year (21-23)'!O34</x:f>
        <x:v>3.0535065157640734E-2</x:v>
      </x:c>
      <x:c r="O19" s="5">
        <x:f>+'SECGT10 Weights by Year (21-23)'!P34</x:f>
        <x:v>3.0883103274725321E-2</x:v>
      </x:c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  <x:c r="AA19" s="45"/>
      <x:c r="AB19" s="45"/>
      <x:c r="AC19" s="45"/>
    </x:row>
    <x:row r="20" spans="1:29" ht="14.4" x14ac:dyDescent="0.3">
      <x:c r="A20" s="25">
        <x:f t="shared" si="0"/>
        <x:v>10</x:v>
      </x:c>
      <x:c r="B20" s="17" t="s">
        <x:v>6</x:v>
      </x:c>
      <x:c r="C20" s="6">
        <x:f>+'SECGT10 Weights by Year (21-23)'!D24</x:f>
        <x:v>2.8374288041008281E-2</x:v>
      </x:c>
      <x:c r="D20" s="6">
        <x:f>+'SECGT10 Weights by Year (21-23)'!E24</x:f>
        <x:v>2.7897438528261299E-2</x:v>
      </x:c>
      <x:c r="E20" s="6">
        <x:f>+'SECGT10 Weights by Year (21-23)'!F24</x:f>
        <x:v>2.8371937997591867E-2</x:v>
      </x:c>
      <x:c r="F20" s="6">
        <x:f>+'SECGT10 Weights by Year (21-23)'!G24</x:f>
        <x:v>2.9055060235476299E-2</x:v>
      </x:c>
      <x:c r="G20" s="6">
        <x:f>+'SECGT10 Weights by Year (21-23)'!H24</x:f>
        <x:v>2.9831858118006864E-2</x:v>
      </x:c>
      <x:c r="H20" s="6">
        <x:f>+'SECGT10 Weights by Year (21-23)'!I24</x:f>
        <x:v>3.0074144414791081E-2</x:v>
      </x:c>
      <x:c r="I20" s="6">
        <x:f>+'SECGT10 Weights by Year (21-23)'!J24</x:f>
        <x:v>2.9163874932047633E-2</x:v>
      </x:c>
      <x:c r="J20" s="6">
        <x:f>+'SECGT10 Weights by Year (21-23)'!K24</x:f>
        <x:v>2.8773381609839953E-2</x:v>
      </x:c>
      <x:c r="K20" s="6">
        <x:f>+'SECGT10 Weights by Year (21-23)'!L24</x:f>
        <x:v>2.9640840813616207E-2</x:v>
      </x:c>
      <x:c r="L20" s="6">
        <x:f>+'SECGT10 Weights by Year (21-23)'!M24</x:f>
        <x:v>2.9484440935256154E-2</x:v>
      </x:c>
      <x:c r="M20" s="6">
        <x:f>+'SECGT10 Weights by Year (21-23)'!N24</x:f>
        <x:v>2.967951422084732E-2</x:v>
      </x:c>
      <x:c r="N20" s="6">
        <x:f>+'SECGT10 Weights by Year (21-23)'!O24</x:f>
        <x:v>2.90923986368215E-2</x:v>
      </x:c>
      <x:c r="O20" s="6">
        <x:f>+'SECGT10 Weights by Year (21-23)'!P24</x:f>
        <x:v>2.9143965542026116E-2</x:v>
      </x:c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5"/>
      <x:c r="AC20" s="45"/>
    </x:row>
    <x:row r="21" spans="1:29" x14ac:dyDescent="0.3">
      <x:c r="B21" s="4"/>
      <x:c r="C21" s="7">
        <x:f t="shared" ref="C21:O21" si="1">SUM(C11:C20)</x:f>
        <x:v>1.0000000000000002</x:v>
      </x:c>
      <x:c r="D21" s="7">
        <x:f t="shared" si="1"/>
        <x:v>1</x:v>
      </x:c>
      <x:c r="E21" s="7">
        <x:f t="shared" si="1"/>
        <x:v>1</x:v>
      </x:c>
      <x:c r="F21" s="7">
        <x:f t="shared" si="1"/>
        <x:v>1</x:v>
      </x:c>
      <x:c r="G21" s="7">
        <x:f t="shared" si="1"/>
        <x:v>0.99999999999999989</x:v>
      </x:c>
      <x:c r="H21" s="7">
        <x:f t="shared" si="1"/>
        <x:v>0.99999999999999989</x:v>
      </x:c>
      <x:c r="I21" s="7">
        <x:f t="shared" si="1"/>
        <x:v>1</x:v>
      </x:c>
      <x:c r="J21" s="7">
        <x:f t="shared" si="1"/>
        <x:v>1</x:v>
      </x:c>
      <x:c r="K21" s="7">
        <x:f t="shared" si="1"/>
        <x:v>1.0000000000000002</x:v>
      </x:c>
      <x:c r="L21" s="7">
        <x:f t="shared" si="1"/>
        <x:v>0.99999999999999989</x:v>
      </x:c>
      <x:c r="M21" s="7">
        <x:f t="shared" si="1"/>
        <x:v>1</x:v>
      </x:c>
      <x:c r="N21" s="7">
        <x:f t="shared" si="1"/>
        <x:v>0.99999999999999989</x:v>
      </x:c>
      <x:c r="O21" s="7">
        <x:f t="shared" si="1"/>
        <x:v>1.0000000000000002</x:v>
      </x:c>
    </x:row>
  </x:sheetData>
  <x:mergeCells count="7">
    <x:mergeCell ref="B6:O6"/>
    <x:mergeCell ref="B8:P8"/>
    <x:mergeCell ref="B1:O1"/>
    <x:mergeCell ref="B2:O2"/>
    <x:mergeCell ref="B3:O3"/>
    <x:mergeCell ref="B4:O4"/>
    <x:mergeCell ref="B5:F5"/>
  </x:mergeCells>
  <x:phoneticPr fontId="2" type="noConversion"/>
  <x:printOptions horizontalCentered="1"/>
  <x:pageMargins left="0.5" right="0.5" top="0.7" bottom="1" header="0.5" footer="0.43"/>
  <x:pageSetup scale="83" orientation="landscape" r:id="rId1"/>
  <x:headerFooter alignWithMargins="0">
    <x:oddHeader>&amp;RWP/II-H-5.2/3
Page &amp;P of &amp;N</x:oddHeader>
    <x:oddFooter>&amp;R]</x:oddFoot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pageSetUpPr fitToPage="1"/>
  </x:sheetPr>
  <x:dimension ref="A1:Q64"/>
  <x:sheetViews>
    <x:sheetView view="pageBreakPreview" zoomScaleNormal="100" workbookViewId="0"/>
  </x:sheetViews>
  <x:sheetFormatPr defaultColWidth="9.109375" defaultRowHeight="13.8" x14ac:dyDescent="0.3"/>
  <x:cols>
    <x:col min="1" max="1" width="9.109375" style="1"/>
    <x:col min="2" max="2" width="16.88671875" style="1" customWidth="1"/>
    <x:col min="3" max="3" width="6.88671875" style="1" customWidth="1"/>
    <x:col min="4" max="15" width="8.6640625" style="1" customWidth="1"/>
    <x:col min="16" max="16" width="9.6640625" style="1" customWidth="1"/>
    <x:col min="17" max="17" width="9.5546875" style="1" bestFit="1" customWidth="1"/>
    <x:col min="18" max="16384" width="9.109375" style="1"/>
  </x:cols>
  <x:sheetData>
    <x:row r="1" spans="1:17" ht="15.6" x14ac:dyDescent="0.3">
      <x:c r="A1" s="14"/>
      <x:c r="B1" s="69" t="s">
        <x:v>10</x:v>
      </x:c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</x:row>
    <x:row r="2" spans="1:17" ht="15.6" x14ac:dyDescent="0.3">
      <x:c r="A2" s="14"/>
      <x:c r="B2" s="69" t="s">
        <x:v>11</x:v>
      </x:c>
      <x:c r="C2" s="69"/>
      <x:c r="D2" s="69"/>
      <x:c r="E2" s="69"/>
      <x:c r="F2" s="69"/>
      <x:c r="G2" s="70"/>
      <x:c r="H2" s="70"/>
      <x:c r="I2" s="70"/>
      <x:c r="J2" s="70"/>
      <x:c r="K2" s="70"/>
      <x:c r="L2" s="70"/>
      <x:c r="M2" s="70"/>
      <x:c r="N2" s="70"/>
      <x:c r="O2" s="70"/>
      <x:c r="P2" s="70"/>
    </x:row>
    <x:row r="3" spans="1:17" ht="15.6" x14ac:dyDescent="0.3">
      <x:c r="A3" s="14"/>
      <x:c r="B3" s="69" t="s">
        <x:v>39</x:v>
      </x:c>
      <x:c r="C3" s="69"/>
      <x:c r="D3" s="69"/>
      <x:c r="E3" s="69"/>
      <x:c r="F3" s="69"/>
      <x:c r="G3" s="70"/>
      <x:c r="H3" s="70"/>
      <x:c r="I3" s="70"/>
      <x:c r="J3" s="70"/>
      <x:c r="K3" s="70"/>
      <x:c r="L3" s="70"/>
      <x:c r="M3" s="70"/>
      <x:c r="N3" s="70"/>
      <x:c r="O3" s="70"/>
      <x:c r="P3" s="70"/>
    </x:row>
    <x:row r="4" spans="1:17" ht="15.6" x14ac:dyDescent="0.3">
      <x:c r="A4" s="14"/>
      <x:c r="B4" s="69" t="str">
        <x:f>+'SECGT10 Seasonal Weights'!B4:P4</x:f>
        <x:v>FOR THE TEST YEAR ENDING DECEMBER 31, 2024</x:v>
      </x:c>
      <x:c r="C4" s="69"/>
      <x:c r="D4" s="69"/>
      <x:c r="E4" s="69"/>
      <x:c r="F4" s="69"/>
      <x:c r="G4" s="70"/>
      <x:c r="H4" s="70"/>
      <x:c r="I4" s="70"/>
      <x:c r="J4" s="70"/>
      <x:c r="K4" s="70"/>
      <x:c r="L4" s="70"/>
      <x:c r="M4" s="70"/>
      <x:c r="N4" s="70"/>
      <x:c r="O4" s="70"/>
      <x:c r="P4" s="70"/>
    </x:row>
    <x:row r="5" spans="1:17" ht="15.6" x14ac:dyDescent="0.3">
      <x:c r="A5" s="14"/>
      <x:c r="B5" s="69"/>
      <x:c r="C5" s="69"/>
      <x:c r="D5" s="69"/>
      <x:c r="E5" s="69"/>
      <x:c r="F5" s="69"/>
      <x:c r="G5" s="17"/>
      <x:c r="H5" s="17"/>
      <x:c r="I5" s="18"/>
      <x:c r="J5" s="18"/>
      <x:c r="K5" s="18"/>
      <x:c r="L5" s="18"/>
      <x:c r="M5" s="18"/>
      <x:c r="N5" s="18"/>
      <x:c r="O5" s="18"/>
      <x:c r="P5" s="18"/>
    </x:row>
    <x:row r="6" spans="1:17" ht="15.6" x14ac:dyDescent="0.3">
      <x:c r="A6" s="14"/>
      <x:c r="B6" s="69" t="s">
        <x:v>38</x:v>
      </x:c>
      <x:c r="C6" s="69"/>
      <x:c r="D6" s="69"/>
      <x:c r="E6" s="69"/>
      <x:c r="F6" s="69"/>
      <x:c r="G6" s="70"/>
      <x:c r="H6" s="70"/>
      <x:c r="I6" s="70"/>
      <x:c r="J6" s="70"/>
      <x:c r="K6" s="70"/>
      <x:c r="L6" s="70"/>
      <x:c r="M6" s="70"/>
      <x:c r="N6" s="70"/>
      <x:c r="O6" s="70"/>
      <x:c r="P6" s="70"/>
    </x:row>
    <x:row r="7" spans="1:17" ht="15.6" x14ac:dyDescent="0.3">
      <x:c r="A7" s="14"/>
      <x:c r="B7" s="15"/>
      <x:c r="C7" s="15"/>
      <x:c r="D7" s="15"/>
      <x:c r="E7" s="15"/>
      <x:c r="F7" s="15"/>
      <x:c r="G7" s="16"/>
      <x:c r="H7" s="16"/>
      <x:c r="I7" s="18"/>
      <x:c r="J7" s="18"/>
      <x:c r="K7" s="18"/>
      <x:c r="L7" s="18"/>
      <x:c r="M7" s="18"/>
      <x:c r="N7" s="18"/>
      <x:c r="O7" s="18"/>
      <x:c r="P7" s="18"/>
    </x:row>
    <x:row r="8" spans="1:17" ht="15.6" x14ac:dyDescent="0.3">
      <x:c r="A8" s="14"/>
      <x:c r="B8" s="71" t="s">
        <x:v>47</x:v>
      </x:c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</x:row>
    <x:row r="9" spans="1:17" ht="14.4" x14ac:dyDescent="0.3">
      <x:c r="A9" s="14" t="s">
        <x:v>12</x:v>
      </x:c>
      <x:c r="B9" s="14" t="s">
        <x:v>13</x:v>
      </x:c>
      <x:c r="C9" s="19" t="s">
        <x:v>14</x:v>
      </x:c>
      <x:c r="D9" s="19" t="s">
        <x:v>15</x:v>
      </x:c>
      <x:c r="E9" s="19" t="s">
        <x:v>16</x:v>
      </x:c>
      <x:c r="F9" s="19" t="s">
        <x:v>17</x:v>
      </x:c>
      <x:c r="G9" s="19" t="s">
        <x:v>18</x:v>
      </x:c>
      <x:c r="H9" s="19" t="s">
        <x:v>19</x:v>
      </x:c>
      <x:c r="I9" s="19" t="s">
        <x:v>20</x:v>
      </x:c>
      <x:c r="J9" s="19" t="s">
        <x:v>21</x:v>
      </x:c>
      <x:c r="K9" s="19" t="s">
        <x:v>22</x:v>
      </x:c>
      <x:c r="L9" s="19" t="s">
        <x:v>23</x:v>
      </x:c>
      <x:c r="M9" s="19" t="s">
        <x:v>24</x:v>
      </x:c>
      <x:c r="N9" s="19" t="s">
        <x:v>25</x:v>
      </x:c>
      <x:c r="O9" s="19" t="s">
        <x:v>26</x:v>
      </x:c>
      <x:c r="P9" s="19" t="s">
        <x:v>41</x:v>
      </x:c>
    </x:row>
    <x:row r="10" spans="1:17" ht="15.75" customHeight="1" x14ac:dyDescent="0.3">
      <x:c r="A10" s="20" t="s">
        <x:v>27</x:v>
      </x:c>
      <x:c r="B10" s="21" t="s">
        <x:v>28</x:v>
      </x:c>
      <x:c r="C10" s="1" t="s">
        <x:v>33</x:v>
      </x:c>
      <x:c r="D10" s="22">
        <x:v>36892</x:v>
      </x:c>
      <x:c r="E10" s="23">
        <x:v>36923</x:v>
      </x:c>
      <x:c r="F10" s="23">
        <x:v>36951</x:v>
      </x:c>
      <x:c r="G10" s="23">
        <x:v>36982</x:v>
      </x:c>
      <x:c r="H10" s="23">
        <x:v>37012</x:v>
      </x:c>
      <x:c r="I10" s="23">
        <x:v>37043</x:v>
      </x:c>
      <x:c r="J10" s="23">
        <x:v>37073</x:v>
      </x:c>
      <x:c r="K10" s="23">
        <x:v>37104</x:v>
      </x:c>
      <x:c r="L10" s="23">
        <x:v>37135</x:v>
      </x:c>
      <x:c r="M10" s="23">
        <x:v>37165</x:v>
      </x:c>
      <x:c r="N10" s="23">
        <x:v>37196</x:v>
      </x:c>
      <x:c r="O10" s="23">
        <x:v>37226</x:v>
      </x:c>
      <x:c r="P10" s="24" t="s">
        <x:v>0</x:v>
      </x:c>
    </x:row>
    <x:row r="11" spans="1:17" ht="14.4" x14ac:dyDescent="0.3">
      <x:c r="A11" s="1">
        <x:v>1</x:v>
      </x:c>
      <x:c r="B11" s="17" t="s">
        <x:v>29</x:v>
      </x:c>
      <x:c r="C11" s="2">
        <x:v>2021</x:v>
      </x:c>
      <x:c r="D11" s="3">
        <x:f>'SECGT10 Sales by Year (21-23)'!D11/'SECGT10 Sales by Year (21-23)'!D61</x:f>
        <x:v>0.73954676653711315</x:v>
      </x:c>
      <x:c r="E11" s="3">
        <x:f>'SECGT10 Sales by Year (21-23)'!E11/'SECGT10 Sales by Year (21-23)'!E$61</x:f>
        <x:v>0.7410046577124606</x:v>
      </x:c>
      <x:c r="F11" s="3">
        <x:f>'SECGT10 Sales by Year (21-23)'!F11/'SECGT10 Sales by Year (21-23)'!F$61</x:f>
        <x:v>0.737184822717318</x:v>
      </x:c>
      <x:c r="G11" s="3">
        <x:f>'SECGT10 Sales by Year (21-23)'!G11/'SECGT10 Sales by Year (21-23)'!G$61</x:f>
        <x:v>0.73354603694551046</x:v>
      </x:c>
      <x:c r="H11" s="3">
        <x:f>'SECGT10 Sales by Year (21-23)'!H11/'SECGT10 Sales by Year (21-23)'!H$61</x:f>
        <x:v>0.73184236642339262</x:v>
      </x:c>
      <x:c r="I11" s="3">
        <x:f>'SECGT10 Sales by Year (21-23)'!I11/'SECGT10 Sales by Year (21-23)'!I$61</x:f>
        <x:v>0.74420685079619797</x:v>
      </x:c>
      <x:c r="J11" s="3">
        <x:f>'SECGT10 Sales by Year (21-23)'!J11/'SECGT10 Sales by Year (21-23)'!J$61</x:f>
        <x:v>0.73995547369735304</x:v>
      </x:c>
      <x:c r="K11" s="3">
        <x:f>'SECGT10 Sales by Year (21-23)'!K11/'SECGT10 Sales by Year (21-23)'!K$61</x:f>
        <x:v>0.74304161148075643</x:v>
      </x:c>
      <x:c r="L11" s="3">
        <x:f>'SECGT10 Sales by Year (21-23)'!L11/'SECGT10 Sales by Year (21-23)'!L$61</x:f>
        <x:v>0.74380056916021975</x:v>
      </x:c>
      <x:c r="M11" s="3">
        <x:f>'SECGT10 Sales by Year (21-23)'!M11/'SECGT10 Sales by Year (21-23)'!M$61</x:f>
        <x:v>0.74739263955724633</x:v>
      </x:c>
      <x:c r="N11" s="3">
        <x:f>'SECGT10 Sales by Year (21-23)'!N11/'SECGT10 Sales by Year (21-23)'!N$61</x:f>
        <x:v>0.73992719727760103</x:v>
      </x:c>
      <x:c r="O11" s="3">
        <x:f>'SECGT10 Sales by Year (21-23)'!O11/'SECGT10 Sales by Year (21-23)'!O$61</x:f>
        <x:v>0.7332544574235148</x:v>
      </x:c>
      <x:c r="P11" s="59">
        <x:f>'SECGT10 Sales by Year (21-23)'!P11/'SECGT10 Sales by Year (21-23)'!P$61</x:f>
        <x:v>0.73991222238561438</x:v>
      </x:c>
      <x:c r="Q11" s="4"/>
    </x:row>
    <x:row r="12" spans="1:17" ht="14.4" x14ac:dyDescent="0.3">
      <x:c r="A12" s="1">
        <x:f>+A11+1</x:f>
        <x:v>2</x:v>
      </x:c>
      <x:c r="B12" s="17" t="s">
        <x:v>29</x:v>
      </x:c>
      <x:c r="C12" s="2">
        <x:v>2022</x:v>
      </x:c>
      <x:c r="D12" s="3">
        <x:f>'SECGT10 Sales by Year (21-23)'!D12/'SECGT10 Sales by Year (21-23)'!D62</x:f>
        <x:v>0.73956735990099165</x:v>
      </x:c>
      <x:c r="E12" s="3">
        <x:f>'SECGT10 Sales by Year (21-23)'!E12/'SECGT10 Sales by Year (21-23)'!E$62</x:f>
        <x:v>0.73368340775046925</x:v>
      </x:c>
      <x:c r="F12" s="3">
        <x:f>'SECGT10 Sales by Year (21-23)'!F12/'SECGT10 Sales by Year (21-23)'!F$62</x:f>
        <x:v>0.73637556777134083</x:v>
      </x:c>
      <x:c r="G12" s="3">
        <x:f>'SECGT10 Sales by Year (21-23)'!G12/'SECGT10 Sales by Year (21-23)'!G$62</x:f>
        <x:v>0.73556936004658946</x:v>
      </x:c>
      <x:c r="H12" s="3">
        <x:f>'SECGT10 Sales by Year (21-23)'!H12/'SECGT10 Sales by Year (21-23)'!H$62</x:f>
        <x:v>0.73388015162664855</x:v>
      </x:c>
      <x:c r="I12" s="3">
        <x:f>'SECGT10 Sales by Year (21-23)'!I12/'SECGT10 Sales by Year (21-23)'!I$62</x:f>
        <x:v>0.74172031491077051</x:v>
      </x:c>
      <x:c r="J12" s="3">
        <x:f>'SECGT10 Sales by Year (21-23)'!J12/'SECGT10 Sales by Year (21-23)'!J$62</x:f>
        <x:v>0.73903919286113418</x:v>
      </x:c>
      <x:c r="K12" s="3">
        <x:f>'SECGT10 Sales by Year (21-23)'!K12/'SECGT10 Sales by Year (21-23)'!K$62</x:f>
        <x:v>0.73969501818504446</x:v>
      </x:c>
      <x:c r="L12" s="3">
        <x:f>'SECGT10 Sales by Year (21-23)'!L12/'SECGT10 Sales by Year (21-23)'!L$62</x:f>
        <x:v>0.73811148618435485</x:v>
      </x:c>
      <x:c r="M12" s="3">
        <x:f>'SECGT10 Sales by Year (21-23)'!M12/'SECGT10 Sales by Year (21-23)'!M$62</x:f>
        <x:v>0.73703612730210633</x:v>
      </x:c>
      <x:c r="N12" s="3">
        <x:f>'SECGT10 Sales by Year (21-23)'!N12/'SECGT10 Sales by Year (21-23)'!N$62</x:f>
        <x:v>0.73515821215944721</x:v>
      </x:c>
      <x:c r="O12" s="3">
        <x:f>'SECGT10 Sales by Year (21-23)'!O12/'SECGT10 Sales by Year (21-23)'!O$62</x:f>
        <x:v>0.73558451707088846</x:v>
      </x:c>
      <x:c r="P12" s="60">
        <x:f>'SECGT10 Sales by Year (21-23)'!P12/'SECGT10 Sales by Year (21-23)'!P$62</x:f>
        <x:v>0.73732734626043739</x:v>
      </x:c>
    </x:row>
    <x:row r="13" spans="1:17" ht="15" thickBot="1" x14ac:dyDescent="0.35">
      <x:c r="A13" s="1">
        <x:f t="shared" ref="A13:A64" si="0">+A12+1</x:f>
        <x:v>3</x:v>
      </x:c>
      <x:c r="B13" s="17" t="s">
        <x:v>29</x:v>
      </x:c>
      <x:c r="C13" s="2">
        <x:v>2023</x:v>
      </x:c>
      <x:c r="D13" s="3">
        <x:f>'SECGT10 Sales by Year (21-23)'!D13/'SECGT10 Sales by Year (21-23)'!D63</x:f>
        <x:v>0.73532771249173035</x:v>
      </x:c>
      <x:c r="E13" s="3">
        <x:f>'SECGT10 Sales by Year (21-23)'!E13/'SECGT10 Sales by Year (21-23)'!E63</x:f>
        <x:v>0.73495922824209159</x:v>
      </x:c>
      <x:c r="F13" s="3">
        <x:f>'SECGT10 Sales by Year (21-23)'!F13/'SECGT10 Sales by Year (21-23)'!F63</x:f>
        <x:v>0.72988313688970619</x:v>
      </x:c>
      <x:c r="G13" s="3">
        <x:f>'SECGT10 Sales by Year (21-23)'!G13/'SECGT10 Sales by Year (21-23)'!G63</x:f>
        <x:v>0.72937490558731133</x:v>
      </x:c>
      <x:c r="H13" s="3">
        <x:f>'SECGT10 Sales by Year (21-23)'!H13/'SECGT10 Sales by Year (21-23)'!H63</x:f>
        <x:v>0.7352986446554548</x:v>
      </x:c>
      <x:c r="I13" s="3">
        <x:f>'SECGT10 Sales by Year (21-23)'!I13/'SECGT10 Sales by Year (21-23)'!I63</x:f>
        <x:v>0.73563304918472128</x:v>
      </x:c>
      <x:c r="J13" s="3">
        <x:f>'SECGT10 Sales by Year (21-23)'!J13/'SECGT10 Sales by Year (21-23)'!J63</x:f>
        <x:v>0.73190547097941372</x:v>
      </x:c>
      <x:c r="K13" s="3">
        <x:f>'SECGT10 Sales by Year (21-23)'!K13/'SECGT10 Sales by Year (21-23)'!K63</x:f>
        <x:v>0.73431980971458644</x:v>
      </x:c>
      <x:c r="L13" s="3">
        <x:f>'SECGT10 Sales by Year (21-23)'!L13/'SECGT10 Sales by Year (21-23)'!L63</x:f>
        <x:v>0.73503014428212976</x:v>
      </x:c>
      <x:c r="M13" s="3">
        <x:f>'SECGT10 Sales by Year (21-23)'!M13/'SECGT10 Sales by Year (21-23)'!M63</x:f>
        <x:v>0.73461685554620793</x:v>
      </x:c>
      <x:c r="N13" s="3">
        <x:f>'SECGT10 Sales by Year (21-23)'!N13/'SECGT10 Sales by Year (21-23)'!N63</x:f>
        <x:v>0.73438915967316321</x:v>
      </x:c>
      <x:c r="O13" s="3">
        <x:f>'SECGT10 Sales by Year (21-23)'!O13/'SECGT10 Sales by Year (21-23)'!O63</x:f>
        <x:v>0.73456422368985352</x:v>
      </x:c>
      <x:c r="P13" s="60">
        <x:f>'SECGT10 Sales by Year (21-23)'!P13/'SECGT10 Sales by Year (21-23)'!P63</x:f>
        <x:v>0.73383497433485168</x:v>
      </x:c>
    </x:row>
    <x:row r="14" spans="1:17" ht="14.4" x14ac:dyDescent="0.3">
      <x:c r="A14" s="1">
        <x:f t="shared" si="0"/>
        <x:v>4</x:v>
      </x:c>
      <x:c r="B14" s="17" t="s">
        <x:v>29</x:v>
      </x:c>
      <x:c r="C14" s="57" t="s">
        <x:v>1</x:v>
      </x:c>
      <x:c r="D14" s="58">
        <x:f>'SECGT10 Sales by Year (21-23)'!D14/'SECGT10 Sales by Year (21-23)'!D64</x:f>
        <x:v>0.73809943092901531</x:v>
      </x:c>
      <x:c r="E14" s="58">
        <x:f>'SECGT10 Sales by Year (21-23)'!E14/'SECGT10 Sales by Year (21-23)'!E64</x:f>
        <x:v>0.73645071511989402</x:v>
      </x:c>
      <x:c r="F14" s="58">
        <x:f>'SECGT10 Sales by Year (21-23)'!F14/'SECGT10 Sales by Year (21-23)'!F64</x:f>
        <x:v>0.73448838413479556</x:v>
      </x:c>
      <x:c r="G14" s="58">
        <x:f>'SECGT10 Sales by Year (21-23)'!G14/'SECGT10 Sales by Year (21-23)'!G64</x:f>
        <x:v>0.73282169058918323</x:v>
      </x:c>
      <x:c r="H14" s="58">
        <x:f>'SECGT10 Sales by Year (21-23)'!H14/'SECGT10 Sales by Year (21-23)'!H64</x:f>
        <x:v>0.73368948694883729</x:v>
      </x:c>
      <x:c r="I14" s="58">
        <x:f>'SECGT10 Sales by Year (21-23)'!I14/'SECGT10 Sales by Year (21-23)'!I64</x:f>
        <x:v>0.74044528944262489</x:v>
      </x:c>
      <x:c r="J14" s="58">
        <x:f>'SECGT10 Sales by Year (21-23)'!J14/'SECGT10 Sales by Year (21-23)'!J64</x:f>
        <x:v>0.73692629126830611</x:v>
      </x:c>
      <x:c r="K14" s="58">
        <x:f>'SECGT10 Sales by Year (21-23)'!K14/'SECGT10 Sales by Year (21-23)'!K64</x:f>
        <x:v>0.73888794170637828</x:v>
      </x:c>
      <x:c r="L14" s="58">
        <x:f>'SECGT10 Sales by Year (21-23)'!L14/'SECGT10 Sales by Year (21-23)'!L64</x:f>
        <x:v>0.73884176981578431</x:v>
      </x:c>
      <x:c r="M14" s="58">
        <x:f>'SECGT10 Sales by Year (21-23)'!M14/'SECGT10 Sales by Year (21-23)'!M64</x:f>
        <x:v>0.73947753986129694</x:v>
      </x:c>
      <x:c r="N14" s="58">
        <x:f>'SECGT10 Sales by Year (21-23)'!N14/'SECGT10 Sales by Year (21-23)'!N64</x:f>
        <x:v>0.73647134878853027</x:v>
      </x:c>
      <x:c r="O14" s="58">
        <x:f>'SECGT10 Sales by Year (21-23)'!O14/'SECGT10 Sales by Year (21-23)'!O64</x:f>
        <x:v>0.73448081327189696</x:v>
      </x:c>
      <x:c r="P14" s="61">
        <x:f>'SECGT10 Sales by Year (21-23)'!P14/'SECGT10 Sales by Year (21-23)'!P64</x:f>
        <x:v>0.73696442987694355</x:v>
      </x:c>
    </x:row>
    <x:row r="15" spans="1:17" x14ac:dyDescent="0.3">
      <x:c r="A15" s="1">
        <x:f t="shared" si="0"/>
        <x:v>5</x:v>
      </x:c>
      <x:c r="B15" s="8"/>
      <x:c r="C15" s="4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</x:row>
    <x:row r="16" spans="1:17" x14ac:dyDescent="0.3">
      <x:c r="A16" s="1">
        <x:f t="shared" si="0"/>
        <x:v>6</x:v>
      </x:c>
      <x:c r="B16" s="8" t="s">
        <x:v>5</x:v>
      </x:c>
      <x:c r="C16" s="2">
        <x:f>+C11</x:f>
        <x:v>2021</x:v>
      </x:c>
      <x:c r="D16" s="3">
        <x:f>'SECGT10 Sales by Year (21-23)'!D16/'SECGT10 Sales by Year (21-23)'!D61</x:f>
        <x:v>2.4284364631377446E-2</x:v>
      </x:c>
      <x:c r="E16" s="3">
        <x:f>'SECGT10 Sales by Year (21-23)'!E16/'SECGT10 Sales by Year (21-23)'!E$61</x:f>
        <x:v>2.4282110069222117E-2</x:v>
      </x:c>
      <x:c r="F16" s="3">
        <x:f>'SECGT10 Sales by Year (21-23)'!F16/'SECGT10 Sales by Year (21-23)'!F$61</x:f>
        <x:v>2.4030179175528826E-2</x:v>
      </x:c>
      <x:c r="G16" s="3">
        <x:f>'SECGT10 Sales by Year (21-23)'!G16/'SECGT10 Sales by Year (21-23)'!G$61</x:f>
        <x:v>2.4975023031214735E-2</x:v>
      </x:c>
      <x:c r="H16" s="3">
        <x:f>'SECGT10 Sales by Year (21-23)'!H16/'SECGT10 Sales by Year (21-23)'!H$61</x:f>
        <x:v>2.5466464040597814E-2</x:v>
      </x:c>
      <x:c r="I16" s="3">
        <x:f>'SECGT10 Sales by Year (21-23)'!I16/'SECGT10 Sales by Year (21-23)'!I$61</x:f>
        <x:v>2.5676186204562912E-2</x:v>
      </x:c>
      <x:c r="J16" s="3">
        <x:f>'SECGT10 Sales by Year (21-23)'!J16/'SECGT10 Sales by Year (21-23)'!J$61</x:f>
        <x:v>2.5000793183105753E-2</x:v>
      </x:c>
      <x:c r="K16" s="3">
        <x:f>'SECGT10 Sales by Year (21-23)'!K16/'SECGT10 Sales by Year (21-23)'!K$61</x:f>
        <x:v>2.4898591093469282E-2</x:v>
      </x:c>
      <x:c r="L16" s="3">
        <x:f>'SECGT10 Sales by Year (21-23)'!L16/'SECGT10 Sales by Year (21-23)'!L$61</x:f>
        <x:v>2.5206620525817559E-2</x:v>
      </x:c>
      <x:c r="M16" s="3">
        <x:f>'SECGT10 Sales by Year (21-23)'!M16/'SECGT10 Sales by Year (21-23)'!M$61</x:f>
        <x:v>2.5186828986255898E-2</x:v>
      </x:c>
      <x:c r="N16" s="3">
        <x:f>'SECGT10 Sales by Year (21-23)'!N16/'SECGT10 Sales by Year (21-23)'!N$61</x:f>
        <x:v>2.4943838280267132E-2</x:v>
      </x:c>
      <x:c r="O16" s="3">
        <x:f>'SECGT10 Sales by Year (21-23)'!O16/'SECGT10 Sales by Year (21-23)'!O$61</x:f>
        <x:v>2.4370763987898964E-2</x:v>
      </x:c>
      <x:c r="P16" s="60">
        <x:f>'SECGT10 Sales by Year (21-23)'!P16/'SECGT10 Sales by Year (21-23)'!P$61</x:f>
        <x:v>2.4886151837462251E-2</x:v>
      </x:c>
      <x:c r="Q16" s="4"/>
    </x:row>
    <x:row r="17" spans="1:17" x14ac:dyDescent="0.3">
      <x:c r="A17" s="1">
        <x:f t="shared" si="0"/>
        <x:v>7</x:v>
      </x:c>
      <x:c r="B17" s="8" t="s">
        <x:v>5</x:v>
      </x:c>
      <x:c r="C17" s="2">
        <x:f>+C12</x:f>
        <x:v>2022</x:v>
      </x:c>
      <x:c r="D17" s="3">
        <x:f>'SECGT10 Sales by Year (21-23)'!D17/'SECGT10 Sales by Year (21-23)'!D62</x:f>
        <x:v>2.3883564822600518E-2</x:v>
      </x:c>
      <x:c r="E17" s="3">
        <x:f>'SECGT10 Sales by Year (21-23)'!E17/'SECGT10 Sales by Year (21-23)'!E$62</x:f>
        <x:v>2.4350583111750222E-2</x:v>
      </x:c>
      <x:c r="F17" s="3">
        <x:f>'SECGT10 Sales by Year (21-23)'!F17/'SECGT10 Sales by Year (21-23)'!F$62</x:f>
        <x:v>2.4189936498113834E-2</x:v>
      </x:c>
      <x:c r="G17" s="3">
        <x:f>'SECGT10 Sales by Year (21-23)'!G17/'SECGT10 Sales by Year (21-23)'!G$62</x:f>
        <x:v>2.4439745051147033E-2</x:v>
      </x:c>
      <x:c r="H17" s="3">
        <x:f>'SECGT10 Sales by Year (21-23)'!H17/'SECGT10 Sales by Year (21-23)'!H$62</x:f>
        <x:v>2.4926718048349436E-2</x:v>
      </x:c>
      <x:c r="I17" s="3">
        <x:f>'SECGT10 Sales by Year (21-23)'!I17/'SECGT10 Sales by Year (21-23)'!I$62</x:f>
        <x:v>2.5435480715468351E-2</x:v>
      </x:c>
      <x:c r="J17" s="3">
        <x:f>'SECGT10 Sales by Year (21-23)'!J17/'SECGT10 Sales by Year (21-23)'!J$62</x:f>
        <x:v>2.5008830168070706E-2</x:v>
      </x:c>
      <x:c r="K17" s="3">
        <x:f>'SECGT10 Sales by Year (21-23)'!K17/'SECGT10 Sales by Year (21-23)'!K$62</x:f>
        <x:v>2.4653462824599327E-2</x:v>
      </x:c>
      <x:c r="L17" s="3">
        <x:f>'SECGT10 Sales by Year (21-23)'!L17/'SECGT10 Sales by Year (21-23)'!L$62</x:f>
        <x:v>2.4859669222446708E-2</x:v>
      </x:c>
      <x:c r="M17" s="3">
        <x:f>'SECGT10 Sales by Year (21-23)'!M17/'SECGT10 Sales by Year (21-23)'!M$62</x:f>
        <x:v>2.4502148150954174E-2</x:v>
      </x:c>
      <x:c r="N17" s="3">
        <x:f>'SECGT10 Sales by Year (21-23)'!N17/'SECGT10 Sales by Year (21-23)'!N$62</x:f>
        <x:v>2.4355539169355723E-2</x:v>
      </x:c>
      <x:c r="O17" s="3">
        <x:f>'SECGT10 Sales by Year (21-23)'!O17/'SECGT10 Sales by Year (21-23)'!O$62</x:f>
        <x:v>2.3838428701385292E-2</x:v>
      </x:c>
      <x:c r="P17" s="60">
        <x:f>'SECGT10 Sales by Year (21-23)'!P17/'SECGT10 Sales by Year (21-23)'!P$62</x:f>
        <x:v>2.45769800077489E-2</x:v>
      </x:c>
    </x:row>
    <x:row r="18" spans="1:17" ht="14.4" thickBot="1" x14ac:dyDescent="0.35">
      <x:c r="A18" s="1">
        <x:f t="shared" si="0"/>
        <x:v>8</x:v>
      </x:c>
      <x:c r="B18" s="8" t="s">
        <x:v>5</x:v>
      </x:c>
      <x:c r="C18" s="2">
        <x:f>+C13</x:f>
        <x:v>2023</x:v>
      </x:c>
      <x:c r="D18" s="3">
        <x:f>'SECGT10 Sales by Year (21-23)'!D18/'SECGT10 Sales by Year (21-23)'!D63</x:f>
        <x:v>2.3651975707614448E-2</x:v>
      </x:c>
      <x:c r="E18" s="3">
        <x:f>'SECGT10 Sales by Year (21-23)'!E18/'SECGT10 Sales by Year (21-23)'!E63</x:f>
        <x:v>2.3441758885452479E-2</x:v>
      </x:c>
      <x:c r="F18" s="3">
        <x:f>'SECGT10 Sales by Year (21-23)'!F18/'SECGT10 Sales by Year (21-23)'!F63</x:f>
        <x:v>2.385567390754054E-2</x:v>
      </x:c>
      <x:c r="G18" s="3">
        <x:f>'SECGT10 Sales by Year (21-23)'!G18/'SECGT10 Sales by Year (21-23)'!G63</x:f>
        <x:v>2.4063876077116263E-2</x:v>
      </x:c>
      <x:c r="H18" s="3">
        <x:f>'SECGT10 Sales by Year (21-23)'!H18/'SECGT10 Sales by Year (21-23)'!H63</x:f>
        <x:v>2.4121583127667871E-2</x:v>
      </x:c>
      <x:c r="I18" s="3">
        <x:f>'SECGT10 Sales by Year (21-23)'!I18/'SECGT10 Sales by Year (21-23)'!I63</x:f>
        <x:v>2.4556617063911657E-2</x:v>
      </x:c>
      <x:c r="J18" s="3">
        <x:f>'SECGT10 Sales by Year (21-23)'!J18/'SECGT10 Sales by Year (21-23)'!J63</x:f>
        <x:v>2.4915802050616578E-2</x:v>
      </x:c>
      <x:c r="K18" s="3">
        <x:f>'SECGT10 Sales by Year (21-23)'!K18/'SECGT10 Sales by Year (21-23)'!K63</x:f>
        <x:v>2.4678480088817501E-2</x:v>
      </x:c>
      <x:c r="L18" s="3">
        <x:f>'SECGT10 Sales by Year (21-23)'!L18/'SECGT10 Sales by Year (21-23)'!L63</x:f>
        <x:v>2.4488163706835882E-2</x:v>
      </x:c>
      <x:c r="M18" s="3">
        <x:f>'SECGT10 Sales by Year (21-23)'!M18/'SECGT10 Sales by Year (21-23)'!M63</x:f>
        <x:v>2.3951694850379825E-2</x:v>
      </x:c>
      <x:c r="N18" s="3">
        <x:f>'SECGT10 Sales by Year (21-23)'!N18/'SECGT10 Sales by Year (21-23)'!N63</x:f>
        <x:v>2.3982946485008372E-2</x:v>
      </x:c>
      <x:c r="O18" s="3">
        <x:f>'SECGT10 Sales by Year (21-23)'!O18/'SECGT10 Sales by Year (21-23)'!O63</x:f>
        <x:v>2.3656970689904817E-2</x:v>
      </x:c>
      <x:c r="P18" s="60">
        <x:f>'SECGT10 Sales by Year (21-23)'!P18/'SECGT10 Sales by Year (21-23)'!P63</x:f>
        <x:v>2.4164828667125059E-2</x:v>
      </x:c>
    </x:row>
    <x:row r="19" spans="1:17" x14ac:dyDescent="0.3">
      <x:c r="A19" s="1">
        <x:f t="shared" si="0"/>
        <x:v>9</x:v>
      </x:c>
      <x:c r="B19" s="8" t="s">
        <x:v>5</x:v>
      </x:c>
      <x:c r="C19" s="57" t="s">
        <x:v>1</x:v>
      </x:c>
      <x:c r="D19" s="58">
        <x:f>'SECGT10 Sales by Year (21-23)'!D19/'SECGT10 Sales by Year (21-23)'!D64</x:f>
        <x:v>2.3933488712172098E-2</x:v>
      </x:c>
      <x:c r="E19" s="58">
        <x:f>'SECGT10 Sales by Year (21-23)'!E19/'SECGT10 Sales by Year (21-23)'!E64</x:f>
        <x:v>2.4018641096813204E-2</x:v>
      </x:c>
      <x:c r="F19" s="58">
        <x:f>'SECGT10 Sales by Year (21-23)'!F19/'SECGT10 Sales by Year (21-23)'!F64</x:f>
        <x:v>2.4026880651734188E-2</x:v>
      </x:c>
      <x:c r="G19" s="58">
        <x:f>'SECGT10 Sales by Year (21-23)'!G19/'SECGT10 Sales by Year (21-23)'!G64</x:f>
        <x:v>2.4485182057289959E-2</x:v>
      </x:c>
      <x:c r="H19" s="58">
        <x:f>'SECGT10 Sales by Year (21-23)'!H19/'SECGT10 Sales by Year (21-23)'!H64</x:f>
        <x:v>2.4836226984065062E-2</x:v>
      </x:c>
      <x:c r="I19" s="58">
        <x:f>'SECGT10 Sales by Year (21-23)'!I19/'SECGT10 Sales by Year (21-23)'!I64</x:f>
        <x:v>2.5214532241033111E-2</x:v>
      </x:c>
      <x:c r="J19" s="58">
        <x:f>'SECGT10 Sales by Year (21-23)'!J19/'SECGT10 Sales by Year (21-23)'!J64</x:f>
        <x:v>2.4974872091860615E-2</x:v>
      </x:c>
      <x:c r="K19" s="58">
        <x:f>'SECGT10 Sales by Year (21-23)'!K19/'SECGT10 Sales by Year (21-23)'!K64</x:f>
        <x:v>2.4737832009825645E-2</x:v>
      </x:c>
      <x:c r="L19" s="58">
        <x:f>'SECGT10 Sales by Year (21-23)'!L19/'SECGT10 Sales by Year (21-23)'!L64</x:f>
        <x:v>2.4839112610876297E-2</x:v>
      </x:c>
      <x:c r="M19" s="58">
        <x:f>'SECGT10 Sales by Year (21-23)'!M19/'SECGT10 Sales by Year (21-23)'!M64</x:f>
        <x:v>2.4524929251933728E-2</x:v>
      </x:c>
      <x:c r="N19" s="58">
        <x:f>'SECGT10 Sales by Year (21-23)'!N19/'SECGT10 Sales by Year (21-23)'!N64</x:f>
        <x:v>2.442241981725193E-2</x:v>
      </x:c>
      <x:c r="O19" s="58">
        <x:f>'SECGT10 Sales by Year (21-23)'!O19/'SECGT10 Sales by Year (21-23)'!O64</x:f>
        <x:v>2.395186673810273E-2</x:v>
      </x:c>
      <x:c r="P19" s="61">
        <x:f>'SECGT10 Sales by Year (21-23)'!P19/'SECGT10 Sales by Year (21-23)'!P64</x:f>
        <x:v>2.4535470427255159E-2</x:v>
      </x:c>
    </x:row>
    <x:row r="20" spans="1:17" x14ac:dyDescent="0.3">
      <x:c r="A20" s="1">
        <x:f t="shared" si="0"/>
        <x:v>10</x:v>
      </x:c>
      <x:c r="B20" s="8"/>
      <x:c r="C20" s="4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</x:row>
    <x:row r="21" spans="1:17" x14ac:dyDescent="0.3">
      <x:c r="A21" s="1">
        <x:f t="shared" si="0"/>
        <x:v>11</x:v>
      </x:c>
      <x:c r="B21" s="8" t="s">
        <x:v>6</x:v>
      </x:c>
      <x:c r="C21" s="2">
        <x:f>+C16</x:f>
        <x:v>2021</x:v>
      </x:c>
      <x:c r="D21" s="3">
        <x:f>'SECGT10 Sales by Year (21-23)'!D21/'SECGT10 Sales by Year (21-23)'!D61</x:f>
        <x:v>2.7540912219147232E-2</x:v>
      </x:c>
      <x:c r="E21" s="3">
        <x:f>'SECGT10 Sales by Year (21-23)'!E21/'SECGT10 Sales by Year (21-23)'!E$61</x:f>
        <x:v>2.7037504341211573E-2</x:v>
      </x:c>
      <x:c r="F21" s="3">
        <x:f>'SECGT10 Sales by Year (21-23)'!F21/'SECGT10 Sales by Year (21-23)'!F$61</x:f>
        <x:v>2.7538159597166788E-2</x:v>
      </x:c>
      <x:c r="G21" s="3">
        <x:f>'SECGT10 Sales by Year (21-23)'!G21/'SECGT10 Sales by Year (21-23)'!G$61</x:f>
        <x:v>2.8246024976545155E-2</x:v>
      </x:c>
      <x:c r="H21" s="3">
        <x:f>'SECGT10 Sales by Year (21-23)'!H21/'SECGT10 Sales by Year (21-23)'!H$61</x:f>
        <x:v>2.910989863014448E-2</x:v>
      </x:c>
      <x:c r="I21" s="3">
        <x:f>'SECGT10 Sales by Year (21-23)'!I21/'SECGT10 Sales by Year (21-23)'!I$61</x:f>
        <x:v>2.9667114550534338E-2</x:v>
      </x:c>
      <x:c r="J21" s="3">
        <x:f>'SECGT10 Sales by Year (21-23)'!J21/'SECGT10 Sales by Year (21-23)'!J$61</x:f>
        <x:v>2.8483648081259749E-2</x:v>
      </x:c>
      <x:c r="K21" s="3">
        <x:f>'SECGT10 Sales by Year (21-23)'!K21/'SECGT10 Sales by Year (21-23)'!K$61</x:f>
        <x:v>2.7965768367504446E-2</x:v>
      </x:c>
      <x:c r="L21" s="3">
        <x:f>'SECGT10 Sales by Year (21-23)'!L21/'SECGT10 Sales by Year (21-23)'!L$61</x:f>
        <x:v>2.9578644047811953E-2</x:v>
      </x:c>
      <x:c r="M21" s="3">
        <x:f>'SECGT10 Sales by Year (21-23)'!M21/'SECGT10 Sales by Year (21-23)'!M$61</x:f>
        <x:v>2.8053837007477597E-2</x:v>
      </x:c>
      <x:c r="N21" s="3">
        <x:f>'SECGT10 Sales by Year (21-23)'!N21/'SECGT10 Sales by Year (21-23)'!N$61</x:f>
        <x:v>2.9052593360429459E-2</x:v>
      </x:c>
      <x:c r="O21" s="3">
        <x:f>'SECGT10 Sales by Year (21-23)'!O21/'SECGT10 Sales by Year (21-23)'!O$61</x:f>
        <x:v>2.8908758315154832E-2</x:v>
      </x:c>
      <x:c r="P21" s="60">
        <x:f>'SECGT10 Sales by Year (21-23)'!P21/'SECGT10 Sales by Year (21-23)'!P$61</x:f>
        <x:v>2.8461074210205533E-2</x:v>
      </x:c>
      <x:c r="Q21" s="4"/>
    </x:row>
    <x:row r="22" spans="1:17" x14ac:dyDescent="0.3">
      <x:c r="A22" s="1">
        <x:f t="shared" si="0"/>
        <x:v>12</x:v>
      </x:c>
      <x:c r="B22" s="8" t="s">
        <x:v>6</x:v>
      </x:c>
      <x:c r="C22" s="2">
        <x:f>+C17</x:f>
        <x:v>2022</x:v>
      </x:c>
      <x:c r="D22" s="3">
        <x:f>'SECGT10 Sales by Year (21-23)'!D22/'SECGT10 Sales by Year (21-23)'!D62</x:f>
        <x:v>2.8639309534403013E-2</x:v>
      </x:c>
      <x:c r="E22" s="3">
        <x:f>'SECGT10 Sales by Year (21-23)'!E22/'SECGT10 Sales by Year (21-23)'!E$62</x:f>
        <x:v>2.8064101377684576E-2</x:v>
      </x:c>
      <x:c r="F22" s="3">
        <x:f>'SECGT10 Sales by Year (21-23)'!F22/'SECGT10 Sales by Year (21-23)'!F$62</x:f>
        <x:v>2.784325548660405E-2</x:v>
      </x:c>
      <x:c r="G22" s="3">
        <x:f>'SECGT10 Sales by Year (21-23)'!G22/'SECGT10 Sales by Year (21-23)'!G$62</x:f>
        <x:v>2.9130358246483884E-2</x:v>
      </x:c>
      <x:c r="H22" s="3">
        <x:f>'SECGT10 Sales by Year (21-23)'!H22/'SECGT10 Sales by Year (21-23)'!H$62</x:f>
        <x:v>3.0185736205364841E-2</x:v>
      </x:c>
      <x:c r="I22" s="3">
        <x:f>'SECGT10 Sales by Year (21-23)'!I22/'SECGT10 Sales by Year (21-23)'!I$62</x:f>
        <x:v>3.0182804946509555E-2</x:v>
      </x:c>
      <x:c r="J22" s="3">
        <x:f>'SECGT10 Sales by Year (21-23)'!J22/'SECGT10 Sales by Year (21-23)'!J$62</x:f>
        <x:v>2.8745773598000103E-2</x:v>
      </x:c>
      <x:c r="K22" s="3">
        <x:f>'SECGT10 Sales by Year (21-23)'!K22/'SECGT10 Sales by Year (21-23)'!K$62</x:f>
        <x:v>2.8618231459085684E-2</x:v>
      </x:c>
      <x:c r="L22" s="3">
        <x:f>'SECGT10 Sales by Year (21-23)'!L22/'SECGT10 Sales by Year (21-23)'!L$62</x:f>
        <x:v>2.9436555351890593E-2</x:v>
      </x:c>
      <x:c r="M22" s="3">
        <x:f>'SECGT10 Sales by Year (21-23)'!M22/'SECGT10 Sales by Year (21-23)'!M$62</x:f>
        <x:v>2.9603782704858181E-2</x:v>
      </x:c>
      <x:c r="N22" s="3">
        <x:f>'SECGT10 Sales by Year (21-23)'!N22/'SECGT10 Sales by Year (21-23)'!N$62</x:f>
        <x:v>2.9685239351635823E-2</x:v>
      </x:c>
      <x:c r="O22" s="3">
        <x:f>'SECGT10 Sales by Year (21-23)'!O22/'SECGT10 Sales by Year (21-23)'!O$62</x:f>
        <x:v>2.8980132721755012E-2</x:v>
      </x:c>
      <x:c r="P22" s="60">
        <x:f>'SECGT10 Sales by Year (21-23)'!P22/'SECGT10 Sales by Year (21-23)'!P$62</x:f>
        <x:v>2.9102036702223246E-2</x:v>
      </x:c>
    </x:row>
    <x:row r="23" spans="1:17" ht="14.4" thickBot="1" x14ac:dyDescent="0.35">
      <x:c r="A23" s="1">
        <x:f t="shared" si="0"/>
        <x:v>13</x:v>
      </x:c>
      <x:c r="B23" s="8" t="s">
        <x:v>6</x:v>
      </x:c>
      <x:c r="C23" s="2">
        <x:f>+C18</x:f>
        <x:v>2023</x:v>
      </x:c>
      <x:c r="D23" s="3">
        <x:f>'SECGT10 Sales by Year (21-23)'!D23/'SECGT10 Sales by Year (21-23)'!D63</x:f>
        <x:v>2.8902015665355722E-2</x:v>
      </x:c>
      <x:c r="E23" s="3">
        <x:f>'SECGT10 Sales by Year (21-23)'!E23/'SECGT10 Sales by Year (21-23)'!E63</x:f>
        <x:v>2.8533925245867005E-2</x:v>
      </x:c>
      <x:c r="F23" s="3">
        <x:f>'SECGT10 Sales by Year (21-23)'!F23/'SECGT10 Sales by Year (21-23)'!F63</x:f>
        <x:v>2.9739438617963514E-2</x:v>
      </x:c>
      <x:c r="G23" s="3">
        <x:f>'SECGT10 Sales by Year (21-23)'!G23/'SECGT10 Sales by Year (21-23)'!G63</x:f>
        <x:v>2.9750647389259144E-2</x:v>
      </x:c>
      <x:c r="H23" s="3">
        <x:f>'SECGT10 Sales by Year (21-23)'!H23/'SECGT10 Sales by Year (21-23)'!H63</x:f>
        <x:v>3.0163396315354897E-2</x:v>
      </x:c>
      <x:c r="I23" s="3">
        <x:f>'SECGT10 Sales by Year (21-23)'!I23/'SECGT10 Sales by Year (21-23)'!I63</x:f>
        <x:v>3.0337347191272415E-2</x:v>
      </x:c>
      <x:c r="J23" s="3">
        <x:f>'SECGT10 Sales by Year (21-23)'!J23/'SECGT10 Sales by Year (21-23)'!J63</x:f>
        <x:v>3.0234161038999514E-2</x:v>
      </x:c>
      <x:c r="K23" s="3">
        <x:f>'SECGT10 Sales by Year (21-23)'!K23/'SECGT10 Sales by Year (21-23)'!K63</x:f>
        <x:v>2.9659779317372969E-2</x:v>
      </x:c>
      <x:c r="L23" s="3">
        <x:f>'SECGT10 Sales by Year (21-23)'!L23/'SECGT10 Sales by Year (21-23)'!L63</x:f>
        <x:v>2.9884319465894153E-2</x:v>
      </x:c>
      <x:c r="M23" s="3">
        <x:f>'SECGT10 Sales by Year (21-23)'!M23/'SECGT10 Sales by Year (21-23)'!M63</x:f>
        <x:v>3.0658954845855381E-2</x:v>
      </x:c>
      <x:c r="N23" s="3">
        <x:f>'SECGT10 Sales by Year (21-23)'!N23/'SECGT10 Sales by Year (21-23)'!N63</x:f>
        <x:v>3.0279221170561331E-2</x:v>
      </x:c>
      <x:c r="O23" s="3">
        <x:f>'SECGT10 Sales by Year (21-23)'!O23/'SECGT10 Sales by Year (21-23)'!O63</x:f>
        <x:v>2.9385420239126471E-2</x:v>
      </x:c>
      <x:c r="P23" s="60">
        <x:f>'SECGT10 Sales by Year (21-23)'!P23/'SECGT10 Sales by Year (21-23)'!P63</x:f>
        <x:v>2.9827135680220523E-2</x:v>
      </x:c>
    </x:row>
    <x:row r="24" spans="1:17" x14ac:dyDescent="0.3">
      <x:c r="A24" s="1">
        <x:f t="shared" si="0"/>
        <x:v>14</x:v>
      </x:c>
      <x:c r="B24" s="8" t="s">
        <x:v>6</x:v>
      </x:c>
      <x:c r="C24" s="57" t="s">
        <x:v>1</x:v>
      </x:c>
      <x:c r="D24" s="58">
        <x:f>'SECGT10 Sales by Year (21-23)'!D24/'SECGT10 Sales by Year (21-23)'!D64</x:f>
        <x:v>2.8374288041008281E-2</x:v>
      </x:c>
      <x:c r="E24" s="58">
        <x:f>'SECGT10 Sales by Year (21-23)'!E24/'SECGT10 Sales by Year (21-23)'!E64</x:f>
        <x:v>2.7897438528261299E-2</x:v>
      </x:c>
      <x:c r="F24" s="58">
        <x:f>'SECGT10 Sales by Year (21-23)'!F24/'SECGT10 Sales by Year (21-23)'!F64</x:f>
        <x:v>2.8371937997591867E-2</x:v>
      </x:c>
      <x:c r="G24" s="58">
        <x:f>'SECGT10 Sales by Year (21-23)'!G24/'SECGT10 Sales by Year (21-23)'!G64</x:f>
        <x:v>2.9055060235476299E-2</x:v>
      </x:c>
      <x:c r="H24" s="58">
        <x:f>'SECGT10 Sales by Year (21-23)'!H24/'SECGT10 Sales by Year (21-23)'!H64</x:f>
        <x:v>2.9831858118006864E-2</x:v>
      </x:c>
      <x:c r="I24" s="58">
        <x:f>'SECGT10 Sales by Year (21-23)'!I24/'SECGT10 Sales by Year (21-23)'!I64</x:f>
        <x:v>3.0074144414791081E-2</x:v>
      </x:c>
      <x:c r="J24" s="58">
        <x:f>'SECGT10 Sales by Year (21-23)'!J24/'SECGT10 Sales by Year (21-23)'!J64</x:f>
        <x:v>2.9163874932047633E-2</x:v>
      </x:c>
      <x:c r="K24" s="58">
        <x:f>'SECGT10 Sales by Year (21-23)'!K24/'SECGT10 Sales by Year (21-23)'!K64</x:f>
        <x:v>2.8773381609839953E-2</x:v>
      </x:c>
      <x:c r="L24" s="58">
        <x:f>'SECGT10 Sales by Year (21-23)'!L24/'SECGT10 Sales by Year (21-23)'!L64</x:f>
        <x:v>2.9640840813616207E-2</x:v>
      </x:c>
      <x:c r="M24" s="58">
        <x:f>'SECGT10 Sales by Year (21-23)'!M24/'SECGT10 Sales by Year (21-23)'!M64</x:f>
        <x:v>2.9484440935256154E-2</x:v>
      </x:c>
      <x:c r="N24" s="58">
        <x:f>'SECGT10 Sales by Year (21-23)'!N24/'SECGT10 Sales by Year (21-23)'!N64</x:f>
        <x:v>2.967951422084732E-2</x:v>
      </x:c>
      <x:c r="O24" s="58">
        <x:f>'SECGT10 Sales by Year (21-23)'!O24/'SECGT10 Sales by Year (21-23)'!O64</x:f>
        <x:v>2.90923986368215E-2</x:v>
      </x:c>
      <x:c r="P24" s="61">
        <x:f>'SECGT10 Sales by Year (21-23)'!P24/'SECGT10 Sales by Year (21-23)'!P64</x:f>
        <x:v>2.9143965542026116E-2</x:v>
      </x:c>
    </x:row>
    <x:row r="25" spans="1:17" x14ac:dyDescent="0.3">
      <x:c r="A25" s="1">
        <x:f t="shared" si="0"/>
        <x:v>15</x:v>
      </x:c>
      <x:c r="B25" s="8"/>
      <x:c r="C25" s="4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</x:row>
    <x:row r="26" spans="1:17" x14ac:dyDescent="0.3">
      <x:c r="A26" s="1">
        <x:f t="shared" si="0"/>
        <x:v>16</x:v>
      </x:c>
      <x:c r="B26" s="8" t="s">
        <x:v>7</x:v>
      </x:c>
      <x:c r="C26" s="2">
        <x:f>+C21</x:f>
        <x:v>2021</x:v>
      </x:c>
      <x:c r="D26" s="3">
        <x:f>'SECGT10 Sales by Year (21-23)'!D26/'SECGT10 Sales by Year (21-23)'!D61</x:f>
        <x:v>2.6956722312078837E-2</x:v>
      </x:c>
      <x:c r="E26" s="3">
        <x:f>'SECGT10 Sales by Year (21-23)'!E26/'SECGT10 Sales by Year (21-23)'!E$61</x:f>
        <x:v>2.5973827494585114E-2</x:v>
      </x:c>
      <x:c r="F26" s="3">
        <x:f>'SECGT10 Sales by Year (21-23)'!F26/'SECGT10 Sales by Year (21-23)'!F$61</x:f>
        <x:v>2.7371004945651665E-2</x:v>
      </x:c>
      <x:c r="G26" s="3">
        <x:f>'SECGT10 Sales by Year (21-23)'!G26/'SECGT10 Sales by Year (21-23)'!G$61</x:f>
        <x:v>2.7063344841231927E-2</x:v>
      </x:c>
      <x:c r="H26" s="3">
        <x:f>'SECGT10 Sales by Year (21-23)'!H26/'SECGT10 Sales by Year (21-23)'!H$61</x:f>
        <x:v>2.7683285898443065E-2</x:v>
      </x:c>
      <x:c r="I26" s="3">
        <x:f>'SECGT10 Sales by Year (21-23)'!I26/'SECGT10 Sales by Year (21-23)'!I$61</x:f>
        <x:v>2.7355955483719534E-2</x:v>
      </x:c>
      <x:c r="J26" s="3">
        <x:f>'SECGT10 Sales by Year (21-23)'!J26/'SECGT10 Sales by Year (21-23)'!J$61</x:f>
        <x:v>2.6245581981929816E-2</x:v>
      </x:c>
      <x:c r="K26" s="3">
        <x:f>'SECGT10 Sales by Year (21-23)'!K26/'SECGT10 Sales by Year (21-23)'!K$61</x:f>
        <x:v>2.6198115746202934E-2</x:v>
      </x:c>
      <x:c r="L26" s="3">
        <x:f>'SECGT10 Sales by Year (21-23)'!L26/'SECGT10 Sales by Year (21-23)'!L$61</x:f>
        <x:v>2.7504522164914863E-2</x:v>
      </x:c>
      <x:c r="M26" s="3">
        <x:f>'SECGT10 Sales by Year (21-23)'!M26/'SECGT10 Sales by Year (21-23)'!M$61</x:f>
        <x:v>2.79613020402819E-2</x:v>
      </x:c>
      <x:c r="N26" s="3">
        <x:f>'SECGT10 Sales by Year (21-23)'!N26/'SECGT10 Sales by Year (21-23)'!N$61</x:f>
        <x:v>2.7484788389070189E-2</x:v>
      </x:c>
      <x:c r="O26" s="3">
        <x:f>'SECGT10 Sales by Year (21-23)'!O26/'SECGT10 Sales by Year (21-23)'!O$61</x:f>
        <x:v>2.7391499931912082E-2</x:v>
      </x:c>
      <x:c r="P26" s="60">
        <x:f>'SECGT10 Sales by Year (21-23)'!P26/'SECGT10 Sales by Year (21-23)'!P$61</x:f>
        <x:v>2.70842523490664E-2</x:v>
      </x:c>
      <x:c r="Q26" s="4"/>
    </x:row>
    <x:row r="27" spans="1:17" x14ac:dyDescent="0.3">
      <x:c r="A27" s="1">
        <x:f t="shared" si="0"/>
        <x:v>17</x:v>
      </x:c>
      <x:c r="B27" s="8" t="s">
        <x:v>7</x:v>
      </x:c>
      <x:c r="C27" s="2">
        <x:f>+C22</x:f>
        <x:v>2022</x:v>
      </x:c>
      <x:c r="D27" s="3">
        <x:f>'SECGT10 Sales by Year (21-23)'!D27/'SECGT10 Sales by Year (21-23)'!D62</x:f>
        <x:v>2.5958400857703703E-2</x:v>
      </x:c>
      <x:c r="E27" s="3">
        <x:f>'SECGT10 Sales by Year (21-23)'!E27/'SECGT10 Sales by Year (21-23)'!E$62</x:f>
        <x:v>2.7443348786977375E-2</x:v>
      </x:c>
      <x:c r="F27" s="3">
        <x:f>'SECGT10 Sales by Year (21-23)'!F27/'SECGT10 Sales by Year (21-23)'!F$62</x:f>
        <x:v>2.6843205103187683E-2</x:v>
      </x:c>
      <x:c r="G27" s="3">
        <x:f>'SECGT10 Sales by Year (21-23)'!G27/'SECGT10 Sales by Year (21-23)'!G$62</x:f>
        <x:v>2.6797549166344366E-2</x:v>
      </x:c>
      <x:c r="H27" s="3">
        <x:f>'SECGT10 Sales by Year (21-23)'!H27/'SECGT10 Sales by Year (21-23)'!H$62</x:f>
        <x:v>2.7626644943547128E-2</x:v>
      </x:c>
      <x:c r="I27" s="3">
        <x:f>'SECGT10 Sales by Year (21-23)'!I27/'SECGT10 Sales by Year (21-23)'!I$62</x:f>
        <x:v>2.8011863537483202E-2</x:v>
      </x:c>
      <x:c r="J27" s="3">
        <x:f>'SECGT10 Sales by Year (21-23)'!J27/'SECGT10 Sales by Year (21-23)'!J$62</x:f>
        <x:v>2.7454686134129151E-2</x:v>
      </x:c>
      <x:c r="K27" s="3">
        <x:f>'SECGT10 Sales by Year (21-23)'!K27/'SECGT10 Sales by Year (21-23)'!K$62</x:f>
        <x:v>2.773465598349013E-2</x:v>
      </x:c>
      <x:c r="L27" s="3">
        <x:f>'SECGT10 Sales by Year (21-23)'!L27/'SECGT10 Sales by Year (21-23)'!L$62</x:f>
        <x:v>2.7764153163113679E-2</x:v>
      </x:c>
      <x:c r="M27" s="3">
        <x:f>'SECGT10 Sales by Year (21-23)'!M27/'SECGT10 Sales by Year (21-23)'!M$62</x:f>
        <x:v>2.7757098132162827E-2</x:v>
      </x:c>
      <x:c r="N27" s="3">
        <x:f>'SECGT10 Sales by Year (21-23)'!N27/'SECGT10 Sales by Year (21-23)'!N$62</x:f>
        <x:v>2.7688897609011127E-2</x:v>
      </x:c>
      <x:c r="O27" s="3">
        <x:f>'SECGT10 Sales by Year (21-23)'!O27/'SECGT10 Sales by Year (21-23)'!O$62</x:f>
        <x:v>2.7173922624967446E-2</x:v>
      </x:c>
      <x:c r="P27" s="60">
        <x:f>'SECGT10 Sales by Year (21-23)'!P27/'SECGT10 Sales by Year (21-23)'!P$62</x:f>
        <x:v>2.739747224967061E-2</x:v>
      </x:c>
    </x:row>
    <x:row r="28" spans="1:17" ht="14.4" thickBot="1" x14ac:dyDescent="0.35">
      <x:c r="A28" s="1">
        <x:f t="shared" si="0"/>
        <x:v>18</x:v>
      </x:c>
      <x:c r="B28" s="8" t="s">
        <x:v>7</x:v>
      </x:c>
      <x:c r="C28" s="2">
        <x:f>+C23</x:f>
        <x:v>2023</x:v>
      </x:c>
      <x:c r="D28" s="3">
        <x:f>'SECGT10 Sales by Year (21-23)'!D28/'SECGT10 Sales by Year (21-23)'!D63</x:f>
        <x:v>2.6650674466851616E-2</x:v>
      </x:c>
      <x:c r="E28" s="3">
        <x:f>'SECGT10 Sales by Year (21-23)'!E28/'SECGT10 Sales by Year (21-23)'!E63</x:f>
        <x:v>2.6825934588264339E-2</x:v>
      </x:c>
      <x:c r="F28" s="3">
        <x:f>'SECGT10 Sales by Year (21-23)'!F28/'SECGT10 Sales by Year (21-23)'!F63</x:f>
        <x:v>2.7133875886903826E-2</x:v>
      </x:c>
      <x:c r="G28" s="3">
        <x:f>'SECGT10 Sales by Year (21-23)'!G28/'SECGT10 Sales by Year (21-23)'!G63</x:f>
        <x:v>2.6851846357335236E-2</x:v>
      </x:c>
      <x:c r="H28" s="3">
        <x:f>'SECGT10 Sales by Year (21-23)'!H28/'SECGT10 Sales by Year (21-23)'!H63</x:f>
        <x:v>2.6944665526552787E-2</x:v>
      </x:c>
      <x:c r="I28" s="3">
        <x:f>'SECGT10 Sales by Year (21-23)'!I28/'SECGT10 Sales by Year (21-23)'!I63</x:f>
        <x:v>2.7487138630381082E-2</x:v>
      </x:c>
      <x:c r="J28" s="3">
        <x:f>'SECGT10 Sales by Year (21-23)'!J28/'SECGT10 Sales by Year (21-23)'!J63</x:f>
        <x:v>2.817245464067733E-2</x:v>
      </x:c>
      <x:c r="K28" s="3">
        <x:f>'SECGT10 Sales by Year (21-23)'!K28/'SECGT10 Sales by Year (21-23)'!K63</x:f>
        <x:v>2.8105063041678501E-2</x:v>
      </x:c>
      <x:c r="L28" s="3">
        <x:f>'SECGT10 Sales by Year (21-23)'!L28/'SECGT10 Sales by Year (21-23)'!L63</x:f>
        <x:v>2.8244001700417704E-2</x:v>
      </x:c>
      <x:c r="M28" s="3">
        <x:f>'SECGT10 Sales by Year (21-23)'!M28/'SECGT10 Sales by Year (21-23)'!M63</x:f>
        <x:v>2.8142786239724413E-2</x:v>
      </x:c>
      <x:c r="N28" s="3">
        <x:f>'SECGT10 Sales by Year (21-23)'!N28/'SECGT10 Sales by Year (21-23)'!N63</x:f>
        <x:v>2.7661161868851616E-2</x:v>
      </x:c>
      <x:c r="O28" s="3">
        <x:f>'SECGT10 Sales by Year (21-23)'!O28/'SECGT10 Sales by Year (21-23)'!O63</x:f>
        <x:v>2.6961811601567156E-2</x:v>
      </x:c>
      <x:c r="P28" s="60">
        <x:f>'SECGT10 Sales by Year (21-23)'!P28/'SECGT10 Sales by Year (21-23)'!P63</x:f>
        <x:v>2.751320236456016E-2</x:v>
      </x:c>
    </x:row>
    <x:row r="29" spans="1:17" x14ac:dyDescent="0.3">
      <x:c r="A29" s="1">
        <x:f t="shared" si="0"/>
        <x:v>19</x:v>
      </x:c>
      <x:c r="B29" s="8" t="s">
        <x:v>7</x:v>
      </x:c>
      <x:c r="C29" s="57" t="s">
        <x:v>1</x:v>
      </x:c>
      <x:c r="D29" s="58">
        <x:f>'SECGT10 Sales by Year (21-23)'!D29/'SECGT10 Sales by Year (21-23)'!D64</x:f>
        <x:v>2.6520175432384056E-2</x:v>
      </x:c>
      <x:c r="E29" s="58">
        <x:f>'SECGT10 Sales by Year (21-23)'!E29/'SECGT10 Sales by Year (21-23)'!E64</x:f>
        <x:v>2.6764592084266792E-2</x:v>
      </x:c>
      <x:c r="F29" s="58">
        <x:f>'SECGT10 Sales by Year (21-23)'!F29/'SECGT10 Sales by Year (21-23)'!F64</x:f>
        <x:v>2.7112215871776483E-2</x:v>
      </x:c>
      <x:c r="G29" s="58">
        <x:f>'SECGT10 Sales by Year (21-23)'!G29/'SECGT10 Sales by Year (21-23)'!G64</x:f>
        <x:v>2.6901610518966706E-2</x:v>
      </x:c>
      <x:c r="H29" s="58">
        <x:f>'SECGT10 Sales by Year (21-23)'!H29/'SECGT10 Sales by Year (21-23)'!H64</x:f>
        <x:v>2.7420974443951852E-2</x:v>
      </x:c>
      <x:c r="I29" s="58">
        <x:f>'SECGT10 Sales by Year (21-23)'!I29/'SECGT10 Sales by Year (21-23)'!I64</x:f>
        <x:v>2.7630763159077056E-2</x:v>
      </x:c>
      <x:c r="J29" s="58">
        <x:f>'SECGT10 Sales by Year (21-23)'!J29/'SECGT10 Sales by Year (21-23)'!J64</x:f>
        <x:v>2.7309359957492712E-2</x:v>
      </x:c>
      <x:c r="K29" s="58">
        <x:f>'SECGT10 Sales by Year (21-23)'!K29/'SECGT10 Sales by Year (21-23)'!K64</x:f>
        <x:v>2.7386463472124322E-2</x:v>
      </x:c>
      <x:c r="L29" s="58">
        <x:f>'SECGT10 Sales by Year (21-23)'!L29/'SECGT10 Sales by Year (21-23)'!L64</x:f>
        <x:v>2.785110177357273E-2</x:v>
      </x:c>
      <x:c r="M29" s="58">
        <x:f>'SECGT10 Sales by Year (21-23)'!M29/'SECGT10 Sales by Year (21-23)'!M64</x:f>
        <x:v>2.7959080576357244E-2</x:v>
      </x:c>
      <x:c r="N29" s="58">
        <x:f>'SECGT10 Sales by Year (21-23)'!N29/'SECGT10 Sales by Year (21-23)'!N64</x:f>
        <x:v>2.7611926270005117E-2</x:v>
      </x:c>
      <x:c r="O29" s="58">
        <x:f>'SECGT10 Sales by Year (21-23)'!O29/'SECGT10 Sales by Year (21-23)'!O64</x:f>
        <x:v>2.717412835600826E-2</x:v>
      </x:c>
      <x:c r="P29" s="61">
        <x:f>'SECGT10 Sales by Year (21-23)'!P29/'SECGT10 Sales by Year (21-23)'!P64</x:f>
        <x:v>2.7336566813513572E-2</x:v>
      </x:c>
    </x:row>
    <x:row r="30" spans="1:17" x14ac:dyDescent="0.3">
      <x:c r="A30" s="1">
        <x:f t="shared" si="0"/>
        <x:v>20</x:v>
      </x:c>
      <x:c r="B30" s="8"/>
      <x:c r="C30" s="4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</x:row>
    <x:row r="31" spans="1:17" x14ac:dyDescent="0.3">
      <x:c r="A31" s="1">
        <x:f t="shared" si="0"/>
        <x:v>21</x:v>
      </x:c>
      <x:c r="B31" s="8" t="s">
        <x:v>8</x:v>
      </x:c>
      <x:c r="C31" s="2">
        <x:f>+C26</x:f>
        <x:v>2021</x:v>
      </x:c>
      <x:c r="D31" s="3">
        <x:f>'SECGT10 Sales by Year (21-23)'!D31/'SECGT10 Sales by Year (21-23)'!D61</x:f>
        <x:v>3.0783329200462669E-2</x:v>
      </x:c>
      <x:c r="E31" s="3">
        <x:f>'SECGT10 Sales by Year (21-23)'!E31/'SECGT10 Sales by Year (21-23)'!E$61</x:f>
        <x:v>3.0813143274729476E-2</x:v>
      </x:c>
      <x:c r="F31" s="3">
        <x:f>'SECGT10 Sales by Year (21-23)'!F31/'SECGT10 Sales by Year (21-23)'!F$61</x:f>
        <x:v>3.0692731478062969E-2</x:v>
      </x:c>
      <x:c r="G31" s="3">
        <x:f>'SECGT10 Sales by Year (21-23)'!G31/'SECGT10 Sales by Year (21-23)'!G$61</x:f>
        <x:v>3.083531562789095E-2</x:v>
      </x:c>
      <x:c r="H31" s="3">
        <x:f>'SECGT10 Sales by Year (21-23)'!H31/'SECGT10 Sales by Year (21-23)'!H$61</x:f>
        <x:v>3.121043721969945E-2</x:v>
      </x:c>
      <x:c r="I31" s="3">
        <x:f>'SECGT10 Sales by Year (21-23)'!I31/'SECGT10 Sales by Year (21-23)'!I$61</x:f>
        <x:v>3.1721855942750767E-2</x:v>
      </x:c>
      <x:c r="J31" s="3">
        <x:f>'SECGT10 Sales by Year (21-23)'!J31/'SECGT10 Sales by Year (21-23)'!J$61</x:f>
        <x:v>3.1520872748286723E-2</x:v>
      </x:c>
      <x:c r="K31" s="3">
        <x:f>'SECGT10 Sales by Year (21-23)'!K31/'SECGT10 Sales by Year (21-23)'!K$61</x:f>
        <x:v>3.1176078306857567E-2</x:v>
      </x:c>
      <x:c r="L31" s="3">
        <x:f>'SECGT10 Sales by Year (21-23)'!L31/'SECGT10 Sales by Year (21-23)'!L$61</x:f>
        <x:v>3.1539823908471876E-2</x:v>
      </x:c>
      <x:c r="M31" s="3">
        <x:f>'SECGT10 Sales by Year (21-23)'!M31/'SECGT10 Sales by Year (21-23)'!M$61</x:f>
        <x:v>3.1740141954703094E-2</x:v>
      </x:c>
      <x:c r="N31" s="3">
        <x:f>'SECGT10 Sales by Year (21-23)'!N31/'SECGT10 Sales by Year (21-23)'!N$61</x:f>
        <x:v>3.0890939463969216E-2</x:v>
      </x:c>
      <x:c r="O31" s="3">
        <x:f>'SECGT10 Sales by Year (21-23)'!O31/'SECGT10 Sales by Year (21-23)'!O$61</x:f>
        <x:v>3.0898140400629416E-2</x:v>
      </x:c>
      <x:c r="P31" s="60">
        <x:f>'SECGT10 Sales by Year (21-23)'!P31/'SECGT10 Sales by Year (21-23)'!P$61</x:f>
        <x:v>3.1184753774284493E-2</x:v>
      </x:c>
      <x:c r="Q31" s="4"/>
    </x:row>
    <x:row r="32" spans="1:17" x14ac:dyDescent="0.3">
      <x:c r="A32" s="1">
        <x:f t="shared" si="0"/>
        <x:v>22</x:v>
      </x:c>
      <x:c r="B32" s="8" t="s">
        <x:v>8</x:v>
      </x:c>
      <x:c r="C32" s="2">
        <x:f>+C27</x:f>
        <x:v>2022</x:v>
      </x:c>
      <x:c r="D32" s="3">
        <x:f>'SECGT10 Sales by Year (21-23)'!D32/'SECGT10 Sales by Year (21-23)'!D62</x:f>
        <x:v>3.0257053306399672E-2</x:v>
      </x:c>
      <x:c r="E32" s="3">
        <x:f>'SECGT10 Sales by Year (21-23)'!E32/'SECGT10 Sales by Year (21-23)'!E$62</x:f>
        <x:v>3.0235947016171296E-2</x:v>
      </x:c>
      <x:c r="F32" s="3">
        <x:f>'SECGT10 Sales by Year (21-23)'!F32/'SECGT10 Sales by Year (21-23)'!F$62</x:f>
        <x:v>3.0572420351970931E-2</x:v>
      </x:c>
      <x:c r="G32" s="3">
        <x:f>'SECGT10 Sales by Year (21-23)'!G32/'SECGT10 Sales by Year (21-23)'!G$62</x:f>
        <x:v>3.030535239534092E-2</x:v>
      </x:c>
      <x:c r="H32" s="3">
        <x:f>'SECGT10 Sales by Year (21-23)'!H32/'SECGT10 Sales by Year (21-23)'!H$62</x:f>
        <x:v>3.0399621995004532E-2</x:v>
      </x:c>
      <x:c r="I32" s="3">
        <x:f>'SECGT10 Sales by Year (21-23)'!I32/'SECGT10 Sales by Year (21-23)'!I$62</x:f>
        <x:v>3.1593010276712498E-2</x:v>
      </x:c>
      <x:c r="J32" s="3">
        <x:f>'SECGT10 Sales by Year (21-23)'!J32/'SECGT10 Sales by Year (21-23)'!J$62</x:f>
        <x:v>3.1534546847454943E-2</x:v>
      </x:c>
      <x:c r="K32" s="3">
        <x:f>'SECGT10 Sales by Year (21-23)'!K32/'SECGT10 Sales by Year (21-23)'!K$62</x:f>
        <x:v>3.1043115863757895E-2</x:v>
      </x:c>
      <x:c r="L32" s="3">
        <x:f>'SECGT10 Sales by Year (21-23)'!L32/'SECGT10 Sales by Year (21-23)'!L$62</x:f>
        <x:v>3.0980139267906388E-2</x:v>
      </x:c>
      <x:c r="M32" s="3">
        <x:f>'SECGT10 Sales by Year (21-23)'!M32/'SECGT10 Sales by Year (21-23)'!M$62</x:f>
        <x:v>3.0917898623731937E-2</x:v>
      </x:c>
      <x:c r="N32" s="3">
        <x:f>'SECGT10 Sales by Year (21-23)'!N32/'SECGT10 Sales by Year (21-23)'!N$62</x:f>
        <x:v>3.038369630677638E-2</x:v>
      </x:c>
      <x:c r="O32" s="3">
        <x:f>'SECGT10 Sales by Year (21-23)'!O32/'SECGT10 Sales by Year (21-23)'!O$62</x:f>
        <x:v>3.0235268939266473E-2</x:v>
      </x:c>
      <x:c r="P32" s="60">
        <x:f>'SECGT10 Sales by Year (21-23)'!P32/'SECGT10 Sales by Year (21-23)'!P$62</x:f>
        <x:v>3.0760381307973456E-2</x:v>
      </x:c>
    </x:row>
    <x:row r="33" spans="1:17" ht="14.4" thickBot="1" x14ac:dyDescent="0.35">
      <x:c r="A33" s="1">
        <x:f t="shared" si="0"/>
        <x:v>23</x:v>
      </x:c>
      <x:c r="B33" s="8" t="s">
        <x:v>8</x:v>
      </x:c>
      <x:c r="C33" s="2">
        <x:f>+C28</x:f>
        <x:v>2023</x:v>
      </x:c>
      <x:c r="D33" s="3">
        <x:f>'SECGT10 Sales by Year (21-23)'!D33/'SECGT10 Sales by Year (21-23)'!D63</x:f>
        <x:v>3.0590085119689404E-2</x:v>
      </x:c>
      <x:c r="E33" s="3">
        <x:f>'SECGT10 Sales by Year (21-23)'!E33/'SECGT10 Sales by Year (21-23)'!E63</x:f>
        <x:v>2.9924827501724465E-2</x:v>
      </x:c>
      <x:c r="F33" s="3">
        <x:f>'SECGT10 Sales by Year (21-23)'!F33/'SECGT10 Sales by Year (21-23)'!F63</x:f>
        <x:v>3.0740074310212886E-2</x:v>
      </x:c>
      <x:c r="G33" s="3">
        <x:f>'SECGT10 Sales by Year (21-23)'!G33/'SECGT10 Sales by Year (21-23)'!G63</x:f>
        <x:v>2.988382215235276E-2</x:v>
      </x:c>
      <x:c r="H33" s="3">
        <x:f>'SECGT10 Sales by Year (21-23)'!H33/'SECGT10 Sales by Year (21-23)'!H63</x:f>
        <x:v>3.0526801669172085E-2</x:v>
      </x:c>
      <x:c r="I33" s="3">
        <x:f>'SECGT10 Sales by Year (21-23)'!I33/'SECGT10 Sales by Year (21-23)'!I63</x:f>
        <x:v>3.0930490913608721E-2</x:v>
      </x:c>
      <x:c r="J33" s="3">
        <x:f>'SECGT10 Sales by Year (21-23)'!J33/'SECGT10 Sales by Year (21-23)'!J63</x:f>
        <x:v>3.1009898368162803E-2</x:v>
      </x:c>
      <x:c r="K33" s="3">
        <x:f>'SECGT10 Sales by Year (21-23)'!K33/'SECGT10 Sales by Year (21-23)'!K63</x:f>
        <x:v>3.142997258985105E-2</x:v>
      </x:c>
      <x:c r="L33" s="3">
        <x:f>'SECGT10 Sales by Year (21-23)'!L33/'SECGT10 Sales by Year (21-23)'!L63</x:f>
        <x:v>3.1546614542502897E-2</x:v>
      </x:c>
      <x:c r="M33" s="3">
        <x:f>'SECGT10 Sales by Year (21-23)'!M33/'SECGT10 Sales by Year (21-23)'!M63</x:f>
        <x:v>3.0622706999966085E-2</x:v>
      </x:c>
      <x:c r="N33" s="3">
        <x:f>'SECGT10 Sales by Year (21-23)'!N33/'SECGT10 Sales by Year (21-23)'!N63</x:f>
        <x:v>3.0214143760086975E-2</x:v>
      </x:c>
      <x:c r="O33" s="3">
        <x:f>'SECGT10 Sales by Year (21-23)'!O33/'SECGT10 Sales by Year (21-23)'!O63</x:f>
        <x:v>3.0483113348511812E-2</x:v>
      </x:c>
      <x:c r="P33" s="60">
        <x:f>'SECGT10 Sales by Year (21-23)'!P33/'SECGT10 Sales by Year (21-23)'!P63</x:f>
        <x:v>3.0721434941441118E-2</x:v>
      </x:c>
    </x:row>
    <x:row r="34" spans="1:17" x14ac:dyDescent="0.3">
      <x:c r="A34" s="1">
        <x:f t="shared" si="0"/>
        <x:v>24</x:v>
      </x:c>
      <x:c r="B34" s="8" t="s">
        <x:v>8</x:v>
      </x:c>
      <x:c r="C34" s="57" t="s">
        <x:v>1</x:v>
      </x:c>
      <x:c r="D34" s="58">
        <x:f>'SECGT10 Sales by Year (21-23)'!D34/'SECGT10 Sales by Year (21-23)'!D64</x:f>
        <x:v>3.0542201326663746E-2</x:v>
      </x:c>
      <x:c r="E34" s="58">
        <x:f>'SECGT10 Sales by Year (21-23)'!E34/'SECGT10 Sales by Year (21-23)'!E64</x:f>
        <x:v>3.0313625431761793E-2</x:v>
      </x:c>
      <x:c r="F34" s="58">
        <x:f>'SECGT10 Sales by Year (21-23)'!F34/'SECGT10 Sales by Year (21-23)'!F64</x:f>
        <x:v>3.0667348817206636E-2</x:v>
      </x:c>
      <x:c r="G34" s="58">
        <x:f>'SECGT10 Sales by Year (21-23)'!G34/'SECGT10 Sales by Year (21-23)'!G64</x:f>
        <x:v>3.0333630526113826E-2</x:v>
      </x:c>
      <x:c r="H34" s="58">
        <x:f>'SECGT10 Sales by Year (21-23)'!H34/'SECGT10 Sales by Year (21-23)'!H64</x:f>
        <x:v>3.0702554676748785E-2</x:v>
      </x:c>
      <x:c r="I34" s="58">
        <x:f>'SECGT10 Sales by Year (21-23)'!I34/'SECGT10 Sales by Year (21-23)'!I64</x:f>
        <x:v>3.1410057579788583E-2</x:v>
      </x:c>
      <x:c r="J34" s="58">
        <x:f>'SECGT10 Sales by Year (21-23)'!J34/'SECGT10 Sales by Year (21-23)'!J64</x:f>
        <x:v>3.1353177255206456E-2</x:v>
      </x:c>
      <x:c r="K34" s="58">
        <x:f>'SECGT10 Sales by Year (21-23)'!K34/'SECGT10 Sales by Year (21-23)'!K64</x:f>
        <x:v>3.1216790949248792E-2</x:v>
      </x:c>
      <x:c r="L34" s="58">
        <x:f>'SECGT10 Sales by Year (21-23)'!L34/'SECGT10 Sales by Year (21-23)'!L64</x:f>
        <x:v>3.1360314611681601E-2</x:v>
      </x:c>
      <x:c r="M34" s="58">
        <x:f>'SECGT10 Sales by Year (21-23)'!M34/'SECGT10 Sales by Year (21-23)'!M64</x:f>
        <x:v>3.1075127690380056E-2</x:v>
      </x:c>
      <x:c r="N34" s="58">
        <x:f>'SECGT10 Sales by Year (21-23)'!N34/'SECGT10 Sales by Year (21-23)'!N64</x:f>
        <x:v>3.0493313742993477E-2</x:v>
      </x:c>
      <x:c r="O34" s="58">
        <x:f>'SECGT10 Sales by Year (21-23)'!O34/'SECGT10 Sales by Year (21-23)'!O64</x:f>
        <x:v>3.0535065157640734E-2</x:v>
      </x:c>
      <x:c r="P34" s="61">
        <x:f>'SECGT10 Sales by Year (21-23)'!P34/'SECGT10 Sales by Year (21-23)'!P64</x:f>
        <x:v>3.0883103274725321E-2</x:v>
      </x:c>
    </x:row>
    <x:row r="35" spans="1:17" x14ac:dyDescent="0.3">
      <x:c r="A35" s="1">
        <x:f t="shared" si="0"/>
        <x:v>25</x:v>
      </x:c>
      <x:c r="B35" s="8"/>
      <x:c r="C35" s="4"/>
    </x:row>
    <x:row r="36" spans="1:17" x14ac:dyDescent="0.3">
      <x:c r="A36" s="1">
        <x:f t="shared" si="0"/>
        <x:v>26</x:v>
      </x:c>
      <x:c r="B36" s="8" t="s">
        <x:v>3</x:v>
      </x:c>
      <x:c r="C36" s="2">
        <x:f>+C31</x:f>
        <x:v>2021</x:v>
      </x:c>
      <x:c r="D36" s="3">
        <x:f>'SECGT10 Sales by Year (21-23)'!D36/'SECGT10 Sales by Year (21-23)'!D61</x:f>
        <x:v>3.1848448154597253E-2</x:v>
      </x:c>
      <x:c r="E36" s="3">
        <x:f>'SECGT10 Sales by Year (21-23)'!E36/'SECGT10 Sales by Year (21-23)'!E$61</x:f>
        <x:v>3.1237679464226634E-2</x:v>
      </x:c>
      <x:c r="F36" s="3">
        <x:f>'SECGT10 Sales by Year (21-23)'!F36/'SECGT10 Sales by Year (21-23)'!F$61</x:f>
        <x:v>3.2483109570314174E-2</x:v>
      </x:c>
      <x:c r="G36" s="3">
        <x:f>'SECGT10 Sales by Year (21-23)'!G36/'SECGT10 Sales by Year (21-23)'!G$61</x:f>
        <x:v>3.2598677116916101E-2</x:v>
      </x:c>
      <x:c r="H36" s="3">
        <x:f>'SECGT10 Sales by Year (21-23)'!H36/'SECGT10 Sales by Year (21-23)'!H$61</x:f>
        <x:v>3.319776746083742E-2</x:v>
      </x:c>
      <x:c r="I36" s="3">
        <x:f>'SECGT10 Sales by Year (21-23)'!I36/'SECGT10 Sales by Year (21-23)'!I$61</x:f>
        <x:v>3.3468366417401883E-2</x:v>
      </x:c>
      <x:c r="J36" s="3">
        <x:f>'SECGT10 Sales by Year (21-23)'!J36/'SECGT10 Sales by Year (21-23)'!J$61</x:f>
        <x:v>3.3270199096120917E-2</x:v>
      </x:c>
      <x:c r="K36" s="3">
        <x:f>'SECGT10 Sales by Year (21-23)'!K36/'SECGT10 Sales by Year (21-23)'!K$61</x:f>
        <x:v>3.2754554870494015E-2</x:v>
      </x:c>
      <x:c r="L36" s="3">
        <x:f>'SECGT10 Sales by Year (21-23)'!L36/'SECGT10 Sales by Year (21-23)'!L$61</x:f>
        <x:v>3.3766317916258469E-2</x:v>
      </x:c>
      <x:c r="M36" s="3">
        <x:f>'SECGT10 Sales by Year (21-23)'!M36/'SECGT10 Sales by Year (21-23)'!M$61</x:f>
        <x:v>3.411690328887268E-2</x:v>
      </x:c>
      <x:c r="N36" s="3">
        <x:f>'SECGT10 Sales by Year (21-23)'!N36/'SECGT10 Sales by Year (21-23)'!N$61</x:f>
        <x:v>3.3370846185178722E-2</x:v>
      </x:c>
      <x:c r="O36" s="3">
        <x:f>'SECGT10 Sales by Year (21-23)'!O36/'SECGT10 Sales by Year (21-23)'!O$61</x:f>
        <x:v>3.2270615948337314E-2</x:v>
      </x:c>
      <x:c r="P36" s="60">
        <x:f>'SECGT10 Sales by Year (21-23)'!P36/'SECGT10 Sales by Year (21-23)'!P$61</x:f>
        <x:v>3.2923895347307684E-2</x:v>
      </x:c>
      <x:c r="Q36" s="4"/>
    </x:row>
    <x:row r="37" spans="1:17" x14ac:dyDescent="0.3">
      <x:c r="A37" s="1">
        <x:f t="shared" si="0"/>
        <x:v>27</x:v>
      </x:c>
      <x:c r="B37" s="8" t="s">
        <x:v>3</x:v>
      </x:c>
      <x:c r="C37" s="2">
        <x:f>+C32</x:f>
        <x:v>2022</x:v>
      </x:c>
      <x:c r="D37" s="3">
        <x:f>'SECGT10 Sales by Year (21-23)'!D37/'SECGT10 Sales by Year (21-23)'!D62</x:f>
        <x:v>3.0920127626937102E-2</x:v>
      </x:c>
      <x:c r="E37" s="3">
        <x:f>'SECGT10 Sales by Year (21-23)'!E37/'SECGT10 Sales by Year (21-23)'!E$62</x:f>
        <x:v>3.1910339207386007E-2</x:v>
      </x:c>
      <x:c r="F37" s="3">
        <x:f>'SECGT10 Sales by Year (21-23)'!F37/'SECGT10 Sales by Year (21-23)'!F$62</x:f>
        <x:v>3.2074445171791116E-2</x:v>
      </x:c>
      <x:c r="G37" s="3">
        <x:f>'SECGT10 Sales by Year (21-23)'!G37/'SECGT10 Sales by Year (21-23)'!G$62</x:f>
        <x:v>3.1986533621328063E-2</x:v>
      </x:c>
      <x:c r="H37" s="3">
        <x:f>'SECGT10 Sales by Year (21-23)'!H37/'SECGT10 Sales by Year (21-23)'!H$62</x:f>
        <x:v>3.2872646883983454E-2</x:v>
      </x:c>
      <x:c r="I37" s="3">
        <x:f>'SECGT10 Sales by Year (21-23)'!I37/'SECGT10 Sales by Year (21-23)'!I$62</x:f>
        <x:v>3.4007248618985401E-2</x:v>
      </x:c>
      <x:c r="J37" s="3">
        <x:f>'SECGT10 Sales by Year (21-23)'!J37/'SECGT10 Sales by Year (21-23)'!J$62</x:f>
        <x:v>3.410001878495774E-2</x:v>
      </x:c>
      <x:c r="K37" s="3">
        <x:f>'SECGT10 Sales by Year (21-23)'!K37/'SECGT10 Sales by Year (21-23)'!K$62</x:f>
        <x:v>3.3846521411409015E-2</x:v>
      </x:c>
      <x:c r="L37" s="3">
        <x:f>'SECGT10 Sales by Year (21-23)'!L37/'SECGT10 Sales by Year (21-23)'!L$62</x:f>
        <x:v>3.4257631456779118E-2</x:v>
      </x:c>
      <x:c r="M37" s="3">
        <x:f>'SECGT10 Sales by Year (21-23)'!M37/'SECGT10 Sales by Year (21-23)'!M$62</x:f>
        <x:v>3.4763832086795982E-2</x:v>
      </x:c>
      <x:c r="N37" s="3">
        <x:f>'SECGT10 Sales by Year (21-23)'!N37/'SECGT10 Sales by Year (21-23)'!N$62</x:f>
        <x:v>3.4508964442989037E-2</x:v>
      </x:c>
      <x:c r="O37" s="3">
        <x:f>'SECGT10 Sales by Year (21-23)'!O37/'SECGT10 Sales by Year (21-23)'!O$62</x:f>
        <x:v>3.2686532401489526E-2</x:v>
      </x:c>
      <x:c r="P37" s="60">
        <x:f>'SECGT10 Sales by Year (21-23)'!P37/'SECGT10 Sales by Year (21-23)'!P$62</x:f>
        <x:v>3.3268378977630964E-2</x:v>
      </x:c>
    </x:row>
    <x:row r="38" spans="1:17" ht="14.4" thickBot="1" x14ac:dyDescent="0.35">
      <x:c r="A38" s="1">
        <x:f t="shared" si="0"/>
        <x:v>28</x:v>
      </x:c>
      <x:c r="B38" s="8" t="s">
        <x:v>3</x:v>
      </x:c>
      <x:c r="C38" s="2">
        <x:f>+C33</x:f>
        <x:v>2023</x:v>
      </x:c>
      <x:c r="D38" s="3">
        <x:f>'SECGT10 Sales by Year (21-23)'!D38/'SECGT10 Sales by Year (21-23)'!D63</x:f>
        <x:v>3.3011269523213232E-2</x:v>
      </x:c>
      <x:c r="E38" s="3">
        <x:f>'SECGT10 Sales by Year (21-23)'!E38/'SECGT10 Sales by Year (21-23)'!E63</x:f>
        <x:v>3.2274105329692979E-2</x:v>
      </x:c>
      <x:c r="F38" s="3">
        <x:f>'SECGT10 Sales by Year (21-23)'!F38/'SECGT10 Sales by Year (21-23)'!F63</x:f>
        <x:v>3.3113184012323674E-2</x:v>
      </x:c>
      <x:c r="G38" s="3">
        <x:f>'SECGT10 Sales by Year (21-23)'!G38/'SECGT10 Sales by Year (21-23)'!G63</x:f>
        <x:v>3.2632378701351314E-2</x:v>
      </x:c>
      <x:c r="H38" s="3">
        <x:f>'SECGT10 Sales by Year (21-23)'!H38/'SECGT10 Sales by Year (21-23)'!H63</x:f>
        <x:v>3.3140666313227388E-2</x:v>
      </x:c>
      <x:c r="I38" s="3">
        <x:f>'SECGT10 Sales by Year (21-23)'!I38/'SECGT10 Sales by Year (21-23)'!I63</x:f>
        <x:v>3.3514767795867872E-2</x:v>
      </x:c>
      <x:c r="J38" s="3">
        <x:f>'SECGT10 Sales by Year (21-23)'!J38/'SECGT10 Sales by Year (21-23)'!J63</x:f>
        <x:v>3.3889678635166211E-2</x:v>
      </x:c>
      <x:c r="K38" s="3">
        <x:f>'SECGT10 Sales by Year (21-23)'!K38/'SECGT10 Sales by Year (21-23)'!K63</x:f>
        <x:v>3.4136951281735231E-2</x:v>
      </x:c>
      <x:c r="L38" s="3">
        <x:f>'SECGT10 Sales by Year (21-23)'!L38/'SECGT10 Sales by Year (21-23)'!L63</x:f>
        <x:v>3.4264527170746406E-2</x:v>
      </x:c>
      <x:c r="M38" s="3">
        <x:f>'SECGT10 Sales by Year (21-23)'!M38/'SECGT10 Sales by Year (21-23)'!M63</x:f>
        <x:v>3.4567986612714569E-2</x:v>
      </x:c>
      <x:c r="N38" s="3">
        <x:f>'SECGT10 Sales by Year (21-23)'!N38/'SECGT10 Sales by Year (21-23)'!N63</x:f>
        <x:v>3.3920552712331811E-2</x:v>
      </x:c>
      <x:c r="O38" s="3">
        <x:f>'SECGT10 Sales by Year (21-23)'!O38/'SECGT10 Sales by Year (21-23)'!O63</x:f>
        <x:v>3.2031193063380363E-2</x:v>
      </x:c>
      <x:c r="P38" s="60">
        <x:f>'SECGT10 Sales by Year (21-23)'!P38/'SECGT10 Sales by Year (21-23)'!P63</x:f>
        <x:v>3.3468744900198646E-2</x:v>
      </x:c>
    </x:row>
    <x:row r="39" spans="1:17" x14ac:dyDescent="0.3">
      <x:c r="A39" s="1">
        <x:f t="shared" si="0"/>
        <x:v>29</x:v>
      </x:c>
      <x:c r="B39" s="8" t="s">
        <x:v>3</x:v>
      </x:c>
      <x:c r="C39" s="57" t="s">
        <x:v>1</x:v>
      </x:c>
      <x:c r="D39" s="58">
        <x:f>'SECGT10 Sales by Year (21-23)'!D39/'SECGT10 Sales by Year (21-23)'!D64</x:f>
        <x:v>3.1941384301448411E-2</x:v>
      </x:c>
      <x:c r="E39" s="58">
        <x:f>'SECGT10 Sales by Year (21-23)'!E39/'SECGT10 Sales by Year (21-23)'!E64</x:f>
        <x:v>3.1820219511938461E-2</x:v>
      </x:c>
      <x:c r="F39" s="58">
        <x:f>'SECGT10 Sales by Year (21-23)'!F39/'SECGT10 Sales by Year (21-23)'!F64</x:f>
        <x:v>3.2552429798929014E-2</x:v>
      </x:c>
      <x:c r="G39" s="58">
        <x:f>'SECGT10 Sales by Year (21-23)'!G39/'SECGT10 Sales by Year (21-23)'!G64</x:f>
        <x:v>3.2402357149272559E-2</x:v>
      </x:c>
      <x:c r="H39" s="58">
        <x:f>'SECGT10 Sales by Year (21-23)'!H39/'SECGT10 Sales by Year (21-23)'!H64</x:f>
        <x:v>3.3065372277019923E-2</x:v>
      </x:c>
      <x:c r="I39" s="58">
        <x:f>'SECGT10 Sales by Year (21-23)'!I39/'SECGT10 Sales by Year (21-23)'!I64</x:f>
        <x:v>3.3673474862453118E-2</x:v>
      </x:c>
      <x:c r="J39" s="58">
        <x:f>'SECGT10 Sales by Year (21-23)'!J39/'SECGT10 Sales by Year (21-23)'!J64</x:f>
        <x:v>3.3763142689966615E-2</x:v>
      </x:c>
      <x:c r="K39" s="58">
        <x:f>'SECGT10 Sales by Year (21-23)'!K39/'SECGT10 Sales by Year (21-23)'!K64</x:f>
        <x:v>3.3608391377179532E-2</x:v>
      </x:c>
      <x:c r="L39" s="58">
        <x:f>'SECGT10 Sales by Year (21-23)'!L39/'SECGT10 Sales by Year (21-23)'!L64</x:f>
        <x:v>3.4102657418309951E-2</x:v>
      </x:c>
      <x:c r="M39" s="58">
        <x:f>'SECGT10 Sales by Year (21-23)'!M39/'SECGT10 Sales by Year (21-23)'!M64</x:f>
        <x:v>3.4488161145752927E-2</x:v>
      </x:c>
      <x:c r="N39" s="58">
        <x:f>'SECGT10 Sales by Year (21-23)'!N39/'SECGT10 Sales by Year (21-23)'!N64</x:f>
        <x:v>3.3931228940917858E-2</x:v>
      </x:c>
      <x:c r="O39" s="58">
        <x:f>'SECGT10 Sales by Year (21-23)'!O39/'SECGT10 Sales by Year (21-23)'!O64</x:f>
        <x:v>3.2331174037767106E-2</x:v>
      </x:c>
      <x:c r="P39" s="61">
        <x:f>'SECGT10 Sales by Year (21-23)'!P39/'SECGT10 Sales by Year (21-23)'!P64</x:f>
        <x:v>3.3226325451440192E-2</x:v>
      </x:c>
    </x:row>
    <x:row r="40" spans="1:17" x14ac:dyDescent="0.3">
      <x:c r="A40" s="1">
        <x:f t="shared" si="0"/>
        <x:v>30</x:v>
      </x:c>
      <x:c r="B40" s="8"/>
    </x:row>
    <x:row r="41" spans="1:17" x14ac:dyDescent="0.3">
      <x:c r="A41" s="1">
        <x:f t="shared" si="0"/>
        <x:v>31</x:v>
      </x:c>
      <x:c r="B41" s="8" t="s">
        <x:v>9</x:v>
      </x:c>
      <x:c r="C41" s="2">
        <x:f>+C36</x:f>
        <x:v>2021</x:v>
      </x:c>
      <x:c r="D41" s="3">
        <x:f>'SECGT10 Sales by Year (21-23)'!D41/'SECGT10 Sales by Year (21-23)'!D61</x:f>
        <x:v>1.1488321514303625E-2</x:v>
      </x:c>
      <x:c r="E41" s="3">
        <x:f>'SECGT10 Sales by Year (21-23)'!E41/'SECGT10 Sales by Year (21-23)'!E$61</x:f>
        <x:v>1.1357073320022698E-2</x:v>
      </x:c>
      <x:c r="F41" s="3">
        <x:f>'SECGT10 Sales by Year (21-23)'!F41/'SECGT10 Sales by Year (21-23)'!F$61</x:f>
        <x:v>1.1305909082400719E-2</x:v>
      </x:c>
      <x:c r="G41" s="3">
        <x:f>'SECGT10 Sales by Year (21-23)'!G41/'SECGT10 Sales by Year (21-23)'!G$61</x:f>
        <x:v>1.0879974125697819E-2</x:v>
      </x:c>
      <x:c r="H41" s="3">
        <x:f>'SECGT10 Sales by Year (21-23)'!H41/'SECGT10 Sales by Year (21-23)'!H$61</x:f>
        <x:v>1.0397002610358825E-2</x:v>
      </x:c>
      <x:c r="I41" s="3">
        <x:f>'SECGT10 Sales by Year (21-23)'!I41/'SECGT10 Sales by Year (21-23)'!I$61</x:f>
        <x:v>-1.7623355118284139E-3</x:v>
      </x:c>
      <x:c r="J41" s="3">
        <x:f>'SECGT10 Sales by Year (21-23)'!J41/'SECGT10 Sales by Year (21-23)'!J$61</x:f>
        <x:v>1.0429045763910445E-2</x:v>
      </x:c>
      <x:c r="K41" s="3">
        <x:f>'SECGT10 Sales by Year (21-23)'!K41/'SECGT10 Sales by Year (21-23)'!K$61</x:f>
        <x:v>1.066482900637988E-2</x:v>
      </x:c>
      <x:c r="L41" s="3">
        <x:f>'SECGT10 Sales by Year (21-23)'!L41/'SECGT10 Sales by Year (21-23)'!L$61</x:f>
        <x:v>1.1091590285237898E-2</x:v>
      </x:c>
      <x:c r="M41" s="3">
        <x:f>'SECGT10 Sales by Year (21-23)'!M41/'SECGT10 Sales by Year (21-23)'!M$61</x:f>
        <x:v>1.0261776916396266E-2</x:v>
      </x:c>
      <x:c r="N41" s="3">
        <x:f>'SECGT10 Sales by Year (21-23)'!N41/'SECGT10 Sales by Year (21-23)'!N$61</x:f>
        <x:v>1.0176884823636033E-2</x:v>
      </x:c>
      <x:c r="O41" s="3">
        <x:f>'SECGT10 Sales by Year (21-23)'!O41/'SECGT10 Sales by Year (21-23)'!O$61</x:f>
        <x:v>1.072369062973719E-2</x:v>
      </x:c>
      <x:c r="P41" s="60">
        <x:f>'SECGT10 Sales by Year (21-23)'!P41/'SECGT10 Sales by Year (21-23)'!P$61</x:f>
        <x:v>9.7407628717364816E-3</x:v>
      </x:c>
      <x:c r="Q41" s="4"/>
    </x:row>
    <x:row r="42" spans="1:17" x14ac:dyDescent="0.3">
      <x:c r="A42" s="1">
        <x:f t="shared" si="0"/>
        <x:v>32</x:v>
      </x:c>
      <x:c r="B42" s="8" t="s">
        <x:v>9</x:v>
      </x:c>
      <x:c r="C42" s="2">
        <x:f>+C37</x:f>
        <x:v>2022</x:v>
      </x:c>
      <x:c r="D42" s="3">
        <x:f>'SECGT10 Sales by Year (21-23)'!D42/'SECGT10 Sales by Year (21-23)'!D62</x:f>
        <x:v>1.0872770756533902E-2</x:v>
      </x:c>
      <x:c r="E42" s="3">
        <x:f>'SECGT10 Sales by Year (21-23)'!E42/'SECGT10 Sales by Year (21-23)'!E$62</x:f>
        <x:v>1.13670983826583E-2</x:v>
      </x:c>
      <x:c r="F42" s="3">
        <x:f>'SECGT10 Sales by Year (21-23)'!F42/'SECGT10 Sales by Year (21-23)'!F$62</x:f>
        <x:v>1.0658691660859974E-2</x:v>
      </x:c>
      <x:c r="G42" s="3">
        <x:f>'SECGT10 Sales by Year (21-23)'!G42/'SECGT10 Sales by Year (21-23)'!G$62</x:f>
        <x:v>1.0632016407804661E-2</x:v>
      </x:c>
      <x:c r="H42" s="3">
        <x:f>'SECGT10 Sales by Year (21-23)'!H42/'SECGT10 Sales by Year (21-23)'!H$62</x:f>
        <x:v>1.0988667497412525E-2</x:v>
      </x:c>
      <x:c r="I42" s="3">
        <x:f>'SECGT10 Sales by Year (21-23)'!I42/'SECGT10 Sales by Year (21-23)'!I$62</x:f>
        <x:v>1.1382841403741708E-2</x:v>
      </x:c>
      <x:c r="J42" s="3">
        <x:f>'SECGT10 Sales by Year (21-23)'!J42/'SECGT10 Sales by Year (21-23)'!J$62</x:f>
        <x:v>1.1361852546500354E-2</x:v>
      </x:c>
      <x:c r="K42" s="3">
        <x:f>'SECGT10 Sales by Year (21-23)'!K42/'SECGT10 Sales by Year (21-23)'!K$62</x:f>
        <x:v>1.1023537749857563E-2</x:v>
      </x:c>
      <x:c r="L42" s="3">
        <x:f>'SECGT10 Sales by Year (21-23)'!L42/'SECGT10 Sales by Year (21-23)'!L$62</x:f>
        <x:v>1.0347131221505055E-2</x:v>
      </x:c>
      <x:c r="M42" s="3">
        <x:f>'SECGT10 Sales by Year (21-23)'!M42/'SECGT10 Sales by Year (21-23)'!M$62</x:f>
        <x:v>1.0325412928709686E-2</x:v>
      </x:c>
      <x:c r="N42" s="3">
        <x:f>'SECGT10 Sales by Year (21-23)'!N42/'SECGT10 Sales by Year (21-23)'!N$62</x:f>
        <x:v>9.7563210834953167E-3</x:v>
      </x:c>
      <x:c r="O42" s="3">
        <x:f>'SECGT10 Sales by Year (21-23)'!O42/'SECGT10 Sales by Year (21-23)'!O$62</x:f>
        <x:v>1.0238227824037313E-2</x:v>
      </x:c>
      <x:c r="P42" s="60">
        <x:f>'SECGT10 Sales by Year (21-23)'!P42/'SECGT10 Sales by Year (21-23)'!P$62</x:f>
        <x:v>1.0768927230172738E-2</x:v>
      </x:c>
    </x:row>
    <x:row r="43" spans="1:17" ht="14.4" thickBot="1" x14ac:dyDescent="0.35">
      <x:c r="A43" s="1">
        <x:f t="shared" si="0"/>
        <x:v>33</x:v>
      </x:c>
      <x:c r="B43" s="8" t="s">
        <x:v>9</x:v>
      </x:c>
      <x:c r="C43" s="2">
        <x:f>+C38</x:f>
        <x:v>2023</x:v>
      </x:c>
      <x:c r="D43" s="3">
        <x:f>'SECGT10 Sales by Year (21-23)'!D43/'SECGT10 Sales by Year (21-23)'!D63</x:f>
        <x:v>1.0338771964557248E-2</x:v>
      </x:c>
      <x:c r="E43" s="3">
        <x:f>'SECGT10 Sales by Year (21-23)'!E43/'SECGT10 Sales by Year (21-23)'!E63</x:f>
        <x:v>1.0701227719288131E-2</x:v>
      </x:c>
      <x:c r="F43" s="3">
        <x:f>'SECGT10 Sales by Year (21-23)'!F43/'SECGT10 Sales by Year (21-23)'!F63</x:f>
        <x:v>1.0580632474779725E-2</x:v>
      </x:c>
      <x:c r="G43" s="3">
        <x:f>'SECGT10 Sales by Year (21-23)'!G43/'SECGT10 Sales by Year (21-23)'!G63</x:f>
        <x:v>1.061759512049055E-2</x:v>
      </x:c>
      <x:c r="H43" s="3">
        <x:f>'SECGT10 Sales by Year (21-23)'!H43/'SECGT10 Sales by Year (21-23)'!H63</x:f>
        <x:v>1.0512995487715587E-2</x:v>
      </x:c>
      <x:c r="I43" s="3">
        <x:f>'SECGT10 Sales by Year (21-23)'!I43/'SECGT10 Sales by Year (21-23)'!I63</x:f>
        <x:v>1.0010784420877432E-2</x:v>
      </x:c>
      <x:c r="J43" s="3">
        <x:f>'SECGT10 Sales by Year (21-23)'!J43/'SECGT10 Sales by Year (21-23)'!J63</x:f>
        <x:v>1.0973695690899813E-2</x:v>
      </x:c>
      <x:c r="K43" s="3">
        <x:f>'SECGT10 Sales by Year (21-23)'!K43/'SECGT10 Sales by Year (21-23)'!K63</x:f>
        <x:v>1.1242375253988177E-2</x:v>
      </x:c>
      <x:c r="L43" s="3">
        <x:f>'SECGT10 Sales by Year (21-23)'!L43/'SECGT10 Sales by Year (21-23)'!L63</x:f>
        <x:v>1.1094288605070333E-2</x:v>
      </x:c>
      <x:c r="M43" s="3">
        <x:f>'SECGT10 Sales by Year (21-23)'!M43/'SECGT10 Sales by Year (21-23)'!M63</x:f>
        <x:v>9.9521956642489133E-3</x:v>
      </x:c>
      <x:c r="N43" s="3">
        <x:f>'SECGT10 Sales by Year (21-23)'!N43/'SECGT10 Sales by Year (21-23)'!N63</x:f>
        <x:v>9.8096814170994893E-3</x:v>
      </x:c>
      <x:c r="O43" s="3">
        <x:f>'SECGT10 Sales by Year (21-23)'!O43/'SECGT10 Sales by Year (21-23)'!O63</x:f>
        <x:v>1.0136769171066639E-2</x:v>
      </x:c>
      <x:c r="P43" s="60">
        <x:f>'SECGT10 Sales by Year (21-23)'!P43/'SECGT10 Sales by Year (21-23)'!P63</x:f>
        <x:v>1.0533986933240598E-2</x:v>
      </x:c>
    </x:row>
    <x:row r="44" spans="1:17" x14ac:dyDescent="0.3">
      <x:c r="A44" s="1">
        <x:f t="shared" si="0"/>
        <x:v>34</x:v>
      </x:c>
      <x:c r="B44" s="8" t="s">
        <x:v>9</x:v>
      </x:c>
      <x:c r="C44" s="57" t="s">
        <x:v>1</x:v>
      </x:c>
      <x:c r="D44" s="58">
        <x:f>'SECGT10 Sales by Year (21-23)'!D44/'SECGT10 Sales by Year (21-23)'!D64</x:f>
        <x:v>1.0887982336084163E-2</x:v>
      </x:c>
      <x:c r="E44" s="58">
        <x:f>'SECGT10 Sales by Year (21-23)'!E44/'SECGT10 Sales by Year (21-23)'!E64</x:f>
        <x:v>1.1136679837599027E-2</x:v>
      </x:c>
      <x:c r="F44" s="58">
        <x:f>'SECGT10 Sales by Year (21-23)'!F44/'SECGT10 Sales by Year (21-23)'!F64</x:f>
        <x:v>1.084455315957167E-2</x:v>
      </x:c>
      <x:c r="G44" s="58">
        <x:f>'SECGT10 Sales by Year (21-23)'!G44/'SECGT10 Sales by Year (21-23)'!G64</x:f>
        <x:v>1.070708197585064E-2</x:v>
      </x:c>
      <x:c r="H44" s="58">
        <x:f>'SECGT10 Sales by Year (21-23)'!H44/'SECGT10 Sales by Year (21-23)'!H64</x:f>
        <x:v>1.0641905336907126E-2</x:v>
      </x:c>
      <x:c r="I44" s="58">
        <x:f>'SECGT10 Sales by Year (21-23)'!I44/'SECGT10 Sales by Year (21-23)'!I64</x:f>
        <x:v>6.8244114454428517E-3</x:v>
      </x:c>
      <x:c r="J44" s="58">
        <x:f>'SECGT10 Sales by Year (21-23)'!J44/'SECGT10 Sales by Year (21-23)'!J64</x:f>
        <x:v>1.09319882274189E-2</x:v>
      </x:c>
      <x:c r="K44" s="58">
        <x:f>'SECGT10 Sales by Year (21-23)'!K44/'SECGT10 Sales by Year (21-23)'!K64</x:f>
        <x:v>1.0987608059593324E-2</x:v>
      </x:c>
      <x:c r="L44" s="58">
        <x:f>'SECGT10 Sales by Year (21-23)'!L44/'SECGT10 Sales by Year (21-23)'!L64</x:f>
        <x:v>1.0850571894827047E-2</x:v>
      </x:c>
      <x:c r="M44" s="58">
        <x:f>'SECGT10 Sales by Year (21-23)'!M44/'SECGT10 Sales by Year (21-23)'!M64</x:f>
        <x:v>1.0172650666657949E-2</x:v>
      </x:c>
      <x:c r="N44" s="58">
        <x:f>'SECGT10 Sales by Year (21-23)'!N44/'SECGT10 Sales by Year (21-23)'!N64</x:f>
        <x:v>9.9136218242871169E-3</x:v>
      </x:c>
      <x:c r="O44" s="58">
        <x:f>'SECGT10 Sales by Year (21-23)'!O44/'SECGT10 Sales by Year (21-23)'!O64</x:f>
        <x:v>1.0363100438899705E-2</x:v>
      </x:c>
      <x:c r="P44" s="61">
        <x:f>'SECGT10 Sales by Year (21-23)'!P44/'SECGT10 Sales by Year (21-23)'!P64</x:f>
        <x:v>1.035926476185022E-2</x:v>
      </x:c>
    </x:row>
    <x:row r="45" spans="1:17" x14ac:dyDescent="0.3">
      <x:c r="A45" s="1">
        <x:f t="shared" si="0"/>
        <x:v>35</x:v>
      </x:c>
      <x:c r="B45" s="8"/>
      <x:c r="C45" s="4"/>
    </x:row>
    <x:row r="46" spans="1:17" x14ac:dyDescent="0.3">
      <x:c r="A46" s="1">
        <x:f t="shared" si="0"/>
        <x:v>36</x:v>
      </x:c>
      <x:c r="B46" s="8" t="s">
        <x:v>4</x:v>
      </x:c>
      <x:c r="C46" s="2">
        <x:f>+C41</x:f>
        <x:v>2021</x:v>
      </x:c>
      <x:c r="D46" s="3">
        <x:f>'SECGT10 Sales by Year (21-23)'!D46/'SECGT10 Sales by Year (21-23)'!D61</x:f>
        <x:v>1.413582707256545E-2</x:v>
      </x:c>
      <x:c r="E46" s="3">
        <x:f>'SECGT10 Sales by Year (21-23)'!E46/'SECGT10 Sales by Year (21-23)'!E$61</x:f>
        <x:v>1.4064897773038947E-2</x:v>
      </x:c>
      <x:c r="F46" s="3">
        <x:f>'SECGT10 Sales by Year (21-23)'!F46/'SECGT10 Sales by Year (21-23)'!F$61</x:f>
        <x:v>1.4784888943231869E-2</x:v>
      </x:c>
      <x:c r="G46" s="3">
        <x:f>'SECGT10 Sales by Year (21-23)'!G46/'SECGT10 Sales by Year (21-23)'!G$61</x:f>
        <x:v>1.3868356505699132E-2</x:v>
      </x:c>
      <x:c r="H46" s="3">
        <x:f>'SECGT10 Sales by Year (21-23)'!H46/'SECGT10 Sales by Year (21-23)'!H$61</x:f>
        <x:v>1.382612650706511E-2</x:v>
      </x:c>
      <x:c r="I46" s="3">
        <x:f>'SECGT10 Sales by Year (21-23)'!I46/'SECGT10 Sales by Year (21-23)'!I$61</x:f>
        <x:v>1.4283979747382132E-2</x:v>
      </x:c>
      <x:c r="J46" s="3">
        <x:f>'SECGT10 Sales by Year (21-23)'!J46/'SECGT10 Sales by Year (21-23)'!J$61</x:f>
        <x:v>1.4551487552311107E-2</x:v>
      </x:c>
      <x:c r="K46" s="3">
        <x:f>'SECGT10 Sales by Year (21-23)'!K46/'SECGT10 Sales by Year (21-23)'!K$61</x:f>
        <x:v>1.4671322251927563E-2</x:v>
      </x:c>
      <x:c r="L46" s="3">
        <x:f>'SECGT10 Sales by Year (21-23)'!L46/'SECGT10 Sales by Year (21-23)'!L$61</x:f>
        <x:v>1.4929159473160503E-2</x:v>
      </x:c>
      <x:c r="M46" s="3">
        <x:f>'SECGT10 Sales by Year (21-23)'!M46/'SECGT10 Sales by Year (21-23)'!M$61</x:f>
        <x:v>1.4799560767813072E-2</x:v>
      </x:c>
      <x:c r="N46" s="3">
        <x:f>'SECGT10 Sales by Year (21-23)'!N46/'SECGT10 Sales by Year (21-23)'!N$61</x:f>
        <x:v>1.3954222574234483E-2</x:v>
      </x:c>
      <x:c r="O46" s="3">
        <x:f>'SECGT10 Sales by Year (21-23)'!O46/'SECGT10 Sales by Year (21-23)'!O$61</x:f>
        <x:v>1.3927150787030964E-2</x:v>
      </x:c>
      <x:c r="P46" s="60">
        <x:f>'SECGT10 Sales by Year (21-23)'!P46/'SECGT10 Sales by Year (21-23)'!P$61</x:f>
        <x:v>1.4353734768361319E-2</x:v>
      </x:c>
      <x:c r="Q46" s="4"/>
    </x:row>
    <x:row r="47" spans="1:17" x14ac:dyDescent="0.3">
      <x:c r="A47" s="1">
        <x:f t="shared" si="0"/>
        <x:v>37</x:v>
      </x:c>
      <x:c r="B47" s="8" t="s">
        <x:v>4</x:v>
      </x:c>
      <x:c r="C47" s="2">
        <x:f>+C42</x:f>
        <x:v>2022</x:v>
      </x:c>
      <x:c r="D47" s="3">
        <x:f>'SECGT10 Sales by Year (21-23)'!D47/'SECGT10 Sales by Year (21-23)'!D62</x:f>
        <x:v>1.3591157586055558E-2</x:v>
      </x:c>
      <x:c r="E47" s="3">
        <x:f>'SECGT10 Sales by Year (21-23)'!E47/'SECGT10 Sales by Year (21-23)'!E$62</x:f>
        <x:v>1.4251572385499817E-2</x:v>
      </x:c>
      <x:c r="F47" s="3">
        <x:f>'SECGT10 Sales by Year (21-23)'!F47/'SECGT10 Sales by Year (21-23)'!F$62</x:f>
        <x:v>1.398476714344893E-2</x:v>
      </x:c>
      <x:c r="G47" s="3">
        <x:f>'SECGT10 Sales by Year (21-23)'!G47/'SECGT10 Sales by Year (21-23)'!G$62</x:f>
        <x:v>1.3767869268480446E-2</x:v>
      </x:c>
      <x:c r="H47" s="3">
        <x:f>'SECGT10 Sales by Year (21-23)'!H47/'SECGT10 Sales by Year (21-23)'!H$62</x:f>
        <x:v>1.4021168693275105E-2</x:v>
      </x:c>
      <x:c r="I47" s="3">
        <x:f>'SECGT10 Sales by Year (21-23)'!I47/'SECGT10 Sales by Year (21-23)'!I$62</x:f>
        <x:v>1.4378625369588628E-2</x:v>
      </x:c>
      <x:c r="J47" s="3">
        <x:f>'SECGT10 Sales by Year (21-23)'!J47/'SECGT10 Sales by Year (21-23)'!J$62</x:f>
        <x:v>1.4588074426236984E-2</x:v>
      </x:c>
      <x:c r="K47" s="3">
        <x:f>'SECGT10 Sales by Year (21-23)'!K47/'SECGT10 Sales by Year (21-23)'!K$62</x:f>
        <x:v>1.4877534945679862E-2</x:v>
      </x:c>
      <x:c r="L47" s="3">
        <x:f>'SECGT10 Sales by Year (21-23)'!L47/'SECGT10 Sales by Year (21-23)'!L$62</x:f>
        <x:v>1.4806656878749077E-2</x:v>
      </x:c>
      <x:c r="M47" s="3">
        <x:f>'SECGT10 Sales by Year (21-23)'!M47/'SECGT10 Sales by Year (21-23)'!M$62</x:f>
        <x:v>1.4575851353106907E-2</x:v>
      </x:c>
      <x:c r="N47" s="3">
        <x:f>'SECGT10 Sales by Year (21-23)'!N47/'SECGT10 Sales by Year (21-23)'!N$62</x:f>
        <x:v>1.3734889318607885E-2</x:v>
      </x:c>
      <x:c r="O47" s="3">
        <x:f>'SECGT10 Sales by Year (21-23)'!O47/'SECGT10 Sales by Year (21-23)'!O$62</x:f>
        <x:v>1.3633762711085289E-2</x:v>
      </x:c>
      <x:c r="P47" s="60">
        <x:f>'SECGT10 Sales by Year (21-23)'!P47/'SECGT10 Sales by Year (21-23)'!P$62</x:f>
        <x:v>1.4241400810477122E-2</x:v>
      </x:c>
    </x:row>
    <x:row r="48" spans="1:17" ht="14.4" thickBot="1" x14ac:dyDescent="0.35">
      <x:c r="A48" s="1">
        <x:f t="shared" si="0"/>
        <x:v>38</x:v>
      </x:c>
      <x:c r="B48" s="8" t="s">
        <x:v>4</x:v>
      </x:c>
      <x:c r="C48" s="2">
        <x:f>+C43</x:f>
        <x:v>2023</x:v>
      </x:c>
      <x:c r="D48" s="3">
        <x:f>'SECGT10 Sales by Year (21-23)'!D48/'SECGT10 Sales by Year (21-23)'!D63</x:f>
        <x:v>1.3384061373903293E-2</x:v>
      </x:c>
      <x:c r="E48" s="3">
        <x:f>'SECGT10 Sales by Year (21-23)'!E48/'SECGT10 Sales by Year (21-23)'!E63</x:f>
        <x:v>1.3683901876168256E-2</x:v>
      </x:c>
      <x:c r="F48" s="3">
        <x:f>'SECGT10 Sales by Year (21-23)'!F48/'SECGT10 Sales by Year (21-23)'!F63</x:f>
        <x:v>1.3968614583480064E-2</x:v>
      </x:c>
      <x:c r="G48" s="3">
        <x:f>'SECGT10 Sales by Year (21-23)'!G48/'SECGT10 Sales by Year (21-23)'!G63</x:f>
        <x:v>1.3268400027362936E-2</x:v>
      </x:c>
      <x:c r="H48" s="3">
        <x:f>'SECGT10 Sales by Year (21-23)'!H48/'SECGT10 Sales by Year (21-23)'!H63</x:f>
        <x:v>1.3444366799236539E-2</x:v>
      </x:c>
      <x:c r="I48" s="3">
        <x:f>'SECGT10 Sales by Year (21-23)'!I48/'SECGT10 Sales by Year (21-23)'!I63</x:f>
        <x:v>1.3732032838250943E-2</x:v>
      </x:c>
      <x:c r="J48" s="3">
        <x:f>'SECGT10 Sales by Year (21-23)'!J48/'SECGT10 Sales by Year (21-23)'!J63</x:f>
        <x:v>1.432431859471524E-2</x:v>
      </x:c>
      <x:c r="K48" s="3">
        <x:f>'SECGT10 Sales by Year (21-23)'!K48/'SECGT10 Sales by Year (21-23)'!K63</x:f>
        <x:v>1.4612274993172622E-2</x:v>
      </x:c>
      <x:c r="L48" s="3">
        <x:f>'SECGT10 Sales by Year (21-23)'!L48/'SECGT10 Sales by Year (21-23)'!L63</x:f>
        <x:v>1.4754703518036521E-2</x:v>
      </x:c>
      <x:c r="M48" s="3">
        <x:f>'SECGT10 Sales by Year (21-23)'!M48/'SECGT10 Sales by Year (21-23)'!M63</x:f>
        <x:v>1.437527664067231E-2</x:v>
      </x:c>
      <x:c r="N48" s="3">
        <x:f>'SECGT10 Sales by Year (21-23)'!N48/'SECGT10 Sales by Year (21-23)'!N63</x:f>
        <x:v>1.3950445728516942E-2</x:v>
      </x:c>
      <x:c r="O48" s="3">
        <x:f>'SECGT10 Sales by Year (21-23)'!O48/'SECGT10 Sales by Year (21-23)'!O63</x:f>
        <x:v>1.3689351381265856E-2</x:v>
      </x:c>
      <x:c r="P48" s="60">
        <x:f>'SECGT10 Sales by Year (21-23)'!P48/'SECGT10 Sales by Year (21-23)'!P63</x:f>
        <x:v>1.3996686214728233E-2</x:v>
      </x:c>
    </x:row>
    <x:row r="49" spans="1:17" x14ac:dyDescent="0.3">
      <x:c r="A49" s="1">
        <x:f t="shared" si="0"/>
        <x:v>39</x:v>
      </x:c>
      <x:c r="B49" s="8" t="s">
        <x:v>4</x:v>
      </x:c>
      <x:c r="C49" s="57" t="s">
        <x:v>1</x:v>
      </x:c>
      <x:c r="D49" s="58">
        <x:f>'SECGT10 Sales by Year (21-23)'!D49/'SECGT10 Sales by Year (21-23)'!D64</x:f>
        <x:v>1.3696096080933627E-2</x:v>
      </x:c>
      <x:c r="E49" s="58">
        <x:f>'SECGT10 Sales by Year (21-23)'!E49/'SECGT10 Sales by Year (21-23)'!E64</x:f>
        <x:v>1.3998398399461336E-2</x:v>
      </x:c>
      <x:c r="F49" s="58">
        <x:f>'SECGT10 Sales by Year (21-23)'!F49/'SECGT10 Sales by Year (21-23)'!F64</x:f>
        <x:v>1.4241169704726119E-2</x:v>
      </x:c>
      <x:c r="G49" s="58">
        <x:f>'SECGT10 Sales by Year (21-23)'!G49/'SECGT10 Sales by Year (21-23)'!G64</x:f>
        <x:v>1.3631317036838245E-2</x:v>
      </x:c>
      <x:c r="H49" s="58">
        <x:f>'SECGT10 Sales by Year (21-23)'!H49/'SECGT10 Sales by Year (21-23)'!H64</x:f>
        <x:v>1.3768960435037947E-2</x:v>
      </x:c>
      <x:c r="I49" s="58">
        <x:f>'SECGT10 Sales by Year (21-23)'!I49/'SECGT10 Sales by Year (21-23)'!I64</x:f>
        <x:v>1.4131390214286945E-2</x:v>
      </x:c>
      <x:c r="J49" s="58">
        <x:f>'SECGT10 Sales by Year (21-23)'!J49/'SECGT10 Sales by Year (21-23)'!J64</x:f>
        <x:v>1.4487373246176946E-2</x:v>
      </x:c>
      <x:c r="K49" s="58">
        <x:f>'SECGT10 Sales by Year (21-23)'!K49/'SECGT10 Sales by Year (21-23)'!K64</x:f>
        <x:v>1.4722876679696921E-2</x:v>
      </x:c>
      <x:c r="L49" s="58">
        <x:f>'SECGT10 Sales by Year (21-23)'!L49/'SECGT10 Sales by Year (21-23)'!L64</x:f>
        <x:v>1.4827486613133016E-2</x:v>
      </x:c>
      <x:c r="M49" s="58">
        <x:f>'SECGT10 Sales by Year (21-23)'!M49/'SECGT10 Sales by Year (21-23)'!M64</x:f>
        <x:v>1.4575938820659183E-2</x:v>
      </x:c>
      <x:c r="N49" s="58">
        <x:f>'SECGT10 Sales by Year (21-23)'!N49/'SECGT10 Sales by Year (21-23)'!N64</x:f>
        <x:v>1.3881213123973796E-2</x:v>
      </x:c>
      <x:c r="O49" s="58">
        <x:f>'SECGT10 Sales by Year (21-23)'!O49/'SECGT10 Sales by Year (21-23)'!O64</x:f>
        <x:v>1.3748347627863044E-2</x:v>
      </x:c>
      <x:c r="P49" s="61">
        <x:f>'SECGT10 Sales by Year (21-23)'!P49/'SECGT10 Sales by Year (21-23)'!P64</x:f>
        <x:v>1.4193923808924723E-2</x:v>
      </x:c>
    </x:row>
    <x:row r="50" spans="1:17" x14ac:dyDescent="0.3">
      <x:c r="A50" s="1">
        <x:f t="shared" si="0"/>
        <x:v>40</x:v>
      </x:c>
      <x:c r="B50" s="8"/>
    </x:row>
    <x:row r="51" spans="1:17" x14ac:dyDescent="0.3">
      <x:c r="A51" s="1">
        <x:f t="shared" si="0"/>
        <x:v>41</x:v>
      </x:c>
      <x:c r="B51" s="8" t="s">
        <x:v>2</x:v>
      </x:c>
      <x:c r="C51" s="2">
        <x:f>+C46</x:f>
        <x:v>2021</x:v>
      </x:c>
      <x:c r="D51" s="3">
        <x:f>'SECGT10 Sales by Year (21-23)'!D51/'SECGT10 Sales by Year (21-23)'!D61</x:f>
        <x:v>6.8725753976241241E-2</x:v>
      </x:c>
      <x:c r="E51" s="3">
        <x:f>'SECGT10 Sales by Year (21-23)'!E51/'SECGT10 Sales by Year (21-23)'!E$61</x:f>
        <x:v>6.956214247918073E-2</x:v>
      </x:c>
      <x:c r="F51" s="3">
        <x:f>'SECGT10 Sales by Year (21-23)'!F51/'SECGT10 Sales by Year (21-23)'!F$61</x:f>
        <x:v>6.9528083123073833E-2</x:v>
      </x:c>
      <x:c r="G51" s="3">
        <x:f>'SECGT10 Sales by Year (21-23)'!G51/'SECGT10 Sales by Year (21-23)'!G$61</x:f>
        <x:v>7.4269988055875272E-2</x:v>
      </x:c>
      <x:c r="H51" s="3">
        <x:f>'SECGT10 Sales by Year (21-23)'!H51/'SECGT10 Sales by Year (21-23)'!H$61</x:f>
        <x:v>7.3249350246393771E-2</x:v>
      </x:c>
      <x:c r="I51" s="3">
        <x:f>'SECGT10 Sales by Year (21-23)'!I51/'SECGT10 Sales by Year (21-23)'!I$61</x:f>
        <x:v>7.1108956705735263E-2</x:v>
      </x:c>
      <x:c r="J51" s="3">
        <x:f>'SECGT10 Sales by Year (21-23)'!J51/'SECGT10 Sales by Year (21-23)'!J$61</x:f>
        <x:v>6.6385723813999362E-2</x:v>
      </x:c>
      <x:c r="K51" s="3">
        <x:f>'SECGT10 Sales by Year (21-23)'!K51/'SECGT10 Sales by Year (21-23)'!K$61</x:f>
        <x:v>6.4156013212446489E-2</x:v>
      </x:c>
      <x:c r="L51" s="3">
        <x:f>'SECGT10 Sales by Year (21-23)'!L51/'SECGT10 Sales by Year (21-23)'!L$61</x:f>
        <x:v>5.813975229316666E-2</x:v>
      </x:c>
      <x:c r="M51" s="3">
        <x:f>'SECGT10 Sales by Year (21-23)'!M51/'SECGT10 Sales by Year (21-23)'!M$61</x:f>
        <x:v>5.5903063096155059E-2</x:v>
      </x:c>
      <x:c r="N51" s="3">
        <x:f>'SECGT10 Sales by Year (21-23)'!N51/'SECGT10 Sales by Year (21-23)'!N$61</x:f>
        <x:v>6.7153753819306966E-2</x:v>
      </x:c>
      <x:c r="O51" s="3">
        <x:f>'SECGT10 Sales by Year (21-23)'!O51/'SECGT10 Sales by Year (21-23)'!O$61</x:f>
        <x:v>7.3285469670004419E-2</x:v>
      </x:c>
      <x:c r="P51" s="60">
        <x:f>'SECGT10 Sales by Year (21-23)'!P51/'SECGT10 Sales by Year (21-23)'!P$61</x:f>
        <x:v>6.7109548776215736E-2</x:v>
      </x:c>
      <x:c r="Q51" s="4"/>
    </x:row>
    <x:row r="52" spans="1:17" x14ac:dyDescent="0.3">
      <x:c r="A52" s="1">
        <x:f t="shared" si="0"/>
        <x:v>42</x:v>
      </x:c>
      <x:c r="B52" s="8" t="s">
        <x:v>2</x:v>
      </x:c>
      <x:c r="C52" s="2">
        <x:f>+C47</x:f>
        <x:v>2022</x:v>
      </x:c>
      <x:c r="D52" s="3">
        <x:f>'SECGT10 Sales by Year (21-23)'!D52/'SECGT10 Sales by Year (21-23)'!D62</x:f>
        <x:v>7.2715003147705182E-2</x:v>
      </x:c>
      <x:c r="E52" s="3">
        <x:f>'SECGT10 Sales by Year (21-23)'!E52/'SECGT10 Sales by Year (21-23)'!E$62</x:f>
        <x:v>7.4320895260741718E-2</x:v>
      </x:c>
      <x:c r="F52" s="3">
        <x:f>'SECGT10 Sales by Year (21-23)'!F52/'SECGT10 Sales by Year (21-23)'!F$62</x:f>
        <x:v>7.3333610345970926E-2</x:v>
      </x:c>
      <x:c r="G52" s="3">
        <x:f>'SECGT10 Sales by Year (21-23)'!G52/'SECGT10 Sales by Year (21-23)'!G$62</x:f>
        <x:v>7.3448324857949054E-2</x:v>
      </x:c>
      <x:c r="H52" s="3">
        <x:f>'SECGT10 Sales by Year (21-23)'!H52/'SECGT10 Sales by Year (21-23)'!H$62</x:f>
        <x:v>7.2046519315805219E-2</x:v>
      </x:c>
      <x:c r="I52" s="3">
        <x:f>'SECGT10 Sales by Year (21-23)'!I52/'SECGT10 Sales by Year (21-23)'!I$62</x:f>
        <x:v>6.0086546692555746E-2</x:v>
      </x:c>
      <x:c r="J52" s="3">
        <x:f>'SECGT10 Sales by Year (21-23)'!J52/'SECGT10 Sales by Year (21-23)'!J$62</x:f>
        <x:v>6.4493827938864809E-2</x:v>
      </x:c>
      <x:c r="K52" s="3">
        <x:f>'SECGT10 Sales by Year (21-23)'!K52/'SECGT10 Sales by Year (21-23)'!K$62</x:f>
        <x:v>6.4505778425917967E-2</x:v>
      </x:c>
      <x:c r="L52" s="3">
        <x:f>'SECGT10 Sales by Year (21-23)'!L52/'SECGT10 Sales by Year (21-23)'!L$62</x:f>
        <x:v>6.5175693611141769E-2</x:v>
      </x:c>
      <x:c r="M52" s="3">
        <x:f>'SECGT10 Sales by Year (21-23)'!M52/'SECGT10 Sales by Year (21-23)'!M$62</x:f>
        <x:v>6.6388640822366091E-2</x:v>
      </x:c>
      <x:c r="N52" s="3">
        <x:f>'SECGT10 Sales by Year (21-23)'!N52/'SECGT10 Sales by Year (21-23)'!N$62</x:f>
        <x:v>7.1141284386328538E-2</x:v>
      </x:c>
      <x:c r="O52" s="3">
        <x:f>'SECGT10 Sales by Year (21-23)'!O52/'SECGT10 Sales by Year (21-23)'!O$62</x:f>
        <x:v>7.3530693530056937E-2</x:v>
      </x:c>
      <x:c r="P52" s="60">
        <x:f>'SECGT10 Sales by Year (21-23)'!P52/'SECGT10 Sales by Year (21-23)'!P$62</x:f>
        <x:v>6.8719616773260536E-2</x:v>
      </x:c>
    </x:row>
    <x:row r="53" spans="1:17" ht="14.4" thickBot="1" x14ac:dyDescent="0.35">
      <x:c r="A53" s="1">
        <x:f t="shared" si="0"/>
        <x:v>43</x:v>
      </x:c>
      <x:c r="B53" s="8" t="s">
        <x:v>2</x:v>
      </x:c>
      <x:c r="C53" s="2">
        <x:f>+C48</x:f>
        <x:v>2023</x:v>
      </x:c>
      <x:c r="D53" s="3">
        <x:f>'SECGT10 Sales by Year (21-23)'!D53/'SECGT10 Sales by Year (21-23)'!D63</x:f>
        <x:v>7.4430332353675285E-2</x:v>
      </x:c>
      <x:c r="E53" s="3">
        <x:f>'SECGT10 Sales by Year (21-23)'!E53/'SECGT10 Sales by Year (21-23)'!E63</x:f>
        <x:v>7.5536582213350925E-2</x:v>
      </x:c>
      <x:c r="F53" s="3">
        <x:f>'SECGT10 Sales by Year (21-23)'!F53/'SECGT10 Sales by Year (21-23)'!F63</x:f>
        <x:v>7.6585818349735227E-2</x:v>
      </x:c>
      <x:c r="G53" s="3">
        <x:f>'SECGT10 Sales by Year (21-23)'!G53/'SECGT10 Sales by Year (21-23)'!G63</x:f>
        <x:v>7.9750828142000713E-2</x:v>
      </x:c>
      <x:c r="H53" s="3">
        <x:f>'SECGT10 Sales by Year (21-23)'!H53/'SECGT10 Sales by Year (21-23)'!H63</x:f>
        <x:v>7.2443118268757101E-2</x:v>
      </x:c>
      <x:c r="I53" s="3">
        <x:f>'SECGT10 Sales by Year (21-23)'!I53/'SECGT10 Sales by Year (21-23)'!I63</x:f>
        <x:v>7.019178586041061E-2</x:v>
      </x:c>
      <x:c r="J53" s="3">
        <x:f>'SECGT10 Sales by Year (21-23)'!J53/'SECGT10 Sales by Year (21-23)'!J63</x:f>
        <x:v>7.133437137131618E-2</x:v>
      </x:c>
      <x:c r="K53" s="3">
        <x:f>'SECGT10 Sales by Year (21-23)'!K53/'SECGT10 Sales by Year (21-23)'!K63</x:f>
        <x:v>6.8430510975939773E-2</x:v>
      </x:c>
      <x:c r="L53" s="3">
        <x:f>'SECGT10 Sales by Year (21-23)'!L53/'SECGT10 Sales by Year (21-23)'!L63</x:f>
        <x:v>6.680977772441235E-2</x:v>
      </x:c>
      <x:c r="M53" s="3">
        <x:f>'SECGT10 Sales by Year (21-23)'!M53/'SECGT10 Sales by Year (21-23)'!M63</x:f>
        <x:v>6.9652430881741917E-2</x:v>
      </x:c>
      <x:c r="N53" s="3">
        <x:f>'SECGT10 Sales by Year (21-23)'!N53/'SECGT10 Sales by Year (21-23)'!N63</x:f>
        <x:v>7.230348253373696E-2</x:v>
      </x:c>
      <x:c r="O53" s="3">
        <x:f>'SECGT10 Sales by Year (21-23)'!O53/'SECGT10 Sales by Year (21-23)'!O63</x:f>
        <x:v>7.583070927029667E-2</x:v>
      </x:c>
      <x:c r="P53" s="60">
        <x:f>'SECGT10 Sales by Year (21-23)'!P53/'SECGT10 Sales by Year (21-23)'!P63</x:f>
        <x:v>7.2307598206040172E-2</x:v>
      </x:c>
    </x:row>
    <x:row r="54" spans="1:17" x14ac:dyDescent="0.3">
      <x:c r="A54" s="1">
        <x:f t="shared" si="0"/>
        <x:v>44</x:v>
      </x:c>
      <x:c r="B54" s="8" t="s">
        <x:v>2</x:v>
      </x:c>
      <x:c r="C54" s="57" t="s">
        <x:v>1</x:v>
      </x:c>
      <x:c r="D54" s="58">
        <x:f>'SECGT10 Sales by Year (21-23)'!D54/'SECGT10 Sales by Year (21-23)'!D64</x:f>
        <x:v>7.2014840229198518E-2</x:v>
      </x:c>
      <x:c r="E54" s="58">
        <x:f>'SECGT10 Sales by Year (21-23)'!E54/'SECGT10 Sales by Year (21-23)'!E64</x:f>
        <x:v>7.3220001476724875E-2</x:v>
      </x:c>
      <x:c r="F54" s="58">
        <x:f>'SECGT10 Sales by Year (21-23)'!F54/'SECGT10 Sales by Year (21-23)'!F64</x:f>
        <x:v>7.316659889328625E-2</x:v>
      </x:c>
      <x:c r="G54" s="58">
        <x:f>'SECGT10 Sales by Year (21-23)'!G54/'SECGT10 Sales by Year (21-23)'!G64</x:f>
        <x:v>7.5845117343970675E-2</x:v>
      </x:c>
      <x:c r="H54" s="58">
        <x:f>'SECGT10 Sales by Year (21-23)'!H54/'SECGT10 Sales by Year (21-23)'!H64</x:f>
        <x:v>7.2564184915924521E-2</x:v>
      </x:c>
      <x:c r="I54" s="58">
        <x:f>'SECGT10 Sales by Year (21-23)'!I54/'SECGT10 Sales by Year (21-23)'!I64</x:f>
        <x:v>6.6924378778714891E-2</x:v>
      </x:c>
      <x:c r="J54" s="58">
        <x:f>'SECGT10 Sales by Year (21-23)'!J54/'SECGT10 Sales by Year (21-23)'!J64</x:f>
        <x:v>6.7407717971516609E-2</x:v>
      </x:c>
      <x:c r="K54" s="58">
        <x:f>'SECGT10 Sales by Year (21-23)'!K54/'SECGT10 Sales by Year (21-23)'!K64</x:f>
        <x:v>6.5742486964662727E-2</x:v>
      </x:c>
      <x:c r="L54" s="58">
        <x:f>'SECGT10 Sales by Year (21-23)'!L54/'SECGT10 Sales by Year (21-23)'!L64</x:f>
        <x:v>6.3500729766719805E-2</x:v>
      </x:c>
      <x:c r="M54" s="58">
        <x:f>'SECGT10 Sales by Year (21-23)'!M54/'SECGT10 Sales by Year (21-23)'!M64</x:f>
        <x:v>6.4205886008692301E-2</x:v>
      </x:c>
      <x:c r="N54" s="58">
        <x:f>'SECGT10 Sales by Year (21-23)'!N54/'SECGT10 Sales by Year (21-23)'!N64</x:f>
        <x:v>7.02211101088311E-2</x:v>
      </x:c>
      <x:c r="O54" s="58">
        <x:f>'SECGT10 Sales by Year (21-23)'!O54/'SECGT10 Sales by Year (21-23)'!O64</x:f>
        <x:v>7.4220093785135263E-2</x:v>
      </x:c>
      <x:c r="P54" s="61">
        <x:f>'SECGT10 Sales by Year (21-23)'!P54/'SECGT10 Sales by Year (21-23)'!P64</x:f>
        <x:v>6.9427565754597548E-2</x:v>
      </x:c>
    </x:row>
    <x:row r="55" spans="1:17" x14ac:dyDescent="0.3">
      <x:c r="A55" s="1">
        <x:f t="shared" si="0"/>
        <x:v>45</x:v>
      </x:c>
      <x:c r="B55" s="8"/>
      <x:c r="C55" s="4"/>
    </x:row>
    <x:row r="56" spans="1:17" x14ac:dyDescent="0.3">
      <x:c r="A56" s="1">
        <x:f t="shared" si="0"/>
        <x:v>46</x:v>
      </x:c>
      <x:c r="B56" s="8" t="s">
        <x:v>45</x:v>
      </x:c>
      <x:c r="C56" s="2">
        <x:f>+C51</x:f>
        <x:v>2021</x:v>
      </x:c>
      <x:c r="D56" s="3">
        <x:f>'SECGT10 Sales by Year (21-23)'!D56/'SECGT10 Sales by Year (21-23)'!D61</x:f>
        <x:v>2.4689554382113066E-2</x:v>
      </x:c>
      <x:c r="E56" s="3">
        <x:f>'SECGT10 Sales by Year (21-23)'!E56/'SECGT10 Sales by Year (21-23)'!E$61</x:f>
        <x:v>2.4666964071322166E-2</x:v>
      </x:c>
      <x:c r="F56" s="3">
        <x:f>'SECGT10 Sales by Year (21-23)'!F56/'SECGT10 Sales by Year (21-23)'!F$61</x:f>
        <x:v>2.5081111367251125E-2</x:v>
      </x:c>
      <x:c r="G56" s="3">
        <x:f>'SECGT10 Sales by Year (21-23)'!G56/'SECGT10 Sales by Year (21-23)'!G$61</x:f>
        <x:v>2.3717258773418421E-2</x:v>
      </x:c>
      <x:c r="H56" s="3">
        <x:f>'SECGT10 Sales by Year (21-23)'!H56/'SECGT10 Sales by Year (21-23)'!H$61</x:f>
        <x:v>2.4017300963067433E-2</x:v>
      </x:c>
      <x:c r="I56" s="3">
        <x:f>'SECGT10 Sales by Year (21-23)'!I56/'SECGT10 Sales by Year (21-23)'!I$61</x:f>
        <x:v>2.4273069663543562E-2</x:v>
      </x:c>
      <x:c r="J56" s="3">
        <x:f>'SECGT10 Sales by Year (21-23)'!J56/'SECGT10 Sales by Year (21-23)'!J$61</x:f>
        <x:v>2.4157174081723177E-2</x:v>
      </x:c>
      <x:c r="K56" s="3">
        <x:f>'SECGT10 Sales by Year (21-23)'!K56/'SECGT10 Sales by Year (21-23)'!K$61</x:f>
        <x:v>2.4473115663961303E-2</x:v>
      </x:c>
      <x:c r="L56" s="3">
        <x:f>'SECGT10 Sales by Year (21-23)'!L56/'SECGT10 Sales by Year (21-23)'!L$61</x:f>
        <x:v>2.4443000224940545E-2</x:v>
      </x:c>
      <x:c r="M56" s="3">
        <x:f>'SECGT10 Sales by Year (21-23)'!M56/'SECGT10 Sales by Year (21-23)'!M$61</x:f>
        <x:v>2.4583946384798171E-2</x:v>
      </x:c>
      <x:c r="N56" s="3">
        <x:f>'SECGT10 Sales by Year (21-23)'!N56/'SECGT10 Sales by Year (21-23)'!N$61</x:f>
        <x:v>2.3044935826306845E-2</x:v>
      </x:c>
      <x:c r="O56" s="3">
        <x:f>'SECGT10 Sales by Year (21-23)'!O56/'SECGT10 Sales by Year (21-23)'!O$61</x:f>
        <x:v>2.4969452905780006E-2</x:v>
      </x:c>
      <x:c r="P56" s="60">
        <x:f>'SECGT10 Sales by Year (21-23)'!P56/'SECGT10 Sales by Year (21-23)'!P$61</x:f>
        <x:v>2.4343603679745741E-2</x:v>
      </x:c>
    </x:row>
    <x:row r="57" spans="1:17" x14ac:dyDescent="0.3">
      <x:c r="A57" s="1">
        <x:f t="shared" si="0"/>
        <x:v>47</x:v>
      </x:c>
      <x:c r="B57" s="8" t="s">
        <x:v>45</x:v>
      </x:c>
      <x:c r="C57" s="2">
        <x:f>+C52</x:f>
        <x:v>2022</x:v>
      </x:c>
      <x:c r="D57" s="3">
        <x:f>'SECGT10 Sales by Year (21-23)'!D57/'SECGT10 Sales by Year (21-23)'!D62</x:f>
        <x:v>2.3595252460669753E-2</x:v>
      </x:c>
      <x:c r="E57" s="3">
        <x:f>'SECGT10 Sales by Year (21-23)'!E57/'SECGT10 Sales by Year (21-23)'!E$62</x:f>
        <x:v>2.4372706720661406E-2</x:v>
      </x:c>
      <x:c r="F57" s="3">
        <x:f>'SECGT10 Sales by Year (21-23)'!F57/'SECGT10 Sales by Year (21-23)'!F$62</x:f>
        <x:v>2.4124100466711644E-2</x:v>
      </x:c>
      <x:c r="G57" s="3">
        <x:f>'SECGT10 Sales by Year (21-23)'!G57/'SECGT10 Sales by Year (21-23)'!G$62</x:f>
        <x:v>2.3922890938532018E-2</x:v>
      </x:c>
      <x:c r="H57" s="3">
        <x:f>'SECGT10 Sales by Year (21-23)'!H57/'SECGT10 Sales by Year (21-23)'!H$62</x:f>
        <x:v>2.305212479060913E-2</x:v>
      </x:c>
      <x:c r="I57" s="3">
        <x:f>'SECGT10 Sales by Year (21-23)'!I57/'SECGT10 Sales by Year (21-23)'!I$62</x:f>
        <x:v>2.3201263528184433E-2</x:v>
      </x:c>
      <x:c r="J57" s="3">
        <x:f>'SECGT10 Sales by Year (21-23)'!J57/'SECGT10 Sales by Year (21-23)'!J$62</x:f>
        <x:v>2.3673196694651091E-2</x:v>
      </x:c>
      <x:c r="K57" s="3">
        <x:f>'SECGT10 Sales by Year (21-23)'!K57/'SECGT10 Sales by Year (21-23)'!K$62</x:f>
        <x:v>2.4002143151158034E-2</x:v>
      </x:c>
      <x:c r="L57" s="3">
        <x:f>'SECGT10 Sales by Year (21-23)'!L57/'SECGT10 Sales by Year (21-23)'!L$62</x:f>
        <x:v>2.4260883642112742E-2</x:v>
      </x:c>
      <x:c r="M57" s="3">
        <x:f>'SECGT10 Sales by Year (21-23)'!M57/'SECGT10 Sales by Year (21-23)'!M$62</x:f>
        <x:v>2.4129207895207908E-2</x:v>
      </x:c>
      <x:c r="N57" s="3">
        <x:f>'SECGT10 Sales by Year (21-23)'!N57/'SECGT10 Sales by Year (21-23)'!N$62</x:f>
        <x:v>2.3586956172352982E-2</x:v>
      </x:c>
      <x:c r="O57" s="3">
        <x:f>'SECGT10 Sales by Year (21-23)'!O57/'SECGT10 Sales by Year (21-23)'!O$62</x:f>
        <x:v>2.4098513475068313E-2</x:v>
      </x:c>
      <x:c r="P57" s="60">
        <x:f>'SECGT10 Sales by Year (21-23)'!P57/'SECGT10 Sales by Year (21-23)'!P$62</x:f>
        <x:v>2.3837459680405029E-2</x:v>
      </x:c>
    </x:row>
    <x:row r="58" spans="1:17" ht="14.4" thickBot="1" x14ac:dyDescent="0.35">
      <x:c r="A58" s="1">
        <x:f t="shared" si="0"/>
        <x:v>48</x:v>
      </x:c>
      <x:c r="B58" s="8" t="s">
        <x:v>45</x:v>
      </x:c>
      <x:c r="C58" s="2">
        <x:f>+C53</x:f>
        <x:v>2023</x:v>
      </x:c>
      <x:c r="D58" s="3">
        <x:f>'SECGT10 Sales by Year (21-23)'!D58/'SECGT10 Sales by Year (21-23)'!D63</x:f>
        <x:v>2.3713101333409422E-2</x:v>
      </x:c>
      <x:c r="E58" s="3">
        <x:f>'SECGT10 Sales by Year (21-23)'!E58/'SECGT10 Sales by Year (21-23)'!E63</x:f>
        <x:v>2.411850839809996E-2</x:v>
      </x:c>
      <x:c r="F58" s="3">
        <x:f>'SECGT10 Sales by Year (21-23)'!F58/'SECGT10 Sales by Year (21-23)'!F63</x:f>
        <x:v>2.4399550967354286E-2</x:v>
      </x:c>
      <x:c r="G58" s="3">
        <x:f>'SECGT10 Sales by Year (21-23)'!G58/'SECGT10 Sales by Year (21-23)'!G63</x:f>
        <x:v>2.3805700445419752E-2</x:v>
      </x:c>
      <x:c r="H58" s="3">
        <x:f>'SECGT10 Sales by Year (21-23)'!H58/'SECGT10 Sales by Year (21-23)'!H63</x:f>
        <x:v>2.3403761836860909E-2</x:v>
      </x:c>
      <x:c r="I58" s="3">
        <x:f>'SECGT10 Sales by Year (21-23)'!I58/'SECGT10 Sales by Year (21-23)'!I63</x:f>
        <x:v>2.3605986100698018E-2</x:v>
      </x:c>
      <x:c r="J58" s="3">
        <x:f>'SECGT10 Sales by Year (21-23)'!J58/'SECGT10 Sales by Year (21-23)'!J63</x:f>
        <x:v>2.3240148630032618E-2</x:v>
      </x:c>
      <x:c r="K58" s="3">
        <x:f>'SECGT10 Sales by Year (21-23)'!K58/'SECGT10 Sales by Year (21-23)'!K63</x:f>
        <x:v>2.338478274285773E-2</x:v>
      </x:c>
      <x:c r="L58" s="3">
        <x:f>'SECGT10 Sales by Year (21-23)'!L58/'SECGT10 Sales by Year (21-23)'!L63</x:f>
        <x:v>2.3883459283954109E-2</x:v>
      </x:c>
      <x:c r="M58" s="3">
        <x:f>'SECGT10 Sales by Year (21-23)'!M58/'SECGT10 Sales by Year (21-23)'!M63</x:f>
        <x:v>2.3459111718488638E-2</x:v>
      </x:c>
      <x:c r="N58" s="3">
        <x:f>'SECGT10 Sales by Year (21-23)'!N58/'SECGT10 Sales by Year (21-23)'!N63</x:f>
        <x:v>2.3489204650643351E-2</x:v>
      </x:c>
      <x:c r="O58" s="3">
        <x:f>'SECGT10 Sales by Year (21-23)'!O58/'SECGT10 Sales by Year (21-23)'!O63</x:f>
        <x:v>2.326043754502671E-2</x:v>
      </x:c>
      <x:c r="P58" s="60">
        <x:f>'SECGT10 Sales by Year (21-23)'!P58/'SECGT10 Sales by Year (21-23)'!P63</x:f>
        <x:v>2.3631407757593838E-2</x:v>
      </x:c>
    </x:row>
    <x:row r="59" spans="1:17" x14ac:dyDescent="0.3">
      <x:c r="A59" s="1">
        <x:f t="shared" si="0"/>
        <x:v>49</x:v>
      </x:c>
      <x:c r="B59" s="8" t="s">
        <x:v>45</x:v>
      </x:c>
      <x:c r="C59" s="57" t="s">
        <x:v>1</x:v>
      </x:c>
      <x:c r="D59" s="58">
        <x:f>'SECGT10 Sales by Year (21-23)'!D59/'SECGT10 Sales by Year (21-23)'!D64</x:f>
        <x:v>2.3990112611091984E-2</x:v>
      </x:c>
      <x:c r="E59" s="58">
        <x:f>'SECGT10 Sales by Year (21-23)'!E59/'SECGT10 Sales by Year (21-23)'!E64</x:f>
        <x:v>2.4379688513279162E-2</x:v>
      </x:c>
      <x:c r="F59" s="58">
        <x:f>'SECGT10 Sales by Year (21-23)'!F59/'SECGT10 Sales by Year (21-23)'!F64</x:f>
        <x:v>2.4528480970382183E-2</x:v>
      </x:c>
      <x:c r="G59" s="58">
        <x:f>'SECGT10 Sales by Year (21-23)'!G59/'SECGT10 Sales by Year (21-23)'!G64</x:f>
        <x:v>2.3816952567037742E-2</x:v>
      </x:c>
      <x:c r="H59" s="58">
        <x:f>'SECGT10 Sales by Year (21-23)'!H59/'SECGT10 Sales by Year (21-23)'!H64</x:f>
        <x:v>2.3478475863500565E-2</x:v>
      </x:c>
      <x:c r="I59" s="58">
        <x:f>'SECGT10 Sales by Year (21-23)'!I59/'SECGT10 Sales by Year (21-23)'!I64</x:f>
        <x:v>2.3671557861787346E-2</x:v>
      </x:c>
      <x:c r="J59" s="58">
        <x:f>'SECGT10 Sales by Year (21-23)'!J59/'SECGT10 Sales by Year (21-23)'!J64</x:f>
        <x:v>2.3682202360007357E-2</x:v>
      </x:c>
      <x:c r="K59" s="58">
        <x:f>'SECGT10 Sales by Year (21-23)'!K59/'SECGT10 Sales by Year (21-23)'!K64</x:f>
        <x:v>2.3936227171450494E-2</x:v>
      </x:c>
      <x:c r="L59" s="58">
        <x:f>'SECGT10 Sales by Year (21-23)'!L59/'SECGT10 Sales by Year (21-23)'!L64</x:f>
        <x:v>2.4185414681479105E-2</x:v>
      </x:c>
      <x:c r="M59" s="58">
        <x:f>'SECGT10 Sales by Year (21-23)'!M59/'SECGT10 Sales by Year (21-23)'!M64</x:f>
        <x:v>2.4036245043013542E-2</x:v>
      </x:c>
      <x:c r="N59" s="58">
        <x:f>'SECGT10 Sales by Year (21-23)'!N59/'SECGT10 Sales by Year (21-23)'!N64</x:f>
        <x:v>2.3374303162362078E-2</x:v>
      </x:c>
      <x:c r="O59" s="58">
        <x:f>'SECGT10 Sales by Year (21-23)'!O59/'SECGT10 Sales by Year (21-23)'!O64</x:f>
        <x:v>2.410301194986475E-2</x:v>
      </x:c>
      <x:c r="P59" s="61">
        <x:f>'SECGT10 Sales by Year (21-23)'!P59/'SECGT10 Sales by Year (21-23)'!P64</x:f>
        <x:v>2.3929384288723821E-2</x:v>
      </x:c>
    </x:row>
    <x:row r="60" spans="1:17" x14ac:dyDescent="0.3">
      <x:c r="A60" s="1">
        <x:f t="shared" si="0"/>
        <x:v>50</x:v>
      </x:c>
    </x:row>
    <x:row r="61" spans="1:17" x14ac:dyDescent="0.3">
      <x:c r="A61" s="1">
        <x:f t="shared" si="0"/>
        <x:v>51</x:v>
      </x:c>
      <x:c r="B61" s="1" t="s">
        <x:v>34</x:v>
      </x:c>
      <x:c r="C61" s="2">
        <x:f>+C56</x:f>
        <x:v>2021</x:v>
      </x:c>
      <x:c r="D61" s="11">
        <x:f t="shared" ref="D61:O61" si="1">SUM(D26,D31,D36,D41,D46,D51,D56,D21,D16,D11)</x:f>
        <x:v>1</x:v>
      </x:c>
      <x:c r="E61" s="11">
        <x:f t="shared" si="1"/>
        <x:v>1</x:v>
      </x:c>
      <x:c r="F61" s="11">
        <x:f t="shared" si="1"/>
        <x:v>1</x:v>
      </x:c>
      <x:c r="G61" s="11">
        <x:f t="shared" si="1"/>
        <x:v>1</x:v>
      </x:c>
      <x:c r="H61" s="11">
        <x:f t="shared" si="1"/>
        <x:v>1</x:v>
      </x:c>
      <x:c r="I61" s="11">
        <x:f t="shared" si="1"/>
        <x:v>0.99999999999999989</x:v>
      </x:c>
      <x:c r="J61" s="11">
        <x:f t="shared" si="1"/>
        <x:v>1</x:v>
      </x:c>
      <x:c r="K61" s="11">
        <x:f t="shared" si="1"/>
        <x:v>0.99999999999999989</x:v>
      </x:c>
      <x:c r="L61" s="11">
        <x:f t="shared" si="1"/>
        <x:v>1</x:v>
      </x:c>
      <x:c r="M61" s="11">
        <x:f t="shared" si="1"/>
        <x:v>1</x:v>
      </x:c>
      <x:c r="N61" s="11">
        <x:f t="shared" si="1"/>
        <x:v>1</x:v>
      </x:c>
      <x:c r="O61" s="11">
        <x:f t="shared" si="1"/>
        <x:v>1</x:v>
      </x:c>
      <x:c r="P61" s="11">
        <x:f>SUM(P26,P31,P36,P41,P46,P51,P56,P21,P16,P11)</x:f>
        <x:v>1</x:v>
      </x:c>
    </x:row>
    <x:row r="62" spans="1:17" x14ac:dyDescent="0.3">
      <x:c r="A62" s="1">
        <x:f t="shared" si="0"/>
        <x:v>52</x:v>
      </x:c>
      <x:c r="B62" s="1" t="s">
        <x:v>34</x:v>
      </x:c>
      <x:c r="C62" s="2">
        <x:f>+C57</x:f>
        <x:v>2022</x:v>
      </x:c>
      <x:c r="D62" s="11">
        <x:f t="shared" ref="D62:P62" si="2">SUM(D27,D32,D37,D42,D47,D52,D57,D22,D17,D12)</x:f>
        <x:v>1</x:v>
      </x:c>
      <x:c r="E62" s="11">
        <x:f t="shared" si="2"/>
        <x:v>1</x:v>
      </x:c>
      <x:c r="F62" s="11">
        <x:f t="shared" si="2"/>
        <x:v>1</x:v>
      </x:c>
      <x:c r="G62" s="11">
        <x:f t="shared" si="2"/>
        <x:v>0.99999999999999989</x:v>
      </x:c>
      <x:c r="H62" s="11">
        <x:f t="shared" si="2"/>
        <x:v>1</x:v>
      </x:c>
      <x:c r="I62" s="11">
        <x:f t="shared" si="2"/>
        <x:v>1</x:v>
      </x:c>
      <x:c r="J62" s="11">
        <x:f t="shared" si="2"/>
        <x:v>1</x:v>
      </x:c>
      <x:c r="K62" s="11">
        <x:f t="shared" si="2"/>
        <x:v>1</x:v>
      </x:c>
      <x:c r="L62" s="11">
        <x:f t="shared" si="2"/>
        <x:v>1</x:v>
      </x:c>
      <x:c r="M62" s="11">
        <x:f t="shared" si="2"/>
        <x:v>1</x:v>
      </x:c>
      <x:c r="N62" s="11">
        <x:f t="shared" si="2"/>
        <x:v>1</x:v>
      </x:c>
      <x:c r="O62" s="11">
        <x:f t="shared" si="2"/>
        <x:v>1</x:v>
      </x:c>
      <x:c r="P62" s="11">
        <x:f t="shared" si="2"/>
        <x:v>1</x:v>
      </x:c>
    </x:row>
    <x:row r="63" spans="1:17" ht="14.4" thickBot="1" x14ac:dyDescent="0.35">
      <x:c r="A63" s="1">
        <x:f t="shared" si="0"/>
        <x:v>53</x:v>
      </x:c>
      <x:c r="B63" s="1" t="s">
        <x:v>34</x:v>
      </x:c>
      <x:c r="C63" s="2">
        <x:f>+C58</x:f>
        <x:v>2023</x:v>
      </x:c>
      <x:c r="D63" s="11">
        <x:f t="shared" ref="D63:P64" si="3">SUM(D28,D33,D38,D43,D48,D53,D58,D23,D18,D13)</x:f>
        <x:v>1</x:v>
      </x:c>
      <x:c r="E63" s="11">
        <x:f t="shared" si="3"/>
        <x:v>1.0000000000000002</x:v>
      </x:c>
      <x:c r="F63" s="11">
        <x:f t="shared" si="3"/>
        <x:v>1</x:v>
      </x:c>
      <x:c r="G63" s="11">
        <x:f t="shared" si="3"/>
        <x:v>1</x:v>
      </x:c>
      <x:c r="H63" s="11">
        <x:f t="shared" si="3"/>
        <x:v>1</x:v>
      </x:c>
      <x:c r="I63" s="11">
        <x:f t="shared" si="3"/>
        <x:v>1</x:v>
      </x:c>
      <x:c r="J63" s="11">
        <x:f t="shared" si="3"/>
        <x:v>1</x:v>
      </x:c>
      <x:c r="K63" s="11">
        <x:f t="shared" si="3"/>
        <x:v>1</x:v>
      </x:c>
      <x:c r="L63" s="11">
        <x:f t="shared" si="3"/>
        <x:v>1</x:v>
      </x:c>
      <x:c r="M63" s="11">
        <x:f t="shared" si="3"/>
        <x:v>1</x:v>
      </x:c>
      <x:c r="N63" s="11">
        <x:f t="shared" si="3"/>
        <x:v>1</x:v>
      </x:c>
      <x:c r="O63" s="11">
        <x:f t="shared" si="3"/>
        <x:v>1</x:v>
      </x:c>
      <x:c r="P63" s="11">
        <x:f t="shared" si="3"/>
        <x:v>1</x:v>
      </x:c>
    </x:row>
    <x:row r="64" spans="1:17" x14ac:dyDescent="0.3">
      <x:c r="A64" s="1">
        <x:f t="shared" si="0"/>
        <x:v>54</x:v>
      </x:c>
      <x:c r="B64" s="1" t="s">
        <x:v>34</x:v>
      </x:c>
      <x:c r="C64" s="57" t="str">
        <x:f>+C59</x:f>
        <x:v xml:space="preserve">Total </x:v>
      </x:c>
      <x:c r="D64" s="63">
        <x:f t="shared" si="3"/>
        <x:v>1.0000000000000002</x:v>
      </x:c>
      <x:c r="E64" s="63">
        <x:f t="shared" si="3"/>
        <x:v>1</x:v>
      </x:c>
      <x:c r="F64" s="63">
        <x:f t="shared" si="3"/>
        <x:v>1</x:v>
      </x:c>
      <x:c r="G64" s="63">
        <x:f t="shared" si="3"/>
        <x:v>0.99999999999999989</x:v>
      </x:c>
      <x:c r="H64" s="63">
        <x:f t="shared" si="3"/>
        <x:v>1</x:v>
      </x:c>
      <x:c r="I64" s="63">
        <x:f t="shared" si="3"/>
        <x:v>0.99999999999999989</x:v>
      </x:c>
      <x:c r="J64" s="63">
        <x:f t="shared" si="3"/>
        <x:v>1</x:v>
      </x:c>
      <x:c r="K64" s="63">
        <x:f t="shared" si="3"/>
        <x:v>1</x:v>
      </x:c>
      <x:c r="L64" s="63">
        <x:f t="shared" si="3"/>
        <x:v>1</x:v>
      </x:c>
      <x:c r="M64" s="63">
        <x:f t="shared" si="3"/>
        <x:v>1</x:v>
      </x:c>
      <x:c r="N64" s="63">
        <x:f t="shared" si="3"/>
        <x:v>1</x:v>
      </x:c>
      <x:c r="O64" s="63">
        <x:f t="shared" si="3"/>
        <x:v>1</x:v>
      </x:c>
      <x:c r="P64" s="63">
        <x:f t="shared" si="3"/>
        <x:v>1.0000000000000002</x:v>
      </x:c>
    </x:row>
  </x:sheetData>
  <x:mergeCells count="7">
    <x:mergeCell ref="B8:P8"/>
    <x:mergeCell ref="B5:F5"/>
    <x:mergeCell ref="B6:P6"/>
    <x:mergeCell ref="B1:P1"/>
    <x:mergeCell ref="B2:P2"/>
    <x:mergeCell ref="B3:P3"/>
    <x:mergeCell ref="B4:P4"/>
  </x:mergeCells>
  <x:phoneticPr fontId="2" type="noConversion"/>
  <x:printOptions horizontalCentered="1"/>
  <x:pageMargins left="0.5" right="0.5" top="0.7" bottom="1" header="0.5" footer="0.43"/>
  <x:pageSetup scale="53" orientation="landscape" r:id="rId1"/>
  <x:headerFooter alignWithMargins="0">
    <x:oddHeader>&amp;RWP/II-H-5.2/3
Page &amp;P of &amp;N</x:oddHeader>
    <x:oddFooter>&amp;R]</x:oddFoot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pageSetUpPr fitToPage="1"/>
  </x:sheetPr>
  <x:dimension ref="A1:P64"/>
  <x:sheetViews>
    <x:sheetView view="pageBreakPreview" zoomScaleNormal="100" workbookViewId="0"/>
  </x:sheetViews>
  <x:sheetFormatPr defaultColWidth="9.109375" defaultRowHeight="13.8" x14ac:dyDescent="0.3"/>
  <x:cols>
    <x:col min="1" max="1" width="9.109375" style="1"/>
    <x:col min="2" max="2" width="18.44140625" style="1" customWidth="1"/>
    <x:col min="3" max="3" width="6.88671875" style="1" customWidth="1"/>
    <x:col min="4" max="15" width="8.6640625" style="1" customWidth="1"/>
    <x:col min="16" max="16" width="9.6640625" style="1" customWidth="1"/>
    <x:col min="17" max="16384" width="9.109375" style="1"/>
  </x:cols>
  <x:sheetData>
    <x:row r="1" spans="1:16" ht="15.6" x14ac:dyDescent="0.3">
      <x:c r="A1" s="14"/>
      <x:c r="B1" s="69" t="s">
        <x:v>10</x:v>
      </x:c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</x:row>
    <x:row r="2" spans="1:16" ht="15.6" x14ac:dyDescent="0.3">
      <x:c r="A2" s="14"/>
      <x:c r="B2" s="69" t="s">
        <x:v>11</x:v>
      </x:c>
      <x:c r="C2" s="69"/>
      <x:c r="D2" s="69"/>
      <x:c r="E2" s="69"/>
      <x:c r="F2" s="69"/>
      <x:c r="G2" s="70"/>
      <x:c r="H2" s="70"/>
      <x:c r="I2" s="70"/>
      <x:c r="J2" s="70"/>
      <x:c r="K2" s="70"/>
      <x:c r="L2" s="70"/>
      <x:c r="M2" s="70"/>
      <x:c r="N2" s="70"/>
      <x:c r="O2" s="70"/>
      <x:c r="P2" s="70"/>
    </x:row>
    <x:row r="3" spans="1:16" ht="15.6" x14ac:dyDescent="0.3">
      <x:c r="A3" s="14"/>
      <x:c r="B3" s="69" t="s">
        <x:v>39</x:v>
      </x:c>
      <x:c r="C3" s="69"/>
      <x:c r="D3" s="69"/>
      <x:c r="E3" s="69"/>
      <x:c r="F3" s="69"/>
      <x:c r="G3" s="70"/>
      <x:c r="H3" s="70"/>
      <x:c r="I3" s="70"/>
      <x:c r="J3" s="70"/>
      <x:c r="K3" s="70"/>
      <x:c r="L3" s="70"/>
      <x:c r="M3" s="70"/>
      <x:c r="N3" s="70"/>
      <x:c r="O3" s="70"/>
      <x:c r="P3" s="70"/>
    </x:row>
    <x:row r="4" spans="1:16" ht="15.6" x14ac:dyDescent="0.3">
      <x:c r="A4" s="14"/>
      <x:c r="B4" s="69" t="str">
        <x:f>+'SECGT10 Seasonal Weights'!B4:P4</x:f>
        <x:v>FOR THE TEST YEAR ENDING DECEMBER 31, 2024</x:v>
      </x:c>
      <x:c r="C4" s="69"/>
      <x:c r="D4" s="69"/>
      <x:c r="E4" s="69"/>
      <x:c r="F4" s="69"/>
      <x:c r="G4" s="70"/>
      <x:c r="H4" s="70"/>
      <x:c r="I4" s="70"/>
      <x:c r="J4" s="70"/>
      <x:c r="K4" s="70"/>
      <x:c r="L4" s="70"/>
      <x:c r="M4" s="70"/>
      <x:c r="N4" s="70"/>
      <x:c r="O4" s="70"/>
      <x:c r="P4" s="70"/>
    </x:row>
    <x:row r="5" spans="1:16" ht="15.6" x14ac:dyDescent="0.3">
      <x:c r="A5" s="14"/>
      <x:c r="B5" s="69"/>
      <x:c r="C5" s="69"/>
      <x:c r="D5" s="69"/>
      <x:c r="E5" s="69"/>
      <x:c r="F5" s="69"/>
      <x:c r="G5" s="17"/>
      <x:c r="H5" s="17"/>
      <x:c r="I5" s="18"/>
      <x:c r="J5" s="18"/>
      <x:c r="K5" s="18"/>
      <x:c r="L5" s="18"/>
      <x:c r="M5" s="18"/>
      <x:c r="N5" s="18"/>
      <x:c r="O5" s="18"/>
      <x:c r="P5" s="18"/>
    </x:row>
    <x:row r="6" spans="1:16" ht="15.6" x14ac:dyDescent="0.3">
      <x:c r="A6" s="14"/>
      <x:c r="B6" s="69" t="s">
        <x:v>38</x:v>
      </x:c>
      <x:c r="C6" s="69"/>
      <x:c r="D6" s="69"/>
      <x:c r="E6" s="69"/>
      <x:c r="F6" s="69"/>
      <x:c r="G6" s="70"/>
      <x:c r="H6" s="70"/>
      <x:c r="I6" s="70"/>
      <x:c r="J6" s="70"/>
      <x:c r="K6" s="70"/>
      <x:c r="L6" s="70"/>
      <x:c r="M6" s="70"/>
      <x:c r="N6" s="70"/>
      <x:c r="O6" s="70"/>
      <x:c r="P6" s="70"/>
    </x:row>
    <x:row r="7" spans="1:16" ht="15.6" x14ac:dyDescent="0.3">
      <x:c r="A7" s="14"/>
      <x:c r="B7" s="15"/>
      <x:c r="C7" s="15"/>
      <x:c r="D7" s="15"/>
      <x:c r="E7" s="15"/>
      <x:c r="F7" s="15"/>
      <x:c r="G7" s="16"/>
      <x:c r="H7" s="16"/>
      <x:c r="I7" s="18"/>
      <x:c r="J7" s="18"/>
      <x:c r="K7" s="18"/>
      <x:c r="L7" s="18"/>
      <x:c r="M7" s="18"/>
      <x:c r="N7" s="18"/>
      <x:c r="O7" s="18"/>
      <x:c r="P7" s="18"/>
    </x:row>
    <x:row r="8" spans="1:16" ht="15.6" x14ac:dyDescent="0.3">
      <x:c r="A8" s="14"/>
      <x:c r="B8" s="71" t="s">
        <x:v>47</x:v>
      </x:c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</x:row>
    <x:row r="9" spans="1:16" ht="14.4" x14ac:dyDescent="0.3">
      <x:c r="A9" s="14" t="s">
        <x:v>12</x:v>
      </x:c>
      <x:c r="B9" s="14" t="s">
        <x:v>13</x:v>
      </x:c>
      <x:c r="C9" s="19" t="s">
        <x:v>14</x:v>
      </x:c>
      <x:c r="D9" s="19" t="s">
        <x:v>15</x:v>
      </x:c>
      <x:c r="E9" s="19" t="s">
        <x:v>16</x:v>
      </x:c>
      <x:c r="F9" s="19" t="s">
        <x:v>17</x:v>
      </x:c>
      <x:c r="G9" s="19" t="s">
        <x:v>18</x:v>
      </x:c>
      <x:c r="H9" s="19" t="s">
        <x:v>19</x:v>
      </x:c>
      <x:c r="I9" s="19" t="s">
        <x:v>20</x:v>
      </x:c>
      <x:c r="J9" s="19" t="s">
        <x:v>21</x:v>
      </x:c>
      <x:c r="K9" s="19" t="s">
        <x:v>22</x:v>
      </x:c>
      <x:c r="L9" s="19" t="s">
        <x:v>23</x:v>
      </x:c>
      <x:c r="M9" s="19" t="s">
        <x:v>24</x:v>
      </x:c>
      <x:c r="N9" s="19" t="s">
        <x:v>25</x:v>
      </x:c>
      <x:c r="O9" s="19" t="s">
        <x:v>26</x:v>
      </x:c>
      <x:c r="P9" s="19" t="s">
        <x:v>41</x:v>
      </x:c>
    </x:row>
    <x:row r="10" spans="1:16" ht="15.75" customHeight="1" x14ac:dyDescent="0.3">
      <x:c r="A10" s="20" t="s">
        <x:v>27</x:v>
      </x:c>
      <x:c r="B10" s="21" t="s">
        <x:v>28</x:v>
      </x:c>
      <x:c r="C10" s="21" t="s">
        <x:v>33</x:v>
      </x:c>
      <x:c r="D10" s="22">
        <x:v>36892</x:v>
      </x:c>
      <x:c r="E10" s="23">
        <x:v>36923</x:v>
      </x:c>
      <x:c r="F10" s="23">
        <x:v>36951</x:v>
      </x:c>
      <x:c r="G10" s="23">
        <x:v>36982</x:v>
      </x:c>
      <x:c r="H10" s="23">
        <x:v>37012</x:v>
      </x:c>
      <x:c r="I10" s="23">
        <x:v>37043</x:v>
      </x:c>
      <x:c r="J10" s="23">
        <x:v>37073</x:v>
      </x:c>
      <x:c r="K10" s="23">
        <x:v>37104</x:v>
      </x:c>
      <x:c r="L10" s="23">
        <x:v>37135</x:v>
      </x:c>
      <x:c r="M10" s="23">
        <x:v>37165</x:v>
      </x:c>
      <x:c r="N10" s="23">
        <x:v>37196</x:v>
      </x:c>
      <x:c r="O10" s="23">
        <x:v>37226</x:v>
      </x:c>
      <x:c r="P10" s="24" t="s">
        <x:v>0</x:v>
      </x:c>
    </x:row>
    <x:row r="11" spans="1:16" ht="14.4" x14ac:dyDescent="0.3">
      <x:c r="A11" s="1">
        <x:v>1</x:v>
      </x:c>
      <x:c r="B11" s="17" t="s">
        <x:v>29</x:v>
      </x:c>
      <x:c r="C11" s="4">
        <x:v>2021</x:v>
      </x:c>
      <x:c r="D11" s="9">
        <x:v>2477886.6676700003</x:v>
      </x:c>
      <x:c r="E11" s="9">
        <x:v>2445718.0004299995</x:v>
      </x:c>
      <x:c r="F11" s="9">
        <x:v>2514887.1309900004</x:v>
      </x:c>
      <x:c r="G11" s="9">
        <x:v>2405411.4902599999</x:v>
      </x:c>
      <x:c r="H11" s="9">
        <x:v>2516767.9498199997</x:v>
      </x:c>
      <x:c r="I11" s="9">
        <x:v>2771149.8655300001</x:v>
      </x:c>
      <x:c r="J11" s="9">
        <x:v>3317602.3030100008</x:v>
      </x:c>
      <x:c r="K11" s="9">
        <x:v>3344596.6914399997</x:v>
      </x:c>
      <x:c r="L11" s="9">
        <x:v>3384327.3543299986</x:v>
      </x:c>
      <x:c r="M11" s="9">
        <x:v>2988087.4129400002</x:v>
      </x:c>
      <x:c r="N11" s="9">
        <x:v>2602111.6577899996</x:v>
      </x:c>
      <x:c r="O11" s="9">
        <x:v>2463991.2544500004</x:v>
      </x:c>
      <x:c r="P11" s="51">
        <x:f>SUM(D11:O11)</x:f>
        <x:v>33232537.778659999</x:v>
      </x:c>
    </x:row>
    <x:row r="12" spans="1:16" ht="14.4" x14ac:dyDescent="0.3">
      <x:c r="A12" s="1">
        <x:f>+A11+1</x:f>
        <x:v>2</x:v>
      </x:c>
      <x:c r="B12" s="17" t="s">
        <x:v>29</x:v>
      </x:c>
      <x:c r="C12" s="4">
        <x:v>2022</x:v>
      </x:c>
      <x:c r="D12" s="9">
        <x:v>2538462.5556999994</x:v>
      </x:c>
      <x:c r="E12" s="9">
        <x:v>2586692.6086399998</x:v>
      </x:c>
      <x:c r="F12" s="9">
        <x:v>2621604.2653100002</x:v>
      </x:c>
      <x:c r="G12" s="9">
        <x:v>2538655.3914499995</x:v>
      </x:c>
      <x:c r="H12" s="9">
        <x:v>2738759.5204099999</x:v>
      </x:c>
      <x:c r="I12" s="9">
        <x:v>3116360.2646300006</x:v>
      </x:c>
      <x:c r="J12" s="9">
        <x:v>3538360.4911200004</x:v>
      </x:c>
      <x:c r="K12" s="9">
        <x:v>3748532.4793100003</x:v>
      </x:c>
      <x:c r="L12" s="9">
        <x:v>3406977.84332</x:v>
      </x:c>
      <x:c r="M12" s="9">
        <x:v>3017908.4407299999</x:v>
      </x:c>
      <x:c r="N12" s="9">
        <x:v>2557180.2586299996</x:v>
      </x:c>
      <x:c r="O12" s="9">
        <x:v>2555445.1508299997</x:v>
      </x:c>
      <x:c r="P12" s="52">
        <x:f>SUM(D12:O12)</x:f>
        <x:v>34964939.27008</x:v>
      </x:c>
    </x:row>
    <x:row r="13" spans="1:16" ht="15" thickBot="1" x14ac:dyDescent="0.35">
      <x:c r="A13" s="1">
        <x:f t="shared" ref="A13:A64" si="0">+A12+1</x:f>
        <x:v>3</x:v>
      </x:c>
      <x:c r="B13" s="17" t="s">
        <x:v>29</x:v>
      </x:c>
      <x:c r="C13" s="4">
        <x:v>2023</x:v>
      </x:c>
      <x:c r="D13" s="9">
        <x:v>2623208.4729800001</x:v>
      </x:c>
      <x:c r="E13" s="9">
        <x:v>2598864.6943800002</x:v>
      </x:c>
      <x:c r="F13" s="9">
        <x:v>2522752.7224799995</x:v>
      </x:c>
      <x:c r="G13" s="9">
        <x:v>2509320.31231</x:v>
      </x:c>
      <x:c r="H13" s="9">
        <x:v>2577456.8329499997</x:v>
      </x:c>
      <x:c r="I13" s="9">
        <x:v>2960074.3200299996</x:v>
      </x:c>
      <x:c r="J13" s="9">
        <x:v>3454482.2039400009</x:v>
      </x:c>
      <x:c r="K13" s="9">
        <x:v>3662908.5996999997</x:v>
      </x:c>
      <x:c r="L13" s="9">
        <x:v>3700951.6412800001</x:v>
      </x:c>
      <x:c r="M13" s="9">
        <x:v>3271751.1072400003</x:v>
      </x:c>
      <x:c r="N13" s="9">
        <x:v>2675445.8790400005</x:v>
      </x:c>
      <x:c r="O13" s="9">
        <x:v>2524687.0872600004</x:v>
      </x:c>
      <x:c r="P13" s="52">
        <x:f>SUM(D13:O13)</x:f>
        <x:v>35081903.873589993</x:v>
      </x:c>
    </x:row>
    <x:row r="14" spans="1:16" ht="14.4" x14ac:dyDescent="0.3">
      <x:c r="A14" s="1">
        <x:f t="shared" si="0"/>
        <x:v>4</x:v>
      </x:c>
      <x:c r="B14" s="17" t="s">
        <x:v>29</x:v>
      </x:c>
      <x:c r="C14" s="49" t="s">
        <x:v>1</x:v>
      </x:c>
      <x:c r="D14" s="50">
        <x:f t="shared" ref="D14:O14" si="1">SUM(D11:D13)</x:f>
        <x:v>7639557.6963499999</x:v>
      </x:c>
      <x:c r="E14" s="50">
        <x:f t="shared" si="1"/>
        <x:v>7631275.3034499995</x:v>
      </x:c>
      <x:c r="F14" s="50">
        <x:f t="shared" si="1"/>
        <x:v>7659244.1187800001</x:v>
      </x:c>
      <x:c r="G14" s="50">
        <x:f t="shared" si="1"/>
        <x:v>7453387.1940199994</x:v>
      </x:c>
      <x:c r="H14" s="50">
        <x:f t="shared" si="1"/>
        <x:v>7832984.3031799998</x:v>
      </x:c>
      <x:c r="I14" s="50">
        <x:f t="shared" si="1"/>
        <x:v>8847584.4501900002</x:v>
      </x:c>
      <x:c r="J14" s="50">
        <x:f t="shared" si="1"/>
        <x:v>10310444.998070002</x:v>
      </x:c>
      <x:c r="K14" s="50">
        <x:f t="shared" si="1"/>
        <x:v>10756037.77045</x:v>
      </x:c>
      <x:c r="L14" s="50">
        <x:f t="shared" si="1"/>
        <x:v>10492256.83893</x:v>
      </x:c>
      <x:c r="M14" s="50">
        <x:f t="shared" si="1"/>
        <x:v>9277746.9609099999</x:v>
      </x:c>
      <x:c r="N14" s="50">
        <x:f t="shared" si="1"/>
        <x:v>7834737.7954600006</x:v>
      </x:c>
      <x:c r="O14" s="50">
        <x:f t="shared" si="1"/>
        <x:v>7544123.49254</x:v>
      </x:c>
      <x:c r="P14" s="53">
        <x:f>SUM(D14:O14)</x:f>
        <x:v>103279380.92233001</x:v>
      </x:c>
    </x:row>
    <x:row r="15" spans="1:16" x14ac:dyDescent="0.3">
      <x:c r="A15" s="1">
        <x:f t="shared" si="0"/>
        <x:v>5</x:v>
      </x:c>
      <x:c r="B15" s="8"/>
      <x:c r="C15" s="12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</x:row>
    <x:row r="16" spans="1:16" x14ac:dyDescent="0.3">
      <x:c r="A16" s="1">
        <x:f t="shared" si="0"/>
        <x:v>6</x:v>
      </x:c>
      <x:c r="B16" s="8" t="s">
        <x:v>5</x:v>
      </x:c>
      <x:c r="C16" s="4">
        <x:f>+C11</x:f>
        <x:v>2021</x:v>
      </x:c>
      <x:c r="D16" s="9">
        <x:v>81365.920420000009</x:v>
      </x:c>
      <x:c r="E16" s="9">
        <x:v>80144.157080000004</x:v>
      </x:c>
      <x:c r="F16" s="9">
        <x:v>81978.34044</x:v>
      </x:c>
      <x:c r="G16" s="9">
        <x:v>81896.983069999987</x:v>
      </x:c>
      <x:c r="H16" s="9">
        <x:v>87577.849320000008</x:v>
      </x:c>
      <x:c r="I16" s="9">
        <x:v>95608.579620000004</x:v>
      </x:c>
      <x:c r="J16" s="9">
        <x:v>112091.45954</x:v>
      </x:c>
      <x:c r="K16" s="9">
        <x:v>112074.13435000001</x:v>
      </x:c>
      <x:c r="L16" s="9">
        <x:v>114691.30153</x:v>
      </x:c>
      <x:c r="M16" s="9">
        <x:v>100697.33455</x:v>
      </x:c>
      <x:c r="N16" s="9">
        <x:v>87720.322510000013</x:v>
      </x:c>
      <x:c r="O16" s="9">
        <x:v>81894.284749999992</x:v>
      </x:c>
      <x:c r="P16" s="52">
        <x:f>SUM(D16:O16)</x:f>
        <x:v>1117740.6671800001</x:v>
      </x:c>
    </x:row>
    <x:row r="17" spans="1:16" x14ac:dyDescent="0.3">
      <x:c r="A17" s="1">
        <x:f t="shared" si="0"/>
        <x:v>7</x:v>
      </x:c>
      <x:c r="B17" s="8" t="s">
        <x:v>5</x:v>
      </x:c>
      <x:c r="C17" s="4">
        <x:f t="shared" ref="C17:C18" si="2">+C12</x:f>
        <x:v>2022</x:v>
      </x:c>
      <x:c r="D17" s="9">
        <x:v>81977.029120000007</x:v>
      </x:c>
      <x:c r="E17" s="9">
        <x:v>85851.02605</x:v>
      </x:c>
      <x:c r="F17" s="9">
        <x:v>86119.696899999981</x:v>
      </x:c>
      <x:c r="G17" s="9">
        <x:v>84348.389029999991</x:v>
      </x:c>
      <x:c r="H17" s="9">
        <x:v>93023.753559999997</x:v>
      </x:c>
      <x:c r="I17" s="9">
        <x:v>106867.93906</x:v>
      </x:c>
      <x:c r="J17" s="9">
        <x:v>119736.89277999998</x:v>
      </x:c>
      <x:c r="K17" s="9">
        <x:v>124935.68815999999</x:v>
      </x:c>
      <x:c r="L17" s="9">
        <x:v>114747.35702999998</x:v>
      </x:c>
      <x:c r="M17" s="9">
        <x:v>100327.83602</x:v>
      </x:c>
      <x:c r="N17" s="9">
        <x:v>84718.504020000008</x:v>
      </x:c>
      <x:c r="O17" s="9">
        <x:v>82815.496539999993</x:v>
      </x:c>
      <x:c r="P17" s="52">
        <x:f>SUM(D17:O17)</x:f>
        <x:v>1165469.60827</x:v>
      </x:c>
    </x:row>
    <x:row r="18" spans="1:16" ht="14.4" thickBot="1" x14ac:dyDescent="0.35">
      <x:c r="A18" s="1">
        <x:f t="shared" si="0"/>
        <x:v>8</x:v>
      </x:c>
      <x:c r="B18" s="8" t="s">
        <x:v>5</x:v>
      </x:c>
      <x:c r="C18" s="4">
        <x:f t="shared" si="2"/>
        <x:v>2023</x:v>
      </x:c>
      <x:c r="D18" s="9">
        <x:v>84376.070730000007</x:v>
      </x:c>
      <x:c r="E18" s="9">
        <x:v>82891.617929999993</x:v>
      </x:c>
      <x:c r="F18" s="9">
        <x:v>82454.249530000001</x:v>
      </x:c>
      <x:c r="G18" s="9">
        <x:v>82788.662689999997</x:v>
      </x:c>
      <x:c r="H18" s="9">
        <x:v>84553.860809999998</x:v>
      </x:c>
      <x:c r="I18" s="9">
        <x:v>98812.052609999984</x:v>
      </x:c>
      <x:c r="J18" s="9">
        <x:v>117598.78590000002</x:v>
      </x:c>
      <x:c r="K18" s="9">
        <x:v>123100.33823000001</x:v>
      </x:c>
      <x:c r="L18" s="9">
        <x:v>123300.39845000001</x:v>
      </x:c>
      <x:c r="M18" s="9">
        <x:v>106673.27267999999</x:v>
      </x:c>
      <x:c r="N18" s="9">
        <x:v>87372.034969999979</x:v>
      </x:c>
      <x:c r="O18" s="9">
        <x:v>81308.681389999998</x:v>
      </x:c>
      <x:c r="P18" s="52">
        <x:f>SUM(D18:O18)</x:f>
        <x:v>1155230.0259199999</x:v>
      </x:c>
    </x:row>
    <x:row r="19" spans="1:16" x14ac:dyDescent="0.3">
      <x:c r="A19" s="1">
        <x:f t="shared" si="0"/>
        <x:v>9</x:v>
      </x:c>
      <x:c r="B19" s="8" t="s">
        <x:v>5</x:v>
      </x:c>
      <x:c r="C19" s="49" t="s">
        <x:v>1</x:v>
      </x:c>
      <x:c r="D19" s="50">
        <x:f t="shared" ref="D19:O19" si="3">SUM(D16:D18)</x:f>
        <x:v>247719.02027000001</x:v>
      </x:c>
      <x:c r="E19" s="50">
        <x:f t="shared" si="3"/>
        <x:v>248886.80106000003</x:v>
      </x:c>
      <x:c r="F19" s="50">
        <x:f t="shared" si="3"/>
        <x:v>250552.28686999998</x:v>
      </x:c>
      <x:c r="G19" s="50">
        <x:f t="shared" si="3"/>
        <x:v>249034.03478999998</x:v>
      </x:c>
      <x:c r="H19" s="50">
        <x:f t="shared" si="3"/>
        <x:v>265155.46369</x:v>
      </x:c>
      <x:c r="I19" s="50">
        <x:f t="shared" si="3"/>
        <x:v>301288.57128999999</x:v>
      </x:c>
      <x:c r="J19" s="50">
        <x:f t="shared" si="3"/>
        <x:v>349427.13821999996</x:v>
      </x:c>
      <x:c r="K19" s="50">
        <x:f t="shared" si="3"/>
        <x:v>360110.16074000002</x:v>
      </x:c>
      <x:c r="L19" s="50">
        <x:f t="shared" si="3"/>
        <x:v>352739.05700999999</x:v>
      </x:c>
      <x:c r="M19" s="50">
        <x:f t="shared" si="3"/>
        <x:v>307698.44325000001</x:v>
      </x:c>
      <x:c r="N19" s="50">
        <x:f t="shared" si="3"/>
        <x:v>259810.8615</x:v>
      </x:c>
      <x:c r="O19" s="50">
        <x:f t="shared" si="3"/>
        <x:v>246018.46268</x:v>
      </x:c>
      <x:c r="P19" s="53">
        <x:f>SUM(D19:O19)</x:f>
        <x:v>3438440.3013700005</x:v>
      </x:c>
    </x:row>
    <x:row r="20" spans="1:16" x14ac:dyDescent="0.3">
      <x:c r="A20" s="1">
        <x:f t="shared" si="0"/>
        <x:v>10</x:v>
      </x:c>
      <x:c r="B20" s="8"/>
      <x:c r="C20" s="12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</x:row>
    <x:row r="21" spans="1:16" x14ac:dyDescent="0.3">
      <x:c r="A21" s="1">
        <x:f t="shared" si="0"/>
        <x:v>11</x:v>
      </x:c>
      <x:c r="B21" s="8" t="s">
        <x:v>6</x:v>
      </x:c>
      <x:c r="C21" s="4">
        <x:f>+C16</x:f>
        <x:v>2021</x:v>
      </x:c>
      <x:c r="D21" s="9">
        <x:v>92277.138229999997</x:v>
      </x:c>
      <x:c r="E21" s="9">
        <x:v>89238.45534</x:v>
      </x:c>
      <x:c r="F21" s="9">
        <x:v>93945.725749999998</x:v>
      </x:c>
      <x:c r="G21" s="9">
        <x:v>92623.106950000001</x:v>
      </x:c>
      <x:c r="H21" s="9">
        <x:v>100107.43195000001</x:v>
      </x:c>
      <x:c r="I21" s="9">
        <x:v>110469.31429000001</x:v>
      </x:c>
      <x:c r="J21" s="9">
        <x:v>127706.89566000001</x:v>
      </x:c>
      <x:c r="K21" s="9">
        <x:v>125880.18613</x:v>
      </x:c>
      <x:c r="L21" s="9">
        <x:v>134584.21290000001</x:v>
      </x:c>
      <x:c r="M21" s="9">
        <x:v>112159.67726999999</x:v>
      </x:c>
      <x:c r="N21" s="9">
        <x:v>102169.63527000001</x:v>
      </x:c>
      <x:c r="O21" s="9">
        <x:v>97143.531750000009</x:v>
      </x:c>
      <x:c r="P21" s="52">
        <x:f>SUM(D21:O21)</x:f>
        <x:v>1278305.3114900002</x:v>
      </x:c>
    </x:row>
    <x:row r="22" spans="1:16" x14ac:dyDescent="0.3">
      <x:c r="A22" s="1">
        <x:f t="shared" si="0"/>
        <x:v>12</x:v>
      </x:c>
      <x:c r="B22" s="8" t="s">
        <x:v>6</x:v>
      </x:c>
      <x:c r="C22" s="4">
        <x:f t="shared" ref="C22:C23" si="4">+C17</x:f>
        <x:v>2022</x:v>
      </x:c>
      <x:c r="D22" s="9">
        <x:v>98300.464320000014</x:v>
      </x:c>
      <x:c r="E22" s="9">
        <x:v>98943.499110000004</x:v>
      </x:c>
      <x:c r="F22" s="9">
        <x:v>99126.044560000009</x:v>
      </x:c>
      <x:c r="G22" s="9">
        <x:v>100537.00580000001</x:v>
      </x:c>
      <x:c r="H22" s="9">
        <x:v>112649.82739999998</x:v>
      </x:c>
      <x:c r="I22" s="9">
        <x:v>126813.96494000001</x:v>
      </x:c>
      <x:c r="J22" s="9">
        <x:v>137628.57311</x:v>
      </x:c>
      <x:c r="K22" s="9">
        <x:v>145027.83916</x:v>
      </x:c>
      <x:c r="L22" s="9">
        <x:v>135873.36567000003</x:v>
      </x:c>
      <x:c r="M22" s="9">
        <x:v>121217.26791000001</x:v>
      </x:c>
      <x:c r="N22" s="9">
        <x:v>103257.37614999998</x:v>
      </x:c>
      <x:c r="O22" s="9">
        <x:v>100677.94782999999</x:v>
      </x:c>
      <x:c r="P22" s="52">
        <x:f>SUM(D22:O22)</x:f>
        <x:v>1380053.1759599997</x:v>
      </x:c>
    </x:row>
    <x:row r="23" spans="1:16" ht="14.4" thickBot="1" x14ac:dyDescent="0.35">
      <x:c r="A23" s="1">
        <x:f t="shared" si="0"/>
        <x:v>13</x:v>
      </x:c>
      <x:c r="B23" s="8" t="s">
        <x:v>6</x:v>
      </x:c>
      <x:c r="C23" s="4">
        <x:f t="shared" si="4"/>
        <x:v>2023</x:v>
      </x:c>
      <x:c r="D23" s="9">
        <x:v>103105.06607</x:v>
      </x:c>
      <x:c r="E23" s="9">
        <x:v>100897.85673</x:v>
      </x:c>
      <x:c r="F23" s="9">
        <x:v>102790.77012</x:v>
      </x:c>
      <x:c r="G23" s="9">
        <x:v>102353.26609999998</x:v>
      </x:c>
      <x:c r="H23" s="9">
        <x:v>105732.34766999999</x:v>
      </x:c>
      <x:c r="I23" s="9">
        <x:v>122072.82212000003</x:v>
      </x:c>
      <x:c r="J23" s="9">
        <x:v>142700.62925</x:v>
      </x:c>
      <x:c r="K23" s="9">
        <x:v>147947.88222999999</x:v>
      </x:c>
      <x:c r="L23" s="9">
        <x:v>150470.59231000001</x:v>
      </x:c>
      <x:c r="M23" s="9">
        <x:v>136545.28711999999</x:v>
      </x:c>
      <x:c r="N23" s="9">
        <x:v>110309.93096</x:v>
      </x:c>
      <x:c r="O23" s="9">
        <x:v>100997.28333999999</x:v>
      </x:c>
      <x:c r="P23" s="52">
        <x:f>SUM(D23:O23)</x:f>
        <x:v>1425923.7340200001</x:v>
      </x:c>
    </x:row>
    <x:row r="24" spans="1:16" x14ac:dyDescent="0.3">
      <x:c r="A24" s="1">
        <x:f t="shared" si="0"/>
        <x:v>14</x:v>
      </x:c>
      <x:c r="B24" s="8" t="s">
        <x:v>6</x:v>
      </x:c>
      <x:c r="C24" s="49" t="s">
        <x:v>1</x:v>
      </x:c>
      <x:c r="D24" s="50">
        <x:f t="shared" ref="D24:O24" si="5">SUM(D21:D23)</x:f>
        <x:v>293682.66862000001</x:v>
      </x:c>
      <x:c r="E24" s="50">
        <x:f t="shared" si="5"/>
        <x:v>289079.81118000002</x:v>
      </x:c>
      <x:c r="F24" s="50">
        <x:f t="shared" si="5"/>
        <x:v>295862.54042999999</x:v>
      </x:c>
      <x:c r="G24" s="50">
        <x:f t="shared" si="5"/>
        <x:v>295513.37884999998</x:v>
      </x:c>
      <x:c r="H24" s="50">
        <x:f t="shared" si="5"/>
        <x:v>318489.60702</x:v>
      </x:c>
      <x:c r="I24" s="50">
        <x:f t="shared" si="5"/>
        <x:v>359356.10135000001</x:v>
      </x:c>
      <x:c r="J24" s="50">
        <x:f t="shared" si="5"/>
        <x:v>408036.09802000003</x:v>
      </x:c>
      <x:c r="K24" s="50">
        <x:f t="shared" si="5"/>
        <x:v>418855.90752000001</x:v>
      </x:c>
      <x:c r="L24" s="50">
        <x:f t="shared" si="5"/>
        <x:v>420928.17087999999</x:v>
      </x:c>
      <x:c r="M24" s="50">
        <x:f t="shared" si="5"/>
        <x:v>369922.23229999997</x:v>
      </x:c>
      <x:c r="N24" s="50">
        <x:f t="shared" si="5"/>
        <x:v>315736.94238000002</x:v>
      </x:c>
      <x:c r="O24" s="50">
        <x:f t="shared" si="5"/>
        <x:v>298818.76292000001</x:v>
      </x:c>
      <x:c r="P24" s="53">
        <x:f>SUM(D24:O24)</x:f>
        <x:v>4084282.2214699998</x:v>
      </x:c>
    </x:row>
    <x:row r="25" spans="1:16" x14ac:dyDescent="0.3">
      <x:c r="A25" s="1">
        <x:f t="shared" si="0"/>
        <x:v>15</x:v>
      </x:c>
      <x:c r="B25" s="8"/>
      <x:c r="C25" s="12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</x:row>
    <x:row r="26" spans="1:16" x14ac:dyDescent="0.3">
      <x:c r="A26" s="1">
        <x:f t="shared" si="0"/>
        <x:v>16</x:v>
      </x:c>
      <x:c r="B26" s="8" t="s">
        <x:v>7</x:v>
      </x:c>
      <x:c r="C26" s="4">
        <x:f>+C21</x:f>
        <x:v>2021</x:v>
      </x:c>
      <x:c r="D26" s="9">
        <x:v>90319.782120000018</x:v>
      </x:c>
      <x:c r="E26" s="9">
        <x:v>85727.743789999979</x:v>
      </x:c>
      <x:c r="F26" s="9">
        <x:v>93375.481939999998</x:v>
      </x:c>
      <x:c r="G26" s="9">
        <x:v>88744.914930000014</x:v>
      </x:c>
      <x:c r="H26" s="9">
        <x:v>95201.384740000009</x:v>
      </x:c>
      <x:c r="I26" s="9">
        <x:v>101863.41644</x:v>
      </x:c>
      <x:c r="J26" s="9">
        <x:v>117672.49020000001</x:v>
      </x:c>
      <x:c r="K26" s="9">
        <x:v>117923.58583</x:v>
      </x:c>
      <x:c r="L26" s="9">
        <x:v>125146.86138999999</x:v>
      </x:c>
      <x:c r="M26" s="9">
        <x:v>111789.72102999999</x:v>
      </x:c>
      <x:c r="N26" s="9">
        <x:v>96656.115010000009</x:v>
      </x:c>
      <x:c r="O26" s="9">
        <x:v>92045.013289999988</x:v>
      </x:c>
      <x:c r="P26" s="52">
        <x:f>SUM(D26:O26)</x:f>
        <x:v>1216466.5107100001</x:v>
      </x:c>
    </x:row>
    <x:row r="27" spans="1:16" x14ac:dyDescent="0.3">
      <x:c r="A27" s="1">
        <x:f t="shared" si="0"/>
        <x:v>17</x:v>
      </x:c>
      <x:c r="B27" s="8" t="s">
        <x:v>7</x:v>
      </x:c>
      <x:c r="C27" s="4">
        <x:f t="shared" ref="C27:C28" si="6">+C22</x:f>
        <x:v>2022</x:v>
      </x:c>
      <x:c r="D27" s="9">
        <x:v>89098.616509999993</x:v>
      </x:c>
      <x:c r="E27" s="9">
        <x:v>96754.95822</x:v>
      </x:c>
      <x:c r="F27" s="9">
        <x:v>95565.719550000009</x:v>
      </x:c>
      <x:c r="G27" s="9">
        <x:v>92485.829839999991</x:v>
      </x:c>
      <x:c r="H27" s="9">
        <x:v>103099.58197999999</x:v>
      </x:c>
      <x:c r="I27" s="9">
        <x:v>117692.68915999999</x:v>
      </x:c>
      <x:c r="J27" s="9">
        <x:v>131447.12438999998</x:v>
      </x:c>
      <x:c r="K27" s="9">
        <x:v>140550.16756999999</x:v>
      </x:c>
      <x:c r="L27" s="9">
        <x:v>128153.8852</x:v>
      </x:c>
      <x:c r="M27" s="9">
        <x:v>113655.73225</x:v>
      </x:c>
      <x:c r="N27" s="9">
        <x:v>96313.284920000006</x:v>
      </x:c>
      <x:c r="O27" s="9">
        <x:v>94403.113700000002</x:v>
      </x:c>
      <x:c r="P27" s="52">
        <x:f>SUM(D27:O27)</x:f>
        <x:v>1299220.7032900001</x:v>
      </x:c>
    </x:row>
    <x:row r="28" spans="1:16" ht="14.4" thickBot="1" x14ac:dyDescent="0.35">
      <x:c r="A28" s="1">
        <x:f t="shared" si="0"/>
        <x:v>18</x:v>
      </x:c>
      <x:c r="B28" s="8" t="s">
        <x:v>7</x:v>
      </x:c>
      <x:c r="C28" s="4">
        <x:f t="shared" si="6"/>
        <x:v>2023</x:v>
      </x:c>
      <x:c r="D28" s="9">
        <x:v>95073.630279999983</x:v>
      </x:c>
      <x:c r="E28" s="9">
        <x:v>94858.288209999984</x:v>
      </x:c>
      <x:c r="F28" s="9">
        <x:v>93784.957900000009</x:v>
      </x:c>
      <x:c r="G28" s="9">
        <x:v>92380.314939999997</x:v>
      </x:c>
      <x:c r="H28" s="9">
        <x:v>94449.667190000007</x:v>
      </x:c>
      <x:c r="I28" s="9">
        <x:v>110604.02095999999</x:v>
      </x:c>
      <x:c r="J28" s="9">
        <x:v>132969.68946999998</x:v>
      </x:c>
      <x:c r="K28" s="9">
        <x:v>140192.70043999999</x:v>
      </x:c>
      <x:c r="L28" s="9">
        <x:v>142211.42529000001</x:v>
      </x:c>
      <x:c r="M28" s="9">
        <x:v>125339.06803999998</x:v>
      </x:c>
      <x:c r="N28" s="9">
        <x:v>100772.10503000001</x:v>
      </x:c>
      <x:c r="O28" s="9">
        <x:v>92667.373940000005</x:v>
      </x:c>
      <x:c r="P28" s="52">
        <x:f>SUM(D28:O28)</x:f>
        <x:v>1315303.2416900001</x:v>
      </x:c>
    </x:row>
    <x:row r="29" spans="1:16" x14ac:dyDescent="0.3">
      <x:c r="A29" s="1">
        <x:f t="shared" si="0"/>
        <x:v>19</x:v>
      </x:c>
      <x:c r="B29" s="8" t="s">
        <x:v>7</x:v>
      </x:c>
      <x:c r="C29" s="49" t="s">
        <x:v>1</x:v>
      </x:c>
      <x:c r="D29" s="50">
        <x:f t="shared" ref="D29:O29" si="7">SUM(D26:D28)</x:f>
        <x:v>274492.02890999999</x:v>
      </x:c>
      <x:c r="E29" s="50">
        <x:f t="shared" si="7"/>
        <x:v>277340.99021999998</x:v>
      </x:c>
      <x:c r="F29" s="50">
        <x:f t="shared" si="7"/>
        <x:v>282726.15939000004</x:v>
      </x:c>
      <x:c r="G29" s="50">
        <x:f t="shared" si="7"/>
        <x:v>273611.05971</x:v>
      </x:c>
      <x:c r="H29" s="50">
        <x:f t="shared" si="7"/>
        <x:v>292750.63390999998</x:v>
      </x:c>
      <x:c r="I29" s="50">
        <x:f t="shared" si="7"/>
        <x:v>330160.12656</x:v>
      </x:c>
      <x:c r="J29" s="50">
        <x:f t="shared" si="7"/>
        <x:v>382089.30405999999</x:v>
      </x:c>
      <x:c r="K29" s="50">
        <x:f t="shared" si="7"/>
        <x:v>398666.45383999997</x:v>
      </x:c>
      <x:c r="L29" s="50">
        <x:f t="shared" si="7"/>
        <x:v>395512.17188000004</x:v>
      </x:c>
      <x:c r="M29" s="50">
        <x:f t="shared" si="7"/>
        <x:v>350784.52131999994</x:v>
      </x:c>
      <x:c r="N29" s="50">
        <x:f t="shared" si="7"/>
        <x:v>293741.50496000005</x:v>
      </x:c>
      <x:c r="O29" s="50">
        <x:f t="shared" si="7"/>
        <x:v>279115.50092999998</x:v>
      </x:c>
      <x:c r="P29" s="53">
        <x:f>SUM(D29:O29)</x:f>
        <x:v>3830990.4556900002</x:v>
      </x:c>
    </x:row>
    <x:row r="30" spans="1:16" ht="14.4" x14ac:dyDescent="0.3">
      <x:c r="A30" s="1">
        <x:f t="shared" si="0"/>
        <x:v>20</x:v>
      </x:c>
      <x:c r="B30" s="8"/>
      <x:c r="C30" s="13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</x:row>
    <x:row r="31" spans="1:16" x14ac:dyDescent="0.3">
      <x:c r="A31" s="1">
        <x:f t="shared" si="0"/>
        <x:v>21</x:v>
      </x:c>
      <x:c r="B31" s="8" t="s">
        <x:v>8</x:v>
      </x:c>
      <x:c r="C31" s="4">
        <x:f>+C26</x:f>
        <x:v>2021</x:v>
      </x:c>
      <x:c r="D31" s="9">
        <x:v>103141.01076999999</x:v>
      </x:c>
      <x:c r="E31" s="9">
        <x:v>101700.11534</x:v>
      </x:c>
      <x:c r="F31" s="9">
        <x:v>104707.46688000001</x:v>
      </x:c>
      <x:c r="G31" s="9">
        <x:v>101113.79352000001</x:v>
      </x:c>
      <x:c r="H31" s="9">
        <x:v>107331.07524000001</x:v>
      </x:c>
      <x:c r="I31" s="9">
        <x:v>118120.40796999999</x:v>
      </x:c>
      <x:c r="J31" s="9">
        <x:v>141324.34145000001</x:v>
      </x:c>
      <x:c r="K31" s="9">
        <x:v>140330.51009000003</x:v>
      </x:c>
      <x:c r="L31" s="9">
        <x:v>143507.67293</x:v>
      </x:c>
      <x:c r="M31" s="9">
        <x:v>126897.58186000001</x:v>
      </x:c>
      <x:c r="N31" s="9">
        <x:v>108634.57107000001</x:v>
      </x:c>
      <x:c r="O31" s="9">
        <x:v>103828.55086</x:v>
      </x:c>
      <x:c r="P31" s="52">
        <x:f>SUM(D31:O31)</x:f>
        <x:v>1400637.0979800001</x:v>
      </x:c>
    </x:row>
    <x:row r="32" spans="1:16" x14ac:dyDescent="0.3">
      <x:c r="A32" s="1">
        <x:f t="shared" si="0"/>
        <x:v>22</x:v>
      </x:c>
      <x:c r="B32" s="8" t="s">
        <x:v>8</x:v>
      </x:c>
      <x:c r="C32" s="4">
        <x:f t="shared" ref="C32:C33" si="8">+C27</x:f>
        <x:v>2022</x:v>
      </x:c>
      <x:c r="D32" s="9">
        <x:v>103853.14581</x:v>
      </x:c>
      <x:c r="E32" s="9">
        <x:v>106600.61252000001</x:v>
      </x:c>
      <x:c r="F32" s="9">
        <x:v>108842.26895000001</x:v>
      </x:c>
      <x:c r="G32" s="9">
        <x:v>104592.23891999999</x:v>
      </x:c>
      <x:c r="H32" s="9">
        <x:v>113448.0255</x:v>
      </x:c>
      <x:c r="I32" s="9">
        <x:v>132738.98514999999</x:v>
      </x:c>
      <x:c r="J32" s="9">
        <x:v>150980.61881999997</x:v>
      </x:c>
      <x:c r="K32" s="9">
        <x:v>157316.36041000002</x:v>
      </x:c>
      <x:c r="L32" s="9">
        <x:v>142998.24625999999</x:v>
      </x:c>
      <x:c r="M32" s="9">
        <x:v>126598.11883000001</x:v>
      </x:c>
      <x:c r="N32" s="9">
        <x:v>105686.89446</x:v>
      </x:c>
      <x:c r="O32" s="9">
        <x:v>105038.33292000002</x:v>
      </x:c>
      <x:c r="P32" s="52">
        <x:f>SUM(D32:O32)</x:f>
        <x:v>1458693.84855</x:v>
      </x:c>
    </x:row>
    <x:row r="33" spans="1:16" ht="14.4" thickBot="1" x14ac:dyDescent="0.35">
      <x:c r="A33" s="1">
        <x:f t="shared" si="0"/>
        <x:v>23</x:v>
      </x:c>
      <x:c r="B33" s="8" t="s">
        <x:v>8</x:v>
      </x:c>
      <x:c r="C33" s="4">
        <x:f t="shared" si="8"/>
        <x:v>2023</x:v>
      </x:c>
      <x:c r="D33" s="9">
        <x:v>109127.08593999999</x:v>
      </x:c>
      <x:c r="E33" s="9">
        <x:v>105816.17958000001</x:v>
      </x:c>
      <x:c r="F33" s="9">
        <x:v>106249.34628000001</x:v>
      </x:c>
      <x:c r="G33" s="9">
        <x:v>102811.43669999998</x:v>
      </x:c>
      <x:c r="H33" s="9">
        <x:v>107006.19962</x:v>
      </x:c>
      <x:c r="I33" s="9">
        <x:v>124459.54128999999</x:v>
      </x:c>
      <x:c r="J33" s="9">
        <x:v>146361.99114</x:v>
      </x:c>
      <x:c r="K33" s="9">
        <x:v>156777.8989</x:v>
      </x:c>
      <x:c r="L33" s="9">
        <x:v>158840.41733000003</x:v>
      </x:c>
      <x:c r="M33" s="9">
        <x:v>136383.85068</x:v>
      </x:c>
      <x:c r="N33" s="9">
        <x:v>110072.84808999998</x:v>
      </x:c>
      <x:c r="O33" s="9">
        <x:v>104770.03938999999</x:v>
      </x:c>
      <x:c r="P33" s="52">
        <x:f>SUM(D33:O33)</x:f>
        <x:v>1468676.83494</x:v>
      </x:c>
    </x:row>
    <x:row r="34" spans="1:16" x14ac:dyDescent="0.3">
      <x:c r="A34" s="1">
        <x:f t="shared" si="0"/>
        <x:v>24</x:v>
      </x:c>
      <x:c r="B34" s="8" t="s">
        <x:v>8</x:v>
      </x:c>
      <x:c r="C34" s="49" t="s">
        <x:v>1</x:v>
      </x:c>
      <x:c r="D34" s="50">
        <x:f t="shared" ref="D34:O34" si="9">SUM(D31:D33)</x:f>
        <x:v>316121.24251999997</x:v>
      </x:c>
      <x:c r="E34" s="50">
        <x:f t="shared" si="9"/>
        <x:v>314116.90744000004</x:v>
      </x:c>
      <x:c r="F34" s="50">
        <x:f t="shared" si="9"/>
        <x:v>319799.08211000002</x:v>
      </x:c>
      <x:c r="G34" s="50">
        <x:f t="shared" si="9"/>
        <x:v>308517.46913999994</x:v>
      </x:c>
      <x:c r="H34" s="50">
        <x:f t="shared" si="9"/>
        <x:v>327785.30035999999</x:v>
      </x:c>
      <x:c r="I34" s="50">
        <x:f t="shared" si="9"/>
        <x:v>375318.93440999999</x:v>
      </x:c>
      <x:c r="J34" s="50">
        <x:f t="shared" si="9"/>
        <x:v>438666.95140999998</x:v>
      </x:c>
      <x:c r="K34" s="50">
        <x:f t="shared" si="9"/>
        <x:v>454424.76940000011</x:v>
      </x:c>
      <x:c r="L34" s="50">
        <x:f t="shared" si="9"/>
        <x:v>445346.33652000001</x:v>
      </x:c>
      <x:c r="M34" s="50">
        <x:f t="shared" si="9"/>
        <x:v>389879.55137</x:v>
      </x:c>
      <x:c r="N34" s="50">
        <x:f t="shared" si="9"/>
        <x:v>324394.31361999997</x:v>
      </x:c>
      <x:c r="O34" s="50">
        <x:f t="shared" si="9"/>
        <x:v>313636.92317000002</x:v>
      </x:c>
      <x:c r="P34" s="53">
        <x:f>SUM(D34:O34)</x:f>
        <x:v>4328007.7814699998</x:v>
      </x:c>
    </x:row>
    <x:row r="35" spans="1:16" x14ac:dyDescent="0.3">
      <x:c r="A35" s="1">
        <x:f t="shared" si="0"/>
        <x:v>25</x:v>
      </x:c>
      <x:c r="B35" s="8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</x:row>
    <x:row r="36" spans="1:16" x14ac:dyDescent="0.3">
      <x:c r="A36" s="1">
        <x:f t="shared" si="0"/>
        <x:v>26</x:v>
      </x:c>
      <x:c r="B36" s="8" t="s">
        <x:v>3</x:v>
      </x:c>
      <x:c r="C36" s="4">
        <x:f>+C31</x:f>
        <x:v>2021</x:v>
      </x:c>
      <x:c r="D36" s="9">
        <x:v>106709.74256</x:v>
      </x:c>
      <x:c r="E36" s="9">
        <x:v>103101.31543999999</x:v>
      </x:c>
      <x:c r="F36" s="9">
        <x:v>110815.29585999998</x:v>
      </x:c>
      <x:c r="G36" s="9">
        <x:v>106896.12997000001</x:v>
      </x:c>
      <x:c r="H36" s="9">
        <x:v>114165.40089</x:v>
      </x:c>
      <x:c r="I36" s="9">
        <x:v>124623.76420999996</x:v>
      </x:c>
      <x:c r="J36" s="9">
        <x:v>149167.47435</x:v>
      </x:c>
      <x:c r="K36" s="9">
        <x:v>147435.58659000002</x:v>
      </x:c>
      <x:c r="L36" s="9">
        <x:v>153638.32472999999</x:v>
      </x:c>
      <x:c r="M36" s="9">
        <x:v>136399.91068999999</x:v>
      </x:c>
      <x:c r="N36" s="9">
        <x:v>117355.69148999998</x:v>
      </x:c>
      <x:c r="O36" s="9">
        <x:v>108440.54839</x:v>
      </x:c>
      <x:c r="P36" s="52">
        <x:f>SUM(D36:O36)</x:f>
        <x:v>1478749.1851699997</x:v>
      </x:c>
    </x:row>
    <x:row r="37" spans="1:16" x14ac:dyDescent="0.3">
      <x:c r="A37" s="1">
        <x:f t="shared" si="0"/>
        <x:v>27</x:v>
      </x:c>
      <x:c r="B37" s="8" t="s">
        <x:v>3</x:v>
      </x:c>
      <x:c r="C37" s="4">
        <x:f t="shared" ref="C37:C38" si="10">+C32</x:f>
        <x:v>2022</x:v>
      </x:c>
      <x:c r="D37" s="9">
        <x:v>106129.05660000001</x:v>
      </x:c>
      <x:c r="E37" s="9">
        <x:v>112503.89159000001</x:v>
      </x:c>
      <x:c r="F37" s="9">
        <x:v>114189.69605999999</x:v>
      </x:c>
      <x:c r="G37" s="9">
        <x:v>110394.46507999998</x:v>
      </x:c>
      <x:c r="H37" s="9">
        <x:v>122677.08073999999</x:v>
      </x:c>
      <x:c r="I37" s="9">
        <x:v>142882.48032999999</x:v>
      </x:c>
      <x:c r="J37" s="9">
        <x:v>163263.54594000001</x:v>
      </x:c>
      <x:c r="K37" s="9">
        <x:v>171523.10303999999</x:v>
      </x:c>
      <x:c r="L37" s="9">
        <x:v>158126.50734000001</x:v>
      </x:c>
      <x:c r="M37" s="9">
        <x:v>142345.88834999999</x:v>
      </x:c>
      <x:c r="N37" s="9">
        <x:v>120036.26043999998</x:v>
      </x:c>
      <x:c r="O37" s="9">
        <x:v>113554.10396000001</x:v>
      </x:c>
      <x:c r="P37" s="52">
        <x:f>SUM(D37:O37)</x:f>
        <x:v>1577626.0794699998</x:v>
      </x:c>
    </x:row>
    <x:row r="38" spans="1:16" ht="14.4" thickBot="1" x14ac:dyDescent="0.35">
      <x:c r="A38" s="1">
        <x:f t="shared" si="0"/>
        <x:v>28</x:v>
      </x:c>
      <x:c r="B38" s="8" t="s">
        <x:v>3</x:v>
      </x:c>
      <x:c r="C38" s="4">
        <x:f t="shared" si="10"/>
        <x:v>2023</x:v>
      </x:c>
      <x:c r="D38" s="9">
        <x:v>117764.42047</x:v>
      </x:c>
      <x:c r="E38" s="9">
        <x:v>114123.38217</x:v>
      </x:c>
      <x:c r="F38" s="9">
        <x:v>114451.71273999999</x:v>
      </x:c>
      <x:c r="G38" s="9">
        <x:v>112267.49109000001</x:v>
      </x:c>
      <x:c r="H38" s="9">
        <x:v>116168.63088</x:v>
      </x:c>
      <x:c r="I38" s="9">
        <x:v>134858.27425000005</x:v>
      </x:c>
      <x:c r="J38" s="9">
        <x:v>159954.11482000002</x:v>
      </x:c>
      <x:c r="K38" s="9">
        <x:v>170280.7561</x:v>
      </x:c>
      <x:c r="L38" s="9">
        <x:v>172525.38424000001</x:v>
      </x:c>
      <x:c r="M38" s="9">
        <x:v>153954.87813999999</x:v>
      </x:c>
      <x:c r="N38" s="9">
        <x:v>123575.62986</x:v>
      </x:c>
      <x:c r="O38" s="9">
        <x:v>110090.76798</x:v>
      </x:c>
      <x:c r="P38" s="52">
        <x:f>SUM(D38:O38)</x:f>
        <x:v>1600015.4427399999</x:v>
      </x:c>
    </x:row>
    <x:row r="39" spans="1:16" x14ac:dyDescent="0.3">
      <x:c r="A39" s="1">
        <x:f t="shared" si="0"/>
        <x:v>29</x:v>
      </x:c>
      <x:c r="B39" s="8" t="s">
        <x:v>3</x:v>
      </x:c>
      <x:c r="C39" s="49" t="s">
        <x:v>1</x:v>
      </x:c>
      <x:c r="D39" s="50">
        <x:f t="shared" ref="D39:O39" si="11">SUM(D36:D38)</x:f>
        <x:v>330603.21963000001</x:v>
      </x:c>
      <x:c r="E39" s="50">
        <x:f t="shared" si="11"/>
        <x:v>329728.58919999999</x:v>
      </x:c>
      <x:c r="F39" s="50">
        <x:f t="shared" si="11"/>
        <x:v>339456.70465999993</x:v>
      </x:c>
      <x:c r="G39" s="50">
        <x:f t="shared" si="11"/>
        <x:v>329558.08614000003</x:v>
      </x:c>
      <x:c r="H39" s="50">
        <x:f t="shared" si="11"/>
        <x:v>353011.11251000001</x:v>
      </x:c>
      <x:c r="I39" s="50">
        <x:f t="shared" si="11"/>
        <x:v>402364.51879</x:v>
      </x:c>
      <x:c r="J39" s="50">
        <x:f t="shared" si="11"/>
        <x:v>472385.13511000003</x:v>
      </x:c>
      <x:c r="K39" s="50">
        <x:f t="shared" si="11"/>
        <x:v>489239.44573000004</x:v>
      </x:c>
      <x:c r="L39" s="50">
        <x:f t="shared" si="11"/>
        <x:v>484290.21631000005</x:v>
      </x:c>
      <x:c r="M39" s="50">
        <x:f t="shared" si="11"/>
        <x:v>432700.67717999994</x:v>
      </x:c>
      <x:c r="N39" s="50">
        <x:f t="shared" si="11"/>
        <x:v>360967.58178999997</x:v>
      </x:c>
      <x:c r="O39" s="50">
        <x:f t="shared" si="11"/>
        <x:v>332085.42032999999</x:v>
      </x:c>
      <x:c r="P39" s="53">
        <x:f>SUM(D39:O39)</x:f>
        <x:v>4656390.7073800005</x:v>
      </x:c>
    </x:row>
    <x:row r="40" spans="1:16" x14ac:dyDescent="0.3">
      <x:c r="A40" s="1">
        <x:f t="shared" si="0"/>
        <x:v>30</x:v>
      </x:c>
      <x:c r="B40" s="8"/>
      <x:c r="C40" s="12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</x:row>
    <x:row r="41" spans="1:16" x14ac:dyDescent="0.3">
      <x:c r="A41" s="1">
        <x:f t="shared" si="0"/>
        <x:v>31</x:v>
      </x:c>
      <x:c r="B41" s="8" t="s">
        <x:v>9</x:v>
      </x:c>
      <x:c r="C41" s="4">
        <x:f>+C36</x:f>
        <x:v>2021</x:v>
      </x:c>
      <x:c r="D41" s="9">
        <x:v>38492.168449999997</x:v>
      </x:c>
      <x:c r="E41" s="9">
        <x:v>37484.512899999994</x:v>
      </x:c>
      <x:c r="F41" s="9">
        <x:v>38569.819100000008</x:v>
      </x:c>
      <x:c r="G41" s="9">
        <x:v>35677.126530000001</x:v>
      </x:c>
      <x:c r="H41" s="9">
        <x:v>35754.752860000001</x:v>
      </x:c>
      <x:c r="I41" s="9">
        <x:v>-6562.2827999999954</x:v>
      </x:c>
      <x:c r="J41" s="9">
        <x:v>46758.79492</x:v>
      </x:c>
      <x:c r="K41" s="9">
        <x:v>48004.783660000001</x:v>
      </x:c>
      <x:c r="L41" s="9">
        <x:v>50467.254209999992</x:v>
      </x:c>
      <x:c r="M41" s="9">
        <x:v>41026.743930000004</x:v>
      </x:c>
      <x:c r="N41" s="9">
        <x:v>35789.18404</x:v>
      </x:c>
      <x:c r="O41" s="9">
        <x:v>36035.34852</x:v>
      </x:c>
      <x:c r="P41" s="52">
        <x:f>SUM(D41:O41)</x:f>
        <x:v>437498.20632000006</x:v>
      </x:c>
    </x:row>
    <x:row r="42" spans="1:16" x14ac:dyDescent="0.3">
      <x:c r="A42" s="1">
        <x:f t="shared" si="0"/>
        <x:v>32</x:v>
      </x:c>
      <x:c r="B42" s="8" t="s">
        <x:v>9</x:v>
      </x:c>
      <x:c r="C42" s="4">
        <x:f t="shared" ref="C42:C43" si="12">+C37</x:f>
        <x:v>2022</x:v>
      </x:c>
      <x:c r="D42" s="9">
        <x:v>37319.280079999997</x:v>
      </x:c>
      <x:c r="E42" s="9">
        <x:v>40076.126920000002</x:v>
      </x:c>
      <x:c r="F42" s="9">
        <x:v>37946.494620000005</x:v>
      </x:c>
      <x:c r="G42" s="9">
        <x:v>36694.059380000006</x:v>
      </x:c>
      <x:c r="H42" s="9">
        <x:v>41008.491179999997</x:v>
      </x:c>
      <x:c r="I42" s="9">
        <x:v>47825.351329999998</x:v>
      </x:c>
      <x:c r="J42" s="9">
        <x:v>54398.103030000006</x:v>
      </x:c>
      <x:c r="K42" s="9">
        <x:v>55863.684730000015</x:v>
      </x:c>
      <x:c r="L42" s="9">
        <x:v>47760.328180000004</x:v>
      </x:c>
      <x:c r="M42" s="9">
        <x:v>42279.000550000012</x:v>
      </x:c>
      <x:c r="N42" s="9">
        <x:v>33936.466000000008</x:v>
      </x:c>
      <x:c r="O42" s="9">
        <x:v>35567.945000000014</x:v>
      </x:c>
      <x:c r="P42" s="52">
        <x:f>SUM(D42:O42)</x:f>
        <x:v>510675.33100000012</x:v>
      </x:c>
    </x:row>
    <x:row r="43" spans="1:16" ht="14.4" thickBot="1" x14ac:dyDescent="0.35">
      <x:c r="A43" s="1">
        <x:f t="shared" si="0"/>
        <x:v>33</x:v>
      </x:c>
      <x:c r="B43" s="8" t="s">
        <x:v>9</x:v>
      </x:c>
      <x:c r="C43" s="4">
        <x:f t="shared" si="12"/>
        <x:v>2023</x:v>
      </x:c>
      <x:c r="D43" s="9">
        <x:v>36882.540610000004</x:v>
      </x:c>
      <x:c r="E43" s="9">
        <x:v>37840.252679999998</x:v>
      </x:c>
      <x:c r="F43" s="9">
        <x:v>36570.675539999997</x:v>
      </x:c>
      <x:c r="G43" s="9">
        <x:v>36528.466910000003</x:v>
      </x:c>
      <x:c r="H43" s="9">
        <x:v>36851.410309999999</x:v>
      </x:c>
      <x:c r="I43" s="9">
        <x:v>40281.857809999994</x:v>
      </x:c>
      <x:c r="J43" s="9">
        <x:v>51794.170120000002</x:v>
      </x:c>
      <x:c r="K43" s="9">
        <x:v>56078.826220000003</x:v>
      </x:c>
      <x:c r="L43" s="9">
        <x:v>55860.873110000015</x:v>
      </x:c>
      <x:c r="M43" s="9">
        <x:v>44323.931499999999</x:v>
      </x:c>
      <x:c r="N43" s="9">
        <x:v>35737.55328</x:v>
      </x:c>
      <x:c r="O43" s="9">
        <x:v>34839.93557999999</x:v>
      </x:c>
      <x:c r="P43" s="52">
        <x:f>SUM(D43:O43)</x:f>
        <x:v>503590.49367</x:v>
      </x:c>
    </x:row>
    <x:row r="44" spans="1:16" x14ac:dyDescent="0.3">
      <x:c r="A44" s="1">
        <x:f t="shared" si="0"/>
        <x:v>34</x:v>
      </x:c>
      <x:c r="B44" s="8" t="s">
        <x:v>9</x:v>
      </x:c>
      <x:c r="C44" s="49" t="s">
        <x:v>1</x:v>
      </x:c>
      <x:c r="D44" s="50">
        <x:f t="shared" ref="D44:O44" si="13">SUM(D41:D43)</x:f>
        <x:v>112693.98913999999</x:v>
      </x:c>
      <x:c r="E44" s="50">
        <x:f t="shared" si="13"/>
        <x:v>115400.89249999999</x:v>
      </x:c>
      <x:c r="F44" s="50">
        <x:f t="shared" si="13"/>
        <x:v>113086.98926</x:v>
      </x:c>
      <x:c r="G44" s="50">
        <x:f t="shared" si="13"/>
        <x:v>108899.65282</x:v>
      </x:c>
      <x:c r="H44" s="50">
        <x:f t="shared" si="13"/>
        <x:v>113614.65435</x:v>
      </x:c>
      <x:c r="I44" s="50">
        <x:f t="shared" si="13"/>
        <x:v>81544.926340000005</x:v>
      </x:c>
      <x:c r="J44" s="50">
        <x:f t="shared" si="13"/>
        <x:v>152951.06807000001</x:v>
      </x:c>
      <x:c r="K44" s="50">
        <x:f t="shared" si="13"/>
        <x:v>159947.29461000004</x:v>
      </x:c>
      <x:c r="L44" s="50">
        <x:f t="shared" si="13"/>
        <x:v>154088.45550000001</x:v>
      </x:c>
      <x:c r="M44" s="50">
        <x:f t="shared" si="13"/>
        <x:v>127629.67598000003</x:v>
      </x:c>
      <x:c r="N44" s="50">
        <x:f t="shared" si="13"/>
        <x:v>105463.20332</x:v>
      </x:c>
      <x:c r="O44" s="50">
        <x:f t="shared" si="13"/>
        <x:v>106443.2291</x:v>
      </x:c>
      <x:c r="P44" s="53">
        <x:f>SUM(D44:O44)</x:f>
        <x:v>1451764.0309900003</x:v>
      </x:c>
    </x:row>
    <x:row r="45" spans="1:16" x14ac:dyDescent="0.3">
      <x:c r="A45" s="1">
        <x:f t="shared" si="0"/>
        <x:v>35</x:v>
      </x:c>
      <x:c r="B45" s="8"/>
      <x:c r="C45" s="12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</x:row>
    <x:row r="46" spans="1:16" x14ac:dyDescent="0.3">
      <x:c r="A46" s="1">
        <x:f t="shared" si="0"/>
        <x:v>36</x:v>
      </x:c>
      <x:c r="B46" s="8" t="s">
        <x:v>4</x:v>
      </x:c>
      <x:c r="C46" s="4">
        <x:f>+C41</x:f>
        <x:v>2021</x:v>
      </x:c>
      <x:c r="D46" s="9">
        <x:v>47362.761930000001</x:v>
      </x:c>
      <x:c r="E46" s="9">
        <x:v>46421.804909999992</x:v>
      </x:c>
      <x:c r="F46" s="9">
        <x:v>50438.269740000011</x:v>
      </x:c>
      <x:c r="G46" s="9">
        <x:v>45476.496920000005</x:v>
      </x:c>
      <x:c r="H46" s="9">
        <x:v>47547.332130000003</x:v>
      </x:c>
      <x:c r="I46" s="9">
        <x:v>53188.234580000004</x:v>
      </x:c>
      <x:c r="J46" s="9">
        <x:v>65241.829180000001</x:v>
      </x:c>
      <x:c r="K46" s="9">
        <x:v>66038.90698</x:v>
      </x:c>
      <x:c r="L46" s="9">
        <x:v>67928.373380000005</x:v>
      </x:c>
      <x:c r="M46" s="9">
        <x:v>59168.87444</x:v>
      </x:c>
      <x:c r="N46" s="9">
        <x:v>49072.997139999999</x:v>
      </x:c>
      <x:c r="O46" s="9">
        <x:v>46800.094279999998</x:v>
      </x:c>
      <x:c r="P46" s="52">
        <x:f>SUM(D46:O46)</x:f>
        <x:v>644685.97560999996</x:v>
      </x:c>
    </x:row>
    <x:row r="47" spans="1:16" x14ac:dyDescent="0.3">
      <x:c r="A47" s="1">
        <x:f t="shared" si="0"/>
        <x:v>37</x:v>
      </x:c>
      <x:c r="B47" s="8" t="s">
        <x:v>4</x:v>
      </x:c>
      <x:c r="C47" s="4">
        <x:f t="shared" ref="C47:C48" si="14">+C42</x:f>
        <x:v>2022</x:v>
      </x:c>
      <x:c r="D47" s="9">
        <x:v>46649.766459999999</x:v>
      </x:c>
      <x:c r="E47" s="9">
        <x:v>50245.700749999996</x:v>
      </x:c>
      <x:c r="F47" s="9">
        <x:v>49787.807740000004</x:v>
      </x:c>
      <x:c r="G47" s="9">
        <x:v>47516.763810000004</x:v>
      </x:c>
      <x:c r="H47" s="9">
        <x:v>52325.450089999998</x:v>
      </x:c>
      <x:c r="I47" s="9">
        <x:v>60412.227979999996</x:v>
      </x:c>
      <x:c r="J47" s="9">
        <x:v>69844.558570000008</x:v>
      </x:c>
      <x:c r="K47" s="9">
        <x:v>75394.482299999989</x:v>
      </x:c>
      <x:c r="L47" s="9">
        <x:v>68344.623899999991</x:v>
      </x:c>
      <x:c r="M47" s="9">
        <x:v>59683.07821</x:v>
      </x:c>
      <x:c r="N47" s="9">
        <x:v>47775.549859999999</x:v>
      </x:c>
      <x:c r="O47" s="9">
        <x:v>47364.146469999992</x:v>
      </x:c>
      <x:c r="P47" s="52">
        <x:f>SUM(D47:O47)</x:f>
        <x:v>675344.15613999998</x:v>
      </x:c>
    </x:row>
    <x:row r="48" spans="1:16" ht="14.4" thickBot="1" x14ac:dyDescent="0.35">
      <x:c r="A48" s="1">
        <x:f t="shared" si="0"/>
        <x:v>38</x:v>
      </x:c>
      <x:c r="B48" s="8" t="s">
        <x:v>4</x:v>
      </x:c>
      <x:c r="C48" s="4">
        <x:f t="shared" si="14"/>
        <x:v>2023</x:v>
      </x:c>
      <x:c r="D48" s="9">
        <x:v>47746.307669999995</x:v>
      </x:c>
      <x:c r="E48" s="9">
        <x:v>48387.18680000001</x:v>
      </x:c>
      <x:c r="F48" s="9">
        <x:v>48280.825639999995</x:v>
      </x:c>
      <x:c r="G48" s="9">
        <x:v>45648.219379999995</x:v>
      </x:c>
      <x:c r="H48" s="9">
        <x:v>47126.803950000001</x:v>
      </x:c>
      <x:c r="I48" s="9">
        <x:v>55255.589470000006</x:v>
      </x:c>
      <x:c r="J48" s="9">
        <x:v>67608.59924000001</x:v>
      </x:c>
      <x:c r="K48" s="9">
        <x:v>72888.443190000005</x:v>
      </x:c>
      <x:c r="L48" s="9">
        <x:v>74291.43501999999</x:v>
      </x:c>
      <x:c r="M48" s="9">
        <x:v>64022.935099999995</x:v>
      </x:c>
      <x:c r="N48" s="9">
        <x:v>50822.730760000006</x:v>
      </x:c>
      <x:c r="O48" s="9">
        <x:v>47050.111549999994</x:v>
      </x:c>
      <x:c r="P48" s="52">
        <x:f>SUM(D48:O48)</x:f>
        <x:v>669129.18776999996</x:v>
      </x:c>
    </x:row>
    <x:row r="49" spans="1:16" x14ac:dyDescent="0.3">
      <x:c r="A49" s="1">
        <x:f t="shared" si="0"/>
        <x:v>39</x:v>
      </x:c>
      <x:c r="B49" s="8" t="s">
        <x:v>4</x:v>
      </x:c>
      <x:c r="C49" s="49" t="s">
        <x:v>1</x:v>
      </x:c>
      <x:c r="D49" s="50">
        <x:f t="shared" ref="D49:O49" si="15">SUM(D46:D48)</x:f>
        <x:v>141758.83606</x:v>
      </x:c>
      <x:c r="E49" s="50">
        <x:f t="shared" si="15"/>
        <x:v>145054.69245999999</x:v>
      </x:c>
      <x:c r="F49" s="50">
        <x:f t="shared" si="15"/>
        <x:v>148506.90312</x:v>
      </x:c>
      <x:c r="G49" s="50">
        <x:f t="shared" si="15"/>
        <x:v>138641.48011</x:v>
      </x:c>
      <x:c r="H49" s="50">
        <x:f t="shared" si="15"/>
        <x:v>146999.58617</x:v>
      </x:c>
      <x:c r="I49" s="50">
        <x:f t="shared" si="15"/>
        <x:v>168856.05203000002</x:v>
      </x:c>
      <x:c r="J49" s="50">
        <x:f t="shared" si="15"/>
        <x:v>202694.98699</x:v>
      </x:c>
      <x:c r="K49" s="50">
        <x:f t="shared" si="15"/>
        <x:v>214321.83247000002</x:v>
      </x:c>
      <x:c r="L49" s="50">
        <x:f t="shared" si="15"/>
        <x:v>210564.43229999999</x:v>
      </x:c>
      <x:c r="M49" s="50">
        <x:f t="shared" si="15"/>
        <x:v>182874.88774999999</x:v>
      </x:c>
      <x:c r="N49" s="50">
        <x:f t="shared" si="15"/>
        <x:v>147671.27776</x:v>
      </x:c>
      <x:c r="O49" s="50">
        <x:f t="shared" si="15"/>
        <x:v>141214.3523</x:v>
      </x:c>
      <x:c r="P49" s="53">
        <x:f>SUM(D49:O49)</x:f>
        <x:v>1989159.3195199999</x:v>
      </x:c>
    </x:row>
    <x:row r="50" spans="1:16" x14ac:dyDescent="0.3">
      <x:c r="A50" s="1">
        <x:f t="shared" si="0"/>
        <x:v>40</x:v>
      </x:c>
      <x:c r="B50" s="8"/>
      <x:c r="C50" s="12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</x:row>
    <x:row r="51" spans="1:16" x14ac:dyDescent="0.3">
      <x:c r="A51" s="1">
        <x:f t="shared" si="0"/>
        <x:v>41</x:v>
      </x:c>
      <x:c r="B51" s="8" t="s">
        <x:v>2</x:v>
      </x:c>
      <x:c r="C51" s="4">
        <x:f>+C46</x:f>
        <x:v>2021</x:v>
      </x:c>
      <x:c r="D51" s="9">
        <x:v>230268.91227</x:v>
      </x:c>
      <x:c r="E51" s="9">
        <x:v>229592.86724999998</x:v>
      </x:c>
      <x:c r="F51" s="9">
        <x:v>237193.27379000001</x:v>
      </x:c>
      <x:c r="G51" s="9">
        <x:v>243542.83665000001</x:v>
      </x:c>
      <x:c r="H51" s="9">
        <x:v>251900.71728999994</x:v>
      </x:c>
      <x:c r="I51" s="9">
        <x:v>264783.34028</x:v>
      </x:c>
      <x:c r="J51" s="9">
        <x:v>297641.46363000001</x:v>
      </x:c>
      <x:c r="K51" s="9">
        <x:v>288780.58269000001</x:v>
      </x:c>
      <x:c r="L51" s="9">
        <x:v>264538.59034</x:v>
      </x:c>
      <x:c r="M51" s="9">
        <x:v>223501.31689999998</x:v>
      </x:c>
      <x:c r="N51" s="9">
        <x:v>236160.48486999999</x:v>
      </x:c>
      <x:c r="O51" s="9">
        <x:v>246264.79187000002</x:v>
      </x:c>
      <x:c r="P51" s="52">
        <x:f>SUM(D51:O51)</x:f>
        <x:v>3014169.1778299999</x:v>
      </x:c>
    </x:row>
    <x:row r="52" spans="1:16" x14ac:dyDescent="0.3">
      <x:c r="A52" s="1">
        <x:f t="shared" si="0"/>
        <x:v>42</x:v>
      </x:c>
      <x:c r="B52" s="8" t="s">
        <x:v>2</x:v>
      </x:c>
      <x:c r="C52" s="4">
        <x:f t="shared" ref="C52:C53" si="16">+C47</x:f>
        <x:v>2022</x:v>
      </x:c>
      <x:c r="D52" s="9">
        <x:v>249584.17952999996</x:v>
      </x:c>
      <x:c r="E52" s="9">
        <x:v>262027.61083000002</x:v>
      </x:c>
      <x:c r="F52" s="9">
        <x:v>261078.33296999999</x:v>
      </x:c>
      <x:c r="G52" s="9">
        <x:v>253490.69172999999</x:v>
      </x:c>
      <x:c r="H52" s="9">
        <x:v>268869.63798</x:v>
      </x:c>
      <x:c r="I52" s="9">
        <x:v>252455.43742999999</x:v>
      </x:c>
      <x:c r="J52" s="9">
        <x:v>308782.55836000002</x:v>
      </x:c>
      <x:c r="K52" s="9">
        <x:v>326894.19231999997</x:v>
      </x:c>
      <x:c r="L52" s="9">
        <x:v>300838.21782000002</x:v>
      </x:c>
      <x:c r="M52" s="9">
        <x:v>271838.55998999998</x:v>
      </x:c>
      <x:c r="N52" s="9">
        <x:v>247458.41779000001</x:v>
      </x:c>
      <x:c r="O52" s="9">
        <x:v>255448.08225000001</x:v>
      </x:c>
      <x:c r="P52" s="52">
        <x:f>SUM(D52:O52)</x:f>
        <x:v>3258765.9189999998</x:v>
      </x:c>
    </x:row>
    <x:row r="53" spans="1:16" ht="14.4" thickBot="1" x14ac:dyDescent="0.35">
      <x:c r="A53" s="1">
        <x:f t="shared" si="0"/>
        <x:v>43</x:v>
      </x:c>
      <x:c r="B53" s="8" t="s">
        <x:v>2</x:v>
      </x:c>
      <x:c r="C53" s="4">
        <x:f t="shared" si="16"/>
        <x:v>2023</x:v>
      </x:c>
      <x:c r="D53" s="9">
        <x:v>265522.80726000003</x:v>
      </x:c>
      <x:c r="E53" s="9">
        <x:v>267102.37670999998</x:v>
      </x:c>
      <x:c r="F53" s="9">
        <x:v>264709.61168999999</x:v>
      </x:c>
      <x:c r="G53" s="9">
        <x:v>274372.44062999991</x:v>
      </x:c>
      <x:c r="H53" s="9">
        <x:v>253936.29043000002</x:v>
      </x:c>
      <x:c r="I53" s="9">
        <x:v>282440.95753000001</x:v>
      </x:c>
      <x:c r="J53" s="9">
        <x:v>336687.35404000001</x:v>
      </x:c>
      <x:c r="K53" s="9">
        <x:v>341342.70085000002</x:v>
      </x:c>
      <x:c r="L53" s="9">
        <x:v>336394.0356</x:v>
      </x:c>
      <x:c r="M53" s="9">
        <x:v>310209.89532000001</x:v>
      </x:c>
      <x:c r="N53" s="9">
        <x:v>263408.10159999999</x:v>
      </x:c>
      <x:c r="O53" s="9">
        <x:v>260629.09999999998</x:v>
      </x:c>
      <x:c r="P53" s="52">
        <x:f>SUM(D53:O53)</x:f>
        <x:v>3456755.6716600005</x:v>
      </x:c>
    </x:row>
    <x:row r="54" spans="1:16" x14ac:dyDescent="0.3">
      <x:c r="A54" s="1">
        <x:f t="shared" si="0"/>
        <x:v>44</x:v>
      </x:c>
      <x:c r="B54" s="8" t="s">
        <x:v>2</x:v>
      </x:c>
      <x:c r="C54" s="49" t="s">
        <x:v>1</x:v>
      </x:c>
      <x:c r="D54" s="50">
        <x:f t="shared" ref="D54:O54" si="17">SUM(D51:D53)</x:f>
        <x:v>745375.89905999997</x:v>
      </x:c>
      <x:c r="E54" s="50">
        <x:f t="shared" si="17"/>
        <x:v>758722.85479000001</x:v>
      </x:c>
      <x:c r="F54" s="50">
        <x:f t="shared" si="17"/>
        <x:v>762981.21845000004</x:v>
      </x:c>
      <x:c r="G54" s="50">
        <x:f t="shared" si="17"/>
        <x:v>771405.96900999988</x:v>
      </x:c>
      <x:c r="H54" s="50">
        <x:f t="shared" si="17"/>
        <x:v>774706.64569999999</x:v>
      </x:c>
      <x:c r="I54" s="50">
        <x:f t="shared" si="17"/>
        <x:v>799679.73524000007</x:v>
      </x:c>
      <x:c r="J54" s="50">
        <x:f t="shared" si="17"/>
        <x:v>943111.37603000004</x:v>
      </x:c>
      <x:c r="K54" s="50">
        <x:f t="shared" si="17"/>
        <x:v>957017.47586000001</x:v>
      </x:c>
      <x:c r="L54" s="50">
        <x:f t="shared" si="17"/>
        <x:v>901770.84376000008</x:v>
      </x:c>
      <x:c r="M54" s="50">
        <x:f t="shared" si="17"/>
        <x:v>805549.77220999997</x:v>
      </x:c>
      <x:c r="N54" s="50">
        <x:f t="shared" si="17"/>
        <x:v>747027.00426000007</x:v>
      </x:c>
      <x:c r="O54" s="50">
        <x:f t="shared" si="17"/>
        <x:v>762341.97412000003</x:v>
      </x:c>
      <x:c r="P54" s="53">
        <x:f>SUM(D54:O54)</x:f>
        <x:v>9729690.7684899997</x:v>
      </x:c>
    </x:row>
    <x:row r="55" spans="1:16" ht="14.4" x14ac:dyDescent="0.3">
      <x:c r="A55" s="1">
        <x:f t="shared" si="0"/>
        <x:v>45</x:v>
      </x:c>
      <x:c r="B55" s="8"/>
      <x:c r="C55" s="13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</x:row>
    <x:row r="56" spans="1:16" x14ac:dyDescent="0.3">
      <x:c r="A56" s="1">
        <x:f t="shared" si="0"/>
        <x:v>46</x:v>
      </x:c>
      <x:c r="B56" s="8" t="s">
        <x:v>45</x:v>
      </x:c>
      <x:c r="C56" s="4">
        <x:f>+C51</x:f>
        <x:v>2021</x:v>
      </x:c>
      <x:c r="D56" s="9">
        <x:v>82723.527979999984</x:v>
      </x:c>
      <x:c r="E56" s="9">
        <x:v>81414.384399999995</x:v>
      </x:c>
      <x:c r="F56" s="9">
        <x:v>85563.568680000011</x:v>
      </x:c>
      <x:c r="G56" s="9">
        <x:v>77772.578540000017</x:v>
      </x:c>
      <x:c r="H56" s="9">
        <x:v>82594.252639999992</x:v>
      </x:c>
      <x:c r="I56" s="9">
        <x:v>90383.894830000005</x:v>
      </x:c>
      <x:c r="J56" s="9">
        <x:v>108309.07969000001</x:v>
      </x:c>
      <x:c r="K56" s="9">
        <x:v>110158.97416</x:v>
      </x:c>
      <x:c r="L56" s="9">
        <x:v>111216.79346999999</x:v>
      </x:c>
      <x:c r="M56" s="9">
        <x:v>98287.000520000001</x:v>
      </x:c>
      <x:c r="N56" s="9">
        <x:v>81042.4274</x:v>
      </x:c>
      <x:c r="O56" s="9">
        <x:v>83906.088760000013</x:v>
      </x:c>
      <x:c r="P56" s="52">
        <x:f>SUM(D56:O56)</x:f>
        <x:v>1093372.5710700001</x:v>
      </x:c>
    </x:row>
    <x:row r="57" spans="1:16" x14ac:dyDescent="0.3">
      <x:c r="A57" s="1">
        <x:f t="shared" si="0"/>
        <x:v>47</x:v>
      </x:c>
      <x:c r="B57" s="8" t="s">
        <x:v>45</x:v>
      </x:c>
      <x:c r="C57" s="4">
        <x:f t="shared" ref="C57:C58" si="18">+C52</x:f>
        <x:v>2022</x:v>
      </x:c>
      <x:c r="D57" s="9">
        <x:v>80987.436859999987</x:v>
      </x:c>
      <x:c r="E57" s="9">
        <x:v>85929.025599999994</x:v>
      </x:c>
      <x:c r="F57" s="9">
        <x:v>85885.311040000001</x:v>
      </x:c>
      <x:c r="G57" s="9">
        <x:v>82564.581069999986</x:v>
      </x:c>
      <x:c r="H57" s="9">
        <x:v>86027.978950000004</x:v>
      </x:c>
      <x:c r="I57" s="9">
        <x:v>97480.808190000011</x:v>
      </x:c>
      <x:c r="J57" s="9">
        <x:v>113342.16736000002</x:v>
      </x:c>
      <x:c r="K57" s="9">
        <x:v>121635.01303</x:v>
      </x:c>
      <x:c r="L57" s="9">
        <x:v>111983.48024</x:v>
      </x:c>
      <x:c r="M57" s="9">
        <x:v>98800.774450000012</x:v>
      </x:c>
      <x:c r="N57" s="9">
        <x:v>82045.058720000001</x:v>
      </x:c>
      <x:c r="O57" s="9">
        <x:v>83719.039720000001</x:v>
      </x:c>
      <x:c r="P57" s="52">
        <x:f>SUM(D57:O57)</x:f>
        <x:v>1130400.6752299999</x:v>
      </x:c>
    </x:row>
    <x:row r="58" spans="1:16" ht="14.4" thickBot="1" x14ac:dyDescent="0.35">
      <x:c r="A58" s="1">
        <x:f t="shared" si="0"/>
        <x:v>48</x:v>
      </x:c>
      <x:c r="B58" s="8" t="s">
        <x:v>45</x:v>
      </x:c>
      <x:c r="C58" s="4">
        <x:f t="shared" si="18"/>
        <x:v>2023</x:v>
      </x:c>
      <x:c r="D58" s="9">
        <x:v>84594.130319999997</x:v>
      </x:c>
      <x:c r="E58" s="9">
        <x:v>85284.649200000014</x:v>
      </x:c>
      <x:c r="F58" s="9">
        <x:v>84334.094759999993</x:v>
      </x:c>
      <x:c r="G58" s="9">
        <x:v>81900.442719999992</x:v>
      </x:c>
      <x:c r="H58" s="9">
        <x:v>82037.667689999987</x:v>
      </x:c>
      <x:c r="I58" s="9">
        <x:v>94986.859729999996</x:v>
      </x:c>
      <x:c r="J58" s="9">
        <x:v>109689.95729999999</x:v>
      </x:c>
      <x:c r="K58" s="9">
        <x:v>116647.16200999999</x:v>
      </x:c>
      <x:c r="L58" s="9">
        <x:v>120255.65009000001</x:v>
      </x:c>
      <x:c r="M58" s="9">
        <x:v>104479.46321999999</x:v>
      </x:c>
      <x:c r="N58" s="9">
        <x:v>85573.288980000012</x:v>
      </x:c>
      <x:c r="O58" s="9">
        <x:v>79945.802449999988</x:v>
      </x:c>
      <x:c r="P58" s="52">
        <x:f>SUM(D58:O58)</x:f>
        <x:v>1129729.1684700001</x:v>
      </x:c>
    </x:row>
    <x:row r="59" spans="1:16" x14ac:dyDescent="0.3">
      <x:c r="A59" s="1">
        <x:f t="shared" si="0"/>
        <x:v>49</x:v>
      </x:c>
      <x:c r="B59" s="8" t="s">
        <x:v>45</x:v>
      </x:c>
      <x:c r="C59" s="49" t="s">
        <x:v>1</x:v>
      </x:c>
      <x:c r="D59" s="50">
        <x:f t="shared" ref="D59:O59" si="19">SUM(D56:D58)</x:f>
        <x:v>248305.09515999997</x:v>
      </x:c>
      <x:c r="E59" s="50">
        <x:f t="shared" si="19"/>
        <x:v>252628.05919999999</x:v>
      </x:c>
      <x:c r="F59" s="50">
        <x:f t="shared" si="19"/>
        <x:v>255782.97448000003</x:v>
      </x:c>
      <x:c r="G59" s="50">
        <x:f t="shared" si="19"/>
        <x:v>242237.60232999999</x:v>
      </x:c>
      <x:c r="H59" s="50">
        <x:f t="shared" si="19"/>
        <x:v>250659.89927999995</x:v>
      </x:c>
      <x:c r="I59" s="50">
        <x:f t="shared" si="19"/>
        <x:v>282851.56275000004</x:v>
      </x:c>
      <x:c r="J59" s="50">
        <x:f t="shared" si="19"/>
        <x:v>331341.20435000001</x:v>
      </x:c>
      <x:c r="K59" s="50">
        <x:f t="shared" si="19"/>
        <x:v>348441.14919999999</x:v>
      </x:c>
      <x:c r="L59" s="50">
        <x:f t="shared" si="19"/>
        <x:v>343455.92379999999</x:v>
      </x:c>
      <x:c r="M59" s="50">
        <x:f t="shared" si="19"/>
        <x:v>301567.23819</x:v>
      </x:c>
      <x:c r="N59" s="50">
        <x:f t="shared" si="19"/>
        <x:v>248660.77510000003</x:v>
      </x:c>
      <x:c r="O59" s="50">
        <x:f t="shared" si="19"/>
        <x:v>247570.93093</x:v>
      </x:c>
      <x:c r="P59" s="53">
        <x:f>SUM(D59:O59)</x:f>
        <x:v>3353502.4147699997</x:v>
      </x:c>
    </x:row>
    <x:row r="60" spans="1:16" x14ac:dyDescent="0.3">
      <x:c r="A60" s="1">
        <x:f t="shared" si="0"/>
        <x:v>50</x:v>
      </x:c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</x:row>
    <x:row r="61" spans="1:16" x14ac:dyDescent="0.3">
      <x:c r="A61" s="1">
        <x:f t="shared" si="0"/>
        <x:v>51</x:v>
      </x:c>
      <x:c r="B61" s="1" t="s">
        <x:v>34</x:v>
      </x:c>
      <x:c r="C61" s="4">
        <x:f>+C56</x:f>
        <x:v>2021</x:v>
      </x:c>
      <x:c r="D61" s="9">
        <x:f t="shared" ref="D61:P61" si="20">SUM(D26,D31,D36,D41,D46,D51,D56,D21,D16,D11)</x:f>
        <x:v>3350547.6324000005</x:v>
      </x:c>
      <x:c r="E61" s="9">
        <x:f t="shared" si="20"/>
        <x:v>3300543.3568799994</x:v>
      </x:c>
      <x:c r="F61" s="9">
        <x:f t="shared" si="20"/>
        <x:v>3411474.3731700005</x:v>
      </x:c>
      <x:c r="G61" s="9">
        <x:f t="shared" si="20"/>
        <x:v>3279155.4573400002</x:v>
      </x:c>
      <x:c r="H61" s="9">
        <x:f t="shared" si="20"/>
        <x:v>3438948.1468799999</x:v>
      </x:c>
      <x:c r="I61" s="9">
        <x:f t="shared" si="20"/>
        <x:v>3723628.5349500002</x:v>
      </x:c>
      <x:c r="J61" s="9">
        <x:f t="shared" si="20"/>
        <x:v>4483516.1316300007</x:v>
      </x:c>
      <x:c r="K61" s="9">
        <x:f t="shared" si="20"/>
        <x:v>4501223.9419200001</x:v>
      </x:c>
      <x:c r="L61" s="9">
        <x:f t="shared" si="20"/>
        <x:v>4550046.7392099984</x:v>
      </x:c>
      <x:c r="M61" s="9">
        <x:f t="shared" si="20"/>
        <x:v>3998015.5741300001</x:v>
      </x:c>
      <x:c r="N61" s="9">
        <x:f t="shared" si="20"/>
        <x:v>3516713.0865899995</x:v>
      </x:c>
      <x:c r="O61" s="9">
        <x:f t="shared" si="20"/>
        <x:v>3360349.5069200005</x:v>
      </x:c>
      <x:c r="P61" s="52">
        <x:f t="shared" si="20"/>
        <x:v>44914162.482019998</x:v>
      </x:c>
    </x:row>
    <x:row r="62" spans="1:16" x14ac:dyDescent="0.3">
      <x:c r="A62" s="1">
        <x:f t="shared" si="0"/>
        <x:v>52</x:v>
      </x:c>
      <x:c r="B62" s="1" t="s">
        <x:v>34</x:v>
      </x:c>
      <x:c r="C62" s="4">
        <x:f t="shared" ref="C62:C63" si="21">+C57</x:f>
        <x:v>2022</x:v>
      </x:c>
      <x:c r="D62" s="9">
        <x:f t="shared" ref="D62:P62" si="22">SUM(D27,D32,D37,D42,D47,D52,D57,D22,D17,D12)</x:f>
        <x:v>3432361.5309899994</x:v>
      </x:c>
      <x:c r="E62" s="9">
        <x:f t="shared" si="22"/>
        <x:v>3525625.0602299999</x:v>
      </x:c>
      <x:c r="F62" s="9">
        <x:f t="shared" si="22"/>
        <x:v>3560145.6377000003</x:v>
      </x:c>
      <x:c r="G62" s="9">
        <x:f t="shared" si="22"/>
        <x:v>3451279.4161099996</x:v>
      </x:c>
      <x:c r="H62" s="9">
        <x:f t="shared" si="22"/>
        <x:v>3731889.34779</x:v>
      </x:c>
      <x:c r="I62" s="9">
        <x:f t="shared" si="22"/>
        <x:v>4201530.1482000006</x:v>
      </x:c>
      <x:c r="J62" s="9">
        <x:f t="shared" si="22"/>
        <x:v>4787784.6334800003</x:v>
      </x:c>
      <x:c r="K62" s="9">
        <x:f t="shared" si="22"/>
        <x:v>5067673.0100300005</x:v>
      </x:c>
      <x:c r="L62" s="9">
        <x:f t="shared" si="22"/>
        <x:v>4615803.8549600001</x:v>
      </x:c>
      <x:c r="M62" s="9">
        <x:f t="shared" si="22"/>
        <x:v>4094654.69729</x:v>
      </x:c>
      <x:c r="N62" s="9">
        <x:f t="shared" si="22"/>
        <x:v>3478408.0709899995</x:v>
      </x:c>
      <x:c r="O62" s="9">
        <x:f t="shared" si="22"/>
        <x:v>3474033.3592199995</x:v>
      </x:c>
      <x:c r="P62" s="52">
        <x:f t="shared" si="22"/>
        <x:v>47421188.766989999</x:v>
      </x:c>
    </x:row>
    <x:row r="63" spans="1:16" ht="14.4" thickBot="1" x14ac:dyDescent="0.35">
      <x:c r="A63" s="1">
        <x:f t="shared" si="0"/>
        <x:v>53</x:v>
      </x:c>
      <x:c r="B63" s="1" t="s">
        <x:v>34</x:v>
      </x:c>
      <x:c r="C63" s="4">
        <x:f t="shared" si="21"/>
        <x:v>2023</x:v>
      </x:c>
      <x:c r="D63" s="9">
        <x:f t="shared" ref="D63:P63" si="23">SUM(D28,D33,D38,D43,D48,D53,D58,D23,D18,D13)</x:f>
        <x:v>3567400.5323299998</x:v>
      </x:c>
      <x:c r="E63" s="9">
        <x:f t="shared" si="23"/>
        <x:v>3536066.4843899999</x:v>
      </x:c>
      <x:c r="F63" s="9">
        <x:f t="shared" si="23"/>
        <x:v>3456378.9666799996</x:v>
      </x:c>
      <x:c r="G63" s="9">
        <x:f t="shared" si="23"/>
        <x:v>3440371.0534699997</x:v>
      </x:c>
      <x:c r="H63" s="9">
        <x:f t="shared" si="23"/>
        <x:v>3505319.7114999997</x:v>
      </x:c>
      <x:c r="I63" s="9">
        <x:f t="shared" si="23"/>
        <x:v>4023846.2957999995</x:v>
      </x:c>
      <x:c r="J63" s="9">
        <x:f t="shared" si="23"/>
        <x:v>4719847.4952200009</x:v>
      </x:c>
      <x:c r="K63" s="9">
        <x:f t="shared" si="23"/>
        <x:v>4988165.3078699997</x:v>
      </x:c>
      <x:c r="L63" s="9">
        <x:f t="shared" si="23"/>
        <x:v>5035101.8527199998</x:v>
      </x:c>
      <x:c r="M63" s="9">
        <x:f t="shared" si="23"/>
        <x:v>4453683.6890400006</x:v>
      </x:c>
      <x:c r="N63" s="9">
        <x:f t="shared" si="23"/>
        <x:v>3643090.1025700001</x:v>
      </x:c>
      <x:c r="O63" s="9">
        <x:f t="shared" si="23"/>
        <x:v>3436986.1828800002</x:v>
      </x:c>
      <x:c r="P63" s="52">
        <x:f t="shared" si="23"/>
        <x:v>47806257.674469993</x:v>
      </x:c>
    </x:row>
    <x:row r="64" spans="1:16" ht="14.4" thickBot="1" x14ac:dyDescent="0.35">
      <x:c r="A64" s="1">
        <x:f t="shared" si="0"/>
        <x:v>54</x:v>
      </x:c>
      <x:c r="B64" s="1" t="s">
        <x:v>34</x:v>
      </x:c>
      <x:c r="C64" s="54" t="s">
        <x:v>1</x:v>
      </x:c>
      <x:c r="D64" s="55">
        <x:f t="shared" ref="D64:P64" si="24">SUM(D61:D63)</x:f>
        <x:v>10350309.695719998</x:v>
      </x:c>
      <x:c r="E64" s="55">
        <x:f t="shared" si="24"/>
        <x:v>10362234.9015</x:v>
      </x:c>
      <x:c r="F64" s="55">
        <x:f t="shared" si="24"/>
        <x:v>10427998.97755</x:v>
      </x:c>
      <x:c r="G64" s="55">
        <x:f t="shared" si="24"/>
        <x:v>10170805.92692</x:v>
      </x:c>
      <x:c r="H64" s="50">
        <x:f t="shared" si="24"/>
        <x:v>10676157.20617</x:v>
      </x:c>
      <x:c r="I64" s="55">
        <x:f t="shared" si="24"/>
        <x:v>11949004.978950001</x:v>
      </x:c>
      <x:c r="J64" s="55">
        <x:f t="shared" si="24"/>
        <x:v>13991148.260330003</x:v>
      </x:c>
      <x:c r="K64" s="55">
        <x:f t="shared" si="24"/>
        <x:v>14557062.259819999</x:v>
      </x:c>
      <x:c r="L64" s="55">
        <x:f t="shared" si="24"/>
        <x:v>14200952.446889998</x:v>
      </x:c>
      <x:c r="M64" s="55">
        <x:f t="shared" si="24"/>
        <x:v>12546353.96046</x:v>
      </x:c>
      <x:c r="N64" s="55">
        <x:f t="shared" si="24"/>
        <x:v>10638211.26015</x:v>
      </x:c>
      <x:c r="O64" s="55">
        <x:f t="shared" si="24"/>
        <x:v>10271369.04902</x:v>
      </x:c>
      <x:c r="P64" s="56">
        <x:f t="shared" si="24"/>
        <x:v>140141608.92347997</x:v>
      </x:c>
    </x:row>
  </x:sheetData>
  <x:mergeCells count="7">
    <x:mergeCell ref="B8:P8"/>
    <x:mergeCell ref="B5:F5"/>
    <x:mergeCell ref="B6:P6"/>
    <x:mergeCell ref="B1:P1"/>
    <x:mergeCell ref="B2:P2"/>
    <x:mergeCell ref="B3:P3"/>
    <x:mergeCell ref="B4:P4"/>
  </x:mergeCells>
  <x:phoneticPr fontId="2" type="noConversion"/>
  <x:printOptions horizontalCentered="1"/>
  <x:pageMargins left="0.5" right="0.5" top="0.7" bottom="1" header="0.5" footer="0.43"/>
  <x:pageSetup scale="53" orientation="landscape" r:id="rId1"/>
  <x:headerFooter alignWithMargins="0">
    <x:oddHeader>&amp;RWP/II-H-5.2/3
Page &amp;P of &amp;N</x:oddHeader>
    <x:oddFooter>&amp;R]</x:oddFoot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2025-04-08T12:31:45.0000000Z</dcterms:modified>
</coreProperties>
</file>