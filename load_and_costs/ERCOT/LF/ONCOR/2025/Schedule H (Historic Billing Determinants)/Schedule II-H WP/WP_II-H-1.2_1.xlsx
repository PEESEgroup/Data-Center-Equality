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363FF49F-517B-48A3-86F0-B648DEF4C5C7}" xr6:coauthVersionLast="47" xr6:coauthVersionMax="47" xr10:uidLastSave="{00000000-0000-0000-0000-000000000000}"/>
  <x:bookViews>
    <x:workbookView xWindow="-110" yWindow="-110" windowWidth="19420" windowHeight="10300" tabRatio="753" xr2:uid="{00000000-000D-0000-FFFF-FFFF00000000}"/>
  </x:bookViews>
  <x:sheets>
    <x:sheet name="Weather Adjustment" sheetId="10" r:id="rId1"/>
    <x:sheet name="Residential" sheetId="3" r:id="rId2"/>
    <x:sheet name="ResidentialT" sheetId="28" r:id="rId3"/>
    <x:sheet name="SecLE10" sheetId="4" r:id="rId4"/>
    <x:sheet name="SecGT10" sheetId="5" r:id="rId5"/>
    <x:sheet name="SGT10_IDR_NIDR" sheetId="7" r:id="rId6"/>
    <x:sheet name="PrmGT10D" sheetId="6" r:id="rId7"/>
    <x:sheet name="PrmGT10D IDR_NIDR" sheetId="8" r:id="rId8"/>
    <x:sheet name="Substation" sheetId="23" r:id="rId9"/>
  </x:sheets>
  <x:externalReferences>
    <x:externalReference r:id="rId10"/>
    <x:externalReference r:id="rId11"/>
    <x:externalReference r:id="rId12"/>
  </x:externalReferences>
  <x:definedNames>
    <x:definedName name="I">"a1..m50"</x:definedName>
    <x:definedName name="_xlnm.Print_Area" localSheetId="6">PrmGT10D!$A$1:$T$71</x:definedName>
    <x:definedName name="_xlnm.Print_Area" localSheetId="7">'PrmGT10D IDR_NIDR'!$A$1:$Q$65</x:definedName>
    <x:definedName name="_xlnm.Print_Area" localSheetId="1">Residential!$A$1:$AA$65</x:definedName>
    <x:definedName name="_xlnm.Print_Area" localSheetId="2">ResidentialT!$A$1:$AB$64</x:definedName>
    <x:definedName name="_xlnm.Print_Area" localSheetId="4">SecGT10!$A$1:$Y$64</x:definedName>
    <x:definedName name="_xlnm.Print_Area" localSheetId="3">SecLE10!$A$1:$X$65</x:definedName>
    <x:definedName name="_xlnm.Print_Area" localSheetId="5">SGT10_IDR_NIDR!$A$1:$S$71</x:definedName>
    <x:definedName name="_xlnm.Print_Area" localSheetId="8">Substation!$A$1:$T$71</x:definedName>
    <x:definedName name="_xlnm.Print_Area" localSheetId="0">'Weather Adjustment'!$A$1:$AB$69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Y46" i="10" l="1"/>
  <x:c r="Y45" i="10"/>
  <x:c r="Y44" i="10"/>
  <x:c r="Y43" i="10"/>
  <x:c r="Y42" i="10"/>
  <x:c r="Y41" i="10"/>
  <x:c r="Y40" i="10"/>
  <x:c r="Y39" i="10"/>
  <x:c r="Y38" i="10"/>
  <x:c r="Y37" i="10"/>
  <x:c r="Y36" i="10"/>
  <x:c r="Y35" i="10"/>
  <x:c r="W46" i="10"/>
  <x:c r="W45" i="10"/>
  <x:c r="W44" i="10"/>
  <x:c r="W43" i="10"/>
  <x:c r="W42" i="10"/>
  <x:c r="W41" i="10"/>
  <x:c r="W40" i="10"/>
  <x:c r="W39" i="10"/>
  <x:c r="W38" i="10"/>
  <x:c r="W37" i="10"/>
  <x:c r="W36" i="10"/>
  <x:c r="W35" i="10"/>
  <x:c r="J27" i="8"/>
  <x:c r="J26" i="8"/>
  <x:c r="J25" i="8"/>
  <x:c r="J24" i="8"/>
  <x:c r="J23" i="8"/>
  <x:c r="J22" i="8"/>
  <x:c r="J21" i="8"/>
  <x:c r="J20" i="8"/>
  <x:c r="J19" i="8"/>
  <x:c r="J18" i="8"/>
  <x:c r="J17" i="8"/>
  <x:c r="J16" i="8"/>
  <x:c r="U46" i="10"/>
  <x:c r="U45" i="10"/>
  <x:c r="U44" i="10"/>
  <x:c r="U43" i="10"/>
  <x:c r="U42" i="10"/>
  <x:c r="U41" i="10"/>
  <x:c r="U40" i="10"/>
  <x:c r="U39" i="10"/>
  <x:c r="U38" i="10"/>
  <x:c r="U37" i="10"/>
  <x:c r="U36" i="10"/>
  <x:c r="U35" i="10"/>
  <x:c r="S46" i="10"/>
  <x:c r="S45" i="10"/>
  <x:c r="S44" i="10"/>
  <x:c r="S43" i="10"/>
  <x:c r="S42" i="10"/>
  <x:c r="S41" i="10"/>
  <x:c r="S40" i="10"/>
  <x:c r="S39" i="10"/>
  <x:c r="S38" i="10"/>
  <x:c r="S37" i="10"/>
  <x:c r="S36" i="10"/>
  <x:c r="S35" i="10"/>
  <x:c r="G27" i="8"/>
  <x:c r="G26" i="8"/>
  <x:c r="G25" i="8"/>
  <x:c r="G24" i="8"/>
  <x:c r="G23" i="8"/>
  <x:c r="G22" i="8"/>
  <x:c r="G21" i="8"/>
  <x:c r="G20" i="8"/>
  <x:c r="G19" i="8"/>
  <x:c r="G18" i="8"/>
  <x:c r="G17" i="8"/>
  <x:c r="G16" i="8"/>
  <x:c r="Q46" i="10"/>
  <x:c r="Q45" i="10"/>
  <x:c r="Q44" i="10"/>
  <x:c r="Q43" i="10"/>
  <x:c r="Q42" i="10"/>
  <x:c r="Q41" i="10"/>
  <x:c r="Q40" i="10"/>
  <x:c r="Q39" i="10"/>
  <x:c r="Q38" i="10"/>
  <x:c r="Q37" i="10"/>
  <x:c r="Q36" i="10"/>
  <x:c r="Q35" i="10"/>
  <x:c r="O46" i="10"/>
  <x:c r="O45" i="10"/>
  <x:c r="O44" i="10"/>
  <x:c r="O43" i="10"/>
  <x:c r="O42" i="10"/>
  <x:c r="O41" i="10"/>
  <x:c r="O40" i="10"/>
  <x:c r="O39" i="10"/>
  <x:c r="O38" i="10"/>
  <x:c r="O37" i="10"/>
  <x:c r="O36" i="10"/>
  <x:c r="O35" i="10"/>
  <x:c r="J27" i="7"/>
  <x:c r="J26" i="7"/>
  <x:c r="J25" i="7"/>
  <x:c r="J24" i="7"/>
  <x:c r="J23" i="7"/>
  <x:c r="J22" i="7"/>
  <x:c r="J21" i="7"/>
  <x:c r="J20" i="7"/>
  <x:c r="J19" i="7"/>
  <x:c r="J18" i="7"/>
  <x:c r="J17" i="7"/>
  <x:c r="J16" i="7"/>
  <x:c r="M46" i="10"/>
  <x:c r="M45" i="10"/>
  <x:c r="M44" i="10"/>
  <x:c r="M43" i="10"/>
  <x:c r="M42" i="10"/>
  <x:c r="M41" i="10"/>
  <x:c r="M40" i="10"/>
  <x:c r="M39" i="10"/>
  <x:c r="M38" i="10"/>
  <x:c r="M37" i="10"/>
  <x:c r="M36" i="10"/>
  <x:c r="M35" i="10"/>
  <x:c r="G27" i="7"/>
  <x:c r="G26" i="7"/>
  <x:c r="G25" i="7"/>
  <x:c r="G24" i="7"/>
  <x:c r="G23" i="7"/>
  <x:c r="G22" i="7"/>
  <x:c r="G21" i="7"/>
  <x:c r="G20" i="7"/>
  <x:c r="G19" i="7"/>
  <x:c r="G18" i="7"/>
  <x:c r="G17" i="7"/>
  <x:c r="G16" i="7"/>
  <x:c r="K46" i="10"/>
  <x:c r="K45" i="10"/>
  <x:c r="K44" i="10"/>
  <x:c r="K43" i="10"/>
  <x:c r="K42" i="10"/>
  <x:c r="K41" i="10"/>
  <x:c r="K40" i="10"/>
  <x:c r="K39" i="10"/>
  <x:c r="K38" i="10"/>
  <x:c r="K37" i="10"/>
  <x:c r="K36" i="10"/>
  <x:c r="K35" i="10"/>
  <x:c r="I46" i="10"/>
  <x:c r="I45" i="10"/>
  <x:c r="I44" i="10"/>
  <x:c r="I43" i="10"/>
  <x:c r="I42" i="10"/>
  <x:c r="I41" i="10"/>
  <x:c r="I40" i="10"/>
  <x:c r="I39" i="10"/>
  <x:c r="I38" i="10"/>
  <x:c r="I37" i="10"/>
  <x:c r="I36" i="10"/>
  <x:c r="I35" i="10"/>
  <x:c r="G35" i="10"/>
  <x:c r="G46" i="10"/>
  <x:c r="G45" i="10"/>
  <x:c r="G44" i="10"/>
  <x:c r="G43" i="10"/>
  <x:c r="G42" i="10"/>
  <x:c r="G41" i="10"/>
  <x:c r="G40" i="10"/>
  <x:c r="G39" i="10"/>
  <x:c r="G38" i="10"/>
  <x:c r="G37" i="10"/>
  <x:c r="G36" i="10"/>
  <x:c r="K27" i="23"/>
  <x:c r="I27" i="23"/>
  <x:c r="K26" i="23"/>
  <x:c r="I26" i="23"/>
  <x:c r="K25" i="23"/>
  <x:c r="I25" i="23"/>
  <x:c r="K24" i="23"/>
  <x:c r="I24" i="23"/>
  <x:c r="K23" i="23"/>
  <x:c r="I23" i="23"/>
  <x:c r="K22" i="23"/>
  <x:c r="I22" i="23"/>
  <x:c r="K21" i="23"/>
  <x:c r="I21" i="23"/>
  <x:c r="K20" i="23"/>
  <x:c r="I20" i="23"/>
  <x:c r="K19" i="23"/>
  <x:c r="I19" i="23"/>
  <x:c r="K18" i="23"/>
  <x:c r="I18" i="23"/>
  <x:c r="K17" i="23"/>
  <x:c r="I17" i="23"/>
  <x:c r="K16" i="23"/>
  <x:c r="I16" i="23"/>
  <x:c r="K27" i="6"/>
  <x:c r="I27" i="6"/>
  <x:c r="K26" i="6"/>
  <x:c r="I26" i="6"/>
  <x:c r="K25" i="6"/>
  <x:c r="I25" i="6"/>
  <x:c r="K24" i="6"/>
  <x:c r="I24" i="6"/>
  <x:c r="K23" i="6"/>
  <x:c r="I23" i="6"/>
  <x:c r="K22" i="6"/>
  <x:c r="I22" i="6"/>
  <x:c r="K21" i="6"/>
  <x:c r="I21" i="6"/>
  <x:c r="K20" i="6"/>
  <x:c r="I20" i="6"/>
  <x:c r="K19" i="6"/>
  <x:c r="I19" i="6"/>
  <x:c r="K18" i="6"/>
  <x:c r="I18" i="6"/>
  <x:c r="K17" i="6"/>
  <x:c r="I17" i="6"/>
  <x:c r="K16" i="6"/>
  <x:c r="I16" i="6"/>
  <x:c r="Q45" i="5"/>
  <x:c r="O45" i="5"/>
  <x:c r="Q44" i="5"/>
  <x:c r="O44" i="5"/>
  <x:c r="Q43" i="5"/>
  <x:c r="O43" i="5"/>
  <x:c r="Q42" i="5"/>
  <x:c r="O42" i="5"/>
  <x:c r="Q41" i="5"/>
  <x:c r="O41" i="5"/>
  <x:c r="Q40" i="5"/>
  <x:c r="O40" i="5"/>
  <x:c r="Q39" i="5"/>
  <x:c r="O39" i="5"/>
  <x:c r="Q38" i="5"/>
  <x:c r="O38" i="5"/>
  <x:c r="Q37" i="5"/>
  <x:c r="O37" i="5"/>
  <x:c r="Q36" i="5"/>
  <x:c r="O36" i="5"/>
  <x:c r="Q35" i="5"/>
  <x:c r="O35" i="5"/>
  <x:c r="Q34" i="5"/>
  <x:c r="O34" i="5"/>
  <x:c r="Q27" i="5"/>
  <x:c r="O27" i="5"/>
  <x:c r="Q26" i="5"/>
  <x:c r="O26" i="5"/>
  <x:c r="Q25" i="5"/>
  <x:c r="O25" i="5"/>
  <x:c r="Q24" i="5"/>
  <x:c r="O24" i="5"/>
  <x:c r="Q23" i="5"/>
  <x:c r="O23" i="5"/>
  <x:c r="Q22" i="5"/>
  <x:c r="O22" i="5"/>
  <x:c r="Q21" i="5"/>
  <x:c r="O21" i="5"/>
  <x:c r="Q20" i="5"/>
  <x:c r="O20" i="5"/>
  <x:c r="Q19" i="5"/>
  <x:c r="O19" i="5"/>
  <x:c r="Q18" i="5"/>
  <x:c r="O18" i="5"/>
  <x:c r="Q17" i="5"/>
  <x:c r="O17" i="5"/>
  <x:c r="Q16" i="5"/>
  <x:c r="O16" i="5"/>
  <x:c r="Q45" i="4"/>
  <x:c r="O45" i="4"/>
  <x:c r="Q44" i="4"/>
  <x:c r="O44" i="4"/>
  <x:c r="Q43" i="4"/>
  <x:c r="O43" i="4"/>
  <x:c r="Q42" i="4"/>
  <x:c r="O42" i="4"/>
  <x:c r="Q41" i="4"/>
  <x:c r="O41" i="4"/>
  <x:c r="Q40" i="4"/>
  <x:c r="O40" i="4"/>
  <x:c r="Q39" i="4"/>
  <x:c r="O39" i="4"/>
  <x:c r="Q38" i="4"/>
  <x:c r="O38" i="4"/>
  <x:c r="Q37" i="4"/>
  <x:c r="O37" i="4"/>
  <x:c r="Q36" i="4"/>
  <x:c r="O36" i="4"/>
  <x:c r="Q35" i="4"/>
  <x:c r="O35" i="4"/>
  <x:c r="Q34" i="4"/>
  <x:c r="O34" i="4"/>
  <x:c r="Q27" i="4"/>
  <x:c r="O27" i="4"/>
  <x:c r="Q26" i="4"/>
  <x:c r="O26" i="4"/>
  <x:c r="Q25" i="4"/>
  <x:c r="O25" i="4"/>
  <x:c r="Q24" i="4"/>
  <x:c r="O24" i="4"/>
  <x:c r="Q23" i="4"/>
  <x:c r="O23" i="4"/>
  <x:c r="Q22" i="4"/>
  <x:c r="O22" i="4"/>
  <x:c r="Q21" i="4"/>
  <x:c r="O21" i="4"/>
  <x:c r="Q20" i="4"/>
  <x:c r="O20" i="4"/>
  <x:c r="Q19" i="4"/>
  <x:c r="O19" i="4"/>
  <x:c r="Q18" i="4"/>
  <x:c r="O18" i="4"/>
  <x:c r="Q17" i="4"/>
  <x:c r="O17" i="4"/>
  <x:c r="Q16" i="4"/>
  <x:c r="O16" i="4"/>
  <x:c r="T45" i="3"/>
  <x:c r="R45" i="3"/>
  <x:c r="T44" i="3"/>
  <x:c r="R44" i="3"/>
  <x:c r="T43" i="3"/>
  <x:c r="R43" i="3"/>
  <x:c r="T42" i="3"/>
  <x:c r="R42" i="3"/>
  <x:c r="T41" i="3"/>
  <x:c r="R41" i="3"/>
  <x:c r="T40" i="3"/>
  <x:c r="R40" i="3"/>
  <x:c r="T39" i="3"/>
  <x:c r="R39" i="3"/>
  <x:c r="T38" i="3"/>
  <x:c r="R38" i="3"/>
  <x:c r="T37" i="3"/>
  <x:c r="R37" i="3"/>
  <x:c r="T36" i="3"/>
  <x:c r="R36" i="3"/>
  <x:c r="T35" i="3"/>
  <x:c r="R35" i="3"/>
  <x:c r="T34" i="3"/>
  <x:c r="R34" i="3"/>
  <x:c r="T27" i="3"/>
  <x:c r="R27" i="3"/>
  <x:c r="T26" i="3"/>
  <x:c r="R26" i="3"/>
  <x:c r="T25" i="3"/>
  <x:c r="R25" i="3"/>
  <x:c r="T24" i="3"/>
  <x:c r="R24" i="3"/>
  <x:c r="T23" i="3"/>
  <x:c r="R23" i="3"/>
  <x:c r="T22" i="3"/>
  <x:c r="R22" i="3"/>
  <x:c r="T21" i="3"/>
  <x:c r="R21" i="3"/>
  <x:c r="T20" i="3"/>
  <x:c r="R20" i="3"/>
  <x:c r="T19" i="3"/>
  <x:c r="R19" i="3"/>
  <x:c r="T18" i="3"/>
  <x:c r="R18" i="3"/>
  <x:c r="T17" i="3"/>
  <x:c r="R17" i="3"/>
  <x:c r="T16" i="3"/>
  <x:c r="R16" i="3"/>
  <x:c r="G16" i="23"/>
  <x:c r="G16" i="6"/>
  <x:c r="G34" i="5"/>
  <x:c r="G16" i="5"/>
  <x:c r="G34" i="4"/>
  <x:c r="G16" i="4"/>
  <x:c r="G45" i="28"/>
  <x:c r="G44" i="28"/>
  <x:c r="G43" i="28"/>
  <x:c r="G42" i="28"/>
  <x:c r="G41" i="28"/>
  <x:c r="G40" i="28"/>
  <x:c r="G39" i="28"/>
  <x:c r="G38" i="28"/>
  <x:c r="G37" i="28"/>
  <x:c r="G36" i="28"/>
  <x:c r="G35" i="28"/>
  <x:c r="G34" i="28"/>
  <x:c r="G27" i="28"/>
  <x:c r="G26" i="28"/>
  <x:c r="G25" i="28"/>
  <x:c r="G24" i="28"/>
  <x:c r="G23" i="28"/>
  <x:c r="G22" i="28"/>
  <x:c r="G21" i="28"/>
  <x:c r="G20" i="28"/>
  <x:c r="G19" i="28"/>
  <x:c r="G18" i="28"/>
  <x:c r="G17" i="28"/>
  <x:c r="G16" i="28"/>
  <x:c r="G34" i="3"/>
  <x:c r="G16" i="3"/>
  <x:c r="AA46" i="10" l="1"/>
  <x:c r="AA39" i="10" l="1"/>
  <x:c r="AA45" i="10"/>
  <x:c r="AA38" i="10"/>
  <x:c r="AA44" i="10"/>
  <x:c r="AA37" i="10"/>
  <x:c r="AA42" i="10"/>
  <x:c r="AA40" i="10"/>
  <x:c r="AA36" i="10"/>
  <x:c r="AA35" i="10"/>
  <x:c r="AA41" i="10"/>
  <x:c r="AA43" i="10"/>
  <x:c r="E17" i="28" l="1"/>
  <x:c r="E35" i="28" s="1"/>
  <x:c r="E53" i="28" s="1"/>
  <x:c r="E18" i="28"/>
  <x:c r="E19" i="28"/>
  <x:c r="E37" i="28" s="1"/>
  <x:c r="E55" i="28" s="1"/>
  <x:c r="E20" i="28"/>
  <x:c r="E38" i="28" s="1"/>
  <x:c r="E56" i="28" s="1"/>
  <x:c r="E21" i="28"/>
  <x:c r="E22" i="28"/>
  <x:c r="E40" i="28" s="1"/>
  <x:c r="E58" i="28" s="1"/>
  <x:c r="E23" i="28"/>
  <x:c r="E41" i="28" s="1"/>
  <x:c r="E59" i="28" s="1"/>
  <x:c r="E24" i="28"/>
  <x:c r="E42" i="28" s="1"/>
  <x:c r="E60" i="28" s="1"/>
  <x:c r="E25" i="28"/>
  <x:c r="E43" i="28" s="1"/>
  <x:c r="E61" i="28" s="1"/>
  <x:c r="E26" i="28"/>
  <x:c r="E44" i="28" s="1"/>
  <x:c r="E62" i="28" s="1"/>
  <x:c r="E27" i="28"/>
  <x:c r="E45" i="28" s="1"/>
  <x:c r="E63" i="28" s="1"/>
  <x:c r="E16" i="28"/>
  <x:c r="E34" i="28" s="1"/>
  <x:c r="E52" i="28" s="1"/>
  <x:c r="C16" i="28"/>
  <x:c r="C34" i="28" s="1"/>
  <x:c r="C52" i="28" s="1"/>
  <x:c r="A9" i="28"/>
  <x:c r="A7" i="28"/>
  <x:c r="A6" i="28"/>
  <x:c r="A5" i="28"/>
  <x:c r="A4" i="28"/>
  <x:c r="AB1" i="28"/>
  <x:c r="M45" i="28"/>
  <x:c r="K45" i="28"/>
  <x:c r="M44" i="28"/>
  <x:c r="K44" i="28"/>
  <x:c r="M43" i="28"/>
  <x:c r="K43" i="28"/>
  <x:c r="M42" i="28"/>
  <x:c r="K42" i="28"/>
  <x:c r="M41" i="28"/>
  <x:c r="K41" i="28"/>
  <x:c r="M40" i="28"/>
  <x:c r="K40" i="28"/>
  <x:c r="M39" i="28"/>
  <x:c r="K39" i="28"/>
  <x:c r="M38" i="28"/>
  <x:c r="K38" i="28"/>
  <x:c r="M37" i="28"/>
  <x:c r="K37" i="28"/>
  <x:c r="M36" i="28"/>
  <x:c r="K36" i="28"/>
  <x:c r="M35" i="28"/>
  <x:c r="K35" i="28"/>
  <x:c r="M34" i="28"/>
  <x:c r="K34" i="28"/>
  <x:c r="M27" i="28"/>
  <x:c r="K27" i="28"/>
  <x:c r="M26" i="28"/>
  <x:c r="K26" i="28"/>
  <x:c r="M25" i="28"/>
  <x:c r="K25" i="28"/>
  <x:c r="M24" i="28"/>
  <x:c r="K24" i="28"/>
  <x:c r="M23" i="28"/>
  <x:c r="K23" i="28"/>
  <x:c r="M22" i="28"/>
  <x:c r="K22" i="28"/>
  <x:c r="M21" i="28"/>
  <x:c r="K21" i="28"/>
  <x:c r="M20" i="28"/>
  <x:c r="K20" i="28"/>
  <x:c r="M19" i="28"/>
  <x:c r="K19" i="28"/>
  <x:c r="M18" i="28"/>
  <x:c r="K18" i="28"/>
  <x:c r="M17" i="28"/>
  <x:c r="K17" i="28"/>
  <x:c r="M16" i="28"/>
  <x:c r="K16" i="28"/>
  <x:c r="X46" i="28"/>
  <x:c r="U45" i="28"/>
  <x:c r="U44" i="28"/>
  <x:c r="U43" i="28"/>
  <x:c r="U42" i="28"/>
  <x:c r="U41" i="28"/>
  <x:c r="U40" i="28"/>
  <x:c r="U39" i="28"/>
  <x:c r="U38" i="28"/>
  <x:c r="U37" i="28"/>
  <x:c r="U36" i="28"/>
  <x:c r="U35" i="28"/>
  <x:c r="U34" i="28"/>
  <x:c r="E39" i="28"/>
  <x:c r="E57" i="28" s="1"/>
  <x:c r="E36" i="28"/>
  <x:c r="E54" i="28" s="1"/>
  <x:c r="A17" i="28"/>
  <x:c r="A18" i="28" s="1"/>
  <x:c r="A19" i="28" s="1"/>
  <x:c r="A20" i="28" s="1"/>
  <x:c r="A21" i="28" s="1"/>
  <x:c r="A22" i="28" s="1"/>
  <x:c r="A23" i="28" s="1"/>
  <x:c r="A24" i="28" s="1"/>
  <x:c r="A25" i="28" s="1"/>
  <x:c r="A26" i="28" s="1"/>
  <x:c r="A27" i="28" s="1"/>
  <x:c r="A28" i="28" s="1"/>
  <x:c r="A29" i="28" s="1"/>
  <x:c r="A30" i="28" s="1"/>
  <x:c r="A31" i="28" s="1"/>
  <x:c r="A32" i="28" s="1"/>
  <x:c r="A33" i="28" s="1"/>
  <x:c r="A34" i="28" s="1"/>
  <x:c r="A35" i="28" s="1"/>
  <x:c r="A36" i="28" s="1"/>
  <x:c r="A37" i="28" s="1"/>
  <x:c r="A38" i="28" s="1"/>
  <x:c r="A39" i="28" s="1"/>
  <x:c r="A40" i="28" s="1"/>
  <x:c r="A41" i="28" s="1"/>
  <x:c r="A42" i="28" s="1"/>
  <x:c r="A43" i="28" s="1"/>
  <x:c r="A44" i="28" s="1"/>
  <x:c r="A45" i="28" s="1"/>
  <x:c r="A46" i="28" s="1"/>
  <x:c r="A47" i="28" s="1"/>
  <x:c r="A48" i="28" s="1"/>
  <x:c r="A49" i="28" s="1"/>
  <x:c r="A50" i="28" s="1"/>
  <x:c r="A51" i="28" s="1"/>
  <x:c r="A52" i="28" s="1"/>
  <x:c r="A53" i="28" s="1"/>
  <x:c r="A54" i="28" s="1"/>
  <x:c r="A55" i="28" s="1"/>
  <x:c r="A56" i="28" s="1"/>
  <x:c r="A57" i="28" s="1"/>
  <x:c r="A58" i="28" s="1"/>
  <x:c r="A59" i="28" s="1"/>
  <x:c r="A60" i="28" s="1"/>
  <x:c r="A61" i="28" s="1"/>
  <x:c r="A62" i="28" s="1"/>
  <x:c r="A63" i="28" s="1"/>
  <x:c r="A64" i="28" s="1"/>
  <x:c r="G46" i="6" l="1"/>
  <x:c r="H46" i="6"/>
  <x:c r="G17" i="23" l="1"/>
  <x:c r="R46" i="23"/>
  <x:c r="M46" i="23"/>
  <x:c r="K46" i="23"/>
  <x:c r="I46" i="23"/>
  <x:c r="O45" i="23"/>
  <x:c r="Q45" i="23" s="1"/>
  <x:c r="J45" i="23"/>
  <x:c r="O44" i="23"/>
  <x:c r="Q44" i="23" s="1"/>
  <x:c r="J44" i="23"/>
  <x:c r="O43" i="23"/>
  <x:c r="Q43" i="23" s="1"/>
  <x:c r="J43" i="23"/>
  <x:c r="O42" i="23"/>
  <x:c r="Q42" i="23" s="1"/>
  <x:c r="J42" i="23"/>
  <x:c r="O41" i="23"/>
  <x:c r="Q41" i="23" s="1"/>
  <x:c r="J41" i="23"/>
  <x:c r="O40" i="23"/>
  <x:c r="Q40" i="23" s="1"/>
  <x:c r="J40" i="23"/>
  <x:c r="O39" i="23"/>
  <x:c r="Q39" i="23" s="1"/>
  <x:c r="J39" i="23"/>
  <x:c r="O38" i="23"/>
  <x:c r="Q38" i="23" s="1"/>
  <x:c r="J38" i="23"/>
  <x:c r="O37" i="23"/>
  <x:c r="Q37" i="23" s="1"/>
  <x:c r="J37" i="23"/>
  <x:c r="O36" i="23"/>
  <x:c r="Q36" i="23" s="1"/>
  <x:c r="J36" i="23"/>
  <x:c r="O35" i="23"/>
  <x:c r="Q35" i="23" s="1"/>
  <x:c r="J35" i="23"/>
  <x:c r="O34" i="23"/>
  <x:c r="Q34" i="23" s="1"/>
  <x:c r="J34" i="23"/>
  <x:c r="R27" i="23"/>
  <x:c r="E27" i="23"/>
  <x:c r="E45" i="23" s="1"/>
  <x:c r="E63" i="23" s="1"/>
  <x:c r="R26" i="23"/>
  <x:c r="E26" i="23"/>
  <x:c r="E44" i="23" s="1"/>
  <x:c r="E62" i="23" s="1"/>
  <x:c r="R25" i="23"/>
  <x:c r="E25" i="23"/>
  <x:c r="E43" i="23" s="1"/>
  <x:c r="E61" i="23" s="1"/>
  <x:c r="R24" i="23"/>
  <x:c r="E24" i="23"/>
  <x:c r="E42" i="23" s="1"/>
  <x:c r="E60" i="23" s="1"/>
  <x:c r="R23" i="23"/>
  <x:c r="E23" i="23"/>
  <x:c r="E41" i="23" s="1"/>
  <x:c r="E59" i="23" s="1"/>
  <x:c r="R22" i="23"/>
  <x:c r="R28" i="23" s="1"/>
  <x:c r="E22" i="23"/>
  <x:c r="E40" i="23" s="1"/>
  <x:c r="E58" i="23" s="1"/>
  <x:c r="R21" i="23"/>
  <x:c r="E21" i="23"/>
  <x:c r="E39" i="23" s="1"/>
  <x:c r="E57" i="23" s="1"/>
  <x:c r="R20" i="23"/>
  <x:c r="E20" i="23"/>
  <x:c r="E38" i="23" s="1"/>
  <x:c r="E56" i="23" s="1"/>
  <x:c r="R19" i="23"/>
  <x:c r="E19" i="23"/>
  <x:c r="E37" i="23" s="1"/>
  <x:c r="E55" i="23" s="1"/>
  <x:c r="R18" i="23"/>
  <x:c r="E18" i="23"/>
  <x:c r="E36" i="23" s="1"/>
  <x:c r="E54" i="23" s="1"/>
  <x:c r="R17" i="23"/>
  <x:c r="E17" i="23"/>
  <x:c r="E35" i="23" s="1"/>
  <x:c r="E53" i="23" s="1"/>
  <x:c r="A17" i="23"/>
  <x:c r="A18" i="23" s="1"/>
  <x:c r="A19" i="23" s="1"/>
  <x:c r="A20" i="23" s="1"/>
  <x:c r="A21" i="23" s="1"/>
  <x:c r="A22" i="23" s="1"/>
  <x:c r="A23" i="23" s="1"/>
  <x:c r="A24" i="23" s="1"/>
  <x:c r="A25" i="23" s="1"/>
  <x:c r="A26" i="23" s="1"/>
  <x:c r="A27" i="23" s="1"/>
  <x:c r="A28" i="23" s="1"/>
  <x:c r="A29" i="23" s="1"/>
  <x:c r="A30" i="23" s="1"/>
  <x:c r="A31" i="23" s="1"/>
  <x:c r="A32" i="23" s="1"/>
  <x:c r="A33" i="23" s="1"/>
  <x:c r="A34" i="23" s="1"/>
  <x:c r="A35" i="23" s="1"/>
  <x:c r="A36" i="23" s="1"/>
  <x:c r="A37" i="23" s="1"/>
  <x:c r="A38" i="23" s="1"/>
  <x:c r="A39" i="23" s="1"/>
  <x:c r="A40" i="23" s="1"/>
  <x:c r="A41" i="23" s="1"/>
  <x:c r="A42" i="23" s="1"/>
  <x:c r="A43" i="23" s="1"/>
  <x:c r="A44" i="23" s="1"/>
  <x:c r="A45" i="23" s="1"/>
  <x:c r="A46" i="23" s="1"/>
  <x:c r="A47" i="23" s="1"/>
  <x:c r="A48" i="23" s="1"/>
  <x:c r="A49" i="23" s="1"/>
  <x:c r="A50" i="23" s="1"/>
  <x:c r="A51" i="23" s="1"/>
  <x:c r="A52" i="23" s="1"/>
  <x:c r="A53" i="23" s="1"/>
  <x:c r="A54" i="23" s="1"/>
  <x:c r="A55" i="23" s="1"/>
  <x:c r="A56" i="23" s="1"/>
  <x:c r="A57" i="23" s="1"/>
  <x:c r="A58" i="23" s="1"/>
  <x:c r="A59" i="23" s="1"/>
  <x:c r="A60" i="23" s="1"/>
  <x:c r="A61" i="23" s="1"/>
  <x:c r="A62" i="23" s="1"/>
  <x:c r="A63" i="23" s="1"/>
  <x:c r="A64" i="23" s="1"/>
  <x:c r="R16" i="23"/>
  <x:c r="E16" i="23"/>
  <x:c r="E34" i="23" s="1"/>
  <x:c r="E52" i="23" s="1"/>
  <x:c r="C16" i="23"/>
  <x:c r="C34" i="23" s="1"/>
  <x:c r="C52" i="23" s="1"/>
  <x:c r="A9" i="23"/>
  <x:c r="A7" i="23"/>
  <x:c r="A6" i="23"/>
  <x:c r="A5" i="23"/>
  <x:c r="A4" i="23"/>
  <x:c r="O46" i="23" l="1"/>
  <x:c r="Q46" i="23"/>
  <x:c r="G18" i="23"/>
  <x:c r="G19" i="23" l="1"/>
  <x:c r="G20" i="23" l="1"/>
  <x:c r="G21" i="23" l="1"/>
  <x:c r="G22" i="23" l="1"/>
  <x:c r="G23" i="23" l="1"/>
  <x:c r="G24" i="23" l="1"/>
  <x:c r="G25" i="23" l="1"/>
  <x:c r="S35" i="3"/>
  <x:c r="S36" i="3"/>
  <x:c r="S37" i="3"/>
  <x:c r="S38" i="3"/>
  <x:c r="S39" i="3"/>
  <x:c r="S40" i="3"/>
  <x:c r="S41" i="3"/>
  <x:c r="S42" i="3"/>
  <x:c r="S43" i="3"/>
  <x:c r="S44" i="3"/>
  <x:c r="S45" i="3"/>
  <x:c r="G26" i="23" l="1"/>
  <x:c r="G27" i="23" l="1"/>
  <x:c r="A9" i="4"/>
  <x:c r="A9" i="5"/>
  <x:c r="A9" i="7"/>
  <x:c r="A9" i="6"/>
  <x:c r="A9" i="8"/>
  <x:c r="A9" i="3"/>
  <x:c r="A6" i="4"/>
  <x:c r="A6" i="5"/>
  <x:c r="A6" i="7"/>
  <x:c r="A6" i="6"/>
  <x:c r="A6" i="8"/>
  <x:c r="A6" i="3"/>
  <x:c r="A5" i="4"/>
  <x:c r="A5" i="5"/>
  <x:c r="A5" i="7"/>
  <x:c r="A5" i="6"/>
  <x:c r="A5" i="8"/>
  <x:c r="A5" i="3"/>
  <x:c r="A4" i="4"/>
  <x:c r="A4" i="5"/>
  <x:c r="A4" i="7"/>
  <x:c r="A4" i="6"/>
  <x:c r="A4" i="8"/>
  <x:c r="A4" i="3"/>
  <x:c r="A18" i="3" l="1"/>
  <x:c r="A19" i="3" s="1"/>
  <x:c r="A20" i="3" s="1"/>
  <x:c r="A21" i="3" s="1"/>
  <x:c r="A22" i="3" s="1"/>
  <x:c r="A23" i="3" s="1"/>
  <x:c r="A24" i="3" s="1"/>
  <x:c r="A25" i="3" s="1"/>
  <x:c r="A26" i="3" s="1"/>
  <x:c r="A27" i="3" s="1"/>
  <x:c r="A28" i="3" s="1"/>
  <x:c r="A29" i="3" s="1"/>
  <x:c r="A30" i="3" s="1"/>
  <x:c r="A31" i="3" s="1"/>
  <x:c r="A32" i="3" s="1"/>
  <x:c r="A33" i="3" s="1"/>
  <x:c r="A34" i="3" s="1"/>
  <x:c r="A35" i="3" s="1"/>
  <x:c r="A36" i="3" s="1"/>
  <x:c r="A37" i="3" s="1"/>
  <x:c r="A38" i="3" s="1"/>
  <x:c r="A39" i="3" s="1"/>
  <x:c r="A40" i="3" s="1"/>
  <x:c r="A41" i="3" s="1"/>
  <x:c r="A42" i="3" s="1"/>
  <x:c r="A43" i="3" s="1"/>
  <x:c r="A44" i="3" s="1"/>
  <x:c r="A45" i="3" s="1"/>
  <x:c r="A46" i="3" s="1"/>
  <x:c r="A47" i="3" s="1"/>
  <x:c r="A48" i="3" s="1"/>
  <x:c r="A49" i="3" s="1"/>
  <x:c r="A50" i="3" s="1"/>
  <x:c r="A51" i="3" s="1"/>
  <x:c r="A52" i="3" s="1"/>
  <x:c r="A53" i="3" s="1"/>
  <x:c r="A54" i="3" s="1"/>
  <x:c r="A55" i="3" s="1"/>
  <x:c r="A56" i="3" s="1"/>
  <x:c r="A57" i="3" s="1"/>
  <x:c r="A58" i="3" s="1"/>
  <x:c r="A59" i="3" s="1"/>
  <x:c r="A60" i="3" s="1"/>
  <x:c r="A61" i="3" s="1"/>
  <x:c r="A62" i="3" s="1"/>
  <x:c r="A63" i="3" s="1"/>
  <x:c r="A64" i="3" s="1"/>
  <x:c r="A17" i="3"/>
  <x:c r="J35" i="6" l="1"/>
  <x:c r="J36" i="6"/>
  <x:c r="J37" i="6"/>
  <x:c r="J38" i="6"/>
  <x:c r="J39" i="6"/>
  <x:c r="J40" i="6"/>
  <x:c r="J41" i="6"/>
  <x:c r="J42" i="6"/>
  <x:c r="J43" i="6"/>
  <x:c r="J44" i="6"/>
  <x:c r="J45" i="6"/>
  <x:c r="G17" i="6"/>
  <x:c r="E27" i="6"/>
  <x:c r="E45" i="6" s="1"/>
  <x:c r="E26" i="6"/>
  <x:c r="E44" i="6" s="1"/>
  <x:c r="E25" i="6"/>
  <x:c r="E43" i="6" s="1"/>
  <x:c r="E24" i="6"/>
  <x:c r="E42" i="6" s="1"/>
  <x:c r="E23" i="6"/>
  <x:c r="E41" i="6" s="1"/>
  <x:c r="E22" i="6"/>
  <x:c r="E40" i="6" s="1"/>
  <x:c r="E21" i="6"/>
  <x:c r="E39" i="6" s="1"/>
  <x:c r="E20" i="6"/>
  <x:c r="E38" i="6" s="1"/>
  <x:c r="E19" i="6"/>
  <x:c r="E37" i="6" s="1"/>
  <x:c r="E18" i="6"/>
  <x:c r="E36" i="6" s="1"/>
  <x:c r="E17" i="6"/>
  <x:c r="E35" i="6" s="1"/>
  <x:c r="E16" i="6"/>
  <x:c r="E34" i="6" s="1"/>
  <x:c r="C16" i="6"/>
  <x:c r="E17" i="7"/>
  <x:c r="E35" i="7" s="1"/>
  <x:c r="E18" i="7"/>
  <x:c r="E36" i="7" s="1"/>
  <x:c r="E19" i="7"/>
  <x:c r="E37" i="7" s="1"/>
  <x:c r="E20" i="7"/>
  <x:c r="E38" i="7" s="1"/>
  <x:c r="E21" i="7"/>
  <x:c r="E39" i="7" s="1"/>
  <x:c r="E22" i="7"/>
  <x:c r="E40" i="7" s="1"/>
  <x:c r="E23" i="7"/>
  <x:c r="E41" i="7" s="1"/>
  <x:c r="E24" i="7"/>
  <x:c r="E42" i="7" s="1"/>
  <x:c r="E25" i="7"/>
  <x:c r="E43" i="7" s="1"/>
  <x:c r="E26" i="7"/>
  <x:c r="E44" i="7" s="1"/>
  <x:c r="E27" i="7"/>
  <x:c r="E45" i="7" s="1"/>
  <x:c r="E16" i="7"/>
  <x:c r="E34" i="7" s="1"/>
  <x:c r="C16" i="7"/>
  <x:c r="G18" i="6" l="1"/>
  <x:c r="E27" i="8"/>
  <x:c r="E45" i="8" s="1"/>
  <x:c r="E26" i="8"/>
  <x:c r="E44" i="8" s="1"/>
  <x:c r="E25" i="8"/>
  <x:c r="E43" i="8" s="1"/>
  <x:c r="E24" i="8"/>
  <x:c r="E42" i="8" s="1"/>
  <x:c r="E23" i="8"/>
  <x:c r="E41" i="8" s="1"/>
  <x:c r="E22" i="8"/>
  <x:c r="E40" i="8" s="1"/>
  <x:c r="E21" i="8"/>
  <x:c r="E39" i="8" s="1"/>
  <x:c r="E20" i="8"/>
  <x:c r="E38" i="8" s="1"/>
  <x:c r="E19" i="8"/>
  <x:c r="E37" i="8" s="1"/>
  <x:c r="E18" i="8"/>
  <x:c r="E36" i="8" s="1"/>
  <x:c r="E17" i="8"/>
  <x:c r="E35" i="8" s="1"/>
  <x:c r="E16" i="8"/>
  <x:c r="E34" i="8" s="1"/>
  <x:c r="C16" i="8"/>
  <x:c r="C34" i="8" s="1"/>
  <x:c r="G35" i="5"/>
  <x:c r="G36" i="5" s="1"/>
  <x:c r="G37" i="5" s="1"/>
  <x:c r="G38" i="5" s="1"/>
  <x:c r="G39" i="5" s="1"/>
  <x:c r="G40" i="5" s="1"/>
  <x:c r="G41" i="5" s="1"/>
  <x:c r="G42" i="5" s="1"/>
  <x:c r="G43" i="5" s="1"/>
  <x:c r="G44" i="5" s="1"/>
  <x:c r="G45" i="5" s="1"/>
  <x:c r="G17" i="5"/>
  <x:c r="G18" i="5" s="1"/>
  <x:c r="G19" i="5" s="1"/>
  <x:c r="G20" i="5" s="1"/>
  <x:c r="G21" i="5" s="1"/>
  <x:c r="G22" i="5" s="1"/>
  <x:c r="G23" i="5" s="1"/>
  <x:c r="G24" i="5" s="1"/>
  <x:c r="G25" i="5" s="1"/>
  <x:c r="G26" i="5" s="1"/>
  <x:c r="G27" i="5" s="1"/>
  <x:c r="G19" i="6" l="1"/>
  <x:c r="E27" i="5"/>
  <x:c r="E45" i="5" s="1"/>
  <x:c r="E26" i="5"/>
  <x:c r="E44" i="5" s="1"/>
  <x:c r="E25" i="5"/>
  <x:c r="E43" i="5" s="1"/>
  <x:c r="E24" i="5"/>
  <x:c r="E42" i="5" s="1"/>
  <x:c r="E23" i="5"/>
  <x:c r="E41" i="5" s="1"/>
  <x:c r="E22" i="5"/>
  <x:c r="E40" i="5" s="1"/>
  <x:c r="E21" i="5"/>
  <x:c r="E39" i="5" s="1"/>
  <x:c r="E20" i="5"/>
  <x:c r="E38" i="5" s="1"/>
  <x:c r="E19" i="5"/>
  <x:c r="E37" i="5" s="1"/>
  <x:c r="E18" i="5"/>
  <x:c r="E36" i="5" s="1"/>
  <x:c r="E17" i="5"/>
  <x:c r="E35" i="5" s="1"/>
  <x:c r="E16" i="5"/>
  <x:c r="E34" i="5" s="1"/>
  <x:c r="C16" i="5"/>
  <x:c r="G35" i="4"/>
  <x:c r="G36" i="4" s="1"/>
  <x:c r="G37" i="4" s="1"/>
  <x:c r="G38" i="4" s="1"/>
  <x:c r="G39" i="4" s="1"/>
  <x:c r="G40" i="4" s="1"/>
  <x:c r="G41" i="4" s="1"/>
  <x:c r="G42" i="4" s="1"/>
  <x:c r="G43" i="4" s="1"/>
  <x:c r="G44" i="4" s="1"/>
  <x:c r="G45" i="4" s="1"/>
  <x:c r="G17" i="4"/>
  <x:c r="G18" i="4" s="1"/>
  <x:c r="G19" i="4" s="1"/>
  <x:c r="G20" i="4" s="1"/>
  <x:c r="G21" i="4" s="1"/>
  <x:c r="G22" i="4" s="1"/>
  <x:c r="G23" i="4" s="1"/>
  <x:c r="G24" i="4" s="1"/>
  <x:c r="G25" i="4" s="1"/>
  <x:c r="G26" i="4" s="1"/>
  <x:c r="G27" i="4" s="1"/>
  <x:c r="E17" i="4"/>
  <x:c r="E35" i="4" s="1"/>
  <x:c r="E18" i="4"/>
  <x:c r="E36" i="4" s="1"/>
  <x:c r="E19" i="4"/>
  <x:c r="E37" i="4" s="1"/>
  <x:c r="E20" i="4"/>
  <x:c r="E38" i="4" s="1"/>
  <x:c r="E21" i="4"/>
  <x:c r="E39" i="4" s="1"/>
  <x:c r="E22" i="4"/>
  <x:c r="E40" i="4" s="1"/>
  <x:c r="E23" i="4"/>
  <x:c r="E41" i="4" s="1"/>
  <x:c r="E24" i="4"/>
  <x:c r="E42" i="4" s="1"/>
  <x:c r="E25" i="4"/>
  <x:c r="E43" i="4" s="1"/>
  <x:c r="E26" i="4"/>
  <x:c r="E44" i="4" s="1"/>
  <x:c r="E27" i="4"/>
  <x:c r="E45" i="4" s="1"/>
  <x:c r="E16" i="4"/>
  <x:c r="E34" i="4" s="1"/>
  <x:c r="C16" i="4"/>
  <x:c r="G20" i="6" l="1"/>
  <x:c r="E17" i="3"/>
  <x:c r="E35" i="3" s="1"/>
  <x:c r="E53" i="3" s="1"/>
  <x:c r="E18" i="3"/>
  <x:c r="E36" i="3" s="1"/>
  <x:c r="E54" i="3" s="1"/>
  <x:c r="E19" i="3"/>
  <x:c r="E37" i="3" s="1"/>
  <x:c r="E55" i="3" s="1"/>
  <x:c r="E20" i="3"/>
  <x:c r="E38" i="3" s="1"/>
  <x:c r="E56" i="3" s="1"/>
  <x:c r="E21" i="3"/>
  <x:c r="E39" i="3" s="1"/>
  <x:c r="E57" i="3" s="1"/>
  <x:c r="E22" i="3"/>
  <x:c r="E40" i="3" s="1"/>
  <x:c r="E58" i="3" s="1"/>
  <x:c r="E23" i="3"/>
  <x:c r="E41" i="3" s="1"/>
  <x:c r="E59" i="3" s="1"/>
  <x:c r="E24" i="3"/>
  <x:c r="E42" i="3" s="1"/>
  <x:c r="E60" i="3" s="1"/>
  <x:c r="E25" i="3"/>
  <x:c r="E43" i="3" s="1"/>
  <x:c r="E61" i="3" s="1"/>
  <x:c r="E26" i="3"/>
  <x:c r="E44" i="3" s="1"/>
  <x:c r="E62" i="3" s="1"/>
  <x:c r="E27" i="3"/>
  <x:c r="E45" i="3" s="1"/>
  <x:c r="E63" i="3" s="1"/>
  <x:c r="E16" i="3"/>
  <x:c r="E34" i="3" s="1"/>
  <x:c r="E52" i="3" s="1"/>
  <x:c r="C16" i="3"/>
  <x:c r="C34" i="3" s="1"/>
  <x:c r="C52" i="3" s="1"/>
  <x:c r="G35" i="3"/>
  <x:c r="G36" i="3" s="1"/>
  <x:c r="G17" i="3"/>
  <x:c r="G18" i="3" s="1"/>
  <x:c r="G19" i="3" s="1"/>
  <x:c r="G20" i="3" s="1"/>
  <x:c r="G21" i="3" s="1"/>
  <x:c r="G22" i="3" s="1"/>
  <x:c r="G23" i="3" s="1"/>
  <x:c r="G24" i="3" s="1"/>
  <x:c r="G25" i="3" s="1"/>
  <x:c r="G26" i="3" s="1"/>
  <x:c r="J17" i="4"/>
  <x:c r="J18" i="4"/>
  <x:c r="J36" i="4" s="1"/>
  <x:c r="M36" i="4" s="1"/>
  <x:c r="J19" i="4"/>
  <x:c r="J20" i="4"/>
  <x:c r="J20" i="5"/>
  <x:c r="J38" i="5" s="1"/>
  <x:c r="M38" i="5" s="1"/>
  <x:c r="W58" i="10"/>
  <x:c r="Y58" i="10"/>
  <x:c r="J21" i="4"/>
  <x:c r="J22" i="4"/>
  <x:c r="J22" i="5"/>
  <x:c r="M22" i="5" s="1"/>
  <x:c r="J23" i="4"/>
  <x:c r="M24" i="3"/>
  <x:c r="O24" i="28" s="1"/>
  <x:c r="J24" i="5"/>
  <x:c r="J42" i="5" s="1"/>
  <x:c r="M42" i="5" s="1"/>
  <x:c r="Y62" i="10"/>
  <x:c r="J25" i="4"/>
  <x:c r="Y63" i="10"/>
  <x:c r="O58" i="10"/>
  <x:c r="Y59" i="10"/>
  <x:c r="J16" i="5"/>
  <x:c r="E36" i="10"/>
  <x:c r="E55" i="10" s="1"/>
  <x:c r="E37" i="10"/>
  <x:c r="E56" i="10" s="1"/>
  <x:c r="E38" i="10"/>
  <x:c r="E57" i="10" s="1"/>
  <x:c r="E39" i="10"/>
  <x:c r="E58" i="10" s="1"/>
  <x:c r="E40" i="10"/>
  <x:c r="E59" i="10" s="1"/>
  <x:c r="E41" i="10"/>
  <x:c r="E60" i="10" s="1"/>
  <x:c r="E42" i="10"/>
  <x:c r="E61" i="10" s="1"/>
  <x:c r="E43" i="10"/>
  <x:c r="E62" i="10" s="1"/>
  <x:c r="E44" i="10"/>
  <x:c r="E63" i="10" s="1"/>
  <x:c r="E45" i="10"/>
  <x:c r="E64" i="10" s="1"/>
  <x:c r="E46" i="10"/>
  <x:c r="E65" i="10" s="1"/>
  <x:c r="E35" i="10"/>
  <x:c r="E54" i="10" s="1"/>
  <x:c r="A7" i="5"/>
  <x:c r="A7" i="7"/>
  <x:c r="A7" i="6"/>
  <x:c r="A7" i="8"/>
  <x:c r="A7" i="4"/>
  <x:c r="A7" i="3"/>
  <x:c r="A17" i="4"/>
  <x:c r="A18" i="4" s="1"/>
  <x:c r="A19" i="4" s="1"/>
  <x:c r="A20" i="4" s="1"/>
  <x:c r="A21" i="4" s="1"/>
  <x:c r="A22" i="4" s="1"/>
  <x:c r="A23" i="4" s="1"/>
  <x:c r="A24" i="4" s="1"/>
  <x:c r="A25" i="4" s="1"/>
  <x:c r="A26" i="4" s="1"/>
  <x:c r="A27" i="4" s="1"/>
  <x:c r="A28" i="4" s="1"/>
  <x:c r="A29" i="4" s="1"/>
  <x:c r="A30" i="4" s="1"/>
  <x:c r="A31" i="4" s="1"/>
  <x:c r="A32" i="4" s="1"/>
  <x:c r="A33" i="4" s="1"/>
  <x:c r="A34" i="4" s="1"/>
  <x:c r="A35" i="4" s="1"/>
  <x:c r="A36" i="4" s="1"/>
  <x:c r="A37" i="4" s="1"/>
  <x:c r="A38" i="4" s="1"/>
  <x:c r="A39" i="4" s="1"/>
  <x:c r="A40" i="4" s="1"/>
  <x:c r="A41" i="4" s="1"/>
  <x:c r="A42" i="4" s="1"/>
  <x:c r="A43" i="4" s="1"/>
  <x:c r="A44" i="4" s="1"/>
  <x:c r="A45" i="4" s="1"/>
  <x:c r="A46" i="4" s="1"/>
  <x:c r="A47" i="4" s="1"/>
  <x:c r="A48" i="4" s="1"/>
  <x:c r="A49" i="4" s="1"/>
  <x:c r="A50" i="4" s="1"/>
  <x:c r="A51" i="4" s="1"/>
  <x:c r="A52" i="4" s="1"/>
  <x:c r="A53" i="4" s="1"/>
  <x:c r="A54" i="4" s="1"/>
  <x:c r="A55" i="4" s="1"/>
  <x:c r="A56" i="4" s="1"/>
  <x:c r="A57" i="4" s="1"/>
  <x:c r="A58" i="4" s="1"/>
  <x:c r="A59" i="4" s="1"/>
  <x:c r="A60" i="4" s="1"/>
  <x:c r="A61" i="4" s="1"/>
  <x:c r="A62" i="4" s="1"/>
  <x:c r="A63" i="4" s="1"/>
  <x:c r="A64" i="4" s="1"/>
  <x:c r="E53" i="4"/>
  <x:c r="E54" i="4"/>
  <x:c r="E55" i="4"/>
  <x:c r="E56" i="4"/>
  <x:c r="E57" i="4"/>
  <x:c r="E58" i="4"/>
  <x:c r="E59" i="4"/>
  <x:c r="E60" i="4"/>
  <x:c r="E61" i="4"/>
  <x:c r="E62" i="4"/>
  <x:c r="E63" i="4"/>
  <x:c r="E52" i="4"/>
  <x:c r="E53" i="5"/>
  <x:c r="E54" i="5"/>
  <x:c r="E55" i="5"/>
  <x:c r="E56" i="5"/>
  <x:c r="E57" i="5"/>
  <x:c r="E58" i="5"/>
  <x:c r="E59" i="5"/>
  <x:c r="E60" i="5"/>
  <x:c r="E61" i="5"/>
  <x:c r="E62" i="5"/>
  <x:c r="E63" i="5"/>
  <x:c r="E52" i="5"/>
  <x:c r="A17" i="5"/>
  <x:c r="A18" i="5" s="1"/>
  <x:c r="A19" i="5" s="1"/>
  <x:c r="A20" i="5" s="1"/>
  <x:c r="A21" i="5" s="1"/>
  <x:c r="A22" i="5" s="1"/>
  <x:c r="A23" i="5" s="1"/>
  <x:c r="A24" i="5" s="1"/>
  <x:c r="A25" i="5" s="1"/>
  <x:c r="A26" i="5" s="1"/>
  <x:c r="A27" i="5" s="1"/>
  <x:c r="A28" i="5" s="1"/>
  <x:c r="A29" i="5" s="1"/>
  <x:c r="A30" i="5" s="1"/>
  <x:c r="A31" i="5" s="1"/>
  <x:c r="A32" i="5" s="1"/>
  <x:c r="A33" i="5" s="1"/>
  <x:c r="A34" i="5" s="1"/>
  <x:c r="A35" i="5" s="1"/>
  <x:c r="A36" i="5" s="1"/>
  <x:c r="A37" i="5" s="1"/>
  <x:c r="A38" i="5" s="1"/>
  <x:c r="A39" i="5" s="1"/>
  <x:c r="A40" i="5" s="1"/>
  <x:c r="A41" i="5" s="1"/>
  <x:c r="A42" i="5" s="1"/>
  <x:c r="A43" i="5" s="1"/>
  <x:c r="A44" i="5" s="1"/>
  <x:c r="A45" i="5" s="1"/>
  <x:c r="A46" i="5" s="1"/>
  <x:c r="A47" i="5" s="1"/>
  <x:c r="A48" i="5" s="1"/>
  <x:c r="A49" i="5" s="1"/>
  <x:c r="A50" i="5" s="1"/>
  <x:c r="A51" i="5" s="1"/>
  <x:c r="A52" i="5" s="1"/>
  <x:c r="A53" i="5" s="1"/>
  <x:c r="A54" i="5" s="1"/>
  <x:c r="A55" i="5" s="1"/>
  <x:c r="A56" i="5" s="1"/>
  <x:c r="A57" i="5" s="1"/>
  <x:c r="A58" i="5" s="1"/>
  <x:c r="A59" i="5" s="1"/>
  <x:c r="A60" i="5" s="1"/>
  <x:c r="A61" i="5" s="1"/>
  <x:c r="A62" i="5" s="1"/>
  <x:c r="A63" i="5" s="1"/>
  <x:c r="A64" i="5" s="1"/>
  <x:c r="A17" i="7"/>
  <x:c r="A18" i="7"/>
  <x:c r="A19" i="7" s="1"/>
  <x:c r="A20" i="7" s="1"/>
  <x:c r="A21" i="7" s="1"/>
  <x:c r="A22" i="7" s="1"/>
  <x:c r="A23" i="7" s="1"/>
  <x:c r="A24" i="7" s="1"/>
  <x:c r="A25" i="7" s="1"/>
  <x:c r="A26" i="7" s="1"/>
  <x:c r="A27" i="7" s="1"/>
  <x:c r="A28" i="7" s="1"/>
  <x:c r="A29" i="7" s="1"/>
  <x:c r="A30" i="7" s="1"/>
  <x:c r="A31" i="7" s="1"/>
  <x:c r="A32" i="7" s="1"/>
  <x:c r="A33" i="7" s="1"/>
  <x:c r="A34" i="7" s="1"/>
  <x:c r="A35" i="7" s="1"/>
  <x:c r="A36" i="7" s="1"/>
  <x:c r="A37" i="7" s="1"/>
  <x:c r="A38" i="7" s="1"/>
  <x:c r="A39" i="7" s="1"/>
  <x:c r="A40" i="7" s="1"/>
  <x:c r="A41" i="7" s="1"/>
  <x:c r="A42" i="7" s="1"/>
  <x:c r="A43" i="7" s="1"/>
  <x:c r="A44" i="7" s="1"/>
  <x:c r="A45" i="7" s="1"/>
  <x:c r="A46" i="7" s="1"/>
  <x:c r="A17" i="6"/>
  <x:c r="A18" i="6" s="1"/>
  <x:c r="A19" i="6" s="1"/>
  <x:c r="A20" i="6" s="1"/>
  <x:c r="A21" i="6" s="1"/>
  <x:c r="A22" i="6" s="1"/>
  <x:c r="A23" i="6" s="1"/>
  <x:c r="A24" i="6" s="1"/>
  <x:c r="A25" i="6" s="1"/>
  <x:c r="A26" i="6" s="1"/>
  <x:c r="A27" i="6" s="1"/>
  <x:c r="A28" i="6" s="1"/>
  <x:c r="A29" i="6" s="1"/>
  <x:c r="A30" i="6" s="1"/>
  <x:c r="A31" i="6" s="1"/>
  <x:c r="A32" i="6" s="1"/>
  <x:c r="A33" i="6" s="1"/>
  <x:c r="A34" i="6" s="1"/>
  <x:c r="A35" i="6" s="1"/>
  <x:c r="A36" i="6" s="1"/>
  <x:c r="A37" i="6" s="1"/>
  <x:c r="A38" i="6" s="1"/>
  <x:c r="A39" i="6" s="1"/>
  <x:c r="A40" i="6" s="1"/>
  <x:c r="A41" i="6" s="1"/>
  <x:c r="A42" i="6" s="1"/>
  <x:c r="A43" i="6" s="1"/>
  <x:c r="A44" i="6" s="1"/>
  <x:c r="A45" i="6" s="1"/>
  <x:c r="A46" i="6" s="1"/>
  <x:c r="A47" i="6" s="1"/>
  <x:c r="A48" i="6" s="1"/>
  <x:c r="A49" i="6" s="1"/>
  <x:c r="A50" i="6" s="1"/>
  <x:c r="A51" i="6" s="1"/>
  <x:c r="A52" i="6" s="1"/>
  <x:c r="A53" i="6" s="1"/>
  <x:c r="A54" i="6" s="1"/>
  <x:c r="A55" i="6" s="1"/>
  <x:c r="A56" i="6" s="1"/>
  <x:c r="A57" i="6" s="1"/>
  <x:c r="A58" i="6" s="1"/>
  <x:c r="A59" i="6" s="1"/>
  <x:c r="A60" i="6" s="1"/>
  <x:c r="A61" i="6" s="1"/>
  <x:c r="A62" i="6" s="1"/>
  <x:c r="A63" i="6" s="1"/>
  <x:c r="A64" i="6" s="1"/>
  <x:c r="E53" i="6"/>
  <x:c r="E54" i="6"/>
  <x:c r="E55" i="6"/>
  <x:c r="E56" i="6"/>
  <x:c r="E57" i="6"/>
  <x:c r="E58" i="6"/>
  <x:c r="E59" i="6"/>
  <x:c r="E60" i="6"/>
  <x:c r="E61" i="6"/>
  <x:c r="E62" i="6"/>
  <x:c r="E63" i="6"/>
  <x:c r="E52" i="6"/>
  <x:c r="A17" i="8"/>
  <x:c r="A18" i="8"/>
  <x:c r="A19" i="8" s="1"/>
  <x:c r="A20" i="8" s="1"/>
  <x:c r="A21" i="8" s="1"/>
  <x:c r="A22" i="8" s="1"/>
  <x:c r="A23" i="8" s="1"/>
  <x:c r="A24" i="8" s="1"/>
  <x:c r="A25" i="8" s="1"/>
  <x:c r="A26" i="8" s="1"/>
  <x:c r="A27" i="8" s="1"/>
  <x:c r="A28" i="8" s="1"/>
  <x:c r="A29" i="8" s="1"/>
  <x:c r="A30" i="8" s="1"/>
  <x:c r="A31" i="8" s="1"/>
  <x:c r="A32" i="8" s="1"/>
  <x:c r="A33" i="8" s="1"/>
  <x:c r="A34" i="8" s="1"/>
  <x:c r="A35" i="8" s="1"/>
  <x:c r="A36" i="8" s="1"/>
  <x:c r="A37" i="8" s="1"/>
  <x:c r="A38" i="8" s="1"/>
  <x:c r="A39" i="8" s="1"/>
  <x:c r="A40" i="8" s="1"/>
  <x:c r="A41" i="8" s="1"/>
  <x:c r="A42" i="8" s="1"/>
  <x:c r="A43" i="8" s="1"/>
  <x:c r="A44" i="8" s="1"/>
  <x:c r="A45" i="8" s="1"/>
  <x:c r="A46" i="8" s="1"/>
  <x:c r="A17" i="10"/>
  <x:c r="A18" i="10" s="1"/>
  <x:c r="A19" i="10" s="1"/>
  <x:c r="A20" i="10" s="1"/>
  <x:c r="A21" i="10" s="1"/>
  <x:c r="A22" i="10" s="1"/>
  <x:c r="A23" i="10" s="1"/>
  <x:c r="A24" i="10" s="1"/>
  <x:c r="A25" i="10" s="1"/>
  <x:c r="A26" i="10" s="1"/>
  <x:c r="A27" i="10" s="1"/>
  <x:c r="A28" i="10" s="1"/>
  <x:c r="A29" i="10" s="1"/>
  <x:c r="A30" i="10" s="1"/>
  <x:c r="A31" i="10" s="1"/>
  <x:c r="A32" i="10" s="1"/>
  <x:c r="A33" i="10" s="1"/>
  <x:c r="A34" i="10" s="1"/>
  <x:c r="A35" i="10" s="1"/>
  <x:c r="A36" i="10" s="1"/>
  <x:c r="A37" i="10" s="1"/>
  <x:c r="A38" i="10" s="1"/>
  <x:c r="A39" i="10" s="1"/>
  <x:c r="A40" i="10" s="1"/>
  <x:c r="A41" i="10" s="1"/>
  <x:c r="A42" i="10" s="1"/>
  <x:c r="A43" i="10" s="1"/>
  <x:c r="A44" i="10" s="1"/>
  <x:c r="A45" i="10" s="1"/>
  <x:c r="A46" i="10" s="1"/>
  <x:c r="A47" i="10" s="1"/>
  <x:c r="A48" i="10" s="1"/>
  <x:c r="A49" i="10" s="1"/>
  <x:c r="A50" i="10" s="1"/>
  <x:c r="A51" i="10" s="1"/>
  <x:c r="A52" i="10" s="1"/>
  <x:c r="A53" i="10" s="1"/>
  <x:c r="A54" i="10" s="1"/>
  <x:c r="A55" i="10" s="1"/>
  <x:c r="A56" i="10" s="1"/>
  <x:c r="A57" i="10" s="1"/>
  <x:c r="A58" i="10" s="1"/>
  <x:c r="A59" i="10" s="1"/>
  <x:c r="A60" i="10" s="1"/>
  <x:c r="A61" i="10" s="1"/>
  <x:c r="A62" i="10" s="1"/>
  <x:c r="A63" i="10" s="1"/>
  <x:c r="A64" i="10" s="1"/>
  <x:c r="A65" i="10" s="1"/>
  <x:c r="A66" i="10" s="1"/>
  <x:c r="Y28" i="10"/>
  <x:c r="W28" i="10"/>
  <x:c r="O28" i="10"/>
  <x:c r="Y54" i="10"/>
  <x:c r="M16" i="8"/>
  <x:c r="Q16" i="8" s="1"/>
  <x:c r="M24" i="8"/>
  <x:c r="Q24" i="8" s="1"/>
  <x:c r="M22" i="8"/>
  <x:c r="O22" i="8" s="1"/>
  <x:c r="M17" i="7"/>
  <x:c r="O17" i="7" s="1"/>
  <x:c r="M26" i="7"/>
  <x:c r="O26" i="7" s="1"/>
  <x:c r="M18" i="7"/>
  <x:c r="Q18" i="7" s="1"/>
  <x:c r="M27" i="7"/>
  <x:c r="Q27" i="7" s="1"/>
  <x:c r="M24" i="7"/>
  <x:c r="O24" i="7" s="1"/>
  <x:c r="I46" i="6"/>
  <x:c r="O45" i="6"/>
  <x:c r="Q45" i="6" s="1"/>
  <x:c r="O44" i="6"/>
  <x:c r="Q44" i="6" s="1"/>
  <x:c r="O43" i="6"/>
  <x:c r="Q43" i="6" s="1"/>
  <x:c r="O40" i="6"/>
  <x:c r="Q40" i="6" s="1"/>
  <x:c r="J34" i="6"/>
  <x:c r="J27" i="4"/>
  <x:c r="J45" i="4" s="1"/>
  <x:c r="M45" i="4" s="1"/>
  <x:c r="C35" i="10"/>
  <x:c r="C54" i="10" s="1"/>
  <x:c r="C17" i="10"/>
  <x:c r="C17" i="28" s="1"/>
  <x:c r="C35" i="28" s="1"/>
  <x:c r="C53" i="28" s="1"/>
  <x:c r="J17" i="5"/>
  <x:c r="M17" i="5" s="1"/>
  <x:c r="J18" i="5"/>
  <x:c r="J36" i="5" s="1"/>
  <x:c r="M36" i="5" s="1"/>
  <x:c r="J21" i="5"/>
  <x:c r="J39" i="5" s="1"/>
  <x:c r="M39" i="5" s="1"/>
  <x:c r="O59" i="10"/>
  <x:c r="W61" i="10"/>
  <x:c r="Y61" i="10"/>
  <x:c r="J24" i="4"/>
  <x:c r="J42" i="4" s="1"/>
  <x:c r="M42" i="4" s="1"/>
  <x:c r="J25" i="5"/>
  <x:c r="J43" i="5" s="1"/>
  <x:c r="M43" i="5" s="1"/>
  <x:c r="Y60" i="10"/>
  <x:c r="O60" i="10"/>
  <x:c r="C34" i="6"/>
  <x:c r="C52" i="6" s="1"/>
  <x:c r="C34" i="7"/>
  <x:c r="C34" i="5"/>
  <x:c r="C52" i="5" s="1"/>
  <x:c r="L22" i="5"/>
  <x:c r="L28" i="5" s="1"/>
  <x:c r="C34" i="4"/>
  <x:c r="C52" i="4" s="1"/>
  <x:c r="O42" i="6"/>
  <x:c r="Q42" i="6" s="1"/>
  <x:c r="O34" i="6"/>
  <x:c r="Q34" i="6" s="1"/>
  <x:c r="O35" i="6"/>
  <x:c r="Q35" i="6" s="1"/>
  <x:c r="O36" i="6"/>
  <x:c r="Q36" i="6" s="1"/>
  <x:c r="O38" i="6"/>
  <x:c r="Q38" i="6" s="1"/>
  <x:c r="M46" i="6"/>
  <x:c r="L22" i="8"/>
  <x:c r="L28" i="8" s="1"/>
  <x:c r="L23" i="8"/>
  <x:c r="L24" i="8"/>
  <x:c r="L25" i="8"/>
  <x:c r="L26" i="8"/>
  <x:c r="L27" i="8"/>
  <x:c r="L16" i="8"/>
  <x:c r="L17" i="8"/>
  <x:c r="L18" i="8"/>
  <x:c r="L19" i="8"/>
  <x:c r="L20" i="8"/>
  <x:c r="L21" i="8"/>
  <x:c r="L22" i="7"/>
  <x:c r="L28" i="7" s="1"/>
  <x:c r="L23" i="7"/>
  <x:c r="L24" i="7"/>
  <x:c r="L25" i="7"/>
  <x:c r="L26" i="7"/>
  <x:c r="L27" i="7"/>
  <x:c r="L16" i="7"/>
  <x:c r="L17" i="7"/>
  <x:c r="L18" i="7"/>
  <x:c r="L19" i="7"/>
  <x:c r="L20" i="7"/>
  <x:c r="L21" i="7"/>
  <x:c r="R22" i="6"/>
  <x:c r="R23" i="6"/>
  <x:c r="R24" i="6"/>
  <x:c r="R25" i="6"/>
  <x:c r="R26" i="6"/>
  <x:c r="R27" i="6"/>
  <x:c r="R16" i="6"/>
  <x:c r="R17" i="6"/>
  <x:c r="R18" i="6"/>
  <x:c r="R19" i="6"/>
  <x:c r="R20" i="6"/>
  <x:c r="R21" i="6"/>
  <x:c r="R46" i="6"/>
  <x:c r="L23" i="5"/>
  <x:c r="L24" i="5"/>
  <x:c r="L25" i="5"/>
  <x:c r="L26" i="5"/>
  <x:c r="L27" i="5"/>
  <x:c r="L16" i="5"/>
  <x:c r="L17" i="5"/>
  <x:c r="L18" i="5"/>
  <x:c r="L19" i="5"/>
  <x:c r="L20" i="5"/>
  <x:c r="L21" i="5"/>
  <x:c r="S46" i="5"/>
  <x:c r="L22" i="4"/>
  <x:c r="L28" i="4" s="1"/>
  <x:c r="L23" i="4"/>
  <x:c r="L24" i="4"/>
  <x:c r="L25" i="4"/>
  <x:c r="L26" i="4"/>
  <x:c r="L27" i="4"/>
  <x:c r="L16" i="4"/>
  <x:c r="L17" i="4"/>
  <x:c r="L18" i="4"/>
  <x:c r="L19" i="4"/>
  <x:c r="L20" i="4"/>
  <x:c r="L21" i="4"/>
  <x:c r="S46" i="4"/>
  <x:c r="V46" i="3"/>
  <x:c r="S34" i="3"/>
  <x:c r="M25" i="7"/>
  <x:c r="M25" i="8"/>
  <x:c r="Q25" i="8" s="1"/>
  <x:c r="M23" i="8"/>
  <x:c r="Q23" i="8" s="1"/>
  <x:c r="W64" i="10"/>
  <x:c r="O54" i="10"/>
  <x:c r="O57" i="10"/>
  <x:c r="Y65" i="10"/>
  <x:c r="M17" i="3"/>
  <x:c r="M27" i="3"/>
  <x:c r="O27" i="28" s="1"/>
  <x:c r="M22" i="3"/>
  <x:c r="O22" i="28" s="1"/>
  <x:c r="M20" i="3"/>
  <x:c r="O20" i="28" s="1"/>
  <x:c r="M18" i="3"/>
  <x:c r="M16" i="3"/>
  <x:c r="M26" i="3"/>
  <x:c r="M17" i="8"/>
  <x:c r="O17" i="8" s="1"/>
  <x:c r="M27" i="8"/>
  <x:c r="O27" i="8" s="1"/>
  <x:c r="M18" i="8"/>
  <x:c r="Q18" i="8" s="1"/>
  <x:c r="M19" i="7"/>
  <x:c r="Q19" i="7" s="1"/>
  <x:c r="M20" i="8"/>
  <x:c r="Q20" i="8" s="1"/>
  <x:c r="M19" i="8"/>
  <x:c r="O19" i="8" s="1"/>
  <x:c r="M20" i="7"/>
  <x:c r="Q20" i="7" s="1"/>
  <x:c r="M21" i="8"/>
  <x:c r="Q21" i="8" s="1"/>
  <x:c r="M21" i="7"/>
  <x:c r="Q21" i="7" s="1"/>
  <x:c r="G28" i="8"/>
  <x:c r="O45" i="28" l="1"/>
  <x:c r="R45" i="28" s="1"/>
  <x:c r="R27" i="28"/>
  <x:c r="Q27" i="28"/>
  <x:c r="M35" i="3"/>
  <x:c r="P35" i="3" s="1"/>
  <x:c r="O17" i="28"/>
  <x:c r="O42" i="28"/>
  <x:c r="R42" i="28" s="1"/>
  <x:c r="R24" i="28"/>
  <x:c r="Q24" i="28"/>
  <x:c r="Q22" i="28"/>
  <x:c r="R22" i="28"/>
  <x:c r="O40" i="28"/>
  <x:c r="R40" i="28" s="1"/>
  <x:c r="M44" i="3"/>
  <x:c r="O26" i="28"/>
  <x:c r="P16" i="3"/>
  <x:c r="O16" i="28"/>
  <x:c r="M36" i="3"/>
  <x:c r="O18" i="28"/>
  <x:c r="O38" i="28"/>
  <x:c r="R38" i="28" s="1"/>
  <x:c r="R20" i="28"/>
  <x:c r="Q20" i="28"/>
  <x:c r="C17" i="23"/>
  <x:c r="C35" i="23" s="1"/>
  <x:c r="C53" i="23" s="1"/>
  <x:c r="G21" i="6"/>
  <x:c r="C17" i="3"/>
  <x:c r="C35" i="3" s="1"/>
  <x:c r="C53" i="3" s="1"/>
  <x:c r="Q22" i="8"/>
  <x:c r="C17" i="7"/>
  <x:c r="C35" i="7" s="1"/>
  <x:c r="C17" i="6"/>
  <x:c r="C35" i="6" s="1"/>
  <x:c r="C53" i="6" s="1"/>
  <x:c r="C17" i="8"/>
  <x:c r="C35" i="8" s="1"/>
  <x:c r="C17" i="5"/>
  <x:c r="C35" i="5" s="1"/>
  <x:c r="C53" i="5" s="1"/>
  <x:c r="C17" i="4"/>
  <x:c r="C35" i="4" s="1"/>
  <x:c r="C53" i="4" s="1"/>
  <x:c r="O25" i="8"/>
  <x:c r="Q26" i="7"/>
  <x:c r="Q19" i="8"/>
  <x:c r="O21" i="8"/>
  <x:c r="O23" i="8"/>
  <x:c r="Q27" i="8"/>
  <x:c r="Q17" i="8"/>
  <x:c r="O24" i="8"/>
  <x:c r="O18" i="8"/>
  <x:c r="O16" i="8"/>
  <x:c r="O19" i="7"/>
  <x:c r="O21" i="7"/>
  <x:c r="O18" i="7"/>
  <x:c r="Q17" i="7"/>
  <x:c r="M23" i="7"/>
  <x:c r="Q23" i="7" s="1"/>
  <x:c r="M16" i="7"/>
  <x:c r="Q16" i="7" s="1"/>
  <x:c r="J28" i="7"/>
  <x:c r="O27" i="7"/>
  <x:c r="M27" i="4"/>
  <x:c r="M16" i="5"/>
  <x:c r="J34" i="5"/>
  <x:c r="M34" i="5" s="1"/>
  <x:c r="J43" i="4"/>
  <x:c r="M43" i="4" s="1"/>
  <x:c r="M25" i="4"/>
  <x:c r="M17" i="4"/>
  <x:c r="J35" i="4"/>
  <x:c r="M35" i="4" s="1"/>
  <x:c r="G37" i="3"/>
  <x:c r="G38" i="3" s="1"/>
  <x:c r="G39" i="3" s="1"/>
  <x:c r="G40" i="3" s="1"/>
  <x:c r="G41" i="3" s="1"/>
  <x:c r="G42" i="3" s="1"/>
  <x:c r="G43" i="3" s="1"/>
  <x:c r="G44" i="3" s="1"/>
  <x:c r="P36" i="3"/>
  <x:c r="M23" i="4"/>
  <x:c r="J41" i="4"/>
  <x:c r="M41" i="4" s="1"/>
  <x:c r="M19" i="4"/>
  <x:c r="J37" i="4"/>
  <x:c r="M37" i="4" s="1"/>
  <x:c r="J23" i="5"/>
  <x:c r="J41" i="5" s="1"/>
  <x:c r="M41" i="5" s="1"/>
  <x:c r="J19" i="5"/>
  <x:c r="M19" i="5" s="1"/>
  <x:c r="M24" i="4"/>
  <x:c r="M18" i="5"/>
  <x:c r="W54" i="10"/>
  <x:c r="J26" i="5"/>
  <x:c r="M26" i="5" s="1"/>
  <x:c r="O63" i="10"/>
  <x:c r="O55" i="10"/>
  <x:c r="J35" i="5"/>
  <x:c r="M35" i="5" s="1"/>
  <x:c r="Y57" i="10"/>
  <x:c r="O62" i="10"/>
  <x:c r="Y64" i="10"/>
  <x:c r="Y56" i="10"/>
  <x:c r="O65" i="10"/>
  <x:c r="J27" i="5"/>
  <x:c r="J45" i="5" s="1"/>
  <x:c r="M45" i="5" s="1"/>
  <x:c r="O56" i="10"/>
  <x:c r="O64" i="10"/>
  <x:c r="O61" i="10"/>
  <x:c r="Y55" i="10"/>
  <x:c r="O18" i="3"/>
  <x:c r="P18" i="3"/>
  <x:c r="P26" i="3"/>
  <x:c r="G27" i="3"/>
  <x:c r="P27" i="3" s="1"/>
  <x:c r="O27" i="3"/>
  <x:c r="O26" i="3"/>
  <x:c r="P20" i="3"/>
  <x:c r="O22" i="3"/>
  <x:c r="J38" i="4"/>
  <x:c r="M38" i="4" s="1"/>
  <x:c r="M20" i="4"/>
  <x:c r="J40" i="4"/>
  <x:c r="M40" i="4" s="1"/>
  <x:c r="M22" i="4"/>
  <x:c r="M42" i="3"/>
  <x:c r="W65" i="10"/>
  <x:c r="O20" i="3"/>
  <x:c r="M40" i="3"/>
  <x:c r="M19" i="3"/>
  <x:c r="O19" i="28" s="1"/>
  <x:c r="W57" i="10"/>
  <x:c r="W60" i="10"/>
  <x:c r="W59" i="10"/>
  <x:c r="M25" i="5"/>
  <x:c r="O24" i="3"/>
  <x:c r="W63" i="10"/>
  <x:c r="W62" i="10"/>
  <x:c r="P22" i="3"/>
  <x:c r="W56" i="10"/>
  <x:c r="O17" i="3"/>
  <x:c r="M23" i="3"/>
  <x:c r="W55" i="10"/>
  <x:c r="M18" i="4"/>
  <x:c r="M38" i="3"/>
  <x:c r="M45" i="3"/>
  <x:c r="M21" i="5"/>
  <x:c r="J26" i="4"/>
  <x:c r="M34" i="3"/>
  <x:c r="P34" i="3" s="1"/>
  <x:c r="O16" i="3"/>
  <x:c r="M25" i="3"/>
  <x:c r="M21" i="3"/>
  <x:c r="J16" i="4"/>
  <x:c r="M16" i="4" s="1"/>
  <x:c r="M26" i="8"/>
  <x:c r="O26" i="8" s="1"/>
  <x:c r="J40" i="5"/>
  <x:c r="M40" i="5" s="1"/>
  <x:c r="O41" i="6"/>
  <x:c r="Q41" i="6" s="1"/>
  <x:c r="K46" i="6"/>
  <x:c r="O46" i="6" s="1"/>
  <x:c r="O37" i="6"/>
  <x:c r="Q37" i="6" s="1"/>
  <x:c r="M24" i="5"/>
  <x:c r="M20" i="5"/>
  <x:c r="O25" i="7"/>
  <x:c r="Q25" i="7"/>
  <x:c r="J28" i="8"/>
  <x:c r="P17" i="3"/>
  <x:c r="M21" i="4"/>
  <x:c r="J39" i="4"/>
  <x:c r="M39" i="4" s="1"/>
  <x:c r="M22" i="7"/>
  <x:c r="Q22" i="7" s="1"/>
  <x:c r="G28" i="7"/>
  <x:c r="O20" i="8"/>
  <x:c r="R28" i="6"/>
  <x:c r="C36" i="10"/>
  <x:c r="C55" i="10" s="1"/>
  <x:c r="C18" i="10"/>
  <x:c r="C18" i="28" s="1"/>
  <x:c r="C36" i="28" s="1"/>
  <x:c r="C54" i="28" s="1"/>
  <x:c r="O39" i="6"/>
  <x:c r="Q39" i="6" s="1"/>
  <x:c r="O20" i="7"/>
  <x:c r="Q24" i="7"/>
  <x:c r="P44" i="3" l="1"/>
  <x:c r="P21" i="3"/>
  <x:c r="O21" i="28"/>
  <x:c r="P25" i="3"/>
  <x:c r="O25" i="28"/>
  <x:c r="Q18" i="28"/>
  <x:c r="R18" i="28"/>
  <x:c r="O36" i="28"/>
  <x:c r="R36" i="28" s="1"/>
  <x:c r="O35" i="28"/>
  <x:c r="R35" i="28" s="1"/>
  <x:c r="R17" i="28"/>
  <x:c r="Q17" i="28"/>
  <x:c r="Q16" i="28"/>
  <x:c r="R16" i="28"/>
  <x:c r="O34" i="28"/>
  <x:c r="R34" i="28" s="1"/>
  <x:c r="O37" i="28"/>
  <x:c r="R37" i="28" s="1"/>
  <x:c r="Q19" i="28"/>
  <x:c r="R19" i="28"/>
  <x:c r="O23" i="3"/>
  <x:c r="O23" i="28"/>
  <x:c r="Q26" i="28"/>
  <x:c r="R26" i="28"/>
  <x:c r="O44" i="28"/>
  <x:c r="R44" i="28" s="1"/>
  <x:c r="C18" i="23"/>
  <x:c r="C36" i="23" s="1"/>
  <x:c r="C54" i="23" s="1"/>
  <x:c r="G22" i="6"/>
  <x:c r="C18" i="6"/>
  <x:c r="C36" i="6" s="1"/>
  <x:c r="C54" i="6" s="1"/>
  <x:c r="C18" i="7"/>
  <x:c r="C36" i="7" s="1"/>
  <x:c r="C18" i="8"/>
  <x:c r="C36" i="8" s="1"/>
  <x:c r="C18" i="5"/>
  <x:c r="C36" i="5" s="1"/>
  <x:c r="C54" i="5" s="1"/>
  <x:c r="C18" i="4"/>
  <x:c r="C36" i="4" s="1"/>
  <x:c r="C54" i="4" s="1"/>
  <x:c r="C18" i="3"/>
  <x:c r="C36" i="3" s="1"/>
  <x:c r="C54" i="3" s="1"/>
  <x:c r="P23" i="3"/>
  <x:c r="P40" i="3"/>
  <x:c r="G45" i="3"/>
  <x:c r="P45" i="3" s="1"/>
  <x:c r="O22" i="7"/>
  <x:c r="M28" i="8"/>
  <x:c r="J44" i="5"/>
  <x:c r="M44" i="5" s="1"/>
  <x:c r="Q26" i="8"/>
  <x:c r="O16" i="7"/>
  <x:c r="O23" i="7"/>
  <x:c r="J37" i="5"/>
  <x:c r="M37" i="5" s="1"/>
  <x:c r="P42" i="3"/>
  <x:c r="M27" i="5"/>
  <x:c r="M23" i="5"/>
  <x:c r="P38" i="3"/>
  <x:c r="O66" i="10"/>
  <x:c r="Y66" i="10"/>
  <x:c r="W66" i="10"/>
  <x:c r="M41" i="3"/>
  <x:c r="P41" i="3" s="1"/>
  <x:c r="P24" i="3"/>
  <x:c r="M26" i="4"/>
  <x:c r="J44" i="4"/>
  <x:c r="M44" i="4" s="1"/>
  <x:c r="O19" i="3"/>
  <x:c r="P19" i="3"/>
  <x:c r="M37" i="3"/>
  <x:c r="P37" i="3" s="1"/>
  <x:c r="Q46" i="6"/>
  <x:c r="O25" i="3"/>
  <x:c r="O28" i="3" s="1"/>
  <x:c r="M43" i="3"/>
  <x:c r="P43" i="3" s="1"/>
  <x:c r="J34" i="4"/>
  <x:c r="M34" i="4" s="1"/>
  <x:c r="C19" i="10"/>
  <x:c r="C19" i="28" s="1"/>
  <x:c r="C37" i="28" s="1"/>
  <x:c r="C55" i="28" s="1"/>
  <x:c r="C37" i="10"/>
  <x:c r="C56" i="10" s="1"/>
  <x:c r="M39" i="3"/>
  <x:c r="P39" i="3" s="1"/>
  <x:c r="O21" i="3"/>
  <x:c r="M28" i="7"/>
  <x:c r="O43" i="28" l="1"/>
  <x:c r="R43" i="28" s="1"/>
  <x:c r="Q25" i="28"/>
  <x:c r="R25" i="28"/>
  <x:c r="O41" i="28"/>
  <x:c r="R41" i="28" s="1"/>
  <x:c r="Q23" i="28"/>
  <x:c r="R23" i="28"/>
  <x:c r="O39" i="28"/>
  <x:c r="R39" i="28" s="1"/>
  <x:c r="Q21" i="28"/>
  <x:c r="R21" i="28"/>
  <x:c r="C19" i="23"/>
  <x:c r="C37" i="23" s="1"/>
  <x:c r="C55" i="23" s="1"/>
  <x:c r="G23" i="6"/>
  <x:c r="C19" i="7"/>
  <x:c r="C37" i="7" s="1"/>
  <x:c r="C19" i="6"/>
  <x:c r="C37" i="6" s="1"/>
  <x:c r="C55" i="6" s="1"/>
  <x:c r="C19" i="8"/>
  <x:c r="C37" i="8" s="1"/>
  <x:c r="C19" i="5"/>
  <x:c r="C37" i="5" s="1"/>
  <x:c r="C55" i="5" s="1"/>
  <x:c r="C19" i="4"/>
  <x:c r="C37" i="4" s="1"/>
  <x:c r="C55" i="4" s="1"/>
  <x:c r="C19" i="3"/>
  <x:c r="C37" i="3" s="1"/>
  <x:c r="C55" i="3" s="1"/>
  <x:c r="C38" i="10"/>
  <x:c r="C57" i="10" s="1"/>
  <x:c r="C20" i="10"/>
  <x:c r="C20" i="28" s="1"/>
  <x:c r="C38" i="28" s="1"/>
  <x:c r="C56" i="28" s="1"/>
  <x:c r="Q28" i="28" l="1"/>
  <x:c r="C20" i="23"/>
  <x:c r="C38" i="23" s="1"/>
  <x:c r="C56" i="23" s="1"/>
  <x:c r="G24" i="6"/>
  <x:c r="C20" i="7"/>
  <x:c r="C38" i="7" s="1"/>
  <x:c r="C20" i="6"/>
  <x:c r="C38" i="6" s="1"/>
  <x:c r="C56" i="6" s="1"/>
  <x:c r="C20" i="8"/>
  <x:c r="C38" i="8" s="1"/>
  <x:c r="C20" i="4"/>
  <x:c r="C38" i="4" s="1"/>
  <x:c r="C56" i="4" s="1"/>
  <x:c r="C20" i="5"/>
  <x:c r="C38" i="5" s="1"/>
  <x:c r="C56" i="5" s="1"/>
  <x:c r="C20" i="3"/>
  <x:c r="C38" i="3" s="1"/>
  <x:c r="C56" i="3" s="1"/>
  <x:c r="C39" i="10"/>
  <x:c r="C58" i="10" s="1"/>
  <x:c r="C21" i="10"/>
  <x:c r="C21" i="28" s="1"/>
  <x:c r="C39" i="28" s="1"/>
  <x:c r="C57" i="28" s="1"/>
  <x:c r="C21" i="23" l="1"/>
  <x:c r="C39" i="23" s="1"/>
  <x:c r="C57" i="23" s="1"/>
  <x:c r="G25" i="6"/>
  <x:c r="C40" i="10"/>
  <x:c r="C59" i="10" s="1"/>
  <x:c r="C21" i="7"/>
  <x:c r="C39" i="7" s="1"/>
  <x:c r="C21" i="6"/>
  <x:c r="C39" i="6" s="1"/>
  <x:c r="C57" i="6" s="1"/>
  <x:c r="C21" i="8"/>
  <x:c r="C39" i="8" s="1"/>
  <x:c r="C21" i="5"/>
  <x:c r="C39" i="5" s="1"/>
  <x:c r="C57" i="5" s="1"/>
  <x:c r="C21" i="4"/>
  <x:c r="C39" i="4" s="1"/>
  <x:c r="C57" i="4" s="1"/>
  <x:c r="C22" i="10"/>
  <x:c r="C22" i="28" s="1"/>
  <x:c r="C40" i="28" s="1"/>
  <x:c r="C58" i="28" s="1"/>
  <x:c r="C21" i="3"/>
  <x:c r="C39" i="3" s="1"/>
  <x:c r="C57" i="3" s="1"/>
  <x:c r="C22" i="23" l="1"/>
  <x:c r="C40" i="23" s="1"/>
  <x:c r="C58" i="23" s="1"/>
  <x:c r="G26" i="6"/>
  <x:c r="C23" i="10"/>
  <x:c r="C23" i="28" s="1"/>
  <x:c r="C41" i="28" s="1"/>
  <x:c r="C59" i="28" s="1"/>
  <x:c r="C22" i="7"/>
  <x:c r="C40" i="7" s="1"/>
  <x:c r="C22" i="6"/>
  <x:c r="C40" i="6" s="1"/>
  <x:c r="C58" i="6" s="1"/>
  <x:c r="C22" i="8"/>
  <x:c r="C40" i="8" s="1"/>
  <x:c r="C22" i="5"/>
  <x:c r="C40" i="5" s="1"/>
  <x:c r="C58" i="5" s="1"/>
  <x:c r="C22" i="4"/>
  <x:c r="C40" i="4" s="1"/>
  <x:c r="C58" i="4" s="1"/>
  <x:c r="C22" i="3"/>
  <x:c r="C40" i="3" s="1"/>
  <x:c r="C58" i="3" s="1"/>
  <x:c r="C41" i="10"/>
  <x:c r="C60" i="10" s="1"/>
  <x:c r="C23" i="23" l="1"/>
  <x:c r="C41" i="23" s="1"/>
  <x:c r="C59" i="23" s="1"/>
  <x:c r="G27" i="6"/>
  <x:c r="C24" i="10"/>
  <x:c r="C24" i="28" s="1"/>
  <x:c r="C42" i="28" s="1"/>
  <x:c r="C60" i="28" s="1"/>
  <x:c r="C23" i="7"/>
  <x:c r="C41" i="7" s="1"/>
  <x:c r="C23" i="6"/>
  <x:c r="C41" i="6" s="1"/>
  <x:c r="C59" i="6" s="1"/>
  <x:c r="C23" i="8"/>
  <x:c r="C41" i="8" s="1"/>
  <x:c r="C23" i="4"/>
  <x:c r="C41" i="4" s="1"/>
  <x:c r="C59" i="4" s="1"/>
  <x:c r="C23" i="5"/>
  <x:c r="C41" i="5" s="1"/>
  <x:c r="C59" i="5" s="1"/>
  <x:c r="C23" i="3"/>
  <x:c r="C41" i="3" s="1"/>
  <x:c r="C59" i="3" s="1"/>
  <x:c r="C42" i="10"/>
  <x:c r="C61" i="10" s="1"/>
  <x:c r="C24" i="23" l="1"/>
  <x:c r="C42" i="23" s="1"/>
  <x:c r="C60" i="23" s="1"/>
  <x:c r="C25" i="10"/>
  <x:c r="C25" i="28" s="1"/>
  <x:c r="C43" i="28" s="1"/>
  <x:c r="C61" i="28" s="1"/>
  <x:c r="C24" i="7"/>
  <x:c r="C42" i="7" s="1"/>
  <x:c r="C24" i="6"/>
  <x:c r="C42" i="6" s="1"/>
  <x:c r="C60" i="6" s="1"/>
  <x:c r="C24" i="8"/>
  <x:c r="C42" i="8" s="1"/>
  <x:c r="C24" i="5"/>
  <x:c r="C42" i="5" s="1"/>
  <x:c r="C60" i="5" s="1"/>
  <x:c r="C24" i="4"/>
  <x:c r="C42" i="4" s="1"/>
  <x:c r="C60" i="4" s="1"/>
  <x:c r="C24" i="3"/>
  <x:c r="C42" i="3" s="1"/>
  <x:c r="C60" i="3" s="1"/>
  <x:c r="C43" i="10"/>
  <x:c r="C62" i="10" s="1"/>
  <x:c r="C25" i="23" l="1"/>
  <x:c r="C43" i="23" s="1"/>
  <x:c r="C61" i="23" s="1"/>
  <x:c r="C26" i="10"/>
  <x:c r="C26" i="28" s="1"/>
  <x:c r="C44" i="28" s="1"/>
  <x:c r="C62" i="28" s="1"/>
  <x:c r="C25" i="7"/>
  <x:c r="C43" i="7" s="1"/>
  <x:c r="C25" i="6"/>
  <x:c r="C43" i="6" s="1"/>
  <x:c r="C61" i="6" s="1"/>
  <x:c r="C25" i="8"/>
  <x:c r="C43" i="8" s="1"/>
  <x:c r="C25" i="5"/>
  <x:c r="C43" i="5" s="1"/>
  <x:c r="C61" i="5" s="1"/>
  <x:c r="C25" i="4"/>
  <x:c r="C43" i="4" s="1"/>
  <x:c r="C61" i="4" s="1"/>
  <x:c r="C25" i="3"/>
  <x:c r="C43" i="3" s="1"/>
  <x:c r="C61" i="3" s="1"/>
  <x:c r="C44" i="10"/>
  <x:c r="C63" i="10" s="1"/>
  <x:c r="C26" i="23" l="1"/>
  <x:c r="C44" i="23" s="1"/>
  <x:c r="C62" i="23" s="1"/>
  <x:c r="C27" i="10"/>
  <x:c r="C27" i="28" s="1"/>
  <x:c r="C45" i="28" s="1"/>
  <x:c r="C63" i="28" s="1"/>
  <x:c r="C26" i="6"/>
  <x:c r="C44" i="6" s="1"/>
  <x:c r="C62" i="6" s="1"/>
  <x:c r="C26" i="7"/>
  <x:c r="C44" i="7" s="1"/>
  <x:c r="C26" i="8"/>
  <x:c r="C44" i="8" s="1"/>
  <x:c r="C26" i="5"/>
  <x:c r="C44" i="5" s="1"/>
  <x:c r="C62" i="5" s="1"/>
  <x:c r="C26" i="4"/>
  <x:c r="C44" i="4" s="1"/>
  <x:c r="C62" i="4" s="1"/>
  <x:c r="C26" i="3"/>
  <x:c r="C44" i="3" s="1"/>
  <x:c r="C62" i="3" s="1"/>
  <x:c r="C45" i="10"/>
  <x:c r="C64" i="10" s="1"/>
  <x:c r="C27" i="23" l="1"/>
  <x:c r="C45" i="23" s="1"/>
  <x:c r="C63" i="23" s="1"/>
  <x:c r="C27" i="7"/>
  <x:c r="C45" i="7" s="1"/>
  <x:c r="C27" i="6"/>
  <x:c r="C45" i="6" s="1"/>
  <x:c r="C63" i="6" s="1"/>
  <x:c r="C27" i="8"/>
  <x:c r="C45" i="8" s="1"/>
  <x:c r="C27" i="4"/>
  <x:c r="C45" i="4" s="1"/>
  <x:c r="C63" i="4" s="1"/>
  <x:c r="C27" i="5"/>
  <x:c r="C45" i="5" s="1"/>
  <x:c r="C63" i="5" s="1"/>
  <x:c r="C27" i="3"/>
  <x:c r="C45" i="3" s="1"/>
  <x:c r="C63" i="3" s="1"/>
  <x:c r="C46" i="10"/>
  <x:c r="C65" i="10" s="1"/>
  <x:c r="O25" i="23" l="1"/>
  <x:c r="Q25" i="23" s="1"/>
  <x:c r="Q61" i="23" s="1"/>
  <x:c r="S25" i="10" s="1"/>
  <x:c r="S63" i="10" s="1"/>
  <x:c r="M25" i="23" l="1"/>
  <x:c r="M23" i="6"/>
  <x:c r="U41" i="5"/>
  <x:c r="W41" i="5" s="1"/>
  <x:c r="O23" i="6" l="1"/>
  <x:c r="Q23" i="6" s="1"/>
  <x:c r="Q59" i="6" s="1"/>
  <x:c r="G41" i="8" s="1"/>
  <x:c r="I28" i="23"/>
  <x:c r="M16" i="23"/>
  <x:c r="O16" i="23"/>
  <x:c r="Q16" i="23" s="1"/>
  <x:c r="Q52" i="23" s="1"/>
  <x:c r="K28" i="6"/>
  <x:c r="S16" i="10" l="1"/>
  <x:c r="J41" i="8"/>
  <x:c r="Q23" i="10" s="1"/>
  <x:c r="Q61" i="10" s="1"/>
  <x:c r="M41" i="8" l="1"/>
  <x:c r="U23" i="10" s="1"/>
  <x:c r="U61" i="10" s="1"/>
  <x:c r="S54" i="10"/>
  <x:c r="T38" i="28" l="1"/>
  <x:c r="T34" i="28" l="1"/>
  <x:c r="V17" i="28"/>
  <x:c r="V45" i="28"/>
  <x:c r="V34" i="28"/>
  <x:c r="X34" i="3"/>
  <x:c r="Z34" i="3" s="1"/>
  <x:c r="T24" i="28"/>
  <x:c r="O17" i="23" l="1"/>
  <x:c r="Q17" i="23" s="1"/>
  <x:c r="Q53" i="23" s="1"/>
  <x:c r="M17" i="23"/>
  <x:c r="O19" i="23"/>
  <x:c r="Q19" i="23" s="1"/>
  <x:c r="Q55" i="23" s="1"/>
  <x:c r="S19" i="10" s="1"/>
  <x:c r="S57" i="10" s="1"/>
  <x:c r="M19" i="23"/>
  <x:c r="O24" i="23"/>
  <x:c r="Q24" i="23" s="1"/>
  <x:c r="Q60" i="23" s="1"/>
  <x:c r="S24" i="10" s="1"/>
  <x:c r="S62" i="10" s="1"/>
  <x:c r="M24" i="23"/>
  <x:c r="Z34" i="28"/>
  <x:c r="AB34" i="28" s="1"/>
  <x:c r="V16" i="28" l="1"/>
  <x:c r="T28" i="3"/>
  <x:c r="V36" i="28"/>
  <x:c r="O21" i="23"/>
  <x:c r="Q21" i="23" s="1"/>
  <x:c r="Q57" i="23" s="1"/>
  <x:c r="S21" i="10" s="1"/>
  <x:c r="S59" i="10" s="1"/>
  <x:c r="M21" i="23"/>
  <x:c r="V42" i="28"/>
  <x:c r="V18" i="28"/>
  <x:c r="V25" i="28"/>
  <x:c r="V44" i="28"/>
  <x:c r="O26" i="23"/>
  <x:c r="Q26" i="23" s="1"/>
  <x:c r="Q62" i="23" s="1"/>
  <x:c r="S26" i="10" s="1"/>
  <x:c r="S64" i="10" s="1"/>
  <x:c r="M26" i="23"/>
  <x:c r="V26" i="28"/>
  <x:c r="V35" i="28"/>
  <x:c r="T46" i="3"/>
  <x:c r="O23" i="23"/>
  <x:c r="Q23" i="23" s="1"/>
  <x:c r="Q59" i="23" s="1"/>
  <x:c r="S23" i="10" s="1"/>
  <x:c r="S61" i="10" s="1"/>
  <x:c r="M23" i="23"/>
  <x:c r="V37" i="28"/>
  <x:c r="V39" i="28"/>
  <x:c r="V38" i="28"/>
  <x:c r="Z38" i="28" s="1"/>
  <x:c r="AB38" i="28" s="1"/>
  <x:c r="X38" i="3"/>
  <x:c r="Z38" i="3" s="1"/>
  <x:c r="V41" i="28"/>
  <x:c r="O22" i="23"/>
  <x:c r="Q22" i="23" s="1"/>
  <x:c r="Q58" i="23" s="1"/>
  <x:c r="S22" i="10" s="1"/>
  <x:c r="S60" i="10" s="1"/>
  <x:c r="M22" i="23"/>
  <x:c r="M28" i="23" s="1"/>
  <x:c r="O27" i="23"/>
  <x:c r="Q27" i="23" s="1"/>
  <x:c r="Q63" i="23" s="1"/>
  <x:c r="S27" i="10" s="1"/>
  <x:c r="S65" i="10" s="1"/>
  <x:c r="M27" i="23"/>
  <x:c r="V22" i="28"/>
  <x:c r="V43" i="28"/>
  <x:c r="O18" i="23"/>
  <x:c r="Q18" i="23" s="1"/>
  <x:c r="M18" i="23"/>
  <x:c r="V23" i="28"/>
  <x:c r="O20" i="23"/>
  <x:c r="Q20" i="23" s="1"/>
  <x:c r="Q56" i="23" s="1"/>
  <x:c r="S20" i="10" s="1"/>
  <x:c r="S58" i="10" s="1"/>
  <x:c r="M20" i="23"/>
  <x:c r="V20" i="28"/>
  <x:c r="V40" i="28"/>
  <x:c r="K28" i="23"/>
  <x:c r="O28" i="23" s="1"/>
  <x:c r="X24" i="3"/>
  <x:c r="Z24" i="3" s="1"/>
  <x:c r="V24" i="28"/>
  <x:c r="V24" i="3"/>
  <x:c r="V27" i="28"/>
  <x:c r="V21" i="28"/>
  <x:c r="V19" i="28"/>
  <x:c r="S17" i="10"/>
  <x:c r="Q28" i="23" l="1"/>
  <x:c r="Q54" i="23"/>
  <x:c r="V46" i="28"/>
  <x:c r="U37" i="4"/>
  <x:c r="W37" i="4" s="1"/>
  <x:c r="S55" i="10"/>
  <x:c r="Z24" i="28"/>
  <x:c r="AB24" i="28" s="1"/>
  <x:c r="X24" i="28"/>
  <x:c r="V28" i="28"/>
  <x:c r="S18" i="10" l="1"/>
  <x:c r="Q64" i="23"/>
  <x:c r="Q46" i="4" l="1"/>
  <x:c r="U23" i="5"/>
  <x:c r="W23" i="5" s="1"/>
  <x:c r="W59" i="5" s="1"/>
  <x:c r="G41" i="7" s="1"/>
  <x:c r="J41" i="7" s="1"/>
  <x:c r="S23" i="5"/>
  <x:c r="U25" i="4"/>
  <x:c r="W25" i="4" s="1"/>
  <x:c r="S25" i="4"/>
  <x:c r="Q28" i="4"/>
  <x:c r="Q28" i="5"/>
  <x:c r="S56" i="10"/>
  <x:c r="S28" i="10"/>
  <x:c r="S66" i="10" l="1"/>
  <x:c r="M41" i="7"/>
  <x:c r="M23" i="10" s="1"/>
  <x:c r="M61" i="10" s="1"/>
  <x:c r="K23" i="10"/>
  <x:c r="K61" i="10" s="1"/>
  <x:c r="Q46" i="5"/>
  <x:c r="V22" i="3" l="1"/>
  <x:c r="T22" i="28"/>
  <x:c r="X22" i="3"/>
  <x:c r="Z22" i="3" s="1"/>
  <x:c r="V21" i="3"/>
  <x:c r="T21" i="28"/>
  <x:c r="X21" i="3"/>
  <x:c r="Z21" i="3" s="1"/>
  <x:c r="T27" i="28"/>
  <x:c r="V27" i="3"/>
  <x:c r="X27" i="3"/>
  <x:c r="Z27" i="3" s="1"/>
  <x:c r="T18" i="28"/>
  <x:c r="V18" i="3"/>
  <x:c r="X18" i="3"/>
  <x:c r="Z18" i="3" s="1"/>
  <x:c r="T17" i="28"/>
  <x:c r="V17" i="3"/>
  <x:c r="X17" i="3"/>
  <x:c r="Z17" i="3" s="1"/>
  <x:c r="V23" i="3"/>
  <x:c r="T23" i="28"/>
  <x:c r="X23" i="3"/>
  <x:c r="Z23" i="3" s="1"/>
  <x:c r="V25" i="3"/>
  <x:c r="T25" i="28"/>
  <x:c r="X25" i="3"/>
  <x:c r="Z25" i="3" s="1"/>
  <x:c r="T19" i="28"/>
  <x:c r="V19" i="3"/>
  <x:c r="X19" i="3"/>
  <x:c r="Z19" i="3" s="1"/>
  <x:c r="T20" i="28"/>
  <x:c r="V20" i="3"/>
  <x:c r="X20" i="3"/>
  <x:c r="Z20" i="3" s="1"/>
  <x:c r="Z56" i="3" s="1"/>
  <x:c r="T26" i="28"/>
  <x:c r="V26" i="3"/>
  <x:c r="X26" i="3"/>
  <x:c r="Z26" i="3" s="1"/>
  <x:c r="M16" i="6" l="1"/>
  <x:c r="O16" i="6"/>
  <x:c r="Q16" i="6" s="1"/>
  <x:c r="U45" i="5"/>
  <x:c r="W45" i="5" s="1"/>
  <x:c r="X25" i="28"/>
  <x:c r="Z25" i="28"/>
  <x:c r="AB25" i="28" s="1"/>
  <x:c r="V16" i="3"/>
  <x:c r="R28" i="3"/>
  <x:c r="X28" i="3" s="1"/>
  <x:c r="T16" i="28"/>
  <x:c r="X16" i="3"/>
  <x:c r="Z16" i="3" s="1"/>
  <x:c r="U38" i="4"/>
  <x:c r="W38" i="4" s="1"/>
  <x:c r="X18" i="28"/>
  <x:c r="Z18" i="28"/>
  <x:c r="AB18" i="28" s="1"/>
  <x:c r="U39" i="4"/>
  <x:c r="W39" i="4" s="1"/>
  <x:c r="X26" i="28"/>
  <x:c r="Z26" i="28"/>
  <x:c r="AB26" i="28" s="1"/>
  <x:c r="X21" i="28"/>
  <x:c r="Z21" i="28"/>
  <x:c r="AB21" i="28" s="1"/>
  <x:c r="U44" i="5"/>
  <x:c r="W44" i="5" s="1"/>
  <x:c r="U35" i="4"/>
  <x:c r="W35" i="4" s="1"/>
  <x:c r="X23" i="28"/>
  <x:c r="Z23" i="28"/>
  <x:c r="AB23" i="28" s="1"/>
  <x:c r="U39" i="5"/>
  <x:c r="W39" i="5" s="1"/>
  <x:c r="X27" i="28"/>
  <x:c r="Z27" i="28"/>
  <x:c r="AB27" i="28" s="1"/>
  <x:c r="X20" i="28"/>
  <x:c r="Z20" i="28"/>
  <x:c r="AB20" i="28" s="1"/>
  <x:c r="AB56" i="28" s="1"/>
  <x:c r="G20" i="10" s="1"/>
  <x:c r="U44" i="4"/>
  <x:c r="W44" i="4" s="1"/>
  <x:c r="X17" i="28"/>
  <x:c r="Z17" i="28"/>
  <x:c r="AB17" i="28" s="1"/>
  <x:c r="U35" i="5"/>
  <x:c r="W35" i="5" s="1"/>
  <x:c r="U37" i="5"/>
  <x:c r="W37" i="5" s="1"/>
  <x:c r="U43" i="4"/>
  <x:c r="W43" i="4" s="1"/>
  <x:c r="W61" i="4" s="1"/>
  <x:c r="I25" i="10" s="1"/>
  <x:c r="I63" i="10" s="1"/>
  <x:c r="U40" i="4"/>
  <x:c r="W40" i="4" s="1"/>
  <x:c r="U36" i="5"/>
  <x:c r="W36" i="5" s="1"/>
  <x:c r="U41" i="4"/>
  <x:c r="W41" i="4" s="1"/>
  <x:c r="U36" i="4"/>
  <x:c r="W36" i="4" s="1"/>
  <x:c r="U40" i="5"/>
  <x:c r="W40" i="5" s="1"/>
  <x:c r="X22" i="28"/>
  <x:c r="Z22" i="28"/>
  <x:c r="AB22" i="28" s="1"/>
  <x:c r="U42" i="4"/>
  <x:c r="W42" i="4" s="1"/>
  <x:c r="U43" i="5"/>
  <x:c r="W43" i="5" s="1"/>
  <x:c r="U42" i="5"/>
  <x:c r="W42" i="5" s="1"/>
  <x:c r="U45" i="4"/>
  <x:c r="W45" i="4" s="1"/>
  <x:c r="U38" i="5"/>
  <x:c r="W38" i="5" s="1"/>
  <x:c r="X19" i="28"/>
  <x:c r="Z19" i="28"/>
  <x:c r="AB19" i="28" s="1"/>
  <x:c r="V28" i="3"/>
  <x:c r="I28" i="6" l="1"/>
  <x:c r="O28" i="6" s="1"/>
  <x:c r="O28" i="5"/>
  <x:c r="U28" i="5" s="1"/>
  <x:c r="S16" i="5"/>
  <x:c r="U16" i="5"/>
  <x:c r="W16" i="5" s="1"/>
  <x:c r="G58" i="10"/>
  <x:c r="S19" i="5"/>
  <x:c r="U19" i="5"/>
  <x:c r="W19" i="5" s="1"/>
  <x:c r="W55" i="5" s="1"/>
  <x:c r="G37" i="7" s="1"/>
  <x:c r="J37" i="7" s="1"/>
  <x:c r="M27" i="6"/>
  <x:c r="O27" i="6"/>
  <x:c r="Q27" i="6" s="1"/>
  <x:c r="Q63" i="6" s="1"/>
  <x:c r="G45" i="8" s="1"/>
  <x:c r="J45" i="8" s="1"/>
  <x:c r="M19" i="6"/>
  <x:c r="O19" i="6"/>
  <x:c r="Q19" i="6" s="1"/>
  <x:c r="Q55" i="6" s="1"/>
  <x:c r="G37" i="8" s="1"/>
  <x:c r="J37" i="8" s="1"/>
  <x:c r="S25" i="5"/>
  <x:c r="U25" i="5"/>
  <x:c r="W25" i="5" s="1"/>
  <x:c r="W61" i="5" s="1"/>
  <x:c r="G43" i="7" s="1"/>
  <x:c r="J43" i="7" s="1"/>
  <x:c r="S17" i="5"/>
  <x:c r="U17" i="5"/>
  <x:c r="W17" i="5" s="1"/>
  <x:c r="W53" i="5" s="1"/>
  <x:c r="G35" i="7" s="1"/>
  <x:c r="M25" i="6"/>
  <x:c r="O25" i="6"/>
  <x:c r="Q25" i="6" s="1"/>
  <x:c r="Q61" i="6" s="1"/>
  <x:c r="G43" i="8" s="1"/>
  <x:c r="J43" i="8" s="1"/>
  <x:c r="S24" i="5"/>
  <x:c r="U24" i="5"/>
  <x:c r="W24" i="5" s="1"/>
  <x:c r="W60" i="5" s="1"/>
  <x:c r="G42" i="7" s="1"/>
  <x:c r="J42" i="7" s="1"/>
  <x:c r="S27" i="5"/>
  <x:c r="U27" i="5"/>
  <x:c r="W27" i="5" s="1"/>
  <x:c r="W63" i="5" s="1"/>
  <x:c r="G45" i="7" s="1"/>
  <x:c r="J45" i="7" s="1"/>
  <x:c r="M18" i="6"/>
  <x:c r="O18" i="6"/>
  <x:c r="Q18" i="6" s="1"/>
  <x:c r="Q54" i="6" s="1"/>
  <x:c r="G36" i="8" s="1"/>
  <x:c r="J36" i="8" s="1"/>
  <x:c r="S18" i="5"/>
  <x:c r="U18" i="5"/>
  <x:c r="W18" i="5" s="1"/>
  <x:c r="W54" i="5" s="1"/>
  <x:c r="G36" i="7" s="1"/>
  <x:c r="S24" i="4"/>
  <x:c r="U24" i="4"/>
  <x:c r="W24" i="4" s="1"/>
  <x:c r="W60" i="4" s="1"/>
  <x:c r="I24" i="10" s="1"/>
  <x:c r="I62" i="10" s="1"/>
  <x:c r="Z28" i="3"/>
  <x:c r="Z52" i="3"/>
  <x:c r="S21" i="4"/>
  <x:c r="U21" i="4"/>
  <x:c r="W21" i="4" s="1"/>
  <x:c r="W57" i="4" s="1"/>
  <x:c r="I21" i="10" s="1"/>
  <x:c r="I59" i="10" s="1"/>
  <x:c r="X16" i="28"/>
  <x:c r="T28" i="28"/>
  <x:c r="Z28" i="28" s="1"/>
  <x:c r="Z16" i="28"/>
  <x:c r="AB16" i="28" s="1"/>
  <x:c r="M20" i="6"/>
  <x:c r="O20" i="6"/>
  <x:c r="Q20" i="6" s="1"/>
  <x:c r="Q56" i="6" s="1"/>
  <x:c r="G38" i="8" s="1"/>
  <x:c r="J38" i="8" s="1"/>
  <x:c r="S26" i="5"/>
  <x:c r="U26" i="5"/>
  <x:c r="W26" i="5" s="1"/>
  <x:c r="W62" i="5" s="1"/>
  <x:c r="G44" i="7" s="1"/>
  <x:c r="J44" i="7" s="1"/>
  <x:c r="S18" i="4"/>
  <x:c r="U18" i="4"/>
  <x:c r="W18" i="4" s="1"/>
  <x:c r="W54" i="4" s="1"/>
  <x:c r="I18" i="10" s="1"/>
  <x:c r="I56" i="10" s="1"/>
  <x:c r="M24" i="6"/>
  <x:c r="O24" i="6"/>
  <x:c r="Q24" i="6" s="1"/>
  <x:c r="Q60" i="6" s="1"/>
  <x:c r="G42" i="8" s="1"/>
  <x:c r="O28" i="4"/>
  <x:c r="U28" i="4" s="1"/>
  <x:c r="S16" i="4"/>
  <x:c r="U16" i="4"/>
  <x:c r="W16" i="4" s="1"/>
  <x:c r="M22" i="6"/>
  <x:c r="O22" i="6"/>
  <x:c r="Q22" i="6" s="1"/>
  <x:c r="Q58" i="6" s="1"/>
  <x:c r="G40" i="8" s="1"/>
  <x:c r="J40" i="8" s="1"/>
  <x:c r="S20" i="4"/>
  <x:c r="U20" i="4"/>
  <x:c r="W20" i="4" s="1"/>
  <x:c r="W56" i="4" s="1"/>
  <x:c r="I20" i="10" s="1"/>
  <x:c r="I58" i="10" s="1"/>
  <x:c r="M21" i="6"/>
  <x:c r="O21" i="6"/>
  <x:c r="Q21" i="6" s="1"/>
  <x:c r="Q57" i="6" s="1"/>
  <x:c r="G39" i="8" s="1"/>
  <x:c r="J39" i="8" s="1"/>
  <x:c r="S21" i="5"/>
  <x:c r="U21" i="5"/>
  <x:c r="W21" i="5" s="1"/>
  <x:c r="W57" i="5" s="1"/>
  <x:c r="G39" i="7" s="1"/>
  <x:c r="J39" i="7" s="1"/>
  <x:c r="S19" i="4"/>
  <x:c r="U19" i="4"/>
  <x:c r="W19" i="4" s="1"/>
  <x:c r="W55" i="4" s="1"/>
  <x:c r="I19" i="10" s="1"/>
  <x:c r="I57" i="10" s="1"/>
  <x:c r="S27" i="4"/>
  <x:c r="U27" i="4"/>
  <x:c r="W27" i="4" s="1"/>
  <x:c r="W63" i="4" s="1"/>
  <x:c r="I27" i="10" s="1"/>
  <x:c r="I65" i="10" s="1"/>
  <x:c r="S20" i="5"/>
  <x:c r="U20" i="5"/>
  <x:c r="W20" i="5" s="1"/>
  <x:c r="W56" i="5" s="1"/>
  <x:c r="G38" i="7" s="1"/>
  <x:c r="J38" i="7" s="1"/>
  <x:c r="S17" i="4"/>
  <x:c r="U17" i="4"/>
  <x:c r="W17" i="4" s="1"/>
  <x:c r="W53" i="4" s="1"/>
  <x:c r="I17" i="10" s="1"/>
  <x:c r="I55" i="10" s="1"/>
  <x:c r="M17" i="6"/>
  <x:c r="O17" i="6"/>
  <x:c r="Q17" i="6" s="1"/>
  <x:c r="Q53" i="6" s="1"/>
  <x:c r="G35" i="8" s="1"/>
  <x:c r="S26" i="4"/>
  <x:c r="U26" i="4"/>
  <x:c r="W26" i="4" s="1"/>
  <x:c r="W62" i="4" s="1"/>
  <x:c r="I26" i="10" s="1"/>
  <x:c r="I64" i="10" s="1"/>
  <x:c r="S23" i="4"/>
  <x:c r="U23" i="4"/>
  <x:c r="W23" i="4" s="1"/>
  <x:c r="W59" i="4" s="1"/>
  <x:c r="I23" i="10" s="1"/>
  <x:c r="I61" i="10" s="1"/>
  <x:c r="X28" i="28"/>
  <x:c r="M26" i="6"/>
  <x:c r="O26" i="6"/>
  <x:c r="Q26" i="6" s="1"/>
  <x:c r="Q62" i="6" s="1"/>
  <x:c r="G44" i="8" s="1"/>
  <x:c r="S22" i="5"/>
  <x:c r="U22" i="5"/>
  <x:c r="W22" i="5" s="1"/>
  <x:c r="W58" i="5" s="1"/>
  <x:c r="G40" i="7" s="1"/>
  <x:c r="Q52" i="6"/>
  <x:c r="S22" i="4"/>
  <x:c r="U22" i="4"/>
  <x:c r="W22" i="4" s="1"/>
  <x:c r="W58" i="4" s="1"/>
  <x:c r="I22" i="10" s="1"/>
  <x:c r="I60" i="10" s="1"/>
  <x:c r="T40" i="28" l="1"/>
  <x:c r="Z40" i="28" s="1"/>
  <x:c r="AB40" i="28" s="1"/>
  <x:c r="AB58" i="28" s="1"/>
  <x:c r="X40" i="3"/>
  <x:c r="Z40" i="3" s="1"/>
  <x:c r="Z58" i="3" s="1"/>
  <x:c r="S28" i="4"/>
  <x:c r="M39" i="8"/>
  <x:c r="U21" i="10" s="1"/>
  <x:c r="U59" i="10" s="1"/>
  <x:c r="Q21" i="10"/>
  <x:c r="Q59" i="10" s="1"/>
  <x:c r="T36" i="28"/>
  <x:c r="Z36" i="28" s="1"/>
  <x:c r="AB36" i="28" s="1"/>
  <x:c r="AB54" i="28" s="1"/>
  <x:c r="X36" i="3"/>
  <x:c r="Z36" i="3" s="1"/>
  <x:c r="Z54" i="3" s="1"/>
  <x:c r="M45" i="8"/>
  <x:c r="U27" i="10" s="1"/>
  <x:c r="U65" i="10" s="1"/>
  <x:c r="Q27" i="10"/>
  <x:c r="Q65" i="10" s="1"/>
  <x:c r="Q28" i="6"/>
  <x:c r="T41" i="28"/>
  <x:c r="Z41" i="28" s="1"/>
  <x:c r="AB41" i="28" s="1"/>
  <x:c r="AB59" i="28" s="1"/>
  <x:c r="X41" i="3"/>
  <x:c r="Z41" i="3" s="1"/>
  <x:c r="Z59" i="3" s="1"/>
  <x:c r="M38" i="7"/>
  <x:c r="M20" i="10" s="1"/>
  <x:c r="M58" i="10" s="1"/>
  <x:c r="K20" i="10"/>
  <x:c r="K58" i="10" s="1"/>
  <x:c r="J42" i="8"/>
  <x:c r="Q24" i="10" s="1"/>
  <x:c r="Q62" i="10" s="1"/>
  <x:c r="M44" i="7"/>
  <x:c r="M26" i="10" s="1"/>
  <x:c r="M64" i="10" s="1"/>
  <x:c r="K26" i="10"/>
  <x:c r="K64" i="10" s="1"/>
  <x:c r="T35" i="28"/>
  <x:c r="R46" i="3"/>
  <x:c r="X46" i="3" s="1"/>
  <x:c r="X35" i="3"/>
  <x:c r="Z35" i="3" s="1"/>
  <x:c r="T44" i="28"/>
  <x:c r="Z44" i="28" s="1"/>
  <x:c r="AB44" i="28" s="1"/>
  <x:c r="AB62" i="28" s="1"/>
  <x:c r="X44" i="3"/>
  <x:c r="Z44" i="3" s="1"/>
  <x:c r="Z62" i="3" s="1"/>
  <x:c r="T39" i="28"/>
  <x:c r="Z39" i="28" s="1"/>
  <x:c r="AB39" i="28" s="1"/>
  <x:c r="AB57" i="28" s="1"/>
  <x:c r="X39" i="3"/>
  <x:c r="Z39" i="3" s="1"/>
  <x:c r="Z57" i="3" s="1"/>
  <x:c r="J40" i="7"/>
  <x:c r="K22" i="10" s="1"/>
  <x:c r="K60" i="10" s="1"/>
  <x:c r="M36" i="8"/>
  <x:c r="U18" i="10" s="1"/>
  <x:c r="U56" i="10" s="1"/>
  <x:c r="Q18" i="10"/>
  <x:c r="Q56" i="10" s="1"/>
  <x:c r="M43" i="8"/>
  <x:c r="U25" i="10" s="1"/>
  <x:c r="U63" i="10" s="1"/>
  <x:c r="Q25" i="10"/>
  <x:c r="Q63" i="10" s="1"/>
  <x:c r="O46" i="5"/>
  <x:c r="U46" i="5" s="1"/>
  <x:c r="U34" i="5"/>
  <x:c r="W34" i="5" s="1"/>
  <x:c r="W46" i="5" s="1"/>
  <x:c r="T42" i="28"/>
  <x:c r="Z42" i="28" s="1"/>
  <x:c r="AB42" i="28" s="1"/>
  <x:c r="AB60" i="28" s="1"/>
  <x:c r="X42" i="3"/>
  <x:c r="Z42" i="3" s="1"/>
  <x:c r="Z60" i="3" s="1"/>
  <x:c r="S28" i="5"/>
  <x:c r="M45" i="7"/>
  <x:c r="M27" i="10" s="1"/>
  <x:c r="M65" i="10" s="1"/>
  <x:c r="K27" i="10"/>
  <x:c r="K65" i="10" s="1"/>
  <x:c r="J35" i="7"/>
  <x:c r="K17" i="10" s="1"/>
  <x:c r="K55" i="10" s="1"/>
  <x:c r="T43" i="28"/>
  <x:c r="Z43" i="28" s="1"/>
  <x:c r="AB43" i="28" s="1"/>
  <x:c r="AB61" i="28" s="1"/>
  <x:c r="X43" i="3"/>
  <x:c r="Z43" i="3" s="1"/>
  <x:c r="Z61" i="3" s="1"/>
  <x:c r="W28" i="4"/>
  <x:c r="M37" i="7"/>
  <x:c r="M19" i="10" s="1"/>
  <x:c r="M57" i="10" s="1"/>
  <x:c r="K19" i="10"/>
  <x:c r="K57" i="10" s="1"/>
  <x:c r="T45" i="28"/>
  <x:c r="Z45" i="28" s="1"/>
  <x:c r="AB45" i="28" s="1"/>
  <x:c r="AB63" i="28" s="1"/>
  <x:c r="X45" i="3"/>
  <x:c r="Z45" i="3" s="1"/>
  <x:c r="Z63" i="3" s="1"/>
  <x:c r="AB28" i="28"/>
  <x:c r="AB52" i="28"/>
  <x:c r="G16" i="10" s="1"/>
  <x:c r="T37" i="28"/>
  <x:c r="Z37" i="28" s="1"/>
  <x:c r="AB37" i="28" s="1"/>
  <x:c r="AB55" i="28" s="1"/>
  <x:c r="X37" i="3"/>
  <x:c r="Z37" i="3" s="1"/>
  <x:c r="Z55" i="3" s="1"/>
  <x:c r="G34" i="8"/>
  <x:c r="Q64" i="6"/>
  <x:c r="J36" i="7"/>
  <x:c r="K18" i="10" s="1"/>
  <x:c r="K56" i="10" s="1"/>
  <x:c r="O46" i="4"/>
  <x:c r="U46" i="4" s="1"/>
  <x:c r="U34" i="4"/>
  <x:c r="W34" i="4" s="1"/>
  <x:c r="W46" i="4" s="1"/>
  <x:c r="M40" i="8"/>
  <x:c r="U22" i="10" s="1"/>
  <x:c r="U60" i="10" s="1"/>
  <x:c r="Q22" i="10"/>
  <x:c r="Q60" i="10" s="1"/>
  <x:c r="M42" i="7"/>
  <x:c r="M24" i="10" s="1"/>
  <x:c r="M62" i="10" s="1"/>
  <x:c r="K24" i="10"/>
  <x:c r="K62" i="10" s="1"/>
  <x:c r="M43" i="7"/>
  <x:c r="M25" i="10" s="1"/>
  <x:c r="M63" i="10" s="1"/>
  <x:c r="K25" i="10"/>
  <x:c r="K63" i="10" s="1"/>
  <x:c r="W28" i="5"/>
  <x:c r="M39" i="7"/>
  <x:c r="M21" i="10" s="1"/>
  <x:c r="M59" i="10" s="1"/>
  <x:c r="K21" i="10"/>
  <x:c r="K59" i="10" s="1"/>
  <x:c r="M37" i="8"/>
  <x:c r="U19" i="10" s="1"/>
  <x:c r="U57" i="10" s="1"/>
  <x:c r="Q19" i="10"/>
  <x:c r="Q57" i="10" s="1"/>
  <x:c r="M38" i="8"/>
  <x:c r="U20" i="10" s="1"/>
  <x:c r="U58" i="10" s="1"/>
  <x:c r="Q20" i="10"/>
  <x:c r="Q58" i="10" s="1"/>
  <x:c r="J35" i="8"/>
  <x:c r="Q17" i="10" s="1"/>
  <x:c r="Q55" i="10" s="1"/>
  <x:c r="M35" i="8"/>
  <x:c r="U17" i="10" s="1"/>
  <x:c r="U55" i="10" s="1"/>
  <x:c r="J44" i="8"/>
  <x:c r="Q26" i="10" s="1"/>
  <x:c r="Q64" i="10" s="1"/>
  <x:c r="M28" i="6"/>
  <x:c r="G27" i="10" l="1"/>
  <x:c r="G26" i="10"/>
  <x:c r="G64" i="10" s="1"/>
  <x:c r="M36" i="7"/>
  <x:c r="M18" i="10" s="1"/>
  <x:c r="M56" i="10" s="1"/>
  <x:c r="G24" i="10"/>
  <x:c r="G62" i="10" s="1"/>
  <x:c r="M44" i="8"/>
  <x:c r="U26" i="10" s="1"/>
  <x:c r="U64" i="10" s="1"/>
  <x:c r="G18" i="10"/>
  <x:c r="G56" i="10" s="1"/>
  <x:c r="G21" i="10"/>
  <x:c r="G59" i="10" s="1"/>
  <x:c r="M35" i="7"/>
  <x:c r="M17" i="10" s="1"/>
  <x:c r="M55" i="10" s="1"/>
  <x:c r="G19" i="10"/>
  <x:c r="G57" i="10" s="1"/>
  <x:c r="AA58" i="10"/>
  <x:c r="G54" i="10"/>
  <x:c r="J34" i="8"/>
  <x:c r="G46" i="8"/>
  <x:c r="G25" i="10"/>
  <x:c r="G23" i="10"/>
  <x:c r="G65" i="10"/>
  <x:c r="AA27" i="10"/>
  <x:c r="W52" i="5"/>
  <x:c r="M40" i="7"/>
  <x:c r="M22" i="10" s="1"/>
  <x:c r="M60" i="10" s="1"/>
  <x:c r="Z46" i="3"/>
  <x:c r="Z53" i="3"/>
  <x:c r="AA20" i="10"/>
  <x:c r="W52" i="4"/>
  <x:c r="T46" i="28"/>
  <x:c r="Z46" i="28" s="1"/>
  <x:c r="Z35" i="28"/>
  <x:c r="AB35" i="28" s="1"/>
  <x:c r="M42" i="8"/>
  <x:c r="G22" i="10"/>
  <x:c r="AA56" i="10" l="1"/>
  <x:c r="AA64" i="10"/>
  <x:c r="AA65" i="10"/>
  <x:c r="AA26" i="10"/>
  <x:c r="AA59" i="10"/>
  <x:c r="AA57" i="10"/>
  <x:c r="AA21" i="10"/>
  <x:c r="AA18" i="10"/>
  <x:c r="AA19" i="10"/>
  <x:c r="I16" i="10"/>
  <x:c r="W64" i="4"/>
  <x:c r="Z64" i="3"/>
  <x:c r="AB46" i="28"/>
  <x:c r="AB53" i="28"/>
  <x:c r="AB64" i="28" s="1"/>
  <x:c r="G34" i="7"/>
  <x:c r="W64" i="5"/>
  <x:c r="G63" i="10"/>
  <x:c r="AA25" i="10"/>
  <x:c r="M34" i="8"/>
  <x:c r="U16" i="10" s="1"/>
  <x:c r="Q16" i="10"/>
  <x:c r="J46" i="8"/>
  <x:c r="G60" i="10"/>
  <x:c r="AA22" i="10"/>
  <x:c r="U24" i="10"/>
  <x:c r="AA23" i="10"/>
  <x:c r="G61" i="10"/>
  <x:c r="AA63" i="10" l="1"/>
  <x:c r="AA60" i="10"/>
  <x:c r="AA61" i="10"/>
  <x:c r="M46" i="8"/>
  <x:c r="G17" i="10"/>
  <x:c r="I28" i="10"/>
  <x:c r="I54" i="10"/>
  <x:c r="U62" i="10"/>
  <x:c r="AA24" i="10"/>
  <x:c r="Q54" i="10"/>
  <x:c r="Q28" i="10"/>
  <x:c r="U54" i="10"/>
  <x:c r="U28" i="10"/>
  <x:c r="J34" i="7"/>
  <x:c r="G46" i="7"/>
  <x:c r="U66" i="10" l="1"/>
  <x:c r="Q66" i="10"/>
  <x:c r="AA62" i="10"/>
  <x:c r="I66" i="10"/>
  <x:c r="G55" i="10"/>
  <x:c r="AA17" i="10"/>
  <x:c r="G28" i="10"/>
  <x:c r="M34" i="7"/>
  <x:c r="J46" i="7"/>
  <x:c r="K16" i="10"/>
  <x:c r="AA55" i="10" l="1"/>
  <x:c r="G66" i="10"/>
  <x:c r="K28" i="10"/>
  <x:c r="K54" i="10"/>
  <x:c r="M16" i="10"/>
  <x:c r="M46" i="7"/>
  <x:c r="K66" i="10" l="1"/>
  <x:c r="M54" i="10"/>
  <x:c r="M28" i="10"/>
  <x:c r="AA16" i="10"/>
  <x:c r="AA28" i="10" s="1"/>
  <x:c r="M66" i="10" l="1"/>
  <x:c r="AA54" i="10"/>
  <x:c r="AA66" i="10" s="1"/>
</x:calcChain>
</file>

<file path=xl/sharedStrings.xml><?xml version="1.0" encoding="utf-8"?>
<sst xmlns="http://schemas.openxmlformats.org/spreadsheetml/2006/main" count="474" uniqueCount="135">
  <si>
    <t>Line</t>
  </si>
  <si>
    <t>Year</t>
  </si>
  <si>
    <t>Month</t>
  </si>
  <si>
    <t>Residential</t>
  </si>
  <si>
    <t>Total GSL</t>
  </si>
  <si>
    <t>Total GPL</t>
  </si>
  <si>
    <t>Transmission</t>
  </si>
  <si>
    <t>Lighting</t>
  </si>
  <si>
    <t>Total</t>
  </si>
  <si>
    <t>Adjustment</t>
  </si>
  <si>
    <t>WP/II-H-1.2/1</t>
  </si>
  <si>
    <t>MONTHLY SALES DATA</t>
  </si>
  <si>
    <t>PUC DOCKET NO</t>
  </si>
  <si>
    <t>CDD Model</t>
  </si>
  <si>
    <t>Coefficient</t>
  </si>
  <si>
    <t>(a)</t>
  </si>
  <si>
    <t>CoolIndex</t>
  </si>
  <si>
    <t>CoolUse</t>
  </si>
  <si>
    <t>(b)</t>
  </si>
  <si>
    <t>(c)</t>
  </si>
  <si>
    <t>CDD Model Scaler</t>
  </si>
  <si>
    <t>Customer</t>
  </si>
  <si>
    <t>(d)</t>
  </si>
  <si>
    <t>CDD Coefficient</t>
  </si>
  <si>
    <t>(e) = (a*b*c*d)/1000</t>
  </si>
  <si>
    <t>Actual CDD</t>
  </si>
  <si>
    <t>(f)</t>
  </si>
  <si>
    <t>Normal CDD</t>
  </si>
  <si>
    <t>(g)</t>
  </si>
  <si>
    <t>CDD Deviation</t>
  </si>
  <si>
    <t>CDD MWH</t>
  </si>
  <si>
    <t>(i)=e*h</t>
  </si>
  <si>
    <t>HDD Model</t>
  </si>
  <si>
    <t>HDD Model Scaler</t>
  </si>
  <si>
    <t>HDD MWH</t>
  </si>
  <si>
    <t>HDD Coefficient</t>
  </si>
  <si>
    <t>Actual HDD</t>
  </si>
  <si>
    <t>Normal HDD</t>
  </si>
  <si>
    <t>HDD Deviation</t>
  </si>
  <si>
    <t>NIDR KWH Share</t>
  </si>
  <si>
    <t>IDR KWH Share</t>
  </si>
  <si>
    <t>(c) = (a*b)/1000</t>
  </si>
  <si>
    <t>(e)</t>
  </si>
  <si>
    <t>(f)=e-d</t>
  </si>
  <si>
    <t>(g)=c*f</t>
  </si>
  <si>
    <t>(h)=g-f</t>
  </si>
  <si>
    <t>IDR KWH</t>
  </si>
  <si>
    <t>NIDR KWH</t>
  </si>
  <si>
    <t>(d)=a/c</t>
  </si>
  <si>
    <t>(e)=b/c</t>
  </si>
  <si>
    <t>Large KWH</t>
  </si>
  <si>
    <t>Large KWH Adjustment</t>
  </si>
  <si>
    <t>IDR KWH Adjustment</t>
  </si>
  <si>
    <t>NIDR KWH Adjustment</t>
  </si>
  <si>
    <t>ONCOR ELECTRIC DELIVERY COMPANY LLC</t>
  </si>
  <si>
    <t>Residential Weather Adjustment (MWH)</t>
  </si>
  <si>
    <t>HeatIndex</t>
  </si>
  <si>
    <t>HeatUse</t>
  </si>
  <si>
    <t>Secondary Service Less Than or Equal to 10 KW Weather Adjustment (MWH)</t>
  </si>
  <si>
    <t>Secondary Service Greater Than 10 KW Weather Adjustment (MWH)</t>
  </si>
  <si>
    <t>Primary Service Greater Than 10 KW Weather Adjustment (MWH)</t>
  </si>
  <si>
    <t>(h)</t>
  </si>
  <si>
    <t>(i)</t>
  </si>
  <si>
    <t>(j)</t>
  </si>
  <si>
    <t>(k)</t>
  </si>
  <si>
    <t>(l)</t>
  </si>
  <si>
    <t>(m)</t>
  </si>
  <si>
    <t>(n) = (j*k*l*m)/1000</t>
  </si>
  <si>
    <t>(o)</t>
  </si>
  <si>
    <t>(p)</t>
  </si>
  <si>
    <t>(j) = (h*i)/1000</t>
  </si>
  <si>
    <t xml:space="preserve"> </t>
  </si>
  <si>
    <t>SPONSOR:  D. E. NELSON</t>
  </si>
  <si>
    <t>(i)=h-g</t>
  </si>
  <si>
    <t>(j)=f*i</t>
  </si>
  <si>
    <t>(n)</t>
  </si>
  <si>
    <t>(q)</t>
  </si>
  <si>
    <t>(r)</t>
  </si>
  <si>
    <t>No.</t>
  </si>
  <si>
    <t>SECLE10</t>
  </si>
  <si>
    <t>SECGT10_IDR</t>
  </si>
  <si>
    <t>SECGT10_NIDR</t>
  </si>
  <si>
    <t>PRMLE10</t>
  </si>
  <si>
    <t>PRMGT10_IDR_NoSUB</t>
  </si>
  <si>
    <t>PRMGT10_IDR_SUB</t>
  </si>
  <si>
    <t>PRMGT10_NIDR</t>
  </si>
  <si>
    <t>SECGT10</t>
  </si>
  <si>
    <t>PRMGT10</t>
  </si>
  <si>
    <t>Secondary Service Greater Than 10 KW IDR and Non-IDR Weather Adjustment (MWH)</t>
  </si>
  <si>
    <t>(g)=f*d</t>
  </si>
  <si>
    <t>KWH Adjustment</t>
  </si>
  <si>
    <t>(d)=c-b</t>
  </si>
  <si>
    <t>(e)=a*d</t>
  </si>
  <si>
    <t>Primary Service Greater Than 10 KW IDR and Non-IDR Weather Adjustment (MWH)</t>
  </si>
  <si>
    <t>(s)</t>
  </si>
  <si>
    <t>(t)</t>
  </si>
  <si>
    <t>(u)</t>
  </si>
  <si>
    <t>(v)</t>
  </si>
  <si>
    <t>(w)</t>
  </si>
  <si>
    <t>(x)</t>
  </si>
  <si>
    <t>(y)</t>
  </si>
  <si>
    <t>(z)</t>
  </si>
  <si>
    <t>(aa)</t>
  </si>
  <si>
    <t>(bb)</t>
  </si>
  <si>
    <t>(cc)</t>
  </si>
  <si>
    <t>(dd)</t>
  </si>
  <si>
    <t>(ee)</t>
  </si>
  <si>
    <t>(ff)</t>
  </si>
  <si>
    <t>(gg)</t>
  </si>
  <si>
    <t>(q)=p-o</t>
  </si>
  <si>
    <t>(r)=n*q</t>
  </si>
  <si>
    <t>(s)=i+r</t>
  </si>
  <si>
    <t>(m)=l-k</t>
  </si>
  <si>
    <t>(n)=j*m</t>
  </si>
  <si>
    <t>(o)=g+n</t>
  </si>
  <si>
    <t>(k)=e+j</t>
  </si>
  <si>
    <t>PRMGT10_IDR</t>
  </si>
  <si>
    <t>_NoSUB KWH</t>
  </si>
  <si>
    <t>(h)=f-g</t>
  </si>
  <si>
    <t>Customer Count</t>
  </si>
  <si>
    <t>*By Class, December Ended Customer Count/Current Month*Current Month Weather Adjustment MWH</t>
  </si>
  <si>
    <t>Customer-Adjusted Weather*</t>
  </si>
  <si>
    <t>SUBSTATION Weather Adjustment (MWH)</t>
  </si>
  <si>
    <t>TEST YEAR ENDING December 31, 2024</t>
  </si>
  <si>
    <t>Weather Adjustment (MWH) By Class (based on 20-year average weather 2004-2023)</t>
  </si>
  <si>
    <t>Page 1 of 9</t>
  </si>
  <si>
    <t>Trend</t>
  </si>
  <si>
    <t>Page 2 of 9</t>
  </si>
  <si>
    <t>Page 3 of 9</t>
  </si>
  <si>
    <t>Page 4 of 9</t>
  </si>
  <si>
    <t>Page 5 of 9</t>
  </si>
  <si>
    <t>Page 7 of 9</t>
  </si>
  <si>
    <t>Page 8 of 9</t>
  </si>
  <si>
    <t>Page 9 of 9</t>
  </si>
  <si>
    <t>Page 6 of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</si>
</sst>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"/>
    <numFmt numFmtId="165" formatCode="0.0%"/>
    <numFmt numFmtId="166" formatCode="#,##0.000_);\(#,##0.000\)"/>
    <numFmt numFmtId="167" formatCode="#,##0.0000_);\(#,##0.0000\)"/>
    <numFmt numFmtId="168" formatCode="0.0000000%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color indexed="12"/>
      <name val="Arial"/>
      <family val="2"/>
    </font>
    <font>
      <sz val="8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Protection="1"/>
    <xf numFmtId="0" fontId="4" fillId="0" borderId="0" xfId="0" applyFont="1" applyProtection="1"/>
    <xf numFmtId="37" fontId="3" fillId="0" borderId="0" xfId="0" applyNumberFormat="1" applyFont="1" applyProtection="1"/>
    <xf numFmtId="0" fontId="3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37" fontId="3" fillId="0" borderId="0" xfId="0" applyNumberFormat="1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0" fillId="0" borderId="0" xfId="0" applyAlignment="1">
      <alignment horizontal="centerContinuous"/>
    </xf>
    <xf numFmtId="37" fontId="5" fillId="0" borderId="0" xfId="0" applyNumberFormat="1" applyFont="1" applyAlignment="1" applyProtection="1">
      <alignment horizontal="centerContinuous"/>
    </xf>
    <xf numFmtId="37" fontId="3" fillId="0" borderId="0" xfId="0" applyNumberFormat="1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Border="1" applyAlignment="1" applyProtection="1">
      <alignment horizontal="center"/>
    </xf>
    <xf numFmtId="37" fontId="3" fillId="0" borderId="0" xfId="0" applyNumberFormat="1" applyFont="1" applyBorder="1" applyAlignment="1" applyProtection="1">
      <alignment horizontal="center" wrapText="1"/>
    </xf>
    <xf numFmtId="37" fontId="3" fillId="0" borderId="0" xfId="0" applyNumberFormat="1" applyFont="1" applyBorder="1" applyProtection="1"/>
    <xf numFmtId="37" fontId="3" fillId="0" borderId="1" xfId="0" applyNumberFormat="1" applyFont="1" applyBorder="1" applyProtection="1"/>
    <xf numFmtId="37" fontId="3" fillId="0" borderId="1" xfId="0" applyNumberFormat="1" applyFont="1" applyBorder="1" applyAlignment="1" applyProtection="1">
      <alignment horizontal="center"/>
    </xf>
    <xf numFmtId="0" fontId="3" fillId="0" borderId="2" xfId="0" applyFont="1" applyBorder="1" applyProtection="1"/>
    <xf numFmtId="0" fontId="3" fillId="0" borderId="0" xfId="0" applyFont="1" applyAlignment="1" applyProtection="1">
      <alignment horizontal="right"/>
    </xf>
    <xf numFmtId="164" fontId="7" fillId="0" borderId="0" xfId="0" applyNumberFormat="1" applyFont="1" applyProtection="1">
      <protection locked="0"/>
    </xf>
    <xf numFmtId="37" fontId="7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37" fontId="3" fillId="0" borderId="2" xfId="0" applyNumberFormat="1" applyFont="1" applyBorder="1" applyProtection="1"/>
    <xf numFmtId="0" fontId="8" fillId="0" borderId="0" xfId="0" applyFont="1"/>
    <xf numFmtId="0" fontId="7" fillId="0" borderId="0" xfId="0" quotePrefix="1" applyFont="1" applyAlignment="1" applyProtection="1">
      <alignment horizontal="centerContinuous"/>
      <protection locked="0"/>
    </xf>
    <xf numFmtId="164" fontId="7" fillId="0" borderId="0" xfId="0" applyNumberFormat="1" applyFont="1" applyAlignment="1" applyProtection="1">
      <alignment horizontal="centerContinuous"/>
      <protection locked="0"/>
    </xf>
    <xf numFmtId="0" fontId="3" fillId="0" borderId="1" xfId="0" applyFont="1" applyBorder="1" applyProtection="1"/>
    <xf numFmtId="37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37" fontId="3" fillId="0" borderId="0" xfId="0" applyNumberFormat="1" applyFont="1" applyBorder="1"/>
    <xf numFmtId="3" fontId="3" fillId="0" borderId="0" xfId="0" applyNumberFormat="1" applyFont="1" applyBorder="1"/>
    <xf numFmtId="37" fontId="3" fillId="0" borderId="0" xfId="0" applyNumberFormat="1" applyFont="1" applyBorder="1" applyAlignment="1">
      <alignment horizontal="centerContinuous"/>
    </xf>
    <xf numFmtId="37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Border="1" applyAlignment="1">
      <alignment horizontal="centerContinuous"/>
    </xf>
    <xf numFmtId="0" fontId="10" fillId="0" borderId="0" xfId="0" applyFont="1"/>
    <xf numFmtId="0" fontId="5" fillId="0" borderId="0" xfId="0" applyFont="1" applyAlignment="1">
      <alignment horizontal="centerContinuous"/>
    </xf>
    <xf numFmtId="0" fontId="3" fillId="0" borderId="0" xfId="0" applyFont="1" applyAlignment="1" applyProtection="1">
      <alignment horizontal="left"/>
    </xf>
    <xf numFmtId="37" fontId="3" fillId="0" borderId="1" xfId="0" applyNumberFormat="1" applyFont="1" applyBorder="1"/>
    <xf numFmtId="0" fontId="11" fillId="0" borderId="0" xfId="0" applyFont="1" applyAlignment="1">
      <alignment horizontal="centerContinuous"/>
    </xf>
    <xf numFmtId="37" fontId="12" fillId="0" borderId="0" xfId="0" applyNumberFormat="1" applyFont="1" applyAlignment="1" applyProtection="1">
      <alignment horizontal="centerContinuous"/>
      <protection locked="0"/>
    </xf>
    <xf numFmtId="166" fontId="7" fillId="0" borderId="0" xfId="0" applyNumberFormat="1" applyFont="1" applyProtection="1">
      <protection locked="0"/>
    </xf>
    <xf numFmtId="166" fontId="3" fillId="0" borderId="0" xfId="0" applyNumberFormat="1" applyFont="1"/>
    <xf numFmtId="3" fontId="3" fillId="0" borderId="1" xfId="0" applyNumberFormat="1" applyFont="1" applyBorder="1"/>
    <xf numFmtId="0" fontId="3" fillId="0" borderId="1" xfId="0" applyFont="1" applyBorder="1"/>
    <xf numFmtId="0" fontId="3" fillId="0" borderId="0" xfId="0" applyFont="1" applyBorder="1" applyProtection="1"/>
    <xf numFmtId="0" fontId="7" fillId="0" borderId="0" xfId="0" quotePrefix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 applyProtection="1">
      <alignment horizontal="center"/>
    </xf>
    <xf numFmtId="0" fontId="8" fillId="0" borderId="0" xfId="0" applyFont="1" applyBorder="1"/>
    <xf numFmtId="0" fontId="3" fillId="0" borderId="0" xfId="0" applyFont="1" applyBorder="1" applyAlignment="1" applyProtection="1">
      <alignment horizontal="left"/>
    </xf>
    <xf numFmtId="0" fontId="3" fillId="0" borderId="0" xfId="0" applyFont="1" applyBorder="1" applyAlignment="1" applyProtection="1">
      <alignment horizontal="right"/>
    </xf>
    <xf numFmtId="37" fontId="9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10" fillId="0" borderId="0" xfId="0" applyFont="1" applyBorder="1"/>
    <xf numFmtId="37" fontId="7" fillId="0" borderId="0" xfId="0" applyNumberFormat="1" applyFont="1" applyBorder="1" applyProtection="1">
      <protection locked="0"/>
    </xf>
    <xf numFmtId="37" fontId="3" fillId="0" borderId="1" xfId="0" quotePrefix="1" applyNumberFormat="1" applyFont="1" applyBorder="1" applyAlignment="1" applyProtection="1">
      <alignment horizontal="center"/>
    </xf>
    <xf numFmtId="37" fontId="6" fillId="0" borderId="1" xfId="0" quotePrefix="1" applyNumberFormat="1" applyFont="1" applyBorder="1" applyAlignment="1" applyProtection="1">
      <alignment horizontal="center"/>
    </xf>
    <xf numFmtId="0" fontId="3" fillId="0" borderId="0" xfId="0" quotePrefix="1" applyFont="1" applyProtection="1">
      <protection locked="0"/>
    </xf>
    <xf numFmtId="10" fontId="0" fillId="0" borderId="0" xfId="1" applyNumberFormat="1" applyFont="1"/>
    <xf numFmtId="165" fontId="0" fillId="0" borderId="0" xfId="1" applyNumberFormat="1" applyFont="1"/>
    <xf numFmtId="0" fontId="4" fillId="0" borderId="0" xfId="0" applyFont="1" applyAlignment="1">
      <alignment horizontal="centerContinuous"/>
    </xf>
    <xf numFmtId="166" fontId="7" fillId="0" borderId="1" xfId="0" applyNumberFormat="1" applyFont="1" applyBorder="1" applyProtection="1">
      <protection locked="0"/>
    </xf>
    <xf numFmtId="164" fontId="7" fillId="0" borderId="0" xfId="0" applyNumberFormat="1" applyFont="1" applyAlignment="1" applyProtection="1">
      <alignment horizontal="right"/>
      <protection locked="0"/>
    </xf>
    <xf numFmtId="166" fontId="7" fillId="0" borderId="0" xfId="0" applyNumberFormat="1" applyFont="1" applyBorder="1" applyProtection="1">
      <protection locked="0"/>
    </xf>
    <xf numFmtId="37" fontId="7" fillId="0" borderId="1" xfId="0" applyNumberFormat="1" applyFont="1" applyBorder="1" applyProtection="1">
      <protection locked="0"/>
    </xf>
    <xf numFmtId="167" fontId="7" fillId="0" borderId="0" xfId="0" applyNumberFormat="1" applyFont="1" applyProtection="1">
      <protection locked="0"/>
    </xf>
    <xf numFmtId="167" fontId="3" fillId="0" borderId="0" xfId="0" applyNumberFormat="1" applyFont="1" applyProtection="1"/>
    <xf numFmtId="37" fontId="3" fillId="0" borderId="3" xfId="0" applyNumberFormat="1" applyFont="1" applyBorder="1"/>
    <xf numFmtId="3" fontId="3" fillId="0" borderId="3" xfId="0" applyNumberFormat="1" applyFont="1" applyBorder="1"/>
    <xf numFmtId="0" fontId="3" fillId="0" borderId="3" xfId="0" applyFont="1" applyBorder="1"/>
    <xf numFmtId="167" fontId="3" fillId="0" borderId="0" xfId="0" applyNumberFormat="1" applyFont="1"/>
    <xf numFmtId="37" fontId="3" fillId="0" borderId="3" xfId="0" applyNumberFormat="1" applyFont="1" applyBorder="1" applyProtection="1"/>
    <xf numFmtId="166" fontId="7" fillId="0" borderId="3" xfId="0" applyNumberFormat="1" applyFont="1" applyBorder="1" applyProtection="1">
      <protection locked="0"/>
    </xf>
    <xf numFmtId="37" fontId="9" fillId="0" borderId="3" xfId="0" applyNumberFormat="1" applyFont="1" applyBorder="1"/>
    <xf numFmtId="0" fontId="3" fillId="0" borderId="3" xfId="0" applyFont="1" applyBorder="1" applyProtection="1"/>
    <xf numFmtId="164" fontId="7" fillId="0" borderId="3" xfId="0" applyNumberFormat="1" applyFont="1" applyBorder="1" applyProtection="1">
      <protection locked="0"/>
    </xf>
    <xf numFmtId="0" fontId="0" fillId="0" borderId="3" xfId="0" applyBorder="1"/>
    <xf numFmtId="0" fontId="1" fillId="0" borderId="0" xfId="0" applyFont="1"/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168" fontId="0" fillId="0" borderId="0" xfId="1" applyNumberFormat="1" applyFont="1"/>
    <xf numFmtId="0" fontId="3" fillId="0" borderId="0" xfId="0" applyFont="1" applyAlignment="1">
      <alignment horizontal="center"/>
    </xf>
    <xf numFmtId="37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 wrapText="1"/>
    </xf>
    <xf numFmtId="37" fontId="3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/>
    <xf numFmtId="37" fontId="4" fillId="0" borderId="0" xfId="0" applyNumberFormat="1" applyFont="1" applyAlignment="1">
      <alignment horizontal="centerContinuous"/>
    </xf>
    <xf numFmtId="166" fontId="0" fillId="0" borderId="0" xfId="0" applyNumberFormat="1"/>
    <xf numFmtId="37" fontId="3" fillId="0" borderId="2" xfId="0" applyNumberFormat="1" applyFont="1" applyBorder="1"/>
    <xf numFmtId="37" fontId="0" fillId="0" borderId="0" xfId="0" applyNumberFormat="1" applyBorder="1"/>
    <xf numFmtId="0" fontId="3" fillId="0" borderId="0" xfId="0" applyFont="1" applyAlignment="1" applyProtection="1">
      <alignment horizontal="center"/>
    </xf>
    <xf numFmtId="0" fontId="0" fillId="0" borderId="0" xfId="0" applyAlignment="1"/>
    <xf numFmtId="37" fontId="3" fillId="0" borderId="0" xfId="0" applyNumberFormat="1" applyFont="1" applyAlignment="1" applyProtection="1">
      <alignment horizontal="center"/>
    </xf>
    <xf numFmtId="37" fontId="3" fillId="0" borderId="0" xfId="0" applyNumberFormat="1" applyFont="1" applyAlignment="1">
      <alignment horizontal="center"/>
    </xf>
    <xf numFmtId="0" fontId="3" fillId="0" borderId="0" xfId="0" applyFont="1" applyBorder="1" applyAlignment="1" applyProtection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</cellXfs>
  <cellStyles count="3">
    <cellStyle name="Comma 2" xfId="2" xr:uid="{A3D14B76-3AB7-45A4-B26A-D9B86F22A45E}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H%20(Historic%20Billing%20Determinants)/II-H-1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H%20(Historic%20Billing%20Determinants)/II-H-2.1%20pages%208-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H%20(Historic%20Billing%20Determinants)/II-H-5.2%20Pages%203-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"/>
      <sheetName val="GS SEC SMALL"/>
      <sheetName val="GS SEC LRG NONIDR"/>
      <sheetName val="GS SEC LRG IDR "/>
      <sheetName val="GS PRI SMALL"/>
      <sheetName val="GS PRI LRG NONIDR"/>
      <sheetName val="GS PRI LRG IDR "/>
      <sheetName val="GS PRI LRG SUB"/>
      <sheetName val="TRANSMISSION"/>
      <sheetName val="SL - UNMETERED"/>
      <sheetName val="SL - METERED NON CO"/>
      <sheetName val="SL - METERED CO OWNED"/>
      <sheetName val="OUTDOOR LIGHTING"/>
      <sheetName val="WHOLESALE-SUB"/>
      <sheetName val="WHOLESALE-DLS"/>
      <sheetName val="II-H-1.2"/>
    </sheetNames>
    <sheetDataSet>
      <sheetData sheetId="0">
        <row r="16">
          <cell r="E16">
            <v>3396604</v>
          </cell>
        </row>
        <row r="18">
          <cell r="E18">
            <v>3401024</v>
          </cell>
        </row>
        <row r="20">
          <cell r="E20">
            <v>3407140</v>
          </cell>
        </row>
        <row r="22">
          <cell r="E22">
            <v>3413927</v>
          </cell>
        </row>
        <row r="24">
          <cell r="E24">
            <v>3421241</v>
          </cell>
        </row>
        <row r="26">
          <cell r="E26">
            <v>3425884</v>
          </cell>
        </row>
        <row r="28">
          <cell r="E28">
            <v>3432967</v>
          </cell>
        </row>
        <row r="30">
          <cell r="E30">
            <v>3439507</v>
          </cell>
        </row>
        <row r="32">
          <cell r="E32">
            <v>3444509</v>
          </cell>
        </row>
        <row r="34">
          <cell r="E34">
            <v>3450481</v>
          </cell>
        </row>
        <row r="36">
          <cell r="E36">
            <v>3456155</v>
          </cell>
        </row>
        <row r="38">
          <cell r="E38">
            <v>3462111</v>
          </cell>
        </row>
      </sheetData>
      <sheetData sheetId="1">
        <row r="16">
          <cell r="E16">
            <v>284930</v>
          </cell>
        </row>
        <row r="18">
          <cell r="E18">
            <v>282336</v>
          </cell>
        </row>
        <row r="20">
          <cell r="E20">
            <v>283192</v>
          </cell>
        </row>
        <row r="22">
          <cell r="E22">
            <v>283989</v>
          </cell>
        </row>
        <row r="24">
          <cell r="E24">
            <v>284452</v>
          </cell>
        </row>
        <row r="26">
          <cell r="E26">
            <v>284068</v>
          </cell>
        </row>
        <row r="28">
          <cell r="E28">
            <v>284074</v>
          </cell>
        </row>
        <row r="30">
          <cell r="E30">
            <v>284801</v>
          </cell>
        </row>
        <row r="32">
          <cell r="E32">
            <v>285728</v>
          </cell>
        </row>
        <row r="34">
          <cell r="E34">
            <v>286930</v>
          </cell>
        </row>
        <row r="36">
          <cell r="E36">
            <v>287446</v>
          </cell>
        </row>
        <row r="38">
          <cell r="E38">
            <v>287174</v>
          </cell>
        </row>
      </sheetData>
      <sheetData sheetId="2">
        <row r="16">
          <cell r="E16">
            <v>225820</v>
          </cell>
          <cell r="I16">
            <v>2084514076</v>
          </cell>
        </row>
        <row r="18">
          <cell r="E18">
            <v>228780</v>
          </cell>
          <cell r="I18">
            <v>2208290507</v>
          </cell>
        </row>
        <row r="20">
          <cell r="E20">
            <v>228741</v>
          </cell>
          <cell r="I20">
            <v>2004090589</v>
          </cell>
        </row>
        <row r="22">
          <cell r="E22">
            <v>228730</v>
          </cell>
          <cell r="I22">
            <v>1995516212</v>
          </cell>
        </row>
        <row r="24">
          <cell r="E24">
            <v>228854</v>
          </cell>
          <cell r="I24">
            <v>2122032481</v>
          </cell>
        </row>
        <row r="26">
          <cell r="E26">
            <v>229356</v>
          </cell>
          <cell r="I26">
            <v>2537541941</v>
          </cell>
        </row>
        <row r="28">
          <cell r="E28">
            <v>229680</v>
          </cell>
          <cell r="I28">
            <v>2919070528</v>
          </cell>
        </row>
        <row r="30">
          <cell r="E30">
            <v>229568</v>
          </cell>
          <cell r="I30">
            <v>2909968515</v>
          </cell>
        </row>
        <row r="32">
          <cell r="E32">
            <v>228741</v>
          </cell>
          <cell r="I32">
            <v>3003691540</v>
          </cell>
        </row>
        <row r="34">
          <cell r="E34">
            <v>228156</v>
          </cell>
          <cell r="I34">
            <v>2548274691</v>
          </cell>
        </row>
        <row r="36">
          <cell r="E36">
            <v>228028</v>
          </cell>
          <cell r="I36">
            <v>2277436942</v>
          </cell>
        </row>
        <row r="38">
          <cell r="E38">
            <v>228888</v>
          </cell>
          <cell r="I38">
            <v>1963848362</v>
          </cell>
        </row>
      </sheetData>
      <sheetData sheetId="3">
        <row r="16">
          <cell r="E16">
            <v>5679</v>
          </cell>
          <cell r="I16">
            <v>1492735008</v>
          </cell>
        </row>
        <row r="18">
          <cell r="E18">
            <v>5675</v>
          </cell>
          <cell r="I18">
            <v>1506024424</v>
          </cell>
        </row>
        <row r="20">
          <cell r="E20">
            <v>5674</v>
          </cell>
          <cell r="I20">
            <v>1491444468</v>
          </cell>
        </row>
        <row r="22">
          <cell r="E22">
            <v>5673</v>
          </cell>
          <cell r="I22">
            <v>1515063060</v>
          </cell>
        </row>
        <row r="24">
          <cell r="E24">
            <v>5696</v>
          </cell>
          <cell r="I24">
            <v>1513871427</v>
          </cell>
        </row>
        <row r="26">
          <cell r="E26">
            <v>5688</v>
          </cell>
          <cell r="I26">
            <v>1679481052</v>
          </cell>
        </row>
        <row r="28">
          <cell r="E28">
            <v>5684</v>
          </cell>
          <cell r="I28">
            <v>1798253867</v>
          </cell>
        </row>
        <row r="30">
          <cell r="E30">
            <v>5681</v>
          </cell>
          <cell r="I30">
            <v>1786784772</v>
          </cell>
        </row>
        <row r="32">
          <cell r="E32">
            <v>5732</v>
          </cell>
          <cell r="I32">
            <v>1839584015</v>
          </cell>
        </row>
        <row r="34">
          <cell r="E34">
            <v>5729</v>
          </cell>
          <cell r="I34">
            <v>1691268577</v>
          </cell>
        </row>
        <row r="36">
          <cell r="E36">
            <v>5729</v>
          </cell>
          <cell r="I36">
            <v>1606937303</v>
          </cell>
        </row>
        <row r="38">
          <cell r="E38">
            <v>5751</v>
          </cell>
          <cell r="I38">
            <v>1488553066</v>
          </cell>
        </row>
      </sheetData>
      <sheetData sheetId="4">
        <row r="16">
          <cell r="E16">
            <v>3151</v>
          </cell>
        </row>
        <row r="18">
          <cell r="E18">
            <v>3086</v>
          </cell>
        </row>
        <row r="20">
          <cell r="E20">
            <v>3096</v>
          </cell>
        </row>
        <row r="22">
          <cell r="E22">
            <v>3074</v>
          </cell>
        </row>
        <row r="24">
          <cell r="E24">
            <v>3079</v>
          </cell>
        </row>
        <row r="26">
          <cell r="E26">
            <v>3086</v>
          </cell>
        </row>
        <row r="28">
          <cell r="E28">
            <v>3097</v>
          </cell>
        </row>
        <row r="30">
          <cell r="E30">
            <v>3100</v>
          </cell>
        </row>
        <row r="32">
          <cell r="E32">
            <v>3122</v>
          </cell>
        </row>
        <row r="34">
          <cell r="E34">
            <v>3134</v>
          </cell>
        </row>
        <row r="36">
          <cell r="E36">
            <v>3143</v>
          </cell>
        </row>
        <row r="38">
          <cell r="E38">
            <v>3135</v>
          </cell>
        </row>
      </sheetData>
      <sheetData sheetId="5">
        <row r="16">
          <cell r="E16">
            <v>5179</v>
          </cell>
          <cell r="I16">
            <v>159511720</v>
          </cell>
        </row>
        <row r="18">
          <cell r="E18">
            <v>5183</v>
          </cell>
          <cell r="I18">
            <v>141685660</v>
          </cell>
        </row>
        <row r="20">
          <cell r="E20">
            <v>5177</v>
          </cell>
          <cell r="I20">
            <v>54954202</v>
          </cell>
        </row>
        <row r="22">
          <cell r="E22">
            <v>5172</v>
          </cell>
          <cell r="I22">
            <v>147642591</v>
          </cell>
        </row>
        <row r="24">
          <cell r="E24">
            <v>5124</v>
          </cell>
          <cell r="I24">
            <v>122442100</v>
          </cell>
        </row>
        <row r="26">
          <cell r="E26">
            <v>5124</v>
          </cell>
          <cell r="I26">
            <v>148161541</v>
          </cell>
        </row>
        <row r="28">
          <cell r="E28">
            <v>5109</v>
          </cell>
          <cell r="I28">
            <v>172983745</v>
          </cell>
        </row>
        <row r="30">
          <cell r="E30">
            <v>5103</v>
          </cell>
          <cell r="I30">
            <v>183402195</v>
          </cell>
        </row>
        <row r="32">
          <cell r="E32">
            <v>5040</v>
          </cell>
          <cell r="I32">
            <v>177189770</v>
          </cell>
        </row>
        <row r="34">
          <cell r="E34">
            <v>5022</v>
          </cell>
          <cell r="I34">
            <v>151490414</v>
          </cell>
        </row>
        <row r="36">
          <cell r="E36">
            <v>5011</v>
          </cell>
          <cell r="I36">
            <v>94001743</v>
          </cell>
        </row>
        <row r="38">
          <cell r="E38">
            <v>4991</v>
          </cell>
          <cell r="I38">
            <v>132222507</v>
          </cell>
        </row>
      </sheetData>
      <sheetData sheetId="6">
        <row r="16">
          <cell r="E16">
            <v>1899</v>
          </cell>
          <cell r="I16">
            <v>1672071164</v>
          </cell>
        </row>
        <row r="18">
          <cell r="E18">
            <v>1903</v>
          </cell>
          <cell r="I18">
            <v>1636791716</v>
          </cell>
        </row>
        <row r="20">
          <cell r="E20">
            <v>1898</v>
          </cell>
          <cell r="I20">
            <v>1374492571</v>
          </cell>
        </row>
        <row r="22">
          <cell r="E22">
            <v>1893</v>
          </cell>
          <cell r="I22">
            <v>1666181567</v>
          </cell>
        </row>
        <row r="24">
          <cell r="E24">
            <v>1949</v>
          </cell>
          <cell r="I24">
            <v>1451344173</v>
          </cell>
        </row>
        <row r="26">
          <cell r="E26">
            <v>1950</v>
          </cell>
          <cell r="I26">
            <v>1676588618</v>
          </cell>
        </row>
        <row r="28">
          <cell r="E28">
            <v>1946</v>
          </cell>
          <cell r="I28">
            <v>1744008824</v>
          </cell>
        </row>
        <row r="30">
          <cell r="E30">
            <v>1945</v>
          </cell>
          <cell r="I30">
            <v>1710780737</v>
          </cell>
        </row>
        <row r="32">
          <cell r="E32">
            <v>1998</v>
          </cell>
          <cell r="I32">
            <v>1757195180</v>
          </cell>
        </row>
        <row r="34">
          <cell r="E34">
            <v>1991</v>
          </cell>
          <cell r="I34">
            <v>1745079579</v>
          </cell>
        </row>
        <row r="36">
          <cell r="E36">
            <v>1990</v>
          </cell>
          <cell r="I36">
            <v>1721593632</v>
          </cell>
        </row>
        <row r="38">
          <cell r="E38">
            <v>2027</v>
          </cell>
          <cell r="I38">
            <v>1720853256</v>
          </cell>
        </row>
      </sheetData>
      <sheetData sheetId="7">
        <row r="16">
          <cell r="E16">
            <v>151</v>
          </cell>
        </row>
        <row r="18">
          <cell r="E18">
            <v>152</v>
          </cell>
        </row>
        <row r="20">
          <cell r="E20">
            <v>154</v>
          </cell>
        </row>
        <row r="22">
          <cell r="E22">
            <v>157</v>
          </cell>
        </row>
        <row r="24">
          <cell r="E24">
            <v>159</v>
          </cell>
        </row>
        <row r="26">
          <cell r="E26">
            <v>155</v>
          </cell>
        </row>
        <row r="28">
          <cell r="E28">
            <v>158</v>
          </cell>
        </row>
        <row r="30">
          <cell r="E30">
            <v>160</v>
          </cell>
        </row>
        <row r="32">
          <cell r="E32">
            <v>160</v>
          </cell>
        </row>
        <row r="34">
          <cell r="E34">
            <v>161</v>
          </cell>
        </row>
        <row r="36">
          <cell r="E36">
            <v>162</v>
          </cell>
        </row>
        <row r="38">
          <cell r="E38">
            <v>163</v>
          </cell>
        </row>
      </sheetData>
      <sheetData sheetId="8">
        <row r="16">
          <cell r="E16">
            <v>319</v>
          </cell>
        </row>
        <row r="18">
          <cell r="E18">
            <v>320</v>
          </cell>
        </row>
        <row r="20">
          <cell r="E20">
            <v>322</v>
          </cell>
        </row>
        <row r="22">
          <cell r="E22">
            <v>322</v>
          </cell>
        </row>
        <row r="24">
          <cell r="E24">
            <v>324</v>
          </cell>
        </row>
        <row r="26">
          <cell r="E26">
            <v>326</v>
          </cell>
        </row>
        <row r="28">
          <cell r="E28">
            <v>327</v>
          </cell>
        </row>
        <row r="30">
          <cell r="E30">
            <v>330</v>
          </cell>
        </row>
        <row r="32">
          <cell r="E32">
            <v>332</v>
          </cell>
        </row>
        <row r="34">
          <cell r="E34">
            <v>332</v>
          </cell>
        </row>
        <row r="36">
          <cell r="E36">
            <v>334</v>
          </cell>
        </row>
        <row r="38">
          <cell r="E38">
            <v>340</v>
          </cell>
        </row>
      </sheetData>
      <sheetData sheetId="9">
        <row r="16">
          <cell r="E16">
            <v>3004</v>
          </cell>
        </row>
        <row r="18">
          <cell r="E18">
            <v>3044</v>
          </cell>
        </row>
        <row r="20">
          <cell r="E20">
            <v>3059</v>
          </cell>
        </row>
        <row r="22">
          <cell r="E22">
            <v>3088</v>
          </cell>
        </row>
        <row r="24">
          <cell r="E24">
            <v>3091</v>
          </cell>
        </row>
        <row r="26">
          <cell r="E26">
            <v>3091</v>
          </cell>
        </row>
        <row r="28">
          <cell r="E28">
            <v>3092</v>
          </cell>
        </row>
        <row r="30">
          <cell r="E30">
            <v>3092</v>
          </cell>
        </row>
        <row r="32">
          <cell r="E32">
            <v>3095</v>
          </cell>
        </row>
        <row r="34">
          <cell r="E34">
            <v>3109</v>
          </cell>
        </row>
        <row r="36">
          <cell r="E36">
            <v>3123</v>
          </cell>
        </row>
        <row r="38">
          <cell r="E38">
            <v>3130</v>
          </cell>
        </row>
      </sheetData>
      <sheetData sheetId="10">
        <row r="16">
          <cell r="E16">
            <v>738</v>
          </cell>
        </row>
        <row r="18">
          <cell r="E18">
            <v>738</v>
          </cell>
        </row>
        <row r="20">
          <cell r="E20">
            <v>735</v>
          </cell>
        </row>
        <row r="22">
          <cell r="E22">
            <v>735</v>
          </cell>
        </row>
        <row r="24">
          <cell r="E24">
            <v>725</v>
          </cell>
        </row>
        <row r="26">
          <cell r="E26">
            <v>725</v>
          </cell>
        </row>
        <row r="28">
          <cell r="E28">
            <v>725</v>
          </cell>
        </row>
        <row r="30">
          <cell r="E30">
            <v>723</v>
          </cell>
        </row>
        <row r="32">
          <cell r="E32">
            <v>723</v>
          </cell>
        </row>
        <row r="34">
          <cell r="E34">
            <v>722</v>
          </cell>
        </row>
        <row r="36">
          <cell r="E36">
            <v>721</v>
          </cell>
        </row>
        <row r="38">
          <cell r="E38">
            <v>713</v>
          </cell>
        </row>
      </sheetData>
      <sheetData sheetId="11">
        <row r="16">
          <cell r="E16">
            <v>63</v>
          </cell>
        </row>
        <row r="18">
          <cell r="E18">
            <v>63</v>
          </cell>
        </row>
        <row r="20">
          <cell r="E20">
            <v>63</v>
          </cell>
        </row>
        <row r="22">
          <cell r="E22">
            <v>63</v>
          </cell>
        </row>
        <row r="24">
          <cell r="E24">
            <v>63</v>
          </cell>
        </row>
        <row r="26">
          <cell r="E26">
            <v>63</v>
          </cell>
        </row>
        <row r="28">
          <cell r="E28">
            <v>63</v>
          </cell>
        </row>
        <row r="30">
          <cell r="E30">
            <v>63</v>
          </cell>
        </row>
        <row r="32">
          <cell r="E32">
            <v>62</v>
          </cell>
        </row>
        <row r="34">
          <cell r="E34">
            <v>62</v>
          </cell>
        </row>
        <row r="36">
          <cell r="E36">
            <v>62</v>
          </cell>
        </row>
        <row r="38">
          <cell r="E38">
            <v>62</v>
          </cell>
        </row>
      </sheetData>
      <sheetData sheetId="12">
        <row r="16">
          <cell r="E16">
            <v>48481</v>
          </cell>
        </row>
        <row r="18">
          <cell r="E18">
            <v>48357</v>
          </cell>
        </row>
        <row r="20">
          <cell r="E20">
            <v>48270</v>
          </cell>
        </row>
        <row r="22">
          <cell r="E22">
            <v>48165</v>
          </cell>
        </row>
        <row r="24">
          <cell r="E24">
            <v>48084</v>
          </cell>
        </row>
        <row r="26">
          <cell r="E26">
            <v>48016</v>
          </cell>
        </row>
        <row r="28">
          <cell r="E28">
            <v>47865</v>
          </cell>
        </row>
        <row r="30">
          <cell r="E30">
            <v>47802</v>
          </cell>
        </row>
        <row r="32">
          <cell r="E32">
            <v>47714</v>
          </cell>
        </row>
        <row r="34">
          <cell r="E34">
            <v>47526</v>
          </cell>
        </row>
        <row r="36">
          <cell r="E36">
            <v>47429</v>
          </cell>
        </row>
        <row r="38">
          <cell r="E38">
            <v>47316</v>
          </cell>
        </row>
      </sheetData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 Model"/>
      <sheetName val="RES Model Graph"/>
      <sheetName val="SECLE10KW Model"/>
      <sheetName val="SECLE10KW Model Graph"/>
      <sheetName val="SECGT10KW Model"/>
      <sheetName val="SECGT10KW Model Graph"/>
      <sheetName val="PRMGT10KWD Model"/>
      <sheetName val="PRMGT10KWD Model Graph"/>
      <sheetName val="SUB Model"/>
      <sheetName val="SUB Model Graph"/>
      <sheetName val="RES B Model"/>
      <sheetName val="RES B Model Graph"/>
      <sheetName val="SECLE10KW B Model"/>
      <sheetName val="SECLE10KW B Model Graph"/>
      <sheetName val="SECGT10KW B Model"/>
      <sheetName val="SECGT10KW B Model Graph"/>
      <sheetName val="PRMGT10KWD B Model"/>
      <sheetName val="PRMGT10KWD B Model Graph"/>
      <sheetName val="SUB B Model"/>
      <sheetName val="SUB B Model Graph"/>
    </sheetNames>
    <sheetDataSet>
      <sheetData sheetId="0">
        <row r="17">
          <cell r="C17">
            <v>1.9390000000000001</v>
          </cell>
        </row>
        <row r="18">
          <cell r="C18">
            <v>2.1640000000000001</v>
          </cell>
        </row>
        <row r="32">
          <cell r="C32">
            <v>7.0000000000000001E-3</v>
          </cell>
        </row>
        <row r="33">
          <cell r="C33">
            <v>6.0000000000000001E-3</v>
          </cell>
        </row>
      </sheetData>
      <sheetData sheetId="1"/>
      <sheetData sheetId="2">
        <row r="17">
          <cell r="C17">
            <v>0.36799999999999999</v>
          </cell>
        </row>
        <row r="18">
          <cell r="C18">
            <v>0.318</v>
          </cell>
        </row>
      </sheetData>
      <sheetData sheetId="3"/>
      <sheetData sheetId="4">
        <row r="17">
          <cell r="C17">
            <v>10.476000000000001</v>
          </cell>
        </row>
        <row r="18">
          <cell r="C18">
            <v>5.6849999999999996</v>
          </cell>
        </row>
      </sheetData>
      <sheetData sheetId="5"/>
      <sheetData sheetId="6">
        <row r="17">
          <cell r="C17">
            <v>243.32499999999999</v>
          </cell>
        </row>
      </sheetData>
      <sheetData sheetId="7"/>
      <sheetData sheetId="8">
        <row r="17">
          <cell r="C17">
            <v>2.7719999999999998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"/>
      <sheetName val="SECLE10KW"/>
      <sheetName val="SECGT10KW"/>
      <sheetName val="PRMGT10KWD"/>
      <sheetName val="SUBSTATION"/>
      <sheetName val="COOLING Weighting"/>
      <sheetName val="COOLING Weighting (2)"/>
      <sheetName val="HEATING Weighting"/>
      <sheetName val="HEATING Weighting (2)"/>
      <sheetName val="Simple Averages_0121"/>
      <sheetName val="Simple Averages_0720"/>
      <sheetName val="Simple Averages_0114"/>
      <sheetName val="Simple Averages_0714"/>
      <sheetName val="Smoothed Normal for 0121"/>
      <sheetName val="Smoothed Normal for 0720"/>
      <sheetName val="Smoothed Normal for 0114"/>
      <sheetName val="Smoothed Normal for 0714"/>
      <sheetName val="Cycle 20 HDD Feb 23"/>
      <sheetName val="Cycle 18 CDD Aug 23"/>
      <sheetName val="Cycle 14 HDD Feb 24"/>
      <sheetName val="Cycle 13 CDD Aug 24"/>
      <sheetName val="Billed Feb 23 HDD"/>
      <sheetName val="Billed Aug 23 CDD"/>
      <sheetName val="Billed Feb 24 HDD"/>
      <sheetName val="Billed Aug 24 CDD"/>
      <sheetName val="Spline Degree Days 2023"/>
      <sheetName val="Spline Degree Days 2024"/>
      <sheetName val="Res Seasonal Weights"/>
      <sheetName val="SECTE10KW Seasonal Weights"/>
      <sheetName val="SECGT10KW Seasonal Weights"/>
      <sheetName val="PRMGT10KWD Seasonal Weights"/>
      <sheetName val="Substation Seasonal Weights"/>
      <sheetName val="Class Spline Weights"/>
    </sheetNames>
    <sheetDataSet>
      <sheetData sheetId="0">
        <row r="13">
          <cell r="C13">
            <v>192.04714102833336</v>
          </cell>
          <cell r="D13">
            <v>0.50931181723809626</v>
          </cell>
          <cell r="E13">
            <v>213.47102380845581</v>
          </cell>
          <cell r="F13">
            <v>2.4932806220886969</v>
          </cell>
        </row>
        <row r="14">
          <cell r="C14">
            <v>260.83933380804763</v>
          </cell>
          <cell r="D14">
            <v>7.1189206857142778E-2</v>
          </cell>
          <cell r="E14">
            <v>221.39090221158963</v>
          </cell>
          <cell r="F14">
            <v>1.5673922972591274</v>
          </cell>
        </row>
        <row r="15">
          <cell r="C15">
            <v>65.576036338333324</v>
          </cell>
          <cell r="D15">
            <v>14.582078343190481</v>
          </cell>
          <cell r="E15">
            <v>149.60668225189107</v>
          </cell>
          <cell r="F15">
            <v>6.3552178925046672</v>
          </cell>
        </row>
        <row r="16">
          <cell r="C16">
            <v>25.940125403904759</v>
          </cell>
          <cell r="D16">
            <v>23.33679555838096</v>
          </cell>
          <cell r="E16">
            <v>45.106131414919375</v>
          </cell>
          <cell r="F16">
            <v>25.375167256061406</v>
          </cell>
        </row>
        <row r="17">
          <cell r="C17">
            <v>4.9216688563333317</v>
          </cell>
          <cell r="D17">
            <v>87.833334773428604</v>
          </cell>
          <cell r="E17">
            <v>10.403559387118754</v>
          </cell>
          <cell r="F17">
            <v>71.734337599161577</v>
          </cell>
        </row>
        <row r="18">
          <cell r="C18">
            <v>5.8687520000000005E-3</v>
          </cell>
          <cell r="D18">
            <v>238.26230116985712</v>
          </cell>
          <cell r="E18">
            <v>1.0969640523715374</v>
          </cell>
          <cell r="F18">
            <v>214.65969011624705</v>
          </cell>
        </row>
        <row r="19">
          <cell r="C19">
            <v>0</v>
          </cell>
          <cell r="D19">
            <v>413.76615727590473</v>
          </cell>
          <cell r="E19">
            <v>8.7872203653353732E-3</v>
          </cell>
          <cell r="F19">
            <v>376.74149289052286</v>
          </cell>
        </row>
        <row r="20">
          <cell r="C20">
            <v>0</v>
          </cell>
          <cell r="D20">
            <v>407.79058282019048</v>
          </cell>
          <cell r="E20">
            <v>3.3797378853046584E-4</v>
          </cell>
          <cell r="F20">
            <v>441.8755524296364</v>
          </cell>
        </row>
        <row r="21">
          <cell r="C21">
            <v>0</v>
          </cell>
          <cell r="D21">
            <v>427.48317298809536</v>
          </cell>
          <cell r="E21">
            <v>3.5522033608371743E-2</v>
          </cell>
          <cell r="F21">
            <v>397.57148488573023</v>
          </cell>
        </row>
        <row r="22">
          <cell r="C22">
            <v>0.16908012819047613</v>
          </cell>
          <cell r="D22">
            <v>239.28239802119046</v>
          </cell>
          <cell r="E22">
            <v>1.9478264295708587</v>
          </cell>
          <cell r="F22">
            <v>220.30251783547996</v>
          </cell>
        </row>
        <row r="23">
          <cell r="C23">
            <v>2.4301901530952374</v>
          </cell>
          <cell r="D23">
            <v>119.20831744052381</v>
          </cell>
          <cell r="E23">
            <v>27.452625671155264</v>
          </cell>
          <cell r="F23">
            <v>65.768035288573657</v>
          </cell>
        </row>
        <row r="24">
          <cell r="C24">
            <v>68.297777330571421</v>
          </cell>
          <cell r="D24">
            <v>14.298436466666674</v>
          </cell>
          <cell r="E24">
            <v>111.0177568484379</v>
          </cell>
          <cell r="F24">
            <v>10.052166621869391</v>
          </cell>
        </row>
      </sheetData>
      <sheetData sheetId="1">
        <row r="13">
          <cell r="C13">
            <v>184.63353390354484</v>
          </cell>
          <cell r="D13">
            <v>0.45216726600000073</v>
          </cell>
          <cell r="E13">
            <v>225.91363479157371</v>
          </cell>
          <cell r="F13">
            <v>2.2527213014007175</v>
          </cell>
        </row>
        <row r="14">
          <cell r="C14">
            <v>220.1873797839298</v>
          </cell>
          <cell r="D14">
            <v>7.0489242238095176E-2</v>
          </cell>
          <cell r="E14">
            <v>232.7622459023554</v>
          </cell>
          <cell r="F14">
            <v>1.4051947537331992</v>
          </cell>
        </row>
        <row r="15">
          <cell r="C15">
            <v>75.450548815276463</v>
          </cell>
          <cell r="D15">
            <v>13.519446702857151</v>
          </cell>
          <cell r="E15">
            <v>158.5217894580058</v>
          </cell>
          <cell r="F15">
            <v>5.9059238090062616</v>
          </cell>
        </row>
        <row r="16">
          <cell r="C16">
            <v>37.755317028753488</v>
          </cell>
          <cell r="D16">
            <v>22.34790106280953</v>
          </cell>
          <cell r="E16">
            <v>50.898509067848018</v>
          </cell>
          <cell r="F16">
            <v>24.81394628746375</v>
          </cell>
        </row>
        <row r="17">
          <cell r="C17">
            <v>7.0957271543809499</v>
          </cell>
          <cell r="D17">
            <v>87.941602065095267</v>
          </cell>
          <cell r="E17">
            <v>13.010936649668633</v>
          </cell>
          <cell r="F17">
            <v>72.778808458969465</v>
          </cell>
        </row>
        <row r="18">
          <cell r="C18">
            <v>2.1473679999999998E-2</v>
          </cell>
          <cell r="D18">
            <v>245.16695176519056</v>
          </cell>
          <cell r="E18">
            <v>1.6240947840877427</v>
          </cell>
          <cell r="F18">
            <v>218.8791120209591</v>
          </cell>
        </row>
        <row r="19">
          <cell r="C19">
            <v>0</v>
          </cell>
          <cell r="D19">
            <v>419.56964517361905</v>
          </cell>
          <cell r="E19">
            <v>1.8058366811040692E-2</v>
          </cell>
          <cell r="F19">
            <v>381.68578599715539</v>
          </cell>
        </row>
        <row r="20">
          <cell r="C20">
            <v>0</v>
          </cell>
          <cell r="D20">
            <v>413.22415930438103</v>
          </cell>
          <cell r="E20">
            <v>1.3382830286738348E-3</v>
          </cell>
          <cell r="F20">
            <v>443.70544572921881</v>
          </cell>
        </row>
        <row r="21">
          <cell r="C21">
            <v>0</v>
          </cell>
          <cell r="D21">
            <v>430.61029427557139</v>
          </cell>
          <cell r="E21">
            <v>7.7369928352163345E-2</v>
          </cell>
          <cell r="F21">
            <v>396.93672795737831</v>
          </cell>
        </row>
        <row r="22">
          <cell r="C22">
            <v>0.30823940809523798</v>
          </cell>
          <cell r="D22">
            <v>235.33202792823815</v>
          </cell>
          <cell r="E22">
            <v>2.6285156552576989</v>
          </cell>
          <cell r="F22">
            <v>218.36058546491182</v>
          </cell>
        </row>
        <row r="23">
          <cell r="C23">
            <v>5.73969605053738</v>
          </cell>
          <cell r="D23">
            <v>116.06745349857147</v>
          </cell>
          <cell r="E23">
            <v>32.083724743332589</v>
          </cell>
          <cell r="F23">
            <v>63.91795771527773</v>
          </cell>
        </row>
        <row r="24">
          <cell r="C24">
            <v>98.10965798757897</v>
          </cell>
          <cell r="D24">
            <v>13.342507894333339</v>
          </cell>
          <cell r="E24">
            <v>120.77429385750611</v>
          </cell>
          <cell r="F24">
            <v>9.319234487124751</v>
          </cell>
        </row>
      </sheetData>
      <sheetData sheetId="2">
        <row r="13">
          <cell r="C13">
            <v>140.09371180609526</v>
          </cell>
          <cell r="D13">
            <v>4.3887641093333372</v>
          </cell>
          <cell r="E13">
            <v>164.03554489819493</v>
          </cell>
          <cell r="F13">
            <v>9.3847032451071719</v>
          </cell>
        </row>
        <row r="14">
          <cell r="C14">
            <v>211.10811523352379</v>
          </cell>
          <cell r="D14">
            <v>3.3728813234285719</v>
          </cell>
          <cell r="E14">
            <v>172.42221082972176</v>
          </cell>
          <cell r="F14">
            <v>7.1464836261310625</v>
          </cell>
        </row>
        <row r="15">
          <cell r="C15">
            <v>39.382808209666663</v>
          </cell>
          <cell r="D15">
            <v>39.813945262571437</v>
          </cell>
          <cell r="E15">
            <v>111.47031204508716</v>
          </cell>
          <cell r="F15">
            <v>20.492492680337001</v>
          </cell>
        </row>
        <row r="16">
          <cell r="C16">
            <v>9.5463440169999974</v>
          </cell>
          <cell r="D16">
            <v>57.995994318428572</v>
          </cell>
          <cell r="E16">
            <v>25.537347096469702</v>
          </cell>
          <cell r="F16">
            <v>59.474170482455065</v>
          </cell>
        </row>
        <row r="17">
          <cell r="C17">
            <v>0.86870108885714103</v>
          </cell>
          <cell r="D17">
            <v>153.6058918256667</v>
          </cell>
          <cell r="E17">
            <v>3.870801294112475</v>
          </cell>
          <cell r="F17">
            <v>128.11466901654561</v>
          </cell>
        </row>
        <row r="18">
          <cell r="C18">
            <v>0</v>
          </cell>
          <cell r="D18">
            <v>331.91299528128576</v>
          </cell>
          <cell r="E18">
            <v>0.20748869740233603</v>
          </cell>
          <cell r="F18">
            <v>303.08085022932329</v>
          </cell>
        </row>
        <row r="19">
          <cell r="C19">
            <v>0</v>
          </cell>
          <cell r="D19">
            <v>517.14278912333339</v>
          </cell>
          <cell r="E19">
            <v>3.3281217582565236E-4</v>
          </cell>
          <cell r="F19">
            <v>478.72574011981396</v>
          </cell>
        </row>
        <row r="20">
          <cell r="C20">
            <v>0</v>
          </cell>
          <cell r="D20">
            <v>509.54025662876205</v>
          </cell>
          <cell r="E20">
            <v>0</v>
          </cell>
          <cell r="F20">
            <v>543.1315967978785</v>
          </cell>
        </row>
        <row r="21">
          <cell r="C21">
            <v>0</v>
          </cell>
          <cell r="D21">
            <v>528.77976316647619</v>
          </cell>
          <cell r="E21">
            <v>1.174885599297875E-2</v>
          </cell>
          <cell r="F21">
            <v>498.18343936482506</v>
          </cell>
        </row>
        <row r="22">
          <cell r="C22">
            <v>0</v>
          </cell>
          <cell r="D22">
            <v>331.75948986242861</v>
          </cell>
          <cell r="E22">
            <v>0.65737564085421152</v>
          </cell>
          <cell r="F22">
            <v>305.33115466805731</v>
          </cell>
        </row>
        <row r="23">
          <cell r="C23">
            <v>0.2006693194285713</v>
          </cell>
          <cell r="D23">
            <v>192.26681569204766</v>
          </cell>
          <cell r="E23">
            <v>14.275429831188928</v>
          </cell>
          <cell r="F23">
            <v>114.57721616567441</v>
          </cell>
        </row>
        <row r="24">
          <cell r="C24">
            <v>37.982956866809509</v>
          </cell>
          <cell r="D24">
            <v>35.27952075195239</v>
          </cell>
          <cell r="E24">
            <v>75.667316898351459</v>
          </cell>
          <cell r="F24">
            <v>26.94859908876002</v>
          </cell>
        </row>
      </sheetData>
      <sheetData sheetId="3">
        <row r="13">
          <cell r="D13">
            <v>18.25325982228572</v>
          </cell>
          <cell r="F13">
            <v>27.948272835583477</v>
          </cell>
        </row>
        <row r="14">
          <cell r="D14">
            <v>16.187226947428577</v>
          </cell>
          <cell r="F14">
            <v>24.967936660579809</v>
          </cell>
        </row>
        <row r="15">
          <cell r="D15">
            <v>101.50796952880955</v>
          </cell>
          <cell r="F15">
            <v>65.51625197649517</v>
          </cell>
        </row>
        <row r="16">
          <cell r="D16">
            <v>150.68135206980952</v>
          </cell>
          <cell r="F16">
            <v>161.82127175839088</v>
          </cell>
        </row>
        <row r="17">
          <cell r="D17">
            <v>314.73687961000002</v>
          </cell>
          <cell r="F17">
            <v>284.92908958581791</v>
          </cell>
        </row>
        <row r="18">
          <cell r="D18">
            <v>562.82288686461902</v>
          </cell>
          <cell r="F18">
            <v>508.22517206454694</v>
          </cell>
        </row>
        <row r="19">
          <cell r="D19">
            <v>719.07334935561926</v>
          </cell>
          <cell r="F19">
            <v>680.56823320157821</v>
          </cell>
        </row>
        <row r="20">
          <cell r="D20">
            <v>701.83338536723818</v>
          </cell>
          <cell r="F20">
            <v>716.95230789727646</v>
          </cell>
        </row>
        <row r="21">
          <cell r="D21">
            <v>711.48423612619047</v>
          </cell>
          <cell r="F21">
            <v>660.97514234925291</v>
          </cell>
        </row>
        <row r="22">
          <cell r="D22">
            <v>482.30674265400006</v>
          </cell>
          <cell r="F22">
            <v>455.23581810851931</v>
          </cell>
        </row>
        <row r="23">
          <cell r="D23">
            <v>330.31569797542863</v>
          </cell>
          <cell r="F23">
            <v>223.18775368436093</v>
          </cell>
        </row>
        <row r="24">
          <cell r="D24">
            <v>87.537539937809541</v>
          </cell>
          <cell r="F24">
            <v>71.81299090660643</v>
          </cell>
        </row>
      </sheetData>
      <sheetData sheetId="4">
        <row r="13">
          <cell r="D13">
            <v>1049.0964350240004</v>
          </cell>
          <cell r="F13">
            <v>1493.6884893180491</v>
          </cell>
        </row>
        <row r="14">
          <cell r="D14">
            <v>972.31564602314313</v>
          </cell>
          <cell r="F14">
            <v>1392.5958527370724</v>
          </cell>
        </row>
        <row r="15">
          <cell r="D15">
            <v>4875.9487169011436</v>
          </cell>
          <cell r="F15">
            <v>3363.3761250145194</v>
          </cell>
        </row>
        <row r="16">
          <cell r="D16">
            <v>6989.1382069928577</v>
          </cell>
          <cell r="F16">
            <v>7264.5748223936671</v>
          </cell>
        </row>
        <row r="17">
          <cell r="D17">
            <v>11689.54580825057</v>
          </cell>
          <cell r="F17">
            <v>10881.657452883643</v>
          </cell>
        </row>
        <row r="18">
          <cell r="D18">
            <v>16841.948910854571</v>
          </cell>
          <cell r="F18">
            <v>15592.113515228088</v>
          </cell>
        </row>
        <row r="19">
          <cell r="D19">
            <v>18170.695578446659</v>
          </cell>
          <cell r="F19">
            <v>17844.103983997855</v>
          </cell>
        </row>
        <row r="20">
          <cell r="D20">
            <v>17795.668137841334</v>
          </cell>
          <cell r="F20">
            <v>17746.488154588806</v>
          </cell>
        </row>
        <row r="21">
          <cell r="D21">
            <v>17486.874520105423</v>
          </cell>
          <cell r="F21">
            <v>17452.469581640817</v>
          </cell>
        </row>
        <row r="22">
          <cell r="D22">
            <v>15355.601734994572</v>
          </cell>
          <cell r="F22">
            <v>14419.208222578854</v>
          </cell>
        </row>
        <row r="23">
          <cell r="D23">
            <v>12171.405049707426</v>
          </cell>
          <cell r="F23">
            <v>8905.835068377055</v>
          </cell>
        </row>
        <row r="24">
          <cell r="D24">
            <v>4181.4140426865724</v>
          </cell>
          <cell r="F24">
            <v>3537.6546915665144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9">
    <x:tabColor rgb="FF00B0F0"/>
    <x:pageSetUpPr fitToPage="1"/>
  </x:sheetPr>
  <x:dimension ref="A1:AC69"/>
  <x:sheetViews>
    <x:sheetView tabSelected="1" zoomScale="60" zoomScaleNormal="60" zoomScaleSheetLayoutView="70" workbookViewId="0">
      <x:selection activeCell="M52" sqref="M52"/>
    </x:sheetView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453125" customWidth="1"/>
    <x:col min="9" max="9" width="17.453125" bestFit="1" customWidth="1"/>
    <x:col min="10" max="10" width="1.08984375" customWidth="1"/>
    <x:col min="11" max="11" width="18.36328125" customWidth="1"/>
    <x:col min="12" max="12" width="1.08984375" customWidth="1"/>
    <x:col min="13" max="13" width="17.08984375" customWidth="1"/>
    <x:col min="14" max="14" width="1.08984375" customWidth="1"/>
    <x:col min="15" max="15" width="11.90625" bestFit="1" customWidth="1"/>
    <x:col min="16" max="16" width="1.08984375" customWidth="1"/>
    <x:col min="17" max="17" width="26.54296875" bestFit="1" customWidth="1"/>
    <x:col min="18" max="18" width="2.36328125" customWidth="1"/>
    <x:col min="19" max="19" width="23.54296875" bestFit="1" customWidth="1"/>
    <x:col min="20" max="20" width="1.08984375" customWidth="1"/>
    <x:col min="21" max="21" width="19" bestFit="1" customWidth="1"/>
    <x:col min="22" max="22" width="1.453125" customWidth="1"/>
    <x:col min="23" max="23" width="16.90625" bestFit="1" customWidth="1"/>
    <x:col min="24" max="24" width="1.08984375" customWidth="1"/>
    <x:col min="25" max="25" width="17.36328125" customWidth="1"/>
    <x:col min="26" max="26" width="1.6328125" customWidth="1"/>
    <x:col min="27" max="27" width="17" customWidth="1"/>
    <x:col min="28" max="28" width="11.6328125" bestFit="1" customWidth="1"/>
    <x:col min="29" max="29" width="15.453125" bestFit="1" customWidth="1"/>
  </x:cols>
  <x:sheetData>
    <x:row r="1" spans="1:29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t="s">
        <x:v>10</x:v>
      </x:c>
    </x:row>
    <x:row r="2" spans="1:29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82" t="s">
        <x:v>125</x:v>
      </x:c>
    </x:row>
    <x:row r="3" spans="1:29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spans="1:29" ht="15.5" x14ac:dyDescent="0.35">
      <x:c r="A4" s="7" t="s">
        <x:v>12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8"/>
    </x:row>
    <x:row r="5" spans="1:29" ht="15.5" x14ac:dyDescent="0.35">
      <x:c r="A5" s="7" t="s">
        <x:v>54</x:v>
      </x:c>
      <x:c r="B5" s="4"/>
      <x:c r="C5" s="4"/>
      <x:c r="D5" s="4"/>
      <x:c r="E5" s="4"/>
      <x:c r="F5" s="4"/>
      <x:c r="G5" s="6"/>
      <x:c r="H5" s="6"/>
      <x:c r="I5" s="8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8"/>
    </x:row>
    <x:row r="6" spans="1:29" ht="15.5" x14ac:dyDescent="0.35">
      <x:c r="A6" s="9" t="s">
        <x:v>11</x:v>
      </x:c>
      <x:c r="B6" s="4"/>
      <x:c r="C6" s="4"/>
      <x:c r="D6" s="4"/>
      <x:c r="E6" s="4"/>
      <x:c r="F6" s="4"/>
      <x:c r="G6" s="6"/>
      <x:c r="H6" s="8"/>
      <x:c r="I6" s="8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8"/>
    </x:row>
    <x:row r="7" spans="1:29" ht="15.5" x14ac:dyDescent="0.35">
      <x:c r="A7" s="65" t="s">
        <x:v>123</x:v>
      </x:c>
      <x:c r="B7" s="4"/>
      <x:c r="C7" s="38"/>
      <x:c r="D7" s="4"/>
      <x:c r="E7" s="4"/>
      <x:c r="F7" s="4"/>
      <x:c r="G7" s="6"/>
      <x:c r="H7" s="8"/>
      <x:c r="I7" s="8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8"/>
    </x:row>
    <x:row r="8" spans="1:29" ht="15.5" x14ac:dyDescent="0.35">
      <x:c r="B8" s="4"/>
      <x:c r="C8" s="4"/>
      <x:c r="D8" s="4"/>
      <x:c r="E8" s="4"/>
      <x:c r="F8" s="4"/>
      <x:c r="G8" s="6"/>
      <x:c r="H8" s="6"/>
      <x:c r="I8" s="8"/>
      <x:c r="J8" s="6"/>
      <x:c r="K8" s="6"/>
      <x:c r="L8" s="6"/>
      <x:c r="M8" s="6"/>
      <x:c r="N8" s="6"/>
      <x:c r="O8" s="6"/>
      <x:c r="P8" s="6"/>
      <x:c r="Q8" s="20"/>
      <x:c r="R8" s="20"/>
      <x:c r="S8" s="20"/>
      <x:c r="T8" s="20"/>
      <x:c r="U8" s="20"/>
      <x:c r="V8" s="6"/>
      <x:c r="W8" s="6"/>
      <x:c r="X8" s="6"/>
      <x:c r="Y8" s="6"/>
      <x:c r="Z8" s="6"/>
    </x:row>
    <x:row r="9" spans="1:29" ht="15.5" x14ac:dyDescent="0.35">
      <x:c r="A9" s="41" t="s">
        <x:v>72</x:v>
      </x:c>
      <x:c r="B9" s="7"/>
      <x:c r="C9" s="7"/>
      <x:c r="D9" s="7"/>
      <x:c r="E9" s="7"/>
      <x:c r="F9" s="7"/>
      <x:c r="G9" s="9"/>
      <x:c r="H9" s="9"/>
      <x:c r="I9" s="41"/>
      <x:c r="J9" s="9"/>
      <x:c r="K9" s="9"/>
      <x:c r="L9" s="9"/>
      <x:c r="M9" s="9"/>
      <x:c r="N9" s="9"/>
      <x:c r="O9" s="9"/>
      <x:c r="P9" s="9"/>
      <x:c r="Q9" s="42"/>
      <x:c r="R9" s="42"/>
      <x:c r="S9" s="42"/>
      <x:c r="T9" s="42"/>
      <x:c r="U9" s="42"/>
      <x:c r="V9" s="9"/>
      <x:c r="W9" s="9"/>
      <x:c r="X9" s="9"/>
      <x:c r="Y9" s="9"/>
      <x:c r="Z9" s="9"/>
      <x:c r="AA9" s="41"/>
    </x:row>
    <x:row r="10" spans="1:29" ht="15.5" x14ac:dyDescent="0.35">
      <x:c r="B10" s="4"/>
      <x:c r="C10" s="4"/>
      <x:c r="D10" s="4"/>
      <x:c r="E10" s="4"/>
      <x:c r="F10" s="4"/>
      <x:c r="G10" s="6"/>
      <x:c r="H10" s="6"/>
      <x:c r="I10" s="8"/>
      <x:c r="J10" s="6"/>
      <x:c r="K10" s="6"/>
      <x:c r="L10" s="6"/>
      <x:c r="M10" s="6"/>
      <x:c r="N10" s="6"/>
      <x:c r="O10" s="6"/>
      <x:c r="P10" s="6"/>
      <x:c r="Q10" s="20"/>
      <x:c r="R10" s="20"/>
      <x:c r="S10" s="20"/>
      <x:c r="T10" s="20"/>
      <x:c r="U10" s="20"/>
      <x:c r="V10" s="6"/>
      <x:c r="W10" s="6"/>
      <x:c r="X10" s="6"/>
      <x:c r="Y10" s="6"/>
      <x:c r="Z10" s="6"/>
    </x:row>
    <x:row r="11" spans="1:29" ht="15.5" x14ac:dyDescent="0.35">
      <x:c r="A11" s="4" t="s">
        <x:v>124</x:v>
      </x:c>
      <x:c r="B11" s="4"/>
      <x:c r="C11" s="4"/>
      <x:c r="D11" s="4"/>
      <x:c r="E11" s="4"/>
      <x:c r="F11" s="4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</x:row>
    <x:row r="12" spans="1:29" ht="15.5" x14ac:dyDescent="0.35">
      <x:c r="A12" s="4"/>
      <x:c r="B12" s="4"/>
      <x:c r="C12" s="4"/>
      <x:c r="D12" s="4"/>
      <x:c r="E12" s="4"/>
      <x:c r="F12" s="4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</x:row>
    <x:row r="13" spans="1:29" ht="15.5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3</x:v>
      </x:c>
      <x:c r="H13" s="12"/>
      <x:c r="I13" s="13" t="s">
        <x:v>79</x:v>
      </x:c>
      <x:c r="J13" s="12"/>
      <x:c r="K13" s="13" t="s">
        <x:v>80</x:v>
      </x:c>
      <x:c r="L13" s="12"/>
      <x:c r="M13" s="12" t="s">
        <x:v>81</x:v>
      </x:c>
      <x:c r="N13" s="12"/>
      <x:c r="O13" s="13" t="s">
        <x:v>82</x:v>
      </x:c>
      <x:c r="P13" s="14"/>
      <x:c r="Q13" s="14" t="s">
        <x:v>83</x:v>
      </x:c>
      <x:c r="R13" s="14"/>
      <x:c r="S13" s="14" t="s">
        <x:v>84</x:v>
      </x:c>
      <x:c r="T13" s="14"/>
      <x:c r="U13" s="14" t="s">
        <x:v>85</x:v>
      </x:c>
      <x:c r="V13" s="14"/>
      <x:c r="W13" s="12" t="s">
        <x:v>6</x:v>
      </x:c>
      <x:c r="X13" s="12"/>
      <x:c r="Y13" s="12" t="s">
        <x:v>7</x:v>
      </x:c>
      <x:c r="Z13" s="12"/>
      <x:c r="AA13" s="12" t="s">
        <x:v>8</x:v>
      </x:c>
    </x:row>
    <x:row r="14" spans="1:29" ht="15.5" x14ac:dyDescent="0.35">
      <x:c r="A14" s="1" t="s">
        <x:v>78</x:v>
      </x:c>
      <x:c r="B14" s="1"/>
      <x:c r="C14" s="1"/>
      <x:c r="D14" s="1"/>
      <x:c r="E14" s="1"/>
      <x:c r="F14" s="1"/>
      <x:c r="G14" s="60" t="s">
        <x:v>15</x:v>
      </x:c>
      <x:c r="H14" s="16"/>
      <x:c r="I14" s="60" t="s">
        <x:v>18</x:v>
      </x:c>
      <x:c r="J14" s="16"/>
      <x:c r="K14" s="60" t="s">
        <x:v>19</x:v>
      </x:c>
      <x:c r="L14" s="16"/>
      <x:c r="M14" s="60" t="s">
        <x:v>22</x:v>
      </x:c>
      <x:c r="N14" s="16"/>
      <x:c r="O14" s="60" t="s">
        <x:v>42</x:v>
      </x:c>
      <x:c r="P14" s="16"/>
      <x:c r="Q14" s="60" t="s">
        <x:v>26</x:v>
      </x:c>
      <x:c r="R14" s="16"/>
      <x:c r="S14" s="60" t="s">
        <x:v>28</x:v>
      </x:c>
      <x:c r="T14" s="16"/>
      <x:c r="U14" s="60" t="s">
        <x:v>61</x:v>
      </x:c>
      <x:c r="V14" s="16"/>
      <x:c r="W14" s="60" t="s">
        <x:v>62</x:v>
      </x:c>
      <x:c r="X14" s="16"/>
      <x:c r="Y14" s="60" t="s">
        <x:v>63</x:v>
      </x:c>
      <x:c r="Z14" s="16"/>
      <x:c r="AA14" s="61" t="s">
        <x:v>64</x:v>
      </x:c>
      <x:c r="AC14" s="50"/>
    </x:row>
    <x:row r="15" spans="1:29" ht="15.5" x14ac:dyDescent="0.35">
      <x:c r="A15" s="17"/>
      <x:c r="B15" s="1"/>
      <x:c r="C15" s="17"/>
      <x:c r="D15" s="1"/>
      <x:c r="E15" s="17"/>
      <x:c r="F15" s="1"/>
      <x:c r="G15" s="14"/>
      <x:c r="H15" s="3"/>
      <x:c r="I15" s="14"/>
      <x:c r="J15" s="3"/>
      <x:c r="K15" s="3"/>
      <x:c r="L15" s="3"/>
      <x:c r="M15" s="3"/>
      <x:c r="N15" s="3"/>
      <x:c r="O15" s="14"/>
      <x:c r="P15" s="3"/>
      <x:c r="Q15" s="3"/>
      <x:c r="R15" s="3"/>
      <x:c r="S15" s="3"/>
      <x:c r="T15" s="3"/>
      <x:c r="U15" s="3"/>
      <x:c r="V15" s="3"/>
      <x:c r="W15" s="14"/>
      <x:c r="X15" s="14"/>
      <x:c r="Y15" s="14"/>
      <x:c r="Z15" s="14"/>
      <x:c r="AA15" s="14"/>
      <x:c r="AC15" s="50"/>
    </x:row>
    <x:row r="16" spans="1:29" ht="15.5" x14ac:dyDescent="0.35">
      <x:c r="A16" s="39">
        <x:v>1</x:v>
      </x:c>
      <x:c r="B16" s="1"/>
      <x:c r="C16" s="21">
        <x:v>2024</x:v>
      </x:c>
      <x:c r="D16" s="1"/>
      <x:c r="E16" s="19">
        <x:v>1</x:v>
      </x:c>
      <x:c r="F16" s="1"/>
      <x:c r="G16" s="20">
        <x:f>+Residential!Z52+ResidentialT!AB52</x:f>
        <x:v>167851.48489707307</x:v>
      </x:c>
      <x:c r="H16" s="3"/>
      <x:c r="I16" s="20">
        <x:f>+SecLE10!W52</x:f>
        <x:v>4491.5377376331307</x:v>
      </x:c>
      <x:c r="J16" s="3"/>
      <x:c r="K16" s="20">
        <x:f>+SGT10_IDR_NIDR!J34</x:f>
        <x:v>18204.190695225228</x:v>
      </x:c>
      <x:c r="L16" s="20"/>
      <x:c r="M16" s="20">
        <x:f>+SGT10_IDR_NIDR!M34</x:f>
        <x:v>25421.050315706951</x:v>
      </x:c>
      <x:c r="N16" s="20"/>
      <x:c r="O16" s="20">
        <x:v>0</x:v>
      </x:c>
      <x:c r="P16" s="20"/>
      <x:c r="Q16" s="20">
        <x:f>+'PrmGT10D IDR_NIDR'!J34</x:f>
        <x:v>2153.5914046992143</x:v>
      </x:c>
      <x:c r="R16" s="20"/>
      <x:c r="S16" s="20">
        <x:f>+Substation!Q52</x:f>
        <x:v>1232.4091745031028</x:v>
      </x:c>
      <x:c r="T16" s="20"/>
      <x:c r="U16" s="20">
        <x:f>+'PrmGT10D IDR_NIDR'!M34</x:f>
        <x:v>205.44763676146249</x:v>
      </x:c>
      <x:c r="V16" s="20"/>
      <x:c r="W16" s="20">
        <x:v>0</x:v>
      </x:c>
      <x:c r="X16" s="20"/>
      <x:c r="Y16" s="20">
        <x:v>0</x:v>
      </x:c>
      <x:c r="Z16" s="20"/>
      <x:c r="AA16" s="3">
        <x:f>SUM(G16,I16,K16,M16,O16,Q16,S16,U16,W16,Y16,)</x:f>
        <x:v>219559.71186160218</x:v>
      </x:c>
      <x:c r="AC16" s="97"/>
    </x:row>
    <x:row r="17" spans="1:29" ht="15.5" x14ac:dyDescent="0.35">
      <x:c r="A17" s="39">
        <x:f>+A16+1</x:f>
        <x:v>2</x:v>
      </x:c>
      <x:c r="B17" s="1"/>
      <x:c r="C17" s="21">
        <x:f>C16</x:f>
        <x:v>2024</x:v>
      </x:c>
      <x:c r="D17" s="1"/>
      <x:c r="E17" s="19">
        <x:v>2</x:v>
      </x:c>
      <x:c r="F17" s="1"/>
      <x:c r="G17" s="20">
        <x:f>+Residential!Z53+ResidentialT!AB53</x:f>
        <x:v>-276694.62352154951</x:v>
      </x:c>
      <x:c r="H17" s="3"/>
      <x:c r="I17" s="20">
        <x:f>+SecLE10!W53</x:f>
        <x:v>1426.3578254148738</x:v>
      </x:c>
      <x:c r="J17" s="3"/>
      <x:c r="K17" s="20">
        <x:f>+SGT10_IDR_NIDR!J35</x:f>
        <x:v>-17149.140673665253</x:v>
      </x:c>
      <x:c r="L17" s="20"/>
      <x:c r="M17" s="20">
        <x:f>+SGT10_IDR_NIDR!M35</x:f>
        <x:v>-25145.863472970184</x:v>
      </x:c>
      <x:c r="N17" s="20"/>
      <x:c r="O17" s="20">
        <x:v>0</x:v>
      </x:c>
      <x:c r="P17" s="20"/>
      <x:c r="Q17" s="20">
        <x:f>+'PrmGT10D IDR_NIDR'!J35</x:f>
        <x:v>1966.3527291542923</x:v>
      </x:c>
      <x:c r="R17" s="20"/>
      <x:c r="S17" s="20">
        <x:f>+Substation!Q53</x:f>
        <x:v>1165.0167330110119</x:v>
      </x:c>
      <x:c r="T17" s="20"/>
      <x:c r="U17" s="20">
        <x:f>+'PrmGT10D IDR_NIDR'!M35</x:f>
        <x:v>170.21346179823104</x:v>
      </x:c>
      <x:c r="V17" s="20"/>
      <x:c r="W17" s="20">
        <x:v>0</x:v>
      </x:c>
      <x:c r="X17" s="20"/>
      <x:c r="Y17" s="20">
        <x:v>0</x:v>
      </x:c>
      <x:c r="Z17" s="20"/>
      <x:c r="AA17" s="3">
        <x:f t="shared" ref="AA17:AA27" si="0">SUM(G17,I17,K17,M17,O17,Q17,S17,U17,W17,Y17,)</x:f>
        <x:v>-314261.68691880663</x:v>
      </x:c>
      <x:c r="AC17" s="97"/>
    </x:row>
    <x:row r="18" spans="1:29" ht="15.5" x14ac:dyDescent="0.35">
      <x:c r="A18" s="39">
        <x:f t="shared" ref="A18:A66" si="1">+A17+1</x:f>
        <x:v>3</x:v>
      </x:c>
      <x:c r="B18" s="1"/>
      <x:c r="C18" s="21">
        <x:f>C17</x:f>
        <x:v>2024</x:v>
      </x:c>
      <x:c r="D18" s="1"/>
      <x:c r="E18" s="19">
        <x:v>3</x:v>
      </x:c>
      <x:c r="F18" s="1"/>
      <x:c r="G18" s="20">
        <x:f>+Residential!Z54+ResidentialT!AB54</x:f>
        <x:v>563688.88987082685</x:v>
      </x:c>
      <x:c r="H18" s="3"/>
      <x:c r="I18" s="20">
        <x:f>+SecLE10!W54</x:f>
        <x:v>7971.6045365122327</x:v>
      </x:c>
      <x:c r="J18" s="3"/>
      <x:c r="K18" s="20">
        <x:f>+SGT10_IDR_NIDR!J36</x:f>
        <x:v>20744.356937538858</x:v>
      </x:c>
      <x:c r="L18" s="20"/>
      <x:c r="M18" s="20">
        <x:f>+SGT10_IDR_NIDR!M36</x:f>
        <x:v>27874.702280486435</x:v>
      </x:c>
      <x:c r="N18" s="20"/>
      <x:c r="O18" s="20">
        <x:v>0</x:v>
      </x:c>
      <x:c r="P18" s="20"/>
      <x:c r="Q18" s="20">
        <x:f>+'PrmGT10D IDR_NIDR'!J36</x:f>
        <x:v>-8421.0008726026808</x:v>
      </x:c>
      <x:c r="R18" s="20"/>
      <x:c r="S18" s="20">
        <x:f>+Substation!Q54</x:f>
        <x:v>-4192.8512247097224</x:v>
      </x:c>
      <x:c r="T18" s="20"/>
      <x:c r="U18" s="20">
        <x:f>+'PrmGT10D IDR_NIDR'!M36</x:f>
        <x:v>-336.68380081421674</x:v>
      </x:c>
      <x:c r="V18" s="20"/>
      <x:c r="W18" s="20">
        <x:v>0</x:v>
      </x:c>
      <x:c r="X18" s="20"/>
      <x:c r="Y18" s="20">
        <x:v>0</x:v>
      </x:c>
      <x:c r="Z18" s="20"/>
      <x:c r="AA18" s="3">
        <x:f t="shared" si="0"/>
        <x:v>607329.01772723778</x:v>
      </x:c>
      <x:c r="AC18" s="97"/>
    </x:row>
    <x:row r="19" spans="1:29" ht="15.5" x14ac:dyDescent="0.35">
      <x:c r="A19" s="39">
        <x:f t="shared" si="1"/>
        <x:v>4</x:v>
      </x:c>
      <x:c r="B19" s="1"/>
      <x:c r="C19" s="21">
        <x:f>C18</x:f>
        <x:v>2024</x:v>
      </x:c>
      <x:c r="D19" s="1"/>
      <x:c r="E19" s="19">
        <x:v>4</x:v>
      </x:c>
      <x:c r="F19" s="1"/>
      <x:c r="G19" s="20">
        <x:f>+Residential!Z55+ResidentialT!AB55</x:f>
        <x:v>152610.95173929582</x:v>
      </x:c>
      <x:c r="H19" s="3"/>
      <x:c r="I19" s="20">
        <x:f>+SecLE10!W55</x:f>
        <x:v>1596.2729328512494</x:v>
      </x:c>
      <x:c r="J19" s="3"/>
      <x:c r="K19" s="20">
        <x:f>+SGT10_IDR_NIDR!J37</x:f>
        <x:v>10762.995293969701</x:v>
      </x:c>
      <x:c r="L19" s="20"/>
      <x:c r="M19" s="20">
        <x:f>+SGT10_IDR_NIDR!M37</x:f>
        <x:v>14176.130463372427</x:v>
      </x:c>
      <x:c r="N19" s="20"/>
      <x:c r="O19" s="20">
        <x:v>0</x:v>
      </x:c>
      <x:c r="P19" s="20"/>
      <x:c r="Q19" s="20">
        <x:f>+'PrmGT10D IDR_NIDR'!J37</x:f>
        <x:v>2489.9804403844555</x:v>
      </x:c>
      <x:c r="R19" s="20"/>
      <x:c r="S19" s="20">
        <x:f>+Substation!Q55</x:f>
        <x:v>763.51029789104359</x:v>
      </x:c>
      <x:c r="T19" s="20"/>
      <x:c r="U19" s="20">
        <x:f>+'PrmGT10D IDR_NIDR'!M37</x:f>
        <x:v>220.64051783960349</x:v>
      </x:c>
      <x:c r="V19" s="20"/>
      <x:c r="W19" s="20">
        <x:v>0</x:v>
      </x:c>
      <x:c r="X19" s="20"/>
      <x:c r="Y19" s="20">
        <x:v>0</x:v>
      </x:c>
      <x:c r="Z19" s="20"/>
      <x:c r="AA19" s="3">
        <x:f t="shared" si="0"/>
        <x:v>182620.48168560429</x:v>
      </x:c>
      <x:c r="AC19" s="97"/>
    </x:row>
    <x:row r="20" spans="1:29" ht="15.5" x14ac:dyDescent="0.35">
      <x:c r="A20" s="39">
        <x:f t="shared" si="1"/>
        <x:v>5</x:v>
      </x:c>
      <x:c r="B20" s="1"/>
      <x:c r="C20" s="21">
        <x:f>C19</x:f>
        <x:v>2024</x:v>
      </x:c>
      <x:c r="D20" s="1"/>
      <x:c r="E20" s="19">
        <x:v>5</x:v>
      </x:c>
      <x:c r="F20" s="1"/>
      <x:c r="G20" s="20">
        <x:f>+Residential!Z56+ResidentialT!AB56</x:f>
        <x:v>-63074.930619147694</x:v>
      </x:c>
      <x:c r="H20" s="3"/>
      <x:c r="I20" s="20">
        <x:f>+SecLE10!W56</x:f>
        <x:v>-752.36736840008916</x:v>
      </x:c>
      <x:c r="J20" s="3"/>
      <x:c r="K20" s="20">
        <x:f>+SGT10_IDR_NIDR!J38</x:f>
        <x:v>-24412.69643722026</x:v>
      </x:c>
      <x:c r="L20" s="20"/>
      <x:c r="M20" s="20">
        <x:f>+SGT10_IDR_NIDR!M38</x:f>
        <x:v>-34219.903926209954</x:v>
      </x:c>
      <x:c r="N20" s="20"/>
      <x:c r="O20" s="20">
        <x:v>0</x:v>
      </x:c>
      <x:c r="P20" s="20"/>
      <x:c r="Q20" s="20">
        <x:f>+'PrmGT10D IDR_NIDR'!J38</x:f>
        <x:v>-6688.6915823527133</x:v>
      </x:c>
      <x:c r="R20" s="20"/>
      <x:c r="S20" s="20">
        <x:f>+Substation!Q56</x:f>
        <x:v>-2239.4665210771227</x:v>
      </x:c>
      <x:c r="T20" s="20"/>
      <x:c r="U20" s="20">
        <x:f>+'PrmGT10D IDR_NIDR'!M38</x:f>
        <x:v>-564.28892528139841</x:v>
      </x:c>
      <x:c r="V20" s="20"/>
      <x:c r="W20" s="20">
        <x:v>0</x:v>
      </x:c>
      <x:c r="X20" s="20"/>
      <x:c r="Y20" s="20">
        <x:v>0</x:v>
      </x:c>
      <x:c r="Z20" s="20"/>
      <x:c r="AA20" s="3">
        <x:f t="shared" si="0"/>
        <x:v>-131952.34537968924</x:v>
      </x:c>
      <x:c r="AC20" s="97"/>
    </x:row>
    <x:row r="21" spans="1:29" ht="15.5" x14ac:dyDescent="0.35">
      <x:c r="A21" s="39">
        <x:f t="shared" si="1"/>
        <x:v>6</x:v>
      </x:c>
      <x:c r="B21" s="1"/>
      <x:c r="C21" s="21">
        <x:f>C20</x:f>
        <x:v>2024</x:v>
      </x:c>
      <x:c r="D21" s="1"/>
      <x:c r="E21" s="19">
        <x:v>6</x:v>
      </x:c>
      <x:c r="F21" s="1"/>
      <x:c r="G21" s="20">
        <x:f>+Residential!Z57+ResidentialT!AB57</x:f>
        <x:v>-143363.28462176168</x:v>
      </x:c>
      <x:c r="H21" s="3"/>
      <x:c r="I21" s="20">
        <x:f>+SecLE10!W57</x:f>
        <x:v>-2207.1425904067341</x:v>
      </x:c>
      <x:c r="J21" s="3"/>
      <x:c r="K21" s="20">
        <x:f>+SGT10_IDR_NIDR!J39</x:f>
        <x:v>-28163.808956816694</x:v>
      </x:c>
      <x:c r="L21" s="20"/>
      <x:c r="M21" s="20">
        <x:f>+SGT10_IDR_NIDR!M39</x:f>
        <x:v>-42552.93405134161</x:v>
      </x:c>
      <x:c r="N21" s="20"/>
      <x:c r="O21" s="20">
        <x:v>0</x:v>
      </x:c>
      <x:c r="P21" s="20"/>
      <x:c r="Q21" s="20">
        <x:f>+'PrmGT10D IDR_NIDR'!J39</x:f>
        <x:v>-12206.307345813098</x:v>
      </x:c>
      <x:c r="R21" s="20"/>
      <x:c r="S21" s="20">
        <x:f>+Substation!Q57</x:f>
        <x:v>-3464.5437166766123</x:v>
      </x:c>
      <x:c r="T21" s="20"/>
      <x:c r="U21" s="20">
        <x:f>+'PrmGT10D IDR_NIDR'!M39</x:f>
        <x:v>-1078.681607914441</x:v>
      </x:c>
      <x:c r="V21" s="20"/>
      <x:c r="W21" s="20">
        <x:v>0</x:v>
      </x:c>
      <x:c r="X21" s="20"/>
      <x:c r="Y21" s="20">
        <x:v>0</x:v>
      </x:c>
      <x:c r="Z21" s="20"/>
      <x:c r="AA21" s="3">
        <x:f t="shared" si="0"/>
        <x:v>-233036.7028907309</x:v>
      </x:c>
      <x:c r="AC21" s="97"/>
    </x:row>
    <x:row r="22" spans="1:29" ht="15.5" x14ac:dyDescent="0.35">
      <x:c r="A22" s="39">
        <x:f t="shared" si="1"/>
        <x:v>7</x:v>
      </x:c>
      <x:c r="B22" s="1"/>
      <x:c r="C22" s="21">
        <x:f t="shared" ref="C22:C27" si="2">C21</x:f>
        <x:v>2024</x:v>
      </x:c>
      <x:c r="D22" s="1"/>
      <x:c r="E22" s="67">
        <x:v>7</x:v>
      </x:c>
      <x:c r="F22" s="1"/>
      <x:c r="G22" s="20">
        <x:f>+Residential!Z58+ResidentialT!AB58</x:f>
        <x:v>-240111.72438418574</x:v>
      </x:c>
      <x:c r="H22" s="3"/>
      <x:c r="I22" s="20">
        <x:f>+SecLE10!W58</x:f>
        <x:v>-3420.3707651213258</x:v>
      </x:c>
      <x:c r="J22" s="3"/>
      <x:c r="K22" s="20">
        <x:f>+SGT10_IDR_NIDR!J40</x:f>
        <x:v>-36108.774281666723</x:v>
      </x:c>
      <x:c r="L22" s="20"/>
      <x:c r="M22" s="20">
        <x:f>+SGT10_IDR_NIDR!M40</x:f>
        <x:v>-58614.671010640835</x:v>
      </x:c>
      <x:c r="N22" s="20"/>
      <x:c r="O22" s="20">
        <x:v>0</x:v>
      </x:c>
      <x:c r="P22" s="20"/>
      <x:c r="Q22" s="20">
        <x:f>+'PrmGT10D IDR_NIDR'!J40</x:f>
        <x:v>-8523.8032862278997</x:v>
      </x:c>
      <x:c r="R22" s="20"/>
      <x:c r="S22" s="20">
        <x:f>+Substation!Q58</x:f>
        <x:v>-905.31189981208524</x:v>
      </x:c>
      <x:c r="T22" s="20"/>
      <x:c r="U22" s="20">
        <x:f>+'PrmGT10D IDR_NIDR'!M40</x:f>
        <x:v>-845.45410195413751</x:v>
      </x:c>
      <x:c r="V22" s="20"/>
      <x:c r="W22" s="20">
        <x:v>0</x:v>
      </x:c>
      <x:c r="X22" s="20"/>
      <x:c r="Y22" s="20">
        <x:v>0</x:v>
      </x:c>
      <x:c r="Z22" s="20"/>
      <x:c r="AA22" s="3">
        <x:f t="shared" si="0"/>
        <x:v>-348530.10972960875</x:v>
      </x:c>
      <x:c r="AC22" s="97"/>
    </x:row>
    <x:row r="23" spans="1:29" ht="15.5" x14ac:dyDescent="0.35">
      <x:c r="A23" s="39">
        <x:f t="shared" si="1"/>
        <x:v>8</x:v>
      </x:c>
      <x:c r="B23" s="1"/>
      <x:c r="C23" s="21">
        <x:f t="shared" si="2"/>
        <x:v>2024</x:v>
      </x:c>
      <x:c r="D23" s="1"/>
      <x:c r="E23" s="67">
        <x:v>8</x:v>
      </x:c>
      <x:c r="F23" s="1"/>
      <x:c r="G23" s="20">
        <x:f>+Residential!Z59+ResidentialT!AB59</x:f>
        <x:v>221530.82970929422</x:v>
      </x:c>
      <x:c r="H23" s="3"/>
      <x:c r="I23" s="20">
        <x:f>+SecLE10!W59</x:f>
        <x:v>2760.7303330344162</x:v>
      </x:c>
      <x:c r="J23" s="3"/>
      <x:c r="K23" s="20">
        <x:f>+SGT10_IDR_NIDR!J41</x:f>
        <x:v>31493.802610818999</x:v>
      </x:c>
      <x:c r="L23" s="20"/>
      <x:c r="M23" s="20">
        <x:f>+SGT10_IDR_NIDR!M41</x:f>
        <x:v>51290.997914945343</x:v>
      </x:c>
      <x:c r="N23" s="20"/>
      <x:c r="O23" s="20">
        <x:v>0</x:v>
      </x:c>
      <x:c r="P23" s="20"/>
      <x:c r="Q23" s="20">
        <x:f>+'PrmGT10D IDR_NIDR'!J41</x:f>
        <x:v>3322.6148849124947</x:v>
      </x:c>
      <x:c r="R23" s="20"/>
      <x:c r="S23" s="20">
        <x:f>+Substation!Q59</x:f>
        <x:v>-136.32691357600891</x:v>
      </x:c>
      <x:c r="T23" s="20"/>
      <x:c r="U23" s="20">
        <x:f>+'PrmGT10D IDR_NIDR'!M41</x:f>
        <x:v>356.19693970906837</x:v>
      </x:c>
      <x:c r="V23" s="20"/>
      <x:c r="W23" s="20">
        <x:v>0</x:v>
      </x:c>
      <x:c r="X23" s="20"/>
      <x:c r="Y23" s="20">
        <x:v>0</x:v>
      </x:c>
      <x:c r="Z23" s="20"/>
      <x:c r="AA23" s="3">
        <x:f t="shared" si="0"/>
        <x:v>310618.84547913854</x:v>
      </x:c>
      <x:c r="AC23" s="97"/>
    </x:row>
    <x:row r="24" spans="1:29" ht="15.5" x14ac:dyDescent="0.35">
      <x:c r="A24" s="39">
        <x:f t="shared" si="1"/>
        <x:v>9</x:v>
      </x:c>
      <x:c r="B24" s="1"/>
      <x:c r="C24" s="21">
        <x:f t="shared" si="2"/>
        <x:v>2024</x:v>
      </x:c>
      <x:c r="D24" s="1"/>
      <x:c r="E24" s="67">
        <x:v>9</x:v>
      </x:c>
      <x:c r="F24" s="1"/>
      <x:c r="G24" s="20">
        <x:f>+Residential!Z60+ResidentialT!AB60</x:f>
        <x:v>-194424.09401107035</x:v>
      </x:c>
      <x:c r="H24" s="3"/>
      <x:c r="I24" s="20">
        <x:f>+SecLE10!W60</x:f>
        <x:v>-3051.4955949159057</x:v>
      </x:c>
      <x:c r="J24" s="3"/>
      <x:c r="K24" s="20">
        <x:f>+SGT10_IDR_NIDR!J42</x:f>
        <x:v>-28539.576082626845</x:v>
      </x:c>
      <x:c r="L24" s="20"/>
      <x:c r="M24" s="20">
        <x:f>+SGT10_IDR_NIDR!M42</x:f>
        <x:v>-46599.710877881596</x:v>
      </x:c>
      <x:c r="N24" s="20"/>
      <x:c r="O24" s="20">
        <x:v>0</x:v>
      </x:c>
      <x:c r="P24" s="20"/>
      <x:c r="Q24" s="20">
        <x:f>+'PrmGT10D IDR_NIDR'!J42</x:f>
        <x:v>-11164.349081125876</x:v>
      </x:c>
      <x:c r="R24" s="20"/>
      <x:c r="S24" s="20">
        <x:f>+Substation!Q60</x:f>
        <x:v>-95.370489423887676</x:v>
      </x:c>
      <x:c r="T24" s="20"/>
      <x:c r="U24" s="20">
        <x:f>+'PrmGT10D IDR_NIDR'!M42</x:f>
        <x:v>-1125.7761621474547</x:v>
      </x:c>
      <x:c r="V24" s="20"/>
      <x:c r="W24" s="20">
        <x:v>0</x:v>
      </x:c>
      <x:c r="X24" s="20"/>
      <x:c r="Y24" s="20">
        <x:v>0</x:v>
      </x:c>
      <x:c r="Z24" s="20"/>
      <x:c r="AA24" s="3">
        <x:f t="shared" si="0"/>
        <x:v>-285000.37229919189</x:v>
      </x:c>
      <x:c r="AC24" s="97"/>
    </x:row>
    <x:row r="25" spans="1:29" ht="15.5" x14ac:dyDescent="0.35">
      <x:c r="A25" s="39">
        <x:f t="shared" si="1"/>
        <x:v>10</x:v>
      </x:c>
      <x:c r="B25" s="1"/>
      <x:c r="C25" s="21">
        <x:f t="shared" si="2"/>
        <x:v>2024</x:v>
      </x:c>
      <x:c r="D25" s="1"/>
      <x:c r="E25" s="67">
        <x:v>10</x:v>
      </x:c>
      <x:c r="F25" s="1"/>
      <x:c r="G25" s="20">
        <x:f>+Residential!Z61+ResidentialT!AB61</x:f>
        <x:v>-110530.14992602001</x:v>
      </x:c>
      <x:c r="H25" s="3"/>
      <x:c r="I25" s="20">
        <x:f>+SecLE10!W61</x:f>
        <x:v>-1303.5393577445234</x:v>
      </x:c>
      <x:c r="J25" s="3"/>
      <x:c r="K25" s="20">
        <x:f>+SGT10_IDR_NIDR!J43</x:f>
        <x:v>-25483.496503059901</x:v>
      </x:c>
      <x:c r="L25" s="20"/>
      <x:c r="M25" s="20">
        <x:f>+SGT10_IDR_NIDR!M43</x:f>
        <x:v>-38396.591801004382</x:v>
      </x:c>
      <x:c r="N25" s="20"/>
      <x:c r="O25" s="20">
        <x:v>0</x:v>
      </x:c>
      <x:c r="P25" s="20"/>
      <x:c r="Q25" s="20">
        <x:f>+'PrmGT10D IDR_NIDR'!J43</x:f>
        <x:v>-6060.8869272573238</x:v>
      </x:c>
      <x:c r="R25" s="20"/>
      <x:c r="S25" s="20">
        <x:f>+Substation!Q61</x:f>
        <x:v>-2595.6828164163699</x:v>
      </x:c>
      <x:c r="T25" s="20"/>
      <x:c r="U25" s="20">
        <x:f>+'PrmGT10D IDR_NIDR'!M43</x:f>
        <x:v>-526.1457877717794</x:v>
      </x:c>
      <x:c r="V25" s="20"/>
      <x:c r="W25" s="20">
        <x:v>0</x:v>
      </x:c>
      <x:c r="X25" s="20"/>
      <x:c r="Y25" s="20">
        <x:v>0</x:v>
      </x:c>
      <x:c r="Z25" s="20"/>
      <x:c r="AA25" s="3">
        <x:f t="shared" si="0"/>
        <x:v>-184896.4931192743</x:v>
      </x:c>
      <x:c r="AC25" s="97"/>
    </x:row>
    <x:row r="26" spans="1:29" ht="15.5" x14ac:dyDescent="0.35">
      <x:c r="A26" s="39">
        <x:f t="shared" si="1"/>
        <x:v>11</x:v>
      </x:c>
      <x:c r="B26" s="1"/>
      <x:c r="C26" s="21">
        <x:f t="shared" si="2"/>
        <x:v>2024</x:v>
      </x:c>
      <x:c r="D26" s="1"/>
      <x:c r="E26" s="67">
        <x:v>11</x:v>
      </x:c>
      <x:c r="F26" s="1"/>
      <x:c r="G26" s="20">
        <x:f>+Residential!Z62+ResidentialT!AB62</x:f>
        <x:v>-161187.97094291166</x:v>
      </x:c>
      <x:c r="H26" s="3"/>
      <x:c r="I26" s="20">
        <x:f>+SecLE10!W62</x:f>
        <x:v>-1980.1974136864901</x:v>
      </x:c>
      <x:c r="J26" s="3"/>
      <x:c r="K26" s="20">
        <x:f>+SGT10_IDR_NIDR!J44</x:f>
        <x:v>-70966.998370995207</x:v>
      </x:c>
      <x:c r="L26" s="20"/>
      <x:c r="M26" s="20">
        <x:f>+SGT10_IDR_NIDR!M44</x:f>
        <x:v>-100578.20143400972</x:v>
      </x:c>
      <x:c r="N26" s="20"/>
      <x:c r="O26" s="20">
        <x:v>0</x:v>
      </x:c>
      <x:c r="P26" s="20"/>
      <x:c r="Q26" s="20">
        <x:f>+'PrmGT10D IDR_NIDR'!J44</x:f>
        <x:v>-24717.303090706926</x:v>
      </x:c>
      <x:c r="R26" s="20"/>
      <x:c r="S26" s="20">
        <x:f>+Substation!Q62</x:f>
        <x:v>-9052.1599882477876</x:v>
      </x:c>
      <x:c r="T26" s="20"/>
      <x:c r="U26" s="20">
        <x:f>+'PrmGT10D IDR_NIDR'!M44</x:f>
        <x:v>-1349.6039539171215</x:v>
      </x:c>
      <x:c r="V26" s="20"/>
      <x:c r="W26" s="20">
        <x:v>0</x:v>
      </x:c>
      <x:c r="X26" s="20"/>
      <x:c r="Y26" s="20">
        <x:v>0</x:v>
      </x:c>
      <x:c r="Z26" s="20"/>
      <x:c r="AA26" s="3">
        <x:f t="shared" si="0"/>
        <x:v>-369832.43519447488</x:v>
      </x:c>
      <x:c r="AC26" s="97"/>
    </x:row>
    <x:row r="27" spans="1:29" ht="15.5" x14ac:dyDescent="0.35">
      <x:c r="A27" s="39">
        <x:f t="shared" si="1"/>
        <x:v>12</x:v>
      </x:c>
      <x:c r="B27" s="1"/>
      <x:c r="C27" s="21">
        <x:f t="shared" si="2"/>
        <x:v>2024</x:v>
      </x:c>
      <x:c r="D27" s="1"/>
      <x:c r="E27" s="67">
        <x:v>12</x:v>
      </x:c>
      <x:c r="F27" s="1"/>
      <x:c r="G27" s="20">
        <x:f>+Residential!Z63+ResidentialT!AB63</x:f>
        <x:v>288007.91144111106</x:v>
      </x:c>
      <x:c r="H27" s="14"/>
      <x:c r="I27" s="59">
        <x:f>+SecLE10!W63</x:f>
        <x:v>2027.788757455781</x:v>
      </x:c>
      <x:c r="J27" s="14"/>
      <x:c r="K27" s="59">
        <x:f>+SGT10_IDR_NIDR!J45</x:f>
        <x:v>12844.377447467125</x:v>
      </x:c>
      <x:c r="L27" s="59"/>
      <x:c r="M27" s="59">
        <x:f>+SGT10_IDR_NIDR!M45</x:f>
        <x:v>16945.589772557061</x:v>
      </x:c>
      <x:c r="N27" s="59"/>
      <x:c r="O27" s="59">
        <x:v>0</x:v>
      </x:c>
      <x:c r="P27" s="59"/>
      <x:c r="Q27" s="20">
        <x:f>+'PrmGT10D IDR_NIDR'!J45</x:f>
        <x:v>-3553.1667808705065</x:v>
      </x:c>
      <x:c r="R27" s="59"/>
      <x:c r="S27" s="20">
        <x:f>+Substation!Q63</x:f>
        <x:v>-1784.5009213048006</x:v>
      </x:c>
      <x:c r="T27" s="59"/>
      <x:c r="U27" s="59">
        <x:f>+'PrmGT10D IDR_NIDR'!M45</x:f>
        <x:v>-273.00911214699045</x:v>
      </x:c>
      <x:c r="V27" s="59"/>
      <x:c r="W27" s="59">
        <x:v>0</x:v>
      </x:c>
      <x:c r="X27" s="59"/>
      <x:c r="Y27" s="59">
        <x:v>0</x:v>
      </x:c>
      <x:c r="Z27" s="59"/>
      <x:c r="AA27" s="14">
        <x:f t="shared" si="0"/>
        <x:v>314214.99060426874</x:v>
      </x:c>
      <x:c r="AC27" s="97"/>
    </x:row>
    <x:row r="28" spans="1:29" ht="15.5" x14ac:dyDescent="0.35">
      <x:c r="A28" s="39">
        <x:f t="shared" si="1"/>
        <x:v>13</x:v>
      </x:c>
      <x:c r="B28" s="1"/>
      <x:c r="C28" s="1" t="s">
        <x:v>8</x:v>
      </x:c>
      <x:c r="D28" s="1"/>
      <x:c r="E28" s="1"/>
      <x:c r="F28" s="1"/>
      <x:c r="G28" s="76">
        <x:f>SUM(G16:G27)</x:f>
        <x:v>204303.28963095439</x:v>
      </x:c>
      <x:c r="H28" s="76"/>
      <x:c r="I28" s="76">
        <x:f>SUM(I16:I27)</x:f>
        <x:v>7559.1790326266146</x:v>
      </x:c>
      <x:c r="J28" s="76"/>
      <x:c r="K28" s="76">
        <x:f>SUM(K16:K27)</x:f>
        <x:v>-136774.76832103098</x:v>
      </x:c>
      <x:c r="L28" s="76"/>
      <x:c r="M28" s="76">
        <x:f>SUM(M16:M27)</x:f>
        <x:v>-210399.40582699009</x:v>
      </x:c>
      <x:c r="N28" s="76"/>
      <x:c r="O28" s="76">
        <x:f>SUM(O16:O27)</x:f>
        <x:v>0</x:v>
      </x:c>
      <x:c r="P28" s="76"/>
      <x:c r="Q28" s="76">
        <x:f>SUM(Q16:Q27)</x:f>
        <x:v>-71402.969507806571</x:v>
      </x:c>
      <x:c r="R28" s="76"/>
      <x:c r="S28" s="76">
        <x:f>SUM(S16:S27)</x:f>
        <x:v>-21305.278285839242</x:v>
      </x:c>
      <x:c r="T28" s="76"/>
      <x:c r="U28" s="76">
        <x:f>SUM(U16:U27)</x:f>
        <x:v>-5147.1448958391738</x:v>
      </x:c>
      <x:c r="V28" s="76"/>
      <x:c r="W28" s="76">
        <x:f>SUM(W16:W27)</x:f>
        <x:v>0</x:v>
      </x:c>
      <x:c r="X28" s="76"/>
      <x:c r="Y28" s="76">
        <x:f>SUM(Y16:Y27)</x:f>
        <x:v>0</x:v>
      </x:c>
      <x:c r="Z28" s="76"/>
      <x:c r="AA28" s="76">
        <x:f>SUM(AA16:AA27)</x:f>
        <x:v>-233167.09817392507</x:v>
      </x:c>
      <x:c r="AC28" s="14"/>
    </x:row>
    <x:row r="29" spans="1:29" ht="15.5" x14ac:dyDescent="0.35">
      <x:c r="A29" s="39">
        <x:f t="shared" si="1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</x:row>
    <x:row r="30" spans="1:29" ht="15.5" x14ac:dyDescent="0.35">
      <x:c r="A30" s="39">
        <x:f t="shared" si="1"/>
        <x:v>15</x:v>
      </x:c>
      <x:c r="B30" s="4"/>
      <x:c r="C30" s="4" t="s">
        <x:v>119</x:v>
      </x:c>
      <x:c r="D30" s="4"/>
      <x:c r="E30" s="4"/>
      <x:c r="F30" s="4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</x:row>
    <x:row r="31" spans="1:29" ht="15.5" x14ac:dyDescent="0.35">
      <x:c r="A31" s="39">
        <x:f t="shared" si="1"/>
        <x:v>16</x:v>
      </x:c>
      <x:c r="B31" s="4"/>
      <x:c r="C31" s="4"/>
      <x:c r="D31" s="4"/>
      <x:c r="E31" s="4"/>
      <x:c r="F31" s="4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</x:row>
    <x:row r="32" spans="1:29" ht="15.5" x14ac:dyDescent="0.35">
      <x:c r="A32" s="39">
        <x:f t="shared" si="1"/>
        <x:v>17</x:v>
      </x:c>
      <x:c r="B32" s="11"/>
      <x:c r="C32" s="11" t="s">
        <x:v>1</x:v>
      </x:c>
      <x:c r="D32" s="11"/>
      <x:c r="E32" s="11" t="s">
        <x:v>2</x:v>
      </x:c>
      <x:c r="F32" s="1"/>
      <x:c r="G32" s="12" t="s">
        <x:v>3</x:v>
      </x:c>
      <x:c r="H32" s="12"/>
      <x:c r="I32" s="13" t="s">
        <x:v>79</x:v>
      </x:c>
      <x:c r="J32" s="12"/>
      <x:c r="K32" s="13" t="s">
        <x:v>80</x:v>
      </x:c>
      <x:c r="L32" s="12"/>
      <x:c r="M32" s="12" t="s">
        <x:v>81</x:v>
      </x:c>
      <x:c r="N32" s="12"/>
      <x:c r="O32" s="13" t="s">
        <x:v>82</x:v>
      </x:c>
      <x:c r="P32" s="14"/>
      <x:c r="Q32" s="14" t="s">
        <x:v>83</x:v>
      </x:c>
      <x:c r="R32" s="14"/>
      <x:c r="S32" s="14" t="s">
        <x:v>84</x:v>
      </x:c>
      <x:c r="T32" s="14"/>
      <x:c r="U32" s="14" t="s">
        <x:v>85</x:v>
      </x:c>
      <x:c r="V32" s="14"/>
      <x:c r="W32" s="12" t="s">
        <x:v>6</x:v>
      </x:c>
      <x:c r="X32" s="12"/>
      <x:c r="Y32" s="12" t="s">
        <x:v>7</x:v>
      </x:c>
      <x:c r="Z32" s="12"/>
      <x:c r="AA32" s="12" t="s">
        <x:v>8</x:v>
      </x:c>
    </x:row>
    <x:row r="33" spans="1:27" ht="15.5" x14ac:dyDescent="0.35">
      <x:c r="A33" s="39">
        <x:f t="shared" si="1"/>
        <x:v>18</x:v>
      </x:c>
      <x:c r="B33" s="1"/>
      <x:c r="C33" s="26"/>
      <x:c r="D33" s="1"/>
      <x:c r="E33" s="26"/>
      <x:c r="F33" s="1"/>
      <x:c r="G33" s="60" t="s">
        <x:v>65</x:v>
      </x:c>
      <x:c r="H33" s="16"/>
      <x:c r="I33" s="60" t="s">
        <x:v>66</x:v>
      </x:c>
      <x:c r="J33" s="16"/>
      <x:c r="K33" s="60" t="s">
        <x:v>75</x:v>
      </x:c>
      <x:c r="L33" s="16"/>
      <x:c r="M33" s="60" t="s">
        <x:v>68</x:v>
      </x:c>
      <x:c r="N33" s="16"/>
      <x:c r="O33" s="60" t="s">
        <x:v>69</x:v>
      </x:c>
      <x:c r="P33" s="16"/>
      <x:c r="Q33" s="60" t="s">
        <x:v>76</x:v>
      </x:c>
      <x:c r="R33" s="16"/>
      <x:c r="S33" s="60" t="s">
        <x:v>77</x:v>
      </x:c>
      <x:c r="T33" s="16"/>
      <x:c r="U33" s="60" t="s">
        <x:v>94</x:v>
      </x:c>
      <x:c r="V33" s="16"/>
      <x:c r="W33" s="60" t="s">
        <x:v>95</x:v>
      </x:c>
      <x:c r="X33" s="16"/>
      <x:c r="Y33" s="60" t="s">
        <x:v>96</x:v>
      </x:c>
      <x:c r="Z33" s="16"/>
      <x:c r="AA33" s="61" t="s">
        <x:v>97</x:v>
      </x:c>
    </x:row>
    <x:row r="34" spans="1:27" ht="15.5" x14ac:dyDescent="0.35">
      <x:c r="A34" s="39">
        <x:f t="shared" si="1"/>
        <x:v>19</x:v>
      </x:c>
      <x:c r="B34" s="1"/>
      <x:c r="C34" s="1"/>
      <x:c r="D34" s="1"/>
      <x:c r="E34" s="1"/>
      <x:c r="F34" s="1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7" ht="15.5" x14ac:dyDescent="0.35">
      <x:c r="A35" s="39">
        <x:f t="shared" si="1"/>
        <x:v>20</x:v>
      </x:c>
      <x:c r="B35" s="1"/>
      <x:c r="C35" s="18">
        <x:f t="shared" ref="C35:C46" si="3">+C16</x:f>
        <x:v>2024</x:v>
      </x:c>
      <x:c r="D35" s="18"/>
      <x:c r="E35" s="18">
        <x:f t="shared" ref="E35:E46" si="4">+E16</x:f>
        <x:v>1</x:v>
      </x:c>
      <x:c r="G35" s="27">
        <x:f>+[1]RES!E16</x:f>
        <x:v>3396604</x:v>
      </x:c>
      <x:c r="H35" s="27"/>
      <x:c r="I35" s="27">
        <x:f>+'[1]GS SEC SMALL'!E16</x:f>
        <x:v>284930</x:v>
      </x:c>
      <x:c r="J35" s="28"/>
      <x:c r="K35" s="27">
        <x:f>+'[1]GS SEC LRG IDR '!E16</x:f>
        <x:v>5679</x:v>
      </x:c>
      <x:c r="L35" s="28"/>
      <x:c r="M35" s="27">
        <x:f>+'[1]GS SEC LRG NONIDR'!E16</x:f>
        <x:v>225820</x:v>
      </x:c>
      <x:c r="N35" s="27"/>
      <x:c r="O35" s="27">
        <x:f>+'[1]GS PRI SMALL'!E16</x:f>
        <x:v>3151</x:v>
      </x:c>
      <x:c r="P35" s="27"/>
      <x:c r="Q35" s="27">
        <x:f>+'[1]GS PRI LRG IDR '!E16</x:f>
        <x:v>1899</x:v>
      </x:c>
      <x:c r="R35" s="27"/>
      <x:c r="S35" s="27">
        <x:f>+'[1]GS PRI LRG SUB'!E16</x:f>
        <x:v>151</x:v>
      </x:c>
      <x:c r="T35" s="27"/>
      <x:c r="U35" s="27">
        <x:f>+'[1]GS PRI LRG NONIDR'!E16</x:f>
        <x:v>5179</x:v>
      </x:c>
      <x:c r="V35" s="27"/>
      <x:c r="W35" s="27">
        <x:f>+[1]TRANSMISSION!E16</x:f>
        <x:v>319</x:v>
      </x:c>
      <x:c r="X35" s="27"/>
      <x:c r="Y35" s="27">
        <x:f>+'[1]SL - UNMETERED'!E16+'[1]SL - METERED NON CO'!E16+'[1]SL - METERED CO OWNED'!E16+'[1]OUTDOOR LIGHTING'!E16</x:f>
        <x:v>52286</x:v>
      </x:c>
      <x:c r="Z35" s="28"/>
      <x:c r="AA35" s="27">
        <x:f t="shared" ref="AA35:AA46" si="5">SUM(G35:Y35)</x:f>
        <x:v>3976018</x:v>
      </x:c>
    </x:row>
    <x:row r="36" spans="1:27" ht="15.5" x14ac:dyDescent="0.35">
      <x:c r="A36" s="39">
        <x:f t="shared" si="1"/>
        <x:v>21</x:v>
      </x:c>
      <x:c r="B36" s="1"/>
      <x:c r="C36" s="18">
        <x:f t="shared" si="3"/>
        <x:v>2024</x:v>
      </x:c>
      <x:c r="D36" s="1"/>
      <x:c r="E36" s="18">
        <x:f t="shared" si="4"/>
        <x:v>2</x:v>
      </x:c>
      <x:c r="G36" s="27">
        <x:f>+[1]RES!E18</x:f>
        <x:v>3401024</x:v>
      </x:c>
      <x:c r="H36" s="27"/>
      <x:c r="I36" s="27">
        <x:f>+'[1]GS SEC SMALL'!E18</x:f>
        <x:v>282336</x:v>
      </x:c>
      <x:c r="J36" s="28"/>
      <x:c r="K36" s="27">
        <x:f>+'[1]GS SEC LRG IDR '!E18</x:f>
        <x:v>5675</x:v>
      </x:c>
      <x:c r="L36" s="28"/>
      <x:c r="M36" s="27">
        <x:f>+'[1]GS SEC LRG NONIDR'!E18</x:f>
        <x:v>228780</x:v>
      </x:c>
      <x:c r="N36" s="27"/>
      <x:c r="O36" s="27">
        <x:f>+'[1]GS PRI SMALL'!E18</x:f>
        <x:v>3086</x:v>
      </x:c>
      <x:c r="P36" s="27"/>
      <x:c r="Q36" s="27">
        <x:f>+'[1]GS PRI LRG IDR '!E18</x:f>
        <x:v>1903</x:v>
      </x:c>
      <x:c r="R36" s="27"/>
      <x:c r="S36" s="27">
        <x:f>+'[1]GS PRI LRG SUB'!E18</x:f>
        <x:v>152</x:v>
      </x:c>
      <x:c r="T36" s="27"/>
      <x:c r="U36" s="27">
        <x:f>+'[1]GS PRI LRG NONIDR'!E18</x:f>
        <x:v>5183</x:v>
      </x:c>
      <x:c r="V36" s="27"/>
      <x:c r="W36" s="27">
        <x:f>+[1]TRANSMISSION!E18</x:f>
        <x:v>320</x:v>
      </x:c>
      <x:c r="X36" s="27"/>
      <x:c r="Y36" s="27">
        <x:f>+'[1]SL - UNMETERED'!E18+'[1]SL - METERED NON CO'!E18+'[1]SL - METERED CO OWNED'!E18+'[1]OUTDOOR LIGHTING'!E18</x:f>
        <x:v>52202</x:v>
      </x:c>
      <x:c r="Z36" s="28"/>
      <x:c r="AA36" s="27">
        <x:f t="shared" si="5"/>
        <x:v>3980661</x:v>
      </x:c>
    </x:row>
    <x:row r="37" spans="1:27" ht="15.5" x14ac:dyDescent="0.35">
      <x:c r="A37" s="39">
        <x:f t="shared" si="1"/>
        <x:v>22</x:v>
      </x:c>
      <x:c r="B37" s="1"/>
      <x:c r="C37" s="18">
        <x:f t="shared" si="3"/>
        <x:v>2024</x:v>
      </x:c>
      <x:c r="D37" s="1"/>
      <x:c r="E37" s="18">
        <x:f t="shared" si="4"/>
        <x:v>3</x:v>
      </x:c>
      <x:c r="G37" s="27">
        <x:f>+[1]RES!E20</x:f>
        <x:v>3407140</x:v>
      </x:c>
      <x:c r="H37" s="27"/>
      <x:c r="I37" s="27">
        <x:f>+'[1]GS SEC SMALL'!E20</x:f>
        <x:v>283192</x:v>
      </x:c>
      <x:c r="J37" s="28"/>
      <x:c r="K37" s="27">
        <x:f>+'[1]GS SEC LRG IDR '!E20</x:f>
        <x:v>5674</x:v>
      </x:c>
      <x:c r="L37" s="28"/>
      <x:c r="M37" s="27">
        <x:f>+'[1]GS SEC LRG NONIDR'!E20</x:f>
        <x:v>228741</x:v>
      </x:c>
      <x:c r="N37" s="27"/>
      <x:c r="O37" s="27">
        <x:f>+'[1]GS PRI SMALL'!E20</x:f>
        <x:v>3096</x:v>
      </x:c>
      <x:c r="P37" s="27"/>
      <x:c r="Q37" s="27">
        <x:f>+'[1]GS PRI LRG IDR '!E20</x:f>
        <x:v>1898</x:v>
      </x:c>
      <x:c r="R37" s="27"/>
      <x:c r="S37" s="27">
        <x:f>+'[1]GS PRI LRG SUB'!E20</x:f>
        <x:v>154</x:v>
      </x:c>
      <x:c r="T37" s="27"/>
      <x:c r="U37" s="27">
        <x:f>+'[1]GS PRI LRG NONIDR'!E20</x:f>
        <x:v>5177</x:v>
      </x:c>
      <x:c r="V37" s="27"/>
      <x:c r="W37" s="27">
        <x:f>+[1]TRANSMISSION!E20</x:f>
        <x:v>322</x:v>
      </x:c>
      <x:c r="X37" s="27"/>
      <x:c r="Y37" s="27">
        <x:f>+'[1]SL - UNMETERED'!E20+'[1]SL - METERED NON CO'!E20+'[1]SL - METERED CO OWNED'!E20+'[1]OUTDOOR LIGHTING'!E20</x:f>
        <x:v>52127</x:v>
      </x:c>
      <x:c r="Z37" s="28"/>
      <x:c r="AA37" s="27">
        <x:f t="shared" si="5"/>
        <x:v>3987521</x:v>
      </x:c>
    </x:row>
    <x:row r="38" spans="1:27" ht="15.5" x14ac:dyDescent="0.35">
      <x:c r="A38" s="39">
        <x:f t="shared" si="1"/>
        <x:v>23</x:v>
      </x:c>
      <x:c r="B38" s="1"/>
      <x:c r="C38" s="18">
        <x:f t="shared" si="3"/>
        <x:v>2024</x:v>
      </x:c>
      <x:c r="D38" s="1"/>
      <x:c r="E38" s="18">
        <x:f t="shared" si="4"/>
        <x:v>4</x:v>
      </x:c>
      <x:c r="G38" s="27">
        <x:f>+[1]RES!E22</x:f>
        <x:v>3413927</x:v>
      </x:c>
      <x:c r="H38" s="27"/>
      <x:c r="I38" s="27">
        <x:f>+'[1]GS SEC SMALL'!E22</x:f>
        <x:v>283989</x:v>
      </x:c>
      <x:c r="J38" s="28"/>
      <x:c r="K38" s="27">
        <x:f>+'[1]GS SEC LRG IDR '!E22</x:f>
        <x:v>5673</x:v>
      </x:c>
      <x:c r="L38" s="28"/>
      <x:c r="M38" s="27">
        <x:f>+'[1]GS SEC LRG NONIDR'!E22</x:f>
        <x:v>228730</x:v>
      </x:c>
      <x:c r="N38" s="27"/>
      <x:c r="O38" s="27">
        <x:f>+'[1]GS PRI SMALL'!E22</x:f>
        <x:v>3074</x:v>
      </x:c>
      <x:c r="P38" s="27"/>
      <x:c r="Q38" s="27">
        <x:f>+'[1]GS PRI LRG IDR '!E22</x:f>
        <x:v>1893</x:v>
      </x:c>
      <x:c r="R38" s="27"/>
      <x:c r="S38" s="27">
        <x:f>+'[1]GS PRI LRG SUB'!E22</x:f>
        <x:v>157</x:v>
      </x:c>
      <x:c r="T38" s="27"/>
      <x:c r="U38" s="27">
        <x:f>+'[1]GS PRI LRG NONIDR'!E22</x:f>
        <x:v>5172</x:v>
      </x:c>
      <x:c r="V38" s="27"/>
      <x:c r="W38" s="27">
        <x:f>+[1]TRANSMISSION!E22</x:f>
        <x:v>322</x:v>
      </x:c>
      <x:c r="X38" s="27"/>
      <x:c r="Y38" s="27">
        <x:f>+'[1]SL - UNMETERED'!E22+'[1]SL - METERED NON CO'!E22+'[1]SL - METERED CO OWNED'!E22+'[1]OUTDOOR LIGHTING'!E22</x:f>
        <x:v>52051</x:v>
      </x:c>
      <x:c r="Z38" s="28"/>
      <x:c r="AA38" s="27">
        <x:f t="shared" si="5"/>
        <x:v>3994988</x:v>
      </x:c>
    </x:row>
    <x:row r="39" spans="1:27" ht="15.5" x14ac:dyDescent="0.35">
      <x:c r="A39" s="39">
        <x:f t="shared" si="1"/>
        <x:v>24</x:v>
      </x:c>
      <x:c r="B39" s="1"/>
      <x:c r="C39" s="18">
        <x:f t="shared" si="3"/>
        <x:v>2024</x:v>
      </x:c>
      <x:c r="D39" s="1"/>
      <x:c r="E39" s="18">
        <x:f t="shared" si="4"/>
        <x:v>5</x:v>
      </x:c>
      <x:c r="G39" s="27">
        <x:f>+[1]RES!E24</x:f>
        <x:v>3421241</x:v>
      </x:c>
      <x:c r="H39" s="27"/>
      <x:c r="I39" s="27">
        <x:f>+'[1]GS SEC SMALL'!E24</x:f>
        <x:v>284452</x:v>
      </x:c>
      <x:c r="J39" s="28"/>
      <x:c r="K39" s="27">
        <x:f>+'[1]GS SEC LRG IDR '!E24</x:f>
        <x:v>5696</x:v>
      </x:c>
      <x:c r="L39" s="28"/>
      <x:c r="M39" s="27">
        <x:f>+'[1]GS SEC LRG NONIDR'!E24</x:f>
        <x:v>228854</x:v>
      </x:c>
      <x:c r="N39" s="27"/>
      <x:c r="O39" s="27">
        <x:f>+'[1]GS PRI SMALL'!E24</x:f>
        <x:v>3079</x:v>
      </x:c>
      <x:c r="P39" s="27"/>
      <x:c r="Q39" s="27">
        <x:f>+'[1]GS PRI LRG IDR '!E24</x:f>
        <x:v>1949</x:v>
      </x:c>
      <x:c r="R39" s="27"/>
      <x:c r="S39" s="27">
        <x:f>+'[1]GS PRI LRG SUB'!E24</x:f>
        <x:v>159</x:v>
      </x:c>
      <x:c r="T39" s="27"/>
      <x:c r="U39" s="27">
        <x:f>+'[1]GS PRI LRG NONIDR'!E24</x:f>
        <x:v>5124</x:v>
      </x:c>
      <x:c r="V39" s="27"/>
      <x:c r="W39" s="27">
        <x:f>+[1]TRANSMISSION!E24</x:f>
        <x:v>324</x:v>
      </x:c>
      <x:c r="X39" s="27"/>
      <x:c r="Y39" s="27">
        <x:f>+'[1]SL - UNMETERED'!E24+'[1]SL - METERED NON CO'!E24+'[1]SL - METERED CO OWNED'!E24+'[1]OUTDOOR LIGHTING'!E24</x:f>
        <x:v>51963</x:v>
      </x:c>
      <x:c r="Z39" s="28"/>
      <x:c r="AA39" s="27">
        <x:f t="shared" si="5"/>
        <x:v>4002841</x:v>
      </x:c>
    </x:row>
    <x:row r="40" spans="1:27" ht="15.5" x14ac:dyDescent="0.35">
      <x:c r="A40" s="39">
        <x:f t="shared" si="1"/>
        <x:v>25</x:v>
      </x:c>
      <x:c r="B40" s="1"/>
      <x:c r="C40" s="18">
        <x:f t="shared" si="3"/>
        <x:v>2024</x:v>
      </x:c>
      <x:c r="D40" s="1"/>
      <x:c r="E40" s="18">
        <x:f t="shared" si="4"/>
        <x:v>6</x:v>
      </x:c>
      <x:c r="G40" s="27">
        <x:f>+[1]RES!E26</x:f>
        <x:v>3425884</x:v>
      </x:c>
      <x:c r="H40" s="27"/>
      <x:c r="I40" s="27">
        <x:f>+'[1]GS SEC SMALL'!E26</x:f>
        <x:v>284068</x:v>
      </x:c>
      <x:c r="J40" s="28"/>
      <x:c r="K40" s="27">
        <x:f>+'[1]GS SEC LRG IDR '!E26</x:f>
        <x:v>5688</x:v>
      </x:c>
      <x:c r="L40" s="28"/>
      <x:c r="M40" s="27">
        <x:f>+'[1]GS SEC LRG NONIDR'!E26</x:f>
        <x:v>229356</x:v>
      </x:c>
      <x:c r="N40" s="27"/>
      <x:c r="O40" s="27">
        <x:f>+'[1]GS PRI SMALL'!E26</x:f>
        <x:v>3086</x:v>
      </x:c>
      <x:c r="P40" s="27"/>
      <x:c r="Q40" s="27">
        <x:f>+'[1]GS PRI LRG IDR '!E26</x:f>
        <x:v>1950</x:v>
      </x:c>
      <x:c r="R40" s="27"/>
      <x:c r="S40" s="27">
        <x:f>+'[1]GS PRI LRG SUB'!E26</x:f>
        <x:v>155</x:v>
      </x:c>
      <x:c r="T40" s="27"/>
      <x:c r="U40" s="27">
        <x:f>+'[1]GS PRI LRG NONIDR'!E26</x:f>
        <x:v>5124</x:v>
      </x:c>
      <x:c r="V40" s="27"/>
      <x:c r="W40" s="27">
        <x:f>+[1]TRANSMISSION!E26</x:f>
        <x:v>326</x:v>
      </x:c>
      <x:c r="X40" s="27"/>
      <x:c r="Y40" s="27">
        <x:f>+'[1]SL - UNMETERED'!E26+'[1]SL - METERED NON CO'!E26+'[1]SL - METERED CO OWNED'!E26+'[1]OUTDOOR LIGHTING'!E26</x:f>
        <x:v>51895</x:v>
      </x:c>
      <x:c r="Z40" s="28"/>
      <x:c r="AA40" s="27">
        <x:f t="shared" si="5"/>
        <x:v>4007532</x:v>
      </x:c>
    </x:row>
    <x:row r="41" spans="1:27" ht="15.5" x14ac:dyDescent="0.35">
      <x:c r="A41" s="39">
        <x:f t="shared" si="1"/>
        <x:v>26</x:v>
      </x:c>
      <x:c r="B41" s="1"/>
      <x:c r="C41" s="18">
        <x:f t="shared" si="3"/>
        <x:v>2024</x:v>
      </x:c>
      <x:c r="D41" s="1"/>
      <x:c r="E41" s="18">
        <x:f t="shared" si="4"/>
        <x:v>7</x:v>
      </x:c>
      <x:c r="F41" s="23"/>
      <x:c r="G41" s="27">
        <x:f>+[1]RES!E28</x:f>
        <x:v>3432967</x:v>
      </x:c>
      <x:c r="H41" s="27"/>
      <x:c r="I41" s="27">
        <x:f>+'[1]GS SEC SMALL'!E28</x:f>
        <x:v>284074</x:v>
      </x:c>
      <x:c r="J41" s="28"/>
      <x:c r="K41" s="27">
        <x:f>+'[1]GS SEC LRG IDR '!E28</x:f>
        <x:v>5684</x:v>
      </x:c>
      <x:c r="L41" s="28"/>
      <x:c r="M41" s="27">
        <x:f>+'[1]GS SEC LRG NONIDR'!E28</x:f>
        <x:v>229680</x:v>
      </x:c>
      <x:c r="N41" s="27"/>
      <x:c r="O41" s="27">
        <x:f>+'[1]GS PRI SMALL'!E28</x:f>
        <x:v>3097</x:v>
      </x:c>
      <x:c r="P41" s="27"/>
      <x:c r="Q41" s="27">
        <x:f>+'[1]GS PRI LRG IDR '!E28</x:f>
        <x:v>1946</x:v>
      </x:c>
      <x:c r="R41" s="27"/>
      <x:c r="S41" s="27">
        <x:f>+'[1]GS PRI LRG SUB'!E28</x:f>
        <x:v>158</x:v>
      </x:c>
      <x:c r="T41" s="27"/>
      <x:c r="U41" s="27">
        <x:f>+'[1]GS PRI LRG NONIDR'!E28</x:f>
        <x:v>5109</x:v>
      </x:c>
      <x:c r="V41" s="27"/>
      <x:c r="W41" s="27">
        <x:f>+[1]TRANSMISSION!E28</x:f>
        <x:v>327</x:v>
      </x:c>
      <x:c r="X41" s="27"/>
      <x:c r="Y41" s="27">
        <x:f>+'[1]SL - UNMETERED'!E28+'[1]SL - METERED NON CO'!E28+'[1]SL - METERED CO OWNED'!E28+'[1]OUTDOOR LIGHTING'!E28</x:f>
        <x:v>51745</x:v>
      </x:c>
      <x:c r="Z41" s="28"/>
      <x:c r="AA41" s="27">
        <x:f t="shared" si="5"/>
        <x:v>4014787</x:v>
      </x:c>
    </x:row>
    <x:row r="42" spans="1:27" ht="15.5" x14ac:dyDescent="0.35">
      <x:c r="A42" s="39">
        <x:f t="shared" si="1"/>
        <x:v>27</x:v>
      </x:c>
      <x:c r="B42" s="1"/>
      <x:c r="C42" s="18">
        <x:f t="shared" si="3"/>
        <x:v>2024</x:v>
      </x:c>
      <x:c r="D42" s="1"/>
      <x:c r="E42" s="18">
        <x:f t="shared" si="4"/>
        <x:v>8</x:v>
      </x:c>
      <x:c r="G42" s="27">
        <x:f>+[1]RES!E30</x:f>
        <x:v>3439507</x:v>
      </x:c>
      <x:c r="H42" s="27"/>
      <x:c r="I42" s="27">
        <x:f>+'[1]GS SEC SMALL'!E30</x:f>
        <x:v>284801</x:v>
      </x:c>
      <x:c r="J42" s="28"/>
      <x:c r="K42" s="27">
        <x:f>+'[1]GS SEC LRG IDR '!E30</x:f>
        <x:v>5681</x:v>
      </x:c>
      <x:c r="L42" s="28"/>
      <x:c r="M42" s="27">
        <x:f>+'[1]GS SEC LRG NONIDR'!E30</x:f>
        <x:v>229568</x:v>
      </x:c>
      <x:c r="N42" s="27"/>
      <x:c r="O42" s="27">
        <x:f>+'[1]GS PRI SMALL'!E30</x:f>
        <x:v>3100</x:v>
      </x:c>
      <x:c r="P42" s="27"/>
      <x:c r="Q42" s="27">
        <x:f>+'[1]GS PRI LRG IDR '!E30</x:f>
        <x:v>1945</x:v>
      </x:c>
      <x:c r="R42" s="27"/>
      <x:c r="S42" s="27">
        <x:f>+'[1]GS PRI LRG SUB'!E30</x:f>
        <x:v>160</x:v>
      </x:c>
      <x:c r="T42" s="27"/>
      <x:c r="U42" s="27">
        <x:f>+'[1]GS PRI LRG NONIDR'!E30</x:f>
        <x:v>5103</x:v>
      </x:c>
      <x:c r="V42" s="27"/>
      <x:c r="W42" s="27">
        <x:f>+[1]TRANSMISSION!E30</x:f>
        <x:v>330</x:v>
      </x:c>
      <x:c r="X42" s="27"/>
      <x:c r="Y42" s="27">
        <x:f>+'[1]SL - UNMETERED'!E30+'[1]SL - METERED NON CO'!E30+'[1]SL - METERED CO OWNED'!E30+'[1]OUTDOOR LIGHTING'!E30</x:f>
        <x:v>51680</x:v>
      </x:c>
      <x:c r="Z42" s="28"/>
      <x:c r="AA42" s="27">
        <x:f t="shared" si="5"/>
        <x:v>4021875</x:v>
      </x:c>
    </x:row>
    <x:row r="43" spans="1:27" ht="15.5" x14ac:dyDescent="0.35">
      <x:c r="A43" s="39">
        <x:f t="shared" si="1"/>
        <x:v>28</x:v>
      </x:c>
      <x:c r="B43" s="1"/>
      <x:c r="C43" s="18">
        <x:f t="shared" si="3"/>
        <x:v>2024</x:v>
      </x:c>
      <x:c r="D43" s="1"/>
      <x:c r="E43" s="18">
        <x:f t="shared" si="4"/>
        <x:v>9</x:v>
      </x:c>
      <x:c r="G43" s="27">
        <x:f>+[1]RES!E32</x:f>
        <x:v>3444509</x:v>
      </x:c>
      <x:c r="H43" s="27"/>
      <x:c r="I43" s="27">
        <x:f>+'[1]GS SEC SMALL'!E32</x:f>
        <x:v>285728</x:v>
      </x:c>
      <x:c r="J43" s="28"/>
      <x:c r="K43" s="27">
        <x:f>+'[1]GS SEC LRG IDR '!E32</x:f>
        <x:v>5732</x:v>
      </x:c>
      <x:c r="L43" s="28"/>
      <x:c r="M43" s="27">
        <x:f>+'[1]GS SEC LRG NONIDR'!E32</x:f>
        <x:v>228741</x:v>
      </x:c>
      <x:c r="N43" s="27"/>
      <x:c r="O43" s="27">
        <x:f>+'[1]GS PRI SMALL'!E32</x:f>
        <x:v>3122</x:v>
      </x:c>
      <x:c r="P43" s="27"/>
      <x:c r="Q43" s="27">
        <x:f>+'[1]GS PRI LRG IDR '!E32</x:f>
        <x:v>1998</x:v>
      </x:c>
      <x:c r="R43" s="27"/>
      <x:c r="S43" s="27">
        <x:f>+'[1]GS PRI LRG SUB'!E32</x:f>
        <x:v>160</x:v>
      </x:c>
      <x:c r="T43" s="27"/>
      <x:c r="U43" s="27">
        <x:f>+'[1]GS PRI LRG NONIDR'!E32</x:f>
        <x:v>5040</x:v>
      </x:c>
      <x:c r="V43" s="27"/>
      <x:c r="W43" s="27">
        <x:f>+[1]TRANSMISSION!E32</x:f>
        <x:v>332</x:v>
      </x:c>
      <x:c r="X43" s="27"/>
      <x:c r="Y43" s="27">
        <x:f>+'[1]SL - UNMETERED'!E32+'[1]SL - METERED NON CO'!E32+'[1]SL - METERED CO OWNED'!E32+'[1]OUTDOOR LIGHTING'!E32</x:f>
        <x:v>51594</x:v>
      </x:c>
      <x:c r="Z43" s="28"/>
      <x:c r="AA43" s="27">
        <x:f t="shared" si="5"/>
        <x:v>4026956</x:v>
      </x:c>
    </x:row>
    <x:row r="44" spans="1:27" ht="15.5" x14ac:dyDescent="0.35">
      <x:c r="A44" s="39">
        <x:f t="shared" si="1"/>
        <x:v>29</x:v>
      </x:c>
      <x:c r="B44" s="1"/>
      <x:c r="C44" s="18">
        <x:f t="shared" si="3"/>
        <x:v>2024</x:v>
      </x:c>
      <x:c r="D44" s="1"/>
      <x:c r="E44" s="18">
        <x:f t="shared" si="4"/>
        <x:v>10</x:v>
      </x:c>
      <x:c r="G44" s="27">
        <x:f>+[1]RES!E34</x:f>
        <x:v>3450481</x:v>
      </x:c>
      <x:c r="H44" s="27"/>
      <x:c r="I44" s="27">
        <x:f>+'[1]GS SEC SMALL'!E34</x:f>
        <x:v>286930</x:v>
      </x:c>
      <x:c r="J44" s="28"/>
      <x:c r="K44" s="27">
        <x:f>+'[1]GS SEC LRG IDR '!E34</x:f>
        <x:v>5729</x:v>
      </x:c>
      <x:c r="L44" s="28"/>
      <x:c r="M44" s="27">
        <x:f>+'[1]GS SEC LRG NONIDR'!E34</x:f>
        <x:v>228156</x:v>
      </x:c>
      <x:c r="N44" s="27"/>
      <x:c r="O44" s="27">
        <x:f>+'[1]GS PRI SMALL'!E34</x:f>
        <x:v>3134</x:v>
      </x:c>
      <x:c r="P44" s="27"/>
      <x:c r="Q44" s="27">
        <x:f>+'[1]GS PRI LRG IDR '!E34</x:f>
        <x:v>1991</x:v>
      </x:c>
      <x:c r="R44" s="27"/>
      <x:c r="S44" s="27">
        <x:f>+'[1]GS PRI LRG SUB'!E34</x:f>
        <x:v>161</x:v>
      </x:c>
      <x:c r="T44" s="27"/>
      <x:c r="U44" s="27">
        <x:f>+'[1]GS PRI LRG NONIDR'!E34</x:f>
        <x:v>5022</x:v>
      </x:c>
      <x:c r="V44" s="27"/>
      <x:c r="W44" s="27">
        <x:f>+[1]TRANSMISSION!E34</x:f>
        <x:v>332</x:v>
      </x:c>
      <x:c r="X44" s="27"/>
      <x:c r="Y44" s="27">
        <x:f>+'[1]SL - UNMETERED'!E34+'[1]SL - METERED NON CO'!E34+'[1]SL - METERED CO OWNED'!E34+'[1]OUTDOOR LIGHTING'!E34</x:f>
        <x:v>51419</x:v>
      </x:c>
      <x:c r="Z44" s="28"/>
      <x:c r="AA44" s="27">
        <x:f t="shared" si="5"/>
        <x:v>4033355</x:v>
      </x:c>
    </x:row>
    <x:row r="45" spans="1:27" ht="15.5" x14ac:dyDescent="0.35">
      <x:c r="A45" s="39">
        <x:f t="shared" si="1"/>
        <x:v>30</x:v>
      </x:c>
      <x:c r="B45" s="1"/>
      <x:c r="C45" s="18">
        <x:f t="shared" si="3"/>
        <x:v>2024</x:v>
      </x:c>
      <x:c r="D45" s="1"/>
      <x:c r="E45" s="18">
        <x:f t="shared" si="4"/>
        <x:v>11</x:v>
      </x:c>
      <x:c r="G45" s="27">
        <x:f>+[1]RES!E36</x:f>
        <x:v>3456155</x:v>
      </x:c>
      <x:c r="H45" s="27"/>
      <x:c r="I45" s="27">
        <x:f>+'[1]GS SEC SMALL'!E36</x:f>
        <x:v>287446</x:v>
      </x:c>
      <x:c r="J45" s="28"/>
      <x:c r="K45" s="27">
        <x:f>+'[1]GS SEC LRG IDR '!E36</x:f>
        <x:v>5729</x:v>
      </x:c>
      <x:c r="L45" s="28"/>
      <x:c r="M45" s="27">
        <x:f>+'[1]GS SEC LRG NONIDR'!E36</x:f>
        <x:v>228028</x:v>
      </x:c>
      <x:c r="N45" s="27"/>
      <x:c r="O45" s="27">
        <x:f>+'[1]GS PRI SMALL'!E36</x:f>
        <x:v>3143</x:v>
      </x:c>
      <x:c r="P45" s="27"/>
      <x:c r="Q45" s="27">
        <x:f>+'[1]GS PRI LRG IDR '!E36</x:f>
        <x:v>1990</x:v>
      </x:c>
      <x:c r="R45" s="27"/>
      <x:c r="S45" s="27">
        <x:f>+'[1]GS PRI LRG SUB'!E36</x:f>
        <x:v>162</x:v>
      </x:c>
      <x:c r="T45" s="27"/>
      <x:c r="U45" s="27">
        <x:f>+'[1]GS PRI LRG NONIDR'!E36</x:f>
        <x:v>5011</x:v>
      </x:c>
      <x:c r="V45" s="27"/>
      <x:c r="W45" s="27">
        <x:f>+[1]TRANSMISSION!E36</x:f>
        <x:v>334</x:v>
      </x:c>
      <x:c r="X45" s="27"/>
      <x:c r="Y45" s="27">
        <x:f>+'[1]SL - UNMETERED'!E36+'[1]SL - METERED NON CO'!E36+'[1]SL - METERED CO OWNED'!E36+'[1]OUTDOOR LIGHTING'!E36</x:f>
        <x:v>51335</x:v>
      </x:c>
      <x:c r="Z45" s="28"/>
      <x:c r="AA45" s="27">
        <x:f t="shared" si="5"/>
        <x:v>4039333</x:v>
      </x:c>
    </x:row>
    <x:row r="46" spans="1:27" ht="15.5" x14ac:dyDescent="0.35">
      <x:c r="A46" s="39">
        <x:f t="shared" si="1"/>
        <x:v>31</x:v>
      </x:c>
      <x:c r="B46" s="1"/>
      <x:c r="C46" s="18">
        <x:f t="shared" si="3"/>
        <x:v>2024</x:v>
      </x:c>
      <x:c r="D46" s="1"/>
      <x:c r="E46" s="18">
        <x:f t="shared" si="4"/>
        <x:v>12</x:v>
      </x:c>
      <x:c r="G46" s="27">
        <x:f>+[1]RES!E38</x:f>
        <x:v>3462111</x:v>
      </x:c>
      <x:c r="H46" s="27"/>
      <x:c r="I46" s="27">
        <x:f>+'[1]GS SEC SMALL'!E38</x:f>
        <x:v>287174</x:v>
      </x:c>
      <x:c r="J46" s="28"/>
      <x:c r="K46" s="27">
        <x:f>+'[1]GS SEC LRG IDR '!E38</x:f>
        <x:v>5751</x:v>
      </x:c>
      <x:c r="L46" s="28"/>
      <x:c r="M46" s="27">
        <x:f>+'[1]GS SEC LRG NONIDR'!E38</x:f>
        <x:v>228888</x:v>
      </x:c>
      <x:c r="N46" s="27"/>
      <x:c r="O46" s="27">
        <x:f>+'[1]GS PRI SMALL'!E38</x:f>
        <x:v>3135</x:v>
      </x:c>
      <x:c r="P46" s="27"/>
      <x:c r="Q46" s="27">
        <x:f>+'[1]GS PRI LRG IDR '!E38</x:f>
        <x:v>2027</x:v>
      </x:c>
      <x:c r="R46" s="27"/>
      <x:c r="S46" s="27">
        <x:f>+'[1]GS PRI LRG SUB'!E38</x:f>
        <x:v>163</x:v>
      </x:c>
      <x:c r="T46" s="27"/>
      <x:c r="U46" s="27">
        <x:f>+'[1]GS PRI LRG NONIDR'!E38</x:f>
        <x:v>4991</x:v>
      </x:c>
      <x:c r="V46" s="27"/>
      <x:c r="W46" s="27">
        <x:f>+[1]TRANSMISSION!E38</x:f>
        <x:v>340</x:v>
      </x:c>
      <x:c r="X46" s="27"/>
      <x:c r="Y46" s="27">
        <x:f>+'[1]SL - UNMETERED'!E38+'[1]SL - METERED NON CO'!E38+'[1]SL - METERED CO OWNED'!E38+'[1]OUTDOOR LIGHTING'!E38</x:f>
        <x:v>51221</x:v>
      </x:c>
      <x:c r="Z46" s="28"/>
      <x:c r="AA46" s="27">
        <x:f t="shared" si="5"/>
        <x:v>4045801</x:v>
      </x:c>
    </x:row>
    <x:row r="47" spans="1:27" ht="15.5" x14ac:dyDescent="0.35">
      <x:c r="A47" s="39">
        <x:f t="shared" si="1"/>
        <x:v>32</x:v>
      </x:c>
      <x:c r="B47" s="1"/>
      <x:c r="C47" s="1" t="s">
        <x:v>8</x:v>
      </x:c>
      <x:c r="D47" s="1"/>
      <x:c r="E47" s="19"/>
      <x:c r="G47" s="30"/>
      <x:c r="H47" s="27"/>
      <x:c r="I47" s="30"/>
      <x:c r="J47" s="27"/>
      <x:c r="K47" s="30"/>
      <x:c r="L47" s="27"/>
      <x:c r="M47" s="30"/>
      <x:c r="N47" s="27"/>
      <x:c r="O47" s="30"/>
      <x:c r="P47" s="28"/>
      <x:c r="Q47" s="30"/>
      <x:c r="R47" s="30"/>
      <x:c r="S47" s="30"/>
      <x:c r="T47" s="28"/>
      <x:c r="U47" s="30"/>
      <x:c r="V47" s="28"/>
      <x:c r="W47" s="30"/>
      <x:c r="X47" s="28"/>
      <x:c r="Y47" s="31"/>
      <x:c r="Z47" s="28"/>
      <x:c r="AA47" s="27"/>
    </x:row>
    <x:row r="48" spans="1:27" ht="15.5" x14ac:dyDescent="0.35">
      <x:c r="A48" s="39">
        <x:f t="shared" si="1"/>
        <x:v>33</x:v>
      </x:c>
      <x:c r="B48" s="1"/>
      <x:c r="C48" s="1"/>
      <x:c r="D48" s="1"/>
      <x:c r="E48" s="19"/>
      <x:c r="G48" s="30"/>
      <x:c r="H48" s="27"/>
      <x:c r="I48" s="30"/>
      <x:c r="J48" s="27"/>
      <x:c r="K48" s="30"/>
      <x:c r="L48" s="27"/>
      <x:c r="M48" s="30"/>
      <x:c r="N48" s="27"/>
      <x:c r="O48" s="30"/>
      <x:c r="P48" s="28"/>
      <x:c r="Q48" s="30"/>
      <x:c r="R48" s="30"/>
      <x:c r="S48" s="30"/>
      <x:c r="T48" s="28"/>
      <x:c r="U48" s="30"/>
      <x:c r="V48" s="28"/>
      <x:c r="W48" s="30"/>
      <x:c r="X48" s="28"/>
      <x:c r="Y48" s="31"/>
      <x:c r="Z48" s="28"/>
      <x:c r="AA48" s="27"/>
    </x:row>
    <x:row r="49" spans="1:27" ht="15.5" x14ac:dyDescent="0.35">
      <x:c r="A49" s="39">
        <x:f t="shared" si="1"/>
        <x:v>34</x:v>
      </x:c>
      <x:c r="B49" s="1"/>
      <x:c r="C49" s="98" t="s">
        <x:v>121</x:v>
      </x:c>
      <x:c r="D49" s="99"/>
      <x:c r="E49" s="99"/>
      <x:c r="F49" s="99"/>
      <x:c r="G49" s="99"/>
      <x:c r="H49" s="99"/>
      <x:c r="I49" s="99"/>
      <x:c r="J49" s="99"/>
      <x:c r="K49" s="99"/>
      <x:c r="L49" s="99"/>
      <x:c r="M49" s="99"/>
      <x:c r="N49" s="99"/>
      <x:c r="O49" s="99"/>
      <x:c r="P49" s="99"/>
      <x:c r="Q49" s="99"/>
      <x:c r="R49" s="99"/>
      <x:c r="S49" s="99"/>
      <x:c r="T49" s="99"/>
      <x:c r="U49" s="99"/>
      <x:c r="V49" s="99"/>
      <x:c r="W49" s="99"/>
      <x:c r="X49" s="99"/>
      <x:c r="Y49" s="99"/>
      <x:c r="Z49" s="99"/>
      <x:c r="AA49" s="99"/>
    </x:row>
    <x:row r="50" spans="1:27" ht="15.5" x14ac:dyDescent="0.35">
      <x:c r="A50" s="39">
        <x:f t="shared" si="1"/>
        <x:v>35</x:v>
      </x:c>
      <x:c r="B50" s="1"/>
      <x:c r="C50" s="21"/>
      <x:c r="D50" s="1"/>
      <x:c r="E50" s="19"/>
      <x:c r="G50" s="30"/>
      <x:c r="H50" s="27"/>
      <x:c r="I50" s="30"/>
      <x:c r="J50" s="27"/>
      <x:c r="K50" s="30"/>
      <x:c r="L50" s="27"/>
      <x:c r="M50" s="30"/>
      <x:c r="N50" s="27"/>
      <x:c r="O50" s="30"/>
      <x:c r="P50" s="28"/>
      <x:c r="Q50" s="30"/>
      <x:c r="R50" s="30"/>
      <x:c r="S50" s="30"/>
      <x:c r="T50" s="28"/>
      <x:c r="U50" s="30"/>
      <x:c r="V50" s="28"/>
      <x:c r="W50" s="30"/>
      <x:c r="X50" s="28"/>
      <x:c r="Y50" s="31"/>
      <x:c r="Z50" s="28"/>
      <x:c r="AA50" s="27"/>
    </x:row>
    <x:row r="51" spans="1:27" ht="15.5" x14ac:dyDescent="0.35">
      <x:c r="A51" s="39">
        <x:f t="shared" si="1"/>
        <x:v>36</x:v>
      </x:c>
      <x:c r="B51" s="11"/>
      <x:c r="C51" s="11" t="s">
        <x:v>1</x:v>
      </x:c>
      <x:c r="D51" s="11"/>
      <x:c r="E51" s="11" t="s">
        <x:v>2</x:v>
      </x:c>
      <x:c r="F51" s="1"/>
      <x:c r="G51" s="12" t="s">
        <x:v>3</x:v>
      </x:c>
      <x:c r="H51" s="12"/>
      <x:c r="I51" s="13" t="s">
        <x:v>79</x:v>
      </x:c>
      <x:c r="J51" s="12"/>
      <x:c r="K51" s="13" t="s">
        <x:v>80</x:v>
      </x:c>
      <x:c r="L51" s="12"/>
      <x:c r="M51" s="12" t="s">
        <x:v>81</x:v>
      </x:c>
      <x:c r="N51" s="12"/>
      <x:c r="O51" s="13" t="s">
        <x:v>82</x:v>
      </x:c>
      <x:c r="P51" s="14"/>
      <x:c r="Q51" s="14" t="s">
        <x:v>83</x:v>
      </x:c>
      <x:c r="R51" s="14"/>
      <x:c r="S51" s="14" t="s">
        <x:v>84</x:v>
      </x:c>
      <x:c r="T51" s="14"/>
      <x:c r="U51" s="14" t="s">
        <x:v>85</x:v>
      </x:c>
      <x:c r="V51" s="14"/>
      <x:c r="W51" s="12" t="s">
        <x:v>6</x:v>
      </x:c>
      <x:c r="X51" s="12"/>
      <x:c r="Y51" s="12" t="s">
        <x:v>7</x:v>
      </x:c>
      <x:c r="Z51" s="12"/>
      <x:c r="AA51" s="12" t="s">
        <x:v>8</x:v>
      </x:c>
    </x:row>
    <x:row r="52" spans="1:27" ht="15.5" x14ac:dyDescent="0.35">
      <x:c r="A52" s="39">
        <x:f t="shared" si="1"/>
        <x:v>37</x:v>
      </x:c>
      <x:c r="B52" s="1"/>
      <x:c r="C52" s="26"/>
      <x:c r="D52" s="1"/>
      <x:c r="E52" s="26"/>
      <x:c r="F52" s="1"/>
      <x:c r="G52" s="60" t="s">
        <x:v>98</x:v>
      </x:c>
      <x:c r="H52" s="16"/>
      <x:c r="I52" s="60" t="s">
        <x:v>99</x:v>
      </x:c>
      <x:c r="J52" s="16"/>
      <x:c r="K52" s="60" t="s">
        <x:v>100</x:v>
      </x:c>
      <x:c r="L52" s="16"/>
      <x:c r="M52" s="60" t="s">
        <x:v>101</x:v>
      </x:c>
      <x:c r="N52" s="16"/>
      <x:c r="O52" s="60" t="s">
        <x:v>102</x:v>
      </x:c>
      <x:c r="P52" s="16"/>
      <x:c r="Q52" s="60" t="s">
        <x:v>103</x:v>
      </x:c>
      <x:c r="R52" s="16"/>
      <x:c r="S52" s="60" t="s">
        <x:v>104</x:v>
      </x:c>
      <x:c r="T52" s="16"/>
      <x:c r="U52" s="60" t="s">
        <x:v>105</x:v>
      </x:c>
      <x:c r="V52" s="16"/>
      <x:c r="W52" s="60" t="s">
        <x:v>106</x:v>
      </x:c>
      <x:c r="X52" s="16"/>
      <x:c r="Y52" s="60" t="s">
        <x:v>107</x:v>
      </x:c>
      <x:c r="Z52" s="16"/>
      <x:c r="AA52" s="61" t="s">
        <x:v>108</x:v>
      </x:c>
    </x:row>
    <x:row r="53" spans="1:27" ht="15.5" x14ac:dyDescent="0.35">
      <x:c r="A53" s="39">
        <x:f t="shared" si="1"/>
        <x:v>38</x:v>
      </x:c>
      <x:c r="C53" s="23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  <x:c r="AA53" s="28"/>
    </x:row>
    <x:row r="54" spans="1:27" ht="15.5" x14ac:dyDescent="0.35">
      <x:c r="A54" s="39">
        <x:f t="shared" si="1"/>
        <x:v>39</x:v>
      </x:c>
      <x:c r="B54" s="1"/>
      <x:c r="C54" s="18">
        <x:f t="shared" ref="C54:C65" si="6">+C35</x:f>
        <x:v>2024</x:v>
      </x:c>
      <x:c r="D54" s="1"/>
      <x:c r="E54" s="19">
        <x:f t="shared" ref="E54:E65" si="7">+E35</x:f>
        <x:v>1</x:v>
      </x:c>
      <x:c r="G54" s="27">
        <x:f t="shared" ref="G54:G65" si="8">(+G$46/G35)*G16</x:f>
        <x:v>171088.67334210596</x:v>
      </x:c>
      <x:c r="H54" s="27"/>
      <x:c r="I54" s="27">
        <x:f t="shared" ref="I54:I65" si="9">(+I$46/I35)*I16</x:f>
        <x:v>4526.9113756608876</x:v>
      </x:c>
      <x:c r="J54" s="27"/>
      <x:c r="K54" s="27">
        <x:f t="shared" ref="K54:K65" si="10">(+K$46/K35)*K16</x:f>
        <x:v>18434.988675513348</x:v>
      </x:c>
      <x:c r="L54" s="27"/>
      <x:c r="M54" s="27">
        <x:f t="shared" ref="M54:M65" si="11">(+M$46/M35)*M16</x:f>
        <x:v>25766.42177248044</x:v>
      </x:c>
      <x:c r="N54" s="27"/>
      <x:c r="O54" s="27">
        <x:f t="shared" ref="O54:O65" si="12">(+O$46/O35)*O16</x:f>
        <x:v>0</x:v>
      </x:c>
      <x:c r="P54" s="28"/>
      <x:c r="Q54" s="27">
        <x:f t="shared" ref="Q54:Q65" si="13">(+Q$46/Q35)*Q16</x:f>
        <x:v>2298.7518574646169</x:v>
      </x:c>
      <x:c r="R54" s="27"/>
      <x:c r="S54" s="27">
        <x:f t="shared" ref="S54:S65" si="14">(+S$46/S35)*S16</x:f>
        <x:v>1330.3489764503693</x:v>
      </x:c>
      <x:c r="T54" s="28"/>
      <x:c r="U54" s="27">
        <x:f t="shared" ref="U54:U65" si="15">(+U$46/U35)*U16</x:f>
        <x:v>197.98979630748394</x:v>
      </x:c>
      <x:c r="V54" s="28"/>
      <x:c r="W54" s="27">
        <x:f t="shared" ref="W54:W65" si="16">(+W$46/W35)*W16</x:f>
        <x:v>0</x:v>
      </x:c>
      <x:c r="X54" s="28"/>
      <x:c r="Y54" s="27">
        <x:f t="shared" ref="Y54:Y65" si="17">(+Y$46/Y35)*Y16</x:f>
        <x:v>0</x:v>
      </x:c>
      <x:c r="Z54" s="28"/>
      <x:c r="AA54" s="27">
        <x:f t="shared" ref="AA54:AA59" si="18">SUM(G54:Y54)</x:f>
        <x:v>223644.08579598312</x:v>
      </x:c>
    </x:row>
    <x:row r="55" spans="1:27" ht="15.5" x14ac:dyDescent="0.35">
      <x:c r="A55" s="39">
        <x:f t="shared" si="1"/>
        <x:v>40</x:v>
      </x:c>
      <x:c r="B55" s="1"/>
      <x:c r="C55" s="18">
        <x:f t="shared" si="6"/>
        <x:v>2024</x:v>
      </x:c>
      <x:c r="D55" s="1"/>
      <x:c r="E55" s="19">
        <x:f t="shared" si="7"/>
        <x:v>2</x:v>
      </x:c>
      <x:c r="G55" s="27">
        <x:f t="shared" si="8"/>
        <x:v>-281664.43392778625</x:v>
      </x:c>
      <x:c r="H55" s="27"/>
      <x:c r="I55" s="27">
        <x:f t="shared" si="9"/>
        <x:v>1450.7993389284079</x:v>
      </x:c>
      <x:c r="J55" s="27"/>
      <x:c r="K55" s="27">
        <x:f t="shared" si="10"/>
        <x:v>-17378.803174316985</x:v>
      </x:c>
      <x:c r="L55" s="27"/>
      <x:c r="M55" s="27">
        <x:f t="shared" si="11"/>
        <x:v>-25157.734061549087</x:v>
      </x:c>
      <x:c r="N55" s="27"/>
      <x:c r="O55" s="27">
        <x:f t="shared" si="12"/>
        <x:v>0</x:v>
      </x:c>
      <x:c r="P55" s="28"/>
      <x:c r="Q55" s="27">
        <x:f t="shared" si="13"/>
        <x:v>2094.4808102972938</x:v>
      </x:c>
      <x:c r="R55" s="27"/>
      <x:c r="S55" s="27">
        <x:f t="shared" si="14"/>
        <x:v>1249.3271544789141</x:v>
      </x:c>
      <x:c r="T55" s="28"/>
      <x:c r="U55" s="27">
        <x:f t="shared" si="15"/>
        <x:v>163.90804318637296</x:v>
      </x:c>
      <x:c r="V55" s="28"/>
      <x:c r="W55" s="27">
        <x:f t="shared" si="16"/>
        <x:v>0</x:v>
      </x:c>
      <x:c r="X55" s="28"/>
      <x:c r="Y55" s="27">
        <x:f t="shared" si="17"/>
        <x:v>0</x:v>
      </x:c>
      <x:c r="Z55" s="28"/>
      <x:c r="AA55" s="27">
        <x:f t="shared" si="18"/>
        <x:v>-319242.4558167613</x:v>
      </x:c>
    </x:row>
    <x:row r="56" spans="1:27" ht="15.5" x14ac:dyDescent="0.35">
      <x:c r="A56" s="39">
        <x:f t="shared" si="1"/>
        <x:v>41</x:v>
      </x:c>
      <x:c r="B56" s="1"/>
      <x:c r="C56" s="18">
        <x:f t="shared" si="6"/>
        <x:v>2024</x:v>
      </x:c>
      <x:c r="D56" s="1"/>
      <x:c r="E56" s="19">
        <x:f t="shared" si="7"/>
        <x:v>3</x:v>
      </x:c>
      <x:c r="G56" s="27">
        <x:f t="shared" si="8"/>
        <x:v>572783.48004472314</x:v>
      </x:c>
      <x:c r="H56" s="27"/>
      <x:c r="I56" s="27">
        <x:f t="shared" si="9"/>
        <x:v>8083.6943175243796</x:v>
      </x:c>
      <x:c r="J56" s="27"/>
      <x:c r="K56" s="27">
        <x:f t="shared" si="10"/>
        <x:v>21025.871827244617</x:v>
      </x:c>
      <x:c r="L56" s="27"/>
      <x:c r="M56" s="27">
        <x:f t="shared" si="11"/>
        <x:v>27892.615908717627</x:v>
      </x:c>
      <x:c r="N56" s="27"/>
      <x:c r="O56" s="27">
        <x:f t="shared" si="12"/>
        <x:v>0</x:v>
      </x:c>
      <x:c r="P56" s="28"/>
      <x:c r="Q56" s="27">
        <x:f t="shared" si="13"/>
        <x:v>-8993.3449782748339</x:v>
      </x:c>
      <x:c r="R56" s="27"/>
      <x:c r="S56" s="27">
        <x:f t="shared" si="14"/>
        <x:v>-4437.8879845953561</x:v>
      </x:c>
      <x:c r="T56" s="28"/>
      <x:c r="U56" s="27">
        <x:f t="shared" si="15"/>
        <x:v>-324.58737683286768</x:v>
      </x:c>
      <x:c r="V56" s="28"/>
      <x:c r="W56" s="27">
        <x:f t="shared" si="16"/>
        <x:v>0</x:v>
      </x:c>
      <x:c r="X56" s="28"/>
      <x:c r="Y56" s="27">
        <x:f t="shared" si="17"/>
        <x:v>0</x:v>
      </x:c>
      <x:c r="Z56" s="28"/>
      <x:c r="AA56" s="27">
        <x:f t="shared" si="18"/>
        <x:v>616029.84175850684</x:v>
      </x:c>
    </x:row>
    <x:row r="57" spans="1:27" ht="15.5" x14ac:dyDescent="0.35">
      <x:c r="A57" s="39">
        <x:f t="shared" si="1"/>
        <x:v>42</x:v>
      </x:c>
      <x:c r="B57" s="1"/>
      <x:c r="C57" s="18">
        <x:f t="shared" si="6"/>
        <x:v>2024</x:v>
      </x:c>
      <x:c r="D57" s="1"/>
      <x:c r="E57" s="19">
        <x:f t="shared" si="7"/>
        <x:v>4</x:v>
      </x:c>
      <x:c r="G57" s="27">
        <x:f t="shared" si="8"/>
        <x:v>154764.89530592927</x:v>
      </x:c>
      <x:c r="H57" s="27"/>
      <x:c r="I57" s="27">
        <x:f t="shared" si="9"/>
        <x:v>1614.1754899613177</x:v>
      </x:c>
      <x:c r="J57" s="27"/>
      <x:c r="K57" s="27">
        <x:f t="shared" si="10"/>
        <x:v>10910.979364643001</x:v>
      </x:c>
      <x:c r="L57" s="27"/>
      <x:c r="M57" s="27">
        <x:f t="shared" si="11"/>
        <x:v>14185.922920038422</x:v>
      </x:c>
      <x:c r="N57" s="27"/>
      <x:c r="O57" s="27">
        <x:f t="shared" si="12"/>
        <x:v>0</x:v>
      </x:c>
      <x:c r="P57" s="28"/>
      <x:c r="Q57" s="27">
        <x:f t="shared" si="13"/>
        <x:v>2666.2389607286268</x:v>
      </x:c>
      <x:c r="R57" s="27"/>
      <x:c r="S57" s="27">
        <x:f t="shared" si="14"/>
        <x:v>792.6890353900643</x:v>
      </x:c>
      <x:c r="T57" s="28"/>
      <x:c r="U57" s="27">
        <x:f t="shared" si="15"/>
        <x:v>212.91895292680994</x:v>
      </x:c>
      <x:c r="V57" s="28"/>
      <x:c r="W57" s="27">
        <x:f t="shared" si="16"/>
        <x:v>0</x:v>
      </x:c>
      <x:c r="X57" s="28"/>
      <x:c r="Y57" s="27">
        <x:f t="shared" si="17"/>
        <x:v>0</x:v>
      </x:c>
      <x:c r="Z57" s="28"/>
      <x:c r="AA57" s="27">
        <x:f t="shared" si="18"/>
        <x:v>185147.82002961752</x:v>
      </x:c>
    </x:row>
    <x:row r="58" spans="1:27" ht="15.5" x14ac:dyDescent="0.35">
      <x:c r="A58" s="39">
        <x:f t="shared" si="1"/>
        <x:v>43</x:v>
      </x:c>
      <x:c r="B58" s="1"/>
      <x:c r="C58" s="18">
        <x:f t="shared" si="6"/>
        <x:v>2024</x:v>
      </x:c>
      <x:c r="D58" s="1"/>
      <x:c r="E58" s="19">
        <x:f t="shared" si="7"/>
        <x:v>5</x:v>
      </x:c>
      <x:c r="G58" s="27">
        <x:f t="shared" si="8"/>
        <x:v>-63828.421067322663</x:v>
      </x:c>
      <x:c r="H58" s="27"/>
      <x:c r="I58" s="27">
        <x:f t="shared" si="9"/>
        <x:v>-759.56698020378565</x:v>
      </x:c>
      <x:c r="J58" s="27"/>
      <x:c r="K58" s="27">
        <x:f t="shared" si="10"/>
        <x:v>-24648.422965318416</x:v>
      </x:c>
      <x:c r="L58" s="27"/>
      <x:c r="M58" s="27">
        <x:f t="shared" si="11"/>
        <x:v>-34224.98785191583</x:v>
      </x:c>
      <x:c r="N58" s="27"/>
      <x:c r="O58" s="27">
        <x:f t="shared" si="12"/>
        <x:v>0</x:v>
      </x:c>
      <x:c r="P58" s="28"/>
      <x:c r="Q58" s="27">
        <x:f t="shared" si="13"/>
        <x:v>-6956.3765199738073</x:v>
      </x:c>
      <x:c r="R58" s="27"/>
      <x:c r="S58" s="27">
        <x:f t="shared" si="14"/>
        <x:v>-2295.8053014815787</x:v>
      </x:c>
      <x:c r="T58" s="28"/>
      <x:c r="U58" s="27">
        <x:f t="shared" si="15"/>
        <x:v>-549.64208159240036</x:v>
      </x:c>
      <x:c r="V58" s="28"/>
      <x:c r="W58" s="27">
        <x:f t="shared" si="16"/>
        <x:v>0</x:v>
      </x:c>
      <x:c r="X58" s="28"/>
      <x:c r="Y58" s="27">
        <x:f t="shared" si="17"/>
        <x:v>0</x:v>
      </x:c>
      <x:c r="Z58" s="28"/>
      <x:c r="AA58" s="27">
        <x:f t="shared" si="18"/>
        <x:v>-133263.2227678085</x:v>
      </x:c>
    </x:row>
    <x:row r="59" spans="1:27" ht="15.5" x14ac:dyDescent="0.35">
      <x:c r="A59" s="39">
        <x:f t="shared" si="1"/>
        <x:v>44</x:v>
      </x:c>
      <x:c r="B59" s="1"/>
      <x:c r="C59" s="18">
        <x:f t="shared" si="6"/>
        <x:v>2024</x:v>
      </x:c>
      <x:c r="D59" s="1"/>
      <x:c r="E59" s="19">
        <x:f t="shared" si="7"/>
        <x:v>6</x:v>
      </x:c>
      <x:c r="G59" s="30">
        <x:f t="shared" si="8"/>
        <x:v>-144879.27924154233</x:v>
      </x:c>
      <x:c r="H59" s="30"/>
      <x:c r="I59" s="30">
        <x:f t="shared" si="9"/>
        <x:v>-2231.2754912818882</x:v>
      </x:c>
      <x:c r="J59" s="30"/>
      <x:c r="K59" s="30">
        <x:f t="shared" si="10"/>
        <x:v>-28475.749878806753</x:v>
      </x:c>
      <x:c r="L59" s="30"/>
      <x:c r="M59" s="30">
        <x:f t="shared" si="11"/>
        <x:v>-42466.104959728451</x:v>
      </x:c>
      <x:c r="N59" s="30"/>
      <x:c r="O59" s="30">
        <x:f t="shared" si="12"/>
        <x:v>0</x:v>
      </x:c>
      <x:c r="P59" s="51"/>
      <x:c r="Q59" s="30">
        <x:f t="shared" si="13"/>
        <x:v>-12688.299994852896</x:v>
      </x:c>
      <x:c r="R59" s="30"/>
      <x:c r="S59" s="30">
        <x:f t="shared" si="14"/>
        <x:v>-3643.3588762470176</x:v>
      </x:c>
      <x:c r="T59" s="51"/>
      <x:c r="U59" s="30">
        <x:f t="shared" si="15"/>
        <x:v>-1050.683041588793</x:v>
      </x:c>
      <x:c r="V59" s="51"/>
      <x:c r="W59" s="30">
        <x:f t="shared" si="16"/>
        <x:v>0</x:v>
      </x:c>
      <x:c r="X59" s="51"/>
      <x:c r="Y59" s="30">
        <x:f t="shared" si="17"/>
        <x:v>0</x:v>
      </x:c>
      <x:c r="Z59" s="51"/>
      <x:c r="AA59" s="30">
        <x:f t="shared" si="18"/>
        <x:v>-235434.75148404812</x:v>
      </x:c>
    </x:row>
    <x:row r="60" spans="1:27" ht="15.5" x14ac:dyDescent="0.35">
      <x:c r="A60" s="39">
        <x:f t="shared" si="1"/>
        <x:v>45</x:v>
      </x:c>
      <x:c r="B60" s="1"/>
      <x:c r="C60" s="18">
        <x:f t="shared" si="6"/>
        <x:v>2024</x:v>
      </x:c>
      <x:c r="D60" s="1"/>
      <x:c r="E60" s="19">
        <x:f t="shared" si="7"/>
        <x:v>7</x:v>
      </x:c>
      <x:c r="G60" s="27">
        <x:f t="shared" si="8"/>
        <x:v>-242150.14074398551</x:v>
      </x:c>
      <x:c r="H60" s="28"/>
      <x:c r="I60" s="27">
        <x:f t="shared" si="9"/>
        <x:v>-3457.696072512626</x:v>
      </x:c>
      <x:c r="J60" s="28"/>
      <x:c r="K60" s="27">
        <x:f t="shared" si="10"/>
        <x:v>-36534.405505606148</x:v>
      </x:c>
      <x:c r="L60" s="28"/>
      <x:c r="M60" s="27">
        <x:f t="shared" si="11"/>
        <x:v>-58412.551455431727</x:v>
      </x:c>
      <x:c r="N60" s="28"/>
      <x:c r="O60" s="27">
        <x:f t="shared" si="12"/>
        <x:v>0</x:v>
      </x:c>
      <x:c r="P60" s="28"/>
      <x:c r="Q60" s="27">
        <x:f t="shared" si="13"/>
        <x:v>-8878.5967426433472</x:v>
      </x:c>
      <x:c r="R60" s="27"/>
      <x:c r="S60" s="27">
        <x:f t="shared" si="14"/>
        <x:v>-933.96101056563225</x:v>
      </x:c>
      <x:c r="T60" s="28"/>
      <x:c r="U60" s="27">
        <x:f t="shared" si="15"/>
        <x:v>-825.92707434979445</x:v>
      </x:c>
      <x:c r="V60" s="28"/>
      <x:c r="W60" s="27">
        <x:f t="shared" si="16"/>
        <x:v>0</x:v>
      </x:c>
      <x:c r="X60" s="28"/>
      <x:c r="Y60" s="27">
        <x:f t="shared" si="17"/>
        <x:v>0</x:v>
      </x:c>
      <x:c r="Z60" s="28"/>
      <x:c r="AA60" s="27">
        <x:f t="shared" ref="AA60:AA65" si="19">SUM(G60:Y60)</x:f>
        <x:v>-351193.27860509476</x:v>
      </x:c>
    </x:row>
    <x:row r="61" spans="1:27" ht="15.5" x14ac:dyDescent="0.35">
      <x:c r="A61" s="39">
        <x:f t="shared" si="1"/>
        <x:v>46</x:v>
      </x:c>
      <x:c r="B61" s="1"/>
      <x:c r="C61" s="18">
        <x:f t="shared" si="6"/>
        <x:v>2024</x:v>
      </x:c>
      <x:c r="D61" s="1"/>
      <x:c r="E61" s="19">
        <x:f t="shared" si="7"/>
        <x:v>8</x:v>
      </x:c>
      <x:c r="G61" s="27">
        <x:f t="shared" si="8"/>
        <x:v>222986.70198248597</x:v>
      </x:c>
      <x:c r="H61" s="27"/>
      <x:c r="I61" s="27">
        <x:f t="shared" si="9"/>
        <x:v>2783.7331071829999</x:v>
      </x:c>
      <x:c r="J61" s="27"/>
      <x:c r="K61" s="27">
        <x:f t="shared" si="10"/>
        <x:v>31881.86213955643</x:v>
      </x:c>
      <x:c r="L61" s="27"/>
      <x:c r="M61" s="27">
        <x:f t="shared" si="11"/>
        <x:v>51139.069603585907</x:v>
      </x:c>
      <x:c r="N61" s="27"/>
      <x:c r="O61" s="27">
        <x:f t="shared" si="12"/>
        <x:v>0</x:v>
      </x:c>
      <x:c r="P61" s="28"/>
      <x:c r="Q61" s="27">
        <x:f t="shared" si="13"/>
        <x:v>3462.6942785180599</x:v>
      </x:c>
      <x:c r="R61" s="27"/>
      <x:c r="S61" s="27">
        <x:f t="shared" si="14"/>
        <x:v>-138.88304320555909</x:v>
      </x:c>
      <x:c r="T61" s="28"/>
      <x:c r="U61" s="27">
        <x:f t="shared" si="15"/>
        <x:v>348.37917422848528</x:v>
      </x:c>
      <x:c r="V61" s="28"/>
      <x:c r="W61" s="27">
        <x:f t="shared" si="16"/>
        <x:v>0</x:v>
      </x:c>
      <x:c r="X61" s="28"/>
      <x:c r="Y61" s="27">
        <x:f t="shared" si="17"/>
        <x:v>0</x:v>
      </x:c>
      <x:c r="Z61" s="28"/>
      <x:c r="AA61" s="27">
        <x:f t="shared" si="19"/>
        <x:v>312463.55724235234</x:v>
      </x:c>
    </x:row>
    <x:row r="62" spans="1:27" ht="15.5" x14ac:dyDescent="0.35">
      <x:c r="A62" s="39">
        <x:f t="shared" si="1"/>
        <x:v>47</x:v>
      </x:c>
      <x:c r="B62" s="1"/>
      <x:c r="C62" s="18">
        <x:f t="shared" si="6"/>
        <x:v>2024</x:v>
      </x:c>
      <x:c r="D62" s="1"/>
      <x:c r="E62" s="19">
        <x:f t="shared" si="7"/>
        <x:v>9</x:v>
      </x:c>
      <x:c r="G62" s="27">
        <x:f t="shared" si="8"/>
        <x:v>-195417.63268458893</x:v>
      </x:c>
      <x:c r="H62" s="27"/>
      <x:c r="I62" s="27">
        <x:f t="shared" si="9"/>
        <x:v>-3066.9384728636337</x:v>
      </x:c>
      <x:c r="J62" s="27"/>
      <x:c r="K62" s="27">
        <x:f t="shared" si="10"/>
        <x:v>-28634.176910535065</x:v>
      </x:c>
      <x:c r="L62" s="27"/>
      <x:c r="M62" s="27">
        <x:f t="shared" si="11"/>
        <x:v>-46629.658099844637</x:v>
      </x:c>
      <x:c r="N62" s="27"/>
      <x:c r="O62" s="27">
        <x:f t="shared" si="12"/>
        <x:v>0</x:v>
      </x:c>
      <x:c r="P62" s="28"/>
      <x:c r="Q62" s="27">
        <x:f t="shared" si="13"/>
        <x:v>-11326.394187908983</x:v>
      </x:c>
      <x:c r="R62" s="27"/>
      <x:c r="S62" s="27">
        <x:f t="shared" si="14"/>
        <x:v>-97.15868610058557</x:v>
      </x:c>
      <x:c r="T62" s="28"/>
      <x:c r="U62" s="27">
        <x:f t="shared" si="15"/>
        <x:v>-1114.8311161265767</x:v>
      </x:c>
      <x:c r="V62" s="28"/>
      <x:c r="W62" s="27">
        <x:f t="shared" si="16"/>
        <x:v>0</x:v>
      </x:c>
      <x:c r="X62" s="28"/>
      <x:c r="Y62" s="27">
        <x:f t="shared" si="17"/>
        <x:v>0</x:v>
      </x:c>
      <x:c r="Z62" s="28"/>
      <x:c r="AA62" s="27">
        <x:f t="shared" si="19"/>
        <x:v>-286286.79015796835</x:v>
      </x:c>
    </x:row>
    <x:row r="63" spans="1:27" ht="15.5" x14ac:dyDescent="0.35">
      <x:c r="A63" s="39">
        <x:f t="shared" si="1"/>
        <x:v>48</x:v>
      </x:c>
      <x:c r="B63" s="1"/>
      <x:c r="C63" s="18">
        <x:f t="shared" si="6"/>
        <x:v>2024</x:v>
      </x:c>
      <x:c r="D63" s="1"/>
      <x:c r="E63" s="19">
        <x:f t="shared" si="7"/>
        <x:v>10</x:v>
      </x:c>
      <x:c r="G63" s="27">
        <x:f t="shared" si="8"/>
        <x:v>-110902.69672272446</x:v>
      </x:c>
      <x:c r="H63" s="27"/>
      <x:c r="I63" s="27">
        <x:f t="shared" si="9"/>
        <x:v>-1304.6478636633526</x:v>
      </x:c>
      <x:c r="J63" s="27"/>
      <x:c r="K63" s="27">
        <x:f t="shared" si="10"/>
        <x:v>-25581.355976452698</x:v>
      </x:c>
      <x:c r="L63" s="27"/>
      <x:c r="M63" s="27">
        <x:f t="shared" si="11"/>
        <x:v>-38519.780782220456</x:v>
      </x:c>
      <x:c r="N63" s="27"/>
      <x:c r="O63" s="27">
        <x:f t="shared" si="12"/>
        <x:v>0</x:v>
      </x:c>
      <x:c r="P63" s="28"/>
      <x:c r="Q63" s="27">
        <x:f t="shared" si="13"/>
        <x:v>-6170.4760429686567</x:v>
      </x:c>
      <x:c r="R63" s="27"/>
      <x:c r="S63" s="27">
        <x:f t="shared" si="14"/>
        <x:v>-2627.9273234525981</x:v>
      </x:c>
      <x:c r="T63" s="28"/>
      <x:c r="U63" s="27">
        <x:f t="shared" si="15"/>
        <x:v>-522.89797426701534</x:v>
      </x:c>
      <x:c r="V63" s="28"/>
      <x:c r="W63" s="27">
        <x:f t="shared" si="16"/>
        <x:v>0</x:v>
      </x:c>
      <x:c r="X63" s="28"/>
      <x:c r="Y63" s="27">
        <x:f t="shared" si="17"/>
        <x:v>0</x:v>
      </x:c>
      <x:c r="Z63" s="28"/>
      <x:c r="AA63" s="27">
        <x:f t="shared" si="19"/>
        <x:v>-185629.78268574923</x:v>
      </x:c>
    </x:row>
    <x:row r="64" spans="1:27" ht="15.5" x14ac:dyDescent="0.35">
      <x:c r="A64" s="39">
        <x:f t="shared" si="1"/>
        <x:v>49</x:v>
      </x:c>
      <x:c r="B64" s="1"/>
      <x:c r="C64" s="18">
        <x:f t="shared" si="6"/>
        <x:v>2024</x:v>
      </x:c>
      <x:c r="D64" s="1"/>
      <x:c r="E64" s="19">
        <x:f t="shared" si="7"/>
        <x:v>11</x:v>
      </x:c>
      <x:c r="G64" s="27">
        <x:f t="shared" si="8"/>
        <x:v>-161465.74655046864</x:v>
      </x:c>
      <x:c r="H64" s="27"/>
      <x:c r="I64" s="27">
        <x:f t="shared" si="9"/>
        <x:v>-1978.3236227952525</x:v>
      </x:c>
      <x:c r="J64" s="27"/>
      <x:c r="K64" s="27">
        <x:f t="shared" si="10"/>
        <x:v>-71239.519572629331</x:v>
      </x:c>
      <x:c r="L64" s="27"/>
      <x:c r="M64" s="27">
        <x:f t="shared" si="11"/>
        <x:v>-100957.52876764089</x:v>
      </x:c>
      <x:c r="N64" s="27"/>
      <x:c r="O64" s="27">
        <x:f t="shared" si="12"/>
        <x:v>0</x:v>
      </x:c>
      <x:c r="P64" s="28"/>
      <x:c r="Q64" s="27">
        <x:f t="shared" si="13"/>
        <x:v>-25176.871037619567</x:v>
      </x:c>
      <x:c r="R64" s="27"/>
      <x:c r="S64" s="27">
        <x:f t="shared" si="14"/>
        <x:v>-9108.0375190394407</x:v>
      </x:c>
      <x:c r="T64" s="28"/>
      <x:c r="U64" s="27">
        <x:f t="shared" si="15"/>
        <x:v>-1344.2173885452712</x:v>
      </x:c>
      <x:c r="V64" s="28"/>
      <x:c r="W64" s="27">
        <x:f t="shared" si="16"/>
        <x:v>0</x:v>
      </x:c>
      <x:c r="X64" s="28"/>
      <x:c r="Y64" s="27">
        <x:f t="shared" si="17"/>
        <x:v>0</x:v>
      </x:c>
      <x:c r="Z64" s="28"/>
      <x:c r="AA64" s="27">
        <x:f t="shared" si="19"/>
        <x:v>-371270.24445873848</x:v>
      </x:c>
    </x:row>
    <x:row r="65" spans="1:29" ht="15.5" x14ac:dyDescent="0.35">
      <x:c r="A65" s="39">
        <x:f t="shared" si="1"/>
        <x:v>50</x:v>
      </x:c>
      <x:c r="B65" s="1"/>
      <x:c r="C65" s="18">
        <x:f t="shared" si="6"/>
        <x:v>2024</x:v>
      </x:c>
      <x:c r="D65" s="1"/>
      <x:c r="E65" s="19">
        <x:f t="shared" si="7"/>
        <x:v>12</x:v>
      </x:c>
      <x:c r="G65" s="40">
        <x:f t="shared" si="8"/>
        <x:v>288007.91144111106</x:v>
      </x:c>
      <x:c r="H65" s="40"/>
      <x:c r="I65" s="40">
        <x:f t="shared" si="9"/>
        <x:v>2027.788757455781</x:v>
      </x:c>
      <x:c r="J65" s="40"/>
      <x:c r="K65" s="40">
        <x:f t="shared" si="10"/>
        <x:v>12844.377447467125</x:v>
      </x:c>
      <x:c r="L65" s="40"/>
      <x:c r="M65" s="40">
        <x:f t="shared" si="11"/>
        <x:v>16945.589772557061</x:v>
      </x:c>
      <x:c r="N65" s="40"/>
      <x:c r="O65" s="40">
        <x:f t="shared" si="12"/>
        <x:v>0</x:v>
      </x:c>
      <x:c r="P65" s="46"/>
      <x:c r="Q65" s="40">
        <x:f t="shared" si="13"/>
        <x:v>-3553.1667808705065</x:v>
      </x:c>
      <x:c r="R65" s="40"/>
      <x:c r="S65" s="40">
        <x:f t="shared" si="14"/>
        <x:v>-1784.5009213048006</x:v>
      </x:c>
      <x:c r="T65" s="46"/>
      <x:c r="U65" s="40">
        <x:f t="shared" si="15"/>
        <x:v>-273.00911214699045</x:v>
      </x:c>
      <x:c r="V65" s="46"/>
      <x:c r="W65" s="40">
        <x:f t="shared" si="16"/>
        <x:v>0</x:v>
      </x:c>
      <x:c r="X65" s="46"/>
      <x:c r="Y65" s="40">
        <x:f t="shared" si="17"/>
        <x:v>0</x:v>
      </x:c>
      <x:c r="Z65" s="46"/>
      <x:c r="AA65" s="40">
        <x:f t="shared" si="19"/>
        <x:v>314214.99060426874</x:v>
      </x:c>
    </x:row>
    <x:row r="66" spans="1:29" ht="15.5" x14ac:dyDescent="0.35">
      <x:c r="A66" s="39">
        <x:f t="shared" si="1"/>
        <x:v>51</x:v>
      </x:c>
      <x:c r="C66" s="37" t="s">
        <x:v>8</x:v>
      </x:c>
      <x:c r="G66" s="27">
        <x:f>SUM(G54:G65)</x:f>
        <x:v>209323.31117793667</x:v>
      </x:c>
      <x:c r="H66" s="27"/>
      <x:c r="I66" s="27">
        <x:f>SUM(I54:I65)</x:f>
        <x:v>7688.65388339323</x:v>
      </x:c>
      <x:c r="J66" s="27"/>
      <x:c r="K66" s="27">
        <x:f>SUM(K54:K65)</x:f>
        <x:v>-137394.35452924087</x:v>
      </x:c>
      <x:c r="L66" s="27"/>
      <x:c r="M66" s="27">
        <x:f>SUM(M54:M65)</x:f>
        <x:v>-210438.72600095163</x:v>
      </x:c>
      <x:c r="N66" s="27"/>
      <x:c r="O66" s="27">
        <x:f>SUM(O54:O65)</x:f>
        <x:v>0</x:v>
      </x:c>
      <x:c r="P66" s="28"/>
      <x:c r="Q66" s="27">
        <x:f>SUM(Q54:Q65)</x:f>
        <x:v>-73221.360378104015</x:v>
      </x:c>
      <x:c r="R66" s="27"/>
      <x:c r="S66" s="27">
        <x:f>SUM(S54:S65)</x:f>
        <x:v>-21695.155499673219</x:v>
      </x:c>
      <x:c r="T66" s="28"/>
      <x:c r="U66" s="27">
        <x:f>SUM(U54:U65)</x:f>
        <x:v>-5082.5991988005571</x:v>
      </x:c>
      <x:c r="V66" s="28"/>
      <x:c r="W66" s="27">
        <x:f>SUM(W54:W65)</x:f>
        <x:v>0</x:v>
      </x:c>
      <x:c r="X66" s="28"/>
      <x:c r="Y66" s="27">
        <x:f>SUM(Y54:Y65)</x:f>
        <x:v>0</x:v>
      </x:c>
      <x:c r="Z66" s="28"/>
      <x:c r="AA66" s="27">
        <x:f>SUM(AA54:AA65)</x:f>
        <x:v>-230820.23054544011</x:v>
      </x:c>
      <x:c r="AC66" s="63"/>
    </x:row>
    <x:row r="67" spans="1:29" ht="15.5" x14ac:dyDescent="0.35">
      <x:c r="C67" s="23"/>
      <x:c r="G67" s="27"/>
      <x:c r="H67" s="27"/>
      <x:c r="I67" s="27"/>
      <x:c r="J67" s="27"/>
      <x:c r="K67" s="27"/>
      <x:c r="L67" s="27"/>
      <x:c r="M67" s="27"/>
      <x:c r="N67" s="27"/>
      <x:c r="O67" s="27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  <x:c r="AA67" s="28"/>
    </x:row>
    <x:row r="68" spans="1:29" x14ac:dyDescent="0.25">
      <x:c r="C68" s="82" t="s">
        <x:v>120</x:v>
      </x:c>
    </x:row>
    <x:row r="69" spans="1:29" ht="15.5" x14ac:dyDescent="0.35">
      <x:c r="AC69" s="27"/>
    </x:row>
  </x:sheetData>
  <x:mergeCells count="1">
    <x:mergeCell ref="C49:AA49"/>
  </x:mergeCells>
  <x:phoneticPr fontId="2" type="noConversion"/>
  <x:printOptions horizontalCentered="1"/>
  <x:pageMargins left="0.25" right="0" top="1.5" bottom="0.25" header="0.5" footer="0.5"/>
  <x:pageSetup scale="46" orientation="landscape" r:id="rId1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0">
    <x:tabColor rgb="FF00B0F0"/>
    <x:pageSetUpPr fitToPage="1"/>
  </x:sheetPr>
  <x:dimension ref="A1:AC66"/>
  <x:sheetViews>
    <x:sheetView zoomScale="70" zoomScaleNormal="70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453125" customWidth="1"/>
    <x:col min="9" max="9" width="17.453125" bestFit="1" customWidth="1"/>
    <x:col min="10" max="10" width="1.08984375" customWidth="1"/>
    <x:col min="11" max="11" width="15.54296875" customWidth="1"/>
    <x:col min="12" max="12" width="1.08984375" customWidth="1"/>
    <x:col min="13" max="13" width="16.08984375" customWidth="1"/>
    <x:col min="14" max="14" width="1.08984375" customWidth="1"/>
    <x:col min="15" max="15" width="16.90625" hidden="1" customWidth="1"/>
    <x:col min="16" max="16" width="21.54296875" customWidth="1"/>
    <x:col min="17" max="17" width="1.08984375" customWidth="1"/>
    <x:col min="18" max="18" width="15.54296875" customWidth="1"/>
    <x:col min="19" max="19" width="1.08984375" customWidth="1"/>
    <x:col min="20" max="20" width="16.08984375" customWidth="1"/>
    <x:col min="21" max="21" width="1.453125" customWidth="1"/>
    <x:col min="22" max="22" width="16.90625" hidden="1" customWidth="1"/>
    <x:col min="23" max="23" width="1.36328125" hidden="1" customWidth="1"/>
    <x:col min="24" max="24" width="16.90625" bestFit="1" customWidth="1"/>
    <x:col min="25" max="25" width="1.08984375" customWidth="1"/>
    <x:col min="26" max="26" width="17.36328125" customWidth="1"/>
    <x:col min="27" max="27" width="1.6328125" customWidth="1"/>
    <x:col min="28" max="29" width="11.1796875" bestFit="1" customWidth="1"/>
  </x:cols>
  <x:sheetData>
    <x:row r="1" spans="1:27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t="s">
        <x:v>10</x:v>
      </x:c>
      <x:c r="AA1" s="3"/>
    </x:row>
    <x:row r="2" spans="1:27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82" t="s">
        <x:v>127</x:v>
      </x:c>
      <x:c r="AA2" s="6"/>
    </x:row>
    <x:row r="3" spans="1:27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</x:row>
    <x:row r="4" spans="1:27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</x:row>
    <x:row r="5" spans="1:27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8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</x:row>
    <x:row r="6" spans="1:27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8"/>
      <x:c r="I6" s="8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</x:row>
    <x:row r="7" spans="1:27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8"/>
      <x:c r="I7" s="8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</x:row>
    <x:row r="8" spans="1:27" ht="15.5" x14ac:dyDescent="0.35">
      <x:c r="B8" s="4"/>
      <x:c r="C8" s="4"/>
      <x:c r="D8" s="4"/>
      <x:c r="E8" s="4"/>
      <x:c r="F8" s="4"/>
      <x:c r="G8" s="6"/>
      <x:c r="H8" s="6"/>
      <x:c r="I8" s="8"/>
      <x:c r="J8" s="6"/>
      <x:c r="K8" s="6"/>
      <x:c r="L8" s="6"/>
      <x:c r="M8" s="6"/>
      <x:c r="N8" s="6"/>
      <x:c r="O8" s="6"/>
      <x:c r="P8" s="6"/>
      <x:c r="Q8" s="6"/>
      <x:c r="R8" s="20"/>
      <x:c r="S8" s="20"/>
      <x:c r="T8" s="20"/>
      <x:c r="U8" s="6"/>
      <x:c r="V8" s="6"/>
      <x:c r="W8" s="6"/>
      <x:c r="X8" s="6"/>
      <x:c r="Y8" s="6"/>
      <x:c r="Z8" s="6"/>
      <x:c r="AA8" s="6"/>
    </x:row>
    <x:row r="9" spans="1:27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41"/>
      <x:c r="J9" s="9"/>
      <x:c r="K9" s="9"/>
      <x:c r="L9" s="9"/>
      <x:c r="M9" s="9"/>
      <x:c r="N9" s="9"/>
      <x:c r="O9" s="9"/>
      <x:c r="P9" s="9"/>
      <x:c r="Q9" s="9"/>
      <x:c r="R9" s="42"/>
      <x:c r="S9" s="42"/>
      <x:c r="T9" s="42"/>
      <x:c r="U9" s="9"/>
      <x:c r="V9" s="9"/>
      <x:c r="W9" s="9"/>
      <x:c r="X9" s="9"/>
      <x:c r="Y9" s="9"/>
      <x:c r="Z9" s="9"/>
      <x:c r="AA9" s="9"/>
    </x:row>
    <x:row r="10" spans="1:27" ht="15.5" x14ac:dyDescent="0.35">
      <x:c r="B10" s="4"/>
      <x:c r="C10" s="4"/>
      <x:c r="D10" s="4"/>
      <x:c r="E10" s="4"/>
      <x:c r="F10" s="4"/>
      <x:c r="G10" s="6"/>
      <x:c r="H10" s="6"/>
      <x:c r="I10" s="8"/>
      <x:c r="J10" s="6"/>
      <x:c r="K10" s="6"/>
      <x:c r="L10" s="6"/>
      <x:c r="M10" s="6"/>
      <x:c r="N10" s="6"/>
      <x:c r="O10" s="6"/>
      <x:c r="P10" s="6"/>
      <x:c r="Q10" s="6"/>
      <x:c r="R10" s="20"/>
      <x:c r="S10" s="20"/>
      <x:c r="T10" s="20"/>
      <x:c r="U10" s="6"/>
      <x:c r="V10" s="6"/>
      <x:c r="W10" s="6"/>
      <x:c r="X10" s="6"/>
      <x:c r="Y10" s="6"/>
      <x:c r="Z10" s="6"/>
      <x:c r="AA10" s="6"/>
    </x:row>
    <x:row r="11" spans="1:27" ht="15.5" x14ac:dyDescent="0.35">
      <x:c r="A11" s="4" t="s">
        <x:v>55</x:v>
      </x:c>
      <x:c r="B11" s="4"/>
      <x:c r="C11" s="4"/>
      <x:c r="D11" s="4"/>
      <x:c r="E11" s="4"/>
      <x:c r="F11" s="4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</x:row>
    <x:row r="12" spans="1:27" ht="15.5" x14ac:dyDescent="0.35">
      <x:c r="A12" s="1"/>
      <x:c r="B12" s="1"/>
      <x:c r="C12" s="1"/>
      <x:c r="D12" s="1"/>
      <x:c r="E12" s="1"/>
      <x:c r="F12" s="1"/>
      <x:c r="G12" s="10" t="s">
        <x:v>13</x:v>
      </x:c>
      <x:c r="H12" s="3"/>
      <x:c r="I12" s="100" t="s">
        <x:v>20</x:v>
      </x:c>
      <x:c r="J12" s="100"/>
      <x:c r="K12" s="100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10"/>
      <x:c r="W12" s="3"/>
      <x:c r="X12" s="10"/>
      <x:c r="Y12" s="10"/>
      <x:c r="Z12" s="12" t="s">
        <x:v>30</x:v>
      </x:c>
      <x:c r="AA12" s="10"/>
    </x:row>
    <x:row r="13" spans="1:27" ht="15.5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14</x:v>
      </x:c>
      <x:c r="H13" s="12"/>
      <x:c r="I13" s="13" t="s">
        <x:v>16</x:v>
      </x:c>
      <x:c r="J13" s="12"/>
      <x:c r="K13" s="13" t="s">
        <x:v>17</x:v>
      </x:c>
      <x:c r="L13" s="12"/>
      <x:c r="M13" s="12" t="s">
        <x:v>21</x:v>
      </x:c>
      <x:c r="N13" s="12"/>
      <x:c r="O13" s="12" t="s">
        <x:v>4</x:v>
      </x:c>
      <x:c r="P13" s="13" t="s">
        <x:v>23</x:v>
      </x:c>
      <x:c r="Q13" s="14"/>
      <x:c r="R13" s="14" t="s">
        <x:v>25</x:v>
      </x:c>
      <x:c r="S13" s="14"/>
      <x:c r="T13" s="14" t="s">
        <x:v>27</x:v>
      </x:c>
      <x:c r="U13" s="14"/>
      <x:c r="V13" s="13" t="s">
        <x:v>5</x:v>
      </x:c>
      <x:c r="W13" s="14"/>
      <x:c r="X13" s="12" t="s">
        <x:v>29</x:v>
      </x:c>
      <x:c r="Y13" s="12"/>
      <x:c r="Z13" s="12" t="s">
        <x:v>9</x:v>
      </x:c>
      <x:c r="AA13" s="12"/>
    </x:row>
    <x:row r="14" spans="1:27" ht="15.5" x14ac:dyDescent="0.35">
      <x:c r="A14" s="1"/>
      <x:c r="B14" s="1"/>
      <x:c r="C14" s="1"/>
      <x:c r="D14" s="1"/>
      <x:c r="E14" s="1"/>
      <x:c r="F14" s="1"/>
      <x:c r="G14" s="16" t="s">
        <x:v>15</x:v>
      </x:c>
      <x:c r="H14" s="15"/>
      <x:c r="I14" s="16" t="s">
        <x:v>18</x:v>
      </x:c>
      <x:c r="J14" s="15"/>
      <x:c r="K14" s="16" t="s">
        <x:v>19</x:v>
      </x:c>
      <x:c r="L14" s="15"/>
      <x:c r="M14" s="16" t="s">
        <x:v>22</x:v>
      </x:c>
      <x:c r="N14" s="15"/>
      <x:c r="O14" s="15"/>
      <x:c r="P14" s="15" t="s">
        <x:v>24</x:v>
      </x:c>
      <x:c r="Q14" s="15"/>
      <x:c r="R14" s="16" t="s">
        <x:v>26</x:v>
      </x:c>
      <x:c r="S14" s="15"/>
      <x:c r="T14" s="16" t="s">
        <x:v>28</x:v>
      </x:c>
      <x:c r="U14" s="15"/>
      <x:c r="V14" s="15"/>
      <x:c r="W14" s="15"/>
      <x:c r="X14" s="16" t="s">
        <x:v>45</x:v>
      </x:c>
      <x:c r="Y14" s="15"/>
      <x:c r="Z14" s="16" t="s">
        <x:v>31</x:v>
      </x:c>
      <x:c r="AA14" s="15"/>
    </x:row>
    <x:row r="15" spans="1:27" ht="15.5" x14ac:dyDescent="0.35">
      <x:c r="A15" s="17"/>
      <x:c r="B15" s="1"/>
      <x:c r="C15" s="17"/>
      <x:c r="D15" s="1"/>
      <x:c r="E15" s="17"/>
      <x:c r="F15" s="1"/>
      <x:c r="G15" s="12"/>
      <x:c r="H15" s="3"/>
      <x:c r="I15" s="14"/>
      <x:c r="J15" s="3"/>
      <x:c r="K15" s="3"/>
      <x:c r="L15" s="3"/>
      <x:c r="M15" s="3"/>
      <x:c r="N15" s="3"/>
      <x:c r="O15" s="3"/>
      <x:c r="P15" s="14"/>
      <x:c r="Q15" s="3"/>
      <x:c r="R15" s="3"/>
      <x:c r="S15" s="3"/>
      <x:c r="T15" s="3"/>
      <x:c r="U15" s="3"/>
      <x:c r="V15" s="14"/>
      <x:c r="W15" s="3"/>
      <x:c r="X15" s="14"/>
      <x:c r="Y15" s="14"/>
      <x:c r="Z15" s="14"/>
      <x:c r="AA15" s="14"/>
    </x:row>
    <x:row r="16" spans="1:27" ht="15.5" x14ac:dyDescent="0.35">
      <x:c r="A16" s="39">
        <x:v>1</x:v>
      </x:c>
      <x:c r="B16" s="1"/>
      <x:c r="C16" s="62">
        <x:f>+'Weather Adjustment'!C16</x:f>
        <x:v>2024</x:v>
      </x:c>
      <x:c r="D16" s="1"/>
      <x:c r="E16" s="19">
        <x:f>+'Weather Adjustment'!E16</x:f>
        <x:v>1</x:v>
      </x:c>
      <x:c r="F16" s="1"/>
      <x:c r="G16" s="43">
        <x:f>+'[2]RES Model'!$C$18</x:f>
        <x:v>2.1640000000000001</x:v>
      </x:c>
      <x:c r="H16" s="3"/>
      <x:c r="I16" s="70">
        <x:v>0.79</x:v>
      </x:c>
      <x:c r="J16" s="71"/>
      <x:c r="K16" s="70">
        <x:v>1.04</x:v>
      </x:c>
      <x:c r="L16" s="20"/>
      <x:c r="M16" s="20">
        <x:f>+'Weather Adjustment'!G35</x:f>
        <x:v>3396604</x:v>
      </x:c>
      <x:c r="N16" s="20"/>
      <x:c r="O16" s="20">
        <x:f t="shared" ref="O16:O21" si="0">SUM(K16,M16)</x:f>
        <x:v>3396605.04</x:v>
      </x:c>
      <x:c r="P16" s="20">
        <x:f>PRODUCT(G16,I16,K16,M16)/1000</x:f>
        <x:v>6038.9662676096013</x:v>
      </x:c>
      <x:c r="Q16" s="20"/>
      <x:c r="R16" s="43">
        <x:f>+[3]RES!D13</x:f>
        <x:v>0.50931181723809626</x:v>
      </x:c>
      <x:c r="S16" s="20"/>
      <x:c r="T16" s="43">
        <x:f>+[3]RES!F13</x:f>
        <x:v>2.4932806220886969</x:v>
      </x:c>
      <x:c r="U16" s="20"/>
      <x:c r="V16" s="20">
        <x:f t="shared" ref="V16:V21" si="1">SUM(R16,T16)</x:f>
        <x:v>3.0025924393267931</x:v>
      </x:c>
      <x:c r="W16" s="20"/>
      <x:c r="X16" s="43">
        <x:f>+T16-R16</x:f>
        <x:v>1.9839688048506008</x:v>
      </x:c>
      <x:c r="Y16" s="20"/>
      <x:c r="Z16" s="20">
        <x:f>+P16*X16</x:f>
        <x:v>11981.120688482513</x:v>
      </x:c>
      <x:c r="AA16" s="20"/>
    </x:row>
    <x:row r="17" spans="1:29" ht="15.5" x14ac:dyDescent="0.35">
      <x:c r="A17" s="39">
        <x:f>+A16+1</x:f>
        <x:v>2</x:v>
      </x:c>
      <x:c r="B17" s="1"/>
      <x:c r="C17" s="62">
        <x:f>+'Weather Adjustment'!C17</x:f>
        <x:v>2024</x:v>
      </x:c>
      <x:c r="D17" s="1"/>
      <x:c r="E17" s="19">
        <x:f>+'Weather Adjustment'!E17</x:f>
        <x:v>2</x:v>
      </x:c>
      <x:c r="F17" s="1"/>
      <x:c r="G17" s="43">
        <x:f>+G16</x:f>
        <x:v>2.1640000000000001</x:v>
      </x:c>
      <x:c r="H17" s="3"/>
      <x:c r="I17" s="70">
        <x:v>0.79</x:v>
      </x:c>
      <x:c r="J17" s="71"/>
      <x:c r="K17" s="70">
        <x:v>1.04</x:v>
      </x:c>
      <x:c r="L17" s="20"/>
      <x:c r="M17" s="20">
        <x:f>+'Weather Adjustment'!G36</x:f>
        <x:v>3401024</x:v>
      </x:c>
      <x:c r="N17" s="20"/>
      <x:c r="O17" s="20">
        <x:f t="shared" si="0"/>
        <x:v>3401025.04</x:v>
      </x:c>
      <x:c r="P17" s="20">
        <x:f t="shared" ref="P17:P27" si="2">PRODUCT(G17,I17,K17,M17)/1000</x:f>
        <x:v>6046.8247730176008</x:v>
      </x:c>
      <x:c r="Q17" s="20"/>
      <x:c r="R17" s="43">
        <x:f>+[3]RES!D14</x:f>
        <x:v>7.1189206857142778E-2</x:v>
      </x:c>
      <x:c r="S17" s="20"/>
      <x:c r="T17" s="43">
        <x:f>+[3]RES!F14</x:f>
        <x:v>1.5673922972591274</x:v>
      </x:c>
      <x:c r="U17" s="20"/>
      <x:c r="V17" s="20">
        <x:f t="shared" si="1"/>
        <x:v>1.6385815041162701</x:v>
      </x:c>
      <x:c r="W17" s="20"/>
      <x:c r="X17" s="43">
        <x:f t="shared" ref="X17:X28" si="3">+T17-R17</x:f>
        <x:v>1.4962030904019847</x:v>
      </x:c>
      <x:c r="Y17" s="20"/>
      <x:c r="Z17" s="20">
        <x:f t="shared" ref="Z17:Z27" si="4">+P17*X17</x:f>
        <x:v>9047.2779125082143</x:v>
      </x:c>
      <x:c r="AA17" s="20"/>
      <x:c r="AB17" s="85"/>
      <x:c r="AC17" s="85"/>
    </x:row>
    <x:row r="18" spans="1:29" ht="15.5" x14ac:dyDescent="0.35">
      <x:c r="A18" s="39">
        <x:f t="shared" ref="A18:A64" si="5">+A17+1</x:f>
        <x:v>3</x:v>
      </x:c>
      <x:c r="B18" s="1"/>
      <x:c r="C18" s="62">
        <x:f>+'Weather Adjustment'!C18</x:f>
        <x:v>2024</x:v>
      </x:c>
      <x:c r="D18" s="1"/>
      <x:c r="E18" s="19">
        <x:f>+'Weather Adjustment'!E18</x:f>
        <x:v>3</x:v>
      </x:c>
      <x:c r="F18" s="1"/>
      <x:c r="G18" s="43">
        <x:f t="shared" ref="G18:G27" si="6">+G17</x:f>
        <x:v>2.1640000000000001</x:v>
      </x:c>
      <x:c r="H18" s="3"/>
      <x:c r="I18" s="70">
        <x:v>0.79</x:v>
      </x:c>
      <x:c r="J18" s="71"/>
      <x:c r="K18" s="70">
        <x:v>1.05</x:v>
      </x:c>
      <x:c r="L18" s="20"/>
      <x:c r="M18" s="20">
        <x:f>+'Weather Adjustment'!G37</x:f>
        <x:v>3407140</x:v>
      </x:c>
      <x:c r="N18" s="20"/>
      <x:c r="O18" s="20">
        <x:f t="shared" si="0"/>
        <x:v>3407141.05</x:v>
      </x:c>
      <x:c r="P18" s="20">
        <x:f t="shared" si="2"/>
        <x:v>6115.9457713200009</x:v>
      </x:c>
      <x:c r="Q18" s="20"/>
      <x:c r="R18" s="43">
        <x:f>+[3]RES!D15</x:f>
        <x:v>14.582078343190481</x:v>
      </x:c>
      <x:c r="S18" s="20"/>
      <x:c r="T18" s="43">
        <x:f>+[3]RES!F15</x:f>
        <x:v>6.3552178925046672</x:v>
      </x:c>
      <x:c r="U18" s="20"/>
      <x:c r="V18" s="20">
        <x:f t="shared" si="1"/>
        <x:v>20.93729623569515</x:v>
      </x:c>
      <x:c r="W18" s="20"/>
      <x:c r="X18" s="43">
        <x:f t="shared" si="3"/>
        <x:v>-8.2268604506858143</x:v>
      </x:c>
      <x:c r="Y18" s="20"/>
      <x:c r="Z18" s="20">
        <x:f t="shared" si="4"/>
        <x:v>-50315.032384611659</x:v>
      </x:c>
      <x:c r="AA18" s="20"/>
      <x:c r="AB18" s="85"/>
      <x:c r="AC18" s="85"/>
    </x:row>
    <x:row r="19" spans="1:29" ht="15.5" x14ac:dyDescent="0.35">
      <x:c r="A19" s="39">
        <x:f t="shared" si="5"/>
        <x:v>4</x:v>
      </x:c>
      <x:c r="B19" s="1"/>
      <x:c r="C19" s="62">
        <x:f>+'Weather Adjustment'!C19</x:f>
        <x:v>2024</x:v>
      </x:c>
      <x:c r="D19" s="1"/>
      <x:c r="E19" s="19">
        <x:f>+'Weather Adjustment'!E19</x:f>
        <x:v>4</x:v>
      </x:c>
      <x:c r="F19" s="1"/>
      <x:c r="G19" s="43">
        <x:f t="shared" si="6"/>
        <x:v>2.1640000000000001</x:v>
      </x:c>
      <x:c r="H19" s="3"/>
      <x:c r="I19" s="70">
        <x:v>0.79</x:v>
      </x:c>
      <x:c r="J19" s="71"/>
      <x:c r="K19" s="70">
        <x:v>1.04</x:v>
      </x:c>
      <x:c r="L19" s="20"/>
      <x:c r="M19" s="20">
        <x:f>+'Weather Adjustment'!G38</x:f>
        <x:v>3413927</x:v>
      </x:c>
      <x:c r="N19" s="20"/>
      <x:c r="O19" s="20">
        <x:f t="shared" si="0"/>
        <x:v>3413928.04</x:v>
      </x:c>
      <x:c r="P19" s="20">
        <x:f t="shared" si="2"/>
        <x:v>6069.7655638048018</x:v>
      </x:c>
      <x:c r="Q19" s="20"/>
      <x:c r="R19" s="43">
        <x:f>+[3]RES!D16</x:f>
        <x:v>23.33679555838096</x:v>
      </x:c>
      <x:c r="S19" s="20"/>
      <x:c r="T19" s="43">
        <x:f>+[3]RES!F16</x:f>
        <x:v>25.375167256061406</x:v>
      </x:c>
      <x:c r="U19" s="20"/>
      <x:c r="V19" s="20">
        <x:f t="shared" si="1"/>
        <x:v>48.711962814442366</x:v>
      </x:c>
      <x:c r="W19" s="20"/>
      <x:c r="X19" s="43">
        <x:f t="shared" si="3"/>
        <x:v>2.0383716976804465</x:v>
      </x:c>
      <x:c r="Y19" s="20"/>
      <x:c r="Z19" s="20">
        <x:f t="shared" si="4"/>
        <x:v>12372.438336815107</x:v>
      </x:c>
      <x:c r="AA19" s="20"/>
      <x:c r="AB19" s="85"/>
      <x:c r="AC19" s="85"/>
    </x:row>
    <x:row r="20" spans="1:29" ht="15.5" x14ac:dyDescent="0.35">
      <x:c r="A20" s="39">
        <x:f t="shared" si="5"/>
        <x:v>5</x:v>
      </x:c>
      <x:c r="B20" s="1"/>
      <x:c r="C20" s="62">
        <x:f>+'Weather Adjustment'!C20</x:f>
        <x:v>2024</x:v>
      </x:c>
      <x:c r="D20" s="1"/>
      <x:c r="E20" s="19">
        <x:f>+'Weather Adjustment'!E20</x:f>
        <x:v>5</x:v>
      </x:c>
      <x:c r="F20" s="1"/>
      <x:c r="G20" s="43">
        <x:f t="shared" si="6"/>
        <x:v>2.1640000000000001</x:v>
      </x:c>
      <x:c r="H20" s="3"/>
      <x:c r="I20" s="70">
        <x:v>0.79</x:v>
      </x:c>
      <x:c r="J20" s="71"/>
      <x:c r="K20" s="70">
        <x:v>1.04</x:v>
      </x:c>
      <x:c r="L20" s="20"/>
      <x:c r="M20" s="20">
        <x:f>+'Weather Adjustment'!G39</x:f>
        <x:v>3421241</x:v>
      </x:c>
      <x:c r="N20" s="20"/>
      <x:c r="O20" s="20">
        <x:f t="shared" si="0"/>
        <x:v>3421242.04</x:v>
      </x:c>
      <x:c r="P20" s="20">
        <x:f t="shared" si="2"/>
        <x:v>6082.7694345184018</x:v>
      </x:c>
      <x:c r="Q20" s="20"/>
      <x:c r="R20" s="43">
        <x:f>+[3]RES!D17</x:f>
        <x:v>87.833334773428604</x:v>
      </x:c>
      <x:c r="S20" s="20"/>
      <x:c r="T20" s="43">
        <x:f>+[3]RES!F17</x:f>
        <x:v>71.734337599161577</x:v>
      </x:c>
      <x:c r="U20" s="20"/>
      <x:c r="V20" s="20">
        <x:f t="shared" si="1"/>
        <x:v>159.56767237259018</x:v>
      </x:c>
      <x:c r="W20" s="20"/>
      <x:c r="X20" s="43">
        <x:f t="shared" si="3"/>
        <x:v>-16.098997174267026</x:v>
      </x:c>
      <x:c r="Y20" s="20"/>
      <x:c r="Z20" s="20">
        <x:f t="shared" si="4"/>
        <x:v>-97926.48793802959</x:v>
      </x:c>
      <x:c r="AA20" s="20"/>
      <x:c r="AB20" s="85"/>
      <x:c r="AC20" s="85"/>
    </x:row>
    <x:row r="21" spans="1:29" ht="15.5" x14ac:dyDescent="0.35">
      <x:c r="A21" s="39">
        <x:f t="shared" si="5"/>
        <x:v>6</x:v>
      </x:c>
      <x:c r="B21" s="1"/>
      <x:c r="C21" s="62">
        <x:f>+'Weather Adjustment'!C21</x:f>
        <x:v>2024</x:v>
      </x:c>
      <x:c r="D21" s="1"/>
      <x:c r="E21" s="19">
        <x:f>+'Weather Adjustment'!E21</x:f>
        <x:v>6</x:v>
      </x:c>
      <x:c r="F21" s="1"/>
      <x:c r="G21" s="43">
        <x:f t="shared" si="6"/>
        <x:v>2.1640000000000001</x:v>
      </x:c>
      <x:c r="H21" s="3"/>
      <x:c r="I21" s="70">
        <x:v>0.79</x:v>
      </x:c>
      <x:c r="J21" s="71"/>
      <x:c r="K21" s="70">
        <x:v>1.04</x:v>
      </x:c>
      <x:c r="L21" s="20"/>
      <x:c r="M21" s="20">
        <x:f>+'Weather Adjustment'!G40</x:f>
        <x:v>3425884</x:v>
      </x:c>
      <x:c r="N21" s="20"/>
      <x:c r="O21" s="20">
        <x:f t="shared" si="0"/>
        <x:v>3425885.04</x:v>
      </x:c>
      <x:c r="P21" s="20">
        <x:f t="shared" si="2"/>
        <x:v>6091.0244210816018</x:v>
      </x:c>
      <x:c r="Q21" s="20"/>
      <x:c r="R21" s="43">
        <x:f>+[3]RES!D18</x:f>
        <x:v>238.26230116985712</x:v>
      </x:c>
      <x:c r="S21" s="20"/>
      <x:c r="T21" s="43">
        <x:f>+[3]RES!F18</x:f>
        <x:v>214.65969011624705</x:v>
      </x:c>
      <x:c r="U21" s="20"/>
      <x:c r="V21" s="20">
        <x:f t="shared" si="1"/>
        <x:v>452.92199128610417</x:v>
      </x:c>
      <x:c r="W21" s="20"/>
      <x:c r="X21" s="43">
        <x:f t="shared" si="3"/>
        <x:v>-23.602611053610076</x:v>
      </x:c>
      <x:c r="Y21" s="20"/>
      <x:c r="Z21" s="20">
        <x:f t="shared" si="4"/>
        <x:v>-143764.08032882953</x:v>
      </x:c>
      <x:c r="AA21" s="20"/>
      <x:c r="AB21" s="85"/>
      <x:c r="AC21" s="85"/>
    </x:row>
    <x:row r="22" spans="1:29" ht="15.5" x14ac:dyDescent="0.35">
      <x:c r="A22" s="39">
        <x:f t="shared" si="5"/>
        <x:v>7</x:v>
      </x:c>
      <x:c r="B22" s="1"/>
      <x:c r="C22" s="62">
        <x:f>+'Weather Adjustment'!C22</x:f>
        <x:v>2024</x:v>
      </x:c>
      <x:c r="D22" s="1"/>
      <x:c r="E22" s="19">
        <x:f>+'Weather Adjustment'!E22</x:f>
        <x:v>7</x:v>
      </x:c>
      <x:c r="F22" s="1"/>
      <x:c r="G22" s="43">
        <x:f t="shared" si="6"/>
        <x:v>2.1640000000000001</x:v>
      </x:c>
      <x:c r="H22" s="3"/>
      <x:c r="I22" s="70">
        <x:v>0.79</x:v>
      </x:c>
      <x:c r="J22" s="71"/>
      <x:c r="K22" s="70">
        <x:v>1.05</x:v>
      </x:c>
      <x:c r="L22" s="20"/>
      <x:c r="M22" s="20">
        <x:f>+'Weather Adjustment'!G41</x:f>
        <x:v>3432967</x:v>
      </x:c>
      <x:c r="N22" s="20"/>
      <x:c r="O22" s="20">
        <x:f t="shared" ref="O22:O27" si="7">SUM(K22,M22)</x:f>
        <x:v>3432968.05</x:v>
      </x:c>
      <x:c r="P22" s="20">
        <x:f t="shared" si="2"/>
        <x:v>6162.3062177460015</x:v>
      </x:c>
      <x:c r="Q22" s="20"/>
      <x:c r="R22" s="43">
        <x:f>+[3]RES!D19</x:f>
        <x:v>413.76615727590473</x:v>
      </x:c>
      <x:c r="S22" s="20"/>
      <x:c r="T22" s="43">
        <x:f>+[3]RES!F19</x:f>
        <x:v>376.74149289052286</x:v>
      </x:c>
      <x:c r="U22" s="20"/>
      <x:c r="V22" s="20">
        <x:f t="shared" ref="V22:V27" si="8">SUM(R22,T22)</x:f>
        <x:v>790.50765016642754</x:v>
      </x:c>
      <x:c r="W22" s="20"/>
      <x:c r="X22" s="43">
        <x:f t="shared" si="3"/>
        <x:v>-37.024664385381868</x:v>
      </x:c>
      <x:c r="Y22" s="20"/>
      <x:c r="Z22" s="20">
        <x:f t="shared" si="4"/>
        <x:v>-228157.31955199761</x:v>
      </x:c>
      <x:c r="AA22" s="20"/>
      <x:c r="AB22" s="85"/>
      <x:c r="AC22" s="85"/>
    </x:row>
    <x:row r="23" spans="1:29" ht="15.5" x14ac:dyDescent="0.35">
      <x:c r="A23" s="39">
        <x:f t="shared" si="5"/>
        <x:v>8</x:v>
      </x:c>
      <x:c r="B23" s="1"/>
      <x:c r="C23" s="62">
        <x:f>+'Weather Adjustment'!C23</x:f>
        <x:v>2024</x:v>
      </x:c>
      <x:c r="D23" s="1"/>
      <x:c r="E23" s="19">
        <x:f>+'Weather Adjustment'!E23</x:f>
        <x:v>8</x:v>
      </x:c>
      <x:c r="F23" s="1"/>
      <x:c r="G23" s="43">
        <x:f t="shared" si="6"/>
        <x:v>2.1640000000000001</x:v>
      </x:c>
      <x:c r="H23" s="3"/>
      <x:c r="I23" s="70">
        <x:v>0.79</x:v>
      </x:c>
      <x:c r="J23" s="71"/>
      <x:c r="K23" s="70">
        <x:v>1.05</x:v>
      </x:c>
      <x:c r="L23" s="20"/>
      <x:c r="M23" s="20">
        <x:f>+'Weather Adjustment'!G42</x:f>
        <x:v>3439507</x:v>
      </x:c>
      <x:c r="N23" s="20"/>
      <x:c r="O23" s="20">
        <x:f t="shared" si="7"/>
        <x:v>3439508.05</x:v>
      </x:c>
      <x:c r="P23" s="20">
        <x:f t="shared" si="2"/>
        <x:v>6174.045766266001</x:v>
      </x:c>
      <x:c r="Q23" s="20"/>
      <x:c r="R23" s="43">
        <x:f>+[3]RES!D20</x:f>
        <x:v>407.79058282019048</x:v>
      </x:c>
      <x:c r="S23" s="20"/>
      <x:c r="T23" s="43">
        <x:f>+[3]RES!F20</x:f>
        <x:v>441.8755524296364</x:v>
      </x:c>
      <x:c r="U23" s="20"/>
      <x:c r="V23" s="20">
        <x:f t="shared" si="8"/>
        <x:v>849.66613524982688</x:v>
      </x:c>
      <x:c r="W23" s="20"/>
      <x:c r="X23" s="43">
        <x:f t="shared" si="3"/>
        <x:v>34.08496960944592</x:v>
      </x:c>
      <x:c r="Y23" s="20"/>
      <x:c r="Z23" s="20">
        <x:f t="shared" si="4"/>
        <x:v>210442.16231050491</x:v>
      </x:c>
      <x:c r="AA23" s="20"/>
      <x:c r="AB23" s="85"/>
      <x:c r="AC23" s="85"/>
    </x:row>
    <x:row r="24" spans="1:29" ht="15.5" x14ac:dyDescent="0.35">
      <x:c r="A24" s="39">
        <x:f t="shared" si="5"/>
        <x:v>9</x:v>
      </x:c>
      <x:c r="B24" s="1"/>
      <x:c r="C24" s="62">
        <x:f>+'Weather Adjustment'!C24</x:f>
        <x:v>2024</x:v>
      </x:c>
      <x:c r="D24" s="1"/>
      <x:c r="E24" s="19">
        <x:f>+'Weather Adjustment'!E24</x:f>
        <x:v>9</x:v>
      </x:c>
      <x:c r="F24" s="1"/>
      <x:c r="G24" s="43">
        <x:f t="shared" si="6"/>
        <x:v>2.1640000000000001</x:v>
      </x:c>
      <x:c r="H24" s="3"/>
      <x:c r="I24" s="70">
        <x:v>0.79</x:v>
      </x:c>
      <x:c r="J24" s="71"/>
      <x:c r="K24" s="70">
        <x:v>1.05</x:v>
      </x:c>
      <x:c r="L24" s="20"/>
      <x:c r="M24" s="20">
        <x:f>+'Weather Adjustment'!G43</x:f>
        <x:v>3444509</x:v>
      </x:c>
      <x:c r="N24" s="20"/>
      <x:c r="O24" s="20">
        <x:f t="shared" si="7"/>
        <x:v>3444510.05</x:v>
      </x:c>
      <x:c r="P24" s="20">
        <x:f t="shared" si="2"/>
        <x:v>6183.0245463420015</x:v>
      </x:c>
      <x:c r="Q24" s="20"/>
      <x:c r="R24" s="43">
        <x:f>+[3]RES!D21</x:f>
        <x:v>427.48317298809536</x:v>
      </x:c>
      <x:c r="S24" s="20"/>
      <x:c r="T24" s="43">
        <x:f>+[3]RES!F21</x:f>
        <x:v>397.57148488573023</x:v>
      </x:c>
      <x:c r="U24" s="20"/>
      <x:c r="V24" s="20">
        <x:f t="shared" si="8"/>
        <x:v>825.05465787382559</x:v>
      </x:c>
      <x:c r="W24" s="20"/>
      <x:c r="X24" s="43">
        <x:f t="shared" si="3"/>
        <x:v>-29.911688102365133</x:v>
      </x:c>
      <x:c r="Y24" s="20"/>
      <x:c r="Z24" s="20">
        <x:f t="shared" si="4"/>
        <x:v>-184944.70175944961</x:v>
      </x:c>
      <x:c r="AA24" s="20"/>
      <x:c r="AB24" s="85"/>
      <x:c r="AC24" s="85"/>
    </x:row>
    <x:row r="25" spans="1:29" ht="15.5" x14ac:dyDescent="0.35">
      <x:c r="A25" s="39">
        <x:f t="shared" si="5"/>
        <x:v>10</x:v>
      </x:c>
      <x:c r="B25" s="1"/>
      <x:c r="C25" s="62">
        <x:f>+'Weather Adjustment'!C25</x:f>
        <x:v>2024</x:v>
      </x:c>
      <x:c r="D25" s="1"/>
      <x:c r="E25" s="19">
        <x:f>+'Weather Adjustment'!E25</x:f>
        <x:v>10</x:v>
      </x:c>
      <x:c r="F25" s="1"/>
      <x:c r="G25" s="43">
        <x:f t="shared" si="6"/>
        <x:v>2.1640000000000001</x:v>
      </x:c>
      <x:c r="H25" s="3"/>
      <x:c r="I25" s="70">
        <x:v>0.79</x:v>
      </x:c>
      <x:c r="J25" s="71"/>
      <x:c r="K25" s="70">
        <x:v>1.05</x:v>
      </x:c>
      <x:c r="L25" s="20"/>
      <x:c r="M25" s="20">
        <x:f>+'Weather Adjustment'!G44</x:f>
        <x:v>3450481</x:v>
      </x:c>
      <x:c r="N25" s="20"/>
      <x:c r="O25" s="20">
        <x:f t="shared" si="7"/>
        <x:v>3450482.05</x:v>
      </x:c>
      <x:c r="P25" s="20">
        <x:f t="shared" si="2"/>
        <x:v>6193.7445132780013</x:v>
      </x:c>
      <x:c r="Q25" s="20"/>
      <x:c r="R25" s="43">
        <x:f>+[3]RES!D22</x:f>
        <x:v>239.28239802119046</x:v>
      </x:c>
      <x:c r="S25" s="20"/>
      <x:c r="T25" s="43">
        <x:f>+[3]RES!F22</x:f>
        <x:v>220.30251783547996</x:v>
      </x:c>
      <x:c r="U25" s="20"/>
      <x:c r="V25" s="20">
        <x:f t="shared" si="8"/>
        <x:v>459.58491585667042</x:v>
      </x:c>
      <x:c r="W25" s="20"/>
      <x:c r="X25" s="43">
        <x:f t="shared" si="3"/>
        <x:v>-18.979880185710499</x:v>
      </x:c>
      <x:c r="Y25" s="20"/>
      <x:c r="Z25" s="20">
        <x:f t="shared" si="4"/>
        <x:v>-117556.52876291826</x:v>
      </x:c>
      <x:c r="AA25" s="20"/>
      <x:c r="AB25" s="85"/>
      <x:c r="AC25" s="85"/>
    </x:row>
    <x:row r="26" spans="1:29" ht="15.5" x14ac:dyDescent="0.35">
      <x:c r="A26" s="39">
        <x:f t="shared" si="5"/>
        <x:v>11</x:v>
      </x:c>
      <x:c r="B26" s="1"/>
      <x:c r="C26" s="62">
        <x:f>+'Weather Adjustment'!C26</x:f>
        <x:v>2024</x:v>
      </x:c>
      <x:c r="D26" s="1"/>
      <x:c r="E26" s="19">
        <x:f>+'Weather Adjustment'!E26</x:f>
        <x:v>11</x:v>
      </x:c>
      <x:c r="F26" s="1"/>
      <x:c r="G26" s="43">
        <x:f t="shared" si="6"/>
        <x:v>2.1640000000000001</x:v>
      </x:c>
      <x:c r="H26" s="3"/>
      <x:c r="I26" s="70">
        <x:v>0.79</x:v>
      </x:c>
      <x:c r="J26" s="71"/>
      <x:c r="K26" s="70">
        <x:v>1.04</x:v>
      </x:c>
      <x:c r="L26" s="20"/>
      <x:c r="M26" s="20">
        <x:f>+'Weather Adjustment'!G45</x:f>
        <x:v>3456155</x:v>
      </x:c>
      <x:c r="N26" s="20"/>
      <x:c r="O26" s="20">
        <x:f t="shared" si="7"/>
        <x:v>3456156.04</x:v>
      </x:c>
      <x:c r="P26" s="20">
        <x:f t="shared" si="2"/>
        <x:v>6144.8445154720011</x:v>
      </x:c>
      <x:c r="Q26" s="20"/>
      <x:c r="R26" s="43">
        <x:f>+[3]RES!D23</x:f>
        <x:v>119.20831744052381</x:v>
      </x:c>
      <x:c r="S26" s="20"/>
      <x:c r="T26" s="43">
        <x:f>+[3]RES!F23</x:f>
        <x:v>65.768035288573657</x:v>
      </x:c>
      <x:c r="U26" s="20"/>
      <x:c r="V26" s="20">
        <x:f t="shared" si="8"/>
        <x:v>184.97635272909747</x:v>
      </x:c>
      <x:c r="W26" s="20"/>
      <x:c r="X26" s="43">
        <x:f t="shared" si="3"/>
        <x:v>-53.440282151950157</x:v>
      </x:c>
      <x:c r="Y26" s="20"/>
      <x:c r="Z26" s="20">
        <x:f t="shared" si="4"/>
        <x:v>-328382.22468668717</x:v>
      </x:c>
      <x:c r="AA26" s="20"/>
      <x:c r="AB26" s="85"/>
      <x:c r="AC26" s="85"/>
    </x:row>
    <x:row r="27" spans="1:29" ht="15.5" x14ac:dyDescent="0.35">
      <x:c r="A27" s="39">
        <x:f t="shared" si="5"/>
        <x:v>12</x:v>
      </x:c>
      <x:c r="B27" s="1"/>
      <x:c r="C27" s="62">
        <x:f>+'Weather Adjustment'!C27</x:f>
        <x:v>2024</x:v>
      </x:c>
      <x:c r="D27" s="1"/>
      <x:c r="E27" s="19">
        <x:f>+'Weather Adjustment'!E27</x:f>
        <x:v>12</x:v>
      </x:c>
      <x:c r="F27" s="1"/>
      <x:c r="G27" s="43">
        <x:f t="shared" si="6"/>
        <x:v>2.1640000000000001</x:v>
      </x:c>
      <x:c r="H27" s="3"/>
      <x:c r="I27" s="70">
        <x:v>0.79</x:v>
      </x:c>
      <x:c r="J27" s="71"/>
      <x:c r="K27" s="70">
        <x:v>1.04</x:v>
      </x:c>
      <x:c r="L27" s="20"/>
      <x:c r="M27" s="20">
        <x:f>+'Weather Adjustment'!G46</x:f>
        <x:v>3462111</x:v>
      </x:c>
      <x:c r="N27" s="20"/>
      <x:c r="O27" s="20">
        <x:f t="shared" si="7"/>
        <x:v>3462112.04</x:v>
      </x:c>
      <x:c r="P27" s="20">
        <x:f t="shared" si="2"/>
        <x:v>6155.4339404064012</x:v>
      </x:c>
      <x:c r="Q27" s="20"/>
      <x:c r="R27" s="43">
        <x:f>+[3]RES!D24</x:f>
        <x:v>14.298436466666674</x:v>
      </x:c>
      <x:c r="S27" s="20"/>
      <x:c r="T27" s="43">
        <x:f>+[3]RES!F24</x:f>
        <x:v>10.052166621869391</x:v>
      </x:c>
      <x:c r="U27" s="20"/>
      <x:c r="V27" s="20">
        <x:f t="shared" si="8"/>
        <x:v>24.350603088536065</x:v>
      </x:c>
      <x:c r="W27" s="20"/>
      <x:c r="X27" s="66">
        <x:f t="shared" si="3"/>
        <x:v>-4.2462698447972826</x:v>
      </x:c>
      <x:c r="Y27" s="20"/>
      <x:c r="Z27" s="20">
        <x:f t="shared" si="4"/>
        <x:v>-26137.633522789416</x:v>
      </x:c>
      <x:c r="AA27" s="20"/>
      <x:c r="AB27" s="85"/>
      <x:c r="AC27" s="85"/>
    </x:row>
    <x:row r="28" spans="1:29" ht="15.5" x14ac:dyDescent="0.35">
      <x:c r="A28" s="39">
        <x:f t="shared" si="5"/>
        <x:v>13</x:v>
      </x:c>
      <x:c r="B28" s="1"/>
      <x:c r="C28" s="1" t="s">
        <x:v>8</x:v>
      </x:c>
      <x:c r="D28" s="1"/>
      <x:c r="E28" s="1"/>
      <x:c r="F28" s="1"/>
      <x:c r="G28" s="22"/>
      <x:c r="H28" s="3"/>
      <x:c r="I28" s="22"/>
      <x:c r="J28" s="3"/>
      <x:c r="K28" s="22"/>
      <x:c r="L28" s="22"/>
      <x:c r="M28" s="22"/>
      <x:c r="N28" s="22"/>
      <x:c r="O28" s="22">
        <x:f>SUM(O22:O27)</x:f>
        <x:v>20685736.279999997</x:v>
      </x:c>
      <x:c r="P28" s="22"/>
      <x:c r="Q28" s="22"/>
      <x:c r="R28" s="22">
        <x:f>SUM(R16:R27)</x:f>
        <x:v>1986.4240758815238</x:v>
      </x:c>
      <x:c r="S28" s="22"/>
      <x:c r="T28" s="22">
        <x:f>SUM(T16:T27)</x:f>
        <x:v>1834.4963357351348</x:v>
      </x:c>
      <x:c r="U28" s="22"/>
      <x:c r="V28" s="22">
        <x:f>SUM(V22:V27)</x:f>
        <x:v>3134.1403149643834</x:v>
      </x:c>
      <x:c r="W28" s="22"/>
      <x:c r="X28" s="43">
        <x:f t="shared" si="3"/>
        <x:v>-151.92774014638894</x:v>
      </x:c>
      <x:c r="Y28" s="14"/>
      <x:c r="Z28" s="22">
        <x:f>SUM(Z16:Z27)</x:f>
        <x:v>-933341.00968700205</x:v>
      </x:c>
      <x:c r="AA28" s="22"/>
    </x:row>
    <x:row r="29" spans="1:29" ht="15.5" x14ac:dyDescent="0.35">
      <x:c r="A29" s="39">
        <x:f t="shared" si="5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</x:row>
    <x:row r="30" spans="1:29" ht="15.5" x14ac:dyDescent="0.35">
      <x:c r="A30" s="39">
        <x:f t="shared" si="5"/>
        <x:v>15</x:v>
      </x:c>
      <x:c r="B30" s="1"/>
      <x:c r="C30" s="1"/>
      <x:c r="D30" s="1"/>
      <x:c r="E30" s="1"/>
      <x:c r="F30" s="1"/>
      <x:c r="G30" s="10" t="s">
        <x:v>32</x:v>
      </x:c>
      <x:c r="H30" s="3"/>
      <x:c r="I30" s="100" t="s">
        <x:v>33</x:v>
      </x:c>
      <x:c r="J30" s="100"/>
      <x:c r="K30" s="100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10"/>
      <x:c r="W30" s="3"/>
      <x:c r="X30" s="10"/>
      <x:c r="Y30" s="10"/>
      <x:c r="Z30" s="12" t="s">
        <x:v>34</x:v>
      </x:c>
      <x:c r="AA30" s="6"/>
    </x:row>
    <x:row r="31" spans="1:29" ht="15.5" x14ac:dyDescent="0.35">
      <x:c r="A31" s="39">
        <x:f t="shared" si="5"/>
        <x:v>16</x:v>
      </x:c>
      <x:c r="B31" s="11"/>
      <x:c r="C31" s="11" t="s">
        <x:v>1</x:v>
      </x:c>
      <x:c r="D31" s="11"/>
      <x:c r="E31" s="11" t="s">
        <x:v>2</x:v>
      </x:c>
      <x:c r="F31" s="1"/>
      <x:c r="G31" s="12" t="s">
        <x:v>14</x:v>
      </x:c>
      <x:c r="H31" s="12"/>
      <x:c r="I31" s="13" t="s">
        <x:v>56</x:v>
      </x:c>
      <x:c r="J31" s="12"/>
      <x:c r="K31" s="13" t="s">
        <x:v>57</x:v>
      </x:c>
      <x:c r="L31" s="12"/>
      <x:c r="M31" s="12" t="s">
        <x:v>21</x:v>
      </x:c>
      <x:c r="N31" s="12"/>
      <x:c r="O31" s="12" t="s">
        <x:v>4</x:v>
      </x:c>
      <x:c r="P31" s="13" t="s">
        <x:v>35</x:v>
      </x:c>
      <x:c r="Q31" s="14"/>
      <x:c r="R31" s="14" t="s">
        <x:v>36</x:v>
      </x:c>
      <x:c r="S31" s="14"/>
      <x:c r="T31" s="14" t="s">
        <x:v>37</x:v>
      </x:c>
      <x:c r="U31" s="14"/>
      <x:c r="V31" s="13" t="s">
        <x:v>5</x:v>
      </x:c>
      <x:c r="W31" s="14"/>
      <x:c r="X31" s="12" t="s">
        <x:v>38</x:v>
      </x:c>
      <x:c r="Y31" s="12"/>
      <x:c r="Z31" s="12" t="s">
        <x:v>9</x:v>
      </x:c>
      <x:c r="AA31" s="12"/>
    </x:row>
    <x:row r="32" spans="1:29" ht="15.5" x14ac:dyDescent="0.35">
      <x:c r="A32" s="39">
        <x:f t="shared" si="5"/>
        <x:v>17</x:v>
      </x:c>
      <x:c r="B32" s="1"/>
      <x:c r="C32" s="1"/>
      <x:c r="D32" s="1"/>
      <x:c r="E32" s="1"/>
      <x:c r="F32" s="1"/>
      <x:c r="G32" s="16" t="s">
        <x:v>63</x:v>
      </x:c>
      <x:c r="H32" s="15"/>
      <x:c r="I32" s="16" t="s">
        <x:v>64</x:v>
      </x:c>
      <x:c r="J32" s="15"/>
      <x:c r="K32" s="16" t="s">
        <x:v>65</x:v>
      </x:c>
      <x:c r="L32" s="15"/>
      <x:c r="M32" s="16" t="s">
        <x:v>66</x:v>
      </x:c>
      <x:c r="N32" s="15"/>
      <x:c r="O32" s="15"/>
      <x:c r="P32" s="15" t="s">
        <x:v>67</x:v>
      </x:c>
      <x:c r="Q32" s="15"/>
      <x:c r="R32" s="16" t="s">
        <x:v>68</x:v>
      </x:c>
      <x:c r="S32" s="15"/>
      <x:c r="T32" s="16" t="s">
        <x:v>69</x:v>
      </x:c>
      <x:c r="U32" s="15"/>
      <x:c r="V32" s="15"/>
      <x:c r="W32" s="15"/>
      <x:c r="X32" s="16" t="s">
        <x:v>109</x:v>
      </x:c>
      <x:c r="Y32" s="15"/>
      <x:c r="Z32" s="16" t="s">
        <x:v>110</x:v>
      </x:c>
      <x:c r="AA32" s="15"/>
    </x:row>
    <x:row r="33" spans="1:29" ht="15.5" x14ac:dyDescent="0.35">
      <x:c r="A33" s="39">
        <x:f t="shared" si="5"/>
        <x:v>18</x:v>
      </x:c>
      <x:c r="B33" s="1"/>
      <x:c r="C33" s="1"/>
      <x:c r="D33" s="1"/>
      <x:c r="E33" s="1"/>
      <x:c r="F33" s="1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</x:row>
    <x:row r="34" spans="1:29" ht="15.5" x14ac:dyDescent="0.35">
      <x:c r="A34" s="39">
        <x:f t="shared" si="5"/>
        <x:v>19</x:v>
      </x:c>
      <x:c r="B34" s="1"/>
      <x:c r="C34" s="18">
        <x:f t="shared" ref="C34:C45" si="9">+C16</x:f>
        <x:v>2024</x:v>
      </x:c>
      <x:c r="D34" s="1"/>
      <x:c r="E34" s="19">
        <x:f>+E16</x:f>
        <x:v>1</x:v>
      </x:c>
      <x:c r="G34" s="44">
        <x:f>+'[2]RES Model'!$C$17</x:f>
        <x:v>1.9390000000000001</x:v>
      </x:c>
      <x:c r="H34" s="27"/>
      <x:c r="I34" s="70">
        <x:v>0.99</x:v>
      </x:c>
      <x:c r="J34" s="75"/>
      <x:c r="K34" s="70">
        <x:v>1.04</x:v>
      </x:c>
      <x:c r="L34" s="27"/>
      <x:c r="M34" s="27">
        <x:f t="shared" ref="M34:M39" si="10">M16</x:f>
        <x:v>3396604</x:v>
      </x:c>
      <x:c r="N34" s="27"/>
      <x:c r="O34" s="29"/>
      <x:c r="P34" s="20">
        <x:f t="shared" ref="P34:P39" si="11">PRODUCT(G34,I34,K34,M34)/1000</x:f>
        <x:v>6780.9612046175998</x:v>
      </x:c>
      <x:c r="Q34" s="28"/>
      <x:c r="R34" s="43">
        <x:f>+[3]RES!C13</x:f>
        <x:v>192.04714102833336</x:v>
      </x:c>
      <x:c r="S34" s="20">
        <x:f t="shared" ref="S34:S45" si="12">S16</x:f>
        <x:v>0</x:v>
      </x:c>
      <x:c r="T34" s="43">
        <x:f>+[3]RES!E13</x:f>
        <x:v>213.47102380845581</x:v>
      </x:c>
      <x:c r="U34" s="28"/>
      <x:c r="V34" s="28"/>
      <x:c r="W34" s="28"/>
      <x:c r="X34" s="43">
        <x:f t="shared" ref="X34:X39" si="13">+T34-R34</x:f>
        <x:v>21.423882780122455</x:v>
      </x:c>
      <x:c r="Y34" s="28"/>
      <x:c r="Z34" s="20">
        <x:f>+P34*X34</x:f>
        <x:v>145274.51798428543</x:v>
      </x:c>
      <x:c r="AA34" s="28"/>
    </x:row>
    <x:row r="35" spans="1:29" ht="15.5" x14ac:dyDescent="0.35">
      <x:c r="A35" s="39">
        <x:f t="shared" si="5"/>
        <x:v>20</x:v>
      </x:c>
      <x:c r="B35" s="1"/>
      <x:c r="C35" s="18">
        <x:f t="shared" si="9"/>
        <x:v>2024</x:v>
      </x:c>
      <x:c r="D35" s="1"/>
      <x:c r="E35" s="19">
        <x:f t="shared" ref="E35:E45" si="14">+E17</x:f>
        <x:v>2</x:v>
      </x:c>
      <x:c r="G35" s="43">
        <x:f>+G34</x:f>
        <x:v>1.9390000000000001</x:v>
      </x:c>
      <x:c r="H35" s="27"/>
      <x:c r="I35" s="70">
        <x:v>0.99</x:v>
      </x:c>
      <x:c r="J35" s="75"/>
      <x:c r="K35" s="70">
        <x:v>1.04</x:v>
      </x:c>
      <x:c r="L35" s="27"/>
      <x:c r="M35" s="27">
        <x:f t="shared" si="10"/>
        <x:v>3401024</x:v>
      </x:c>
      <x:c r="N35" s="27"/>
      <x:c r="O35" s="29"/>
      <x:c r="P35" s="20">
        <x:f t="shared" si="11"/>
        <x:v>6789.7852678656</x:v>
      </x:c>
      <x:c r="Q35" s="28"/>
      <x:c r="R35" s="43">
        <x:f>+[3]RES!C14</x:f>
        <x:v>260.83933380804763</x:v>
      </x:c>
      <x:c r="S35" s="20">
        <x:f t="shared" si="12"/>
        <x:v>0</x:v>
      </x:c>
      <x:c r="T35" s="43">
        <x:f>+[3]RES!E14</x:f>
        <x:v>221.39090221158963</x:v>
      </x:c>
      <x:c r="U35" s="28"/>
      <x:c r="V35" s="28"/>
      <x:c r="W35" s="28"/>
      <x:c r="X35" s="43">
        <x:f>+T35-R35</x:f>
        <x:v>-39.448431596457993</x:v>
      </x:c>
      <x:c r="Y35" s="28"/>
      <x:c r="Z35" s="20">
        <x:f t="shared" ref="Z35:Z45" si="15">+P35*X35</x:f>
        <x:v>-267846.37969403435</x:v>
      </x:c>
      <x:c r="AA35" s="28"/>
      <x:c r="AB35" s="85"/>
      <x:c r="AC35" s="85"/>
    </x:row>
    <x:row r="36" spans="1:29" ht="15.5" x14ac:dyDescent="0.35">
      <x:c r="A36" s="39">
        <x:f t="shared" si="5"/>
        <x:v>21</x:v>
      </x:c>
      <x:c r="B36" s="1"/>
      <x:c r="C36" s="18">
        <x:f t="shared" si="9"/>
        <x:v>2024</x:v>
      </x:c>
      <x:c r="D36" s="1"/>
      <x:c r="E36" s="19">
        <x:f t="shared" si="14"/>
        <x:v>3</x:v>
      </x:c>
      <x:c r="G36" s="43">
        <x:f t="shared" ref="G36:G45" si="16">+G35</x:f>
        <x:v>1.9390000000000001</x:v>
      </x:c>
      <x:c r="H36" s="27"/>
      <x:c r="I36" s="70">
        <x:v>0.99</x:v>
      </x:c>
      <x:c r="J36" s="75"/>
      <x:c r="K36" s="70">
        <x:v>1.05</x:v>
      </x:c>
      <x:c r="L36" s="27"/>
      <x:c r="M36" s="27">
        <x:f t="shared" si="10"/>
        <x:v>3407140</x:v>
      </x:c>
      <x:c r="N36" s="27"/>
      <x:c r="O36" s="29"/>
      <x:c r="P36" s="20">
        <x:f>PRODUCT(G36,I36,K36,M36)/1000</x:f>
        <x:v>6867.3990161700003</x:v>
      </x:c>
      <x:c r="Q36" s="28"/>
      <x:c r="R36" s="43">
        <x:f>+[3]RES!C15</x:f>
        <x:v>65.576036338333324</x:v>
      </x:c>
      <x:c r="S36" s="20">
        <x:f t="shared" si="12"/>
        <x:v>0</x:v>
      </x:c>
      <x:c r="T36" s="43">
        <x:f>+[3]RES!E15</x:f>
        <x:v>149.60668225189107</x:v>
      </x:c>
      <x:c r="U36" s="28"/>
      <x:c r="V36" s="28"/>
      <x:c r="W36" s="28"/>
      <x:c r="X36" s="43">
        <x:f t="shared" si="13"/>
        <x:v>84.030645913557748</x:v>
      </x:c>
      <x:c r="Y36" s="28"/>
      <x:c r="Z36" s="20">
        <x:f t="shared" si="15"/>
        <x:v>577071.97507489612</x:v>
      </x:c>
      <x:c r="AA36" s="28"/>
      <x:c r="AB36" s="85"/>
      <x:c r="AC36" s="85"/>
    </x:row>
    <x:row r="37" spans="1:29" ht="15.5" x14ac:dyDescent="0.35">
      <x:c r="A37" s="39">
        <x:f t="shared" si="5"/>
        <x:v>22</x:v>
      </x:c>
      <x:c r="B37" s="1"/>
      <x:c r="C37" s="18">
        <x:f t="shared" si="9"/>
        <x:v>2024</x:v>
      </x:c>
      <x:c r="D37" s="1"/>
      <x:c r="E37" s="19">
        <x:f t="shared" si="14"/>
        <x:v>4</x:v>
      </x:c>
      <x:c r="G37" s="43">
        <x:f t="shared" si="16"/>
        <x:v>1.9390000000000001</x:v>
      </x:c>
      <x:c r="H37" s="27"/>
      <x:c r="I37" s="70">
        <x:v>0.99</x:v>
      </x:c>
      <x:c r="J37" s="75"/>
      <x:c r="K37" s="70">
        <x:v>1.04</x:v>
      </x:c>
      <x:c r="L37" s="27"/>
      <x:c r="M37" s="27">
        <x:f t="shared" si="10"/>
        <x:v>3413927</x:v>
      </x:c>
      <x:c r="N37" s="27"/>
      <x:c r="O37" s="29"/>
      <x:c r="P37" s="20">
        <x:f t="shared" si="11"/>
        <x:v>6815.5447448087998</x:v>
      </x:c>
      <x:c r="Q37" s="28"/>
      <x:c r="R37" s="43">
        <x:f>+[3]RES!C16</x:f>
        <x:v>25.940125403904759</x:v>
      </x:c>
      <x:c r="S37" s="20">
        <x:f t="shared" si="12"/>
        <x:v>0</x:v>
      </x:c>
      <x:c r="T37" s="43">
        <x:f>+[3]RES!E16</x:f>
        <x:v>45.106131414919375</x:v>
      </x:c>
      <x:c r="U37" s="28"/>
      <x:c r="V37" s="28"/>
      <x:c r="W37" s="28"/>
      <x:c r="X37" s="43">
        <x:f t="shared" si="13"/>
        <x:v>19.166006011014616</x:v>
      </x:c>
      <x:c r="Y37" s="28"/>
      <x:c r="Z37" s="20">
        <x:f t="shared" si="15"/>
        <x:v>130626.77154734454</x:v>
      </x:c>
      <x:c r="AA37" s="28"/>
      <x:c r="AB37" s="85"/>
      <x:c r="AC37" s="85"/>
    </x:row>
    <x:row r="38" spans="1:29" ht="15.5" x14ac:dyDescent="0.35">
      <x:c r="A38" s="39">
        <x:f t="shared" si="5"/>
        <x:v>23</x:v>
      </x:c>
      <x:c r="B38" s="1"/>
      <x:c r="C38" s="18">
        <x:f t="shared" si="9"/>
        <x:v>2024</x:v>
      </x:c>
      <x:c r="D38" s="1"/>
      <x:c r="E38" s="19">
        <x:f t="shared" si="14"/>
        <x:v>5</x:v>
      </x:c>
      <x:c r="G38" s="43">
        <x:f t="shared" si="16"/>
        <x:v>1.9390000000000001</x:v>
      </x:c>
      <x:c r="H38" s="27"/>
      <x:c r="I38" s="70">
        <x:v>0.99</x:v>
      </x:c>
      <x:c r="J38" s="75"/>
      <x:c r="K38" s="70">
        <x:v>1.04</x:v>
      </x:c>
      <x:c r="L38" s="27"/>
      <x:c r="M38" s="27">
        <x:f t="shared" si="10"/>
        <x:v>3421241</x:v>
      </x:c>
      <x:c r="N38" s="27"/>
      <x:c r="O38" s="29"/>
      <x:c r="P38" s="20">
        <x:f t="shared" si="11"/>
        <x:v>6830.1463734504005</x:v>
      </x:c>
      <x:c r="Q38" s="28"/>
      <x:c r="R38" s="43">
        <x:f>+[3]RES!C17</x:f>
        <x:v>4.9216688563333317</x:v>
      </x:c>
      <x:c r="S38" s="20">
        <x:f t="shared" si="12"/>
        <x:v>0</x:v>
      </x:c>
      <x:c r="T38" s="43">
        <x:f>+[3]RES!E17</x:f>
        <x:v>10.403559387118754</x:v>
      </x:c>
      <x:c r="U38" s="28"/>
      <x:c r="V38" s="28"/>
      <x:c r="W38" s="28"/>
      <x:c r="X38" s="43">
        <x:f t="shared" si="13"/>
        <x:v>5.4818905307854227</x:v>
      </x:c>
      <x:c r="Y38" s="28"/>
      <x:c r="Z38" s="20">
        <x:f t="shared" si="15"/>
        <x:v>37442.114728496148</x:v>
      </x:c>
      <x:c r="AA38" s="28"/>
      <x:c r="AB38" s="85"/>
      <x:c r="AC38" s="85"/>
    </x:row>
    <x:row r="39" spans="1:29" ht="15.5" x14ac:dyDescent="0.35">
      <x:c r="A39" s="39">
        <x:f t="shared" si="5"/>
        <x:v>24</x:v>
      </x:c>
      <x:c r="B39" s="1"/>
      <x:c r="C39" s="18">
        <x:f t="shared" si="9"/>
        <x:v>2024</x:v>
      </x:c>
      <x:c r="D39" s="1"/>
      <x:c r="E39" s="19">
        <x:f t="shared" si="14"/>
        <x:v>6</x:v>
      </x:c>
      <x:c r="G39" s="43">
        <x:f t="shared" si="16"/>
        <x:v>1.9390000000000001</x:v>
      </x:c>
      <x:c r="H39" s="30"/>
      <x:c r="I39" s="70">
        <x:v>0.99</x:v>
      </x:c>
      <x:c r="J39" s="75"/>
      <x:c r="K39" s="70">
        <x:v>1.04</x:v>
      </x:c>
      <x:c r="L39" s="30"/>
      <x:c r="M39" s="30">
        <x:f t="shared" si="10"/>
        <x:v>3425884</x:v>
      </x:c>
      <x:c r="N39" s="30"/>
      <x:c r="O39" s="31"/>
      <x:c r="P39" s="59">
        <x:f t="shared" si="11"/>
        <x:v>6839.4156326496004</x:v>
      </x:c>
      <x:c r="Q39" s="51"/>
      <x:c r="R39" s="43">
        <x:f>+[3]RES!C18</x:f>
        <x:v>5.8687520000000005E-3</x:v>
      </x:c>
      <x:c r="S39" s="20">
        <x:f t="shared" si="12"/>
        <x:v>0</x:v>
      </x:c>
      <x:c r="T39" s="43">
        <x:f>+[3]RES!E18</x:f>
        <x:v>1.0969640523715374</x:v>
      </x:c>
      <x:c r="U39" s="28"/>
      <x:c r="V39" s="28"/>
      <x:c r="W39" s="28"/>
      <x:c r="X39" s="43">
        <x:f t="shared" si="13"/>
        <x:v>1.0910953003715373</x:v>
      </x:c>
      <x:c r="Y39" s="28"/>
      <x:c r="Z39" s="20">
        <x:f t="shared" si="15"/>
        <x:v>7462.4542540716038</x:v>
      </x:c>
      <x:c r="AA39" s="28"/>
      <x:c r="AB39" s="85"/>
      <x:c r="AC39" s="85"/>
    </x:row>
    <x:row r="40" spans="1:29" ht="15.5" x14ac:dyDescent="0.35">
      <x:c r="A40" s="39">
        <x:f t="shared" si="5"/>
        <x:v>25</x:v>
      </x:c>
      <x:c r="B40" s="1"/>
      <x:c r="C40" s="18">
        <x:f t="shared" si="9"/>
        <x:v>2024</x:v>
      </x:c>
      <x:c r="D40" s="1"/>
      <x:c r="E40" s="19">
        <x:f t="shared" si="14"/>
        <x:v>7</x:v>
      </x:c>
      <x:c r="F40" s="23"/>
      <x:c r="G40" s="43">
        <x:f t="shared" si="16"/>
        <x:v>1.9390000000000001</x:v>
      </x:c>
      <x:c r="H40" s="28"/>
      <x:c r="I40" s="70">
        <x:v>0.99</x:v>
      </x:c>
      <x:c r="J40" s="75"/>
      <x:c r="K40" s="70">
        <x:v>1.05</x:v>
      </x:c>
      <x:c r="L40" s="28"/>
      <x:c r="M40" s="27">
        <x:f t="shared" ref="M40:M45" si="17">M22</x:f>
        <x:v>3432967</x:v>
      </x:c>
      <x:c r="N40" s="3"/>
      <x:c r="O40" s="3"/>
      <x:c r="P40" s="20">
        <x:f t="shared" ref="P40:P45" si="18">PRODUCT(G40,I40,K40,M40)/1000</x:f>
        <x:v>6919.4556720134997</x:v>
      </x:c>
      <x:c r="Q40" s="3"/>
      <x:c r="R40" s="43">
        <x:f>+[3]RES!C19</x:f>
        <x:v>0</x:v>
      </x:c>
      <x:c r="S40" s="20">
        <x:f t="shared" si="12"/>
        <x:v>0</x:v>
      </x:c>
      <x:c r="T40" s="43">
        <x:f>+[3]RES!E19</x:f>
        <x:v>8.7872203653353732E-3</x:v>
      </x:c>
      <x:c r="U40" s="3"/>
      <x:c r="V40" s="3"/>
      <x:c r="W40" s="3"/>
      <x:c r="X40" s="43">
        <x:f t="shared" ref="X40:X45" si="19">+T40-R40</x:f>
        <x:v>8.7872203653353732E-3</x:v>
      </x:c>
      <x:c r="Y40" s="3"/>
      <x:c r="Z40" s="20">
        <x:f t="shared" si="15"/>
        <x:v>60.802781798152388</x:v>
      </x:c>
      <x:c r="AA40" s="3"/>
      <x:c r="AB40" s="85"/>
      <x:c r="AC40" s="85"/>
    </x:row>
    <x:row r="41" spans="1:29" ht="15.5" x14ac:dyDescent="0.35">
      <x:c r="A41" s="39">
        <x:f t="shared" si="5"/>
        <x:v>26</x:v>
      </x:c>
      <x:c r="B41" s="1"/>
      <x:c r="C41" s="18">
        <x:f t="shared" si="9"/>
        <x:v>2024</x:v>
      </x:c>
      <x:c r="D41" s="1"/>
      <x:c r="E41" s="19">
        <x:f t="shared" si="14"/>
        <x:v>8</x:v>
      </x:c>
      <x:c r="G41" s="43">
        <x:f t="shared" si="16"/>
        <x:v>1.9390000000000001</x:v>
      </x:c>
      <x:c r="H41" s="27"/>
      <x:c r="I41" s="70">
        <x:v>0.99</x:v>
      </x:c>
      <x:c r="J41" s="75"/>
      <x:c r="K41" s="70">
        <x:v>1.06</x:v>
      </x:c>
      <x:c r="L41" s="27"/>
      <x:c r="M41" s="27">
        <x:f t="shared" si="17"/>
        <x:v>3439507</x:v>
      </x:c>
      <x:c r="N41" s="27"/>
      <x:c r="O41" s="29"/>
      <x:c r="P41" s="20">
        <x:f t="shared" si="18"/>
        <x:v>6998.6627542062015</x:v>
      </x:c>
      <x:c r="Q41" s="3"/>
      <x:c r="R41" s="43">
        <x:f>+[3]RES!C20</x:f>
        <x:v>0</x:v>
      </x:c>
      <x:c r="S41" s="20">
        <x:f t="shared" si="12"/>
        <x:v>0</x:v>
      </x:c>
      <x:c r="T41" s="43">
        <x:f>+[3]RES!E20</x:f>
        <x:v>3.3797378853046584E-4</x:v>
      </x:c>
      <x:c r="U41" s="3"/>
      <x:c r="V41" s="3"/>
      <x:c r="W41" s="3"/>
      <x:c r="X41" s="43">
        <x:f t="shared" si="19"/>
        <x:v>3.3797378853046584E-4</x:v>
      </x:c>
      <x:c r="Y41" s="3"/>
      <x:c r="Z41" s="20">
        <x:f t="shared" si="15"/>
        <x:v>2.3653645656861344</x:v>
      </x:c>
      <x:c r="AA41" s="3"/>
      <x:c r="AB41" s="85"/>
      <x:c r="AC41" s="85"/>
    </x:row>
    <x:row r="42" spans="1:29" ht="15.5" x14ac:dyDescent="0.35">
      <x:c r="A42" s="39">
        <x:f t="shared" si="5"/>
        <x:v>27</x:v>
      </x:c>
      <x:c r="B42" s="1"/>
      <x:c r="C42" s="18">
        <x:f t="shared" si="9"/>
        <x:v>2024</x:v>
      </x:c>
      <x:c r="D42" s="1"/>
      <x:c r="E42" s="19">
        <x:f t="shared" si="14"/>
        <x:v>9</x:v>
      </x:c>
      <x:c r="G42" s="43">
        <x:f t="shared" si="16"/>
        <x:v>1.9390000000000001</x:v>
      </x:c>
      <x:c r="H42" s="27"/>
      <x:c r="I42" s="70">
        <x:v>0.99</x:v>
      </x:c>
      <x:c r="J42" s="75"/>
      <x:c r="K42" s="70">
        <x:v>1.05</x:v>
      </x:c>
      <x:c r="L42" s="27"/>
      <x:c r="M42" s="27">
        <x:f t="shared" si="17"/>
        <x:v>3444509</x:v>
      </x:c>
      <x:c r="N42" s="27"/>
      <x:c r="O42" s="29"/>
      <x:c r="P42" s="20">
        <x:f t="shared" si="18"/>
        <x:v>6942.7196175645004</x:v>
      </x:c>
      <x:c r="Q42" s="3"/>
      <x:c r="R42" s="43">
        <x:f>+[3]RES!C21</x:f>
        <x:v>0</x:v>
      </x:c>
      <x:c r="S42" s="20">
        <x:f t="shared" si="12"/>
        <x:v>0</x:v>
      </x:c>
      <x:c r="T42" s="43">
        <x:f>+[3]RES!E21</x:f>
        <x:v>3.5522033608371743E-2</x:v>
      </x:c>
      <x:c r="U42" s="3"/>
      <x:c r="V42" s="3"/>
      <x:c r="W42" s="3"/>
      <x:c r="X42" s="43">
        <x:f t="shared" si="19"/>
        <x:v>3.5522033608371743E-2</x:v>
      </x:c>
      <x:c r="Y42" s="3"/>
      <x:c r="Z42" s="20">
        <x:f t="shared" si="15"/>
        <x:v>246.61951958862801</x:v>
      </x:c>
      <x:c r="AA42" s="3"/>
      <x:c r="AB42" s="85"/>
      <x:c r="AC42" s="85"/>
    </x:row>
    <x:row r="43" spans="1:29" ht="15.5" x14ac:dyDescent="0.35">
      <x:c r="A43" s="39">
        <x:f t="shared" si="5"/>
        <x:v>28</x:v>
      </x:c>
      <x:c r="B43" s="1"/>
      <x:c r="C43" s="18">
        <x:f t="shared" si="9"/>
        <x:v>2024</x:v>
      </x:c>
      <x:c r="D43" s="1"/>
      <x:c r="E43" s="19">
        <x:f t="shared" si="14"/>
        <x:v>10</x:v>
      </x:c>
      <x:c r="G43" s="43">
        <x:f t="shared" si="16"/>
        <x:v>1.9390000000000001</x:v>
      </x:c>
      <x:c r="H43" s="27"/>
      <x:c r="I43" s="70">
        <x:v>0.99</x:v>
      </x:c>
      <x:c r="J43" s="75"/>
      <x:c r="K43" s="70">
        <x:v>1.05</x:v>
      </x:c>
      <x:c r="L43" s="27"/>
      <x:c r="M43" s="27">
        <x:f t="shared" si="17"/>
        <x:v>3450481</x:v>
      </x:c>
      <x:c r="N43" s="27"/>
      <x:c r="O43" s="29"/>
      <x:c r="P43" s="20">
        <x:f t="shared" si="18"/>
        <x:v>6954.7567240305007</x:v>
      </x:c>
      <x:c r="Q43" s="3"/>
      <x:c r="R43" s="43">
        <x:f>+[3]RES!C22</x:f>
        <x:v>0.16908012819047613</x:v>
      </x:c>
      <x:c r="S43" s="20">
        <x:f t="shared" si="12"/>
        <x:v>0</x:v>
      </x:c>
      <x:c r="T43" s="43">
        <x:f>+[3]RES!E22</x:f>
        <x:v>1.9478264295708587</x:v>
      </x:c>
      <x:c r="U43" s="3"/>
      <x:c r="V43" s="3"/>
      <x:c r="W43" s="3"/>
      <x:c r="X43" s="43">
        <x:f t="shared" si="19"/>
        <x:v>1.7787463013803826</x:v>
      </x:c>
      <x:c r="Y43" s="3"/>
      <x:c r="Z43" s="20">
        <x:f t="shared" si="15"/>
        <x:v>12370.747799869599</x:v>
      </x:c>
      <x:c r="AA43" s="3"/>
      <x:c r="AB43" s="85"/>
      <x:c r="AC43" s="85"/>
    </x:row>
    <x:row r="44" spans="1:29" ht="15.5" x14ac:dyDescent="0.35">
      <x:c r="A44" s="39">
        <x:f t="shared" si="5"/>
        <x:v>29</x:v>
      </x:c>
      <x:c r="B44" s="1"/>
      <x:c r="C44" s="18">
        <x:f t="shared" si="9"/>
        <x:v>2024</x:v>
      </x:c>
      <x:c r="D44" s="1"/>
      <x:c r="E44" s="19">
        <x:f t="shared" si="14"/>
        <x:v>11</x:v>
      </x:c>
      <x:c r="G44" s="43">
        <x:f t="shared" si="16"/>
        <x:v>1.9390000000000001</x:v>
      </x:c>
      <x:c r="H44" s="27"/>
      <x:c r="I44" s="70">
        <x:v>0.99</x:v>
      </x:c>
      <x:c r="J44" s="75"/>
      <x:c r="K44" s="70">
        <x:v>1.04</x:v>
      </x:c>
      <x:c r="L44" s="27"/>
      <x:c r="M44" s="27">
        <x:f t="shared" si="17"/>
        <x:v>3456155</x:v>
      </x:c>
      <x:c r="N44" s="27"/>
      <x:c r="O44" s="29"/>
      <x:c r="P44" s="20">
        <x:f t="shared" si="18"/>
        <x:v>6899.848487532</x:v>
      </x:c>
      <x:c r="Q44" s="28"/>
      <x:c r="R44" s="43">
        <x:f>+[3]RES!C23</x:f>
        <x:v>2.4301901530952374</x:v>
      </x:c>
      <x:c r="S44" s="20">
        <x:f t="shared" si="12"/>
        <x:v>0</x:v>
      </x:c>
      <x:c r="T44" s="43">
        <x:f>+[3]RES!E23</x:f>
        <x:v>27.452625671155264</x:v>
      </x:c>
      <x:c r="U44" s="28"/>
      <x:c r="V44" s="28"/>
      <x:c r="W44" s="28"/>
      <x:c r="X44" s="43">
        <x:f t="shared" si="19"/>
        <x:v>25.022435518060028</x:v>
      </x:c>
      <x:c r="Y44" s="28"/>
      <x:c r="Z44" s="20">
        <x:f t="shared" si="15"/>
        <x:v>172651.0138636535</x:v>
      </x:c>
      <x:c r="AA44" s="28"/>
      <x:c r="AB44" s="85"/>
      <x:c r="AC44" s="85"/>
    </x:row>
    <x:row r="45" spans="1:29" ht="15.5" x14ac:dyDescent="0.35">
      <x:c r="A45" s="39">
        <x:f t="shared" si="5"/>
        <x:v>30</x:v>
      </x:c>
      <x:c r="B45" s="1"/>
      <x:c r="C45" s="18">
        <x:f t="shared" si="9"/>
        <x:v>2024</x:v>
      </x:c>
      <x:c r="D45" s="1"/>
      <x:c r="E45" s="19">
        <x:f t="shared" si="14"/>
        <x:v>12</x:v>
      </x:c>
      <x:c r="G45" s="43">
        <x:f t="shared" si="16"/>
        <x:v>1.9390000000000001</x:v>
      </x:c>
      <x:c r="H45" s="27"/>
      <x:c r="I45" s="70">
        <x:v>0.99</x:v>
      </x:c>
      <x:c r="J45" s="75"/>
      <x:c r="K45" s="70">
        <x:v>1.04</x:v>
      </x:c>
      <x:c r="L45" s="27"/>
      <x:c r="M45" s="27">
        <x:f t="shared" si="17"/>
        <x:v>3462111</x:v>
      </x:c>
      <x:c r="N45" s="27"/>
      <x:c r="O45" s="29"/>
      <x:c r="P45" s="20">
        <x:f t="shared" si="18"/>
        <x:v>6911.7390125783995</x:v>
      </x:c>
      <x:c r="Q45" s="28"/>
      <x:c r="R45" s="43">
        <x:f>+[3]RES!C24</x:f>
        <x:v>68.297777330571421</x:v>
      </x:c>
      <x:c r="S45" s="20">
        <x:f t="shared" si="12"/>
        <x:v>0</x:v>
      </x:c>
      <x:c r="T45" s="43">
        <x:f>+[3]RES!E24</x:f>
        <x:v>111.0177568484379</x:v>
      </x:c>
      <x:c r="U45" s="28"/>
      <x:c r="V45" s="28"/>
      <x:c r="W45" s="28"/>
      <x:c r="X45" s="66">
        <x:f t="shared" si="19"/>
        <x:v>42.719979517866477</x:v>
      </x:c>
      <x:c r="Y45" s="28"/>
      <x:c r="Z45" s="20">
        <x:f t="shared" si="15"/>
        <x:v>295269.34905018791</x:v>
      </x:c>
      <x:c r="AA45" s="28"/>
      <x:c r="AB45" s="85"/>
      <x:c r="AC45" s="85"/>
    </x:row>
    <x:row r="46" spans="1:29" ht="15.5" x14ac:dyDescent="0.35">
      <x:c r="A46" s="39">
        <x:f t="shared" si="5"/>
        <x:v>31</x:v>
      </x:c>
      <x:c r="B46" s="1"/>
      <x:c r="C46" s="1" t="s">
        <x:v>8</x:v>
      </x:c>
      <x:c r="D46" s="1"/>
      <x:c r="E46" s="19"/>
      <x:c r="G46" s="72"/>
      <x:c r="H46" s="72"/>
      <x:c r="I46" s="72"/>
      <x:c r="J46" s="72"/>
      <x:c r="K46" s="72"/>
      <x:c r="L46" s="72"/>
      <x:c r="M46" s="72"/>
      <x:c r="N46" s="72"/>
      <x:c r="O46" s="73"/>
      <x:c r="P46" s="72"/>
      <x:c r="Q46" s="74"/>
      <x:c r="R46" s="22">
        <x:f>SUM(R34:R45)</x:f>
        <x:v>620.22722179880952</x:v>
      </x:c>
      <x:c r="S46" s="22"/>
      <x:c r="T46" s="22">
        <x:f>SUM(T34:T45)</x:f>
        <x:v>781.53811930327242</x:v>
      </x:c>
      <x:c r="U46" s="22"/>
      <x:c r="V46" s="22">
        <x:f>SUM(V40:V45)</x:f>
        <x:v>0</x:v>
      </x:c>
      <x:c r="W46" s="22"/>
      <x:c r="X46" s="43">
        <x:f>+T46-R46</x:f>
        <x:v>161.3108975044629</x:v>
      </x:c>
      <x:c r="Y46" s="14"/>
      <x:c r="Z46" s="22">
        <x:f>SUM(Z34:Z45)</x:f>
        <x:v>1110632.3522747231</x:v>
      </x:c>
      <x:c r="AA46" s="28"/>
    </x:row>
    <x:row r="47" spans="1:29" ht="15.5" x14ac:dyDescent="0.35">
      <x:c r="A47" s="39">
        <x:f t="shared" si="5"/>
        <x:v>32</x:v>
      </x:c>
      <x:c r="B47" s="4"/>
      <x:c r="C47" s="24"/>
      <x:c r="D47" s="4"/>
      <x:c r="E47" s="25"/>
      <x:c r="F47" s="8"/>
      <x:c r="G47" s="32"/>
      <x:c r="H47" s="33"/>
      <x:c r="I47" s="32"/>
      <x:c r="J47" s="33"/>
      <x:c r="K47" s="32"/>
      <x:c r="L47" s="33"/>
      <x:c r="M47" s="32"/>
      <x:c r="N47" s="33"/>
      <x:c r="O47" s="34"/>
      <x:c r="P47" s="32"/>
      <x:c r="Q47" s="35"/>
      <x:c r="R47" s="32"/>
      <x:c r="S47" s="35"/>
      <x:c r="T47" s="32"/>
      <x:c r="U47" s="35"/>
      <x:c r="V47" s="35"/>
      <x:c r="W47" s="35"/>
      <x:c r="X47" s="32"/>
      <x:c r="Y47" s="35"/>
      <x:c r="Z47" s="36"/>
      <x:c r="AA47" s="35"/>
    </x:row>
    <x:row r="48" spans="1:29" ht="15.5" x14ac:dyDescent="0.35">
      <x:c r="A48" s="39">
        <x:f t="shared" si="5"/>
        <x:v>33</x:v>
      </x:c>
      <x:c r="B48" s="1"/>
      <x:c r="C48" s="21"/>
      <x:c r="D48" s="1"/>
      <x:c r="E48" s="19"/>
      <x:c r="G48" s="30"/>
      <x:c r="H48" s="27"/>
      <x:c r="I48" s="30"/>
      <x:c r="J48" s="27"/>
      <x:c r="K48" s="30"/>
      <x:c r="L48" s="27"/>
      <x:c r="M48" s="30"/>
      <x:c r="N48" s="27"/>
      <x:c r="O48" s="29"/>
      <x:c r="P48" s="30"/>
      <x:c r="Q48" s="28"/>
      <x:c r="R48" s="30"/>
      <x:c r="S48" s="28"/>
      <x:c r="T48" s="30"/>
      <x:c r="U48" s="28"/>
      <x:c r="V48" s="28"/>
      <x:c r="W48" s="28"/>
      <x:c r="X48" s="30"/>
      <x:c r="Y48" s="28"/>
      <x:c r="Z48" s="31"/>
      <x:c r="AA48" s="28"/>
    </x:row>
    <x:row r="49" spans="1:27" ht="15.5" x14ac:dyDescent="0.35">
      <x:c r="A49" s="39">
        <x:f t="shared" si="5"/>
        <x:v>34</x:v>
      </x:c>
      <x:c r="B49" s="11"/>
      <x:c r="C49" s="11" t="s">
        <x:v>1</x:v>
      </x:c>
      <x:c r="D49" s="11"/>
      <x:c r="E49" s="11" t="s">
        <x:v>2</x:v>
      </x:c>
      <x:c r="F49" s="1"/>
      <x:c r="G49" s="12"/>
      <x:c r="H49" s="12"/>
      <x:c r="I49" s="13"/>
      <x:c r="J49" s="12"/>
      <x:c r="K49" s="13"/>
      <x:c r="L49" s="12"/>
      <x:c r="M49" s="12"/>
      <x:c r="N49" s="12"/>
      <x:c r="O49" s="12"/>
      <x:c r="P49" s="13"/>
      <x:c r="Q49" s="14"/>
      <x:c r="R49" s="14"/>
      <x:c r="S49" s="14"/>
      <x:c r="T49" s="14"/>
      <x:c r="U49" s="14"/>
      <x:c r="V49" s="13"/>
      <x:c r="W49" s="14"/>
      <x:c r="X49" s="12"/>
      <x:c r="Y49" s="12"/>
      <x:c r="Z49" s="12" t="s">
        <x:v>8</x:v>
      </x:c>
      <x:c r="AA49" s="12"/>
    </x:row>
    <x:row r="50" spans="1:27" ht="15.5" x14ac:dyDescent="0.35">
      <x:c r="A50" s="39">
        <x:f t="shared" si="5"/>
        <x:v>35</x:v>
      </x:c>
      <x:c r="B50" s="1"/>
      <x:c r="C50" s="26"/>
      <x:c r="D50" s="1"/>
      <x:c r="E50" s="26"/>
      <x:c r="F50" s="1"/>
      <x:c r="G50" s="15"/>
      <x:c r="H50" s="15"/>
      <x:c r="I50" s="16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6" t="s">
        <x:v>111</x:v>
      </x:c>
      <x:c r="AA50" s="15"/>
    </x:row>
    <x:row r="51" spans="1:27" ht="15.5" x14ac:dyDescent="0.35">
      <x:c r="A51" s="39">
        <x:f t="shared" si="5"/>
        <x:v>36</x:v>
      </x:c>
      <x:c r="C51" s="23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</x:row>
    <x:row r="52" spans="1:27" ht="15.5" x14ac:dyDescent="0.35">
      <x:c r="A52" s="39">
        <x:f t="shared" si="5"/>
        <x:v>37</x:v>
      </x:c>
      <x:c r="B52" s="1"/>
      <x:c r="C52" s="21">
        <x:f>+C34</x:f>
        <x:v>2024</x:v>
      </x:c>
      <x:c r="D52" s="1"/>
      <x:c r="E52" s="21">
        <x:f>+E34</x:f>
        <x:v>1</x:v>
      </x:c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8"/>
      <x:c r="R52" s="27"/>
      <x:c r="S52" s="28"/>
      <x:c r="T52" s="27"/>
      <x:c r="U52" s="28"/>
      <x:c r="V52" s="28"/>
      <x:c r="W52" s="28"/>
      <x:c r="X52" s="27"/>
      <x:c r="Y52" s="28"/>
      <x:c r="Z52" s="27">
        <x:f>+Z16+Z34</x:f>
        <x:v>157255.63867276793</x:v>
      </x:c>
      <x:c r="AA52" s="28"/>
    </x:row>
    <x:row r="53" spans="1:27" ht="15.5" x14ac:dyDescent="0.35">
      <x:c r="A53" s="39">
        <x:f t="shared" si="5"/>
        <x:v>38</x:v>
      </x:c>
      <x:c r="B53" s="1"/>
      <x:c r="C53" s="21">
        <x:f t="shared" ref="C53:C63" si="20">+C35</x:f>
        <x:v>2024</x:v>
      </x:c>
      <x:c r="D53" s="1"/>
      <x:c r="E53" s="21">
        <x:f t="shared" ref="E53:E63" si="21">+E35</x:f>
        <x:v>2</x:v>
      </x:c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8"/>
      <x:c r="R53" s="27"/>
      <x:c r="S53" s="28"/>
      <x:c r="T53" s="27"/>
      <x:c r="U53" s="28"/>
      <x:c r="V53" s="28"/>
      <x:c r="W53" s="28"/>
      <x:c r="X53" s="27"/>
      <x:c r="Y53" s="28"/>
      <x:c r="Z53" s="27">
        <x:f t="shared" ref="Z53:Z63" si="22">+Z17+Z35</x:f>
        <x:v>-258799.10178152614</x:v>
      </x:c>
      <x:c r="AA53" s="28"/>
    </x:row>
    <x:row r="54" spans="1:27" ht="15.5" x14ac:dyDescent="0.35">
      <x:c r="A54" s="39">
        <x:f t="shared" si="5"/>
        <x:v>39</x:v>
      </x:c>
      <x:c r="B54" s="1"/>
      <x:c r="C54" s="21">
        <x:f t="shared" si="20"/>
        <x:v>2024</x:v>
      </x:c>
      <x:c r="D54" s="1"/>
      <x:c r="E54" s="21">
        <x:f t="shared" si="21"/>
        <x:v>3</x:v>
      </x:c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8"/>
      <x:c r="R54" s="27"/>
      <x:c r="S54" s="28"/>
      <x:c r="T54" s="27"/>
      <x:c r="U54" s="28"/>
      <x:c r="V54" s="28"/>
      <x:c r="W54" s="28"/>
      <x:c r="X54" s="27"/>
      <x:c r="Y54" s="28"/>
      <x:c r="Z54" s="27">
        <x:f t="shared" si="22"/>
        <x:v>526756.94269028446</x:v>
      </x:c>
      <x:c r="AA54" s="28"/>
    </x:row>
    <x:row r="55" spans="1:27" ht="15.5" x14ac:dyDescent="0.35">
      <x:c r="A55" s="39">
        <x:f t="shared" si="5"/>
        <x:v>40</x:v>
      </x:c>
      <x:c r="B55" s="1"/>
      <x:c r="C55" s="21">
        <x:f t="shared" si="20"/>
        <x:v>2024</x:v>
      </x:c>
      <x:c r="D55" s="1"/>
      <x:c r="E55" s="21">
        <x:f t="shared" si="21"/>
        <x:v>4</x:v>
      </x:c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8"/>
      <x:c r="R55" s="27"/>
      <x:c r="S55" s="28"/>
      <x:c r="T55" s="27"/>
      <x:c r="U55" s="28"/>
      <x:c r="V55" s="28"/>
      <x:c r="W55" s="28"/>
      <x:c r="X55" s="27"/>
      <x:c r="Y55" s="28"/>
      <x:c r="Z55" s="27">
        <x:f t="shared" si="22"/>
        <x:v>142999.20988415965</x:v>
      </x:c>
      <x:c r="AA55" s="28"/>
    </x:row>
    <x:row r="56" spans="1:27" ht="15.5" x14ac:dyDescent="0.35">
      <x:c r="A56" s="39">
        <x:f t="shared" si="5"/>
        <x:v>41</x:v>
      </x:c>
      <x:c r="B56" s="1"/>
      <x:c r="C56" s="21">
        <x:f t="shared" si="20"/>
        <x:v>2024</x:v>
      </x:c>
      <x:c r="D56" s="1"/>
      <x:c r="E56" s="21">
        <x:f t="shared" si="21"/>
        <x:v>5</x:v>
      </x:c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8"/>
      <x:c r="R56" s="27"/>
      <x:c r="S56" s="28"/>
      <x:c r="T56" s="27"/>
      <x:c r="U56" s="28"/>
      <x:c r="V56" s="28"/>
      <x:c r="W56" s="28"/>
      <x:c r="X56" s="27"/>
      <x:c r="Y56" s="28"/>
      <x:c r="Z56" s="27">
        <x:f t="shared" si="22"/>
        <x:v>-60484.373209533442</x:v>
      </x:c>
      <x:c r="AA56" s="28"/>
    </x:row>
    <x:row r="57" spans="1:27" ht="15.5" x14ac:dyDescent="0.35">
      <x:c r="A57" s="39">
        <x:f t="shared" si="5"/>
        <x:v>42</x:v>
      </x:c>
      <x:c r="B57" s="1"/>
      <x:c r="C57" s="21">
        <x:f t="shared" si="20"/>
        <x:v>2024</x:v>
      </x:c>
      <x:c r="D57" s="1"/>
      <x:c r="E57" s="21">
        <x:f t="shared" si="21"/>
        <x:v>6</x:v>
      </x:c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51"/>
      <x:c r="R57" s="30"/>
      <x:c r="S57" s="51"/>
      <x:c r="T57" s="30"/>
      <x:c r="U57" s="51"/>
      <x:c r="V57" s="51"/>
      <x:c r="W57" s="51"/>
      <x:c r="X57" s="30"/>
      <x:c r="Y57" s="51"/>
      <x:c r="Z57" s="27">
        <x:f t="shared" si="22"/>
        <x:v>-136301.62607475792</x:v>
      </x:c>
      <x:c r="AA57" s="28"/>
    </x:row>
    <x:row r="58" spans="1:27" ht="15.5" x14ac:dyDescent="0.35">
      <x:c r="A58" s="39">
        <x:f t="shared" si="5"/>
        <x:v>43</x:v>
      </x:c>
      <x:c r="B58" s="1"/>
      <x:c r="C58" s="21">
        <x:f t="shared" si="20"/>
        <x:v>2024</x:v>
      </x:c>
      <x:c r="D58" s="1"/>
      <x:c r="E58" s="21">
        <x:f t="shared" si="21"/>
        <x:v>7</x:v>
      </x:c>
      <x:c r="G58" s="27"/>
      <x:c r="H58" s="28"/>
      <x:c r="I58" s="27"/>
      <x:c r="J58" s="28"/>
      <x:c r="K58" s="27"/>
      <x:c r="L58" s="28"/>
      <x:c r="M58" s="27"/>
      <x:c r="N58" s="28"/>
      <x:c r="O58" s="29"/>
      <x:c r="P58" s="27"/>
      <x:c r="Q58" s="28"/>
      <x:c r="R58" s="27"/>
      <x:c r="S58" s="28"/>
      <x:c r="T58" s="27"/>
      <x:c r="U58" s="28"/>
      <x:c r="V58" s="28"/>
      <x:c r="W58" s="28"/>
      <x:c r="X58" s="27"/>
      <x:c r="Y58" s="28"/>
      <x:c r="Z58" s="27">
        <x:f t="shared" si="22"/>
        <x:v>-228096.51677019947</x:v>
      </x:c>
      <x:c r="AA58" s="28"/>
    </x:row>
    <x:row r="59" spans="1:27" ht="15.5" x14ac:dyDescent="0.35">
      <x:c r="A59" s="39">
        <x:f t="shared" si="5"/>
        <x:v>44</x:v>
      </x:c>
      <x:c r="B59" s="1"/>
      <x:c r="C59" s="21">
        <x:f t="shared" si="20"/>
        <x:v>2024</x:v>
      </x:c>
      <x:c r="D59" s="1"/>
      <x:c r="E59" s="21">
        <x:f t="shared" si="21"/>
        <x:v>8</x:v>
      </x:c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8"/>
      <x:c r="R59" s="27"/>
      <x:c r="S59" s="28"/>
      <x:c r="T59" s="27"/>
      <x:c r="U59" s="28"/>
      <x:c r="V59" s="28"/>
      <x:c r="W59" s="28"/>
      <x:c r="X59" s="27"/>
      <x:c r="Y59" s="28"/>
      <x:c r="Z59" s="27">
        <x:f t="shared" si="22"/>
        <x:v>210444.5276750706</x:v>
      </x:c>
      <x:c r="AA59" s="28"/>
    </x:row>
    <x:row r="60" spans="1:27" ht="15.5" x14ac:dyDescent="0.35">
      <x:c r="A60" s="39">
        <x:f t="shared" si="5"/>
        <x:v>45</x:v>
      </x:c>
      <x:c r="B60" s="1"/>
      <x:c r="C60" s="21">
        <x:f t="shared" si="20"/>
        <x:v>2024</x:v>
      </x:c>
      <x:c r="D60" s="1"/>
      <x:c r="E60" s="21">
        <x:f t="shared" si="21"/>
        <x:v>9</x:v>
      </x:c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8"/>
      <x:c r="R60" s="27"/>
      <x:c r="S60" s="28"/>
      <x:c r="T60" s="27"/>
      <x:c r="U60" s="28"/>
      <x:c r="V60" s="28"/>
      <x:c r="W60" s="28"/>
      <x:c r="X60" s="27"/>
      <x:c r="Y60" s="28"/>
      <x:c r="Z60" s="27">
        <x:f t="shared" si="22"/>
        <x:v>-184698.08223986099</x:v>
      </x:c>
      <x:c r="AA60" s="28"/>
    </x:row>
    <x:row r="61" spans="1:27" ht="15.5" x14ac:dyDescent="0.35">
      <x:c r="A61" s="39">
        <x:f t="shared" si="5"/>
        <x:v>46</x:v>
      </x:c>
      <x:c r="B61" s="1"/>
      <x:c r="C61" s="21">
        <x:f t="shared" si="20"/>
        <x:v>2024</x:v>
      </x:c>
      <x:c r="D61" s="1"/>
      <x:c r="E61" s="21">
        <x:f t="shared" si="21"/>
        <x:v>10</x:v>
      </x:c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8"/>
      <x:c r="R61" s="27"/>
      <x:c r="S61" s="28"/>
      <x:c r="T61" s="27"/>
      <x:c r="U61" s="28"/>
      <x:c r="V61" s="28"/>
      <x:c r="W61" s="28"/>
      <x:c r="X61" s="27"/>
      <x:c r="Y61" s="28"/>
      <x:c r="Z61" s="27">
        <x:f t="shared" si="22"/>
        <x:v>-105185.78096304866</x:v>
      </x:c>
      <x:c r="AA61" s="28"/>
    </x:row>
    <x:row r="62" spans="1:27" ht="15.5" x14ac:dyDescent="0.35">
      <x:c r="A62" s="39">
        <x:f t="shared" si="5"/>
        <x:v>47</x:v>
      </x:c>
      <x:c r="B62" s="1"/>
      <x:c r="C62" s="21">
        <x:f t="shared" si="20"/>
        <x:v>2024</x:v>
      </x:c>
      <x:c r="D62" s="1"/>
      <x:c r="E62" s="21">
        <x:f t="shared" si="21"/>
        <x:v>11</x:v>
      </x:c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8"/>
      <x:c r="R62" s="27"/>
      <x:c r="S62" s="28"/>
      <x:c r="T62" s="27"/>
      <x:c r="U62" s="28"/>
      <x:c r="V62" s="28"/>
      <x:c r="W62" s="28"/>
      <x:c r="X62" s="27"/>
      <x:c r="Y62" s="28"/>
      <x:c r="Z62" s="27">
        <x:f t="shared" si="22"/>
        <x:v>-155731.21082303367</x:v>
      </x:c>
      <x:c r="AA62" s="28"/>
    </x:row>
    <x:row r="63" spans="1:27" ht="15.5" x14ac:dyDescent="0.35">
      <x:c r="A63" s="39">
        <x:f t="shared" si="5"/>
        <x:v>48</x:v>
      </x:c>
      <x:c r="B63" s="1"/>
      <x:c r="C63" s="21">
        <x:f t="shared" si="20"/>
        <x:v>2024</x:v>
      </x:c>
      <x:c r="D63" s="1"/>
      <x:c r="E63" s="21">
        <x:f t="shared" si="21"/>
        <x:v>12</x:v>
      </x:c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8"/>
      <x:c r="R63" s="27"/>
      <x:c r="S63" s="28"/>
      <x:c r="T63" s="27"/>
      <x:c r="U63" s="28"/>
      <x:c r="V63" s="28"/>
      <x:c r="W63" s="28"/>
      <x:c r="X63" s="27"/>
      <x:c r="Y63" s="28"/>
      <x:c r="Z63" s="30">
        <x:f t="shared" si="22"/>
        <x:v>269131.71552739851</x:v>
      </x:c>
      <x:c r="AA63" s="28"/>
    </x:row>
    <x:row r="64" spans="1:27" ht="15.5" x14ac:dyDescent="0.35">
      <x:c r="A64" s="39">
        <x:f t="shared" si="5"/>
        <x:v>49</x:v>
      </x:c>
      <x:c r="C64" s="1" t="s">
        <x:v>8</x:v>
      </x:c>
      <x:c r="E64" s="19"/>
      <x:c r="G64" s="72"/>
      <x:c r="H64" s="78"/>
      <x:c r="I64" s="78"/>
      <x:c r="J64" s="78"/>
      <x:c r="K64" s="78"/>
      <x:c r="L64" s="78"/>
      <x:c r="M64" s="78"/>
      <x:c r="N64" s="78"/>
      <x:c r="O64" s="78"/>
      <x:c r="P64" s="78"/>
      <x:c r="Q64" s="74"/>
      <x:c r="R64" s="78"/>
      <x:c r="S64" s="74"/>
      <x:c r="T64" s="78"/>
      <x:c r="U64" s="74"/>
      <x:c r="V64" s="74"/>
      <x:c r="W64" s="74"/>
      <x:c r="X64" s="78"/>
      <x:c r="Y64" s="74"/>
      <x:c r="Z64" s="72">
        <x:f>SUM(Z52:Z63)</x:f>
        <x:v>177291.34258772081</x:v>
      </x:c>
      <x:c r="AA64" s="28"/>
    </x:row>
    <x:row r="65" spans="3:27" ht="15.5" x14ac:dyDescent="0.35"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8"/>
      <x:c r="R65" s="27"/>
      <x:c r="S65" s="28"/>
      <x:c r="T65" s="27"/>
      <x:c r="U65" s="28"/>
      <x:c r="V65" s="28"/>
      <x:c r="W65" s="28"/>
      <x:c r="X65" s="27"/>
      <x:c r="Y65" s="28"/>
      <x:c r="AA65" s="28"/>
    </x:row>
    <x:row r="66" spans="3:27" ht="15.5" x14ac:dyDescent="0.35">
      <x:c r="C66" s="23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  <x:c r="AA66" s="28"/>
    </x:row>
  </x:sheetData>
  <x:mergeCells count="2">
    <x:mergeCell ref="I12:K12"/>
    <x:mergeCell ref="I30:K30"/>
  </x:mergeCells>
  <x:phoneticPr fontId="2" type="noConversion"/>
  <x:printOptions horizontalCentered="1"/>
  <x:pageMargins left="0.25" right="0" top="1.5" bottom="0.25" header="0.5" footer="0.5"/>
  <x:pageSetup scale="49" orientation="landscape" r:id="rId1"/>
  <x:headerFooter alignWithMargins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24768B-D354-4C1F-9C39-2E138DCAA79E}" mc:Ignorable="x14ac xr xr2 xr3">
  <x:sheetPr>
    <x:tabColor rgb="FF00B0F0"/>
    <x:pageSetUpPr fitToPage="1"/>
  </x:sheetPr>
  <x:dimension ref="A1:AD66"/>
  <x:sheetViews>
    <x:sheetView zoomScale="70" zoomScaleNormal="70" zoomScaleSheetLayoutView="70" workbookViewId="0">
      <x:selection activeCell="I5" sqref="I5"/>
    </x:sheetView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453125" customWidth="1"/>
    <x:col min="9" max="9" width="12.36328125" customWidth="1"/>
    <x:col min="10" max="10" width="1.453125" customWidth="1"/>
    <x:col min="11" max="11" width="17.453125" bestFit="1" customWidth="1"/>
    <x:col min="12" max="12" width="1.08984375" customWidth="1"/>
    <x:col min="13" max="13" width="15.54296875" customWidth="1"/>
    <x:col min="14" max="14" width="1.08984375" customWidth="1"/>
    <x:col min="15" max="15" width="16.08984375" customWidth="1"/>
    <x:col min="16" max="16" width="1.08984375" customWidth="1"/>
    <x:col min="17" max="17" width="16.90625" hidden="1" customWidth="1"/>
    <x:col min="18" max="18" width="21.54296875" customWidth="1"/>
    <x:col min="19" max="19" width="1.08984375" customWidth="1"/>
    <x:col min="20" max="20" width="15.54296875" customWidth="1"/>
    <x:col min="21" max="21" width="1.08984375" customWidth="1"/>
    <x:col min="22" max="22" width="16.08984375" customWidth="1"/>
    <x:col min="23" max="23" width="1.453125" customWidth="1"/>
    <x:col min="24" max="24" width="16.90625" hidden="1" customWidth="1"/>
    <x:col min="25" max="25" width="1.36328125" hidden="1" customWidth="1"/>
    <x:col min="26" max="26" width="16.90625" bestFit="1" customWidth="1"/>
    <x:col min="27" max="27" width="1.08984375" customWidth="1"/>
    <x:col min="28" max="28" width="17.36328125" customWidth="1"/>
    <x:col min="29" max="29" width="1.6328125" customWidth="1"/>
    <x:col min="30" max="30" width="12" bestFit="1" customWidth="1"/>
  </x:cols>
  <x:sheetData>
    <x:row r="1" spans="1:30" x14ac:dyDescent="0.25">
      <x:c r="AB1" t="str">
        <x:f>+'Weather Adjustment'!AA1</x:f>
        <x:v>WP/II-H-1.2/1</x:v>
      </x:c>
    </x:row>
    <x:row r="2" spans="1:30" x14ac:dyDescent="0.25">
      <x:c r="AB2" s="82" t="s">
        <x:v>128</x:v>
      </x:c>
    </x:row>
    <x:row r="4" spans="1:30" ht="15.5" x14ac:dyDescent="0.35">
      <x:c r="A4" s="65" t="str">
        <x:f>+'Weather Adjustment'!A4</x:f>
        <x:v>PUC DOCKET NO</x:v>
      </x:c>
      <x:c r="B4" s="35"/>
      <x:c r="C4" s="35"/>
      <x:c r="D4" s="35"/>
      <x:c r="E4" s="35"/>
      <x:c r="F4" s="35"/>
      <x:c r="G4" s="65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  <x:c r="AA4" s="33"/>
      <x:c r="AB4" s="33"/>
      <x:c r="AC4" s="33"/>
    </x:row>
    <x:row r="5" spans="1:30" ht="15.5" x14ac:dyDescent="0.35">
      <x:c r="A5" s="65" t="str">
        <x:f>+'Weather Adjustment'!A5</x:f>
        <x:v>ONCOR ELECTRIC DELIVERY COMPANY LLC</x:v>
      </x:c>
      <x:c r="B5" s="35"/>
      <x:c r="C5" s="35"/>
      <x:c r="D5" s="35"/>
      <x:c r="E5" s="35"/>
      <x:c r="F5" s="35"/>
      <x:c r="G5" s="33"/>
      <x:c r="H5" s="33"/>
      <x:c r="I5" s="33"/>
      <x:c r="J5" s="33"/>
      <x:c r="K5" s="8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  <x:c r="AA5" s="33"/>
      <x:c r="AB5" s="33"/>
      <x:c r="AC5" s="33"/>
    </x:row>
    <x:row r="6" spans="1:30" ht="15.5" x14ac:dyDescent="0.35">
      <x:c r="A6" s="94" t="str">
        <x:f>+'Weather Adjustment'!A6</x:f>
        <x:v>MONTHLY SALES DATA</x:v>
      </x:c>
      <x:c r="B6" s="35"/>
      <x:c r="C6" s="35"/>
      <x:c r="D6" s="35"/>
      <x:c r="E6" s="35"/>
      <x:c r="F6" s="35"/>
      <x:c r="G6" s="33"/>
      <x:c r="H6" s="8"/>
      <x:c r="I6" s="8"/>
      <x:c r="J6" s="8"/>
      <x:c r="K6" s="8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  <x:c r="AA6" s="33"/>
      <x:c r="AB6" s="33"/>
      <x:c r="AC6" s="33"/>
    </x:row>
    <x:row r="7" spans="1:30" ht="15.5" x14ac:dyDescent="0.35">
      <x:c r="A7" s="65" t="str">
        <x:f>'Weather Adjustment'!A7</x:f>
        <x:v>TEST YEAR ENDING December 31, 2024</x:v>
      </x:c>
      <x:c r="B7" s="35"/>
      <x:c r="C7" s="65"/>
      <x:c r="D7" s="35"/>
      <x:c r="E7" s="35"/>
      <x:c r="F7" s="35"/>
      <x:c r="G7" s="33"/>
      <x:c r="H7" s="8"/>
      <x:c r="I7" s="8"/>
      <x:c r="J7" s="8"/>
      <x:c r="K7" s="8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  <x:c r="AA7" s="33"/>
      <x:c r="AB7" s="33"/>
      <x:c r="AC7" s="33"/>
    </x:row>
    <x:row r="8" spans="1:30" ht="15.5" x14ac:dyDescent="0.35">
      <x:c r="B8" s="35"/>
      <x:c r="C8" s="35"/>
      <x:c r="D8" s="35"/>
      <x:c r="E8" s="35"/>
      <x:c r="F8" s="35"/>
      <x:c r="G8" s="33"/>
      <x:c r="H8" s="33"/>
      <x:c r="I8" s="33"/>
      <x:c r="J8" s="33"/>
      <x:c r="K8" s="8"/>
      <x:c r="L8" s="33"/>
      <x:c r="M8" s="33"/>
      <x:c r="N8" s="33"/>
      <x:c r="O8" s="33"/>
      <x:c r="P8" s="33"/>
      <x:c r="Q8" s="33"/>
      <x:c r="R8" s="33"/>
      <x:c r="S8" s="33"/>
      <x:c r="T8" s="20"/>
      <x:c r="U8" s="20"/>
      <x:c r="V8" s="20"/>
      <x:c r="W8" s="33"/>
      <x:c r="X8" s="33"/>
      <x:c r="Y8" s="33"/>
      <x:c r="Z8" s="33"/>
      <x:c r="AA8" s="33"/>
      <x:c r="AB8" s="33"/>
      <x:c r="AC8" s="33"/>
    </x:row>
    <x:row r="9" spans="1:30" ht="15.5" x14ac:dyDescent="0.35">
      <x:c r="A9" s="41" t="str">
        <x:f>+'Weather Adjustment'!A9</x:f>
        <x:v>SPONSOR:  D. E. NELSON</x:v>
      </x:c>
      <x:c r="B9" s="65"/>
      <x:c r="C9" s="65"/>
      <x:c r="D9" s="65"/>
      <x:c r="E9" s="65"/>
      <x:c r="F9" s="65"/>
      <x:c r="G9" s="94"/>
      <x:c r="H9" s="94"/>
      <x:c r="I9" s="94"/>
      <x:c r="J9" s="94"/>
      <x:c r="K9" s="41"/>
      <x:c r="L9" s="94"/>
      <x:c r="M9" s="94"/>
      <x:c r="N9" s="94"/>
      <x:c r="O9" s="94"/>
      <x:c r="P9" s="94"/>
      <x:c r="Q9" s="94"/>
      <x:c r="R9" s="94"/>
      <x:c r="S9" s="94"/>
      <x:c r="T9" s="42"/>
      <x:c r="U9" s="42"/>
      <x:c r="V9" s="42"/>
      <x:c r="W9" s="94"/>
      <x:c r="X9" s="94"/>
      <x:c r="Y9" s="94"/>
      <x:c r="Z9" s="94"/>
      <x:c r="AA9" s="94"/>
      <x:c r="AB9" s="94"/>
      <x:c r="AC9" s="94"/>
    </x:row>
    <x:row r="10" spans="1:30" ht="15.5" x14ac:dyDescent="0.35">
      <x:c r="B10" s="35"/>
      <x:c r="C10" s="35"/>
      <x:c r="D10" s="35"/>
      <x:c r="E10" s="35"/>
      <x:c r="F10" s="35"/>
      <x:c r="G10" s="33"/>
      <x:c r="H10" s="33"/>
      <x:c r="I10" s="33"/>
      <x:c r="J10" s="33"/>
      <x:c r="K10" s="8"/>
      <x:c r="L10" s="33"/>
      <x:c r="M10" s="33"/>
      <x:c r="N10" s="33"/>
      <x:c r="O10" s="33"/>
      <x:c r="P10" s="33"/>
      <x:c r="Q10" s="33"/>
      <x:c r="R10" s="33"/>
      <x:c r="S10" s="33"/>
      <x:c r="T10" s="20"/>
      <x:c r="U10" s="20"/>
      <x:c r="V10" s="20"/>
      <x:c r="W10" s="33"/>
      <x:c r="X10" s="33"/>
      <x:c r="Y10" s="33"/>
      <x:c r="Z10" s="33"/>
      <x:c r="AA10" s="33"/>
      <x:c r="AB10" s="33"/>
      <x:c r="AC10" s="33"/>
    </x:row>
    <x:row r="11" spans="1:30" ht="15.5" x14ac:dyDescent="0.35">
      <x:c r="A11" s="35" t="s">
        <x:v>55</x:v>
      </x:c>
      <x:c r="B11" s="35"/>
      <x:c r="C11" s="35"/>
      <x:c r="D11" s="35"/>
      <x:c r="E11" s="35"/>
      <x:c r="F11" s="35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  <x:c r="AA11" s="33"/>
      <x:c r="AB11" s="33"/>
      <x:c r="AC11" s="33"/>
    </x:row>
    <x:row r="12" spans="1:30" ht="15.5" x14ac:dyDescent="0.35">
      <x:c r="A12" s="28"/>
      <x:c r="B12" s="28"/>
      <x:c r="C12" s="28"/>
      <x:c r="D12" s="28"/>
      <x:c r="E12" s="28"/>
      <x:c r="F12" s="28"/>
      <x:c r="G12" s="87" t="s">
        <x:v>13</x:v>
      </x:c>
      <x:c r="H12" s="27"/>
      <x:c r="I12" s="87"/>
      <x:c r="J12" s="27"/>
      <x:c r="K12" s="101" t="s">
        <x:v>20</x:v>
      </x:c>
      <x:c r="L12" s="101"/>
      <x:c r="M12" s="101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87"/>
      <x:c r="Y12" s="27"/>
      <x:c r="Z12" s="87"/>
      <x:c r="AA12" s="87"/>
      <x:c r="AB12" s="87" t="s">
        <x:v>30</x:v>
      </x:c>
      <x:c r="AC12" s="87"/>
    </x:row>
    <x:row r="13" spans="1:30" ht="15.5" x14ac:dyDescent="0.35">
      <x:c r="A13" s="86" t="s">
        <x:v>0</x:v>
      </x:c>
      <x:c r="B13" s="86"/>
      <x:c r="C13" s="86" t="s">
        <x:v>1</x:v>
      </x:c>
      <x:c r="D13" s="86"/>
      <x:c r="E13" s="86" t="s">
        <x:v>2</x:v>
      </x:c>
      <x:c r="F13" s="28"/>
      <x:c r="G13" s="87" t="s">
        <x:v>14</x:v>
      </x:c>
      <x:c r="H13" s="87"/>
      <x:c r="I13" s="87" t="s">
        <x:v>126</x:v>
      </x:c>
      <x:c r="J13" s="87"/>
      <x:c r="K13" s="88" t="s">
        <x:v>16</x:v>
      </x:c>
      <x:c r="L13" s="87"/>
      <x:c r="M13" s="88" t="s">
        <x:v>17</x:v>
      </x:c>
      <x:c r="N13" s="87"/>
      <x:c r="O13" s="87" t="s">
        <x:v>21</x:v>
      </x:c>
      <x:c r="P13" s="87"/>
      <x:c r="Q13" s="87" t="s">
        <x:v>4</x:v>
      </x:c>
      <x:c r="R13" s="88" t="s">
        <x:v>23</x:v>
      </x:c>
      <x:c r="S13" s="27"/>
      <x:c r="T13" s="27" t="s">
        <x:v>25</x:v>
      </x:c>
      <x:c r="U13" s="27"/>
      <x:c r="V13" s="27" t="s">
        <x:v>27</x:v>
      </x:c>
      <x:c r="W13" s="27"/>
      <x:c r="X13" s="88" t="s">
        <x:v>5</x:v>
      </x:c>
      <x:c r="Y13" s="27"/>
      <x:c r="Z13" s="87" t="s">
        <x:v>29</x:v>
      </x:c>
      <x:c r="AA13" s="87"/>
      <x:c r="AB13" s="87" t="s">
        <x:v>9</x:v>
      </x:c>
      <x:c r="AC13" s="87"/>
    </x:row>
    <x:row r="14" spans="1:30" ht="15.5" x14ac:dyDescent="0.35">
      <x:c r="A14" s="28"/>
      <x:c r="B14" s="28"/>
      <x:c r="C14" s="28"/>
      <x:c r="D14" s="28"/>
      <x:c r="E14" s="28"/>
      <x:c r="F14" s="28"/>
      <x:c r="G14" s="89" t="s">
        <x:v>15</x:v>
      </x:c>
      <x:c r="H14" s="40"/>
      <x:c r="I14" s="89" t="s">
        <x:v>15</x:v>
      </x:c>
      <x:c r="J14" s="40"/>
      <x:c r="K14" s="89" t="s">
        <x:v>18</x:v>
      </x:c>
      <x:c r="L14" s="40"/>
      <x:c r="M14" s="89" t="s">
        <x:v>19</x:v>
      </x:c>
      <x:c r="N14" s="40"/>
      <x:c r="O14" s="89" t="s">
        <x:v>22</x:v>
      </x:c>
      <x:c r="P14" s="40"/>
      <x:c r="Q14" s="40"/>
      <x:c r="R14" s="40" t="s">
        <x:v>24</x:v>
      </x:c>
      <x:c r="S14" s="40"/>
      <x:c r="T14" s="89" t="s">
        <x:v>26</x:v>
      </x:c>
      <x:c r="U14" s="40"/>
      <x:c r="V14" s="89" t="s">
        <x:v>28</x:v>
      </x:c>
      <x:c r="W14" s="40"/>
      <x:c r="X14" s="40"/>
      <x:c r="Y14" s="40"/>
      <x:c r="Z14" s="89" t="s">
        <x:v>45</x:v>
      </x:c>
      <x:c r="AA14" s="40"/>
      <x:c r="AB14" s="89" t="s">
        <x:v>31</x:v>
      </x:c>
      <x:c r="AC14" s="40"/>
    </x:row>
    <x:row r="15" spans="1:30" ht="15.5" x14ac:dyDescent="0.35">
      <x:c r="A15" s="90"/>
      <x:c r="B15" s="28"/>
      <x:c r="C15" s="90"/>
      <x:c r="D15" s="28"/>
      <x:c r="E15" s="90"/>
      <x:c r="F15" s="28"/>
      <x:c r="G15" s="8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</x:row>
    <x:row r="16" spans="1:30" ht="15.5" x14ac:dyDescent="0.35">
      <x:c r="A16" s="91">
        <x:v>1</x:v>
      </x:c>
      <x:c r="B16" s="28"/>
      <x:c r="C16" s="62">
        <x:f>+'Weather Adjustment'!C16</x:f>
        <x:v>2024</x:v>
      </x:c>
      <x:c r="D16" s="28"/>
      <x:c r="E16" s="19">
        <x:f>+'Weather Adjustment'!E16</x:f>
        <x:v>1</x:v>
      </x:c>
      <x:c r="F16" s="28"/>
      <x:c r="G16" s="43">
        <x:f>+'[2]RES Model'!$C$33</x:f>
        <x:v>6.0000000000000001E-3</x:v>
      </x:c>
      <x:c r="H16" s="27"/>
      <x:c r="I16" s="27">
        <x:v>19</x:v>
      </x:c>
      <x:c r="J16" s="27"/>
      <x:c r="K16" s="70">
        <x:f>Residential!I16</x:f>
        <x:v>0.79</x:v>
      </x:c>
      <x:c r="L16" s="75"/>
      <x:c r="M16" s="70">
        <x:f>Residential!K16</x:f>
        <x:v>1.04</x:v>
      </x:c>
      <x:c r="N16" s="20"/>
      <x:c r="O16" s="20">
        <x:f>+Residential!M16</x:f>
        <x:v>3396604</x:v>
      </x:c>
      <x:c r="P16" s="20"/>
      <x:c r="Q16" s="20">
        <x:f t="shared" ref="Q16:Q27" si="0">SUM(M16,O16)</x:f>
        <x:v>3396605.04</x:v>
      </x:c>
      <x:c r="R16" s="20">
        <x:f>PRODUCT(G16,I16,K16,M16,O16)/1000</x:f>
        <x:v>318.13408248960002</x:v>
      </x:c>
      <x:c r="S16" s="20"/>
      <x:c r="T16" s="43">
        <x:f>Residential!R16</x:f>
        <x:v>0.50931181723809626</x:v>
      </x:c>
      <x:c r="U16" s="20"/>
      <x:c r="V16" s="43">
        <x:f>Residential!T16</x:f>
        <x:v>2.4932806220886969</x:v>
      </x:c>
      <x:c r="W16" s="20"/>
      <x:c r="X16" s="20">
        <x:f t="shared" ref="X16:X27" si="1">SUM(T16,V16)</x:f>
        <x:v>3.0025924393267931</x:v>
      </x:c>
      <x:c r="Y16" s="20"/>
      <x:c r="Z16" s="43">
        <x:f>+V16-T16</x:f>
        <x:v>1.9839688048506008</x:v>
      </x:c>
      <x:c r="AA16" s="20"/>
      <x:c r="AB16" s="20">
        <x:f>+R16*Z16</x:f>
        <x:v>631.16809541913415</x:v>
      </x:c>
      <x:c r="AC16" s="20"/>
      <x:c r="AD16" s="95"/>
    </x:row>
    <x:row r="17" spans="1:30" ht="15.5" x14ac:dyDescent="0.35">
      <x:c r="A17" s="91">
        <x:f>+A16+1</x:f>
        <x:v>2</x:v>
      </x:c>
      <x:c r="B17" s="28"/>
      <x:c r="C17" s="62">
        <x:f>+'Weather Adjustment'!C17</x:f>
        <x:v>2024</x:v>
      </x:c>
      <x:c r="D17" s="28"/>
      <x:c r="E17" s="19">
        <x:f>+'Weather Adjustment'!E17</x:f>
        <x:v>2</x:v>
      </x:c>
      <x:c r="F17" s="28"/>
      <x:c r="G17" s="43">
        <x:f>+'[2]RES Model'!$C$33</x:f>
        <x:v>6.0000000000000001E-3</x:v>
      </x:c>
      <x:c r="H17" s="27"/>
      <x:c r="I17" s="27">
        <x:v>19</x:v>
      </x:c>
      <x:c r="J17" s="27"/>
      <x:c r="K17" s="70">
        <x:f>Residential!I17</x:f>
        <x:v>0.79</x:v>
      </x:c>
      <x:c r="L17" s="75"/>
      <x:c r="M17" s="70">
        <x:f>Residential!K17</x:f>
        <x:v>1.04</x:v>
      </x:c>
      <x:c r="N17" s="20"/>
      <x:c r="O17" s="20">
        <x:f>+Residential!M17</x:f>
        <x:v>3401024</x:v>
      </x:c>
      <x:c r="P17" s="20"/>
      <x:c r="Q17" s="20">
        <x:f t="shared" si="0"/>
        <x:v>3401025.04</x:v>
      </x:c>
      <x:c r="R17" s="20">
        <x:f t="shared" ref="R17:R27" si="2">PRODUCT(G17,I17,K17,M17,O17)/1000</x:f>
        <x:v>318.54807029760002</x:v>
      </x:c>
      <x:c r="S17" s="20"/>
      <x:c r="T17" s="43">
        <x:f>Residential!R17</x:f>
        <x:v>7.1189206857142778E-2</x:v>
      </x:c>
      <x:c r="U17" s="20"/>
      <x:c r="V17" s="43">
        <x:f>Residential!T17</x:f>
        <x:v>1.5673922972591274</x:v>
      </x:c>
      <x:c r="W17" s="20"/>
      <x:c r="X17" s="20">
        <x:f t="shared" si="1"/>
        <x:v>1.6385815041162701</x:v>
      </x:c>
      <x:c r="Y17" s="20"/>
      <x:c r="Z17" s="43">
        <x:f t="shared" ref="Z17:Z28" si="3">+V17-T17</x:f>
        <x:v>1.4962030904019847</x:v>
      </x:c>
      <x:c r="AA17" s="20"/>
      <x:c r="AB17" s="20">
        <x:f t="shared" ref="AB17:AB27" si="4">+R17*Z17</x:f>
        <x:v>476.61260722085785</x:v>
      </x:c>
      <x:c r="AC17" s="20"/>
      <x:c r="AD17" s="95"/>
    </x:row>
    <x:row r="18" spans="1:30" ht="15.5" x14ac:dyDescent="0.35">
      <x:c r="A18" s="91">
        <x:f t="shared" ref="A18:A64" si="5">+A17+1</x:f>
        <x:v>3</x:v>
      </x:c>
      <x:c r="B18" s="28"/>
      <x:c r="C18" s="62">
        <x:f>+'Weather Adjustment'!C18</x:f>
        <x:v>2024</x:v>
      </x:c>
      <x:c r="D18" s="28"/>
      <x:c r="E18" s="19">
        <x:f>+'Weather Adjustment'!E18</x:f>
        <x:v>3</x:v>
      </x:c>
      <x:c r="F18" s="28"/>
      <x:c r="G18" s="43">
        <x:f>+'[2]RES Model'!$C$33</x:f>
        <x:v>6.0000000000000001E-3</x:v>
      </x:c>
      <x:c r="H18" s="27"/>
      <x:c r="I18" s="27">
        <x:v>19</x:v>
      </x:c>
      <x:c r="J18" s="27"/>
      <x:c r="K18" s="70">
        <x:f>Residential!I18</x:f>
        <x:v>0.79</x:v>
      </x:c>
      <x:c r="L18" s="75"/>
      <x:c r="M18" s="70">
        <x:f>Residential!K18</x:f>
        <x:v>1.05</x:v>
      </x:c>
      <x:c r="N18" s="20"/>
      <x:c r="O18" s="20">
        <x:f>+Residential!M18</x:f>
        <x:v>3407140</x:v>
      </x:c>
      <x:c r="P18" s="20"/>
      <x:c r="Q18" s="20">
        <x:f t="shared" si="0"/>
        <x:v>3407141.05</x:v>
      </x:c>
      <x:c r="R18" s="20">
        <x:f t="shared" si="2"/>
        <x:v>322.18937982000006</x:v>
      </x:c>
      <x:c r="S18" s="20"/>
      <x:c r="T18" s="43">
        <x:f>Residential!R18</x:f>
        <x:v>14.582078343190481</x:v>
      </x:c>
      <x:c r="U18" s="20"/>
      <x:c r="V18" s="43">
        <x:f>Residential!T18</x:f>
        <x:v>6.3552178925046672</x:v>
      </x:c>
      <x:c r="W18" s="20"/>
      <x:c r="X18" s="20">
        <x:f t="shared" si="1"/>
        <x:v>20.93729623569515</x:v>
      </x:c>
      <x:c r="Y18" s="20"/>
      <x:c r="Z18" s="43">
        <x:f t="shared" si="3"/>
        <x:v>-8.2268604506858143</x:v>
      </x:c>
      <x:c r="AA18" s="20"/>
      <x:c r="AB18" s="20">
        <x:f t="shared" si="4"/>
        <x:v>-2650.6070664721487</x:v>
      </x:c>
      <x:c r="AC18" s="20"/>
      <x:c r="AD18" s="95"/>
    </x:row>
    <x:row r="19" spans="1:30" ht="15.5" x14ac:dyDescent="0.35">
      <x:c r="A19" s="91">
        <x:f t="shared" si="5"/>
        <x:v>4</x:v>
      </x:c>
      <x:c r="B19" s="28"/>
      <x:c r="C19" s="62">
        <x:f>+'Weather Adjustment'!C19</x:f>
        <x:v>2024</x:v>
      </x:c>
      <x:c r="D19" s="28"/>
      <x:c r="E19" s="19">
        <x:f>+'Weather Adjustment'!E19</x:f>
        <x:v>4</x:v>
      </x:c>
      <x:c r="F19" s="28"/>
      <x:c r="G19" s="43">
        <x:f>+'[2]RES Model'!$C$33</x:f>
        <x:v>6.0000000000000001E-3</x:v>
      </x:c>
      <x:c r="H19" s="27"/>
      <x:c r="I19" s="27">
        <x:v>19</x:v>
      </x:c>
      <x:c r="J19" s="27"/>
      <x:c r="K19" s="70">
        <x:f>Residential!I19</x:f>
        <x:v>0.79</x:v>
      </x:c>
      <x:c r="L19" s="75"/>
      <x:c r="M19" s="70">
        <x:f>Residential!K19</x:f>
        <x:v>1.04</x:v>
      </x:c>
      <x:c r="N19" s="20"/>
      <x:c r="O19" s="20">
        <x:f>+Residential!M19</x:f>
        <x:v>3413927</x:v>
      </x:c>
      <x:c r="P19" s="20"/>
      <x:c r="Q19" s="20">
        <x:f t="shared" si="0"/>
        <x:v>3413928.04</x:v>
      </x:c>
      <x:c r="R19" s="20">
        <x:f t="shared" si="2"/>
        <x:v>319.75659624479999</x:v>
      </x:c>
      <x:c r="S19" s="20"/>
      <x:c r="T19" s="43">
        <x:f>Residential!R19</x:f>
        <x:v>23.33679555838096</x:v>
      </x:c>
      <x:c r="U19" s="20"/>
      <x:c r="V19" s="43">
        <x:f>Residential!T19</x:f>
        <x:v>25.375167256061406</x:v>
      </x:c>
      <x:c r="W19" s="20"/>
      <x:c r="X19" s="20">
        <x:f t="shared" si="1"/>
        <x:v>48.711962814442366</x:v>
      </x:c>
      <x:c r="Y19" s="20"/>
      <x:c r="Z19" s="43">
        <x:f t="shared" si="3"/>
        <x:v>2.0383716976804465</x:v>
      </x:c>
      <x:c r="AA19" s="20"/>
      <x:c r="AB19" s="20">
        <x:f t="shared" si="4"/>
        <x:v>651.78279593203399</x:v>
      </x:c>
      <x:c r="AC19" s="20"/>
      <x:c r="AD19" s="95"/>
    </x:row>
    <x:row r="20" spans="1:30" ht="15.5" x14ac:dyDescent="0.35">
      <x:c r="A20" s="91">
        <x:f t="shared" si="5"/>
        <x:v>5</x:v>
      </x:c>
      <x:c r="B20" s="28"/>
      <x:c r="C20" s="62">
        <x:f>+'Weather Adjustment'!C20</x:f>
        <x:v>2024</x:v>
      </x:c>
      <x:c r="D20" s="28"/>
      <x:c r="E20" s="19">
        <x:f>+'Weather Adjustment'!E20</x:f>
        <x:v>5</x:v>
      </x:c>
      <x:c r="F20" s="28"/>
      <x:c r="G20" s="43">
        <x:f>+'[2]RES Model'!$C$33</x:f>
        <x:v>6.0000000000000001E-3</x:v>
      </x:c>
      <x:c r="H20" s="27"/>
      <x:c r="I20" s="27">
        <x:v>19</x:v>
      </x:c>
      <x:c r="J20" s="27"/>
      <x:c r="K20" s="70">
        <x:f>Residential!I20</x:f>
        <x:v>0.79</x:v>
      </x:c>
      <x:c r="L20" s="75"/>
      <x:c r="M20" s="70">
        <x:f>Residential!K20</x:f>
        <x:v>1.04</x:v>
      </x:c>
      <x:c r="N20" s="20"/>
      <x:c r="O20" s="20">
        <x:f>+Residential!M20</x:f>
        <x:v>3421241</x:v>
      </x:c>
      <x:c r="P20" s="20"/>
      <x:c r="Q20" s="20">
        <x:f t="shared" si="0"/>
        <x:v>3421242.04</x:v>
      </x:c>
      <x:c r="R20" s="20">
        <x:f t="shared" si="2"/>
        <x:v>320.44164303840006</x:v>
      </x:c>
      <x:c r="S20" s="20"/>
      <x:c r="T20" s="43">
        <x:f>Residential!R20</x:f>
        <x:v>87.833334773428604</x:v>
      </x:c>
      <x:c r="U20" s="20"/>
      <x:c r="V20" s="43">
        <x:f>Residential!T20</x:f>
        <x:v>71.734337599161577</x:v>
      </x:c>
      <x:c r="W20" s="20"/>
      <x:c r="X20" s="20">
        <x:f t="shared" si="1"/>
        <x:v>159.56767237259018</x:v>
      </x:c>
      <x:c r="Y20" s="20"/>
      <x:c r="Z20" s="43">
        <x:f t="shared" si="3"/>
        <x:v>-16.098997174267026</x:v>
      </x:c>
      <x:c r="AA20" s="20"/>
      <x:c r="AB20" s="20">
        <x:f t="shared" si="4"/>
        <x:v>-5158.7891057926854</x:v>
      </x:c>
      <x:c r="AC20" s="20"/>
      <x:c r="AD20" s="95"/>
    </x:row>
    <x:row r="21" spans="1:30" ht="15.5" x14ac:dyDescent="0.35">
      <x:c r="A21" s="91">
        <x:f t="shared" si="5"/>
        <x:v>6</x:v>
      </x:c>
      <x:c r="B21" s="28"/>
      <x:c r="C21" s="62">
        <x:f>+'Weather Adjustment'!C21</x:f>
        <x:v>2024</x:v>
      </x:c>
      <x:c r="D21" s="28"/>
      <x:c r="E21" s="19">
        <x:f>+'Weather Adjustment'!E21</x:f>
        <x:v>6</x:v>
      </x:c>
      <x:c r="F21" s="28"/>
      <x:c r="G21" s="43">
        <x:f>+'[2]RES Model'!$C$33</x:f>
        <x:v>6.0000000000000001E-3</x:v>
      </x:c>
      <x:c r="H21" s="27"/>
      <x:c r="I21" s="27">
        <x:v>19</x:v>
      </x:c>
      <x:c r="J21" s="27"/>
      <x:c r="K21" s="70">
        <x:f>Residential!I21</x:f>
        <x:v>0.79</x:v>
      </x:c>
      <x:c r="L21" s="75"/>
      <x:c r="M21" s="70">
        <x:f>Residential!K21</x:f>
        <x:v>1.04</x:v>
      </x:c>
      <x:c r="N21" s="20"/>
      <x:c r="O21" s="20">
        <x:f>+Residential!M21</x:f>
        <x:v>3425884</x:v>
      </x:c>
      <x:c r="P21" s="20"/>
      <x:c r="Q21" s="20">
        <x:f t="shared" si="0"/>
        <x:v>3425885.04</x:v>
      </x:c>
      <x:c r="R21" s="20">
        <x:f t="shared" si="2"/>
        <x:v>320.8765175616</x:v>
      </x:c>
      <x:c r="S21" s="20"/>
      <x:c r="T21" s="43">
        <x:f>Residential!R21</x:f>
        <x:v>238.26230116985712</x:v>
      </x:c>
      <x:c r="U21" s="20"/>
      <x:c r="V21" s="43">
        <x:f>Residential!T21</x:f>
        <x:v>214.65969011624705</x:v>
      </x:c>
      <x:c r="W21" s="20"/>
      <x:c r="X21" s="20">
        <x:f t="shared" si="1"/>
        <x:v>452.92199128610417</x:v>
      </x:c>
      <x:c r="Y21" s="20"/>
      <x:c r="Z21" s="43">
        <x:f t="shared" si="3"/>
        <x:v>-23.602611053610076</x:v>
      </x:c>
      <x:c r="AA21" s="20"/>
      <x:c r="AB21" s="20">
        <x:f t="shared" si="4"/>
        <x:v>-7573.5236402433275</x:v>
      </x:c>
      <x:c r="AC21" s="20"/>
      <x:c r="AD21" s="95"/>
    </x:row>
    <x:row r="22" spans="1:30" ht="15.5" x14ac:dyDescent="0.35">
      <x:c r="A22" s="91">
        <x:f t="shared" si="5"/>
        <x:v>7</x:v>
      </x:c>
      <x:c r="B22" s="28"/>
      <x:c r="C22" s="62">
        <x:f>+'Weather Adjustment'!C22</x:f>
        <x:v>2024</x:v>
      </x:c>
      <x:c r="D22" s="28"/>
      <x:c r="E22" s="19">
        <x:f>+'Weather Adjustment'!E22</x:f>
        <x:v>7</x:v>
      </x:c>
      <x:c r="F22" s="28"/>
      <x:c r="G22" s="43">
        <x:f>+'[2]RES Model'!$C$33</x:f>
        <x:v>6.0000000000000001E-3</x:v>
      </x:c>
      <x:c r="H22" s="27"/>
      <x:c r="I22" s="27">
        <x:v>19</x:v>
      </x:c>
      <x:c r="J22" s="27"/>
      <x:c r="K22" s="70">
        <x:f>Residential!I22</x:f>
        <x:v>0.79</x:v>
      </x:c>
      <x:c r="L22" s="75"/>
      <x:c r="M22" s="70">
        <x:f>Residential!K22</x:f>
        <x:v>1.05</x:v>
      </x:c>
      <x:c r="N22" s="20"/>
      <x:c r="O22" s="20">
        <x:f>+Residential!M22</x:f>
        <x:v>3432967</x:v>
      </x:c>
      <x:c r="P22" s="20"/>
      <x:c r="Q22" s="20">
        <x:f t="shared" si="0"/>
        <x:v>3432968.05</x:v>
      </x:c>
      <x:c r="R22" s="20">
        <x:f t="shared" si="2"/>
        <x:v>324.631658421</x:v>
      </x:c>
      <x:c r="S22" s="20"/>
      <x:c r="T22" s="43">
        <x:f>Residential!R22</x:f>
        <x:v>413.76615727590473</x:v>
      </x:c>
      <x:c r="U22" s="20"/>
      <x:c r="V22" s="43">
        <x:f>Residential!T22</x:f>
        <x:v>376.74149289052286</x:v>
      </x:c>
      <x:c r="W22" s="20"/>
      <x:c r="X22" s="20">
        <x:f t="shared" si="1"/>
        <x:v>790.50765016642754</x:v>
      </x:c>
      <x:c r="Y22" s="20"/>
      <x:c r="Z22" s="43">
        <x:f t="shared" si="3"/>
        <x:v>-37.024664385381868</x:v>
      </x:c>
      <x:c r="AA22" s="20"/>
      <x:c r="AB22" s="20">
        <x:f t="shared" si="4"/>
        <x:v>-12019.37820190745</x:v>
      </x:c>
      <x:c r="AC22" s="20"/>
      <x:c r="AD22" s="95"/>
    </x:row>
    <x:row r="23" spans="1:30" ht="15.5" x14ac:dyDescent="0.35">
      <x:c r="A23" s="91">
        <x:f t="shared" si="5"/>
        <x:v>8</x:v>
      </x:c>
      <x:c r="B23" s="28"/>
      <x:c r="C23" s="62">
        <x:f>+'Weather Adjustment'!C23</x:f>
        <x:v>2024</x:v>
      </x:c>
      <x:c r="D23" s="28"/>
      <x:c r="E23" s="19">
        <x:f>+'Weather Adjustment'!E23</x:f>
        <x:v>8</x:v>
      </x:c>
      <x:c r="F23" s="28"/>
      <x:c r="G23" s="43">
        <x:f>+'[2]RES Model'!$C$33</x:f>
        <x:v>6.0000000000000001E-3</x:v>
      </x:c>
      <x:c r="H23" s="27"/>
      <x:c r="I23" s="27">
        <x:v>19</x:v>
      </x:c>
      <x:c r="J23" s="27"/>
      <x:c r="K23" s="70">
        <x:f>Residential!I23</x:f>
        <x:v>0.79</x:v>
      </x:c>
      <x:c r="L23" s="75"/>
      <x:c r="M23" s="70">
        <x:f>Residential!K23</x:f>
        <x:v>1.05</x:v>
      </x:c>
      <x:c r="N23" s="20"/>
      <x:c r="O23" s="20">
        <x:f>+Residential!M23</x:f>
        <x:v>3439507</x:v>
      </x:c>
      <x:c r="P23" s="20"/>
      <x:c r="Q23" s="20">
        <x:f t="shared" si="0"/>
        <x:v>3439508.05</x:v>
      </x:c>
      <x:c r="R23" s="20">
        <x:f t="shared" si="2"/>
        <x:v>325.25010044100003</x:v>
      </x:c>
      <x:c r="S23" s="20"/>
      <x:c r="T23" s="43">
        <x:f>Residential!R23</x:f>
        <x:v>407.79058282019048</x:v>
      </x:c>
      <x:c r="U23" s="20"/>
      <x:c r="V23" s="43">
        <x:f>Residential!T23</x:f>
        <x:v>441.8755524296364</x:v>
      </x:c>
      <x:c r="W23" s="20"/>
      <x:c r="X23" s="20">
        <x:f t="shared" si="1"/>
        <x:v>849.66613524982688</x:v>
      </x:c>
      <x:c r="Y23" s="20"/>
      <x:c r="Z23" s="43">
        <x:f t="shared" si="3"/>
        <x:v>34.08496960944592</x:v>
      </x:c>
      <x:c r="AA23" s="20"/>
      <x:c r="AB23" s="20">
        <x:f t="shared" si="4"/>
        <x:v>11086.139789000719</x:v>
      </x:c>
      <x:c r="AC23" s="20"/>
      <x:c r="AD23" s="95"/>
    </x:row>
    <x:row r="24" spans="1:30" ht="15.5" x14ac:dyDescent="0.35">
      <x:c r="A24" s="91">
        <x:f t="shared" si="5"/>
        <x:v>9</x:v>
      </x:c>
      <x:c r="B24" s="28"/>
      <x:c r="C24" s="62">
        <x:f>+'Weather Adjustment'!C24</x:f>
        <x:v>2024</x:v>
      </x:c>
      <x:c r="D24" s="28"/>
      <x:c r="E24" s="19">
        <x:f>+'Weather Adjustment'!E24</x:f>
        <x:v>9</x:v>
      </x:c>
      <x:c r="F24" s="28"/>
      <x:c r="G24" s="43">
        <x:f>+'[2]RES Model'!$C$33</x:f>
        <x:v>6.0000000000000001E-3</x:v>
      </x:c>
      <x:c r="H24" s="27"/>
      <x:c r="I24" s="27">
        <x:v>19</x:v>
      </x:c>
      <x:c r="J24" s="27"/>
      <x:c r="K24" s="70">
        <x:f>Residential!I24</x:f>
        <x:v>0.79</x:v>
      </x:c>
      <x:c r="L24" s="75"/>
      <x:c r="M24" s="70">
        <x:f>Residential!K24</x:f>
        <x:v>1.05</x:v>
      </x:c>
      <x:c r="N24" s="20"/>
      <x:c r="O24" s="20">
        <x:f>+Residential!M24</x:f>
        <x:v>3444509</x:v>
      </x:c>
      <x:c r="P24" s="20"/>
      <x:c r="Q24" s="20">
        <x:f t="shared" si="0"/>
        <x:v>3444510.05</x:v>
      </x:c>
      <x:c r="R24" s="20">
        <x:f t="shared" si="2"/>
        <x:v>325.72310456700001</x:v>
      </x:c>
      <x:c r="S24" s="20"/>
      <x:c r="T24" s="43">
        <x:f>Residential!R24</x:f>
        <x:v>427.48317298809536</x:v>
      </x:c>
      <x:c r="U24" s="20"/>
      <x:c r="V24" s="43">
        <x:f>Residential!T24</x:f>
        <x:v>397.57148488573023</x:v>
      </x:c>
      <x:c r="W24" s="20"/>
      <x:c r="X24" s="20">
        <x:f t="shared" si="1"/>
        <x:v>825.05465787382559</x:v>
      </x:c>
      <x:c r="Y24" s="20"/>
      <x:c r="Z24" s="43">
        <x:f t="shared" si="3"/>
        <x:v>-29.911688102365133</x:v>
      </x:c>
      <x:c r="AA24" s="20"/>
      <x:c r="AB24" s="20">
        <x:f t="shared" si="4"/>
        <x:v>-9742.9279115421687</x:v>
      </x:c>
      <x:c r="AC24" s="20"/>
      <x:c r="AD24" s="95"/>
    </x:row>
    <x:row r="25" spans="1:30" ht="15.5" x14ac:dyDescent="0.35">
      <x:c r="A25" s="91">
        <x:f t="shared" si="5"/>
        <x:v>10</x:v>
      </x:c>
      <x:c r="B25" s="28"/>
      <x:c r="C25" s="62">
        <x:f>+'Weather Adjustment'!C25</x:f>
        <x:v>2024</x:v>
      </x:c>
      <x:c r="D25" s="28"/>
      <x:c r="E25" s="19">
        <x:f>+'Weather Adjustment'!E25</x:f>
        <x:v>10</x:v>
      </x:c>
      <x:c r="F25" s="28"/>
      <x:c r="G25" s="43">
        <x:f>+'[2]RES Model'!$C$33</x:f>
        <x:v>6.0000000000000001E-3</x:v>
      </x:c>
      <x:c r="H25" s="27"/>
      <x:c r="I25" s="27">
        <x:v>19</x:v>
      </x:c>
      <x:c r="J25" s="27"/>
      <x:c r="K25" s="70">
        <x:f>Residential!I25</x:f>
        <x:v>0.79</x:v>
      </x:c>
      <x:c r="L25" s="75"/>
      <x:c r="M25" s="70">
        <x:f>Residential!K25</x:f>
        <x:v>1.05</x:v>
      </x:c>
      <x:c r="N25" s="20"/>
      <x:c r="O25" s="20">
        <x:f>+Residential!M25</x:f>
        <x:v>3450481</x:v>
      </x:c>
      <x:c r="P25" s="20"/>
      <x:c r="Q25" s="20">
        <x:f t="shared" si="0"/>
        <x:v>3450482.05</x:v>
      </x:c>
      <x:c r="R25" s="20">
        <x:f t="shared" si="2"/>
        <x:v>326.28783480300001</x:v>
      </x:c>
      <x:c r="S25" s="20"/>
      <x:c r="T25" s="43">
        <x:f>Residential!R25</x:f>
        <x:v>239.28239802119046</x:v>
      </x:c>
      <x:c r="U25" s="20"/>
      <x:c r="V25" s="43">
        <x:f>Residential!T25</x:f>
        <x:v>220.30251783547996</x:v>
      </x:c>
      <x:c r="W25" s="20"/>
      <x:c r="X25" s="20">
        <x:f t="shared" si="1"/>
        <x:v>459.58491585667042</x:v>
      </x:c>
      <x:c r="Y25" s="20"/>
      <x:c r="Z25" s="43">
        <x:f t="shared" si="3"/>
        <x:v>-18.979880185710499</x:v>
      </x:c>
      <x:c r="AA25" s="20"/>
      <x:c r="AB25" s="20">
        <x:f t="shared" si="4"/>
        <x:v>-6192.9040106158409</x:v>
      </x:c>
      <x:c r="AC25" s="20"/>
      <x:c r="AD25" s="95"/>
    </x:row>
    <x:row r="26" spans="1:30" ht="15.5" x14ac:dyDescent="0.35">
      <x:c r="A26" s="91">
        <x:f t="shared" si="5"/>
        <x:v>11</x:v>
      </x:c>
      <x:c r="B26" s="28"/>
      <x:c r="C26" s="62">
        <x:f>+'Weather Adjustment'!C26</x:f>
        <x:v>2024</x:v>
      </x:c>
      <x:c r="D26" s="28"/>
      <x:c r="E26" s="19">
        <x:f>+'Weather Adjustment'!E26</x:f>
        <x:v>11</x:v>
      </x:c>
      <x:c r="F26" s="28"/>
      <x:c r="G26" s="43">
        <x:f>+'[2]RES Model'!$C$33</x:f>
        <x:v>6.0000000000000001E-3</x:v>
      </x:c>
      <x:c r="H26" s="27"/>
      <x:c r="I26" s="27">
        <x:v>19</x:v>
      </x:c>
      <x:c r="J26" s="27"/>
      <x:c r="K26" s="70">
        <x:f>Residential!I26</x:f>
        <x:v>0.79</x:v>
      </x:c>
      <x:c r="L26" s="75"/>
      <x:c r="M26" s="70">
        <x:f>Residential!K26</x:f>
        <x:v>1.04</x:v>
      </x:c>
      <x:c r="N26" s="20"/>
      <x:c r="O26" s="20">
        <x:f>+Residential!M26</x:f>
        <x:v>3456155</x:v>
      </x:c>
      <x:c r="P26" s="20"/>
      <x:c r="Q26" s="20">
        <x:f t="shared" si="0"/>
        <x:v>3456156.04</x:v>
      </x:c>
      <x:c r="R26" s="20">
        <x:f t="shared" si="2"/>
        <x:v>323.71177207200003</x:v>
      </x:c>
      <x:c r="S26" s="20"/>
      <x:c r="T26" s="43">
        <x:f>Residential!R26</x:f>
        <x:v>119.20831744052381</x:v>
      </x:c>
      <x:c r="U26" s="20"/>
      <x:c r="V26" s="43">
        <x:f>Residential!T26</x:f>
        <x:v>65.768035288573657</x:v>
      </x:c>
      <x:c r="W26" s="20"/>
      <x:c r="X26" s="20">
        <x:f t="shared" si="1"/>
        <x:v>184.97635272909747</x:v>
      </x:c>
      <x:c r="Y26" s="20"/>
      <x:c r="Z26" s="43">
        <x:f t="shared" si="3"/>
        <x:v>-53.440282151950157</x:v>
      </x:c>
      <x:c r="AA26" s="20"/>
      <x:c r="AB26" s="20">
        <x:f t="shared" si="4"/>
        <x:v>-17299.24843543546</x:v>
      </x:c>
      <x:c r="AC26" s="20"/>
      <x:c r="AD26" s="95"/>
    </x:row>
    <x:row r="27" spans="1:30" ht="15.5" x14ac:dyDescent="0.35">
      <x:c r="A27" s="91">
        <x:f t="shared" si="5"/>
        <x:v>12</x:v>
      </x:c>
      <x:c r="B27" s="28"/>
      <x:c r="C27" s="62">
        <x:f>+'Weather Adjustment'!C27</x:f>
        <x:v>2024</x:v>
      </x:c>
      <x:c r="D27" s="28"/>
      <x:c r="E27" s="19">
        <x:f>+'Weather Adjustment'!E27</x:f>
        <x:v>12</x:v>
      </x:c>
      <x:c r="F27" s="28"/>
      <x:c r="G27" s="43">
        <x:f>+'[2]RES Model'!$C$33</x:f>
        <x:v>6.0000000000000001E-3</x:v>
      </x:c>
      <x:c r="H27" s="27"/>
      <x:c r="I27" s="27">
        <x:v>19</x:v>
      </x:c>
      <x:c r="J27" s="27"/>
      <x:c r="K27" s="70">
        <x:f>Residential!I27</x:f>
        <x:v>0.79</x:v>
      </x:c>
      <x:c r="L27" s="75"/>
      <x:c r="M27" s="70">
        <x:f>Residential!K27</x:f>
        <x:v>1.04</x:v>
      </x:c>
      <x:c r="N27" s="20"/>
      <x:c r="O27" s="20">
        <x:f>+Residential!M27</x:f>
        <x:v>3462111</x:v>
      </x:c>
      <x:c r="P27" s="20"/>
      <x:c r="Q27" s="20">
        <x:f t="shared" si="0"/>
        <x:v>3462112.04</x:v>
      </x:c>
      <x:c r="R27" s="20">
        <x:f t="shared" si="2"/>
        <x:v>324.26962532640005</x:v>
      </x:c>
      <x:c r="S27" s="20"/>
      <x:c r="T27" s="43">
        <x:f>Residential!R27</x:f>
        <x:v>14.298436466666674</x:v>
      </x:c>
      <x:c r="U27" s="20"/>
      <x:c r="V27" s="43">
        <x:f>Residential!T27</x:f>
        <x:v>10.052166621869391</x:v>
      </x:c>
      <x:c r="W27" s="20"/>
      <x:c r="X27" s="20">
        <x:f t="shared" si="1"/>
        <x:v>24.350603088536065</x:v>
      </x:c>
      <x:c r="Y27" s="20"/>
      <x:c r="Z27" s="66">
        <x:f t="shared" si="3"/>
        <x:v>-4.2462698447972826</x:v>
      </x:c>
      <x:c r="AA27" s="20"/>
      <x:c r="AB27" s="20">
        <x:f t="shared" si="4"/>
        <x:v>-1376.9363316072058</x:v>
      </x:c>
      <x:c r="AC27" s="20"/>
      <x:c r="AD27" s="95"/>
    </x:row>
    <x:row r="28" spans="1:30" ht="15.5" x14ac:dyDescent="0.35">
      <x:c r="A28" s="91">
        <x:f t="shared" si="5"/>
        <x:v>13</x:v>
      </x:c>
      <x:c r="B28" s="28"/>
      <x:c r="C28" s="28" t="s">
        <x:v>8</x:v>
      </x:c>
      <x:c r="D28" s="28"/>
      <x:c r="E28" s="28"/>
      <x:c r="F28" s="28"/>
      <x:c r="G28" s="96"/>
      <x:c r="H28" s="27"/>
      <x:c r="I28" s="72"/>
      <x:c r="J28" s="27"/>
      <x:c r="K28" s="96"/>
      <x:c r="L28" s="27"/>
      <x:c r="M28" s="96"/>
      <x:c r="N28" s="96"/>
      <x:c r="O28" s="96"/>
      <x:c r="P28" s="96"/>
      <x:c r="Q28" s="96">
        <x:f>SUM(Q22:Q27)</x:f>
        <x:v>20685736.279999997</x:v>
      </x:c>
      <x:c r="R28" s="96"/>
      <x:c r="S28" s="96"/>
      <x:c r="T28" s="96">
        <x:f>SUM(T16:T27)</x:f>
        <x:v>1986.4240758815238</x:v>
      </x:c>
      <x:c r="U28" s="96"/>
      <x:c r="V28" s="96">
        <x:f>SUM(V16:V27)</x:f>
        <x:v>1834.4963357351348</x:v>
      </x:c>
      <x:c r="W28" s="96"/>
      <x:c r="X28" s="96">
        <x:f>SUM(X22:X27)</x:f>
        <x:v>3134.1403149643834</x:v>
      </x:c>
      <x:c r="Y28" s="96"/>
      <x:c r="Z28" s="43">
        <x:f t="shared" si="3"/>
        <x:v>-151.92774014638894</x:v>
      </x:c>
      <x:c r="AA28" s="27"/>
      <x:c r="AB28" s="96">
        <x:f>SUM(AB16:AB27)</x:f>
        <x:v>-49168.611416043539</x:v>
      </x:c>
      <x:c r="AC28" s="96"/>
      <x:c r="AD28" s="27"/>
    </x:row>
    <x:row r="29" spans="1:30" ht="15.5" x14ac:dyDescent="0.35">
      <x:c r="A29" s="91">
        <x:f t="shared" si="5"/>
        <x:v>14</x:v>
      </x:c>
      <x:c r="B29" s="28"/>
      <x:c r="C29" s="28"/>
      <x:c r="D29" s="28"/>
      <x:c r="E29" s="28"/>
      <x:c r="F29" s="28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  <x:c r="AC29" s="27"/>
    </x:row>
    <x:row r="30" spans="1:30" ht="15.5" x14ac:dyDescent="0.35">
      <x:c r="A30" s="91">
        <x:f t="shared" si="5"/>
        <x:v>15</x:v>
      </x:c>
      <x:c r="B30" s="28"/>
      <x:c r="C30" s="28"/>
      <x:c r="D30" s="28"/>
      <x:c r="E30" s="28"/>
      <x:c r="F30" s="28"/>
      <x:c r="G30" s="87" t="s">
        <x:v>32</x:v>
      </x:c>
      <x:c r="H30" s="27"/>
      <x:c r="I30" s="27"/>
      <x:c r="J30" s="27"/>
      <x:c r="K30" s="101" t="s">
        <x:v>33</x:v>
      </x:c>
      <x:c r="L30" s="101"/>
      <x:c r="M30" s="101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87"/>
      <x:c r="Y30" s="27"/>
      <x:c r="Z30" s="87"/>
      <x:c r="AA30" s="87"/>
      <x:c r="AB30" s="87" t="s">
        <x:v>34</x:v>
      </x:c>
      <x:c r="AC30" s="33"/>
    </x:row>
    <x:row r="31" spans="1:30" ht="15.5" x14ac:dyDescent="0.35">
      <x:c r="A31" s="91">
        <x:f t="shared" si="5"/>
        <x:v>16</x:v>
      </x:c>
      <x:c r="B31" s="86"/>
      <x:c r="C31" s="86" t="s">
        <x:v>1</x:v>
      </x:c>
      <x:c r="D31" s="86"/>
      <x:c r="E31" s="86" t="s">
        <x:v>2</x:v>
      </x:c>
      <x:c r="F31" s="28"/>
      <x:c r="G31" s="87" t="s">
        <x:v>14</x:v>
      </x:c>
      <x:c r="H31" s="87"/>
      <x:c r="I31" s="87"/>
      <x:c r="J31" s="87"/>
      <x:c r="K31" s="88" t="s">
        <x:v>56</x:v>
      </x:c>
      <x:c r="L31" s="87"/>
      <x:c r="M31" s="88" t="s">
        <x:v>57</x:v>
      </x:c>
      <x:c r="N31" s="87"/>
      <x:c r="O31" s="87" t="s">
        <x:v>21</x:v>
      </x:c>
      <x:c r="P31" s="87"/>
      <x:c r="Q31" s="87" t="s">
        <x:v>4</x:v>
      </x:c>
      <x:c r="R31" s="88" t="s">
        <x:v>35</x:v>
      </x:c>
      <x:c r="S31" s="27"/>
      <x:c r="T31" s="27" t="s">
        <x:v>36</x:v>
      </x:c>
      <x:c r="U31" s="27"/>
      <x:c r="V31" s="27" t="s">
        <x:v>37</x:v>
      </x:c>
      <x:c r="W31" s="27"/>
      <x:c r="X31" s="88" t="s">
        <x:v>5</x:v>
      </x:c>
      <x:c r="Y31" s="27"/>
      <x:c r="Z31" s="87" t="s">
        <x:v>38</x:v>
      </x:c>
      <x:c r="AA31" s="87"/>
      <x:c r="AB31" s="87" t="s">
        <x:v>9</x:v>
      </x:c>
      <x:c r="AC31" s="87"/>
    </x:row>
    <x:row r="32" spans="1:30" ht="15.5" x14ac:dyDescent="0.35">
      <x:c r="A32" s="91">
        <x:f t="shared" si="5"/>
        <x:v>17</x:v>
      </x:c>
      <x:c r="B32" s="28"/>
      <x:c r="C32" s="28"/>
      <x:c r="D32" s="28"/>
      <x:c r="E32" s="28"/>
      <x:c r="F32" s="28"/>
      <x:c r="G32" s="89" t="s">
        <x:v>63</x:v>
      </x:c>
      <x:c r="H32" s="40"/>
      <x:c r="I32" s="40"/>
      <x:c r="J32" s="40"/>
      <x:c r="K32" s="89" t="s">
        <x:v>64</x:v>
      </x:c>
      <x:c r="L32" s="40"/>
      <x:c r="M32" s="89" t="s">
        <x:v>65</x:v>
      </x:c>
      <x:c r="N32" s="40"/>
      <x:c r="O32" s="89" t="s">
        <x:v>66</x:v>
      </x:c>
      <x:c r="P32" s="40"/>
      <x:c r="Q32" s="40"/>
      <x:c r="R32" s="40" t="s">
        <x:v>67</x:v>
      </x:c>
      <x:c r="S32" s="40"/>
      <x:c r="T32" s="89" t="s">
        <x:v>68</x:v>
      </x:c>
      <x:c r="U32" s="40"/>
      <x:c r="V32" s="89" t="s">
        <x:v>69</x:v>
      </x:c>
      <x:c r="W32" s="40"/>
      <x:c r="X32" s="40"/>
      <x:c r="Y32" s="40"/>
      <x:c r="Z32" s="89" t="s">
        <x:v>109</x:v>
      </x:c>
      <x:c r="AA32" s="40"/>
      <x:c r="AB32" s="89" t="s">
        <x:v>110</x:v>
      </x:c>
      <x:c r="AC32" s="40"/>
    </x:row>
    <x:row r="33" spans="1:30" ht="15.5" x14ac:dyDescent="0.35">
      <x:c r="A33" s="91">
        <x:f t="shared" si="5"/>
        <x:v>18</x:v>
      </x:c>
      <x:c r="B33" s="28"/>
      <x:c r="C33" s="28"/>
      <x:c r="D33" s="28"/>
      <x:c r="E33" s="28"/>
      <x:c r="F33" s="28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  <x:c r="AC33" s="27"/>
    </x:row>
    <x:row r="34" spans="1:30" ht="15.5" x14ac:dyDescent="0.35">
      <x:c r="A34" s="91">
        <x:f t="shared" si="5"/>
        <x:v>19</x:v>
      </x:c>
      <x:c r="B34" s="28"/>
      <x:c r="C34" s="92">
        <x:f t="shared" ref="C34:C45" si="6">+C16</x:f>
        <x:v>2024</x:v>
      </x:c>
      <x:c r="D34" s="28"/>
      <x:c r="E34" s="19">
        <x:f>+E16</x:f>
        <x:v>1</x:v>
      </x:c>
      <x:c r="G34" s="44">
        <x:f>+'[2]RES Model'!$C$32</x:f>
        <x:v>7.0000000000000001E-3</x:v>
      </x:c>
      <x:c r="H34" s="27"/>
      <x:c r="I34" s="27">
        <x:v>19</x:v>
      </x:c>
      <x:c r="J34" s="27"/>
      <x:c r="K34" s="70">
        <x:f>Residential!I34</x:f>
        <x:v>0.99</x:v>
      </x:c>
      <x:c r="L34" s="75"/>
      <x:c r="M34" s="70">
        <x:f>Residential!K34</x:f>
        <x:v>1.04</x:v>
      </x:c>
      <x:c r="N34" s="27"/>
      <x:c r="O34" s="27">
        <x:f t="shared" ref="O34:O45" si="7">O16</x:f>
        <x:v>3396604</x:v>
      </x:c>
      <x:c r="P34" s="27"/>
      <x:c r="Q34" s="29"/>
      <x:c r="R34" s="20">
        <x:f t="shared" ref="R34:R44" si="8">PRODUCT(G34,I34,K34,M34,O34)/1000</x:f>
        <x:v>465.12008262720013</x:v>
      </x:c>
      <x:c r="S34" s="28"/>
      <x:c r="T34" s="43">
        <x:f>Residential!R34</x:f>
        <x:v>192.04714102833336</x:v>
      </x:c>
      <x:c r="U34" s="20">
        <x:f t="shared" ref="U34:U45" si="9">U16</x:f>
        <x:v>0</x:v>
      </x:c>
      <x:c r="V34" s="43">
        <x:f>Residential!T34</x:f>
        <x:v>213.47102380845581</x:v>
      </x:c>
      <x:c r="W34" s="28"/>
      <x:c r="X34" s="28"/>
      <x:c r="Y34" s="28"/>
      <x:c r="Z34" s="43">
        <x:f t="shared" ref="Z34:Z45" si="10">+V34-T34</x:f>
        <x:v>21.423882780122455</x:v>
      </x:c>
      <x:c r="AA34" s="28"/>
      <x:c r="AB34" s="20">
        <x:f>+R34*Z34</x:f>
        <x:v>9964.6781288860057</x:v>
      </x:c>
      <x:c r="AC34" s="28"/>
      <x:c r="AD34" s="95"/>
    </x:row>
    <x:row r="35" spans="1:30" ht="15.5" x14ac:dyDescent="0.35">
      <x:c r="A35" s="91">
        <x:f t="shared" si="5"/>
        <x:v>20</x:v>
      </x:c>
      <x:c r="B35" s="28"/>
      <x:c r="C35" s="92">
        <x:f t="shared" si="6"/>
        <x:v>2024</x:v>
      </x:c>
      <x:c r="D35" s="28"/>
      <x:c r="E35" s="19">
        <x:f t="shared" ref="E35:E45" si="11">+E17</x:f>
        <x:v>2</x:v>
      </x:c>
      <x:c r="G35" s="44">
        <x:f>+'[2]RES Model'!$C$32</x:f>
        <x:v>7.0000000000000001E-3</x:v>
      </x:c>
      <x:c r="H35" s="27"/>
      <x:c r="I35" s="27">
        <x:v>19</x:v>
      </x:c>
      <x:c r="J35" s="27"/>
      <x:c r="K35" s="70">
        <x:f>Residential!I35</x:f>
        <x:v>0.99</x:v>
      </x:c>
      <x:c r="L35" s="75"/>
      <x:c r="M35" s="70">
        <x:f>Residential!K35</x:f>
        <x:v>1.04</x:v>
      </x:c>
      <x:c r="N35" s="27"/>
      <x:c r="O35" s="27">
        <x:f t="shared" si="7"/>
        <x:v>3401024</x:v>
      </x:c>
      <x:c r="P35" s="27"/>
      <x:c r="Q35" s="29"/>
      <x:c r="R35" s="20">
        <x:f t="shared" si="8"/>
        <x:v>465.72534328320012</x:v>
      </x:c>
      <x:c r="S35" s="28"/>
      <x:c r="T35" s="43">
        <x:f>Residential!R35</x:f>
        <x:v>260.83933380804763</x:v>
      </x:c>
      <x:c r="U35" s="20">
        <x:f t="shared" si="9"/>
        <x:v>0</x:v>
      </x:c>
      <x:c r="V35" s="43">
        <x:f>Residential!T35</x:f>
        <x:v>221.39090221158963</x:v>
      </x:c>
      <x:c r="W35" s="28"/>
      <x:c r="X35" s="28"/>
      <x:c r="Y35" s="28"/>
      <x:c r="Z35" s="43">
        <x:f>+V35-T35</x:f>
        <x:v>-39.448431596457993</x:v>
      </x:c>
      <x:c r="AA35" s="28"/>
      <x:c r="AB35" s="20">
        <x:f t="shared" ref="AB35:AB45" si="12">+R35*Z35</x:f>
        <x:v>-18372.134347244239</x:v>
      </x:c>
      <x:c r="AC35" s="28"/>
      <x:c r="AD35" s="95"/>
    </x:row>
    <x:row r="36" spans="1:30" ht="15.5" x14ac:dyDescent="0.35">
      <x:c r="A36" s="91">
        <x:f t="shared" si="5"/>
        <x:v>21</x:v>
      </x:c>
      <x:c r="B36" s="28"/>
      <x:c r="C36" s="92">
        <x:f t="shared" si="6"/>
        <x:v>2024</x:v>
      </x:c>
      <x:c r="D36" s="28"/>
      <x:c r="E36" s="19">
        <x:f t="shared" si="11"/>
        <x:v>3</x:v>
      </x:c>
      <x:c r="G36" s="44">
        <x:f>+'[2]RES Model'!$C$32</x:f>
        <x:v>7.0000000000000001E-3</x:v>
      </x:c>
      <x:c r="H36" s="27"/>
      <x:c r="I36" s="27">
        <x:v>19</x:v>
      </x:c>
      <x:c r="J36" s="27"/>
      <x:c r="K36" s="70">
        <x:f>Residential!I36</x:f>
        <x:v>0.99</x:v>
      </x:c>
      <x:c r="L36" s="75"/>
      <x:c r="M36" s="70">
        <x:f>Residential!K36</x:f>
        <x:v>1.05</x:v>
      </x:c>
      <x:c r="N36" s="27"/>
      <x:c r="O36" s="27">
        <x:f t="shared" si="7"/>
        <x:v>3407140</x:v>
      </x:c>
      <x:c r="P36" s="27"/>
      <x:c r="Q36" s="29"/>
      <x:c r="R36" s="20">
        <x:f t="shared" si="8"/>
        <x:v>471.04902999000012</x:v>
      </x:c>
      <x:c r="S36" s="28"/>
      <x:c r="T36" s="43">
        <x:f>Residential!R36</x:f>
        <x:v>65.576036338333324</x:v>
      </x:c>
      <x:c r="U36" s="20">
        <x:f t="shared" si="9"/>
        <x:v>0</x:v>
      </x:c>
      <x:c r="V36" s="43">
        <x:f>Residential!T36</x:f>
        <x:v>149.60668225189107</x:v>
      </x:c>
      <x:c r="W36" s="28"/>
      <x:c r="X36" s="28"/>
      <x:c r="Y36" s="28"/>
      <x:c r="Z36" s="43">
        <x:f t="shared" si="10"/>
        <x:v>84.030645913557748</x:v>
      </x:c>
      <x:c r="AA36" s="28"/>
      <x:c r="AB36" s="20">
        <x:f t="shared" si="12"/>
        <x:v>39582.554247014545</x:v>
      </x:c>
      <x:c r="AC36" s="28"/>
      <x:c r="AD36" s="95"/>
    </x:row>
    <x:row r="37" spans="1:30" ht="15.5" x14ac:dyDescent="0.35">
      <x:c r="A37" s="91">
        <x:f t="shared" si="5"/>
        <x:v>22</x:v>
      </x:c>
      <x:c r="B37" s="28"/>
      <x:c r="C37" s="92">
        <x:f t="shared" si="6"/>
        <x:v>2024</x:v>
      </x:c>
      <x:c r="D37" s="28"/>
      <x:c r="E37" s="19">
        <x:f t="shared" si="11"/>
        <x:v>4</x:v>
      </x:c>
      <x:c r="G37" s="44">
        <x:f>+'[2]RES Model'!$C$32</x:f>
        <x:v>7.0000000000000001E-3</x:v>
      </x:c>
      <x:c r="H37" s="27"/>
      <x:c r="I37" s="27">
        <x:v>19</x:v>
      </x:c>
      <x:c r="J37" s="27"/>
      <x:c r="K37" s="70">
        <x:f>Residential!I37</x:f>
        <x:v>0.99</x:v>
      </x:c>
      <x:c r="L37" s="75"/>
      <x:c r="M37" s="70">
        <x:f>Residential!K37</x:f>
        <x:v>1.04</x:v>
      </x:c>
      <x:c r="N37" s="27"/>
      <x:c r="O37" s="27">
        <x:f t="shared" si="7"/>
        <x:v>3413927</x:v>
      </x:c>
      <x:c r="P37" s="27"/>
      <x:c r="Q37" s="29"/>
      <x:c r="R37" s="20">
        <x:f t="shared" si="8"/>
        <x:v>467.49223881360007</x:v>
      </x:c>
      <x:c r="S37" s="28"/>
      <x:c r="T37" s="43">
        <x:f>Residential!R37</x:f>
        <x:v>25.940125403904759</x:v>
      </x:c>
      <x:c r="U37" s="20">
        <x:f t="shared" si="9"/>
        <x:v>0</x:v>
      </x:c>
      <x:c r="V37" s="43">
        <x:f>Residential!T37</x:f>
        <x:v>45.106131414919375</x:v>
      </x:c>
      <x:c r="W37" s="28"/>
      <x:c r="X37" s="28"/>
      <x:c r="Y37" s="28"/>
      <x:c r="Z37" s="43">
        <x:f t="shared" si="10"/>
        <x:v>19.166006011014616</x:v>
      </x:c>
      <x:c r="AA37" s="28"/>
      <x:c r="AB37" s="20">
        <x:f t="shared" si="12"/>
        <x:v>8959.9590592041386</x:v>
      </x:c>
      <x:c r="AC37" s="28"/>
      <x:c r="AD37" s="95"/>
    </x:row>
    <x:row r="38" spans="1:30" ht="15.5" x14ac:dyDescent="0.35">
      <x:c r="A38" s="91">
        <x:f t="shared" si="5"/>
        <x:v>23</x:v>
      </x:c>
      <x:c r="B38" s="28"/>
      <x:c r="C38" s="92">
        <x:f t="shared" si="6"/>
        <x:v>2024</x:v>
      </x:c>
      <x:c r="D38" s="28"/>
      <x:c r="E38" s="19">
        <x:f t="shared" si="11"/>
        <x:v>5</x:v>
      </x:c>
      <x:c r="G38" s="44">
        <x:f>+'[2]RES Model'!$C$32</x:f>
        <x:v>7.0000000000000001E-3</x:v>
      </x:c>
      <x:c r="H38" s="27"/>
      <x:c r="I38" s="27">
        <x:v>19</x:v>
      </x:c>
      <x:c r="J38" s="27"/>
      <x:c r="K38" s="70">
        <x:f>Residential!I38</x:f>
        <x:v>0.99</x:v>
      </x:c>
      <x:c r="L38" s="75"/>
      <x:c r="M38" s="70">
        <x:f>Residential!K38</x:f>
        <x:v>1.04</x:v>
      </x:c>
      <x:c r="N38" s="27"/>
      <x:c r="O38" s="27">
        <x:f t="shared" si="7"/>
        <x:v>3421241</x:v>
      </x:c>
      <x:c r="P38" s="27"/>
      <x:c r="Q38" s="29"/>
      <x:c r="R38" s="20">
        <x:f t="shared" si="8"/>
        <x:v>468.49379456880007</x:v>
      </x:c>
      <x:c r="S38" s="28"/>
      <x:c r="T38" s="43">
        <x:f>Residential!R38</x:f>
        <x:v>4.9216688563333317</x:v>
      </x:c>
      <x:c r="U38" s="20">
        <x:f t="shared" si="9"/>
        <x:v>0</x:v>
      </x:c>
      <x:c r="V38" s="43">
        <x:f>Residential!T38</x:f>
        <x:v>10.403559387118754</x:v>
      </x:c>
      <x:c r="W38" s="28"/>
      <x:c r="X38" s="28"/>
      <x:c r="Y38" s="28"/>
      <x:c r="Z38" s="43">
        <x:f t="shared" si="10"/>
        <x:v>5.4818905307854227</x:v>
      </x:c>
      <x:c r="AA38" s="28"/>
      <x:c r="AB38" s="20">
        <x:f t="shared" si="12"/>
        <x:v>2568.2316961784363</x:v>
      </x:c>
      <x:c r="AC38" s="28"/>
      <x:c r="AD38" s="95"/>
    </x:row>
    <x:row r="39" spans="1:30" ht="15.5" x14ac:dyDescent="0.35">
      <x:c r="A39" s="91">
        <x:f t="shared" si="5"/>
        <x:v>24</x:v>
      </x:c>
      <x:c r="B39" s="28"/>
      <x:c r="C39" s="92">
        <x:f t="shared" si="6"/>
        <x:v>2024</x:v>
      </x:c>
      <x:c r="D39" s="28"/>
      <x:c r="E39" s="19">
        <x:f t="shared" si="11"/>
        <x:v>6</x:v>
      </x:c>
      <x:c r="G39" s="44">
        <x:f>+'[2]RES Model'!$C$32</x:f>
        <x:v>7.0000000000000001E-3</x:v>
      </x:c>
      <x:c r="H39" s="27"/>
      <x:c r="I39" s="27">
        <x:v>19</x:v>
      </x:c>
      <x:c r="J39" s="27"/>
      <x:c r="K39" s="70">
        <x:f>Residential!I39</x:f>
        <x:v>0.99</x:v>
      </x:c>
      <x:c r="L39" s="75"/>
      <x:c r="M39" s="70">
        <x:f>Residential!K39</x:f>
        <x:v>1.04</x:v>
      </x:c>
      <x:c r="N39" s="27"/>
      <x:c r="O39" s="27">
        <x:f t="shared" si="7"/>
        <x:v>3425884</x:v>
      </x:c>
      <x:c r="P39" s="27"/>
      <x:c r="Q39" s="29"/>
      <x:c r="R39" s="20">
        <x:f t="shared" si="8"/>
        <x:v>469.12959213120007</x:v>
      </x:c>
      <x:c r="S39" s="28"/>
      <x:c r="T39" s="43">
        <x:f>Residential!R39</x:f>
        <x:v>5.8687520000000005E-3</x:v>
      </x:c>
      <x:c r="U39" s="20">
        <x:f t="shared" si="9"/>
        <x:v>0</x:v>
      </x:c>
      <x:c r="V39" s="43">
        <x:f>Residential!T39</x:f>
        <x:v>1.0969640523715374</x:v>
      </x:c>
      <x:c r="W39" s="28"/>
      <x:c r="X39" s="28"/>
      <x:c r="Y39" s="28"/>
      <x:c r="Z39" s="43">
        <x:f t="shared" si="10"/>
        <x:v>1.0910953003715373</x:v>
      </x:c>
      <x:c r="AA39" s="28"/>
      <x:c r="AB39" s="20">
        <x:f t="shared" si="12"/>
        <x:v>511.86509323956852</x:v>
      </x:c>
      <x:c r="AC39" s="28"/>
      <x:c r="AD39" s="95"/>
    </x:row>
    <x:row r="40" spans="1:30" ht="15.5" x14ac:dyDescent="0.35">
      <x:c r="A40" s="91">
        <x:f t="shared" si="5"/>
        <x:v>25</x:v>
      </x:c>
      <x:c r="B40" s="28"/>
      <x:c r="C40" s="92">
        <x:f t="shared" si="6"/>
        <x:v>2024</x:v>
      </x:c>
      <x:c r="D40" s="28"/>
      <x:c r="E40" s="19">
        <x:f t="shared" si="11"/>
        <x:v>7</x:v>
      </x:c>
      <x:c r="F40" s="93"/>
      <x:c r="G40" s="44">
        <x:f>+'[2]RES Model'!$C$32</x:f>
        <x:v>7.0000000000000001E-3</x:v>
      </x:c>
      <x:c r="H40" s="28"/>
      <x:c r="I40" s="27">
        <x:v>19</x:v>
      </x:c>
      <x:c r="J40" s="28"/>
      <x:c r="K40" s="70">
        <x:f>Residential!I40</x:f>
        <x:v>0.99</x:v>
      </x:c>
      <x:c r="L40" s="75"/>
      <x:c r="M40" s="70">
        <x:f>Residential!K40</x:f>
        <x:v>1.05</x:v>
      </x:c>
      <x:c r="N40" s="28"/>
      <x:c r="O40" s="27">
        <x:f t="shared" si="7"/>
        <x:v>3432967</x:v>
      </x:c>
      <x:c r="P40" s="27"/>
      <x:c r="Q40" s="27"/>
      <x:c r="R40" s="20">
        <x:f t="shared" si="8"/>
        <x:v>474.61970313450007</x:v>
      </x:c>
      <x:c r="S40" s="27"/>
      <x:c r="T40" s="43">
        <x:f>Residential!R40</x:f>
        <x:v>0</x:v>
      </x:c>
      <x:c r="U40" s="20">
        <x:f t="shared" si="9"/>
        <x:v>0</x:v>
      </x:c>
      <x:c r="V40" s="43">
        <x:f>Residential!T40</x:f>
        <x:v>8.7872203653353732E-3</x:v>
      </x:c>
      <x:c r="W40" s="27"/>
      <x:c r="X40" s="27"/>
      <x:c r="Y40" s="27"/>
      <x:c r="Z40" s="43">
        <x:f t="shared" si="10"/>
        <x:v>8.7872203653353732E-3</x:v>
      </x:c>
      <x:c r="AA40" s="27"/>
      <x:c r="AB40" s="20">
        <x:f t="shared" si="12"/>
        <x:v>4.170587921172908</x:v>
      </x:c>
      <x:c r="AC40" s="27"/>
      <x:c r="AD40" s="95"/>
    </x:row>
    <x:row r="41" spans="1:30" ht="15.5" x14ac:dyDescent="0.35">
      <x:c r="A41" s="91">
        <x:f t="shared" si="5"/>
        <x:v>26</x:v>
      </x:c>
      <x:c r="B41" s="28"/>
      <x:c r="C41" s="92">
        <x:f t="shared" si="6"/>
        <x:v>2024</x:v>
      </x:c>
      <x:c r="D41" s="28"/>
      <x:c r="E41" s="19">
        <x:f t="shared" si="11"/>
        <x:v>8</x:v>
      </x:c>
      <x:c r="G41" s="44">
        <x:f>+'[2]RES Model'!$C$32</x:f>
        <x:v>7.0000000000000001E-3</x:v>
      </x:c>
      <x:c r="H41" s="27"/>
      <x:c r="I41" s="27">
        <x:v>19</x:v>
      </x:c>
      <x:c r="J41" s="27"/>
      <x:c r="K41" s="70">
        <x:f>Residential!I41</x:f>
        <x:v>0.99</x:v>
      </x:c>
      <x:c r="L41" s="75"/>
      <x:c r="M41" s="70">
        <x:f>Residential!K41</x:f>
        <x:v>1.06</x:v>
      </x:c>
      <x:c r="N41" s="27"/>
      <x:c r="O41" s="27">
        <x:f t="shared" si="7"/>
        <x:v>3439507</x:v>
      </x:c>
      <x:c r="P41" s="27"/>
      <x:c r="Q41" s="29"/>
      <x:c r="R41" s="20">
        <x:f t="shared" si="8"/>
        <x:v>480.05267989140003</x:v>
      </x:c>
      <x:c r="S41" s="27"/>
      <x:c r="T41" s="43">
        <x:f>Residential!R41</x:f>
        <x:v>0</x:v>
      </x:c>
      <x:c r="U41" s="20">
        <x:f t="shared" si="9"/>
        <x:v>0</x:v>
      </x:c>
      <x:c r="V41" s="43">
        <x:f>Residential!T41</x:f>
        <x:v>3.3797378853046584E-4</x:v>
      </x:c>
      <x:c r="W41" s="27"/>
      <x:c r="X41" s="27"/>
      <x:c r="Y41" s="27"/>
      <x:c r="Z41" s="43">
        <x:f t="shared" si="10"/>
        <x:v>3.3797378853046584E-4</x:v>
      </x:c>
      <x:c r="AA41" s="27"/>
      <x:c r="AB41" s="20">
        <x:f t="shared" si="12"/>
        <x:v>0.16224522291709945</x:v>
      </x:c>
      <x:c r="AC41" s="27"/>
      <x:c r="AD41" s="95"/>
    </x:row>
    <x:row r="42" spans="1:30" ht="15.5" x14ac:dyDescent="0.35">
      <x:c r="A42" s="91">
        <x:f t="shared" si="5"/>
        <x:v>27</x:v>
      </x:c>
      <x:c r="B42" s="28"/>
      <x:c r="C42" s="92">
        <x:f t="shared" si="6"/>
        <x:v>2024</x:v>
      </x:c>
      <x:c r="D42" s="28"/>
      <x:c r="E42" s="19">
        <x:f t="shared" si="11"/>
        <x:v>9</x:v>
      </x:c>
      <x:c r="G42" s="44">
        <x:f>+'[2]RES Model'!$C$32</x:f>
        <x:v>7.0000000000000001E-3</x:v>
      </x:c>
      <x:c r="H42" s="27"/>
      <x:c r="I42" s="27">
        <x:v>19</x:v>
      </x:c>
      <x:c r="J42" s="27"/>
      <x:c r="K42" s="70">
        <x:f>Residential!I42</x:f>
        <x:v>0.99</x:v>
      </x:c>
      <x:c r="L42" s="75"/>
      <x:c r="M42" s="70">
        <x:f>Residential!K42</x:f>
        <x:v>1.05</x:v>
      </x:c>
      <x:c r="N42" s="27"/>
      <x:c r="O42" s="27">
        <x:f t="shared" si="7"/>
        <x:v>3444509</x:v>
      </x:c>
      <x:c r="P42" s="27"/>
      <x:c r="Q42" s="29"/>
      <x:c r="R42" s="20">
        <x:f t="shared" si="8"/>
        <x:v>476.2154250315001</x:v>
      </x:c>
      <x:c r="S42" s="27"/>
      <x:c r="T42" s="43">
        <x:f>Residential!R42</x:f>
        <x:v>0</x:v>
      </x:c>
      <x:c r="U42" s="20">
        <x:f t="shared" si="9"/>
        <x:v>0</x:v>
      </x:c>
      <x:c r="V42" s="43">
        <x:f>Residential!T42</x:f>
        <x:v>3.5522033608371743E-2</x:v>
      </x:c>
      <x:c r="W42" s="27"/>
      <x:c r="X42" s="27"/>
      <x:c r="Y42" s="27"/>
      <x:c r="Z42" s="43">
        <x:f t="shared" si="10"/>
        <x:v>3.5522033608371743E-2</x:v>
      </x:c>
      <x:c r="AA42" s="27"/>
      <x:c r="AB42" s="20">
        <x:f t="shared" si="12"/>
        <x:v>16.916140332793979</x:v>
      </x:c>
      <x:c r="AC42" s="27"/>
      <x:c r="AD42" s="95"/>
    </x:row>
    <x:row r="43" spans="1:30" ht="15.5" x14ac:dyDescent="0.35">
      <x:c r="A43" s="91">
        <x:f t="shared" si="5"/>
        <x:v>28</x:v>
      </x:c>
      <x:c r="B43" s="28"/>
      <x:c r="C43" s="92">
        <x:f t="shared" si="6"/>
        <x:v>2024</x:v>
      </x:c>
      <x:c r="D43" s="28"/>
      <x:c r="E43" s="19">
        <x:f t="shared" si="11"/>
        <x:v>10</x:v>
      </x:c>
      <x:c r="G43" s="44">
        <x:f>+'[2]RES Model'!$C$32</x:f>
        <x:v>7.0000000000000001E-3</x:v>
      </x:c>
      <x:c r="H43" s="27"/>
      <x:c r="I43" s="27">
        <x:v>19</x:v>
      </x:c>
      <x:c r="J43" s="27"/>
      <x:c r="K43" s="70">
        <x:f>Residential!I43</x:f>
        <x:v>0.99</x:v>
      </x:c>
      <x:c r="L43" s="75"/>
      <x:c r="M43" s="70">
        <x:f>Residential!K43</x:f>
        <x:v>1.05</x:v>
      </x:c>
      <x:c r="N43" s="27"/>
      <x:c r="O43" s="27">
        <x:f t="shared" si="7"/>
        <x:v>3450481</x:v>
      </x:c>
      <x:c r="P43" s="27"/>
      <x:c r="Q43" s="29"/>
      <x:c r="R43" s="20">
        <x:f t="shared" si="8"/>
        <x:v>477.04107493350011</x:v>
      </x:c>
      <x:c r="S43" s="27"/>
      <x:c r="T43" s="43">
        <x:f>Residential!R43</x:f>
        <x:v>0.16908012819047613</x:v>
      </x:c>
      <x:c r="U43" s="20">
        <x:f t="shared" si="9"/>
        <x:v>0</x:v>
      </x:c>
      <x:c r="V43" s="43">
        <x:f>Residential!T43</x:f>
        <x:v>1.9478264295708587</x:v>
      </x:c>
      <x:c r="W43" s="27"/>
      <x:c r="X43" s="27"/>
      <x:c r="Y43" s="27"/>
      <x:c r="Z43" s="43">
        <x:f t="shared" si="10"/>
        <x:v>1.7787463013803826</x:v>
      </x:c>
      <x:c r="AA43" s="27"/>
      <x:c r="AB43" s="20">
        <x:f t="shared" si="12"/>
        <x:v>848.5350476444853</x:v>
      </x:c>
      <x:c r="AC43" s="27"/>
      <x:c r="AD43" s="95"/>
    </x:row>
    <x:row r="44" spans="1:30" ht="15.5" x14ac:dyDescent="0.35">
      <x:c r="A44" s="91">
        <x:f t="shared" si="5"/>
        <x:v>29</x:v>
      </x:c>
      <x:c r="B44" s="28"/>
      <x:c r="C44" s="92">
        <x:f t="shared" si="6"/>
        <x:v>2024</x:v>
      </x:c>
      <x:c r="D44" s="28"/>
      <x:c r="E44" s="19">
        <x:f t="shared" si="11"/>
        <x:v>11</x:v>
      </x:c>
      <x:c r="G44" s="44">
        <x:f>+'[2]RES Model'!$C$32</x:f>
        <x:v>7.0000000000000001E-3</x:v>
      </x:c>
      <x:c r="H44" s="27"/>
      <x:c r="I44" s="27">
        <x:v>19</x:v>
      </x:c>
      <x:c r="J44" s="27"/>
      <x:c r="K44" s="70">
        <x:f>Residential!I44</x:f>
        <x:v>0.99</x:v>
      </x:c>
      <x:c r="L44" s="75"/>
      <x:c r="M44" s="70">
        <x:f>Residential!K44</x:f>
        <x:v>1.04</x:v>
      </x:c>
      <x:c r="N44" s="27"/>
      <x:c r="O44" s="27">
        <x:f t="shared" si="7"/>
        <x:v>3456155</x:v>
      </x:c>
      <x:c r="P44" s="27"/>
      <x:c r="Q44" s="29"/>
      <x:c r="R44" s="20">
        <x:f t="shared" si="8"/>
        <x:v>473.27480600400008</x:v>
      </x:c>
      <x:c r="S44" s="28"/>
      <x:c r="T44" s="43">
        <x:f>Residential!R44</x:f>
        <x:v>2.4301901530952374</x:v>
      </x:c>
      <x:c r="U44" s="20">
        <x:f t="shared" si="9"/>
        <x:v>0</x:v>
      </x:c>
      <x:c r="V44" s="43">
        <x:f>Residential!T44</x:f>
        <x:v>27.452625671155264</x:v>
      </x:c>
      <x:c r="W44" s="28"/>
      <x:c r="X44" s="28"/>
      <x:c r="Y44" s="28"/>
      <x:c r="Z44" s="43">
        <x:f t="shared" si="10"/>
        <x:v>25.022435518060028</x:v>
      </x:c>
      <x:c r="AA44" s="28"/>
      <x:c r="AB44" s="20">
        <x:f t="shared" si="12"/>
        <x:v>11842.488315557461</x:v>
      </x:c>
      <x:c r="AC44" s="28"/>
      <x:c r="AD44" s="95"/>
    </x:row>
    <x:row r="45" spans="1:30" ht="15.5" x14ac:dyDescent="0.35">
      <x:c r="A45" s="91">
        <x:f t="shared" si="5"/>
        <x:v>30</x:v>
      </x:c>
      <x:c r="B45" s="28"/>
      <x:c r="C45" s="92">
        <x:f t="shared" si="6"/>
        <x:v>2024</x:v>
      </x:c>
      <x:c r="D45" s="28"/>
      <x:c r="E45" s="19">
        <x:f t="shared" si="11"/>
        <x:v>12</x:v>
      </x:c>
      <x:c r="G45" s="44">
        <x:f>+'[2]RES Model'!$C$32</x:f>
        <x:v>7.0000000000000001E-3</x:v>
      </x:c>
      <x:c r="H45" s="27"/>
      <x:c r="I45" s="27">
        <x:v>19</x:v>
      </x:c>
      <x:c r="J45" s="27"/>
      <x:c r="K45" s="70">
        <x:f>Residential!I45</x:f>
        <x:v>0.99</x:v>
      </x:c>
      <x:c r="L45" s="75"/>
      <x:c r="M45" s="70">
        <x:f>Residential!K45</x:f>
        <x:v>1.04</x:v>
      </x:c>
      <x:c r="N45" s="27"/>
      <x:c r="O45" s="27">
        <x:f t="shared" si="7"/>
        <x:v>3462111</x:v>
      </x:c>
      <x:c r="P45" s="27"/>
      <x:c r="Q45" s="29"/>
      <x:c r="R45" s="20">
        <x:f>PRODUCT(G45,I45,K45,M45,O45)/1000</x:f>
        <x:v>474.09040158480008</x:v>
      </x:c>
      <x:c r="S45" s="28"/>
      <x:c r="T45" s="43">
        <x:f>Residential!R45</x:f>
        <x:v>68.297777330571421</x:v>
      </x:c>
      <x:c r="U45" s="20">
        <x:f t="shared" si="9"/>
        <x:v>0</x:v>
      </x:c>
      <x:c r="V45" s="43">
        <x:f>Residential!T45</x:f>
        <x:v>111.0177568484379</x:v>
      </x:c>
      <x:c r="W45" s="28"/>
      <x:c r="X45" s="28"/>
      <x:c r="Y45" s="28"/>
      <x:c r="Z45" s="66">
        <x:f t="shared" si="10"/>
        <x:v>42.719979517866477</x:v>
      </x:c>
      <x:c r="AA45" s="28"/>
      <x:c r="AB45" s="20">
        <x:f t="shared" si="12"/>
        <x:v>20253.132245319754</x:v>
      </x:c>
      <x:c r="AC45" s="28"/>
      <x:c r="AD45" s="95"/>
    </x:row>
    <x:row r="46" spans="1:30" ht="15.5" x14ac:dyDescent="0.35">
      <x:c r="A46" s="91">
        <x:f t="shared" si="5"/>
        <x:v>31</x:v>
      </x:c>
      <x:c r="B46" s="28"/>
      <x:c r="C46" s="28" t="s">
        <x:v>8</x:v>
      </x:c>
      <x:c r="D46" s="28"/>
      <x:c r="E46" s="19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3"/>
      <x:c r="R46" s="72"/>
      <x:c r="S46" s="74"/>
      <x:c r="T46" s="96">
        <x:f>SUM(T34:T45)</x:f>
        <x:v>620.22722179880952</x:v>
      </x:c>
      <x:c r="U46" s="96"/>
      <x:c r="V46" s="96">
        <x:f>SUM(V34:V45)</x:f>
        <x:v>781.53811930327242</x:v>
      </x:c>
      <x:c r="W46" s="96"/>
      <x:c r="X46" s="96">
        <x:f>SUM(X40:X45)</x:f>
        <x:v>0</x:v>
      </x:c>
      <x:c r="Y46" s="96"/>
      <x:c r="Z46" s="43">
        <x:f>+V46-T46</x:f>
        <x:v>161.3108975044629</x:v>
      </x:c>
      <x:c r="AA46" s="27"/>
      <x:c r="AB46" s="96">
        <x:f>SUM(AB34:AB45)</x:f>
        <x:v>76180.558459277046</x:v>
      </x:c>
      <x:c r="AC46" s="28"/>
      <x:c r="AD46" s="27"/>
    </x:row>
    <x:row r="47" spans="1:30" ht="15.5" x14ac:dyDescent="0.35">
      <x:c r="A47" s="91">
        <x:f t="shared" si="5"/>
        <x:v>32</x:v>
      </x:c>
      <x:c r="B47" s="35"/>
      <x:c r="C47" s="24"/>
      <x:c r="D47" s="35"/>
      <x:c r="E47" s="25"/>
      <x:c r="F47" s="8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4"/>
      <x:c r="R47" s="33"/>
      <x:c r="S47" s="35"/>
      <x:c r="T47" s="33"/>
      <x:c r="U47" s="35"/>
      <x:c r="V47" s="33"/>
      <x:c r="W47" s="35"/>
      <x:c r="X47" s="35"/>
      <x:c r="Y47" s="35"/>
      <x:c r="Z47" s="33"/>
      <x:c r="AA47" s="35"/>
      <x:c r="AB47" s="34"/>
      <x:c r="AC47" s="35"/>
    </x:row>
    <x:row r="48" spans="1:30" ht="15.5" x14ac:dyDescent="0.35">
      <x:c r="A48" s="91">
        <x:f t="shared" si="5"/>
        <x:v>33</x:v>
      </x:c>
      <x:c r="B48" s="28"/>
      <x:c r="C48" s="21"/>
      <x:c r="D48" s="28"/>
      <x:c r="E48" s="19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9"/>
      <x:c r="R48" s="27"/>
      <x:c r="S48" s="28"/>
      <x:c r="T48" s="27"/>
      <x:c r="U48" s="28"/>
      <x:c r="V48" s="27"/>
      <x:c r="W48" s="28"/>
      <x:c r="X48" s="28"/>
      <x:c r="Y48" s="28"/>
      <x:c r="Z48" s="27"/>
      <x:c r="AA48" s="28"/>
      <x:c r="AB48" s="29"/>
      <x:c r="AC48" s="28"/>
    </x:row>
    <x:row r="49" spans="1:30" ht="15.5" x14ac:dyDescent="0.35">
      <x:c r="A49" s="91">
        <x:f t="shared" si="5"/>
        <x:v>34</x:v>
      </x:c>
      <x:c r="B49" s="86"/>
      <x:c r="C49" s="86" t="s">
        <x:v>1</x:v>
      </x:c>
      <x:c r="D49" s="86"/>
      <x:c r="E49" s="86" t="s">
        <x:v>2</x:v>
      </x:c>
      <x:c r="F49" s="28"/>
      <x:c r="G49" s="87"/>
      <x:c r="H49" s="87"/>
      <x:c r="I49" s="87"/>
      <x:c r="J49" s="87"/>
      <x:c r="K49" s="88"/>
      <x:c r="L49" s="87"/>
      <x:c r="M49" s="88"/>
      <x:c r="N49" s="87"/>
      <x:c r="O49" s="87"/>
      <x:c r="P49" s="87"/>
      <x:c r="Q49" s="87"/>
      <x:c r="R49" s="88"/>
      <x:c r="S49" s="27"/>
      <x:c r="T49" s="27"/>
      <x:c r="U49" s="27"/>
      <x:c r="V49" s="27"/>
      <x:c r="W49" s="27"/>
      <x:c r="X49" s="88"/>
      <x:c r="Y49" s="27"/>
      <x:c r="Z49" s="87"/>
      <x:c r="AA49" s="87"/>
      <x:c r="AB49" s="87" t="s">
        <x:v>8</x:v>
      </x:c>
      <x:c r="AC49" s="87"/>
    </x:row>
    <x:row r="50" spans="1:30" ht="15.5" x14ac:dyDescent="0.35">
      <x:c r="A50" s="91">
        <x:f t="shared" si="5"/>
        <x:v>35</x:v>
      </x:c>
      <x:c r="B50" s="28"/>
      <x:c r="C50" s="46"/>
      <x:c r="D50" s="28"/>
      <x:c r="E50" s="46"/>
      <x:c r="F50" s="28"/>
      <x:c r="G50" s="40"/>
      <x:c r="H50" s="40"/>
      <x:c r="I50" s="40"/>
      <x:c r="J50" s="40"/>
      <x:c r="K50" s="89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  <x:c r="AA50" s="40"/>
      <x:c r="AB50" s="89" t="s">
        <x:v>111</x:v>
      </x:c>
      <x:c r="AC50" s="40"/>
    </x:row>
    <x:row r="51" spans="1:30" ht="15.5" x14ac:dyDescent="0.35">
      <x:c r="A51" s="91">
        <x:f t="shared" si="5"/>
        <x:v>36</x:v>
      </x:c>
      <x:c r="C51" s="93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  <x:c r="AB51" s="28"/>
      <x:c r="AC51" s="28"/>
    </x:row>
    <x:row r="52" spans="1:30" ht="15.5" x14ac:dyDescent="0.35">
      <x:c r="A52" s="91">
        <x:f t="shared" si="5"/>
        <x:v>37</x:v>
      </x:c>
      <x:c r="B52" s="28"/>
      <x:c r="C52" s="21">
        <x:f>+C34</x:f>
        <x:v>2024</x:v>
      </x:c>
      <x:c r="D52" s="28"/>
      <x:c r="E52" s="21">
        <x:f>+E34</x:f>
        <x:v>1</x:v>
      </x:c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8"/>
      <x:c r="T52" s="27"/>
      <x:c r="U52" s="28"/>
      <x:c r="V52" s="27"/>
      <x:c r="W52" s="28"/>
      <x:c r="X52" s="28"/>
      <x:c r="Y52" s="28"/>
      <x:c r="Z52" s="27"/>
      <x:c r="AA52" s="28"/>
      <x:c r="AB52" s="27">
        <x:f>+AB16+AB34</x:f>
        <x:v>10595.84622430514</x:v>
      </x:c>
      <x:c r="AC52" s="28"/>
    </x:row>
    <x:row r="53" spans="1:30" ht="15.5" x14ac:dyDescent="0.35">
      <x:c r="A53" s="91">
        <x:f t="shared" si="5"/>
        <x:v>38</x:v>
      </x:c>
      <x:c r="B53" s="28"/>
      <x:c r="C53" s="21">
        <x:f t="shared" ref="C53:C63" si="13">+C35</x:f>
        <x:v>2024</x:v>
      </x:c>
      <x:c r="D53" s="28"/>
      <x:c r="E53" s="21">
        <x:f t="shared" ref="E53:E63" si="14">+E35</x:f>
        <x:v>2</x:v>
      </x:c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8"/>
      <x:c r="T53" s="27"/>
      <x:c r="U53" s="28"/>
      <x:c r="V53" s="27"/>
      <x:c r="W53" s="28"/>
      <x:c r="X53" s="28"/>
      <x:c r="Y53" s="28"/>
      <x:c r="Z53" s="27"/>
      <x:c r="AA53" s="28"/>
      <x:c r="AB53" s="27">
        <x:f t="shared" ref="AB53:AB63" si="15">+AB17+AB35</x:f>
        <x:v>-17895.521740023381</x:v>
      </x:c>
      <x:c r="AC53" s="28"/>
    </x:row>
    <x:row r="54" spans="1:30" ht="15.5" x14ac:dyDescent="0.35">
      <x:c r="A54" s="91">
        <x:f t="shared" si="5"/>
        <x:v>39</x:v>
      </x:c>
      <x:c r="B54" s="28"/>
      <x:c r="C54" s="21">
        <x:f t="shared" si="13"/>
        <x:v>2024</x:v>
      </x:c>
      <x:c r="D54" s="28"/>
      <x:c r="E54" s="21">
        <x:f t="shared" si="14"/>
        <x:v>3</x:v>
      </x:c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8"/>
      <x:c r="T54" s="27"/>
      <x:c r="U54" s="28"/>
      <x:c r="V54" s="27"/>
      <x:c r="W54" s="28"/>
      <x:c r="X54" s="28"/>
      <x:c r="Y54" s="28"/>
      <x:c r="Z54" s="27"/>
      <x:c r="AA54" s="28"/>
      <x:c r="AB54" s="27">
        <x:f t="shared" si="15"/>
        <x:v>36931.947180542396</x:v>
      </x:c>
      <x:c r="AC54" s="28"/>
    </x:row>
    <x:row r="55" spans="1:30" ht="15.5" x14ac:dyDescent="0.35">
      <x:c r="A55" s="91">
        <x:f t="shared" si="5"/>
        <x:v>40</x:v>
      </x:c>
      <x:c r="B55" s="28"/>
      <x:c r="C55" s="21">
        <x:f t="shared" si="13"/>
        <x:v>2024</x:v>
      </x:c>
      <x:c r="D55" s="28"/>
      <x:c r="E55" s="21">
        <x:f t="shared" si="14"/>
        <x:v>4</x:v>
      </x:c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8"/>
      <x:c r="T55" s="27"/>
      <x:c r="U55" s="28"/>
      <x:c r="V55" s="27"/>
      <x:c r="W55" s="28"/>
      <x:c r="X55" s="28"/>
      <x:c r="Y55" s="28"/>
      <x:c r="Z55" s="27"/>
      <x:c r="AA55" s="28"/>
      <x:c r="AB55" s="27">
        <x:f t="shared" si="15"/>
        <x:v>9611.7418551361734</x:v>
      </x:c>
      <x:c r="AC55" s="28"/>
    </x:row>
    <x:row r="56" spans="1:30" ht="15.5" x14ac:dyDescent="0.35">
      <x:c r="A56" s="91">
        <x:f t="shared" si="5"/>
        <x:v>41</x:v>
      </x:c>
      <x:c r="B56" s="28"/>
      <x:c r="C56" s="21">
        <x:f t="shared" si="13"/>
        <x:v>2024</x:v>
      </x:c>
      <x:c r="D56" s="28"/>
      <x:c r="E56" s="21">
        <x:f t="shared" si="14"/>
        <x:v>5</x:v>
      </x:c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8"/>
      <x:c r="T56" s="27"/>
      <x:c r="U56" s="28"/>
      <x:c r="V56" s="27"/>
      <x:c r="W56" s="28"/>
      <x:c r="X56" s="28"/>
      <x:c r="Y56" s="28"/>
      <x:c r="Z56" s="27"/>
      <x:c r="AA56" s="28"/>
      <x:c r="AB56" s="27">
        <x:f t="shared" si="15"/>
        <x:v>-2590.5574096142491</x:v>
      </x:c>
      <x:c r="AC56" s="28"/>
    </x:row>
    <x:row r="57" spans="1:30" ht="15.5" x14ac:dyDescent="0.35">
      <x:c r="A57" s="91">
        <x:f t="shared" si="5"/>
        <x:v>42</x:v>
      </x:c>
      <x:c r="B57" s="28"/>
      <x:c r="C57" s="21">
        <x:f t="shared" si="13"/>
        <x:v>2024</x:v>
      </x:c>
      <x:c r="D57" s="28"/>
      <x:c r="E57" s="21">
        <x:f t="shared" si="14"/>
        <x:v>6</x:v>
      </x:c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8"/>
      <x:c r="T57" s="27"/>
      <x:c r="U57" s="28"/>
      <x:c r="V57" s="27"/>
      <x:c r="W57" s="28"/>
      <x:c r="X57" s="28"/>
      <x:c r="Y57" s="28"/>
      <x:c r="Z57" s="27"/>
      <x:c r="AA57" s="28"/>
      <x:c r="AB57" s="27">
        <x:f t="shared" si="15"/>
        <x:v>-7061.6585470037589</x:v>
      </x:c>
      <x:c r="AC57" s="28"/>
    </x:row>
    <x:row r="58" spans="1:30" ht="15.5" x14ac:dyDescent="0.35">
      <x:c r="A58" s="91">
        <x:f t="shared" si="5"/>
        <x:v>43</x:v>
      </x:c>
      <x:c r="B58" s="28"/>
      <x:c r="C58" s="21">
        <x:f t="shared" si="13"/>
        <x:v>2024</x:v>
      </x:c>
      <x:c r="D58" s="28"/>
      <x:c r="E58" s="21">
        <x:f t="shared" si="14"/>
        <x:v>7</x:v>
      </x:c>
      <x:c r="G58" s="27"/>
      <x:c r="H58" s="28"/>
      <x:c r="I58" s="28"/>
      <x:c r="J58" s="28"/>
      <x:c r="K58" s="27"/>
      <x:c r="L58" s="28"/>
      <x:c r="M58" s="27"/>
      <x:c r="N58" s="28"/>
      <x:c r="O58" s="27"/>
      <x:c r="P58" s="28"/>
      <x:c r="Q58" s="29"/>
      <x:c r="R58" s="27"/>
      <x:c r="S58" s="28"/>
      <x:c r="T58" s="27"/>
      <x:c r="U58" s="28"/>
      <x:c r="V58" s="27"/>
      <x:c r="W58" s="28"/>
      <x:c r="X58" s="28"/>
      <x:c r="Y58" s="28"/>
      <x:c r="Z58" s="27"/>
      <x:c r="AA58" s="28"/>
      <x:c r="AB58" s="27">
        <x:f t="shared" si="15"/>
        <x:v>-12015.207613986277</x:v>
      </x:c>
      <x:c r="AC58" s="28"/>
    </x:row>
    <x:row r="59" spans="1:30" ht="15.5" x14ac:dyDescent="0.35">
      <x:c r="A59" s="91">
        <x:f t="shared" si="5"/>
        <x:v>44</x:v>
      </x:c>
      <x:c r="B59" s="28"/>
      <x:c r="C59" s="21">
        <x:f t="shared" si="13"/>
        <x:v>2024</x:v>
      </x:c>
      <x:c r="D59" s="28"/>
      <x:c r="E59" s="21">
        <x:f t="shared" si="14"/>
        <x:v>8</x:v>
      </x:c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8"/>
      <x:c r="T59" s="27"/>
      <x:c r="U59" s="28"/>
      <x:c r="V59" s="27"/>
      <x:c r="W59" s="28"/>
      <x:c r="X59" s="28"/>
      <x:c r="Y59" s="28"/>
      <x:c r="Z59" s="27"/>
      <x:c r="AA59" s="28"/>
      <x:c r="AB59" s="27">
        <x:f t="shared" si="15"/>
        <x:v>11086.302034223636</x:v>
      </x:c>
      <x:c r="AC59" s="28"/>
    </x:row>
    <x:row r="60" spans="1:30" ht="15.5" x14ac:dyDescent="0.35">
      <x:c r="A60" s="91">
        <x:f t="shared" si="5"/>
        <x:v>45</x:v>
      </x:c>
      <x:c r="B60" s="28"/>
      <x:c r="C60" s="21">
        <x:f t="shared" si="13"/>
        <x:v>2024</x:v>
      </x:c>
      <x:c r="D60" s="28"/>
      <x:c r="E60" s="21">
        <x:f t="shared" si="14"/>
        <x:v>9</x:v>
      </x:c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8"/>
      <x:c r="T60" s="27"/>
      <x:c r="U60" s="28"/>
      <x:c r="V60" s="27"/>
      <x:c r="W60" s="28"/>
      <x:c r="X60" s="28"/>
      <x:c r="Y60" s="28"/>
      <x:c r="Z60" s="27"/>
      <x:c r="AA60" s="28"/>
      <x:c r="AB60" s="27">
        <x:f t="shared" si="15"/>
        <x:v>-9726.0117712093743</x:v>
      </x:c>
      <x:c r="AC60" s="28"/>
    </x:row>
    <x:row r="61" spans="1:30" ht="15.5" x14ac:dyDescent="0.35">
      <x:c r="A61" s="91">
        <x:f t="shared" si="5"/>
        <x:v>46</x:v>
      </x:c>
      <x:c r="B61" s="28"/>
      <x:c r="C61" s="21">
        <x:f t="shared" si="13"/>
        <x:v>2024</x:v>
      </x:c>
      <x:c r="D61" s="28"/>
      <x:c r="E61" s="21">
        <x:f t="shared" si="14"/>
        <x:v>10</x:v>
      </x:c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8"/>
      <x:c r="T61" s="27"/>
      <x:c r="U61" s="28"/>
      <x:c r="V61" s="27"/>
      <x:c r="W61" s="28"/>
      <x:c r="X61" s="28"/>
      <x:c r="Y61" s="28"/>
      <x:c r="Z61" s="27"/>
      <x:c r="AA61" s="28"/>
      <x:c r="AB61" s="27">
        <x:f t="shared" si="15"/>
        <x:v>-5344.3689629713554</x:v>
      </x:c>
      <x:c r="AC61" s="28"/>
    </x:row>
    <x:row r="62" spans="1:30" ht="15.5" x14ac:dyDescent="0.35">
      <x:c r="A62" s="91">
        <x:f t="shared" si="5"/>
        <x:v>47</x:v>
      </x:c>
      <x:c r="B62" s="28"/>
      <x:c r="C62" s="21">
        <x:f t="shared" si="13"/>
        <x:v>2024</x:v>
      </x:c>
      <x:c r="D62" s="28"/>
      <x:c r="E62" s="21">
        <x:f t="shared" si="14"/>
        <x:v>11</x:v>
      </x:c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8"/>
      <x:c r="T62" s="27"/>
      <x:c r="U62" s="28"/>
      <x:c r="V62" s="27"/>
      <x:c r="W62" s="28"/>
      <x:c r="X62" s="28"/>
      <x:c r="Y62" s="28"/>
      <x:c r="Z62" s="27"/>
      <x:c r="AA62" s="28"/>
      <x:c r="AB62" s="27">
        <x:f t="shared" si="15"/>
        <x:v>-5456.7601198779994</x:v>
      </x:c>
      <x:c r="AC62" s="28"/>
    </x:row>
    <x:row r="63" spans="1:30" ht="15.5" x14ac:dyDescent="0.35">
      <x:c r="A63" s="91">
        <x:f t="shared" si="5"/>
        <x:v>48</x:v>
      </x:c>
      <x:c r="B63" s="28"/>
      <x:c r="C63" s="21">
        <x:f t="shared" si="13"/>
        <x:v>2024</x:v>
      </x:c>
      <x:c r="D63" s="28"/>
      <x:c r="E63" s="21">
        <x:f t="shared" si="14"/>
        <x:v>12</x:v>
      </x:c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8"/>
      <x:c r="T63" s="27"/>
      <x:c r="U63" s="28"/>
      <x:c r="V63" s="27"/>
      <x:c r="W63" s="28"/>
      <x:c r="X63" s="28"/>
      <x:c r="Y63" s="28"/>
      <x:c r="Z63" s="27"/>
      <x:c r="AA63" s="28"/>
      <x:c r="AB63" s="27">
        <x:f t="shared" si="15"/>
        <x:v>18876.195913712549</x:v>
      </x:c>
      <x:c r="AC63" s="28"/>
    </x:row>
    <x:row r="64" spans="1:30" ht="15.5" x14ac:dyDescent="0.35">
      <x:c r="A64" s="91">
        <x:f t="shared" si="5"/>
        <x:v>49</x:v>
      </x:c>
      <x:c r="C64" s="28" t="s">
        <x:v>8</x:v>
      </x:c>
      <x:c r="E64" s="19"/>
      <x:c r="G64" s="72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4"/>
      <x:c r="T64" s="78"/>
      <x:c r="U64" s="74"/>
      <x:c r="V64" s="78"/>
      <x:c r="W64" s="74"/>
      <x:c r="X64" s="74"/>
      <x:c r="Y64" s="74"/>
      <x:c r="Z64" s="78"/>
      <x:c r="AA64" s="74"/>
      <x:c r="AB64" s="72">
        <x:f>SUM(AB52:AB63)</x:f>
        <x:v>27011.947043233489</x:v>
      </x:c>
      <x:c r="AC64" s="28"/>
      <x:c r="AD64" s="64"/>
    </x:row>
    <x:row r="65" spans="3:29" ht="15.5" x14ac:dyDescent="0.35"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8"/>
      <x:c r="T65" s="27"/>
      <x:c r="U65" s="28"/>
      <x:c r="V65" s="27"/>
      <x:c r="W65" s="28"/>
      <x:c r="X65" s="28"/>
      <x:c r="Y65" s="28"/>
      <x:c r="Z65" s="27"/>
      <x:c r="AA65" s="28"/>
      <x:c r="AC65" s="28"/>
    </x:row>
    <x:row r="66" spans="3:29" ht="15.5" x14ac:dyDescent="0.35">
      <x:c r="C66" s="93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8"/>
      <x:c r="T66" s="28"/>
      <x:c r="U66" s="28"/>
      <x:c r="V66" s="28"/>
      <x:c r="W66" s="28"/>
      <x:c r="X66" s="28"/>
      <x:c r="Y66" s="28"/>
      <x:c r="Z66" s="28"/>
      <x:c r="AA66" s="28"/>
      <x:c r="AB66" s="28"/>
      <x:c r="AC66" s="28"/>
    </x:row>
  </x:sheetData>
  <x:mergeCells count="2">
    <x:mergeCell ref="K12:M12"/>
    <x:mergeCell ref="K30:M30"/>
  </x:mergeCells>
  <x:printOptions horizontalCentered="1"/>
  <x:pageMargins left="0.25" right="0" top="1.5" bottom="0.25" header="0.5" footer="0.5"/>
  <x:pageSetup scale="49" orientation="landscape" r:id="rId1"/>
  <x:headerFooter alignWithMargins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21">
    <x:tabColor rgb="FF00B0F0"/>
    <x:pageSetUpPr fitToPage="1"/>
  </x:sheetPr>
  <x:dimension ref="A1:X66"/>
  <x:sheetViews>
    <x:sheetView zoomScale="75" zoomScaleNormal="75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453125" customWidth="1"/>
    <x:col min="9" max="9" width="1.08984375" customWidth="1"/>
    <x:col min="10" max="10" width="16.08984375" customWidth="1"/>
    <x:col min="11" max="11" width="1.08984375" customWidth="1"/>
    <x:col min="12" max="12" width="16.90625" hidden="1" customWidth="1"/>
    <x:col min="13" max="13" width="21.54296875" customWidth="1"/>
    <x:col min="14" max="14" width="1.08984375" customWidth="1"/>
    <x:col min="15" max="15" width="15.54296875" customWidth="1"/>
    <x:col min="16" max="16" width="1.08984375" customWidth="1"/>
    <x:col min="17" max="17" width="16.08984375" customWidth="1"/>
    <x:col min="18" max="18" width="1.453125" customWidth="1"/>
    <x:col min="19" max="19" width="16.90625" hidden="1" customWidth="1"/>
    <x:col min="20" max="20" width="1.36328125" hidden="1" customWidth="1"/>
    <x:col min="21" max="21" width="16.90625" bestFit="1" customWidth="1"/>
    <x:col min="22" max="22" width="1.08984375" customWidth="1"/>
    <x:col min="23" max="23" width="17.36328125" customWidth="1"/>
  </x:cols>
  <x:sheetData>
    <x:row r="1" spans="1:23" ht="15.5" x14ac:dyDescent="0.35">
      <x:c r="A1" s="1" t="s">
        <x:v>71</x:v>
      </x:c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t="s">
        <x:v>10</x:v>
      </x:c>
    </x:row>
    <x:row r="2" spans="1:23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82" t="s">
        <x:v>129</x:v>
      </x:c>
    </x:row>
    <x:row r="3" spans="1:23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 spans="1:23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</x:row>
    <x:row r="5" spans="1:23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</x:row>
    <x:row r="6" spans="1:23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8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</x:row>
    <x:row r="7" spans="1:23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8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</x:row>
    <x:row r="8" spans="1:23" ht="15.5" x14ac:dyDescent="0.35">
      <x:c r="B8" s="4"/>
      <x:c r="C8" s="4"/>
      <x:c r="D8" s="4"/>
      <x:c r="E8" s="4"/>
      <x:c r="F8" s="4"/>
      <x:c r="G8" s="6"/>
      <x:c r="H8" s="6"/>
      <x:c r="I8" s="6"/>
      <x:c r="J8" s="6"/>
      <x:c r="K8" s="6"/>
      <x:c r="L8" s="6"/>
      <x:c r="M8" s="6"/>
      <x:c r="N8" s="6"/>
      <x:c r="O8" s="20"/>
      <x:c r="P8" s="20"/>
      <x:c r="Q8" s="20"/>
      <x:c r="R8" s="6"/>
      <x:c r="S8" s="6"/>
      <x:c r="T8" s="6"/>
      <x:c r="U8" s="6"/>
      <x:c r="V8" s="6"/>
      <x:c r="W8" s="6"/>
    </x:row>
    <x:row r="9" spans="1:23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9"/>
      <x:c r="M9" s="9"/>
      <x:c r="N9" s="9"/>
      <x:c r="O9" s="42"/>
      <x:c r="P9" s="42"/>
      <x:c r="Q9" s="42"/>
      <x:c r="R9" s="9"/>
      <x:c r="S9" s="9"/>
      <x:c r="T9" s="9"/>
      <x:c r="U9" s="9"/>
      <x:c r="V9" s="9"/>
      <x:c r="W9" s="9"/>
    </x:row>
    <x:row r="10" spans="1:23" ht="15.5" x14ac:dyDescent="0.35">
      <x:c r="B10" s="4"/>
      <x:c r="C10" s="4"/>
      <x:c r="D10" s="4"/>
      <x:c r="E10" s="4"/>
      <x:c r="F10" s="4"/>
      <x:c r="G10" s="6"/>
      <x:c r="H10" s="6"/>
      <x:c r="I10" s="6"/>
      <x:c r="J10" s="6"/>
      <x:c r="K10" s="6"/>
      <x:c r="L10" s="6"/>
      <x:c r="M10" s="6"/>
      <x:c r="N10" s="6"/>
      <x:c r="O10" s="20"/>
      <x:c r="P10" s="20"/>
      <x:c r="Q10" s="20"/>
      <x:c r="R10" s="6"/>
      <x:c r="S10" s="6"/>
      <x:c r="T10" s="6"/>
      <x:c r="U10" s="6"/>
      <x:c r="V10" s="6"/>
      <x:c r="W10" s="6"/>
    </x:row>
    <x:row r="11" spans="1:23" ht="15.5" x14ac:dyDescent="0.35">
      <x:c r="A11" s="4" t="s">
        <x:v>58</x:v>
      </x:c>
      <x:c r="B11" s="4"/>
      <x:c r="C11" s="4"/>
      <x:c r="D11" s="4"/>
      <x:c r="E11" s="4"/>
      <x:c r="F11" s="4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</x:row>
    <x:row r="12" spans="1:23" ht="15.5" x14ac:dyDescent="0.35">
      <x:c r="A12" s="1"/>
      <x:c r="B12" s="1"/>
      <x:c r="C12" s="1"/>
      <x:c r="D12" s="1"/>
      <x:c r="E12" s="1"/>
      <x:c r="F12" s="1"/>
      <x:c r="G12" s="10" t="s">
        <x:v>13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10"/>
      <x:c r="T12" s="3"/>
      <x:c r="U12" s="10"/>
      <x:c r="V12" s="10"/>
      <x:c r="W12" s="12" t="s">
        <x:v>30</x:v>
      </x:c>
    </x:row>
    <x:row r="13" spans="1:23" ht="15.5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14</x:v>
      </x:c>
      <x:c r="H13" s="12"/>
      <x:c r="I13" s="12"/>
      <x:c r="J13" s="12" t="s">
        <x:v>21</x:v>
      </x:c>
      <x:c r="K13" s="12"/>
      <x:c r="L13" s="12" t="s">
        <x:v>4</x:v>
      </x:c>
      <x:c r="M13" s="13" t="s">
        <x:v>23</x:v>
      </x:c>
      <x:c r="N13" s="14"/>
      <x:c r="O13" s="14" t="s">
        <x:v>25</x:v>
      </x:c>
      <x:c r="P13" s="14"/>
      <x:c r="Q13" s="14" t="s">
        <x:v>27</x:v>
      </x:c>
      <x:c r="R13" s="14"/>
      <x:c r="S13" s="13" t="s">
        <x:v>5</x:v>
      </x:c>
      <x:c r="T13" s="14"/>
      <x:c r="U13" s="12" t="s">
        <x:v>29</x:v>
      </x:c>
      <x:c r="V13" s="12"/>
      <x:c r="W13" s="12" t="s">
        <x:v>9</x:v>
      </x:c>
    </x:row>
    <x:row r="14" spans="1:23" ht="15.5" x14ac:dyDescent="0.35">
      <x:c r="A14" s="1" t="s">
        <x:v>78</x:v>
      </x:c>
      <x:c r="B14" s="1"/>
      <x:c r="C14" s="1"/>
      <x:c r="D14" s="1"/>
      <x:c r="E14" s="1"/>
      <x:c r="F14" s="1"/>
      <x:c r="G14" s="16" t="s">
        <x:v>15</x:v>
      </x:c>
      <x:c r="H14" s="15"/>
      <x:c r="I14" s="15"/>
      <x:c r="J14" s="16" t="s">
        <x:v>18</x:v>
      </x:c>
      <x:c r="K14" s="15"/>
      <x:c r="L14" s="15"/>
      <x:c r="M14" s="15" t="s">
        <x:v>41</x:v>
      </x:c>
      <x:c r="N14" s="15"/>
      <x:c r="O14" s="16" t="s">
        <x:v>22</x:v>
      </x:c>
      <x:c r="P14" s="15"/>
      <x:c r="Q14" s="16" t="s">
        <x:v>42</x:v>
      </x:c>
      <x:c r="R14" s="15"/>
      <x:c r="S14" s="15"/>
      <x:c r="T14" s="15"/>
      <x:c r="U14" s="16" t="s">
        <x:v>43</x:v>
      </x:c>
      <x:c r="V14" s="15"/>
      <x:c r="W14" s="16" t="s">
        <x:v>44</x:v>
      </x:c>
    </x:row>
    <x:row r="15" spans="1:23" ht="15.5" x14ac:dyDescent="0.35">
      <x:c r="A15" s="17"/>
      <x:c r="B15" s="1"/>
      <x:c r="C15" s="17"/>
      <x:c r="D15" s="1"/>
      <x:c r="E15" s="17"/>
      <x:c r="F15" s="1"/>
      <x:c r="G15" s="12"/>
      <x:c r="H15" s="3"/>
      <x:c r="I15" s="3"/>
      <x:c r="J15" s="3"/>
      <x:c r="K15" s="3"/>
      <x:c r="L15" s="3"/>
      <x:c r="M15" s="14"/>
      <x:c r="N15" s="3"/>
      <x:c r="O15" s="3"/>
      <x:c r="P15" s="3"/>
      <x:c r="Q15" s="3"/>
      <x:c r="R15" s="3"/>
      <x:c r="S15" s="14"/>
      <x:c r="T15" s="3"/>
      <x:c r="U15" s="14"/>
      <x:c r="V15" s="14"/>
      <x:c r="W15" s="14"/>
    </x:row>
    <x:row r="16" spans="1:23" ht="15.5" x14ac:dyDescent="0.35">
      <x:c r="A16" s="39">
        <x:v>1</x:v>
      </x:c>
      <x:c r="B16" s="1"/>
      <x:c r="C16" s="21">
        <x:f>+'Weather Adjustment'!C16</x:f>
        <x:v>2024</x:v>
      </x:c>
      <x:c r="D16" s="1"/>
      <x:c r="E16" s="19">
        <x:f>+'Weather Adjustment'!E16</x:f>
        <x:v>1</x:v>
      </x:c>
      <x:c r="F16" s="1"/>
      <x:c r="G16" s="43">
        <x:f>+'[2]SECLE10KW Model'!$C$18</x:f>
        <x:v>0.318</x:v>
      </x:c>
      <x:c r="H16" s="3"/>
      <x:c r="I16" s="20"/>
      <x:c r="J16" s="20">
        <x:f>+'Weather Adjustment'!I35</x:f>
        <x:v>284930</x:v>
      </x:c>
      <x:c r="K16" s="20"/>
      <x:c r="L16" s="20" t="e">
        <x:f>SUM(#REF!,J16)</x:f>
        <x:v>#REF!</x:v>
      </x:c>
      <x:c r="M16" s="20">
        <x:f>PRODUCT(G16,J16)/1000</x:f>
        <x:v>90.607740000000007</x:v>
      </x:c>
      <x:c r="N16" s="20"/>
      <x:c r="O16" s="43">
        <x:f>+[3]SECLE10KW!D13</x:f>
        <x:v>0.45216726600000073</x:v>
      </x:c>
      <x:c r="P16" s="20"/>
      <x:c r="Q16" s="43">
        <x:f>+[3]SECLE10KW!F13</x:f>
        <x:v>2.2527213014007175</x:v>
      </x:c>
      <x:c r="R16" s="20"/>
      <x:c r="S16" s="20">
        <x:f t="shared" ref="S16:S21" si="0">SUM(O16,Q16)</x:f>
        <x:v>2.7048885674007184</x:v>
      </x:c>
      <x:c r="T16" s="20"/>
      <x:c r="U16" s="43">
        <x:f t="shared" ref="U16:U21" si="1">+Q16-O16</x:f>
        <x:v>1.8005540354007168</x:v>
      </x:c>
      <x:c r="V16" s="20"/>
      <x:c r="W16" s="20">
        <x:f t="shared" ref="W16:W21" si="2">+M16*U16</x:f>
        <x:v>163.14413189553895</x:v>
      </x:c>
    </x:row>
    <x:row r="17" spans="1:23" ht="15.5" x14ac:dyDescent="0.35">
      <x:c r="A17" s="39">
        <x:f>+A16+1</x:f>
        <x:v>2</x:v>
      </x:c>
      <x:c r="B17" s="1"/>
      <x:c r="C17" s="21">
        <x:f>+'Weather Adjustment'!C17</x:f>
        <x:v>2024</x:v>
      </x:c>
      <x:c r="D17" s="1"/>
      <x:c r="E17" s="19">
        <x:f>+'Weather Adjustment'!E17</x:f>
        <x:v>2</x:v>
      </x:c>
      <x:c r="F17" s="1"/>
      <x:c r="G17" s="43">
        <x:f>+G16</x:f>
        <x:v>0.318</x:v>
      </x:c>
      <x:c r="H17" s="3"/>
      <x:c r="I17" s="20"/>
      <x:c r="J17" s="20">
        <x:f>+'Weather Adjustment'!I36</x:f>
        <x:v>282336</x:v>
      </x:c>
      <x:c r="K17" s="20"/>
      <x:c r="L17" s="20" t="e">
        <x:f>SUM(#REF!,J17)</x:f>
        <x:v>#REF!</x:v>
      </x:c>
      <x:c r="M17" s="20">
        <x:f t="shared" ref="M17:M21" si="3">PRODUCT(G17,J17)/1000</x:f>
        <x:v>89.782848000000001</x:v>
      </x:c>
      <x:c r="N17" s="20"/>
      <x:c r="O17" s="43">
        <x:f>+[3]SECLE10KW!D14</x:f>
        <x:v>7.0489242238095176E-2</x:v>
      </x:c>
      <x:c r="P17" s="20"/>
      <x:c r="Q17" s="43">
        <x:f>+[3]SECLE10KW!F14</x:f>
        <x:v>1.4051947537331992</x:v>
      </x:c>
      <x:c r="R17" s="20"/>
      <x:c r="S17" s="20">
        <x:f t="shared" si="0"/>
        <x:v>1.4756839959712944</x:v>
      </x:c>
      <x:c r="T17" s="20"/>
      <x:c r="U17" s="43">
        <x:f t="shared" si="1"/>
        <x:v>1.3347055114951041</x:v>
      </x:c>
      <x:c r="V17" s="20"/>
      <x:c r="W17" s="20">
        <x:f t="shared" si="2"/>
        <x:v>119.83366206332718</x:v>
      </x:c>
    </x:row>
    <x:row r="18" spans="1:23" ht="15.5" x14ac:dyDescent="0.35">
      <x:c r="A18" s="39">
        <x:f t="shared" ref="A18:A64" si="4">+A17+1</x:f>
        <x:v>3</x:v>
      </x:c>
      <x:c r="B18" s="1"/>
      <x:c r="C18" s="21">
        <x:f>+'Weather Adjustment'!C18</x:f>
        <x:v>2024</x:v>
      </x:c>
      <x:c r="D18" s="1"/>
      <x:c r="E18" s="19">
        <x:f>+'Weather Adjustment'!E18</x:f>
        <x:v>3</x:v>
      </x:c>
      <x:c r="F18" s="1"/>
      <x:c r="G18" s="43">
        <x:f t="shared" ref="G18:G27" si="5">+G17</x:f>
        <x:v>0.318</x:v>
      </x:c>
      <x:c r="H18" s="3"/>
      <x:c r="I18" s="20"/>
      <x:c r="J18" s="20">
        <x:f>+'Weather Adjustment'!I37</x:f>
        <x:v>283192</x:v>
      </x:c>
      <x:c r="K18" s="20"/>
      <x:c r="L18" s="20" t="e">
        <x:f>SUM(#REF!,J18)</x:f>
        <x:v>#REF!</x:v>
      </x:c>
      <x:c r="M18" s="20">
        <x:f t="shared" si="3"/>
        <x:v>90.055055999999993</x:v>
      </x:c>
      <x:c r="N18" s="20"/>
      <x:c r="O18" s="43">
        <x:f>+[3]SECLE10KW!D15</x:f>
        <x:v>13.519446702857151</x:v>
      </x:c>
      <x:c r="P18" s="20"/>
      <x:c r="Q18" s="43">
        <x:f>+[3]SECLE10KW!F15</x:f>
        <x:v>5.9059238090062616</x:v>
      </x:c>
      <x:c r="R18" s="20"/>
      <x:c r="S18" s="20">
        <x:f t="shared" si="0"/>
        <x:v>19.425370511863413</x:v>
      </x:c>
      <x:c r="T18" s="20"/>
      <x:c r="U18" s="43">
        <x:f t="shared" si="1"/>
        <x:v>-7.613522893850889</x:v>
      </x:c>
      <x:c r="V18" s="20"/>
      <x:c r="W18" s="20">
        <x:f t="shared" si="2"/>
        <x:v>-685.63623056302379</x:v>
      </x:c>
    </x:row>
    <x:row r="19" spans="1:23" ht="15.5" x14ac:dyDescent="0.35">
      <x:c r="A19" s="39">
        <x:f t="shared" si="4"/>
        <x:v>4</x:v>
      </x:c>
      <x:c r="B19" s="1"/>
      <x:c r="C19" s="21">
        <x:f>+'Weather Adjustment'!C19</x:f>
        <x:v>2024</x:v>
      </x:c>
      <x:c r="D19" s="1"/>
      <x:c r="E19" s="19">
        <x:f>+'Weather Adjustment'!E19</x:f>
        <x:v>4</x:v>
      </x:c>
      <x:c r="F19" s="1"/>
      <x:c r="G19" s="43">
        <x:f t="shared" si="5"/>
        <x:v>0.318</x:v>
      </x:c>
      <x:c r="H19" s="3"/>
      <x:c r="I19" s="20"/>
      <x:c r="J19" s="20">
        <x:f>+'Weather Adjustment'!I38</x:f>
        <x:v>283989</x:v>
      </x:c>
      <x:c r="K19" s="20"/>
      <x:c r="L19" s="20" t="e">
        <x:f>SUM(#REF!,J19)</x:f>
        <x:v>#REF!</x:v>
      </x:c>
      <x:c r="M19" s="20">
        <x:f t="shared" si="3"/>
        <x:v>90.308502000000004</x:v>
      </x:c>
      <x:c r="N19" s="20"/>
      <x:c r="O19" s="43">
        <x:f>+[3]SECLE10KW!D16</x:f>
        <x:v>22.34790106280953</x:v>
      </x:c>
      <x:c r="P19" s="20"/>
      <x:c r="Q19" s="43">
        <x:f>+[3]SECLE10KW!F16</x:f>
        <x:v>24.81394628746375</x:v>
      </x:c>
      <x:c r="R19" s="20"/>
      <x:c r="S19" s="20">
        <x:f t="shared" si="0"/>
        <x:v>47.161847350273277</x:v>
      </x:c>
      <x:c r="T19" s="20"/>
      <x:c r="U19" s="43">
        <x:f t="shared" si="1"/>
        <x:v>2.4660452246542199</x:v>
      </x:c>
      <x:c r="V19" s="20"/>
      <x:c r="W19" s="20">
        <x:f t="shared" si="2"/>
        <x:v>222.70485010277608</x:v>
      </x:c>
    </x:row>
    <x:row r="20" spans="1:23" ht="15.5" x14ac:dyDescent="0.35">
      <x:c r="A20" s="39">
        <x:f t="shared" si="4"/>
        <x:v>5</x:v>
      </x:c>
      <x:c r="B20" s="1"/>
      <x:c r="C20" s="21">
        <x:f>+'Weather Adjustment'!C20</x:f>
        <x:v>2024</x:v>
      </x:c>
      <x:c r="D20" s="1"/>
      <x:c r="E20" s="19">
        <x:f>+'Weather Adjustment'!E20</x:f>
        <x:v>5</x:v>
      </x:c>
      <x:c r="F20" s="1"/>
      <x:c r="G20" s="43">
        <x:f t="shared" si="5"/>
        <x:v>0.318</x:v>
      </x:c>
      <x:c r="H20" s="3"/>
      <x:c r="I20" s="20"/>
      <x:c r="J20" s="20">
        <x:f>+'Weather Adjustment'!I39</x:f>
        <x:v>284452</x:v>
      </x:c>
      <x:c r="K20" s="20"/>
      <x:c r="L20" s="20" t="e">
        <x:f>SUM(#REF!,J20)</x:f>
        <x:v>#REF!</x:v>
      </x:c>
      <x:c r="M20" s="20">
        <x:f t="shared" si="3"/>
        <x:v>90.455736000000002</x:v>
      </x:c>
      <x:c r="N20" s="20"/>
      <x:c r="O20" s="43">
        <x:f>+[3]SECLE10KW!D17</x:f>
        <x:v>87.941602065095267</x:v>
      </x:c>
      <x:c r="P20" s="20"/>
      <x:c r="Q20" s="43">
        <x:f>+[3]SECLE10KW!F17</x:f>
        <x:v>72.778808458969465</x:v>
      </x:c>
      <x:c r="R20" s="20"/>
      <x:c r="S20" s="20">
        <x:f t="shared" si="0"/>
        <x:v>160.72041052406473</x:v>
      </x:c>
      <x:c r="T20" s="20"/>
      <x:c r="U20" s="43">
        <x:f t="shared" si="1"/>
        <x:v>-15.162793606125803</x:v>
      </x:c>
      <x:c r="V20" s="20"/>
      <x:c r="W20" s="20">
        <x:f t="shared" si="2"/>
        <x:v>-1371.5616554582036</x:v>
      </x:c>
    </x:row>
    <x:row r="21" spans="1:23" ht="15.5" x14ac:dyDescent="0.35">
      <x:c r="A21" s="39">
        <x:f t="shared" si="4"/>
        <x:v>6</x:v>
      </x:c>
      <x:c r="B21" s="1"/>
      <x:c r="C21" s="21">
        <x:f>+'Weather Adjustment'!C21</x:f>
        <x:v>2024</x:v>
      </x:c>
      <x:c r="D21" s="1"/>
      <x:c r="E21" s="19">
        <x:f>+'Weather Adjustment'!E21</x:f>
        <x:v>6</x:v>
      </x:c>
      <x:c r="F21" s="1"/>
      <x:c r="G21" s="43">
        <x:f t="shared" si="5"/>
        <x:v>0.318</x:v>
      </x:c>
      <x:c r="H21" s="3"/>
      <x:c r="I21" s="20"/>
      <x:c r="J21" s="20">
        <x:f>+'Weather Adjustment'!I40</x:f>
        <x:v>284068</x:v>
      </x:c>
      <x:c r="K21" s="20"/>
      <x:c r="L21" s="20" t="e">
        <x:f>SUM(#REF!,J21)</x:f>
        <x:v>#REF!</x:v>
      </x:c>
      <x:c r="M21" s="20">
        <x:f t="shared" si="3"/>
        <x:v>90.333624</x:v>
      </x:c>
      <x:c r="N21" s="20"/>
      <x:c r="O21" s="43">
        <x:f>+[3]SECLE10KW!D18</x:f>
        <x:v>245.16695176519056</x:v>
      </x:c>
      <x:c r="P21" s="20"/>
      <x:c r="Q21" s="43">
        <x:f>+[3]SECLE10KW!F18</x:f>
        <x:v>218.8791120209591</x:v>
      </x:c>
      <x:c r="R21" s="20"/>
      <x:c r="S21" s="20">
        <x:f t="shared" si="0"/>
        <x:v>464.04606378614966</x:v>
      </x:c>
      <x:c r="T21" s="20"/>
      <x:c r="U21" s="43">
        <x:f t="shared" si="1"/>
        <x:v>-26.287839744231462</x:v>
      </x:c>
      <x:c r="V21" s="20"/>
      <x:c r="W21" s="20">
        <x:f t="shared" si="2"/>
        <x:v>-2374.6758312276611</x:v>
      </x:c>
    </x:row>
    <x:row r="22" spans="1:23" ht="15.5" x14ac:dyDescent="0.35">
      <x:c r="A22" s="39">
        <x:f t="shared" si="4"/>
        <x:v>7</x:v>
      </x:c>
      <x:c r="B22" s="1"/>
      <x:c r="C22" s="21">
        <x:f>+'Weather Adjustment'!C22</x:f>
        <x:v>2024</x:v>
      </x:c>
      <x:c r="D22" s="1"/>
      <x:c r="E22" s="19">
        <x:f>+'Weather Adjustment'!E22</x:f>
        <x:v>7</x:v>
      </x:c>
      <x:c r="F22" s="1"/>
      <x:c r="G22" s="43">
        <x:f t="shared" si="5"/>
        <x:v>0.318</x:v>
      </x:c>
      <x:c r="H22" s="3"/>
      <x:c r="I22" s="20"/>
      <x:c r="J22" s="20">
        <x:f>+'Weather Adjustment'!I41</x:f>
        <x:v>284074</x:v>
      </x:c>
      <x:c r="K22" s="20"/>
      <x:c r="L22" s="20" t="e">
        <x:f>SUM(#REF!,J22)</x:f>
        <x:v>#REF!</x:v>
      </x:c>
      <x:c r="M22" s="20">
        <x:f t="shared" ref="M22:M27" si="6">PRODUCT(G22,J22)/1000</x:f>
        <x:v>90.335532000000001</x:v>
      </x:c>
      <x:c r="N22" s="20"/>
      <x:c r="O22" s="43">
        <x:f>+[3]SECLE10KW!D19</x:f>
        <x:v>419.56964517361905</x:v>
      </x:c>
      <x:c r="P22" s="20"/>
      <x:c r="Q22" s="43">
        <x:f>+[3]SECLE10KW!F19</x:f>
        <x:v>381.68578599715539</x:v>
      </x:c>
      <x:c r="R22" s="20"/>
      <x:c r="S22" s="20">
        <x:f t="shared" ref="S22:S27" si="7">SUM(O22,Q22)</x:f>
        <x:v>801.2554311707745</x:v>
      </x:c>
      <x:c r="T22" s="20"/>
      <x:c r="U22" s="43">
        <x:f t="shared" ref="U22:U27" si="8">+Q22-O22</x:f>
        <x:v>-37.883859176463659</x:v>
      </x:c>
      <x:c r="V22" s="20"/>
      <x:c r="W22" s="20">
        <x:f t="shared" ref="W22:W27" si="9">+M22*U22</x:f>
        <x:v>-3422.2585729189263</x:v>
      </x:c>
    </x:row>
    <x:row r="23" spans="1:23" ht="15.5" x14ac:dyDescent="0.35">
      <x:c r="A23" s="39">
        <x:f t="shared" si="4"/>
        <x:v>8</x:v>
      </x:c>
      <x:c r="B23" s="1"/>
      <x:c r="C23" s="21">
        <x:f>+'Weather Adjustment'!C23</x:f>
        <x:v>2024</x:v>
      </x:c>
      <x:c r="D23" s="1"/>
      <x:c r="E23" s="19">
        <x:f>+'Weather Adjustment'!E23</x:f>
        <x:v>8</x:v>
      </x:c>
      <x:c r="F23" s="1"/>
      <x:c r="G23" s="43">
        <x:f t="shared" si="5"/>
        <x:v>0.318</x:v>
      </x:c>
      <x:c r="H23" s="3"/>
      <x:c r="I23" s="20"/>
      <x:c r="J23" s="20">
        <x:f>+'Weather Adjustment'!I42</x:f>
        <x:v>284801</x:v>
      </x:c>
      <x:c r="K23" s="20"/>
      <x:c r="L23" s="20" t="e">
        <x:f>SUM(#REF!,J23)</x:f>
        <x:v>#REF!</x:v>
      </x:c>
      <x:c r="M23" s="20">
        <x:f t="shared" si="6"/>
        <x:v>90.566718000000009</x:v>
      </x:c>
      <x:c r="N23" s="20"/>
      <x:c r="O23" s="43">
        <x:f>+[3]SECLE10KW!D20</x:f>
        <x:v>413.22415930438103</x:v>
      </x:c>
      <x:c r="P23" s="20"/>
      <x:c r="Q23" s="43">
        <x:f>+[3]SECLE10KW!F20</x:f>
        <x:v>443.70544572921881</x:v>
      </x:c>
      <x:c r="R23" s="20"/>
      <x:c r="S23" s="20">
        <x:f t="shared" si="7"/>
        <x:v>856.92960503359984</x:v>
      </x:c>
      <x:c r="T23" s="20"/>
      <x:c r="U23" s="43">
        <x:f t="shared" si="8"/>
        <x:v>30.481286424837776</x:v>
      </x:c>
      <x:c r="V23" s="20"/>
      <x:c r="W23" s="20">
        <x:f t="shared" si="9"/>
        <x:v>2760.5900719155115</x:v>
      </x:c>
    </x:row>
    <x:row r="24" spans="1:23" ht="15.5" x14ac:dyDescent="0.35">
      <x:c r="A24" s="39">
        <x:f t="shared" si="4"/>
        <x:v>9</x:v>
      </x:c>
      <x:c r="B24" s="1"/>
      <x:c r="C24" s="21">
        <x:f>+'Weather Adjustment'!C24</x:f>
        <x:v>2024</x:v>
      </x:c>
      <x:c r="D24" s="1"/>
      <x:c r="E24" s="19">
        <x:f>+'Weather Adjustment'!E24</x:f>
        <x:v>9</x:v>
      </x:c>
      <x:c r="F24" s="1"/>
      <x:c r="G24" s="43">
        <x:f t="shared" si="5"/>
        <x:v>0.318</x:v>
      </x:c>
      <x:c r="H24" s="3"/>
      <x:c r="I24" s="20"/>
      <x:c r="J24" s="20">
        <x:f>+'Weather Adjustment'!I43</x:f>
        <x:v>285728</x:v>
      </x:c>
      <x:c r="K24" s="20"/>
      <x:c r="L24" s="20" t="e">
        <x:f>SUM(#REF!,J24)</x:f>
        <x:v>#REF!</x:v>
      </x:c>
      <x:c r="M24" s="20">
        <x:f t="shared" si="6"/>
        <x:v>90.861503999999996</x:v>
      </x:c>
      <x:c r="N24" s="20"/>
      <x:c r="O24" s="43">
        <x:f>+[3]SECLE10KW!D21</x:f>
        <x:v>430.61029427557139</x:v>
      </x:c>
      <x:c r="P24" s="20"/>
      <x:c r="Q24" s="43">
        <x:f>+[3]SECLE10KW!F21</x:f>
        <x:v>396.93672795737831</x:v>
      </x:c>
      <x:c r="R24" s="20"/>
      <x:c r="S24" s="20">
        <x:f t="shared" si="7"/>
        <x:v>827.54702223294976</x:v>
      </x:c>
      <x:c r="T24" s="20"/>
      <x:c r="U24" s="43">
        <x:f t="shared" si="8"/>
        <x:v>-33.673566318193082</x:v>
      </x:c>
      <x:c r="V24" s="20"/>
      <x:c r="W24" s="20">
        <x:f t="shared" si="9"/>
        <x:v>-3059.6308807147657</x:v>
      </x:c>
    </x:row>
    <x:row r="25" spans="1:23" ht="15.5" x14ac:dyDescent="0.35">
      <x:c r="A25" s="39">
        <x:f t="shared" si="4"/>
        <x:v>10</x:v>
      </x:c>
      <x:c r="B25" s="1"/>
      <x:c r="C25" s="21">
        <x:f>+'Weather Adjustment'!C25</x:f>
        <x:v>2024</x:v>
      </x:c>
      <x:c r="D25" s="1"/>
      <x:c r="E25" s="19">
        <x:f>+'Weather Adjustment'!E25</x:f>
        <x:v>10</x:v>
      </x:c>
      <x:c r="F25" s="1"/>
      <x:c r="G25" s="43">
        <x:f t="shared" si="5"/>
        <x:v>0.318</x:v>
      </x:c>
      <x:c r="H25" s="3"/>
      <x:c r="I25" s="20"/>
      <x:c r="J25" s="20">
        <x:f>+'Weather Adjustment'!I44</x:f>
        <x:v>286930</x:v>
      </x:c>
      <x:c r="K25" s="20"/>
      <x:c r="L25" s="20" t="e">
        <x:f>SUM(#REF!,J25)</x:f>
        <x:v>#REF!</x:v>
      </x:c>
      <x:c r="M25" s="20">
        <x:f t="shared" si="6"/>
        <x:v>91.243740000000003</x:v>
      </x:c>
      <x:c r="N25" s="20"/>
      <x:c r="O25" s="43">
        <x:f>+[3]SECLE10KW!D22</x:f>
        <x:v>235.33202792823815</x:v>
      </x:c>
      <x:c r="P25" s="20"/>
      <x:c r="Q25" s="43">
        <x:f>+[3]SECLE10KW!F22</x:f>
        <x:v>218.36058546491182</x:v>
      </x:c>
      <x:c r="R25" s="20"/>
      <x:c r="S25" s="20">
        <x:f t="shared" si="7"/>
        <x:v>453.69261339314994</x:v>
      </x:c>
      <x:c r="T25" s="20"/>
      <x:c r="U25" s="43">
        <x:f t="shared" si="8"/>
        <x:v>-16.971442463326326</x:v>
      </x:c>
      <x:c r="V25" s="20"/>
      <x:c r="W25" s="20">
        <x:f>+M25*U25</x:f>
        <x:v>-1548.537883548707</x:v>
      </x:c>
    </x:row>
    <x:row r="26" spans="1:23" ht="15.5" x14ac:dyDescent="0.35">
      <x:c r="A26" s="39">
        <x:f t="shared" si="4"/>
        <x:v>11</x:v>
      </x:c>
      <x:c r="B26" s="1"/>
      <x:c r="C26" s="21">
        <x:f>+'Weather Adjustment'!C26</x:f>
        <x:v>2024</x:v>
      </x:c>
      <x:c r="D26" s="1"/>
      <x:c r="E26" s="19">
        <x:f>+'Weather Adjustment'!E26</x:f>
        <x:v>11</x:v>
      </x:c>
      <x:c r="F26" s="1"/>
      <x:c r="G26" s="43">
        <x:f t="shared" si="5"/>
        <x:v>0.318</x:v>
      </x:c>
      <x:c r="H26" s="3"/>
      <x:c r="I26" s="20"/>
      <x:c r="J26" s="20">
        <x:f>+'Weather Adjustment'!I45</x:f>
        <x:v>287446</x:v>
      </x:c>
      <x:c r="K26" s="20"/>
      <x:c r="L26" s="20" t="e">
        <x:f>SUM(#REF!,J26)</x:f>
        <x:v>#REF!</x:v>
      </x:c>
      <x:c r="M26" s="20">
        <x:f t="shared" si="6"/>
        <x:v>91.407828000000009</x:v>
      </x:c>
      <x:c r="N26" s="20"/>
      <x:c r="O26" s="43">
        <x:f>+[3]SECLE10KW!D23</x:f>
        <x:v>116.06745349857147</x:v>
      </x:c>
      <x:c r="P26" s="20"/>
      <x:c r="Q26" s="43">
        <x:f>+[3]SECLE10KW!F23</x:f>
        <x:v>63.91795771527773</x:v>
      </x:c>
      <x:c r="R26" s="20"/>
      <x:c r="S26" s="20">
        <x:f t="shared" si="7"/>
        <x:v>179.9854112138492</x:v>
      </x:c>
      <x:c r="T26" s="20"/>
      <x:c r="U26" s="43">
        <x:f t="shared" si="8"/>
        <x:v>-52.149495783293737</x:v>
      </x:c>
      <x:c r="V26" s="20"/>
      <x:c r="W26" s="20">
        <x:f t="shared" si="9"/>
        <x:v>-4766.8721408460397</x:v>
      </x:c>
    </x:row>
    <x:row r="27" spans="1:23" ht="15.5" x14ac:dyDescent="0.35">
      <x:c r="A27" s="39">
        <x:f t="shared" si="4"/>
        <x:v>12</x:v>
      </x:c>
      <x:c r="B27" s="1"/>
      <x:c r="C27" s="21">
        <x:f>+'Weather Adjustment'!C27</x:f>
        <x:v>2024</x:v>
      </x:c>
      <x:c r="D27" s="1"/>
      <x:c r="E27" s="19">
        <x:f>+'Weather Adjustment'!E27</x:f>
        <x:v>12</x:v>
      </x:c>
      <x:c r="F27" s="1"/>
      <x:c r="G27" s="43">
        <x:f t="shared" si="5"/>
        <x:v>0.318</x:v>
      </x:c>
      <x:c r="H27" s="14"/>
      <x:c r="I27" s="59"/>
      <x:c r="J27" s="59">
        <x:f>+'Weather Adjustment'!I46</x:f>
        <x:v>287174</x:v>
      </x:c>
      <x:c r="K27" s="59"/>
      <x:c r="L27" s="59" t="e">
        <x:f>SUM(#REF!,J27)</x:f>
        <x:v>#REF!</x:v>
      </x:c>
      <x:c r="M27" s="59">
        <x:f t="shared" si="6"/>
        <x:v>91.321331999999998</x:v>
      </x:c>
      <x:c r="N27" s="59"/>
      <x:c r="O27" s="43">
        <x:f>+[3]SECLE10KW!D24</x:f>
        <x:v>13.342507894333339</x:v>
      </x:c>
      <x:c r="P27" s="20"/>
      <x:c r="Q27" s="43">
        <x:f>+[3]SECLE10KW!F24</x:f>
        <x:v>9.319234487124751</x:v>
      </x:c>
      <x:c r="R27" s="59"/>
      <x:c r="S27" s="59">
        <x:f t="shared" si="7"/>
        <x:v>22.66174238145809</x:v>
      </x:c>
      <x:c r="T27" s="59"/>
      <x:c r="U27" s="68">
        <x:f t="shared" si="8"/>
        <x:v>-4.0232734072085883</x:v>
      </x:c>
      <x:c r="V27" s="59"/>
      <x:c r="W27" s="59">
        <x:f t="shared" si="9"/>
        <x:v>-367.41068654646665</x:v>
      </x:c>
    </x:row>
    <x:row r="28" spans="1:23" ht="15.5" x14ac:dyDescent="0.35">
      <x:c r="A28" s="39">
        <x:f t="shared" si="4"/>
        <x:v>13</x:v>
      </x:c>
      <x:c r="B28" s="1"/>
      <x:c r="C28" s="1" t="s">
        <x:v>8</x:v>
      </x:c>
      <x:c r="D28" s="1"/>
      <x:c r="E28" s="1"/>
      <x:c r="F28" s="1"/>
      <x:c r="G28" s="76"/>
      <x:c r="H28" s="76"/>
      <x:c r="I28" s="76"/>
      <x:c r="J28" s="76"/>
      <x:c r="K28" s="76"/>
      <x:c r="L28" s="76" t="e">
        <x:f>SUM(L22:L27)</x:f>
        <x:v>#REF!</x:v>
      </x:c>
      <x:c r="M28" s="76"/>
      <x:c r="N28" s="76"/>
      <x:c r="O28" s="76">
        <x:f>SUM(O16:O27)</x:f>
        <x:v>1997.6446461789048</x:v>
      </x:c>
      <x:c r="P28" s="76"/>
      <x:c r="Q28" s="76">
        <x:f>SUM(Q16:Q27)</x:f>
        <x:v>1839.9614439825991</x:v>
      </x:c>
      <x:c r="R28" s="76"/>
      <x:c r="S28" s="76">
        <x:f>SUM(S22:S27)</x:f>
        <x:v>3142.0718254257813</x:v>
      </x:c>
      <x:c r="T28" s="76"/>
      <x:c r="U28" s="77">
        <x:f>+Q28-O28</x:f>
        <x:v>-157.68320219630573</x:v>
      </x:c>
      <x:c r="V28" s="76"/>
      <x:c r="W28" s="76">
        <x:f>SUM(W16:W27)</x:f>
        <x:v>-14330.311165846641</x:v>
      </x:c>
    </x:row>
    <x:row r="29" spans="1:23" ht="15.5" x14ac:dyDescent="0.35">
      <x:c r="A29" s="39">
        <x:f t="shared" si="4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 spans="1:23" ht="15.5" x14ac:dyDescent="0.35">
      <x:c r="A30" s="39">
        <x:f t="shared" si="4"/>
        <x:v>15</x:v>
      </x:c>
      <x:c r="B30" s="1"/>
      <x:c r="C30" s="1"/>
      <x:c r="D30" s="1"/>
      <x:c r="E30" s="1"/>
      <x:c r="F30" s="1"/>
      <x:c r="G30" s="10" t="s">
        <x:v>32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10"/>
      <x:c r="T30" s="3"/>
      <x:c r="U30" s="10"/>
      <x:c r="V30" s="10"/>
      <x:c r="W30" s="12" t="s">
        <x:v>34</x:v>
      </x:c>
    </x:row>
    <x:row r="31" spans="1:23" ht="15.5" x14ac:dyDescent="0.35">
      <x:c r="A31" s="39">
        <x:f t="shared" si="4"/>
        <x:v>16</x:v>
      </x:c>
      <x:c r="B31" s="11"/>
      <x:c r="C31" s="11" t="s">
        <x:v>1</x:v>
      </x:c>
      <x:c r="D31" s="11"/>
      <x:c r="E31" s="11" t="s">
        <x:v>2</x:v>
      </x:c>
      <x:c r="F31" s="1"/>
      <x:c r="G31" s="12" t="s">
        <x:v>14</x:v>
      </x:c>
      <x:c r="H31" s="12"/>
      <x:c r="I31" s="12"/>
      <x:c r="J31" s="12" t="s">
        <x:v>21</x:v>
      </x:c>
      <x:c r="K31" s="12"/>
      <x:c r="L31" s="12" t="s">
        <x:v>4</x:v>
      </x:c>
      <x:c r="M31" s="13" t="s">
        <x:v>35</x:v>
      </x:c>
      <x:c r="N31" s="14"/>
      <x:c r="O31" s="14" t="s">
        <x:v>36</x:v>
      </x:c>
      <x:c r="P31" s="14"/>
      <x:c r="Q31" s="14" t="s">
        <x:v>37</x:v>
      </x:c>
      <x:c r="R31" s="14"/>
      <x:c r="S31" s="13" t="s">
        <x:v>5</x:v>
      </x:c>
      <x:c r="T31" s="14"/>
      <x:c r="U31" s="12" t="s">
        <x:v>38</x:v>
      </x:c>
      <x:c r="V31" s="12"/>
      <x:c r="W31" s="12" t="s">
        <x:v>9</x:v>
      </x:c>
    </x:row>
    <x:row r="32" spans="1:23" ht="15.5" x14ac:dyDescent="0.35">
      <x:c r="A32" s="39">
        <x:f t="shared" si="4"/>
        <x:v>17</x:v>
      </x:c>
      <x:c r="B32" s="1"/>
      <x:c r="C32" s="1"/>
      <x:c r="D32" s="1"/>
      <x:c r="E32" s="1"/>
      <x:c r="F32" s="1"/>
      <x:c r="G32" s="16" t="s">
        <x:v>61</x:v>
      </x:c>
      <x:c r="H32" s="15"/>
      <x:c r="I32" s="15"/>
      <x:c r="J32" s="16" t="s">
        <x:v>62</x:v>
      </x:c>
      <x:c r="K32" s="15"/>
      <x:c r="L32" s="15"/>
      <x:c r="M32" s="16" t="s">
        <x:v>70</x:v>
      </x:c>
      <x:c r="N32" s="15"/>
      <x:c r="O32" s="16" t="s">
        <x:v>64</x:v>
      </x:c>
      <x:c r="P32" s="15"/>
      <x:c r="Q32" s="16" t="s">
        <x:v>65</x:v>
      </x:c>
      <x:c r="R32" s="15"/>
      <x:c r="S32" s="15"/>
      <x:c r="T32" s="15"/>
      <x:c r="U32" s="16" t="s">
        <x:v>112</x:v>
      </x:c>
      <x:c r="V32" s="15"/>
      <x:c r="W32" s="16" t="s">
        <x:v>113</x:v>
      </x:c>
    </x:row>
    <x:row r="33" spans="1:23" ht="15.5" x14ac:dyDescent="0.35">
      <x:c r="A33" s="39">
        <x:f t="shared" si="4"/>
        <x:v>18</x:v>
      </x:c>
      <x:c r="B33" s="1"/>
      <x:c r="C33" s="1"/>
      <x:c r="D33" s="1"/>
      <x:c r="E33" s="1"/>
      <x:c r="F33" s="1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 spans="1:23" ht="15.5" x14ac:dyDescent="0.35">
      <x:c r="A34" s="39">
        <x:f t="shared" si="4"/>
        <x:v>19</x:v>
      </x:c>
      <x:c r="B34" s="1"/>
      <x:c r="C34" s="18">
        <x:f t="shared" ref="C34:C45" si="10">+C16</x:f>
        <x:v>2024</x:v>
      </x:c>
      <x:c r="D34" s="1"/>
      <x:c r="E34" s="19">
        <x:f>+E16</x:f>
        <x:v>1</x:v>
      </x:c>
      <x:c r="G34" s="44">
        <x:f>+'[2]SECLE10KW Model'!$C$17</x:f>
        <x:v>0.36799999999999999</x:v>
      </x:c>
      <x:c r="H34" s="27"/>
      <x:c r="I34" s="27"/>
      <x:c r="J34" s="27">
        <x:f t="shared" ref="J34:J39" si="11">J16</x:f>
        <x:v>284930</x:v>
      </x:c>
      <x:c r="K34" s="27"/>
      <x:c r="L34" s="29"/>
      <x:c r="M34" s="20">
        <x:f>PRODUCT(G34,J34)/1000</x:f>
        <x:v>104.85424</x:v>
      </x:c>
      <x:c r="N34" s="28"/>
      <x:c r="O34" s="43">
        <x:f>+[3]SECLE10KW!C13</x:f>
        <x:v>184.63353390354484</x:v>
      </x:c>
      <x:c r="P34" s="20"/>
      <x:c r="Q34" s="43">
        <x:f>+[3]SECLE10KW!E13</x:f>
        <x:v>225.91363479157371</x:v>
      </x:c>
      <x:c r="R34" s="28"/>
      <x:c r="S34" s="28"/>
      <x:c r="T34" s="28"/>
      <x:c r="U34" s="43">
        <x:f>+Q34-O34</x:f>
        <x:v>41.280100888028869</x:v>
      </x:c>
      <x:c r="V34" s="28"/>
      <x:c r="W34" s="20">
        <x:f t="shared" ref="W34:W39" si="12">+M34*U34</x:f>
        <x:v>4328.3936057375922</x:v>
      </x:c>
    </x:row>
    <x:row r="35" spans="1:23" ht="15.5" x14ac:dyDescent="0.35">
      <x:c r="A35" s="39">
        <x:f t="shared" si="4"/>
        <x:v>20</x:v>
      </x:c>
      <x:c r="B35" s="1"/>
      <x:c r="C35" s="18">
        <x:f t="shared" si="10"/>
        <x:v>2024</x:v>
      </x:c>
      <x:c r="D35" s="1"/>
      <x:c r="E35" s="19">
        <x:f t="shared" ref="E35:E45" si="13">+E17</x:f>
        <x:v>2</x:v>
      </x:c>
      <x:c r="G35" s="44">
        <x:f>+G34</x:f>
        <x:v>0.36799999999999999</x:v>
      </x:c>
      <x:c r="H35" s="27"/>
      <x:c r="I35" s="27"/>
      <x:c r="J35" s="27">
        <x:f t="shared" si="11"/>
        <x:v>282336</x:v>
      </x:c>
      <x:c r="K35" s="27"/>
      <x:c r="L35" s="29"/>
      <x:c r="M35" s="20">
        <x:f t="shared" ref="M35:M39" si="14">PRODUCT(G35,J35)/1000</x:f>
        <x:v>103.899648</x:v>
      </x:c>
      <x:c r="N35" s="28"/>
      <x:c r="O35" s="43">
        <x:f>+[3]SECLE10KW!C14</x:f>
        <x:v>220.1873797839298</x:v>
      </x:c>
      <x:c r="P35" s="20"/>
      <x:c r="Q35" s="43">
        <x:f>+[3]SECLE10KW!E14</x:f>
        <x:v>232.7622459023554</x:v>
      </x:c>
      <x:c r="R35" s="28"/>
      <x:c r="S35" s="28"/>
      <x:c r="T35" s="28"/>
      <x:c r="U35" s="43">
        <x:f t="shared" ref="U35:U39" si="15">+Q35-O35</x:f>
        <x:v>12.574866118425604</x:v>
      </x:c>
      <x:c r="V35" s="28"/>
      <x:c r="W35" s="20">
        <x:f t="shared" si="12"/>
        <x:v>1306.5241633515466</x:v>
      </x:c>
    </x:row>
    <x:row r="36" spans="1:23" ht="15.5" x14ac:dyDescent="0.35">
      <x:c r="A36" s="39">
        <x:f t="shared" si="4"/>
        <x:v>21</x:v>
      </x:c>
      <x:c r="B36" s="1"/>
      <x:c r="C36" s="18">
        <x:f t="shared" si="10"/>
        <x:v>2024</x:v>
      </x:c>
      <x:c r="D36" s="1"/>
      <x:c r="E36" s="19">
        <x:f t="shared" si="13"/>
        <x:v>3</x:v>
      </x:c>
      <x:c r="G36" s="44">
        <x:f t="shared" ref="G36:G45" si="16">+G35</x:f>
        <x:v>0.36799999999999999</x:v>
      </x:c>
      <x:c r="H36" s="27"/>
      <x:c r="I36" s="27"/>
      <x:c r="J36" s="27">
        <x:f t="shared" si="11"/>
        <x:v>283192</x:v>
      </x:c>
      <x:c r="K36" s="27"/>
      <x:c r="L36" s="29"/>
      <x:c r="M36" s="20">
        <x:f t="shared" si="14"/>
        <x:v>104.21465600000001</x:v>
      </x:c>
      <x:c r="N36" s="28"/>
      <x:c r="O36" s="43">
        <x:f>+[3]SECLE10KW!C15</x:f>
        <x:v>75.450548815276463</x:v>
      </x:c>
      <x:c r="P36" s="20"/>
      <x:c r="Q36" s="43">
        <x:f>+[3]SECLE10KW!E15</x:f>
        <x:v>158.5217894580058</x:v>
      </x:c>
      <x:c r="R36" s="28"/>
      <x:c r="S36" s="28"/>
      <x:c r="T36" s="28"/>
      <x:c r="U36" s="43">
        <x:f t="shared" si="15"/>
        <x:v>83.071240642729336</x:v>
      </x:c>
      <x:c r="V36" s="28"/>
      <x:c r="W36" s="20">
        <x:f t="shared" si="12"/>
        <x:v>8657.2407670752564</x:v>
      </x:c>
    </x:row>
    <x:row r="37" spans="1:23" ht="15.5" x14ac:dyDescent="0.35">
      <x:c r="A37" s="39">
        <x:f t="shared" si="4"/>
        <x:v>22</x:v>
      </x:c>
      <x:c r="B37" s="1"/>
      <x:c r="C37" s="18">
        <x:f t="shared" si="10"/>
        <x:v>2024</x:v>
      </x:c>
      <x:c r="D37" s="1"/>
      <x:c r="E37" s="19">
        <x:f t="shared" si="13"/>
        <x:v>4</x:v>
      </x:c>
      <x:c r="G37" s="44">
        <x:f t="shared" si="16"/>
        <x:v>0.36799999999999999</x:v>
      </x:c>
      <x:c r="H37" s="27"/>
      <x:c r="I37" s="27"/>
      <x:c r="J37" s="27">
        <x:f t="shared" si="11"/>
        <x:v>283989</x:v>
      </x:c>
      <x:c r="K37" s="27"/>
      <x:c r="L37" s="29"/>
      <x:c r="M37" s="20">
        <x:f t="shared" si="14"/>
        <x:v>104.507952</x:v>
      </x:c>
      <x:c r="N37" s="28"/>
      <x:c r="O37" s="43">
        <x:f>+[3]SECLE10KW!C16</x:f>
        <x:v>37.755317028753488</x:v>
      </x:c>
      <x:c r="P37" s="20"/>
      <x:c r="Q37" s="43">
        <x:f>+[3]SECLE10KW!E16</x:f>
        <x:v>50.898509067848018</x:v>
      </x:c>
      <x:c r="R37" s="28"/>
      <x:c r="S37" s="28"/>
      <x:c r="T37" s="28"/>
      <x:c r="U37" s="43">
        <x:f t="shared" si="15"/>
        <x:v>13.143192039094529</x:v>
      </x:c>
      <x:c r="V37" s="28"/>
      <x:c r="W37" s="20">
        <x:f t="shared" si="12"/>
        <x:v>1373.5680827484732</x:v>
      </x:c>
    </x:row>
    <x:row r="38" spans="1:23" ht="15.5" x14ac:dyDescent="0.35">
      <x:c r="A38" s="39">
        <x:f t="shared" si="4"/>
        <x:v>23</x:v>
      </x:c>
      <x:c r="B38" s="1"/>
      <x:c r="C38" s="18">
        <x:f t="shared" si="10"/>
        <x:v>2024</x:v>
      </x:c>
      <x:c r="D38" s="1"/>
      <x:c r="E38" s="19">
        <x:f t="shared" si="13"/>
        <x:v>5</x:v>
      </x:c>
      <x:c r="G38" s="44">
        <x:f t="shared" si="16"/>
        <x:v>0.36799999999999999</x:v>
      </x:c>
      <x:c r="H38" s="27"/>
      <x:c r="I38" s="27"/>
      <x:c r="J38" s="27">
        <x:f t="shared" si="11"/>
        <x:v>284452</x:v>
      </x:c>
      <x:c r="K38" s="27"/>
      <x:c r="L38" s="29"/>
      <x:c r="M38" s="20">
        <x:f t="shared" si="14"/>
        <x:v>104.678336</x:v>
      </x:c>
      <x:c r="N38" s="28"/>
      <x:c r="O38" s="43">
        <x:f>+[3]SECLE10KW!C17</x:f>
        <x:v>7.0957271543809499</x:v>
      </x:c>
      <x:c r="P38" s="20"/>
      <x:c r="Q38" s="43">
        <x:f>+[3]SECLE10KW!E17</x:f>
        <x:v>13.010936649668633</x:v>
      </x:c>
      <x:c r="R38" s="28"/>
      <x:c r="S38" s="28"/>
      <x:c r="T38" s="28"/>
      <x:c r="U38" s="43">
        <x:f t="shared" si="15"/>
        <x:v>5.9152094952876828</x:v>
      </x:c>
      <x:c r="V38" s="28"/>
      <x:c r="W38" s="20">
        <x:f t="shared" si="12"/>
        <x:v>619.19428705811447</x:v>
      </x:c>
    </x:row>
    <x:row r="39" spans="1:23" ht="15.5" x14ac:dyDescent="0.35">
      <x:c r="A39" s="39">
        <x:f t="shared" si="4"/>
        <x:v>24</x:v>
      </x:c>
      <x:c r="B39" s="1"/>
      <x:c r="C39" s="18">
        <x:f t="shared" si="10"/>
        <x:v>2024</x:v>
      </x:c>
      <x:c r="D39" s="1"/>
      <x:c r="E39" s="19">
        <x:f t="shared" si="13"/>
        <x:v>6</x:v>
      </x:c>
      <x:c r="G39" s="44">
        <x:f t="shared" si="16"/>
        <x:v>0.36799999999999999</x:v>
      </x:c>
      <x:c r="H39" s="30"/>
      <x:c r="I39" s="30"/>
      <x:c r="J39" s="30">
        <x:f t="shared" si="11"/>
        <x:v>284068</x:v>
      </x:c>
      <x:c r="K39" s="30"/>
      <x:c r="L39" s="31"/>
      <x:c r="M39" s="30">
        <x:f t="shared" si="14"/>
        <x:v>104.537024</x:v>
      </x:c>
      <x:c r="N39" s="51"/>
      <x:c r="O39" s="43">
        <x:f>+[3]SECLE10KW!C18</x:f>
        <x:v>2.1473679999999998E-2</x:v>
      </x:c>
      <x:c r="P39" s="20"/>
      <x:c r="Q39" s="43">
        <x:f>+[3]SECLE10KW!E18</x:f>
        <x:v>1.6240947840877427</x:v>
      </x:c>
      <x:c r="R39" s="28"/>
      <x:c r="S39" s="28"/>
      <x:c r="T39" s="28"/>
      <x:c r="U39" s="43">
        <x:f t="shared" si="15"/>
        <x:v>1.6026211040877427</x:v>
      </x:c>
      <x:c r="V39" s="28"/>
      <x:c r="W39" s="20">
        <x:f t="shared" si="12"/>
        <x:v>167.53324082092686</x:v>
      </x:c>
    </x:row>
    <x:row r="40" spans="1:23" ht="15.5" x14ac:dyDescent="0.35">
      <x:c r="A40" s="39">
        <x:f t="shared" si="4"/>
        <x:v>25</x:v>
      </x:c>
      <x:c r="B40" s="1"/>
      <x:c r="C40" s="18">
        <x:f t="shared" si="10"/>
        <x:v>2024</x:v>
      </x:c>
      <x:c r="D40" s="1"/>
      <x:c r="E40" s="19">
        <x:f t="shared" si="13"/>
        <x:v>7</x:v>
      </x:c>
      <x:c r="F40" s="23"/>
      <x:c r="G40" s="44">
        <x:f t="shared" si="16"/>
        <x:v>0.36799999999999999</x:v>
      </x:c>
      <x:c r="H40" s="28"/>
      <x:c r="I40" s="28"/>
      <x:c r="J40" s="27">
        <x:f t="shared" ref="J40:J45" si="17">J22</x:f>
        <x:v>284074</x:v>
      </x:c>
      <x:c r="K40" s="3"/>
      <x:c r="L40" s="3"/>
      <x:c r="M40" s="20">
        <x:f t="shared" ref="M40:M45" si="18">PRODUCT(G40,J40)/1000</x:f>
        <x:v>104.539232</x:v>
      </x:c>
      <x:c r="N40" s="3"/>
      <x:c r="O40" s="43">
        <x:f>+[3]SECLE10KW!C19</x:f>
        <x:v>0</x:v>
      </x:c>
      <x:c r="P40" s="20"/>
      <x:c r="Q40" s="43">
        <x:f>+[3]SECLE10KW!E19</x:f>
        <x:v>1.8058366811040692E-2</x:v>
      </x:c>
      <x:c r="R40" s="3"/>
      <x:c r="S40" s="3"/>
      <x:c r="T40" s="3"/>
      <x:c r="U40" s="43">
        <x:f t="shared" ref="U40:U45" si="19">+Q40-O40</x:f>
        <x:v>1.8058366811040692E-2</x:v>
      </x:c>
      <x:c r="V40" s="3"/>
      <x:c r="W40" s="20">
        <x:f t="shared" ref="W40:W45" si="20">+M40*U40</x:f>
        <x:v>1.887807797600483</x:v>
      </x:c>
    </x:row>
    <x:row r="41" spans="1:23" ht="15.5" x14ac:dyDescent="0.35">
      <x:c r="A41" s="39">
        <x:f t="shared" si="4"/>
        <x:v>26</x:v>
      </x:c>
      <x:c r="B41" s="1"/>
      <x:c r="C41" s="18">
        <x:f t="shared" si="10"/>
        <x:v>2024</x:v>
      </x:c>
      <x:c r="D41" s="1"/>
      <x:c r="E41" s="19">
        <x:f t="shared" si="13"/>
        <x:v>8</x:v>
      </x:c>
      <x:c r="G41" s="44">
        <x:f t="shared" si="16"/>
        <x:v>0.36799999999999999</x:v>
      </x:c>
      <x:c r="H41" s="27"/>
      <x:c r="I41" s="27"/>
      <x:c r="J41" s="27">
        <x:f t="shared" si="17"/>
        <x:v>284801</x:v>
      </x:c>
      <x:c r="K41" s="27"/>
      <x:c r="L41" s="29"/>
      <x:c r="M41" s="20">
        <x:f t="shared" si="18"/>
        <x:v>104.80676799999999</x:v>
      </x:c>
      <x:c r="N41" s="3"/>
      <x:c r="O41" s="43">
        <x:f>+[3]SECLE10KW!C20</x:f>
        <x:v>0</x:v>
      </x:c>
      <x:c r="P41" s="20"/>
      <x:c r="Q41" s="43">
        <x:f>+[3]SECLE10KW!E20</x:f>
        <x:v>1.3382830286738348E-3</x:v>
      </x:c>
      <x:c r="R41" s="3"/>
      <x:c r="S41" s="3"/>
      <x:c r="T41" s="3"/>
      <x:c r="U41" s="43">
        <x:f t="shared" si="19"/>
        <x:v>1.3382830286738348E-3</x:v>
      </x:c>
      <x:c r="V41" s="3"/>
      <x:c r="W41" s="20">
        <x:f t="shared" si="20"/>
        <x:v>0.14026111890455595</x:v>
      </x:c>
    </x:row>
    <x:row r="42" spans="1:23" ht="15.5" x14ac:dyDescent="0.35">
      <x:c r="A42" s="39">
        <x:f t="shared" si="4"/>
        <x:v>27</x:v>
      </x:c>
      <x:c r="B42" s="1"/>
      <x:c r="C42" s="18">
        <x:f t="shared" si="10"/>
        <x:v>2024</x:v>
      </x:c>
      <x:c r="D42" s="1"/>
      <x:c r="E42" s="19">
        <x:f t="shared" si="13"/>
        <x:v>9</x:v>
      </x:c>
      <x:c r="G42" s="44">
        <x:f t="shared" si="16"/>
        <x:v>0.36799999999999999</x:v>
      </x:c>
      <x:c r="H42" s="27"/>
      <x:c r="I42" s="27"/>
      <x:c r="J42" s="27">
        <x:f t="shared" si="17"/>
        <x:v>285728</x:v>
      </x:c>
      <x:c r="K42" s="27"/>
      <x:c r="L42" s="29"/>
      <x:c r="M42" s="20">
        <x:f t="shared" si="18"/>
        <x:v>105.147904</x:v>
      </x:c>
      <x:c r="N42" s="3"/>
      <x:c r="O42" s="43">
        <x:f>+[3]SECLE10KW!C21</x:f>
        <x:v>0</x:v>
      </x:c>
      <x:c r="P42" s="20"/>
      <x:c r="Q42" s="43">
        <x:f>+[3]SECLE10KW!E21</x:f>
        <x:v>7.7369928352163345E-2</x:v>
      </x:c>
      <x:c r="R42" s="3"/>
      <x:c r="S42" s="3"/>
      <x:c r="T42" s="3"/>
      <x:c r="U42" s="43">
        <x:f t="shared" si="19"/>
        <x:v>7.7369928352163345E-2</x:v>
      </x:c>
      <x:c r="V42" s="3"/>
      <x:c r="W42" s="20">
        <x:f t="shared" si="20"/>
        <x:v>8.1352857988601492</x:v>
      </x:c>
    </x:row>
    <x:row r="43" spans="1:23" ht="15.5" x14ac:dyDescent="0.35">
      <x:c r="A43" s="39">
        <x:f t="shared" si="4"/>
        <x:v>28</x:v>
      </x:c>
      <x:c r="B43" s="1"/>
      <x:c r="C43" s="18">
        <x:f t="shared" si="10"/>
        <x:v>2024</x:v>
      </x:c>
      <x:c r="D43" s="1"/>
      <x:c r="E43" s="19">
        <x:f t="shared" si="13"/>
        <x:v>10</x:v>
      </x:c>
      <x:c r="G43" s="44">
        <x:f t="shared" si="16"/>
        <x:v>0.36799999999999999</x:v>
      </x:c>
      <x:c r="H43" s="27"/>
      <x:c r="I43" s="27"/>
      <x:c r="J43" s="27">
        <x:f t="shared" si="17"/>
        <x:v>286930</x:v>
      </x:c>
      <x:c r="K43" s="27"/>
      <x:c r="L43" s="29"/>
      <x:c r="M43" s="20">
        <x:f t="shared" si="18"/>
        <x:v>105.59024000000001</x:v>
      </x:c>
      <x:c r="N43" s="3"/>
      <x:c r="O43" s="43">
        <x:f>+[3]SECLE10KW!C22</x:f>
        <x:v>0.30823940809523798</x:v>
      </x:c>
      <x:c r="P43" s="20"/>
      <x:c r="Q43" s="43">
        <x:f>+[3]SECLE10KW!E22</x:f>
        <x:v>2.6285156552576989</x:v>
      </x:c>
      <x:c r="R43" s="3"/>
      <x:c r="S43" s="3"/>
      <x:c r="T43" s="3"/>
      <x:c r="U43" s="43">
        <x:f t="shared" si="19"/>
        <x:v>2.3202762471624609</x:v>
      </x:c>
      <x:c r="V43" s="3"/>
      <x:c r="W43" s="20">
        <x:f t="shared" si="20"/>
        <x:v>244.9985258041836</x:v>
      </x:c>
    </x:row>
    <x:row r="44" spans="1:23" ht="15.5" x14ac:dyDescent="0.35">
      <x:c r="A44" s="39">
        <x:f t="shared" si="4"/>
        <x:v>29</x:v>
      </x:c>
      <x:c r="B44" s="1"/>
      <x:c r="C44" s="18">
        <x:f t="shared" si="10"/>
        <x:v>2024</x:v>
      </x:c>
      <x:c r="D44" s="1"/>
      <x:c r="E44" s="19">
        <x:f t="shared" si="13"/>
        <x:v>11</x:v>
      </x:c>
      <x:c r="G44" s="44">
        <x:f t="shared" si="16"/>
        <x:v>0.36799999999999999</x:v>
      </x:c>
      <x:c r="H44" s="27"/>
      <x:c r="I44" s="27"/>
      <x:c r="J44" s="27">
        <x:f t="shared" si="17"/>
        <x:v>287446</x:v>
      </x:c>
      <x:c r="K44" s="27"/>
      <x:c r="L44" s="29"/>
      <x:c r="M44" s="20">
        <x:f t="shared" si="18"/>
        <x:v>105.78012799999999</x:v>
      </x:c>
      <x:c r="N44" s="28"/>
      <x:c r="O44" s="43">
        <x:f>+[3]SECLE10KW!C23</x:f>
        <x:v>5.73969605053738</x:v>
      </x:c>
      <x:c r="P44" s="20"/>
      <x:c r="Q44" s="43">
        <x:f>+[3]SECLE10KW!E23</x:f>
        <x:v>32.083724743332589</x:v>
      </x:c>
      <x:c r="R44" s="28"/>
      <x:c r="S44" s="28"/>
      <x:c r="T44" s="28"/>
      <x:c r="U44" s="43">
        <x:f t="shared" si="19"/>
        <x:v>26.344028692795209</x:v>
      </x:c>
      <x:c r="V44" s="28"/>
      <x:c r="W44" s="20">
        <x:f t="shared" si="20"/>
        <x:v>2786.6747271595495</x:v>
      </x:c>
    </x:row>
    <x:row r="45" spans="1:23" ht="15.5" x14ac:dyDescent="0.35">
      <x:c r="A45" s="39">
        <x:f t="shared" si="4"/>
        <x:v>30</x:v>
      </x:c>
      <x:c r="B45" s="1"/>
      <x:c r="C45" s="18">
        <x:f t="shared" si="10"/>
        <x:v>2024</x:v>
      </x:c>
      <x:c r="D45" s="1"/>
      <x:c r="E45" s="19">
        <x:f t="shared" si="13"/>
        <x:v>12</x:v>
      </x:c>
      <x:c r="G45" s="44">
        <x:f t="shared" si="16"/>
        <x:v>0.36799999999999999</x:v>
      </x:c>
      <x:c r="H45" s="27"/>
      <x:c r="I45" s="27"/>
      <x:c r="J45" s="27">
        <x:f t="shared" si="17"/>
        <x:v>287174</x:v>
      </x:c>
      <x:c r="K45" s="27"/>
      <x:c r="L45" s="29"/>
      <x:c r="M45" s="20">
        <x:f t="shared" si="18"/>
        <x:v>105.680032</x:v>
      </x:c>
      <x:c r="N45" s="28"/>
      <x:c r="O45" s="43">
        <x:f>+[3]SECLE10KW!C24</x:f>
        <x:v>98.10965798757897</x:v>
      </x:c>
      <x:c r="P45" s="20"/>
      <x:c r="Q45" s="43">
        <x:f>+[3]SECLE10KW!E24</x:f>
        <x:v>120.77429385750611</x:v>
      </x:c>
      <x:c r="R45" s="51"/>
      <x:c r="S45" s="51"/>
      <x:c r="T45" s="51"/>
      <x:c r="U45" s="68">
        <x:f t="shared" si="19"/>
        <x:v>22.664635869927139</x:v>
      </x:c>
      <x:c r="V45" s="51"/>
      <x:c r="W45" s="59">
        <x:f t="shared" si="20"/>
        <x:v>2395.1994440022477</x:v>
      </x:c>
    </x:row>
    <x:row r="46" spans="1:23" ht="15.5" x14ac:dyDescent="0.35">
      <x:c r="A46" s="39">
        <x:f t="shared" si="4"/>
        <x:v>31</x:v>
      </x:c>
      <x:c r="B46" s="1"/>
      <x:c r="C46" s="21"/>
      <x:c r="D46" s="1"/>
      <x:c r="E46" s="19"/>
      <x:c r="G46" s="72"/>
      <x:c r="H46" s="72"/>
      <x:c r="I46" s="72"/>
      <x:c r="J46" s="72"/>
      <x:c r="K46" s="72"/>
      <x:c r="L46" s="73"/>
      <x:c r="M46" s="72"/>
      <x:c r="N46" s="74"/>
      <x:c r="O46" s="76">
        <x:f>SUM(O34:O45)</x:f>
        <x:v>629.30157381209722</x:v>
      </x:c>
      <x:c r="P46" s="76"/>
      <x:c r="Q46" s="76">
        <x:f>SUM(Q34:Q45)</x:f>
        <x:v>838.31451148782776</x:v>
      </x:c>
      <x:c r="R46" s="76"/>
      <x:c r="S46" s="76">
        <x:f>SUM(S40:S45)</x:f>
        <x:v>0</x:v>
      </x:c>
      <x:c r="T46" s="76"/>
      <x:c r="U46" s="77">
        <x:f>+Q46-O46</x:f>
        <x:v>209.01293767573054</x:v>
      </x:c>
      <x:c r="V46" s="76"/>
      <x:c r="W46" s="76">
        <x:f>SUM(W34:W45)</x:f>
        <x:v>21889.490198473257</x:v>
      </x:c>
    </x:row>
    <x:row r="47" spans="1:23" ht="15.5" x14ac:dyDescent="0.35">
      <x:c r="A47" s="39">
        <x:f t="shared" si="4"/>
        <x:v>32</x:v>
      </x:c>
      <x:c r="B47" s="4"/>
      <x:c r="C47" s="24"/>
      <x:c r="D47" s="4"/>
      <x:c r="E47" s="25"/>
      <x:c r="F47" s="8"/>
      <x:c r="G47" s="32"/>
      <x:c r="H47" s="33"/>
      <x:c r="I47" s="33"/>
      <x:c r="J47" s="32"/>
      <x:c r="K47" s="33"/>
      <x:c r="L47" s="34"/>
      <x:c r="M47" s="32"/>
      <x:c r="N47" s="35"/>
      <x:c r="O47" s="32"/>
      <x:c r="P47" s="35"/>
      <x:c r="Q47" s="32"/>
      <x:c r="R47" s="35"/>
      <x:c r="S47" s="35"/>
      <x:c r="T47" s="35"/>
      <x:c r="U47" s="32"/>
      <x:c r="V47" s="35"/>
      <x:c r="W47" s="36"/>
    </x:row>
    <x:row r="48" spans="1:23" ht="15.5" x14ac:dyDescent="0.35">
      <x:c r="A48" s="39">
        <x:f t="shared" si="4"/>
        <x:v>33</x:v>
      </x:c>
      <x:c r="B48" s="1"/>
      <x:c r="C48" s="21"/>
      <x:c r="D48" s="1"/>
      <x:c r="E48" s="19"/>
      <x:c r="G48" s="30"/>
      <x:c r="H48" s="27"/>
      <x:c r="I48" s="27"/>
      <x:c r="J48" s="30"/>
      <x:c r="K48" s="27"/>
      <x:c r="L48" s="29"/>
      <x:c r="M48" s="30"/>
      <x:c r="N48" s="28"/>
      <x:c r="O48" s="30"/>
      <x:c r="P48" s="28"/>
      <x:c r="Q48" s="30"/>
      <x:c r="R48" s="28"/>
      <x:c r="S48" s="28"/>
      <x:c r="T48" s="28"/>
      <x:c r="U48" s="30"/>
      <x:c r="V48" s="28"/>
      <x:c r="W48" s="31"/>
    </x:row>
    <x:row r="49" spans="1:24" ht="15.5" x14ac:dyDescent="0.35">
      <x:c r="A49" s="39">
        <x:f t="shared" si="4"/>
        <x:v>34</x:v>
      </x:c>
      <x:c r="B49" s="11"/>
      <x:c r="C49" s="11" t="s">
        <x:v>1</x:v>
      </x:c>
      <x:c r="D49" s="11"/>
      <x:c r="E49" s="11" t="s">
        <x:v>2</x:v>
      </x:c>
      <x:c r="F49" s="1"/>
      <x:c r="G49" s="12"/>
      <x:c r="H49" s="12"/>
      <x:c r="I49" s="12"/>
      <x:c r="J49" s="12"/>
      <x:c r="K49" s="12"/>
      <x:c r="L49" s="12"/>
      <x:c r="M49" s="13"/>
      <x:c r="N49" s="14"/>
      <x:c r="O49" s="14"/>
      <x:c r="P49" s="14"/>
      <x:c r="Q49" s="14"/>
      <x:c r="R49" s="14"/>
      <x:c r="S49" s="13"/>
      <x:c r="T49" s="14"/>
      <x:c r="U49" s="12"/>
      <x:c r="V49" s="12"/>
      <x:c r="W49" s="12" t="s">
        <x:v>8</x:v>
      </x:c>
    </x:row>
    <x:row r="50" spans="1:24" ht="15.5" x14ac:dyDescent="0.35">
      <x:c r="A50" s="39">
        <x:f t="shared" si="4"/>
        <x:v>35</x:v>
      </x:c>
      <x:c r="B50" s="1"/>
      <x:c r="C50" s="26"/>
      <x:c r="D50" s="1"/>
      <x:c r="E50" s="26"/>
      <x:c r="F50" s="1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6" t="s">
        <x:v>114</x:v>
      </x:c>
    </x:row>
    <x:row r="51" spans="1:24" ht="15.5" x14ac:dyDescent="0.35">
      <x:c r="A51" s="39">
        <x:f t="shared" si="4"/>
        <x:v>36</x:v>
      </x:c>
      <x:c r="C51" s="23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</x:row>
    <x:row r="52" spans="1:24" ht="15.5" x14ac:dyDescent="0.35">
      <x:c r="A52" s="39">
        <x:f t="shared" si="4"/>
        <x:v>37</x:v>
      </x:c>
      <x:c r="B52" s="1"/>
      <x:c r="C52" s="21">
        <x:f>+C34</x:f>
        <x:v>2024</x:v>
      </x:c>
      <x:c r="D52" s="1"/>
      <x:c r="E52" s="21">
        <x:f>+E34</x:f>
        <x:v>1</x:v>
      </x:c>
      <x:c r="G52" s="27"/>
      <x:c r="H52" s="27"/>
      <x:c r="I52" s="27"/>
      <x:c r="J52" s="27"/>
      <x:c r="K52" s="27"/>
      <x:c r="L52" s="27"/>
      <x:c r="M52" s="27"/>
      <x:c r="N52" s="28"/>
      <x:c r="O52" s="27"/>
      <x:c r="P52" s="28"/>
      <x:c r="Q52" s="27"/>
      <x:c r="R52" s="28"/>
      <x:c r="S52" s="28"/>
      <x:c r="T52" s="28"/>
      <x:c r="U52" s="27"/>
      <x:c r="V52" s="28"/>
      <x:c r="W52" s="27">
        <x:f t="shared" ref="W52:W63" si="21">+W16+W34</x:f>
        <x:v>4491.5377376331307</x:v>
      </x:c>
    </x:row>
    <x:row r="53" spans="1:24" ht="15.5" x14ac:dyDescent="0.35">
      <x:c r="A53" s="39">
        <x:f t="shared" si="4"/>
        <x:v>38</x:v>
      </x:c>
      <x:c r="B53" s="1"/>
      <x:c r="C53" s="21">
        <x:f t="shared" ref="C53:C63" si="22">+C35</x:f>
        <x:v>2024</x:v>
      </x:c>
      <x:c r="D53" s="1"/>
      <x:c r="E53" s="21">
        <x:f t="shared" ref="E53:E63" si="23">+E35</x:f>
        <x:v>2</x:v>
      </x:c>
      <x:c r="G53" s="27"/>
      <x:c r="H53" s="27"/>
      <x:c r="I53" s="27"/>
      <x:c r="J53" s="27"/>
      <x:c r="K53" s="27"/>
      <x:c r="L53" s="27"/>
      <x:c r="M53" s="27"/>
      <x:c r="N53" s="28"/>
      <x:c r="O53" s="27"/>
      <x:c r="P53" s="28"/>
      <x:c r="Q53" s="27"/>
      <x:c r="R53" s="28"/>
      <x:c r="S53" s="28"/>
      <x:c r="T53" s="28"/>
      <x:c r="U53" s="27"/>
      <x:c r="V53" s="28"/>
      <x:c r="W53" s="27">
        <x:f t="shared" si="21"/>
        <x:v>1426.3578254148738</x:v>
      </x:c>
    </x:row>
    <x:row r="54" spans="1:24" ht="15.5" x14ac:dyDescent="0.35">
      <x:c r="A54" s="39">
        <x:f t="shared" si="4"/>
        <x:v>39</x:v>
      </x:c>
      <x:c r="B54" s="1"/>
      <x:c r="C54" s="21">
        <x:f t="shared" si="22"/>
        <x:v>2024</x:v>
      </x:c>
      <x:c r="D54" s="1"/>
      <x:c r="E54" s="21">
        <x:f t="shared" si="23"/>
        <x:v>3</x:v>
      </x:c>
      <x:c r="G54" s="27"/>
      <x:c r="H54" s="27"/>
      <x:c r="I54" s="27"/>
      <x:c r="J54" s="27"/>
      <x:c r="K54" s="27"/>
      <x:c r="L54" s="27"/>
      <x:c r="M54" s="27"/>
      <x:c r="N54" s="28"/>
      <x:c r="O54" s="27"/>
      <x:c r="P54" s="28"/>
      <x:c r="Q54" s="27"/>
      <x:c r="R54" s="28"/>
      <x:c r="S54" s="28"/>
      <x:c r="T54" s="28"/>
      <x:c r="U54" s="27"/>
      <x:c r="V54" s="28"/>
      <x:c r="W54" s="27">
        <x:f t="shared" si="21"/>
        <x:v>7971.6045365122327</x:v>
      </x:c>
    </x:row>
    <x:row r="55" spans="1:24" ht="15.5" x14ac:dyDescent="0.35">
      <x:c r="A55" s="39">
        <x:f t="shared" si="4"/>
        <x:v>40</x:v>
      </x:c>
      <x:c r="B55" s="1"/>
      <x:c r="C55" s="21">
        <x:f t="shared" si="22"/>
        <x:v>2024</x:v>
      </x:c>
      <x:c r="D55" s="1"/>
      <x:c r="E55" s="21">
        <x:f t="shared" si="23"/>
        <x:v>4</x:v>
      </x:c>
      <x:c r="G55" s="27"/>
      <x:c r="H55" s="27"/>
      <x:c r="I55" s="27"/>
      <x:c r="J55" s="27"/>
      <x:c r="K55" s="27"/>
      <x:c r="L55" s="27"/>
      <x:c r="M55" s="27"/>
      <x:c r="N55" s="28"/>
      <x:c r="O55" s="27"/>
      <x:c r="P55" s="28"/>
      <x:c r="Q55" s="27"/>
      <x:c r="R55" s="28"/>
      <x:c r="S55" s="28"/>
      <x:c r="T55" s="28"/>
      <x:c r="U55" s="27"/>
      <x:c r="V55" s="28"/>
      <x:c r="W55" s="27">
        <x:f t="shared" si="21"/>
        <x:v>1596.2729328512494</x:v>
      </x:c>
    </x:row>
    <x:row r="56" spans="1:24" ht="15.5" x14ac:dyDescent="0.35">
      <x:c r="A56" s="39">
        <x:f t="shared" si="4"/>
        <x:v>41</x:v>
      </x:c>
      <x:c r="B56" s="1"/>
      <x:c r="C56" s="21">
        <x:f t="shared" si="22"/>
        <x:v>2024</x:v>
      </x:c>
      <x:c r="D56" s="1"/>
      <x:c r="E56" s="21">
        <x:f t="shared" si="23"/>
        <x:v>5</x:v>
      </x:c>
      <x:c r="G56" s="27"/>
      <x:c r="H56" s="27"/>
      <x:c r="I56" s="27"/>
      <x:c r="J56" s="27"/>
      <x:c r="K56" s="27"/>
      <x:c r="L56" s="27"/>
      <x:c r="M56" s="27"/>
      <x:c r="N56" s="28"/>
      <x:c r="O56" s="27"/>
      <x:c r="P56" s="28"/>
      <x:c r="Q56" s="27"/>
      <x:c r="R56" s="28"/>
      <x:c r="S56" s="28"/>
      <x:c r="T56" s="28"/>
      <x:c r="U56" s="27"/>
      <x:c r="V56" s="28"/>
      <x:c r="W56" s="27">
        <x:f t="shared" si="21"/>
        <x:v>-752.36736840008916</x:v>
      </x:c>
    </x:row>
    <x:row r="57" spans="1:24" ht="15.5" x14ac:dyDescent="0.35">
      <x:c r="A57" s="39">
        <x:f t="shared" si="4"/>
        <x:v>42</x:v>
      </x:c>
      <x:c r="B57" s="1"/>
      <x:c r="C57" s="21">
        <x:f t="shared" si="22"/>
        <x:v>2024</x:v>
      </x:c>
      <x:c r="D57" s="1"/>
      <x:c r="E57" s="21">
        <x:f t="shared" si="23"/>
        <x:v>6</x:v>
      </x:c>
      <x:c r="G57" s="30"/>
      <x:c r="H57" s="30"/>
      <x:c r="I57" s="30"/>
      <x:c r="J57" s="30"/>
      <x:c r="K57" s="30"/>
      <x:c r="L57" s="30"/>
      <x:c r="M57" s="30"/>
      <x:c r="N57" s="51"/>
      <x:c r="O57" s="30"/>
      <x:c r="P57" s="51"/>
      <x:c r="Q57" s="30"/>
      <x:c r="R57" s="51"/>
      <x:c r="S57" s="51"/>
      <x:c r="T57" s="51"/>
      <x:c r="U57" s="30"/>
      <x:c r="V57" s="51"/>
      <x:c r="W57" s="30">
        <x:f t="shared" si="21"/>
        <x:v>-2207.1425904067341</x:v>
      </x:c>
    </x:row>
    <x:row r="58" spans="1:24" ht="15.5" x14ac:dyDescent="0.35">
      <x:c r="A58" s="39">
        <x:f t="shared" si="4"/>
        <x:v>43</x:v>
      </x:c>
      <x:c r="B58" s="1"/>
      <x:c r="C58" s="21">
        <x:f t="shared" si="22"/>
        <x:v>2024</x:v>
      </x:c>
      <x:c r="D58" s="1"/>
      <x:c r="E58" s="21">
        <x:f t="shared" si="23"/>
        <x:v>7</x:v>
      </x:c>
      <x:c r="G58" s="27"/>
      <x:c r="H58" s="28"/>
      <x:c r="I58" s="28"/>
      <x:c r="J58" s="27"/>
      <x:c r="K58" s="28"/>
      <x:c r="L58" s="29"/>
      <x:c r="M58" s="27"/>
      <x:c r="N58" s="28"/>
      <x:c r="O58" s="27"/>
      <x:c r="P58" s="28"/>
      <x:c r="Q58" s="27"/>
      <x:c r="R58" s="28"/>
      <x:c r="S58" s="28"/>
      <x:c r="T58" s="28"/>
      <x:c r="U58" s="27"/>
      <x:c r="V58" s="28"/>
      <x:c r="W58" s="27">
        <x:f t="shared" si="21"/>
        <x:v>-3420.3707651213258</x:v>
      </x:c>
    </x:row>
    <x:row r="59" spans="1:24" ht="15.5" x14ac:dyDescent="0.35">
      <x:c r="A59" s="39">
        <x:f t="shared" si="4"/>
        <x:v>44</x:v>
      </x:c>
      <x:c r="B59" s="1"/>
      <x:c r="C59" s="21">
        <x:f t="shared" si="22"/>
        <x:v>2024</x:v>
      </x:c>
      <x:c r="D59" s="1"/>
      <x:c r="E59" s="21">
        <x:f t="shared" si="23"/>
        <x:v>8</x:v>
      </x:c>
      <x:c r="G59" s="27"/>
      <x:c r="H59" s="27"/>
      <x:c r="I59" s="27"/>
      <x:c r="J59" s="27"/>
      <x:c r="K59" s="27"/>
      <x:c r="L59" s="27"/>
      <x:c r="M59" s="27"/>
      <x:c r="N59" s="28"/>
      <x:c r="O59" s="27"/>
      <x:c r="P59" s="28"/>
      <x:c r="Q59" s="27"/>
      <x:c r="R59" s="28"/>
      <x:c r="S59" s="28"/>
      <x:c r="T59" s="28"/>
      <x:c r="U59" s="27"/>
      <x:c r="V59" s="28"/>
      <x:c r="W59" s="27">
        <x:f t="shared" si="21"/>
        <x:v>2760.7303330344162</x:v>
      </x:c>
    </x:row>
    <x:row r="60" spans="1:24" ht="15.5" x14ac:dyDescent="0.35">
      <x:c r="A60" s="39">
        <x:f t="shared" si="4"/>
        <x:v>45</x:v>
      </x:c>
      <x:c r="B60" s="1"/>
      <x:c r="C60" s="21">
        <x:f t="shared" si="22"/>
        <x:v>2024</x:v>
      </x:c>
      <x:c r="D60" s="1"/>
      <x:c r="E60" s="21">
        <x:f t="shared" si="23"/>
        <x:v>9</x:v>
      </x:c>
      <x:c r="G60" s="27"/>
      <x:c r="H60" s="27"/>
      <x:c r="I60" s="27"/>
      <x:c r="J60" s="27"/>
      <x:c r="K60" s="27"/>
      <x:c r="L60" s="27"/>
      <x:c r="M60" s="27"/>
      <x:c r="N60" s="28"/>
      <x:c r="O60" s="27"/>
      <x:c r="P60" s="28"/>
      <x:c r="Q60" s="27"/>
      <x:c r="R60" s="28"/>
      <x:c r="S60" s="28"/>
      <x:c r="T60" s="28"/>
      <x:c r="U60" s="27"/>
      <x:c r="V60" s="28"/>
      <x:c r="W60" s="27">
        <x:f t="shared" si="21"/>
        <x:v>-3051.4955949159057</x:v>
      </x:c>
    </x:row>
    <x:row r="61" spans="1:24" ht="15.5" x14ac:dyDescent="0.35">
      <x:c r="A61" s="39">
        <x:f t="shared" si="4"/>
        <x:v>46</x:v>
      </x:c>
      <x:c r="B61" s="1"/>
      <x:c r="C61" s="21">
        <x:f t="shared" si="22"/>
        <x:v>2024</x:v>
      </x:c>
      <x:c r="D61" s="1"/>
      <x:c r="E61" s="21">
        <x:f t="shared" si="23"/>
        <x:v>10</x:v>
      </x:c>
      <x:c r="G61" s="27"/>
      <x:c r="H61" s="27"/>
      <x:c r="I61" s="27"/>
      <x:c r="J61" s="27"/>
      <x:c r="K61" s="27"/>
      <x:c r="L61" s="27"/>
      <x:c r="M61" s="27"/>
      <x:c r="N61" s="28"/>
      <x:c r="O61" s="27"/>
      <x:c r="P61" s="28"/>
      <x:c r="Q61" s="27"/>
      <x:c r="R61" s="28"/>
      <x:c r="S61" s="28"/>
      <x:c r="T61" s="28"/>
      <x:c r="U61" s="27"/>
      <x:c r="V61" s="28"/>
      <x:c r="W61" s="27">
        <x:f t="shared" si="21"/>
        <x:v>-1303.5393577445234</x:v>
      </x:c>
    </x:row>
    <x:row r="62" spans="1:24" ht="15.5" x14ac:dyDescent="0.35">
      <x:c r="A62" s="39">
        <x:f t="shared" si="4"/>
        <x:v>47</x:v>
      </x:c>
      <x:c r="B62" s="1"/>
      <x:c r="C62" s="21">
        <x:f t="shared" si="22"/>
        <x:v>2024</x:v>
      </x:c>
      <x:c r="D62" s="1"/>
      <x:c r="E62" s="21">
        <x:f t="shared" si="23"/>
        <x:v>11</x:v>
      </x:c>
      <x:c r="G62" s="27"/>
      <x:c r="H62" s="27"/>
      <x:c r="I62" s="27"/>
      <x:c r="J62" s="27"/>
      <x:c r="K62" s="27"/>
      <x:c r="L62" s="27"/>
      <x:c r="M62" s="27"/>
      <x:c r="N62" s="28"/>
      <x:c r="O62" s="27"/>
      <x:c r="P62" s="28"/>
      <x:c r="Q62" s="27"/>
      <x:c r="R62" s="28"/>
      <x:c r="S62" s="28"/>
      <x:c r="T62" s="28"/>
      <x:c r="U62" s="27"/>
      <x:c r="V62" s="28"/>
      <x:c r="W62" s="27">
        <x:f t="shared" si="21"/>
        <x:v>-1980.1974136864901</x:v>
      </x:c>
    </x:row>
    <x:row r="63" spans="1:24" ht="15.5" x14ac:dyDescent="0.35">
      <x:c r="A63" s="39">
        <x:f t="shared" si="4"/>
        <x:v>48</x:v>
      </x:c>
      <x:c r="B63" s="1"/>
      <x:c r="C63" s="21">
        <x:f t="shared" si="22"/>
        <x:v>2024</x:v>
      </x:c>
      <x:c r="D63" s="1"/>
      <x:c r="E63" s="21">
        <x:f t="shared" si="23"/>
        <x:v>12</x:v>
      </x:c>
      <x:c r="G63" s="27"/>
      <x:c r="H63" s="27"/>
      <x:c r="I63" s="27"/>
      <x:c r="J63" s="27"/>
      <x:c r="K63" s="27"/>
      <x:c r="L63" s="27"/>
      <x:c r="M63" s="27"/>
      <x:c r="N63" s="28"/>
      <x:c r="O63" s="27"/>
      <x:c r="P63" s="28"/>
      <x:c r="Q63" s="27"/>
      <x:c r="R63" s="28"/>
      <x:c r="S63" s="28"/>
      <x:c r="T63" s="28"/>
      <x:c r="U63" s="27"/>
      <x:c r="V63" s="28"/>
      <x:c r="W63" s="30">
        <x:f t="shared" si="21"/>
        <x:v>2027.788757455781</x:v>
      </x:c>
    </x:row>
    <x:row r="64" spans="1:24" ht="15.5" x14ac:dyDescent="0.35">
      <x:c r="A64" s="39">
        <x:f t="shared" si="4"/>
        <x:v>49</x:v>
      </x:c>
      <x:c r="C64" s="37" t="s">
        <x:v>8</x:v>
      </x:c>
      <x:c r="E64" s="19"/>
      <x:c r="G64" s="72"/>
      <x:c r="H64" s="78"/>
      <x:c r="I64" s="78"/>
      <x:c r="J64" s="78"/>
      <x:c r="K64" s="78"/>
      <x:c r="L64" s="78"/>
      <x:c r="M64" s="78"/>
      <x:c r="N64" s="74"/>
      <x:c r="O64" s="78"/>
      <x:c r="P64" s="74"/>
      <x:c r="Q64" s="78"/>
      <x:c r="R64" s="74"/>
      <x:c r="S64" s="74"/>
      <x:c r="T64" s="74"/>
      <x:c r="U64" s="78"/>
      <x:c r="V64" s="74"/>
      <x:c r="W64" s="72">
        <x:f>SUM(W52:W63)</x:f>
        <x:v>7559.1790326266146</x:v>
      </x:c>
      <x:c r="X64" s="64"/>
    </x:row>
    <x:row r="65" spans="3:23" ht="15.5" x14ac:dyDescent="0.35">
      <x:c r="G65" s="27"/>
      <x:c r="H65" s="27"/>
      <x:c r="I65" s="27"/>
      <x:c r="J65" s="27"/>
      <x:c r="K65" s="27"/>
      <x:c r="L65" s="27"/>
      <x:c r="M65" s="27"/>
      <x:c r="N65" s="28"/>
      <x:c r="O65" s="27"/>
      <x:c r="P65" s="28"/>
      <x:c r="Q65" s="27"/>
      <x:c r="R65" s="28"/>
      <x:c r="S65" s="28"/>
      <x:c r="T65" s="28"/>
      <x:c r="U65" s="27"/>
      <x:c r="V65" s="28"/>
    </x:row>
    <x:row r="66" spans="3:23" ht="15.5" x14ac:dyDescent="0.35">
      <x:c r="C66" s="23"/>
      <x:c r="G66" s="27"/>
      <x:c r="H66" s="27"/>
      <x:c r="I66" s="27"/>
      <x:c r="J66" s="27"/>
      <x:c r="K66" s="27"/>
      <x:c r="L66" s="27"/>
      <x:c r="M66" s="27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</x:row>
  </x:sheetData>
  <x:phoneticPr fontId="2" type="noConversion"/>
  <x:printOptions horizontalCentered="1"/>
  <x:pageMargins left="0.25" right="0" top="1.5" bottom="0.25" header="0.5" footer="0.5"/>
  <x:pageSetup scale="49" orientation="landscape" r:id="rId1"/>
  <x:headerFooter alignWithMargins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22">
    <x:tabColor rgb="FF00B0F0"/>
    <x:pageSetUpPr fitToPage="1"/>
  </x:sheetPr>
  <x:dimension ref="A1:AC65"/>
  <x:sheetViews>
    <x:sheetView zoomScale="75" zoomScaleNormal="75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453125" customWidth="1"/>
    <x:col min="9" max="9" width="1.08984375" customWidth="1"/>
    <x:col min="10" max="10" width="16.08984375" customWidth="1"/>
    <x:col min="11" max="11" width="1.08984375" customWidth="1"/>
    <x:col min="12" max="12" width="16.90625" hidden="1" customWidth="1"/>
    <x:col min="13" max="13" width="21.54296875" customWidth="1"/>
    <x:col min="14" max="14" width="1.08984375" customWidth="1"/>
    <x:col min="15" max="15" width="15.54296875" customWidth="1"/>
    <x:col min="16" max="16" width="1.08984375" customWidth="1"/>
    <x:col min="17" max="17" width="16.08984375" customWidth="1"/>
    <x:col min="18" max="18" width="1.453125" customWidth="1"/>
    <x:col min="19" max="19" width="16.90625" hidden="1" customWidth="1"/>
    <x:col min="20" max="20" width="1.36328125" hidden="1" customWidth="1"/>
    <x:col min="21" max="21" width="16.90625" bestFit="1" customWidth="1"/>
    <x:col min="22" max="22" width="1.08984375" customWidth="1"/>
    <x:col min="23" max="23" width="17.36328125" customWidth="1"/>
    <x:col min="24" max="24" width="1.6328125" customWidth="1"/>
  </x:cols>
  <x:sheetData>
    <x:row r="1" spans="1:29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t="s">
        <x:v>10</x:v>
      </x:c>
      <x:c r="X1" s="3"/>
    </x:row>
    <x:row r="2" spans="1:29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82" t="s">
        <x:v>130</x:v>
      </x:c>
      <x:c r="X2" s="6"/>
    </x:row>
    <x:row r="3" spans="1:29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 spans="1:29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</x:row>
    <x:row r="5" spans="1:29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</x:row>
    <x:row r="6" spans="1:29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8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</x:row>
    <x:row r="7" spans="1:29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8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</x:row>
    <x:row r="8" spans="1:29" ht="15.5" x14ac:dyDescent="0.35">
      <x:c r="B8" s="4"/>
      <x:c r="C8" s="4"/>
      <x:c r="D8" s="4"/>
      <x:c r="E8" s="4"/>
      <x:c r="F8" s="4"/>
      <x:c r="G8" s="6"/>
      <x:c r="H8" s="6"/>
      <x:c r="I8" s="6"/>
      <x:c r="J8" s="6"/>
      <x:c r="K8" s="6"/>
      <x:c r="L8" s="6"/>
      <x:c r="M8" s="6"/>
      <x:c r="N8" s="6"/>
      <x:c r="O8" s="20"/>
      <x:c r="P8" s="20"/>
      <x:c r="Q8" s="20"/>
      <x:c r="R8" s="6"/>
      <x:c r="S8" s="6"/>
      <x:c r="T8" s="6"/>
      <x:c r="U8" s="6"/>
      <x:c r="V8" s="6"/>
      <x:c r="W8" s="6"/>
      <x:c r="X8" s="6"/>
    </x:row>
    <x:row r="9" spans="1:29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9"/>
      <x:c r="M9" s="9"/>
      <x:c r="N9" s="9"/>
      <x:c r="O9" s="42"/>
      <x:c r="P9" s="42"/>
      <x:c r="Q9" s="42"/>
      <x:c r="R9" s="9"/>
      <x:c r="S9" s="9"/>
      <x:c r="T9" s="9"/>
      <x:c r="U9" s="9"/>
      <x:c r="V9" s="9"/>
      <x:c r="W9" s="9"/>
      <x:c r="X9" s="9"/>
    </x:row>
    <x:row r="10" spans="1:29" ht="15.5" x14ac:dyDescent="0.35">
      <x:c r="B10" s="4"/>
      <x:c r="C10" s="4"/>
      <x:c r="D10" s="4"/>
      <x:c r="E10" s="4"/>
      <x:c r="F10" s="4"/>
      <x:c r="G10" s="6"/>
      <x:c r="H10" s="6"/>
      <x:c r="I10" s="6"/>
      <x:c r="J10" s="6"/>
      <x:c r="K10" s="6"/>
      <x:c r="L10" s="6"/>
      <x:c r="M10" s="6"/>
      <x:c r="N10" s="6"/>
      <x:c r="O10" s="20"/>
      <x:c r="P10" s="20"/>
      <x:c r="Q10" s="20"/>
      <x:c r="R10" s="6"/>
      <x:c r="S10" s="6"/>
      <x:c r="T10" s="6"/>
      <x:c r="U10" s="6"/>
      <x:c r="V10" s="6"/>
      <x:c r="W10" s="6"/>
      <x:c r="X10" s="6"/>
    </x:row>
    <x:row r="11" spans="1:29" ht="15.5" x14ac:dyDescent="0.35">
      <x:c r="A11" s="4" t="s">
        <x:v>59</x:v>
      </x:c>
      <x:c r="B11" s="4"/>
      <x:c r="C11" s="4"/>
      <x:c r="D11" s="4"/>
      <x:c r="E11" s="4"/>
      <x:c r="F11" s="4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9" ht="15.5" x14ac:dyDescent="0.35">
      <x:c r="A12" s="1"/>
      <x:c r="B12" s="1"/>
      <x:c r="C12" s="1"/>
      <x:c r="D12" s="1"/>
      <x:c r="E12" s="1"/>
      <x:c r="F12" s="1"/>
      <x:c r="G12" s="10" t="s">
        <x:v>13</x:v>
      </x:c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10"/>
      <x:c r="T12" s="3"/>
      <x:c r="U12" s="10"/>
      <x:c r="V12" s="10"/>
      <x:c r="W12" s="12" t="s">
        <x:v>30</x:v>
      </x:c>
      <x:c r="X12" s="10"/>
    </x:row>
    <x:row r="13" spans="1:29" ht="15.5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14</x:v>
      </x:c>
      <x:c r="H13" s="12"/>
      <x:c r="I13" s="12"/>
      <x:c r="J13" s="12" t="s">
        <x:v>21</x:v>
      </x:c>
      <x:c r="K13" s="12"/>
      <x:c r="L13" s="12" t="s">
        <x:v>4</x:v>
      </x:c>
      <x:c r="M13" s="13" t="s">
        <x:v>23</x:v>
      </x:c>
      <x:c r="N13" s="14"/>
      <x:c r="O13" s="14" t="s">
        <x:v>25</x:v>
      </x:c>
      <x:c r="P13" s="14"/>
      <x:c r="Q13" s="14" t="s">
        <x:v>27</x:v>
      </x:c>
      <x:c r="R13" s="14"/>
      <x:c r="S13" s="13" t="s">
        <x:v>5</x:v>
      </x:c>
      <x:c r="T13" s="14"/>
      <x:c r="U13" s="12" t="s">
        <x:v>29</x:v>
      </x:c>
      <x:c r="V13" s="12"/>
      <x:c r="W13" s="12" t="s">
        <x:v>9</x:v>
      </x:c>
      <x:c r="X13" s="12"/>
    </x:row>
    <x:row r="14" spans="1:29" ht="15.5" x14ac:dyDescent="0.35">
      <x:c r="A14" s="1" t="s">
        <x:v>78</x:v>
      </x:c>
      <x:c r="B14" s="1"/>
      <x:c r="C14" s="1"/>
      <x:c r="D14" s="1"/>
      <x:c r="E14" s="1"/>
      <x:c r="F14" s="1"/>
      <x:c r="G14" s="16" t="s">
        <x:v>15</x:v>
      </x:c>
      <x:c r="H14" s="15"/>
      <x:c r="I14" s="15"/>
      <x:c r="J14" s="16" t="s">
        <x:v>18</x:v>
      </x:c>
      <x:c r="K14" s="15"/>
      <x:c r="L14" s="15"/>
      <x:c r="M14" s="15" t="s">
        <x:v>41</x:v>
      </x:c>
      <x:c r="N14" s="15"/>
      <x:c r="O14" s="16" t="s">
        <x:v>22</x:v>
      </x:c>
      <x:c r="P14" s="15"/>
      <x:c r="Q14" s="16" t="s">
        <x:v>42</x:v>
      </x:c>
      <x:c r="R14" s="15"/>
      <x:c r="S14" s="15"/>
      <x:c r="T14" s="15"/>
      <x:c r="U14" s="16" t="s">
        <x:v>43</x:v>
      </x:c>
      <x:c r="V14" s="15"/>
      <x:c r="W14" s="16" t="s">
        <x:v>44</x:v>
      </x:c>
      <x:c r="X14" s="15"/>
    </x:row>
    <x:row r="15" spans="1:29" ht="15.5" x14ac:dyDescent="0.35">
      <x:c r="A15" s="17"/>
      <x:c r="B15" s="1"/>
      <x:c r="C15" s="17"/>
      <x:c r="D15" s="1"/>
      <x:c r="E15" s="17"/>
      <x:c r="F15" s="1"/>
      <x:c r="G15" s="12"/>
      <x:c r="H15" s="3"/>
      <x:c r="I15" s="3"/>
      <x:c r="J15" s="3"/>
      <x:c r="K15" s="3"/>
      <x:c r="L15" s="3"/>
      <x:c r="M15" s="14"/>
      <x:c r="N15" s="3"/>
      <x:c r="O15" s="3"/>
      <x:c r="P15" s="3"/>
      <x:c r="Q15" s="3"/>
      <x:c r="R15" s="3"/>
      <x:c r="S15" s="14"/>
      <x:c r="T15" s="3"/>
      <x:c r="U15" s="14"/>
      <x:c r="V15" s="14"/>
      <x:c r="W15" s="14"/>
      <x:c r="X15" s="14"/>
    </x:row>
    <x:row r="16" spans="1:29" ht="15.5" x14ac:dyDescent="0.35">
      <x:c r="A16" s="39">
        <x:v>1</x:v>
      </x:c>
      <x:c r="B16" s="1"/>
      <x:c r="C16" s="62">
        <x:f>+'Weather Adjustment'!C16</x:f>
        <x:v>2024</x:v>
      </x:c>
      <x:c r="D16" s="1"/>
      <x:c r="E16" s="19">
        <x:f>+'Weather Adjustment'!E16</x:f>
        <x:v>1</x:v>
      </x:c>
      <x:c r="F16" s="1"/>
      <x:c r="G16" s="43">
        <x:f>+'[2]SECGT10KW Model'!$C$17</x:f>
        <x:v>10.476000000000001</x:v>
      </x:c>
      <x:c r="H16" s="3"/>
      <x:c r="I16" s="20"/>
      <x:c r="J16" s="20">
        <x:f>SUM('Weather Adjustment'!K35,'Weather Adjustment'!M35)</x:f>
        <x:v>231499</x:v>
      </x:c>
      <x:c r="K16" s="20"/>
      <x:c r="L16" s="20" t="e">
        <x:f>SUM(#REF!,J16)</x:f>
        <x:v>#REF!</x:v>
      </x:c>
      <x:c r="M16" s="20">
        <x:f t="shared" ref="M16:M27" si="0">PRODUCT(G16,J16)/1000</x:f>
        <x:v>2425.183524</x:v>
      </x:c>
      <x:c r="N16" s="20"/>
      <x:c r="O16" s="43">
        <x:f>+[3]SECGT10KW!D13</x:f>
        <x:v>4.3887641093333372</x:v>
      </x:c>
      <x:c r="P16" s="20"/>
      <x:c r="Q16" s="43">
        <x:f>+[3]SECGT10KW!F13</x:f>
        <x:v>9.3847032451071719</x:v>
      </x:c>
      <x:c r="R16" s="20"/>
      <x:c r="S16" s="20">
        <x:f t="shared" ref="S16:S27" si="1">SUM(O16,Q16)</x:f>
        <x:v>13.773467354440509</x:v>
      </x:c>
      <x:c r="T16" s="20"/>
      <x:c r="U16" s="43">
        <x:f t="shared" ref="U16:U28" si="2">+Q16-O16</x:f>
        <x:v>4.9959391357738347</x:v>
      </x:c>
      <x:c r="V16" s="20"/>
      <x:c r="W16" s="20">
        <x:f>+M16*U16</x:f>
        <x:v>12116.069278985504</x:v>
      </x:c>
      <x:c r="X16" s="20"/>
      <x:c r="Y16" s="50"/>
      <x:c r="AC16" s="63"/>
    </x:row>
    <x:row r="17" spans="1:29" ht="15.5" x14ac:dyDescent="0.35">
      <x:c r="A17" s="39">
        <x:f>+A16+1</x:f>
        <x:v>2</x:v>
      </x:c>
      <x:c r="B17" s="1"/>
      <x:c r="C17" s="62">
        <x:f>+'Weather Adjustment'!C17</x:f>
        <x:v>2024</x:v>
      </x:c>
      <x:c r="D17" s="1"/>
      <x:c r="E17" s="19">
        <x:f>+'Weather Adjustment'!E17</x:f>
        <x:v>2</x:v>
      </x:c>
      <x:c r="F17" s="1"/>
      <x:c r="G17" s="43">
        <x:f>+G16</x:f>
        <x:v>10.476000000000001</x:v>
      </x:c>
      <x:c r="H17" s="3"/>
      <x:c r="I17" s="20"/>
      <x:c r="J17" s="20">
        <x:f>SUM('Weather Adjustment'!K36,'Weather Adjustment'!M36)</x:f>
        <x:v>234455</x:v>
      </x:c>
      <x:c r="K17" s="20"/>
      <x:c r="L17" s="20" t="e">
        <x:f>SUM(#REF!,J17)</x:f>
        <x:v>#REF!</x:v>
      </x:c>
      <x:c r="M17" s="20">
        <x:f t="shared" si="0"/>
        <x:v>2456.15058</x:v>
      </x:c>
      <x:c r="N17" s="20"/>
      <x:c r="O17" s="43">
        <x:f>+[3]SECGT10KW!D14</x:f>
        <x:v>3.3728813234285719</x:v>
      </x:c>
      <x:c r="P17" s="20"/>
      <x:c r="Q17" s="43">
        <x:f>+[3]SECGT10KW!F14</x:f>
        <x:v>7.1464836261310625</x:v>
      </x:c>
      <x:c r="R17" s="20"/>
      <x:c r="S17" s="20">
        <x:f t="shared" si="1"/>
        <x:v>10.519364949559634</x:v>
      </x:c>
      <x:c r="T17" s="20"/>
      <x:c r="U17" s="43">
        <x:f t="shared" si="2"/>
        <x:v>3.7736023027024905</x:v>
      </x:c>
      <x:c r="V17" s="20"/>
      <x:c r="W17" s="20">
        <x:f t="shared" ref="W17:W27" si="3">+M17*U17</x:f>
        <x:v>9268.5354844720569</x:v>
      </x:c>
      <x:c r="X17" s="20"/>
      <x:c r="Y17" s="50"/>
      <x:c r="AC17" s="64"/>
    </x:row>
    <x:row r="18" spans="1:29" ht="15.5" x14ac:dyDescent="0.35">
      <x:c r="A18" s="39">
        <x:f t="shared" ref="A18:A64" si="4">+A17+1</x:f>
        <x:v>3</x:v>
      </x:c>
      <x:c r="B18" s="1"/>
      <x:c r="C18" s="62">
        <x:f>+'Weather Adjustment'!C18</x:f>
        <x:v>2024</x:v>
      </x:c>
      <x:c r="D18" s="1"/>
      <x:c r="E18" s="19">
        <x:f>+'Weather Adjustment'!E18</x:f>
        <x:v>3</x:v>
      </x:c>
      <x:c r="F18" s="1"/>
      <x:c r="G18" s="43">
        <x:f t="shared" ref="G18:G27" si="5">+G17</x:f>
        <x:v>10.476000000000001</x:v>
      </x:c>
      <x:c r="H18" s="3"/>
      <x:c r="I18" s="20"/>
      <x:c r="J18" s="20">
        <x:f>SUM('Weather Adjustment'!K37,'Weather Adjustment'!M37)</x:f>
        <x:v>234415</x:v>
      </x:c>
      <x:c r="K18" s="20"/>
      <x:c r="L18" s="20" t="e">
        <x:f>SUM(#REF!,J18)</x:f>
        <x:v>#REF!</x:v>
      </x:c>
      <x:c r="M18" s="20">
        <x:f t="shared" si="0"/>
        <x:v>2455.7315400000002</x:v>
      </x:c>
      <x:c r="N18" s="20"/>
      <x:c r="O18" s="43">
        <x:f>+[3]SECGT10KW!D15</x:f>
        <x:v>39.813945262571437</x:v>
      </x:c>
      <x:c r="P18" s="20"/>
      <x:c r="Q18" s="43">
        <x:f>+[3]SECGT10KW!F15</x:f>
        <x:v>20.492492680337001</x:v>
      </x:c>
      <x:c r="R18" s="20"/>
      <x:c r="S18" s="20">
        <x:f t="shared" si="1"/>
        <x:v>60.306437942908438</x:v>
      </x:c>
      <x:c r="T18" s="20"/>
      <x:c r="U18" s="43">
        <x:f t="shared" si="2"/>
        <x:v>-19.321452582234436</x:v>
      </x:c>
      <x:c r="V18" s="20"/>
      <x:c r="W18" s="20">
        <x:f t="shared" si="3"/>
        <x:v>-47448.30050480755</x:v>
      </x:c>
      <x:c r="X18" s="20"/>
      <x:c r="Y18" s="50"/>
    </x:row>
    <x:row r="19" spans="1:29" ht="15.5" x14ac:dyDescent="0.35">
      <x:c r="A19" s="39">
        <x:f t="shared" si="4"/>
        <x:v>4</x:v>
      </x:c>
      <x:c r="B19" s="1"/>
      <x:c r="C19" s="62">
        <x:f>+'Weather Adjustment'!C19</x:f>
        <x:v>2024</x:v>
      </x:c>
      <x:c r="D19" s="1"/>
      <x:c r="E19" s="19">
        <x:f>+'Weather Adjustment'!E19</x:f>
        <x:v>4</x:v>
      </x:c>
      <x:c r="F19" s="1"/>
      <x:c r="G19" s="43">
        <x:f t="shared" si="5"/>
        <x:v>10.476000000000001</x:v>
      </x:c>
      <x:c r="H19" s="3"/>
      <x:c r="I19" s="20"/>
      <x:c r="J19" s="20">
        <x:f>SUM('Weather Adjustment'!K38,'Weather Adjustment'!M38)</x:f>
        <x:v>234403</x:v>
      </x:c>
      <x:c r="K19" s="20"/>
      <x:c r="L19" s="20" t="e">
        <x:f>SUM(#REF!,J19)</x:f>
        <x:v>#REF!</x:v>
      </x:c>
      <x:c r="M19" s="20">
        <x:f t="shared" si="0"/>
        <x:v>2455.6058280000002</x:v>
      </x:c>
      <x:c r="N19" s="20"/>
      <x:c r="O19" s="43">
        <x:f>+[3]SECGT10KW!D16</x:f>
        <x:v>57.995994318428572</x:v>
      </x:c>
      <x:c r="P19" s="20"/>
      <x:c r="Q19" s="43">
        <x:f>+[3]SECGT10KW!F16</x:f>
        <x:v>59.474170482455065</x:v>
      </x:c>
      <x:c r="R19" s="20"/>
      <x:c r="S19" s="20">
        <x:f t="shared" si="1"/>
        <x:v>117.47016480088364</x:v>
      </x:c>
      <x:c r="T19" s="20"/>
      <x:c r="U19" s="43">
        <x:f>+Q19-O19</x:f>
        <x:v>1.4781761640264932</x:v>
      </x:c>
      <x:c r="V19" s="20"/>
      <x:c r="W19" s="20">
        <x:f t="shared" si="3"/>
        <x:v>3629.8180031941411</x:v>
      </x:c>
      <x:c r="X19" s="20"/>
      <x:c r="Y19" s="50"/>
    </x:row>
    <x:row r="20" spans="1:29" ht="15.5" x14ac:dyDescent="0.35">
      <x:c r="A20" s="39">
        <x:f t="shared" si="4"/>
        <x:v>5</x:v>
      </x:c>
      <x:c r="B20" s="1"/>
      <x:c r="C20" s="62">
        <x:f>+'Weather Adjustment'!C20</x:f>
        <x:v>2024</x:v>
      </x:c>
      <x:c r="D20" s="1"/>
      <x:c r="E20" s="19">
        <x:f>+'Weather Adjustment'!E20</x:f>
        <x:v>5</x:v>
      </x:c>
      <x:c r="F20" s="1"/>
      <x:c r="G20" s="43">
        <x:f t="shared" si="5"/>
        <x:v>10.476000000000001</x:v>
      </x:c>
      <x:c r="H20" s="3"/>
      <x:c r="I20" s="20"/>
      <x:c r="J20" s="20">
        <x:f>SUM('Weather Adjustment'!K39,'Weather Adjustment'!M39)</x:f>
        <x:v>234550</x:v>
      </x:c>
      <x:c r="K20" s="20"/>
      <x:c r="L20" s="20" t="e">
        <x:f>SUM(#REF!,J20)</x:f>
        <x:v>#REF!</x:v>
      </x:c>
      <x:c r="M20" s="20">
        <x:f>PRODUCT(G20,J20)/1000</x:f>
        <x:v>2457.1458000000002</x:v>
      </x:c>
      <x:c r="N20" s="20"/>
      <x:c r="O20" s="43">
        <x:f>+[3]SECGT10KW!D17</x:f>
        <x:v>153.6058918256667</x:v>
      </x:c>
      <x:c r="P20" s="20"/>
      <x:c r="Q20" s="43">
        <x:f>+[3]SECGT10KW!F17</x:f>
        <x:v>128.11466901654561</x:v>
      </x:c>
      <x:c r="R20" s="20"/>
      <x:c r="S20" s="20">
        <x:f t="shared" si="1"/>
        <x:v>281.72056084221231</x:v>
      </x:c>
      <x:c r="T20" s="20"/>
      <x:c r="U20" s="43">
        <x:f t="shared" si="2"/>
        <x:v>-25.491222809121098</x:v>
      </x:c>
      <x:c r="V20" s="20"/>
      <x:c r="W20" s="20">
        <x:f t="shared" si="3"/>
        <x:v>-62635.651062296114</x:v>
      </x:c>
      <x:c r="X20" s="20"/>
      <x:c r="Y20" s="50"/>
    </x:row>
    <x:row r="21" spans="1:29" ht="15.5" x14ac:dyDescent="0.35">
      <x:c r="A21" s="39">
        <x:f t="shared" si="4"/>
        <x:v>6</x:v>
      </x:c>
      <x:c r="B21" s="1"/>
      <x:c r="C21" s="62">
        <x:f>+'Weather Adjustment'!C21</x:f>
        <x:v>2024</x:v>
      </x:c>
      <x:c r="D21" s="1"/>
      <x:c r="E21" s="19">
        <x:f>+'Weather Adjustment'!E21</x:f>
        <x:v>6</x:v>
      </x:c>
      <x:c r="F21" s="1"/>
      <x:c r="G21" s="43">
        <x:f t="shared" si="5"/>
        <x:v>10.476000000000001</x:v>
      </x:c>
      <x:c r="H21" s="3"/>
      <x:c r="I21" s="20"/>
      <x:c r="J21" s="20">
        <x:f>SUM('Weather Adjustment'!K40,'Weather Adjustment'!M40)</x:f>
        <x:v>235044</x:v>
      </x:c>
      <x:c r="K21" s="20"/>
      <x:c r="L21" s="20" t="e">
        <x:f>SUM(#REF!,J21)</x:f>
        <x:v>#REF!</x:v>
      </x:c>
      <x:c r="M21" s="20">
        <x:f t="shared" si="0"/>
        <x:v>2462.3209440000001</x:v>
      </x:c>
      <x:c r="N21" s="20"/>
      <x:c r="O21" s="43">
        <x:f>+[3]SECGT10KW!D18</x:f>
        <x:v>331.91299528128576</x:v>
      </x:c>
      <x:c r="P21" s="20"/>
      <x:c r="Q21" s="43">
        <x:f>+[3]SECGT10KW!F18</x:f>
        <x:v>303.08085022932329</x:v>
      </x:c>
      <x:c r="R21" s="20"/>
      <x:c r="S21" s="20">
        <x:f t="shared" si="1"/>
        <x:v>634.99384551060905</x:v>
      </x:c>
      <x:c r="T21" s="20"/>
      <x:c r="U21" s="68">
        <x:f t="shared" si="2"/>
        <x:v>-28.83214505196247</x:v>
      </x:c>
      <x:c r="V21" s="20"/>
      <x:c r="W21" s="20">
        <x:f t="shared" si="3"/>
        <x:v>-70993.994621893158</x:v>
      </x:c>
      <x:c r="X21" s="20"/>
      <x:c r="Y21" s="50"/>
    </x:row>
    <x:row r="22" spans="1:29" ht="15.5" x14ac:dyDescent="0.35">
      <x:c r="A22" s="39">
        <x:f t="shared" si="4"/>
        <x:v>7</x:v>
      </x:c>
      <x:c r="B22" s="1"/>
      <x:c r="C22" s="62">
        <x:f>+'Weather Adjustment'!C22</x:f>
        <x:v>2024</x:v>
      </x:c>
      <x:c r="D22" s="1"/>
      <x:c r="E22" s="19">
        <x:f>+'Weather Adjustment'!E22</x:f>
        <x:v>7</x:v>
      </x:c>
      <x:c r="F22" s="1"/>
      <x:c r="G22" s="43">
        <x:f t="shared" si="5"/>
        <x:v>10.476000000000001</x:v>
      </x:c>
      <x:c r="H22" s="3"/>
      <x:c r="I22" s="20"/>
      <x:c r="J22" s="20">
        <x:f>SUM('Weather Adjustment'!K41,'Weather Adjustment'!M41)</x:f>
        <x:v>235364</x:v>
      </x:c>
      <x:c r="K22" s="20"/>
      <x:c r="L22" s="20" t="e">
        <x:f>SUM(#REF!,J22)</x:f>
        <x:v>#REF!</x:v>
      </x:c>
      <x:c r="M22" s="20">
        <x:f t="shared" si="0"/>
        <x:v>2465.6732640000005</x:v>
      </x:c>
      <x:c r="N22" s="20"/>
      <x:c r="O22" s="43">
        <x:f>+[3]SECGT10KW!D19</x:f>
        <x:v>517.14278912333339</x:v>
      </x:c>
      <x:c r="P22" s="20"/>
      <x:c r="Q22" s="43">
        <x:f>+[3]SECGT10KW!F19</x:f>
        <x:v>478.72574011981396</x:v>
      </x:c>
      <x:c r="R22" s="20"/>
      <x:c r="S22" s="20">
        <x:f t="shared" si="1"/>
        <x:v>995.86852924314735</x:v>
      </x:c>
      <x:c r="T22" s="20"/>
      <x:c r="U22" s="43">
        <x:f t="shared" si="2"/>
        <x:v>-38.417049003519423</x:v>
      </x:c>
      <x:c r="V22" s="20"/>
      <x:c r="W22" s="20">
        <x:f t="shared" si="3"/>
        <x:v>-94723.890609755705</x:v>
      </x:c>
      <x:c r="X22" s="20"/>
      <x:c r="Y22" s="50"/>
    </x:row>
    <x:row r="23" spans="1:29" ht="15.5" x14ac:dyDescent="0.35">
      <x:c r="A23" s="39">
        <x:f t="shared" si="4"/>
        <x:v>8</x:v>
      </x:c>
      <x:c r="B23" s="1"/>
      <x:c r="C23" s="62">
        <x:f>+'Weather Adjustment'!C23</x:f>
        <x:v>2024</x:v>
      </x:c>
      <x:c r="D23" s="1"/>
      <x:c r="E23" s="19">
        <x:f>+'Weather Adjustment'!E23</x:f>
        <x:v>8</x:v>
      </x:c>
      <x:c r="F23" s="1"/>
      <x:c r="G23" s="43">
        <x:f t="shared" si="5"/>
        <x:v>10.476000000000001</x:v>
      </x:c>
      <x:c r="H23" s="3"/>
      <x:c r="I23" s="20"/>
      <x:c r="J23" s="20">
        <x:f>SUM('Weather Adjustment'!K42,'Weather Adjustment'!M42)</x:f>
        <x:v>235249</x:v>
      </x:c>
      <x:c r="K23" s="20"/>
      <x:c r="L23" s="20" t="e">
        <x:f>SUM(#REF!,J23)</x:f>
        <x:v>#REF!</x:v>
      </x:c>
      <x:c r="M23" s="20">
        <x:f t="shared" si="0"/>
        <x:v>2464.4685240000003</x:v>
      </x:c>
      <x:c r="N23" s="20"/>
      <x:c r="O23" s="43">
        <x:f>+[3]SECGT10KW!D20</x:f>
        <x:v>509.54025662876205</x:v>
      </x:c>
      <x:c r="P23" s="20"/>
      <x:c r="Q23" s="43">
        <x:f>+[3]SECGT10KW!F20</x:f>
        <x:v>543.1315967978785</x:v>
      </x:c>
      <x:c r="R23" s="20"/>
      <x:c r="S23" s="20">
        <x:f t="shared" si="1"/>
        <x:v>1052.6718534266406</x:v>
      </x:c>
      <x:c r="T23" s="20"/>
      <x:c r="U23" s="43">
        <x:f t="shared" si="2"/>
        <x:v>33.591340169116449</x:v>
      </x:c>
      <x:c r="V23" s="20"/>
      <x:c r="W23" s="20">
        <x:f t="shared" si="3"/>
        <x:v>82784.800525764338</x:v>
      </x:c>
      <x:c r="X23" s="20"/>
      <x:c r="Y23" s="50"/>
    </x:row>
    <x:row r="24" spans="1:29" ht="15.5" x14ac:dyDescent="0.35">
      <x:c r="A24" s="39">
        <x:f t="shared" si="4"/>
        <x:v>9</x:v>
      </x:c>
      <x:c r="B24" s="1"/>
      <x:c r="C24" s="62">
        <x:f>+'Weather Adjustment'!C24</x:f>
        <x:v>2024</x:v>
      </x:c>
      <x:c r="D24" s="1"/>
      <x:c r="E24" s="19">
        <x:f>+'Weather Adjustment'!E24</x:f>
        <x:v>9</x:v>
      </x:c>
      <x:c r="F24" s="1"/>
      <x:c r="G24" s="43">
        <x:f t="shared" si="5"/>
        <x:v>10.476000000000001</x:v>
      </x:c>
      <x:c r="H24" s="3"/>
      <x:c r="I24" s="20"/>
      <x:c r="J24" s="20">
        <x:f>SUM('Weather Adjustment'!K43,'Weather Adjustment'!M43)</x:f>
        <x:v>234473</x:v>
      </x:c>
      <x:c r="K24" s="20"/>
      <x:c r="L24" s="20" t="e">
        <x:f>SUM(#REF!,J24)</x:f>
        <x:v>#REF!</x:v>
      </x:c>
      <x:c r="M24" s="20">
        <x:f t="shared" si="0"/>
        <x:v>2456.339148</x:v>
      </x:c>
      <x:c r="N24" s="20"/>
      <x:c r="O24" s="43">
        <x:f>+[3]SECGT10KW!D21</x:f>
        <x:v>528.77976316647619</x:v>
      </x:c>
      <x:c r="P24" s="20"/>
      <x:c r="Q24" s="43">
        <x:f>+[3]SECGT10KW!F21</x:f>
        <x:v>498.18343936482506</x:v>
      </x:c>
      <x:c r="R24" s="20"/>
      <x:c r="S24" s="20">
        <x:f t="shared" si="1"/>
        <x:v>1026.9632025313012</x:v>
      </x:c>
      <x:c r="T24" s="20"/>
      <x:c r="U24" s="43">
        <x:f t="shared" si="2"/>
        <x:v>-30.596323801651124</x:v>
      </x:c>
      <x:c r="V24" s="20"/>
      <x:c r="W24" s="20">
        <x:f t="shared" si="3"/>
        <x:v>-75154.94793887985</x:v>
      </x:c>
      <x:c r="X24" s="20"/>
      <x:c r="Y24" s="50"/>
    </x:row>
    <x:row r="25" spans="1:29" ht="15.5" x14ac:dyDescent="0.35">
      <x:c r="A25" s="39">
        <x:f t="shared" si="4"/>
        <x:v>10</x:v>
      </x:c>
      <x:c r="B25" s="1"/>
      <x:c r="C25" s="62">
        <x:f>+'Weather Adjustment'!C25</x:f>
        <x:v>2024</x:v>
      </x:c>
      <x:c r="D25" s="1"/>
      <x:c r="E25" s="19">
        <x:f>+'Weather Adjustment'!E25</x:f>
        <x:v>10</x:v>
      </x:c>
      <x:c r="F25" s="1"/>
      <x:c r="G25" s="43">
        <x:f t="shared" si="5"/>
        <x:v>10.476000000000001</x:v>
      </x:c>
      <x:c r="H25" s="3"/>
      <x:c r="I25" s="20"/>
      <x:c r="J25" s="20">
        <x:f>SUM('Weather Adjustment'!K44,'Weather Adjustment'!M44)</x:f>
        <x:v>233885</x:v>
      </x:c>
      <x:c r="K25" s="20"/>
      <x:c r="L25" s="20" t="e">
        <x:f>SUM(#REF!,J25)</x:f>
        <x:v>#REF!</x:v>
      </x:c>
      <x:c r="M25" s="20">
        <x:f t="shared" si="0"/>
        <x:v>2450.1792600000003</x:v>
      </x:c>
      <x:c r="N25" s="20"/>
      <x:c r="O25" s="43">
        <x:f>+[3]SECGT10KW!D22</x:f>
        <x:v>331.75948986242861</x:v>
      </x:c>
      <x:c r="P25" s="20"/>
      <x:c r="Q25" s="43">
        <x:f>+[3]SECGT10KW!F22</x:f>
        <x:v>305.33115466805731</x:v>
      </x:c>
      <x:c r="R25" s="20"/>
      <x:c r="S25" s="20">
        <x:f t="shared" si="1"/>
        <x:v>637.09064453048586</x:v>
      </x:c>
      <x:c r="T25" s="20"/>
      <x:c r="U25" s="43">
        <x:f t="shared" si="2"/>
        <x:v>-26.4283351943713</x:v>
      </x:c>
      <x:c r="V25" s="20"/>
      <x:c r="W25" s="20">
        <x:f t="shared" si="3"/>
        <x:v>-64754.158769576636</x:v>
      </x:c>
      <x:c r="X25" s="20"/>
      <x:c r="Y25" s="50"/>
    </x:row>
    <x:row r="26" spans="1:29" ht="15.5" x14ac:dyDescent="0.35">
      <x:c r="A26" s="39">
        <x:f t="shared" si="4"/>
        <x:v>11</x:v>
      </x:c>
      <x:c r="B26" s="1"/>
      <x:c r="C26" s="62">
        <x:f>+'Weather Adjustment'!C26</x:f>
        <x:v>2024</x:v>
      </x:c>
      <x:c r="D26" s="1"/>
      <x:c r="E26" s="19">
        <x:f>+'Weather Adjustment'!E26</x:f>
        <x:v>11</x:v>
      </x:c>
      <x:c r="F26" s="1"/>
      <x:c r="G26" s="43">
        <x:f t="shared" si="5"/>
        <x:v>10.476000000000001</x:v>
      </x:c>
      <x:c r="H26" s="3"/>
      <x:c r="I26" s="20"/>
      <x:c r="J26" s="20">
        <x:f>SUM('Weather Adjustment'!K45,'Weather Adjustment'!M45)</x:f>
        <x:v>233757</x:v>
      </x:c>
      <x:c r="K26" s="20"/>
      <x:c r="L26" s="20" t="e">
        <x:f>SUM(#REF!,J26)</x:f>
        <x:v>#REF!</x:v>
      </x:c>
      <x:c r="M26" s="20">
        <x:f t="shared" si="0"/>
        <x:v>2448.8383320000003</x:v>
      </x:c>
      <x:c r="N26" s="20"/>
      <x:c r="O26" s="43">
        <x:f>+[3]SECGT10KW!D23</x:f>
        <x:v>192.26681569204766</x:v>
      </x:c>
      <x:c r="P26" s="20"/>
      <x:c r="Q26" s="43">
        <x:f>+[3]SECGT10KW!F23</x:f>
        <x:v>114.57721616567441</x:v>
      </x:c>
      <x:c r="R26" s="20"/>
      <x:c r="S26" s="20">
        <x:f t="shared" si="1"/>
        <x:v>306.84403185772209</x:v>
      </x:c>
      <x:c r="T26" s="20"/>
      <x:c r="U26" s="43">
        <x:f t="shared" si="2"/>
        <x:v>-77.689599526373243</x:v>
      </x:c>
      <x:c r="V26" s="20"/>
      <x:c r="W26" s="20">
        <x:f t="shared" si="3"/>
        <x:v>-190249.26931791185</x:v>
      </x:c>
      <x:c r="X26" s="20"/>
      <x:c r="Y26" s="50"/>
    </x:row>
    <x:row r="27" spans="1:29" ht="15.5" x14ac:dyDescent="0.35">
      <x:c r="A27" s="39">
        <x:f t="shared" si="4"/>
        <x:v>12</x:v>
      </x:c>
      <x:c r="B27" s="1"/>
      <x:c r="C27" s="62">
        <x:f>+'Weather Adjustment'!C27</x:f>
        <x:v>2024</x:v>
      </x:c>
      <x:c r="D27" s="1"/>
      <x:c r="E27" s="19">
        <x:f>+'Weather Adjustment'!E27</x:f>
        <x:v>12</x:v>
      </x:c>
      <x:c r="F27" s="1"/>
      <x:c r="G27" s="43">
        <x:f t="shared" si="5"/>
        <x:v>10.476000000000001</x:v>
      </x:c>
      <x:c r="H27" s="14"/>
      <x:c r="I27" s="59"/>
      <x:c r="J27" s="59">
        <x:f>SUM('Weather Adjustment'!K46,'Weather Adjustment'!M46)</x:f>
        <x:v>234639</x:v>
      </x:c>
      <x:c r="K27" s="59"/>
      <x:c r="L27" s="59" t="e">
        <x:f>SUM(#REF!,J27)</x:f>
        <x:v>#REF!</x:v>
      </x:c>
      <x:c r="M27" s="59">
        <x:f t="shared" si="0"/>
        <x:v>2458.0781640000005</x:v>
      </x:c>
      <x:c r="N27" s="59"/>
      <x:c r="O27" s="43">
        <x:f>+[3]SECGT10KW!D24</x:f>
        <x:v>35.27952075195239</x:v>
      </x:c>
      <x:c r="P27" s="20"/>
      <x:c r="Q27" s="43">
        <x:f>+[3]SECGT10KW!F24</x:f>
        <x:v>26.94859908876002</x:v>
      </x:c>
      <x:c r="R27" s="59"/>
      <x:c r="S27" s="59">
        <x:f t="shared" si="1"/>
        <x:v>62.228119840712409</x:v>
      </x:c>
      <x:c r="T27" s="59"/>
      <x:c r="U27" s="68">
        <x:f t="shared" si="2"/>
        <x:v>-8.3309216631923704</x:v>
      </x:c>
      <x:c r="V27" s="59"/>
      <x:c r="W27" s="59">
        <x:f t="shared" si="3"/>
        <x:v>-20478.056626287733</x:v>
      </x:c>
      <x:c r="X27" s="59"/>
      <x:c r="Y27" s="50"/>
    </x:row>
    <x:row r="28" spans="1:29" ht="15.5" x14ac:dyDescent="0.35">
      <x:c r="A28" s="39">
        <x:f t="shared" si="4"/>
        <x:v>13</x:v>
      </x:c>
      <x:c r="B28" s="1"/>
      <x:c r="C28" s="1" t="s">
        <x:v>8</x:v>
      </x:c>
      <x:c r="D28" s="1"/>
      <x:c r="E28" s="79"/>
      <x:c r="F28" s="79"/>
      <x:c r="G28" s="76"/>
      <x:c r="H28" s="76"/>
      <x:c r="I28" s="76"/>
      <x:c r="J28" s="76"/>
      <x:c r="K28" s="76"/>
      <x:c r="L28" s="76" t="e">
        <x:f>SUM(L22:L27)</x:f>
        <x:v>#REF!</x:v>
      </x:c>
      <x:c r="M28" s="76"/>
      <x:c r="N28" s="76"/>
      <x:c r="O28" s="76">
        <x:f>SUM(O16:O27)</x:f>
        <x:v>2705.8591073457146</x:v>
      </x:c>
      <x:c r="P28" s="76"/>
      <x:c r="Q28" s="76">
        <x:f>SUM(Q16:Q27)</x:f>
        <x:v>2494.5911154849091</x:v>
      </x:c>
      <x:c r="R28" s="76"/>
      <x:c r="S28" s="76">
        <x:f>SUM(S22:S27)</x:f>
        <x:v>4081.6663814300096</x:v>
      </x:c>
      <x:c r="T28" s="76"/>
      <x:c r="U28" s="77">
        <x:f t="shared" si="2"/>
        <x:v>-211.26799186080552</x:v>
      </x:c>
      <x:c r="V28" s="76"/>
      <x:c r="W28" s="76">
        <x:f>SUM(W16:W27)</x:f>
        <x:v>-518639.04615899257</x:v>
      </x:c>
      <x:c r="X28" s="14"/>
      <x:c r="Y28" s="14"/>
    </x:row>
    <x:row r="29" spans="1:29" ht="15.5" x14ac:dyDescent="0.35">
      <x:c r="A29" s="39">
        <x:f t="shared" si="4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 spans="1:29" ht="15.5" x14ac:dyDescent="0.35">
      <x:c r="A30" s="39">
        <x:f t="shared" si="4"/>
        <x:v>15</x:v>
      </x:c>
      <x:c r="B30" s="1"/>
      <x:c r="C30" s="1"/>
      <x:c r="D30" s="1"/>
      <x:c r="E30" s="1"/>
      <x:c r="F30" s="1"/>
      <x:c r="G30" s="10" t="s">
        <x:v>32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10"/>
      <x:c r="T30" s="3"/>
      <x:c r="U30" s="10"/>
      <x:c r="V30" s="10"/>
      <x:c r="W30" s="12" t="s">
        <x:v>34</x:v>
      </x:c>
      <x:c r="X30" s="6"/>
    </x:row>
    <x:row r="31" spans="1:29" ht="15.5" x14ac:dyDescent="0.35">
      <x:c r="A31" s="39">
        <x:f t="shared" si="4"/>
        <x:v>16</x:v>
      </x:c>
      <x:c r="B31" s="11"/>
      <x:c r="C31" s="11" t="s">
        <x:v>1</x:v>
      </x:c>
      <x:c r="D31" s="11"/>
      <x:c r="E31" s="11" t="s">
        <x:v>2</x:v>
      </x:c>
      <x:c r="F31" s="1"/>
      <x:c r="G31" s="12" t="s">
        <x:v>14</x:v>
      </x:c>
      <x:c r="H31" s="12"/>
      <x:c r="I31" s="12"/>
      <x:c r="J31" s="12" t="s">
        <x:v>21</x:v>
      </x:c>
      <x:c r="K31" s="12"/>
      <x:c r="L31" s="12" t="s">
        <x:v>4</x:v>
      </x:c>
      <x:c r="M31" s="13" t="s">
        <x:v>35</x:v>
      </x:c>
      <x:c r="N31" s="14"/>
      <x:c r="O31" s="14" t="s">
        <x:v>36</x:v>
      </x:c>
      <x:c r="P31" s="14"/>
      <x:c r="Q31" s="14" t="s">
        <x:v>37</x:v>
      </x:c>
      <x:c r="R31" s="14"/>
      <x:c r="S31" s="13" t="s">
        <x:v>5</x:v>
      </x:c>
      <x:c r="T31" s="14"/>
      <x:c r="U31" s="12" t="s">
        <x:v>38</x:v>
      </x:c>
      <x:c r="V31" s="12"/>
      <x:c r="W31" s="12" t="s">
        <x:v>9</x:v>
      </x:c>
      <x:c r="X31" s="12"/>
    </x:row>
    <x:row r="32" spans="1:29" ht="15.5" x14ac:dyDescent="0.35">
      <x:c r="A32" s="39">
        <x:f t="shared" si="4"/>
        <x:v>17</x:v>
      </x:c>
      <x:c r="B32" s="1"/>
      <x:c r="C32" s="1"/>
      <x:c r="D32" s="1"/>
      <x:c r="E32" s="1"/>
      <x:c r="F32" s="1"/>
      <x:c r="G32" s="16" t="s">
        <x:v>61</x:v>
      </x:c>
      <x:c r="H32" s="15"/>
      <x:c r="I32" s="15"/>
      <x:c r="J32" s="16" t="s">
        <x:v>62</x:v>
      </x:c>
      <x:c r="K32" s="15"/>
      <x:c r="L32" s="15"/>
      <x:c r="M32" s="16" t="s">
        <x:v>70</x:v>
      </x:c>
      <x:c r="N32" s="15"/>
      <x:c r="O32" s="16" t="s">
        <x:v>64</x:v>
      </x:c>
      <x:c r="P32" s="15"/>
      <x:c r="Q32" s="16" t="s">
        <x:v>65</x:v>
      </x:c>
      <x:c r="R32" s="15"/>
      <x:c r="S32" s="15"/>
      <x:c r="T32" s="15"/>
      <x:c r="U32" s="16" t="s">
        <x:v>112</x:v>
      </x:c>
      <x:c r="V32" s="15"/>
      <x:c r="W32" s="16" t="s">
        <x:v>113</x:v>
      </x:c>
      <x:c r="X32" s="15"/>
    </x:row>
    <x:row r="33" spans="1:24" ht="15.5" x14ac:dyDescent="0.35">
      <x:c r="A33" s="39">
        <x:f t="shared" si="4"/>
        <x:v>18</x:v>
      </x:c>
      <x:c r="B33" s="1"/>
      <x:c r="C33" s="1"/>
      <x:c r="D33" s="1"/>
      <x:c r="E33" s="1"/>
      <x:c r="F33" s="1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spans="1:24" ht="15.5" x14ac:dyDescent="0.35">
      <x:c r="A34" s="39">
        <x:f t="shared" si="4"/>
        <x:v>19</x:v>
      </x:c>
      <x:c r="B34" s="1"/>
      <x:c r="C34" s="18">
        <x:f t="shared" ref="C34:C45" si="6">+C16</x:f>
        <x:v>2024</x:v>
      </x:c>
      <x:c r="D34" s="1"/>
      <x:c r="E34" s="19">
        <x:f>+E16</x:f>
        <x:v>1</x:v>
      </x:c>
      <x:c r="G34" s="44">
        <x:f>+'[2]SECGT10KW Model'!$C$18</x:f>
        <x:v>5.6849999999999996</x:v>
      </x:c>
      <x:c r="H34" s="27"/>
      <x:c r="I34" s="27"/>
      <x:c r="J34" s="27">
        <x:f t="shared" ref="J34:J45" si="7">J16</x:f>
        <x:v>231499</x:v>
      </x:c>
      <x:c r="K34" s="27"/>
      <x:c r="L34" s="29"/>
      <x:c r="M34" s="20">
        <x:f t="shared" ref="M34:M45" si="8">PRODUCT(G34,J34)/1000</x:f>
        <x:v>1316.071815</x:v>
      </x:c>
      <x:c r="N34" s="28"/>
      <x:c r="O34" s="43">
        <x:f>+[3]SECGT10KW!C13</x:f>
        <x:v>140.09371180609526</x:v>
      </x:c>
      <x:c r="P34" s="20"/>
      <x:c r="Q34" s="43">
        <x:f>+[3]SECGT10KW!E13</x:f>
        <x:v>164.03554489819493</x:v>
      </x:c>
      <x:c r="R34" s="28"/>
      <x:c r="S34" s="28"/>
      <x:c r="T34" s="28"/>
      <x:c r="U34" s="43">
        <x:f t="shared" ref="U34:U46" si="9">+Q34-O34</x:f>
        <x:v>23.941833092099671</x:v>
      </x:c>
      <x:c r="V34" s="28"/>
      <x:c r="W34" s="20">
        <x:f t="shared" ref="W34:W45" si="10">+M34*U34</x:f>
        <x:v>31509.171731946677</x:v>
      </x:c>
      <x:c r="X34" s="28"/>
    </x:row>
    <x:row r="35" spans="1:24" ht="15.5" x14ac:dyDescent="0.35">
      <x:c r="A35" s="39">
        <x:f t="shared" si="4"/>
        <x:v>20</x:v>
      </x:c>
      <x:c r="B35" s="1"/>
      <x:c r="C35" s="18">
        <x:f t="shared" si="6"/>
        <x:v>2024</x:v>
      </x:c>
      <x:c r="D35" s="1"/>
      <x:c r="E35" s="19">
        <x:f t="shared" ref="E35:E45" si="11">+E17</x:f>
        <x:v>2</x:v>
      </x:c>
      <x:c r="G35" s="43">
        <x:f>+G34</x:f>
        <x:v>5.6849999999999996</x:v>
      </x:c>
      <x:c r="H35" s="27"/>
      <x:c r="I35" s="27"/>
      <x:c r="J35" s="27">
        <x:f t="shared" si="7"/>
        <x:v>234455</x:v>
      </x:c>
      <x:c r="K35" s="27"/>
      <x:c r="L35" s="29"/>
      <x:c r="M35" s="20">
        <x:f t="shared" si="8"/>
        <x:v>1332.8766749999998</x:v>
      </x:c>
      <x:c r="N35" s="28"/>
      <x:c r="O35" s="43">
        <x:f>+[3]SECGT10KW!C14</x:f>
        <x:v>211.10811523352379</x:v>
      </x:c>
      <x:c r="P35" s="20"/>
      <x:c r="Q35" s="43">
        <x:f>+[3]SECGT10KW!E14</x:f>
        <x:v>172.42221082972176</x:v>
      </x:c>
      <x:c r="R35" s="28"/>
      <x:c r="S35" s="28"/>
      <x:c r="T35" s="28"/>
      <x:c r="U35" s="43">
        <x:f t="shared" si="9"/>
        <x:v>-38.685904403802027</x:v>
      </x:c>
      <x:c r="V35" s="28"/>
      <x:c r="W35" s="20">
        <x:f t="shared" si="10"/>
        <x:v>-51563.539631107495</x:v>
      </x:c>
      <x:c r="X35" s="28"/>
    </x:row>
    <x:row r="36" spans="1:24" ht="15.5" x14ac:dyDescent="0.35">
      <x:c r="A36" s="39">
        <x:f t="shared" si="4"/>
        <x:v>21</x:v>
      </x:c>
      <x:c r="B36" s="1"/>
      <x:c r="C36" s="18">
        <x:f t="shared" si="6"/>
        <x:v>2024</x:v>
      </x:c>
      <x:c r="D36" s="1"/>
      <x:c r="E36" s="19">
        <x:f t="shared" si="11"/>
        <x:v>3</x:v>
      </x:c>
      <x:c r="G36" s="43">
        <x:f t="shared" ref="G36:G45" si="12">+G35</x:f>
        <x:v>5.6849999999999996</x:v>
      </x:c>
      <x:c r="H36" s="27"/>
      <x:c r="I36" s="27"/>
      <x:c r="J36" s="27">
        <x:f t="shared" si="7"/>
        <x:v>234415</x:v>
      </x:c>
      <x:c r="K36" s="27"/>
      <x:c r="L36" s="29"/>
      <x:c r="M36" s="20">
        <x:f t="shared" si="8"/>
        <x:v>1332.649275</x:v>
      </x:c>
      <x:c r="N36" s="28"/>
      <x:c r="O36" s="43">
        <x:f>+[3]SECGT10KW!C15</x:f>
        <x:v>39.382808209666663</x:v>
      </x:c>
      <x:c r="P36" s="20"/>
      <x:c r="Q36" s="43">
        <x:f>+[3]SECGT10KW!E15</x:f>
        <x:v>111.47031204508716</x:v>
      </x:c>
      <x:c r="R36" s="28"/>
      <x:c r="S36" s="28"/>
      <x:c r="T36" s="28"/>
      <x:c r="U36" s="43">
        <x:f t="shared" si="9"/>
        <x:v>72.087503835420492</x:v>
      </x:c>
      <x:c r="V36" s="28"/>
      <x:c r="W36" s="20">
        <x:f t="shared" si="10"/>
        <x:v>96067.359722832844</x:v>
      </x:c>
      <x:c r="X36" s="28"/>
    </x:row>
    <x:row r="37" spans="1:24" ht="15.5" x14ac:dyDescent="0.35">
      <x:c r="A37" s="39">
        <x:f t="shared" si="4"/>
        <x:v>22</x:v>
      </x:c>
      <x:c r="B37" s="1"/>
      <x:c r="C37" s="18">
        <x:f t="shared" si="6"/>
        <x:v>2024</x:v>
      </x:c>
      <x:c r="D37" s="1"/>
      <x:c r="E37" s="19">
        <x:f t="shared" si="11"/>
        <x:v>4</x:v>
      </x:c>
      <x:c r="G37" s="43">
        <x:f t="shared" si="12"/>
        <x:v>5.6849999999999996</x:v>
      </x:c>
      <x:c r="H37" s="27"/>
      <x:c r="I37" s="27"/>
      <x:c r="J37" s="27">
        <x:f t="shared" si="7"/>
        <x:v>234403</x:v>
      </x:c>
      <x:c r="K37" s="27"/>
      <x:c r="L37" s="29"/>
      <x:c r="M37" s="20">
        <x:f t="shared" si="8"/>
        <x:v>1332.5810549999999</x:v>
      </x:c>
      <x:c r="N37" s="28"/>
      <x:c r="O37" s="43">
        <x:f>+[3]SECGT10KW!C16</x:f>
        <x:v>9.5463440169999974</x:v>
      </x:c>
      <x:c r="P37" s="20"/>
      <x:c r="Q37" s="43">
        <x:f>+[3]SECGT10KW!E16</x:f>
        <x:v>25.537347096469702</x:v>
      </x:c>
      <x:c r="R37" s="28"/>
      <x:c r="S37" s="28"/>
      <x:c r="T37" s="28"/>
      <x:c r="U37" s="43">
        <x:f t="shared" si="9"/>
        <x:v>15.991003079469705</x:v>
      </x:c>
      <x:c r="V37" s="28"/>
      <x:c r="W37" s="20">
        <x:f t="shared" si="10"/>
        <x:v>21309.307754147987</x:v>
      </x:c>
      <x:c r="X37" s="28"/>
    </x:row>
    <x:row r="38" spans="1:24" ht="15.5" x14ac:dyDescent="0.35">
      <x:c r="A38" s="39">
        <x:f t="shared" si="4"/>
        <x:v>23</x:v>
      </x:c>
      <x:c r="B38" s="1"/>
      <x:c r="C38" s="18">
        <x:f t="shared" si="6"/>
        <x:v>2024</x:v>
      </x:c>
      <x:c r="D38" s="1"/>
      <x:c r="E38" s="19">
        <x:f t="shared" si="11"/>
        <x:v>5</x:v>
      </x:c>
      <x:c r="G38" s="43">
        <x:f t="shared" si="12"/>
        <x:v>5.6849999999999996</x:v>
      </x:c>
      <x:c r="H38" s="27"/>
      <x:c r="I38" s="27"/>
      <x:c r="J38" s="27">
        <x:f t="shared" si="7"/>
        <x:v>234550</x:v>
      </x:c>
      <x:c r="K38" s="27"/>
      <x:c r="L38" s="29"/>
      <x:c r="M38" s="20">
        <x:f t="shared" si="8"/>
        <x:v>1333.4167500000001</x:v>
      </x:c>
      <x:c r="N38" s="28"/>
      <x:c r="O38" s="43">
        <x:f>+[3]SECGT10KW!C17</x:f>
        <x:v>0.86870108885714103</x:v>
      </x:c>
      <x:c r="P38" s="20"/>
      <x:c r="Q38" s="43">
        <x:f>+[3]SECGT10KW!E17</x:f>
        <x:v>3.870801294112475</x:v>
      </x:c>
      <x:c r="R38" s="28"/>
      <x:c r="S38" s="28"/>
      <x:c r="T38" s="28"/>
      <x:c r="U38" s="43">
        <x:f t="shared" si="9"/>
        <x:v>3.0021002052553341</x:v>
      </x:c>
      <x:c r="V38" s="28"/>
      <x:c r="W38" s="20">
        <x:f>+M38*U38</x:f>
        <x:v>4003.0506988659008</x:v>
      </x:c>
      <x:c r="X38" s="28"/>
    </x:row>
    <x:row r="39" spans="1:24" ht="15.5" x14ac:dyDescent="0.35">
      <x:c r="A39" s="39">
        <x:f t="shared" si="4"/>
        <x:v>24</x:v>
      </x:c>
      <x:c r="B39" s="1"/>
      <x:c r="C39" s="18">
        <x:f t="shared" si="6"/>
        <x:v>2024</x:v>
      </x:c>
      <x:c r="D39" s="1"/>
      <x:c r="E39" s="19">
        <x:f t="shared" si="11"/>
        <x:v>6</x:v>
      </x:c>
      <x:c r="G39" s="43">
        <x:f t="shared" si="12"/>
        <x:v>5.6849999999999996</x:v>
      </x:c>
      <x:c r="H39" s="30"/>
      <x:c r="I39" s="30"/>
      <x:c r="J39" s="30">
        <x:f t="shared" si="7"/>
        <x:v>235044</x:v>
      </x:c>
      <x:c r="K39" s="30"/>
      <x:c r="L39" s="31"/>
      <x:c r="M39" s="59">
        <x:f t="shared" si="8"/>
        <x:v>1336.22514</x:v>
      </x:c>
      <x:c r="N39" s="51"/>
      <x:c r="O39" s="43">
        <x:f>+[3]SECGT10KW!C18</x:f>
        <x:v>0</x:v>
      </x:c>
      <x:c r="P39" s="20"/>
      <x:c r="Q39" s="43">
        <x:f>+[3]SECGT10KW!E18</x:f>
        <x:v>0.20748869740233603</x:v>
      </x:c>
      <x:c r="R39" s="28"/>
      <x:c r="S39" s="28"/>
      <x:c r="T39" s="28"/>
      <x:c r="U39" s="43">
        <x:f t="shared" si="9"/>
        <x:v>0.20748869740233603</x:v>
      </x:c>
      <x:c r="V39" s="28"/>
      <x:c r="W39" s="20">
        <x:f t="shared" si="10"/>
        <x:v>277.25161373485412</x:v>
      </x:c>
      <x:c r="X39" s="28"/>
    </x:row>
    <x:row r="40" spans="1:24" ht="15.5" x14ac:dyDescent="0.35">
      <x:c r="A40" s="39">
        <x:f t="shared" si="4"/>
        <x:v>25</x:v>
      </x:c>
      <x:c r="B40" s="1"/>
      <x:c r="C40" s="18">
        <x:f t="shared" si="6"/>
        <x:v>2024</x:v>
      </x:c>
      <x:c r="D40" s="1"/>
      <x:c r="E40" s="19">
        <x:f t="shared" si="11"/>
        <x:v>7</x:v>
      </x:c>
      <x:c r="F40" s="23"/>
      <x:c r="G40" s="43">
        <x:f t="shared" si="12"/>
        <x:v>5.6849999999999996</x:v>
      </x:c>
      <x:c r="H40" s="28"/>
      <x:c r="I40" s="28"/>
      <x:c r="J40" s="27">
        <x:f t="shared" si="7"/>
        <x:v>235364</x:v>
      </x:c>
      <x:c r="K40" s="3"/>
      <x:c r="L40" s="3"/>
      <x:c r="M40" s="20">
        <x:f t="shared" si="8"/>
        <x:v>1338.0443399999999</x:v>
      </x:c>
      <x:c r="N40" s="3"/>
      <x:c r="O40" s="43">
        <x:f>+[3]SECGT10KW!C19</x:f>
        <x:v>0</x:v>
      </x:c>
      <x:c r="P40" s="20"/>
      <x:c r="Q40" s="43">
        <x:f>+[3]SECGT10KW!E19</x:f>
        <x:v>3.3281217582565236E-4</x:v>
      </x:c>
      <x:c r="R40" s="3"/>
      <x:c r="S40" s="3"/>
      <x:c r="T40" s="3"/>
      <x:c r="U40" s="43">
        <x:f t="shared" si="9"/>
        <x:v>3.3281217582565236E-4</x:v>
      </x:c>
      <x:c r="V40" s="3"/>
      <x:c r="W40" s="20">
        <x:f t="shared" si="10"/>
        <x:v>0.44531744814659896</x:v>
      </x:c>
      <x:c r="X40" s="3"/>
    </x:row>
    <x:row r="41" spans="1:24" ht="15.5" x14ac:dyDescent="0.35">
      <x:c r="A41" s="39">
        <x:f t="shared" si="4"/>
        <x:v>26</x:v>
      </x:c>
      <x:c r="B41" s="1"/>
      <x:c r="C41" s="18">
        <x:f t="shared" si="6"/>
        <x:v>2024</x:v>
      </x:c>
      <x:c r="D41" s="1"/>
      <x:c r="E41" s="19">
        <x:f t="shared" si="11"/>
        <x:v>8</x:v>
      </x:c>
      <x:c r="G41" s="43">
        <x:f t="shared" si="12"/>
        <x:v>5.6849999999999996</x:v>
      </x:c>
      <x:c r="H41" s="27"/>
      <x:c r="I41" s="27"/>
      <x:c r="J41" s="27">
        <x:f t="shared" si="7"/>
        <x:v>235249</x:v>
      </x:c>
      <x:c r="K41" s="27"/>
      <x:c r="L41" s="29"/>
      <x:c r="M41" s="20">
        <x:f t="shared" si="8"/>
        <x:v>1337.3905649999999</x:v>
      </x:c>
      <x:c r="N41" s="3"/>
      <x:c r="O41" s="43">
        <x:f>+[3]SECGT10KW!C20</x:f>
        <x:v>0</x:v>
      </x:c>
      <x:c r="P41" s="20"/>
      <x:c r="Q41" s="43">
        <x:f>+[3]SECGT10KW!E20</x:f>
        <x:v>0</x:v>
      </x:c>
      <x:c r="R41" s="3"/>
      <x:c r="S41" s="3"/>
      <x:c r="T41" s="3"/>
      <x:c r="U41" s="43">
        <x:f>+Q41-O41</x:f>
        <x:v>0</x:v>
      </x:c>
      <x:c r="V41" s="3"/>
      <x:c r="W41" s="20">
        <x:f t="shared" si="10"/>
        <x:v>0</x:v>
      </x:c>
      <x:c r="X41" s="3"/>
    </x:row>
    <x:row r="42" spans="1:24" ht="15.5" x14ac:dyDescent="0.35">
      <x:c r="A42" s="39">
        <x:f t="shared" si="4"/>
        <x:v>27</x:v>
      </x:c>
      <x:c r="B42" s="1"/>
      <x:c r="C42" s="18">
        <x:f t="shared" si="6"/>
        <x:v>2024</x:v>
      </x:c>
      <x:c r="D42" s="1"/>
      <x:c r="E42" s="19">
        <x:f t="shared" si="11"/>
        <x:v>9</x:v>
      </x:c>
      <x:c r="G42" s="43">
        <x:f t="shared" si="12"/>
        <x:v>5.6849999999999996</x:v>
      </x:c>
      <x:c r="H42" s="27"/>
      <x:c r="I42" s="27"/>
      <x:c r="J42" s="27">
        <x:f t="shared" si="7"/>
        <x:v>234473</x:v>
      </x:c>
      <x:c r="K42" s="27"/>
      <x:c r="L42" s="29"/>
      <x:c r="M42" s="20">
        <x:f t="shared" si="8"/>
        <x:v>1332.9790049999999</x:v>
      </x:c>
      <x:c r="N42" s="3"/>
      <x:c r="O42" s="43">
        <x:f>+[3]SECGT10KW!C21</x:f>
        <x:v>0</x:v>
      </x:c>
      <x:c r="P42" s="20"/>
      <x:c r="Q42" s="43">
        <x:f>+[3]SECGT10KW!E21</x:f>
        <x:v>1.174885599297875E-2</x:v>
      </x:c>
      <x:c r="R42" s="3"/>
      <x:c r="S42" s="3"/>
      <x:c r="T42" s="3"/>
      <x:c r="U42" s="43">
        <x:f t="shared" si="9"/>
        <x:v>1.174885599297875E-2</x:v>
      </x:c>
      <x:c r="V42" s="3"/>
      <x:c r="W42" s="20">
        <x:f t="shared" si="10"/>
        <x:v>15.660978371409101</x:v>
      </x:c>
      <x:c r="X42" s="3"/>
    </x:row>
    <x:row r="43" spans="1:24" ht="15.5" x14ac:dyDescent="0.35">
      <x:c r="A43" s="39">
        <x:f t="shared" si="4"/>
        <x:v>28</x:v>
      </x:c>
      <x:c r="B43" s="1"/>
      <x:c r="C43" s="18">
        <x:f t="shared" si="6"/>
        <x:v>2024</x:v>
      </x:c>
      <x:c r="D43" s="1"/>
      <x:c r="E43" s="19">
        <x:f t="shared" si="11"/>
        <x:v>10</x:v>
      </x:c>
      <x:c r="G43" s="43">
        <x:f t="shared" si="12"/>
        <x:v>5.6849999999999996</x:v>
      </x:c>
      <x:c r="H43" s="27"/>
      <x:c r="I43" s="27"/>
      <x:c r="J43" s="27">
        <x:f t="shared" si="7"/>
        <x:v>233885</x:v>
      </x:c>
      <x:c r="K43" s="27"/>
      <x:c r="L43" s="29"/>
      <x:c r="M43" s="20">
        <x:f t="shared" si="8"/>
        <x:v>1329.636225</x:v>
      </x:c>
      <x:c r="N43" s="3"/>
      <x:c r="O43" s="43">
        <x:f>+[3]SECGT10KW!C22</x:f>
        <x:v>0</x:v>
      </x:c>
      <x:c r="P43" s="20"/>
      <x:c r="Q43" s="43">
        <x:f>+[3]SECGT10KW!E22</x:f>
        <x:v>0.65737564085421152</x:v>
      </x:c>
      <x:c r="R43" s="3"/>
      <x:c r="S43" s="3"/>
      <x:c r="T43" s="3"/>
      <x:c r="U43" s="43">
        <x:f t="shared" si="9"/>
        <x:v>0.65737564085421152</x:v>
      </x:c>
      <x:c r="V43" s="3"/>
      <x:c r="W43" s="20">
        <x:f t="shared" si="10"/>
        <x:v>874.07046551234953</x:v>
      </x:c>
      <x:c r="X43" s="3"/>
    </x:row>
    <x:row r="44" spans="1:24" ht="15.5" x14ac:dyDescent="0.35">
      <x:c r="A44" s="39">
        <x:f t="shared" si="4"/>
        <x:v>29</x:v>
      </x:c>
      <x:c r="B44" s="1"/>
      <x:c r="C44" s="18">
        <x:f t="shared" si="6"/>
        <x:v>2024</x:v>
      </x:c>
      <x:c r="D44" s="1"/>
      <x:c r="E44" s="19">
        <x:f t="shared" si="11"/>
        <x:v>11</x:v>
      </x:c>
      <x:c r="G44" s="43">
        <x:f t="shared" si="12"/>
        <x:v>5.6849999999999996</x:v>
      </x:c>
      <x:c r="H44" s="27"/>
      <x:c r="I44" s="27"/>
      <x:c r="J44" s="27">
        <x:f t="shared" si="7"/>
        <x:v>233757</x:v>
      </x:c>
      <x:c r="K44" s="27"/>
      <x:c r="L44" s="29"/>
      <x:c r="M44" s="20">
        <x:f>PRODUCT(G44,J44)/1000</x:f>
        <x:v>1328.908545</x:v>
      </x:c>
      <x:c r="N44" s="28"/>
      <x:c r="O44" s="43">
        <x:f>+[3]SECGT10KW!C23</x:f>
        <x:v>0.2006693194285713</x:v>
      </x:c>
      <x:c r="P44" s="20"/>
      <x:c r="Q44" s="43">
        <x:f>+[3]SECGT10KW!E23</x:f>
        <x:v>14.275429831188928</x:v>
      </x:c>
      <x:c r="R44" s="28"/>
      <x:c r="S44" s="28"/>
      <x:c r="T44" s="28"/>
      <x:c r="U44" s="43">
        <x:f t="shared" si="9"/>
        <x:v>14.074760511760356</x:v>
      </x:c>
      <x:c r="V44" s="28"/>
      <x:c r="W44" s="20">
        <x:f t="shared" si="10"/>
        <x:v>18704.06951290691</x:v>
      </x:c>
      <x:c r="X44" s="28"/>
    </x:row>
    <x:row r="45" spans="1:24" ht="15.5" x14ac:dyDescent="0.35">
      <x:c r="A45" s="39">
        <x:f t="shared" si="4"/>
        <x:v>30</x:v>
      </x:c>
      <x:c r="B45" s="1"/>
      <x:c r="C45" s="18">
        <x:f t="shared" si="6"/>
        <x:v>2024</x:v>
      </x:c>
      <x:c r="D45" s="1"/>
      <x:c r="E45" s="19">
        <x:f t="shared" si="11"/>
        <x:v>12</x:v>
      </x:c>
      <x:c r="G45" s="43">
        <x:f t="shared" si="12"/>
        <x:v>5.6849999999999996</x:v>
      </x:c>
      <x:c r="H45" s="27"/>
      <x:c r="I45" s="27"/>
      <x:c r="J45" s="27">
        <x:f t="shared" si="7"/>
        <x:v>234639</x:v>
      </x:c>
      <x:c r="K45" s="27"/>
      <x:c r="L45" s="29"/>
      <x:c r="M45" s="20">
        <x:f t="shared" si="8"/>
        <x:v>1333.9227149999999</x:v>
      </x:c>
      <x:c r="N45" s="28"/>
      <x:c r="O45" s="43">
        <x:f>+[3]SECGT10KW!C24</x:f>
        <x:v>37.982956866809509</x:v>
      </x:c>
      <x:c r="P45" s="20"/>
      <x:c r="Q45" s="43">
        <x:f>+[3]SECGT10KW!E24</x:f>
        <x:v>75.667316898351459</x:v>
      </x:c>
      <x:c r="R45" s="51"/>
      <x:c r="S45" s="51"/>
      <x:c r="T45" s="51"/>
      <x:c r="U45" s="68">
        <x:f t="shared" si="9"/>
        <x:v>37.684360031541949</x:v>
      </x:c>
      <x:c r="V45" s="51"/>
      <x:c r="W45" s="59">
        <x:f t="shared" si="10"/>
        <x:v>50268.023846311917</x:v>
      </x:c>
      <x:c r="X45" s="28"/>
    </x:row>
    <x:row r="46" spans="1:24" ht="15.5" x14ac:dyDescent="0.35">
      <x:c r="A46" s="39">
        <x:f t="shared" si="4"/>
        <x:v>31</x:v>
      </x:c>
      <x:c r="B46" s="1"/>
      <x:c r="C46" s="1" t="s">
        <x:v>8</x:v>
      </x:c>
      <x:c r="D46" s="1"/>
      <x:c r="E46" s="80"/>
      <x:c r="F46" s="81"/>
      <x:c r="G46" s="72"/>
      <x:c r="H46" s="72"/>
      <x:c r="I46" s="72"/>
      <x:c r="J46" s="72"/>
      <x:c r="K46" s="72"/>
      <x:c r="L46" s="73"/>
      <x:c r="M46" s="72"/>
      <x:c r="N46" s="74"/>
      <x:c r="O46" s="76">
        <x:f>SUM(O34:O45)</x:f>
        <x:v>439.183306541381</x:v>
      </x:c>
      <x:c r="P46" s="76"/>
      <x:c r="Q46" s="76">
        <x:f>SUM(Q34:Q45)</x:f>
        <x:v>568.15590889955183</x:v>
      </x:c>
      <x:c r="R46" s="76"/>
      <x:c r="S46" s="76">
        <x:f>SUM(S40:S45)</x:f>
        <x:v>0</x:v>
      </x:c>
      <x:c r="T46" s="76"/>
      <x:c r="U46" s="77">
        <x:f t="shared" si="9"/>
        <x:v>128.97260235817083</x:v>
      </x:c>
      <x:c r="V46" s="76"/>
      <x:c r="W46" s="76">
        <x:f>SUM(W34:W45)</x:f>
        <x:v>171464.87201097151</x:v>
      </x:c>
      <x:c r="X46" s="28"/>
    </x:row>
    <x:row r="47" spans="1:24" ht="15.5" x14ac:dyDescent="0.35">
      <x:c r="A47" s="39">
        <x:f t="shared" si="4"/>
        <x:v>32</x:v>
      </x:c>
      <x:c r="B47" s="4"/>
      <x:c r="C47" s="24"/>
      <x:c r="D47" s="4"/>
      <x:c r="E47" s="25"/>
      <x:c r="F47" s="8"/>
      <x:c r="G47" s="32"/>
      <x:c r="H47" s="33"/>
      <x:c r="I47" s="33"/>
      <x:c r="J47" s="32"/>
      <x:c r="K47" s="33"/>
      <x:c r="L47" s="34"/>
      <x:c r="M47" s="32"/>
      <x:c r="N47" s="35"/>
      <x:c r="O47" s="32"/>
      <x:c r="P47" s="35"/>
      <x:c r="Q47" s="32"/>
      <x:c r="R47" s="35"/>
      <x:c r="S47" s="35"/>
      <x:c r="T47" s="35"/>
      <x:c r="U47" s="32"/>
      <x:c r="V47" s="35"/>
      <x:c r="W47" s="36"/>
      <x:c r="X47" s="35"/>
    </x:row>
    <x:row r="48" spans="1:24" ht="15.5" x14ac:dyDescent="0.35">
      <x:c r="A48" s="39">
        <x:f t="shared" si="4"/>
        <x:v>33</x:v>
      </x:c>
      <x:c r="B48" s="1"/>
      <x:c r="C48" s="21"/>
      <x:c r="D48" s="1"/>
      <x:c r="E48" s="19"/>
      <x:c r="G48" s="30"/>
      <x:c r="H48" s="27"/>
      <x:c r="I48" s="27"/>
      <x:c r="J48" s="30"/>
      <x:c r="K48" s="27"/>
      <x:c r="L48" s="29"/>
      <x:c r="M48" s="30"/>
      <x:c r="N48" s="28"/>
      <x:c r="O48" s="30"/>
      <x:c r="P48" s="28"/>
      <x:c r="Q48" s="30"/>
      <x:c r="R48" s="28"/>
      <x:c r="S48" s="28"/>
      <x:c r="T48" s="28"/>
      <x:c r="U48" s="30"/>
      <x:c r="V48" s="28"/>
      <x:c r="W48" s="31"/>
      <x:c r="X48" s="28"/>
    </x:row>
    <x:row r="49" spans="1:25" ht="15.5" x14ac:dyDescent="0.35">
      <x:c r="A49" s="39">
        <x:f t="shared" si="4"/>
        <x:v>34</x:v>
      </x:c>
      <x:c r="B49" s="11"/>
      <x:c r="C49" s="11" t="s">
        <x:v>1</x:v>
      </x:c>
      <x:c r="D49" s="11"/>
      <x:c r="E49" s="11" t="s">
        <x:v>2</x:v>
      </x:c>
      <x:c r="F49" s="1"/>
      <x:c r="G49" s="12"/>
      <x:c r="H49" s="12"/>
      <x:c r="I49" s="12"/>
      <x:c r="J49" s="12"/>
      <x:c r="K49" s="12"/>
      <x:c r="L49" s="12"/>
      <x:c r="M49" s="13"/>
      <x:c r="N49" s="14"/>
      <x:c r="O49" s="14"/>
      <x:c r="P49" s="14"/>
      <x:c r="Q49" s="14"/>
      <x:c r="R49" s="14"/>
      <x:c r="S49" s="13"/>
      <x:c r="T49" s="14"/>
      <x:c r="U49" s="12"/>
      <x:c r="V49" s="12"/>
      <x:c r="W49" s="12" t="s">
        <x:v>8</x:v>
      </x:c>
      <x:c r="X49" s="12"/>
    </x:row>
    <x:row r="50" spans="1:25" ht="15.5" x14ac:dyDescent="0.35">
      <x:c r="A50" s="39">
        <x:f t="shared" si="4"/>
        <x:v>35</x:v>
      </x:c>
      <x:c r="B50" s="1"/>
      <x:c r="C50" s="26"/>
      <x:c r="D50" s="1"/>
      <x:c r="E50" s="26"/>
      <x:c r="F50" s="1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6" t="s">
        <x:v>114</x:v>
      </x:c>
      <x:c r="X50" s="15"/>
    </x:row>
    <x:row r="51" spans="1:25" ht="15.5" x14ac:dyDescent="0.35">
      <x:c r="A51" s="39">
        <x:f t="shared" si="4"/>
        <x:v>36</x:v>
      </x:c>
      <x:c r="C51" s="23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</x:row>
    <x:row r="52" spans="1:25" ht="15.5" x14ac:dyDescent="0.35">
      <x:c r="A52" s="39">
        <x:f t="shared" si="4"/>
        <x:v>37</x:v>
      </x:c>
      <x:c r="B52" s="1"/>
      <x:c r="C52" s="21">
        <x:f>+C34</x:f>
        <x:v>2024</x:v>
      </x:c>
      <x:c r="D52" s="1"/>
      <x:c r="E52" s="19">
        <x:f>+E34</x:f>
        <x:v>1</x:v>
      </x:c>
      <x:c r="G52" s="27"/>
      <x:c r="H52" s="27"/>
      <x:c r="I52" s="27"/>
      <x:c r="J52" s="27"/>
      <x:c r="K52" s="27"/>
      <x:c r="L52" s="27"/>
      <x:c r="M52" s="27"/>
      <x:c r="N52" s="28"/>
      <x:c r="O52" s="27"/>
      <x:c r="P52" s="28"/>
      <x:c r="Q52" s="27"/>
      <x:c r="R52" s="28"/>
      <x:c r="S52" s="28"/>
      <x:c r="T52" s="28"/>
      <x:c r="U52" s="27"/>
      <x:c r="V52" s="28"/>
      <x:c r="W52" s="27">
        <x:f t="shared" ref="W52:W63" si="13">+W16+W34</x:f>
        <x:v>43625.241010932179</x:v>
      </x:c>
      <x:c r="X52" s="28"/>
    </x:row>
    <x:row r="53" spans="1:25" ht="15.5" x14ac:dyDescent="0.35">
      <x:c r="A53" s="39">
        <x:f t="shared" si="4"/>
        <x:v>38</x:v>
      </x:c>
      <x:c r="B53" s="1"/>
      <x:c r="C53" s="21">
        <x:f t="shared" ref="C53:C63" si="14">+C35</x:f>
        <x:v>2024</x:v>
      </x:c>
      <x:c r="D53" s="1"/>
      <x:c r="E53" s="19">
        <x:f t="shared" ref="E53:E63" si="15">+E35</x:f>
        <x:v>2</x:v>
      </x:c>
      <x:c r="G53" s="27"/>
      <x:c r="H53" s="27"/>
      <x:c r="I53" s="27"/>
      <x:c r="J53" s="27"/>
      <x:c r="K53" s="27"/>
      <x:c r="L53" s="27"/>
      <x:c r="M53" s="27"/>
      <x:c r="N53" s="28"/>
      <x:c r="O53" s="27"/>
      <x:c r="P53" s="28"/>
      <x:c r="Q53" s="27"/>
      <x:c r="R53" s="28"/>
      <x:c r="S53" s="28"/>
      <x:c r="T53" s="28"/>
      <x:c r="U53" s="27"/>
      <x:c r="V53" s="28"/>
      <x:c r="W53" s="27">
        <x:f t="shared" si="13"/>
        <x:v>-42295.004146635438</x:v>
      </x:c>
      <x:c r="X53" s="28"/>
    </x:row>
    <x:row r="54" spans="1:25" ht="15.5" x14ac:dyDescent="0.35">
      <x:c r="A54" s="39">
        <x:f t="shared" si="4"/>
        <x:v>39</x:v>
      </x:c>
      <x:c r="B54" s="1"/>
      <x:c r="C54" s="21">
        <x:f t="shared" si="14"/>
        <x:v>2024</x:v>
      </x:c>
      <x:c r="D54" s="1"/>
      <x:c r="E54" s="19">
        <x:f t="shared" si="15"/>
        <x:v>3</x:v>
      </x:c>
      <x:c r="G54" s="27"/>
      <x:c r="H54" s="27"/>
      <x:c r="I54" s="27"/>
      <x:c r="J54" s="27"/>
      <x:c r="K54" s="27"/>
      <x:c r="L54" s="27"/>
      <x:c r="M54" s="27"/>
      <x:c r="N54" s="28"/>
      <x:c r="O54" s="27"/>
      <x:c r="P54" s="28"/>
      <x:c r="Q54" s="27"/>
      <x:c r="R54" s="28"/>
      <x:c r="S54" s="28"/>
      <x:c r="T54" s="28"/>
      <x:c r="U54" s="27"/>
      <x:c r="V54" s="28"/>
      <x:c r="W54" s="27">
        <x:f t="shared" si="13"/>
        <x:v>48619.059218025293</x:v>
      </x:c>
      <x:c r="X54" s="28"/>
    </x:row>
    <x:row r="55" spans="1:25" ht="15.5" x14ac:dyDescent="0.35">
      <x:c r="A55" s="39">
        <x:f t="shared" si="4"/>
        <x:v>40</x:v>
      </x:c>
      <x:c r="B55" s="1"/>
      <x:c r="C55" s="21">
        <x:f t="shared" si="14"/>
        <x:v>2024</x:v>
      </x:c>
      <x:c r="D55" s="1"/>
      <x:c r="E55" s="19">
        <x:f t="shared" si="15"/>
        <x:v>4</x:v>
      </x:c>
      <x:c r="G55" s="27"/>
      <x:c r="H55" s="27"/>
      <x:c r="I55" s="27"/>
      <x:c r="J55" s="27"/>
      <x:c r="K55" s="27"/>
      <x:c r="L55" s="27"/>
      <x:c r="M55" s="27"/>
      <x:c r="N55" s="28"/>
      <x:c r="O55" s="27"/>
      <x:c r="P55" s="28"/>
      <x:c r="Q55" s="27"/>
      <x:c r="R55" s="28"/>
      <x:c r="S55" s="28"/>
      <x:c r="T55" s="28"/>
      <x:c r="U55" s="27"/>
      <x:c r="V55" s="28"/>
      <x:c r="W55" s="27">
        <x:f t="shared" si="13"/>
        <x:v>24939.125757342128</x:v>
      </x:c>
      <x:c r="X55" s="28"/>
    </x:row>
    <x:row r="56" spans="1:25" ht="15.5" x14ac:dyDescent="0.35">
      <x:c r="A56" s="39">
        <x:f t="shared" si="4"/>
        <x:v>41</x:v>
      </x:c>
      <x:c r="B56" s="1"/>
      <x:c r="C56" s="21">
        <x:f t="shared" si="14"/>
        <x:v>2024</x:v>
      </x:c>
      <x:c r="D56" s="1"/>
      <x:c r="E56" s="19">
        <x:f t="shared" si="15"/>
        <x:v>5</x:v>
      </x:c>
      <x:c r="G56" s="27"/>
      <x:c r="H56" s="27"/>
      <x:c r="I56" s="27"/>
      <x:c r="J56" s="27"/>
      <x:c r="K56" s="27"/>
      <x:c r="L56" s="27"/>
      <x:c r="M56" s="27"/>
      <x:c r="N56" s="28"/>
      <x:c r="O56" s="27"/>
      <x:c r="P56" s="28"/>
      <x:c r="Q56" s="27"/>
      <x:c r="R56" s="28"/>
      <x:c r="S56" s="28"/>
      <x:c r="T56" s="28"/>
      <x:c r="U56" s="27"/>
      <x:c r="V56" s="28"/>
      <x:c r="W56" s="27">
        <x:f t="shared" si="13"/>
        <x:v>-58632.600363430211</x:v>
      </x:c>
      <x:c r="X56" s="28"/>
    </x:row>
    <x:row r="57" spans="1:25" ht="15.5" x14ac:dyDescent="0.35">
      <x:c r="A57" s="39">
        <x:f t="shared" si="4"/>
        <x:v>42</x:v>
      </x:c>
      <x:c r="B57" s="1"/>
      <x:c r="C57" s="21">
        <x:f t="shared" si="14"/>
        <x:v>2024</x:v>
      </x:c>
      <x:c r="D57" s="1"/>
      <x:c r="E57" s="19">
        <x:f t="shared" si="15"/>
        <x:v>6</x:v>
      </x:c>
      <x:c r="G57" s="30"/>
      <x:c r="H57" s="30"/>
      <x:c r="I57" s="30"/>
      <x:c r="J57" s="30"/>
      <x:c r="K57" s="30"/>
      <x:c r="L57" s="30"/>
      <x:c r="M57" s="30"/>
      <x:c r="N57" s="51"/>
      <x:c r="O57" s="30"/>
      <x:c r="P57" s="51"/>
      <x:c r="Q57" s="30"/>
      <x:c r="R57" s="51"/>
      <x:c r="S57" s="51"/>
      <x:c r="T57" s="51"/>
      <x:c r="U57" s="30"/>
      <x:c r="V57" s="51"/>
      <x:c r="W57" s="30">
        <x:f t="shared" si="13"/>
        <x:v>-70716.743008158301</x:v>
      </x:c>
      <x:c r="X57" s="28"/>
    </x:row>
    <x:row r="58" spans="1:25" ht="15.5" x14ac:dyDescent="0.35">
      <x:c r="A58" s="39">
        <x:f t="shared" si="4"/>
        <x:v>43</x:v>
      </x:c>
      <x:c r="B58" s="1"/>
      <x:c r="C58" s="21">
        <x:f t="shared" si="14"/>
        <x:v>2024</x:v>
      </x:c>
      <x:c r="D58" s="1"/>
      <x:c r="E58" s="19">
        <x:f t="shared" si="15"/>
        <x:v>7</x:v>
      </x:c>
      <x:c r="G58" s="27"/>
      <x:c r="H58" s="28"/>
      <x:c r="I58" s="28"/>
      <x:c r="J58" s="27"/>
      <x:c r="K58" s="28"/>
      <x:c r="L58" s="29"/>
      <x:c r="M58" s="27"/>
      <x:c r="N58" s="28"/>
      <x:c r="O58" s="27"/>
      <x:c r="P58" s="28"/>
      <x:c r="Q58" s="27"/>
      <x:c r="R58" s="28"/>
      <x:c r="S58" s="28"/>
      <x:c r="T58" s="28"/>
      <x:c r="U58" s="27"/>
      <x:c r="V58" s="28"/>
      <x:c r="W58" s="27">
        <x:f t="shared" si="13"/>
        <x:v>-94723.445292307559</x:v>
      </x:c>
      <x:c r="X58" s="28"/>
    </x:row>
    <x:row r="59" spans="1:25" ht="15.5" x14ac:dyDescent="0.35">
      <x:c r="A59" s="39">
        <x:f t="shared" si="4"/>
        <x:v>44</x:v>
      </x:c>
      <x:c r="B59" s="1"/>
      <x:c r="C59" s="21">
        <x:f t="shared" si="14"/>
        <x:v>2024</x:v>
      </x:c>
      <x:c r="D59" s="1"/>
      <x:c r="E59" s="19">
        <x:f t="shared" si="15"/>
        <x:v>8</x:v>
      </x:c>
      <x:c r="G59" s="27"/>
      <x:c r="H59" s="27"/>
      <x:c r="I59" s="27"/>
      <x:c r="J59" s="27"/>
      <x:c r="K59" s="27"/>
      <x:c r="L59" s="27"/>
      <x:c r="M59" s="27"/>
      <x:c r="N59" s="28"/>
      <x:c r="O59" s="27"/>
      <x:c r="P59" s="28"/>
      <x:c r="Q59" s="27"/>
      <x:c r="R59" s="28"/>
      <x:c r="S59" s="28"/>
      <x:c r="T59" s="28"/>
      <x:c r="U59" s="27"/>
      <x:c r="V59" s="28"/>
      <x:c r="W59" s="27">
        <x:f t="shared" si="13"/>
        <x:v>82784.800525764338</x:v>
      </x:c>
      <x:c r="X59" s="28"/>
    </x:row>
    <x:row r="60" spans="1:25" ht="15.5" x14ac:dyDescent="0.35">
      <x:c r="A60" s="39">
        <x:f t="shared" si="4"/>
        <x:v>45</x:v>
      </x:c>
      <x:c r="B60" s="1"/>
      <x:c r="C60" s="21">
        <x:f t="shared" si="14"/>
        <x:v>2024</x:v>
      </x:c>
      <x:c r="D60" s="1"/>
      <x:c r="E60" s="19">
        <x:f t="shared" si="15"/>
        <x:v>9</x:v>
      </x:c>
      <x:c r="G60" s="27"/>
      <x:c r="H60" s="27"/>
      <x:c r="I60" s="27"/>
      <x:c r="J60" s="27"/>
      <x:c r="K60" s="27"/>
      <x:c r="L60" s="27"/>
      <x:c r="M60" s="27"/>
      <x:c r="N60" s="28"/>
      <x:c r="O60" s="27"/>
      <x:c r="P60" s="28"/>
      <x:c r="Q60" s="27"/>
      <x:c r="R60" s="28"/>
      <x:c r="S60" s="28"/>
      <x:c r="T60" s="28"/>
      <x:c r="U60" s="27"/>
      <x:c r="V60" s="28"/>
      <x:c r="W60" s="27">
        <x:f t="shared" si="13"/>
        <x:v>-75139.286960508442</x:v>
      </x:c>
      <x:c r="X60" s="28"/>
    </x:row>
    <x:row r="61" spans="1:25" ht="15.5" x14ac:dyDescent="0.35">
      <x:c r="A61" s="39">
        <x:f t="shared" si="4"/>
        <x:v>46</x:v>
      </x:c>
      <x:c r="B61" s="1"/>
      <x:c r="C61" s="21">
        <x:f t="shared" si="14"/>
        <x:v>2024</x:v>
      </x:c>
      <x:c r="D61" s="1"/>
      <x:c r="E61" s="19">
        <x:f t="shared" si="15"/>
        <x:v>10</x:v>
      </x:c>
      <x:c r="G61" s="27"/>
      <x:c r="H61" s="27"/>
      <x:c r="I61" s="27"/>
      <x:c r="J61" s="27"/>
      <x:c r="K61" s="27"/>
      <x:c r="L61" s="27"/>
      <x:c r="M61" s="27"/>
      <x:c r="N61" s="28"/>
      <x:c r="O61" s="27"/>
      <x:c r="P61" s="28"/>
      <x:c r="Q61" s="27"/>
      <x:c r="R61" s="28"/>
      <x:c r="S61" s="28"/>
      <x:c r="T61" s="28"/>
      <x:c r="U61" s="27"/>
      <x:c r="V61" s="28"/>
      <x:c r="W61" s="27">
        <x:f t="shared" si="13"/>
        <x:v>-63880.088304064288</x:v>
      </x:c>
      <x:c r="X61" s="28"/>
    </x:row>
    <x:row r="62" spans="1:25" ht="15.5" x14ac:dyDescent="0.35">
      <x:c r="A62" s="39">
        <x:f t="shared" si="4"/>
        <x:v>47</x:v>
      </x:c>
      <x:c r="B62" s="1"/>
      <x:c r="C62" s="21">
        <x:f t="shared" si="14"/>
        <x:v>2024</x:v>
      </x:c>
      <x:c r="D62" s="1"/>
      <x:c r="E62" s="19">
        <x:f t="shared" si="15"/>
        <x:v>11</x:v>
      </x:c>
      <x:c r="G62" s="27"/>
      <x:c r="H62" s="27"/>
      <x:c r="I62" s="27"/>
      <x:c r="J62" s="27"/>
      <x:c r="K62" s="27"/>
      <x:c r="L62" s="27"/>
      <x:c r="M62" s="27"/>
      <x:c r="N62" s="28"/>
      <x:c r="O62" s="27"/>
      <x:c r="P62" s="28"/>
      <x:c r="Q62" s="27"/>
      <x:c r="R62" s="28"/>
      <x:c r="S62" s="28"/>
      <x:c r="T62" s="28"/>
      <x:c r="U62" s="27"/>
      <x:c r="V62" s="28"/>
      <x:c r="W62" s="27">
        <x:f t="shared" si="13"/>
        <x:v>-171545.19980500493</x:v>
      </x:c>
      <x:c r="X62" s="28"/>
    </x:row>
    <x:row r="63" spans="1:25" ht="15.5" x14ac:dyDescent="0.35">
      <x:c r="A63" s="39">
        <x:f t="shared" si="4"/>
        <x:v>48</x:v>
      </x:c>
      <x:c r="B63" s="1"/>
      <x:c r="C63" s="21">
        <x:f t="shared" si="14"/>
        <x:v>2024</x:v>
      </x:c>
      <x:c r="D63" s="1"/>
      <x:c r="E63" s="19">
        <x:f t="shared" si="15"/>
        <x:v>12</x:v>
      </x:c>
      <x:c r="G63" s="27"/>
      <x:c r="H63" s="27"/>
      <x:c r="I63" s="27"/>
      <x:c r="J63" s="27"/>
      <x:c r="K63" s="27"/>
      <x:c r="L63" s="27"/>
      <x:c r="M63" s="27"/>
      <x:c r="N63" s="28"/>
      <x:c r="O63" s="27"/>
      <x:c r="P63" s="28"/>
      <x:c r="Q63" s="27"/>
      <x:c r="R63" s="28"/>
      <x:c r="S63" s="28"/>
      <x:c r="T63" s="28"/>
      <x:c r="U63" s="27"/>
      <x:c r="V63" s="28"/>
      <x:c r="W63" s="27">
        <x:f t="shared" si="13"/>
        <x:v>29789.967220024184</x:v>
      </x:c>
      <x:c r="X63" s="28"/>
    </x:row>
    <x:row r="64" spans="1:25" ht="15.5" x14ac:dyDescent="0.35">
      <x:c r="A64" s="39">
        <x:f t="shared" si="4"/>
        <x:v>49</x:v>
      </x:c>
      <x:c r="C64" s="37" t="s">
        <x:v>8</x:v>
      </x:c>
      <x:c r="G64" s="72"/>
      <x:c r="H64" s="72"/>
      <x:c r="I64" s="72"/>
      <x:c r="J64" s="72"/>
      <x:c r="K64" s="72"/>
      <x:c r="L64" s="72"/>
      <x:c r="M64" s="72"/>
      <x:c r="N64" s="74"/>
      <x:c r="O64" s="72"/>
      <x:c r="P64" s="74"/>
      <x:c r="Q64" s="72"/>
      <x:c r="R64" s="74"/>
      <x:c r="S64" s="74"/>
      <x:c r="T64" s="74"/>
      <x:c r="U64" s="72"/>
      <x:c r="V64" s="74"/>
      <x:c r="W64" s="76">
        <x:f>SUM(W52:W63)</x:f>
        <x:v>-347174.17414802103</x:v>
      </x:c>
      <x:c r="X64" s="28"/>
      <x:c r="Y64" s="64"/>
    </x:row>
    <x:row r="65" spans="3:24" ht="15.5" x14ac:dyDescent="0.35">
      <x:c r="C65" s="23"/>
      <x:c r="G65" s="27"/>
      <x:c r="H65" s="27"/>
      <x:c r="I65" s="27"/>
      <x:c r="J65" s="27"/>
      <x:c r="K65" s="27"/>
      <x:c r="L65" s="27"/>
      <x:c r="M65" s="27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</x:row>
  </x:sheetData>
  <x:phoneticPr fontId="2" type="noConversion"/>
  <x:printOptions horizontalCentered="1"/>
  <x:pageMargins left="0.25" right="0" top="1.5" bottom="0.25" header="0.5" footer="0.5"/>
  <x:pageSetup scale="49" orientation="landscape" r:id="rId1"/>
  <x:headerFooter alignWithMargins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24">
    <x:tabColor rgb="FF00B0F0"/>
    <x:pageSetUpPr fitToPage="1"/>
  </x:sheetPr>
  <x:dimension ref="A1:R73"/>
  <x:sheetViews>
    <x:sheetView zoomScale="75" zoomScaleNormal="75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22.36328125" bestFit="1" customWidth="1"/>
    <x:col min="8" max="8" width="1.453125" customWidth="1"/>
    <x:col min="9" max="9" width="1.08984375" customWidth="1"/>
    <x:col min="10" max="10" width="24.08984375" bestFit="1" customWidth="1"/>
    <x:col min="11" max="11" width="1.08984375" customWidth="1"/>
    <x:col min="12" max="12" width="16.90625" hidden="1" customWidth="1"/>
    <x:col min="13" max="13" width="27.36328125" customWidth="1"/>
    <x:col min="14" max="14" width="1.08984375" customWidth="1"/>
    <x:col min="15" max="15" width="23" customWidth="1"/>
    <x:col min="16" max="16" width="1.08984375" customWidth="1"/>
    <x:col min="17" max="17" width="20.6328125" customWidth="1"/>
    <x:col min="18" max="18" width="1.6328125" customWidth="1"/>
  </x:cols>
  <x:sheetData>
    <x:row r="1" spans="1:18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t="s">
        <x:v>10</x:v>
      </x:c>
      <x:c r="R1" s="3"/>
    </x:row>
    <x:row r="2" spans="1:18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82" t="s">
        <x:v>134</x:v>
      </x:c>
      <x:c r="R2" s="6"/>
    </x:row>
    <x:row r="3" spans="1:18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4" spans="1:18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</x:row>
    <x:row r="5" spans="1:18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</x:row>
    <x:row r="6" spans="1:18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8"/>
      <x:c r="I6" s="6"/>
      <x:c r="J6" s="6"/>
      <x:c r="K6" s="6"/>
      <x:c r="L6" s="6"/>
      <x:c r="M6" s="6"/>
      <x:c r="N6" s="6"/>
      <x:c r="O6" s="6"/>
      <x:c r="P6" s="6"/>
      <x:c r="Q6" s="6"/>
      <x:c r="R6" s="6"/>
    </x:row>
    <x:row r="7" spans="1:18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8"/>
      <x:c r="I7" s="6"/>
      <x:c r="J7" s="6"/>
      <x:c r="K7" s="6"/>
      <x:c r="L7" s="6"/>
      <x:c r="M7" s="6"/>
      <x:c r="N7" s="6"/>
      <x:c r="O7" s="6"/>
      <x:c r="P7" s="6"/>
      <x:c r="Q7" s="6"/>
      <x:c r="R7" s="6"/>
    </x:row>
    <x:row r="8" spans="1:18" ht="15.5" x14ac:dyDescent="0.35">
      <x:c r="B8" s="4"/>
      <x:c r="C8" s="4"/>
      <x:c r="D8" s="4"/>
      <x:c r="E8" s="4"/>
      <x:c r="F8" s="4"/>
      <x:c r="G8" s="6"/>
      <x:c r="H8" s="6"/>
      <x:c r="I8" s="6"/>
      <x:c r="J8" s="6"/>
      <x:c r="K8" s="6"/>
      <x:c r="L8" s="6"/>
      <x:c r="M8" s="6"/>
      <x:c r="N8" s="6"/>
      <x:c r="O8" s="20"/>
      <x:c r="P8" s="20"/>
      <x:c r="Q8" s="20"/>
      <x:c r="R8" s="6"/>
    </x:row>
    <x:row r="9" spans="1:18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9"/>
      <x:c r="M9" s="9"/>
      <x:c r="N9" s="9"/>
      <x:c r="O9" s="42"/>
      <x:c r="P9" s="42"/>
      <x:c r="Q9" s="42"/>
      <x:c r="R9" s="9"/>
    </x:row>
    <x:row r="10" spans="1:18" ht="15.5" x14ac:dyDescent="0.35">
      <x:c r="B10" s="4"/>
      <x:c r="C10" s="4"/>
      <x:c r="D10" s="4"/>
      <x:c r="E10" s="4"/>
      <x:c r="F10" s="4"/>
      <x:c r="G10" s="6"/>
      <x:c r="H10" s="6"/>
      <x:c r="I10" s="6"/>
      <x:c r="J10" s="6"/>
      <x:c r="K10" s="6"/>
      <x:c r="L10" s="6"/>
      <x:c r="M10" s="6"/>
      <x:c r="N10" s="6"/>
      <x:c r="O10" s="20"/>
      <x:c r="P10" s="20"/>
      <x:c r="Q10" s="20"/>
      <x:c r="R10" s="6"/>
    </x:row>
    <x:row r="11" spans="1:18" ht="15.5" x14ac:dyDescent="0.35">
      <x:c r="B11" s="4"/>
      <x:c r="C11" s="102" t="s">
        <x:v>88</x:v>
      </x:c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3"/>
      <x:c r="P11" s="103"/>
      <x:c r="Q11" s="103"/>
      <x:c r="R11" s="6"/>
    </x:row>
    <x:row r="12" spans="1:18" ht="15.5" x14ac:dyDescent="0.35">
      <x:c r="A12" s="1"/>
      <x:c r="B12" s="1"/>
      <x:c r="C12" s="1"/>
      <x:c r="D12" s="1"/>
      <x:c r="E12" s="1"/>
      <x:c r="F12" s="1"/>
      <x:c r="G12" s="10" t="s">
        <x:v>86</x:v>
      </x:c>
      <x:c r="H12" s="3"/>
      <x:c r="I12" s="3"/>
      <x:c r="J12" s="10" t="s">
        <x:v>86</x:v>
      </x:c>
      <x:c r="K12" s="3"/>
      <x:c r="L12" s="3"/>
      <x:c r="M12" s="10" t="s">
        <x:v>86</x:v>
      </x:c>
      <x:c r="N12" s="3"/>
      <x:c r="O12" s="10" t="s">
        <x:v>86</x:v>
      </x:c>
      <x:c r="P12" s="3"/>
      <x:c r="Q12" s="10" t="s">
        <x:v>86</x:v>
      </x:c>
      <x:c r="R12" s="10"/>
    </x:row>
    <x:row r="13" spans="1:18" ht="15.5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46</x:v>
      </x:c>
      <x:c r="H13" s="12"/>
      <x:c r="I13" s="12"/>
      <x:c r="J13" s="12" t="s">
        <x:v>47</x:v>
      </x:c>
      <x:c r="K13" s="12"/>
      <x:c r="L13" s="12" t="s">
        <x:v>4</x:v>
      </x:c>
      <x:c r="M13" s="13" t="s">
        <x:v>50</x:v>
      </x:c>
      <x:c r="N13" s="14"/>
      <x:c r="O13" s="12" t="s">
        <x:v>40</x:v>
      </x:c>
      <x:c r="P13" s="14"/>
      <x:c r="Q13" s="12" t="s">
        <x:v>39</x:v>
      </x:c>
      <x:c r="R13" s="12"/>
    </x:row>
    <x:row r="14" spans="1:18" ht="15.5" x14ac:dyDescent="0.35">
      <x:c r="A14" s="1"/>
      <x:c r="B14" s="1"/>
      <x:c r="C14" s="1"/>
      <x:c r="D14" s="1"/>
      <x:c r="E14" s="1"/>
      <x:c r="F14" s="1"/>
      <x:c r="G14" s="16" t="s">
        <x:v>15</x:v>
      </x:c>
      <x:c r="H14" s="15"/>
      <x:c r="I14" s="15"/>
      <x:c r="J14" s="16" t="s">
        <x:v>18</x:v>
      </x:c>
      <x:c r="K14" s="15"/>
      <x:c r="L14" s="15"/>
      <x:c r="M14" s="16" t="s">
        <x:v>19</x:v>
      </x:c>
      <x:c r="N14" s="15"/>
      <x:c r="O14" s="16" t="s">
        <x:v>48</x:v>
      </x:c>
      <x:c r="P14" s="15"/>
      <x:c r="Q14" s="16" t="s">
        <x:v>49</x:v>
      </x:c>
      <x:c r="R14" s="14"/>
    </x:row>
    <x:row r="15" spans="1:18" ht="15.5" x14ac:dyDescent="0.35">
      <x:c r="A15" s="17"/>
      <x:c r="B15" s="1"/>
      <x:c r="C15" s="17"/>
      <x:c r="D15" s="1"/>
      <x:c r="E15" s="17"/>
      <x:c r="F15" s="1"/>
      <x:c r="G15" s="12"/>
      <x:c r="H15" s="3"/>
      <x:c r="I15" s="3"/>
      <x:c r="J15" s="3"/>
      <x:c r="K15" s="3"/>
      <x:c r="L15" s="3"/>
      <x:c r="M15" s="14"/>
      <x:c r="N15" s="3"/>
      <x:c r="O15" s="3"/>
      <x:c r="P15" s="3"/>
      <x:c r="Q15" s="3"/>
      <x:c r="R15" s="14"/>
    </x:row>
    <x:row r="16" spans="1:18" ht="15.5" x14ac:dyDescent="0.35">
      <x:c r="A16" s="39">
        <x:v>1</x:v>
      </x:c>
      <x:c r="B16" s="1"/>
      <x:c r="C16" s="62">
        <x:f>+'Weather Adjustment'!C16</x:f>
        <x:v>2024</x:v>
      </x:c>
      <x:c r="D16" s="1"/>
      <x:c r="E16" s="19">
        <x:f>+'Weather Adjustment'!E16</x:f>
        <x:v>1</x:v>
      </x:c>
      <x:c r="F16" s="1"/>
      <x:c r="G16" s="20">
        <x:f>+'[1]GS SEC LRG IDR '!I16</x:f>
        <x:v>1492735008</x:v>
      </x:c>
      <x:c r="H16" s="3"/>
      <x:c r="I16" s="20"/>
      <x:c r="J16" s="20">
        <x:f>+'[1]GS SEC LRG NONIDR'!I16</x:f>
        <x:v>2084514076</x:v>
      </x:c>
      <x:c r="K16" s="20"/>
      <x:c r="L16" s="20" t="e">
        <x:f>SUM(#REF!,J16)</x:f>
        <x:v>#REF!</x:v>
      </x:c>
      <x:c r="M16" s="20">
        <x:f t="shared" ref="M16:M27" si="0">SUM(G16,J16)</x:f>
        <x:v>3577249084</x:v>
      </x:c>
      <x:c r="N16" s="20"/>
      <x:c r="O16" s="43">
        <x:f t="shared" ref="O16:O27" si="1">+G16/M16</x:f>
        <x:v>0.41728573351980763</x:v>
      </x:c>
      <x:c r="P16" s="20"/>
      <x:c r="Q16" s="43">
        <x:f t="shared" ref="Q16:Q27" si="2">+J16/M16</x:f>
        <x:v>0.58271426648019231</x:v>
      </x:c>
      <x:c r="R16" s="20"/>
    </x:row>
    <x:row r="17" spans="1:18" ht="15.5" x14ac:dyDescent="0.35">
      <x:c r="A17" s="39">
        <x:f>+A16+1</x:f>
        <x:v>2</x:v>
      </x:c>
      <x:c r="B17" s="1"/>
      <x:c r="C17" s="62">
        <x:f>+'Weather Adjustment'!C17</x:f>
        <x:v>2024</x:v>
      </x:c>
      <x:c r="D17" s="1"/>
      <x:c r="E17" s="19">
        <x:f>+'Weather Adjustment'!E17</x:f>
        <x:v>2</x:v>
      </x:c>
      <x:c r="F17" s="1"/>
      <x:c r="G17" s="20">
        <x:f>+'[1]GS SEC LRG IDR '!I18</x:f>
        <x:v>1506024424</x:v>
      </x:c>
      <x:c r="H17" s="3"/>
      <x:c r="I17" s="20"/>
      <x:c r="J17" s="20">
        <x:f>+'[1]GS SEC LRG NONIDR'!I18</x:f>
        <x:v>2208290507</x:v>
      </x:c>
      <x:c r="K17" s="20"/>
      <x:c r="L17" s="20" t="e">
        <x:f>SUM(#REF!,J17)</x:f>
        <x:v>#REF!</x:v>
      </x:c>
      <x:c r="M17" s="20">
        <x:f t="shared" si="0"/>
        <x:v>3714314931</x:v>
      </x:c>
      <x:c r="N17" s="20"/>
      <x:c r="O17" s="43">
        <x:f t="shared" si="1"/>
        <x:v>0.40546492475115326</x:v>
      </x:c>
      <x:c r="P17" s="20"/>
      <x:c r="Q17" s="43">
        <x:f t="shared" si="2"/>
        <x:v>0.59453507524884674</x:v>
      </x:c>
      <x:c r="R17" s="20"/>
    </x:row>
    <x:row r="18" spans="1:18" ht="15.5" x14ac:dyDescent="0.35">
      <x:c r="A18" s="39">
        <x:f t="shared" ref="A18:A46" si="3">+A17+1</x:f>
        <x:v>3</x:v>
      </x:c>
      <x:c r="B18" s="1"/>
      <x:c r="C18" s="62">
        <x:f>+'Weather Adjustment'!C18</x:f>
        <x:v>2024</x:v>
      </x:c>
      <x:c r="D18" s="1"/>
      <x:c r="E18" s="19">
        <x:f>+'Weather Adjustment'!E18</x:f>
        <x:v>3</x:v>
      </x:c>
      <x:c r="F18" s="1"/>
      <x:c r="G18" s="20">
        <x:f>+'[1]GS SEC LRG IDR '!I20</x:f>
        <x:v>1491444468</x:v>
      </x:c>
      <x:c r="H18" s="3"/>
      <x:c r="I18" s="20"/>
      <x:c r="J18" s="20">
        <x:f>+'[1]GS SEC LRG NONIDR'!I20</x:f>
        <x:v>2004090589</x:v>
      </x:c>
      <x:c r="K18" s="20"/>
      <x:c r="L18" s="20" t="e">
        <x:f>SUM(#REF!,J18)</x:f>
        <x:v>#REF!</x:v>
      </x:c>
      <x:c r="M18" s="20">
        <x:f t="shared" si="0"/>
        <x:v>3495535057</x:v>
      </x:c>
      <x:c r="N18" s="20"/>
      <x:c r="O18" s="43">
        <x:f t="shared" si="1"/>
        <x:v>0.42667129457428871</x:v>
      </x:c>
      <x:c r="P18" s="20"/>
      <x:c r="Q18" s="43">
        <x:f t="shared" si="2"/>
        <x:v>0.57332870542571135</x:v>
      </x:c>
      <x:c r="R18" s="20"/>
    </x:row>
    <x:row r="19" spans="1:18" ht="15.5" x14ac:dyDescent="0.35">
      <x:c r="A19" s="39">
        <x:f t="shared" si="3"/>
        <x:v>4</x:v>
      </x:c>
      <x:c r="B19" s="1"/>
      <x:c r="C19" s="62">
        <x:f>+'Weather Adjustment'!C19</x:f>
        <x:v>2024</x:v>
      </x:c>
      <x:c r="D19" s="1"/>
      <x:c r="E19" s="19">
        <x:f>+'Weather Adjustment'!E19</x:f>
        <x:v>4</x:v>
      </x:c>
      <x:c r="F19" s="1"/>
      <x:c r="G19" s="20">
        <x:f>+'[1]GS SEC LRG IDR '!I22</x:f>
        <x:v>1515063060</x:v>
      </x:c>
      <x:c r="H19" s="3"/>
      <x:c r="I19" s="20"/>
      <x:c r="J19" s="20">
        <x:f>+'[1]GS SEC LRG NONIDR'!I22</x:f>
        <x:v>1995516212</x:v>
      </x:c>
      <x:c r="K19" s="20"/>
      <x:c r="L19" s="20" t="e">
        <x:f>SUM(#REF!,J19)</x:f>
        <x:v>#REF!</x:v>
      </x:c>
      <x:c r="M19" s="20">
        <x:f t="shared" si="0"/>
        <x:v>3510579272</x:v>
      </x:c>
      <x:c r="N19" s="20"/>
      <x:c r="O19" s="43">
        <x:f t="shared" si="1"/>
        <x:v>0.43157067327434501</x:v>
      </x:c>
      <x:c r="P19" s="20"/>
      <x:c r="Q19" s="43">
        <x:f t="shared" si="2"/>
        <x:v>0.56842932672565494</x:v>
      </x:c>
      <x:c r="R19" s="20"/>
    </x:row>
    <x:row r="20" spans="1:18" ht="15.5" x14ac:dyDescent="0.35">
      <x:c r="A20" s="39">
        <x:f t="shared" si="3"/>
        <x:v>5</x:v>
      </x:c>
      <x:c r="B20" s="1"/>
      <x:c r="C20" s="62">
        <x:f>+'Weather Adjustment'!C20</x:f>
        <x:v>2024</x:v>
      </x:c>
      <x:c r="D20" s="1"/>
      <x:c r="E20" s="19">
        <x:f>+'Weather Adjustment'!E20</x:f>
        <x:v>5</x:v>
      </x:c>
      <x:c r="F20" s="1"/>
      <x:c r="G20" s="20">
        <x:f>+'[1]GS SEC LRG IDR '!I24</x:f>
        <x:v>1513871427</x:v>
      </x:c>
      <x:c r="H20" s="3"/>
      <x:c r="I20" s="20"/>
      <x:c r="J20" s="20">
        <x:f>+'[1]GS SEC LRG NONIDR'!I24</x:f>
        <x:v>2122032481</x:v>
      </x:c>
      <x:c r="K20" s="20"/>
      <x:c r="L20" s="20" t="e">
        <x:f>SUM(#REF!,J20)</x:f>
        <x:v>#REF!</x:v>
      </x:c>
      <x:c r="M20" s="20">
        <x:f t="shared" si="0"/>
        <x:v>3635903908</x:v>
      </x:c>
      <x:c r="N20" s="20"/>
      <x:c r="O20" s="43">
        <x:f t="shared" si="1"/>
        <x:v>0.41636728178350968</x:v>
      </x:c>
      <x:c r="P20" s="20"/>
      <x:c r="Q20" s="43">
        <x:f t="shared" si="2"/>
        <x:v>0.58363271821649032</x:v>
      </x:c>
      <x:c r="R20" s="20"/>
    </x:row>
    <x:row r="21" spans="1:18" ht="15.5" x14ac:dyDescent="0.35">
      <x:c r="A21" s="39">
        <x:f t="shared" si="3"/>
        <x:v>6</x:v>
      </x:c>
      <x:c r="B21" s="1"/>
      <x:c r="C21" s="62">
        <x:f>+'Weather Adjustment'!C21</x:f>
        <x:v>2024</x:v>
      </x:c>
      <x:c r="D21" s="1"/>
      <x:c r="E21" s="19">
        <x:f>+'Weather Adjustment'!E21</x:f>
        <x:v>6</x:v>
      </x:c>
      <x:c r="F21" s="1"/>
      <x:c r="G21" s="20">
        <x:f>+'[1]GS SEC LRG IDR '!I26</x:f>
        <x:v>1679481052</x:v>
      </x:c>
      <x:c r="H21" s="3"/>
      <x:c r="I21" s="20"/>
      <x:c r="J21" s="20">
        <x:f>+'[1]GS SEC LRG NONIDR'!I26</x:f>
        <x:v>2537541941</x:v>
      </x:c>
      <x:c r="K21" s="20"/>
      <x:c r="L21" s="20" t="e">
        <x:f>SUM(#REF!,J21)</x:f>
        <x:v>#REF!</x:v>
      </x:c>
      <x:c r="M21" s="20">
        <x:f t="shared" si="0"/>
        <x:v>4217022993</x:v>
      </x:c>
      <x:c r="N21" s="20"/>
      <x:c r="O21" s="43">
        <x:f t="shared" si="1"/>
        <x:v>0.39826224680013261</x:v>
      </x:c>
      <x:c r="P21" s="20"/>
      <x:c r="Q21" s="43">
        <x:f t="shared" si="2"/>
        <x:v>0.60173775319986733</x:v>
      </x:c>
      <x:c r="R21" s="20"/>
    </x:row>
    <x:row r="22" spans="1:18" ht="15.5" x14ac:dyDescent="0.35">
      <x:c r="A22" s="39">
        <x:f t="shared" si="3"/>
        <x:v>7</x:v>
      </x:c>
      <x:c r="B22" s="1"/>
      <x:c r="C22" s="62">
        <x:f>+'Weather Adjustment'!C22</x:f>
        <x:v>2024</x:v>
      </x:c>
      <x:c r="D22" s="1"/>
      <x:c r="E22" s="19">
        <x:f>+'Weather Adjustment'!E22</x:f>
        <x:v>7</x:v>
      </x:c>
      <x:c r="F22" s="1"/>
      <x:c r="G22" s="20">
        <x:f>+'[1]GS SEC LRG IDR '!I28</x:f>
        <x:v>1798253867</x:v>
      </x:c>
      <x:c r="H22" s="3"/>
      <x:c r="I22" s="20"/>
      <x:c r="J22" s="20">
        <x:f>+'[1]GS SEC LRG NONIDR'!I28</x:f>
        <x:v>2919070528</x:v>
      </x:c>
      <x:c r="K22" s="20"/>
      <x:c r="L22" s="20" t="e">
        <x:f>SUM(#REF!,J22)</x:f>
        <x:v>#REF!</x:v>
      </x:c>
      <x:c r="M22" s="20">
        <x:f t="shared" si="0"/>
        <x:v>4717324395</x:v>
      </x:c>
      <x:c r="N22" s="20"/>
      <x:c r="O22" s="43">
        <x:f t="shared" si="1"/>
        <x:v>0.38120207906541481</x:v>
      </x:c>
      <x:c r="P22" s="20"/>
      <x:c r="Q22" s="43">
        <x:f t="shared" si="2"/>
        <x:v>0.61879792093458519</x:v>
      </x:c>
      <x:c r="R22" s="20"/>
    </x:row>
    <x:row r="23" spans="1:18" ht="15.5" x14ac:dyDescent="0.35">
      <x:c r="A23" s="39">
        <x:f t="shared" si="3"/>
        <x:v>8</x:v>
      </x:c>
      <x:c r="B23" s="1"/>
      <x:c r="C23" s="62">
        <x:f>+'Weather Adjustment'!C23</x:f>
        <x:v>2024</x:v>
      </x:c>
      <x:c r="D23" s="1"/>
      <x:c r="E23" s="19">
        <x:f>+'Weather Adjustment'!E23</x:f>
        <x:v>8</x:v>
      </x:c>
      <x:c r="F23" s="1"/>
      <x:c r="G23" s="20">
        <x:f>+'[1]GS SEC LRG IDR '!I30</x:f>
        <x:v>1786784772</x:v>
      </x:c>
      <x:c r="H23" s="3"/>
      <x:c r="I23" s="20"/>
      <x:c r="J23" s="20">
        <x:f>+'[1]GS SEC LRG NONIDR'!I30</x:f>
        <x:v>2909968515</x:v>
      </x:c>
      <x:c r="K23" s="20"/>
      <x:c r="L23" s="20" t="e">
        <x:f>SUM(#REF!,J23)</x:f>
        <x:v>#REF!</x:v>
      </x:c>
      <x:c r="M23" s="20">
        <x:f t="shared" si="0"/>
        <x:v>4696753287</x:v>
      </x:c>
      <x:c r="N23" s="20"/>
      <x:c r="O23" s="43">
        <x:f t="shared" si="1"/>
        <x:v>0.38042976984666982</x:v>
      </x:c>
      <x:c r="P23" s="20"/>
      <x:c r="Q23" s="43">
        <x:f t="shared" si="2"/>
        <x:v>0.61957023015333013</x:v>
      </x:c>
      <x:c r="R23" s="20"/>
    </x:row>
    <x:row r="24" spans="1:18" ht="15.5" x14ac:dyDescent="0.35">
      <x:c r="A24" s="39">
        <x:f t="shared" si="3"/>
        <x:v>9</x:v>
      </x:c>
      <x:c r="B24" s="1"/>
      <x:c r="C24" s="62">
        <x:f>+'Weather Adjustment'!C24</x:f>
        <x:v>2024</x:v>
      </x:c>
      <x:c r="D24" s="1"/>
      <x:c r="E24" s="19">
        <x:f>+'Weather Adjustment'!E24</x:f>
        <x:v>9</x:v>
      </x:c>
      <x:c r="F24" s="1"/>
      <x:c r="G24" s="20">
        <x:f>+'[1]GS SEC LRG IDR '!I32</x:f>
        <x:v>1839584015</x:v>
      </x:c>
      <x:c r="H24" s="3"/>
      <x:c r="I24" s="20"/>
      <x:c r="J24" s="20">
        <x:f>+'[1]GS SEC LRG NONIDR'!I32</x:f>
        <x:v>3003691540</x:v>
      </x:c>
      <x:c r="K24" s="20"/>
      <x:c r="L24" s="20" t="e">
        <x:f>SUM(#REF!,J24)</x:f>
        <x:v>#REF!</x:v>
      </x:c>
      <x:c r="M24" s="20">
        <x:f t="shared" si="0"/>
        <x:v>4843275555</x:v>
      </x:c>
      <x:c r="N24" s="20"/>
      <x:c r="O24" s="43">
        <x:f t="shared" si="1"/>
        <x:v>0.37982229053659533</x:v>
      </x:c>
      <x:c r="P24" s="20"/>
      <x:c r="Q24" s="43">
        <x:f t="shared" si="2"/>
        <x:v>0.62017770946340467</x:v>
      </x:c>
      <x:c r="R24" s="20"/>
    </x:row>
    <x:row r="25" spans="1:18" ht="15.5" x14ac:dyDescent="0.35">
      <x:c r="A25" s="39">
        <x:f t="shared" si="3"/>
        <x:v>10</x:v>
      </x:c>
      <x:c r="B25" s="1"/>
      <x:c r="C25" s="62">
        <x:f>+'Weather Adjustment'!C25</x:f>
        <x:v>2024</x:v>
      </x:c>
      <x:c r="D25" s="1"/>
      <x:c r="E25" s="19">
        <x:f>+'Weather Adjustment'!E25</x:f>
        <x:v>10</x:v>
      </x:c>
      <x:c r="F25" s="1"/>
      <x:c r="G25" s="20">
        <x:f>+'[1]GS SEC LRG IDR '!I34</x:f>
        <x:v>1691268577</x:v>
      </x:c>
      <x:c r="H25" s="3"/>
      <x:c r="I25" s="20"/>
      <x:c r="J25" s="20">
        <x:f>+'[1]GS SEC LRG NONIDR'!I34</x:f>
        <x:v>2548274691</x:v>
      </x:c>
      <x:c r="K25" s="20"/>
      <x:c r="L25" s="20" t="e">
        <x:f>SUM(#REF!,J25)</x:f>
        <x:v>#REF!</x:v>
      </x:c>
      <x:c r="M25" s="20">
        <x:f t="shared" si="0"/>
        <x:v>4239543268</x:v>
      </x:c>
      <x:c r="N25" s="20"/>
      <x:c r="O25" s="43">
        <x:f t="shared" si="1"/>
        <x:v>0.39892707069784289</x:v>
      </x:c>
      <x:c r="P25" s="20"/>
      <x:c r="Q25" s="43">
        <x:f t="shared" si="2"/>
        <x:v>0.60107292930215706</x:v>
      </x:c>
      <x:c r="R25" s="20"/>
    </x:row>
    <x:row r="26" spans="1:18" ht="15.5" x14ac:dyDescent="0.35">
      <x:c r="A26" s="39">
        <x:f t="shared" si="3"/>
        <x:v>11</x:v>
      </x:c>
      <x:c r="B26" s="1"/>
      <x:c r="C26" s="62">
        <x:f>+'Weather Adjustment'!C26</x:f>
        <x:v>2024</x:v>
      </x:c>
      <x:c r="D26" s="1"/>
      <x:c r="E26" s="19">
        <x:f>+'Weather Adjustment'!E26</x:f>
        <x:v>11</x:v>
      </x:c>
      <x:c r="F26" s="1"/>
      <x:c r="G26" s="20">
        <x:f>+'[1]GS SEC LRG IDR '!I36</x:f>
        <x:v>1606937303</x:v>
      </x:c>
      <x:c r="H26" s="3"/>
      <x:c r="I26" s="20"/>
      <x:c r="J26" s="20">
        <x:f>+'[1]GS SEC LRG NONIDR'!I36</x:f>
        <x:v>2277436942</x:v>
      </x:c>
      <x:c r="K26" s="20"/>
      <x:c r="L26" s="20" t="e">
        <x:f>SUM(#REF!,J26)</x:f>
        <x:v>#REF!</x:v>
      </x:c>
      <x:c r="M26" s="20">
        <x:f t="shared" si="0"/>
        <x:v>3884374245</x:v>
      </x:c>
      <x:c r="N26" s="20"/>
      <x:c r="O26" s="43">
        <x:f t="shared" si="1"/>
        <x:v>0.41369270869521996</x:v>
      </x:c>
      <x:c r="P26" s="20"/>
      <x:c r="Q26" s="43">
        <x:f t="shared" si="2"/>
        <x:v>0.58630729130477999</x:v>
      </x:c>
      <x:c r="R26" s="20"/>
    </x:row>
    <x:row r="27" spans="1:18" ht="15.5" x14ac:dyDescent="0.35">
      <x:c r="A27" s="39">
        <x:f t="shared" si="3"/>
        <x:v>12</x:v>
      </x:c>
      <x:c r="B27" s="1"/>
      <x:c r="C27" s="62">
        <x:f>+'Weather Adjustment'!C27</x:f>
        <x:v>2024</x:v>
      </x:c>
      <x:c r="D27" s="1"/>
      <x:c r="E27" s="19">
        <x:f>+'Weather Adjustment'!E27</x:f>
        <x:v>12</x:v>
      </x:c>
      <x:c r="F27" s="1"/>
      <x:c r="G27" s="20">
        <x:f>+'[1]GS SEC LRG IDR '!I38</x:f>
        <x:v>1488553066</x:v>
      </x:c>
      <x:c r="H27" s="3"/>
      <x:c r="I27" s="20"/>
      <x:c r="J27" s="20">
        <x:f>+'[1]GS SEC LRG NONIDR'!I38</x:f>
        <x:v>1963848362</x:v>
      </x:c>
      <x:c r="K27" s="59"/>
      <x:c r="L27" s="59" t="e">
        <x:f>SUM(#REF!,J27)</x:f>
        <x:v>#REF!</x:v>
      </x:c>
      <x:c r="M27" s="59">
        <x:f t="shared" si="0"/>
        <x:v>3452401428</x:v>
      </x:c>
      <x:c r="N27" s="69"/>
      <x:c r="O27" s="66">
        <x:f t="shared" si="1"/>
        <x:v>0.4311645377989341</x:v>
      </x:c>
      <x:c r="P27" s="69"/>
      <x:c r="Q27" s="66">
        <x:f t="shared" si="2"/>
        <x:v>0.56883546220106596</x:v>
      </x:c>
      <x:c r="R27" s="59"/>
    </x:row>
    <x:row r="28" spans="1:18" ht="15.5" x14ac:dyDescent="0.35">
      <x:c r="A28" s="39">
        <x:f t="shared" si="3"/>
        <x:v>13</x:v>
      </x:c>
      <x:c r="B28" s="1"/>
      <x:c r="C28" s="1" t="s">
        <x:v>8</x:v>
      </x:c>
      <x:c r="D28" s="1"/>
      <x:c r="E28" s="1"/>
      <x:c r="F28" s="1"/>
      <x:c r="G28" s="76">
        <x:f>SUM(G16:G27)</x:f>
        <x:v>19410001039</x:v>
      </x:c>
      <x:c r="H28" s="76"/>
      <x:c r="I28" s="76"/>
      <x:c r="J28" s="76">
        <x:f>SUM(J16:J27)</x:f>
        <x:v>28574276384</x:v>
      </x:c>
      <x:c r="K28" s="76"/>
      <x:c r="L28" s="76" t="e">
        <x:f>SUM(L22:L27)</x:f>
        <x:v>#REF!</x:v>
      </x:c>
      <x:c r="M28" s="76">
        <x:f>SUM(M16:M27)</x:f>
        <x:v>47984277423</x:v>
      </x:c>
      <x:c r="N28" s="14"/>
      <x:c r="O28" s="14"/>
      <x:c r="P28" s="14"/>
      <x:c r="Q28" s="14"/>
      <x:c r="R28" s="14"/>
    </x:row>
    <x:row r="29" spans="1:18" ht="15.5" x14ac:dyDescent="0.35">
      <x:c r="A29" s="39">
        <x:f t="shared" si="3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spans="1:18" ht="15.5" x14ac:dyDescent="0.35">
      <x:c r="A30" s="39">
        <x:f t="shared" si="3"/>
        <x:v>15</x:v>
      </x:c>
      <x:c r="B30" s="1"/>
      <x:c r="C30" s="1"/>
      <x:c r="D30" s="1"/>
      <x:c r="E30" s="1"/>
      <x:c r="F30" s="1"/>
      <x:c r="G30" s="10" t="s">
        <x:v>86</x:v>
      </x:c>
      <x:c r="H30" s="3"/>
      <x:c r="I30" s="3"/>
      <x:c r="J30" s="10" t="s">
        <x:v>86</x:v>
      </x:c>
      <x:c r="K30" s="3"/>
      <x:c r="L30" s="3"/>
      <x:c r="M30" s="10" t="s">
        <x:v>86</x:v>
      </x:c>
      <x:c r="N30" s="3"/>
      <x:c r="O30" s="3"/>
      <x:c r="P30" s="3"/>
      <x:c r="Q30" s="3"/>
      <x:c r="R30" s="6"/>
    </x:row>
    <x:row r="31" spans="1:18" ht="15.5" x14ac:dyDescent="0.35">
      <x:c r="A31" s="39">
        <x:f t="shared" si="3"/>
        <x:v>16</x:v>
      </x:c>
      <x:c r="B31" s="11"/>
      <x:c r="C31" s="11" t="s">
        <x:v>1</x:v>
      </x:c>
      <x:c r="D31" s="11"/>
      <x:c r="E31" s="11" t="s">
        <x:v>2</x:v>
      </x:c>
      <x:c r="F31" s="1"/>
      <x:c r="G31" s="12" t="s">
        <x:v>90</x:v>
      </x:c>
      <x:c r="H31" s="12"/>
      <x:c r="I31" s="12"/>
      <x:c r="J31" s="12" t="s">
        <x:v>52</x:v>
      </x:c>
      <x:c r="K31" s="12"/>
      <x:c r="L31" s="12" t="s">
        <x:v>4</x:v>
      </x:c>
      <x:c r="M31" s="12" t="s">
        <x:v>53</x:v>
      </x:c>
      <x:c r="N31" s="14"/>
      <x:c r="O31" s="14"/>
      <x:c r="P31" s="14"/>
      <x:c r="Q31" s="14"/>
      <x:c r="R31" s="12"/>
    </x:row>
    <x:row r="32" spans="1:18" ht="15.5" x14ac:dyDescent="0.35">
      <x:c r="A32" s="39">
        <x:f t="shared" si="3"/>
        <x:v>17</x:v>
      </x:c>
      <x:c r="B32" s="1"/>
      <x:c r="C32" s="1"/>
      <x:c r="D32" s="1"/>
      <x:c r="E32" s="1"/>
      <x:c r="F32" s="1"/>
      <x:c r="G32" s="16" t="s">
        <x:v>26</x:v>
      </x:c>
      <x:c r="H32" s="15"/>
      <x:c r="I32" s="15"/>
      <x:c r="J32" s="16" t="s">
        <x:v>89</x:v>
      </x:c>
      <x:c r="K32" s="15"/>
      <x:c r="L32" s="15"/>
      <x:c r="M32" s="16" t="s">
        <x:v>118</x:v>
      </x:c>
      <x:c r="N32" s="14"/>
      <x:c r="O32" s="12"/>
      <x:c r="P32" s="14"/>
      <x:c r="Q32" s="12"/>
      <x:c r="R32" s="14"/>
    </x:row>
    <x:row r="33" spans="1:18" ht="15.5" x14ac:dyDescent="0.35">
      <x:c r="A33" s="39">
        <x:f t="shared" si="3"/>
        <x:v>18</x:v>
      </x:c>
      <x:c r="B33" s="1"/>
      <x:c r="C33" s="1"/>
      <x:c r="D33" s="1"/>
      <x:c r="E33" s="1"/>
      <x:c r="F33" s="1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spans="1:18" ht="15.5" x14ac:dyDescent="0.35">
      <x:c r="A34" s="39">
        <x:f t="shared" si="3"/>
        <x:v>19</x:v>
      </x:c>
      <x:c r="B34" s="1"/>
      <x:c r="C34" s="18">
        <x:f t="shared" ref="C34:C45" si="4">+C16</x:f>
        <x:v>2024</x:v>
      </x:c>
      <x:c r="D34" s="1"/>
      <x:c r="E34" s="19">
        <x:f>+E16</x:f>
        <x:v>1</x:v>
      </x:c>
      <x:c r="G34" s="27">
        <x:f>+SecGT10!W52</x:f>
        <x:v>43625.241010932179</x:v>
      </x:c>
      <x:c r="H34" s="27"/>
      <x:c r="I34" s="27"/>
      <x:c r="J34" s="27">
        <x:f>+G34*O16</x:f>
        <x:v>18204.190695225228</x:v>
      </x:c>
      <x:c r="K34" s="27"/>
      <x:c r="L34" s="29"/>
      <x:c r="M34" s="20">
        <x:f>+G34-J34</x:f>
        <x:v>25421.050315706951</x:v>
      </x:c>
      <x:c r="N34" s="28"/>
      <x:c r="O34" s="20"/>
      <x:c r="P34" s="20"/>
      <x:c r="Q34" s="20"/>
      <x:c r="R34" s="28"/>
    </x:row>
    <x:row r="35" spans="1:18" ht="15.5" x14ac:dyDescent="0.35">
      <x:c r="A35" s="39">
        <x:f t="shared" si="3"/>
        <x:v>20</x:v>
      </x:c>
      <x:c r="B35" s="1"/>
      <x:c r="C35" s="18">
        <x:f t="shared" si="4"/>
        <x:v>2024</x:v>
      </x:c>
      <x:c r="D35" s="1"/>
      <x:c r="E35" s="19">
        <x:f t="shared" ref="E35:E45" si="5">+E17</x:f>
        <x:v>2</x:v>
      </x:c>
      <x:c r="G35" s="27">
        <x:f>+SecGT10!W53</x:f>
        <x:v>-42295.004146635438</x:v>
      </x:c>
      <x:c r="H35" s="27"/>
      <x:c r="I35" s="27"/>
      <x:c r="J35" s="27">
        <x:f t="shared" ref="J35:J45" si="6">+G35*O17</x:f>
        <x:v>-17149.140673665253</x:v>
      </x:c>
      <x:c r="K35" s="27"/>
      <x:c r="L35" s="29"/>
      <x:c r="M35" s="20">
        <x:f t="shared" ref="M35:M45" si="7">+G35-J35</x:f>
        <x:v>-25145.863472970184</x:v>
      </x:c>
      <x:c r="N35" s="28"/>
      <x:c r="O35" s="20"/>
      <x:c r="P35" s="20"/>
      <x:c r="Q35" s="20"/>
      <x:c r="R35" s="28"/>
    </x:row>
    <x:row r="36" spans="1:18" ht="15.5" x14ac:dyDescent="0.35">
      <x:c r="A36" s="39">
        <x:f t="shared" si="3"/>
        <x:v>21</x:v>
      </x:c>
      <x:c r="B36" s="1"/>
      <x:c r="C36" s="18">
        <x:f t="shared" si="4"/>
        <x:v>2024</x:v>
      </x:c>
      <x:c r="D36" s="1"/>
      <x:c r="E36" s="19">
        <x:f t="shared" si="5"/>
        <x:v>3</x:v>
      </x:c>
      <x:c r="G36" s="27">
        <x:f>+SecGT10!W54</x:f>
        <x:v>48619.059218025293</x:v>
      </x:c>
      <x:c r="H36" s="27"/>
      <x:c r="I36" s="27"/>
      <x:c r="J36" s="27">
        <x:f t="shared" si="6"/>
        <x:v>20744.356937538858</x:v>
      </x:c>
      <x:c r="K36" s="27"/>
      <x:c r="L36" s="29"/>
      <x:c r="M36" s="20">
        <x:f t="shared" si="7"/>
        <x:v>27874.702280486435</x:v>
      </x:c>
      <x:c r="N36" s="28"/>
      <x:c r="O36" s="20"/>
      <x:c r="P36" s="20"/>
      <x:c r="Q36" s="20"/>
      <x:c r="R36" s="28"/>
    </x:row>
    <x:row r="37" spans="1:18" ht="15.5" x14ac:dyDescent="0.35">
      <x:c r="A37" s="39">
        <x:f t="shared" si="3"/>
        <x:v>22</x:v>
      </x:c>
      <x:c r="B37" s="1"/>
      <x:c r="C37" s="18">
        <x:f t="shared" si="4"/>
        <x:v>2024</x:v>
      </x:c>
      <x:c r="D37" s="1"/>
      <x:c r="E37" s="19">
        <x:f t="shared" si="5"/>
        <x:v>4</x:v>
      </x:c>
      <x:c r="G37" s="27">
        <x:f>+SecGT10!W55</x:f>
        <x:v>24939.125757342128</x:v>
      </x:c>
      <x:c r="H37" s="27"/>
      <x:c r="I37" s="27"/>
      <x:c r="J37" s="27">
        <x:f t="shared" si="6"/>
        <x:v>10762.995293969701</x:v>
      </x:c>
      <x:c r="K37" s="27"/>
      <x:c r="L37" s="29"/>
      <x:c r="M37" s="20">
        <x:f t="shared" si="7"/>
        <x:v>14176.130463372427</x:v>
      </x:c>
      <x:c r="N37" s="28"/>
      <x:c r="O37" s="20"/>
      <x:c r="P37" s="20"/>
      <x:c r="Q37" s="20"/>
      <x:c r="R37" s="28"/>
    </x:row>
    <x:row r="38" spans="1:18" ht="15.5" x14ac:dyDescent="0.35">
      <x:c r="A38" s="39">
        <x:f t="shared" si="3"/>
        <x:v>23</x:v>
      </x:c>
      <x:c r="B38" s="1"/>
      <x:c r="C38" s="18">
        <x:f t="shared" si="4"/>
        <x:v>2024</x:v>
      </x:c>
      <x:c r="D38" s="1"/>
      <x:c r="E38" s="19">
        <x:f t="shared" si="5"/>
        <x:v>5</x:v>
      </x:c>
      <x:c r="G38" s="27">
        <x:f>+SecGT10!W56</x:f>
        <x:v>-58632.600363430211</x:v>
      </x:c>
      <x:c r="H38" s="27"/>
      <x:c r="I38" s="27"/>
      <x:c r="J38" s="27">
        <x:f t="shared" si="6"/>
        <x:v>-24412.69643722026</x:v>
      </x:c>
      <x:c r="K38" s="27"/>
      <x:c r="L38" s="29"/>
      <x:c r="M38" s="20">
        <x:f t="shared" si="7"/>
        <x:v>-34219.903926209954</x:v>
      </x:c>
      <x:c r="N38" s="28"/>
      <x:c r="O38" s="20"/>
      <x:c r="P38" s="20"/>
      <x:c r="Q38" s="20"/>
      <x:c r="R38" s="28"/>
    </x:row>
    <x:row r="39" spans="1:18" ht="15.5" x14ac:dyDescent="0.35">
      <x:c r="A39" s="39">
        <x:f t="shared" si="3"/>
        <x:v>24</x:v>
      </x:c>
      <x:c r="B39" s="1"/>
      <x:c r="C39" s="18">
        <x:f t="shared" si="4"/>
        <x:v>2024</x:v>
      </x:c>
      <x:c r="D39" s="1"/>
      <x:c r="E39" s="19">
        <x:f t="shared" si="5"/>
        <x:v>6</x:v>
      </x:c>
      <x:c r="G39" s="27">
        <x:f>+SecGT10!W57</x:f>
        <x:v>-70716.743008158301</x:v>
      </x:c>
      <x:c r="H39" s="30"/>
      <x:c r="I39" s="30"/>
      <x:c r="J39" s="27">
        <x:f>+G39*O21</x:f>
        <x:v>-28163.808956816694</x:v>
      </x:c>
      <x:c r="K39" s="30"/>
      <x:c r="L39" s="45"/>
      <x:c r="M39" s="20">
        <x:f t="shared" si="7"/>
        <x:v>-42552.93405134161</x:v>
      </x:c>
      <x:c r="N39" s="51"/>
      <x:c r="O39" s="20"/>
      <x:c r="P39" s="20"/>
      <x:c r="Q39" s="20"/>
      <x:c r="R39" s="28"/>
    </x:row>
    <x:row r="40" spans="1:18" ht="15.5" x14ac:dyDescent="0.35">
      <x:c r="A40" s="39">
        <x:f t="shared" si="3"/>
        <x:v>25</x:v>
      </x:c>
      <x:c r="B40" s="1"/>
      <x:c r="C40" s="18">
        <x:f t="shared" si="4"/>
        <x:v>2024</x:v>
      </x:c>
      <x:c r="D40" s="1"/>
      <x:c r="E40" s="19">
        <x:f t="shared" si="5"/>
        <x:v>7</x:v>
      </x:c>
      <x:c r="F40" s="23"/>
      <x:c r="G40" s="27">
        <x:f>+SecGT10!W58</x:f>
        <x:v>-94723.445292307559</x:v>
      </x:c>
      <x:c r="H40" s="28"/>
      <x:c r="I40" s="28"/>
      <x:c r="J40" s="27">
        <x:f t="shared" si="6"/>
        <x:v>-36108.774281666723</x:v>
      </x:c>
      <x:c r="K40" s="3"/>
      <x:c r="L40" s="3"/>
      <x:c r="M40" s="20">
        <x:f t="shared" si="7"/>
        <x:v>-58614.671010640835</x:v>
      </x:c>
      <x:c r="N40" s="3"/>
      <x:c r="O40" s="20"/>
      <x:c r="P40" s="20"/>
      <x:c r="Q40" s="20"/>
      <x:c r="R40" s="3"/>
    </x:row>
    <x:row r="41" spans="1:18" ht="15.5" x14ac:dyDescent="0.35">
      <x:c r="A41" s="39">
        <x:f t="shared" si="3"/>
        <x:v>26</x:v>
      </x:c>
      <x:c r="B41" s="1"/>
      <x:c r="C41" s="18">
        <x:f t="shared" si="4"/>
        <x:v>2024</x:v>
      </x:c>
      <x:c r="D41" s="1"/>
      <x:c r="E41" s="19">
        <x:f t="shared" si="5"/>
        <x:v>8</x:v>
      </x:c>
      <x:c r="G41" s="27">
        <x:f>+SecGT10!W59</x:f>
        <x:v>82784.800525764338</x:v>
      </x:c>
      <x:c r="H41" s="27"/>
      <x:c r="I41" s="27"/>
      <x:c r="J41" s="27">
        <x:f t="shared" si="6"/>
        <x:v>31493.802610818999</x:v>
      </x:c>
      <x:c r="K41" s="27"/>
      <x:c r="L41" s="29"/>
      <x:c r="M41" s="20">
        <x:f t="shared" si="7"/>
        <x:v>51290.997914945343</x:v>
      </x:c>
      <x:c r="N41" s="3"/>
      <x:c r="O41" s="20"/>
      <x:c r="P41" s="20"/>
      <x:c r="Q41" s="20"/>
      <x:c r="R41" s="3"/>
    </x:row>
    <x:row r="42" spans="1:18" ht="15.5" x14ac:dyDescent="0.35">
      <x:c r="A42" s="39">
        <x:f t="shared" si="3"/>
        <x:v>27</x:v>
      </x:c>
      <x:c r="B42" s="1"/>
      <x:c r="C42" s="18">
        <x:f t="shared" si="4"/>
        <x:v>2024</x:v>
      </x:c>
      <x:c r="D42" s="1"/>
      <x:c r="E42" s="19">
        <x:f t="shared" si="5"/>
        <x:v>9</x:v>
      </x:c>
      <x:c r="G42" s="27">
        <x:f>+SecGT10!W60</x:f>
        <x:v>-75139.286960508442</x:v>
      </x:c>
      <x:c r="H42" s="27"/>
      <x:c r="I42" s="27"/>
      <x:c r="J42" s="27">
        <x:f t="shared" si="6"/>
        <x:v>-28539.576082626845</x:v>
      </x:c>
      <x:c r="K42" s="27"/>
      <x:c r="L42" s="29"/>
      <x:c r="M42" s="20">
        <x:f t="shared" si="7"/>
        <x:v>-46599.710877881596</x:v>
      </x:c>
      <x:c r="N42" s="3"/>
      <x:c r="O42" s="20"/>
      <x:c r="P42" s="20"/>
      <x:c r="Q42" s="20"/>
      <x:c r="R42" s="3"/>
    </x:row>
    <x:row r="43" spans="1:18" ht="15.5" x14ac:dyDescent="0.35">
      <x:c r="A43" s="39">
        <x:f t="shared" si="3"/>
        <x:v>28</x:v>
      </x:c>
      <x:c r="B43" s="1"/>
      <x:c r="C43" s="18">
        <x:f t="shared" si="4"/>
        <x:v>2024</x:v>
      </x:c>
      <x:c r="D43" s="1"/>
      <x:c r="E43" s="19">
        <x:f t="shared" si="5"/>
        <x:v>10</x:v>
      </x:c>
      <x:c r="G43" s="27">
        <x:f>+SecGT10!W61</x:f>
        <x:v>-63880.088304064288</x:v>
      </x:c>
      <x:c r="H43" s="27"/>
      <x:c r="I43" s="27"/>
      <x:c r="J43" s="27">
        <x:f t="shared" si="6"/>
        <x:v>-25483.496503059901</x:v>
      </x:c>
      <x:c r="K43" s="27"/>
      <x:c r="L43" s="29"/>
      <x:c r="M43" s="20">
        <x:f t="shared" si="7"/>
        <x:v>-38396.591801004382</x:v>
      </x:c>
      <x:c r="N43" s="3"/>
      <x:c r="O43" s="20"/>
      <x:c r="P43" s="20"/>
      <x:c r="Q43" s="20"/>
      <x:c r="R43" s="3"/>
    </x:row>
    <x:row r="44" spans="1:18" ht="15.5" x14ac:dyDescent="0.35">
      <x:c r="A44" s="39">
        <x:f t="shared" si="3"/>
        <x:v>29</x:v>
      </x:c>
      <x:c r="B44" s="1"/>
      <x:c r="C44" s="18">
        <x:f t="shared" si="4"/>
        <x:v>2024</x:v>
      </x:c>
      <x:c r="D44" s="1"/>
      <x:c r="E44" s="19">
        <x:f t="shared" si="5"/>
        <x:v>11</x:v>
      </x:c>
      <x:c r="G44" s="27">
        <x:f>+SecGT10!W62</x:f>
        <x:v>-171545.19980500493</x:v>
      </x:c>
      <x:c r="H44" s="27"/>
      <x:c r="I44" s="27"/>
      <x:c r="J44" s="27">
        <x:f>+G44*O26</x:f>
        <x:v>-70966.998370995207</x:v>
      </x:c>
      <x:c r="K44" s="27"/>
      <x:c r="L44" s="29"/>
      <x:c r="M44" s="20">
        <x:f t="shared" si="7"/>
        <x:v>-100578.20143400972</x:v>
      </x:c>
      <x:c r="N44" s="28"/>
      <x:c r="O44" s="20"/>
      <x:c r="P44" s="20"/>
      <x:c r="Q44" s="20"/>
      <x:c r="R44" s="28"/>
    </x:row>
    <x:row r="45" spans="1:18" ht="15.5" x14ac:dyDescent="0.35">
      <x:c r="A45" s="39">
        <x:f t="shared" si="3"/>
        <x:v>30</x:v>
      </x:c>
      <x:c r="B45" s="1"/>
      <x:c r="C45" s="18">
        <x:f t="shared" si="4"/>
        <x:v>2024</x:v>
      </x:c>
      <x:c r="D45" s="1"/>
      <x:c r="E45" s="19">
        <x:f t="shared" si="5"/>
        <x:v>12</x:v>
      </x:c>
      <x:c r="G45" s="40">
        <x:f>+SecGT10!W63</x:f>
        <x:v>29789.967220024184</x:v>
      </x:c>
      <x:c r="H45" s="40"/>
      <x:c r="I45" s="40"/>
      <x:c r="J45" s="40">
        <x:f t="shared" si="6"/>
        <x:v>12844.377447467125</x:v>
      </x:c>
      <x:c r="K45" s="40"/>
      <x:c r="L45" s="45"/>
      <x:c r="M45" s="20">
        <x:f t="shared" si="7"/>
        <x:v>16945.589772557061</x:v>
      </x:c>
      <x:c r="N45" s="28"/>
      <x:c r="O45" s="59"/>
      <x:c r="P45" s="59"/>
      <x:c r="Q45" s="59"/>
      <x:c r="R45" s="28"/>
    </x:row>
    <x:row r="46" spans="1:18" ht="15.5" x14ac:dyDescent="0.35">
      <x:c r="A46" s="39">
        <x:f t="shared" si="3"/>
        <x:v>31</x:v>
      </x:c>
      <x:c r="B46" s="1"/>
      <x:c r="C46" s="1" t="s">
        <x:v>8</x:v>
      </x:c>
      <x:c r="D46" s="1"/>
      <x:c r="E46" s="19"/>
      <x:c r="G46" s="14">
        <x:f>SUM(G34:G45)</x:f>
        <x:v>-347174.17414802103</x:v>
      </x:c>
      <x:c r="H46" s="27"/>
      <x:c r="I46" s="27"/>
      <x:c r="J46" s="14">
        <x:f>SUM(J34:J45)</x:f>
        <x:v>-136774.76832103098</x:v>
      </x:c>
      <x:c r="K46" s="27"/>
      <x:c r="L46" s="29"/>
      <x:c r="M46" s="76">
        <x:f>SUM(M34:M45)</x:f>
        <x:v>-210399.40582699009</x:v>
      </x:c>
      <x:c r="N46" s="28"/>
      <x:c r="O46" s="14"/>
      <x:c r="P46" s="14"/>
      <x:c r="Q46" s="14"/>
      <x:c r="R46" s="28"/>
    </x:row>
    <x:row r="53" spans="1:18" ht="15.5" x14ac:dyDescent="0.35">
      <x:c r="A53" s="4"/>
      <x:c r="B53" s="4"/>
      <x:c r="C53" s="24"/>
      <x:c r="D53" s="4"/>
      <x:c r="E53" s="25"/>
      <x:c r="F53" s="8"/>
      <x:c r="G53" s="32"/>
      <x:c r="H53" s="33"/>
      <x:c r="I53" s="33"/>
      <x:c r="J53" s="32"/>
      <x:c r="K53" s="33"/>
      <x:c r="L53" s="34"/>
      <x:c r="M53" s="32"/>
      <x:c r="N53" s="35"/>
      <x:c r="O53" s="32"/>
      <x:c r="P53" s="35"/>
      <x:c r="Q53" s="32"/>
      <x:c r="R53" s="35"/>
    </x:row>
    <x:row r="54" spans="1:18" ht="15.5" x14ac:dyDescent="0.35">
      <x:c r="A54" s="47"/>
      <x:c r="B54" s="47"/>
      <x:c r="C54" s="48"/>
      <x:c r="D54" s="47"/>
      <x:c r="E54" s="49"/>
      <x:c r="F54" s="50"/>
      <x:c r="G54" s="30"/>
      <x:c r="H54" s="30"/>
      <x:c r="I54" s="30"/>
      <x:c r="J54" s="30"/>
      <x:c r="K54" s="30"/>
      <x:c r="L54" s="31"/>
      <x:c r="M54" s="30"/>
      <x:c r="N54" s="51"/>
      <x:c r="O54" s="30"/>
      <x:c r="P54" s="51"/>
      <x:c r="Q54" s="30"/>
      <x:c r="R54" s="28"/>
    </x:row>
    <x:row r="55" spans="1:18" ht="15.5" x14ac:dyDescent="0.35">
      <x:c r="A55" s="52"/>
      <x:c r="B55" s="52"/>
      <x:c r="C55" s="52"/>
      <x:c r="D55" s="52"/>
      <x:c r="E55" s="52"/>
      <x:c r="F55" s="47"/>
      <x:c r="G55" s="12"/>
      <x:c r="H55" s="12"/>
      <x:c r="I55" s="12"/>
      <x:c r="J55" s="12"/>
      <x:c r="K55" s="12"/>
      <x:c r="L55" s="12"/>
      <x:c r="M55" s="13"/>
      <x:c r="N55" s="14"/>
      <x:c r="O55" s="14"/>
      <x:c r="P55" s="14"/>
      <x:c r="Q55" s="14"/>
      <x:c r="R55" s="12"/>
    </x:row>
    <x:row r="56" spans="1:18" ht="15.5" x14ac:dyDescent="0.35">
      <x:c r="A56" s="47"/>
      <x:c r="B56" s="47"/>
      <x:c r="C56" s="47"/>
      <x:c r="D56" s="47"/>
      <x:c r="E56" s="47"/>
      <x:c r="F56" s="47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</x:row>
    <x:row r="57" spans="1:18" ht="15.5" x14ac:dyDescent="0.35">
      <x:c r="A57" s="50"/>
      <x:c r="B57" s="50"/>
      <x:c r="C57" s="53"/>
      <x:c r="D57" s="50"/>
      <x:c r="E57" s="50"/>
      <x:c r="F57" s="50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28"/>
    </x:row>
    <x:row r="58" spans="1:18" ht="15.5" x14ac:dyDescent="0.35">
      <x:c r="A58" s="54"/>
      <x:c r="B58" s="47"/>
      <x:c r="C58" s="55"/>
      <x:c r="D58" s="47"/>
      <x:c r="E58" s="49"/>
      <x:c r="F58" s="50"/>
      <x:c r="G58" s="30"/>
      <x:c r="H58" s="51"/>
      <x:c r="I58" s="51"/>
      <x:c r="J58" s="30"/>
      <x:c r="K58" s="51"/>
      <x:c r="L58" s="31"/>
      <x:c r="M58" s="30"/>
      <x:c r="N58" s="51"/>
      <x:c r="O58" s="30"/>
      <x:c r="P58" s="51"/>
      <x:c r="Q58" s="30"/>
      <x:c r="R58" s="28"/>
    </x:row>
    <x:row r="59" spans="1:18" ht="15.5" x14ac:dyDescent="0.35">
      <x:c r="A59" s="54"/>
      <x:c r="B59" s="47"/>
      <x:c r="C59" s="48"/>
      <x:c r="D59" s="47"/>
      <x:c r="E59" s="49"/>
      <x:c r="F59" s="50"/>
      <x:c r="G59" s="30"/>
      <x:c r="H59" s="30"/>
      <x:c r="I59" s="30"/>
      <x:c r="J59" s="30"/>
      <x:c r="K59" s="30"/>
      <x:c r="L59" s="30"/>
      <x:c r="M59" s="30"/>
      <x:c r="N59" s="51"/>
      <x:c r="O59" s="30"/>
      <x:c r="P59" s="51"/>
      <x:c r="Q59" s="30"/>
      <x:c r="R59" s="28"/>
    </x:row>
    <x:row r="60" spans="1:18" ht="15.5" x14ac:dyDescent="0.35">
      <x:c r="A60" s="54"/>
      <x:c r="B60" s="47"/>
      <x:c r="C60" s="48"/>
      <x:c r="D60" s="47"/>
      <x:c r="E60" s="49"/>
      <x:c r="F60" s="50"/>
      <x:c r="G60" s="30"/>
      <x:c r="H60" s="30"/>
      <x:c r="I60" s="30"/>
      <x:c r="J60" s="30"/>
      <x:c r="K60" s="30"/>
      <x:c r="L60" s="30"/>
      <x:c r="M60" s="30"/>
      <x:c r="N60" s="51"/>
      <x:c r="O60" s="30"/>
      <x:c r="P60" s="51"/>
      <x:c r="Q60" s="30"/>
      <x:c r="R60" s="28"/>
    </x:row>
    <x:row r="61" spans="1:18" ht="15.5" x14ac:dyDescent="0.35">
      <x:c r="A61" s="54"/>
      <x:c r="B61" s="47"/>
      <x:c r="C61" s="48"/>
      <x:c r="D61" s="47"/>
      <x:c r="E61" s="49"/>
      <x:c r="F61" s="50"/>
      <x:c r="G61" s="30"/>
      <x:c r="H61" s="30"/>
      <x:c r="I61" s="30"/>
      <x:c r="J61" s="30"/>
      <x:c r="K61" s="30"/>
      <x:c r="L61" s="30"/>
      <x:c r="M61" s="30"/>
      <x:c r="N61" s="51"/>
      <x:c r="O61" s="30"/>
      <x:c r="P61" s="51"/>
      <x:c r="Q61" s="30"/>
      <x:c r="R61" s="28"/>
    </x:row>
    <x:row r="62" spans="1:18" ht="15.5" x14ac:dyDescent="0.35">
      <x:c r="A62" s="54"/>
      <x:c r="B62" s="47"/>
      <x:c r="C62" s="48"/>
      <x:c r="D62" s="47"/>
      <x:c r="E62" s="49"/>
      <x:c r="F62" s="50"/>
      <x:c r="G62" s="30"/>
      <x:c r="H62" s="30"/>
      <x:c r="I62" s="30"/>
      <x:c r="J62" s="30"/>
      <x:c r="K62" s="30"/>
      <x:c r="L62" s="30"/>
      <x:c r="M62" s="30"/>
      <x:c r="N62" s="51"/>
      <x:c r="O62" s="30"/>
      <x:c r="P62" s="51"/>
      <x:c r="Q62" s="30"/>
      <x:c r="R62" s="28"/>
    </x:row>
    <x:row r="63" spans="1:18" ht="15.5" x14ac:dyDescent="0.35">
      <x:c r="A63" s="54"/>
      <x:c r="B63" s="47"/>
      <x:c r="C63" s="48"/>
      <x:c r="D63" s="47"/>
      <x:c r="E63" s="49"/>
      <x:c r="F63" s="50"/>
      <x:c r="G63" s="30"/>
      <x:c r="H63" s="30"/>
      <x:c r="I63" s="30"/>
      <x:c r="J63" s="30"/>
      <x:c r="K63" s="30"/>
      <x:c r="L63" s="30"/>
      <x:c r="M63" s="30"/>
      <x:c r="N63" s="51"/>
      <x:c r="O63" s="30"/>
      <x:c r="P63" s="51"/>
      <x:c r="Q63" s="30"/>
      <x:c r="R63" s="28"/>
    </x:row>
    <x:row r="64" spans="1:18" ht="15.5" x14ac:dyDescent="0.35">
      <x:c r="A64" s="54"/>
      <x:c r="B64" s="47"/>
      <x:c r="C64" s="48"/>
      <x:c r="D64" s="47"/>
      <x:c r="E64" s="49"/>
      <x:c r="F64" s="50"/>
      <x:c r="G64" s="30"/>
      <x:c r="H64" s="30"/>
      <x:c r="I64" s="30"/>
      <x:c r="J64" s="30"/>
      <x:c r="K64" s="30"/>
      <x:c r="L64" s="30"/>
      <x:c r="M64" s="30"/>
      <x:c r="N64" s="51"/>
      <x:c r="O64" s="30"/>
      <x:c r="P64" s="51"/>
      <x:c r="Q64" s="30"/>
      <x:c r="R64" s="28"/>
    </x:row>
    <x:row r="65" spans="1:18" ht="15.5" x14ac:dyDescent="0.35">
      <x:c r="A65" s="54"/>
      <x:c r="B65" s="47"/>
      <x:c r="C65" s="48"/>
      <x:c r="D65" s="47"/>
      <x:c r="E65" s="49"/>
      <x:c r="F65" s="50"/>
      <x:c r="G65" s="30"/>
      <x:c r="H65" s="30"/>
      <x:c r="I65" s="30"/>
      <x:c r="J65" s="30"/>
      <x:c r="K65" s="30"/>
      <x:c r="L65" s="30"/>
      <x:c r="M65" s="30"/>
      <x:c r="N65" s="51"/>
      <x:c r="O65" s="30"/>
      <x:c r="P65" s="51"/>
      <x:c r="Q65" s="30"/>
      <x:c r="R65" s="28"/>
    </x:row>
    <x:row r="66" spans="1:18" ht="15.5" x14ac:dyDescent="0.35">
      <x:c r="A66" s="54"/>
      <x:c r="B66" s="47"/>
      <x:c r="C66" s="48"/>
      <x:c r="D66" s="47"/>
      <x:c r="E66" s="49"/>
      <x:c r="F66" s="50"/>
      <x:c r="G66" s="30"/>
      <x:c r="H66" s="30"/>
      <x:c r="I66" s="30"/>
      <x:c r="J66" s="30"/>
      <x:c r="K66" s="30"/>
      <x:c r="L66" s="30"/>
      <x:c r="M66" s="30"/>
      <x:c r="N66" s="51"/>
      <x:c r="O66" s="30"/>
      <x:c r="P66" s="51"/>
      <x:c r="Q66" s="30"/>
      <x:c r="R66" s="28"/>
    </x:row>
    <x:row r="67" spans="1:18" ht="15.5" x14ac:dyDescent="0.35">
      <x:c r="A67" s="54"/>
      <x:c r="B67" s="47"/>
      <x:c r="C67" s="48"/>
      <x:c r="D67" s="47"/>
      <x:c r="E67" s="49"/>
      <x:c r="F67" s="50"/>
      <x:c r="G67" s="30"/>
      <x:c r="H67" s="30"/>
      <x:c r="I67" s="30"/>
      <x:c r="J67" s="30"/>
      <x:c r="K67" s="30"/>
      <x:c r="L67" s="30"/>
      <x:c r="M67" s="30"/>
      <x:c r="N67" s="51"/>
      <x:c r="O67" s="30"/>
      <x:c r="P67" s="51"/>
      <x:c r="Q67" s="30"/>
      <x:c r="R67" s="28"/>
    </x:row>
    <x:row r="68" spans="1:18" ht="15.5" x14ac:dyDescent="0.35">
      <x:c r="A68" s="54"/>
      <x:c r="B68" s="47"/>
      <x:c r="C68" s="48"/>
      <x:c r="D68" s="47"/>
      <x:c r="E68" s="49"/>
      <x:c r="F68" s="50"/>
      <x:c r="G68" s="30"/>
      <x:c r="H68" s="30"/>
      <x:c r="I68" s="30"/>
      <x:c r="J68" s="30"/>
      <x:c r="K68" s="30"/>
      <x:c r="L68" s="30"/>
      <x:c r="M68" s="30"/>
      <x:c r="N68" s="51"/>
      <x:c r="O68" s="30"/>
      <x:c r="P68" s="51"/>
      <x:c r="Q68" s="30"/>
      <x:c r="R68" s="28"/>
    </x:row>
    <x:row r="69" spans="1:18" ht="15.5" x14ac:dyDescent="0.35">
      <x:c r="A69" s="54"/>
      <x:c r="B69" s="47"/>
      <x:c r="C69" s="48"/>
      <x:c r="D69" s="47"/>
      <x:c r="E69" s="49"/>
      <x:c r="F69" s="50"/>
      <x:c r="G69" s="30"/>
      <x:c r="H69" s="30"/>
      <x:c r="I69" s="30"/>
      <x:c r="J69" s="30"/>
      <x:c r="K69" s="30"/>
      <x:c r="L69" s="30"/>
      <x:c r="M69" s="30"/>
      <x:c r="N69" s="51"/>
      <x:c r="O69" s="30"/>
      <x:c r="P69" s="51"/>
      <x:c r="Q69" s="30"/>
      <x:c r="R69" s="28"/>
    </x:row>
    <x:row r="70" spans="1:18" ht="15.5" x14ac:dyDescent="0.35">
      <x:c r="A70" s="50"/>
      <x:c r="B70" s="50"/>
      <x:c r="C70" s="48"/>
      <x:c r="D70" s="50"/>
      <x:c r="E70" s="49"/>
      <x:c r="F70" s="50"/>
      <x:c r="G70" s="30"/>
      <x:c r="H70" s="56"/>
      <x:c r="I70" s="56"/>
      <x:c r="J70" s="56"/>
      <x:c r="K70" s="56"/>
      <x:c r="L70" s="56"/>
      <x:c r="M70" s="56"/>
      <x:c r="N70" s="51"/>
      <x:c r="O70" s="56"/>
      <x:c r="P70" s="51"/>
      <x:c r="Q70" s="56"/>
      <x:c r="R70" s="28"/>
    </x:row>
    <x:row r="71" spans="1:18" ht="15.5" x14ac:dyDescent="0.35">
      <x:c r="A71" s="57"/>
      <x:c r="B71" s="50"/>
      <x:c r="C71" s="58"/>
      <x:c r="D71" s="50"/>
      <x:c r="E71" s="50"/>
      <x:c r="F71" s="50"/>
      <x:c r="G71" s="30"/>
      <x:c r="H71" s="30"/>
      <x:c r="I71" s="30"/>
      <x:c r="J71" s="30"/>
      <x:c r="K71" s="30"/>
      <x:c r="L71" s="30"/>
      <x:c r="M71" s="30"/>
      <x:c r="N71" s="51"/>
      <x:c r="O71" s="30"/>
      <x:c r="P71" s="51"/>
      <x:c r="Q71" s="30"/>
      <x:c r="R71" s="28"/>
    </x:row>
    <x:row r="72" spans="1:18" ht="15.5" x14ac:dyDescent="0.35">
      <x:c r="A72" s="50"/>
      <x:c r="B72" s="50"/>
      <x:c r="C72" s="53"/>
      <x:c r="D72" s="50"/>
      <x:c r="E72" s="50"/>
      <x:c r="F72" s="50"/>
      <x:c r="G72" s="30"/>
      <x:c r="H72" s="30"/>
      <x:c r="I72" s="30"/>
      <x:c r="J72" s="30"/>
      <x:c r="K72" s="30"/>
      <x:c r="L72" s="30"/>
      <x:c r="M72" s="30"/>
      <x:c r="N72" s="51"/>
      <x:c r="O72" s="51"/>
      <x:c r="P72" s="51"/>
      <x:c r="Q72" s="51"/>
      <x:c r="R72" s="28"/>
    </x:row>
    <x:row r="73" spans="1:18" x14ac:dyDescent="0.25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</x:row>
  </x:sheetData>
  <x:mergeCells count="1">
    <x:mergeCell ref="C11:Q11"/>
  </x:mergeCells>
  <x:phoneticPr fontId="2" type="noConversion"/>
  <x:printOptions horizontalCentered="1"/>
  <x:pageMargins left="0.25" right="0" top="1.5" bottom="0.25" header="0.5" footer="0.5"/>
  <x:pageSetup scale="45" orientation="landscape" r:id="rId1"/>
  <x:headerFooter alignWithMargins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23">
    <x:tabColor rgb="FF00B0F0"/>
    <x:pageSetUpPr fitToPage="1"/>
  </x:sheetPr>
  <x:dimension ref="A1:T72"/>
  <x:sheetViews>
    <x:sheetView zoomScale="75" zoomScaleNormal="75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08984375" customWidth="1"/>
    <x:col min="9" max="9" width="15.54296875" customWidth="1"/>
    <x:col min="10" max="10" width="1.08984375" customWidth="1"/>
    <x:col min="11" max="11" width="16.08984375" customWidth="1"/>
    <x:col min="12" max="12" width="1.453125" customWidth="1"/>
    <x:col min="13" max="14" width="0" hidden="1" customWidth="1"/>
    <x:col min="15" max="15" width="16.90625" bestFit="1" customWidth="1"/>
    <x:col min="16" max="16" width="1.08984375" customWidth="1"/>
    <x:col min="17" max="17" width="17.36328125" customWidth="1"/>
    <x:col min="18" max="18" width="16.90625" hidden="1" customWidth="1"/>
    <x:col min="19" max="19" width="1.36328125" hidden="1" customWidth="1"/>
  </x:cols>
  <x:sheetData>
    <x:row r="1" spans="1:19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t="s">
        <x:v>10</x:v>
      </x:c>
      <x:c r="R1" s="3"/>
      <x:c r="S1" s="3"/>
    </x:row>
    <x:row r="2" spans="1:19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82" t="s">
        <x:v>131</x:v>
      </x:c>
      <x:c r="R2" s="6"/>
      <x:c r="S2" s="6"/>
    </x:row>
    <x:row r="3" spans="1:19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4" spans="1:19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</x:row>
    <x:row r="5" spans="1:19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</x:row>
    <x:row r="6" spans="1:19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</x:row>
    <x:row r="7" spans="1:19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</x:row>
    <x:row r="8" spans="1:19" ht="15.5" x14ac:dyDescent="0.35">
      <x:c r="B8" s="4"/>
      <x:c r="C8" s="4"/>
      <x:c r="D8" s="4"/>
      <x:c r="E8" s="4"/>
      <x:c r="F8" s="4"/>
      <x:c r="G8" s="6"/>
      <x:c r="H8" s="6"/>
      <x:c r="I8" s="6"/>
      <x:c r="J8" s="6"/>
      <x:c r="K8" s="6"/>
      <x:c r="L8" s="6"/>
      <x:c r="M8" s="6"/>
      <x:c r="N8" s="20"/>
      <x:c r="O8" s="20"/>
      <x:c r="P8" s="20"/>
      <x:c r="Q8" s="6"/>
      <x:c r="R8" s="6"/>
      <x:c r="S8" s="6"/>
    </x:row>
    <x:row r="9" spans="1:19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9"/>
      <x:c r="M9" s="9"/>
      <x:c r="N9" s="42"/>
      <x:c r="O9" s="42"/>
      <x:c r="P9" s="42"/>
      <x:c r="Q9" s="9"/>
      <x:c r="R9" s="9"/>
      <x:c r="S9" s="9"/>
    </x:row>
    <x:row r="10" spans="1:19" ht="15.5" x14ac:dyDescent="0.35">
      <x:c r="B10" s="4"/>
      <x:c r="C10" s="4"/>
      <x:c r="D10" s="4"/>
      <x:c r="E10" s="4"/>
      <x:c r="F10" s="4"/>
      <x:c r="G10" s="6"/>
      <x:c r="H10" s="6"/>
      <x:c r="I10" s="6"/>
      <x:c r="J10" s="6"/>
      <x:c r="K10" s="6"/>
      <x:c r="L10" s="6"/>
      <x:c r="M10" s="6"/>
      <x:c r="N10" s="20"/>
      <x:c r="O10" s="20"/>
      <x:c r="P10" s="20"/>
      <x:c r="Q10" s="6"/>
      <x:c r="R10" s="6"/>
      <x:c r="S10" s="6"/>
    </x:row>
    <x:row r="11" spans="1:19" ht="15.5" x14ac:dyDescent="0.35">
      <x:c r="A11" s="4" t="s">
        <x:v>60</x:v>
      </x:c>
      <x:c r="B11" s="4"/>
      <x:c r="C11" s="4"/>
      <x:c r="D11" s="4"/>
      <x:c r="E11" s="4"/>
      <x:c r="F11" s="4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</x:row>
    <x:row r="12" spans="1:19" ht="15.5" x14ac:dyDescent="0.35">
      <x:c r="A12" s="1"/>
      <x:c r="B12" s="1"/>
      <x:c r="C12" s="1"/>
      <x:c r="D12" s="1"/>
      <x:c r="E12" s="1"/>
      <x:c r="F12" s="1"/>
      <x:c r="G12" s="10" t="s">
        <x:v>13</x:v>
      </x:c>
      <x:c r="H12" s="3"/>
      <x:c r="I12" s="3"/>
      <x:c r="J12" s="3"/>
      <x:c r="K12" s="3"/>
      <x:c r="L12" s="3"/>
      <x:c r="M12" s="10"/>
      <x:c r="N12" s="3"/>
      <x:c r="O12" s="10"/>
      <x:c r="P12" s="10"/>
      <x:c r="Q12" s="12" t="s">
        <x:v>30</x:v>
      </x:c>
      <x:c r="R12" s="10"/>
      <x:c r="S12" s="3"/>
    </x:row>
    <x:row r="13" spans="1:19" ht="15" customHeight="1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14</x:v>
      </x:c>
      <x:c r="H13" s="12"/>
      <x:c r="I13" s="14" t="s">
        <x:v>25</x:v>
      </x:c>
      <x:c r="J13" s="14"/>
      <x:c r="K13" s="14" t="s">
        <x:v>27</x:v>
      </x:c>
      <x:c r="L13" s="14"/>
      <x:c r="M13" s="13" t="s">
        <x:v>5</x:v>
      </x:c>
      <x:c r="N13" s="14"/>
      <x:c r="O13" s="12" t="s">
        <x:v>29</x:v>
      </x:c>
      <x:c r="P13" s="12"/>
      <x:c r="Q13" s="12" t="s">
        <x:v>9</x:v>
      </x:c>
      <x:c r="R13" s="13" t="s">
        <x:v>5</x:v>
      </x:c>
      <x:c r="S13" s="14"/>
    </x:row>
    <x:row r="14" spans="1:19" ht="15.5" x14ac:dyDescent="0.35">
      <x:c r="A14" s="1"/>
      <x:c r="B14" s="1"/>
      <x:c r="C14" s="1"/>
      <x:c r="D14" s="1"/>
      <x:c r="E14" s="1"/>
      <x:c r="F14" s="1"/>
      <x:c r="G14" s="16" t="s">
        <x:v>15</x:v>
      </x:c>
      <x:c r="H14" s="15"/>
      <x:c r="I14" s="16" t="s">
        <x:v>18</x:v>
      </x:c>
      <x:c r="J14" s="15"/>
      <x:c r="K14" s="16" t="s">
        <x:v>19</x:v>
      </x:c>
      <x:c r="L14" s="15"/>
      <x:c r="M14" s="15"/>
      <x:c r="N14" s="15"/>
      <x:c r="O14" s="16" t="s">
        <x:v>91</x:v>
      </x:c>
      <x:c r="P14" s="15"/>
      <x:c r="Q14" s="16" t="s">
        <x:v>92</x:v>
      </x:c>
      <x:c r="R14" s="15"/>
      <x:c r="S14" s="15"/>
    </x:row>
    <x:row r="15" spans="1:19" ht="15.5" x14ac:dyDescent="0.35">
      <x:c r="A15" s="17"/>
      <x:c r="B15" s="1"/>
      <x:c r="C15" s="17"/>
      <x:c r="D15" s="1"/>
      <x:c r="E15" s="17"/>
      <x:c r="F15" s="1"/>
      <x:c r="G15" s="12"/>
      <x:c r="H15" s="3"/>
      <x:c r="I15" s="3"/>
      <x:c r="J15" s="3"/>
      <x:c r="K15" s="3"/>
      <x:c r="L15" s="3"/>
      <x:c r="M15" s="14"/>
      <x:c r="N15" s="3"/>
      <x:c r="O15" s="14"/>
      <x:c r="P15" s="14"/>
      <x:c r="Q15" s="14"/>
      <x:c r="R15" s="14"/>
      <x:c r="S15" s="3"/>
    </x:row>
    <x:row r="16" spans="1:19" ht="15.5" x14ac:dyDescent="0.35">
      <x:c r="A16" s="39">
        <x:v>1</x:v>
      </x:c>
      <x:c r="B16" s="1"/>
      <x:c r="C16" s="62">
        <x:f>+'Weather Adjustment'!C16</x:f>
        <x:v>2024</x:v>
      </x:c>
      <x:c r="D16" s="1"/>
      <x:c r="E16" s="19">
        <x:f>+'Weather Adjustment'!E16</x:f>
        <x:v>1</x:v>
      </x:c>
      <x:c r="F16" s="1"/>
      <x:c r="G16" s="43">
        <x:f>+'[2]PRMGT10KWD Model'!$C$17</x:f>
        <x:v>243.32499999999999</x:v>
      </x:c>
      <x:c r="H16" s="20"/>
      <x:c r="I16" s="43">
        <x:f>+[3]PRMGT10KWD!D13</x:f>
        <x:v>18.25325982228572</x:v>
      </x:c>
      <x:c r="J16" s="20"/>
      <x:c r="K16" s="43">
        <x:f>+[3]PRMGT10KWD!F13</x:f>
        <x:v>27.948272835583477</x:v>
      </x:c>
      <x:c r="L16" s="20"/>
      <x:c r="M16" s="20">
        <x:f t="shared" ref="M16:M21" si="0">SUM(I16,K16)</x:f>
        <x:v>46.201532657869194</x:v>
      </x:c>
      <x:c r="N16" s="20"/>
      <x:c r="O16" s="43">
        <x:f t="shared" ref="O16:O21" si="1">+K16-I16</x:f>
        <x:v>9.695013013297757</x:v>
      </x:c>
      <x:c r="P16" s="20"/>
      <x:c r="Q16" s="20">
        <x:f t="shared" ref="Q16:Q21" si="2">+G16*O16</x:f>
        <x:v>2359.0390414606768</x:v>
      </x:c>
      <x:c r="R16" s="20">
        <x:f t="shared" ref="R16:R21" si="3">SUM(N16,P16)</x:f>
        <x:v>0</x:v>
      </x:c>
      <x:c r="S16" s="20"/>
    </x:row>
    <x:row r="17" spans="1:20" ht="15.5" x14ac:dyDescent="0.35">
      <x:c r="A17" s="39">
        <x:f>+A16+1</x:f>
        <x:v>2</x:v>
      </x:c>
      <x:c r="B17" s="1"/>
      <x:c r="C17" s="62">
        <x:f>+'Weather Adjustment'!C17</x:f>
        <x:v>2024</x:v>
      </x:c>
      <x:c r="D17" s="1"/>
      <x:c r="E17" s="19">
        <x:f>+'Weather Adjustment'!E17</x:f>
        <x:v>2</x:v>
      </x:c>
      <x:c r="F17" s="1"/>
      <x:c r="G17" s="43">
        <x:f>+G16</x:f>
        <x:v>243.32499999999999</x:v>
      </x:c>
      <x:c r="H17" s="20"/>
      <x:c r="I17" s="43">
        <x:f>+[3]PRMGT10KWD!D14</x:f>
        <x:v>16.187226947428577</x:v>
      </x:c>
      <x:c r="J17" s="20"/>
      <x:c r="K17" s="43">
        <x:f>+[3]PRMGT10KWD!F14</x:f>
        <x:v>24.967936660579809</x:v>
      </x:c>
      <x:c r="L17" s="20"/>
      <x:c r="M17" s="20">
        <x:f t="shared" si="0"/>
        <x:v>41.155163608008387</x:v>
      </x:c>
      <x:c r="N17" s="20"/>
      <x:c r="O17" s="43">
        <x:f t="shared" si="1"/>
        <x:v>8.7807097131512322</x:v>
      </x:c>
      <x:c r="P17" s="20"/>
      <x:c r="Q17" s="20">
        <x:f t="shared" si="2"/>
        <x:v>2136.5661909525234</x:v>
      </x:c>
      <x:c r="R17" s="20">
        <x:f t="shared" si="3"/>
        <x:v>0</x:v>
      </x:c>
      <x:c r="S17" s="20"/>
    </x:row>
    <x:row r="18" spans="1:20" ht="15.5" x14ac:dyDescent="0.35">
      <x:c r="A18" s="39">
        <x:f t="shared" ref="A18:A64" si="4">+A17+1</x:f>
        <x:v>3</x:v>
      </x:c>
      <x:c r="B18" s="1"/>
      <x:c r="C18" s="62">
        <x:f>+'Weather Adjustment'!C18</x:f>
        <x:v>2024</x:v>
      </x:c>
      <x:c r="D18" s="1"/>
      <x:c r="E18" s="19">
        <x:f>+'Weather Adjustment'!E18</x:f>
        <x:v>3</x:v>
      </x:c>
      <x:c r="F18" s="1"/>
      <x:c r="G18" s="43">
        <x:f t="shared" ref="G18:G27" si="5">+G17</x:f>
        <x:v>243.32499999999999</x:v>
      </x:c>
      <x:c r="H18" s="20"/>
      <x:c r="I18" s="43">
        <x:f>+[3]PRMGT10KWD!D15</x:f>
        <x:v>101.50796952880955</x:v>
      </x:c>
      <x:c r="J18" s="20"/>
      <x:c r="K18" s="43">
        <x:f>+[3]PRMGT10KWD!F15</x:f>
        <x:v>65.51625197649517</x:v>
      </x:c>
      <x:c r="L18" s="20"/>
      <x:c r="M18" s="20">
        <x:f t="shared" si="0"/>
        <x:v>167.02422150530472</x:v>
      </x:c>
      <x:c r="N18" s="20"/>
      <x:c r="O18" s="43">
        <x:f t="shared" si="1"/>
        <x:v>-35.991717552314384</x:v>
      </x:c>
      <x:c r="P18" s="20"/>
      <x:c r="Q18" s="20">
        <x:f t="shared" si="2"/>
        <x:v>-8757.6846734168976</x:v>
      </x:c>
      <x:c r="R18" s="20">
        <x:f t="shared" si="3"/>
        <x:v>0</x:v>
      </x:c>
      <x:c r="S18" s="20"/>
    </x:row>
    <x:row r="19" spans="1:20" ht="15.5" x14ac:dyDescent="0.35">
      <x:c r="A19" s="39">
        <x:f t="shared" si="4"/>
        <x:v>4</x:v>
      </x:c>
      <x:c r="B19" s="1"/>
      <x:c r="C19" s="62">
        <x:f>+'Weather Adjustment'!C19</x:f>
        <x:v>2024</x:v>
      </x:c>
      <x:c r="D19" s="1"/>
      <x:c r="E19" s="19">
        <x:f>+'Weather Adjustment'!E19</x:f>
        <x:v>4</x:v>
      </x:c>
      <x:c r="F19" s="1"/>
      <x:c r="G19" s="43">
        <x:f t="shared" si="5"/>
        <x:v>243.32499999999999</x:v>
      </x:c>
      <x:c r="H19" s="20"/>
      <x:c r="I19" s="43">
        <x:f>+[3]PRMGT10KWD!D16</x:f>
        <x:v>150.68135206980952</x:v>
      </x:c>
      <x:c r="J19" s="20"/>
      <x:c r="K19" s="43">
        <x:f>+[3]PRMGT10KWD!F16</x:f>
        <x:v>161.82127175839088</x:v>
      </x:c>
      <x:c r="L19" s="20"/>
      <x:c r="M19" s="20">
        <x:f t="shared" si="0"/>
        <x:v>312.5026238282004</x:v>
      </x:c>
      <x:c r="N19" s="20"/>
      <x:c r="O19" s="43">
        <x:f>+K19-I19</x:f>
        <x:v>11.139919688581358</x:v>
      </x:c>
      <x:c r="P19" s="20"/>
      <x:c r="Q19" s="20">
        <x:f t="shared" si="2"/>
        <x:v>2710.620958224059</x:v>
      </x:c>
      <x:c r="R19" s="20">
        <x:f t="shared" si="3"/>
        <x:v>0</x:v>
      </x:c>
      <x:c r="S19" s="20"/>
    </x:row>
    <x:row r="20" spans="1:20" ht="15.5" x14ac:dyDescent="0.35">
      <x:c r="A20" s="39">
        <x:f t="shared" si="4"/>
        <x:v>5</x:v>
      </x:c>
      <x:c r="B20" s="1"/>
      <x:c r="C20" s="62">
        <x:f>+'Weather Adjustment'!C20</x:f>
        <x:v>2024</x:v>
      </x:c>
      <x:c r="D20" s="1"/>
      <x:c r="E20" s="19">
        <x:f>+'Weather Adjustment'!E20</x:f>
        <x:v>5</x:v>
      </x:c>
      <x:c r="F20" s="1"/>
      <x:c r="G20" s="43">
        <x:f t="shared" si="5"/>
        <x:v>243.32499999999999</x:v>
      </x:c>
      <x:c r="H20" s="20"/>
      <x:c r="I20" s="43">
        <x:f>+[3]PRMGT10KWD!D17</x:f>
        <x:v>314.73687961000002</x:v>
      </x:c>
      <x:c r="J20" s="20"/>
      <x:c r="K20" s="43">
        <x:f>+[3]PRMGT10KWD!F17</x:f>
        <x:v>284.92908958581791</x:v>
      </x:c>
      <x:c r="L20" s="20"/>
      <x:c r="M20" s="20">
        <x:f t="shared" si="0"/>
        <x:v>599.66596919581798</x:v>
      </x:c>
      <x:c r="N20" s="20"/>
      <x:c r="O20" s="43">
        <x:f t="shared" si="1"/>
        <x:v>-29.807790024182111</x:v>
      </x:c>
      <x:c r="P20" s="20"/>
      <x:c r="Q20" s="20">
        <x:f t="shared" si="2"/>
        <x:v>-7252.9805076341117</x:v>
      </x:c>
      <x:c r="R20" s="20">
        <x:f t="shared" si="3"/>
        <x:v>0</x:v>
      </x:c>
      <x:c r="S20" s="20"/>
    </x:row>
    <x:row r="21" spans="1:20" ht="15.5" x14ac:dyDescent="0.35">
      <x:c r="A21" s="39">
        <x:f t="shared" si="4"/>
        <x:v>6</x:v>
      </x:c>
      <x:c r="B21" s="1"/>
      <x:c r="C21" s="62">
        <x:f>+'Weather Adjustment'!C21</x:f>
        <x:v>2024</x:v>
      </x:c>
      <x:c r="D21" s="1"/>
      <x:c r="E21" s="19">
        <x:f>+'Weather Adjustment'!E21</x:f>
        <x:v>6</x:v>
      </x:c>
      <x:c r="F21" s="1"/>
      <x:c r="G21" s="43">
        <x:f t="shared" si="5"/>
        <x:v>243.32499999999999</x:v>
      </x:c>
      <x:c r="H21" s="20"/>
      <x:c r="I21" s="43">
        <x:f>+[3]PRMGT10KWD!D18</x:f>
        <x:v>562.82288686461902</x:v>
      </x:c>
      <x:c r="J21" s="20"/>
      <x:c r="K21" s="43">
        <x:f>+[3]PRMGT10KWD!F18</x:f>
        <x:v>508.22517206454694</x:v>
      </x:c>
      <x:c r="L21" s="20"/>
      <x:c r="M21" s="20">
        <x:f t="shared" si="0"/>
        <x:v>1071.048058929166</x:v>
      </x:c>
      <x:c r="N21" s="20"/>
      <x:c r="O21" s="43">
        <x:f t="shared" si="1"/>
        <x:v>-54.597714800072083</x:v>
      </x:c>
      <x:c r="P21" s="20"/>
      <x:c r="Q21" s="20">
        <x:f t="shared" si="2"/>
        <x:v>-13284.988953727539</x:v>
      </x:c>
      <x:c r="R21" s="20">
        <x:f t="shared" si="3"/>
        <x:v>0</x:v>
      </x:c>
      <x:c r="S21" s="20"/>
    </x:row>
    <x:row r="22" spans="1:20" ht="15.5" x14ac:dyDescent="0.35">
      <x:c r="A22" s="39">
        <x:f t="shared" si="4"/>
        <x:v>7</x:v>
      </x:c>
      <x:c r="B22" s="1"/>
      <x:c r="C22" s="62">
        <x:f>+'Weather Adjustment'!C22</x:f>
        <x:v>2024</x:v>
      </x:c>
      <x:c r="D22" s="1"/>
      <x:c r="E22" s="19">
        <x:f>+'Weather Adjustment'!E22</x:f>
        <x:v>7</x:v>
      </x:c>
      <x:c r="F22" s="1"/>
      <x:c r="G22" s="43">
        <x:f t="shared" si="5"/>
        <x:v>243.32499999999999</x:v>
      </x:c>
      <x:c r="H22" s="20"/>
      <x:c r="I22" s="43">
        <x:f>+[3]PRMGT10KWD!D19</x:f>
        <x:v>719.07334935561926</x:v>
      </x:c>
      <x:c r="J22" s="20"/>
      <x:c r="K22" s="43">
        <x:f>+[3]PRMGT10KWD!F19</x:f>
        <x:v>680.56823320157821</x:v>
      </x:c>
      <x:c r="L22" s="20"/>
      <x:c r="M22" s="20">
        <x:f t="shared" ref="M22:M27" si="6">SUM(I22,K22)</x:f>
        <x:v>1399.6415825571976</x:v>
      </x:c>
      <x:c r="N22" s="20"/>
      <x:c r="O22" s="43">
        <x:f t="shared" ref="O22:O27" si="7">+K22-I22</x:f>
        <x:v>-38.505116154041048</x:v>
      </x:c>
      <x:c r="P22" s="20"/>
      <x:c r="Q22" s="20">
        <x:f t="shared" ref="Q22:Q27" si="8">+G22*O22</x:f>
        <x:v>-9369.2573881820372</x:v>
      </x:c>
      <x:c r="R22" s="20">
        <x:f t="shared" ref="R22:R27" si="9">SUM(N22,P22)</x:f>
        <x:v>0</x:v>
      </x:c>
      <x:c r="S22" s="20"/>
    </x:row>
    <x:row r="23" spans="1:20" ht="15.5" x14ac:dyDescent="0.35">
      <x:c r="A23" s="39">
        <x:f t="shared" si="4"/>
        <x:v>8</x:v>
      </x:c>
      <x:c r="B23" s="1"/>
      <x:c r="C23" s="62">
        <x:f>+'Weather Adjustment'!C23</x:f>
        <x:v>2024</x:v>
      </x:c>
      <x:c r="D23" s="1"/>
      <x:c r="E23" s="19">
        <x:f>+'Weather Adjustment'!E23</x:f>
        <x:v>8</x:v>
      </x:c>
      <x:c r="F23" s="1"/>
      <x:c r="G23" s="43">
        <x:f t="shared" si="5"/>
        <x:v>243.32499999999999</x:v>
      </x:c>
      <x:c r="H23" s="20"/>
      <x:c r="I23" s="43">
        <x:f>+[3]PRMGT10KWD!D20</x:f>
        <x:v>701.83338536723818</x:v>
      </x:c>
      <x:c r="J23" s="20"/>
      <x:c r="K23" s="43">
        <x:f>+[3]PRMGT10KWD!F20</x:f>
        <x:v>716.95230789727646</x:v>
      </x:c>
      <x:c r="L23" s="20"/>
      <x:c r="M23" s="20">
        <x:f t="shared" si="6"/>
        <x:v>1418.7856932645145</x:v>
      </x:c>
      <x:c r="N23" s="20"/>
      <x:c r="O23" s="43">
        <x:f t="shared" si="7"/>
        <x:v>15.118922530038276</x:v>
      </x:c>
      <x:c r="P23" s="20"/>
      <x:c r="Q23" s="20">
        <x:f>+G23*O23</x:f>
        <x:v>3678.8118246215631</x:v>
      </x:c>
      <x:c r="R23" s="20">
        <x:f t="shared" si="9"/>
        <x:v>0</x:v>
      </x:c>
      <x:c r="S23" s="20"/>
    </x:row>
    <x:row r="24" spans="1:20" ht="15.5" x14ac:dyDescent="0.35">
      <x:c r="A24" s="39">
        <x:f t="shared" si="4"/>
        <x:v>9</x:v>
      </x:c>
      <x:c r="B24" s="1"/>
      <x:c r="C24" s="62">
        <x:f>+'Weather Adjustment'!C24</x:f>
        <x:v>2024</x:v>
      </x:c>
      <x:c r="D24" s="1"/>
      <x:c r="E24" s="19">
        <x:f>+'Weather Adjustment'!E24</x:f>
        <x:v>9</x:v>
      </x:c>
      <x:c r="F24" s="1"/>
      <x:c r="G24" s="43">
        <x:f t="shared" si="5"/>
        <x:v>243.32499999999999</x:v>
      </x:c>
      <x:c r="H24" s="20"/>
      <x:c r="I24" s="43">
        <x:f>+[3]PRMGT10KWD!D21</x:f>
        <x:v>711.48423612619047</x:v>
      </x:c>
      <x:c r="J24" s="20"/>
      <x:c r="K24" s="43">
        <x:f>+[3]PRMGT10KWD!F21</x:f>
        <x:v>660.97514234925291</x:v>
      </x:c>
      <x:c r="L24" s="20"/>
      <x:c r="M24" s="20">
        <x:f t="shared" si="6"/>
        <x:v>1372.4593784754434</x:v>
      </x:c>
      <x:c r="N24" s="20"/>
      <x:c r="O24" s="43">
        <x:f t="shared" si="7"/>
        <x:v>-50.509093776937561</x:v>
      </x:c>
      <x:c r="P24" s="20"/>
      <x:c r="Q24" s="20">
        <x:f t="shared" si="8"/>
        <x:v>-12290.125243273331</x:v>
      </x:c>
      <x:c r="R24" s="20">
        <x:f t="shared" si="9"/>
        <x:v>0</x:v>
      </x:c>
      <x:c r="S24" s="20"/>
    </x:row>
    <x:row r="25" spans="1:20" ht="15.5" x14ac:dyDescent="0.35">
      <x:c r="A25" s="39">
        <x:f t="shared" si="4"/>
        <x:v>10</x:v>
      </x:c>
      <x:c r="B25" s="1"/>
      <x:c r="C25" s="62">
        <x:f>+'Weather Adjustment'!C25</x:f>
        <x:v>2024</x:v>
      </x:c>
      <x:c r="D25" s="1"/>
      <x:c r="E25" s="19">
        <x:f>+'Weather Adjustment'!E25</x:f>
        <x:v>10</x:v>
      </x:c>
      <x:c r="F25" s="1"/>
      <x:c r="G25" s="43">
        <x:f t="shared" si="5"/>
        <x:v>243.32499999999999</x:v>
      </x:c>
      <x:c r="H25" s="20"/>
      <x:c r="I25" s="43">
        <x:f>+[3]PRMGT10KWD!D22</x:f>
        <x:v>482.30674265400006</x:v>
      </x:c>
      <x:c r="J25" s="20"/>
      <x:c r="K25" s="43">
        <x:f>+[3]PRMGT10KWD!F22</x:f>
        <x:v>455.23581810851931</x:v>
      </x:c>
      <x:c r="L25" s="20"/>
      <x:c r="M25" s="20">
        <x:f t="shared" si="6"/>
        <x:v>937.54256076251932</x:v>
      </x:c>
      <x:c r="N25" s="20"/>
      <x:c r="O25" s="43">
        <x:f>+K25-I25</x:f>
        <x:v>-27.07092454548075</x:v>
      </x:c>
      <x:c r="P25" s="20"/>
      <x:c r="Q25" s="20">
        <x:f t="shared" si="8"/>
        <x:v>-6587.0327150291032</x:v>
      </x:c>
      <x:c r="R25" s="20">
        <x:f t="shared" si="9"/>
        <x:v>0</x:v>
      </x:c>
      <x:c r="S25" s="20"/>
    </x:row>
    <x:row r="26" spans="1:20" ht="15.5" x14ac:dyDescent="0.35">
      <x:c r="A26" s="39">
        <x:f t="shared" si="4"/>
        <x:v>11</x:v>
      </x:c>
      <x:c r="B26" s="1"/>
      <x:c r="C26" s="62">
        <x:f>+'Weather Adjustment'!C26</x:f>
        <x:v>2024</x:v>
      </x:c>
      <x:c r="D26" s="1"/>
      <x:c r="E26" s="19">
        <x:f>+'Weather Adjustment'!E26</x:f>
        <x:v>11</x:v>
      </x:c>
      <x:c r="F26" s="1"/>
      <x:c r="G26" s="43">
        <x:f t="shared" si="5"/>
        <x:v>243.32499999999999</x:v>
      </x:c>
      <x:c r="H26" s="20"/>
      <x:c r="I26" s="43">
        <x:f>+[3]PRMGT10KWD!D23</x:f>
        <x:v>330.31569797542863</x:v>
      </x:c>
      <x:c r="J26" s="20"/>
      <x:c r="K26" s="43">
        <x:f>+[3]PRMGT10KWD!F23</x:f>
        <x:v>223.18775368436093</x:v>
      </x:c>
      <x:c r="L26" s="20"/>
      <x:c r="M26" s="20">
        <x:f t="shared" si="6"/>
        <x:v>553.50345165978956</x:v>
      </x:c>
      <x:c r="N26" s="20"/>
      <x:c r="O26" s="43">
        <x:f t="shared" si="7"/>
        <x:v>-107.12794429106771</x:v>
      </x:c>
      <x:c r="P26" s="20"/>
      <x:c r="Q26" s="20">
        <x:f t="shared" si="8"/>
        <x:v>-26066.907044624048</x:v>
      </x:c>
      <x:c r="R26" s="20">
        <x:f t="shared" si="9"/>
        <x:v>0</x:v>
      </x:c>
      <x:c r="S26" s="20"/>
    </x:row>
    <x:row r="27" spans="1:20" ht="15.5" x14ac:dyDescent="0.35">
      <x:c r="A27" s="39">
        <x:f t="shared" si="4"/>
        <x:v>12</x:v>
      </x:c>
      <x:c r="B27" s="1"/>
      <x:c r="C27" s="62">
        <x:f>+'Weather Adjustment'!C27</x:f>
        <x:v>2024</x:v>
      </x:c>
      <x:c r="D27" s="1"/>
      <x:c r="E27" s="19">
        <x:f>+'Weather Adjustment'!E27</x:f>
        <x:v>12</x:v>
      </x:c>
      <x:c r="F27" s="1"/>
      <x:c r="G27" s="43">
        <x:f t="shared" si="5"/>
        <x:v>243.32499999999999</x:v>
      </x:c>
      <x:c r="H27" s="59"/>
      <x:c r="I27" s="43">
        <x:f>+[3]PRMGT10KWD!D24</x:f>
        <x:v>87.537539937809541</x:v>
      </x:c>
      <x:c r="J27" s="20"/>
      <x:c r="K27" s="43">
        <x:f>+[3]PRMGT10KWD!F24</x:f>
        <x:v>71.81299090660643</x:v>
      </x:c>
      <x:c r="L27" s="59"/>
      <x:c r="M27" s="59">
        <x:f t="shared" si="6"/>
        <x:v>159.35053084441597</x:v>
      </x:c>
      <x:c r="N27" s="59"/>
      <x:c r="O27" s="68">
        <x:f t="shared" si="7"/>
        <x:v>-15.724549031203111</x:v>
      </x:c>
      <x:c r="P27" s="59"/>
      <x:c r="Q27" s="59">
        <x:f t="shared" si="8"/>
        <x:v>-3826.1758930174969</x:v>
      </x:c>
      <x:c r="R27" s="20">
        <x:f t="shared" si="9"/>
        <x:v>0</x:v>
      </x:c>
      <x:c r="S27" s="20"/>
    </x:row>
    <x:row r="28" spans="1:20" ht="15.5" x14ac:dyDescent="0.35">
      <x:c r="A28" s="39">
        <x:f t="shared" si="4"/>
        <x:v>13</x:v>
      </x:c>
      <x:c r="B28" s="1"/>
      <x:c r="C28" s="1" t="s">
        <x:v>8</x:v>
      </x:c>
      <x:c r="D28" s="1"/>
      <x:c r="E28" s="1"/>
      <x:c r="F28" s="1"/>
      <x:c r="G28" s="76"/>
      <x:c r="H28" s="76"/>
      <x:c r="I28" s="76">
        <x:f>SUM(I16:I27)</x:f>
        <x:v>4196.7405262592392</x:v>
      </x:c>
      <x:c r="J28" s="76"/>
      <x:c r="K28" s="76">
        <x:f>SUM(K16:K27)</x:f>
        <x:v>3882.1402410290084</x:v>
      </x:c>
      <x:c r="L28" s="76"/>
      <x:c r="M28" s="76">
        <x:f>SUM(M22:M27)</x:f>
        <x:v>5841.2831975638801</x:v>
      </x:c>
      <x:c r="N28" s="76"/>
      <x:c r="O28" s="77">
        <x:f>+K28-I28</x:f>
        <x:v>-314.60028523023084</x:v>
      </x:c>
      <x:c r="P28" s="76"/>
      <x:c r="Q28" s="76">
        <x:f>SUM(Q16:Q27)</x:f>
        <x:v>-76550.114403645741</x:v>
      </x:c>
      <x:c r="R28" s="22">
        <x:f>SUM(R22:R27)</x:f>
        <x:v>0</x:v>
      </x:c>
      <x:c r="S28" s="22"/>
      <x:c r="T28" s="64"/>
    </x:row>
    <x:row r="29" spans="1:20" ht="15.5" x14ac:dyDescent="0.35">
      <x:c r="A29" s="39">
        <x:f t="shared" si="4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 spans="1:20" ht="15.5" x14ac:dyDescent="0.35">
      <x:c r="A30" s="39">
        <x:f t="shared" si="4"/>
        <x:v>15</x:v>
      </x:c>
      <x:c r="B30" s="1"/>
      <x:c r="C30" s="1"/>
      <x:c r="D30" s="1"/>
      <x:c r="E30" s="1"/>
      <x:c r="F30" s="1"/>
      <x:c r="G30" s="10" t="s">
        <x:v>32</x:v>
      </x:c>
      <x:c r="H30" s="3"/>
      <x:c r="I30" s="3"/>
      <x:c r="J30" s="3"/>
      <x:c r="K30" s="3"/>
      <x:c r="L30" s="3"/>
      <x:c r="M30" s="10"/>
      <x:c r="N30" s="3"/>
      <x:c r="O30" s="10"/>
      <x:c r="P30" s="10"/>
      <x:c r="Q30" s="12" t="s">
        <x:v>34</x:v>
      </x:c>
      <x:c r="R30" s="10"/>
      <x:c r="S30" s="3"/>
    </x:row>
    <x:row r="31" spans="1:20" ht="31" x14ac:dyDescent="0.35">
      <x:c r="A31" s="39">
        <x:f t="shared" si="4"/>
        <x:v>16</x:v>
      </x:c>
      <x:c r="B31" s="11"/>
      <x:c r="C31" s="11" t="s">
        <x:v>1</x:v>
      </x:c>
      <x:c r="D31" s="11"/>
      <x:c r="E31" s="11" t="s">
        <x:v>2</x:v>
      </x:c>
      <x:c r="F31" s="1"/>
      <x:c r="G31" s="12" t="s">
        <x:v>14</x:v>
      </x:c>
      <x:c r="H31" s="12"/>
      <x:c r="I31" s="14" t="s">
        <x:v>36</x:v>
      </x:c>
      <x:c r="J31" s="14"/>
      <x:c r="K31" s="14" t="s">
        <x:v>37</x:v>
      </x:c>
      <x:c r="L31" s="14"/>
      <x:c r="M31" s="13" t="s">
        <x:v>5</x:v>
      </x:c>
      <x:c r="N31" s="14"/>
      <x:c r="O31" s="12" t="s">
        <x:v>38</x:v>
      </x:c>
      <x:c r="P31" s="12"/>
      <x:c r="Q31" s="12" t="s">
        <x:v>9</x:v>
      </x:c>
      <x:c r="R31" s="13" t="s">
        <x:v>5</x:v>
      </x:c>
      <x:c r="S31" s="14"/>
    </x:row>
    <x:row r="32" spans="1:20" ht="15.5" x14ac:dyDescent="0.35">
      <x:c r="A32" s="39">
        <x:f t="shared" si="4"/>
        <x:v>17</x:v>
      </x:c>
      <x:c r="B32" s="1"/>
      <x:c r="C32" s="1"/>
      <x:c r="D32" s="1"/>
      <x:c r="E32" s="1"/>
      <x:c r="F32" s="1"/>
      <x:c r="G32" s="16" t="s">
        <x:v>26</x:v>
      </x:c>
      <x:c r="H32" s="15"/>
      <x:c r="I32" s="16" t="s">
        <x:v>28</x:v>
      </x:c>
      <x:c r="J32" s="15"/>
      <x:c r="K32" s="16" t="s">
        <x:v>61</x:v>
      </x:c>
      <x:c r="L32" s="15"/>
      <x:c r="M32" s="15"/>
      <x:c r="N32" s="15"/>
      <x:c r="O32" s="16" t="s">
        <x:v>73</x:v>
      </x:c>
      <x:c r="P32" s="15"/>
      <x:c r="Q32" s="16" t="s">
        <x:v>74</x:v>
      </x:c>
      <x:c r="R32" s="15"/>
      <x:c r="S32" s="15"/>
    </x:row>
    <x:row r="33" spans="1:19" ht="15.5" x14ac:dyDescent="0.35">
      <x:c r="A33" s="39">
        <x:f t="shared" si="4"/>
        <x:v>18</x:v>
      </x:c>
      <x:c r="B33" s="1"/>
      <x:c r="C33" s="1"/>
      <x:c r="D33" s="1"/>
      <x:c r="E33" s="1"/>
      <x:c r="F33" s="1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 spans="1:19" ht="15.5" x14ac:dyDescent="0.35">
      <x:c r="A34" s="39">
        <x:f t="shared" si="4"/>
        <x:v>19</x:v>
      </x:c>
      <x:c r="B34" s="1"/>
      <x:c r="C34" s="18">
        <x:f t="shared" ref="C34:C45" si="10">+C16</x:f>
        <x:v>2024</x:v>
      </x:c>
      <x:c r="D34" s="1"/>
      <x:c r="E34" s="19">
        <x:f>+E16</x:f>
        <x:v>1</x:v>
      </x:c>
      <x:c r="G34" s="44">
        <x:v>0</x:v>
      </x:c>
      <x:c r="H34" s="27"/>
      <x:c r="I34" s="43">
        <x:v>0</x:v>
      </x:c>
      <x:c r="J34" s="20">
        <x:f t="shared" ref="J34:J45" si="11">J16</x:f>
        <x:v>0</x:v>
      </x:c>
      <x:c r="K34" s="43">
        <x:v>0</x:v>
      </x:c>
      <x:c r="L34" s="28"/>
      <x:c r="M34" s="28"/>
      <x:c r="N34" s="28"/>
      <x:c r="O34" s="43">
        <x:f t="shared" ref="O34:O39" si="12">+K34-I34</x:f>
        <x:v>0</x:v>
      </x:c>
      <x:c r="P34" s="28"/>
      <x:c r="Q34" s="20">
        <x:f t="shared" ref="Q34:Q39" si="13">+G34*O34</x:f>
        <x:v>0</x:v>
      </x:c>
      <x:c r="R34" s="28"/>
      <x:c r="S34" s="28"/>
    </x:row>
    <x:row r="35" spans="1:19" ht="15.5" x14ac:dyDescent="0.35">
      <x:c r="A35" s="39">
        <x:f t="shared" si="4"/>
        <x:v>20</x:v>
      </x:c>
      <x:c r="B35" s="1"/>
      <x:c r="C35" s="18">
        <x:f t="shared" si="10"/>
        <x:v>2024</x:v>
      </x:c>
      <x:c r="D35" s="1"/>
      <x:c r="E35" s="19">
        <x:f t="shared" ref="E35:E45" si="14">+E17</x:f>
        <x:v>2</x:v>
      </x:c>
      <x:c r="G35" s="43">
        <x:v>0</x:v>
      </x:c>
      <x:c r="H35" s="27"/>
      <x:c r="I35" s="43">
        <x:v>0</x:v>
      </x:c>
      <x:c r="J35" s="20">
        <x:f t="shared" si="11"/>
        <x:v>0</x:v>
      </x:c>
      <x:c r="K35" s="43">
        <x:v>0</x:v>
      </x:c>
      <x:c r="L35" s="28"/>
      <x:c r="M35" s="28"/>
      <x:c r="N35" s="28"/>
      <x:c r="O35" s="43">
        <x:f t="shared" si="12"/>
        <x:v>0</x:v>
      </x:c>
      <x:c r="P35" s="28"/>
      <x:c r="Q35" s="20">
        <x:f t="shared" si="13"/>
        <x:v>0</x:v>
      </x:c>
      <x:c r="R35" s="28"/>
      <x:c r="S35" s="28"/>
    </x:row>
    <x:row r="36" spans="1:19" ht="15.5" x14ac:dyDescent="0.35">
      <x:c r="A36" s="39">
        <x:f t="shared" si="4"/>
        <x:v>21</x:v>
      </x:c>
      <x:c r="B36" s="1"/>
      <x:c r="C36" s="18">
        <x:f t="shared" si="10"/>
        <x:v>2024</x:v>
      </x:c>
      <x:c r="D36" s="1"/>
      <x:c r="E36" s="19">
        <x:f t="shared" si="14"/>
        <x:v>3</x:v>
      </x:c>
      <x:c r="G36" s="43">
        <x:v>0</x:v>
      </x:c>
      <x:c r="H36" s="27"/>
      <x:c r="I36" s="43">
        <x:v>0</x:v>
      </x:c>
      <x:c r="J36" s="20">
        <x:f t="shared" si="11"/>
        <x:v>0</x:v>
      </x:c>
      <x:c r="K36" s="43">
        <x:v>0</x:v>
      </x:c>
      <x:c r="L36" s="28"/>
      <x:c r="M36" s="28"/>
      <x:c r="N36" s="28"/>
      <x:c r="O36" s="43">
        <x:f t="shared" si="12"/>
        <x:v>0</x:v>
      </x:c>
      <x:c r="P36" s="28"/>
      <x:c r="Q36" s="20">
        <x:f t="shared" si="13"/>
        <x:v>0</x:v>
      </x:c>
      <x:c r="R36" s="28"/>
      <x:c r="S36" s="28"/>
    </x:row>
    <x:row r="37" spans="1:19" ht="15.5" x14ac:dyDescent="0.35">
      <x:c r="A37" s="39">
        <x:f t="shared" si="4"/>
        <x:v>22</x:v>
      </x:c>
      <x:c r="B37" s="1"/>
      <x:c r="C37" s="18">
        <x:f t="shared" si="10"/>
        <x:v>2024</x:v>
      </x:c>
      <x:c r="D37" s="1"/>
      <x:c r="E37" s="19">
        <x:f t="shared" si="14"/>
        <x:v>4</x:v>
      </x:c>
      <x:c r="G37" s="43">
        <x:v>0</x:v>
      </x:c>
      <x:c r="H37" s="27"/>
      <x:c r="I37" s="43">
        <x:v>0</x:v>
      </x:c>
      <x:c r="J37" s="20">
        <x:f t="shared" si="11"/>
        <x:v>0</x:v>
      </x:c>
      <x:c r="K37" s="43">
        <x:v>0</x:v>
      </x:c>
      <x:c r="L37" s="28"/>
      <x:c r="M37" s="28"/>
      <x:c r="N37" s="28"/>
      <x:c r="O37" s="43">
        <x:f>+K37-I37</x:f>
        <x:v>0</x:v>
      </x:c>
      <x:c r="P37" s="28"/>
      <x:c r="Q37" s="20">
        <x:f t="shared" si="13"/>
        <x:v>0</x:v>
      </x:c>
      <x:c r="R37" s="28"/>
      <x:c r="S37" s="28"/>
    </x:row>
    <x:row r="38" spans="1:19" ht="15.5" x14ac:dyDescent="0.35">
      <x:c r="A38" s="39">
        <x:f t="shared" si="4"/>
        <x:v>23</x:v>
      </x:c>
      <x:c r="B38" s="1"/>
      <x:c r="C38" s="18">
        <x:f t="shared" si="10"/>
        <x:v>2024</x:v>
      </x:c>
      <x:c r="D38" s="1"/>
      <x:c r="E38" s="19">
        <x:f t="shared" si="14"/>
        <x:v>5</x:v>
      </x:c>
      <x:c r="G38" s="43">
        <x:v>0</x:v>
      </x:c>
      <x:c r="H38" s="27"/>
      <x:c r="I38" s="43">
        <x:v>0</x:v>
      </x:c>
      <x:c r="J38" s="20">
        <x:f t="shared" si="11"/>
        <x:v>0</x:v>
      </x:c>
      <x:c r="K38" s="43">
        <x:v>0</x:v>
      </x:c>
      <x:c r="L38" s="28"/>
      <x:c r="M38" s="28"/>
      <x:c r="N38" s="28"/>
      <x:c r="O38" s="43">
        <x:f t="shared" si="12"/>
        <x:v>0</x:v>
      </x:c>
      <x:c r="P38" s="28"/>
      <x:c r="Q38" s="20">
        <x:f t="shared" si="13"/>
        <x:v>0</x:v>
      </x:c>
      <x:c r="R38" s="28"/>
      <x:c r="S38" s="28"/>
    </x:row>
    <x:row r="39" spans="1:19" ht="15.5" x14ac:dyDescent="0.35">
      <x:c r="A39" s="39">
        <x:f t="shared" si="4"/>
        <x:v>24</x:v>
      </x:c>
      <x:c r="B39" s="1"/>
      <x:c r="C39" s="18">
        <x:f t="shared" si="10"/>
        <x:v>2024</x:v>
      </x:c>
      <x:c r="D39" s="1"/>
      <x:c r="E39" s="19">
        <x:f t="shared" si="14"/>
        <x:v>6</x:v>
      </x:c>
      <x:c r="G39" s="43">
        <x:v>0</x:v>
      </x:c>
      <x:c r="H39" s="30"/>
      <x:c r="I39" s="43">
        <x:v>0</x:v>
      </x:c>
      <x:c r="J39" s="20">
        <x:f t="shared" si="11"/>
        <x:v>0</x:v>
      </x:c>
      <x:c r="K39" s="43">
        <x:v>0</x:v>
      </x:c>
      <x:c r="L39" s="28"/>
      <x:c r="M39" s="28"/>
      <x:c r="N39" s="28"/>
      <x:c r="O39" s="43">
        <x:f t="shared" si="12"/>
        <x:v>0</x:v>
      </x:c>
      <x:c r="P39" s="28"/>
      <x:c r="Q39" s="20">
        <x:f t="shared" si="13"/>
        <x:v>0</x:v>
      </x:c>
      <x:c r="R39" s="28"/>
      <x:c r="S39" s="28"/>
    </x:row>
    <x:row r="40" spans="1:19" ht="15.5" x14ac:dyDescent="0.35">
      <x:c r="A40" s="39">
        <x:f t="shared" si="4"/>
        <x:v>25</x:v>
      </x:c>
      <x:c r="B40" s="1"/>
      <x:c r="C40" s="18">
        <x:f t="shared" si="10"/>
        <x:v>2024</x:v>
      </x:c>
      <x:c r="D40" s="1"/>
      <x:c r="E40" s="19">
        <x:f t="shared" si="14"/>
        <x:v>7</x:v>
      </x:c>
      <x:c r="F40" s="23"/>
      <x:c r="G40" s="43">
        <x:v>0</x:v>
      </x:c>
      <x:c r="H40" s="28"/>
      <x:c r="I40" s="43">
        <x:v>0</x:v>
      </x:c>
      <x:c r="J40" s="20">
        <x:f t="shared" si="11"/>
        <x:v>0</x:v>
      </x:c>
      <x:c r="K40" s="43">
        <x:v>0</x:v>
      </x:c>
      <x:c r="L40" s="3"/>
      <x:c r="M40" s="3"/>
      <x:c r="N40" s="3"/>
      <x:c r="O40" s="43">
        <x:f t="shared" ref="O40:O45" si="15">+K40-I40</x:f>
        <x:v>0</x:v>
      </x:c>
      <x:c r="P40" s="3"/>
      <x:c r="Q40" s="20">
        <x:f t="shared" ref="Q40:Q45" si="16">+G40*O40</x:f>
        <x:v>0</x:v>
      </x:c>
      <x:c r="R40" s="3"/>
      <x:c r="S40" s="3"/>
    </x:row>
    <x:row r="41" spans="1:19" ht="15.5" x14ac:dyDescent="0.35">
      <x:c r="A41" s="39">
        <x:f t="shared" si="4"/>
        <x:v>26</x:v>
      </x:c>
      <x:c r="B41" s="1"/>
      <x:c r="C41" s="18">
        <x:f t="shared" si="10"/>
        <x:v>2024</x:v>
      </x:c>
      <x:c r="D41" s="1"/>
      <x:c r="E41" s="19">
        <x:f t="shared" si="14"/>
        <x:v>8</x:v>
      </x:c>
      <x:c r="G41" s="43">
        <x:v>0</x:v>
      </x:c>
      <x:c r="H41" s="27"/>
      <x:c r="I41" s="43">
        <x:v>0</x:v>
      </x:c>
      <x:c r="J41" s="20">
        <x:f t="shared" si="11"/>
        <x:v>0</x:v>
      </x:c>
      <x:c r="K41" s="43">
        <x:v>0</x:v>
      </x:c>
      <x:c r="L41" s="3"/>
      <x:c r="M41" s="3"/>
      <x:c r="N41" s="3"/>
      <x:c r="O41" s="43">
        <x:f t="shared" si="15"/>
        <x:v>0</x:v>
      </x:c>
      <x:c r="P41" s="3"/>
      <x:c r="Q41" s="20">
        <x:f>+G41*O41</x:f>
        <x:v>0</x:v>
      </x:c>
      <x:c r="R41" s="3"/>
      <x:c r="S41" s="3"/>
    </x:row>
    <x:row r="42" spans="1:19" ht="15.5" x14ac:dyDescent="0.35">
      <x:c r="A42" s="39">
        <x:f t="shared" si="4"/>
        <x:v>27</x:v>
      </x:c>
      <x:c r="B42" s="1"/>
      <x:c r="C42" s="18">
        <x:f t="shared" si="10"/>
        <x:v>2024</x:v>
      </x:c>
      <x:c r="D42" s="1"/>
      <x:c r="E42" s="19">
        <x:f t="shared" si="14"/>
        <x:v>9</x:v>
      </x:c>
      <x:c r="G42" s="43">
        <x:v>0</x:v>
      </x:c>
      <x:c r="H42" s="27"/>
      <x:c r="I42" s="43">
        <x:v>0</x:v>
      </x:c>
      <x:c r="J42" s="20">
        <x:f t="shared" si="11"/>
        <x:v>0</x:v>
      </x:c>
      <x:c r="K42" s="43">
        <x:v>0</x:v>
      </x:c>
      <x:c r="L42" s="3"/>
      <x:c r="M42" s="3"/>
      <x:c r="N42" s="3"/>
      <x:c r="O42" s="43">
        <x:f t="shared" si="15"/>
        <x:v>0</x:v>
      </x:c>
      <x:c r="P42" s="3"/>
      <x:c r="Q42" s="20">
        <x:f t="shared" si="16"/>
        <x:v>0</x:v>
      </x:c>
      <x:c r="R42" s="3"/>
      <x:c r="S42" s="3"/>
    </x:row>
    <x:row r="43" spans="1:19" ht="15.5" x14ac:dyDescent="0.35">
      <x:c r="A43" s="39">
        <x:f t="shared" si="4"/>
        <x:v>28</x:v>
      </x:c>
      <x:c r="B43" s="1"/>
      <x:c r="C43" s="18">
        <x:f t="shared" si="10"/>
        <x:v>2024</x:v>
      </x:c>
      <x:c r="D43" s="1"/>
      <x:c r="E43" s="19">
        <x:f t="shared" si="14"/>
        <x:v>10</x:v>
      </x:c>
      <x:c r="G43" s="43">
        <x:v>0</x:v>
      </x:c>
      <x:c r="H43" s="27"/>
      <x:c r="I43" s="43">
        <x:v>0</x:v>
      </x:c>
      <x:c r="J43" s="20">
        <x:f t="shared" si="11"/>
        <x:v>0</x:v>
      </x:c>
      <x:c r="K43" s="43">
        <x:v>0</x:v>
      </x:c>
      <x:c r="L43" s="3"/>
      <x:c r="M43" s="3"/>
      <x:c r="N43" s="3"/>
      <x:c r="O43" s="43">
        <x:f t="shared" si="15"/>
        <x:v>0</x:v>
      </x:c>
      <x:c r="P43" s="3"/>
      <x:c r="Q43" s="20">
        <x:f t="shared" si="16"/>
        <x:v>0</x:v>
      </x:c>
      <x:c r="R43" s="3"/>
      <x:c r="S43" s="3"/>
    </x:row>
    <x:row r="44" spans="1:19" ht="15.5" x14ac:dyDescent="0.35">
      <x:c r="A44" s="39">
        <x:f t="shared" si="4"/>
        <x:v>29</x:v>
      </x:c>
      <x:c r="B44" s="1"/>
      <x:c r="C44" s="18">
        <x:f t="shared" si="10"/>
        <x:v>2024</x:v>
      </x:c>
      <x:c r="D44" s="1"/>
      <x:c r="E44" s="19">
        <x:f t="shared" si="14"/>
        <x:v>11</x:v>
      </x:c>
      <x:c r="G44" s="43">
        <x:v>0</x:v>
      </x:c>
      <x:c r="H44" s="27"/>
      <x:c r="I44" s="43">
        <x:v>0</x:v>
      </x:c>
      <x:c r="J44" s="20">
        <x:f t="shared" si="11"/>
        <x:v>0</x:v>
      </x:c>
      <x:c r="K44" s="43">
        <x:v>0</x:v>
      </x:c>
      <x:c r="L44" s="28"/>
      <x:c r="M44" s="28"/>
      <x:c r="N44" s="28"/>
      <x:c r="O44" s="43">
        <x:f t="shared" si="15"/>
        <x:v>0</x:v>
      </x:c>
      <x:c r="P44" s="28"/>
      <x:c r="Q44" s="20">
        <x:f t="shared" si="16"/>
        <x:v>0</x:v>
      </x:c>
      <x:c r="R44" s="28"/>
      <x:c r="S44" s="28"/>
    </x:row>
    <x:row r="45" spans="1:19" ht="15.5" x14ac:dyDescent="0.35">
      <x:c r="A45" s="39">
        <x:f t="shared" si="4"/>
        <x:v>30</x:v>
      </x:c>
      <x:c r="B45" s="1"/>
      <x:c r="C45" s="18">
        <x:f t="shared" si="10"/>
        <x:v>2024</x:v>
      </x:c>
      <x:c r="D45" s="1"/>
      <x:c r="E45" s="19">
        <x:f t="shared" si="14"/>
        <x:v>12</x:v>
      </x:c>
      <x:c r="G45" s="43">
        <x:v>0</x:v>
      </x:c>
      <x:c r="H45" s="27"/>
      <x:c r="I45" s="43">
        <x:v>0</x:v>
      </x:c>
      <x:c r="J45" s="20">
        <x:f t="shared" si="11"/>
        <x:v>0</x:v>
      </x:c>
      <x:c r="K45" s="43">
        <x:v>0</x:v>
      </x:c>
      <x:c r="L45" s="51"/>
      <x:c r="M45" s="51"/>
      <x:c r="N45" s="51"/>
      <x:c r="O45" s="68">
        <x:f t="shared" si="15"/>
        <x:v>0</x:v>
      </x:c>
      <x:c r="P45" s="51"/>
      <x:c r="Q45" s="59">
        <x:f t="shared" si="16"/>
        <x:v>0</x:v>
      </x:c>
      <x:c r="R45" s="28"/>
      <x:c r="S45" s="28"/>
    </x:row>
    <x:row r="46" spans="1:19" ht="15.5" x14ac:dyDescent="0.35">
      <x:c r="A46" s="39">
        <x:f t="shared" si="4"/>
        <x:v>31</x:v>
      </x:c>
      <x:c r="B46" s="1"/>
      <x:c r="C46" s="1" t="s">
        <x:v>8</x:v>
      </x:c>
      <x:c r="D46" s="1"/>
      <x:c r="E46" s="19"/>
      <x:c r="G46" s="76">
        <x:f t="shared" ref="G46:H46" si="17">SUM(G34:G45)</x:f>
        <x:v>0</x:v>
      </x:c>
      <x:c r="H46" s="76">
        <x:f t="shared" si="17"/>
        <x:v>0</x:v>
      </x:c>
      <x:c r="I46" s="76">
        <x:f>SUM(I34:I45)</x:f>
        <x:v>0</x:v>
      </x:c>
      <x:c r="J46" s="76"/>
      <x:c r="K46" s="76">
        <x:f>SUM(K34:K45)</x:f>
        <x:v>0</x:v>
      </x:c>
      <x:c r="L46" s="76"/>
      <x:c r="M46" s="76">
        <x:f>SUM(M40:M45)</x:f>
        <x:v>0</x:v>
      </x:c>
      <x:c r="N46" s="76"/>
      <x:c r="O46" s="77">
        <x:f>+K46-I46</x:f>
        <x:v>0</x:v>
      </x:c>
      <x:c r="P46" s="76"/>
      <x:c r="Q46" s="76">
        <x:f>SUM(Q34:Q45)</x:f>
        <x:v>0</x:v>
      </x:c>
      <x:c r="R46" s="22">
        <x:f>SUM(R40:R45)</x:f>
        <x:v>0</x:v>
      </x:c>
      <x:c r="S46" s="22"/>
    </x:row>
    <x:row r="47" spans="1:19" ht="15.5" x14ac:dyDescent="0.35">
      <x:c r="A47" s="39">
        <x:f t="shared" si="4"/>
        <x:v>32</x:v>
      </x:c>
      <x:c r="B47" s="4"/>
      <x:c r="C47" s="24"/>
      <x:c r="D47" s="4"/>
      <x:c r="E47" s="25"/>
      <x:c r="F47" s="8"/>
      <x:c r="G47" s="32"/>
      <x:c r="H47" s="33"/>
      <x:c r="I47" s="32"/>
      <x:c r="J47" s="35"/>
      <x:c r="K47" s="32"/>
      <x:c r="L47" s="35"/>
      <x:c r="M47" s="35"/>
      <x:c r="N47" s="35"/>
      <x:c r="O47" s="32"/>
      <x:c r="P47" s="35"/>
      <x:c r="Q47" s="36"/>
      <x:c r="R47" s="35"/>
      <x:c r="S47" s="35"/>
    </x:row>
    <x:row r="48" spans="1:19" ht="15.5" x14ac:dyDescent="0.35">
      <x:c r="A48" s="39">
        <x:f t="shared" si="4"/>
        <x:v>33</x:v>
      </x:c>
      <x:c r="B48" s="1"/>
      <x:c r="C48" s="21"/>
      <x:c r="D48" s="1"/>
      <x:c r="E48" s="19"/>
      <x:c r="G48" s="30"/>
      <x:c r="H48" s="27"/>
      <x:c r="I48" s="30"/>
      <x:c r="J48" s="28"/>
      <x:c r="K48" s="30"/>
      <x:c r="L48" s="28"/>
      <x:c r="M48" s="28"/>
      <x:c r="N48" s="28"/>
      <x:c r="O48" s="30"/>
      <x:c r="P48" s="28"/>
      <x:c r="Q48" s="31"/>
      <x:c r="R48" s="28"/>
      <x:c r="S48" s="28"/>
    </x:row>
    <x:row r="49" spans="1:20" ht="15.5" x14ac:dyDescent="0.35">
      <x:c r="A49" s="39">
        <x:f t="shared" si="4"/>
        <x:v>34</x:v>
      </x:c>
      <x:c r="B49" s="11"/>
      <x:c r="C49" s="11" t="s">
        <x:v>1</x:v>
      </x:c>
      <x:c r="D49" s="11"/>
      <x:c r="E49" s="11" t="s">
        <x:v>2</x:v>
      </x:c>
      <x:c r="F49" s="1"/>
      <x:c r="G49" s="12"/>
      <x:c r="H49" s="12"/>
      <x:c r="I49" s="14"/>
      <x:c r="J49" s="14"/>
      <x:c r="K49" s="14"/>
      <x:c r="L49" s="14"/>
      <x:c r="M49" s="13"/>
      <x:c r="N49" s="14"/>
      <x:c r="O49" s="12"/>
      <x:c r="P49" s="12"/>
      <x:c r="Q49" s="12" t="s">
        <x:v>8</x:v>
      </x:c>
      <x:c r="R49" s="13"/>
      <x:c r="S49" s="14"/>
    </x:row>
    <x:row r="50" spans="1:20" ht="15.5" x14ac:dyDescent="0.35">
      <x:c r="A50" s="39">
        <x:f t="shared" si="4"/>
        <x:v>35</x:v>
      </x:c>
      <x:c r="B50" s="1"/>
      <x:c r="C50" s="26"/>
      <x:c r="D50" s="1"/>
      <x:c r="E50" s="26"/>
      <x:c r="F50" s="1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6" t="s">
        <x:v>115</x:v>
      </x:c>
      <x:c r="R50" s="15"/>
      <x:c r="S50" s="15"/>
    </x:row>
    <x:row r="51" spans="1:20" ht="15.5" x14ac:dyDescent="0.35">
      <x:c r="A51" s="39">
        <x:f t="shared" si="4"/>
        <x:v>36</x:v>
      </x:c>
      <x:c r="C51" s="23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</x:row>
    <x:row r="52" spans="1:20" ht="15.5" x14ac:dyDescent="0.35">
      <x:c r="A52" s="39">
        <x:f t="shared" si="4"/>
        <x:v>37</x:v>
      </x:c>
      <x:c r="B52" s="1"/>
      <x:c r="C52" s="21">
        <x:f>+C34</x:f>
        <x:v>2024</x:v>
      </x:c>
      <x:c r="D52" s="1"/>
      <x:c r="E52" s="19">
        <x:f>+E34</x:f>
        <x:v>1</x:v>
      </x:c>
      <x:c r="G52" s="27"/>
      <x:c r="H52" s="27"/>
      <x:c r="I52" s="27"/>
      <x:c r="J52" s="28"/>
      <x:c r="K52" s="27"/>
      <x:c r="L52" s="28"/>
      <x:c r="M52" s="28"/>
      <x:c r="N52" s="28"/>
      <x:c r="O52" s="27"/>
      <x:c r="P52" s="28"/>
      <x:c r="Q52" s="27">
        <x:f>+Q16+Q34</x:f>
        <x:v>2359.0390414606768</x:v>
      </x:c>
      <x:c r="R52" s="28"/>
      <x:c r="S52" s="28"/>
    </x:row>
    <x:row r="53" spans="1:20" ht="15.5" x14ac:dyDescent="0.35">
      <x:c r="A53" s="39">
        <x:f t="shared" si="4"/>
        <x:v>38</x:v>
      </x:c>
      <x:c r="B53" s="1"/>
      <x:c r="C53" s="21">
        <x:f t="shared" ref="C53:C63" si="18">+C35</x:f>
        <x:v>2024</x:v>
      </x:c>
      <x:c r="D53" s="1"/>
      <x:c r="E53" s="19">
        <x:f t="shared" ref="E53:E63" si="19">+E35</x:f>
        <x:v>2</x:v>
      </x:c>
      <x:c r="G53" s="27"/>
      <x:c r="H53" s="27"/>
      <x:c r="I53" s="27"/>
      <x:c r="J53" s="28"/>
      <x:c r="K53" s="27"/>
      <x:c r="L53" s="28"/>
      <x:c r="M53" s="28"/>
      <x:c r="N53" s="28"/>
      <x:c r="O53" s="27"/>
      <x:c r="P53" s="28"/>
      <x:c r="Q53" s="27">
        <x:f t="shared" ref="Q53:Q63" si="20">+Q17+Q35</x:f>
        <x:v>2136.5661909525234</x:v>
      </x:c>
      <x:c r="R53" s="28"/>
      <x:c r="S53" s="28"/>
    </x:row>
    <x:row r="54" spans="1:20" ht="15.5" x14ac:dyDescent="0.35">
      <x:c r="A54" s="39">
        <x:f t="shared" si="4"/>
        <x:v>39</x:v>
      </x:c>
      <x:c r="B54" s="1"/>
      <x:c r="C54" s="21">
        <x:f t="shared" si="18"/>
        <x:v>2024</x:v>
      </x:c>
      <x:c r="D54" s="1"/>
      <x:c r="E54" s="19">
        <x:f t="shared" si="19"/>
        <x:v>3</x:v>
      </x:c>
      <x:c r="G54" s="27"/>
      <x:c r="H54" s="27"/>
      <x:c r="I54" s="27"/>
      <x:c r="J54" s="28"/>
      <x:c r="K54" s="27"/>
      <x:c r="L54" s="28"/>
      <x:c r="M54" s="28"/>
      <x:c r="N54" s="28"/>
      <x:c r="O54" s="27"/>
      <x:c r="P54" s="28"/>
      <x:c r="Q54" s="27">
        <x:f t="shared" si="20"/>
        <x:v>-8757.6846734168976</x:v>
      </x:c>
      <x:c r="R54" s="28"/>
      <x:c r="S54" s="28"/>
    </x:row>
    <x:row r="55" spans="1:20" ht="15.5" x14ac:dyDescent="0.35">
      <x:c r="A55" s="39">
        <x:f t="shared" si="4"/>
        <x:v>40</x:v>
      </x:c>
      <x:c r="B55" s="1"/>
      <x:c r="C55" s="21">
        <x:f t="shared" si="18"/>
        <x:v>2024</x:v>
      </x:c>
      <x:c r="D55" s="1"/>
      <x:c r="E55" s="19">
        <x:f t="shared" si="19"/>
        <x:v>4</x:v>
      </x:c>
      <x:c r="G55" s="27"/>
      <x:c r="H55" s="27"/>
      <x:c r="I55" s="27"/>
      <x:c r="J55" s="28"/>
      <x:c r="K55" s="27"/>
      <x:c r="L55" s="28"/>
      <x:c r="M55" s="28"/>
      <x:c r="N55" s="28"/>
      <x:c r="O55" s="27"/>
      <x:c r="P55" s="28"/>
      <x:c r="Q55" s="27">
        <x:f t="shared" si="20"/>
        <x:v>2710.620958224059</x:v>
      </x:c>
      <x:c r="R55" s="28"/>
      <x:c r="S55" s="28"/>
    </x:row>
    <x:row r="56" spans="1:20" ht="15.5" x14ac:dyDescent="0.35">
      <x:c r="A56" s="39">
        <x:f t="shared" si="4"/>
        <x:v>41</x:v>
      </x:c>
      <x:c r="B56" s="1"/>
      <x:c r="C56" s="21">
        <x:f t="shared" si="18"/>
        <x:v>2024</x:v>
      </x:c>
      <x:c r="D56" s="1"/>
      <x:c r="E56" s="19">
        <x:f t="shared" si="19"/>
        <x:v>5</x:v>
      </x:c>
      <x:c r="G56" s="27"/>
      <x:c r="H56" s="27"/>
      <x:c r="I56" s="27"/>
      <x:c r="J56" s="28"/>
      <x:c r="K56" s="27"/>
      <x:c r="L56" s="28"/>
      <x:c r="M56" s="28"/>
      <x:c r="N56" s="28"/>
      <x:c r="O56" s="27"/>
      <x:c r="P56" s="28"/>
      <x:c r="Q56" s="27">
        <x:f t="shared" si="20"/>
        <x:v>-7252.9805076341117</x:v>
      </x:c>
      <x:c r="R56" s="28"/>
      <x:c r="S56" s="28"/>
    </x:row>
    <x:row r="57" spans="1:20" ht="15.5" x14ac:dyDescent="0.35">
      <x:c r="A57" s="39">
        <x:f t="shared" si="4"/>
        <x:v>42</x:v>
      </x:c>
      <x:c r="B57" s="1"/>
      <x:c r="C57" s="21">
        <x:f t="shared" si="18"/>
        <x:v>2024</x:v>
      </x:c>
      <x:c r="D57" s="1"/>
      <x:c r="E57" s="19">
        <x:f t="shared" si="19"/>
        <x:v>6</x:v>
      </x:c>
      <x:c r="G57" s="30"/>
      <x:c r="H57" s="30"/>
      <x:c r="I57" s="30"/>
      <x:c r="J57" s="51"/>
      <x:c r="K57" s="30"/>
      <x:c r="L57" s="51"/>
      <x:c r="M57" s="51"/>
      <x:c r="N57" s="51"/>
      <x:c r="O57" s="30"/>
      <x:c r="P57" s="51"/>
      <x:c r="Q57" s="30">
        <x:f t="shared" si="20"/>
        <x:v>-13284.988953727539</x:v>
      </x:c>
      <x:c r="R57" s="46"/>
      <x:c r="S57" s="46"/>
    </x:row>
    <x:row r="58" spans="1:20" ht="15.5" x14ac:dyDescent="0.35">
      <x:c r="A58" s="39">
        <x:f t="shared" si="4"/>
        <x:v>43</x:v>
      </x:c>
      <x:c r="B58" s="1"/>
      <x:c r="C58" s="21">
        <x:f t="shared" si="18"/>
        <x:v>2024</x:v>
      </x:c>
      <x:c r="D58" s="1"/>
      <x:c r="E58" s="19">
        <x:f t="shared" si="19"/>
        <x:v>7</x:v>
      </x:c>
      <x:c r="G58" s="27"/>
      <x:c r="H58" s="28"/>
      <x:c r="I58" s="27"/>
      <x:c r="J58" s="28"/>
      <x:c r="K58" s="27"/>
      <x:c r="L58" s="28"/>
      <x:c r="M58" s="28"/>
      <x:c r="N58" s="28"/>
      <x:c r="O58" s="27"/>
      <x:c r="P58" s="28"/>
      <x:c r="Q58" s="27">
        <x:f>+Q22+Q40</x:f>
        <x:v>-9369.2573881820372</x:v>
      </x:c>
      <x:c r="R58" s="28"/>
      <x:c r="S58" s="28"/>
    </x:row>
    <x:row r="59" spans="1:20" ht="15.5" x14ac:dyDescent="0.35">
      <x:c r="A59" s="39">
        <x:f t="shared" si="4"/>
        <x:v>44</x:v>
      </x:c>
      <x:c r="B59" s="1"/>
      <x:c r="C59" s="21">
        <x:f t="shared" si="18"/>
        <x:v>2024</x:v>
      </x:c>
      <x:c r="D59" s="1"/>
      <x:c r="E59" s="19">
        <x:f t="shared" si="19"/>
        <x:v>8</x:v>
      </x:c>
      <x:c r="G59" s="27"/>
      <x:c r="H59" s="27"/>
      <x:c r="I59" s="27"/>
      <x:c r="J59" s="28"/>
      <x:c r="K59" s="27"/>
      <x:c r="L59" s="28"/>
      <x:c r="M59" s="28"/>
      <x:c r="N59" s="28"/>
      <x:c r="O59" s="27"/>
      <x:c r="P59" s="28"/>
      <x:c r="Q59" s="27">
        <x:f t="shared" si="20"/>
        <x:v>3678.8118246215631</x:v>
      </x:c>
      <x:c r="R59" s="28"/>
      <x:c r="S59" s="28"/>
    </x:row>
    <x:row r="60" spans="1:20" ht="15.5" x14ac:dyDescent="0.35">
      <x:c r="A60" s="39">
        <x:f t="shared" si="4"/>
        <x:v>45</x:v>
      </x:c>
      <x:c r="B60" s="1"/>
      <x:c r="C60" s="21">
        <x:f t="shared" si="18"/>
        <x:v>2024</x:v>
      </x:c>
      <x:c r="D60" s="1"/>
      <x:c r="E60" s="19">
        <x:f t="shared" si="19"/>
        <x:v>9</x:v>
      </x:c>
      <x:c r="G60" s="27"/>
      <x:c r="H60" s="27"/>
      <x:c r="I60" s="27"/>
      <x:c r="J60" s="28"/>
      <x:c r="K60" s="27"/>
      <x:c r="L60" s="28"/>
      <x:c r="M60" s="28"/>
      <x:c r="N60" s="28"/>
      <x:c r="O60" s="27"/>
      <x:c r="P60" s="28"/>
      <x:c r="Q60" s="27">
        <x:f t="shared" si="20"/>
        <x:v>-12290.125243273331</x:v>
      </x:c>
      <x:c r="R60" s="28"/>
      <x:c r="S60" s="28"/>
    </x:row>
    <x:row r="61" spans="1:20" ht="15.5" x14ac:dyDescent="0.35">
      <x:c r="A61" s="39">
        <x:f t="shared" si="4"/>
        <x:v>46</x:v>
      </x:c>
      <x:c r="B61" s="1"/>
      <x:c r="C61" s="21">
        <x:f t="shared" si="18"/>
        <x:v>2024</x:v>
      </x:c>
      <x:c r="D61" s="1"/>
      <x:c r="E61" s="19">
        <x:f t="shared" si="19"/>
        <x:v>10</x:v>
      </x:c>
      <x:c r="G61" s="27"/>
      <x:c r="H61" s="27"/>
      <x:c r="I61" s="27"/>
      <x:c r="J61" s="28"/>
      <x:c r="K61" s="27"/>
      <x:c r="L61" s="28"/>
      <x:c r="M61" s="28"/>
      <x:c r="N61" s="28"/>
      <x:c r="O61" s="27"/>
      <x:c r="P61" s="28"/>
      <x:c r="Q61" s="27">
        <x:f t="shared" si="20"/>
        <x:v>-6587.0327150291032</x:v>
      </x:c>
      <x:c r="R61" s="28"/>
      <x:c r="S61" s="28"/>
    </x:row>
    <x:row r="62" spans="1:20" ht="15.5" x14ac:dyDescent="0.35">
      <x:c r="A62" s="39">
        <x:f t="shared" si="4"/>
        <x:v>47</x:v>
      </x:c>
      <x:c r="B62" s="1"/>
      <x:c r="C62" s="21">
        <x:f t="shared" si="18"/>
        <x:v>2024</x:v>
      </x:c>
      <x:c r="D62" s="1"/>
      <x:c r="E62" s="19">
        <x:f t="shared" si="19"/>
        <x:v>11</x:v>
      </x:c>
      <x:c r="G62" s="27"/>
      <x:c r="H62" s="27"/>
      <x:c r="I62" s="27"/>
      <x:c r="J62" s="28"/>
      <x:c r="K62" s="27"/>
      <x:c r="L62" s="28"/>
      <x:c r="M62" s="28"/>
      <x:c r="N62" s="28"/>
      <x:c r="O62" s="27"/>
      <x:c r="P62" s="28"/>
      <x:c r="Q62" s="27">
        <x:f t="shared" si="20"/>
        <x:v>-26066.907044624048</x:v>
      </x:c>
      <x:c r="R62" s="28"/>
      <x:c r="S62" s="28"/>
    </x:row>
    <x:row r="63" spans="1:20" ht="15.5" x14ac:dyDescent="0.35">
      <x:c r="A63" s="39">
        <x:f t="shared" si="4"/>
        <x:v>48</x:v>
      </x:c>
      <x:c r="B63" s="1"/>
      <x:c r="C63" s="21">
        <x:f t="shared" si="18"/>
        <x:v>2024</x:v>
      </x:c>
      <x:c r="D63" s="1"/>
      <x:c r="E63" s="19">
        <x:f t="shared" si="19"/>
        <x:v>12</x:v>
      </x:c>
      <x:c r="G63" s="27"/>
      <x:c r="H63" s="27"/>
      <x:c r="I63" s="27"/>
      <x:c r="J63" s="28"/>
      <x:c r="K63" s="27"/>
      <x:c r="L63" s="28"/>
      <x:c r="M63" s="28"/>
      <x:c r="N63" s="28"/>
      <x:c r="O63" s="27"/>
      <x:c r="P63" s="28"/>
      <x:c r="Q63" s="30">
        <x:f t="shared" si="20"/>
        <x:v>-3826.1758930174969</x:v>
      </x:c>
      <x:c r="R63" s="28"/>
      <x:c r="S63" s="28"/>
    </x:row>
    <x:row r="64" spans="1:20" ht="15.5" x14ac:dyDescent="0.35">
      <x:c r="A64" s="39">
        <x:f t="shared" si="4"/>
        <x:v>49</x:v>
      </x:c>
      <x:c r="C64" s="37" t="s">
        <x:v>8</x:v>
      </x:c>
      <x:c r="E64" s="19"/>
      <x:c r="G64" s="72"/>
      <x:c r="H64" s="78"/>
      <x:c r="I64" s="78"/>
      <x:c r="J64" s="74"/>
      <x:c r="K64" s="78"/>
      <x:c r="L64" s="74"/>
      <x:c r="M64" s="74"/>
      <x:c r="N64" s="74"/>
      <x:c r="O64" s="78"/>
      <x:c r="P64" s="74"/>
      <x:c r="Q64" s="72">
        <x:f>SUM(Q52:Q63)</x:f>
        <x:v>-76550.114403645741</x:v>
      </x:c>
      <x:c r="R64" s="28"/>
      <x:c r="S64" s="28"/>
      <x:c r="T64" s="64"/>
    </x:row>
    <x:row r="71" spans="3:19" ht="15.5" x14ac:dyDescent="0.35">
      <x:c r="G71" s="27"/>
      <x:c r="H71" s="27"/>
      <x:c r="I71" s="27"/>
      <x:c r="J71" s="28"/>
      <x:c r="K71" s="27"/>
      <x:c r="L71" s="28"/>
      <x:c r="M71" s="28"/>
      <x:c r="N71" s="28"/>
      <x:c r="O71" s="27"/>
      <x:c r="P71" s="28"/>
      <x:c r="R71" s="28"/>
      <x:c r="S71" s="28"/>
    </x:row>
    <x:row r="72" spans="3:19" ht="15.5" x14ac:dyDescent="0.35">
      <x:c r="C72" s="23"/>
      <x:c r="G72" s="27"/>
      <x:c r="H72" s="27"/>
      <x:c r="I72" s="27"/>
      <x:c r="J72" s="27"/>
      <x:c r="K72" s="27"/>
      <x:c r="L72" s="27"/>
      <x:c r="M72" s="28"/>
      <x:c r="N72" s="28"/>
      <x:c r="O72" s="28"/>
      <x:c r="P72" s="28"/>
      <x:c r="Q72" s="28"/>
      <x:c r="R72" s="28"/>
      <x:c r="S72" s="28"/>
    </x:row>
  </x:sheetData>
  <x:phoneticPr fontId="2" type="noConversion"/>
  <x:printOptions horizontalCentered="1"/>
  <x:pageMargins left="0.25" right="0" top="1.5" bottom="0.25" header="0.5" footer="0.5"/>
  <x:pageSetup scale="45" orientation="landscape" r:id="rId1"/>
  <x:headerFooter alignWithMargins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25">
    <x:tabColor rgb="FF00B0F0"/>
    <x:pageSetUpPr fitToPage="1"/>
  </x:sheetPr>
  <x:dimension ref="A1:Q67"/>
  <x:sheetViews>
    <x:sheetView zoomScale="75" zoomScaleNormal="75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22.36328125" bestFit="1" customWidth="1"/>
    <x:col min="8" max="8" width="1.453125" customWidth="1"/>
    <x:col min="9" max="9" width="1.08984375" customWidth="1"/>
    <x:col min="10" max="10" width="22.6328125" customWidth="1"/>
    <x:col min="11" max="11" width="1.08984375" customWidth="1"/>
    <x:col min="12" max="12" width="16.90625" hidden="1" customWidth="1"/>
    <x:col min="13" max="13" width="27.36328125" customWidth="1"/>
    <x:col min="14" max="14" width="1.08984375" customWidth="1"/>
    <x:col min="15" max="15" width="23" customWidth="1"/>
    <x:col min="16" max="16" width="1.08984375" customWidth="1"/>
    <x:col min="17" max="17" width="20.6328125" customWidth="1"/>
  </x:cols>
  <x:sheetData>
    <x:row r="1" spans="1:17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t="s">
        <x:v>10</x:v>
      </x:c>
    </x:row>
    <x:row r="2" spans="1:17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82" t="s">
        <x:v>132</x:v>
      </x:c>
    </x:row>
    <x:row r="3" spans="1:17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spans="1:17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spans="1:17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</x:row>
    <x:row r="6" spans="1:17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8"/>
      <x:c r="I6" s="6"/>
      <x:c r="J6" s="6"/>
      <x:c r="K6" s="6"/>
      <x:c r="L6" s="6"/>
      <x:c r="M6" s="6"/>
      <x:c r="N6" s="6"/>
      <x:c r="O6" s="6"/>
      <x:c r="P6" s="6"/>
      <x:c r="Q6" s="6"/>
    </x:row>
    <x:row r="7" spans="1:17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8"/>
      <x:c r="I7" s="6"/>
      <x:c r="J7" s="6"/>
      <x:c r="K7" s="6"/>
      <x:c r="L7" s="6"/>
      <x:c r="M7" s="6"/>
      <x:c r="N7" s="6"/>
      <x:c r="O7" s="6"/>
      <x:c r="P7" s="6"/>
      <x:c r="Q7" s="6"/>
    </x:row>
    <x:row r="8" spans="1:17" ht="15.5" x14ac:dyDescent="0.35">
      <x:c r="B8" s="4"/>
      <x:c r="C8" s="4"/>
      <x:c r="D8" s="4"/>
      <x:c r="E8" s="4"/>
      <x:c r="F8" s="4"/>
      <x:c r="G8" s="6"/>
      <x:c r="H8" s="6"/>
      <x:c r="I8" s="6"/>
      <x:c r="J8" s="6"/>
      <x:c r="K8" s="6"/>
      <x:c r="L8" s="6"/>
      <x:c r="M8" s="6"/>
      <x:c r="N8" s="6"/>
      <x:c r="O8" s="20"/>
      <x:c r="P8" s="20"/>
      <x:c r="Q8" s="20"/>
    </x:row>
    <x:row r="9" spans="1:17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9"/>
      <x:c r="M9" s="9"/>
      <x:c r="N9" s="9"/>
      <x:c r="O9" s="42"/>
      <x:c r="P9" s="42"/>
      <x:c r="Q9" s="42"/>
    </x:row>
    <x:row r="10" spans="1:17" ht="15.5" x14ac:dyDescent="0.35">
      <x:c r="B10" s="4"/>
      <x:c r="C10" s="4"/>
      <x:c r="D10" s="4"/>
      <x:c r="E10" s="4"/>
      <x:c r="F10" s="4"/>
      <x:c r="G10" s="6"/>
      <x:c r="H10" s="6"/>
      <x:c r="I10" s="6"/>
      <x:c r="J10" s="6"/>
      <x:c r="K10" s="6"/>
      <x:c r="L10" s="6"/>
      <x:c r="M10" s="6"/>
      <x:c r="N10" s="6"/>
      <x:c r="O10" s="20"/>
      <x:c r="P10" s="20"/>
      <x:c r="Q10" s="20"/>
    </x:row>
    <x:row r="11" spans="1:17" ht="15.5" x14ac:dyDescent="0.35">
      <x:c r="B11" s="4"/>
      <x:c r="C11" s="102" t="s">
        <x:v>93</x:v>
      </x:c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</x:row>
    <x:row r="12" spans="1:17" ht="15.5" x14ac:dyDescent="0.35">
      <x:c r="A12" s="1"/>
      <x:c r="B12" s="1"/>
      <x:c r="C12" s="1"/>
      <x:c r="D12" s="1"/>
      <x:c r="E12" s="1"/>
      <x:c r="F12" s="1"/>
      <x:c r="G12" s="10" t="s">
        <x:v>116</x:v>
      </x:c>
      <x:c r="H12" s="3"/>
      <x:c r="I12" s="3"/>
      <x:c r="J12" s="10" t="s">
        <x:v>87</x:v>
      </x:c>
      <x:c r="K12" s="3"/>
      <x:c r="L12" s="3"/>
      <x:c r="M12" s="10" t="s">
        <x:v>87</x:v>
      </x:c>
      <x:c r="N12" s="3"/>
      <x:c r="O12" s="10" t="s">
        <x:v>87</x:v>
      </x:c>
      <x:c r="P12" s="3"/>
      <x:c r="Q12" s="10" t="s">
        <x:v>87</x:v>
      </x:c>
    </x:row>
    <x:row r="13" spans="1:17" ht="15.5" x14ac:dyDescent="0.35">
      <x:c r="A13" s="11" t="s">
        <x:v>0</x:v>
      </x:c>
      <x:c r="B13" s="11"/>
      <x:c r="C13" s="11" t="s">
        <x:v>1</x:v>
      </x:c>
      <x:c r="D13" s="11"/>
      <x:c r="E13" s="11" t="s">
        <x:v>2</x:v>
      </x:c>
      <x:c r="F13" s="1"/>
      <x:c r="G13" s="12" t="s">
        <x:v>117</x:v>
      </x:c>
      <x:c r="H13" s="12"/>
      <x:c r="I13" s="12"/>
      <x:c r="J13" s="12" t="s">
        <x:v>47</x:v>
      </x:c>
      <x:c r="K13" s="12"/>
      <x:c r="L13" s="12" t="s">
        <x:v>4</x:v>
      </x:c>
      <x:c r="M13" s="13" t="s">
        <x:v>50</x:v>
      </x:c>
      <x:c r="N13" s="14"/>
      <x:c r="O13" s="12" t="s">
        <x:v>40</x:v>
      </x:c>
      <x:c r="P13" s="14"/>
      <x:c r="Q13" s="12" t="s">
        <x:v>39</x:v>
      </x:c>
    </x:row>
    <x:row r="14" spans="1:17" ht="15.5" x14ac:dyDescent="0.35">
      <x:c r="A14" s="1" t="s">
        <x:v>78</x:v>
      </x:c>
      <x:c r="B14" s="1"/>
      <x:c r="C14" s="1"/>
      <x:c r="D14" s="1"/>
      <x:c r="E14" s="1"/>
      <x:c r="F14" s="1"/>
      <x:c r="G14" s="16" t="s">
        <x:v>15</x:v>
      </x:c>
      <x:c r="H14" s="15"/>
      <x:c r="I14" s="15"/>
      <x:c r="J14" s="16" t="s">
        <x:v>18</x:v>
      </x:c>
      <x:c r="K14" s="15"/>
      <x:c r="L14" s="15"/>
      <x:c r="M14" s="16" t="s">
        <x:v>19</x:v>
      </x:c>
      <x:c r="N14" s="15"/>
      <x:c r="O14" s="16" t="s">
        <x:v>48</x:v>
      </x:c>
      <x:c r="P14" s="15"/>
      <x:c r="Q14" s="16" t="s">
        <x:v>49</x:v>
      </x:c>
    </x:row>
    <x:row r="15" spans="1:17" ht="15.5" x14ac:dyDescent="0.35">
      <x:c r="A15" s="17"/>
      <x:c r="B15" s="1"/>
      <x:c r="C15" s="17"/>
      <x:c r="D15" s="1"/>
      <x:c r="E15" s="17"/>
      <x:c r="F15" s="1"/>
      <x:c r="G15" s="12"/>
      <x:c r="H15" s="3"/>
      <x:c r="I15" s="3"/>
      <x:c r="J15" s="3"/>
      <x:c r="K15" s="3"/>
      <x:c r="L15" s="3"/>
      <x:c r="M15" s="14"/>
      <x:c r="N15" s="3"/>
      <x:c r="O15" s="3"/>
      <x:c r="P15" s="3"/>
      <x:c r="Q15" s="3"/>
    </x:row>
    <x:row r="16" spans="1:17" ht="15.5" x14ac:dyDescent="0.35">
      <x:c r="A16" s="39">
        <x:v>1</x:v>
      </x:c>
      <x:c r="B16" s="1"/>
      <x:c r="C16" s="62">
        <x:f>+'Weather Adjustment'!C16</x:f>
        <x:v>2024</x:v>
      </x:c>
      <x:c r="D16" s="1"/>
      <x:c r="E16" s="19">
        <x:f>+'Weather Adjustment'!E16</x:f>
        <x:v>1</x:v>
      </x:c>
      <x:c r="F16" s="1"/>
      <x:c r="G16" s="20">
        <x:f>+'[1]GS PRI LRG IDR '!I16</x:f>
        <x:v>1672071164</x:v>
      </x:c>
      <x:c r="H16" s="3"/>
      <x:c r="I16" s="20"/>
      <x:c r="J16" s="20">
        <x:f>+'[1]GS PRI LRG NONIDR'!I16</x:f>
        <x:v>159511720</x:v>
      </x:c>
      <x:c r="K16" s="20"/>
      <x:c r="L16" s="20" t="e">
        <x:f>SUM(#REF!,J16)</x:f>
        <x:v>#REF!</x:v>
      </x:c>
      <x:c r="M16" s="20">
        <x:f t="shared" ref="M16:M21" si="0">SUM(G16,J16)</x:f>
        <x:v>1831582884</x:v>
      </x:c>
      <x:c r="N16" s="20"/>
      <x:c r="O16" s="43">
        <x:f t="shared" ref="O16:O21" si="1">+G16/M16</x:f>
        <x:v>0.91291045499855195</x:v>
      </x:c>
      <x:c r="P16" s="20"/>
      <x:c r="Q16" s="43">
        <x:f t="shared" ref="Q16:Q21" si="2">+J16/M16</x:f>
        <x:v>8.7089545001448054E-2</x:v>
      </x:c>
    </x:row>
    <x:row r="17" spans="1:17" ht="15.5" x14ac:dyDescent="0.35">
      <x:c r="A17" s="39">
        <x:f>+A16+1</x:f>
        <x:v>2</x:v>
      </x:c>
      <x:c r="B17" s="1"/>
      <x:c r="C17" s="62">
        <x:f>+'Weather Adjustment'!C17</x:f>
        <x:v>2024</x:v>
      </x:c>
      <x:c r="D17" s="1"/>
      <x:c r="E17" s="19">
        <x:f>+'Weather Adjustment'!E17</x:f>
        <x:v>2</x:v>
      </x:c>
      <x:c r="F17" s="1"/>
      <x:c r="G17" s="20">
        <x:f>+'[1]GS PRI LRG IDR '!I18</x:f>
        <x:v>1636791716</x:v>
      </x:c>
      <x:c r="H17" s="3"/>
      <x:c r="I17" s="20"/>
      <x:c r="J17" s="20">
        <x:f>+'[1]GS PRI LRG NONIDR'!I18</x:f>
        <x:v>141685660</x:v>
      </x:c>
      <x:c r="K17" s="20"/>
      <x:c r="L17" s="20" t="e">
        <x:f>SUM(#REF!,J17)</x:f>
        <x:v>#REF!</x:v>
      </x:c>
      <x:c r="M17" s="20">
        <x:f t="shared" si="0"/>
        <x:v>1778477376</x:v>
      </x:c>
      <x:c r="N17" s="20"/>
      <x:c r="O17" s="43">
        <x:f t="shared" si="1"/>
        <x:v>0.92033316706076562</x:v>
      </x:c>
      <x:c r="P17" s="20"/>
      <x:c r="Q17" s="43">
        <x:f t="shared" si="2"/>
        <x:v>7.9666832939234419E-2</x:v>
      </x:c>
    </x:row>
    <x:row r="18" spans="1:17" ht="15.5" x14ac:dyDescent="0.35">
      <x:c r="A18" s="39">
        <x:f t="shared" ref="A18:A46" si="3">+A17+1</x:f>
        <x:v>3</x:v>
      </x:c>
      <x:c r="B18" s="1"/>
      <x:c r="C18" s="62">
        <x:f>+'Weather Adjustment'!C18</x:f>
        <x:v>2024</x:v>
      </x:c>
      <x:c r="D18" s="1"/>
      <x:c r="E18" s="19">
        <x:f>+'Weather Adjustment'!E18</x:f>
        <x:v>3</x:v>
      </x:c>
      <x:c r="F18" s="1"/>
      <x:c r="G18" s="20">
        <x:f>+'[1]GS PRI LRG IDR '!I20</x:f>
        <x:v>1374492571</x:v>
      </x:c>
      <x:c r="H18" s="3"/>
      <x:c r="I18" s="20"/>
      <x:c r="J18" s="20">
        <x:f>+'[1]GS PRI LRG NONIDR'!I20</x:f>
        <x:v>54954202</x:v>
      </x:c>
      <x:c r="K18" s="20"/>
      <x:c r="L18" s="20" t="e">
        <x:f>SUM(#REF!,J18)</x:f>
        <x:v>#REF!</x:v>
      </x:c>
      <x:c r="M18" s="20">
        <x:f t="shared" si="0"/>
        <x:v>1429446773</x:v>
      </x:c>
      <x:c r="N18" s="20"/>
      <x:c r="O18" s="43">
        <x:f t="shared" si="1"/>
        <x:v>0.9615556150547202</x:v>
      </x:c>
      <x:c r="P18" s="20"/>
      <x:c r="Q18" s="43">
        <x:f t="shared" si="2"/>
        <x:v>3.8444384945279804E-2</x:v>
      </x:c>
    </x:row>
    <x:row r="19" spans="1:17" ht="15.5" x14ac:dyDescent="0.35">
      <x:c r="A19" s="39">
        <x:f t="shared" si="3"/>
        <x:v>4</x:v>
      </x:c>
      <x:c r="B19" s="1"/>
      <x:c r="C19" s="62">
        <x:f>+'Weather Adjustment'!C19</x:f>
        <x:v>2024</x:v>
      </x:c>
      <x:c r="D19" s="1"/>
      <x:c r="E19" s="19">
        <x:f>+'Weather Adjustment'!E19</x:f>
        <x:v>4</x:v>
      </x:c>
      <x:c r="F19" s="1"/>
      <x:c r="G19" s="20">
        <x:f>+'[1]GS PRI LRG IDR '!I22</x:f>
        <x:v>1666181567</x:v>
      </x:c>
      <x:c r="H19" s="3"/>
      <x:c r="I19" s="20"/>
      <x:c r="J19" s="20">
        <x:f>+'[1]GS PRI LRG NONIDR'!I22</x:f>
        <x:v>147642591</x:v>
      </x:c>
      <x:c r="K19" s="20"/>
      <x:c r="L19" s="20" t="e">
        <x:f>SUM(#REF!,J19)</x:f>
        <x:v>#REF!</x:v>
      </x:c>
      <x:c r="M19" s="20">
        <x:f t="shared" si="0"/>
        <x:v>1813824158</x:v>
      </x:c>
      <x:c r="N19" s="20"/>
      <x:c r="O19" s="43">
        <x:f t="shared" si="1"/>
        <x:v>0.91860148606533221</x:v>
      </x:c>
      <x:c r="P19" s="20"/>
      <x:c r="Q19" s="43">
        <x:f t="shared" si="2"/>
        <x:v>8.1398513934667752E-2</x:v>
      </x:c>
    </x:row>
    <x:row r="20" spans="1:17" ht="15.5" x14ac:dyDescent="0.35">
      <x:c r="A20" s="39">
        <x:f t="shared" si="3"/>
        <x:v>5</x:v>
      </x:c>
      <x:c r="B20" s="1"/>
      <x:c r="C20" s="62">
        <x:f>+'Weather Adjustment'!C20</x:f>
        <x:v>2024</x:v>
      </x:c>
      <x:c r="D20" s="1"/>
      <x:c r="E20" s="19">
        <x:f>+'Weather Adjustment'!E20</x:f>
        <x:v>5</x:v>
      </x:c>
      <x:c r="F20" s="1"/>
      <x:c r="G20" s="20">
        <x:f>+'[1]GS PRI LRG IDR '!I24</x:f>
        <x:v>1451344173</x:v>
      </x:c>
      <x:c r="H20" s="3"/>
      <x:c r="I20" s="20"/>
      <x:c r="J20" s="20">
        <x:f>+'[1]GS PRI LRG NONIDR'!I24</x:f>
        <x:v>122442100</x:v>
      </x:c>
      <x:c r="K20" s="20"/>
      <x:c r="L20" s="20" t="e">
        <x:f>SUM(#REF!,J20)</x:f>
        <x:v>#REF!</x:v>
      </x:c>
      <x:c r="M20" s="20">
        <x:f t="shared" si="0"/>
        <x:v>1573786273</x:v>
      </x:c>
      <x:c r="N20" s="20"/>
      <x:c r="O20" s="43">
        <x:f t="shared" si="1"/>
        <x:v>0.92219902911810436</x:v>
      </x:c>
      <x:c r="P20" s="20"/>
      <x:c r="Q20" s="43">
        <x:f t="shared" si="2"/>
        <x:v>7.7800970881895595E-2</x:v>
      </x:c>
    </x:row>
    <x:row r="21" spans="1:17" ht="15.5" x14ac:dyDescent="0.35">
      <x:c r="A21" s="39">
        <x:f t="shared" si="3"/>
        <x:v>6</x:v>
      </x:c>
      <x:c r="B21" s="1"/>
      <x:c r="C21" s="62">
        <x:f>+'Weather Adjustment'!C21</x:f>
        <x:v>2024</x:v>
      </x:c>
      <x:c r="D21" s="1"/>
      <x:c r="E21" s="19">
        <x:f>+'Weather Adjustment'!E21</x:f>
        <x:v>6</x:v>
      </x:c>
      <x:c r="F21" s="1"/>
      <x:c r="G21" s="20">
        <x:f>+'[1]GS PRI LRG IDR '!I26</x:f>
        <x:v>1676588618</x:v>
      </x:c>
      <x:c r="H21" s="3"/>
      <x:c r="I21" s="20"/>
      <x:c r="J21" s="20">
        <x:f>+'[1]GS PRI LRG NONIDR'!I26</x:f>
        <x:v>148161541</x:v>
      </x:c>
      <x:c r="K21" s="20"/>
      <x:c r="L21" s="20" t="e">
        <x:f>SUM(#REF!,J21)</x:f>
        <x:v>#REF!</x:v>
      </x:c>
      <x:c r="M21" s="20">
        <x:f t="shared" si="0"/>
        <x:v>1824750159</x:v>
      </x:c>
      <x:c r="N21" s="20"/>
      <x:c r="O21" s="43">
        <x:f t="shared" si="1"/>
        <x:v>0.91880447837242796</x:v>
      </x:c>
      <x:c r="P21" s="20"/>
      <x:c r="Q21" s="43">
        <x:f t="shared" si="2"/>
        <x:v>8.1195521627572029E-2</x:v>
      </x:c>
    </x:row>
    <x:row r="22" spans="1:17" ht="15.5" x14ac:dyDescent="0.35">
      <x:c r="A22" s="39">
        <x:f t="shared" si="3"/>
        <x:v>7</x:v>
      </x:c>
      <x:c r="B22" s="1"/>
      <x:c r="C22" s="62">
        <x:f>+'Weather Adjustment'!C22</x:f>
        <x:v>2024</x:v>
      </x:c>
      <x:c r="D22" s="1"/>
      <x:c r="E22" s="19">
        <x:f>+'Weather Adjustment'!E22</x:f>
        <x:v>7</x:v>
      </x:c>
      <x:c r="F22" s="1"/>
      <x:c r="G22" s="20">
        <x:f>+'[1]GS PRI LRG IDR '!I28</x:f>
        <x:v>1744008824</x:v>
      </x:c>
      <x:c r="H22" s="3"/>
      <x:c r="I22" s="20"/>
      <x:c r="J22" s="20">
        <x:f>+'[1]GS PRI LRG NONIDR'!I28</x:f>
        <x:v>172983745</x:v>
      </x:c>
      <x:c r="K22" s="20"/>
      <x:c r="L22" s="20" t="e">
        <x:f>SUM(#REF!,J22)</x:f>
        <x:v>#REF!</x:v>
      </x:c>
      <x:c r="M22" s="20">
        <x:f t="shared" ref="M22:M27" si="4">SUM(G22,J22)</x:f>
        <x:v>1916992569</x:v>
      </x:c>
      <x:c r="N22" s="20"/>
      <x:c r="O22" s="43">
        <x:f t="shared" ref="O22:O27" si="5">+G22/M22</x:f>
        <x:v>0.9097629548505568</x:v>
      </x:c>
      <x:c r="P22" s="20"/>
      <x:c r="Q22" s="43">
        <x:f t="shared" ref="Q22:Q27" si="6">+J22/M22</x:f>
        <x:v>9.023704514944314E-2</x:v>
      </x:c>
    </x:row>
    <x:row r="23" spans="1:17" ht="15.5" x14ac:dyDescent="0.35">
      <x:c r="A23" s="39">
        <x:f t="shared" si="3"/>
        <x:v>8</x:v>
      </x:c>
      <x:c r="B23" s="1"/>
      <x:c r="C23" s="62">
        <x:f>+'Weather Adjustment'!C23</x:f>
        <x:v>2024</x:v>
      </x:c>
      <x:c r="D23" s="1"/>
      <x:c r="E23" s="19">
        <x:f>+'Weather Adjustment'!E23</x:f>
        <x:v>8</x:v>
      </x:c>
      <x:c r="F23" s="1"/>
      <x:c r="G23" s="20">
        <x:f>+'[1]GS PRI LRG IDR '!I30</x:f>
        <x:v>1710780737</x:v>
      </x:c>
      <x:c r="H23" s="3"/>
      <x:c r="I23" s="20"/>
      <x:c r="J23" s="20">
        <x:f>+'[1]GS PRI LRG NONIDR'!I30</x:f>
        <x:v>183402195</x:v>
      </x:c>
      <x:c r="K23" s="20"/>
      <x:c r="L23" s="20" t="e">
        <x:f>SUM(#REF!,J23)</x:f>
        <x:v>#REF!</x:v>
      </x:c>
      <x:c r="M23" s="20">
        <x:f t="shared" si="4"/>
        <x:v>1894182932</x:v>
      </x:c>
      <x:c r="N23" s="20"/>
      <x:c r="O23" s="43">
        <x:f t="shared" si="5"/>
        <x:v>0.90317609144204869</x:v>
      </x:c>
      <x:c r="P23" s="20"/>
      <x:c r="Q23" s="43">
        <x:f t="shared" si="6"/>
        <x:v>9.6823908557951255E-2</x:v>
      </x:c>
    </x:row>
    <x:row r="24" spans="1:17" ht="15.5" x14ac:dyDescent="0.35">
      <x:c r="A24" s="39">
        <x:f t="shared" si="3"/>
        <x:v>9</x:v>
      </x:c>
      <x:c r="B24" s="1"/>
      <x:c r="C24" s="62">
        <x:f>+'Weather Adjustment'!C24</x:f>
        <x:v>2024</x:v>
      </x:c>
      <x:c r="D24" s="1"/>
      <x:c r="E24" s="19">
        <x:f>+'Weather Adjustment'!E24</x:f>
        <x:v>9</x:v>
      </x:c>
      <x:c r="F24" s="1"/>
      <x:c r="G24" s="20">
        <x:f>+'[1]GS PRI LRG IDR '!I32</x:f>
        <x:v>1757195180</x:v>
      </x:c>
      <x:c r="H24" s="3"/>
      <x:c r="I24" s="20"/>
      <x:c r="J24" s="20">
        <x:f>+'[1]GS PRI LRG NONIDR'!I32</x:f>
        <x:v>177189770</x:v>
      </x:c>
      <x:c r="K24" s="20"/>
      <x:c r="L24" s="20" t="e">
        <x:f>SUM(#REF!,J24)</x:f>
        <x:v>#REF!</x:v>
      </x:c>
      <x:c r="M24" s="20">
        <x:f t="shared" si="4"/>
        <x:v>1934384950</x:v>
      </x:c>
      <x:c r="N24" s="20"/>
      <x:c r="O24" s="43">
        <x:f t="shared" si="5"/>
        <x:v>0.90839994386846323</x:v>
      </x:c>
      <x:c r="P24" s="20"/>
      <x:c r="Q24" s="43">
        <x:f t="shared" si="6"/>
        <x:v>9.1600056131536794E-2</x:v>
      </x:c>
    </x:row>
    <x:row r="25" spans="1:17" ht="15.5" x14ac:dyDescent="0.35">
      <x:c r="A25" s="39">
        <x:f t="shared" si="3"/>
        <x:v>10</x:v>
      </x:c>
      <x:c r="B25" s="1"/>
      <x:c r="C25" s="62">
        <x:f>+'Weather Adjustment'!C25</x:f>
        <x:v>2024</x:v>
      </x:c>
      <x:c r="D25" s="1"/>
      <x:c r="E25" s="19">
        <x:f>+'Weather Adjustment'!E25</x:f>
        <x:v>10</x:v>
      </x:c>
      <x:c r="F25" s="1"/>
      <x:c r="G25" s="20">
        <x:f>+'[1]GS PRI LRG IDR '!I34</x:f>
        <x:v>1745079579</x:v>
      </x:c>
      <x:c r="H25" s="3"/>
      <x:c r="I25" s="20"/>
      <x:c r="J25" s="20">
        <x:f>+'[1]GS PRI LRG NONIDR'!I34</x:f>
        <x:v>151490414</x:v>
      </x:c>
      <x:c r="K25" s="20"/>
      <x:c r="L25" s="20" t="e">
        <x:f>SUM(#REF!,J25)</x:f>
        <x:v>#REF!</x:v>
      </x:c>
      <x:c r="M25" s="20">
        <x:f t="shared" si="4"/>
        <x:v>1896569993</x:v>
      </x:c>
      <x:c r="N25" s="20"/>
      <x:c r="O25" s="43">
        <x:f t="shared" si="5"/>
        <x:v>0.92012400567385755</x:v>
      </x:c>
      <x:c r="P25" s="20"/>
      <x:c r="Q25" s="43">
        <x:f t="shared" si="6"/>
        <x:v>7.9875994326142438E-2</x:v>
      </x:c>
    </x:row>
    <x:row r="26" spans="1:17" ht="15.5" x14ac:dyDescent="0.35">
      <x:c r="A26" s="39">
        <x:f t="shared" si="3"/>
        <x:v>11</x:v>
      </x:c>
      <x:c r="B26" s="1"/>
      <x:c r="C26" s="62">
        <x:f>+'Weather Adjustment'!C26</x:f>
        <x:v>2024</x:v>
      </x:c>
      <x:c r="D26" s="1"/>
      <x:c r="E26" s="19">
        <x:f>+'Weather Adjustment'!E26</x:f>
        <x:v>11</x:v>
      </x:c>
      <x:c r="F26" s="1"/>
      <x:c r="G26" s="20">
        <x:f>+'[1]GS PRI LRG IDR '!I36</x:f>
        <x:v>1721593632</x:v>
      </x:c>
      <x:c r="H26" s="3"/>
      <x:c r="I26" s="20"/>
      <x:c r="J26" s="20">
        <x:f>+'[1]GS PRI LRG NONIDR'!I36</x:f>
        <x:v>94001743</x:v>
      </x:c>
      <x:c r="K26" s="20"/>
      <x:c r="L26" s="20" t="e">
        <x:f>SUM(#REF!,J26)</x:f>
        <x:v>#REF!</x:v>
      </x:c>
      <x:c r="M26" s="20">
        <x:f t="shared" si="4"/>
        <x:v>1815595375</x:v>
      </x:c>
      <x:c r="N26" s="20"/>
      <x:c r="O26" s="43">
        <x:f t="shared" si="5"/>
        <x:v>0.94822538970171144</x:v>
      </x:c>
      <x:c r="P26" s="20"/>
      <x:c r="Q26" s="43">
        <x:f t="shared" si="6"/>
        <x:v>5.1774610298288518E-2</x:v>
      </x:c>
    </x:row>
    <x:row r="27" spans="1:17" ht="15.5" x14ac:dyDescent="0.35">
      <x:c r="A27" s="39">
        <x:f t="shared" si="3"/>
        <x:v>12</x:v>
      </x:c>
      <x:c r="B27" s="1"/>
      <x:c r="C27" s="62">
        <x:f>+'Weather Adjustment'!C27</x:f>
        <x:v>2024</x:v>
      </x:c>
      <x:c r="D27" s="1"/>
      <x:c r="E27" s="19">
        <x:f>+'Weather Adjustment'!E27</x:f>
        <x:v>12</x:v>
      </x:c>
      <x:c r="F27" s="1"/>
      <x:c r="G27" s="20">
        <x:f>+'[1]GS PRI LRG IDR '!I38</x:f>
        <x:v>1720853256</x:v>
      </x:c>
      <x:c r="H27" s="3"/>
      <x:c r="I27" s="20"/>
      <x:c r="J27" s="20">
        <x:f>+'[1]GS PRI LRG NONIDR'!I38</x:f>
        <x:v>132222507</x:v>
      </x:c>
      <x:c r="K27" s="20"/>
      <x:c r="L27" s="20" t="e">
        <x:f>SUM(#REF!,J27)</x:f>
        <x:v>#REF!</x:v>
      </x:c>
      <x:c r="M27" s="20">
        <x:f t="shared" si="4"/>
        <x:v>1853075763</x:v>
      </x:c>
      <x:c r="N27" s="20"/>
      <x:c r="O27" s="43">
        <x:f t="shared" si="5"/>
        <x:v>0.92864700427253932</x:v>
      </x:c>
      <x:c r="P27" s="20"/>
      <x:c r="Q27" s="43">
        <x:f t="shared" si="6"/>
        <x:v>7.1352995727460719E-2</x:v>
      </x:c>
    </x:row>
    <x:row r="28" spans="1:17" ht="15.5" x14ac:dyDescent="0.35">
      <x:c r="A28" s="39">
        <x:f t="shared" si="3"/>
        <x:v>13</x:v>
      </x:c>
      <x:c r="B28" s="1"/>
      <x:c r="C28" s="1" t="s">
        <x:v>8</x:v>
      </x:c>
      <x:c r="D28" s="1"/>
      <x:c r="E28" s="1"/>
      <x:c r="F28" s="1"/>
      <x:c r="G28" s="22">
        <x:f>SUM(G16:G27)</x:f>
        <x:v>19876981017</x:v>
      </x:c>
      <x:c r="H28" s="76"/>
      <x:c r="I28" s="22"/>
      <x:c r="J28" s="22">
        <x:f>SUM(J16:J27)</x:f>
        <x:v>1685688188</x:v>
      </x:c>
      <x:c r="K28" s="22"/>
      <x:c r="L28" s="22" t="e">
        <x:f>SUM(L22:L27)</x:f>
        <x:v>#REF!</x:v>
      </x:c>
      <x:c r="M28" s="22">
        <x:f>SUM(M16:M27)</x:f>
        <x:v>21562669205</x:v>
      </x:c>
      <x:c r="N28" s="22"/>
      <x:c r="O28" s="22"/>
      <x:c r="P28" s="22"/>
      <x:c r="Q28" s="22"/>
    </x:row>
    <x:row r="29" spans="1:17" ht="15.5" x14ac:dyDescent="0.35">
      <x:c r="A29" s="39">
        <x:f t="shared" si="3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spans="1:17" ht="15.5" x14ac:dyDescent="0.35">
      <x:c r="A30" s="39">
        <x:f t="shared" si="3"/>
        <x:v>15</x:v>
      </x:c>
      <x:c r="B30" s="1"/>
      <x:c r="C30" s="1"/>
      <x:c r="D30" s="1"/>
      <x:c r="E30" s="1"/>
      <x:c r="F30" s="1"/>
      <x:c r="G30" s="10" t="s">
        <x:v>87</x:v>
      </x:c>
      <x:c r="H30" s="3"/>
      <x:c r="I30" s="3"/>
      <x:c r="J30" s="10" t="s">
        <x:v>87</x:v>
      </x:c>
      <x:c r="K30" s="3"/>
      <x:c r="L30" s="3"/>
      <x:c r="M30" s="10" t="s">
        <x:v>87</x:v>
      </x:c>
      <x:c r="N30" s="3"/>
      <x:c r="O30" s="3"/>
      <x:c r="P30" s="3"/>
      <x:c r="Q30" s="3"/>
    </x:row>
    <x:row r="31" spans="1:17" ht="15.5" x14ac:dyDescent="0.35">
      <x:c r="A31" s="39">
        <x:f t="shared" si="3"/>
        <x:v>16</x:v>
      </x:c>
      <x:c r="B31" s="11"/>
      <x:c r="C31" s="11" t="s">
        <x:v>1</x:v>
      </x:c>
      <x:c r="D31" s="11"/>
      <x:c r="E31" s="11" t="s">
        <x:v>2</x:v>
      </x:c>
      <x:c r="F31" s="1"/>
      <x:c r="G31" s="12" t="s">
        <x:v>51</x:v>
      </x:c>
      <x:c r="H31" s="12"/>
      <x:c r="I31" s="12"/>
      <x:c r="J31" s="12" t="s">
        <x:v>52</x:v>
      </x:c>
      <x:c r="K31" s="12"/>
      <x:c r="L31" s="12" t="s">
        <x:v>4</x:v>
      </x:c>
      <x:c r="M31" s="12" t="s">
        <x:v>53</x:v>
      </x:c>
      <x:c r="N31" s="14"/>
      <x:c r="O31" s="14"/>
      <x:c r="P31" s="14"/>
      <x:c r="Q31" s="14"/>
    </x:row>
    <x:row r="32" spans="1:17" ht="15.5" x14ac:dyDescent="0.35">
      <x:c r="A32" s="39">
        <x:f t="shared" si="3"/>
        <x:v>17</x:v>
      </x:c>
      <x:c r="B32" s="1"/>
      <x:c r="C32" s="1"/>
      <x:c r="D32" s="1"/>
      <x:c r="E32" s="1"/>
      <x:c r="F32" s="1"/>
      <x:c r="G32" s="16" t="s">
        <x:v>26</x:v>
      </x:c>
      <x:c r="H32" s="15"/>
      <x:c r="I32" s="15"/>
      <x:c r="J32" s="16" t="s">
        <x:v>89</x:v>
      </x:c>
      <x:c r="K32" s="15"/>
      <x:c r="L32" s="15"/>
      <x:c r="M32" s="16" t="s">
        <x:v>118</x:v>
      </x:c>
      <x:c r="N32" s="14"/>
      <x:c r="O32" s="12"/>
      <x:c r="P32" s="14"/>
      <x:c r="Q32" s="12"/>
    </x:row>
    <x:row r="33" spans="1:17" ht="15.5" x14ac:dyDescent="0.35">
      <x:c r="A33" s="39">
        <x:f t="shared" si="3"/>
        <x:v>18</x:v>
      </x:c>
      <x:c r="B33" s="1"/>
      <x:c r="C33" s="1"/>
      <x:c r="D33" s="1"/>
      <x:c r="E33" s="1"/>
      <x:c r="F33" s="1"/>
      <x:c r="G33" s="12"/>
      <x:c r="H33" s="14"/>
      <x:c r="I33" s="14"/>
      <x:c r="J33" s="12"/>
      <x:c r="K33" s="14"/>
      <x:c r="L33" s="14"/>
      <x:c r="M33" s="12"/>
      <x:c r="N33" s="14"/>
      <x:c r="O33" s="12"/>
      <x:c r="P33" s="14"/>
      <x:c r="Q33" s="12"/>
    </x:row>
    <x:row r="34" spans="1:17" ht="15.5" x14ac:dyDescent="0.35">
      <x:c r="A34" s="39">
        <x:f t="shared" si="3"/>
        <x:v>19</x:v>
      </x:c>
      <x:c r="B34" s="1"/>
      <x:c r="C34" s="21">
        <x:f t="shared" ref="C34:C45" si="7">+C16</x:f>
        <x:v>2024</x:v>
      </x:c>
      <x:c r="D34" s="1"/>
      <x:c r="E34" s="19">
        <x:f t="shared" ref="E34:E45" si="8">+E16</x:f>
        <x:v>1</x:v>
      </x:c>
      <x:c r="G34" s="27">
        <x:f>+PrmGT10D!Q52</x:f>
        <x:v>2359.0390414606768</x:v>
      </x:c>
      <x:c r="H34" s="27"/>
      <x:c r="I34" s="27"/>
      <x:c r="J34" s="27">
        <x:f>+G34*O16</x:f>
        <x:v>2153.5914046992143</x:v>
      </x:c>
      <x:c r="K34" s="27"/>
      <x:c r="L34" s="29"/>
      <x:c r="M34" s="20">
        <x:f>+G34-J34</x:f>
        <x:v>205.44763676146249</x:v>
      </x:c>
      <x:c r="N34" s="28"/>
      <x:c r="O34" s="20"/>
      <x:c r="P34" s="20"/>
      <x:c r="Q34" s="20"/>
    </x:row>
    <x:row r="35" spans="1:17" ht="15.5" x14ac:dyDescent="0.35">
      <x:c r="A35" s="39">
        <x:f t="shared" si="3"/>
        <x:v>20</x:v>
      </x:c>
      <x:c r="B35" s="1"/>
      <x:c r="C35" s="21">
        <x:f t="shared" si="7"/>
        <x:v>2024</x:v>
      </x:c>
      <x:c r="D35" s="1"/>
      <x:c r="E35" s="19">
        <x:f t="shared" si="8"/>
        <x:v>2</x:v>
      </x:c>
      <x:c r="G35" s="27">
        <x:f>+PrmGT10D!Q53</x:f>
        <x:v>2136.5661909525234</x:v>
      </x:c>
      <x:c r="H35" s="27"/>
      <x:c r="I35" s="27"/>
      <x:c r="J35" s="27">
        <x:f t="shared" ref="J35:J44" si="9">+G35*O17</x:f>
        <x:v>1966.3527291542923</x:v>
      </x:c>
      <x:c r="K35" s="27"/>
      <x:c r="L35" s="29"/>
      <x:c r="M35" s="20">
        <x:f t="shared" ref="M35:M45" si="10">+G35-J35</x:f>
        <x:v>170.21346179823104</x:v>
      </x:c>
      <x:c r="N35" s="28"/>
      <x:c r="O35" s="20"/>
      <x:c r="P35" s="20"/>
      <x:c r="Q35" s="20"/>
    </x:row>
    <x:row r="36" spans="1:17" ht="15.5" x14ac:dyDescent="0.35">
      <x:c r="A36" s="39">
        <x:f t="shared" si="3"/>
        <x:v>21</x:v>
      </x:c>
      <x:c r="B36" s="1"/>
      <x:c r="C36" s="21">
        <x:f t="shared" si="7"/>
        <x:v>2024</x:v>
      </x:c>
      <x:c r="D36" s="1"/>
      <x:c r="E36" s="19">
        <x:f t="shared" si="8"/>
        <x:v>3</x:v>
      </x:c>
      <x:c r="G36" s="27">
        <x:f>+PrmGT10D!Q54</x:f>
        <x:v>-8757.6846734168976</x:v>
      </x:c>
      <x:c r="H36" s="27"/>
      <x:c r="I36" s="27"/>
      <x:c r="J36" s="27">
        <x:f t="shared" si="9"/>
        <x:v>-8421.0008726026808</x:v>
      </x:c>
      <x:c r="K36" s="27"/>
      <x:c r="L36" s="29"/>
      <x:c r="M36" s="20">
        <x:f t="shared" si="10"/>
        <x:v>-336.68380081421674</x:v>
      </x:c>
      <x:c r="N36" s="28"/>
      <x:c r="O36" s="20"/>
      <x:c r="P36" s="20"/>
      <x:c r="Q36" s="20"/>
    </x:row>
    <x:row r="37" spans="1:17" ht="15.5" x14ac:dyDescent="0.35">
      <x:c r="A37" s="39">
        <x:f t="shared" si="3"/>
        <x:v>22</x:v>
      </x:c>
      <x:c r="B37" s="1"/>
      <x:c r="C37" s="21">
        <x:f t="shared" si="7"/>
        <x:v>2024</x:v>
      </x:c>
      <x:c r="D37" s="1"/>
      <x:c r="E37" s="19">
        <x:f t="shared" si="8"/>
        <x:v>4</x:v>
      </x:c>
      <x:c r="G37" s="27">
        <x:f>+PrmGT10D!Q55</x:f>
        <x:v>2710.620958224059</x:v>
      </x:c>
      <x:c r="H37" s="27"/>
      <x:c r="I37" s="27"/>
      <x:c r="J37" s="27">
        <x:f t="shared" si="9"/>
        <x:v>2489.9804403844555</x:v>
      </x:c>
      <x:c r="K37" s="27"/>
      <x:c r="L37" s="29"/>
      <x:c r="M37" s="20">
        <x:f t="shared" si="10"/>
        <x:v>220.64051783960349</x:v>
      </x:c>
      <x:c r="N37" s="28"/>
      <x:c r="O37" s="20"/>
      <x:c r="P37" s="20"/>
      <x:c r="Q37" s="20"/>
    </x:row>
    <x:row r="38" spans="1:17" ht="15.5" x14ac:dyDescent="0.35">
      <x:c r="A38" s="39">
        <x:f t="shared" si="3"/>
        <x:v>23</x:v>
      </x:c>
      <x:c r="B38" s="1"/>
      <x:c r="C38" s="21">
        <x:f t="shared" si="7"/>
        <x:v>2024</x:v>
      </x:c>
      <x:c r="D38" s="1"/>
      <x:c r="E38" s="19">
        <x:f t="shared" si="8"/>
        <x:v>5</x:v>
      </x:c>
      <x:c r="G38" s="27">
        <x:f>+PrmGT10D!Q56</x:f>
        <x:v>-7252.9805076341117</x:v>
      </x:c>
      <x:c r="H38" s="27"/>
      <x:c r="I38" s="27"/>
      <x:c r="J38" s="27">
        <x:f t="shared" si="9"/>
        <x:v>-6688.6915823527133</x:v>
      </x:c>
      <x:c r="K38" s="27"/>
      <x:c r="L38" s="29"/>
      <x:c r="M38" s="20">
        <x:f t="shared" si="10"/>
        <x:v>-564.28892528139841</x:v>
      </x:c>
      <x:c r="N38" s="28"/>
      <x:c r="O38" s="20"/>
      <x:c r="P38" s="20"/>
      <x:c r="Q38" s="20"/>
    </x:row>
    <x:row r="39" spans="1:17" ht="15.5" x14ac:dyDescent="0.35">
      <x:c r="A39" s="39">
        <x:f t="shared" si="3"/>
        <x:v>24</x:v>
      </x:c>
      <x:c r="B39" s="1"/>
      <x:c r="C39" s="21">
        <x:f t="shared" si="7"/>
        <x:v>2024</x:v>
      </x:c>
      <x:c r="D39" s="1"/>
      <x:c r="E39" s="19">
        <x:f t="shared" si="8"/>
        <x:v>6</x:v>
      </x:c>
      <x:c r="G39" s="27">
        <x:f>+PrmGT10D!Q57</x:f>
        <x:v>-13284.988953727539</x:v>
      </x:c>
      <x:c r="H39" s="30"/>
      <x:c r="I39" s="30"/>
      <x:c r="J39" s="27">
        <x:f t="shared" si="9"/>
        <x:v>-12206.307345813098</x:v>
      </x:c>
      <x:c r="K39" s="30"/>
      <x:c r="L39" s="45"/>
      <x:c r="M39" s="20">
        <x:f t="shared" si="10"/>
        <x:v>-1078.681607914441</x:v>
      </x:c>
      <x:c r="N39" s="51"/>
      <x:c r="O39" s="20"/>
      <x:c r="P39" s="20"/>
      <x:c r="Q39" s="20"/>
    </x:row>
    <x:row r="40" spans="1:17" ht="15.5" x14ac:dyDescent="0.35">
      <x:c r="A40" s="39">
        <x:f t="shared" si="3"/>
        <x:v>25</x:v>
      </x:c>
      <x:c r="B40" s="1"/>
      <x:c r="C40" s="21">
        <x:f t="shared" si="7"/>
        <x:v>2024</x:v>
      </x:c>
      <x:c r="D40" s="1"/>
      <x:c r="E40" s="19">
        <x:f t="shared" si="8"/>
        <x:v>7</x:v>
      </x:c>
      <x:c r="F40" s="23"/>
      <x:c r="G40" s="27">
        <x:f>+PrmGT10D!Q58</x:f>
        <x:v>-9369.2573881820372</x:v>
      </x:c>
      <x:c r="H40" s="51"/>
      <x:c r="I40" s="28"/>
      <x:c r="J40" s="27">
        <x:f t="shared" si="9"/>
        <x:v>-8523.8032862278997</x:v>
      </x:c>
      <x:c r="K40" s="3"/>
      <x:c r="L40" s="3"/>
      <x:c r="M40" s="20">
        <x:f t="shared" si="10"/>
        <x:v>-845.45410195413751</x:v>
      </x:c>
      <x:c r="N40" s="3"/>
      <x:c r="O40" s="20"/>
      <x:c r="P40" s="20"/>
      <x:c r="Q40" s="20"/>
    </x:row>
    <x:row r="41" spans="1:17" ht="15.5" x14ac:dyDescent="0.35">
      <x:c r="A41" s="39">
        <x:f t="shared" si="3"/>
        <x:v>26</x:v>
      </x:c>
      <x:c r="B41" s="1"/>
      <x:c r="C41" s="21">
        <x:f t="shared" si="7"/>
        <x:v>2024</x:v>
      </x:c>
      <x:c r="D41" s="1"/>
      <x:c r="E41" s="19">
        <x:f t="shared" si="8"/>
        <x:v>8</x:v>
      </x:c>
      <x:c r="G41" s="27">
        <x:f>+PrmGT10D!Q59</x:f>
        <x:v>3678.8118246215631</x:v>
      </x:c>
      <x:c r="H41" s="27"/>
      <x:c r="I41" s="27"/>
      <x:c r="J41" s="27">
        <x:f t="shared" si="9"/>
        <x:v>3322.6148849124947</x:v>
      </x:c>
      <x:c r="K41" s="27"/>
      <x:c r="L41" s="29"/>
      <x:c r="M41" s="20">
        <x:f t="shared" si="10"/>
        <x:v>356.19693970906837</x:v>
      </x:c>
      <x:c r="N41" s="3"/>
      <x:c r="O41" s="20"/>
      <x:c r="P41" s="20"/>
      <x:c r="Q41" s="20"/>
    </x:row>
    <x:row r="42" spans="1:17" ht="15.5" x14ac:dyDescent="0.35">
      <x:c r="A42" s="39">
        <x:f t="shared" si="3"/>
        <x:v>27</x:v>
      </x:c>
      <x:c r="B42" s="1"/>
      <x:c r="C42" s="21">
        <x:f t="shared" si="7"/>
        <x:v>2024</x:v>
      </x:c>
      <x:c r="D42" s="1"/>
      <x:c r="E42" s="19">
        <x:f t="shared" si="8"/>
        <x:v>9</x:v>
      </x:c>
      <x:c r="G42" s="27">
        <x:f>+PrmGT10D!Q60</x:f>
        <x:v>-12290.125243273331</x:v>
      </x:c>
      <x:c r="H42" s="27"/>
      <x:c r="I42" s="27"/>
      <x:c r="J42" s="27">
        <x:f t="shared" si="9"/>
        <x:v>-11164.349081125876</x:v>
      </x:c>
      <x:c r="K42" s="27"/>
      <x:c r="L42" s="29"/>
      <x:c r="M42" s="20">
        <x:f t="shared" si="10"/>
        <x:v>-1125.7761621474547</x:v>
      </x:c>
      <x:c r="N42" s="3"/>
      <x:c r="O42" s="20"/>
      <x:c r="P42" s="20"/>
      <x:c r="Q42" s="20"/>
    </x:row>
    <x:row r="43" spans="1:17" ht="15.5" x14ac:dyDescent="0.35">
      <x:c r="A43" s="39">
        <x:f t="shared" si="3"/>
        <x:v>28</x:v>
      </x:c>
      <x:c r="B43" s="1"/>
      <x:c r="C43" s="21">
        <x:f t="shared" si="7"/>
        <x:v>2024</x:v>
      </x:c>
      <x:c r="D43" s="1"/>
      <x:c r="E43" s="19">
        <x:f t="shared" si="8"/>
        <x:v>10</x:v>
      </x:c>
      <x:c r="G43" s="27">
        <x:f>+PrmGT10D!Q61</x:f>
        <x:v>-6587.0327150291032</x:v>
      </x:c>
      <x:c r="H43" s="27"/>
      <x:c r="I43" s="27"/>
      <x:c r="J43" s="27">
        <x:f t="shared" si="9"/>
        <x:v>-6060.8869272573238</x:v>
      </x:c>
      <x:c r="K43" s="27"/>
      <x:c r="L43" s="29"/>
      <x:c r="M43" s="20">
        <x:f t="shared" si="10"/>
        <x:v>-526.1457877717794</x:v>
      </x:c>
      <x:c r="N43" s="3"/>
      <x:c r="O43" s="20"/>
      <x:c r="P43" s="20"/>
      <x:c r="Q43" s="20"/>
    </x:row>
    <x:row r="44" spans="1:17" ht="15.5" x14ac:dyDescent="0.35">
      <x:c r="A44" s="39">
        <x:f t="shared" si="3"/>
        <x:v>29</x:v>
      </x:c>
      <x:c r="B44" s="1"/>
      <x:c r="C44" s="21">
        <x:f t="shared" si="7"/>
        <x:v>2024</x:v>
      </x:c>
      <x:c r="D44" s="1"/>
      <x:c r="E44" s="19">
        <x:f t="shared" si="8"/>
        <x:v>11</x:v>
      </x:c>
      <x:c r="G44" s="27">
        <x:f>+PrmGT10D!Q62</x:f>
        <x:v>-26066.907044624048</x:v>
      </x:c>
      <x:c r="H44" s="27"/>
      <x:c r="I44" s="27"/>
      <x:c r="J44" s="27">
        <x:f t="shared" si="9"/>
        <x:v>-24717.303090706926</x:v>
      </x:c>
      <x:c r="K44" s="27"/>
      <x:c r="L44" s="29"/>
      <x:c r="M44" s="20">
        <x:f t="shared" si="10"/>
        <x:v>-1349.6039539171215</x:v>
      </x:c>
      <x:c r="N44" s="28"/>
      <x:c r="O44" s="20"/>
      <x:c r="P44" s="20"/>
      <x:c r="Q44" s="20"/>
    </x:row>
    <x:row r="45" spans="1:17" ht="15.5" x14ac:dyDescent="0.35">
      <x:c r="A45" s="39">
        <x:f t="shared" si="3"/>
        <x:v>30</x:v>
      </x:c>
      <x:c r="B45" s="1"/>
      <x:c r="C45" s="21">
        <x:f t="shared" si="7"/>
        <x:v>2024</x:v>
      </x:c>
      <x:c r="D45" s="1"/>
      <x:c r="E45" s="19">
        <x:f t="shared" si="8"/>
        <x:v>12</x:v>
      </x:c>
      <x:c r="G45" s="27">
        <x:f>+PrmGT10D!Q63</x:f>
        <x:v>-3826.1758930174969</x:v>
      </x:c>
      <x:c r="H45" s="27"/>
      <x:c r="I45" s="27"/>
      <x:c r="J45" s="27">
        <x:f>+G45*O27</x:f>
        <x:v>-3553.1667808705065</x:v>
      </x:c>
      <x:c r="K45" s="27"/>
      <x:c r="L45" s="29"/>
      <x:c r="M45" s="20">
        <x:f t="shared" si="10"/>
        <x:v>-273.00911214699045</x:v>
      </x:c>
      <x:c r="N45" s="28"/>
      <x:c r="O45" s="59"/>
      <x:c r="P45" s="59"/>
      <x:c r="Q45" s="59"/>
    </x:row>
    <x:row r="46" spans="1:17" ht="15.5" x14ac:dyDescent="0.35">
      <x:c r="A46" s="39">
        <x:f t="shared" si="3"/>
        <x:v>31</x:v>
      </x:c>
      <x:c r="B46" s="1"/>
      <x:c r="C46" s="1" t="s">
        <x:v>8</x:v>
      </x:c>
      <x:c r="D46" s="1"/>
      <x:c r="E46" s="19"/>
      <x:c r="G46" s="22">
        <x:f>SUM(G34:G45)</x:f>
        <x:v>-76550.114403645741</x:v>
      </x:c>
      <x:c r="H46" s="72"/>
      <x:c r="I46" s="72"/>
      <x:c r="J46" s="22">
        <x:f>SUM(J34:J45)</x:f>
        <x:v>-71402.969507806571</x:v>
      </x:c>
      <x:c r="K46" s="27"/>
      <x:c r="L46" s="29"/>
      <x:c r="M46" s="22">
        <x:f>SUM(M34:M45)</x:f>
        <x:v>-5147.1448958391738</x:v>
      </x:c>
      <x:c r="N46" s="28"/>
      <x:c r="O46" s="14"/>
      <x:c r="P46" s="14"/>
      <x:c r="Q46" s="14"/>
    </x:row>
    <x:row r="47" spans="1:17" ht="15.5" x14ac:dyDescent="0.35">
      <x:c r="A47" s="4"/>
      <x:c r="B47" s="4"/>
      <x:c r="C47" s="24"/>
      <x:c r="D47" s="4"/>
      <x:c r="E47" s="25"/>
      <x:c r="F47" s="8"/>
      <x:c r="G47" s="32"/>
      <x:c r="H47" s="33"/>
      <x:c r="I47" s="33"/>
      <x:c r="J47" s="32"/>
      <x:c r="K47" s="33"/>
      <x:c r="L47" s="34"/>
      <x:c r="M47" s="32"/>
      <x:c r="N47" s="35"/>
      <x:c r="O47" s="32"/>
      <x:c r="P47" s="35"/>
      <x:c r="Q47" s="32"/>
    </x:row>
    <x:row r="48" spans="1:17" ht="15.5" x14ac:dyDescent="0.35">
      <x:c r="A48" s="47"/>
      <x:c r="B48" s="47"/>
      <x:c r="C48" s="48"/>
      <x:c r="D48" s="47"/>
      <x:c r="E48" s="49"/>
      <x:c r="F48" s="50"/>
      <x:c r="G48" s="30"/>
      <x:c r="H48" s="30"/>
      <x:c r="I48" s="30"/>
      <x:c r="J48" s="30"/>
      <x:c r="K48" s="30"/>
      <x:c r="L48" s="31"/>
      <x:c r="M48" s="30"/>
      <x:c r="N48" s="51"/>
      <x:c r="O48" s="30"/>
      <x:c r="P48" s="51"/>
      <x:c r="Q48" s="30"/>
    </x:row>
    <x:row r="49" spans="1:17" ht="15.5" x14ac:dyDescent="0.35">
      <x:c r="A49" s="52"/>
      <x:c r="B49" s="52"/>
      <x:c r="C49" s="52"/>
      <x:c r="D49" s="52"/>
      <x:c r="E49" s="52"/>
      <x:c r="F49" s="47"/>
      <x:c r="G49" s="12"/>
      <x:c r="H49" s="12"/>
      <x:c r="I49" s="12"/>
      <x:c r="J49" s="12"/>
      <x:c r="K49" s="12"/>
      <x:c r="L49" s="12"/>
      <x:c r="M49" s="13"/>
      <x:c r="N49" s="14"/>
      <x:c r="O49" s="14"/>
      <x:c r="P49" s="14"/>
      <x:c r="Q49" s="14"/>
    </x:row>
    <x:row r="50" spans="1:17" ht="15.5" x14ac:dyDescent="0.35">
      <x:c r="A50" s="47"/>
      <x:c r="B50" s="47"/>
      <x:c r="C50" s="47"/>
      <x:c r="D50" s="47"/>
      <x:c r="E50" s="47"/>
      <x:c r="F50" s="47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 spans="1:17" ht="15.5" x14ac:dyDescent="0.35">
      <x:c r="A51" s="50"/>
      <x:c r="B51" s="50"/>
      <x:c r="C51" s="53"/>
      <x:c r="D51" s="50"/>
      <x:c r="E51" s="50"/>
      <x:c r="F51" s="50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</x:row>
    <x:row r="52" spans="1:17" ht="15.5" x14ac:dyDescent="0.35">
      <x:c r="A52" s="54"/>
      <x:c r="B52" s="47"/>
      <x:c r="C52" s="55"/>
      <x:c r="D52" s="47"/>
      <x:c r="E52" s="49"/>
      <x:c r="F52" s="50"/>
      <x:c r="G52" s="30"/>
      <x:c r="H52" s="51"/>
      <x:c r="I52" s="51"/>
      <x:c r="J52" s="30"/>
      <x:c r="K52" s="51"/>
      <x:c r="L52" s="31"/>
      <x:c r="M52" s="30"/>
      <x:c r="N52" s="51"/>
      <x:c r="O52" s="30"/>
      <x:c r="P52" s="51"/>
      <x:c r="Q52" s="30"/>
    </x:row>
    <x:row r="53" spans="1:17" ht="15.5" x14ac:dyDescent="0.35">
      <x:c r="A53" s="54"/>
      <x:c r="B53" s="47"/>
      <x:c r="C53" s="48"/>
      <x:c r="D53" s="47"/>
      <x:c r="E53" s="49"/>
      <x:c r="F53" s="50"/>
      <x:c r="G53" s="30"/>
      <x:c r="H53" s="30"/>
      <x:c r="I53" s="30"/>
      <x:c r="J53" s="30"/>
      <x:c r="K53" s="30"/>
      <x:c r="L53" s="30"/>
      <x:c r="M53" s="30"/>
      <x:c r="N53" s="51"/>
      <x:c r="O53" s="30"/>
      <x:c r="P53" s="51"/>
      <x:c r="Q53" s="30"/>
    </x:row>
    <x:row r="54" spans="1:17" ht="15.5" x14ac:dyDescent="0.35">
      <x:c r="A54" s="54"/>
      <x:c r="B54" s="47"/>
      <x:c r="C54" s="48"/>
      <x:c r="D54" s="47"/>
      <x:c r="E54" s="49"/>
      <x:c r="F54" s="50"/>
      <x:c r="G54" s="30"/>
      <x:c r="H54" s="30"/>
      <x:c r="I54" s="30"/>
      <x:c r="J54" s="30"/>
      <x:c r="K54" s="30"/>
      <x:c r="L54" s="30"/>
      <x:c r="M54" s="30"/>
      <x:c r="N54" s="51"/>
      <x:c r="O54" s="30"/>
      <x:c r="P54" s="51"/>
      <x:c r="Q54" s="30"/>
    </x:row>
    <x:row r="55" spans="1:17" ht="15.5" x14ac:dyDescent="0.35">
      <x:c r="A55" s="54"/>
      <x:c r="B55" s="47"/>
      <x:c r="C55" s="48"/>
      <x:c r="D55" s="47"/>
      <x:c r="E55" s="49"/>
      <x:c r="F55" s="50"/>
      <x:c r="G55" s="30"/>
      <x:c r="H55" s="30"/>
      <x:c r="I55" s="30"/>
      <x:c r="J55" s="30"/>
      <x:c r="K55" s="30"/>
      <x:c r="L55" s="30"/>
      <x:c r="M55" s="30"/>
      <x:c r="N55" s="51"/>
      <x:c r="O55" s="30"/>
      <x:c r="P55" s="51"/>
      <x:c r="Q55" s="30"/>
    </x:row>
    <x:row r="56" spans="1:17" ht="15.5" x14ac:dyDescent="0.35">
      <x:c r="A56" s="54"/>
      <x:c r="B56" s="47"/>
      <x:c r="C56" s="48"/>
      <x:c r="D56" s="47"/>
      <x:c r="E56" s="49"/>
      <x:c r="F56" s="50"/>
      <x:c r="G56" s="30"/>
      <x:c r="H56" s="30"/>
      <x:c r="I56" s="30"/>
      <x:c r="J56" s="30"/>
      <x:c r="K56" s="30"/>
      <x:c r="L56" s="30"/>
      <x:c r="M56" s="30"/>
      <x:c r="N56" s="51"/>
      <x:c r="O56" s="30"/>
      <x:c r="P56" s="51"/>
      <x:c r="Q56" s="30"/>
    </x:row>
    <x:row r="57" spans="1:17" ht="15.5" x14ac:dyDescent="0.35">
      <x:c r="A57" s="54"/>
      <x:c r="B57" s="47"/>
      <x:c r="C57" s="48"/>
      <x:c r="D57" s="47"/>
      <x:c r="E57" s="49"/>
      <x:c r="F57" s="50"/>
      <x:c r="G57" s="30"/>
      <x:c r="H57" s="30"/>
      <x:c r="I57" s="30"/>
      <x:c r="J57" s="30"/>
      <x:c r="K57" s="30"/>
      <x:c r="L57" s="30"/>
      <x:c r="M57" s="30"/>
      <x:c r="N57" s="51"/>
      <x:c r="O57" s="30"/>
      <x:c r="P57" s="51"/>
      <x:c r="Q57" s="30"/>
    </x:row>
    <x:row r="58" spans="1:17" ht="15.5" x14ac:dyDescent="0.35">
      <x:c r="A58" s="54"/>
      <x:c r="B58" s="47"/>
      <x:c r="C58" s="48"/>
      <x:c r="D58" s="47"/>
      <x:c r="E58" s="49"/>
      <x:c r="F58" s="50"/>
      <x:c r="G58" s="30"/>
      <x:c r="H58" s="30"/>
      <x:c r="I58" s="30"/>
      <x:c r="J58" s="30"/>
      <x:c r="K58" s="30"/>
      <x:c r="L58" s="30"/>
      <x:c r="M58" s="30"/>
      <x:c r="N58" s="51"/>
      <x:c r="O58" s="30"/>
      <x:c r="P58" s="51"/>
      <x:c r="Q58" s="30"/>
    </x:row>
    <x:row r="59" spans="1:17" ht="15.5" x14ac:dyDescent="0.35">
      <x:c r="A59" s="54"/>
      <x:c r="B59" s="47"/>
      <x:c r="C59" s="48"/>
      <x:c r="D59" s="47"/>
      <x:c r="E59" s="49"/>
      <x:c r="F59" s="50"/>
      <x:c r="G59" s="30"/>
      <x:c r="H59" s="30"/>
      <x:c r="I59" s="30"/>
      <x:c r="J59" s="30"/>
      <x:c r="K59" s="30"/>
      <x:c r="L59" s="30"/>
      <x:c r="M59" s="30"/>
      <x:c r="N59" s="51"/>
      <x:c r="O59" s="30"/>
      <x:c r="P59" s="51"/>
      <x:c r="Q59" s="30"/>
    </x:row>
    <x:row r="60" spans="1:17" ht="15.5" x14ac:dyDescent="0.35">
      <x:c r="A60" s="54"/>
      <x:c r="B60" s="47"/>
      <x:c r="C60" s="48"/>
      <x:c r="D60" s="47"/>
      <x:c r="E60" s="49"/>
      <x:c r="F60" s="50"/>
      <x:c r="G60" s="30"/>
      <x:c r="H60" s="30"/>
      <x:c r="I60" s="30"/>
      <x:c r="J60" s="30"/>
      <x:c r="K60" s="30"/>
      <x:c r="L60" s="30"/>
      <x:c r="M60" s="30"/>
      <x:c r="N60" s="51"/>
      <x:c r="O60" s="30"/>
      <x:c r="P60" s="51"/>
      <x:c r="Q60" s="30"/>
    </x:row>
    <x:row r="61" spans="1:17" ht="15.5" x14ac:dyDescent="0.35">
      <x:c r="A61" s="54"/>
      <x:c r="B61" s="47"/>
      <x:c r="C61" s="48"/>
      <x:c r="D61" s="47"/>
      <x:c r="E61" s="49"/>
      <x:c r="F61" s="50"/>
      <x:c r="G61" s="30"/>
      <x:c r="H61" s="30"/>
      <x:c r="I61" s="30"/>
      <x:c r="J61" s="30"/>
      <x:c r="K61" s="30"/>
      <x:c r="L61" s="30"/>
      <x:c r="M61" s="30"/>
      <x:c r="N61" s="51"/>
      <x:c r="O61" s="30"/>
      <x:c r="P61" s="51"/>
      <x:c r="Q61" s="30"/>
    </x:row>
    <x:row r="62" spans="1:17" ht="15.5" x14ac:dyDescent="0.35">
      <x:c r="A62" s="54"/>
      <x:c r="B62" s="47"/>
      <x:c r="C62" s="48"/>
      <x:c r="D62" s="47"/>
      <x:c r="E62" s="49"/>
      <x:c r="F62" s="50"/>
      <x:c r="G62" s="30"/>
      <x:c r="H62" s="30"/>
      <x:c r="I62" s="30"/>
      <x:c r="J62" s="30"/>
      <x:c r="K62" s="30"/>
      <x:c r="L62" s="30"/>
      <x:c r="M62" s="30"/>
      <x:c r="N62" s="51"/>
      <x:c r="O62" s="30"/>
      <x:c r="P62" s="51"/>
      <x:c r="Q62" s="30"/>
    </x:row>
    <x:row r="63" spans="1:17" ht="15.5" x14ac:dyDescent="0.35">
      <x:c r="A63" s="54"/>
      <x:c r="B63" s="47"/>
      <x:c r="C63" s="48"/>
      <x:c r="D63" s="47"/>
      <x:c r="E63" s="49"/>
      <x:c r="F63" s="50"/>
      <x:c r="G63" s="30"/>
      <x:c r="H63" s="30"/>
      <x:c r="I63" s="30"/>
      <x:c r="J63" s="30"/>
      <x:c r="K63" s="30"/>
      <x:c r="L63" s="30"/>
      <x:c r="M63" s="30"/>
      <x:c r="N63" s="51"/>
      <x:c r="O63" s="30"/>
      <x:c r="P63" s="51"/>
      <x:c r="Q63" s="30"/>
    </x:row>
    <x:row r="64" spans="1:17" ht="15.5" x14ac:dyDescent="0.35">
      <x:c r="A64" s="50"/>
      <x:c r="B64" s="50"/>
      <x:c r="C64" s="48"/>
      <x:c r="D64" s="50"/>
      <x:c r="E64" s="49"/>
      <x:c r="F64" s="50"/>
      <x:c r="G64" s="30"/>
      <x:c r="H64" s="56"/>
      <x:c r="I64" s="56"/>
      <x:c r="J64" s="56"/>
      <x:c r="K64" s="56"/>
      <x:c r="L64" s="56"/>
      <x:c r="M64" s="56"/>
      <x:c r="N64" s="51"/>
      <x:c r="O64" s="56"/>
      <x:c r="P64" s="51"/>
      <x:c r="Q64" s="56"/>
    </x:row>
    <x:row r="65" spans="1:17" ht="15.5" x14ac:dyDescent="0.35">
      <x:c r="A65" s="57"/>
      <x:c r="B65" s="50"/>
      <x:c r="C65" s="58"/>
      <x:c r="D65" s="50"/>
      <x:c r="E65" s="50"/>
      <x:c r="F65" s="50"/>
      <x:c r="G65" s="30"/>
      <x:c r="H65" s="30"/>
      <x:c r="I65" s="30"/>
      <x:c r="J65" s="30"/>
      <x:c r="K65" s="30"/>
      <x:c r="L65" s="30"/>
      <x:c r="M65" s="30"/>
      <x:c r="N65" s="51"/>
      <x:c r="O65" s="30"/>
      <x:c r="P65" s="51"/>
      <x:c r="Q65" s="30"/>
    </x:row>
    <x:row r="66" spans="1:17" ht="15.5" x14ac:dyDescent="0.35">
      <x:c r="A66" s="50"/>
      <x:c r="B66" s="50"/>
      <x:c r="C66" s="53"/>
      <x:c r="D66" s="50"/>
      <x:c r="E66" s="50"/>
      <x:c r="F66" s="50"/>
      <x:c r="G66" s="30"/>
      <x:c r="H66" s="30"/>
      <x:c r="I66" s="30"/>
      <x:c r="J66" s="30"/>
      <x:c r="K66" s="30"/>
      <x:c r="L66" s="30"/>
      <x:c r="M66" s="30"/>
      <x:c r="N66" s="51"/>
      <x:c r="O66" s="51"/>
      <x:c r="P66" s="51"/>
      <x:c r="Q66" s="51"/>
    </x:row>
    <x:row r="67" spans="1:17" x14ac:dyDescent="0.25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</x:row>
  </x:sheetData>
  <x:mergeCells count="1">
    <x:mergeCell ref="C11:Q11"/>
  </x:mergeCells>
  <x:phoneticPr fontId="2" type="noConversion"/>
  <x:printOptions horizontalCentered="1"/>
  <x:pageMargins left="0.25" right="0" top="1.5" bottom="0.25" header="0.5" footer="0.5"/>
  <x:pageSetup scale="49" orientation="landscape" r:id="rId1"/>
  <x:headerFooter alignWithMargins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1">
    <x:tabColor rgb="FF00B0F0"/>
    <x:pageSetUpPr fitToPage="1"/>
  </x:sheetPr>
  <x:dimension ref="A1:T72"/>
  <x:sheetViews>
    <x:sheetView zoomScale="75" zoomScaleNormal="75" zoomScaleSheetLayoutView="70" workbookViewId="0"/>
  </x:sheetViews>
  <x:sheetFormatPr defaultRowHeight="12.5" x14ac:dyDescent="0.25"/>
  <x:cols>
    <x:col min="1" max="1" width="5.90625" bestFit="1" customWidth="1"/>
    <x:col min="2" max="2" width="2.6328125" customWidth="1"/>
    <x:col min="3" max="3" width="12.453125" customWidth="1"/>
    <x:col min="4" max="4" width="2.6328125" customWidth="1"/>
    <x:col min="5" max="5" width="8" customWidth="1"/>
    <x:col min="6" max="6" width="2.6328125" customWidth="1"/>
    <x:col min="7" max="7" width="16.90625" bestFit="1" customWidth="1"/>
    <x:col min="8" max="8" width="1.08984375" customWidth="1"/>
    <x:col min="9" max="9" width="15.54296875" customWidth="1"/>
    <x:col min="10" max="10" width="1.08984375" customWidth="1"/>
    <x:col min="11" max="11" width="16.08984375" customWidth="1"/>
    <x:col min="12" max="12" width="1.453125" customWidth="1"/>
    <x:col min="13" max="14" width="0" hidden="1" customWidth="1"/>
    <x:col min="15" max="15" width="16.90625" bestFit="1" customWidth="1"/>
    <x:col min="16" max="16" width="1.08984375" customWidth="1"/>
    <x:col min="17" max="17" width="17.36328125" customWidth="1"/>
    <x:col min="18" max="18" width="16.90625" hidden="1" customWidth="1"/>
    <x:col min="19" max="19" width="1.36328125" hidden="1" customWidth="1"/>
  </x:cols>
  <x:sheetData>
    <x:row r="1" spans="1:19" ht="15.5" x14ac:dyDescent="0.35">
      <x:c r="A1" s="1"/>
      <x:c r="B1" s="1"/>
      <x:c r="C1" s="1"/>
      <x:c r="D1" s="1"/>
      <x:c r="E1" s="1"/>
      <x:c r="F1" s="1"/>
      <x:c r="G1" s="2"/>
      <x:c r="H1" s="3"/>
      <x:c r="I1" s="3"/>
      <x:c r="J1" s="3"/>
      <x:c r="K1" s="3"/>
      <x:c r="L1" s="3"/>
      <x:c r="M1" s="3"/>
      <x:c r="N1" s="3"/>
      <x:c r="O1" s="3"/>
      <x:c r="P1" s="3"/>
      <x:c r="Q1" t="s">
        <x:v>10</x:v>
      </x:c>
      <x:c r="R1" s="3"/>
      <x:c r="S1" s="3"/>
    </x:row>
    <x:row r="2" spans="1:19" ht="15.5" x14ac:dyDescent="0.35">
      <x:c r="A2" s="4"/>
      <x:c r="B2" s="4"/>
      <x:c r="C2" s="4"/>
      <x:c r="D2" s="4"/>
      <x:c r="E2" s="4"/>
      <x:c r="F2" s="4"/>
      <x:c r="G2" s="5"/>
      <x:c r="H2" s="6"/>
      <x:c r="I2" s="6"/>
      <x:c r="J2" s="6"/>
      <x:c r="K2" s="6"/>
      <x:c r="L2" s="6"/>
      <x:c r="M2" s="6"/>
      <x:c r="N2" s="6"/>
      <x:c r="O2" s="6"/>
      <x:c r="P2" s="6"/>
      <x:c r="Q2" s="82" t="s">
        <x:v>133</x:v>
      </x:c>
      <x:c r="R2" s="6"/>
      <x:c r="S2" s="6"/>
    </x:row>
    <x:row r="3" spans="1:19" ht="15.5" x14ac:dyDescent="0.35">
      <x:c r="A3" s="4"/>
      <x:c r="B3" s="4"/>
      <x:c r="C3" s="4"/>
      <x:c r="D3" s="4"/>
      <x:c r="E3" s="4"/>
      <x:c r="F3" s="4"/>
      <x:c r="G3" s="5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</x:row>
    <x:row r="4" spans="1:19" ht="15.5" x14ac:dyDescent="0.35">
      <x:c r="A4" s="7" t="str">
        <x:f>+'Weather Adjustment'!A4</x:f>
        <x:v>PUC DOCKET NO</x:v>
      </x:c>
      <x:c r="B4" s="4"/>
      <x:c r="C4" s="4"/>
      <x:c r="D4" s="4"/>
      <x:c r="E4" s="4"/>
      <x:c r="F4" s="4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</x:row>
    <x:row r="5" spans="1:19" ht="15.5" x14ac:dyDescent="0.35">
      <x:c r="A5" s="7" t="str">
        <x:f>+'Weather Adjustment'!A5</x:f>
        <x:v>ONCOR ELECTRIC DELIVERY COMPANY LLC</x:v>
      </x:c>
      <x:c r="B5" s="4"/>
      <x:c r="C5" s="4"/>
      <x:c r="D5" s="4"/>
      <x:c r="E5" s="4"/>
      <x:c r="F5" s="4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</x:row>
    <x:row r="6" spans="1:19" ht="15.5" x14ac:dyDescent="0.35">
      <x:c r="A6" s="9" t="str">
        <x:f>+'Weather Adjustment'!A6</x:f>
        <x:v>MONTHLY SALES DATA</x:v>
      </x:c>
      <x:c r="B6" s="4"/>
      <x:c r="C6" s="4"/>
      <x:c r="D6" s="4"/>
      <x:c r="E6" s="4"/>
      <x:c r="F6" s="4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</x:row>
    <x:row r="7" spans="1:19" ht="15.5" x14ac:dyDescent="0.35">
      <x:c r="A7" s="65" t="str">
        <x:f>+'Weather Adjustment'!A7</x:f>
        <x:v>TEST YEAR ENDING December 31, 2024</x:v>
      </x:c>
      <x:c r="B7" s="4"/>
      <x:c r="C7" s="38"/>
      <x:c r="D7" s="4"/>
      <x:c r="E7" s="4"/>
      <x:c r="F7" s="4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</x:row>
    <x:row r="8" spans="1:19" ht="15.5" x14ac:dyDescent="0.35">
      <x:c r="B8" s="4"/>
      <x:c r="C8" s="4"/>
      <x:c r="D8" s="4"/>
      <x:c r="E8" s="4"/>
      <x:c r="F8" s="4"/>
      <x:c r="G8" s="6"/>
      <x:c r="H8" s="6"/>
      <x:c r="I8" s="6"/>
      <x:c r="J8" s="6"/>
      <x:c r="K8" s="6"/>
      <x:c r="L8" s="6"/>
      <x:c r="M8" s="6"/>
      <x:c r="N8" s="20"/>
      <x:c r="O8" s="20"/>
      <x:c r="P8" s="20"/>
      <x:c r="Q8" s="6"/>
      <x:c r="R8" s="6"/>
      <x:c r="S8" s="6"/>
    </x:row>
    <x:row r="9" spans="1:19" ht="15.5" x14ac:dyDescent="0.35">
      <x:c r="A9" s="41" t="str">
        <x:f>+'Weather Adjustment'!A9</x:f>
        <x:v>SPONSOR:  D. E. NELSON</x:v>
      </x:c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9"/>
      <x:c r="M9" s="9"/>
      <x:c r="N9" s="42"/>
      <x:c r="O9" s="42"/>
      <x:c r="P9" s="42"/>
      <x:c r="Q9" s="9"/>
      <x:c r="R9" s="9"/>
      <x:c r="S9" s="9"/>
    </x:row>
    <x:row r="10" spans="1:19" ht="15.5" x14ac:dyDescent="0.35">
      <x:c r="B10" s="4"/>
      <x:c r="C10" s="4"/>
      <x:c r="D10" s="4"/>
      <x:c r="E10" s="4"/>
      <x:c r="F10" s="4"/>
      <x:c r="G10" s="6"/>
      <x:c r="H10" s="6"/>
      <x:c r="I10" s="6"/>
      <x:c r="J10" s="6"/>
      <x:c r="K10" s="6"/>
      <x:c r="L10" s="6"/>
      <x:c r="M10" s="6"/>
      <x:c r="N10" s="20"/>
      <x:c r="O10" s="20"/>
      <x:c r="P10" s="20"/>
      <x:c r="Q10" s="6"/>
      <x:c r="R10" s="6"/>
      <x:c r="S10" s="6"/>
    </x:row>
    <x:row r="11" spans="1:19" ht="15.5" x14ac:dyDescent="0.35">
      <x:c r="A11" s="4" t="s">
        <x:v>122</x:v>
      </x:c>
      <x:c r="B11" s="4"/>
      <x:c r="C11" s="4"/>
      <x:c r="D11" s="4"/>
      <x:c r="E11" s="4"/>
      <x:c r="F11" s="4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</x:row>
    <x:row r="12" spans="1:19" ht="15.5" x14ac:dyDescent="0.35">
      <x:c r="A12" s="1"/>
      <x:c r="B12" s="1"/>
      <x:c r="C12" s="1"/>
      <x:c r="D12" s="1"/>
      <x:c r="E12" s="1"/>
      <x:c r="F12" s="1"/>
      <x:c r="G12" s="84" t="s">
        <x:v>13</x:v>
      </x:c>
      <x:c r="H12" s="3"/>
      <x:c r="I12" s="3"/>
      <x:c r="J12" s="3"/>
      <x:c r="K12" s="3"/>
      <x:c r="L12" s="3"/>
      <x:c r="M12" s="84"/>
      <x:c r="N12" s="3"/>
      <x:c r="O12" s="84"/>
      <x:c r="P12" s="84"/>
      <x:c r="Q12" s="12" t="s">
        <x:v>30</x:v>
      </x:c>
      <x:c r="R12" s="84"/>
      <x:c r="S12" s="3"/>
    </x:row>
    <x:row r="13" spans="1:19" ht="15" customHeight="1" x14ac:dyDescent="0.35">
      <x:c r="A13" s="83" t="s">
        <x:v>0</x:v>
      </x:c>
      <x:c r="B13" s="83"/>
      <x:c r="C13" s="83" t="s">
        <x:v>1</x:v>
      </x:c>
      <x:c r="D13" s="83"/>
      <x:c r="E13" s="83" t="s">
        <x:v>2</x:v>
      </x:c>
      <x:c r="F13" s="1"/>
      <x:c r="G13" s="12" t="s">
        <x:v>14</x:v>
      </x:c>
      <x:c r="H13" s="12"/>
      <x:c r="I13" s="14" t="s">
        <x:v>25</x:v>
      </x:c>
      <x:c r="J13" s="14"/>
      <x:c r="K13" s="14" t="s">
        <x:v>27</x:v>
      </x:c>
      <x:c r="L13" s="14"/>
      <x:c r="M13" s="13" t="s">
        <x:v>5</x:v>
      </x:c>
      <x:c r="N13" s="14"/>
      <x:c r="O13" s="12" t="s">
        <x:v>29</x:v>
      </x:c>
      <x:c r="P13" s="12"/>
      <x:c r="Q13" s="12" t="s">
        <x:v>9</x:v>
      </x:c>
      <x:c r="R13" s="13" t="s">
        <x:v>5</x:v>
      </x:c>
      <x:c r="S13" s="14"/>
    </x:row>
    <x:row r="14" spans="1:19" ht="15.5" x14ac:dyDescent="0.35">
      <x:c r="A14" s="1"/>
      <x:c r="B14" s="1"/>
      <x:c r="C14" s="1"/>
      <x:c r="D14" s="1"/>
      <x:c r="E14" s="1"/>
      <x:c r="F14" s="1"/>
      <x:c r="G14" s="16" t="s">
        <x:v>15</x:v>
      </x:c>
      <x:c r="H14" s="15"/>
      <x:c r="I14" s="16" t="s">
        <x:v>18</x:v>
      </x:c>
      <x:c r="J14" s="15"/>
      <x:c r="K14" s="16" t="s">
        <x:v>19</x:v>
      </x:c>
      <x:c r="L14" s="15"/>
      <x:c r="M14" s="15"/>
      <x:c r="N14" s="15"/>
      <x:c r="O14" s="16" t="s">
        <x:v>91</x:v>
      </x:c>
      <x:c r="P14" s="15"/>
      <x:c r="Q14" s="16" t="s">
        <x:v>92</x:v>
      </x:c>
      <x:c r="R14" s="15"/>
      <x:c r="S14" s="15"/>
    </x:row>
    <x:row r="15" spans="1:19" ht="15.5" x14ac:dyDescent="0.35">
      <x:c r="A15" s="17"/>
      <x:c r="B15" s="1"/>
      <x:c r="C15" s="17"/>
      <x:c r="D15" s="1"/>
      <x:c r="E15" s="17"/>
      <x:c r="F15" s="1"/>
      <x:c r="G15" s="12"/>
      <x:c r="H15" s="3"/>
      <x:c r="I15" s="3"/>
      <x:c r="J15" s="3"/>
      <x:c r="K15" s="3"/>
      <x:c r="L15" s="3"/>
      <x:c r="M15" s="14"/>
      <x:c r="N15" s="3"/>
      <x:c r="O15" s="14"/>
      <x:c r="P15" s="14"/>
      <x:c r="Q15" s="14"/>
      <x:c r="R15" s="14"/>
      <x:c r="S15" s="3"/>
    </x:row>
    <x:row r="16" spans="1:19" ht="15.5" x14ac:dyDescent="0.35">
      <x:c r="A16" s="39">
        <x:v>1</x:v>
      </x:c>
      <x:c r="B16" s="1"/>
      <x:c r="C16" s="62">
        <x:f>+'Weather Adjustment'!C16</x:f>
        <x:v>2024</x:v>
      </x:c>
      <x:c r="D16" s="1"/>
      <x:c r="E16" s="19">
        <x:f>+'Weather Adjustment'!E16</x:f>
        <x:v>1</x:v>
      </x:c>
      <x:c r="F16" s="1"/>
      <x:c r="G16" s="43">
        <x:f>+'[2]SUB Model'!$C$17</x:f>
        <x:v>2.7719999999999998</x:v>
      </x:c>
      <x:c r="H16" s="20"/>
      <x:c r="I16" s="43">
        <x:f>+[3]SUBSTATION!D13</x:f>
        <x:v>1049.0964350240004</x:v>
      </x:c>
      <x:c r="J16" s="20"/>
      <x:c r="K16" s="43">
        <x:f>+[3]SUBSTATION!F13</x:f>
        <x:v>1493.6884893180491</x:v>
      </x:c>
      <x:c r="L16" s="20"/>
      <x:c r="M16" s="20">
        <x:f t="shared" ref="M16:M27" si="0">SUM(I16,K16)</x:f>
        <x:v>2542.7849243420496</x:v>
      </x:c>
      <x:c r="N16" s="20"/>
      <x:c r="O16" s="43">
        <x:f t="shared" ref="O16:O27" si="1">+K16-I16</x:f>
        <x:v>444.59205429404869</x:v>
      </x:c>
      <x:c r="P16" s="20"/>
      <x:c r="Q16" s="20">
        <x:f t="shared" ref="Q16:Q27" si="2">+G16*O16</x:f>
        <x:v>1232.4091745031028</x:v>
      </x:c>
      <x:c r="R16" s="20">
        <x:f t="shared" ref="R16:R27" si="3">SUM(N16,P16)</x:f>
        <x:v>0</x:v>
      </x:c>
      <x:c r="S16" s="20"/>
    </x:row>
    <x:row r="17" spans="1:20" ht="15.5" x14ac:dyDescent="0.35">
      <x:c r="A17" s="39">
        <x:f>+A16+1</x:f>
        <x:v>2</x:v>
      </x:c>
      <x:c r="B17" s="1"/>
      <x:c r="C17" s="62">
        <x:f>+'Weather Adjustment'!C17</x:f>
        <x:v>2024</x:v>
      </x:c>
      <x:c r="D17" s="1"/>
      <x:c r="E17" s="19">
        <x:f>+'Weather Adjustment'!E17</x:f>
        <x:v>2</x:v>
      </x:c>
      <x:c r="F17" s="1"/>
      <x:c r="G17" s="43">
        <x:f>+G16</x:f>
        <x:v>2.7719999999999998</x:v>
      </x:c>
      <x:c r="H17" s="20"/>
      <x:c r="I17" s="43">
        <x:f>+[3]SUBSTATION!D14</x:f>
        <x:v>972.31564602314313</x:v>
      </x:c>
      <x:c r="J17" s="20"/>
      <x:c r="K17" s="43">
        <x:f>+[3]SUBSTATION!F14</x:f>
        <x:v>1392.5958527370724</x:v>
      </x:c>
      <x:c r="L17" s="20"/>
      <x:c r="M17" s="20">
        <x:f t="shared" si="0"/>
        <x:v>2364.9114987602156</x:v>
      </x:c>
      <x:c r="N17" s="20"/>
      <x:c r="O17" s="43">
        <x:f t="shared" si="1"/>
        <x:v>420.28020671392926</x:v>
      </x:c>
      <x:c r="P17" s="20"/>
      <x:c r="Q17" s="20">
        <x:f t="shared" si="2"/>
        <x:v>1165.0167330110119</x:v>
      </x:c>
      <x:c r="R17" s="20">
        <x:f t="shared" si="3"/>
        <x:v>0</x:v>
      </x:c>
      <x:c r="S17" s="20"/>
    </x:row>
    <x:row r="18" spans="1:20" ht="15.5" x14ac:dyDescent="0.35">
      <x:c r="A18" s="39">
        <x:f t="shared" ref="A18:A64" si="4">+A17+1</x:f>
        <x:v>3</x:v>
      </x:c>
      <x:c r="B18" s="1"/>
      <x:c r="C18" s="62">
        <x:f>+'Weather Adjustment'!C18</x:f>
        <x:v>2024</x:v>
      </x:c>
      <x:c r="D18" s="1"/>
      <x:c r="E18" s="19">
        <x:f>+'Weather Adjustment'!E18</x:f>
        <x:v>3</x:v>
      </x:c>
      <x:c r="F18" s="1"/>
      <x:c r="G18" s="43">
        <x:f t="shared" ref="G18:G27" si="5">+G17</x:f>
        <x:v>2.7719999999999998</x:v>
      </x:c>
      <x:c r="H18" s="20"/>
      <x:c r="I18" s="43">
        <x:f>+[3]SUBSTATION!D15</x:f>
        <x:v>4875.9487169011436</x:v>
      </x:c>
      <x:c r="J18" s="20"/>
      <x:c r="K18" s="43">
        <x:f>+[3]SUBSTATION!F15</x:f>
        <x:v>3363.3761250145194</x:v>
      </x:c>
      <x:c r="L18" s="20"/>
      <x:c r="M18" s="20">
        <x:f t="shared" si="0"/>
        <x:v>8239.3248419156625</x:v>
      </x:c>
      <x:c r="N18" s="20"/>
      <x:c r="O18" s="43">
        <x:f t="shared" si="1"/>
        <x:v>-1512.5725918866242</x:v>
      </x:c>
      <x:c r="P18" s="20"/>
      <x:c r="Q18" s="20">
        <x:f t="shared" si="2"/>
        <x:v>-4192.8512247097224</x:v>
      </x:c>
      <x:c r="R18" s="20">
        <x:f t="shared" si="3"/>
        <x:v>0</x:v>
      </x:c>
      <x:c r="S18" s="20"/>
    </x:row>
    <x:row r="19" spans="1:20" ht="15.5" x14ac:dyDescent="0.35">
      <x:c r="A19" s="39">
        <x:f t="shared" si="4"/>
        <x:v>4</x:v>
      </x:c>
      <x:c r="B19" s="1"/>
      <x:c r="C19" s="62">
        <x:f>+'Weather Adjustment'!C19</x:f>
        <x:v>2024</x:v>
      </x:c>
      <x:c r="D19" s="1"/>
      <x:c r="E19" s="19">
        <x:f>+'Weather Adjustment'!E19</x:f>
        <x:v>4</x:v>
      </x:c>
      <x:c r="F19" s="1"/>
      <x:c r="G19" s="43">
        <x:f t="shared" si="5"/>
        <x:v>2.7719999999999998</x:v>
      </x:c>
      <x:c r="H19" s="20"/>
      <x:c r="I19" s="43">
        <x:f>+[3]SUBSTATION!D16</x:f>
        <x:v>6989.1382069928577</x:v>
      </x:c>
      <x:c r="J19" s="20"/>
      <x:c r="K19" s="43">
        <x:f>+[3]SUBSTATION!F16</x:f>
        <x:v>7264.5748223936671</x:v>
      </x:c>
      <x:c r="L19" s="20"/>
      <x:c r="M19" s="20">
        <x:f t="shared" si="0"/>
        <x:v>14253.713029386525</x:v>
      </x:c>
      <x:c r="N19" s="20"/>
      <x:c r="O19" s="43">
        <x:f>+K19-I19</x:f>
        <x:v>275.43661540080939</x:v>
      </x:c>
      <x:c r="P19" s="20"/>
      <x:c r="Q19" s="20">
        <x:f t="shared" si="2"/>
        <x:v>763.51029789104359</x:v>
      </x:c>
      <x:c r="R19" s="20">
        <x:f t="shared" si="3"/>
        <x:v>0</x:v>
      </x:c>
      <x:c r="S19" s="20"/>
    </x:row>
    <x:row r="20" spans="1:20" ht="15.5" x14ac:dyDescent="0.35">
      <x:c r="A20" s="39">
        <x:f t="shared" si="4"/>
        <x:v>5</x:v>
      </x:c>
      <x:c r="B20" s="1"/>
      <x:c r="C20" s="62">
        <x:f>+'Weather Adjustment'!C20</x:f>
        <x:v>2024</x:v>
      </x:c>
      <x:c r="D20" s="1"/>
      <x:c r="E20" s="19">
        <x:f>+'Weather Adjustment'!E20</x:f>
        <x:v>5</x:v>
      </x:c>
      <x:c r="F20" s="1"/>
      <x:c r="G20" s="43">
        <x:f t="shared" si="5"/>
        <x:v>2.7719999999999998</x:v>
      </x:c>
      <x:c r="H20" s="20"/>
      <x:c r="I20" s="43">
        <x:f>+[3]SUBSTATION!D17</x:f>
        <x:v>11689.54580825057</x:v>
      </x:c>
      <x:c r="J20" s="20"/>
      <x:c r="K20" s="43">
        <x:f>+[3]SUBSTATION!F17</x:f>
        <x:v>10881.657452883643</x:v>
      </x:c>
      <x:c r="L20" s="20"/>
      <x:c r="M20" s="20">
        <x:f t="shared" si="0"/>
        <x:v>22571.203261134215</x:v>
      </x:c>
      <x:c r="N20" s="20"/>
      <x:c r="O20" s="43">
        <x:f t="shared" si="1"/>
        <x:v>-807.8883553669275</x:v>
      </x:c>
      <x:c r="P20" s="20"/>
      <x:c r="Q20" s="20">
        <x:f t="shared" si="2"/>
        <x:v>-2239.4665210771227</x:v>
      </x:c>
      <x:c r="R20" s="20">
        <x:f t="shared" si="3"/>
        <x:v>0</x:v>
      </x:c>
      <x:c r="S20" s="20"/>
    </x:row>
    <x:row r="21" spans="1:20" ht="15.5" x14ac:dyDescent="0.35">
      <x:c r="A21" s="39">
        <x:f t="shared" si="4"/>
        <x:v>6</x:v>
      </x:c>
      <x:c r="B21" s="1"/>
      <x:c r="C21" s="62">
        <x:f>+'Weather Adjustment'!C21</x:f>
        <x:v>2024</x:v>
      </x:c>
      <x:c r="D21" s="1"/>
      <x:c r="E21" s="19">
        <x:f>+'Weather Adjustment'!E21</x:f>
        <x:v>6</x:v>
      </x:c>
      <x:c r="F21" s="1"/>
      <x:c r="G21" s="43">
        <x:f t="shared" si="5"/>
        <x:v>2.7719999999999998</x:v>
      </x:c>
      <x:c r="H21" s="20"/>
      <x:c r="I21" s="43">
        <x:f>+[3]SUBSTATION!D18</x:f>
        <x:v>16841.948910854571</x:v>
      </x:c>
      <x:c r="J21" s="20"/>
      <x:c r="K21" s="43">
        <x:f>+[3]SUBSTATION!F18</x:f>
        <x:v>15592.113515228088</x:v>
      </x:c>
      <x:c r="L21" s="20"/>
      <x:c r="M21" s="20">
        <x:f t="shared" si="0"/>
        <x:v>32434.062426082659</x:v>
      </x:c>
      <x:c r="N21" s="20"/>
      <x:c r="O21" s="43">
        <x:f t="shared" si="1"/>
        <x:v>-1249.8353956264837</x:v>
      </x:c>
      <x:c r="P21" s="20"/>
      <x:c r="Q21" s="20">
        <x:f t="shared" si="2"/>
        <x:v>-3464.5437166766123</x:v>
      </x:c>
      <x:c r="R21" s="20">
        <x:f t="shared" si="3"/>
        <x:v>0</x:v>
      </x:c>
      <x:c r="S21" s="20"/>
    </x:row>
    <x:row r="22" spans="1:20" ht="15.5" x14ac:dyDescent="0.35">
      <x:c r="A22" s="39">
        <x:f t="shared" si="4"/>
        <x:v>7</x:v>
      </x:c>
      <x:c r="B22" s="1"/>
      <x:c r="C22" s="62">
        <x:f>+'Weather Adjustment'!C22</x:f>
        <x:v>2024</x:v>
      </x:c>
      <x:c r="D22" s="1"/>
      <x:c r="E22" s="19">
        <x:f>+'Weather Adjustment'!E22</x:f>
        <x:v>7</x:v>
      </x:c>
      <x:c r="F22" s="1"/>
      <x:c r="G22" s="43">
        <x:f t="shared" si="5"/>
        <x:v>2.7719999999999998</x:v>
      </x:c>
      <x:c r="H22" s="20"/>
      <x:c r="I22" s="43">
        <x:f>+[3]SUBSTATION!D19</x:f>
        <x:v>18170.695578446659</x:v>
      </x:c>
      <x:c r="J22" s="20"/>
      <x:c r="K22" s="43">
        <x:f>+[3]SUBSTATION!F19</x:f>
        <x:v>17844.103983997855</x:v>
      </x:c>
      <x:c r="L22" s="20"/>
      <x:c r="M22" s="20">
        <x:f t="shared" si="0"/>
        <x:v>36014.799562444518</x:v>
      </x:c>
      <x:c r="N22" s="20"/>
      <x:c r="O22" s="43">
        <x:f t="shared" si="1"/>
        <x:v>-326.59159444880424</x:v>
      </x:c>
      <x:c r="P22" s="20"/>
      <x:c r="Q22" s="20">
        <x:f t="shared" si="2"/>
        <x:v>-905.31189981208524</x:v>
      </x:c>
      <x:c r="R22" s="20">
        <x:f t="shared" si="3"/>
        <x:v>0</x:v>
      </x:c>
      <x:c r="S22" s="20"/>
    </x:row>
    <x:row r="23" spans="1:20" ht="15.5" x14ac:dyDescent="0.35">
      <x:c r="A23" s="39">
        <x:f t="shared" si="4"/>
        <x:v>8</x:v>
      </x:c>
      <x:c r="B23" s="1"/>
      <x:c r="C23" s="62">
        <x:f>+'Weather Adjustment'!C23</x:f>
        <x:v>2024</x:v>
      </x:c>
      <x:c r="D23" s="1"/>
      <x:c r="E23" s="19">
        <x:f>+'Weather Adjustment'!E23</x:f>
        <x:v>8</x:v>
      </x:c>
      <x:c r="F23" s="1"/>
      <x:c r="G23" s="43">
        <x:f t="shared" si="5"/>
        <x:v>2.7719999999999998</x:v>
      </x:c>
      <x:c r="H23" s="20"/>
      <x:c r="I23" s="43">
        <x:f>+[3]SUBSTATION!D20</x:f>
        <x:v>17795.668137841334</x:v>
      </x:c>
      <x:c r="J23" s="20"/>
      <x:c r="K23" s="43">
        <x:f>+[3]SUBSTATION!F20</x:f>
        <x:v>17746.488154588806</x:v>
      </x:c>
      <x:c r="L23" s="20"/>
      <x:c r="M23" s="20">
        <x:f t="shared" si="0"/>
        <x:v>35542.15629243014</x:v>
      </x:c>
      <x:c r="N23" s="20"/>
      <x:c r="O23" s="43">
        <x:f t="shared" si="1"/>
        <x:v>-49.179983252528473</x:v>
      </x:c>
      <x:c r="P23" s="20"/>
      <x:c r="Q23" s="20">
        <x:f>+G23*O23</x:f>
        <x:v>-136.32691357600891</x:v>
      </x:c>
      <x:c r="R23" s="20">
        <x:f t="shared" si="3"/>
        <x:v>0</x:v>
      </x:c>
      <x:c r="S23" s="20"/>
    </x:row>
    <x:row r="24" spans="1:20" ht="15.5" x14ac:dyDescent="0.35">
      <x:c r="A24" s="39">
        <x:f t="shared" si="4"/>
        <x:v>9</x:v>
      </x:c>
      <x:c r="B24" s="1"/>
      <x:c r="C24" s="62">
        <x:f>+'Weather Adjustment'!C24</x:f>
        <x:v>2024</x:v>
      </x:c>
      <x:c r="D24" s="1"/>
      <x:c r="E24" s="19">
        <x:f>+'Weather Adjustment'!E24</x:f>
        <x:v>9</x:v>
      </x:c>
      <x:c r="F24" s="1"/>
      <x:c r="G24" s="43">
        <x:f t="shared" si="5"/>
        <x:v>2.7719999999999998</x:v>
      </x:c>
      <x:c r="H24" s="20"/>
      <x:c r="I24" s="43">
        <x:f>+[3]SUBSTATION!D21</x:f>
        <x:v>17486.874520105423</x:v>
      </x:c>
      <x:c r="J24" s="20"/>
      <x:c r="K24" s="43">
        <x:f>+[3]SUBSTATION!F21</x:f>
        <x:v>17452.469581640817</x:v>
      </x:c>
      <x:c r="L24" s="20"/>
      <x:c r="M24" s="20">
        <x:f t="shared" si="0"/>
        <x:v>34939.344101746239</x:v>
      </x:c>
      <x:c r="N24" s="20"/>
      <x:c r="O24" s="43">
        <x:f t="shared" si="1"/>
        <x:v>-34.404938464605948</x:v>
      </x:c>
      <x:c r="P24" s="20"/>
      <x:c r="Q24" s="20">
        <x:f t="shared" si="2"/>
        <x:v>-95.370489423887676</x:v>
      </x:c>
      <x:c r="R24" s="20">
        <x:f t="shared" si="3"/>
        <x:v>0</x:v>
      </x:c>
      <x:c r="S24" s="20"/>
    </x:row>
    <x:row r="25" spans="1:20" ht="15.5" x14ac:dyDescent="0.35">
      <x:c r="A25" s="39">
        <x:f t="shared" si="4"/>
        <x:v>10</x:v>
      </x:c>
      <x:c r="B25" s="1"/>
      <x:c r="C25" s="62">
        <x:f>+'Weather Adjustment'!C25</x:f>
        <x:v>2024</x:v>
      </x:c>
      <x:c r="D25" s="1"/>
      <x:c r="E25" s="19">
        <x:f>+'Weather Adjustment'!E25</x:f>
        <x:v>10</x:v>
      </x:c>
      <x:c r="F25" s="1"/>
      <x:c r="G25" s="43">
        <x:f t="shared" si="5"/>
        <x:v>2.7719999999999998</x:v>
      </x:c>
      <x:c r="H25" s="20"/>
      <x:c r="I25" s="43">
        <x:f>+[3]SUBSTATION!D22</x:f>
        <x:v>15355.601734994572</x:v>
      </x:c>
      <x:c r="J25" s="20"/>
      <x:c r="K25" s="43">
        <x:f>+[3]SUBSTATION!F22</x:f>
        <x:v>14419.208222578854</x:v>
      </x:c>
      <x:c r="L25" s="20"/>
      <x:c r="M25" s="20">
        <x:f t="shared" si="0"/>
        <x:v>29774.809957573427</x:v>
      </x:c>
      <x:c r="N25" s="20"/>
      <x:c r="O25" s="43">
        <x:f>+K25-I25</x:f>
        <x:v>-936.39351241571785</x:v>
      </x:c>
      <x:c r="P25" s="20"/>
      <x:c r="Q25" s="20">
        <x:f t="shared" si="2"/>
        <x:v>-2595.6828164163699</x:v>
      </x:c>
      <x:c r="R25" s="20">
        <x:f t="shared" si="3"/>
        <x:v>0</x:v>
      </x:c>
      <x:c r="S25" s="20"/>
    </x:row>
    <x:row r="26" spans="1:20" ht="15.5" x14ac:dyDescent="0.35">
      <x:c r="A26" s="39">
        <x:f t="shared" si="4"/>
        <x:v>11</x:v>
      </x:c>
      <x:c r="B26" s="1"/>
      <x:c r="C26" s="62">
        <x:f>+'Weather Adjustment'!C26</x:f>
        <x:v>2024</x:v>
      </x:c>
      <x:c r="D26" s="1"/>
      <x:c r="E26" s="19">
        <x:f>+'Weather Adjustment'!E26</x:f>
        <x:v>11</x:v>
      </x:c>
      <x:c r="F26" s="1"/>
      <x:c r="G26" s="43">
        <x:f t="shared" si="5"/>
        <x:v>2.7719999999999998</x:v>
      </x:c>
      <x:c r="H26" s="20"/>
      <x:c r="I26" s="43">
        <x:f>+[3]SUBSTATION!D23</x:f>
        <x:v>12171.405049707426</x:v>
      </x:c>
      <x:c r="J26" s="20"/>
      <x:c r="K26" s="43">
        <x:f>+[3]SUBSTATION!F23</x:f>
        <x:v>8905.835068377055</x:v>
      </x:c>
      <x:c r="L26" s="20"/>
      <x:c r="M26" s="20">
        <x:f t="shared" si="0"/>
        <x:v>21077.240118084483</x:v>
      </x:c>
      <x:c r="N26" s="20"/>
      <x:c r="O26" s="43">
        <x:f t="shared" si="1"/>
        <x:v>-3265.5699813303709</x:v>
      </x:c>
      <x:c r="P26" s="20"/>
      <x:c r="Q26" s="20">
        <x:f t="shared" si="2"/>
        <x:v>-9052.1599882477876</x:v>
      </x:c>
      <x:c r="R26" s="20">
        <x:f t="shared" si="3"/>
        <x:v>0</x:v>
      </x:c>
      <x:c r="S26" s="20"/>
    </x:row>
    <x:row r="27" spans="1:20" ht="15.5" x14ac:dyDescent="0.35">
      <x:c r="A27" s="39">
        <x:f t="shared" si="4"/>
        <x:v>12</x:v>
      </x:c>
      <x:c r="B27" s="1"/>
      <x:c r="C27" s="62">
        <x:f>+'Weather Adjustment'!C27</x:f>
        <x:v>2024</x:v>
      </x:c>
      <x:c r="D27" s="1"/>
      <x:c r="E27" s="19">
        <x:f>+'Weather Adjustment'!E27</x:f>
        <x:v>12</x:v>
      </x:c>
      <x:c r="F27" s="1"/>
      <x:c r="G27" s="43">
        <x:f t="shared" si="5"/>
        <x:v>2.7719999999999998</x:v>
      </x:c>
      <x:c r="H27" s="59"/>
      <x:c r="I27" s="43">
        <x:f>+[3]SUBSTATION!D24</x:f>
        <x:v>4181.4140426865724</x:v>
      </x:c>
      <x:c r="J27" s="20"/>
      <x:c r="K27" s="43">
        <x:f>+[3]SUBSTATION!F24</x:f>
        <x:v>3537.6546915665144</x:v>
      </x:c>
      <x:c r="L27" s="59"/>
      <x:c r="M27" s="59">
        <x:f t="shared" si="0"/>
        <x:v>7719.0687342530873</x:v>
      </x:c>
      <x:c r="N27" s="59"/>
      <x:c r="O27" s="68">
        <x:f t="shared" si="1"/>
        <x:v>-643.759351120058</x:v>
      </x:c>
      <x:c r="P27" s="59"/>
      <x:c r="Q27" s="59">
        <x:f t="shared" si="2"/>
        <x:v>-1784.5009213048006</x:v>
      </x:c>
      <x:c r="R27" s="20">
        <x:f t="shared" si="3"/>
        <x:v>0</x:v>
      </x:c>
      <x:c r="S27" s="20"/>
    </x:row>
    <x:row r="28" spans="1:20" ht="15.5" x14ac:dyDescent="0.35">
      <x:c r="A28" s="39">
        <x:f t="shared" si="4"/>
        <x:v>13</x:v>
      </x:c>
      <x:c r="B28" s="1"/>
      <x:c r="C28" s="1" t="s">
        <x:v>8</x:v>
      </x:c>
      <x:c r="D28" s="1"/>
      <x:c r="E28" s="1"/>
      <x:c r="F28" s="1"/>
      <x:c r="G28" s="76"/>
      <x:c r="H28" s="76"/>
      <x:c r="I28" s="76">
        <x:f>SUM(I16:I27)</x:f>
        <x:v>127579.65278782828</x:v>
      </x:c>
      <x:c r="J28" s="76"/>
      <x:c r="K28" s="76">
        <x:f>SUM(K16:K27)</x:f>
        <x:v>119893.76596032493</x:v>
      </x:c>
      <x:c r="L28" s="76"/>
      <x:c r="M28" s="76">
        <x:f>SUM(M22:M27)</x:f>
        <x:v>165067.41876653189</x:v>
      </x:c>
      <x:c r="N28" s="76"/>
      <x:c r="O28" s="77">
        <x:f>+K28-I28</x:f>
        <x:v>-7685.8868275033456</x:v>
      </x:c>
      <x:c r="P28" s="76"/>
      <x:c r="Q28" s="76">
        <x:f>SUM(Q16:Q27)</x:f>
        <x:v>-21305.278285839242</x:v>
      </x:c>
      <x:c r="R28" s="22">
        <x:f>SUM(R22:R27)</x:f>
        <x:v>0</x:v>
      </x:c>
      <x:c r="S28" s="22"/>
      <x:c r="T28" s="64"/>
    </x:row>
    <x:row r="29" spans="1:20" ht="15.5" x14ac:dyDescent="0.35">
      <x:c r="A29" s="39">
        <x:f t="shared" si="4"/>
        <x:v>14</x:v>
      </x:c>
      <x:c r="B29" s="1"/>
      <x:c r="C29" s="1"/>
      <x:c r="D29" s="1"/>
      <x:c r="E29" s="1"/>
      <x:c r="F29" s="1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 spans="1:20" ht="15.5" x14ac:dyDescent="0.35">
      <x:c r="A30" s="39">
        <x:f t="shared" si="4"/>
        <x:v>15</x:v>
      </x:c>
      <x:c r="B30" s="1"/>
      <x:c r="C30" s="1"/>
      <x:c r="D30" s="1"/>
      <x:c r="E30" s="1"/>
      <x:c r="F30" s="1"/>
      <x:c r="G30" s="84" t="s">
        <x:v>32</x:v>
      </x:c>
      <x:c r="H30" s="3"/>
      <x:c r="I30" s="3"/>
      <x:c r="J30" s="3"/>
      <x:c r="K30" s="3"/>
      <x:c r="L30" s="3"/>
      <x:c r="M30" s="84"/>
      <x:c r="N30" s="3"/>
      <x:c r="O30" s="84"/>
      <x:c r="P30" s="84"/>
      <x:c r="Q30" s="12" t="s">
        <x:v>34</x:v>
      </x:c>
      <x:c r="R30" s="84"/>
      <x:c r="S30" s="3"/>
    </x:row>
    <x:row r="31" spans="1:20" ht="31" x14ac:dyDescent="0.35">
      <x:c r="A31" s="39">
        <x:f t="shared" si="4"/>
        <x:v>16</x:v>
      </x:c>
      <x:c r="B31" s="83"/>
      <x:c r="C31" s="83" t="s">
        <x:v>1</x:v>
      </x:c>
      <x:c r="D31" s="83"/>
      <x:c r="E31" s="83" t="s">
        <x:v>2</x:v>
      </x:c>
      <x:c r="F31" s="1"/>
      <x:c r="G31" s="12" t="s">
        <x:v>14</x:v>
      </x:c>
      <x:c r="H31" s="12"/>
      <x:c r="I31" s="14" t="s">
        <x:v>36</x:v>
      </x:c>
      <x:c r="J31" s="14"/>
      <x:c r="K31" s="14" t="s">
        <x:v>37</x:v>
      </x:c>
      <x:c r="L31" s="14"/>
      <x:c r="M31" s="13" t="s">
        <x:v>5</x:v>
      </x:c>
      <x:c r="N31" s="14"/>
      <x:c r="O31" s="12" t="s">
        <x:v>38</x:v>
      </x:c>
      <x:c r="P31" s="12"/>
      <x:c r="Q31" s="12" t="s">
        <x:v>9</x:v>
      </x:c>
      <x:c r="R31" s="13" t="s">
        <x:v>5</x:v>
      </x:c>
      <x:c r="S31" s="14"/>
    </x:row>
    <x:row r="32" spans="1:20" ht="15.5" x14ac:dyDescent="0.35">
      <x:c r="A32" s="39">
        <x:f t="shared" si="4"/>
        <x:v>17</x:v>
      </x:c>
      <x:c r="B32" s="1"/>
      <x:c r="C32" s="1"/>
      <x:c r="D32" s="1"/>
      <x:c r="E32" s="1"/>
      <x:c r="F32" s="1"/>
      <x:c r="G32" s="16" t="s">
        <x:v>26</x:v>
      </x:c>
      <x:c r="H32" s="15"/>
      <x:c r="I32" s="16" t="s">
        <x:v>28</x:v>
      </x:c>
      <x:c r="J32" s="15"/>
      <x:c r="K32" s="16" t="s">
        <x:v>61</x:v>
      </x:c>
      <x:c r="L32" s="15"/>
      <x:c r="M32" s="15"/>
      <x:c r="N32" s="15"/>
      <x:c r="O32" s="16" t="s">
        <x:v>73</x:v>
      </x:c>
      <x:c r="P32" s="15"/>
      <x:c r="Q32" s="16" t="s">
        <x:v>74</x:v>
      </x:c>
      <x:c r="R32" s="15"/>
      <x:c r="S32" s="15"/>
    </x:row>
    <x:row r="33" spans="1:19" ht="15.5" x14ac:dyDescent="0.35">
      <x:c r="A33" s="39">
        <x:f t="shared" si="4"/>
        <x:v>18</x:v>
      </x:c>
      <x:c r="B33" s="1"/>
      <x:c r="C33" s="1"/>
      <x:c r="D33" s="1"/>
      <x:c r="E33" s="1"/>
      <x:c r="F33" s="1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 spans="1:19" ht="15.5" x14ac:dyDescent="0.35">
      <x:c r="A34" s="39">
        <x:f t="shared" si="4"/>
        <x:v>19</x:v>
      </x:c>
      <x:c r="B34" s="1"/>
      <x:c r="C34" s="18">
        <x:f t="shared" ref="C34:C45" si="6">+C16</x:f>
        <x:v>2024</x:v>
      </x:c>
      <x:c r="D34" s="1"/>
      <x:c r="E34" s="19">
        <x:f>+E16</x:f>
        <x:v>1</x:v>
      </x:c>
      <x:c r="G34" s="44">
        <x:v>0</x:v>
      </x:c>
      <x:c r="H34" s="27"/>
      <x:c r="I34" s="43">
        <x:v>0</x:v>
      </x:c>
      <x:c r="J34" s="20">
        <x:f t="shared" ref="J34:J45" si="7">J16</x:f>
        <x:v>0</x:v>
      </x:c>
      <x:c r="K34" s="43">
        <x:v>0</x:v>
      </x:c>
      <x:c r="L34" s="28"/>
      <x:c r="M34" s="28"/>
      <x:c r="N34" s="28"/>
      <x:c r="O34" s="43">
        <x:f t="shared" ref="O34:O45" si="8">+K34-I34</x:f>
        <x:v>0</x:v>
      </x:c>
      <x:c r="P34" s="28"/>
      <x:c r="Q34" s="20">
        <x:f t="shared" ref="Q34:Q45" si="9">+G34*O34</x:f>
        <x:v>0</x:v>
      </x:c>
      <x:c r="R34" s="28"/>
      <x:c r="S34" s="28"/>
    </x:row>
    <x:row r="35" spans="1:19" ht="15.5" x14ac:dyDescent="0.35">
      <x:c r="A35" s="39">
        <x:f t="shared" si="4"/>
        <x:v>20</x:v>
      </x:c>
      <x:c r="B35" s="1"/>
      <x:c r="C35" s="18">
        <x:f t="shared" si="6"/>
        <x:v>2024</x:v>
      </x:c>
      <x:c r="D35" s="1"/>
      <x:c r="E35" s="19">
        <x:f t="shared" ref="E35:E45" si="10">+E17</x:f>
        <x:v>2</x:v>
      </x:c>
      <x:c r="G35" s="43">
        <x:v>0</x:v>
      </x:c>
      <x:c r="H35" s="27"/>
      <x:c r="I35" s="43">
        <x:v>0</x:v>
      </x:c>
      <x:c r="J35" s="20">
        <x:f t="shared" si="7"/>
        <x:v>0</x:v>
      </x:c>
      <x:c r="K35" s="43">
        <x:v>0</x:v>
      </x:c>
      <x:c r="L35" s="28"/>
      <x:c r="M35" s="28"/>
      <x:c r="N35" s="28"/>
      <x:c r="O35" s="43">
        <x:f t="shared" si="8"/>
        <x:v>0</x:v>
      </x:c>
      <x:c r="P35" s="28"/>
      <x:c r="Q35" s="20">
        <x:f t="shared" si="9"/>
        <x:v>0</x:v>
      </x:c>
      <x:c r="R35" s="28"/>
      <x:c r="S35" s="28"/>
    </x:row>
    <x:row r="36" spans="1:19" ht="15.5" x14ac:dyDescent="0.35">
      <x:c r="A36" s="39">
        <x:f t="shared" si="4"/>
        <x:v>21</x:v>
      </x:c>
      <x:c r="B36" s="1"/>
      <x:c r="C36" s="18">
        <x:f t="shared" si="6"/>
        <x:v>2024</x:v>
      </x:c>
      <x:c r="D36" s="1"/>
      <x:c r="E36" s="19">
        <x:f t="shared" si="10"/>
        <x:v>3</x:v>
      </x:c>
      <x:c r="G36" s="43">
        <x:v>0</x:v>
      </x:c>
      <x:c r="H36" s="27"/>
      <x:c r="I36" s="43">
        <x:v>0</x:v>
      </x:c>
      <x:c r="J36" s="20">
        <x:f t="shared" si="7"/>
        <x:v>0</x:v>
      </x:c>
      <x:c r="K36" s="43">
        <x:v>0</x:v>
      </x:c>
      <x:c r="L36" s="28"/>
      <x:c r="M36" s="28"/>
      <x:c r="N36" s="28"/>
      <x:c r="O36" s="43">
        <x:f t="shared" si="8"/>
        <x:v>0</x:v>
      </x:c>
      <x:c r="P36" s="28"/>
      <x:c r="Q36" s="20">
        <x:f t="shared" si="9"/>
        <x:v>0</x:v>
      </x:c>
      <x:c r="R36" s="28"/>
      <x:c r="S36" s="28"/>
    </x:row>
    <x:row r="37" spans="1:19" ht="15.5" x14ac:dyDescent="0.35">
      <x:c r="A37" s="39">
        <x:f t="shared" si="4"/>
        <x:v>22</x:v>
      </x:c>
      <x:c r="B37" s="1"/>
      <x:c r="C37" s="18">
        <x:f t="shared" si="6"/>
        <x:v>2024</x:v>
      </x:c>
      <x:c r="D37" s="1"/>
      <x:c r="E37" s="19">
        <x:f t="shared" si="10"/>
        <x:v>4</x:v>
      </x:c>
      <x:c r="G37" s="43">
        <x:v>0</x:v>
      </x:c>
      <x:c r="H37" s="27"/>
      <x:c r="I37" s="43">
        <x:v>0</x:v>
      </x:c>
      <x:c r="J37" s="20">
        <x:f t="shared" si="7"/>
        <x:v>0</x:v>
      </x:c>
      <x:c r="K37" s="43">
        <x:v>0</x:v>
      </x:c>
      <x:c r="L37" s="28"/>
      <x:c r="M37" s="28"/>
      <x:c r="N37" s="28"/>
      <x:c r="O37" s="43">
        <x:f>+K37-I37</x:f>
        <x:v>0</x:v>
      </x:c>
      <x:c r="P37" s="28"/>
      <x:c r="Q37" s="20">
        <x:f t="shared" si="9"/>
        <x:v>0</x:v>
      </x:c>
      <x:c r="R37" s="28"/>
      <x:c r="S37" s="28"/>
    </x:row>
    <x:row r="38" spans="1:19" ht="15.5" x14ac:dyDescent="0.35">
      <x:c r="A38" s="39">
        <x:f t="shared" si="4"/>
        <x:v>23</x:v>
      </x:c>
      <x:c r="B38" s="1"/>
      <x:c r="C38" s="18">
        <x:f t="shared" si="6"/>
        <x:v>2024</x:v>
      </x:c>
      <x:c r="D38" s="1"/>
      <x:c r="E38" s="19">
        <x:f t="shared" si="10"/>
        <x:v>5</x:v>
      </x:c>
      <x:c r="G38" s="43">
        <x:v>0</x:v>
      </x:c>
      <x:c r="H38" s="27"/>
      <x:c r="I38" s="43">
        <x:v>0</x:v>
      </x:c>
      <x:c r="J38" s="20">
        <x:f t="shared" si="7"/>
        <x:v>0</x:v>
      </x:c>
      <x:c r="K38" s="43">
        <x:v>0</x:v>
      </x:c>
      <x:c r="L38" s="28"/>
      <x:c r="M38" s="28"/>
      <x:c r="N38" s="28"/>
      <x:c r="O38" s="43">
        <x:f t="shared" si="8"/>
        <x:v>0</x:v>
      </x:c>
      <x:c r="P38" s="28"/>
      <x:c r="Q38" s="20">
        <x:f t="shared" si="9"/>
        <x:v>0</x:v>
      </x:c>
      <x:c r="R38" s="28"/>
      <x:c r="S38" s="28"/>
    </x:row>
    <x:row r="39" spans="1:19" ht="15.5" x14ac:dyDescent="0.35">
      <x:c r="A39" s="39">
        <x:f t="shared" si="4"/>
        <x:v>24</x:v>
      </x:c>
      <x:c r="B39" s="1"/>
      <x:c r="C39" s="18">
        <x:f t="shared" si="6"/>
        <x:v>2024</x:v>
      </x:c>
      <x:c r="D39" s="1"/>
      <x:c r="E39" s="19">
        <x:f t="shared" si="10"/>
        <x:v>6</x:v>
      </x:c>
      <x:c r="G39" s="43">
        <x:v>0</x:v>
      </x:c>
      <x:c r="H39" s="30"/>
      <x:c r="I39" s="43">
        <x:v>0</x:v>
      </x:c>
      <x:c r="J39" s="20">
        <x:f t="shared" si="7"/>
        <x:v>0</x:v>
      </x:c>
      <x:c r="K39" s="43">
        <x:v>0</x:v>
      </x:c>
      <x:c r="L39" s="28"/>
      <x:c r="M39" s="28"/>
      <x:c r="N39" s="28"/>
      <x:c r="O39" s="43">
        <x:f t="shared" si="8"/>
        <x:v>0</x:v>
      </x:c>
      <x:c r="P39" s="28"/>
      <x:c r="Q39" s="20">
        <x:f t="shared" si="9"/>
        <x:v>0</x:v>
      </x:c>
      <x:c r="R39" s="28"/>
      <x:c r="S39" s="28"/>
    </x:row>
    <x:row r="40" spans="1:19" ht="15.5" x14ac:dyDescent="0.35">
      <x:c r="A40" s="39">
        <x:f t="shared" si="4"/>
        <x:v>25</x:v>
      </x:c>
      <x:c r="B40" s="1"/>
      <x:c r="C40" s="18">
        <x:f t="shared" si="6"/>
        <x:v>2024</x:v>
      </x:c>
      <x:c r="D40" s="1"/>
      <x:c r="E40" s="19">
        <x:f t="shared" si="10"/>
        <x:v>7</x:v>
      </x:c>
      <x:c r="F40" s="23"/>
      <x:c r="G40" s="43">
        <x:v>0</x:v>
      </x:c>
      <x:c r="H40" s="28"/>
      <x:c r="I40" s="43">
        <x:v>0</x:v>
      </x:c>
      <x:c r="J40" s="20">
        <x:f t="shared" si="7"/>
        <x:v>0</x:v>
      </x:c>
      <x:c r="K40" s="43">
        <x:v>0</x:v>
      </x:c>
      <x:c r="L40" s="3"/>
      <x:c r="M40" s="3"/>
      <x:c r="N40" s="3"/>
      <x:c r="O40" s="43">
        <x:f t="shared" si="8"/>
        <x:v>0</x:v>
      </x:c>
      <x:c r="P40" s="3"/>
      <x:c r="Q40" s="20">
        <x:f t="shared" si="9"/>
        <x:v>0</x:v>
      </x:c>
      <x:c r="R40" s="3"/>
      <x:c r="S40" s="3"/>
    </x:row>
    <x:row r="41" spans="1:19" ht="15.5" x14ac:dyDescent="0.35">
      <x:c r="A41" s="39">
        <x:f t="shared" si="4"/>
        <x:v>26</x:v>
      </x:c>
      <x:c r="B41" s="1"/>
      <x:c r="C41" s="18">
        <x:f t="shared" si="6"/>
        <x:v>2024</x:v>
      </x:c>
      <x:c r="D41" s="1"/>
      <x:c r="E41" s="19">
        <x:f t="shared" si="10"/>
        <x:v>8</x:v>
      </x:c>
      <x:c r="G41" s="43">
        <x:v>0</x:v>
      </x:c>
      <x:c r="H41" s="27"/>
      <x:c r="I41" s="43">
        <x:v>0</x:v>
      </x:c>
      <x:c r="J41" s="20">
        <x:f t="shared" si="7"/>
        <x:v>0</x:v>
      </x:c>
      <x:c r="K41" s="43">
        <x:v>0</x:v>
      </x:c>
      <x:c r="L41" s="3"/>
      <x:c r="M41" s="3"/>
      <x:c r="N41" s="3"/>
      <x:c r="O41" s="43">
        <x:f t="shared" si="8"/>
        <x:v>0</x:v>
      </x:c>
      <x:c r="P41" s="3"/>
      <x:c r="Q41" s="20">
        <x:f>+G41*O41</x:f>
        <x:v>0</x:v>
      </x:c>
      <x:c r="R41" s="3"/>
      <x:c r="S41" s="3"/>
    </x:row>
    <x:row r="42" spans="1:19" ht="15.5" x14ac:dyDescent="0.35">
      <x:c r="A42" s="39">
        <x:f t="shared" si="4"/>
        <x:v>27</x:v>
      </x:c>
      <x:c r="B42" s="1"/>
      <x:c r="C42" s="18">
        <x:f t="shared" si="6"/>
        <x:v>2024</x:v>
      </x:c>
      <x:c r="D42" s="1"/>
      <x:c r="E42" s="19">
        <x:f t="shared" si="10"/>
        <x:v>9</x:v>
      </x:c>
      <x:c r="G42" s="43">
        <x:v>0</x:v>
      </x:c>
      <x:c r="H42" s="27"/>
      <x:c r="I42" s="43">
        <x:v>0</x:v>
      </x:c>
      <x:c r="J42" s="20">
        <x:f t="shared" si="7"/>
        <x:v>0</x:v>
      </x:c>
      <x:c r="K42" s="43">
        <x:v>0</x:v>
      </x:c>
      <x:c r="L42" s="3"/>
      <x:c r="M42" s="3"/>
      <x:c r="N42" s="3"/>
      <x:c r="O42" s="43">
        <x:f t="shared" si="8"/>
        <x:v>0</x:v>
      </x:c>
      <x:c r="P42" s="3"/>
      <x:c r="Q42" s="20">
        <x:f t="shared" si="9"/>
        <x:v>0</x:v>
      </x:c>
      <x:c r="R42" s="3"/>
      <x:c r="S42" s="3"/>
    </x:row>
    <x:row r="43" spans="1:19" ht="15.5" x14ac:dyDescent="0.35">
      <x:c r="A43" s="39">
        <x:f t="shared" si="4"/>
        <x:v>28</x:v>
      </x:c>
      <x:c r="B43" s="1"/>
      <x:c r="C43" s="18">
        <x:f t="shared" si="6"/>
        <x:v>2024</x:v>
      </x:c>
      <x:c r="D43" s="1"/>
      <x:c r="E43" s="19">
        <x:f t="shared" si="10"/>
        <x:v>10</x:v>
      </x:c>
      <x:c r="G43" s="43">
        <x:v>0</x:v>
      </x:c>
      <x:c r="H43" s="27"/>
      <x:c r="I43" s="43">
        <x:v>0</x:v>
      </x:c>
      <x:c r="J43" s="20">
        <x:f t="shared" si="7"/>
        <x:v>0</x:v>
      </x:c>
      <x:c r="K43" s="43">
        <x:v>0</x:v>
      </x:c>
      <x:c r="L43" s="3"/>
      <x:c r="M43" s="3"/>
      <x:c r="N43" s="3"/>
      <x:c r="O43" s="43">
        <x:f t="shared" si="8"/>
        <x:v>0</x:v>
      </x:c>
      <x:c r="P43" s="3"/>
      <x:c r="Q43" s="20">
        <x:f t="shared" si="9"/>
        <x:v>0</x:v>
      </x:c>
      <x:c r="R43" s="3"/>
      <x:c r="S43" s="3"/>
    </x:row>
    <x:row r="44" spans="1:19" ht="15.5" x14ac:dyDescent="0.35">
      <x:c r="A44" s="39">
        <x:f t="shared" si="4"/>
        <x:v>29</x:v>
      </x:c>
      <x:c r="B44" s="1"/>
      <x:c r="C44" s="18">
        <x:f t="shared" si="6"/>
        <x:v>2024</x:v>
      </x:c>
      <x:c r="D44" s="1"/>
      <x:c r="E44" s="19">
        <x:f t="shared" si="10"/>
        <x:v>11</x:v>
      </x:c>
      <x:c r="G44" s="43">
        <x:v>0</x:v>
      </x:c>
      <x:c r="H44" s="27"/>
      <x:c r="I44" s="43">
        <x:v>0</x:v>
      </x:c>
      <x:c r="J44" s="20">
        <x:f t="shared" si="7"/>
        <x:v>0</x:v>
      </x:c>
      <x:c r="K44" s="43">
        <x:v>0</x:v>
      </x:c>
      <x:c r="L44" s="28"/>
      <x:c r="M44" s="28"/>
      <x:c r="N44" s="28"/>
      <x:c r="O44" s="43">
        <x:f t="shared" si="8"/>
        <x:v>0</x:v>
      </x:c>
      <x:c r="P44" s="28"/>
      <x:c r="Q44" s="20">
        <x:f t="shared" si="9"/>
        <x:v>0</x:v>
      </x:c>
      <x:c r="R44" s="28"/>
      <x:c r="S44" s="28"/>
    </x:row>
    <x:row r="45" spans="1:19" ht="15.5" x14ac:dyDescent="0.35">
      <x:c r="A45" s="39">
        <x:f t="shared" si="4"/>
        <x:v>30</x:v>
      </x:c>
      <x:c r="B45" s="1"/>
      <x:c r="C45" s="18">
        <x:f t="shared" si="6"/>
        <x:v>2024</x:v>
      </x:c>
      <x:c r="D45" s="1"/>
      <x:c r="E45" s="19">
        <x:f t="shared" si="10"/>
        <x:v>12</x:v>
      </x:c>
      <x:c r="G45" s="43">
        <x:v>0</x:v>
      </x:c>
      <x:c r="H45" s="27"/>
      <x:c r="I45" s="43">
        <x:v>0</x:v>
      </x:c>
      <x:c r="J45" s="20">
        <x:f t="shared" si="7"/>
        <x:v>0</x:v>
      </x:c>
      <x:c r="K45" s="43">
        <x:v>0</x:v>
      </x:c>
      <x:c r="L45" s="51"/>
      <x:c r="M45" s="51"/>
      <x:c r="N45" s="51"/>
      <x:c r="O45" s="68">
        <x:f t="shared" si="8"/>
        <x:v>0</x:v>
      </x:c>
      <x:c r="P45" s="51"/>
      <x:c r="Q45" s="59">
        <x:f t="shared" si="9"/>
        <x:v>0</x:v>
      </x:c>
      <x:c r="R45" s="28"/>
      <x:c r="S45" s="28"/>
    </x:row>
    <x:row r="46" spans="1:19" ht="15.5" x14ac:dyDescent="0.35">
      <x:c r="A46" s="39">
        <x:f t="shared" si="4"/>
        <x:v>31</x:v>
      </x:c>
      <x:c r="B46" s="1"/>
      <x:c r="C46" s="1" t="s">
        <x:v>8</x:v>
      </x:c>
      <x:c r="D46" s="1"/>
      <x:c r="E46" s="19"/>
      <x:c r="G46" s="72"/>
      <x:c r="H46" s="72"/>
      <x:c r="I46" s="76">
        <x:f>SUM(I34:I45)</x:f>
        <x:v>0</x:v>
      </x:c>
      <x:c r="J46" s="76"/>
      <x:c r="K46" s="76">
        <x:f>SUM(K34:K45)</x:f>
        <x:v>0</x:v>
      </x:c>
      <x:c r="L46" s="76"/>
      <x:c r="M46" s="76">
        <x:f>SUM(M40:M45)</x:f>
        <x:v>0</x:v>
      </x:c>
      <x:c r="N46" s="76"/>
      <x:c r="O46" s="77">
        <x:f>+K46-I46</x:f>
        <x:v>0</x:v>
      </x:c>
      <x:c r="P46" s="76"/>
      <x:c r="Q46" s="76">
        <x:f>SUM(Q34:Q45)</x:f>
        <x:v>0</x:v>
      </x:c>
      <x:c r="R46" s="22">
        <x:f>SUM(R40:R45)</x:f>
        <x:v>0</x:v>
      </x:c>
      <x:c r="S46" s="22"/>
    </x:row>
    <x:row r="47" spans="1:19" ht="15.5" x14ac:dyDescent="0.35">
      <x:c r="A47" s="39">
        <x:f t="shared" si="4"/>
        <x:v>32</x:v>
      </x:c>
      <x:c r="B47" s="4"/>
      <x:c r="C47" s="24"/>
      <x:c r="D47" s="4"/>
      <x:c r="E47" s="25"/>
      <x:c r="F47" s="8"/>
      <x:c r="G47" s="32"/>
      <x:c r="H47" s="33"/>
      <x:c r="I47" s="32"/>
      <x:c r="J47" s="35"/>
      <x:c r="K47" s="32"/>
      <x:c r="L47" s="35"/>
      <x:c r="M47" s="35"/>
      <x:c r="N47" s="35"/>
      <x:c r="O47" s="32"/>
      <x:c r="P47" s="35"/>
      <x:c r="Q47" s="36"/>
      <x:c r="R47" s="35"/>
      <x:c r="S47" s="35"/>
    </x:row>
    <x:row r="48" spans="1:19" ht="15.5" x14ac:dyDescent="0.35">
      <x:c r="A48" s="39">
        <x:f t="shared" si="4"/>
        <x:v>33</x:v>
      </x:c>
      <x:c r="B48" s="1"/>
      <x:c r="C48" s="21"/>
      <x:c r="D48" s="1"/>
      <x:c r="E48" s="19"/>
      <x:c r="G48" s="30"/>
      <x:c r="H48" s="27"/>
      <x:c r="I48" s="30"/>
      <x:c r="J48" s="28"/>
      <x:c r="K48" s="30"/>
      <x:c r="L48" s="28"/>
      <x:c r="M48" s="28"/>
      <x:c r="N48" s="28"/>
      <x:c r="O48" s="30"/>
      <x:c r="P48" s="28"/>
      <x:c r="Q48" s="31"/>
      <x:c r="R48" s="28"/>
      <x:c r="S48" s="28"/>
    </x:row>
    <x:row r="49" spans="1:20" ht="15.5" x14ac:dyDescent="0.35">
      <x:c r="A49" s="39">
        <x:f t="shared" si="4"/>
        <x:v>34</x:v>
      </x:c>
      <x:c r="B49" s="83"/>
      <x:c r="C49" s="83" t="s">
        <x:v>1</x:v>
      </x:c>
      <x:c r="D49" s="83"/>
      <x:c r="E49" s="83" t="s">
        <x:v>2</x:v>
      </x:c>
      <x:c r="F49" s="1"/>
      <x:c r="G49" s="12"/>
      <x:c r="H49" s="12"/>
      <x:c r="I49" s="14"/>
      <x:c r="J49" s="14"/>
      <x:c r="K49" s="14"/>
      <x:c r="L49" s="14"/>
      <x:c r="M49" s="13"/>
      <x:c r="N49" s="14"/>
      <x:c r="O49" s="12"/>
      <x:c r="P49" s="12"/>
      <x:c r="Q49" s="12" t="s">
        <x:v>8</x:v>
      </x:c>
      <x:c r="R49" s="13"/>
      <x:c r="S49" s="14"/>
    </x:row>
    <x:row r="50" spans="1:20" ht="15.5" x14ac:dyDescent="0.35">
      <x:c r="A50" s="39">
        <x:f t="shared" si="4"/>
        <x:v>35</x:v>
      </x:c>
      <x:c r="B50" s="1"/>
      <x:c r="C50" s="26"/>
      <x:c r="D50" s="1"/>
      <x:c r="E50" s="26"/>
      <x:c r="F50" s="1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6" t="s">
        <x:v>115</x:v>
      </x:c>
      <x:c r="R50" s="15"/>
      <x:c r="S50" s="15"/>
    </x:row>
    <x:row r="51" spans="1:20" ht="15.5" x14ac:dyDescent="0.35">
      <x:c r="A51" s="39">
        <x:f t="shared" si="4"/>
        <x:v>36</x:v>
      </x:c>
      <x:c r="C51" s="23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</x:row>
    <x:row r="52" spans="1:20" ht="15.5" x14ac:dyDescent="0.35">
      <x:c r="A52" s="39">
        <x:f t="shared" si="4"/>
        <x:v>37</x:v>
      </x:c>
      <x:c r="B52" s="1"/>
      <x:c r="C52" s="21">
        <x:f>+C34</x:f>
        <x:v>2024</x:v>
      </x:c>
      <x:c r="D52" s="1"/>
      <x:c r="E52" s="19">
        <x:f>+E34</x:f>
        <x:v>1</x:v>
      </x:c>
      <x:c r="G52" s="27"/>
      <x:c r="H52" s="27"/>
      <x:c r="I52" s="27"/>
      <x:c r="J52" s="28"/>
      <x:c r="K52" s="27"/>
      <x:c r="L52" s="28"/>
      <x:c r="M52" s="28"/>
      <x:c r="N52" s="28"/>
      <x:c r="O52" s="27"/>
      <x:c r="P52" s="28"/>
      <x:c r="Q52" s="27">
        <x:f t="shared" ref="Q52:Q63" si="11">+Q16+Q34</x:f>
        <x:v>1232.4091745031028</x:v>
      </x:c>
      <x:c r="R52" s="28"/>
      <x:c r="S52" s="28"/>
    </x:row>
    <x:row r="53" spans="1:20" ht="15.5" x14ac:dyDescent="0.35">
      <x:c r="A53" s="39">
        <x:f t="shared" si="4"/>
        <x:v>38</x:v>
      </x:c>
      <x:c r="B53" s="1"/>
      <x:c r="C53" s="21">
        <x:f t="shared" ref="C53:C63" si="12">+C35</x:f>
        <x:v>2024</x:v>
      </x:c>
      <x:c r="D53" s="1"/>
      <x:c r="E53" s="19">
        <x:f t="shared" ref="E53:E63" si="13">+E35</x:f>
        <x:v>2</x:v>
      </x:c>
      <x:c r="G53" s="27"/>
      <x:c r="H53" s="27"/>
      <x:c r="I53" s="27"/>
      <x:c r="J53" s="28"/>
      <x:c r="K53" s="27"/>
      <x:c r="L53" s="28"/>
      <x:c r="M53" s="28"/>
      <x:c r="N53" s="28"/>
      <x:c r="O53" s="27"/>
      <x:c r="P53" s="28"/>
      <x:c r="Q53" s="27">
        <x:f t="shared" si="11"/>
        <x:v>1165.0167330110119</x:v>
      </x:c>
      <x:c r="R53" s="28"/>
      <x:c r="S53" s="28"/>
    </x:row>
    <x:row r="54" spans="1:20" ht="15.5" x14ac:dyDescent="0.35">
      <x:c r="A54" s="39">
        <x:f t="shared" si="4"/>
        <x:v>39</x:v>
      </x:c>
      <x:c r="B54" s="1"/>
      <x:c r="C54" s="21">
        <x:f t="shared" si="12"/>
        <x:v>2024</x:v>
      </x:c>
      <x:c r="D54" s="1"/>
      <x:c r="E54" s="19">
        <x:f t="shared" si="13"/>
        <x:v>3</x:v>
      </x:c>
      <x:c r="G54" s="27"/>
      <x:c r="H54" s="27"/>
      <x:c r="I54" s="27"/>
      <x:c r="J54" s="28"/>
      <x:c r="K54" s="27"/>
      <x:c r="L54" s="28"/>
      <x:c r="M54" s="28"/>
      <x:c r="N54" s="28"/>
      <x:c r="O54" s="27"/>
      <x:c r="P54" s="28"/>
      <x:c r="Q54" s="27">
        <x:f t="shared" si="11"/>
        <x:v>-4192.8512247097224</x:v>
      </x:c>
      <x:c r="R54" s="28"/>
      <x:c r="S54" s="28"/>
    </x:row>
    <x:row r="55" spans="1:20" ht="15.5" x14ac:dyDescent="0.35">
      <x:c r="A55" s="39">
        <x:f t="shared" si="4"/>
        <x:v>40</x:v>
      </x:c>
      <x:c r="B55" s="1"/>
      <x:c r="C55" s="21">
        <x:f t="shared" si="12"/>
        <x:v>2024</x:v>
      </x:c>
      <x:c r="D55" s="1"/>
      <x:c r="E55" s="19">
        <x:f t="shared" si="13"/>
        <x:v>4</x:v>
      </x:c>
      <x:c r="G55" s="27"/>
      <x:c r="H55" s="27"/>
      <x:c r="I55" s="27"/>
      <x:c r="J55" s="28"/>
      <x:c r="K55" s="27"/>
      <x:c r="L55" s="28"/>
      <x:c r="M55" s="28"/>
      <x:c r="N55" s="28"/>
      <x:c r="O55" s="27"/>
      <x:c r="P55" s="28"/>
      <x:c r="Q55" s="27">
        <x:f t="shared" si="11"/>
        <x:v>763.51029789104359</x:v>
      </x:c>
      <x:c r="R55" s="28"/>
      <x:c r="S55" s="28"/>
    </x:row>
    <x:row r="56" spans="1:20" ht="15.5" x14ac:dyDescent="0.35">
      <x:c r="A56" s="39">
        <x:f t="shared" si="4"/>
        <x:v>41</x:v>
      </x:c>
      <x:c r="B56" s="1"/>
      <x:c r="C56" s="21">
        <x:f t="shared" si="12"/>
        <x:v>2024</x:v>
      </x:c>
      <x:c r="D56" s="1"/>
      <x:c r="E56" s="19">
        <x:f t="shared" si="13"/>
        <x:v>5</x:v>
      </x:c>
      <x:c r="G56" s="27"/>
      <x:c r="H56" s="27"/>
      <x:c r="I56" s="27"/>
      <x:c r="J56" s="28"/>
      <x:c r="K56" s="27"/>
      <x:c r="L56" s="28"/>
      <x:c r="M56" s="28"/>
      <x:c r="N56" s="28"/>
      <x:c r="O56" s="27"/>
      <x:c r="P56" s="28"/>
      <x:c r="Q56" s="27">
        <x:f t="shared" si="11"/>
        <x:v>-2239.4665210771227</x:v>
      </x:c>
      <x:c r="R56" s="28"/>
      <x:c r="S56" s="28"/>
    </x:row>
    <x:row r="57" spans="1:20" ht="15.5" x14ac:dyDescent="0.35">
      <x:c r="A57" s="39">
        <x:f t="shared" si="4"/>
        <x:v>42</x:v>
      </x:c>
      <x:c r="B57" s="1"/>
      <x:c r="C57" s="21">
        <x:f t="shared" si="12"/>
        <x:v>2024</x:v>
      </x:c>
      <x:c r="D57" s="1"/>
      <x:c r="E57" s="19">
        <x:f t="shared" si="13"/>
        <x:v>6</x:v>
      </x:c>
      <x:c r="G57" s="30"/>
      <x:c r="H57" s="30"/>
      <x:c r="I57" s="30"/>
      <x:c r="J57" s="51"/>
      <x:c r="K57" s="30"/>
      <x:c r="L57" s="51"/>
      <x:c r="M57" s="51"/>
      <x:c r="N57" s="51"/>
      <x:c r="O57" s="30"/>
      <x:c r="P57" s="51"/>
      <x:c r="Q57" s="30">
        <x:f t="shared" si="11"/>
        <x:v>-3464.5437166766123</x:v>
      </x:c>
      <x:c r="R57" s="46"/>
      <x:c r="S57" s="46"/>
    </x:row>
    <x:row r="58" spans="1:20" ht="15.5" x14ac:dyDescent="0.35">
      <x:c r="A58" s="39">
        <x:f t="shared" si="4"/>
        <x:v>43</x:v>
      </x:c>
      <x:c r="B58" s="1"/>
      <x:c r="C58" s="21">
        <x:f t="shared" si="12"/>
        <x:v>2024</x:v>
      </x:c>
      <x:c r="D58" s="1"/>
      <x:c r="E58" s="19">
        <x:f t="shared" si="13"/>
        <x:v>7</x:v>
      </x:c>
      <x:c r="G58" s="27"/>
      <x:c r="H58" s="28"/>
      <x:c r="I58" s="27"/>
      <x:c r="J58" s="28"/>
      <x:c r="K58" s="27"/>
      <x:c r="L58" s="28"/>
      <x:c r="M58" s="28"/>
      <x:c r="N58" s="28"/>
      <x:c r="O58" s="27"/>
      <x:c r="P58" s="28"/>
      <x:c r="Q58" s="27">
        <x:f>+Q22+Q40</x:f>
        <x:v>-905.31189981208524</x:v>
      </x:c>
      <x:c r="R58" s="28"/>
      <x:c r="S58" s="28"/>
    </x:row>
    <x:row r="59" spans="1:20" ht="15.5" x14ac:dyDescent="0.35">
      <x:c r="A59" s="39">
        <x:f t="shared" si="4"/>
        <x:v>44</x:v>
      </x:c>
      <x:c r="B59" s="1"/>
      <x:c r="C59" s="21">
        <x:f t="shared" si="12"/>
        <x:v>2024</x:v>
      </x:c>
      <x:c r="D59" s="1"/>
      <x:c r="E59" s="19">
        <x:f t="shared" si="13"/>
        <x:v>8</x:v>
      </x:c>
      <x:c r="G59" s="27"/>
      <x:c r="H59" s="27"/>
      <x:c r="I59" s="27"/>
      <x:c r="J59" s="28"/>
      <x:c r="K59" s="27"/>
      <x:c r="L59" s="28"/>
      <x:c r="M59" s="28"/>
      <x:c r="N59" s="28"/>
      <x:c r="O59" s="27"/>
      <x:c r="P59" s="28"/>
      <x:c r="Q59" s="27">
        <x:f t="shared" si="11"/>
        <x:v>-136.32691357600891</x:v>
      </x:c>
      <x:c r="R59" s="28"/>
      <x:c r="S59" s="28"/>
    </x:row>
    <x:row r="60" spans="1:20" ht="15.5" x14ac:dyDescent="0.35">
      <x:c r="A60" s="39">
        <x:f t="shared" si="4"/>
        <x:v>45</x:v>
      </x:c>
      <x:c r="B60" s="1"/>
      <x:c r="C60" s="21">
        <x:f t="shared" si="12"/>
        <x:v>2024</x:v>
      </x:c>
      <x:c r="D60" s="1"/>
      <x:c r="E60" s="19">
        <x:f t="shared" si="13"/>
        <x:v>9</x:v>
      </x:c>
      <x:c r="G60" s="27"/>
      <x:c r="H60" s="27"/>
      <x:c r="I60" s="27"/>
      <x:c r="J60" s="28"/>
      <x:c r="K60" s="27"/>
      <x:c r="L60" s="28"/>
      <x:c r="M60" s="28"/>
      <x:c r="N60" s="28"/>
      <x:c r="O60" s="27"/>
      <x:c r="P60" s="28"/>
      <x:c r="Q60" s="27">
        <x:f t="shared" si="11"/>
        <x:v>-95.370489423887676</x:v>
      </x:c>
      <x:c r="R60" s="28"/>
      <x:c r="S60" s="28"/>
    </x:row>
    <x:row r="61" spans="1:20" ht="15.5" x14ac:dyDescent="0.35">
      <x:c r="A61" s="39">
        <x:f t="shared" si="4"/>
        <x:v>46</x:v>
      </x:c>
      <x:c r="B61" s="1"/>
      <x:c r="C61" s="21">
        <x:f t="shared" si="12"/>
        <x:v>2024</x:v>
      </x:c>
      <x:c r="D61" s="1"/>
      <x:c r="E61" s="19">
        <x:f t="shared" si="13"/>
        <x:v>10</x:v>
      </x:c>
      <x:c r="G61" s="27"/>
      <x:c r="H61" s="27"/>
      <x:c r="I61" s="27"/>
      <x:c r="J61" s="28"/>
      <x:c r="K61" s="27"/>
      <x:c r="L61" s="28"/>
      <x:c r="M61" s="28"/>
      <x:c r="N61" s="28"/>
      <x:c r="O61" s="27"/>
      <x:c r="P61" s="28"/>
      <x:c r="Q61" s="27">
        <x:f t="shared" si="11"/>
        <x:v>-2595.6828164163699</x:v>
      </x:c>
      <x:c r="R61" s="28"/>
      <x:c r="S61" s="28"/>
    </x:row>
    <x:row r="62" spans="1:20" ht="15.5" x14ac:dyDescent="0.35">
      <x:c r="A62" s="39">
        <x:f t="shared" si="4"/>
        <x:v>47</x:v>
      </x:c>
      <x:c r="B62" s="1"/>
      <x:c r="C62" s="21">
        <x:f t="shared" si="12"/>
        <x:v>2024</x:v>
      </x:c>
      <x:c r="D62" s="1"/>
      <x:c r="E62" s="19">
        <x:f t="shared" si="13"/>
        <x:v>11</x:v>
      </x:c>
      <x:c r="G62" s="27"/>
      <x:c r="H62" s="27"/>
      <x:c r="I62" s="27"/>
      <x:c r="J62" s="28"/>
      <x:c r="K62" s="27"/>
      <x:c r="L62" s="28"/>
      <x:c r="M62" s="28"/>
      <x:c r="N62" s="28"/>
      <x:c r="O62" s="27"/>
      <x:c r="P62" s="28"/>
      <x:c r="Q62" s="27">
        <x:f t="shared" si="11"/>
        <x:v>-9052.1599882477876</x:v>
      </x:c>
      <x:c r="R62" s="28"/>
      <x:c r="S62" s="28"/>
    </x:row>
    <x:row r="63" spans="1:20" ht="15.5" x14ac:dyDescent="0.35">
      <x:c r="A63" s="39">
        <x:f t="shared" si="4"/>
        <x:v>48</x:v>
      </x:c>
      <x:c r="B63" s="1"/>
      <x:c r="C63" s="21">
        <x:f t="shared" si="12"/>
        <x:v>2024</x:v>
      </x:c>
      <x:c r="D63" s="1"/>
      <x:c r="E63" s="19">
        <x:f t="shared" si="13"/>
        <x:v>12</x:v>
      </x:c>
      <x:c r="G63" s="27"/>
      <x:c r="H63" s="27"/>
      <x:c r="I63" s="27"/>
      <x:c r="J63" s="28"/>
      <x:c r="K63" s="27"/>
      <x:c r="L63" s="28"/>
      <x:c r="M63" s="28"/>
      <x:c r="N63" s="28"/>
      <x:c r="O63" s="27"/>
      <x:c r="P63" s="28"/>
      <x:c r="Q63" s="30">
        <x:f t="shared" si="11"/>
        <x:v>-1784.5009213048006</x:v>
      </x:c>
      <x:c r="R63" s="28"/>
      <x:c r="S63" s="28"/>
    </x:row>
    <x:row r="64" spans="1:20" ht="15.5" x14ac:dyDescent="0.35">
      <x:c r="A64" s="39">
        <x:f t="shared" si="4"/>
        <x:v>49</x:v>
      </x:c>
      <x:c r="C64" s="37" t="s">
        <x:v>8</x:v>
      </x:c>
      <x:c r="E64" s="19"/>
      <x:c r="G64" s="72"/>
      <x:c r="H64" s="78"/>
      <x:c r="I64" s="78"/>
      <x:c r="J64" s="74"/>
      <x:c r="K64" s="78"/>
      <x:c r="L64" s="74"/>
      <x:c r="M64" s="74"/>
      <x:c r="N64" s="74"/>
      <x:c r="O64" s="78"/>
      <x:c r="P64" s="74"/>
      <x:c r="Q64" s="72">
        <x:f>SUM(Q52:Q63)</x:f>
        <x:v>-21305.278285839242</x:v>
      </x:c>
      <x:c r="R64" s="28"/>
      <x:c r="S64" s="28"/>
      <x:c r="T64" s="64"/>
    </x:row>
    <x:row r="71" spans="3:19" ht="15.5" x14ac:dyDescent="0.35">
      <x:c r="G71" s="27"/>
      <x:c r="H71" s="27"/>
      <x:c r="I71" s="27"/>
      <x:c r="J71" s="28"/>
      <x:c r="K71" s="27"/>
      <x:c r="L71" s="28"/>
      <x:c r="M71" s="28"/>
      <x:c r="N71" s="28"/>
      <x:c r="O71" s="27"/>
      <x:c r="P71" s="28"/>
      <x:c r="R71" s="28"/>
      <x:c r="S71" s="28"/>
    </x:row>
    <x:row r="72" spans="3:19" ht="15.5" x14ac:dyDescent="0.35">
      <x:c r="C72" s="23"/>
      <x:c r="G72" s="27"/>
      <x:c r="H72" s="27"/>
      <x:c r="I72" s="27"/>
      <x:c r="J72" s="27"/>
      <x:c r="K72" s="27"/>
      <x:c r="L72" s="27"/>
      <x:c r="M72" s="28"/>
      <x:c r="N72" s="28"/>
      <x:c r="O72" s="28"/>
      <x:c r="P72" s="28"/>
      <x:c r="Q72" s="28"/>
      <x:c r="R72" s="28"/>
      <x:c r="S72" s="28"/>
    </x:row>
  </x:sheetData>
  <x:printOptions horizontalCentered="1"/>
  <x:pageMargins left="0.25" right="0" top="1.5" bottom="0.25" header="0.5" footer="0.5"/>
  <x:pageSetup scale="45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2025-05-06T16:09:06.0000000Z</dcterms:modified>
</coreProperties>
</file>