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468F607F-D484-4E4B-875B-AD6FD52AB038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UBS Seasonal Weights" sheetId="4" r:id="rId1"/>
    <x:sheet name="SUBS Monthly Weather Weights" sheetId="1" r:id="rId2"/>
    <x:sheet name="SUBS Weights by Year (21-23)" sheetId="3" r:id="rId3"/>
    <x:sheet name="SUBS Sales by Year (21-23)" sheetId="2" r:id="rId4"/>
  </x:sheets>
  <x:externalReferences>
    <x:externalReference r:id="rId5"/>
    <x:externalReference r:id="rId6"/>
    <x:externalReference r:id="rId7"/>
  </x:externalReferences>
  <x:definedNames>
    <x:definedName name="_xlnm.Database">#REF!</x:definedName>
    <x:definedName name="HOURLY">[1]HOURLY!$A$1:$G$745</x:definedName>
    <x:definedName name="OLE_LINK2" localSheetId="0">'SUBS Seasonal Weights'!$B$24</x:definedName>
    <x:definedName name="_xlnm.Print_Area" localSheetId="3">'SUBS Sales by Year (21-23)'!$A$1:$P$64</x:definedName>
    <x:definedName name="_xlnm.Print_Area" localSheetId="0">'SUBS Seasonal Weights'!$A$1:$P$36</x:definedName>
    <x:definedName name="_xlnm.Print_Area" localSheetId="2">'SUBS Weights by Year (21-23)'!$A$1:$P$64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63" i="2" l="1"/>
  <x:c r="G62" i="2"/>
  <x:c r="J61" i="2"/>
  <x:c r="J62" i="2"/>
  <x:c r="J63" i="2"/>
  <x:c r="I62" i="2"/>
  <x:c r="K61" i="2"/>
  <x:c r="K62" i="2"/>
  <x:c r="K63" i="2"/>
  <x:c r="F62" i="2"/>
  <x:c r="H61" i="2"/>
  <x:c r="I61" i="2"/>
  <x:c r="L61" i="2"/>
  <x:c r="L62" i="2"/>
  <x:c r="L63" i="2"/>
  <x:c r="F61" i="2"/>
  <x:c r="H62" i="2"/>
  <x:c r="M61" i="2"/>
  <x:c r="M62" i="2"/>
  <x:c r="M63" i="2"/>
  <x:c r="G61" i="2"/>
  <x:c r="I63" i="2"/>
  <x:c r="N61" i="2"/>
  <x:c r="N62" i="2"/>
  <x:c r="N63" i="2"/>
  <x:c r="O61" i="2"/>
  <x:c r="O62" i="2"/>
  <x:c r="O63" i="2"/>
  <x:c r="F63" i="2"/>
  <x:c r="D61" i="2"/>
  <x:c r="D62" i="2"/>
  <x:c r="D63" i="2"/>
  <x:c r="H63" i="2"/>
  <x:c r="E61" i="2"/>
  <x:c r="E62" i="2"/>
  <x:c r="E63" i="2"/>
  <x:c r="D29" i="2"/>
  <x:c r="D44" i="2"/>
  <x:c r="D24" i="2"/>
  <x:c r="D19" i="2"/>
  <x:c r="E29" i="2"/>
  <x:c r="N34" i="2"/>
  <x:c r="L34" i="2"/>
  <x:c r="D14" i="2"/>
  <x:c r="C18" i="2"/>
  <x:c r="C23" i="2" s="1"/>
  <x:c r="C28" i="2" s="1"/>
  <x:c r="C33" i="2" s="1"/>
  <x:c r="C38" i="2" s="1"/>
  <x:c r="C43" i="2" s="1"/>
  <x:c r="C48" i="2" s="1"/>
  <x:c r="C53" i="2" s="1"/>
  <x:c r="C58" i="2" s="1"/>
  <x:c r="C63" i="2" s="1"/>
  <x:c r="C17" i="2"/>
  <x:c r="C22" i="2" s="1"/>
  <x:c r="C27" i="2" s="1"/>
  <x:c r="C32" i="2" s="1"/>
  <x:c r="C37" i="2" s="1"/>
  <x:c r="C42" i="2" s="1"/>
  <x:c r="C47" i="2" s="1"/>
  <x:c r="C52" i="2" s="1"/>
  <x:c r="C57" i="2" s="1"/>
  <x:c r="C62" i="2" s="1"/>
  <x:c r="C16" i="2"/>
  <x:c r="C21" i="2" s="1"/>
  <x:c r="C26" i="2" s="1"/>
  <x:c r="C31" i="2" s="1"/>
  <x:c r="C36" i="2" s="1"/>
  <x:c r="C41" i="2" s="1"/>
  <x:c r="C46" i="2" s="1"/>
  <x:c r="C51" i="2" s="1"/>
  <x:c r="C56" i="2" s="1"/>
  <x:c r="C61" i="2" s="1"/>
  <x:c r="A12" i="3"/>
  <x:c r="A13" i="3"/>
  <x:c r="A14" i="3"/>
  <x:c r="A15" i="3"/>
  <x:c r="A16" i="3"/>
  <x:c r="A17" i="3"/>
  <x:c r="A18" i="3"/>
  <x:c r="A19" i="3"/>
  <x:c r="A20" i="3"/>
  <x:c r="A21" i="3"/>
  <x:c r="A22" i="3"/>
  <x:c r="A23" i="3"/>
  <x:c r="A24" i="3"/>
  <x:c r="A25" i="3"/>
  <x:c r="A26" i="3"/>
  <x:c r="A27" i="3"/>
  <x:c r="A28" i="3"/>
  <x:c r="A29" i="3"/>
  <x:c r="A30" i="3"/>
  <x:c r="A31" i="3"/>
  <x:c r="A32" i="3"/>
  <x:c r="A33" i="3"/>
  <x:c r="A34" i="3"/>
  <x:c r="A35" i="3"/>
  <x:c r="A36" i="3"/>
  <x:c r="A37" i="3"/>
  <x:c r="A38" i="3"/>
  <x:c r="A39" i="3"/>
  <x:c r="A40" i="3"/>
  <x:c r="A41" i="3"/>
  <x:c r="A42" i="3"/>
  <x:c r="A43" i="3"/>
  <x:c r="A44" i="3"/>
  <x:c r="A45" i="3"/>
  <x:c r="A46" i="3"/>
  <x:c r="A47" i="3"/>
  <x:c r="A48" i="3"/>
  <x:c r="A49" i="3"/>
  <x:c r="A50" i="3"/>
  <x:c r="A51" i="3"/>
  <x:c r="A52" i="3"/>
  <x:c r="A53" i="3"/>
  <x:c r="A54" i="3"/>
  <x:c r="A55" i="3"/>
  <x:c r="A56" i="3"/>
  <x:c r="A57" i="3"/>
  <x:c r="A58" i="3"/>
  <x:c r="A59" i="3"/>
  <x:c r="A60" i="3"/>
  <x:c r="A61" i="3"/>
  <x:c r="A62" i="3"/>
  <x:c r="A63" i="3"/>
  <x:c r="A64" i="3"/>
  <x:c r="C64" i="3"/>
  <x:c r="B4" i="2"/>
  <x:c r="B4" i="3"/>
  <x:c r="B4" i="1"/>
  <x:c r="C17" i="3"/>
  <x:c r="C22" i="3"/>
  <x:c r="C27" i="3"/>
  <x:c r="C32" i="3"/>
  <x:c r="C37" i="3"/>
  <x:c r="C42" i="3"/>
  <x:c r="C47" i="3"/>
  <x:c r="C52" i="3"/>
  <x:c r="C57" i="3"/>
  <x:c r="C62" i="3"/>
  <x:c r="C18" i="3"/>
  <x:c r="C23" i="3"/>
  <x:c r="C28" i="3"/>
  <x:c r="C33" i="3"/>
  <x:c r="C38" i="3"/>
  <x:c r="C43" i="3"/>
  <x:c r="C48" i="3"/>
  <x:c r="C53" i="3"/>
  <x:c r="C58" i="3"/>
  <x:c r="C63" i="3"/>
  <x:c r="C16" i="3"/>
  <x:c r="C21" i="3"/>
  <x:c r="C26" i="3"/>
  <x:c r="C31" i="3"/>
  <x:c r="C36" i="3"/>
  <x:c r="C41" i="3"/>
  <x:c r="C46" i="3"/>
  <x:c r="C51" i="3"/>
  <x:c r="C56" i="3"/>
  <x:c r="C61" i="3"/>
  <x:c r="A12" i="4"/>
  <x:c r="A13" i="4" s="1"/>
  <x:c r="A14" i="4" s="1"/>
  <x:c r="A15" i="4" s="1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12" i="2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12" i="1"/>
  <x:c r="A13" i="1"/>
  <x:c r="A14" i="1"/>
  <x:c r="A15" i="1"/>
  <x:c r="A16" i="1"/>
  <x:c r="A17" i="1"/>
  <x:c r="A18" i="1"/>
  <x:c r="A19" i="1"/>
  <x:c r="A20" i="1"/>
  <x:c r="K49" i="2" l="1"/>
  <x:c r="J49" i="2"/>
  <x:c r="H49" i="2"/>
  <x:c r="O49" i="2"/>
  <x:c r="N19" i="2"/>
  <x:c r="N49" i="2"/>
  <x:c r="F34" i="2"/>
  <x:c r="D49" i="2"/>
  <x:c r="D34" i="2"/>
  <x:c r="G29" i="2"/>
  <x:c r="M14" i="2"/>
  <x:c r="G24" i="2"/>
  <x:c r="P33" i="2"/>
  <x:c r="O14" i="2"/>
  <x:c r="N39" i="2"/>
  <x:c r="F14" i="2"/>
  <x:c r="F59" i="2"/>
  <x:c r="E39" i="2"/>
  <x:c r="I39" i="2"/>
  <x:c r="H14" i="2"/>
  <x:c r="F39" i="2"/>
  <x:c r="H24" i="2"/>
  <x:c r="N24" i="2"/>
  <x:c r="I59" i="2"/>
  <x:c r="O59" i="2"/>
  <x:c r="N59" i="2"/>
  <x:c r="P12" i="2"/>
  <x:c r="E59" i="2"/>
  <x:c r="D57" i="3"/>
  <x:c r="P26" i="2"/>
  <x:c r="K54" i="2"/>
  <x:c r="K29" i="2"/>
  <x:c r="L59" i="2"/>
  <x:c r="G49" i="2"/>
  <x:c r="M24" i="2"/>
  <x:c r="M34" i="2"/>
  <x:c r="G44" i="2"/>
  <x:c r="G14" i="2"/>
  <x:c r="I19" i="2"/>
  <x:c r="I49" i="2"/>
  <x:c r="H34" i="2"/>
  <x:c r="O19" i="2"/>
  <x:c r="F19" i="2"/>
  <x:c r="E49" i="2"/>
  <x:c r="E34" i="2"/>
  <x:c r="M54" i="2"/>
  <x:c r="L54" i="2"/>
  <x:c r="K44" i="2"/>
  <x:c r="J29" i="2"/>
  <x:c r="J51" i="3"/>
  <x:c r="H29" i="2"/>
  <x:c r="N44" i="2"/>
  <x:c r="N54" i="2"/>
  <x:c r="F44" i="2"/>
  <x:c r="E44" i="2"/>
  <x:c r="L14" i="2"/>
  <x:c r="K14" i="2"/>
  <x:c r="K39" i="2"/>
  <x:c r="J39" i="2"/>
  <x:c r="H39" i="2"/>
  <x:c r="L19" i="2"/>
  <x:c r="D21" i="3"/>
  <x:c r="G27" i="3"/>
  <x:c r="K59" i="2"/>
  <x:c r="J14" i="2"/>
  <x:c r="J24" i="2"/>
  <x:c r="I44" i="2"/>
  <x:c r="O44" i="2"/>
  <x:c r="F41" i="3"/>
  <x:c r="P11" i="2"/>
  <x:c r="G39" i="2"/>
  <x:c r="D59" i="2"/>
  <x:c r="J59" i="2"/>
  <x:c r="J44" i="2"/>
  <x:c r="I54" i="2"/>
  <x:c r="H44" i="2"/>
  <x:c r="D54" i="2"/>
  <x:c r="E14" i="2"/>
  <x:c r="D39" i="2"/>
  <x:c r="I14" i="2"/>
  <x:c r="H59" i="2"/>
  <x:c r="O39" i="2"/>
  <x:c r="D58" i="3"/>
  <x:c r="L39" i="2"/>
  <x:c r="G34" i="2"/>
  <x:c r="P32" i="2"/>
  <x:c r="G11" i="3"/>
  <x:c r="I24" i="2"/>
  <x:c r="O24" i="2"/>
  <x:c r="E36" i="3"/>
  <x:c r="G59" i="2"/>
  <x:c r="P51" i="2"/>
  <x:c r="H22" i="3"/>
  <x:c r="E54" i="2"/>
  <x:c r="P43" i="2"/>
  <x:c r="G54" i="2"/>
  <x:c r="K36" i="3"/>
  <x:c r="J38" i="3"/>
  <x:c r="N14" i="2"/>
  <x:c r="P37" i="2"/>
  <x:c r="P38" i="2"/>
  <x:c r="M59" i="2"/>
  <x:c r="M29" i="2"/>
  <x:c r="P46" i="2"/>
  <x:c r="I34" i="2"/>
  <x:c r="K17" i="3"/>
  <x:c r="H19" i="2"/>
  <x:c r="O34" i="2"/>
  <x:c r="E19" i="2"/>
  <x:c r="N29" i="2"/>
  <x:c r="F24" i="2"/>
  <x:c r="P23" i="2"/>
  <x:c r="O54" i="2"/>
  <x:c r="P18" i="2"/>
  <x:c r="M19" i="2"/>
  <x:c r="M44" i="2"/>
  <x:c r="M41" i="3"/>
  <x:c r="I29" i="2"/>
  <x:c r="P28" i="2"/>
  <x:c r="L47" i="3"/>
  <x:c r="J54" i="2"/>
  <x:c r="P52" i="2"/>
  <x:c r="P48" i="2"/>
  <x:c r="M49" i="2"/>
  <x:c r="P53" i="2"/>
  <x:c r="M28" i="3"/>
  <x:c r="P41" i="2"/>
  <x:c r="L44" i="2"/>
  <x:c r="L29" i="2"/>
  <x:c r="L56" i="3"/>
  <x:c r="G19" i="2"/>
  <x:c r="K24" i="2"/>
  <x:c r="H41" i="3"/>
  <x:c r="O29" i="2"/>
  <x:c r="K33" i="3"/>
  <x:c r="F29" i="2"/>
  <x:c r="P27" i="2"/>
  <x:c r="F54" i="2"/>
  <x:c r="M39" i="2"/>
  <x:c r="P42" i="2"/>
  <x:c r="P21" i="2"/>
  <x:c r="P31" i="2"/>
  <x:c r="P13" i="2"/>
  <x:c r="P58" i="2"/>
  <x:c r="K19" i="2"/>
  <x:c r="G48" i="3"/>
  <x:c r="H54" i="2"/>
  <x:c r="M47" i="3"/>
  <x:c r="J19" i="2"/>
  <x:c r="P56" i="2"/>
  <x:c r="I32" i="3"/>
  <x:c r="P17" i="2"/>
  <x:c r="P57" i="2"/>
  <x:c r="L49" i="2"/>
  <x:c r="L24" i="2"/>
  <x:c r="J34" i="2"/>
  <x:c r="P36" i="2"/>
  <x:c r="K34" i="2"/>
  <x:c r="F49" i="2"/>
  <x:c r="P47" i="2"/>
  <x:c r="E24" i="2"/>
  <x:c r="P22" i="2"/>
  <x:c r="P16" i="2"/>
  <x:c r="J26" i="3" l="1"/>
  <x:c r="J31" i="3"/>
  <x:c r="D46" i="3"/>
  <x:c r="K56" i="3"/>
  <x:c r="F46" i="3"/>
  <x:c r="K41" i="3"/>
  <x:c r="K16" i="3"/>
  <x:c r="D12" i="3"/>
  <x:c r="K21" i="3"/>
  <x:c r="D22" i="3"/>
  <x:c r="E31" i="3"/>
  <x:c r="H57" i="3"/>
  <x:c r="F56" i="3"/>
  <x:c r="M21" i="3"/>
  <x:c r="F51" i="3"/>
  <x:c r="K11" i="3"/>
  <x:c r="H42" i="3"/>
  <x:c r="D27" i="3"/>
  <x:c r="D52" i="3"/>
  <x:c r="H47" i="3"/>
  <x:c r="H32" i="3"/>
  <x:c r="H37" i="3"/>
  <x:c r="D32" i="3"/>
  <x:c r="P44" i="2"/>
  <x:c r="E64" i="2"/>
  <x:c r="E54" i="3" s="1"/>
  <x:c r="D12" i="1" s="1"/>
  <x:c r="E12" i="4" s="1"/>
  <x:c r="K27" i="3"/>
  <x:c r="K57" i="3"/>
  <x:c r="F36" i="3"/>
  <x:c r="K12" i="3"/>
  <x:c r="F31" i="3"/>
  <x:c r="D37" i="3"/>
  <x:c r="J18" i="3"/>
  <x:c r="K42" i="3"/>
  <x:c r="K26" i="3"/>
  <x:c r="F21" i="3"/>
  <x:c r="P34" i="2"/>
  <x:c r="F11" i="3"/>
  <x:c r="J64" i="2"/>
  <x:c r="J24" i="3" s="1"/>
  <x:c r="I20" i="1" s="1"/>
  <x:c r="J20" i="4" s="1"/>
  <x:c r="K37" i="3"/>
  <x:c r="D42" i="3"/>
  <x:c r="D47" i="3"/>
  <x:c r="P59" i="2"/>
  <x:c r="P14" i="2"/>
  <x:c r="D31" i="3"/>
  <x:c r="J16" i="3"/>
  <x:c r="J41" i="3"/>
  <x:c r="D56" i="3"/>
  <x:c r="J11" i="3"/>
  <x:c r="D41" i="3"/>
  <x:c r="J21" i="3"/>
  <x:c r="D16" i="3"/>
  <x:c r="H17" i="3"/>
  <x:c r="H27" i="3"/>
  <x:c r="D26" i="3"/>
  <x:c r="D53" i="3"/>
  <x:c r="H12" i="3"/>
  <x:c r="K31" i="3"/>
  <x:c r="K22" i="3"/>
  <x:c r="D11" i="3"/>
  <x:c r="D36" i="3"/>
  <x:c r="D51" i="3"/>
  <x:c r="K32" i="3"/>
  <x:c r="J46" i="3"/>
  <x:c r="D64" i="2"/>
  <x:c r="D39" i="3" s="1"/>
  <x:c r="C17" i="1" s="1"/>
  <x:c r="D17" i="4" s="1"/>
  <x:c r="J56" i="3"/>
  <x:c r="J36" i="3"/>
  <x:c r="K52" i="3"/>
  <x:c r="D17" i="3"/>
  <x:c r="G57" i="3"/>
  <x:c r="G52" i="3"/>
  <x:c r="G56" i="3"/>
  <x:c r="G46" i="3"/>
  <x:c r="G31" i="3"/>
  <x:c r="G26" i="3"/>
  <x:c r="G36" i="3"/>
  <x:c r="F16" i="3"/>
  <x:c r="F26" i="3"/>
  <x:c r="M18" i="3"/>
  <x:c r="J13" i="3"/>
  <x:c r="J48" i="3"/>
  <x:c r="J58" i="3"/>
  <x:c r="J23" i="3"/>
  <x:c r="J53" i="3"/>
  <x:c r="J33" i="3"/>
  <x:c r="J28" i="3"/>
  <x:c r="H52" i="3"/>
  <x:c r="G47" i="3"/>
  <x:c r="G17" i="3"/>
  <x:c r="E27" i="3"/>
  <x:c r="E52" i="3"/>
  <x:c r="E57" i="3"/>
  <x:c r="E17" i="3"/>
  <x:c r="E42" i="3"/>
  <x:c r="E32" i="3"/>
  <x:c r="E12" i="3"/>
  <x:c r="E37" i="3"/>
  <x:c r="E22" i="3"/>
  <x:c r="E47" i="3"/>
  <x:c r="G51" i="3"/>
  <x:c r="G41" i="3"/>
  <x:c r="K51" i="3"/>
  <x:c r="G42" i="3"/>
  <x:c r="G32" i="3"/>
  <x:c r="G43" i="3"/>
  <x:c r="G37" i="3"/>
  <x:c r="E41" i="3"/>
  <x:c r="E51" i="3"/>
  <x:c r="E46" i="3"/>
  <x:c r="E16" i="3"/>
  <x:c r="E21" i="3"/>
  <x:c r="E11" i="3"/>
  <x:c r="E26" i="3"/>
  <x:c r="G22" i="3"/>
  <x:c r="G21" i="3"/>
  <x:c r="G16" i="3"/>
  <x:c r="K47" i="3"/>
  <x:c r="K46" i="3"/>
  <x:c r="G12" i="3"/>
  <x:c r="D38" i="3"/>
  <x:c r="D43" i="3"/>
  <x:c r="D48" i="3"/>
  <x:c r="D18" i="3"/>
  <x:c r="D33" i="3"/>
  <x:c r="D13" i="3"/>
  <x:c r="D28" i="3"/>
  <x:c r="D23" i="3"/>
  <x:c r="E56" i="3"/>
  <x:c r="J43" i="3"/>
  <x:c r="N33" i="3"/>
  <x:c r="N13" i="3"/>
  <x:c r="N58" i="3"/>
  <x:c r="N23" i="3"/>
  <x:c r="N38" i="3"/>
  <x:c r="N43" i="3"/>
  <x:c r="N53" i="3"/>
  <x:c r="N18" i="3"/>
  <x:c r="N48" i="3"/>
  <x:c r="O23" i="3"/>
  <x:c r="O18" i="3"/>
  <x:c r="O33" i="3"/>
  <x:c r="O38" i="3"/>
  <x:c r="O13" i="3"/>
  <x:c r="O48" i="3"/>
  <x:c r="O43" i="3"/>
  <x:c r="O28" i="3"/>
  <x:c r="P62" i="2"/>
  <x:c r="E58" i="3"/>
  <x:c r="E53" i="3"/>
  <x:c r="E28" i="3"/>
  <x:c r="E48" i="3"/>
  <x:c r="E13" i="3"/>
  <x:c r="E43" i="3"/>
  <x:c r="E33" i="3"/>
  <x:c r="E38" i="3"/>
  <x:c r="E23" i="3"/>
  <x:c r="E18" i="3"/>
  <x:c r="I27" i="3"/>
  <x:c r="I42" i="3"/>
  <x:c r="I52" i="3"/>
  <x:c r="I22" i="3"/>
  <x:c r="I12" i="3"/>
  <x:c r="I57" i="3"/>
  <x:c r="I47" i="3"/>
  <x:c r="I37" i="3"/>
  <x:c r="I64" i="2"/>
  <x:c r="I29" i="3" s="1"/>
  <x:c r="I46" i="3"/>
  <x:c r="I16" i="3"/>
  <x:c r="I21" i="3"/>
  <x:c r="I56" i="3"/>
  <x:c r="I41" i="3"/>
  <x:c r="I31" i="3"/>
  <x:c r="I11" i="3"/>
  <x:c r="I51" i="3"/>
  <x:c r="I36" i="3"/>
  <x:c r="I26" i="3"/>
  <x:c r="F42" i="3"/>
  <x:c r="F52" i="3"/>
  <x:c r="F37" i="3"/>
  <x:c r="F47" i="3"/>
  <x:c r="F27" i="3"/>
  <x:c r="F12" i="3"/>
  <x:c r="F57" i="3"/>
  <x:c r="F22" i="3"/>
  <x:c r="F17" i="3"/>
  <x:c r="F32" i="3"/>
  <x:c r="I17" i="3"/>
  <x:c r="P29" i="2"/>
  <x:c r="N57" i="3"/>
  <x:c r="N37" i="3"/>
  <x:c r="N27" i="3"/>
  <x:c r="N32" i="3"/>
  <x:c r="N47" i="3"/>
  <x:c r="N22" i="3"/>
  <x:c r="N42" i="3"/>
  <x:c r="N17" i="3"/>
  <x:c r="N12" i="3"/>
  <x:c r="N52" i="3"/>
  <x:c r="H28" i="3"/>
  <x:c r="H43" i="3"/>
  <x:c r="H13" i="3"/>
  <x:c r="H48" i="3"/>
  <x:c r="H18" i="3"/>
  <x:c r="H38" i="3"/>
  <x:c r="H23" i="3"/>
  <x:c r="H33" i="3"/>
  <x:c r="H58" i="3"/>
  <x:c r="H53" i="3"/>
  <x:c r="F13" i="3"/>
  <x:c r="F33" i="3"/>
  <x:c r="F28" i="3"/>
  <x:c r="F43" i="3"/>
  <x:c r="F18" i="3"/>
  <x:c r="F53" i="3"/>
  <x:c r="F58" i="3"/>
  <x:c r="F38" i="3"/>
  <x:c r="F23" i="3"/>
  <x:c r="F48" i="3"/>
  <x:c r="H64" i="2"/>
  <x:c r="H54" i="3" s="1"/>
  <x:c r="G12" i="1" s="1"/>
  <x:c r="H12" i="4" s="1"/>
  <x:c r="H21" i="3"/>
  <x:c r="H26" i="3"/>
  <x:c r="H56" i="3"/>
  <x:c r="H31" i="3"/>
  <x:c r="H46" i="3"/>
  <x:c r="H51" i="3"/>
  <x:c r="H11" i="3"/>
  <x:c r="H16" i="3"/>
  <x:c r="H36" i="3"/>
  <x:c r="P24" i="2"/>
  <x:c r="O53" i="3"/>
  <x:c r="P61" i="2"/>
  <x:c r="M33" i="3"/>
  <x:c r="M13" i="3"/>
  <x:c r="M23" i="3"/>
  <x:c r="M58" i="3"/>
  <x:c r="M38" i="3"/>
  <x:c r="M53" i="3"/>
  <x:c r="L22" i="3"/>
  <x:c r="L32" i="3"/>
  <x:c r="L37" i="3"/>
  <x:c r="L42" i="3"/>
  <x:c r="L52" i="3"/>
  <x:c r="L27" i="3"/>
  <x:c r="L57" i="3"/>
  <x:c r="L12" i="3"/>
  <x:c r="L17" i="3"/>
  <x:c r="L13" i="3"/>
  <x:c r="L38" i="3"/>
  <x:c r="L28" i="3"/>
  <x:c r="L58" i="3"/>
  <x:c r="L53" i="3"/>
  <x:c r="L18" i="3"/>
  <x:c r="L48" i="3"/>
  <x:c r="L23" i="3"/>
  <x:c r="L33" i="3"/>
  <x:c r="K28" i="3"/>
  <x:c r="K53" i="3"/>
  <x:c r="K38" i="3"/>
  <x:c r="K13" i="3"/>
  <x:c r="K48" i="3"/>
  <x:c r="K18" i="3"/>
  <x:c r="K58" i="3"/>
  <x:c r="K43" i="3"/>
  <x:c r="K23" i="3"/>
  <x:c r="P19" i="2"/>
  <x:c r="I13" i="3"/>
  <x:c r="I38" i="3"/>
  <x:c r="I53" i="3"/>
  <x:c r="I23" i="3"/>
  <x:c r="I43" i="3"/>
  <x:c r="I18" i="3"/>
  <x:c r="I48" i="3"/>
  <x:c r="I33" i="3"/>
  <x:c r="I58" i="3"/>
  <x:c r="F64" i="2"/>
  <x:c r="F29" i="3" s="1"/>
  <x:c r="L64" i="2"/>
  <x:c r="L44" i="3" s="1"/>
  <x:c r="K14" i="1" s="1"/>
  <x:c r="L14" i="4" s="1"/>
  <x:c r="L41" i="3"/>
  <x:c r="L51" i="3"/>
  <x:c r="L31" i="3"/>
  <x:c r="L21" i="3"/>
  <x:c r="L46" i="3"/>
  <x:c r="L11" i="3"/>
  <x:c r="L26" i="3"/>
  <x:c r="L16" i="3"/>
  <x:c r="I28" i="3"/>
  <x:c r="P63" i="2"/>
  <x:c r="M32" i="3"/>
  <x:c r="L36" i="3"/>
  <x:c r="M48" i="3"/>
  <x:c r="M16" i="3"/>
  <x:c r="M56" i="3"/>
  <x:c r="M26" i="3"/>
  <x:c r="M46" i="3"/>
  <x:c r="M64" i="2"/>
  <x:c r="M19" i="3" s="1"/>
  <x:c r="L13" i="1" s="1"/>
  <x:c r="M13" i="4" s="1"/>
  <x:c r="M11" i="3"/>
  <x:c r="M51" i="3"/>
  <x:c r="M31" i="3"/>
  <x:c r="M36" i="3"/>
  <x:c r="P54" i="2"/>
  <x:c r="P49" i="2"/>
  <x:c r="O36" i="3"/>
  <x:c r="O51" i="3"/>
  <x:c r="O11" i="3"/>
  <x:c r="O64" i="2"/>
  <x:c r="O46" i="3"/>
  <x:c r="O16" i="3"/>
  <x:c r="O21" i="3"/>
  <x:c r="O41" i="3"/>
  <x:c r="O31" i="3"/>
  <x:c r="O56" i="3"/>
  <x:c r="O26" i="3"/>
  <x:c r="N64" i="2"/>
  <x:c r="N29" i="3" s="1"/>
  <x:c r="N51" i="3"/>
  <x:c r="N56" i="3"/>
  <x:c r="N36" i="3"/>
  <x:c r="N31" i="3"/>
  <x:c r="N41" i="3"/>
  <x:c r="N46" i="3"/>
  <x:c r="N16" i="3"/>
  <x:c r="N21" i="3"/>
  <x:c r="N26" i="3"/>
  <x:c r="N11" i="3"/>
  <x:c r="L43" i="3"/>
  <x:c r="M27" i="3"/>
  <x:c r="K64" i="2"/>
  <x:c r="K19" i="3" s="1"/>
  <x:c r="J13" i="1" s="1"/>
  <x:c r="K13" i="4" s="1"/>
  <x:c r="P39" i="2"/>
  <x:c r="J42" i="3"/>
  <x:c r="J27" i="3"/>
  <x:c r="J32" i="3"/>
  <x:c r="J22" i="3"/>
  <x:c r="J17" i="3"/>
  <x:c r="J57" i="3"/>
  <x:c r="J12" i="3"/>
  <x:c r="J37" i="3"/>
  <x:c r="J47" i="3"/>
  <x:c r="J52" i="3"/>
  <x:c r="G33" i="3"/>
  <x:c r="G38" i="3"/>
  <x:c r="G58" i="3"/>
  <x:c r="G23" i="3"/>
  <x:c r="G13" i="3"/>
  <x:c r="G18" i="3"/>
  <x:c r="G28" i="3"/>
  <x:c r="G64" i="2"/>
  <x:c r="G19" i="3" s="1"/>
  <x:c r="F13" i="1" s="1"/>
  <x:c r="G13" i="4" s="1"/>
  <x:c r="G53" i="3"/>
  <x:c r="M43" i="3"/>
  <x:c r="O58" i="3"/>
  <x:c r="N28" i="3"/>
  <x:c r="O22" i="3"/>
  <x:c r="O32" i="3"/>
  <x:c r="O52" i="3"/>
  <x:c r="O17" i="3"/>
  <x:c r="O47" i="3"/>
  <x:c r="O42" i="3"/>
  <x:c r="O27" i="3"/>
  <x:c r="O37" i="3"/>
  <x:c r="O12" i="3"/>
  <x:c r="O57" i="3"/>
  <x:c r="M12" i="3"/>
  <x:c r="M52" i="3"/>
  <x:c r="M17" i="3"/>
  <x:c r="M37" i="3"/>
  <x:c r="M42" i="3"/>
  <x:c r="M22" i="3"/>
  <x:c r="M57" i="3"/>
  <x:c r="J34" i="3" l="1"/>
  <x:c r="I19" i="1" s="1"/>
  <x:c r="J19" i="4" s="1"/>
  <x:c r="P31" i="3"/>
  <x:c r="P58" i="3"/>
  <x:c r="P47" i="3"/>
  <x:c r="J29" i="3"/>
  <x:c r="I16" i="1" s="1"/>
  <x:c r="J16" i="4" s="1"/>
  <x:c r="J49" i="3"/>
  <x:c r="I18" i="1" s="1"/>
  <x:c r="J18" i="4" s="1"/>
  <x:c r="J14" i="3"/>
  <x:c r="I11" i="1" s="1"/>
  <x:c r="J11" i="4" s="1"/>
  <x:c r="J54" i="3"/>
  <x:c r="I12" i="1" s="1"/>
  <x:c r="J12" i="4" s="1"/>
  <x:c r="D62" i="3"/>
  <x:c r="K61" i="3"/>
  <x:c r="E34" i="3"/>
  <x:c r="D19" i="1" s="1"/>
  <x:c r="E19" i="4" s="1"/>
  <x:c r="H62" i="3"/>
  <x:c r="K62" i="3"/>
  <x:c r="E19" i="3"/>
  <x:c r="D13" i="1" s="1"/>
  <x:c r="E13" i="4" s="1"/>
  <x:c r="E39" i="3"/>
  <x:c r="D17" i="1" s="1"/>
  <x:c r="E17" i="4" s="1"/>
  <x:c r="E24" i="3"/>
  <x:c r="D20" i="1" s="1"/>
  <x:c r="E20" i="4" s="1"/>
  <x:c r="J61" i="3"/>
  <x:c r="F61" i="3"/>
  <x:c r="D61" i="3"/>
  <x:c r="E49" i="3"/>
  <x:c r="D18" i="1" s="1"/>
  <x:c r="E18" i="4" s="1"/>
  <x:c r="E29" i="3"/>
  <x:c r="D16" i="1" s="1"/>
  <x:c r="E16" i="4" s="1"/>
  <x:c r="J44" i="3"/>
  <x:c r="I14" i="1" s="1"/>
  <x:c r="J14" i="4" s="1"/>
  <x:c r="F24" i="3"/>
  <x:c r="E20" i="1" s="1"/>
  <x:c r="F20" i="4" s="1"/>
  <x:c r="J19" i="3"/>
  <x:c r="I13" i="1" s="1"/>
  <x:c r="J13" i="4" s="1"/>
  <x:c r="E44" i="3"/>
  <x:c r="D14" i="1" s="1"/>
  <x:c r="E14" i="4" s="1"/>
  <x:c r="E59" i="3"/>
  <x:c r="D15" i="1" s="1"/>
  <x:c r="E15" i="4" s="1"/>
  <x:c r="J39" i="3"/>
  <x:c r="I17" i="1" s="1"/>
  <x:c r="J17" i="4" s="1"/>
  <x:c r="E14" i="3"/>
  <x:c r="D11" i="1" s="1"/>
  <x:c r="E11" i="4" s="1"/>
  <x:c r="J59" i="3"/>
  <x:c r="I15" i="1" s="1"/>
  <x:c r="J15" i="4" s="1"/>
  <x:c r="M44" i="3"/>
  <x:c r="L14" i="1" s="1"/>
  <x:c r="M14" i="4" s="1"/>
  <x:c r="P28" i="3"/>
  <x:c r="D19" i="3"/>
  <x:c r="C13" i="1" s="1"/>
  <x:c r="D13" i="4" s="1"/>
  <x:c r="D44" i="3"/>
  <x:c r="C14" i="1" s="1"/>
  <x:c r="D14" i="4" s="1"/>
  <x:c r="D24" i="3"/>
  <x:c r="C20" i="1" s="1"/>
  <x:c r="D20" i="4" s="1"/>
  <x:c r="D14" i="3"/>
  <x:c r="C11" i="1" s="1"/>
  <x:c r="D11" i="4" s="1"/>
  <x:c r="D49" i="3"/>
  <x:c r="C18" i="1" s="1"/>
  <x:c r="D18" i="4" s="1"/>
  <x:c r="D29" i="3"/>
  <x:c r="D54" i="3"/>
  <x:c r="C12" i="1" s="1"/>
  <x:c r="D12" i="4" s="1"/>
  <x:c r="D34" i="3"/>
  <x:c r="C19" i="1" s="1"/>
  <x:c r="D19" i="4" s="1"/>
  <x:c r="J63" i="3"/>
  <x:c r="P23" i="3"/>
  <x:c r="D59" i="3"/>
  <x:c r="C15" i="1" s="1"/>
  <x:c r="D15" i="4" s="1"/>
  <x:c r="K34" i="3"/>
  <x:c r="J19" i="1" s="1"/>
  <x:c r="K19" i="4" s="1"/>
  <x:c r="M49" i="3"/>
  <x:c r="L18" i="1" s="1"/>
  <x:c r="M18" i="4" s="1"/>
  <x:c r="P13" i="3"/>
  <x:c r="G62" i="3"/>
  <x:c r="D63" i="3"/>
  <x:c r="E62" i="3"/>
  <x:c r="P42" i="3"/>
  <x:c r="E61" i="3"/>
  <x:c r="L24" i="3"/>
  <x:c r="K20" i="1" s="1"/>
  <x:c r="L20" i="4" s="1"/>
  <x:c r="L62" i="3"/>
  <x:c r="M63" i="3"/>
  <x:c r="P41" i="3"/>
  <x:c r="P21" i="3"/>
  <x:c r="P18" i="3"/>
  <x:c r="G61" i="3"/>
  <x:c r="F62" i="3"/>
  <x:c r="G63" i="3"/>
  <x:c r="P53" i="3"/>
  <x:c r="P48" i="3"/>
  <x:c r="F49" i="3"/>
  <x:c r="E18" i="1" s="1"/>
  <x:c r="F18" i="4" s="1"/>
  <x:c r="L54" i="3"/>
  <x:c r="K12" i="1" s="1"/>
  <x:c r="L12" i="4" s="1"/>
  <x:c r="L39" i="3"/>
  <x:c r="K17" i="1" s="1"/>
  <x:c r="L17" i="4" s="1"/>
  <x:c r="L59" i="3"/>
  <x:c r="K15" i="1" s="1"/>
  <x:c r="L15" i="4" s="1"/>
  <x:c r="L14" i="3"/>
  <x:c r="K11" i="1" s="1"/>
  <x:c r="L19" i="3"/>
  <x:c r="K13" i="1" s="1"/>
  <x:c r="L13" i="4" s="1"/>
  <x:c r="L34" i="3"/>
  <x:c r="K19" i="1" s="1"/>
  <x:c r="L19" i="4" s="1"/>
  <x:c r="E16" i="1"/>
  <x:c r="F16" i="4" s="1"/>
  <x:c r="P52" i="3"/>
  <x:c r="K63" i="3"/>
  <x:c r="I44" i="3"/>
  <x:c r="H14" i="1" s="1"/>
  <x:c r="I14" i="4" s="1"/>
  <x:c r="I49" i="3"/>
  <x:c r="H18" i="1" s="1"/>
  <x:c r="I18" i="4" s="1"/>
  <x:c r="I34" i="3"/>
  <x:c r="H19" i="1" s="1"/>
  <x:c r="I19" i="4" s="1"/>
  <x:c r="I19" i="3"/>
  <x:c r="H13" i="1" s="1"/>
  <x:c r="I13" i="4" s="1"/>
  <x:c r="I59" i="3"/>
  <x:c r="H15" i="1" s="1"/>
  <x:c r="I15" i="4" s="1"/>
  <x:c r="I39" i="3"/>
  <x:c r="H17" i="1" s="1"/>
  <x:c r="I17" i="4" s="1"/>
  <x:c r="I14" i="3"/>
  <x:c r="H11" i="1" s="1"/>
  <x:c r="I24" i="3"/>
  <x:c r="H20" i="1" s="1"/>
  <x:c r="I20" i="4" s="1"/>
  <x:c r="I54" i="3"/>
  <x:c r="H12" i="1" s="1"/>
  <x:c r="I12" i="4" s="1"/>
  <x:c r="O63" i="3"/>
  <x:c r="N59" i="3"/>
  <x:c r="M15" i="1" s="1"/>
  <x:c r="N15" i="4" s="1"/>
  <x:c r="N39" i="3"/>
  <x:c r="M17" i="1" s="1"/>
  <x:c r="N17" i="4" s="1"/>
  <x:c r="N19" i="3"/>
  <x:c r="M13" i="1" s="1"/>
  <x:c r="N13" i="4" s="1"/>
  <x:c r="N44" i="3"/>
  <x:c r="M14" i="1" s="1"/>
  <x:c r="N14" i="4" s="1"/>
  <x:c r="N14" i="3"/>
  <x:c r="M11" i="1" s="1"/>
  <x:c r="N49" i="3"/>
  <x:c r="M18" i="1" s="1"/>
  <x:c r="N18" i="4" s="1"/>
  <x:c r="N54" i="3"/>
  <x:c r="M12" i="1" s="1"/>
  <x:c r="N12" i="4" s="1"/>
  <x:c r="N34" i="3"/>
  <x:c r="M19" i="1" s="1"/>
  <x:c r="N19" i="4" s="1"/>
  <x:c r="N24" i="3"/>
  <x:c r="M20" i="1" s="1"/>
  <x:c r="N20" i="4" s="1"/>
  <x:c r="I63" i="3"/>
  <x:c r="P12" i="3"/>
  <x:c r="P32" i="3"/>
  <x:c r="P37" i="3"/>
  <x:c r="P57" i="3"/>
  <x:c r="P64" i="2"/>
  <x:c r="P29" i="3" s="1"/>
  <x:c r="P46" i="3"/>
  <x:c r="P11" i="3"/>
  <x:c r="P51" i="3"/>
  <x:c r="P26" i="3"/>
  <x:c r="P27" i="3"/>
  <x:c r="N63" i="3"/>
  <x:c r="M39" i="3"/>
  <x:c r="L17" i="1" s="1"/>
  <x:c r="M17" i="4" s="1"/>
  <x:c r="L63" i="3"/>
  <x:c r="L49" i="3"/>
  <x:c r="K18" i="1" s="1"/>
  <x:c r="L18" i="4" s="1"/>
  <x:c r="O61" i="3"/>
  <x:c r="P56" i="3"/>
  <x:c r="F14" i="3"/>
  <x:c r="E11" i="1" s="1"/>
  <x:c r="F44" i="3"/>
  <x:c r="E14" i="1" s="1"/>
  <x:c r="F14" i="4" s="1"/>
  <x:c r="F34" i="3"/>
  <x:c r="E19" i="1" s="1"/>
  <x:c r="F19" i="4" s="1"/>
  <x:c r="F19" i="3"/>
  <x:c r="E13" i="1" s="1"/>
  <x:c r="F13" i="4" s="1"/>
  <x:c r="F59" i="3"/>
  <x:c r="E15" i="1" s="1"/>
  <x:c r="F15" i="4" s="1"/>
  <x:c r="F39" i="3"/>
  <x:c r="E17" i="1" s="1"/>
  <x:c r="F17" i="4" s="1"/>
  <x:c r="I61" i="3"/>
  <x:c r="M62" i="3"/>
  <x:c r="O19" i="3"/>
  <x:c r="N13" i="1" s="1"/>
  <x:c r="O13" i="4" s="1"/>
  <x:c r="O49" i="3"/>
  <x:c r="N18" i="1" s="1"/>
  <x:c r="O18" i="4" s="1"/>
  <x:c r="O44" i="3"/>
  <x:c r="N14" i="1" s="1"/>
  <x:c r="O14" i="4" s="1"/>
  <x:c r="O14" i="3"/>
  <x:c r="N11" i="1" s="1"/>
  <x:c r="O34" i="3"/>
  <x:c r="N19" i="1" s="1"/>
  <x:c r="O19" i="4" s="1"/>
  <x:c r="O24" i="3"/>
  <x:c r="N20" i="1" s="1"/>
  <x:c r="O20" i="4" s="1"/>
  <x:c r="O39" i="3"/>
  <x:c r="N17" i="1" s="1"/>
  <x:c r="O17" i="4" s="1"/>
  <x:c r="O59" i="3"/>
  <x:c r="N15" i="1" s="1"/>
  <x:c r="O15" i="4" s="1"/>
  <x:c r="N61" i="3"/>
  <x:c r="M24" i="3"/>
  <x:c r="L20" i="1" s="1"/>
  <x:c r="M20" i="4" s="1"/>
  <x:c r="M54" i="3"/>
  <x:c r="L12" i="1" s="1"/>
  <x:c r="M12" i="4" s="1"/>
  <x:c r="M29" i="3"/>
  <x:c r="M34" i="3"/>
  <x:c r="L19" i="1" s="1"/>
  <x:c r="M19" i="4" s="1"/>
  <x:c r="M14" i="3"/>
  <x:c r="L11" i="1" s="1"/>
  <x:c r="M59" i="3"/>
  <x:c r="L15" i="1" s="1"/>
  <x:c r="M15" i="4" s="1"/>
  <x:c r="P17" i="3"/>
  <x:c r="F63" i="3"/>
  <x:c r="E63" i="3"/>
  <x:c r="O29" i="3"/>
  <x:c r="P16" i="3"/>
  <x:c r="H61" i="3"/>
  <x:c r="H16" i="1"/>
  <x:c r="I16" i="4" s="1"/>
  <x:c r="M16" i="1"/>
  <x:c r="N16" i="4" s="1"/>
  <x:c r="J62" i="3"/>
  <x:c r="L61" i="3"/>
  <x:c r="P36" i="3"/>
  <x:c r="O62" i="3"/>
  <x:c r="N62" i="3"/>
  <x:c r="M61" i="3"/>
  <x:c r="H63" i="3"/>
  <x:c r="L29" i="3"/>
  <x:c r="K49" i="3"/>
  <x:c r="J18" i="1" s="1"/>
  <x:c r="K18" i="4" s="1"/>
  <x:c r="K39" i="3"/>
  <x:c r="J17" i="1" s="1"/>
  <x:c r="K17" i="4" s="1"/>
  <x:c r="K59" i="3"/>
  <x:c r="J15" i="1" s="1"/>
  <x:c r="K15" i="4" s="1"/>
  <x:c r="K14" i="3"/>
  <x:c r="J11" i="1" s="1"/>
  <x:c r="K54" i="3"/>
  <x:c r="J12" i="1" s="1"/>
  <x:c r="K12" i="4" s="1"/>
  <x:c r="K44" i="3"/>
  <x:c r="J14" i="1" s="1"/>
  <x:c r="K14" i="4" s="1"/>
  <x:c r="K29" i="3"/>
  <x:c r="F54" i="3"/>
  <x:c r="E12" i="1" s="1"/>
  <x:c r="F12" i="4" s="1"/>
  <x:c r="P33" i="3"/>
  <x:c r="P43" i="3"/>
  <x:c r="P38" i="3"/>
  <x:c r="P22" i="3"/>
  <x:c r="O54" i="3"/>
  <x:c r="N12" i="1" s="1"/>
  <x:c r="O12" i="4" s="1"/>
  <x:c r="G29" i="3"/>
  <x:c r="G39" i="3"/>
  <x:c r="F17" i="1" s="1"/>
  <x:c r="G17" i="4" s="1"/>
  <x:c r="G59" i="3"/>
  <x:c r="F15" i="1" s="1"/>
  <x:c r="G15" i="4" s="1"/>
  <x:c r="G44" i="3"/>
  <x:c r="F14" i="1" s="1"/>
  <x:c r="G14" i="4" s="1"/>
  <x:c r="G14" i="3"/>
  <x:c r="F11" i="1" s="1"/>
  <x:c r="G24" i="3"/>
  <x:c r="F20" i="1" s="1"/>
  <x:c r="G20" i="4" s="1"/>
  <x:c r="G54" i="3"/>
  <x:c r="F12" i="1" s="1"/>
  <x:c r="G12" i="4" s="1"/>
  <x:c r="G34" i="3"/>
  <x:c r="F19" i="1" s="1"/>
  <x:c r="G19" i="4" s="1"/>
  <x:c r="G49" i="3"/>
  <x:c r="F18" i="1" s="1"/>
  <x:c r="G18" i="4" s="1"/>
  <x:c r="H14" i="3"/>
  <x:c r="G11" i="1" s="1"/>
  <x:c r="H34" i="3"/>
  <x:c r="G19" i="1" s="1"/>
  <x:c r="H19" i="4" s="1"/>
  <x:c r="H19" i="3"/>
  <x:c r="G13" i="1" s="1"/>
  <x:c r="H13" i="4" s="1"/>
  <x:c r="H29" i="3"/>
  <x:c r="H39" i="3"/>
  <x:c r="G17" i="1" s="1"/>
  <x:c r="H17" i="4" s="1"/>
  <x:c r="H59" i="3"/>
  <x:c r="G15" i="1" s="1"/>
  <x:c r="H15" i="4" s="1"/>
  <x:c r="H49" i="3"/>
  <x:c r="G18" i="1" s="1"/>
  <x:c r="H18" i="4" s="1"/>
  <x:c r="H44" i="3"/>
  <x:c r="G14" i="1" s="1"/>
  <x:c r="H14" i="4" s="1"/>
  <x:c r="H24" i="3"/>
  <x:c r="G20" i="1" s="1"/>
  <x:c r="H20" i="4" s="1"/>
  <x:c r="K24" i="3"/>
  <x:c r="J20" i="1" s="1"/>
  <x:c r="K20" i="4" s="1"/>
  <x:c r="I62" i="3"/>
  <x:c r="P39" i="3" l="1"/>
  <x:c r="O17" i="1" s="1"/>
  <x:c r="P17" i="4" s="1"/>
  <x:c r="P49" i="3"/>
  <x:c r="O18" i="1" s="1"/>
  <x:c r="P18" i="4" s="1"/>
  <x:c r="P54" i="3"/>
  <x:c r="O12" i="1" s="1"/>
  <x:c r="P12" i="4" s="1"/>
  <x:c r="P24" i="3"/>
  <x:c r="O20" i="1" s="1"/>
  <x:c r="P20" i="4" s="1"/>
  <x:c r="E64" i="3"/>
  <x:c r="J64" i="3"/>
  <x:c r="J21" i="4"/>
  <x:c r="D33" i="4"/>
  <x:c r="P19" i="3"/>
  <x:c r="O13" i="1" s="1"/>
  <x:c r="P13" i="4" s="1"/>
  <x:c r="D30" i="4"/>
  <x:c r="C16" i="1"/>
  <x:c r="D64" i="3"/>
  <x:c r="D34" i="4"/>
  <x:c r="F27" i="4"/>
  <x:c r="D21" i="1"/>
  <x:c r="F30" i="4"/>
  <x:c r="F28" i="4"/>
  <x:c r="N64" i="3"/>
  <x:c r="E21" i="4"/>
  <x:c r="I21" i="1"/>
  <x:c r="D35" i="4"/>
  <x:c r="F35" i="4"/>
  <x:c r="P63" i="3"/>
  <x:c r="O16" i="1"/>
  <x:c r="P16" i="4" s="1"/>
  <x:c r="D29" i="4"/>
  <x:c r="O11" i="4"/>
  <x:c r="F33" i="4"/>
  <x:c r="J16" i="1"/>
  <x:c r="K16" i="4" s="1"/>
  <x:c r="K64" i="3"/>
  <x:c r="F64" i="3"/>
  <x:c r="I11" i="4"/>
  <x:c r="I21" i="4" s="1"/>
  <x:c r="H21" i="1"/>
  <x:c r="G16" i="1"/>
  <x:c r="H16" i="4" s="1"/>
  <x:c r="H64" i="3"/>
  <x:c r="K11" i="4"/>
  <x:c r="N16" i="1"/>
  <x:c r="O16" i="4" s="1"/>
  <x:c r="O64" i="3"/>
  <x:c r="D32" i="4"/>
  <x:c r="P62" i="3"/>
  <x:c r="F32" i="4"/>
  <x:c r="P61" i="3"/>
  <x:c r="L11" i="4"/>
  <x:c r="F16" i="1"/>
  <x:c r="G16" i="4" s="1"/>
  <x:c r="G64" i="3"/>
  <x:c r="F34" i="4"/>
  <x:c r="D28" i="4"/>
  <x:c r="N11" i="4"/>
  <x:c r="N21" i="4" s="1"/>
  <x:c r="M21" i="1"/>
  <x:c r="H11" i="4"/>
  <x:c r="M11" i="4"/>
  <x:c r="K16" i="1"/>
  <x:c r="L16" i="4" s="1"/>
  <x:c r="L64" i="3"/>
  <x:c r="I64" i="3"/>
  <x:c r="F11" i="4"/>
  <x:c r="F21" i="4" s="1"/>
  <x:c r="E21" i="1"/>
  <x:c r="M64" i="3"/>
  <x:c r="L16" i="1"/>
  <x:c r="M16" i="4" s="1"/>
  <x:c r="P14" i="3"/>
  <x:c r="O11" i="1" s="1"/>
  <x:c r="P59" i="3"/>
  <x:c r="O15" i="1" s="1"/>
  <x:c r="P15" i="4" s="1"/>
  <x:c r="P44" i="3"/>
  <x:c r="O14" i="1" s="1"/>
  <x:c r="P14" i="4" s="1"/>
  <x:c r="P34" i="3"/>
  <x:c r="O19" i="1" s="1"/>
  <x:c r="P19" i="4" s="1"/>
  <x:c r="F29" i="4"/>
  <x:c r="G11" i="4"/>
  <x:c r="D27" i="4"/>
  <x:c r="M21" i="4" l="1"/>
  <x:c r="L21" i="4"/>
  <x:c r="N21" i="1"/>
  <x:c r="J21" i="1"/>
  <x:c r="D16" i="4"/>
  <x:c r="D21" i="4" s="1"/>
  <x:c r="C21" i="1"/>
  <x:c r="F31" i="4"/>
  <x:c r="P64" i="3"/>
  <x:c r="F21" i="1"/>
  <x:c r="G21" i="4"/>
  <x:c r="L21" i="1"/>
  <x:c r="K21" i="1"/>
  <x:c r="D26" i="4"/>
  <x:c r="P11" i="4"/>
  <x:c r="O21" i="1"/>
  <x:c r="G21" i="1"/>
  <x:c r="O21" i="4"/>
  <x:c r="D36" i="4" s="1"/>
  <x:c r="H21" i="4"/>
  <x:c r="F26" i="4"/>
  <x:c r="K21" i="4"/>
  <x:c r="D31" i="4" l="1"/>
  <x:c r="P21" i="4"/>
  <x:c r="F36" i="4"/>
</x:calcChain>
</file>

<file path=xl/sharedStrings.xml><?xml version="1.0" encoding="utf-8"?>
<sst xmlns="http://schemas.openxmlformats.org/spreadsheetml/2006/main" count="242" uniqueCount="48">
  <si>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</si>
  <si>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</si>
  <si>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</si>
  <si>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</si>
  <si>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</si>
  <si>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</si>
  <si>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</si>
  <si>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</si>
  <si>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</si>
  <si>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</si>
  <si>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</si>
  <si>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</si>
  <si>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</si>
  <si>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</si>
  <si>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</si>
  <si>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</si>
  <si>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</si>
  <si>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</si>
  <si>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</si>
  <si>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</si>
  <si>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</si>
  <si>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</si>
  <si>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</si>
  <si>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</si>
  <si>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</si>
  <si>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</si>
  <si>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</si>
  <si>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</si>
  <si>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</si>
  <si>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</si>
  <si>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</si>
  <si>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</si>
  <si>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</si>
  <si>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</si>
  <si>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</si>
  <si>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</si>
  <si>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</si>
  <si>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</si>
  <si>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</si>
  <si>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</si>
  <si>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</si>
  <si>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</si>
  <si>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</si>
  <si>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</si>
  <si>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</si>
  <si>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</si>
  <si>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2024</t>
  </si>
  <si>
    <t>PRIMARY SERVICE GREATER THAN 10 KW SUBSTATION MONTHLY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</si>
</sst>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4"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7" fillId="0" borderId="0" xfId="4" applyNumberFormat="1" applyFont="1" applyBorder="1" applyAlignment="1" applyProtection="1">
      <alignment horizontal="right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Protection="1">
      <protection locked="0"/>
    </xf>
    <xf numFmtId="164" fontId="7" fillId="0" borderId="1" xfId="0" applyNumberFormat="1" applyFont="1" applyFill="1" applyBorder="1" applyProtection="1">
      <protection locked="0"/>
    </xf>
    <xf numFmtId="164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Fill="1" applyBorder="1" applyProtection="1">
      <protection locked="0"/>
    </xf>
    <xf numFmtId="164" fontId="7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/>
    <xf numFmtId="0" fontId="6" fillId="0" borderId="0" xfId="0" applyFont="1" applyAlignment="1" applyProtection="1">
      <protection locked="0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right" vertical="center" wrapText="1"/>
    </xf>
    <xf numFmtId="165" fontId="7" fillId="0" borderId="3" xfId="2" applyNumberFormat="1" applyFont="1" applyBorder="1" applyAlignment="1">
      <alignment horizontal="right" vertical="center" wrapText="1"/>
    </xf>
    <xf numFmtId="165" fontId="7" fillId="0" borderId="4" xfId="2" applyNumberFormat="1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1" fillId="0" borderId="0" xfId="1" applyFont="1" applyProtection="1">
      <protection locked="0"/>
    </xf>
    <xf numFmtId="0" fontId="1" fillId="0" borderId="0" xfId="1"/>
    <xf numFmtId="0" fontId="1" fillId="0" borderId="0" xfId="1" applyFont="1" applyAlignment="1" applyProtection="1">
      <protection locked="0"/>
    </xf>
    <xf numFmtId="0" fontId="1" fillId="0" borderId="0" xfId="1" quotePrefix="1" applyAlignment="1">
      <alignment horizontal="center"/>
    </xf>
    <xf numFmtId="0" fontId="4" fillId="0" borderId="0" xfId="1" applyFont="1" applyAlignment="1">
      <alignment horizontal="center"/>
    </xf>
    <xf numFmtId="165" fontId="5" fillId="0" borderId="2" xfId="3" applyNumberFormat="1" applyFont="1" applyBorder="1" applyAlignment="1" applyProtection="1">
      <alignment horizontal="right" vertical="center" wrapText="1"/>
      <protection locked="0"/>
    </xf>
    <xf numFmtId="0" fontId="5" fillId="0" borderId="0" xfId="3" applyFont="1" applyBorder="1" applyAlignment="1" applyProtection="1">
      <alignment horizontal="right"/>
      <protection locked="0"/>
    </xf>
    <xf numFmtId="165" fontId="5" fillId="0" borderId="3" xfId="3" applyNumberFormat="1" applyFont="1" applyBorder="1" applyAlignment="1" applyProtection="1">
      <alignment horizontal="right" vertical="center" wrapText="1"/>
      <protection locked="0"/>
    </xf>
    <xf numFmtId="165" fontId="5" fillId="0" borderId="4" xfId="3" applyNumberFormat="1" applyFont="1" applyBorder="1" applyAlignment="1" applyProtection="1">
      <alignment horizontal="right" vertical="center" wrapText="1"/>
      <protection locked="0"/>
    </xf>
    <xf numFmtId="0" fontId="5" fillId="0" borderId="5" xfId="3" applyFont="1" applyBorder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right"/>
      <protection locked="0"/>
    </xf>
    <xf numFmtId="0" fontId="1" fillId="0" borderId="0" xfId="1" applyFont="1" applyAlignment="1" applyProtection="1">
      <alignment horizontal="center"/>
      <protection locked="0"/>
    </xf>
    <xf numFmtId="0" fontId="5" fillId="0" borderId="0" xfId="3" applyFont="1" applyFill="1" applyBorder="1" applyAlignment="1" applyProtection="1">
      <alignment horizontal="center"/>
      <protection locked="0"/>
    </xf>
    <xf numFmtId="164" fontId="5" fillId="0" borderId="0" xfId="3" applyNumberFormat="1" applyFont="1" applyFill="1" applyProtection="1">
      <protection locked="0"/>
    </xf>
    <xf numFmtId="164" fontId="5" fillId="0" borderId="1" xfId="3" applyNumberFormat="1" applyFont="1" applyFill="1" applyBorder="1" applyProtection="1">
      <protection locked="0"/>
    </xf>
    <xf numFmtId="164" fontId="5" fillId="0" borderId="0" xfId="5" applyNumberFormat="1" applyFont="1" applyFill="1" applyBorder="1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6" fillId="0" borderId="0" xfId="4" applyNumberFormat="1" applyFont="1" applyProtection="1">
      <protection locked="0"/>
    </xf>
    <xf numFmtId="10" fontId="1" fillId="0" borderId="0" xfId="1" applyNumberFormat="1" applyFont="1" applyProtection="1">
      <protection locked="0"/>
    </xf>
    <xf numFmtId="0" fontId="1" fillId="0" borderId="1" xfId="1" applyFont="1" applyBorder="1" applyProtection="1"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3" fontId="7" fillId="0" borderId="6" xfId="0" applyNumberFormat="1" applyFont="1" applyFill="1" applyBorder="1" applyAlignment="1" applyProtection="1">
      <protection locked="0"/>
    </xf>
    <xf numFmtId="3" fontId="7" fillId="0" borderId="7" xfId="0" applyNumberFormat="1" applyFont="1" applyFill="1" applyBorder="1" applyAlignment="1" applyProtection="1">
      <protection locked="0"/>
    </xf>
    <xf numFmtId="3" fontId="7" fillId="0" borderId="8" xfId="0" applyNumberFormat="1" applyFont="1" applyFill="1" applyBorder="1" applyAlignment="1" applyProtection="1">
      <protection locked="0"/>
    </xf>
    <xf numFmtId="3" fontId="7" fillId="0" borderId="9" xfId="0" applyNumberFormat="1" applyFont="1" applyFill="1" applyBorder="1" applyAlignment="1" applyProtection="1"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3" fontId="7" fillId="0" borderId="10" xfId="0" applyNumberFormat="1" applyFont="1" applyFill="1" applyBorder="1" applyAlignment="1" applyProtection="1">
      <protection locked="0"/>
    </xf>
    <xf numFmtId="3" fontId="7" fillId="0" borderId="11" xfId="0" applyNumberFormat="1" applyFont="1" applyFill="1" applyBorder="1" applyAlignment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164" fontId="7" fillId="0" borderId="6" xfId="4" applyNumberFormat="1" applyFont="1" applyBorder="1" applyAlignment="1" applyProtection="1">
      <alignment horizontal="right"/>
      <protection locked="0"/>
    </xf>
    <xf numFmtId="164" fontId="7" fillId="0" borderId="7" xfId="4" applyNumberFormat="1" applyFont="1" applyBorder="1" applyAlignment="1" applyProtection="1">
      <alignment horizontal="right"/>
      <protection locked="0"/>
    </xf>
    <xf numFmtId="164" fontId="7" fillId="0" borderId="8" xfId="4" applyNumberFormat="1" applyFont="1" applyBorder="1" applyAlignment="1" applyProtection="1">
      <alignment horizontal="right"/>
      <protection locked="0"/>
    </xf>
    <xf numFmtId="164" fontId="7" fillId="0" borderId="9" xfId="4" applyNumberFormat="1" applyFont="1" applyBorder="1" applyAlignment="1" applyProtection="1">
      <alignment horizontal="right"/>
      <protection locked="0"/>
    </xf>
    <xf numFmtId="164" fontId="1" fillId="0" borderId="12" xfId="1" applyNumberFormat="1" applyFont="1" applyBorder="1" applyProtection="1">
      <protection locked="0"/>
    </xf>
    <xf numFmtId="164" fontId="7" fillId="0" borderId="6" xfId="0" applyNumberFormat="1" applyFont="1" applyFill="1" applyBorder="1" applyAlignment="1" applyProtection="1">
      <protection locked="0"/>
    </xf>
    <xf numFmtId="3" fontId="7" fillId="0" borderId="0" xfId="0" applyNumberFormat="1" applyFont="1" applyProtection="1">
      <protection locked="0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center" vertical="center"/>
    </xf>
    <xf numFmtId="0" fontId="0" fillId="0" borderId="0" xfId="0" applyProtection="1">
      <protection locked="0"/>
    </xf>
  </cellXfs>
  <cellStyles count="6">
    <cellStyle name="Normal" xfId="0" builtinId="0"/>
    <cellStyle name="Normal 2" xfId="1" xr:uid="{00000000-0005-0000-0000-000002000000}"/>
    <cellStyle name="Normal_System Weather Weights WF" xfId="2" xr:uid="{00000000-0005-0000-0000-000003000000}"/>
    <cellStyle name="Normal_System Weather Weights WF 2" xfId="3" xr:uid="{00000000-0005-0000-0000-000004000000}"/>
    <cellStyle name="Percent" xfId="4" builtinId="5"/>
    <cellStyle name="Percent_System Weather Weights WF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66675</xdr:rowOff>
    </xdr:from>
    <xdr:to>
      <xdr:col>16</xdr:col>
      <xdr:colOff>66675</xdr:colOff>
      <xdr:row>5</xdr:row>
      <xdr:rowOff>0</xdr:rowOff>
    </xdr:to>
    <xdr:sp macro="" textlink="">
      <xdr:nvSpPr>
        <xdr:cNvPr id="2102" name="Text Box 1" descr="" title="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13382625" y="466725"/>
          <a:ext cx="666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36"/>
  <x:sheetViews>
    <x:sheetView tabSelected="1" view="pageBreakPreview" topLeftCell="A3" zoomScaleNormal="100" zoomScaleSheetLayoutView="100" workbookViewId="0">
      <x:pane xSplit="3" topLeftCell="D1" activePane="topRight" state="frozen"/>
      <x:selection pane="topRight" activeCell="A3" sqref="A3"/>
    </x:sheetView>
  </x:sheetViews>
  <x:sheetFormatPr defaultColWidth="9.109375" defaultRowHeight="13.2" x14ac:dyDescent="0.25"/>
  <x:cols>
    <x:col min="1" max="1" width="8.109375" style="29" customWidth="1"/>
    <x:col min="2" max="2" width="16.88671875" style="29" customWidth="1"/>
    <x:col min="3" max="3" width="4.44140625" style="29" bestFit="1" customWidth="1"/>
    <x:col min="4" max="4" width="9.88671875" style="29" bestFit="1" customWidth="1"/>
    <x:col min="5" max="13" width="9.109375" style="29"/>
    <x:col min="14" max="14" width="9.6640625" style="29" bestFit="1" customWidth="1"/>
    <x:col min="15" max="15" width="9.109375" style="29"/>
    <x:col min="16" max="16" width="9.5546875" style="29" bestFit="1" customWidth="1"/>
    <x:col min="17" max="16384" width="9.109375" style="29"/>
  </x:cols>
  <x:sheetData>
    <x:row r="1" spans="1:16" ht="15.6" x14ac:dyDescent="0.3">
      <x:c r="A1" s="26"/>
      <x:c r="B1" s="68" t="s">
        <x:v>10</x:v>
      </x:c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</x:row>
    <x:row r="2" spans="1:16" ht="15.6" x14ac:dyDescent="0.3">
      <x:c r="A2" s="26"/>
      <x:c r="B2" s="68" t="s">
        <x:v>35</x:v>
      </x:c>
      <x:c r="C2" s="68"/>
      <x:c r="D2" s="68"/>
      <x:c r="E2" s="68"/>
      <x:c r="F2" s="68"/>
      <x:c r="G2" s="69"/>
      <x:c r="H2" s="69"/>
      <x:c r="I2" s="69"/>
      <x:c r="J2" s="69"/>
      <x:c r="K2" s="69"/>
      <x:c r="L2" s="69"/>
      <x:c r="M2" s="69"/>
      <x:c r="N2" s="69"/>
      <x:c r="O2" s="69"/>
      <x:c r="P2" s="69"/>
    </x:row>
    <x:row r="3" spans="1:16" ht="15.6" x14ac:dyDescent="0.3">
      <x:c r="A3" s="26"/>
      <x:c r="B3" s="68" t="s">
        <x:v>39</x:v>
      </x:c>
      <x:c r="C3" s="68"/>
      <x:c r="D3" s="68"/>
      <x:c r="E3" s="68"/>
      <x:c r="F3" s="68"/>
      <x:c r="G3" s="69"/>
      <x:c r="H3" s="69"/>
      <x:c r="I3" s="69"/>
      <x:c r="J3" s="69"/>
      <x:c r="K3" s="69"/>
      <x:c r="L3" s="69"/>
      <x:c r="M3" s="69"/>
      <x:c r="N3" s="69"/>
      <x:c r="O3" s="69"/>
      <x:c r="P3" s="69"/>
    </x:row>
    <x:row r="4" spans="1:16" ht="15.6" x14ac:dyDescent="0.3">
      <x:c r="A4" s="26"/>
      <x:c r="B4" s="70" t="s">
        <x:v>46</x:v>
      </x:c>
      <x:c r="C4" s="70"/>
      <x:c r="D4" s="70"/>
      <x:c r="E4" s="70"/>
      <x:c r="F4" s="70"/>
      <x:c r="G4" s="71"/>
      <x:c r="H4" s="71"/>
      <x:c r="I4" s="71"/>
      <x:c r="J4" s="71"/>
      <x:c r="K4" s="71"/>
      <x:c r="L4" s="71"/>
      <x:c r="M4" s="71"/>
      <x:c r="N4" s="71"/>
      <x:c r="O4" s="71"/>
      <x:c r="P4" s="71"/>
    </x:row>
    <x:row r="5" spans="1:16" ht="15.6" x14ac:dyDescent="0.3">
      <x:c r="A5" s="26"/>
      <x:c r="B5" s="68"/>
      <x:c r="C5" s="68"/>
      <x:c r="D5" s="68"/>
      <x:c r="E5" s="68"/>
      <x:c r="F5" s="68"/>
      <x:c r="G5" s="30"/>
      <x:c r="H5" s="30"/>
      <x:c r="I5" s="31"/>
      <x:c r="J5" s="31"/>
      <x:c r="K5" s="31"/>
      <x:c r="L5" s="31"/>
      <x:c r="M5" s="31"/>
      <x:c r="N5" s="31"/>
      <x:c r="O5" s="31"/>
      <x:c r="P5" s="31"/>
    </x:row>
    <x:row r="6" spans="1:16" ht="15.6" x14ac:dyDescent="0.3">
      <x:c r="A6" s="26"/>
      <x:c r="B6" s="68" t="s">
        <x:v>38</x:v>
      </x:c>
      <x:c r="C6" s="68"/>
      <x:c r="D6" s="68"/>
      <x:c r="E6" s="68"/>
      <x:c r="F6" s="68"/>
      <x:c r="G6" s="69"/>
      <x:c r="H6" s="69"/>
      <x:c r="I6" s="69"/>
      <x:c r="J6" s="69"/>
      <x:c r="K6" s="69"/>
      <x:c r="L6" s="69"/>
      <x:c r="M6" s="69"/>
      <x:c r="N6" s="69"/>
      <x:c r="O6" s="69"/>
      <x:c r="P6" s="69"/>
    </x:row>
    <x:row r="7" spans="1:16" ht="15.6" x14ac:dyDescent="0.3">
      <x:c r="A7" s="26"/>
      <x:c r="B7" s="27"/>
      <x:c r="C7" s="27"/>
      <x:c r="D7" s="27"/>
      <x:c r="E7" s="27"/>
      <x:c r="F7" s="27"/>
      <x:c r="G7" s="28"/>
      <x:c r="H7" s="28"/>
      <x:c r="I7" s="31"/>
      <x:c r="J7" s="31"/>
      <x:c r="K7" s="31"/>
      <x:c r="L7" s="31"/>
      <x:c r="M7" s="31"/>
      <x:c r="N7" s="31"/>
      <x:c r="O7" s="31"/>
      <x:c r="P7" s="31"/>
    </x:row>
    <x:row r="8" spans="1:16" ht="15.6" x14ac:dyDescent="0.3">
      <x:c r="A8" s="26"/>
      <x:c r="B8" s="72" t="s">
        <x:v>47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</x:row>
    <x:row r="9" spans="1:16" x14ac:dyDescent="0.25">
      <x:c r="A9" s="26" t="s">
        <x:v>12</x:v>
      </x:c>
      <x:c r="B9" s="26" t="s">
        <x:v>13</x:v>
      </x:c>
      <x:c r="C9" s="26"/>
      <x:c r="D9" s="32" t="s">
        <x:v>14</x:v>
      </x:c>
      <x:c r="E9" s="32" t="s">
        <x:v>15</x:v>
      </x:c>
      <x:c r="F9" s="32" t="s">
        <x:v>16</x:v>
      </x:c>
      <x:c r="G9" s="32" t="s">
        <x:v>17</x:v>
      </x:c>
      <x:c r="H9" s="32" t="s">
        <x:v>18</x:v>
      </x:c>
      <x:c r="I9" s="32" t="s">
        <x:v>19</x:v>
      </x:c>
      <x:c r="J9" s="32" t="s">
        <x:v>20</x:v>
      </x:c>
      <x:c r="K9" s="32" t="s">
        <x:v>21</x:v>
      </x:c>
      <x:c r="L9" s="32" t="s">
        <x:v>22</x:v>
      </x:c>
      <x:c r="M9" s="32" t="s">
        <x:v>23</x:v>
      </x:c>
      <x:c r="N9" s="32" t="s">
        <x:v>24</x:v>
      </x:c>
      <x:c r="O9" s="32" t="s">
        <x:v>25</x:v>
      </x:c>
      <x:c r="P9" s="32" t="s">
        <x:v>26</x:v>
      </x:c>
    </x:row>
    <x:row r="10" spans="1:16" s="39" customFormat="1" x14ac:dyDescent="0.25">
      <x:c r="A10" s="33" t="s">
        <x:v>27</x:v>
      </x:c>
      <x:c r="B10" s="34" t="s">
        <x:v>28</x:v>
      </x:c>
      <x:c r="C10" s="35"/>
      <x:c r="D10" s="36">
        <x:v>36892</x:v>
      </x:c>
      <x:c r="E10" s="37">
        <x:v>36923</x:v>
      </x:c>
      <x:c r="F10" s="37">
        <x:v>36951</x:v>
      </x:c>
      <x:c r="G10" s="37">
        <x:v>36982</x:v>
      </x:c>
      <x:c r="H10" s="37">
        <x:v>37012</x:v>
      </x:c>
      <x:c r="I10" s="37">
        <x:v>37043</x:v>
      </x:c>
      <x:c r="J10" s="37">
        <x:v>37073</x:v>
      </x:c>
      <x:c r="K10" s="37">
        <x:v>37104</x:v>
      </x:c>
      <x:c r="L10" s="37">
        <x:v>37135</x:v>
      </x:c>
      <x:c r="M10" s="37">
        <x:v>37165</x:v>
      </x:c>
      <x:c r="N10" s="37">
        <x:v>37196</x:v>
      </x:c>
      <x:c r="O10" s="37">
        <x:v>37226</x:v>
      </x:c>
      <x:c r="P10" s="38" t="s">
        <x:v>0</x:v>
      </x:c>
    </x:row>
    <x:row r="11" spans="1:16" x14ac:dyDescent="0.25">
      <x:c r="A11" s="40">
        <x:v>1</x:v>
      </x:c>
      <x:c r="B11" s="30" t="s">
        <x:v>29</x:v>
      </x:c>
      <x:c r="C11" s="41"/>
      <x:c r="D11" s="42">
        <x:f>+'SUBS Monthly Weather Weights'!C11</x:f>
        <x:v>0.14154859947451823</x:v>
      </x:c>
      <x:c r="E11" s="42">
        <x:f>+'SUBS Monthly Weather Weights'!D11</x:f>
        <x:v>0.13962994552815144</x:v>
      </x:c>
      <x:c r="F11" s="42">
        <x:f>+'SUBS Monthly Weather Weights'!E11</x:f>
        <x:v>0.13634199209451564</x:v>
      </x:c>
      <x:c r="G11" s="42">
        <x:f>+'SUBS Monthly Weather Weights'!F11</x:f>
        <x:v>0.14572046778128955</x:v>
      </x:c>
      <x:c r="H11" s="42">
        <x:f>+'SUBS Monthly Weather Weights'!G11</x:f>
        <x:v>0.14382008189829601</x:v>
      </x:c>
      <x:c r="I11" s="42">
        <x:f>+'SUBS Monthly Weather Weights'!H11</x:f>
        <x:v>0.14346249619808665</x:v>
      </x:c>
      <x:c r="J11" s="42">
        <x:f>+'SUBS Monthly Weather Weights'!I11</x:f>
        <x:v>0.1498908592080847</x:v>
      </x:c>
      <x:c r="K11" s="42">
        <x:f>+'SUBS Monthly Weather Weights'!J11</x:f>
        <x:v>0.13129772544025142</x:v>
      </x:c>
      <x:c r="L11" s="42">
        <x:f>+'SUBS Monthly Weather Weights'!K11</x:f>
        <x:v>0.15275922181514207</x:v>
      </x:c>
      <x:c r="M11" s="42">
        <x:f>+'SUBS Monthly Weather Weights'!L11</x:f>
        <x:v>0.15405295250346304</x:v>
      </x:c>
      <x:c r="N11" s="42">
        <x:f>+'SUBS Monthly Weather Weights'!M11</x:f>
        <x:v>0.14075498036741704</x:v>
      </x:c>
      <x:c r="O11" s="42">
        <x:f>+'SUBS Monthly Weather Weights'!N11</x:f>
        <x:v>0.12940968608265926</x:v>
      </x:c>
      <x:c r="P11" s="42">
        <x:f>+'SUBS Monthly Weather Weights'!O11</x:f>
        <x:v>0.14219326350222491</x:v>
      </x:c>
    </x:row>
    <x:row r="12" spans="1:16" x14ac:dyDescent="0.25">
      <x:c r="A12" s="40">
        <x:f>+A11+1</x:f>
        <x:v>2</x:v>
      </x:c>
      <x:c r="B12" s="30" t="s">
        <x:v>30</x:v>
      </x:c>
      <x:c r="C12" s="41"/>
      <x:c r="D12" s="42">
        <x:f>+'SUBS Monthly Weather Weights'!C12</x:f>
        <x:v>0.65249039528870489</x:v>
      </x:c>
      <x:c r="E12" s="42">
        <x:f>+'SUBS Monthly Weather Weights'!D12</x:f>
        <x:v>0.65531605833670348</x:v>
      </x:c>
      <x:c r="F12" s="42">
        <x:f>+'SUBS Monthly Weather Weights'!E12</x:f>
        <x:v>0.6533101125965628</x:v>
      </x:c>
      <x:c r="G12" s="42">
        <x:f>+'SUBS Monthly Weather Weights'!F12</x:f>
        <x:v>0.64162652647618634</x:v>
      </x:c>
      <x:c r="H12" s="42">
        <x:f>+'SUBS Monthly Weather Weights'!G12</x:f>
        <x:v>0.65333017828954043</x:v>
      </x:c>
      <x:c r="I12" s="42">
        <x:f>+'SUBS Monthly Weather Weights'!H12</x:f>
        <x:v>0.65843088967358931</x:v>
      </x:c>
      <x:c r="J12" s="42">
        <x:f>+'SUBS Monthly Weather Weights'!I12</x:f>
        <x:v>0.64257626644176835</x:v>
      </x:c>
      <x:c r="K12" s="42">
        <x:f>+'SUBS Monthly Weather Weights'!J12</x:f>
        <x:v>0.69529586374122698</x:v>
      </x:c>
      <x:c r="L12" s="42">
        <x:f>+'SUBS Monthly Weather Weights'!K12</x:f>
        <x:v>0.63111788420200987</x:v>
      </x:c>
      <x:c r="M12" s="42">
        <x:f>+'SUBS Monthly Weather Weights'!L12</x:f>
        <x:v>0.64582058286249466</x:v>
      </x:c>
      <x:c r="N12" s="42">
        <x:f>+'SUBS Monthly Weather Weights'!M12</x:f>
        <x:v>0.66442709576302028</x:v>
      </x:c>
      <x:c r="O12" s="42">
        <x:f>+'SUBS Monthly Weather Weights'!N12</x:f>
        <x:v>0.68716608384321543</x:v>
      </x:c>
      <x:c r="P12" s="42">
        <x:f>+'SUBS Monthly Weather Weights'!O12</x:f>
        <x:v>0.65797552972543016</x:v>
      </x:c>
    </x:row>
    <x:row r="13" spans="1:16" x14ac:dyDescent="0.25">
      <x:c r="A13" s="40">
        <x:f t="shared" ref="A13:A36" si="0">+A12+1</x:f>
        <x:v>3</x:v>
      </x:c>
      <x:c r="B13" s="30" t="s">
        <x:v>5</x:v>
      </x:c>
      <x:c r="C13" s="41"/>
      <x:c r="D13" s="42">
        <x:f>+'SUBS Monthly Weather Weights'!C13</x:f>
        <x:v>2.0608100362199538E-2</x:v>
      </x:c>
      <x:c r="E13" s="42">
        <x:f>+'SUBS Monthly Weather Weights'!D13</x:f>
        <x:v>2.1203114779982452E-2</x:v>
      </x:c>
      <x:c r="F13" s="42">
        <x:f>+'SUBS Monthly Weather Weights'!E13</x:f>
        <x:v>2.2690679018283991E-2</x:v>
      </x:c>
      <x:c r="G13" s="42">
        <x:f>+'SUBS Monthly Weather Weights'!F13</x:f>
        <x:v>2.1886196502919588E-2</x:v>
      </x:c>
      <x:c r="H13" s="42">
        <x:f>+'SUBS Monthly Weather Weights'!G13</x:f>
        <x:v>2.2224288547166654E-2</x:v>
      </x:c>
      <x:c r="I13" s="42">
        <x:f>+'SUBS Monthly Weather Weights'!H13</x:f>
        <x:v>2.3028575609353025E-2</x:v>
      </x:c>
      <x:c r="J13" s="42">
        <x:f>+'SUBS Monthly Weather Weights'!I13</x:f>
        <x:v>2.6105442163010358E-2</x:v>
      </x:c>
      <x:c r="K13" s="42">
        <x:f>+'SUBS Monthly Weather Weights'!J13</x:f>
        <x:v>1.9441098742374641E-2</x:v>
      </x:c>
      <x:c r="L13" s="42">
        <x:f>+'SUBS Monthly Weather Weights'!K13</x:f>
        <x:v>3.1774282410086431E-2</x:v>
      </x:c>
      <x:c r="M13" s="42">
        <x:f>+'SUBS Monthly Weather Weights'!L13</x:f>
        <x:v>2.2706457577107934E-2</x:v>
      </x:c>
      <x:c r="N13" s="42">
        <x:f>+'SUBS Monthly Weather Weights'!M13</x:f>
        <x:v>2.3751792719232438E-2</x:v>
      </x:c>
      <x:c r="O13" s="42">
        <x:f>+'SUBS Monthly Weather Weights'!N13</x:f>
        <x:v>2.2821050635134364E-2</x:v>
      </x:c>
      <x:c r="P13" s="42">
        <x:f>+'SUBS Monthly Weather Weights'!O13</x:f>
        <x:v>2.3204546918233832E-2</x:v>
      </x:c>
    </x:row>
    <x:row r="14" spans="1:16" x14ac:dyDescent="0.25">
      <x:c r="A14" s="40">
        <x:f t="shared" si="0"/>
        <x:v>4</x:v>
      </x:c>
      <x:c r="B14" s="30" t="s">
        <x:v>9</x:v>
      </x:c>
      <x:c r="C14" s="41"/>
      <x:c r="D14" s="42">
        <x:f>+'SUBS Monthly Weather Weights'!C14</x:f>
        <x:v>5.882837382150792E-2</x:v>
      </x:c>
      <x:c r="E14" s="42">
        <x:f>+'SUBS Monthly Weather Weights'!D14</x:f>
        <x:v>5.718681021868155E-2</x:v>
      </x:c>
      <x:c r="F14" s="42">
        <x:f>+'SUBS Monthly Weather Weights'!E14</x:f>
        <x:v>4.8746366680489948E-2</x:v>
      </x:c>
      <x:c r="G14" s="42">
        <x:f>+'SUBS Monthly Weather Weights'!F14</x:f>
        <x:v>5.4126579904833133E-2</x:v>
      </x:c>
      <x:c r="H14" s="42">
        <x:f>+'SUBS Monthly Weather Weights'!G14</x:f>
        <x:v>4.9721742154423633E-2</x:v>
      </x:c>
      <x:c r="I14" s="42">
        <x:f>+'SUBS Monthly Weather Weights'!H14</x:f>
        <x:v>4.8828849862833104E-2</x:v>
      </x:c>
      <x:c r="J14" s="42">
        <x:f>+'SUBS Monthly Weather Weights'!I14</x:f>
        <x:v>4.6574521329705743E-2</x:v>
      </x:c>
      <x:c r="K14" s="42">
        <x:f>+'SUBS Monthly Weather Weights'!J14</x:f>
        <x:v>3.5978702008382719E-2</x:v>
      </x:c>
      <x:c r="L14" s="42">
        <x:f>+'SUBS Monthly Weather Weights'!K14</x:f>
        <x:v>4.4572809613660822E-2</x:v>
      </x:c>
      <x:c r="M14" s="42">
        <x:f>+'SUBS Monthly Weather Weights'!L14</x:f>
        <x:v>4.8189219046744218E-2</x:v>
      </x:c>
      <x:c r="N14" s="42">
        <x:f>+'SUBS Monthly Weather Weights'!M14</x:f>
        <x:v>4.5810942260107464E-2</x:v>
      </x:c>
      <x:c r="O14" s="42">
        <x:f>+'SUBS Monthly Weather Weights'!N14</x:f>
        <x:v>4.3008980939958662E-2</x:v>
      </x:c>
      <x:c r="P14" s="42">
        <x:f>+'SUBS Monthly Weather Weights'!O14</x:f>
        <x:v>4.7873284392743229E-2</x:v>
      </x:c>
    </x:row>
    <x:row r="15" spans="1:16" x14ac:dyDescent="0.25">
      <x:c r="A15" s="40">
        <x:f t="shared" si="0"/>
        <x:v>5</x:v>
      </x:c>
      <x:c r="B15" s="30" t="s">
        <x:v>42</x:v>
      </x:c>
      <x:c r="C15" s="41"/>
      <x:c r="D15" s="42">
        <x:f>+'SUBS Monthly Weather Weights'!C15</x:f>
        <x:v>1.2058500985016346E-2</x:v>
      </x:c>
      <x:c r="E15" s="42">
        <x:f>+'SUBS Monthly Weather Weights'!D15</x:f>
        <x:v>7.4608386939913288E-3</x:v>
      </x:c>
      <x:c r="F15" s="42">
        <x:f>+'SUBS Monthly Weather Weights'!E15</x:f>
        <x:v>8.2529335766341541E-3</x:v>
      </x:c>
      <x:c r="G15" s="42">
        <x:f>+'SUBS Monthly Weather Weights'!F15</x:f>
        <x:v>9.1278488383019565E-3</x:v>
      </x:c>
      <x:c r="H15" s="42">
        <x:f>+'SUBS Monthly Weather Weights'!G15</x:f>
        <x:v>1.0650656288193715E-2</x:v>
      </x:c>
      <x:c r="I15" s="42">
        <x:f>+'SUBS Monthly Weather Weights'!H15</x:f>
        <x:v>1.2433409227827399E-2</x:v>
      </x:c>
      <x:c r="J15" s="42">
        <x:f>+'SUBS Monthly Weather Weights'!I15</x:f>
        <x:v>1.126109327318022E-2</x:v>
      </x:c>
      <x:c r="K15" s="42">
        <x:f>+'SUBS Monthly Weather Weights'!J15</x:f>
        <x:v>9.4969413704781222E-3</x:v>
      </x:c>
      <x:c r="L15" s="42">
        <x:f>+'SUBS Monthly Weather Weights'!K15</x:f>
        <x:v>1.0384258255589309E-2</x:v>
      </x:c>
      <x:c r="M15" s="42">
        <x:f>+'SUBS Monthly Weather Weights'!L15</x:f>
        <x:v>8.5114541419330243E-3</x:v>
      </x:c>
      <x:c r="N15" s="42">
        <x:f>+'SUBS Monthly Weather Weights'!M15</x:f>
        <x:v>8.6927389928201284E-3</x:v>
      </x:c>
      <x:c r="O15" s="42">
        <x:f>+'SUBS Monthly Weather Weights'!N15</x:f>
        <x:v>6.597380183308783E-3</x:v>
      </x:c>
      <x:c r="P15" s="42">
        <x:f>+'SUBS Monthly Weather Weights'!O15</x:f>
        <x:v>9.5588755992415345E-3</x:v>
      </x:c>
    </x:row>
    <x:row r="16" spans="1:16" x14ac:dyDescent="0.25">
      <x:c r="A16" s="40">
        <x:f t="shared" si="0"/>
        <x:v>6</x:v>
      </x:c>
      <x:c r="B16" s="30" t="s">
        <x:v>31</x:v>
      </x:c>
      <x:c r="C16" s="41"/>
      <x:c r="D16" s="42">
        <x:f>+'SUBS Monthly Weather Weights'!C16</x:f>
        <x:v>6.9936929105211515E-2</x:v>
      </x:c>
      <x:c r="E16" s="42">
        <x:f>+'SUBS Monthly Weather Weights'!D16</x:f>
        <x:v>7.7000996055339596E-2</x:v>
      </x:c>
      <x:c r="F16" s="42">
        <x:f>+'SUBS Monthly Weather Weights'!E16</x:f>
        <x:v>8.6179440315684308E-2</x:v>
      </x:c>
      <x:c r="G16" s="42">
        <x:f>+'SUBS Monthly Weather Weights'!F16</x:f>
        <x:v>8.3934690676640569E-2</x:v>
      </x:c>
      <x:c r="H16" s="42">
        <x:f>+'SUBS Monthly Weather Weights'!G16</x:f>
        <x:v>8.1291272907290657E-2</x:v>
      </x:c>
      <x:c r="I16" s="42">
        <x:f>+'SUBS Monthly Weather Weights'!H16</x:f>
        <x:v>7.4308477786671226E-2</x:v>
      </x:c>
      <x:c r="J16" s="42">
        <x:f>+'SUBS Monthly Weather Weights'!I16</x:f>
        <x:v>8.0990965670547671E-2</x:v>
      </x:c>
      <x:c r="K16" s="42">
        <x:f>+'SUBS Monthly Weather Weights'!J16</x:f>
        <x:v>7.3742297232090886E-2</x:v>
      </x:c>
      <x:c r="L16" s="42">
        <x:f>+'SUBS Monthly Weather Weights'!K16</x:f>
        <x:v>8.4971060575492918E-2</x:v>
      </x:c>
      <x:c r="M16" s="42">
        <x:f>+'SUBS Monthly Weather Weights'!L16</x:f>
        <x:v>8.0118539071640696E-2</x:v>
      </x:c>
      <x:c r="N16" s="42">
        <x:f>+'SUBS Monthly Weather Weights'!M16</x:f>
        <x:v>7.6539369351435432E-2</x:v>
      </x:c>
      <x:c r="O16" s="42">
        <x:f>+'SUBS Monthly Weather Weights'!N16</x:f>
        <x:v>7.1992383937613327E-2</x:v>
      </x:c>
      <x:c r="P16" s="42">
        <x:f>+'SUBS Monthly Weather Weights'!O16</x:f>
        <x:v>7.8229093503641184E-2</x:v>
      </x:c>
    </x:row>
    <x:row r="17" spans="1:16" x14ac:dyDescent="0.25">
      <x:c r="A17" s="40">
        <x:f t="shared" si="0"/>
        <x:v>7</x:v>
      </x:c>
      <x:c r="B17" s="30" t="s">
        <x:v>3</x:v>
      </x:c>
      <x:c r="C17" s="41"/>
      <x:c r="D17" s="42">
        <x:f>+'SUBS Monthly Weather Weights'!C17</x:f>
        <x:v>8.6067885131653095E-3</x:v>
      </x:c>
      <x:c r="E17" s="42">
        <x:f>+'SUBS Monthly Weather Weights'!D17</x:f>
        <x:v>8.7123329079682784E-3</x:v>
      </x:c>
      <x:c r="F17" s="42">
        <x:f>+'SUBS Monthly Weather Weights'!E17</x:f>
        <x:v>9.9670018246665552E-3</x:v>
      </x:c>
      <x:c r="G17" s="42">
        <x:f>+'SUBS Monthly Weather Weights'!F17</x:f>
        <x:v>1.094744112823284E-2</x:v>
      </x:c>
      <x:c r="H17" s="42">
        <x:f>+'SUBS Monthly Weather Weights'!G17</x:f>
        <x:v>8.5862153520945388E-3</x:v>
      </x:c>
      <x:c r="I17" s="42">
        <x:f>+'SUBS Monthly Weather Weights'!H17</x:f>
        <x:v>8.6365655370219761E-3</x:v>
      </x:c>
      <x:c r="J17" s="42">
        <x:f>+'SUBS Monthly Weather Weights'!I17</x:f>
        <x:v>9.6625598330997153E-3</x:v>
      </x:c>
      <x:c r="K17" s="42">
        <x:f>+'SUBS Monthly Weather Weights'!J17</x:f>
        <x:v>8.5505164833128613E-3</x:v>
      </x:c>
      <x:c r="L17" s="42">
        <x:f>+'SUBS Monthly Weather Weights'!K17</x:f>
        <x:v>9.4515220800293169E-3</x:v>
      </x:c>
      <x:c r="M17" s="42">
        <x:f>+'SUBS Monthly Weather Weights'!L17</x:f>
        <x:v>9.3738400501444715E-3</x:v>
      </x:c>
      <x:c r="N17" s="42">
        <x:f>+'SUBS Monthly Weather Weights'!M17</x:f>
        <x:v>7.5336403443094892E-3</x:v>
      </x:c>
      <x:c r="O17" s="42">
        <x:f>+'SUBS Monthly Weather Weights'!N17</x:f>
        <x:v>7.0414120430185726E-3</x:v>
      </x:c>
      <x:c r="P17" s="42">
        <x:f>+'SUBS Monthly Weather Weights'!O17</x:f>
        <x:v>8.8712639075337867E-3</x:v>
      </x:c>
    </x:row>
    <x:row r="18" spans="1:16" x14ac:dyDescent="0.25">
      <x:c r="A18" s="40">
        <x:f t="shared" si="0"/>
        <x:v>8</x:v>
      </x:c>
      <x:c r="B18" s="30" t="s">
        <x:v>32</x:v>
      </x:c>
      <x:c r="C18" s="41"/>
      <x:c r="D18" s="42">
        <x:f>+'SUBS Monthly Weather Weights'!C18</x:f>
        <x:v>2.1181036292996135E-2</x:v>
      </x:c>
      <x:c r="E18" s="42">
        <x:f>+'SUBS Monthly Weather Weights'!D18</x:f>
        <x:v>2.0212328165085062E-2</x:v>
      </x:c>
      <x:c r="F18" s="42">
        <x:f>+'SUBS Monthly Weather Weights'!E18</x:f>
        <x:v>2.1882600821757477E-2</x:v>
      </x:c>
      <x:c r="G18" s="42">
        <x:f>+'SUBS Monthly Weather Weights'!F18</x:f>
        <x:v>2.1282688501334343E-2</x:v>
      </x:c>
      <x:c r="H18" s="42">
        <x:f>+'SUBS Monthly Weather Weights'!G18</x:f>
        <x:v>2.0355611368189322E-2</x:v>
      </x:c>
      <x:c r="I18" s="42">
        <x:f>+'SUBS Monthly Weather Weights'!H18</x:f>
        <x:v>2.1973645669284659E-2</x:v>
      </x:c>
      <x:c r="J18" s="42">
        <x:f>+'SUBS Monthly Weather Weights'!I18</x:f>
        <x:v>2.1736229933253554E-2</x:v>
      </x:c>
      <x:c r="K18" s="42">
        <x:f>+'SUBS Monthly Weather Weights'!J18</x:f>
        <x:v>1.714217604183477E-2</x:v>
      </x:c>
      <x:c r="L18" s="42">
        <x:f>+'SUBS Monthly Weather Weights'!K18</x:f>
        <x:v>2.1243341539772607E-2</x:v>
      </x:c>
      <x:c r="M18" s="42">
        <x:f>+'SUBS Monthly Weather Weights'!L18</x:f>
        <x:v>1.8606077539897618E-2</x:v>
      </x:c>
      <x:c r="N18" s="42">
        <x:f>+'SUBS Monthly Weather Weights'!M18</x:f>
        <x:v>1.8203248108752294E-2</x:v>
      </x:c>
      <x:c r="O18" s="42">
        <x:f>+'SUBS Monthly Weather Weights'!N18</x:f>
        <x:v>1.8055082609131599E-2</x:v>
      </x:c>
      <x:c r="P18" s="42">
        <x:f>+'SUBS Monthly Weather Weights'!O18</x:f>
        <x:v>2.0018851865283981E-2</x:v>
      </x:c>
    </x:row>
    <x:row r="19" spans="1:16" x14ac:dyDescent="0.25">
      <x:c r="A19" s="40">
        <x:f t="shared" si="0"/>
        <x:v>9</x:v>
      </x:c>
      <x:c r="B19" s="30" t="s">
        <x:v>8</x:v>
      </x:c>
      <x:c r="C19" s="41"/>
      <x:c r="D19" s="42">
        <x:f>+'SUBS Monthly Weather Weights'!C19</x:f>
        <x:v>1.4741276156680127E-2</x:v>
      </x:c>
      <x:c r="E19" s="42">
        <x:f>+'SUBS Monthly Weather Weights'!D19</x:f>
        <x:v>1.3277575314096715E-2</x:v>
      </x:c>
      <x:c r="F19" s="42">
        <x:f>+'SUBS Monthly Weather Weights'!E19</x:f>
        <x:v>1.2628873071405056E-2</x:v>
      </x:c>
      <x:c r="G19" s="42">
        <x:f>+'SUBS Monthly Weather Weights'!F19</x:f>
        <x:v>1.1347560190261695E-2</x:v>
      </x:c>
      <x:c r="H19" s="42">
        <x:f>+'SUBS Monthly Weather Weights'!G19</x:f>
        <x:v>1.0019953194805111E-2</x:v>
      </x:c>
      <x:c r="I19" s="42">
        <x:f>+'SUBS Monthly Weather Weights'!H19</x:f>
        <x:v>8.8970904353327714E-3</x:v>
      </x:c>
      <x:c r="J19" s="42">
        <x:f>+'SUBS Monthly Weather Weights'!I19</x:f>
        <x:v>1.1202062147349777E-2</x:v>
      </x:c>
      <x:c r="K19" s="42">
        <x:f>+'SUBS Monthly Weather Weights'!J19</x:f>
        <x:v>9.0546789400474132E-3</x:v>
      </x:c>
      <x:c r="L19" s="42">
        <x:f>+'SUBS Monthly Weather Weights'!K19</x:f>
        <x:v>1.3725619508216614E-2</x:v>
      </x:c>
      <x:c r="M19" s="42">
        <x:f>+'SUBS Monthly Weather Weights'!L19</x:f>
        <x:v>1.262087720657425E-2</x:v>
      </x:c>
      <x:c r="N19" s="42">
        <x:f>+'SUBS Monthly Weather Weights'!M19</x:f>
        <x:v>1.4286192092905485E-2</x:v>
      </x:c>
      <x:c r="O19" s="42">
        <x:f>+'SUBS Monthly Weather Weights'!N19</x:f>
        <x:v>1.3907939725960045E-2</x:v>
      </x:c>
      <x:c r="P19" s="42">
        <x:f>+'SUBS Monthly Weather Weights'!O19</x:f>
        <x:v>1.2075290585667321E-2</x:v>
      </x:c>
    </x:row>
    <x:row r="20" spans="1:16" x14ac:dyDescent="0.25">
      <x:c r="A20" s="40">
        <x:f t="shared" si="0"/>
        <x:v>10</x:v>
      </x:c>
      <x:c r="B20" s="30" t="s">
        <x:v>6</x:v>
      </x:c>
      <x:c r="C20" s="41"/>
      <x:c r="D20" s="43">
        <x:f>+'SUBS Monthly Weather Weights'!C20</x:f>
        <x:v>0</x:v>
      </x:c>
      <x:c r="E20" s="43">
        <x:f>+'SUBS Monthly Weather Weights'!D20</x:f>
        <x:v>0</x:v>
      </x:c>
      <x:c r="F20" s="43">
        <x:f>+'SUBS Monthly Weather Weights'!E20</x:f>
        <x:v>0</x:v>
      </x:c>
      <x:c r="G20" s="43">
        <x:f>+'SUBS Monthly Weather Weights'!F20</x:f>
        <x:v>0</x:v>
      </x:c>
      <x:c r="H20" s="43">
        <x:f>+'SUBS Monthly Weather Weights'!G20</x:f>
        <x:v>0</x:v>
      </x:c>
      <x:c r="I20" s="43">
        <x:f>+'SUBS Monthly Weather Weights'!H20</x:f>
        <x:v>0</x:v>
      </x:c>
      <x:c r="J20" s="43">
        <x:f>+'SUBS Monthly Weather Weights'!I20</x:f>
        <x:v>0</x:v>
      </x:c>
      <x:c r="K20" s="43">
        <x:f>+'SUBS Monthly Weather Weights'!J20</x:f>
        <x:v>0</x:v>
      </x:c>
      <x:c r="L20" s="43">
        <x:f>+'SUBS Monthly Weather Weights'!K20</x:f>
        <x:v>0</x:v>
      </x:c>
      <x:c r="M20" s="43">
        <x:f>+'SUBS Monthly Weather Weights'!L20</x:f>
        <x:v>0</x:v>
      </x:c>
      <x:c r="N20" s="43">
        <x:f>+'SUBS Monthly Weather Weights'!M20</x:f>
        <x:v>0</x:v>
      </x:c>
      <x:c r="O20" s="43">
        <x:f>+'SUBS Monthly Weather Weights'!N20</x:f>
        <x:v>0</x:v>
      </x:c>
      <x:c r="P20" s="43">
        <x:f>+'SUBS Monthly Weather Weights'!O20</x:f>
        <x:v>0</x:v>
      </x:c>
    </x:row>
    <x:row r="21" spans="1:16" x14ac:dyDescent="0.25">
      <x:c r="A21" s="40">
        <x:f t="shared" si="0"/>
        <x:v>11</x:v>
      </x:c>
      <x:c r="C21" s="41"/>
      <x:c r="D21" s="44">
        <x:f t="shared" ref="D21:P21" si="1">SUM(D11:D20)</x:f>
        <x:v>1.0000000000000002</x:v>
      </x:c>
      <x:c r="E21" s="44">
        <x:f t="shared" si="1"/>
        <x:v>0.99999999999999989</x:v>
      </x:c>
      <x:c r="F21" s="44">
        <x:f t="shared" si="1"/>
        <x:v>1</x:v>
      </x:c>
      <x:c r="G21" s="44">
        <x:f t="shared" si="1"/>
        <x:v>1</x:v>
      </x:c>
      <x:c r="H21" s="44">
        <x:f t="shared" si="1"/>
        <x:v>1</x:v>
      </x:c>
      <x:c r="I21" s="44">
        <x:f t="shared" si="1"/>
        <x:v>1</x:v>
      </x:c>
      <x:c r="J21" s="44">
        <x:f t="shared" si="1"/>
        <x:v>1</x:v>
      </x:c>
      <x:c r="K21" s="44">
        <x:f t="shared" si="1"/>
        <x:v>0.99999999999999978</x:v>
      </x:c>
      <x:c r="L21" s="44">
        <x:f t="shared" si="1"/>
        <x:v>0.99999999999999989</x:v>
      </x:c>
      <x:c r="M21" s="44">
        <x:f t="shared" si="1"/>
        <x:v>1</x:v>
      </x:c>
      <x:c r="N21" s="44">
        <x:f t="shared" si="1"/>
        <x:v>1</x:v>
      </x:c>
      <x:c r="O21" s="44">
        <x:f t="shared" si="1"/>
        <x:v>1</x:v>
      </x:c>
      <x:c r="P21" s="44">
        <x:f t="shared" si="1"/>
        <x:v>0.99999999999999989</x:v>
      </x:c>
    </x:row>
    <x:row r="22" spans="1:16" x14ac:dyDescent="0.25">
      <x:c r="A22" s="40">
        <x:f t="shared" si="0"/>
        <x:v>12</x:v>
      </x:c>
    </x:row>
    <x:row r="23" spans="1:16" ht="15.6" x14ac:dyDescent="0.3">
      <x:c r="A23" s="40">
        <x:f t="shared" si="0"/>
        <x:v>13</x:v>
      </x:c>
      <x:c r="D23" s="65" t="s">
        <x:v>40</x:v>
      </x:c>
      <x:c r="E23" s="66"/>
      <x:c r="F23" s="67"/>
      <x:c r="G23" s="27"/>
      <x:c r="H23" s="27"/>
      <x:c r="I23" s="28"/>
      <x:c r="J23" s="28"/>
    </x:row>
    <x:row r="24" spans="1:16" x14ac:dyDescent="0.25">
      <x:c r="A24" s="40">
        <x:f t="shared" si="0"/>
        <x:v>14</x:v>
      </x:c>
      <x:c r="D24" s="29" t="s">
        <x:v>36</x:v>
      </x:c>
      <x:c r="F24" s="29" t="s">
        <x:v>37</x:v>
      </x:c>
    </x:row>
    <x:row r="25" spans="1:16" x14ac:dyDescent="0.25">
      <x:c r="A25" s="40">
        <x:f t="shared" si="0"/>
        <x:v>15</x:v>
      </x:c>
      <x:c r="B25" s="34" t="s">
        <x:v>28</x:v>
      </x:c>
      <x:c r="D25" s="48" t="s">
        <x:v>43</x:v>
      </x:c>
      <x:c r="E25" s="48"/>
      <x:c r="F25" s="48" t="s">
        <x:v>44</x:v>
      </x:c>
    </x:row>
    <x:row r="26" spans="1:16" ht="13.8" x14ac:dyDescent="0.3">
      <x:c r="A26" s="40">
        <x:f t="shared" si="0"/>
        <x:v>16</x:v>
      </x:c>
      <x:c r="B26" s="29" t="s">
        <x:v>29</x:v>
      </x:c>
      <x:c r="D26" s="45">
        <x:f>ROUND(AVERAGE(D11:F11,N11:O11),3)</x:f>
        <x:v>0.13800000000000001</x:v>
      </x:c>
      <x:c r="F26" s="45">
        <x:f>ROUND(AVERAGE(H11:L11),3)</x:f>
        <x:v>0.14399999999999999</x:v>
      </x:c>
      <x:c r="H26" s="46"/>
      <x:c r="I26" s="46"/>
      <x:c r="K26" s="47"/>
      <x:c r="L26" s="47"/>
    </x:row>
    <x:row r="27" spans="1:16" x14ac:dyDescent="0.25">
      <x:c r="A27" s="40">
        <x:f t="shared" si="0"/>
        <x:v>17</x:v>
      </x:c>
      <x:c r="B27" s="29" t="s">
        <x:v>30</x:v>
      </x:c>
      <x:c r="D27" s="45">
        <x:f t="shared" ref="D27:D34" si="2">ROUND(AVERAGE(D12:F12,N12:O12),3)</x:f>
        <x:v>0.66300000000000003</x:v>
      </x:c>
      <x:c r="F27" s="45">
        <x:f t="shared" ref="F27:F35" si="3">ROUND(AVERAGE(H12:L12),3)</x:f>
        <x:v>0.65600000000000003</x:v>
      </x:c>
      <x:c r="H27" s="45"/>
      <x:c r="I27" s="45"/>
      <x:c r="K27" s="47"/>
      <x:c r="L27" s="47"/>
    </x:row>
    <x:row r="28" spans="1:16" x14ac:dyDescent="0.25">
      <x:c r="A28" s="40">
        <x:f t="shared" si="0"/>
        <x:v>18</x:v>
      </x:c>
      <x:c r="B28" s="29" t="s">
        <x:v>5</x:v>
      </x:c>
      <x:c r="D28" s="45">
        <x:f t="shared" si="2"/>
        <x:v>2.1999999999999999E-2</x:v>
      </x:c>
      <x:c r="F28" s="45">
        <x:f t="shared" si="3"/>
        <x:v>2.5000000000000001E-2</x:v>
      </x:c>
      <x:c r="H28" s="45"/>
      <x:c r="I28" s="45"/>
      <x:c r="K28" s="47"/>
      <x:c r="L28" s="47"/>
    </x:row>
    <x:row r="29" spans="1:16" x14ac:dyDescent="0.25">
      <x:c r="A29" s="40">
        <x:f t="shared" si="0"/>
        <x:v>19</x:v>
      </x:c>
      <x:c r="B29" s="29" t="s">
        <x:v>9</x:v>
      </x:c>
      <x:c r="D29" s="45">
        <x:f t="shared" si="2"/>
        <x:v>5.0999999999999997E-2</x:v>
      </x:c>
      <x:c r="F29" s="45">
        <x:f t="shared" si="3"/>
        <x:v>4.4999999999999998E-2</x:v>
      </x:c>
      <x:c r="H29" s="45"/>
      <x:c r="I29" s="45"/>
      <x:c r="K29" s="47"/>
      <x:c r="L29" s="47"/>
    </x:row>
    <x:row r="30" spans="1:16" x14ac:dyDescent="0.25">
      <x:c r="A30" s="40">
        <x:f t="shared" si="0"/>
        <x:v>20</x:v>
      </x:c>
      <x:c r="B30" s="29" t="s">
        <x:v>42</x:v>
      </x:c>
      <x:c r="D30" s="45">
        <x:f t="shared" si="2"/>
        <x:v>8.9999999999999993E-3</x:v>
      </x:c>
      <x:c r="F30" s="45">
        <x:f t="shared" si="3"/>
        <x:v>1.0999999999999999E-2</x:v>
      </x:c>
      <x:c r="H30" s="45"/>
      <x:c r="I30" s="45"/>
      <x:c r="K30" s="47"/>
      <x:c r="L30" s="47"/>
    </x:row>
    <x:row r="31" spans="1:16" x14ac:dyDescent="0.25">
      <x:c r="A31" s="40">
        <x:f t="shared" si="0"/>
        <x:v>21</x:v>
      </x:c>
      <x:c r="B31" s="29" t="s">
        <x:v>31</x:v>
      </x:c>
      <x:c r="D31" s="45">
        <x:f>ROUND(AVERAGE(D16:F16,N16:O16),3)</x:f>
        <x:v>7.5999999999999998E-2</x:v>
      </x:c>
      <x:c r="F31" s="45">
        <x:f t="shared" si="3"/>
        <x:v>7.9000000000000001E-2</x:v>
      </x:c>
      <x:c r="H31" s="45"/>
      <x:c r="I31" s="45"/>
      <x:c r="K31" s="47"/>
      <x:c r="L31" s="47"/>
    </x:row>
    <x:row r="32" spans="1:16" x14ac:dyDescent="0.25">
      <x:c r="A32" s="40">
        <x:f t="shared" si="0"/>
        <x:v>22</x:v>
      </x:c>
      <x:c r="B32" s="29" t="s">
        <x:v>3</x:v>
      </x:c>
      <x:c r="D32" s="45">
        <x:f t="shared" si="2"/>
        <x:v>8.0000000000000002E-3</x:v>
      </x:c>
      <x:c r="F32" s="45">
        <x:f t="shared" si="3"/>
        <x:v>8.9999999999999993E-3</x:v>
      </x:c>
      <x:c r="H32" s="45"/>
      <x:c r="I32" s="45"/>
      <x:c r="K32" s="47"/>
      <x:c r="L32" s="47"/>
    </x:row>
    <x:row r="33" spans="1:12" x14ac:dyDescent="0.25">
      <x:c r="A33" s="40">
        <x:f t="shared" si="0"/>
        <x:v>23</x:v>
      </x:c>
      <x:c r="B33" s="29" t="s">
        <x:v>32</x:v>
      </x:c>
      <x:c r="D33" s="45">
        <x:f t="shared" si="2"/>
        <x:v>0.02</x:v>
      </x:c>
      <x:c r="F33" s="45">
        <x:f t="shared" si="3"/>
        <x:v>0.02</x:v>
      </x:c>
      <x:c r="H33" s="45"/>
      <x:c r="I33" s="45"/>
      <x:c r="K33" s="47"/>
      <x:c r="L33" s="47"/>
    </x:row>
    <x:row r="34" spans="1:12" x14ac:dyDescent="0.25">
      <x:c r="A34" s="40">
        <x:f t="shared" si="0"/>
        <x:v>24</x:v>
      </x:c>
      <x:c r="B34" s="29" t="s">
        <x:v>8</x:v>
      </x:c>
      <x:c r="D34" s="45">
        <x:f t="shared" si="2"/>
        <x:v>1.4E-2</x:v>
      </x:c>
      <x:c r="F34" s="45">
        <x:f t="shared" si="3"/>
        <x:v>1.0999999999999999E-2</x:v>
      </x:c>
      <x:c r="H34" s="45"/>
      <x:c r="I34" s="45"/>
      <x:c r="K34" s="47"/>
      <x:c r="L34" s="47"/>
    </x:row>
    <x:row r="35" spans="1:12" x14ac:dyDescent="0.25">
      <x:c r="A35" s="40">
        <x:f t="shared" si="0"/>
        <x:v>25</x:v>
      </x:c>
      <x:c r="B35" s="29" t="s">
        <x:v>6</x:v>
      </x:c>
      <x:c r="D35" s="45">
        <x:f>ROUND(AVERAGE(D20:F20,N20:O20),3)</x:f>
        <x:v>0</x:v>
      </x:c>
      <x:c r="E35" s="48"/>
      <x:c r="F35" s="45">
        <x:f t="shared" si="3"/>
        <x:v>0</x:v>
      </x:c>
      <x:c r="H35" s="45"/>
      <x:c r="I35" s="45"/>
      <x:c r="K35" s="47"/>
      <x:c r="L35" s="47"/>
    </x:row>
    <x:row r="36" spans="1:12" x14ac:dyDescent="0.25">
      <x:c r="A36" s="40">
        <x:f t="shared" si="0"/>
        <x:v>26</x:v>
      </x:c>
      <x:c r="D36" s="62">
        <x:f t="shared" ref="D36" si="4">AVERAGE(D21:F21,N21:O21)</x:f>
        <x:v>1</x:v>
      </x:c>
      <x:c r="F36" s="62">
        <x:f t="shared" ref="F36" si="5">AVERAGE(H21:L21)</x:f>
        <x:v>1</x:v>
      </x:c>
      <x:c r="H36" s="45"/>
      <x:c r="I36" s="45"/>
      <x:c r="K36" s="47"/>
      <x:c r="L36" s="47"/>
    </x:row>
  </x:sheetData>
  <x:mergeCells count="8">
    <x:mergeCell ref="D23:F23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0.5" right="0.5" top="0.7" bottom="1" header="0.5" footer="0.43"/>
  <x:pageSetup scale="85" orientation="landscape" r:id="rId1"/>
  <x:headerFooter alignWithMargins="0">
    <x:oddHeader>&amp;RWP/II-H-5.2/5
Page &amp;P of &amp;N</x:oddHeader>
    <x:oddFooter>&amp;R]</x:oddFoot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AC21"/>
  <x:sheetViews>
    <x:sheetView zoomScaleNormal="100" zoomScaleSheetLayoutView="100" workbookViewId="0">
      <x:selection activeCell="A3" sqref="A3"/>
    </x:sheetView>
  </x:sheetViews>
  <x:sheetFormatPr defaultColWidth="9.109375" defaultRowHeight="13.8" x14ac:dyDescent="0.3"/>
  <x:cols>
    <x:col min="1" max="1" width="8.109375" style="1" customWidth="1"/>
    <x:col min="2" max="2" width="16.88671875" style="1" customWidth="1"/>
    <x:col min="3" max="3" width="7.109375" style="1" customWidth="1"/>
    <x:col min="4" max="4" width="9.88671875" style="1" bestFit="1" customWidth="1"/>
    <x:col min="5" max="13" width="9.109375" style="1"/>
    <x:col min="14" max="14" width="9.6640625" style="1" bestFit="1" customWidth="1"/>
    <x:col min="15" max="16384" width="9.109375" style="1"/>
  </x:cols>
  <x:sheetData>
    <x:row r="1" spans="1:29" ht="15.6" x14ac:dyDescent="0.3">
      <x:c r="A1" s="14"/>
      <x:c r="B1" s="70" t="s">
        <x:v>10</x:v>
      </x:c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</x:row>
    <x:row r="2" spans="1:29" ht="15.6" x14ac:dyDescent="0.3">
      <x:c r="A2" s="14"/>
      <x:c r="B2" s="70" t="s">
        <x:v>11</x:v>
      </x:c>
      <x:c r="C2" s="70"/>
      <x:c r="D2" s="70"/>
      <x:c r="E2" s="70"/>
      <x:c r="F2" s="70"/>
      <x:c r="G2" s="71"/>
      <x:c r="H2" s="71"/>
      <x:c r="I2" s="71"/>
      <x:c r="J2" s="71"/>
      <x:c r="K2" s="71"/>
      <x:c r="L2" s="71"/>
      <x:c r="M2" s="71"/>
      <x:c r="N2" s="71"/>
      <x:c r="O2" s="71"/>
    </x:row>
    <x:row r="3" spans="1:29" ht="15.6" x14ac:dyDescent="0.3">
      <x:c r="A3" s="14"/>
      <x:c r="B3" s="70" t="s">
        <x:v>39</x:v>
      </x:c>
      <x:c r="C3" s="70"/>
      <x:c r="D3" s="70"/>
      <x:c r="E3" s="70"/>
      <x:c r="F3" s="70"/>
      <x:c r="G3" s="71"/>
      <x:c r="H3" s="71"/>
      <x:c r="I3" s="71"/>
      <x:c r="J3" s="71"/>
      <x:c r="K3" s="71"/>
      <x:c r="L3" s="71"/>
      <x:c r="M3" s="71"/>
      <x:c r="N3" s="71"/>
      <x:c r="O3" s="71"/>
    </x:row>
    <x:row r="4" spans="1:29" ht="15.6" x14ac:dyDescent="0.3">
      <x:c r="A4" s="14"/>
      <x:c r="B4" s="70" t="str">
        <x:f>+'SUBS Seasonal Weights'!B4:P4</x:f>
        <x:v>FOR THE TEST YEAR ENDING DECEMBER 31, 2024</x:v>
      </x:c>
      <x:c r="C4" s="70"/>
      <x:c r="D4" s="70"/>
      <x:c r="E4" s="70"/>
      <x:c r="F4" s="70"/>
      <x:c r="G4" s="70"/>
      <x:c r="H4" s="70"/>
      <x:c r="I4" s="70"/>
      <x:c r="J4" s="70"/>
      <x:c r="K4" s="70"/>
      <x:c r="L4" s="70"/>
      <x:c r="M4" s="70"/>
      <x:c r="N4" s="70"/>
      <x:c r="O4" s="70"/>
    </x:row>
    <x:row r="5" spans="1:29" ht="15.6" x14ac:dyDescent="0.3">
      <x:c r="A5" s="14"/>
      <x:c r="B5" s="70"/>
      <x:c r="C5" s="70"/>
      <x:c r="D5" s="70"/>
      <x:c r="E5" s="70"/>
      <x:c r="F5" s="70"/>
      <x:c r="G5" s="17"/>
      <x:c r="H5" s="17"/>
      <x:c r="I5" s="18"/>
      <x:c r="J5" s="18"/>
      <x:c r="K5" s="18"/>
      <x:c r="L5" s="18"/>
      <x:c r="M5" s="18"/>
      <x:c r="N5" s="18"/>
      <x:c r="O5" s="18"/>
    </x:row>
    <x:row r="6" spans="1:29" ht="15.6" x14ac:dyDescent="0.3">
      <x:c r="A6" s="14"/>
      <x:c r="B6" s="70" t="s">
        <x:v>38</x:v>
      </x:c>
      <x:c r="C6" s="70"/>
      <x:c r="D6" s="70"/>
      <x:c r="E6" s="70"/>
      <x:c r="F6" s="70"/>
      <x:c r="G6" s="71"/>
      <x:c r="H6" s="71"/>
      <x:c r="I6" s="71"/>
      <x:c r="J6" s="71"/>
      <x:c r="K6" s="71"/>
      <x:c r="L6" s="71"/>
      <x:c r="M6" s="71"/>
      <x:c r="N6" s="71"/>
      <x:c r="O6" s="71"/>
    </x:row>
    <x:row r="7" spans="1:29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</x:row>
    <x:row r="8" spans="1:29" ht="15.6" x14ac:dyDescent="0.3">
      <x:c r="A8" s="14"/>
      <x:c r="B8" s="72" t="s">
        <x:v>47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</x:row>
    <x:row r="9" spans="1:29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</x:row>
    <x:row r="10" spans="1:29" ht="15.75" customHeight="1" x14ac:dyDescent="0.3">
      <x:c r="A10" s="20" t="s">
        <x:v>27</x:v>
      </x:c>
      <x:c r="B10" s="21" t="s">
        <x:v>28</x:v>
      </x:c>
      <x:c r="C10" s="22">
        <x:v>36892</x:v>
      </x:c>
      <x:c r="D10" s="23">
        <x:v>36923</x:v>
      </x:c>
      <x:c r="E10" s="23">
        <x:v>36951</x:v>
      </x:c>
      <x:c r="F10" s="23">
        <x:v>36982</x:v>
      </x:c>
      <x:c r="G10" s="23">
        <x:v>37012</x:v>
      </x:c>
      <x:c r="H10" s="23">
        <x:v>37043</x:v>
      </x:c>
      <x:c r="I10" s="23">
        <x:v>37073</x:v>
      </x:c>
      <x:c r="J10" s="23">
        <x:v>37104</x:v>
      </x:c>
      <x:c r="K10" s="23">
        <x:v>37135</x:v>
      </x:c>
      <x:c r="L10" s="23">
        <x:v>37165</x:v>
      </x:c>
      <x:c r="M10" s="23">
        <x:v>37196</x:v>
      </x:c>
      <x:c r="N10" s="23">
        <x:v>37226</x:v>
      </x:c>
      <x:c r="O10" s="24" t="s">
        <x:v>0</x:v>
      </x:c>
    </x:row>
    <x:row r="11" spans="1:29" ht="14.4" x14ac:dyDescent="0.3">
      <x:c r="A11" s="25">
        <x:v>1</x:v>
      </x:c>
      <x:c r="B11" s="17" t="s">
        <x:v>29</x:v>
      </x:c>
      <x:c r="C11" s="5">
        <x:f>+'SUBS Weights by Year (21-23)'!D14</x:f>
        <x:v>0.14154859947451823</x:v>
      </x:c>
      <x:c r="D11" s="5">
        <x:f>+'SUBS Weights by Year (21-23)'!E14</x:f>
        <x:v>0.13962994552815144</x:v>
      </x:c>
      <x:c r="E11" s="5">
        <x:f>+'SUBS Weights by Year (21-23)'!F14</x:f>
        <x:v>0.13634199209451564</x:v>
      </x:c>
      <x:c r="F11" s="5">
        <x:f>+'SUBS Weights by Year (21-23)'!G14</x:f>
        <x:v>0.14572046778128955</x:v>
      </x:c>
      <x:c r="G11" s="5">
        <x:f>+'SUBS Weights by Year (21-23)'!H14</x:f>
        <x:v>0.14382008189829601</x:v>
      </x:c>
      <x:c r="H11" s="5">
        <x:f>+'SUBS Weights by Year (21-23)'!I14</x:f>
        <x:v>0.14346249619808665</x:v>
      </x:c>
      <x:c r="I11" s="5">
        <x:f>+'SUBS Weights by Year (21-23)'!J14</x:f>
        <x:v>0.1498908592080847</x:v>
      </x:c>
      <x:c r="J11" s="5">
        <x:f>+'SUBS Weights by Year (21-23)'!K14</x:f>
        <x:v>0.13129772544025142</x:v>
      </x:c>
      <x:c r="K11" s="5">
        <x:f>+'SUBS Weights by Year (21-23)'!L14</x:f>
        <x:v>0.15275922181514207</x:v>
      </x:c>
      <x:c r="L11" s="5">
        <x:f>+'SUBS Weights by Year (21-23)'!M14</x:f>
        <x:v>0.15405295250346304</x:v>
      </x:c>
      <x:c r="M11" s="5">
        <x:f>+'SUBS Weights by Year (21-23)'!N14</x:f>
        <x:v>0.14075498036741704</x:v>
      </x:c>
      <x:c r="N11" s="5">
        <x:f>+'SUBS Weights by Year (21-23)'!O14</x:f>
        <x:v>0.12940968608265926</x:v>
      </x:c>
      <x:c r="O11" s="5">
        <x:f>+'SUBS Weights by Year (21-23)'!P14</x:f>
        <x:v>0.14219326350222491</x:v>
      </x:c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</x:row>
    <x:row r="12" spans="1:29" ht="14.4" x14ac:dyDescent="0.3">
      <x:c r="A12" s="25">
        <x:f>+A11+1</x:f>
        <x:v>2</x:v>
      </x:c>
      <x:c r="B12" s="17" t="s">
        <x:v>30</x:v>
      </x:c>
      <x:c r="C12" s="5">
        <x:f>+'SUBS Weights by Year (21-23)'!D54</x:f>
        <x:v>0.65249039528870489</x:v>
      </x:c>
      <x:c r="D12" s="5">
        <x:f>+'SUBS Weights by Year (21-23)'!E54</x:f>
        <x:v>0.65531605833670348</x:v>
      </x:c>
      <x:c r="E12" s="5">
        <x:f>+'SUBS Weights by Year (21-23)'!F54</x:f>
        <x:v>0.6533101125965628</x:v>
      </x:c>
      <x:c r="F12" s="5">
        <x:f>+'SUBS Weights by Year (21-23)'!G54</x:f>
        <x:v>0.64162652647618634</x:v>
      </x:c>
      <x:c r="G12" s="5">
        <x:f>+'SUBS Weights by Year (21-23)'!H54</x:f>
        <x:v>0.65333017828954043</x:v>
      </x:c>
      <x:c r="H12" s="5">
        <x:f>+'SUBS Weights by Year (21-23)'!I54</x:f>
        <x:v>0.65843088967358931</x:v>
      </x:c>
      <x:c r="I12" s="5">
        <x:f>+'SUBS Weights by Year (21-23)'!J54</x:f>
        <x:v>0.64257626644176835</x:v>
      </x:c>
      <x:c r="J12" s="5">
        <x:f>+'SUBS Weights by Year (21-23)'!K54</x:f>
        <x:v>0.69529586374122698</x:v>
      </x:c>
      <x:c r="K12" s="5">
        <x:f>+'SUBS Weights by Year (21-23)'!L54</x:f>
        <x:v>0.63111788420200987</x:v>
      </x:c>
      <x:c r="L12" s="5">
        <x:f>+'SUBS Weights by Year (21-23)'!M54</x:f>
        <x:v>0.64582058286249466</x:v>
      </x:c>
      <x:c r="M12" s="5">
        <x:f>+'SUBS Weights by Year (21-23)'!N54</x:f>
        <x:v>0.66442709576302028</x:v>
      </x:c>
      <x:c r="N12" s="5">
        <x:f>+'SUBS Weights by Year (21-23)'!O54</x:f>
        <x:v>0.68716608384321543</x:v>
      </x:c>
      <x:c r="O12" s="5">
        <x:f>+'SUBS Weights by Year (21-23)'!P54</x:f>
        <x:v>0.65797552972543016</x:v>
      </x:c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</x:row>
    <x:row r="13" spans="1:29" ht="14.4" x14ac:dyDescent="0.3">
      <x:c r="A13" s="25">
        <x:f t="shared" ref="A13:A20" si="0">+A12+1</x:f>
        <x:v>3</x:v>
      </x:c>
      <x:c r="B13" s="17" t="s">
        <x:v>5</x:v>
      </x:c>
      <x:c r="C13" s="5">
        <x:f>+'SUBS Weights by Year (21-23)'!D19</x:f>
        <x:v>2.0608100362199538E-2</x:v>
      </x:c>
      <x:c r="D13" s="5">
        <x:f>+'SUBS Weights by Year (21-23)'!E19</x:f>
        <x:v>2.1203114779982452E-2</x:v>
      </x:c>
      <x:c r="E13" s="5">
        <x:f>+'SUBS Weights by Year (21-23)'!F19</x:f>
        <x:v>2.2690679018283991E-2</x:v>
      </x:c>
      <x:c r="F13" s="5">
        <x:f>+'SUBS Weights by Year (21-23)'!G19</x:f>
        <x:v>2.1886196502919588E-2</x:v>
      </x:c>
      <x:c r="G13" s="5">
        <x:f>+'SUBS Weights by Year (21-23)'!H19</x:f>
        <x:v>2.2224288547166654E-2</x:v>
      </x:c>
      <x:c r="H13" s="5">
        <x:f>+'SUBS Weights by Year (21-23)'!I19</x:f>
        <x:v>2.3028575609353025E-2</x:v>
      </x:c>
      <x:c r="I13" s="5">
        <x:f>+'SUBS Weights by Year (21-23)'!J19</x:f>
        <x:v>2.6105442163010358E-2</x:v>
      </x:c>
      <x:c r="J13" s="5">
        <x:f>+'SUBS Weights by Year (21-23)'!K19</x:f>
        <x:v>1.9441098742374641E-2</x:v>
      </x:c>
      <x:c r="K13" s="5">
        <x:f>+'SUBS Weights by Year (21-23)'!L19</x:f>
        <x:v>3.1774282410086431E-2</x:v>
      </x:c>
      <x:c r="L13" s="5">
        <x:f>+'SUBS Weights by Year (21-23)'!M19</x:f>
        <x:v>2.2706457577107934E-2</x:v>
      </x:c>
      <x:c r="M13" s="5">
        <x:f>+'SUBS Weights by Year (21-23)'!N19</x:f>
        <x:v>2.3751792719232438E-2</x:v>
      </x:c>
      <x:c r="N13" s="5">
        <x:f>+'SUBS Weights by Year (21-23)'!O19</x:f>
        <x:v>2.2821050635134364E-2</x:v>
      </x:c>
      <x:c r="O13" s="5">
        <x:f>+'SUBS Weights by Year (21-23)'!P19</x:f>
        <x:v>2.3204546918233832E-2</x:v>
      </x:c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</x:row>
    <x:row r="14" spans="1:29" ht="14.4" x14ac:dyDescent="0.3">
      <x:c r="A14" s="25">
        <x:f t="shared" si="0"/>
        <x:v>4</x:v>
      </x:c>
      <x:c r="B14" s="17" t="s">
        <x:v>9</x:v>
      </x:c>
      <x:c r="C14" s="5">
        <x:f>+'SUBS Weights by Year (21-23)'!D44</x:f>
        <x:v>5.882837382150792E-2</x:v>
      </x:c>
      <x:c r="D14" s="5">
        <x:f>+'SUBS Weights by Year (21-23)'!E44</x:f>
        <x:v>5.718681021868155E-2</x:v>
      </x:c>
      <x:c r="E14" s="5">
        <x:f>+'SUBS Weights by Year (21-23)'!F44</x:f>
        <x:v>4.8746366680489948E-2</x:v>
      </x:c>
      <x:c r="F14" s="5">
        <x:f>+'SUBS Weights by Year (21-23)'!G44</x:f>
        <x:v>5.4126579904833133E-2</x:v>
      </x:c>
      <x:c r="G14" s="5">
        <x:f>+'SUBS Weights by Year (21-23)'!H44</x:f>
        <x:v>4.9721742154423633E-2</x:v>
      </x:c>
      <x:c r="H14" s="5">
        <x:f>+'SUBS Weights by Year (21-23)'!I44</x:f>
        <x:v>4.8828849862833104E-2</x:v>
      </x:c>
      <x:c r="I14" s="5">
        <x:f>+'SUBS Weights by Year (21-23)'!J44</x:f>
        <x:v>4.6574521329705743E-2</x:v>
      </x:c>
      <x:c r="J14" s="5">
        <x:f>+'SUBS Weights by Year (21-23)'!K44</x:f>
        <x:v>3.5978702008382719E-2</x:v>
      </x:c>
      <x:c r="K14" s="5">
        <x:f>+'SUBS Weights by Year (21-23)'!L44</x:f>
        <x:v>4.4572809613660822E-2</x:v>
      </x:c>
      <x:c r="L14" s="5">
        <x:f>+'SUBS Weights by Year (21-23)'!M44</x:f>
        <x:v>4.8189219046744218E-2</x:v>
      </x:c>
      <x:c r="M14" s="5">
        <x:f>+'SUBS Weights by Year (21-23)'!N44</x:f>
        <x:v>4.5810942260107464E-2</x:v>
      </x:c>
      <x:c r="N14" s="5">
        <x:f>+'SUBS Weights by Year (21-23)'!O44</x:f>
        <x:v>4.3008980939958662E-2</x:v>
      </x:c>
      <x:c r="O14" s="5">
        <x:f>+'SUBS Weights by Year (21-23)'!P44</x:f>
        <x:v>4.7873284392743229E-2</x:v>
      </x:c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</x:row>
    <x:row r="15" spans="1:29" ht="14.4" x14ac:dyDescent="0.3">
      <x:c r="A15" s="25">
        <x:f t="shared" si="0"/>
        <x:v>5</x:v>
      </x:c>
      <x:c r="B15" s="17" t="s">
        <x:v>42</x:v>
      </x:c>
      <x:c r="C15" s="5">
        <x:f>+'SUBS Weights by Year (21-23)'!D59</x:f>
        <x:v>1.2058500985016346E-2</x:v>
      </x:c>
      <x:c r="D15" s="5">
        <x:f>+'SUBS Weights by Year (21-23)'!E59</x:f>
        <x:v>7.4608386939913288E-3</x:v>
      </x:c>
      <x:c r="E15" s="5">
        <x:f>+'SUBS Weights by Year (21-23)'!F59</x:f>
        <x:v>8.2529335766341541E-3</x:v>
      </x:c>
      <x:c r="F15" s="5">
        <x:f>+'SUBS Weights by Year (21-23)'!G59</x:f>
        <x:v>9.1278488383019565E-3</x:v>
      </x:c>
      <x:c r="G15" s="5">
        <x:f>+'SUBS Weights by Year (21-23)'!H59</x:f>
        <x:v>1.0650656288193715E-2</x:v>
      </x:c>
      <x:c r="H15" s="5">
        <x:f>+'SUBS Weights by Year (21-23)'!I59</x:f>
        <x:v>1.2433409227827399E-2</x:v>
      </x:c>
      <x:c r="I15" s="5">
        <x:f>+'SUBS Weights by Year (21-23)'!J59</x:f>
        <x:v>1.126109327318022E-2</x:v>
      </x:c>
      <x:c r="J15" s="5">
        <x:f>+'SUBS Weights by Year (21-23)'!K59</x:f>
        <x:v>9.4969413704781222E-3</x:v>
      </x:c>
      <x:c r="K15" s="5">
        <x:f>+'SUBS Weights by Year (21-23)'!L59</x:f>
        <x:v>1.0384258255589309E-2</x:v>
      </x:c>
      <x:c r="L15" s="5">
        <x:f>+'SUBS Weights by Year (21-23)'!M59</x:f>
        <x:v>8.5114541419330243E-3</x:v>
      </x:c>
      <x:c r="M15" s="5">
        <x:f>+'SUBS Weights by Year (21-23)'!N59</x:f>
        <x:v>8.6927389928201284E-3</x:v>
      </x:c>
      <x:c r="N15" s="5">
        <x:f>+'SUBS Weights by Year (21-23)'!O59</x:f>
        <x:v>6.597380183308783E-3</x:v>
      </x:c>
      <x:c r="O15" s="5">
        <x:f>+'SUBS Weights by Year (21-23)'!P59</x:f>
        <x:v>9.5588755992415345E-3</x:v>
      </x:c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</x:row>
    <x:row r="16" spans="1:29" ht="14.4" x14ac:dyDescent="0.3">
      <x:c r="A16" s="25">
        <x:f t="shared" si="0"/>
        <x:v>6</x:v>
      </x:c>
      <x:c r="B16" s="17" t="s">
        <x:v>31</x:v>
      </x:c>
      <x:c r="C16" s="5">
        <x:f>+'SUBS Weights by Year (21-23)'!D29</x:f>
        <x:v>6.9936929105211515E-2</x:v>
      </x:c>
      <x:c r="D16" s="5">
        <x:f>+'SUBS Weights by Year (21-23)'!E29</x:f>
        <x:v>7.7000996055339596E-2</x:v>
      </x:c>
      <x:c r="E16" s="5">
        <x:f>+'SUBS Weights by Year (21-23)'!F29</x:f>
        <x:v>8.6179440315684308E-2</x:v>
      </x:c>
      <x:c r="F16" s="5">
        <x:f>+'SUBS Weights by Year (21-23)'!G29</x:f>
        <x:v>8.3934690676640569E-2</x:v>
      </x:c>
      <x:c r="G16" s="5">
        <x:f>+'SUBS Weights by Year (21-23)'!H29</x:f>
        <x:v>8.1291272907290657E-2</x:v>
      </x:c>
      <x:c r="H16" s="5">
        <x:f>+'SUBS Weights by Year (21-23)'!I29</x:f>
        <x:v>7.4308477786671226E-2</x:v>
      </x:c>
      <x:c r="I16" s="5">
        <x:f>+'SUBS Weights by Year (21-23)'!J29</x:f>
        <x:v>8.0990965670547671E-2</x:v>
      </x:c>
      <x:c r="J16" s="5">
        <x:f>+'SUBS Weights by Year (21-23)'!K29</x:f>
        <x:v>7.3742297232090886E-2</x:v>
      </x:c>
      <x:c r="K16" s="5">
        <x:f>+'SUBS Weights by Year (21-23)'!L29</x:f>
        <x:v>8.4971060575492918E-2</x:v>
      </x:c>
      <x:c r="L16" s="5">
        <x:f>+'SUBS Weights by Year (21-23)'!M29</x:f>
        <x:v>8.0118539071640696E-2</x:v>
      </x:c>
      <x:c r="M16" s="5">
        <x:f>+'SUBS Weights by Year (21-23)'!N29</x:f>
        <x:v>7.6539369351435432E-2</x:v>
      </x:c>
      <x:c r="N16" s="5">
        <x:f>+'SUBS Weights by Year (21-23)'!O29</x:f>
        <x:v>7.1992383937613327E-2</x:v>
      </x:c>
      <x:c r="O16" s="5">
        <x:f>+'SUBS Weights by Year (21-23)'!P29</x:f>
        <x:v>7.8229093503641184E-2</x:v>
      </x:c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</x:row>
    <x:row r="17" spans="1:29" ht="14.4" x14ac:dyDescent="0.3">
      <x:c r="A17" s="25">
        <x:f t="shared" si="0"/>
        <x:v>7</x:v>
      </x:c>
      <x:c r="B17" s="17" t="s">
        <x:v>3</x:v>
      </x:c>
      <x:c r="C17" s="5">
        <x:f>+'SUBS Weights by Year (21-23)'!D39</x:f>
        <x:v>8.6067885131653095E-3</x:v>
      </x:c>
      <x:c r="D17" s="5">
        <x:f>+'SUBS Weights by Year (21-23)'!E39</x:f>
        <x:v>8.7123329079682784E-3</x:v>
      </x:c>
      <x:c r="E17" s="5">
        <x:f>+'SUBS Weights by Year (21-23)'!F39</x:f>
        <x:v>9.9670018246665552E-3</x:v>
      </x:c>
      <x:c r="F17" s="5">
        <x:f>+'SUBS Weights by Year (21-23)'!G39</x:f>
        <x:v>1.094744112823284E-2</x:v>
      </x:c>
      <x:c r="G17" s="5">
        <x:f>+'SUBS Weights by Year (21-23)'!H39</x:f>
        <x:v>8.5862153520945388E-3</x:v>
      </x:c>
      <x:c r="H17" s="5">
        <x:f>+'SUBS Weights by Year (21-23)'!I39</x:f>
        <x:v>8.6365655370219761E-3</x:v>
      </x:c>
      <x:c r="I17" s="5">
        <x:f>+'SUBS Weights by Year (21-23)'!J39</x:f>
        <x:v>9.6625598330997153E-3</x:v>
      </x:c>
      <x:c r="J17" s="5">
        <x:f>+'SUBS Weights by Year (21-23)'!K39</x:f>
        <x:v>8.5505164833128613E-3</x:v>
      </x:c>
      <x:c r="K17" s="5">
        <x:f>+'SUBS Weights by Year (21-23)'!L39</x:f>
        <x:v>9.4515220800293169E-3</x:v>
      </x:c>
      <x:c r="L17" s="5">
        <x:f>+'SUBS Weights by Year (21-23)'!M39</x:f>
        <x:v>9.3738400501444715E-3</x:v>
      </x:c>
      <x:c r="M17" s="5">
        <x:f>+'SUBS Weights by Year (21-23)'!N39</x:f>
        <x:v>7.5336403443094892E-3</x:v>
      </x:c>
      <x:c r="N17" s="5">
        <x:f>+'SUBS Weights by Year (21-23)'!O39</x:f>
        <x:v>7.0414120430185726E-3</x:v>
      </x:c>
      <x:c r="O17" s="5">
        <x:f>+'SUBS Weights by Year (21-23)'!P39</x:f>
        <x:v>8.8712639075337867E-3</x:v>
      </x:c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</x:row>
    <x:row r="18" spans="1:29" ht="14.4" x14ac:dyDescent="0.3">
      <x:c r="A18" s="25">
        <x:f t="shared" si="0"/>
        <x:v>8</x:v>
      </x:c>
      <x:c r="B18" s="17" t="s">
        <x:v>32</x:v>
      </x:c>
      <x:c r="C18" s="5">
        <x:f>+'SUBS Weights by Year (21-23)'!D49</x:f>
        <x:v>2.1181036292996135E-2</x:v>
      </x:c>
      <x:c r="D18" s="5">
        <x:f>+'SUBS Weights by Year (21-23)'!E49</x:f>
        <x:v>2.0212328165085062E-2</x:v>
      </x:c>
      <x:c r="E18" s="5">
        <x:f>+'SUBS Weights by Year (21-23)'!F49</x:f>
        <x:v>2.1882600821757477E-2</x:v>
      </x:c>
      <x:c r="F18" s="5">
        <x:f>+'SUBS Weights by Year (21-23)'!G49</x:f>
        <x:v>2.1282688501334343E-2</x:v>
      </x:c>
      <x:c r="G18" s="5">
        <x:f>+'SUBS Weights by Year (21-23)'!H49</x:f>
        <x:v>2.0355611368189322E-2</x:v>
      </x:c>
      <x:c r="H18" s="5">
        <x:f>+'SUBS Weights by Year (21-23)'!I49</x:f>
        <x:v>2.1973645669284659E-2</x:v>
      </x:c>
      <x:c r="I18" s="5">
        <x:f>+'SUBS Weights by Year (21-23)'!J49</x:f>
        <x:v>2.1736229933253554E-2</x:v>
      </x:c>
      <x:c r="J18" s="5">
        <x:f>+'SUBS Weights by Year (21-23)'!K49</x:f>
        <x:v>1.714217604183477E-2</x:v>
      </x:c>
      <x:c r="K18" s="5">
        <x:f>+'SUBS Weights by Year (21-23)'!L49</x:f>
        <x:v>2.1243341539772607E-2</x:v>
      </x:c>
      <x:c r="L18" s="5">
        <x:f>+'SUBS Weights by Year (21-23)'!M49</x:f>
        <x:v>1.8606077539897618E-2</x:v>
      </x:c>
      <x:c r="M18" s="5">
        <x:f>+'SUBS Weights by Year (21-23)'!N49</x:f>
        <x:v>1.8203248108752294E-2</x:v>
      </x:c>
      <x:c r="N18" s="5">
        <x:f>+'SUBS Weights by Year (21-23)'!O49</x:f>
        <x:v>1.8055082609131599E-2</x:v>
      </x:c>
      <x:c r="O18" s="5">
        <x:f>+'SUBS Weights by Year (21-23)'!P49</x:f>
        <x:v>2.0018851865283981E-2</x:v>
      </x:c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</x:row>
    <x:row r="19" spans="1:29" ht="14.4" x14ac:dyDescent="0.3">
      <x:c r="A19" s="25">
        <x:f t="shared" si="0"/>
        <x:v>9</x:v>
      </x:c>
      <x:c r="B19" s="17" t="s">
        <x:v>8</x:v>
      </x:c>
      <x:c r="C19" s="5">
        <x:f>+'SUBS Weights by Year (21-23)'!D34</x:f>
        <x:v>1.4741276156680127E-2</x:v>
      </x:c>
      <x:c r="D19" s="5">
        <x:f>+'SUBS Weights by Year (21-23)'!E34</x:f>
        <x:v>1.3277575314096715E-2</x:v>
      </x:c>
      <x:c r="E19" s="5">
        <x:f>+'SUBS Weights by Year (21-23)'!F34</x:f>
        <x:v>1.2628873071405056E-2</x:v>
      </x:c>
      <x:c r="F19" s="5">
        <x:f>+'SUBS Weights by Year (21-23)'!G34</x:f>
        <x:v>1.1347560190261695E-2</x:v>
      </x:c>
      <x:c r="G19" s="5">
        <x:f>+'SUBS Weights by Year (21-23)'!H34</x:f>
        <x:v>1.0019953194805111E-2</x:v>
      </x:c>
      <x:c r="H19" s="5">
        <x:f>+'SUBS Weights by Year (21-23)'!I34</x:f>
        <x:v>8.8970904353327714E-3</x:v>
      </x:c>
      <x:c r="I19" s="5">
        <x:f>+'SUBS Weights by Year (21-23)'!J34</x:f>
        <x:v>1.1202062147349777E-2</x:v>
      </x:c>
      <x:c r="J19" s="5">
        <x:f>+'SUBS Weights by Year (21-23)'!K34</x:f>
        <x:v>9.0546789400474132E-3</x:v>
      </x:c>
      <x:c r="K19" s="5">
        <x:f>+'SUBS Weights by Year (21-23)'!L34</x:f>
        <x:v>1.3725619508216614E-2</x:v>
      </x:c>
      <x:c r="L19" s="5">
        <x:f>+'SUBS Weights by Year (21-23)'!M34</x:f>
        <x:v>1.262087720657425E-2</x:v>
      </x:c>
      <x:c r="M19" s="5">
        <x:f>+'SUBS Weights by Year (21-23)'!N34</x:f>
        <x:v>1.4286192092905485E-2</x:v>
      </x:c>
      <x:c r="N19" s="5">
        <x:f>+'SUBS Weights by Year (21-23)'!O34</x:f>
        <x:v>1.3907939725960045E-2</x:v>
      </x:c>
      <x:c r="O19" s="5">
        <x:f>+'SUBS Weights by Year (21-23)'!P34</x:f>
        <x:v>1.2075290585667321E-2</x:v>
      </x:c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</x:row>
    <x:row r="20" spans="1:29" ht="14.4" x14ac:dyDescent="0.3">
      <x:c r="A20" s="25">
        <x:f t="shared" si="0"/>
        <x:v>10</x:v>
      </x:c>
      <x:c r="B20" s="17" t="s">
        <x:v>6</x:v>
      </x:c>
      <x:c r="C20" s="6">
        <x:f>+'SUBS Weights by Year (21-23)'!D24</x:f>
        <x:v>0</x:v>
      </x:c>
      <x:c r="D20" s="6">
        <x:f>+'SUBS Weights by Year (21-23)'!E24</x:f>
        <x:v>0</x:v>
      </x:c>
      <x:c r="E20" s="6">
        <x:f>+'SUBS Weights by Year (21-23)'!F24</x:f>
        <x:v>0</x:v>
      </x:c>
      <x:c r="F20" s="6">
        <x:f>+'SUBS Weights by Year (21-23)'!G24</x:f>
        <x:v>0</x:v>
      </x:c>
      <x:c r="G20" s="6">
        <x:f>+'SUBS Weights by Year (21-23)'!H24</x:f>
        <x:v>0</x:v>
      </x:c>
      <x:c r="H20" s="6">
        <x:f>+'SUBS Weights by Year (21-23)'!I24</x:f>
        <x:v>0</x:v>
      </x:c>
      <x:c r="I20" s="6">
        <x:f>+'SUBS Weights by Year (21-23)'!J24</x:f>
        <x:v>0</x:v>
      </x:c>
      <x:c r="J20" s="6">
        <x:f>+'SUBS Weights by Year (21-23)'!K24</x:f>
        <x:v>0</x:v>
      </x:c>
      <x:c r="K20" s="6">
        <x:f>+'SUBS Weights by Year (21-23)'!L24</x:f>
        <x:v>0</x:v>
      </x:c>
      <x:c r="L20" s="6">
        <x:f>+'SUBS Weights by Year (21-23)'!M24</x:f>
        <x:v>0</x:v>
      </x:c>
      <x:c r="M20" s="6">
        <x:f>+'SUBS Weights by Year (21-23)'!N24</x:f>
        <x:v>0</x:v>
      </x:c>
      <x:c r="N20" s="6">
        <x:f>+'SUBS Weights by Year (21-23)'!O24</x:f>
        <x:v>0</x:v>
      </x:c>
      <x:c r="O20" s="6">
        <x:f>+'SUBS Weights by Year (21-23)'!P24</x:f>
        <x:v>0</x:v>
      </x:c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</x:row>
    <x:row r="21" spans="1:29" x14ac:dyDescent="0.3">
      <x:c r="B21" s="4"/>
      <x:c r="C21" s="7">
        <x:f t="shared" ref="C21:O21" si="1">SUM(C11:C20)</x:f>
        <x:v>1.0000000000000002</x:v>
      </x:c>
      <x:c r="D21" s="7">
        <x:f t="shared" si="1"/>
        <x:v>0.99999999999999989</x:v>
      </x:c>
      <x:c r="E21" s="7">
        <x:f t="shared" si="1"/>
        <x:v>1</x:v>
      </x:c>
      <x:c r="F21" s="7">
        <x:f t="shared" si="1"/>
        <x:v>1</x:v>
      </x:c>
      <x:c r="G21" s="7">
        <x:f t="shared" si="1"/>
        <x:v>1</x:v>
      </x:c>
      <x:c r="H21" s="7">
        <x:f t="shared" si="1"/>
        <x:v>1</x:v>
      </x:c>
      <x:c r="I21" s="7">
        <x:f t="shared" si="1"/>
        <x:v>1</x:v>
      </x:c>
      <x:c r="J21" s="7">
        <x:f t="shared" si="1"/>
        <x:v>0.99999999999999978</x:v>
      </x:c>
      <x:c r="K21" s="7">
        <x:f t="shared" si="1"/>
        <x:v>0.99999999999999989</x:v>
      </x:c>
      <x:c r="L21" s="7">
        <x:f t="shared" si="1"/>
        <x:v>1</x:v>
      </x:c>
      <x:c r="M21" s="7">
        <x:f t="shared" si="1"/>
        <x:v>1</x:v>
      </x:c>
      <x:c r="N21" s="7">
        <x:f t="shared" si="1"/>
        <x:v>1</x:v>
      </x:c>
      <x:c r="O21" s="7">
        <x:f t="shared" si="1"/>
        <x:v>0.99999999999999989</x:v>
      </x:c>
    </x:row>
  </x:sheetData>
  <x:mergeCells count="7">
    <x:mergeCell ref="B6:O6"/>
    <x:mergeCell ref="B8:P8"/>
    <x:mergeCell ref="B1:O1"/>
    <x:mergeCell ref="B2:O2"/>
    <x:mergeCell ref="B3:O3"/>
    <x:mergeCell ref="B4:O4"/>
    <x:mergeCell ref="B5:F5"/>
  </x:mergeCells>
  <x:phoneticPr fontId="2" type="noConversion"/>
  <x:printOptions horizontalCentered="1"/>
  <x:pageMargins left="0.5" right="0.5" top="0.7" bottom="1" header="0.5" footer="0.43"/>
  <x:pageSetup scale="83" orientation="landscape" r:id="rId1"/>
  <x:headerFooter alignWithMargins="0">
    <x:oddHeader>&amp;RWP/II-H-5.2/5
Page &amp;P of &amp;N</x:oddHeader>
    <x:oddFooter>&amp;R]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Q64"/>
  <x:sheetViews>
    <x:sheetView view="pageBreakPreview" zoomScaleNormal="100" workbookViewId="0">
      <x:selection activeCell="A3" sqref="A3"/>
    </x:sheetView>
  </x:sheetViews>
  <x:sheetFormatPr defaultColWidth="9.109375" defaultRowHeight="13.8" x14ac:dyDescent="0.3"/>
  <x:cols>
    <x:col min="1" max="1" width="9.109375" style="1"/>
    <x:col min="2" max="2" width="16.8867187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7" width="9.5546875" style="1" bestFit="1" customWidth="1"/>
    <x:col min="18" max="16384" width="9.109375" style="1"/>
  </x:cols>
  <x:sheetData>
    <x:row r="1" spans="1:17" ht="15.6" x14ac:dyDescent="0.3">
      <x:c r="A1" s="14"/>
      <x:c r="B1" s="70" t="s">
        <x:v>10</x:v>
      </x:c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 spans="1:17" ht="15.6" x14ac:dyDescent="0.3">
      <x:c r="A2" s="14"/>
      <x:c r="B2" s="70" t="s">
        <x:v>11</x:v>
      </x:c>
      <x:c r="C2" s="70"/>
      <x:c r="D2" s="70"/>
      <x:c r="E2" s="70"/>
      <x:c r="F2" s="70"/>
      <x:c r="G2" s="71"/>
      <x:c r="H2" s="71"/>
      <x:c r="I2" s="71"/>
      <x:c r="J2" s="71"/>
      <x:c r="K2" s="71"/>
      <x:c r="L2" s="71"/>
      <x:c r="M2" s="71"/>
      <x:c r="N2" s="71"/>
      <x:c r="O2" s="71"/>
      <x:c r="P2" s="71"/>
    </x:row>
    <x:row r="3" spans="1:17" ht="15.6" x14ac:dyDescent="0.3">
      <x:c r="A3" s="14"/>
      <x:c r="B3" s="70" t="s">
        <x:v>39</x:v>
      </x:c>
      <x:c r="C3" s="70"/>
      <x:c r="D3" s="70"/>
      <x:c r="E3" s="70"/>
      <x:c r="F3" s="70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 spans="1:17" ht="15.6" x14ac:dyDescent="0.3">
      <x:c r="A4" s="14"/>
      <x:c r="B4" s="70" t="str">
        <x:f>+'SUBS Seasonal Weights'!B4:P4</x:f>
        <x:v>FOR THE TEST YEAR ENDING DECEMBER 31, 2024</x:v>
      </x:c>
      <x:c r="C4" s="70"/>
      <x:c r="D4" s="70"/>
      <x:c r="E4" s="70"/>
      <x:c r="F4" s="70"/>
      <x:c r="G4" s="71"/>
      <x:c r="H4" s="71"/>
      <x:c r="I4" s="71"/>
      <x:c r="J4" s="71"/>
      <x:c r="K4" s="71"/>
      <x:c r="L4" s="71"/>
      <x:c r="M4" s="71"/>
      <x:c r="N4" s="71"/>
      <x:c r="O4" s="71"/>
      <x:c r="P4" s="71"/>
    </x:row>
    <x:row r="5" spans="1:17" ht="15.6" x14ac:dyDescent="0.3">
      <x:c r="A5" s="14"/>
      <x:c r="B5" s="70"/>
      <x:c r="C5" s="70"/>
      <x:c r="D5" s="70"/>
      <x:c r="E5" s="70"/>
      <x:c r="F5" s="70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7" ht="15.6" x14ac:dyDescent="0.3">
      <x:c r="A6" s="14"/>
      <x:c r="B6" s="70" t="s">
        <x:v>38</x:v>
      </x:c>
      <x:c r="C6" s="70"/>
      <x:c r="D6" s="70"/>
      <x:c r="E6" s="70"/>
      <x:c r="F6" s="70"/>
      <x:c r="G6" s="71"/>
      <x:c r="H6" s="71"/>
      <x:c r="I6" s="71"/>
      <x:c r="J6" s="71"/>
      <x:c r="K6" s="71"/>
      <x:c r="L6" s="71"/>
      <x:c r="M6" s="71"/>
      <x:c r="N6" s="71"/>
      <x:c r="O6" s="71"/>
      <x:c r="P6" s="71"/>
    </x:row>
    <x:row r="7" spans="1:17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7" ht="15.6" x14ac:dyDescent="0.3">
      <x:c r="A8" s="14"/>
      <x:c r="B8" s="72" t="s">
        <x:v>47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</x:row>
    <x:row r="9" spans="1:17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7" ht="15.75" customHeight="1" x14ac:dyDescent="0.3">
      <x:c r="A10" s="20" t="s">
        <x:v>27</x:v>
      </x:c>
      <x:c r="B10" s="21" t="s">
        <x:v>28</x:v>
      </x:c>
      <x:c r="C10" s="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7" ht="14.4" x14ac:dyDescent="0.3">
      <x:c r="A11" s="1">
        <x:v>1</x:v>
      </x:c>
      <x:c r="B11" s="17" t="s">
        <x:v>29</x:v>
      </x:c>
      <x:c r="C11" s="2">
        <x:v>2021</x:v>
      </x:c>
      <x:c r="D11" s="3">
        <x:f>'SUBS Sales by Year (21-23)'!D11/'SUBS Sales by Year (21-23)'!D61</x:f>
        <x:v>0.15953217518001866</x:v>
      </x:c>
      <x:c r="E11" s="3">
        <x:f>'SUBS Sales by Year (21-23)'!E11/'SUBS Sales by Year (21-23)'!E$61</x:f>
        <x:v>0.15746777682333057</x:v>
      </x:c>
      <x:c r="F11" s="3">
        <x:f>'SUBS Sales by Year (21-23)'!F11/'SUBS Sales by Year (21-23)'!F$61</x:f>
        <x:v>0.16646749137103267</x:v>
      </x:c>
      <x:c r="G11" s="3">
        <x:f>'SUBS Sales by Year (21-23)'!G11/'SUBS Sales by Year (21-23)'!G$61</x:f>
        <x:v>0.16274646279886731</x:v>
      </x:c>
      <x:c r="H11" s="3">
        <x:f>'SUBS Sales by Year (21-23)'!H11/'SUBS Sales by Year (21-23)'!H$61</x:f>
        <x:v>0.16139962647954731</x:v>
      </x:c>
      <x:c r="I11" s="3">
        <x:f>'SUBS Sales by Year (21-23)'!I11/'SUBS Sales by Year (21-23)'!I$61</x:f>
        <x:v>0.1529139542871481</x:v>
      </x:c>
      <x:c r="J11" s="3">
        <x:f>'SUBS Sales by Year (21-23)'!J11/'SUBS Sales by Year (21-23)'!J$61</x:f>
        <x:v>0.15546155069434656</x:v>
      </x:c>
      <x:c r="K11" s="3">
        <x:f>'SUBS Sales by Year (21-23)'!K11/'SUBS Sales by Year (21-23)'!K$61</x:f>
        <x:v>0.13814772509155204</x:v>
      </x:c>
      <x:c r="L11" s="3">
        <x:f>'SUBS Sales by Year (21-23)'!L11/'SUBS Sales by Year (21-23)'!L$61</x:f>
        <x:v>0.15033027682404365</x:v>
      </x:c>
      <x:c r="M11" s="3">
        <x:f>'SUBS Sales by Year (21-23)'!M11/'SUBS Sales by Year (21-23)'!M$61</x:f>
        <x:v>0.15917153058795708</x:v>
      </x:c>
      <x:c r="N11" s="3">
        <x:f>'SUBS Sales by Year (21-23)'!N11/'SUBS Sales by Year (21-23)'!N$61</x:f>
        <x:v>0.14893714926340018</x:v>
      </x:c>
      <x:c r="O11" s="3">
        <x:f>'SUBS Sales by Year (21-23)'!O11/'SUBS Sales by Year (21-23)'!O$61</x:f>
        <x:v>0.13913841339781882</x:v>
      </x:c>
      <x:c r="P11" s="59">
        <x:f>'SUBS Sales by Year (21-23)'!P11/'SUBS Sales by Year (21-23)'!P$61</x:f>
        <x:v>0.15341859340474875</x:v>
      </x:c>
      <x:c r="Q11" s="4"/>
    </x:row>
    <x:row r="12" spans="1:17" ht="14.4" x14ac:dyDescent="0.3">
      <x:c r="A12" s="1">
        <x:f>+A11+1</x:f>
        <x:v>2</x:v>
      </x:c>
      <x:c r="B12" s="17" t="s">
        <x:v>29</x:v>
      </x:c>
      <x:c r="C12" s="2">
        <x:v>2022</x:v>
      </x:c>
      <x:c r="D12" s="3">
        <x:f>'SUBS Sales by Year (21-23)'!D12/'SUBS Sales by Year (21-23)'!D62</x:f>
        <x:v>0.13111308380258402</x:v>
      </x:c>
      <x:c r="E12" s="3">
        <x:f>'SUBS Sales by Year (21-23)'!E12/'SUBS Sales by Year (21-23)'!E$62</x:f>
        <x:v>0.12506576208830636</x:v>
      </x:c>
      <x:c r="F12" s="3">
        <x:f>'SUBS Sales by Year (21-23)'!F12/'SUBS Sales by Year (21-23)'!F$62</x:f>
        <x:v>0.12580354425054838</x:v>
      </x:c>
      <x:c r="G12" s="3">
        <x:f>'SUBS Sales by Year (21-23)'!G12/'SUBS Sales by Year (21-23)'!G$62</x:f>
        <x:v>0.14082141799844583</x:v>
      </x:c>
      <x:c r="H12" s="3">
        <x:f>'SUBS Sales by Year (21-23)'!H12/'SUBS Sales by Year (21-23)'!H$62</x:f>
        <x:v>0.14130479166225141</x:v>
      </x:c>
      <x:c r="I12" s="3">
        <x:f>'SUBS Sales by Year (21-23)'!I12/'SUBS Sales by Year (21-23)'!I$62</x:f>
        <x:v>0.15303458132456857</x:v>
      </x:c>
      <x:c r="J12" s="3">
        <x:f>'SUBS Sales by Year (21-23)'!J12/'SUBS Sales by Year (21-23)'!J$62</x:f>
        <x:v>0.16769532907311696</x:v>
      </x:c>
      <x:c r="K12" s="3">
        <x:f>'SUBS Sales by Year (21-23)'!K12/'SUBS Sales by Year (21-23)'!K$62</x:f>
        <x:v>0.16270210980469041</x:v>
      </x:c>
      <x:c r="L12" s="3">
        <x:f>'SUBS Sales by Year (21-23)'!L12/'SUBS Sales by Year (21-23)'!L$62</x:f>
        <x:v>0.16044987083349321</x:v>
      </x:c>
      <x:c r="M12" s="3">
        <x:f>'SUBS Sales by Year (21-23)'!M12/'SUBS Sales by Year (21-23)'!M$62</x:f>
        <x:v>0.14819021663183166</x:v>
      </x:c>
      <x:c r="N12" s="3">
        <x:f>'SUBS Sales by Year (21-23)'!N12/'SUBS Sales by Year (21-23)'!N$62</x:f>
        <x:v>0.15758315678860663</x:v>
      </x:c>
      <x:c r="O12" s="3">
        <x:f>'SUBS Sales by Year (21-23)'!O12/'SUBS Sales by Year (21-23)'!O$62</x:f>
        <x:v>0.13615614870582807</x:v>
      </x:c>
      <x:c r="P12" s="60">
        <x:f>'SUBS Sales by Year (21-23)'!P12/'SUBS Sales by Year (21-23)'!P$62</x:f>
        <x:v>0.14615964205098142</x:v>
      </x:c>
    </x:row>
    <x:row r="13" spans="1:17" ht="15" thickBot="1" x14ac:dyDescent="0.35">
      <x:c r="A13" s="1">
        <x:f t="shared" ref="A13:A64" si="0">+A12+1</x:f>
        <x:v>3</x:v>
      </x:c>
      <x:c r="B13" s="17" t="s">
        <x:v>29</x:v>
      </x:c>
      <x:c r="C13" s="2">
        <x:v>2023</x:v>
      </x:c>
      <x:c r="D13" s="3">
        <x:f>'SUBS Sales by Year (21-23)'!D13/'SUBS Sales by Year (21-23)'!D63</x:f>
        <x:v>0.13656146034203173</x:v>
      </x:c>
      <x:c r="E13" s="3">
        <x:f>'SUBS Sales by Year (21-23)'!E13/'SUBS Sales by Year (21-23)'!E63</x:f>
        <x:v>0.13987439564679585</x:v>
      </x:c>
      <x:c r="F13" s="3">
        <x:f>'SUBS Sales by Year (21-23)'!F13/'SUBS Sales by Year (21-23)'!F63</x:f>
        <x:v>0.12699121230073557</x:v>
      </x:c>
      <x:c r="G13" s="3">
        <x:f>'SUBS Sales by Year (21-23)'!G13/'SUBS Sales by Year (21-23)'!G63</x:f>
        <x:v>0.13693654230400282</x:v>
      </x:c>
      <x:c r="H13" s="3">
        <x:f>'SUBS Sales by Year (21-23)'!H13/'SUBS Sales by Year (21-23)'!H63</x:f>
        <x:v>0.13342810680815123</x:v>
      </x:c>
      <x:c r="I13" s="3">
        <x:f>'SUBS Sales by Year (21-23)'!I13/'SUBS Sales by Year (21-23)'!I63</x:f>
        <x:v>0.12883079288429197</x:v>
      </x:c>
      <x:c r="J13" s="3">
        <x:f>'SUBS Sales by Year (21-23)'!J13/'SUBS Sales by Year (21-23)'!J63</x:f>
        <x:v>0.13122489329493806</x:v>
      </x:c>
      <x:c r="K13" s="3">
        <x:f>'SUBS Sales by Year (21-23)'!K13/'SUBS Sales by Year (21-23)'!K63</x:f>
        <x:v>0.10762450599427216</x:v>
      </x:c>
      <x:c r="L13" s="3">
        <x:f>'SUBS Sales by Year (21-23)'!L13/'SUBS Sales by Year (21-23)'!L63</x:f>
        <x:v>0.14813086114606827</x:v>
      </x:c>
      <x:c r="M13" s="3">
        <x:f>'SUBS Sales by Year (21-23)'!M13/'SUBS Sales by Year (21-23)'!M63</x:f>
        <x:v>0.15473873576140529</x:v>
      </x:c>
      <x:c r="N13" s="3">
        <x:f>'SUBS Sales by Year (21-23)'!N13/'SUBS Sales by Year (21-23)'!N63</x:f>
        <x:v>0.1238498314814378</x:v>
      </x:c>
      <x:c r="O13" s="3">
        <x:f>'SUBS Sales by Year (21-23)'!O13/'SUBS Sales by Year (21-23)'!O63</x:f>
        <x:v>0.11826999648384064</x:v>
      </x:c>
      <x:c r="P13" s="60">
        <x:f>'SUBS Sales by Year (21-23)'!P13/'SUBS Sales by Year (21-23)'!P63</x:f>
        <x:v>0.13092146623079998</x:v>
      </x:c>
    </x:row>
    <x:row r="14" spans="1:17" ht="14.4" x14ac:dyDescent="0.3">
      <x:c r="A14" s="1">
        <x:f t="shared" si="0"/>
        <x:v>4</x:v>
      </x:c>
      <x:c r="B14" s="17" t="s">
        <x:v>29</x:v>
      </x:c>
      <x:c r="C14" s="57" t="s">
        <x:v>1</x:v>
      </x:c>
      <x:c r="D14" s="58">
        <x:f>'SUBS Sales by Year (21-23)'!D14/'SUBS Sales by Year (21-23)'!D64</x:f>
        <x:v>0.14154859947451823</x:v>
      </x:c>
      <x:c r="E14" s="58">
        <x:f>'SUBS Sales by Year (21-23)'!E14/'SUBS Sales by Year (21-23)'!E64</x:f>
        <x:v>0.13962994552815144</x:v>
      </x:c>
      <x:c r="F14" s="58">
        <x:f>'SUBS Sales by Year (21-23)'!F14/'SUBS Sales by Year (21-23)'!F64</x:f>
        <x:v>0.13634199209451564</x:v>
      </x:c>
      <x:c r="G14" s="58">
        <x:f>'SUBS Sales by Year (21-23)'!G14/'SUBS Sales by Year (21-23)'!G64</x:f>
        <x:v>0.14572046778128955</x:v>
      </x:c>
      <x:c r="H14" s="58">
        <x:f>'SUBS Sales by Year (21-23)'!H14/'SUBS Sales by Year (21-23)'!H64</x:f>
        <x:v>0.14382008189829601</x:v>
      </x:c>
      <x:c r="I14" s="58">
        <x:f>'SUBS Sales by Year (21-23)'!I14/'SUBS Sales by Year (21-23)'!I64</x:f>
        <x:v>0.14346249619808665</x:v>
      </x:c>
      <x:c r="J14" s="58">
        <x:f>'SUBS Sales by Year (21-23)'!J14/'SUBS Sales by Year (21-23)'!J64</x:f>
        <x:v>0.1498908592080847</x:v>
      </x:c>
      <x:c r="K14" s="58">
        <x:f>'SUBS Sales by Year (21-23)'!K14/'SUBS Sales by Year (21-23)'!K64</x:f>
        <x:v>0.13129772544025142</x:v>
      </x:c>
      <x:c r="L14" s="58">
        <x:f>'SUBS Sales by Year (21-23)'!L14/'SUBS Sales by Year (21-23)'!L64</x:f>
        <x:v>0.15275922181514207</x:v>
      </x:c>
      <x:c r="M14" s="58">
        <x:f>'SUBS Sales by Year (21-23)'!M14/'SUBS Sales by Year (21-23)'!M64</x:f>
        <x:v>0.15405295250346304</x:v>
      </x:c>
      <x:c r="N14" s="58">
        <x:f>'SUBS Sales by Year (21-23)'!N14/'SUBS Sales by Year (21-23)'!N64</x:f>
        <x:v>0.14075498036741704</x:v>
      </x:c>
      <x:c r="O14" s="58">
        <x:f>'SUBS Sales by Year (21-23)'!O14/'SUBS Sales by Year (21-23)'!O64</x:f>
        <x:v>0.12940968608265926</x:v>
      </x:c>
      <x:c r="P14" s="61">
        <x:f>'SUBS Sales by Year (21-23)'!P14/'SUBS Sales by Year (21-23)'!P64</x:f>
        <x:v>0.14219326350222491</x:v>
      </x:c>
    </x:row>
    <x:row r="15" spans="1:17" x14ac:dyDescent="0.3">
      <x:c r="A15" s="1">
        <x:f t="shared" si="0"/>
        <x:v>5</x:v>
      </x:c>
      <x:c r="B15" s="8"/>
      <x:c r="C15" s="4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spans="1:17" x14ac:dyDescent="0.3">
      <x:c r="A16" s="1">
        <x:f t="shared" si="0"/>
        <x:v>6</x:v>
      </x:c>
      <x:c r="B16" s="8" t="s">
        <x:v>5</x:v>
      </x:c>
      <x:c r="C16" s="2">
        <x:f>+C11</x:f>
        <x:v>2021</x:v>
      </x:c>
      <x:c r="D16" s="3">
        <x:f>'SUBS Sales by Year (21-23)'!D16/'SUBS Sales by Year (21-23)'!D61</x:f>
        <x:v>1.5903162451400693E-2</x:v>
      </x:c>
      <x:c r="E16" s="3">
        <x:f>'SUBS Sales by Year (21-23)'!E16/'SUBS Sales by Year (21-23)'!E$61</x:f>
        <x:v>1.7212497148274528E-2</x:v>
      </x:c>
      <x:c r="F16" s="3">
        <x:f>'SUBS Sales by Year (21-23)'!F16/'SUBS Sales by Year (21-23)'!F$61</x:f>
        <x:v>2.2918622080870806E-2</x:v>
      </x:c>
      <x:c r="G16" s="3">
        <x:f>'SUBS Sales by Year (21-23)'!G16/'SUBS Sales by Year (21-23)'!G$61</x:f>
        <x:v>1.9930051573406372E-2</x:v>
      </x:c>
      <x:c r="H16" s="3">
        <x:f>'SUBS Sales by Year (21-23)'!H16/'SUBS Sales by Year (21-23)'!H$61</x:f>
        <x:v>2.3967359443464391E-2</x:v>
      </x:c>
      <x:c r="I16" s="3">
        <x:f>'SUBS Sales by Year (21-23)'!I16/'SUBS Sales by Year (21-23)'!I$61</x:f>
        <x:v>2.2439976718954202E-2</x:v>
      </x:c>
      <x:c r="J16" s="3">
        <x:f>'SUBS Sales by Year (21-23)'!J16/'SUBS Sales by Year (21-23)'!J$61</x:f>
        <x:v>2.5712156474703696E-2</x:v>
      </x:c>
      <x:c r="K16" s="3">
        <x:f>'SUBS Sales by Year (21-23)'!K16/'SUBS Sales by Year (21-23)'!K$61</x:f>
        <x:v>1.8483565176022634E-2</x:v>
      </x:c>
      <x:c r="L16" s="3">
        <x:f>'SUBS Sales by Year (21-23)'!L16/'SUBS Sales by Year (21-23)'!L$61</x:f>
        <x:v>2.1812914613123763E-2</x:v>
      </x:c>
      <x:c r="M16" s="3">
        <x:f>'SUBS Sales by Year (21-23)'!M16/'SUBS Sales by Year (21-23)'!M$61</x:f>
        <x:v>1.8069343679875852E-2</x:v>
      </x:c>
      <x:c r="N16" s="3">
        <x:f>'SUBS Sales by Year (21-23)'!N16/'SUBS Sales by Year (21-23)'!N$61</x:f>
        <x:v>1.8363508953454052E-2</x:v>
      </x:c>
      <x:c r="O16" s="3">
        <x:f>'SUBS Sales by Year (21-23)'!O16/'SUBS Sales by Year (21-23)'!O$61</x:f>
        <x:v>1.5444395634489091E-2</x:v>
      </x:c>
      <x:c r="P16" s="60">
        <x:f>'SUBS Sales by Year (21-23)'!P16/'SUBS Sales by Year (21-23)'!P$61</x:f>
        <x:v>1.9950350248960233E-2</x:v>
      </x:c>
      <x:c r="Q16" s="4"/>
    </x:row>
    <x:row r="17" spans="1:17" x14ac:dyDescent="0.3">
      <x:c r="A17" s="1">
        <x:f t="shared" si="0"/>
        <x:v>7</x:v>
      </x:c>
      <x:c r="B17" s="8" t="s">
        <x:v>5</x:v>
      </x:c>
      <x:c r="C17" s="2">
        <x:f>+C12</x:f>
        <x:v>2022</x:v>
      </x:c>
      <x:c r="D17" s="3">
        <x:f>'SUBS Sales by Year (21-23)'!D17/'SUBS Sales by Year (21-23)'!D62</x:f>
        <x:v>1.588485465225379E-2</x:v>
      </x:c>
      <x:c r="E17" s="3">
        <x:f>'SUBS Sales by Year (21-23)'!E17/'SUBS Sales by Year (21-23)'!E$62</x:f>
        <x:v>1.6924133097111379E-2</x:v>
      </x:c>
      <x:c r="F17" s="3">
        <x:f>'SUBS Sales by Year (21-23)'!F17/'SUBS Sales by Year (21-23)'!F$62</x:f>
        <x:v>1.6038240985513166E-2</x:v>
      </x:c>
      <x:c r="G17" s="3">
        <x:f>'SUBS Sales by Year (21-23)'!G17/'SUBS Sales by Year (21-23)'!G$62</x:f>
        <x:v>1.592708337544825E-2</x:v>
      </x:c>
      <x:c r="H17" s="3">
        <x:f>'SUBS Sales by Year (21-23)'!H17/'SUBS Sales by Year (21-23)'!H$62</x:f>
        <x:v>1.6661057931753605E-2</x:v>
      </x:c>
      <x:c r="I17" s="3">
        <x:f>'SUBS Sales by Year (21-23)'!I17/'SUBS Sales by Year (21-23)'!I$62</x:f>
        <x:v>1.8816094536749747E-2</x:v>
      </x:c>
      <x:c r="J17" s="3">
        <x:f>'SUBS Sales by Year (21-23)'!J17/'SUBS Sales by Year (21-23)'!J$62</x:f>
        <x:v>2.2174819385265526E-2</x:v>
      </x:c>
      <x:c r="K17" s="3">
        <x:f>'SUBS Sales by Year (21-23)'!K17/'SUBS Sales by Year (21-23)'!K$62</x:f>
        <x:v>2.1028375825757169E-2</x:v>
      </x:c>
      <x:c r="L17" s="3">
        <x:f>'SUBS Sales by Year (21-23)'!L17/'SUBS Sales by Year (21-23)'!L$62</x:f>
        <x:v>2.0392794753774743E-2</x:v>
      </x:c>
      <x:c r="M17" s="3">
        <x:f>'SUBS Sales by Year (21-23)'!M17/'SUBS Sales by Year (21-23)'!M$62</x:f>
        <x:v>2.0780692165230978E-2</x:v>
      </x:c>
      <x:c r="N17" s="3">
        <x:f>'SUBS Sales by Year (21-23)'!N17/'SUBS Sales by Year (21-23)'!N$62</x:f>
        <x:v>2.3367268653675069E-2</x:v>
      </x:c>
      <x:c r="O17" s="3">
        <x:f>'SUBS Sales by Year (21-23)'!O17/'SUBS Sales by Year (21-23)'!O$62</x:f>
        <x:v>2.5888294038294426E-2</x:v>
      </x:c>
      <x:c r="P17" s="60">
        <x:f>'SUBS Sales by Year (21-23)'!P17/'SUBS Sales by Year (21-23)'!P$62</x:f>
        <x:v>1.955310756202961E-2</x:v>
      </x:c>
    </x:row>
    <x:row r="18" spans="1:17" ht="14.4" thickBot="1" x14ac:dyDescent="0.35">
      <x:c r="A18" s="1">
        <x:f t="shared" si="0"/>
        <x:v>8</x:v>
      </x:c>
      <x:c r="B18" s="8" t="s">
        <x:v>5</x:v>
      </x:c>
      <x:c r="C18" s="2">
        <x:f>+C13</x:f>
        <x:v>2023</x:v>
      </x:c>
      <x:c r="D18" s="3">
        <x:f>'SUBS Sales by Year (21-23)'!D18/'SUBS Sales by Year (21-23)'!D63</x:f>
        <x:v>2.8728259027369033E-2</x:v>
      </x:c>
      <x:c r="E18" s="3">
        <x:f>'SUBS Sales by Year (21-23)'!E18/'SUBS Sales by Year (21-23)'!E63</x:f>
        <x:v>2.8260353262667605E-2</x:v>
      </x:c>
      <x:c r="F18" s="3">
        <x:f>'SUBS Sales by Year (21-23)'!F18/'SUBS Sales by Year (21-23)'!F63</x:f>
        <x:v>2.9413036381507211E-2</x:v>
      </x:c>
      <x:c r="G18" s="3">
        <x:f>'SUBS Sales by Year (21-23)'!G18/'SUBS Sales by Year (21-23)'!G63</x:f>
        <x:v>2.8849858703835021E-2</x:v>
      </x:c>
      <x:c r="H18" s="3">
        <x:f>'SUBS Sales by Year (21-23)'!H18/'SUBS Sales by Year (21-23)'!H63</x:f>
        <x:v>2.5885356921956575E-2</x:v>
      </x:c>
      <x:c r="I18" s="3">
        <x:f>'SUBS Sales by Year (21-23)'!I18/'SUBS Sales by Year (21-23)'!I63</x:f>
        <x:v>2.6849434869719142E-2</x:v>
      </x:c>
      <x:c r="J18" s="3">
        <x:f>'SUBS Sales by Year (21-23)'!J18/'SUBS Sales by Year (21-23)'!J63</x:f>
        <x:v>2.9602669202750939E-2</x:v>
      </x:c>
      <x:c r="K18" s="3">
        <x:f>'SUBS Sales by Year (21-23)'!K18/'SUBS Sales by Year (21-23)'!K63</x:f>
        <x:v>1.9062427326797301E-2</x:v>
      </x:c>
      <x:c r="L18" s="3">
        <x:f>'SUBS Sales by Year (21-23)'!L18/'SUBS Sales by Year (21-23)'!L63</x:f>
        <x:v>4.9450711030898528E-2</x:v>
      </x:c>
      <x:c r="M18" s="3">
        <x:f>'SUBS Sales by Year (21-23)'!M18/'SUBS Sales by Year (21-23)'!M63</x:f>
        <x:v>2.7675578844453364E-2</x:v>
      </x:c>
      <x:c r="N18" s="3">
        <x:f>'SUBS Sales by Year (21-23)'!N18/'SUBS Sales by Year (21-23)'!N63</x:f>
        <x:v>2.7539998394917799E-2</x:v>
      </x:c>
      <x:c r="O18" s="3">
        <x:f>'SUBS Sales by Year (21-23)'!O18/'SUBS Sales by Year (21-23)'!O63</x:f>
        <x:v>2.5533810286603328E-2</x:v>
      </x:c>
      <x:c r="P18" s="60">
        <x:f>'SUBS Sales by Year (21-23)'!P18/'SUBS Sales by Year (21-23)'!P63</x:f>
        <x:v>2.8495110946267631E-2</x:v>
      </x:c>
    </x:row>
    <x:row r="19" spans="1:17" x14ac:dyDescent="0.3">
      <x:c r="A19" s="1">
        <x:f t="shared" si="0"/>
        <x:v>9</x:v>
      </x:c>
      <x:c r="B19" s="8" t="s">
        <x:v>5</x:v>
      </x:c>
      <x:c r="C19" s="57" t="s">
        <x:v>1</x:v>
      </x:c>
      <x:c r="D19" s="58">
        <x:f>'SUBS Sales by Year (21-23)'!D19/'SUBS Sales by Year (21-23)'!D64</x:f>
        <x:v>2.0608100362199538E-2</x:v>
      </x:c>
      <x:c r="E19" s="58">
        <x:f>'SUBS Sales by Year (21-23)'!E19/'SUBS Sales by Year (21-23)'!E64</x:f>
        <x:v>2.1203114779982452E-2</x:v>
      </x:c>
      <x:c r="F19" s="58">
        <x:f>'SUBS Sales by Year (21-23)'!F19/'SUBS Sales by Year (21-23)'!F64</x:f>
        <x:v>2.2690679018283991E-2</x:v>
      </x:c>
      <x:c r="G19" s="58">
        <x:f>'SUBS Sales by Year (21-23)'!G19/'SUBS Sales by Year (21-23)'!G64</x:f>
        <x:v>2.1886196502919588E-2</x:v>
      </x:c>
      <x:c r="H19" s="58">
        <x:f>'SUBS Sales by Year (21-23)'!H19/'SUBS Sales by Year (21-23)'!H64</x:f>
        <x:v>2.2224288547166654E-2</x:v>
      </x:c>
      <x:c r="I19" s="58">
        <x:f>'SUBS Sales by Year (21-23)'!I19/'SUBS Sales by Year (21-23)'!I64</x:f>
        <x:v>2.3028575609353025E-2</x:v>
      </x:c>
      <x:c r="J19" s="58">
        <x:f>'SUBS Sales by Year (21-23)'!J19/'SUBS Sales by Year (21-23)'!J64</x:f>
        <x:v>2.6105442163010358E-2</x:v>
      </x:c>
      <x:c r="K19" s="58">
        <x:f>'SUBS Sales by Year (21-23)'!K19/'SUBS Sales by Year (21-23)'!K64</x:f>
        <x:v>1.9441098742374641E-2</x:v>
      </x:c>
      <x:c r="L19" s="58">
        <x:f>'SUBS Sales by Year (21-23)'!L19/'SUBS Sales by Year (21-23)'!L64</x:f>
        <x:v>3.1774282410086431E-2</x:v>
      </x:c>
      <x:c r="M19" s="58">
        <x:f>'SUBS Sales by Year (21-23)'!M19/'SUBS Sales by Year (21-23)'!M64</x:f>
        <x:v>2.2706457577107934E-2</x:v>
      </x:c>
      <x:c r="N19" s="58">
        <x:f>'SUBS Sales by Year (21-23)'!N19/'SUBS Sales by Year (21-23)'!N64</x:f>
        <x:v>2.3751792719232438E-2</x:v>
      </x:c>
      <x:c r="O19" s="58">
        <x:f>'SUBS Sales by Year (21-23)'!O19/'SUBS Sales by Year (21-23)'!O64</x:f>
        <x:v>2.2821050635134364E-2</x:v>
      </x:c>
      <x:c r="P19" s="61">
        <x:f>'SUBS Sales by Year (21-23)'!P19/'SUBS Sales by Year (21-23)'!P64</x:f>
        <x:v>2.3204546918233832E-2</x:v>
      </x:c>
    </x:row>
    <x:row r="20" spans="1:17" x14ac:dyDescent="0.3">
      <x:c r="A20" s="1">
        <x:f t="shared" si="0"/>
        <x:v>10</x:v>
      </x:c>
      <x:c r="B20" s="8"/>
      <x:c r="C20" s="4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 spans="1:17" x14ac:dyDescent="0.3">
      <x:c r="A21" s="1">
        <x:f t="shared" si="0"/>
        <x:v>11</x:v>
      </x:c>
      <x:c r="B21" s="8" t="s">
        <x:v>6</x:v>
      </x:c>
      <x:c r="C21" s="2">
        <x:f>+C16</x:f>
        <x:v>2021</x:v>
      </x:c>
      <x:c r="D21" s="3">
        <x:f>'SUBS Sales by Year (21-23)'!D21/'SUBS Sales by Year (21-23)'!D61</x:f>
        <x:v>0</x:v>
      </x:c>
      <x:c r="E21" s="3">
        <x:f>'SUBS Sales by Year (21-23)'!E21/'SUBS Sales by Year (21-23)'!E$61</x:f>
        <x:v>0</x:v>
      </x:c>
      <x:c r="F21" s="3">
        <x:f>'SUBS Sales by Year (21-23)'!F21/'SUBS Sales by Year (21-23)'!F$61</x:f>
        <x:v>0</x:v>
      </x:c>
      <x:c r="G21" s="3">
        <x:f>'SUBS Sales by Year (21-23)'!G21/'SUBS Sales by Year (21-23)'!G$61</x:f>
        <x:v>0</x:v>
      </x:c>
      <x:c r="H21" s="3">
        <x:f>'SUBS Sales by Year (21-23)'!H21/'SUBS Sales by Year (21-23)'!H$61</x:f>
        <x:v>0</x:v>
      </x:c>
      <x:c r="I21" s="3">
        <x:f>'SUBS Sales by Year (21-23)'!I21/'SUBS Sales by Year (21-23)'!I$61</x:f>
        <x:v>0</x:v>
      </x:c>
      <x:c r="J21" s="3">
        <x:f>'SUBS Sales by Year (21-23)'!J21/'SUBS Sales by Year (21-23)'!J$61</x:f>
        <x:v>0</x:v>
      </x:c>
      <x:c r="K21" s="3">
        <x:f>'SUBS Sales by Year (21-23)'!K21/'SUBS Sales by Year (21-23)'!K$61</x:f>
        <x:v>0</x:v>
      </x:c>
      <x:c r="L21" s="3">
        <x:f>'SUBS Sales by Year (21-23)'!L21/'SUBS Sales by Year (21-23)'!L$61</x:f>
        <x:v>0</x:v>
      </x:c>
      <x:c r="M21" s="3">
        <x:f>'SUBS Sales by Year (21-23)'!M21/'SUBS Sales by Year (21-23)'!M$61</x:f>
        <x:v>0</x:v>
      </x:c>
      <x:c r="N21" s="3">
        <x:f>'SUBS Sales by Year (21-23)'!N21/'SUBS Sales by Year (21-23)'!N$61</x:f>
        <x:v>0</x:v>
      </x:c>
      <x:c r="O21" s="3">
        <x:f>'SUBS Sales by Year (21-23)'!O21/'SUBS Sales by Year (21-23)'!O$61</x:f>
        <x:v>0</x:v>
      </x:c>
      <x:c r="P21" s="60">
        <x:f>'SUBS Sales by Year (21-23)'!P21/'SUBS Sales by Year (21-23)'!P$61</x:f>
        <x:v>0</x:v>
      </x:c>
      <x:c r="Q21" s="4"/>
    </x:row>
    <x:row r="22" spans="1:17" x14ac:dyDescent="0.3">
      <x:c r="A22" s="1">
        <x:f t="shared" si="0"/>
        <x:v>12</x:v>
      </x:c>
      <x:c r="B22" s="8" t="s">
        <x:v>6</x:v>
      </x:c>
      <x:c r="C22" s="2">
        <x:f>+C17</x:f>
        <x:v>2022</x:v>
      </x:c>
      <x:c r="D22" s="3">
        <x:f>'SUBS Sales by Year (21-23)'!D22/'SUBS Sales by Year (21-23)'!D62</x:f>
        <x:v>0</x:v>
      </x:c>
      <x:c r="E22" s="3">
        <x:f>'SUBS Sales by Year (21-23)'!E22/'SUBS Sales by Year (21-23)'!E$62</x:f>
        <x:v>0</x:v>
      </x:c>
      <x:c r="F22" s="3">
        <x:f>'SUBS Sales by Year (21-23)'!F22/'SUBS Sales by Year (21-23)'!F$62</x:f>
        <x:v>0</x:v>
      </x:c>
      <x:c r="G22" s="3">
        <x:f>'SUBS Sales by Year (21-23)'!G22/'SUBS Sales by Year (21-23)'!G$62</x:f>
        <x:v>0</x:v>
      </x:c>
      <x:c r="H22" s="3">
        <x:f>'SUBS Sales by Year (21-23)'!H22/'SUBS Sales by Year (21-23)'!H$62</x:f>
        <x:v>0</x:v>
      </x:c>
      <x:c r="I22" s="3">
        <x:f>'SUBS Sales by Year (21-23)'!I22/'SUBS Sales by Year (21-23)'!I$62</x:f>
        <x:v>0</x:v>
      </x:c>
      <x:c r="J22" s="3">
        <x:f>'SUBS Sales by Year (21-23)'!J22/'SUBS Sales by Year (21-23)'!J$62</x:f>
        <x:v>0</x:v>
      </x:c>
      <x:c r="K22" s="3">
        <x:f>'SUBS Sales by Year (21-23)'!K22/'SUBS Sales by Year (21-23)'!K$62</x:f>
        <x:v>0</x:v>
      </x:c>
      <x:c r="L22" s="3">
        <x:f>'SUBS Sales by Year (21-23)'!L22/'SUBS Sales by Year (21-23)'!L$62</x:f>
        <x:v>0</x:v>
      </x:c>
      <x:c r="M22" s="3">
        <x:f>'SUBS Sales by Year (21-23)'!M22/'SUBS Sales by Year (21-23)'!M$62</x:f>
        <x:v>0</x:v>
      </x:c>
      <x:c r="N22" s="3">
        <x:f>'SUBS Sales by Year (21-23)'!N22/'SUBS Sales by Year (21-23)'!N$62</x:f>
        <x:v>0</x:v>
      </x:c>
      <x:c r="O22" s="3">
        <x:f>'SUBS Sales by Year (21-23)'!O22/'SUBS Sales by Year (21-23)'!O$62</x:f>
        <x:v>0</x:v>
      </x:c>
      <x:c r="P22" s="60">
        <x:f>'SUBS Sales by Year (21-23)'!P22/'SUBS Sales by Year (21-23)'!P$62</x:f>
        <x:v>0</x:v>
      </x:c>
    </x:row>
    <x:row r="23" spans="1:17" ht="14.4" thickBot="1" x14ac:dyDescent="0.35">
      <x:c r="A23" s="1">
        <x:f t="shared" si="0"/>
        <x:v>13</x:v>
      </x:c>
      <x:c r="B23" s="8" t="s">
        <x:v>6</x:v>
      </x:c>
      <x:c r="C23" s="2">
        <x:f>+C18</x:f>
        <x:v>2023</x:v>
      </x:c>
      <x:c r="D23" s="3">
        <x:f>'SUBS Sales by Year (21-23)'!D23/'SUBS Sales by Year (21-23)'!D63</x:f>
        <x:v>0</x:v>
      </x:c>
      <x:c r="E23" s="3">
        <x:f>'SUBS Sales by Year (21-23)'!E23/'SUBS Sales by Year (21-23)'!E63</x:f>
        <x:v>0</x:v>
      </x:c>
      <x:c r="F23" s="3">
        <x:f>'SUBS Sales by Year (21-23)'!F23/'SUBS Sales by Year (21-23)'!F63</x:f>
        <x:v>0</x:v>
      </x:c>
      <x:c r="G23" s="3">
        <x:f>'SUBS Sales by Year (21-23)'!G23/'SUBS Sales by Year (21-23)'!G63</x:f>
        <x:v>0</x:v>
      </x:c>
      <x:c r="H23" s="3">
        <x:f>'SUBS Sales by Year (21-23)'!H23/'SUBS Sales by Year (21-23)'!H63</x:f>
        <x:v>0</x:v>
      </x:c>
      <x:c r="I23" s="3">
        <x:f>'SUBS Sales by Year (21-23)'!I23/'SUBS Sales by Year (21-23)'!I63</x:f>
        <x:v>0</x:v>
      </x:c>
      <x:c r="J23" s="3">
        <x:f>'SUBS Sales by Year (21-23)'!J23/'SUBS Sales by Year (21-23)'!J63</x:f>
        <x:v>0</x:v>
      </x:c>
      <x:c r="K23" s="3">
        <x:f>'SUBS Sales by Year (21-23)'!K23/'SUBS Sales by Year (21-23)'!K63</x:f>
        <x:v>0</x:v>
      </x:c>
      <x:c r="L23" s="3">
        <x:f>'SUBS Sales by Year (21-23)'!L23/'SUBS Sales by Year (21-23)'!L63</x:f>
        <x:v>0</x:v>
      </x:c>
      <x:c r="M23" s="3">
        <x:f>'SUBS Sales by Year (21-23)'!M23/'SUBS Sales by Year (21-23)'!M63</x:f>
        <x:v>0</x:v>
      </x:c>
      <x:c r="N23" s="3">
        <x:f>'SUBS Sales by Year (21-23)'!N23/'SUBS Sales by Year (21-23)'!N63</x:f>
        <x:v>0</x:v>
      </x:c>
      <x:c r="O23" s="3">
        <x:f>'SUBS Sales by Year (21-23)'!O23/'SUBS Sales by Year (21-23)'!O63</x:f>
        <x:v>0</x:v>
      </x:c>
      <x:c r="P23" s="60">
        <x:f>'SUBS Sales by Year (21-23)'!P23/'SUBS Sales by Year (21-23)'!P63</x:f>
        <x:v>0</x:v>
      </x:c>
    </x:row>
    <x:row r="24" spans="1:17" x14ac:dyDescent="0.3">
      <x:c r="A24" s="1">
        <x:f t="shared" si="0"/>
        <x:v>14</x:v>
      </x:c>
      <x:c r="B24" s="8" t="s">
        <x:v>6</x:v>
      </x:c>
      <x:c r="C24" s="57" t="s">
        <x:v>1</x:v>
      </x:c>
      <x:c r="D24" s="58">
        <x:f>'SUBS Sales by Year (21-23)'!D24/'SUBS Sales by Year (21-23)'!D64</x:f>
        <x:v>0</x:v>
      </x:c>
      <x:c r="E24" s="58">
        <x:f>'SUBS Sales by Year (21-23)'!E24/'SUBS Sales by Year (21-23)'!E64</x:f>
        <x:v>0</x:v>
      </x:c>
      <x:c r="F24" s="58">
        <x:f>'SUBS Sales by Year (21-23)'!F24/'SUBS Sales by Year (21-23)'!F64</x:f>
        <x:v>0</x:v>
      </x:c>
      <x:c r="G24" s="58">
        <x:f>'SUBS Sales by Year (21-23)'!G24/'SUBS Sales by Year (21-23)'!G64</x:f>
        <x:v>0</x:v>
      </x:c>
      <x:c r="H24" s="58">
        <x:f>'SUBS Sales by Year (21-23)'!H24/'SUBS Sales by Year (21-23)'!H64</x:f>
        <x:v>0</x:v>
      </x:c>
      <x:c r="I24" s="58">
        <x:f>'SUBS Sales by Year (21-23)'!I24/'SUBS Sales by Year (21-23)'!I64</x:f>
        <x:v>0</x:v>
      </x:c>
      <x:c r="J24" s="58">
        <x:f>'SUBS Sales by Year (21-23)'!J24/'SUBS Sales by Year (21-23)'!J64</x:f>
        <x:v>0</x:v>
      </x:c>
      <x:c r="K24" s="58">
        <x:f>'SUBS Sales by Year (21-23)'!K24/'SUBS Sales by Year (21-23)'!K64</x:f>
        <x:v>0</x:v>
      </x:c>
      <x:c r="L24" s="58">
        <x:f>'SUBS Sales by Year (21-23)'!L24/'SUBS Sales by Year (21-23)'!L64</x:f>
        <x:v>0</x:v>
      </x:c>
      <x:c r="M24" s="58">
        <x:f>'SUBS Sales by Year (21-23)'!M24/'SUBS Sales by Year (21-23)'!M64</x:f>
        <x:v>0</x:v>
      </x:c>
      <x:c r="N24" s="58">
        <x:f>'SUBS Sales by Year (21-23)'!N24/'SUBS Sales by Year (21-23)'!N64</x:f>
        <x:v>0</x:v>
      </x:c>
      <x:c r="O24" s="58">
        <x:f>'SUBS Sales by Year (21-23)'!O24/'SUBS Sales by Year (21-23)'!O64</x:f>
        <x:v>0</x:v>
      </x:c>
      <x:c r="P24" s="61">
        <x:f>'SUBS Sales by Year (21-23)'!P24/'SUBS Sales by Year (21-23)'!P64</x:f>
        <x:v>0</x:v>
      </x:c>
    </x:row>
    <x:row r="25" spans="1:17" x14ac:dyDescent="0.3">
      <x:c r="A25" s="1">
        <x:f t="shared" si="0"/>
        <x:v>15</x:v>
      </x:c>
      <x:c r="B25" s="8"/>
      <x:c r="C25" s="4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 spans="1:17" x14ac:dyDescent="0.3">
      <x:c r="A26" s="1">
        <x:f t="shared" si="0"/>
        <x:v>16</x:v>
      </x:c>
      <x:c r="B26" s="8" t="s">
        <x:v>7</x:v>
      </x:c>
      <x:c r="C26" s="2">
        <x:f>+C21</x:f>
        <x:v>2021</x:v>
      </x:c>
      <x:c r="D26" s="3">
        <x:f>'SUBS Sales by Year (21-23)'!D26/'SUBS Sales by Year (21-23)'!D61</x:f>
        <x:v>6.0587629729369319E-2</x:v>
      </x:c>
      <x:c r="E26" s="3">
        <x:f>'SUBS Sales by Year (21-23)'!E26/'SUBS Sales by Year (21-23)'!E$61</x:f>
        <x:v>7.1736169780909104E-2</x:v>
      </x:c>
      <x:c r="F26" s="3">
        <x:f>'SUBS Sales by Year (21-23)'!F26/'SUBS Sales by Year (21-23)'!F$61</x:f>
        <x:v>9.5513853994899214E-2</x:v>
      </x:c>
      <x:c r="G26" s="3">
        <x:f>'SUBS Sales by Year (21-23)'!G26/'SUBS Sales by Year (21-23)'!G$61</x:f>
        <x:v>8.0505207639050572E-2</x:v>
      </x:c>
      <x:c r="H26" s="3">
        <x:f>'SUBS Sales by Year (21-23)'!H26/'SUBS Sales by Year (21-23)'!H$61</x:f>
        <x:v>7.2306601288798206E-2</x:v>
      </x:c>
      <x:c r="I26" s="3">
        <x:f>'SUBS Sales by Year (21-23)'!I26/'SUBS Sales by Year (21-23)'!I$61</x:f>
        <x:v>7.7461158057850088E-2</x:v>
      </x:c>
      <x:c r="J26" s="3">
        <x:f>'SUBS Sales by Year (21-23)'!J26/'SUBS Sales by Year (21-23)'!J$61</x:f>
        <x:v>7.4354560144363507E-2</x:v>
      </x:c>
      <x:c r="K26" s="3">
        <x:f>'SUBS Sales by Year (21-23)'!K26/'SUBS Sales by Year (21-23)'!K$61</x:f>
        <x:v>7.2529709005000984E-2</x:v>
      </x:c>
      <x:c r="L26" s="3">
        <x:f>'SUBS Sales by Year (21-23)'!L26/'SUBS Sales by Year (21-23)'!L$61</x:f>
        <x:v>9.0888350030213991E-2</x:v>
      </x:c>
      <x:c r="M26" s="3">
        <x:f>'SUBS Sales by Year (21-23)'!M26/'SUBS Sales by Year (21-23)'!M$61</x:f>
        <x:v>9.0477314662026131E-2</x:v>
      </x:c>
      <x:c r="N26" s="3">
        <x:f>'SUBS Sales by Year (21-23)'!N26/'SUBS Sales by Year (21-23)'!N$61</x:f>
        <x:v>9.8064676728027489E-2</x:v>
      </x:c>
      <x:c r="O26" s="3">
        <x:f>'SUBS Sales by Year (21-23)'!O26/'SUBS Sales by Year (21-23)'!O$61</x:f>
        <x:v>0.10154694475973054</x:v>
      </x:c>
      <x:c r="P26" s="60">
        <x:f>'SUBS Sales by Year (21-23)'!P26/'SUBS Sales by Year (21-23)'!P$61</x:f>
        <x:v>8.2325142726755604E-2</x:v>
      </x:c>
      <x:c r="Q26" s="4"/>
    </x:row>
    <x:row r="27" spans="1:17" x14ac:dyDescent="0.3">
      <x:c r="A27" s="1">
        <x:f t="shared" si="0"/>
        <x:v>17</x:v>
      </x:c>
      <x:c r="B27" s="8" t="s">
        <x:v>7</x:v>
      </x:c>
      <x:c r="C27" s="2">
        <x:f>+C22</x:f>
        <x:v>2022</x:v>
      </x:c>
      <x:c r="D27" s="3">
        <x:f>'SUBS Sales by Year (21-23)'!D27/'SUBS Sales by Year (21-23)'!D62</x:f>
        <x:v>9.6292032019551665E-2</x:v>
      </x:c>
      <x:c r="E27" s="3">
        <x:f>'SUBS Sales by Year (21-23)'!E27/'SUBS Sales by Year (21-23)'!E$62</x:f>
        <x:v>9.4963409443052565E-2</x:v>
      </x:c>
      <x:c r="F27" s="3">
        <x:f>'SUBS Sales by Year (21-23)'!F27/'SUBS Sales by Year (21-23)'!F$62</x:f>
        <x:v>8.4373721906859503E-2</x:v>
      </x:c>
      <x:c r="G27" s="3">
        <x:f>'SUBS Sales by Year (21-23)'!G27/'SUBS Sales by Year (21-23)'!G$62</x:f>
        <x:v>8.8055422994201688E-2</x:v>
      </x:c>
      <x:c r="H27" s="3">
        <x:f>'SUBS Sales by Year (21-23)'!H27/'SUBS Sales by Year (21-23)'!H$62</x:f>
        <x:v>8.4515126155576853E-2</x:v>
      </x:c>
      <x:c r="I27" s="3">
        <x:f>'SUBS Sales by Year (21-23)'!I27/'SUBS Sales by Year (21-23)'!I$62</x:f>
        <x:v>6.5896830610175622E-2</x:v>
      </x:c>
      <x:c r="J27" s="3">
        <x:f>'SUBS Sales by Year (21-23)'!J27/'SUBS Sales by Year (21-23)'!J$62</x:f>
        <x:v>8.6898451664127047E-2</x:v>
      </x:c>
      <x:c r="K27" s="3">
        <x:f>'SUBS Sales by Year (21-23)'!K27/'SUBS Sales by Year (21-23)'!K$62</x:f>
        <x:v>9.1152552371046622E-2</x:v>
      </x:c>
      <x:c r="L27" s="3">
        <x:f>'SUBS Sales by Year (21-23)'!L27/'SUBS Sales by Year (21-23)'!L$62</x:f>
        <x:v>8.9092287076055904E-2</x:v>
      </x:c>
      <x:c r="M27" s="3">
        <x:f>'SUBS Sales by Year (21-23)'!M27/'SUBS Sales by Year (21-23)'!M$62</x:f>
        <x:v>7.9162852707355652E-2</x:v>
      </x:c>
      <x:c r="N27" s="3">
        <x:f>'SUBS Sales by Year (21-23)'!N27/'SUBS Sales by Year (21-23)'!N$62</x:f>
        <x:v>7.3497439588590466E-2</x:v>
      </x:c>
      <x:c r="O27" s="3">
        <x:f>'SUBS Sales by Year (21-23)'!O27/'SUBS Sales by Year (21-23)'!O$62</x:f>
        <x:v>6.6060642721436552E-2</x:v>
      </x:c>
      <x:c r="P27" s="60">
        <x:f>'SUBS Sales by Year (21-23)'!P27/'SUBS Sales by Year (21-23)'!P$62</x:f>
        <x:v>8.3252167934092083E-2</x:v>
      </x:c>
    </x:row>
    <x:row r="28" spans="1:17" ht="14.4" thickBot="1" x14ac:dyDescent="0.35">
      <x:c r="A28" s="1">
        <x:f t="shared" si="0"/>
        <x:v>18</x:v>
      </x:c>
      <x:c r="B28" s="8" t="s">
        <x:v>7</x:v>
      </x:c>
      <x:c r="C28" s="2">
        <x:f>+C23</x:f>
        <x:v>2023</x:v>
      </x:c>
      <x:c r="D28" s="3">
        <x:f>'SUBS Sales by Year (21-23)'!D28/'SUBS Sales by Year (21-23)'!D63</x:f>
        <x:v>5.3391388299473826E-2</x:v>
      </x:c>
      <x:c r="E28" s="3">
        <x:f>'SUBS Sales by Year (21-23)'!E28/'SUBS Sales by Year (21-23)'!E63</x:f>
        <x:v>6.4036053223057637E-2</x:v>
      </x:c>
      <x:c r="F28" s="3">
        <x:f>'SUBS Sales by Year (21-23)'!F28/'SUBS Sales by Year (21-23)'!F63</x:f>
        <x:v>8.1773515743475855E-2</x:v>
      </x:c>
      <x:c r="G28" s="3">
        <x:f>'SUBS Sales by Year (21-23)'!G28/'SUBS Sales by Year (21-23)'!G63</x:f>
        <x:v>8.2842769272083602E-2</x:v>
      </x:c>
      <x:c r="H28" s="3">
        <x:f>'SUBS Sales by Year (21-23)'!H28/'SUBS Sales by Year (21-23)'!H63</x:f>
        <x:v>8.4891170475061228E-2</x:v>
      </x:c>
      <x:c r="I28" s="3">
        <x:f>'SUBS Sales by Year (21-23)'!I28/'SUBS Sales by Year (21-23)'!I63</x:f>
        <x:v>7.8764635694784715E-2</x:v>
      </x:c>
      <x:c r="J28" s="3">
        <x:f>'SUBS Sales by Year (21-23)'!J28/'SUBS Sales by Year (21-23)'!J63</x:f>
        <x:v>8.1122498068076004E-2</x:v>
      </x:c>
      <x:c r="K28" s="3">
        <x:f>'SUBS Sales by Year (21-23)'!K28/'SUBS Sales by Year (21-23)'!K63</x:f>
        <x:v>6.3760999195477883E-2</x:v>
      </x:c>
      <x:c r="L28" s="3">
        <x:f>'SUBS Sales by Year (21-23)'!L28/'SUBS Sales by Year (21-23)'!L63</x:f>
        <x:v>7.6725268547116296E-2</x:v>
      </x:c>
      <x:c r="M28" s="3">
        <x:f>'SUBS Sales by Year (21-23)'!M28/'SUBS Sales by Year (21-23)'!M63</x:f>
        <x:v>7.3079455197452445E-2</x:v>
      </x:c>
      <x:c r="N28" s="3">
        <x:f>'SUBS Sales by Year (21-23)'!N28/'SUBS Sales by Year (21-23)'!N63</x:f>
        <x:v>6.4549223757047164E-2</x:v>
      </x:c>
      <x:c r="O28" s="3">
        <x:f>'SUBS Sales by Year (21-23)'!O28/'SUBS Sales by Year (21-23)'!O63</x:f>
        <x:v>5.666912629951E-2</x:v>
      </x:c>
      <x:c r="P28" s="60">
        <x:f>'SUBS Sales by Year (21-23)'!P28/'SUBS Sales by Year (21-23)'!P63</x:f>
        <x:v>7.1224569799521242E-2</x:v>
      </x:c>
    </x:row>
    <x:row r="29" spans="1:17" x14ac:dyDescent="0.3">
      <x:c r="A29" s="1">
        <x:f t="shared" si="0"/>
        <x:v>19</x:v>
      </x:c>
      <x:c r="B29" s="8" t="s">
        <x:v>7</x:v>
      </x:c>
      <x:c r="C29" s="57" t="s">
        <x:v>1</x:v>
      </x:c>
      <x:c r="D29" s="58">
        <x:f>'SUBS Sales by Year (21-23)'!D29/'SUBS Sales by Year (21-23)'!D64</x:f>
        <x:v>6.9936929105211515E-2</x:v>
      </x:c>
      <x:c r="E29" s="58">
        <x:f>'SUBS Sales by Year (21-23)'!E29/'SUBS Sales by Year (21-23)'!E64</x:f>
        <x:v>7.7000996055339596E-2</x:v>
      </x:c>
      <x:c r="F29" s="58">
        <x:f>'SUBS Sales by Year (21-23)'!F29/'SUBS Sales by Year (21-23)'!F64</x:f>
        <x:v>8.6179440315684308E-2</x:v>
      </x:c>
      <x:c r="G29" s="58">
        <x:f>'SUBS Sales by Year (21-23)'!G29/'SUBS Sales by Year (21-23)'!G64</x:f>
        <x:v>8.3934690676640569E-2</x:v>
      </x:c>
      <x:c r="H29" s="58">
        <x:f>'SUBS Sales by Year (21-23)'!H29/'SUBS Sales by Year (21-23)'!H64</x:f>
        <x:v>8.1291272907290657E-2</x:v>
      </x:c>
      <x:c r="I29" s="58">
        <x:f>'SUBS Sales by Year (21-23)'!I29/'SUBS Sales by Year (21-23)'!I64</x:f>
        <x:v>7.4308477786671226E-2</x:v>
      </x:c>
      <x:c r="J29" s="58">
        <x:f>'SUBS Sales by Year (21-23)'!J29/'SUBS Sales by Year (21-23)'!J64</x:f>
        <x:v>8.0990965670547671E-2</x:v>
      </x:c>
      <x:c r="K29" s="58">
        <x:f>'SUBS Sales by Year (21-23)'!K29/'SUBS Sales by Year (21-23)'!K64</x:f>
        <x:v>7.3742297232090886E-2</x:v>
      </x:c>
      <x:c r="L29" s="58">
        <x:f>'SUBS Sales by Year (21-23)'!L29/'SUBS Sales by Year (21-23)'!L64</x:f>
        <x:v>8.4971060575492918E-2</x:v>
      </x:c>
      <x:c r="M29" s="58">
        <x:f>'SUBS Sales by Year (21-23)'!M29/'SUBS Sales by Year (21-23)'!M64</x:f>
        <x:v>8.0118539071640696E-2</x:v>
      </x:c>
      <x:c r="N29" s="58">
        <x:f>'SUBS Sales by Year (21-23)'!N29/'SUBS Sales by Year (21-23)'!N64</x:f>
        <x:v>7.6539369351435432E-2</x:v>
      </x:c>
      <x:c r="O29" s="58">
        <x:f>'SUBS Sales by Year (21-23)'!O29/'SUBS Sales by Year (21-23)'!O64</x:f>
        <x:v>7.1992383937613327E-2</x:v>
      </x:c>
      <x:c r="P29" s="61">
        <x:f>'SUBS Sales by Year (21-23)'!P29/'SUBS Sales by Year (21-23)'!P64</x:f>
        <x:v>7.8229093503641184E-2</x:v>
      </x:c>
    </x:row>
    <x:row r="30" spans="1:17" x14ac:dyDescent="0.3">
      <x:c r="A30" s="1">
        <x:f t="shared" si="0"/>
        <x:v>20</x:v>
      </x:c>
      <x:c r="B30" s="8"/>
      <x:c r="C30" s="4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7" x14ac:dyDescent="0.3">
      <x:c r="A31" s="1">
        <x:f t="shared" si="0"/>
        <x:v>21</x:v>
      </x:c>
      <x:c r="B31" s="8" t="s">
        <x:v>8</x:v>
      </x:c>
      <x:c r="C31" s="2">
        <x:f>+C26</x:f>
        <x:v>2021</x:v>
      </x:c>
      <x:c r="D31" s="3">
        <x:f>'SUBS Sales by Year (21-23)'!D31/'SUBS Sales by Year (21-23)'!D61</x:f>
        <x:v>9.6512099717049014E-3</x:v>
      </x:c>
      <x:c r="E31" s="3">
        <x:f>'SUBS Sales by Year (21-23)'!E31/'SUBS Sales by Year (21-23)'!E$61</x:f>
        <x:v>9.7052856969684406E-3</x:v>
      </x:c>
      <x:c r="F31" s="3">
        <x:f>'SUBS Sales by Year (21-23)'!F31/'SUBS Sales by Year (21-23)'!F$61</x:f>
        <x:v>1.1783817191147032E-2</x:v>
      </x:c>
      <x:c r="G31" s="3">
        <x:f>'SUBS Sales by Year (21-23)'!G31/'SUBS Sales by Year (21-23)'!G$61</x:f>
        <x:v>1.0917518883856257E-2</x:v>
      </x:c>
      <x:c r="H31" s="3">
        <x:f>'SUBS Sales by Year (21-23)'!H31/'SUBS Sales by Year (21-23)'!H$61</x:f>
        <x:v>1.2217536551039939E-2</x:v>
      </x:c>
      <x:c r="I31" s="3">
        <x:f>'SUBS Sales by Year (21-23)'!I31/'SUBS Sales by Year (21-23)'!I$61</x:f>
        <x:v>1.0588997267146421E-2</x:v>
      </x:c>
      <x:c r="J31" s="3">
        <x:f>'SUBS Sales by Year (21-23)'!J31/'SUBS Sales by Year (21-23)'!J$61</x:f>
        <x:v>1.0858791395890247E-2</x:v>
      </x:c>
      <x:c r="K31" s="3">
        <x:f>'SUBS Sales by Year (21-23)'!K31/'SUBS Sales by Year (21-23)'!K$61</x:f>
        <x:v>9.1262820419924905E-3</x:v>
      </x:c>
      <x:c r="L31" s="3">
        <x:f>'SUBS Sales by Year (21-23)'!L31/'SUBS Sales by Year (21-23)'!L$61</x:f>
        <x:v>1.3940721540448753E-2</x:v>
      </x:c>
      <x:c r="M31" s="3">
        <x:f>'SUBS Sales by Year (21-23)'!M31/'SUBS Sales by Year (21-23)'!M$61</x:f>
        <x:v>1.1487695797080392E-2</x:v>
      </x:c>
      <x:c r="N31" s="3">
        <x:f>'SUBS Sales by Year (21-23)'!N31/'SUBS Sales by Year (21-23)'!N$61</x:f>
        <x:v>1.4537110249905418E-2</x:v>
      </x:c>
      <x:c r="O31" s="3">
        <x:f>'SUBS Sales by Year (21-23)'!O31/'SUBS Sales by Year (21-23)'!O$61</x:f>
        <x:v>1.688017598443229E-2</x:v>
      </x:c>
      <x:c r="P31" s="60">
        <x:f>'SUBS Sales by Year (21-23)'!P31/'SUBS Sales by Year (21-23)'!P$61</x:f>
        <x:v>1.1862185112747389E-2</x:v>
      </x:c>
      <x:c r="Q31" s="4"/>
    </x:row>
    <x:row r="32" spans="1:17" x14ac:dyDescent="0.3">
      <x:c r="A32" s="1">
        <x:f t="shared" si="0"/>
        <x:v>22</x:v>
      </x:c>
      <x:c r="B32" s="8" t="s">
        <x:v>8</x:v>
      </x:c>
      <x:c r="C32" s="2">
        <x:f>+C27</x:f>
        <x:v>2022</x:v>
      </x:c>
      <x:c r="D32" s="3">
        <x:f>'SUBS Sales by Year (21-23)'!D32/'SUBS Sales by Year (21-23)'!D62</x:f>
        <x:v>1.7578357030284895E-2</x:v>
      </x:c>
      <x:c r="E32" s="3">
        <x:f>'SUBS Sales by Year (21-23)'!E32/'SUBS Sales by Year (21-23)'!E$62</x:f>
        <x:v>1.4673864753915944E-2</x:v>
      </x:c>
      <x:c r="F32" s="3">
        <x:f>'SUBS Sales by Year (21-23)'!F32/'SUBS Sales by Year (21-23)'!F$62</x:f>
        <x:v>1.4202171560017969E-2</x:v>
      </x:c>
      <x:c r="G32" s="3">
        <x:f>'SUBS Sales by Year (21-23)'!G32/'SUBS Sales by Year (21-23)'!G$62</x:f>
        <x:v>1.6050173412660313E-2</x:v>
      </x:c>
      <x:c r="H32" s="3">
        <x:f>'SUBS Sales by Year (21-23)'!H32/'SUBS Sales by Year (21-23)'!H$62</x:f>
        <x:v>1.1649773811994401E-2</x:v>
      </x:c>
      <x:c r="I32" s="3">
        <x:f>'SUBS Sales by Year (21-23)'!I32/'SUBS Sales by Year (21-23)'!I$62</x:f>
        <x:v>8.8366648632403396E-3</x:v>
      </x:c>
      <x:c r="J32" s="3">
        <x:f>'SUBS Sales by Year (21-23)'!J32/'SUBS Sales by Year (21-23)'!J$62</x:f>
        <x:v>9.9749195200301687E-3</x:v>
      </x:c>
      <x:c r="K32" s="3">
        <x:f>'SUBS Sales by Year (21-23)'!K32/'SUBS Sales by Year (21-23)'!K$62</x:f>
        <x:v>1.163480598362932E-2</x:v>
      </x:c>
      <x:c r="L32" s="3">
        <x:f>'SUBS Sales by Year (21-23)'!L32/'SUBS Sales by Year (21-23)'!L$62</x:f>
        <x:v>1.2574454576208054E-2</x:v>
      </x:c>
      <x:c r="M32" s="3">
        <x:f>'SUBS Sales by Year (21-23)'!M32/'SUBS Sales by Year (21-23)'!M$62</x:f>
        <x:v>1.2638324565553633E-2</x:v>
      </x:c>
      <x:c r="N32" s="3">
        <x:f>'SUBS Sales by Year (21-23)'!N32/'SUBS Sales by Year (21-23)'!N$62</x:f>
        <x:v>1.7046016936430285E-2</x:v>
      </x:c>
      <x:c r="O32" s="3">
        <x:f>'SUBS Sales by Year (21-23)'!O32/'SUBS Sales by Year (21-23)'!O$62</x:f>
        <x:v>1.4874505121461535E-2</x:v>
      </x:c>
      <x:c r="P32" s="60">
        <x:f>'SUBS Sales by Year (21-23)'!P32/'SUBS Sales by Year (21-23)'!P$62</x:f>
        <x:v>1.3422196843607575E-2</x:v>
      </x:c>
    </x:row>
    <x:row r="33" spans="1:17" ht="14.4" thickBot="1" x14ac:dyDescent="0.35">
      <x:c r="A33" s="1">
        <x:f t="shared" si="0"/>
        <x:v>23</x:v>
      </x:c>
      <x:c r="B33" s="8" t="s">
        <x:v>8</x:v>
      </x:c>
      <x:c r="C33" s="2">
        <x:f>+C28</x:f>
        <x:v>2023</x:v>
      </x:c>
      <x:c r="D33" s="3">
        <x:f>'SUBS Sales by Year (21-23)'!D33/'SUBS Sales by Year (21-23)'!D63</x:f>
        <x:v>1.6259439305783326E-2</x:v>
      </x:c>
      <x:c r="E33" s="3">
        <x:f>'SUBS Sales by Year (21-23)'!E33/'SUBS Sales by Year (21-23)'!E63</x:f>
        <x:v>1.4663232321209259E-2</x:v>
      </x:c>
      <x:c r="F33" s="3">
        <x:f>'SUBS Sales by Year (21-23)'!F33/'SUBS Sales by Year (21-23)'!F63</x:f>
        <x:v>1.1570644886219091E-2</x:v>
      </x:c>
      <x:c r="G33" s="3">
        <x:f>'SUBS Sales by Year (21-23)'!G33/'SUBS Sales by Year (21-23)'!G63</x:f>
        <x:v>7.3889820818933329E-3</x:v>
      </x:c>
      <x:c r="H33" s="3">
        <x:f>'SUBS Sales by Year (21-23)'!H33/'SUBS Sales by Year (21-23)'!H63</x:f>
        <x:v>7.0043349927874365E-3</x:v>
      </x:c>
      <x:c r="I33" s="3">
        <x:f>'SUBS Sales by Year (21-23)'!I33/'SUBS Sales by Year (21-23)'!I63</x:f>
        <x:v>7.7051307370525216E-3</x:v>
      </x:c>
      <x:c r="J33" s="3">
        <x:f>'SUBS Sales by Year (21-23)'!J33/'SUBS Sales by Year (21-23)'!J63</x:f>
        <x:v>1.2458257743737908E-2</x:v>
      </x:c>
      <x:c r="K33" s="3">
        <x:f>'SUBS Sales by Year (21-23)'!K33/'SUBS Sales by Year (21-23)'!K63</x:f>
        <x:v>7.417848945801519E-3</x:v>
      </x:c>
      <x:c r="L33" s="3">
        <x:f>'SUBS Sales by Year (21-23)'!L33/'SUBS Sales by Year (21-23)'!L63</x:f>
        <x:v>1.4536990487703013E-2</x:v>
      </x:c>
      <x:c r="M33" s="3">
        <x:f>'SUBS Sales by Year (21-23)'!M33/'SUBS Sales by Year (21-23)'!M63</x:f>
        <x:v>1.345818726182141E-2</x:v>
      </x:c>
      <x:c r="N33" s="3">
        <x:f>'SUBS Sales by Year (21-23)'!N33/'SUBS Sales by Year (21-23)'!N63</x:f>
        <x:v>1.2227285504269115E-2</x:v>
      </x:c>
      <x:c r="O33" s="3">
        <x:f>'SUBS Sales by Year (21-23)'!O33/'SUBS Sales by Year (21-23)'!O63</x:f>
        <x:v>1.1271614462848425E-2</x:v>
      </x:c>
      <x:c r="P33" s="60">
        <x:f>'SUBS Sales by Year (21-23)'!P33/'SUBS Sales by Year (21-23)'!P63</x:f>
        <x:v>1.1139222485745753E-2</x:v>
      </x:c>
    </x:row>
    <x:row r="34" spans="1:17" x14ac:dyDescent="0.3">
      <x:c r="A34" s="1">
        <x:f t="shared" si="0"/>
        <x:v>24</x:v>
      </x:c>
      <x:c r="B34" s="8" t="s">
        <x:v>8</x:v>
      </x:c>
      <x:c r="C34" s="57" t="s">
        <x:v>1</x:v>
      </x:c>
      <x:c r="D34" s="58">
        <x:f>'SUBS Sales by Year (21-23)'!D34/'SUBS Sales by Year (21-23)'!D64</x:f>
        <x:v>1.4741276156680127E-2</x:v>
      </x:c>
      <x:c r="E34" s="58">
        <x:f>'SUBS Sales by Year (21-23)'!E34/'SUBS Sales by Year (21-23)'!E64</x:f>
        <x:v>1.3277575314096715E-2</x:v>
      </x:c>
      <x:c r="F34" s="58">
        <x:f>'SUBS Sales by Year (21-23)'!F34/'SUBS Sales by Year (21-23)'!F64</x:f>
        <x:v>1.2628873071405056E-2</x:v>
      </x:c>
      <x:c r="G34" s="58">
        <x:f>'SUBS Sales by Year (21-23)'!G34/'SUBS Sales by Year (21-23)'!G64</x:f>
        <x:v>1.1347560190261695E-2</x:v>
      </x:c>
      <x:c r="H34" s="58">
        <x:f>'SUBS Sales by Year (21-23)'!H34/'SUBS Sales by Year (21-23)'!H64</x:f>
        <x:v>1.0019953194805111E-2</x:v>
      </x:c>
      <x:c r="I34" s="58">
        <x:f>'SUBS Sales by Year (21-23)'!I34/'SUBS Sales by Year (21-23)'!I64</x:f>
        <x:v>8.8970904353327714E-3</x:v>
      </x:c>
      <x:c r="J34" s="58">
        <x:f>'SUBS Sales by Year (21-23)'!J34/'SUBS Sales by Year (21-23)'!J64</x:f>
        <x:v>1.1202062147349777E-2</x:v>
      </x:c>
      <x:c r="K34" s="58">
        <x:f>'SUBS Sales by Year (21-23)'!K34/'SUBS Sales by Year (21-23)'!K64</x:f>
        <x:v>9.0546789400474132E-3</x:v>
      </x:c>
      <x:c r="L34" s="58">
        <x:f>'SUBS Sales by Year (21-23)'!L34/'SUBS Sales by Year (21-23)'!L64</x:f>
        <x:v>1.3725619508216614E-2</x:v>
      </x:c>
      <x:c r="M34" s="58">
        <x:f>'SUBS Sales by Year (21-23)'!M34/'SUBS Sales by Year (21-23)'!M64</x:f>
        <x:v>1.262087720657425E-2</x:v>
      </x:c>
      <x:c r="N34" s="58">
        <x:f>'SUBS Sales by Year (21-23)'!N34/'SUBS Sales by Year (21-23)'!N64</x:f>
        <x:v>1.4286192092905485E-2</x:v>
      </x:c>
      <x:c r="O34" s="58">
        <x:f>'SUBS Sales by Year (21-23)'!O34/'SUBS Sales by Year (21-23)'!O64</x:f>
        <x:v>1.3907939725960045E-2</x:v>
      </x:c>
      <x:c r="P34" s="61">
        <x:f>'SUBS Sales by Year (21-23)'!P34/'SUBS Sales by Year (21-23)'!P64</x:f>
        <x:v>1.2075290585667321E-2</x:v>
      </x:c>
    </x:row>
    <x:row r="35" spans="1:17" x14ac:dyDescent="0.3">
      <x:c r="A35" s="1">
        <x:f t="shared" si="0"/>
        <x:v>25</x:v>
      </x:c>
      <x:c r="B35" s="8"/>
      <x:c r="C35" s="4"/>
    </x:row>
    <x:row r="36" spans="1:17" x14ac:dyDescent="0.3">
      <x:c r="A36" s="1">
        <x:f t="shared" si="0"/>
        <x:v>26</x:v>
      </x:c>
      <x:c r="B36" s="8" t="s">
        <x:v>3</x:v>
      </x:c>
      <x:c r="C36" s="2">
        <x:f>+C31</x:f>
        <x:v>2021</x:v>
      </x:c>
      <x:c r="D36" s="3">
        <x:f>'SUBS Sales by Year (21-23)'!D36/'SUBS Sales by Year (21-23)'!D61</x:f>
        <x:v>9.281973795615699E-3</x:v>
      </x:c>
      <x:c r="E36" s="3">
        <x:f>'SUBS Sales by Year (21-23)'!E36/'SUBS Sales by Year (21-23)'!E$61</x:f>
        <x:v>8.5819400154117341E-3</x:v>
      </x:c>
      <x:c r="F36" s="3">
        <x:f>'SUBS Sales by Year (21-23)'!F36/'SUBS Sales by Year (21-23)'!F$61</x:f>
        <x:v>1.282825021789823E-2</x:v>
      </x:c>
      <x:c r="G36" s="3">
        <x:f>'SUBS Sales by Year (21-23)'!G36/'SUBS Sales by Year (21-23)'!G$61</x:f>
        <x:v>1.4974031446254225E-2</x:v>
      </x:c>
      <x:c r="H36" s="3">
        <x:f>'SUBS Sales by Year (21-23)'!H36/'SUBS Sales by Year (21-23)'!H$61</x:f>
        <x:v>9.5898051878119672E-3</x:v>
      </x:c>
      <x:c r="I36" s="3">
        <x:f>'SUBS Sales by Year (21-23)'!I36/'SUBS Sales by Year (21-23)'!I$61</x:f>
        <x:v>9.6054317108193281E-3</x:v>
      </x:c>
      <x:c r="J36" s="3">
        <x:f>'SUBS Sales by Year (21-23)'!J36/'SUBS Sales by Year (21-23)'!J$61</x:f>
        <x:v>1.1678888192450916E-2</x:v>
      </x:c>
      <x:c r="K36" s="3">
        <x:f>'SUBS Sales by Year (21-23)'!K36/'SUBS Sales by Year (21-23)'!K$61</x:f>
        <x:v>1.0282056097261438E-2</x:v>
      </x:c>
      <x:c r="L36" s="3">
        <x:f>'SUBS Sales by Year (21-23)'!L36/'SUBS Sales by Year (21-23)'!L$61</x:f>
        <x:v>9.9451534044254618E-3</x:v>
      </x:c>
      <x:c r="M36" s="3">
        <x:f>'SUBS Sales by Year (21-23)'!M36/'SUBS Sales by Year (21-23)'!M$61</x:f>
        <x:v>1.0332144608185552E-2</x:v>
      </x:c>
      <x:c r="N36" s="3">
        <x:f>'SUBS Sales by Year (21-23)'!N36/'SUBS Sales by Year (21-23)'!N$61</x:f>
        <x:v>1.0328745142641777E-2</x:v>
      </x:c>
      <x:c r="O36" s="3">
        <x:f>'SUBS Sales by Year (21-23)'!O36/'SUBS Sales by Year (21-23)'!O$61</x:f>
        <x:v>7.8322586550650039E-3</x:v>
      </x:c>
      <x:c r="P36" s="60">
        <x:f>'SUBS Sales by Year (21-23)'!P36/'SUBS Sales by Year (21-23)'!P$61</x:f>
        <x:v>1.0371025194525653E-2</x:v>
      </x:c>
      <x:c r="Q36" s="4"/>
    </x:row>
    <x:row r="37" spans="1:17" x14ac:dyDescent="0.3">
      <x:c r="A37" s="1">
        <x:f t="shared" si="0"/>
        <x:v>27</x:v>
      </x:c>
      <x:c r="B37" s="8" t="s">
        <x:v>3</x:v>
      </x:c>
      <x:c r="C37" s="2">
        <x:f>+C32</x:f>
        <x:v>2022</x:v>
      </x:c>
      <x:c r="D37" s="3">
        <x:f>'SUBS Sales by Year (21-23)'!D37/'SUBS Sales by Year (21-23)'!D62</x:f>
        <x:v>8.9610432491457163E-3</x:v>
      </x:c>
      <x:c r="E37" s="3">
        <x:f>'SUBS Sales by Year (21-23)'!E37/'SUBS Sales by Year (21-23)'!E$62</x:f>
        <x:v>9.421168839235855E-3</x:v>
      </x:c>
      <x:c r="F37" s="3">
        <x:f>'SUBS Sales by Year (21-23)'!F37/'SUBS Sales by Year (21-23)'!F$62</x:f>
        <x:v>9.5139427950822388E-3</x:v>
      </x:c>
      <x:c r="G37" s="3">
        <x:f>'SUBS Sales by Year (21-23)'!G37/'SUBS Sales by Year (21-23)'!G$62</x:f>
        <x:v>8.9242005846117758E-3</x:v>
      </x:c>
      <x:c r="H37" s="3">
        <x:f>'SUBS Sales by Year (21-23)'!H37/'SUBS Sales by Year (21-23)'!H$62</x:f>
        <x:v>7.2857831919768412E-3</x:v>
      </x:c>
      <x:c r="I37" s="3">
        <x:f>'SUBS Sales by Year (21-23)'!I37/'SUBS Sales by Year (21-23)'!I$62</x:f>
        <x:v>8.8277479763649875E-3</x:v>
      </x:c>
      <x:c r="J37" s="3">
        <x:f>'SUBS Sales by Year (21-23)'!J37/'SUBS Sales by Year (21-23)'!J$62</x:f>
        <x:v>9.2294317591528636E-3</x:v>
      </x:c>
      <x:c r="K37" s="3">
        <x:f>'SUBS Sales by Year (21-23)'!K37/'SUBS Sales by Year (21-23)'!K$62</x:f>
        <x:v>1.0541681829760024E-2</x:v>
      </x:c>
      <x:c r="L37" s="3">
        <x:f>'SUBS Sales by Year (21-23)'!L37/'SUBS Sales by Year (21-23)'!L$62</x:f>
        <x:v>9.9273861398403024E-3</x:v>
      </x:c>
      <x:c r="M37" s="3">
        <x:f>'SUBS Sales by Year (21-23)'!M37/'SUBS Sales by Year (21-23)'!M$62</x:f>
        <x:v>9.3643134294867109E-3</x:v>
      </x:c>
      <x:c r="N37" s="3">
        <x:f>'SUBS Sales by Year (21-23)'!N37/'SUBS Sales by Year (21-23)'!N$62</x:f>
        <x:v>6.2064203180201621E-3</x:v>
      </x:c>
      <x:c r="O37" s="3">
        <x:f>'SUBS Sales by Year (21-23)'!O37/'SUBS Sales by Year (21-23)'!O$62</x:f>
        <x:v>7.4838124881488298E-3</x:v>
      </x:c>
      <x:c r="P37" s="60">
        <x:f>'SUBS Sales by Year (21-23)'!P37/'SUBS Sales by Year (21-23)'!P$62</x:f>
        <x:v>8.8138722772583104E-3</x:v>
      </x:c>
    </x:row>
    <x:row r="38" spans="1:17" ht="14.4" thickBot="1" x14ac:dyDescent="0.35">
      <x:c r="A38" s="1">
        <x:f t="shared" si="0"/>
        <x:v>28</x:v>
      </x:c>
      <x:c r="B38" s="8" t="s">
        <x:v>3</x:v>
      </x:c>
      <x:c r="C38" s="2">
        <x:f>+C33</x:f>
        <x:v>2023</x:v>
      </x:c>
      <x:c r="D38" s="3">
        <x:f>'SUBS Sales by Year (21-23)'!D38/'SUBS Sales by Year (21-23)'!D63</x:f>
        <x:v>7.7373603971462278E-3</x:v>
      </x:c>
      <x:c r="E38" s="3">
        <x:f>'SUBS Sales by Year (21-23)'!E38/'SUBS Sales by Year (21-23)'!E63</x:f>
        <x:v>8.1421630774444857E-3</x:v>
      </x:c>
      <x:c r="F38" s="3">
        <x:f>'SUBS Sales by Year (21-23)'!F38/'SUBS Sales by Year (21-23)'!F63</x:f>
        <x:v>8.5126572708667005E-3</x:v>
      </x:c>
      <x:c r="G38" s="3">
        <x:f>'SUBS Sales by Year (21-23)'!G38/'SUBS Sales by Year (21-23)'!G63</x:f>
        <x:v>9.6594681316997666E-3</x:v>
      </x:c>
      <x:c r="H38" s="3">
        <x:f>'SUBS Sales by Year (21-23)'!H38/'SUBS Sales by Year (21-23)'!H63</x:f>
        <x:v>9.0143005642294403E-3</x:v>
      </x:c>
      <x:c r="I38" s="3">
        <x:f>'SUBS Sales by Year (21-23)'!I38/'SUBS Sales by Year (21-23)'!I63</x:f>
        <x:v>7.7723309576125613E-3</x:v>
      </x:c>
      <x:c r="J38" s="3">
        <x:f>'SUBS Sales by Year (21-23)'!J38/'SUBS Sales by Year (21-23)'!J63</x:f>
        <x:v>8.5125759283202953E-3</x:v>
      </x:c>
      <x:c r="K38" s="3">
        <x:f>'SUBS Sales by Year (21-23)'!K38/'SUBS Sales by Year (21-23)'!K63</x:f>
        <x:v>6.2357880416597363E-3</x:v>
      </x:c>
      <x:c r="L38" s="3">
        <x:f>'SUBS Sales by Year (21-23)'!L38/'SUBS Sales by Year (21-23)'!L63</x:f>
        <x:v>8.6508519706694001E-3</x:v>
      </x:c>
      <x:c r="M38" s="3">
        <x:f>'SUBS Sales by Year (21-23)'!M38/'SUBS Sales by Year (21-23)'!M63</x:f>
        <x:v>8.6617082314057788E-3</x:v>
      </x:c>
      <x:c r="N38" s="3">
        <x:f>'SUBS Sales by Year (21-23)'!N38/'SUBS Sales by Year (21-23)'!N63</x:f>
        <x:v>6.6167229002041909E-3</x:v>
      </x:c>
      <x:c r="O38" s="3">
        <x:f>'SUBS Sales by Year (21-23)'!O38/'SUBS Sales by Year (21-23)'!O63</x:f>
        <x:v>6.2101576558507687E-3</x:v>
      </x:c>
      <x:c r="P38" s="60">
        <x:f>'SUBS Sales by Year (21-23)'!P38/'SUBS Sales by Year (21-23)'!P63</x:f>
        <x:v>7.840226292105526E-3</x:v>
      </x:c>
    </x:row>
    <x:row r="39" spans="1:17" x14ac:dyDescent="0.3">
      <x:c r="A39" s="1">
        <x:f t="shared" si="0"/>
        <x:v>29</x:v>
      </x:c>
      <x:c r="B39" s="8" t="s">
        <x:v>3</x:v>
      </x:c>
      <x:c r="C39" s="57" t="s">
        <x:v>1</x:v>
      </x:c>
      <x:c r="D39" s="58">
        <x:f>'SUBS Sales by Year (21-23)'!D39/'SUBS Sales by Year (21-23)'!D64</x:f>
        <x:v>8.6067885131653095E-3</x:v>
      </x:c>
      <x:c r="E39" s="58">
        <x:f>'SUBS Sales by Year (21-23)'!E39/'SUBS Sales by Year (21-23)'!E64</x:f>
        <x:v>8.7123329079682784E-3</x:v>
      </x:c>
      <x:c r="F39" s="58">
        <x:f>'SUBS Sales by Year (21-23)'!F39/'SUBS Sales by Year (21-23)'!F64</x:f>
        <x:v>9.9670018246665552E-3</x:v>
      </x:c>
      <x:c r="G39" s="58">
        <x:f>'SUBS Sales by Year (21-23)'!G39/'SUBS Sales by Year (21-23)'!G64</x:f>
        <x:v>1.094744112823284E-2</x:v>
      </x:c>
      <x:c r="H39" s="58">
        <x:f>'SUBS Sales by Year (21-23)'!H39/'SUBS Sales by Year (21-23)'!H64</x:f>
        <x:v>8.5862153520945388E-3</x:v>
      </x:c>
      <x:c r="I39" s="58">
        <x:f>'SUBS Sales by Year (21-23)'!I39/'SUBS Sales by Year (21-23)'!I64</x:f>
        <x:v>8.6365655370219761E-3</x:v>
      </x:c>
      <x:c r="J39" s="58">
        <x:f>'SUBS Sales by Year (21-23)'!J39/'SUBS Sales by Year (21-23)'!J64</x:f>
        <x:v>9.6625598330997153E-3</x:v>
      </x:c>
      <x:c r="K39" s="58">
        <x:f>'SUBS Sales by Year (21-23)'!K39/'SUBS Sales by Year (21-23)'!K64</x:f>
        <x:v>8.5505164833128613E-3</x:v>
      </x:c>
      <x:c r="L39" s="58">
        <x:f>'SUBS Sales by Year (21-23)'!L39/'SUBS Sales by Year (21-23)'!L64</x:f>
        <x:v>9.4515220800293169E-3</x:v>
      </x:c>
      <x:c r="M39" s="58">
        <x:f>'SUBS Sales by Year (21-23)'!M39/'SUBS Sales by Year (21-23)'!M64</x:f>
        <x:v>9.3738400501444715E-3</x:v>
      </x:c>
      <x:c r="N39" s="58">
        <x:f>'SUBS Sales by Year (21-23)'!N39/'SUBS Sales by Year (21-23)'!N64</x:f>
        <x:v>7.5336403443094892E-3</x:v>
      </x:c>
      <x:c r="O39" s="58">
        <x:f>'SUBS Sales by Year (21-23)'!O39/'SUBS Sales by Year (21-23)'!O64</x:f>
        <x:v>7.0414120430185726E-3</x:v>
      </x:c>
      <x:c r="P39" s="61">
        <x:f>'SUBS Sales by Year (21-23)'!P39/'SUBS Sales by Year (21-23)'!P64</x:f>
        <x:v>8.8712639075337867E-3</x:v>
      </x:c>
    </x:row>
    <x:row r="40" spans="1:17" x14ac:dyDescent="0.3">
      <x:c r="A40" s="1">
        <x:f t="shared" si="0"/>
        <x:v>30</x:v>
      </x:c>
      <x:c r="B40" s="8"/>
    </x:row>
    <x:row r="41" spans="1:17" x14ac:dyDescent="0.3">
      <x:c r="A41" s="1">
        <x:f t="shared" si="0"/>
        <x:v>31</x:v>
      </x:c>
      <x:c r="B41" s="8" t="s">
        <x:v>9</x:v>
      </x:c>
      <x:c r="C41" s="2">
        <x:f>+C36</x:f>
        <x:v>2021</x:v>
      </x:c>
      <x:c r="D41" s="3">
        <x:f>'SUBS Sales by Year (21-23)'!D41/'SUBS Sales by Year (21-23)'!D61</x:f>
        <x:v>6.8289623319595386E-2</x:v>
      </x:c>
      <x:c r="E41" s="3">
        <x:f>'SUBS Sales by Year (21-23)'!E41/'SUBS Sales by Year (21-23)'!E$61</x:f>
        <x:v>6.7803116692496626E-2</x:v>
      </x:c>
      <x:c r="F41" s="3">
        <x:f>'SUBS Sales by Year (21-23)'!F41/'SUBS Sales by Year (21-23)'!F$61</x:f>
        <x:v>6.6703326043370828E-2</x:v>
      </x:c>
      <x:c r="G41" s="3">
        <x:f>'SUBS Sales by Year (21-23)'!G41/'SUBS Sales by Year (21-23)'!G$61</x:f>
        <x:v>6.6931151536071848E-2</x:v>
      </x:c>
      <x:c r="H41" s="3">
        <x:f>'SUBS Sales by Year (21-23)'!H41/'SUBS Sales by Year (21-23)'!H$61</x:f>
        <x:v>6.8099859495717563E-2</x:v>
      </x:c>
      <x:c r="I41" s="3">
        <x:f>'SUBS Sales by Year (21-23)'!I41/'SUBS Sales by Year (21-23)'!I$61</x:f>
        <x:v>6.2028379614263801E-2</x:v>
      </x:c>
      <x:c r="J41" s="3">
        <x:f>'SUBS Sales by Year (21-23)'!J41/'SUBS Sales by Year (21-23)'!J$61</x:f>
        <x:v>6.2266354329014464E-2</x:v>
      </x:c>
      <x:c r="K41" s="3">
        <x:f>'SUBS Sales by Year (21-23)'!K41/'SUBS Sales by Year (21-23)'!K$61</x:f>
        <x:v>5.1054521423477127E-2</x:v>
      </x:c>
      <x:c r="L41" s="3">
        <x:f>'SUBS Sales by Year (21-23)'!L41/'SUBS Sales by Year (21-23)'!L$61</x:f>
        <x:v>5.8184054588019243E-2</x:v>
      </x:c>
      <x:c r="M41" s="3">
        <x:f>'SUBS Sales by Year (21-23)'!M41/'SUBS Sales by Year (21-23)'!M$61</x:f>
        <x:v>5.7899654837678574E-2</x:v>
      </x:c>
      <x:c r="N41" s="3">
        <x:f>'SUBS Sales by Year (21-23)'!N41/'SUBS Sales by Year (21-23)'!N$61</x:f>
        <x:v>5.9239187346406152E-2</x:v>
      </x:c>
      <x:c r="O41" s="3">
        <x:f>'SUBS Sales by Year (21-23)'!O41/'SUBS Sales by Year (21-23)'!O$61</x:f>
        <x:v>5.3959437411016969E-2</x:v>
      </x:c>
      <x:c r="P41" s="60">
        <x:f>'SUBS Sales by Year (21-23)'!P41/'SUBS Sales by Year (21-23)'!P$61</x:f>
        <x:v>6.1251720095414297E-2</x:v>
      </x:c>
      <x:c r="Q41" s="4"/>
    </x:row>
    <x:row r="42" spans="1:17" x14ac:dyDescent="0.3">
      <x:c r="A42" s="1">
        <x:f t="shared" si="0"/>
        <x:v>32</x:v>
      </x:c>
      <x:c r="B42" s="8" t="s">
        <x:v>9</x:v>
      </x:c>
      <x:c r="C42" s="2">
        <x:f>+C37</x:f>
        <x:v>2022</x:v>
      </x:c>
      <x:c r="D42" s="3">
        <x:f>'SUBS Sales by Year (21-23)'!D42/'SUBS Sales by Year (21-23)'!D62</x:f>
        <x:v>5.8818923257922588E-2</x:v>
      </x:c>
      <x:c r="E42" s="3">
        <x:f>'SUBS Sales by Year (21-23)'!E42/'SUBS Sales by Year (21-23)'!E$62</x:f>
        <x:v>5.7685591111967777E-2</x:v>
      </x:c>
      <x:c r="F42" s="3">
        <x:f>'SUBS Sales by Year (21-23)'!F42/'SUBS Sales by Year (21-23)'!F$62</x:f>
        <x:v>5.2811003554199286E-2</x:v>
      </x:c>
      <x:c r="G42" s="3">
        <x:f>'SUBS Sales by Year (21-23)'!G42/'SUBS Sales by Year (21-23)'!G$62</x:f>
        <x:v>5.4261647919345027E-2</x:v>
      </x:c>
      <x:c r="H42" s="3">
        <x:f>'SUBS Sales by Year (21-23)'!H42/'SUBS Sales by Year (21-23)'!H$62</x:f>
        <x:v>5.0590309081600913E-2</x:v>
      </x:c>
      <x:c r="I42" s="3">
        <x:f>'SUBS Sales by Year (21-23)'!I42/'SUBS Sales by Year (21-23)'!I$62</x:f>
        <x:v>4.8821224950294777E-2</x:v>
      </x:c>
      <x:c r="J42" s="3">
        <x:f>'SUBS Sales by Year (21-23)'!J42/'SUBS Sales by Year (21-23)'!J$62</x:f>
        <x:v>4.3197862355562347E-2</x:v>
      </x:c>
      <x:c r="K42" s="3">
        <x:f>'SUBS Sales by Year (21-23)'!K42/'SUBS Sales by Year (21-23)'!K$62</x:f>
        <x:v>4.0534014882113292E-2</x:v>
      </x:c>
      <x:c r="L42" s="3">
        <x:f>'SUBS Sales by Year (21-23)'!L42/'SUBS Sales by Year (21-23)'!L$62</x:f>
        <x:v>4.3925804045956945E-2</x:v>
      </x:c>
      <x:c r="M42" s="3">
        <x:f>'SUBS Sales by Year (21-23)'!M42/'SUBS Sales by Year (21-23)'!M$62</x:f>
        <x:v>5.3630647045275155E-2</x:v>
      </x:c>
      <x:c r="N42" s="3">
        <x:f>'SUBS Sales by Year (21-23)'!N42/'SUBS Sales by Year (21-23)'!N$62</x:f>
        <x:v>5.1087440536898593E-2</x:v>
      </x:c>
      <x:c r="O42" s="3">
        <x:f>'SUBS Sales by Year (21-23)'!O42/'SUBS Sales by Year (21-23)'!O$62</x:f>
        <x:v>4.3685879038211792E-2</x:v>
      </x:c>
      <x:c r="P42" s="60">
        <x:f>'SUBS Sales by Year (21-23)'!P42/'SUBS Sales by Year (21-23)'!P$62</x:f>
        <x:v>4.9709661197466344E-2</x:v>
      </x:c>
    </x:row>
    <x:row r="43" spans="1:17" ht="14.4" thickBot="1" x14ac:dyDescent="0.35">
      <x:c r="A43" s="1">
        <x:f t="shared" si="0"/>
        <x:v>33</x:v>
      </x:c>
      <x:c r="B43" s="8" t="s">
        <x:v>9</x:v>
      </x:c>
      <x:c r="C43" s="2">
        <x:f>+C38</x:f>
        <x:v>2023</x:v>
      </x:c>
      <x:c r="D43" s="3">
        <x:f>'SUBS Sales by Year (21-23)'!D43/'SUBS Sales by Year (21-23)'!D63</x:f>
        <x:v>5.1193047753601631E-2</x:v>
      </x:c>
      <x:c r="E43" s="3">
        <x:f>'SUBS Sales by Year (21-23)'!E43/'SUBS Sales by Year (21-23)'!E63</x:f>
        <x:v>4.8682796249036979E-2</x:v>
      </x:c>
      <x:c r="F43" s="3">
        <x:f>'SUBS Sales by Year (21-23)'!F43/'SUBS Sales by Year (21-23)'!F63</x:f>
        <x:v>3.2479367813153533E-2</x:v>
      </x:c>
      <x:c r="G43" s="3">
        <x:f>'SUBS Sales by Year (21-23)'!G43/'SUBS Sales by Year (21-23)'!G63</x:f>
        <x:v>4.40334420512501E-2</x:v>
      </x:c>
      <x:c r="H43" s="3">
        <x:f>'SUBS Sales by Year (21-23)'!H43/'SUBS Sales by Year (21-23)'!H63</x:f>
        <x:v>3.5769285783727893E-2</x:v>
      </x:c>
      <x:c r="I43" s="3">
        <x:f>'SUBS Sales by Year (21-23)'!I43/'SUBS Sales by Year (21-23)'!I63</x:f>
        <x:v>3.9156537474884477E-2</x:v>
      </x:c>
      <x:c r="J43" s="3">
        <x:f>'SUBS Sales by Year (21-23)'!J43/'SUBS Sales by Year (21-23)'!J63</x:f>
        <x:v>3.7629712604918833E-2</x:v>
      </x:c>
      <x:c r="K43" s="3">
        <x:f>'SUBS Sales by Year (21-23)'!K43/'SUBS Sales by Year (21-23)'!K63</x:f>
        <x:v>2.3711021568343746E-2</x:v>
      </x:c>
      <x:c r="L43" s="3">
        <x:f>'SUBS Sales by Year (21-23)'!L43/'SUBS Sales by Year (21-23)'!L63</x:f>
        <x:v>3.4254405913085796E-2</x:v>
      </x:c>
      <x:c r="M43" s="3">
        <x:f>'SUBS Sales by Year (21-23)'!M43/'SUBS Sales by Year (21-23)'!M63</x:f>
        <x:v>3.6695325159332277E-2</x:v>
      </x:c>
      <x:c r="N43" s="3">
        <x:f>'SUBS Sales by Year (21-23)'!N43/'SUBS Sales by Year (21-23)'!N63</x:f>
        <x:v>3.3405553349554605E-2</x:v>
      </x:c>
      <x:c r="O43" s="3">
        <x:f>'SUBS Sales by Year (21-23)'!O43/'SUBS Sales by Year (21-23)'!O63</x:f>
        <x:v>3.5317096608385654E-2</x:v>
      </x:c>
      <x:c r="P43" s="60">
        <x:f>'SUBS Sales by Year (21-23)'!P43/'SUBS Sales by Year (21-23)'!P63</x:f>
        <x:v>3.6777079476926426E-2</x:v>
      </x:c>
    </x:row>
    <x:row r="44" spans="1:17" x14ac:dyDescent="0.3">
      <x:c r="A44" s="1">
        <x:f t="shared" si="0"/>
        <x:v>34</x:v>
      </x:c>
      <x:c r="B44" s="8" t="s">
        <x:v>9</x:v>
      </x:c>
      <x:c r="C44" s="57" t="s">
        <x:v>1</x:v>
      </x:c>
      <x:c r="D44" s="58">
        <x:f>'SUBS Sales by Year (21-23)'!D44/'SUBS Sales by Year (21-23)'!D64</x:f>
        <x:v>5.882837382150792E-2</x:v>
      </x:c>
      <x:c r="E44" s="58">
        <x:f>'SUBS Sales by Year (21-23)'!E44/'SUBS Sales by Year (21-23)'!E64</x:f>
        <x:v>5.718681021868155E-2</x:v>
      </x:c>
      <x:c r="F44" s="58">
        <x:f>'SUBS Sales by Year (21-23)'!F44/'SUBS Sales by Year (21-23)'!F64</x:f>
        <x:v>4.8746366680489948E-2</x:v>
      </x:c>
      <x:c r="G44" s="58">
        <x:f>'SUBS Sales by Year (21-23)'!G44/'SUBS Sales by Year (21-23)'!G64</x:f>
        <x:v>5.4126579904833133E-2</x:v>
      </x:c>
      <x:c r="H44" s="58">
        <x:f>'SUBS Sales by Year (21-23)'!H44/'SUBS Sales by Year (21-23)'!H64</x:f>
        <x:v>4.9721742154423633E-2</x:v>
      </x:c>
      <x:c r="I44" s="58">
        <x:f>'SUBS Sales by Year (21-23)'!I44/'SUBS Sales by Year (21-23)'!I64</x:f>
        <x:v>4.8828849862833104E-2</x:v>
      </x:c>
      <x:c r="J44" s="58">
        <x:f>'SUBS Sales by Year (21-23)'!J44/'SUBS Sales by Year (21-23)'!J64</x:f>
        <x:v>4.6574521329705743E-2</x:v>
      </x:c>
      <x:c r="K44" s="58">
        <x:f>'SUBS Sales by Year (21-23)'!K44/'SUBS Sales by Year (21-23)'!K64</x:f>
        <x:v>3.5978702008382719E-2</x:v>
      </x:c>
      <x:c r="L44" s="58">
        <x:f>'SUBS Sales by Year (21-23)'!L44/'SUBS Sales by Year (21-23)'!L64</x:f>
        <x:v>4.4572809613660822E-2</x:v>
      </x:c>
      <x:c r="M44" s="58">
        <x:f>'SUBS Sales by Year (21-23)'!M44/'SUBS Sales by Year (21-23)'!M64</x:f>
        <x:v>4.8189219046744218E-2</x:v>
      </x:c>
      <x:c r="N44" s="58">
        <x:f>'SUBS Sales by Year (21-23)'!N44/'SUBS Sales by Year (21-23)'!N64</x:f>
        <x:v>4.5810942260107464E-2</x:v>
      </x:c>
      <x:c r="O44" s="58">
        <x:f>'SUBS Sales by Year (21-23)'!O44/'SUBS Sales by Year (21-23)'!O64</x:f>
        <x:v>4.3008980939958662E-2</x:v>
      </x:c>
      <x:c r="P44" s="61">
        <x:f>'SUBS Sales by Year (21-23)'!P44/'SUBS Sales by Year (21-23)'!P64</x:f>
        <x:v>4.7873284392743229E-2</x:v>
      </x:c>
    </x:row>
    <x:row r="45" spans="1:17" x14ac:dyDescent="0.3">
      <x:c r="A45" s="1">
        <x:f t="shared" si="0"/>
        <x:v>35</x:v>
      </x:c>
      <x:c r="B45" s="8"/>
      <x:c r="C45" s="4"/>
    </x:row>
    <x:row r="46" spans="1:17" x14ac:dyDescent="0.3">
      <x:c r="A46" s="1">
        <x:f t="shared" si="0"/>
        <x:v>36</x:v>
      </x:c>
      <x:c r="B46" s="8" t="s">
        <x:v>4</x:v>
      </x:c>
      <x:c r="C46" s="2">
        <x:f>+C41</x:f>
        <x:v>2021</x:v>
      </x:c>
      <x:c r="D46" s="3">
        <x:f>'SUBS Sales by Year (21-23)'!D46/'SUBS Sales by Year (21-23)'!D61</x:f>
        <x:v>2.2243705535001101E-2</x:v>
      </x:c>
      <x:c r="E46" s="3">
        <x:f>'SUBS Sales by Year (21-23)'!E46/'SUBS Sales by Year (21-23)'!E$61</x:f>
        <x:v>2.1242347361472038E-2</x:v>
      </x:c>
      <x:c r="F46" s="3">
        <x:f>'SUBS Sales by Year (21-23)'!F46/'SUBS Sales by Year (21-23)'!F$61</x:f>
        <x:v>2.372354589705214E-2</x:v>
      </x:c>
      <x:c r="G46" s="3">
        <x:f>'SUBS Sales by Year (21-23)'!G46/'SUBS Sales by Year (21-23)'!G$61</x:f>
        <x:v>2.5093651648861404E-2</x:v>
      </x:c>
      <x:c r="H46" s="3">
        <x:f>'SUBS Sales by Year (21-23)'!H46/'SUBS Sales by Year (21-23)'!H$61</x:f>
        <x:v>2.5528068307288876E-2</x:v>
      </x:c>
      <x:c r="I46" s="3">
        <x:f>'SUBS Sales by Year (21-23)'!I46/'SUBS Sales by Year (21-23)'!I$61</x:f>
        <x:v>2.564288798723547E-2</x:v>
      </x:c>
      <x:c r="J46" s="3">
        <x:f>'SUBS Sales by Year (21-23)'!J46/'SUBS Sales by Year (21-23)'!J$61</x:f>
        <x:v>2.6340503877072926E-2</x:v>
      </x:c>
      <x:c r="K46" s="3">
        <x:f>'SUBS Sales by Year (21-23)'!K46/'SUBS Sales by Year (21-23)'!K$61</x:f>
        <x:v>2.0796575530728539E-2</x:v>
      </x:c>
      <x:c r="L46" s="3">
        <x:f>'SUBS Sales by Year (21-23)'!L46/'SUBS Sales by Year (21-23)'!L$61</x:f>
        <x:v>2.4993103729997846E-2</x:v>
      </x:c>
      <x:c r="M46" s="3">
        <x:f>'SUBS Sales by Year (21-23)'!M46/'SUBS Sales by Year (21-23)'!M$61</x:f>
        <x:v>2.1371571853652557E-2</x:v>
      </x:c>
      <x:c r="N46" s="3">
        <x:f>'SUBS Sales by Year (21-23)'!N46/'SUBS Sales by Year (21-23)'!N$61</x:f>
        <x:v>1.981128001011858E-2</x:v>
      </x:c>
      <x:c r="O46" s="3">
        <x:f>'SUBS Sales by Year (21-23)'!O46/'SUBS Sales by Year (21-23)'!O$61</x:f>
        <x:v>2.0949404843958935E-2</x:v>
      </x:c>
      <x:c r="P46" s="60">
        <x:f>'SUBS Sales by Year (21-23)'!P46/'SUBS Sales by Year (21-23)'!P$61</x:f>
        <x:v>2.3079227653916675E-2</x:v>
      </x:c>
      <x:c r="Q46" s="4"/>
    </x:row>
    <x:row r="47" spans="1:17" x14ac:dyDescent="0.3">
      <x:c r="A47" s="1">
        <x:f t="shared" si="0"/>
        <x:v>37</x:v>
      </x:c>
      <x:c r="B47" s="8" t="s">
        <x:v>4</x:v>
      </x:c>
      <x:c r="C47" s="2">
        <x:f>+C42</x:f>
        <x:v>2022</x:v>
      </x:c>
      <x:c r="D47" s="3">
        <x:f>'SUBS Sales by Year (21-23)'!D47/'SUBS Sales by Year (21-23)'!D62</x:f>
        <x:v>2.1793914981324099E-2</x:v>
      </x:c>
      <x:c r="E47" s="3">
        <x:f>'SUBS Sales by Year (21-23)'!E47/'SUBS Sales by Year (21-23)'!E$62</x:f>
        <x:v>1.8763252099755032E-2</x:v>
      </x:c>
      <x:c r="F47" s="3">
        <x:f>'SUBS Sales by Year (21-23)'!F47/'SUBS Sales by Year (21-23)'!F$62</x:f>
        <x:v>1.9610087129314523E-2</x:v>
      </x:c>
      <x:c r="G47" s="3">
        <x:f>'SUBS Sales by Year (21-23)'!G47/'SUBS Sales by Year (21-23)'!G$62</x:f>
        <x:v>2.1304806012930673E-2</x:v>
      </x:c>
      <x:c r="H47" s="3">
        <x:f>'SUBS Sales by Year (21-23)'!H47/'SUBS Sales by Year (21-23)'!H$62</x:f>
        <x:v>1.9031075733828933E-2</x:v>
      </x:c>
      <x:c r="I47" s="3">
        <x:f>'SUBS Sales by Year (21-23)'!I47/'SUBS Sales by Year (21-23)'!I$62</x:f>
        <x:v>2.3231734096740401E-2</x:v>
      </x:c>
      <x:c r="J47" s="3">
        <x:f>'SUBS Sales by Year (21-23)'!J47/'SUBS Sales by Year (21-23)'!J$62</x:f>
        <x:v>2.2418915015274928E-2</x:v>
      </x:c>
      <x:c r="K47" s="3">
        <x:f>'SUBS Sales by Year (21-23)'!K47/'SUBS Sales by Year (21-23)'!K$62</x:f>
        <x:v>2.1253461649988935E-2</x:v>
      </x:c>
      <x:c r="L47" s="3">
        <x:f>'SUBS Sales by Year (21-23)'!L47/'SUBS Sales by Year (21-23)'!L$62</x:f>
        <x:v>2.1359499230862625E-2</x:v>
      </x:c>
      <x:c r="M47" s="3">
        <x:f>'SUBS Sales by Year (21-23)'!M47/'SUBS Sales by Year (21-23)'!M$62</x:f>
        <x:v>1.9265684610580612E-2</x:v>
      </x:c>
      <x:c r="N47" s="3">
        <x:f>'SUBS Sales by Year (21-23)'!N47/'SUBS Sales by Year (21-23)'!N$62</x:f>
        <x:v>2.1288038819513272E-2</x:v>
      </x:c>
      <x:c r="O47" s="3">
        <x:f>'SUBS Sales by Year (21-23)'!O47/'SUBS Sales by Year (21-23)'!O$62</x:f>
        <x:v>1.9057750774712594E-2</x:v>
      </x:c>
      <x:c r="P47" s="60">
        <x:f>'SUBS Sales by Year (21-23)'!P47/'SUBS Sales by Year (21-23)'!P$62</x:f>
        <x:v>2.0696744200604571E-2</x:v>
      </x:c>
    </x:row>
    <x:row r="48" spans="1:17" ht="14.4" thickBot="1" x14ac:dyDescent="0.35">
      <x:c r="A48" s="1">
        <x:f t="shared" si="0"/>
        <x:v>38</x:v>
      </x:c>
      <x:c r="B48" s="8" t="s">
        <x:v>4</x:v>
      </x:c>
      <x:c r="C48" s="2">
        <x:f>+C43</x:f>
        <x:v>2023</x:v>
      </x:c>
      <x:c r="D48" s="3">
        <x:f>'SUBS Sales by Year (21-23)'!D48/'SUBS Sales by Year (21-23)'!D63</x:f>
        <x:v>1.9762065402571492E-2</x:v>
      </x:c>
      <x:c r="E48" s="3">
        <x:f>'SUBS Sales by Year (21-23)'!E48/'SUBS Sales by Year (21-23)'!E63</x:f>
        <x:v>2.0800219700387475E-2</x:v>
      </x:c>
      <x:c r="F48" s="3">
        <x:f>'SUBS Sales by Year (21-23)'!F48/'SUBS Sales by Year (21-23)'!F63</x:f>
        <x:v>2.2994310802641728E-2</x:v>
      </x:c>
      <x:c r="G48" s="3">
        <x:f>'SUBS Sales by Year (21-23)'!G48/'SUBS Sales by Year (21-23)'!G63</x:f>
        <x:v>1.8295225077105882E-2</x:v>
      </x:c>
      <x:c r="H48" s="3">
        <x:f>'SUBS Sales by Year (21-23)'!H48/'SUBS Sales by Year (21-23)'!H63</x:f>
        <x:v>1.7813969565693942E-2</x:v>
      </x:c>
      <x:c r="I48" s="3">
        <x:f>'SUBS Sales by Year (21-23)'!I48/'SUBS Sales by Year (21-23)'!I63</x:f>
        <x:v>1.8270972182542672E-2</x:v>
      </x:c>
      <x:c r="J48" s="3">
        <x:f>'SUBS Sales by Year (21-23)'!J48/'SUBS Sales by Year (21-23)'!J63</x:f>
        <x:v>1.7747533308733139E-2</x:v>
      </x:c>
      <x:c r="K48" s="3">
        <x:f>'SUBS Sales by Year (21-23)'!K48/'SUBS Sales by Year (21-23)'!K63</x:f>
        <x:v>1.2313139586326956E-2</x:v>
      </x:c>
      <x:c r="L48" s="3">
        <x:f>'SUBS Sales by Year (21-23)'!L48/'SUBS Sales by Year (21-23)'!L63</x:f>
        <x:v>1.8149286872643798E-2</x:v>
      </x:c>
      <x:c r="M48" s="3">
        <x:f>'SUBS Sales by Year (21-23)'!M48/'SUBS Sales by Year (21-23)'!M63</x:f>
        <x:v>1.6020229710039812E-2</x:v>
      </x:c>
      <x:c r="N48" s="3">
        <x:f>'SUBS Sales by Year (21-23)'!N48/'SUBS Sales by Year (21-23)'!N63</x:f>
        <x:v>1.503361206625177E-2</x:v>
      </x:c>
      <x:c r="O48" s="3">
        <x:f>'SUBS Sales by Year (21-23)'!O48/'SUBS Sales by Year (21-23)'!O63</x:f>
        <x:v>1.5444813448000668E-2</x:v>
      </x:c>
      <x:c r="P48" s="60">
        <x:f>'SUBS Sales by Year (21-23)'!P48/'SUBS Sales by Year (21-23)'!P63</x:f>
        <x:v>1.7272067735392527E-2</x:v>
      </x:c>
    </x:row>
    <x:row r="49" spans="1:17" x14ac:dyDescent="0.3">
      <x:c r="A49" s="1">
        <x:f t="shared" si="0"/>
        <x:v>39</x:v>
      </x:c>
      <x:c r="B49" s="8" t="s">
        <x:v>4</x:v>
      </x:c>
      <x:c r="C49" s="57" t="s">
        <x:v>1</x:v>
      </x:c>
      <x:c r="D49" s="58">
        <x:f>'SUBS Sales by Year (21-23)'!D49/'SUBS Sales by Year (21-23)'!D64</x:f>
        <x:v>2.1181036292996135E-2</x:v>
      </x:c>
      <x:c r="E49" s="58">
        <x:f>'SUBS Sales by Year (21-23)'!E49/'SUBS Sales by Year (21-23)'!E64</x:f>
        <x:v>2.0212328165085062E-2</x:v>
      </x:c>
      <x:c r="F49" s="58">
        <x:f>'SUBS Sales by Year (21-23)'!F49/'SUBS Sales by Year (21-23)'!F64</x:f>
        <x:v>2.1882600821757477E-2</x:v>
      </x:c>
      <x:c r="G49" s="58">
        <x:f>'SUBS Sales by Year (21-23)'!G49/'SUBS Sales by Year (21-23)'!G64</x:f>
        <x:v>2.1282688501334343E-2</x:v>
      </x:c>
      <x:c r="H49" s="58">
        <x:f>'SUBS Sales by Year (21-23)'!H49/'SUBS Sales by Year (21-23)'!H64</x:f>
        <x:v>2.0355611368189322E-2</x:v>
      </x:c>
      <x:c r="I49" s="58">
        <x:f>'SUBS Sales by Year (21-23)'!I49/'SUBS Sales by Year (21-23)'!I64</x:f>
        <x:v>2.1973645669284659E-2</x:v>
      </x:c>
      <x:c r="J49" s="58">
        <x:f>'SUBS Sales by Year (21-23)'!J49/'SUBS Sales by Year (21-23)'!J64</x:f>
        <x:v>2.1736229933253554E-2</x:v>
      </x:c>
      <x:c r="K49" s="58">
        <x:f>'SUBS Sales by Year (21-23)'!K49/'SUBS Sales by Year (21-23)'!K64</x:f>
        <x:v>1.714217604183477E-2</x:v>
      </x:c>
      <x:c r="L49" s="58">
        <x:f>'SUBS Sales by Year (21-23)'!L49/'SUBS Sales by Year (21-23)'!L64</x:f>
        <x:v>2.1243341539772607E-2</x:v>
      </x:c>
      <x:c r="M49" s="58">
        <x:f>'SUBS Sales by Year (21-23)'!M49/'SUBS Sales by Year (21-23)'!M64</x:f>
        <x:v>1.8606077539897618E-2</x:v>
      </x:c>
      <x:c r="N49" s="58">
        <x:f>'SUBS Sales by Year (21-23)'!N49/'SUBS Sales by Year (21-23)'!N64</x:f>
        <x:v>1.8203248108752294E-2</x:v>
      </x:c>
      <x:c r="O49" s="58">
        <x:f>'SUBS Sales by Year (21-23)'!O49/'SUBS Sales by Year (21-23)'!O64</x:f>
        <x:v>1.8055082609131599E-2</x:v>
      </x:c>
      <x:c r="P49" s="61">
        <x:f>'SUBS Sales by Year (21-23)'!P49/'SUBS Sales by Year (21-23)'!P64</x:f>
        <x:v>2.0018851865283981E-2</x:v>
      </x:c>
    </x:row>
    <x:row r="50" spans="1:17" x14ac:dyDescent="0.3">
      <x:c r="A50" s="1">
        <x:f t="shared" si="0"/>
        <x:v>40</x:v>
      </x:c>
      <x:c r="B50" s="8"/>
    </x:row>
    <x:row r="51" spans="1:17" x14ac:dyDescent="0.3">
      <x:c r="A51" s="1">
        <x:f t="shared" si="0"/>
        <x:v>41</x:v>
      </x:c>
      <x:c r="B51" s="8" t="s">
        <x:v>2</x:v>
      </x:c>
      <x:c r="C51" s="2">
        <x:f>+C46</x:f>
        <x:v>2021</x:v>
      </x:c>
      <x:c r="D51" s="3">
        <x:f>'SUBS Sales by Year (21-23)'!D51/'SUBS Sales by Year (21-23)'!D61</x:f>
        <x:v>0.65051020838474272</x:v>
      </x:c>
      <x:c r="E51" s="3">
        <x:f>'SUBS Sales by Year (21-23)'!E51/'SUBS Sales by Year (21-23)'!E$61</x:f>
        <x:v>0.64263407394552008</x:v>
      </x:c>
      <x:c r="F51" s="3">
        <x:f>'SUBS Sales by Year (21-23)'!F51/'SUBS Sales by Year (21-23)'!F$61</x:f>
        <x:v>0.5959964396579811</x:v>
      </x:c>
      <x:c r="G51" s="3">
        <x:f>'SUBS Sales by Year (21-23)'!G51/'SUBS Sales by Year (21-23)'!G$61</x:f>
        <x:v>0.61341578080448012</x:v>
      </x:c>
      <x:c r="H51" s="3">
        <x:f>'SUBS Sales by Year (21-23)'!H51/'SUBS Sales by Year (21-23)'!H$61</x:f>
        <x:v>0.6195500988040733</x:v>
      </x:c>
      <x:c r="I51" s="3">
        <x:f>'SUBS Sales by Year (21-23)'!I51/'SUBS Sales by Year (21-23)'!I$61</x:f>
        <x:v>0.62982179226489421</x:v>
      </x:c>
      <x:c r="J51" s="3">
        <x:f>'SUBS Sales by Year (21-23)'!J51/'SUBS Sales by Year (21-23)'!J$61</x:f>
        <x:v>0.62406534769809174</x:v>
      </x:c>
      <x:c r="K51" s="3">
        <x:f>'SUBS Sales by Year (21-23)'!K51/'SUBS Sales by Year (21-23)'!K$61</x:f>
        <x:v>0.67211923734827184</x:v>
      </x:c>
      <x:c r="L51" s="3">
        <x:f>'SUBS Sales by Year (21-23)'!L51/'SUBS Sales by Year (21-23)'!L$61</x:f>
        <x:v>0.6221511046238748</x:v>
      </x:c>
      <x:c r="M51" s="3">
        <x:f>'SUBS Sales by Year (21-23)'!M51/'SUBS Sales by Year (21-23)'!M$61</x:f>
        <x:v>0.62684265372590708</x:v>
      </x:c>
      <x:c r="N51" s="3">
        <x:f>'SUBS Sales by Year (21-23)'!N51/'SUBS Sales by Year (21-23)'!N$61</x:f>
        <x:v>0.62369814055534045</x:v>
      </x:c>
      <x:c r="O51" s="3">
        <x:f>'SUBS Sales by Year (21-23)'!O51/'SUBS Sales by Year (21-23)'!O$61</x:f>
        <x:v>0.63961977172291029</x:v>
      </x:c>
      <x:c r="P51" s="60">
        <x:f>'SUBS Sales by Year (21-23)'!P51/'SUBS Sales by Year (21-23)'!P$61</x:f>
        <x:v>0.63140895798854157</x:v>
      </x:c>
      <x:c r="Q51" s="4"/>
    </x:row>
    <x:row r="52" spans="1:17" x14ac:dyDescent="0.3">
      <x:c r="A52" s="1">
        <x:f t="shared" si="0"/>
        <x:v>42</x:v>
      </x:c>
      <x:c r="B52" s="8" t="s">
        <x:v>2</x:v>
      </x:c>
      <x:c r="C52" s="2">
        <x:f>+C47</x:f>
        <x:v>2022</x:v>
      </x:c>
      <x:c r="D52" s="3">
        <x:f>'SUBS Sales by Year (21-23)'!D52/'SUBS Sales by Year (21-23)'!D62</x:f>
        <x:v>0.64584670923851506</x:v>
      </x:c>
      <x:c r="E52" s="3">
        <x:f>'SUBS Sales by Year (21-23)'!E52/'SUBS Sales by Year (21-23)'!E$62</x:f>
        <x:v>0.65905100335647604</x:v>
      </x:c>
      <x:c r="F52" s="3">
        <x:f>'SUBS Sales by Year (21-23)'!F52/'SUBS Sales by Year (21-23)'!F$62</x:f>
        <x:v>0.67423313712859068</x:v>
      </x:c>
      <x:c r="G52" s="3">
        <x:f>'SUBS Sales by Year (21-23)'!G52/'SUBS Sales by Year (21-23)'!G$62</x:f>
        <x:v>0.64984025632190623</x:v>
      </x:c>
      <x:c r="H52" s="3">
        <x:f>'SUBS Sales by Year (21-23)'!H52/'SUBS Sales by Year (21-23)'!H$62</x:f>
        <x:v>0.66039976125671063</x:v>
      </x:c>
      <x:c r="I52" s="3">
        <x:f>'SUBS Sales by Year (21-23)'!I52/'SUBS Sales by Year (21-23)'!I$62</x:f>
        <x:v>0.66118222871336663</x:v>
      </x:c>
      <x:c r="J52" s="3">
        <x:f>'SUBS Sales by Year (21-23)'!J52/'SUBS Sales by Year (21-23)'!J$62</x:f>
        <x:v>0.62753315062737292</x:v>
      </x:c>
      <x:c r="K52" s="3">
        <x:f>'SUBS Sales by Year (21-23)'!K52/'SUBS Sales by Year (21-23)'!K$62</x:f>
        <x:v>0.62761463209101687</x:v>
      </x:c>
      <x:c r="L52" s="3">
        <x:f>'SUBS Sales by Year (21-23)'!L52/'SUBS Sales by Year (21-23)'!L$62</x:f>
        <x:v>0.6316677988871866</x:v>
      </x:c>
      <x:c r="M52" s="3">
        <x:f>'SUBS Sales by Year (21-23)'!M52/'SUBS Sales by Year (21-23)'!M$62</x:f>
        <x:v>0.64845796359943908</x:v>
      </x:c>
      <x:c r="N52" s="3">
        <x:f>'SUBS Sales by Year (21-23)'!N52/'SUBS Sales by Year (21-23)'!N$62</x:f>
        <x:v>0.64117897868189311</x:v>
      </x:c>
      <x:c r="O52" s="3">
        <x:f>'SUBS Sales by Year (21-23)'!O52/'SUBS Sales by Year (21-23)'!O$62</x:f>
        <x:v>0.67916772347446774</x:v>
      </x:c>
      <x:c r="P52" s="60">
        <x:f>'SUBS Sales by Year (21-23)'!P52/'SUBS Sales by Year (21-23)'!P$62</x:f>
        <x:v>0.6503575413496453</x:v>
      </x:c>
    </x:row>
    <x:row r="53" spans="1:17" ht="14.4" thickBot="1" x14ac:dyDescent="0.35">
      <x:c r="A53" s="1">
        <x:f t="shared" si="0"/>
        <x:v>43</x:v>
      </x:c>
      <x:c r="B53" s="8" t="s">
        <x:v>2</x:v>
      </x:c>
      <x:c r="C53" s="2">
        <x:f>+C48</x:f>
        <x:v>2023</x:v>
      </x:c>
      <x:c r="D53" s="3">
        <x:f>'SUBS Sales by Year (21-23)'!D53/'SUBS Sales by Year (21-23)'!D63</x:f>
        <x:v>0.6601652104364194</x:v>
      </x:c>
      <x:c r="E53" s="3">
        <x:f>'SUBS Sales by Year (21-23)'!E53/'SUBS Sales by Year (21-23)'!E63</x:f>
        <x:v>0.66138834547114145</x:v>
      </x:c>
      <x:c r="F53" s="3">
        <x:f>'SUBS Sales by Year (21-23)'!F53/'SUBS Sales by Year (21-23)'!F63</x:f>
        <x:v>0.67019698715761244</x:v>
      </x:c>
      <x:c r="G53" s="3">
        <x:f>'SUBS Sales by Year (21-23)'!G53/'SUBS Sales by Year (21-23)'!G63</x:f>
        <x:v>0.65609280641779444</x:v>
      </x:c>
      <x:c r="H53" s="3">
        <x:f>'SUBS Sales by Year (21-23)'!H53/'SUBS Sales by Year (21-23)'!H63</x:f>
        <x:v>0.67132454859910273</x:v>
      </x:c>
      <x:c r="I53" s="3">
        <x:f>'SUBS Sales by Year (21-23)'!I53/'SUBS Sales by Year (21-23)'!I63</x:f>
        <x:v>0.67719460666011089</x:v>
      </x:c>
      <x:c r="J53" s="3">
        <x:f>'SUBS Sales by Year (21-23)'!J53/'SUBS Sales by Year (21-23)'!J63</x:f>
        <x:v>0.66863745481773962</x:v>
      </x:c>
      <x:c r="K53" s="3">
        <x:f>'SUBS Sales by Year (21-23)'!K53/'SUBS Sales by Year (21-23)'!K63</x:f>
        <x:v>0.75159327508481222</x:v>
      </x:c>
      <x:c r="L53" s="3">
        <x:f>'SUBS Sales by Year (21-23)'!L53/'SUBS Sales by Year (21-23)'!L63</x:f>
        <x:v>0.63780978224557683</x:v>
      </x:c>
      <x:c r="M53" s="3">
        <x:f>'SUBS Sales by Year (21-23)'!M53/'SUBS Sales by Year (21-23)'!M63</x:f>
        <x:v>0.65803183042131497</x:v>
      </x:c>
      <x:c r="N53" s="3">
        <x:f>'SUBS Sales by Year (21-23)'!N53/'SUBS Sales by Year (21-23)'!N63</x:f>
        <x:v>0.70702715600633659</x:v>
      </x:c>
      <x:c r="O53" s="3">
        <x:f>'SUBS Sales by Year (21-23)'!O53/'SUBS Sales by Year (21-23)'!O63</x:f>
        <x:v>0.72410899703031473</x:v>
      </x:c>
      <x:c r="P53" s="60">
        <x:f>'SUBS Sales by Year (21-23)'!P53/'SUBS Sales by Year (21-23)'!P63</x:f>
        <x:v>0.6832215105753674</x:v>
      </x:c>
    </x:row>
    <x:row r="54" spans="1:17" x14ac:dyDescent="0.3">
      <x:c r="A54" s="1">
        <x:f t="shared" si="0"/>
        <x:v>44</x:v>
      </x:c>
      <x:c r="B54" s="8" t="s">
        <x:v>2</x:v>
      </x:c>
      <x:c r="C54" s="57" t="s">
        <x:v>1</x:v>
      </x:c>
      <x:c r="D54" s="58">
        <x:f>'SUBS Sales by Year (21-23)'!D54/'SUBS Sales by Year (21-23)'!D64</x:f>
        <x:v>0.65249039528870489</x:v>
      </x:c>
      <x:c r="E54" s="58">
        <x:f>'SUBS Sales by Year (21-23)'!E54/'SUBS Sales by Year (21-23)'!E64</x:f>
        <x:v>0.65531605833670348</x:v>
      </x:c>
      <x:c r="F54" s="58">
        <x:f>'SUBS Sales by Year (21-23)'!F54/'SUBS Sales by Year (21-23)'!F64</x:f>
        <x:v>0.6533101125965628</x:v>
      </x:c>
      <x:c r="G54" s="58">
        <x:f>'SUBS Sales by Year (21-23)'!G54/'SUBS Sales by Year (21-23)'!G64</x:f>
        <x:v>0.64162652647618634</x:v>
      </x:c>
      <x:c r="H54" s="58">
        <x:f>'SUBS Sales by Year (21-23)'!H54/'SUBS Sales by Year (21-23)'!H64</x:f>
        <x:v>0.65333017828954043</x:v>
      </x:c>
      <x:c r="I54" s="58">
        <x:f>'SUBS Sales by Year (21-23)'!I54/'SUBS Sales by Year (21-23)'!I64</x:f>
        <x:v>0.65843088967358931</x:v>
      </x:c>
      <x:c r="J54" s="58">
        <x:f>'SUBS Sales by Year (21-23)'!J54/'SUBS Sales by Year (21-23)'!J64</x:f>
        <x:v>0.64257626644176835</x:v>
      </x:c>
      <x:c r="K54" s="58">
        <x:f>'SUBS Sales by Year (21-23)'!K54/'SUBS Sales by Year (21-23)'!K64</x:f>
        <x:v>0.69529586374122698</x:v>
      </x:c>
      <x:c r="L54" s="58">
        <x:f>'SUBS Sales by Year (21-23)'!L54/'SUBS Sales by Year (21-23)'!L64</x:f>
        <x:v>0.63111788420200987</x:v>
      </x:c>
      <x:c r="M54" s="58">
        <x:f>'SUBS Sales by Year (21-23)'!M54/'SUBS Sales by Year (21-23)'!M64</x:f>
        <x:v>0.64582058286249466</x:v>
      </x:c>
      <x:c r="N54" s="58">
        <x:f>'SUBS Sales by Year (21-23)'!N54/'SUBS Sales by Year (21-23)'!N64</x:f>
        <x:v>0.66442709576302028</x:v>
      </x:c>
      <x:c r="O54" s="58">
        <x:f>'SUBS Sales by Year (21-23)'!O54/'SUBS Sales by Year (21-23)'!O64</x:f>
        <x:v>0.68716608384321543</x:v>
      </x:c>
      <x:c r="P54" s="61">
        <x:f>'SUBS Sales by Year (21-23)'!P54/'SUBS Sales by Year (21-23)'!P64</x:f>
        <x:v>0.65797552972543016</x:v>
      </x:c>
    </x:row>
    <x:row r="55" spans="1:17" x14ac:dyDescent="0.3">
      <x:c r="A55" s="1">
        <x:f t="shared" si="0"/>
        <x:v>45</x:v>
      </x:c>
      <x:c r="B55" s="8"/>
      <x:c r="C55" s="4"/>
    </x:row>
    <x:row r="56" spans="1:17" x14ac:dyDescent="0.3">
      <x:c r="A56" s="1">
        <x:f t="shared" si="0"/>
        <x:v>46</x:v>
      </x:c>
      <x:c r="B56" s="8" t="s">
        <x:v>45</x:v>
      </x:c>
      <x:c r="C56" s="2">
        <x:f>+C51</x:f>
        <x:v>2021</x:v>
      </x:c>
      <x:c r="D56" s="3">
        <x:f>'SUBS Sales by Year (21-23)'!D56/'SUBS Sales by Year (21-23)'!D61</x:f>
        <x:v>4.0003116325515054E-3</x:v>
      </x:c>
      <x:c r="E56" s="3">
        <x:f>'SUBS Sales by Year (21-23)'!E56/'SUBS Sales by Year (21-23)'!E$61</x:f>
        <x:v>3.6167925356169069E-3</x:v>
      </x:c>
      <x:c r="F56" s="3">
        <x:f>'SUBS Sales by Year (21-23)'!F56/'SUBS Sales by Year (21-23)'!F$61</x:f>
        <x:v>4.0646535457479786E-3</x:v>
      </x:c>
      <x:c r="G56" s="3">
        <x:f>'SUBS Sales by Year (21-23)'!G56/'SUBS Sales by Year (21-23)'!G$61</x:f>
        <x:v>5.4861436691520079E-3</x:v>
      </x:c>
      <x:c r="H56" s="3">
        <x:f>'SUBS Sales by Year (21-23)'!H56/'SUBS Sales by Year (21-23)'!H$61</x:f>
        <x:v>7.3410444422585455E-3</x:v>
      </x:c>
      <x:c r="I56" s="3">
        <x:f>'SUBS Sales by Year (21-23)'!I56/'SUBS Sales by Year (21-23)'!I$61</x:f>
        <x:v>9.4974220916883567E-3</x:v>
      </x:c>
      <x:c r="J56" s="3">
        <x:f>'SUBS Sales by Year (21-23)'!J56/'SUBS Sales by Year (21-23)'!J$61</x:f>
        <x:v>9.2618471940659475E-3</x:v>
      </x:c>
      <x:c r="K56" s="3">
        <x:f>'SUBS Sales by Year (21-23)'!K56/'SUBS Sales by Year (21-23)'!K$61</x:f>
        <x:v>7.4603282856929038E-3</x:v>
      </x:c>
      <x:c r="L56" s="3">
        <x:f>'SUBS Sales by Year (21-23)'!L56/'SUBS Sales by Year (21-23)'!L$61</x:f>
        <x:v>7.7543206458525089E-3</x:v>
      </x:c>
      <x:c r="M56" s="3">
        <x:f>'SUBS Sales by Year (21-23)'!M56/'SUBS Sales by Year (21-23)'!M$61</x:f>
        <x:v>4.3480902476367251E-3</x:v>
      </x:c>
      <x:c r="N56" s="3">
        <x:f>'SUBS Sales by Year (21-23)'!N56/'SUBS Sales by Year (21-23)'!N$61</x:f>
        <x:v>7.0202017507058666E-3</x:v>
      </x:c>
      <x:c r="O56" s="3">
        <x:f>'SUBS Sales by Year (21-23)'!O56/'SUBS Sales by Year (21-23)'!O$61</x:f>
        <x:v>4.6291975905781123E-3</x:v>
      </x:c>
      <x:c r="P56" s="60">
        <x:f>'SUBS Sales by Year (21-23)'!P56/'SUBS Sales by Year (21-23)'!P$61</x:f>
        <x:v>6.3327975743898311E-3</x:v>
      </x:c>
    </x:row>
    <x:row r="57" spans="1:17" x14ac:dyDescent="0.3">
      <x:c r="A57" s="1">
        <x:f t="shared" si="0"/>
        <x:v>47</x:v>
      </x:c>
      <x:c r="B57" s="8" t="s">
        <x:v>45</x:v>
      </x:c>
      <x:c r="C57" s="2">
        <x:f>+C52</x:f>
        <x:v>2022</x:v>
      </x:c>
      <x:c r="D57" s="3">
        <x:f>'SUBS Sales by Year (21-23)'!D57/'SUBS Sales by Year (21-23)'!D62</x:f>
        <x:v>3.711081768418095E-3</x:v>
      </x:c>
      <x:c r="E57" s="3">
        <x:f>'SUBS Sales by Year (21-23)'!E57/'SUBS Sales by Year (21-23)'!E$62</x:f>
        <x:v>3.4518152101790092E-3</x:v>
      </x:c>
      <x:c r="F57" s="3">
        <x:f>'SUBS Sales by Year (21-23)'!F57/'SUBS Sales by Year (21-23)'!F$62</x:f>
        <x:v>3.4141506898741855E-3</x:v>
      </x:c>
      <x:c r="G57" s="3">
        <x:f>'SUBS Sales by Year (21-23)'!G57/'SUBS Sales by Year (21-23)'!G$62</x:f>
        <x:v>4.8149913804503173E-3</x:v>
      </x:c>
      <x:c r="H57" s="3">
        <x:f>'SUBS Sales by Year (21-23)'!H57/'SUBS Sales by Year (21-23)'!H$62</x:f>
        <x:v>8.5623211743064455E-3</x:v>
      </x:c>
      <x:c r="I57" s="3">
        <x:f>'SUBS Sales by Year (21-23)'!I57/'SUBS Sales by Year (21-23)'!I$62</x:f>
        <x:v>1.1352892928498821E-2</x:v>
      </x:c>
      <x:c r="J57" s="3">
        <x:f>'SUBS Sales by Year (21-23)'!J57/'SUBS Sales by Year (21-23)'!J$62</x:f>
        <x:v>1.087712060009729E-2</x:v>
      </x:c>
      <x:c r="K57" s="3">
        <x:f>'SUBS Sales by Year (21-23)'!K57/'SUBS Sales by Year (21-23)'!K$62</x:f>
        <x:v>1.353836556199728E-2</x:v>
      </x:c>
      <x:c r="L57" s="3">
        <x:f>'SUBS Sales by Year (21-23)'!L57/'SUBS Sales by Year (21-23)'!L$62</x:f>
        <x:v>1.061010445662176E-2</x:v>
      </x:c>
      <x:c r="M57" s="3">
        <x:f>'SUBS Sales by Year (21-23)'!M57/'SUBS Sales by Year (21-23)'!M$62</x:f>
        <x:v>8.5093052452463978E-3</x:v>
      </x:c>
      <x:c r="N57" s="3">
        <x:f>'SUBS Sales by Year (21-23)'!N57/'SUBS Sales by Year (21-23)'!N$62</x:f>
        <x:v>8.7452396763724339E-3</x:v>
      </x:c>
      <x:c r="O57" s="3">
        <x:f>'SUBS Sales by Year (21-23)'!O57/'SUBS Sales by Year (21-23)'!O$62</x:f>
        <x:v>7.6252436374386169E-3</x:v>
      </x:c>
      <x:c r="P57" s="60">
        <x:f>'SUBS Sales by Year (21-23)'!P57/'SUBS Sales by Year (21-23)'!P$62</x:f>
        <x:v>8.0350665843147064E-3</x:v>
      </x:c>
    </x:row>
    <x:row r="58" spans="1:17" ht="14.4" thickBot="1" x14ac:dyDescent="0.35">
      <x:c r="A58" s="1">
        <x:f t="shared" si="0"/>
        <x:v>48</x:v>
      </x:c>
      <x:c r="B58" s="8" t="s">
        <x:v>45</x:v>
      </x:c>
      <x:c r="C58" s="2">
        <x:f>+C53</x:f>
        <x:v>2023</x:v>
      </x:c>
      <x:c r="D58" s="3">
        <x:f>'SUBS Sales by Year (21-23)'!D58/'SUBS Sales by Year (21-23)'!D63</x:f>
        <x:v>2.6201769035603395E-2</x:v>
      </x:c>
      <x:c r="E58" s="3">
        <x:f>'SUBS Sales by Year (21-23)'!E58/'SUBS Sales by Year (21-23)'!E63</x:f>
        <x:v>1.4152441048259119E-2</x:v>
      </x:c>
      <x:c r="F58" s="3">
        <x:f>'SUBS Sales by Year (21-23)'!F58/'SUBS Sales by Year (21-23)'!F63</x:f>
        <x:v>1.6068267643787795E-2</x:v>
      </x:c>
      <x:c r="G58" s="3">
        <x:f>'SUBS Sales by Year (21-23)'!G58/'SUBS Sales by Year (21-23)'!G63</x:f>
        <x:v>1.5900905960334888E-2</x:v>
      </x:c>
      <x:c r="H58" s="3">
        <x:f>'SUBS Sales by Year (21-23)'!H58/'SUBS Sales by Year (21-23)'!H63</x:f>
        <x:v>1.4868926289289557E-2</x:v>
      </x:c>
      <x:c r="I58" s="3">
        <x:f>'SUBS Sales by Year (21-23)'!I58/'SUBS Sales by Year (21-23)'!I63</x:f>
        <x:v>1.5455558539001192E-2</x:v>
      </x:c>
      <x:c r="J58" s="3">
        <x:f>'SUBS Sales by Year (21-23)'!J58/'SUBS Sales by Year (21-23)'!J63</x:f>
        <x:v>1.3064405030785368E-2</x:v>
      </x:c>
      <x:c r="K58" s="3">
        <x:f>'SUBS Sales by Year (21-23)'!K58/'SUBS Sales by Year (21-23)'!K63</x:f>
        <x:v>8.2809942565084341E-3</x:v>
      </x:c>
      <x:c r="L58" s="3">
        <x:f>'SUBS Sales by Year (21-23)'!L58/'SUBS Sales by Year (21-23)'!L63</x:f>
        <x:v>1.2291841786238201E-2</x:v>
      </x:c>
      <x:c r="M58" s="3">
        <x:f>'SUBS Sales by Year (21-23)'!M58/'SUBS Sales by Year (21-23)'!M63</x:f>
        <x:v>1.1638949412774812E-2</x:v>
      </x:c>
      <x:c r="N58" s="3">
        <x:f>'SUBS Sales by Year (21-23)'!N58/'SUBS Sales by Year (21-23)'!N63</x:f>
        <x:v>9.7506165399811016E-3</x:v>
      </x:c>
      <x:c r="O58" s="3">
        <x:f>'SUBS Sales by Year (21-23)'!O58/'SUBS Sales by Year (21-23)'!O63</x:f>
        <x:v>7.1743877246457956E-3</x:v>
      </x:c>
      <x:c r="P58" s="60">
        <x:f>'SUBS Sales by Year (21-23)'!P58/'SUBS Sales by Year (21-23)'!P63</x:f>
        <x:v>1.3108746457873533E-2</x:v>
      </x:c>
    </x:row>
    <x:row r="59" spans="1:17" x14ac:dyDescent="0.3">
      <x:c r="A59" s="1">
        <x:f t="shared" si="0"/>
        <x:v>49</x:v>
      </x:c>
      <x:c r="B59" s="8" t="s">
        <x:v>45</x:v>
      </x:c>
      <x:c r="C59" s="57" t="s">
        <x:v>1</x:v>
      </x:c>
      <x:c r="D59" s="58">
        <x:f>'SUBS Sales by Year (21-23)'!D59/'SUBS Sales by Year (21-23)'!D64</x:f>
        <x:v>1.2058500985016346E-2</x:v>
      </x:c>
      <x:c r="E59" s="58">
        <x:f>'SUBS Sales by Year (21-23)'!E59/'SUBS Sales by Year (21-23)'!E64</x:f>
        <x:v>7.4608386939913288E-3</x:v>
      </x:c>
      <x:c r="F59" s="58">
        <x:f>'SUBS Sales by Year (21-23)'!F59/'SUBS Sales by Year (21-23)'!F64</x:f>
        <x:v>8.2529335766341541E-3</x:v>
      </x:c>
      <x:c r="G59" s="58">
        <x:f>'SUBS Sales by Year (21-23)'!G59/'SUBS Sales by Year (21-23)'!G64</x:f>
        <x:v>9.1278488383019565E-3</x:v>
      </x:c>
      <x:c r="H59" s="58">
        <x:f>'SUBS Sales by Year (21-23)'!H59/'SUBS Sales by Year (21-23)'!H64</x:f>
        <x:v>1.0650656288193715E-2</x:v>
      </x:c>
      <x:c r="I59" s="58">
        <x:f>'SUBS Sales by Year (21-23)'!I59/'SUBS Sales by Year (21-23)'!I64</x:f>
        <x:v>1.2433409227827399E-2</x:v>
      </x:c>
      <x:c r="J59" s="58">
        <x:f>'SUBS Sales by Year (21-23)'!J59/'SUBS Sales by Year (21-23)'!J64</x:f>
        <x:v>1.126109327318022E-2</x:v>
      </x:c>
      <x:c r="K59" s="58">
        <x:f>'SUBS Sales by Year (21-23)'!K59/'SUBS Sales by Year (21-23)'!K64</x:f>
        <x:v>9.4969413704781222E-3</x:v>
      </x:c>
      <x:c r="L59" s="58">
        <x:f>'SUBS Sales by Year (21-23)'!L59/'SUBS Sales by Year (21-23)'!L64</x:f>
        <x:v>1.0384258255589309E-2</x:v>
      </x:c>
      <x:c r="M59" s="58">
        <x:f>'SUBS Sales by Year (21-23)'!M59/'SUBS Sales by Year (21-23)'!M64</x:f>
        <x:v>8.5114541419330243E-3</x:v>
      </x:c>
      <x:c r="N59" s="58">
        <x:f>'SUBS Sales by Year (21-23)'!N59/'SUBS Sales by Year (21-23)'!N64</x:f>
        <x:v>8.6927389928201284E-3</x:v>
      </x:c>
      <x:c r="O59" s="58">
        <x:f>'SUBS Sales by Year (21-23)'!O59/'SUBS Sales by Year (21-23)'!O64</x:f>
        <x:v>6.597380183308783E-3</x:v>
      </x:c>
      <x:c r="P59" s="61">
        <x:f>'SUBS Sales by Year (21-23)'!P59/'SUBS Sales by Year (21-23)'!P64</x:f>
        <x:v>9.5588755992415345E-3</x:v>
      </x:c>
    </x:row>
    <x:row r="60" spans="1:17" x14ac:dyDescent="0.3">
      <x:c r="A60" s="1">
        <x:f t="shared" si="0"/>
        <x:v>50</x:v>
      </x:c>
    </x:row>
    <x:row r="61" spans="1:17" x14ac:dyDescent="0.3">
      <x:c r="A61" s="1">
        <x:f t="shared" si="0"/>
        <x:v>51</x:v>
      </x:c>
      <x:c r="B61" s="1" t="s">
        <x:v>34</x:v>
      </x:c>
      <x:c r="C61" s="2">
        <x:f>+C56</x:f>
        <x:v>2021</x:v>
      </x:c>
      <x:c r="D61" s="11">
        <x:f t="shared" ref="D61:O61" si="1">SUM(D26,D31,D36,D41,D46,D51,D56,D21,D16,D11)</x:f>
        <x:v>1</x:v>
      </x:c>
      <x:c r="E61" s="11">
        <x:f t="shared" si="1"/>
        <x:v>1</x:v>
      </x:c>
      <x:c r="F61" s="11">
        <x:f t="shared" si="1"/>
        <x:v>1</x:v>
      </x:c>
      <x:c r="G61" s="11">
        <x:f t="shared" si="1"/>
        <x:v>1.0000000000000002</x:v>
      </x:c>
      <x:c r="H61" s="11">
        <x:f t="shared" si="1"/>
        <x:v>1</x:v>
      </x:c>
      <x:c r="I61" s="11">
        <x:f t="shared" si="1"/>
        <x:v>1</x:v>
      </x:c>
      <x:c r="J61" s="11">
        <x:f t="shared" si="1"/>
        <x:v>1</x:v>
      </x:c>
      <x:c r="K61" s="11">
        <x:f t="shared" si="1"/>
        <x:v>1</x:v>
      </x:c>
      <x:c r="L61" s="11">
        <x:f t="shared" si="1"/>
        <x:v>0.99999999999999989</x:v>
      </x:c>
      <x:c r="M61" s="11">
        <x:f t="shared" si="1"/>
        <x:v>1</x:v>
      </x:c>
      <x:c r="N61" s="11">
        <x:f t="shared" si="1"/>
        <x:v>1</x:v>
      </x:c>
      <x:c r="O61" s="11">
        <x:f t="shared" si="1"/>
        <x:v>1</x:v>
      </x:c>
      <x:c r="P61" s="11">
        <x:f>SUM(P26,P31,P36,P41,P46,P51,P56,P21,P16,P11)</x:f>
        <x:v>1</x:v>
      </x:c>
    </x:row>
    <x:row r="62" spans="1:17" x14ac:dyDescent="0.3">
      <x:c r="A62" s="1">
        <x:f t="shared" si="0"/>
        <x:v>52</x:v>
      </x:c>
      <x:c r="B62" s="1" t="s">
        <x:v>34</x:v>
      </x:c>
      <x:c r="C62" s="2">
        <x:f>+C57</x:f>
        <x:v>2022</x:v>
      </x:c>
      <x:c r="D62" s="11">
        <x:f t="shared" ref="D62:P62" si="2">SUM(D27,D32,D37,D42,D47,D52,D57,D22,D17,D12)</x:f>
        <x:v>0.99999999999999989</x:v>
      </x:c>
      <x:c r="E62" s="11">
        <x:f t="shared" si="2"/>
        <x:v>1</x:v>
      </x:c>
      <x:c r="F62" s="11">
        <x:f t="shared" si="2"/>
        <x:v>1</x:v>
      </x:c>
      <x:c r="G62" s="11">
        <x:f t="shared" si="2"/>
        <x:v>1</x:v>
      </x:c>
      <x:c r="H62" s="11">
        <x:f t="shared" si="2"/>
        <x:v>1</x:v>
      </x:c>
      <x:c r="I62" s="11">
        <x:f t="shared" si="2"/>
        <x:v>0.99999999999999989</x:v>
      </x:c>
      <x:c r="J62" s="11">
        <x:f t="shared" si="2"/>
        <x:v>1</x:v>
      </x:c>
      <x:c r="K62" s="11">
        <x:f t="shared" si="2"/>
        <x:v>0.99999999999999978</x:v>
      </x:c>
      <x:c r="L62" s="11">
        <x:f t="shared" si="2"/>
        <x:v>1.0000000000000002</x:v>
      </x:c>
      <x:c r="M62" s="11">
        <x:f t="shared" si="2"/>
        <x:v>0.99999999999999978</x:v>
      </x:c>
      <x:c r="N62" s="11">
        <x:f t="shared" si="2"/>
        <x:v>1</x:v>
      </x:c>
      <x:c r="O62" s="11">
        <x:f t="shared" si="2"/>
        <x:v>1.0000000000000002</x:v>
      </x:c>
      <x:c r="P62" s="11">
        <x:f t="shared" si="2"/>
        <x:v>1</x:v>
      </x:c>
    </x:row>
    <x:row r="63" spans="1:17" ht="14.4" thickBot="1" x14ac:dyDescent="0.35">
      <x:c r="A63" s="1">
        <x:f t="shared" si="0"/>
        <x:v>53</x:v>
      </x:c>
      <x:c r="B63" s="1" t="s">
        <x:v>34</x:v>
      </x:c>
      <x:c r="C63" s="2">
        <x:f>+C58</x:f>
        <x:v>2023</x:v>
      </x:c>
      <x:c r="D63" s="11">
        <x:f t="shared" ref="D63:P64" si="3">SUM(D28,D33,D38,D43,D48,D53,D58,D23,D18,D13)</x:f>
        <x:v>1</x:v>
      </x:c>
      <x:c r="E63" s="11">
        <x:f t="shared" si="3"/>
        <x:v>0.99999999999999978</x:v>
      </x:c>
      <x:c r="F63" s="11">
        <x:f t="shared" si="3"/>
        <x:v>0.99999999999999978</x:v>
      </x:c>
      <x:c r="G63" s="11">
        <x:f t="shared" si="3"/>
        <x:v>0.99999999999999978</x:v>
      </x:c>
      <x:c r="H63" s="11">
        <x:f t="shared" si="3"/>
        <x:v>1.0000000000000002</x:v>
      </x:c>
      <x:c r="I63" s="11">
        <x:f t="shared" si="3"/>
        <x:v>1</x:v>
      </x:c>
      <x:c r="J63" s="11">
        <x:f t="shared" si="3"/>
        <x:v>1</x:v>
      </x:c>
      <x:c r="K63" s="11">
        <x:f t="shared" si="3"/>
        <x:v>1</x:v>
      </x:c>
      <x:c r="L63" s="11">
        <x:f t="shared" si="3"/>
        <x:v>1.0000000000000002</x:v>
      </x:c>
      <x:c r="M63" s="11">
        <x:f t="shared" si="3"/>
        <x:v>1</x:v>
      </x:c>
      <x:c r="N63" s="11">
        <x:f t="shared" si="3"/>
        <x:v>1</x:v>
      </x:c>
      <x:c r="O63" s="11">
        <x:f t="shared" si="3"/>
        <x:v>1</x:v>
      </x:c>
      <x:c r="P63" s="11">
        <x:f t="shared" si="3"/>
        <x:v>1</x:v>
      </x:c>
    </x:row>
    <x:row r="64" spans="1:17" x14ac:dyDescent="0.3">
      <x:c r="A64" s="1">
        <x:f t="shared" si="0"/>
        <x:v>54</x:v>
      </x:c>
      <x:c r="B64" s="1" t="s">
        <x:v>34</x:v>
      </x:c>
      <x:c r="C64" s="57" t="str">
        <x:f>+C59</x:f>
        <x:v xml:space="preserve">Total </x:v>
      </x:c>
      <x:c r="D64" s="63">
        <x:f t="shared" si="3"/>
        <x:v>1</x:v>
      </x:c>
      <x:c r="E64" s="63">
        <x:f t="shared" si="3"/>
        <x:v>0.99999999999999989</x:v>
      </x:c>
      <x:c r="F64" s="63">
        <x:f t="shared" si="3"/>
        <x:v>1</x:v>
      </x:c>
      <x:c r="G64" s="63">
        <x:f t="shared" si="3"/>
        <x:v>1</x:v>
      </x:c>
      <x:c r="H64" s="63">
        <x:f t="shared" si="3"/>
        <x:v>1.0000000000000002</x:v>
      </x:c>
      <x:c r="I64" s="63">
        <x:f t="shared" si="3"/>
        <x:v>1.0000000000000002</x:v>
      </x:c>
      <x:c r="J64" s="63">
        <x:f t="shared" si="3"/>
        <x:v>1.0000000000000002</x:v>
      </x:c>
      <x:c r="K64" s="63">
        <x:f t="shared" si="3"/>
        <x:v>0.99999999999999978</x:v>
      </x:c>
      <x:c r="L64" s="63">
        <x:f t="shared" si="3"/>
        <x:v>1</x:v>
      </x:c>
      <x:c r="M64" s="63">
        <x:f t="shared" si="3"/>
        <x:v>1</x:v>
      </x:c>
      <x:c r="N64" s="63">
        <x:f t="shared" si="3"/>
        <x:v>1</x:v>
      </x:c>
      <x:c r="O64" s="63">
        <x:f t="shared" si="3"/>
        <x:v>1.0000000000000002</x:v>
      </x:c>
      <x:c r="P64" s="63">
        <x:f t="shared" si="3"/>
        <x:v>1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&amp;RWP/II-H-5.2/5
Page &amp;P of &amp;N</x:oddHeader>
    <x:oddFooter>&amp;R]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P64"/>
  <x:sheetViews>
    <x:sheetView view="pageBreakPreview" zoomScaleNormal="100" workbookViewId="0">
      <x:selection activeCell="A3" sqref="A3"/>
    </x:sheetView>
  </x:sheetViews>
  <x:sheetFormatPr defaultColWidth="9.109375" defaultRowHeight="13.8" x14ac:dyDescent="0.3"/>
  <x:cols>
    <x:col min="1" max="1" width="9.109375" style="1"/>
    <x:col min="2" max="2" width="18.4414062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6384" width="9.109375" style="1"/>
  </x:cols>
  <x:sheetData>
    <x:row r="1" spans="1:16" ht="15.6" x14ac:dyDescent="0.3">
      <x:c r="A1" s="14"/>
      <x:c r="B1" s="70" t="s">
        <x:v>10</x:v>
      </x:c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 spans="1:16" ht="15.6" x14ac:dyDescent="0.3">
      <x:c r="A2" s="14"/>
      <x:c r="B2" s="70" t="s">
        <x:v>11</x:v>
      </x:c>
      <x:c r="C2" s="70"/>
      <x:c r="D2" s="70"/>
      <x:c r="E2" s="70"/>
      <x:c r="F2" s="70"/>
      <x:c r="G2" s="71"/>
      <x:c r="H2" s="71"/>
      <x:c r="I2" s="71"/>
      <x:c r="J2" s="71"/>
      <x:c r="K2" s="71"/>
      <x:c r="L2" s="71"/>
      <x:c r="M2" s="71"/>
      <x:c r="N2" s="71"/>
      <x:c r="O2" s="71"/>
      <x:c r="P2" s="71"/>
    </x:row>
    <x:row r="3" spans="1:16" ht="15.6" x14ac:dyDescent="0.3">
      <x:c r="A3" s="14"/>
      <x:c r="B3" s="70" t="s">
        <x:v>39</x:v>
      </x:c>
      <x:c r="C3" s="70"/>
      <x:c r="D3" s="70"/>
      <x:c r="E3" s="70"/>
      <x:c r="F3" s="70"/>
      <x:c r="G3" s="71"/>
      <x:c r="H3" s="71"/>
      <x:c r="I3" s="71"/>
      <x:c r="J3" s="71"/>
      <x:c r="K3" s="71"/>
      <x:c r="L3" s="71"/>
      <x:c r="M3" s="71"/>
      <x:c r="N3" s="71"/>
      <x:c r="O3" s="71"/>
      <x:c r="P3" s="71"/>
    </x:row>
    <x:row r="4" spans="1:16" ht="15.6" x14ac:dyDescent="0.3">
      <x:c r="A4" s="14"/>
      <x:c r="B4" s="70" t="str">
        <x:f>+'SUBS Seasonal Weights'!B4:P4</x:f>
        <x:v>FOR THE TEST YEAR ENDING DECEMBER 31, 2024</x:v>
      </x:c>
      <x:c r="C4" s="70"/>
      <x:c r="D4" s="70"/>
      <x:c r="E4" s="70"/>
      <x:c r="F4" s="70"/>
      <x:c r="G4" s="71"/>
      <x:c r="H4" s="71"/>
      <x:c r="I4" s="71"/>
      <x:c r="J4" s="71"/>
      <x:c r="K4" s="71"/>
      <x:c r="L4" s="71"/>
      <x:c r="M4" s="71"/>
      <x:c r="N4" s="71"/>
      <x:c r="O4" s="71"/>
      <x:c r="P4" s="71"/>
    </x:row>
    <x:row r="5" spans="1:16" ht="15.6" x14ac:dyDescent="0.3">
      <x:c r="A5" s="14"/>
      <x:c r="B5" s="70"/>
      <x:c r="C5" s="70"/>
      <x:c r="D5" s="70"/>
      <x:c r="E5" s="70"/>
      <x:c r="F5" s="70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6" ht="15.6" x14ac:dyDescent="0.3">
      <x:c r="A6" s="14"/>
      <x:c r="B6" s="70" t="s">
        <x:v>38</x:v>
      </x:c>
      <x:c r="C6" s="70"/>
      <x:c r="D6" s="70"/>
      <x:c r="E6" s="70"/>
      <x:c r="F6" s="70"/>
      <x:c r="G6" s="71"/>
      <x:c r="H6" s="71"/>
      <x:c r="I6" s="71"/>
      <x:c r="J6" s="71"/>
      <x:c r="K6" s="71"/>
      <x:c r="L6" s="71"/>
      <x:c r="M6" s="71"/>
      <x:c r="N6" s="71"/>
      <x:c r="O6" s="71"/>
      <x:c r="P6" s="71"/>
    </x:row>
    <x:row r="7" spans="1:16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6" ht="15.6" x14ac:dyDescent="0.3">
      <x:c r="A8" s="14"/>
      <x:c r="B8" s="72" t="s">
        <x:v>47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</x:row>
    <x:row r="9" spans="1:16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6" ht="15.75" customHeight="1" x14ac:dyDescent="0.3">
      <x:c r="A10" s="20" t="s">
        <x:v>27</x:v>
      </x:c>
      <x:c r="B10" s="21" t="s">
        <x:v>28</x:v>
      </x:c>
      <x:c r="C10" s="2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6" ht="14.4" x14ac:dyDescent="0.3">
      <x:c r="A11" s="1">
        <x:v>1</x:v>
      </x:c>
      <x:c r="B11" s="17" t="s">
        <x:v>29</x:v>
      </x:c>
      <x:c r="C11" s="4">
        <x:v>2021</x:v>
      </x:c>
      <x:c r="D11" s="64">
        <x:v>73653.697</x:v>
      </x:c>
      <x:c r="E11" s="64">
        <x:v>69167.498000000007</x:v>
      </x:c>
      <x:c r="F11" s="64">
        <x:v>61090.872399999993</x:v>
      </x:c>
      <x:c r="G11" s="64">
        <x:v>78273.243600000002</x:v>
      </x:c>
      <x:c r="H11" s="64">
        <x:v>77174.168000000005</x:v>
      </x:c>
      <x:c r="I11" s="64">
        <x:v>79048.05799999999</x:v>
      </x:c>
      <x:c r="J11" s="64">
        <x:v>82009.368750000009</x:v>
      </x:c>
      <x:c r="K11" s="64">
        <x:v>86634.959249999985</x:v>
      </x:c>
      <x:c r="L11" s="64">
        <x:v>84236.532000000007</x:v>
      </x:c>
      <x:c r="M11" s="64">
        <x:v>86730.247000000018</x:v>
      </x:c>
      <x:c r="N11" s="64">
        <x:v>80100.530999999988</x:v>
      </x:c>
      <x:c r="O11" s="64">
        <x:v>77231.597999999998</x:v>
      </x:c>
      <x:c r="P11" s="51">
        <x:f>SUM(D11:O11)</x:f>
        <x:v>935350.77299999993</x:v>
      </x:c>
    </x:row>
    <x:row r="12" spans="1:16" ht="14.4" x14ac:dyDescent="0.3">
      <x:c r="A12" s="1">
        <x:f>+A11+1</x:f>
        <x:v>2</x:v>
      </x:c>
      <x:c r="B12" s="17" t="s">
        <x:v>29</x:v>
      </x:c>
      <x:c r="C12" s="4">
        <x:v>2022</x:v>
      </x:c>
      <x:c r="D12" s="64">
        <x:v>68510.535350000006</x:v>
      </x:c>
      <x:c r="E12" s="64">
        <x:v>68501.409539999993</x:v>
      </x:c>
      <x:c r="F12" s="64">
        <x:v>71012.045110000006</x:v>
      </x:c>
      <x:c r="G12" s="64">
        <x:v>79416.665999999997</x:v>
      </x:c>
      <x:c r="H12" s="64">
        <x:v>83143.413</x:v>
      </x:c>
      <x:c r="I12" s="64">
        <x:v>86807.08</x:v>
      </x:c>
      <x:c r="J12" s="64">
        <x:v>96736.036999999997</x:v>
      </x:c>
      <x:c r="K12" s="64">
        <x:v>100356.15299999999</x:v>
      </x:c>
      <x:c r="L12" s="64">
        <x:v>96141.841</x:v>
      </x:c>
      <x:c r="M12" s="64">
        <x:v>83077.759999999995</x:v>
      </x:c>
      <x:c r="N12" s="64">
        <x:v>88963.48000000001</x:v>
      </x:c>
      <x:c r="O12" s="64">
        <x:v>80347.167000000001</x:v>
      </x:c>
      <x:c r="P12" s="52">
        <x:f>SUM(D12:O12)</x:f>
        <x:v>1003013.5869999999</x:v>
      </x:c>
    </x:row>
    <x:row r="13" spans="1:16" ht="15" thickBot="1" x14ac:dyDescent="0.35">
      <x:c r="A13" s="1">
        <x:f t="shared" ref="A13:A64" si="0">+A12+1</x:f>
        <x:v>3</x:v>
      </x:c>
      <x:c r="B13" s="17" t="s">
        <x:v>29</x:v>
      </x:c>
      <x:c r="C13" s="4">
        <x:v>2023</x:v>
      </x:c>
      <x:c r="D13" s="64">
        <x:v>78037.62999999999</x:v>
      </x:c>
      <x:c r="E13" s="64">
        <x:v>81193.983000000007</x:v>
      </x:c>
      <x:c r="F13" s="64">
        <x:v>69356.626999999993</x:v>
      </x:c>
      <x:c r="G13" s="64">
        <x:v>84586.05</x:v>
      </x:c>
      <x:c r="H13" s="64">
        <x:v>88923.656000000003</x:v>
      </x:c>
      <x:c r="I13" s="64">
        <x:v>90827.328000000009</x:v>
      </x:c>
      <x:c r="J13" s="64">
        <x:v>92863.43299999999</x:v>
      </x:c>
      <x:c r="K13" s="64">
        <x:v>107592.921</x:v>
      </x:c>
      <x:c r="L13" s="64">
        <x:v>103927.007</x:v>
      </x:c>
      <x:c r="M13" s="64">
        <x:v>112300.713</x:v>
      </x:c>
      <x:c r="N13" s="64">
        <x:v>101839.67168999999</x:v>
      </x:c>
      <x:c r="O13" s="64">
        <x:v>99601.034309999988</x:v>
      </x:c>
      <x:c r="P13" s="52">
        <x:f>SUM(D13:O13)</x:f>
        <x:v>1111050.0539999998</x:v>
      </x:c>
    </x:row>
    <x:row r="14" spans="1:16" ht="14.4" x14ac:dyDescent="0.3">
      <x:c r="A14" s="1">
        <x:f t="shared" si="0"/>
        <x:v>4</x:v>
      </x:c>
      <x:c r="B14" s="17" t="s">
        <x:v>29</x:v>
      </x:c>
      <x:c r="C14" s="49" t="s">
        <x:v>1</x:v>
      </x:c>
      <x:c r="D14" s="50">
        <x:f t="shared" ref="D14:O14" si="1">SUM(D11:D13)</x:f>
        <x:v>220201.86235000001</x:v>
      </x:c>
      <x:c r="E14" s="50">
        <x:f t="shared" si="1"/>
        <x:v>218862.89053999999</x:v>
      </x:c>
      <x:c r="F14" s="50">
        <x:f t="shared" si="1"/>
        <x:v>201459.54450999998</x:v>
      </x:c>
      <x:c r="G14" s="50">
        <x:f t="shared" si="1"/>
        <x:v>242275.9596</x:v>
      </x:c>
      <x:c r="H14" s="50">
        <x:f t="shared" si="1"/>
        <x:v>249241.23700000002</x:v>
      </x:c>
      <x:c r="I14" s="50">
        <x:f t="shared" si="1"/>
        <x:v>256682.46599999999</x:v>
      </x:c>
      <x:c r="J14" s="50">
        <x:f t="shared" si="1"/>
        <x:v>271608.83875</x:v>
      </x:c>
      <x:c r="K14" s="50">
        <x:f t="shared" si="1"/>
        <x:v>294584.03324999998</x:v>
      </x:c>
      <x:c r="L14" s="50">
        <x:f t="shared" si="1"/>
        <x:v>284305.38</x:v>
      </x:c>
      <x:c r="M14" s="50">
        <x:f t="shared" si="1"/>
        <x:v>282108.72000000003</x:v>
      </x:c>
      <x:c r="N14" s="50">
        <x:f t="shared" si="1"/>
        <x:v>270903.68268999999</x:v>
      </x:c>
      <x:c r="O14" s="50">
        <x:f t="shared" si="1"/>
        <x:v>257179.79931</x:v>
      </x:c>
      <x:c r="P14" s="53">
        <x:f>SUM(D14:O14)</x:f>
        <x:v>3049414.4140000003</x:v>
      </x:c>
    </x:row>
    <x:row r="15" spans="1:16" x14ac:dyDescent="0.3">
      <x:c r="A15" s="1">
        <x:f t="shared" si="0"/>
        <x:v>5</x:v>
      </x:c>
      <x:c r="B15" s="8"/>
      <x:c r="C15" s="12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16" x14ac:dyDescent="0.3">
      <x:c r="A16" s="1">
        <x:f t="shared" si="0"/>
        <x:v>6</x:v>
      </x:c>
      <x:c r="B16" s="8" t="s">
        <x:v>5</x:v>
      </x:c>
      <x:c r="C16" s="4">
        <x:f>+C11</x:f>
        <x:v>2021</x:v>
      </x:c>
      <x:c r="D16" s="64">
        <x:v>7342.26</x:v>
      </x:c>
      <x:c r="E16" s="64">
        <x:v>7560.5650000000005</x:v>
      </x:c>
      <x:c r="F16" s="64">
        <x:v>8410.762999999999</x:v>
      </x:c>
      <x:c r="G16" s="64">
        <x:v>9585.3990000000013</x:v>
      </x:c>
      <x:c r="H16" s="64">
        <x:v>11460.132</x:v>
      </x:c>
      <x:c r="I16" s="64">
        <x:v>11600.226999999999</x:v>
      </x:c>
      <x:c r="J16" s="64">
        <x:v>13563.725</x:v>
      </x:c>
      <x:c r="K16" s="64">
        <x:v>11591.381000000001</x:v>
      </x:c>
      <x:c r="L16" s="64">
        <x:v>12222.716</x:v>
      </x:c>
      <x:c r="M16" s="64">
        <x:v>9845.7219999999998</x:v>
      </x:c>
      <x:c r="N16" s="64">
        <x:v>9876.1579999999994</x:v>
      </x:c>
      <x:c r="O16" s="64">
        <x:v>8572.7250000000004</x:v>
      </x:c>
      <x:c r="P16" s="52">
        <x:f>SUM(D16:O16)</x:f>
        <x:v>121631.77299999999</x:v>
      </x:c>
    </x:row>
    <x:row r="17" spans="1:16" x14ac:dyDescent="0.3">
      <x:c r="A17" s="1">
        <x:f t="shared" si="0"/>
        <x:v>7</x:v>
      </x:c>
      <x:c r="B17" s="8" t="s">
        <x:v>5</x:v>
      </x:c>
      <x:c r="C17" s="4">
        <x:f t="shared" ref="C17:C18" si="2">+C12</x:f>
        <x:v>2022</x:v>
      </x:c>
      <x:c r="D17" s="64">
        <x:v>8300.3150000000005</x:v>
      </x:c>
      <x:c r="E17" s="64">
        <x:v>9269.7390000000014</x:v>
      </x:c>
      <x:c r="F17" s="64">
        <x:v>9053.07</x:v>
      </x:c>
      <x:c r="G17" s="64">
        <x:v>8982.1270000000004</x:v>
      </x:c>
      <x:c r="H17" s="64">
        <x:v>9803.3279999999995</x:v>
      </x:c>
      <x:c r="I17" s="64">
        <x:v>10673.21</x:v>
      </x:c>
      <x:c r="J17" s="64">
        <x:v>12791.674999999999</x:v>
      </x:c>
      <x:c r="K17" s="64">
        <x:v>12970.494999999999</x:v>
      </x:c>
      <x:c r="L17" s="64">
        <x:v>12219.398000000001</x:v>
      </x:c>
      <x:c r="M17" s="64">
        <x:v>11649.982</x:v>
      </x:c>
      <x:c r="N17" s="64">
        <x:v>13191.977999999999</x:v>
      </x:c>
      <x:c r="O17" s="64">
        <x:v>15276.953000000001</x:v>
      </x:c>
      <x:c r="P17" s="52">
        <x:f>SUM(D17:O17)</x:f>
        <x:v>134182.27000000002</x:v>
      </x:c>
    </x:row>
    <x:row r="18" spans="1:16" ht="14.4" thickBot="1" x14ac:dyDescent="0.35">
      <x:c r="A18" s="1">
        <x:f t="shared" si="0"/>
        <x:v>8</x:v>
      </x:c>
      <x:c r="B18" s="8" t="s">
        <x:v>5</x:v>
      </x:c>
      <x:c r="C18" s="4">
        <x:f t="shared" si="2"/>
        <x:v>2023</x:v>
      </x:c>
      <x:c r="D18" s="64">
        <x:v>16416.675999999999</x:v>
      </x:c>
      <x:c r="E18" s="64">
        <x:v>16404.508000000002</x:v>
      </x:c>
      <x:c r="F18" s="64">
        <x:v>16064.017</x:v>
      </x:c>
      <x:c r="G18" s="64">
        <x:v>17820.631000000001</x:v>
      </x:c>
      <x:c r="H18" s="64">
        <x:v>17251.392</x:v>
      </x:c>
      <x:c r="I18" s="64">
        <x:v>18929.189000000002</x:v>
      </x:c>
      <x:c r="J18" s="64">
        <x:v>20948.811000000002</x:v>
      </x:c>
      <x:c r="K18" s="64">
        <x:v>19056.832999999999</x:v>
      </x:c>
      <x:c r="L18" s="64">
        <x:v>34694.083000000006</x:v>
      </x:c>
      <x:c r="M18" s="64">
        <x:v>20085.385999999999</x:v>
      </x:c>
      <x:c r="N18" s="64">
        <x:v>22645.686000000002</x:v>
      </x:c>
      <x:c r="O18" s="64">
        <x:v>21503.288999999997</x:v>
      </x:c>
      <x:c r="P18" s="52">
        <x:f>SUM(D18:O18)</x:f>
        <x:v>241820.50099999999</x:v>
      </x:c>
    </x:row>
    <x:row r="19" spans="1:16" x14ac:dyDescent="0.3">
      <x:c r="A19" s="1">
        <x:f t="shared" si="0"/>
        <x:v>9</x:v>
      </x:c>
      <x:c r="B19" s="8" t="s">
        <x:v>5</x:v>
      </x:c>
      <x:c r="C19" s="49" t="s">
        <x:v>1</x:v>
      </x:c>
      <x:c r="D19" s="50">
        <x:f t="shared" ref="D19:O19" si="3">SUM(D16:D18)</x:f>
        <x:v>32059.251</x:v>
      </x:c>
      <x:c r="E19" s="50">
        <x:f t="shared" si="3"/>
        <x:v>33234.812000000005</x:v>
      </x:c>
      <x:c r="F19" s="50">
        <x:f t="shared" si="3"/>
        <x:v>33527.85</x:v>
      </x:c>
      <x:c r="G19" s="50">
        <x:f t="shared" si="3"/>
        <x:v>36388.157000000007</x:v>
      </x:c>
      <x:c r="H19" s="50">
        <x:f t="shared" si="3"/>
        <x:v>38514.851999999999</x:v>
      </x:c>
      <x:c r="I19" s="50">
        <x:f t="shared" si="3"/>
        <x:v>41202.626000000004</x:v>
      </x:c>
      <x:c r="J19" s="50">
        <x:f t="shared" si="3"/>
        <x:v>47304.211000000003</x:v>
      </x:c>
      <x:c r="K19" s="50">
        <x:f t="shared" si="3"/>
        <x:v>43618.709000000003</x:v>
      </x:c>
      <x:c r="L19" s="50">
        <x:f t="shared" si="3"/>
        <x:v>59136.197000000007</x:v>
      </x:c>
      <x:c r="M19" s="50">
        <x:f t="shared" si="3"/>
        <x:v>41581.089999999997</x:v>
      </x:c>
      <x:c r="N19" s="50">
        <x:f t="shared" si="3"/>
        <x:v>45713.822</x:v>
      </x:c>
      <x:c r="O19" s="50">
        <x:f t="shared" si="3"/>
        <x:v>45352.966999999997</x:v>
      </x:c>
      <x:c r="P19" s="53">
        <x:f>SUM(D19:O19)</x:f>
        <x:v>497634.54399999999</x:v>
      </x:c>
    </x:row>
    <x:row r="20" spans="1:16" x14ac:dyDescent="0.3">
      <x:c r="A20" s="1">
        <x:f t="shared" si="0"/>
        <x:v>10</x:v>
      </x:c>
      <x:c r="B20" s="8"/>
      <x:c r="C20" s="12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spans="1:16" x14ac:dyDescent="0.3">
      <x:c r="A21" s="1">
        <x:f t="shared" si="0"/>
        <x:v>11</x:v>
      </x:c>
      <x:c r="B21" s="8" t="s">
        <x:v>6</x:v>
      </x:c>
      <x:c r="C21" s="4">
        <x:f>+C16</x:f>
        <x:v>2021</x:v>
      </x:c>
      <x:c r="D21" s="64">
        <x:v>0</x:v>
      </x:c>
      <x:c r="E21" s="64">
        <x:v>0</x:v>
      </x:c>
      <x:c r="F21" s="64">
        <x:v>0</x:v>
      </x:c>
      <x:c r="G21" s="64">
        <x:v>0</x:v>
      </x:c>
      <x:c r="H21" s="64">
        <x:v>0</x:v>
      </x:c>
      <x:c r="I21" s="64">
        <x:v>0</x:v>
      </x:c>
      <x:c r="J21" s="64">
        <x:v>0</x:v>
      </x:c>
      <x:c r="K21" s="64">
        <x:v>0</x:v>
      </x:c>
      <x:c r="L21" s="64">
        <x:v>0</x:v>
      </x:c>
      <x:c r="M21" s="64">
        <x:v>0</x:v>
      </x:c>
      <x:c r="N21" s="64">
        <x:v>0</x:v>
      </x:c>
      <x:c r="O21" s="64">
        <x:v>0</x:v>
      </x:c>
      <x:c r="P21" s="52">
        <x:f>SUM(D21:O21)</x:f>
        <x:v>0</x:v>
      </x:c>
    </x:row>
    <x:row r="22" spans="1:16" x14ac:dyDescent="0.3">
      <x:c r="A22" s="1">
        <x:f t="shared" si="0"/>
        <x:v>12</x:v>
      </x:c>
      <x:c r="B22" s="8" t="s">
        <x:v>6</x:v>
      </x:c>
      <x:c r="C22" s="4">
        <x:f t="shared" ref="C22:C23" si="4">+C17</x:f>
        <x:v>2022</x:v>
      </x:c>
      <x:c r="D22" s="64">
        <x:v>0</x:v>
      </x:c>
      <x:c r="E22" s="64">
        <x:v>0</x:v>
      </x:c>
      <x:c r="F22" s="64">
        <x:v>0</x:v>
      </x:c>
      <x:c r="G22" s="64">
        <x:v>0</x:v>
      </x:c>
      <x:c r="H22" s="64">
        <x:v>0</x:v>
      </x:c>
      <x:c r="I22" s="64">
        <x:v>0</x:v>
      </x:c>
      <x:c r="J22" s="64">
        <x:v>0</x:v>
      </x:c>
      <x:c r="K22" s="64">
        <x:v>0</x:v>
      </x:c>
      <x:c r="L22" s="64">
        <x:v>0</x:v>
      </x:c>
      <x:c r="M22" s="64">
        <x:v>0</x:v>
      </x:c>
      <x:c r="N22" s="64">
        <x:v>0</x:v>
      </x:c>
      <x:c r="O22" s="64">
        <x:v>0</x:v>
      </x:c>
      <x:c r="P22" s="52">
        <x:f>SUM(D22:O22)</x:f>
        <x:v>0</x:v>
      </x:c>
    </x:row>
    <x:row r="23" spans="1:16" ht="14.4" thickBot="1" x14ac:dyDescent="0.35">
      <x:c r="A23" s="1">
        <x:f t="shared" si="0"/>
        <x:v>13</x:v>
      </x:c>
      <x:c r="B23" s="8" t="s">
        <x:v>6</x:v>
      </x:c>
      <x:c r="C23" s="4">
        <x:f t="shared" si="4"/>
        <x:v>2023</x:v>
      </x:c>
      <x:c r="D23" s="64">
        <x:v>0</x:v>
      </x:c>
      <x:c r="E23" s="64">
        <x:v>0</x:v>
      </x:c>
      <x:c r="F23" s="64">
        <x:v>0</x:v>
      </x:c>
      <x:c r="G23" s="64">
        <x:v>0</x:v>
      </x:c>
      <x:c r="H23" s="64">
        <x:v>0</x:v>
      </x:c>
      <x:c r="I23" s="64">
        <x:v>0</x:v>
      </x:c>
      <x:c r="J23" s="64">
        <x:v>0</x:v>
      </x:c>
      <x:c r="K23" s="64">
        <x:v>0</x:v>
      </x:c>
      <x:c r="L23" s="64">
        <x:v>0</x:v>
      </x:c>
      <x:c r="M23" s="64">
        <x:v>0</x:v>
      </x:c>
      <x:c r="N23" s="64">
        <x:v>0</x:v>
      </x:c>
      <x:c r="O23" s="64">
        <x:v>0</x:v>
      </x:c>
      <x:c r="P23" s="52">
        <x:f>SUM(D23:O23)</x:f>
        <x:v>0</x:v>
      </x:c>
    </x:row>
    <x:row r="24" spans="1:16" x14ac:dyDescent="0.3">
      <x:c r="A24" s="1">
        <x:f t="shared" si="0"/>
        <x:v>14</x:v>
      </x:c>
      <x:c r="B24" s="8" t="s">
        <x:v>6</x:v>
      </x:c>
      <x:c r="C24" s="49" t="s">
        <x:v>1</x:v>
      </x:c>
      <x:c r="D24" s="50">
        <x:f t="shared" ref="D24:O24" si="5">SUM(D21:D23)</x:f>
        <x:v>0</x:v>
      </x:c>
      <x:c r="E24" s="50">
        <x:f t="shared" si="5"/>
        <x:v>0</x:v>
      </x:c>
      <x:c r="F24" s="50">
        <x:f t="shared" si="5"/>
        <x:v>0</x:v>
      </x:c>
      <x:c r="G24" s="50">
        <x:f t="shared" si="5"/>
        <x:v>0</x:v>
      </x:c>
      <x:c r="H24" s="50">
        <x:f t="shared" si="5"/>
        <x:v>0</x:v>
      </x:c>
      <x:c r="I24" s="50">
        <x:f t="shared" si="5"/>
        <x:v>0</x:v>
      </x:c>
      <x:c r="J24" s="50">
        <x:f t="shared" si="5"/>
        <x:v>0</x:v>
      </x:c>
      <x:c r="K24" s="50">
        <x:f t="shared" si="5"/>
        <x:v>0</x:v>
      </x:c>
      <x:c r="L24" s="50">
        <x:f t="shared" si="5"/>
        <x:v>0</x:v>
      </x:c>
      <x:c r="M24" s="50">
        <x:f t="shared" si="5"/>
        <x:v>0</x:v>
      </x:c>
      <x:c r="N24" s="50">
        <x:f t="shared" si="5"/>
        <x:v>0</x:v>
      </x:c>
      <x:c r="O24" s="50">
        <x:f t="shared" si="5"/>
        <x:v>0</x:v>
      </x:c>
      <x:c r="P24" s="53">
        <x:f>SUM(D24:O24)</x:f>
        <x:v>0</x:v>
      </x:c>
    </x:row>
    <x:row r="25" spans="1:16" x14ac:dyDescent="0.3">
      <x:c r="A25" s="1">
        <x:f t="shared" si="0"/>
        <x:v>15</x:v>
      </x:c>
      <x:c r="B25" s="8"/>
      <x:c r="C25" s="12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spans="1:16" x14ac:dyDescent="0.3">
      <x:c r="A26" s="1">
        <x:f t="shared" si="0"/>
        <x:v>16</x:v>
      </x:c>
      <x:c r="B26" s="8" t="s">
        <x:v>7</x:v>
      </x:c>
      <x:c r="C26" s="4">
        <x:f>+C21</x:f>
        <x:v>2021</x:v>
      </x:c>
      <x:c r="D26" s="64">
        <x:v>27972.432000000001</x:v>
      </x:c>
      <x:c r="E26" s="64">
        <x:v>31510.010999999999</x:v>
      </x:c>
      <x:c r="F26" s="64">
        <x:v>35052.036999999997</x:v>
      </x:c>
      <x:c r="G26" s="64">
        <x:v>38719.144</x:v>
      </x:c>
      <x:c r="H26" s="64">
        <x:v>34573.821000000004</x:v>
      </x:c>
      <x:c r="I26" s="64">
        <x:v>40043.134999999995</x:v>
      </x:c>
      <x:c r="J26" s="64">
        <x:v>39223.656999999999</x:v>
      </x:c>
      <x:c r="K26" s="64">
        <x:v>45484.703999999998</x:v>
      </x:c>
      <x:c r="L26" s="64">
        <x:v>50928.659</x:v>
      </x:c>
      <x:c r="M26" s="64">
        <x:v>49299.770000000004</x:v>
      </x:c>
      <x:c r="N26" s="64">
        <x:v>52740.587</x:v>
      </x:c>
      <x:c r="O26" s="64">
        <x:v>56365.690999999999</x:v>
      </x:c>
      <x:c r="P26" s="52">
        <x:f>SUM(D26:O26)</x:f>
        <x:v>501913.64799999999</x:v>
      </x:c>
    </x:row>
    <x:row r="27" spans="1:16" x14ac:dyDescent="0.3">
      <x:c r="A27" s="1">
        <x:f t="shared" si="0"/>
        <x:v>17</x:v>
      </x:c>
      <x:c r="B27" s="8" t="s">
        <x:v>7</x:v>
      </x:c>
      <x:c r="C27" s="4">
        <x:f t="shared" ref="C27:C28" si="6">+C22</x:f>
        <x:v>2022</x:v>
      </x:c>
      <x:c r="D27" s="64">
        <x:v>50315.487000000001</x:v>
      </x:c>
      <x:c r="E27" s="64">
        <x:v>52013.654999999999</x:v>
      </x:c>
      <x:c r="F27" s="64">
        <x:v>47626.245999999999</x:v>
      </x:c>
      <x:c r="G27" s="64">
        <x:v>49659.123</x:v>
      </x:c>
      <x:c r="H27" s="64">
        <x:v>49728.505000000005</x:v>
      </x:c>
      <x:c r="I27" s="64">
        <x:v>37379.207999999999</x:v>
      </x:c>
      <x:c r="J27" s="64">
        <x:v>50127.883000000002</x:v>
      </x:c>
      <x:c r="K27" s="64">
        <x:v>56223.73</x:v>
      </x:c>
      <x:c r="L27" s="64">
        <x:v>53384.252999999997</x:v>
      </x:c>
      <x:c r="M27" s="64">
        <x:v>44379.937000000005</x:v>
      </x:c>
      <x:c r="N27" s="64">
        <x:v>41492.936999999998</x:v>
      </x:c>
      <x:c r="O27" s="64">
        <x:v>38983.076000000001</x:v>
      </x:c>
      <x:c r="P27" s="52">
        <x:f>SUM(D27:O27)</x:f>
        <x:v>571314.04</x:v>
      </x:c>
    </x:row>
    <x:row r="28" spans="1:16" ht="14.4" thickBot="1" x14ac:dyDescent="0.35">
      <x:c r="A28" s="1">
        <x:f t="shared" si="0"/>
        <x:v>18</x:v>
      </x:c>
      <x:c r="B28" s="8" t="s">
        <x:v>7</x:v>
      </x:c>
      <x:c r="C28" s="4">
        <x:f t="shared" si="6"/>
        <x:v>2023</x:v>
      </x:c>
      <x:c r="D28" s="64">
        <x:v>30510.346000000001</x:v>
      </x:c>
      <x:c r="E28" s="64">
        <x:v>37171.508000000002</x:v>
      </x:c>
      <x:c r="F28" s="64">
        <x:v>44660.848000000005</x:v>
      </x:c>
      <x:c r="G28" s="64">
        <x:v>51172.188999999998</x:v>
      </x:c>
      <x:c r="H28" s="64">
        <x:v>56576.034999999996</x:v>
      </x:c>
      <x:c r="I28" s="64">
        <x:v>55530.057999999997</x:v>
      </x:c>
      <x:c r="J28" s="64">
        <x:v>57407.656999999999</x:v>
      </x:c>
      <x:c r="K28" s="64">
        <x:v>63742.286999999997</x:v>
      </x:c>
      <x:c r="L28" s="64">
        <x:v>53829.616999999998</x:v>
      </x:c>
      <x:c r="M28" s="64">
        <x:v>53036.978000000003</x:v>
      </x:c>
      <x:c r="N28" s="64">
        <x:v>53077.760999999999</x:v>
      </x:c>
      <x:c r="O28" s="64">
        <x:v>47723.883999999998</x:v>
      </x:c>
      <x:c r="P28" s="52">
        <x:f>SUM(D28:O28)</x:f>
        <x:v>604439.16799999995</x:v>
      </x:c>
    </x:row>
    <x:row r="29" spans="1:16" x14ac:dyDescent="0.3">
      <x:c r="A29" s="1">
        <x:f t="shared" si="0"/>
        <x:v>19</x:v>
      </x:c>
      <x:c r="B29" s="8" t="s">
        <x:v>7</x:v>
      </x:c>
      <x:c r="C29" s="49" t="s">
        <x:v>1</x:v>
      </x:c>
      <x:c r="D29" s="50">
        <x:f t="shared" ref="D29:O29" si="7">SUM(D26:D28)</x:f>
        <x:v>108798.265</x:v>
      </x:c>
      <x:c r="E29" s="50">
        <x:f t="shared" si="7"/>
        <x:v>120695.174</x:v>
      </x:c>
      <x:c r="F29" s="50">
        <x:f t="shared" si="7"/>
        <x:v>127339.13099999999</x:v>
      </x:c>
      <x:c r="G29" s="50">
        <x:f t="shared" si="7"/>
        <x:v>139550.45600000001</x:v>
      </x:c>
      <x:c r="H29" s="50">
        <x:f t="shared" si="7"/>
        <x:v>140878.361</x:v>
      </x:c>
      <x:c r="I29" s="50">
        <x:f t="shared" si="7"/>
        <x:v>132952.40099999998</x:v>
      </x:c>
      <x:c r="J29" s="50">
        <x:f t="shared" si="7"/>
        <x:v>146759.19700000001</x:v>
      </x:c>
      <x:c r="K29" s="50">
        <x:f t="shared" si="7"/>
        <x:v>165450.72100000002</x:v>
      </x:c>
      <x:c r="L29" s="50">
        <x:f t="shared" si="7"/>
        <x:v>158142.52899999998</x:v>
      </x:c>
      <x:c r="M29" s="50">
        <x:f t="shared" si="7"/>
        <x:v>146716.685</x:v>
      </x:c>
      <x:c r="N29" s="50">
        <x:f t="shared" si="7"/>
        <x:v>147311.285</x:v>
      </x:c>
      <x:c r="O29" s="50">
        <x:f t="shared" si="7"/>
        <x:v>143072.65099999998</x:v>
      </x:c>
      <x:c r="P29" s="53">
        <x:f>SUM(D29:O29)</x:f>
        <x:v>1677666.8559999999</x:v>
      </x:c>
    </x:row>
    <x:row r="30" spans="1:16" ht="14.4" x14ac:dyDescent="0.3">
      <x:c r="A30" s="1">
        <x:f t="shared" si="0"/>
        <x:v>20</x:v>
      </x:c>
      <x:c r="B30" s="8"/>
      <x:c r="C30" s="13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6" x14ac:dyDescent="0.3">
      <x:c r="A31" s="1">
        <x:f t="shared" si="0"/>
        <x:v>21</x:v>
      </x:c>
      <x:c r="B31" s="8" t="s">
        <x:v>8</x:v>
      </x:c>
      <x:c r="C31" s="4">
        <x:f>+C26</x:f>
        <x:v>2021</x:v>
      </x:c>
      <x:c r="D31" s="64">
        <x:v>4455.8239999999996</x:v>
      </x:c>
      <x:c r="E31" s="64">
        <x:v>4263.0329999999994</x:v>
      </x:c>
      <x:c r="F31" s="64">
        <x:v>4324.47</x:v>
      </x:c>
      <x:c r="G31" s="64">
        <x:v>5250.8029999999999</x:v>
      </x:c>
      <x:c r="H31" s="64">
        <x:v>5841.8860000000004</x:v>
      </x:c>
      <x:c r="I31" s="64">
        <x:v>5473.9260000000004</x:v>
      </x:c>
      <x:c r="J31" s="64">
        <x:v>5728.25</x:v>
      </x:c>
      <x:c r="K31" s="64">
        <x:v>5723.2580000000007</x:v>
      </x:c>
      <x:c r="L31" s="64">
        <x:v>7811.5870000000004</x:v>
      </x:c>
      <x:c r="M31" s="64">
        <x:v>6259.4780000000001</x:v>
      </x:c>
      <x:c r="N31" s="64">
        <x:v>7818.2659999999996</x:v>
      </x:c>
      <x:c r="O31" s="64">
        <x:v>9369.6840000000011</x:v>
      </x:c>
      <x:c r="P31" s="52">
        <x:f>SUM(D31:O31)</x:f>
        <x:v>72320.464999999997</x:v>
      </x:c>
    </x:row>
    <x:row r="32" spans="1:16" x14ac:dyDescent="0.3">
      <x:c r="A32" s="1">
        <x:f t="shared" si="0"/>
        <x:v>22</x:v>
      </x:c>
      <x:c r="B32" s="8" t="s">
        <x:v>8</x:v>
      </x:c>
      <x:c r="C32" s="4">
        <x:f t="shared" ref="C32:C33" si="8">+C27</x:f>
        <x:v>2022</x:v>
      </x:c>
      <x:c r="D32" s="64">
        <x:v>9185.2209999999995</x:v>
      </x:c>
      <x:c r="E32" s="64">
        <x:v>8037.2150000000001</x:v>
      </x:c>
      <x:c r="F32" s="64">
        <x:v>8016.6679999999997</x:v>
      </x:c>
      <x:c r="G32" s="64">
        <x:v>9051.5439999999999</x:v>
      </x:c>
      <x:c r="H32" s="64">
        <x:v>6854.7000000000007</x:v>
      </x:c>
      <x:c r="I32" s="64">
        <x:v>5012.4949999999999</x:v>
      </x:c>
      <x:c r="J32" s="64">
        <x:v>5754.0909999999994</x:v>
      </x:c>
      <x:c r="K32" s="64">
        <x:v>7176.4549999999999</x:v>
      </x:c>
      <x:c r="L32" s="64">
        <x:v>7534.6350000000002</x:v>
      </x:c>
      <x:c r="M32" s="64">
        <x:v>7085.2430000000004</x:v>
      </x:c>
      <x:c r="N32" s="64">
        <x:v>9623.3189999999995</x:v>
      </x:c>
      <x:c r="O32" s="64">
        <x:v>8777.6010000000006</x:v>
      </x:c>
      <x:c r="P32" s="52">
        <x:f>SUM(D32:O32)</x:f>
        <x:v>92109.187000000005</x:v>
      </x:c>
    </x:row>
    <x:row r="33" spans="1:16" ht="14.4" thickBot="1" x14ac:dyDescent="0.35">
      <x:c r="A33" s="1">
        <x:f t="shared" si="0"/>
        <x:v>23</x:v>
      </x:c>
      <x:c r="B33" s="8" t="s">
        <x:v>8</x:v>
      </x:c>
      <x:c r="C33" s="4">
        <x:f t="shared" si="8"/>
        <x:v>2023</x:v>
      </x:c>
      <x:c r="D33" s="64">
        <x:v>9291.4069999999992</x:v>
      </x:c>
      <x:c r="E33" s="64">
        <x:v>8511.6810000000005</x:v>
      </x:c>
      <x:c r="F33" s="64">
        <x:v>6319.3419999999996</x:v>
      </x:c>
      <x:c r="G33" s="64">
        <x:v>4564.1930000000002</x:v>
      </x:c>
      <x:c r="H33" s="64">
        <x:v>4668.0650000000005</x:v>
      </x:c>
      <x:c r="I33" s="64">
        <x:v>5432.2139999999999</x:v>
      </x:c>
      <x:c r="J33" s="64">
        <x:v>8816.2890000000007</x:v>
      </x:c>
      <x:c r="K33" s="64">
        <x:v>7415.6719999999996</x:v>
      </x:c>
      <x:c r="L33" s="64">
        <x:v>10198.994999999999</x:v>
      </x:c>
      <x:c r="M33" s="64">
        <x:v>9767.1990000000005</x:v>
      </x:c>
      <x:c r="N33" s="64">
        <x:v>10054.295</x:v>
      </x:c>
      <x:c r="O33" s="64">
        <x:v>9492.3860000000004</x:v>
      </x:c>
      <x:c r="P33" s="52">
        <x:f>SUM(D33:O33)</x:f>
        <x:v>94531.737999999998</x:v>
      </x:c>
    </x:row>
    <x:row r="34" spans="1:16" x14ac:dyDescent="0.3">
      <x:c r="A34" s="1">
        <x:f t="shared" si="0"/>
        <x:v>24</x:v>
      </x:c>
      <x:c r="B34" s="8" t="s">
        <x:v>8</x:v>
      </x:c>
      <x:c r="C34" s="49" t="s">
        <x:v>1</x:v>
      </x:c>
      <x:c r="D34" s="50">
        <x:f t="shared" ref="D34:O34" si="9">SUM(D31:D33)</x:f>
        <x:v>22932.451999999997</x:v>
      </x:c>
      <x:c r="E34" s="50">
        <x:f t="shared" si="9"/>
        <x:v>20811.929</x:v>
      </x:c>
      <x:c r="F34" s="50">
        <x:f t="shared" si="9"/>
        <x:v>18660.48</x:v>
      </x:c>
      <x:c r="G34" s="50">
        <x:f t="shared" si="9"/>
        <x:v>18866.54</x:v>
      </x:c>
      <x:c r="H34" s="50">
        <x:f t="shared" si="9"/>
        <x:v>17364.651000000002</x:v>
      </x:c>
      <x:c r="I34" s="50">
        <x:f t="shared" si="9"/>
        <x:v>15918.635</x:v>
      </x:c>
      <x:c r="J34" s="50">
        <x:f t="shared" si="9"/>
        <x:v>20298.63</x:v>
      </x:c>
      <x:c r="K34" s="50">
        <x:f t="shared" si="9"/>
        <x:v>20315.384999999998</x:v>
      </x:c>
      <x:c r="L34" s="50">
        <x:f t="shared" si="9"/>
        <x:v>25545.217000000001</x:v>
      </x:c>
      <x:c r="M34" s="50">
        <x:f t="shared" si="9"/>
        <x:v>23111.920000000002</x:v>
      </x:c>
      <x:c r="N34" s="50">
        <x:f t="shared" si="9"/>
        <x:v>27495.879999999997</x:v>
      </x:c>
      <x:c r="O34" s="50">
        <x:f t="shared" si="9"/>
        <x:v>27639.671000000002</x:v>
      </x:c>
      <x:c r="P34" s="53">
        <x:f>SUM(D34:O34)</x:f>
        <x:v>258961.39</x:v>
      </x:c>
    </x:row>
    <x:row r="35" spans="1:16" x14ac:dyDescent="0.3">
      <x:c r="A35" s="1">
        <x:f t="shared" si="0"/>
        <x:v>25</x:v>
      </x:c>
      <x:c r="B35" s="8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spans="1:16" x14ac:dyDescent="0.3">
      <x:c r="A36" s="1">
        <x:f t="shared" si="0"/>
        <x:v>26</x:v>
      </x:c>
      <x:c r="B36" s="8" t="s">
        <x:v>3</x:v>
      </x:c>
      <x:c r="C36" s="4">
        <x:f>+C31</x:f>
        <x:v>2021</x:v>
      </x:c>
      <x:c r="D36" s="64">
        <x:v>4285.353000000001</x:v>
      </x:c>
      <x:c r="E36" s="64">
        <x:v>3769.6050000000005</x:v>
      </x:c>
      <x:c r="F36" s="64">
        <x:v>4707.76</x:v>
      </x:c>
      <x:c r="G36" s="64">
        <x:v>7201.7909999999993</x:v>
      </x:c>
      <x:c r="H36" s="64">
        <x:v>4585.4210000000003</x:v>
      </x:c>
      <x:c r="I36" s="64">
        <x:v>4965.4769999999999</x:v>
      </x:c>
      <x:c r="J36" s="64">
        <x:v>6160.8690000000006</x:v>
      </x:c>
      <x:c r="K36" s="64">
        <x:v>6448.0650000000005</x:v>
      </x:c>
      <x:c r="L36" s="64">
        <x:v>5572.6980000000003</x:v>
      </x:c>
      <x:c r="M36" s="64">
        <x:v>5629.835</x:v>
      </x:c>
      <x:c r="N36" s="64">
        <x:v>5554.9470000000001</x:v>
      </x:c>
      <x:c r="O36" s="64">
        <x:v>4347.4539999999997</x:v>
      </x:c>
      <x:c r="P36" s="52">
        <x:f>SUM(D36:O36)</x:f>
        <x:v>63229.275000000001</x:v>
      </x:c>
    </x:row>
    <x:row r="37" spans="1:16" x14ac:dyDescent="0.3">
      <x:c r="A37" s="1">
        <x:f t="shared" si="0"/>
        <x:v>27</x:v>
      </x:c>
      <x:c r="B37" s="8" t="s">
        <x:v>3</x:v>
      </x:c>
      <x:c r="C37" s="4">
        <x:f t="shared" ref="C37:C38" si="10">+C32</x:f>
        <x:v>2022</x:v>
      </x:c>
      <x:c r="D37" s="64">
        <x:v>4682.415</x:v>
      </x:c>
      <x:c r="E37" s="64">
        <x:v>5160.1919999999991</x:v>
      </x:c>
      <x:c r="F37" s="64">
        <x:v>5370.3140000000003</x:v>
      </x:c>
      <x:c r="G37" s="64">
        <x:v>5032.83</x:v>
      </x:c>
      <x:c r="H37" s="64">
        <x:v>4286.9380000000001</x:v>
      </x:c>
      <x:c r="I37" s="64">
        <x:v>5007.4369999999999</x:v>
      </x:c>
      <x:c r="J37" s="64">
        <x:v>5324.0519999999997</x:v>
      </x:c>
      <x:c r="K37" s="64">
        <x:v>6502.2060000000001</x:v>
      </x:c>
      <x:c r="L37" s="64">
        <x:v>5948.5069999999996</x:v>
      </x:c>
      <x:c r="M37" s="64">
        <x:v>5249.7809999999999</x:v>
      </x:c>
      <x:c r="N37" s="64">
        <x:v>3503.8310000000001</x:v>
      </x:c>
      <x:c r="O37" s="64">
        <x:v>4416.2759999999998</x:v>
      </x:c>
      <x:c r="P37" s="52">
        <x:f>SUM(D37:O37)</x:f>
        <x:v>60484.778999999995</x:v>
      </x:c>
    </x:row>
    <x:row r="38" spans="1:16" ht="14.4" thickBot="1" x14ac:dyDescent="0.35">
      <x:c r="A38" s="1">
        <x:f t="shared" si="0"/>
        <x:v>28</x:v>
      </x:c>
      <x:c r="B38" s="8" t="s">
        <x:v>3</x:v>
      </x:c>
      <x:c r="C38" s="4">
        <x:f t="shared" si="10"/>
        <x:v>2023</x:v>
      </x:c>
      <x:c r="D38" s="64">
        <x:v>4421.491</x:v>
      </x:c>
      <x:c r="E38" s="64">
        <x:v>4726.3449999999993</x:v>
      </x:c>
      <x:c r="F38" s="64">
        <x:v>4649.2129999999997</x:v>
      </x:c>
      <x:c r="G38" s="64">
        <x:v>5966.6780000000008</x:v>
      </x:c>
      <x:c r="H38" s="64">
        <x:v>6007.6140000000005</x:v>
      </x:c>
      <x:c r="I38" s="64">
        <x:v>5479.5909999999994</x:v>
      </x:c>
      <x:c r="J38" s="64">
        <x:v>6024.0630000000001</x:v>
      </x:c>
      <x:c r="K38" s="64">
        <x:v>6233.9579999999987</x:v>
      </x:c>
      <x:c r="L38" s="64">
        <x:v>6069.3440000000001</x:v>
      </x:c>
      <x:c r="M38" s="64">
        <x:v>6286.183</x:v>
      </x:c>
      <x:c r="N38" s="64">
        <x:v>5440.8220000000001</x:v>
      </x:c>
      <x:c r="O38" s="64">
        <x:v>5229.8820000000005</x:v>
      </x:c>
      <x:c r="P38" s="52">
        <x:f>SUM(D38:O38)</x:f>
        <x:v>66535.183999999994</x:v>
      </x:c>
    </x:row>
    <x:row r="39" spans="1:16" x14ac:dyDescent="0.3">
      <x:c r="A39" s="1">
        <x:f t="shared" si="0"/>
        <x:v>29</x:v>
      </x:c>
      <x:c r="B39" s="8" t="s">
        <x:v>3</x:v>
      </x:c>
      <x:c r="C39" s="49" t="s">
        <x:v>1</x:v>
      </x:c>
      <x:c r="D39" s="50">
        <x:f t="shared" ref="D39:O39" si="11">SUM(D36:D38)</x:f>
        <x:v>13389.259</x:v>
      </x:c>
      <x:c r="E39" s="50">
        <x:f t="shared" si="11"/>
        <x:v>13656.141999999998</x:v>
      </x:c>
      <x:c r="F39" s="50">
        <x:f t="shared" si="11"/>
        <x:v>14727.287</x:v>
      </x:c>
      <x:c r="G39" s="50">
        <x:f t="shared" si="11"/>
        <x:v>18201.298999999999</x:v>
      </x:c>
      <x:c r="H39" s="50">
        <x:f t="shared" si="11"/>
        <x:v>14879.973000000002</x:v>
      </x:c>
      <x:c r="I39" s="50">
        <x:f t="shared" si="11"/>
        <x:v>15452.505000000001</x:v>
      </x:c>
      <x:c r="J39" s="50">
        <x:f t="shared" si="11"/>
        <x:v>17508.984</x:v>
      </x:c>
      <x:c r="K39" s="50">
        <x:f t="shared" si="11"/>
        <x:v>19184.228999999999</x:v>
      </x:c>
      <x:c r="L39" s="50">
        <x:f t="shared" si="11"/>
        <x:v>17590.548999999999</x:v>
      </x:c>
      <x:c r="M39" s="50">
        <x:f t="shared" si="11"/>
        <x:v>17165.798999999999</x:v>
      </x:c>
      <x:c r="N39" s="50">
        <x:f t="shared" si="11"/>
        <x:v>14499.6</x:v>
      </x:c>
      <x:c r="O39" s="50">
        <x:f t="shared" si="11"/>
        <x:v>13993.612000000001</x:v>
      </x:c>
      <x:c r="P39" s="53">
        <x:f>SUM(D39:O39)</x:f>
        <x:v>190249.23799999998</x:v>
      </x:c>
    </x:row>
    <x:row r="40" spans="1:16" x14ac:dyDescent="0.3">
      <x:c r="A40" s="1">
        <x:f t="shared" si="0"/>
        <x:v>30</x:v>
      </x:c>
      <x:c r="B40" s="8"/>
      <x:c r="C40" s="12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</x:row>
    <x:row r="41" spans="1:16" x14ac:dyDescent="0.3">
      <x:c r="A41" s="1">
        <x:f t="shared" si="0"/>
        <x:v>31</x:v>
      </x:c>
      <x:c r="B41" s="8" t="s">
        <x:v>9</x:v>
      </x:c>
      <x:c r="C41" s="4">
        <x:f>+C36</x:f>
        <x:v>2021</x:v>
      </x:c>
      <x:c r="D41" s="64">
        <x:v>31528.330999999998</x:v>
      </x:c>
      <x:c r="E41" s="64">
        <x:v>29782.422999999999</x:v>
      </x:c>
      <x:c r="F41" s="64">
        <x:v>24479.040000000001</x:v>
      </x:c>
      <x:c r="G41" s="64">
        <x:v>32190.674000000003</x:v>
      </x:c>
      <x:c r="H41" s="64">
        <x:v>32562.343000000001</x:v>
      </x:c>
      <x:c r="I41" s="64">
        <x:v>32065.242000000002</x:v>
      </x:c>
      <x:c r="J41" s="64">
        <x:v>32846.864000000001</x:v>
      </x:c>
      <x:c r="K41" s="64">
        <x:v>32017.222000000002</x:v>
      </x:c>
      <x:c r="L41" s="64">
        <x:v>32603.032999999999</x:v>
      </x:c>
      <x:c r="M41" s="64">
        <x:v>31548.678</x:v>
      </x:c>
      <x:c r="N41" s="64">
        <x:v>31859.683000000001</x:v>
      </x:c>
      <x:c r="O41" s="64">
        <x:v>29951.280000000002</x:v>
      </x:c>
      <x:c r="P41" s="52">
        <x:f>SUM(D41:O41)</x:f>
        <x:v>373434.81300000008</x:v>
      </x:c>
    </x:row>
    <x:row r="42" spans="1:16" x14ac:dyDescent="0.3">
      <x:c r="A42" s="1">
        <x:f t="shared" si="0"/>
        <x:v>32</x:v>
      </x:c>
      <x:c r="B42" s="8" t="s">
        <x:v>9</x:v>
      </x:c>
      <x:c r="C42" s="4">
        <x:f t="shared" ref="C42:C43" si="12">+C37</x:f>
        <x:v>2022</x:v>
      </x:c>
      <x:c r="D42" s="64">
        <x:v>30734.659</x:v>
      </x:c>
      <x:c r="E42" s="64">
        <x:v>31595.732</x:v>
      </x:c>
      <x:c r="F42" s="64">
        <x:v>29810.109</x:v>
      </x:c>
      <x:c r="G42" s="64">
        <x:v>30601.021000000001</x:v>
      </x:c>
      <x:c r="H42" s="64">
        <x:v>29767.221000000001</x:v>
      </x:c>
      <x:c r="I42" s="64">
        <x:v>27693.27</x:v>
      </x:c>
      <x:c r="J42" s="64">
        <x:v>24918.940999999999</x:v>
      </x:c>
      <x:c r="K42" s="64">
        <x:v>25001.752</x:v>
      </x:c>
      <x:c r="L42" s="64">
        <x:v>26320.417999999998</x:v>
      </x:c>
      <x:c r="M42" s="64">
        <x:v>30066.182000000001</x:v>
      </x:c>
      <x:c r="N42" s="64">
        <x:v>28841.385000000002</x:v>
      </x:c>
      <x:c r="O42" s="64">
        <x:v>25779.493999999999</x:v>
      </x:c>
      <x:c r="P42" s="52">
        <x:f>SUM(D42:O42)</x:f>
        <x:v>341130.18400000001</x:v>
      </x:c>
    </x:row>
    <x:row r="43" spans="1:16" ht="14.4" thickBot="1" x14ac:dyDescent="0.35">
      <x:c r="A43" s="1">
        <x:f t="shared" si="0"/>
        <x:v>33</x:v>
      </x:c>
      <x:c r="B43" s="8" t="s">
        <x:v>9</x:v>
      </x:c>
      <x:c r="C43" s="4">
        <x:f t="shared" si="12"/>
        <x:v>2023</x:v>
      </x:c>
      <x:c r="D43" s="64">
        <x:v>29254.111000000001</x:v>
      </x:c>
      <x:c r="E43" s="64">
        <x:v>28259.283000000003</x:v>
      </x:c>
      <x:c r="F43" s="64">
        <x:v>17738.703000000001</x:v>
      </x:c>
      <x:c r="G43" s="64">
        <x:v>27199.569</x:v>
      </x:c>
      <x:c r="H43" s="64">
        <x:v>23838.573</x:v>
      </x:c>
      <x:c r="I43" s="64">
        <x:v>27605.850999999999</x:v>
      </x:c>
      <x:c r="J43" s="64">
        <x:v>26629.278999999999</x:v>
      </x:c>
      <x:c r="K43" s="64">
        <x:v>23704.062999999998</x:v>
      </x:c>
      <x:c r="L43" s="64">
        <x:v>24032.52</x:v>
      </x:c>
      <x:c r="M43" s="64">
        <x:v>26631.413</x:v>
      </x:c>
      <x:c r="N43" s="64">
        <x:v>27468.834999999999</x:v>
      </x:c>
      <x:c r="O43" s="64">
        <x:v>29742.28</x:v>
      </x:c>
      <x:c r="P43" s="52">
        <x:f>SUM(D43:O43)</x:f>
        <x:v>312104.48</x:v>
      </x:c>
    </x:row>
    <x:row r="44" spans="1:16" x14ac:dyDescent="0.3">
      <x:c r="A44" s="1">
        <x:f t="shared" si="0"/>
        <x:v>34</x:v>
      </x:c>
      <x:c r="B44" s="8" t="s">
        <x:v>9</x:v>
      </x:c>
      <x:c r="C44" s="49" t="s">
        <x:v>1</x:v>
      </x:c>
      <x:c r="D44" s="50">
        <x:f t="shared" ref="D44:O44" si="13">SUM(D41:D43)</x:f>
        <x:v>91517.100999999995</x:v>
      </x:c>
      <x:c r="E44" s="50">
        <x:f t="shared" si="13"/>
        <x:v>89637.437999999995</x:v>
      </x:c>
      <x:c r="F44" s="50">
        <x:f t="shared" si="13"/>
        <x:v>72027.852000000014</x:v>
      </x:c>
      <x:c r="G44" s="50">
        <x:f t="shared" si="13"/>
        <x:v>89991.26400000001</x:v>
      </x:c>
      <x:c r="H44" s="50">
        <x:f t="shared" si="13"/>
        <x:v>86168.137000000002</x:v>
      </x:c>
      <x:c r="I44" s="50">
        <x:f t="shared" si="13"/>
        <x:v>87364.362999999998</x:v>
      </x:c>
      <x:c r="J44" s="50">
        <x:f t="shared" si="13"/>
        <x:v>84395.084000000003</x:v>
      </x:c>
      <x:c r="K44" s="50">
        <x:f t="shared" si="13"/>
        <x:v>80723.036999999997</x:v>
      </x:c>
      <x:c r="L44" s="50">
        <x:f t="shared" si="13"/>
        <x:v>82955.971000000005</x:v>
      </x:c>
      <x:c r="M44" s="50">
        <x:f t="shared" si="13"/>
        <x:v>88246.273000000001</x:v>
      </x:c>
      <x:c r="N44" s="50">
        <x:f t="shared" si="13"/>
        <x:v>88169.902999999991</x:v>
      </x:c>
      <x:c r="O44" s="50">
        <x:f t="shared" si="13"/>
        <x:v>85473.054000000004</x:v>
      </x:c>
      <x:c r="P44" s="53">
        <x:f>SUM(D44:O44)</x:f>
        <x:v>1026669.4770000002</x:v>
      </x:c>
    </x:row>
    <x:row r="45" spans="1:16" x14ac:dyDescent="0.3">
      <x:c r="A45" s="1">
        <x:f t="shared" si="0"/>
        <x:v>35</x:v>
      </x:c>
      <x:c r="B45" s="8"/>
      <x:c r="C45" s="12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spans="1:16" x14ac:dyDescent="0.3">
      <x:c r="A46" s="1">
        <x:f t="shared" si="0"/>
        <x:v>36</x:v>
      </x:c>
      <x:c r="B46" s="8" t="s">
        <x:v>4</x:v>
      </x:c>
      <x:c r="C46" s="4">
        <x:f>+C41</x:f>
        <x:v>2021</x:v>
      </x:c>
      <x:c r="D46" s="64">
        <x:v>10269.597</x:v>
      </x:c>
      <x:c r="E46" s="64">
        <x:v>9330.6710000000003</x:v>
      </x:c>
      <x:c r="F46" s="64">
        <x:v>8706.1569999999992</x:v>
      </x:c>
      <x:c r="G46" s="64">
        <x:v>12068.843000000001</x:v>
      </x:c>
      <x:c r="H46" s="64">
        <x:v>12206.394</x:v>
      </x:c>
      <x:c r="I46" s="64">
        <x:v>13255.955</x:v>
      </x:c>
      <x:c r="J46" s="64">
        <x:v>13895.191999999999</x:v>
      </x:c>
      <x:c r="K46" s="64">
        <x:v>13041.912</x:v>
      </x:c>
      <x:c r="L46" s="64">
        <x:v>14004.713000000002</x:v>
      </x:c>
      <x:c r="M46" s="64">
        <x:v>11645.058000000001</x:v>
      </x:c>
      <x:c r="N46" s="64">
        <x:v>10654.789999999999</x:v>
      </x:c>
      <x:c r="O46" s="64">
        <x:v>11628.392</x:v>
      </x:c>
      <x:c r="P46" s="52">
        <x:f>SUM(D46:O46)</x:f>
        <x:v>140707.674</x:v>
      </x:c>
    </x:row>
    <x:row r="47" spans="1:16" x14ac:dyDescent="0.3">
      <x:c r="A47" s="1">
        <x:f t="shared" si="0"/>
        <x:v>37</x:v>
      </x:c>
      <x:c r="B47" s="8" t="s">
        <x:v>4</x:v>
      </x:c>
      <x:c r="C47" s="4">
        <x:f t="shared" ref="C47:C48" si="14">+C42</x:f>
        <x:v>2022</x:v>
      </x:c>
      <x:c r="D47" s="64">
        <x:v>11387.977000000001</x:v>
      </x:c>
      <x:c r="E47" s="64">
        <x:v>10277.066999999999</x:v>
      </x:c>
      <x:c r="F47" s="64">
        <x:v>11069.261999999999</x:v>
      </x:c>
      <x:c r="G47" s="64">
        <x:v>12014.910000000002</x:v>
      </x:c>
      <x:c r="H47" s="64">
        <x:v>11197.841</x:v>
      </x:c>
      <x:c r="I47" s="64">
        <x:v>13177.93</x:v>
      </x:c>
      <x:c r="J47" s="64">
        <x:v>12932.483</x:v>
      </x:c>
      <x:c r="K47" s="64">
        <x:v>13109.33</x:v>
      </x:c>
      <x:c r="L47" s="64">
        <x:v>12798.648999999999</x:v>
      </x:c>
      <x:c r="M47" s="64">
        <x:v>10800.644999999999</x:v>
      </x:c>
      <x:c r="N47" s="64">
        <x:v>12018.15</x:v>
      </x:c>
      <x:c r="O47" s="64">
        <x:v>11246.178</x:v>
      </x:c>
      <x:c r="P47" s="52">
        <x:f>SUM(D47:O47)</x:f>
        <x:v>142030.42200000002</x:v>
      </x:c>
    </x:row>
    <x:row r="48" spans="1:16" ht="14.4" thickBot="1" x14ac:dyDescent="0.35">
      <x:c r="A48" s="1">
        <x:f t="shared" si="0"/>
        <x:v>38</x:v>
      </x:c>
      <x:c r="B48" s="8" t="s">
        <x:v>4</x:v>
      </x:c>
      <x:c r="C48" s="4">
        <x:f t="shared" si="14"/>
        <x:v>2023</x:v>
      </x:c>
      <x:c r="D48" s="64">
        <x:v>11292.972</x:v>
      </x:c>
      <x:c r="E48" s="64">
        <x:v>12074.066000000001</x:v>
      </x:c>
      <x:c r="F48" s="64">
        <x:v>12558.411</x:v>
      </x:c>
      <x:c r="G48" s="64">
        <x:v>11301.007</x:v>
      </x:c>
      <x:c r="H48" s="64">
        <x:v>11872.186</x:v>
      </x:c>
      <x:c r="I48" s="64">
        <x:v>12881.264999999999</x:v>
      </x:c>
      <x:c r="J48" s="64">
        <x:v>12559.331</x:v>
      </x:c>
      <x:c r="K48" s="64">
        <x:v>12309.526</x:v>
      </x:c>
      <x:c r="L48" s="64">
        <x:v>12733.342999999999</x:v>
      </x:c>
      <x:c r="M48" s="64">
        <x:v>11626.586000000001</x:v>
      </x:c>
      <x:c r="N48" s="64">
        <x:v>12361.891</x:v>
      </x:c>
      <x:c r="O48" s="64">
        <x:v>13006.844000000001</x:v>
      </x:c>
      <x:c r="P48" s="52">
        <x:f>SUM(D48:O48)</x:f>
        <x:v>146577.42800000001</x:v>
      </x:c>
    </x:row>
    <x:row r="49" spans="1:16" x14ac:dyDescent="0.3">
      <x:c r="A49" s="1">
        <x:f t="shared" si="0"/>
        <x:v>39</x:v>
      </x:c>
      <x:c r="B49" s="8" t="s">
        <x:v>4</x:v>
      </x:c>
      <x:c r="C49" s="49" t="s">
        <x:v>1</x:v>
      </x:c>
      <x:c r="D49" s="50">
        <x:f t="shared" ref="D49:O49" si="15">SUM(D46:D48)</x:f>
        <x:v>32950.546000000002</x:v>
      </x:c>
      <x:c r="E49" s="50">
        <x:f t="shared" si="15"/>
        <x:v>31681.803999999996</x:v>
      </x:c>
      <x:c r="F49" s="50">
        <x:f t="shared" si="15"/>
        <x:v>32333.829999999998</x:v>
      </x:c>
      <x:c r="G49" s="50">
        <x:f t="shared" si="15"/>
        <x:v>35384.76</x:v>
      </x:c>
      <x:c r="H49" s="50">
        <x:f t="shared" si="15"/>
        <x:v>35276.421000000002</x:v>
      </x:c>
      <x:c r="I49" s="50">
        <x:f t="shared" si="15"/>
        <x:v>39315.15</x:v>
      </x:c>
      <x:c r="J49" s="50">
        <x:f t="shared" si="15"/>
        <x:v>39387.006000000001</x:v>
      </x:c>
      <x:c r="K49" s="50">
        <x:f t="shared" si="15"/>
        <x:v>38460.767999999996</x:v>
      </x:c>
      <x:c r="L49" s="50">
        <x:f t="shared" si="15"/>
        <x:v>39536.705000000002</x:v>
      </x:c>
      <x:c r="M49" s="50">
        <x:f t="shared" si="15"/>
        <x:v>34072.289000000004</x:v>
      </x:c>
      <x:c r="N49" s="50">
        <x:f t="shared" si="15"/>
        <x:v>35034.830999999998</x:v>
      </x:c>
      <x:c r="O49" s="50">
        <x:f t="shared" si="15"/>
        <x:v>35881.414000000004</x:v>
      </x:c>
      <x:c r="P49" s="53">
        <x:f>SUM(D49:O49)</x:f>
        <x:v>429315.52399999998</x:v>
      </x:c>
    </x:row>
    <x:row r="50" spans="1:16" x14ac:dyDescent="0.3">
      <x:c r="A50" s="1">
        <x:f t="shared" si="0"/>
        <x:v>40</x:v>
      </x:c>
      <x:c r="B50" s="8"/>
      <x:c r="C50" s="12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</x:row>
    <x:row r="51" spans="1:16" x14ac:dyDescent="0.3">
      <x:c r="A51" s="1">
        <x:f t="shared" si="0"/>
        <x:v>41</x:v>
      </x:c>
      <x:c r="B51" s="8" t="s">
        <x:v>2</x:v>
      </x:c>
      <x:c r="C51" s="4">
        <x:f>+C46</x:f>
        <x:v>2021</x:v>
      </x:c>
      <x:c r="D51" s="64">
        <x:v>300331.15093999996</x:v>
      </x:c>
      <x:c r="E51" s="64">
        <x:v>282276.10703000001</x:v>
      </x:c>
      <x:c r="F51" s="64">
        <x:v>218721.03764000002</x:v>
      </x:c>
      <x:c r="G51" s="64">
        <x:v>295023.57232999994</x:v>
      </x:c>
      <x:c r="H51" s="64">
        <x:v>296241.47497999994</x:v>
      </x:c>
      <x:c r="I51" s="64">
        <x:v>325583.03653000004</x:v>
      </x:c>
      <x:c r="J51" s="64">
        <x:v>329208.12248999998</x:v>
      </x:c>
      <x:c r="K51" s="64">
        <x:v>421498.23820999998</x:v>
      </x:c>
      <x:c r="L51" s="64">
        <x:v>348618.07309000002</x:v>
      </x:c>
      <x:c r="M51" s="64">
        <x:v>341557.42541999999</x:v>
      </x:c>
      <x:c r="N51" s="64">
        <x:v>335433.78861000005</x:v>
      </x:c>
      <x:c r="O51" s="64">
        <x:v>355033.92540000001</x:v>
      </x:c>
      <x:c r="P51" s="52">
        <x:f>SUM(D51:O51)</x:f>
        <x:v>3849525.9526700005</x:v>
      </x:c>
    </x:row>
    <x:row r="52" spans="1:16" x14ac:dyDescent="0.3">
      <x:c r="A52" s="1">
        <x:f t="shared" si="0"/>
        <x:v>42</x:v>
      </x:c>
      <x:c r="B52" s="8" t="s">
        <x:v>2</x:v>
      </x:c>
      <x:c r="C52" s="4">
        <x:f t="shared" ref="C52:C53" si="16">+C47</x:f>
        <x:v>2022</x:v>
      </x:c>
      <x:c r="D52" s="64">
        <x:v>337474.35816999996</x:v>
      </x:c>
      <x:c r="E52" s="64">
        <x:v>360977.47245000006</x:v>
      </x:c>
      <x:c r="F52" s="64">
        <x:v>380582.87017000001</x:v>
      </x:c>
      <x:c r="G52" s="64">
        <x:v>366479.38447999995</x:v>
      </x:c>
      <x:c r="H52" s="64">
        <x:v>388577.69400000008</x:v>
      </x:c>
      <x:c r="I52" s="64">
        <x:v>375047.90175999998</x:v>
      </x:c>
      <x:c r="J52" s="64">
        <x:v>361996.18923999998</x:v>
      </x:c>
      <x:c r="K52" s="64">
        <x:v>387118.45912000001</x:v>
      </x:c>
      <x:c r="L52" s="64">
        <x:v>378496.4411</x:v>
      </x:c>
      <x:c r="M52" s="64">
        <x:v>363535.70630000002</x:v>
      </x:c>
      <x:c r="N52" s="64">
        <x:v>361977.22148000001</x:v>
      </x:c>
      <x:c r="O52" s="64">
        <x:v>400783.97499999998</x:v>
      </x:c>
      <x:c r="P52" s="52">
        <x:f>SUM(D52:O52)</x:f>
        <x:v>4463047.6732699992</x:v>
      </x:c>
    </x:row>
    <x:row r="53" spans="1:16" ht="14.4" thickBot="1" x14ac:dyDescent="0.35">
      <x:c r="A53" s="1">
        <x:f t="shared" si="0"/>
        <x:v>43</x:v>
      </x:c>
      <x:c r="B53" s="8" t="s">
        <x:v>2</x:v>
      </x:c>
      <x:c r="C53" s="4">
        <x:f t="shared" si="16"/>
        <x:v>2023</x:v>
      </x:c>
      <x:c r="D53" s="64">
        <x:v>377249.39600000001</x:v>
      </x:c>
      <x:c r="E53" s="64">
        <x:v>383921.25900000002</x:v>
      </x:c>
      <x:c r="F53" s="64">
        <x:v>366030.071</x:v>
      </x:c>
      <x:c r="G53" s="64">
        <x:v>405270.19299999997</x:v>
      </x:c>
      <x:c r="H53" s="64">
        <x:v>447406.73200000008</x:v>
      </x:c>
      <x:c r="I53" s="64">
        <x:v>477430.70799999998</x:v>
      </x:c>
      <x:c r="J53" s="64">
        <x:v>473172.18499999994</x:v>
      </x:c>
      <x:c r="K53" s="64">
        <x:v>751372.70200000005</x:v>
      </x:c>
      <x:c r="L53" s="64">
        <x:v>447480.43176999997</x:v>
      </x:c>
      <x:c r="M53" s="64">
        <x:v>477562.66954999999</x:v>
      </x:c>
      <x:c r="N53" s="64">
        <x:v>581376.75749999995</x:v>
      </x:c>
      <x:c r="O53" s="64">
        <x:v>609808.12718000007</x:v>
      </x:c>
      <x:c r="P53" s="52">
        <x:f>SUM(D53:O53)</x:f>
        <x:v>5798081.2320000008</x:v>
      </x:c>
    </x:row>
    <x:row r="54" spans="1:16" x14ac:dyDescent="0.3">
      <x:c r="A54" s="1">
        <x:f t="shared" si="0"/>
        <x:v>44</x:v>
      </x:c>
      <x:c r="B54" s="8" t="s">
        <x:v>2</x:v>
      </x:c>
      <x:c r="C54" s="49" t="s">
        <x:v>1</x:v>
      </x:c>
      <x:c r="D54" s="50">
        <x:f t="shared" ref="D54:O54" si="17">SUM(D51:D53)</x:f>
        <x:v>1015054.9051099999</x:v>
      </x:c>
      <x:c r="E54" s="50">
        <x:f t="shared" si="17"/>
        <x:v>1027174.8384800002</x:v>
      </x:c>
      <x:c r="F54" s="50">
        <x:f t="shared" si="17"/>
        <x:v>965333.97881</x:v>
      </x:c>
      <x:c r="G54" s="50">
        <x:f t="shared" si="17"/>
        <x:v>1066773.1498099999</x:v>
      </x:c>
      <x:c r="H54" s="50">
        <x:f t="shared" si="17"/>
        <x:v>1132225.9009800002</x:v>
      </x:c>
      <x:c r="I54" s="50">
        <x:f t="shared" si="17"/>
        <x:v>1178061.6462900001</x:v>
      </x:c>
      <x:c r="J54" s="50">
        <x:f t="shared" si="17"/>
        <x:v>1164376.4967299998</x:v>
      </x:c>
      <x:c r="K54" s="50">
        <x:f t="shared" si="17"/>
        <x:v>1559989.3993299999</x:v>
      </x:c>
      <x:c r="L54" s="50">
        <x:f t="shared" si="17"/>
        <x:v>1174594.9459599999</x:v>
      </x:c>
      <x:c r="M54" s="50">
        <x:f t="shared" si="17"/>
        <x:v>1182655.8012699999</x:v>
      </x:c>
      <x:c r="N54" s="50">
        <x:f t="shared" si="17"/>
        <x:v>1278787.7675899998</x:v>
      </x:c>
      <x:c r="O54" s="50">
        <x:f t="shared" si="17"/>
        <x:v>1365626.02758</x:v>
      </x:c>
      <x:c r="P54" s="53">
        <x:f>SUM(D54:O54)</x:f>
        <x:v>14110654.85794</x:v>
      </x:c>
    </x:row>
    <x:row r="55" spans="1:16" ht="14.4" x14ac:dyDescent="0.3">
      <x:c r="A55" s="1">
        <x:f t="shared" si="0"/>
        <x:v>45</x:v>
      </x:c>
      <x:c r="B55" s="8"/>
      <x:c r="C55" s="13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</x:row>
    <x:row r="56" spans="1:16" x14ac:dyDescent="0.3">
      <x:c r="A56" s="1">
        <x:f t="shared" si="0"/>
        <x:v>46</x:v>
      </x:c>
      <x:c r="B56" s="8" t="s">
        <x:v>45</x:v>
      </x:c>
      <x:c r="C56" s="4">
        <x:f>+C51</x:f>
        <x:v>2021</x:v>
      </x:c>
      <x:c r="D56" s="64">
        <x:v>1846.886</x:v>
      </x:c>
      <x:c r="E56" s="64">
        <x:v>1588.6709999999998</x:v>
      </x:c>
      <x:c r="F56" s="64">
        <x:v>1491.6619999999998</x:v>
      </x:c>
      <x:c r="G56" s="64">
        <x:v>2638.5720000000001</x:v>
      </x:c>
      <x:c r="H56" s="64">
        <x:v>3510.1630000000005</x:v>
      </x:c>
      <x:c r="I56" s="64">
        <x:v>4909.6419999999998</x:v>
      </x:c>
      <x:c r="J56" s="64">
        <x:v>4885.8270000000002</x:v>
      </x:c>
      <x:c r="K56" s="64">
        <x:v>4678.5079999999998</x:v>
      </x:c>
      <x:c r="L56" s="64">
        <x:v>4345.08</x:v>
      </x:c>
      <x:c r="M56" s="64">
        <x:v>2369.2110000000002</x:v>
      </x:c>
      <x:c r="N56" s="64">
        <x:v>3775.5650000000001</x:v>
      </x:c>
      <x:c r="O56" s="64">
        <x:v>2569.5299999999997</x:v>
      </x:c>
      <x:c r="P56" s="52">
        <x:f>SUM(D56:O56)</x:f>
        <x:v>38609.316999999995</x:v>
      </x:c>
    </x:row>
    <x:row r="57" spans="1:16" x14ac:dyDescent="0.3">
      <x:c r="A57" s="1">
        <x:f t="shared" si="0"/>
        <x:v>47</x:v>
      </x:c>
      <x:c r="B57" s="8" t="s">
        <x:v>45</x:v>
      </x:c>
      <x:c r="C57" s="4">
        <x:f t="shared" ref="C57:C58" si="18">+C52</x:f>
        <x:v>2022</x:v>
      </x:c>
      <x:c r="D57" s="64">
        <x:v>1939.152</x:v>
      </x:c>
      <x:c r="E57" s="64">
        <x:v>1890.6390000000001</x:v>
      </x:c>
      <x:c r="F57" s="64">
        <x:v>1927.1779999999999</x:v>
      </x:c>
      <x:c r="G57" s="64">
        <x:v>2715.4290000000001</x:v>
      </x:c>
      <x:c r="H57" s="64">
        <x:v>5038.05</x:v>
      </x:c>
      <x:c r="I57" s="64">
        <x:v>6439.7960000000003</x:v>
      </x:c>
      <x:c r="J57" s="64">
        <x:v>6274.5309999999999</x:v>
      </x:c>
      <x:c r="K57" s="64">
        <x:v>8350.5879999999997</x:v>
      </x:c>
      <x:c r="L57" s="64">
        <x:v>6357.5930000000008</x:v>
      </x:c>
      <x:c r="M57" s="64">
        <x:v>4770.45</x:v>
      </x:c>
      <x:c r="N57" s="64">
        <x:v>4937.12</x:v>
      </x:c>
      <x:c r="O57" s="64">
        <x:v>4499.7359999999999</x:v>
      </x:c>
      <x:c r="P57" s="52">
        <x:f>SUM(D57:O57)</x:f>
        <x:v>55140.261999999995</x:v>
      </x:c>
    </x:row>
    <x:row r="58" spans="1:16" ht="14.4" thickBot="1" x14ac:dyDescent="0.35">
      <x:c r="A58" s="1">
        <x:f t="shared" si="0"/>
        <x:v>48</x:v>
      </x:c>
      <x:c r="B58" s="8" t="s">
        <x:v>45</x:v>
      </x:c>
      <x:c r="C58" s="4">
        <x:f t="shared" si="18"/>
        <x:v>2023</x:v>
      </x:c>
      <x:c r="D58" s="64">
        <x:v>14972.921</x:v>
      </x:c>
      <x:c r="E58" s="64">
        <x:v>8215.1779999999999</x:v>
      </x:c>
      <x:c r="F58" s="64">
        <x:v>8775.732</x:v>
      </x:c>
      <x:c r="G58" s="64">
        <x:v>9822.0300000000007</x:v>
      </x:c>
      <x:c r="H58" s="64">
        <x:v>9909.4510000000009</x:v>
      </x:c>
      <x:c r="I58" s="64">
        <x:v>10896.362999999999</x:v>
      </x:c>
      <x:c r="J58" s="64">
        <x:v>9245.2389999999996</x:v>
      </x:c>
      <x:c r="K58" s="64">
        <x:v>8278.5640000000003</x:v>
      </x:c>
      <x:c r="L58" s="64">
        <x:v>8623.8230000000003</x:v>
      </x:c>
      <x:c r="M58" s="64">
        <x:v>8446.8979999999992</x:v>
      </x:c>
      <x:c r="N58" s="64">
        <x:v>8017.7710000000006</x:v>
      </x:c>
      <x:c r="O58" s="64">
        <x:v>6041.9080000000004</x:v>
      </x:c>
      <x:c r="P58" s="52">
        <x:f>SUM(D58:O58)</x:f>
        <x:v>111245.878</x:v>
      </x:c>
    </x:row>
    <x:row r="59" spans="1:16" x14ac:dyDescent="0.3">
      <x:c r="A59" s="1">
        <x:f t="shared" si="0"/>
        <x:v>49</x:v>
      </x:c>
      <x:c r="B59" s="8" t="s">
        <x:v>45</x:v>
      </x:c>
      <x:c r="C59" s="49" t="s">
        <x:v>1</x:v>
      </x:c>
      <x:c r="D59" s="50">
        <x:f t="shared" ref="D59:O59" si="19">SUM(D56:D58)</x:f>
        <x:v>18758.958999999999</x:v>
      </x:c>
      <x:c r="E59" s="50">
        <x:f t="shared" si="19"/>
        <x:v>11694.487999999999</x:v>
      </x:c>
      <x:c r="F59" s="50">
        <x:f t="shared" si="19"/>
        <x:v>12194.572</x:v>
      </x:c>
      <x:c r="G59" s="50">
        <x:f t="shared" si="19"/>
        <x:v>15176.031000000001</x:v>
      </x:c>
      <x:c r="H59" s="50">
        <x:f t="shared" si="19"/>
        <x:v>18457.664000000001</x:v>
      </x:c>
      <x:c r="I59" s="50">
        <x:f t="shared" si="19"/>
        <x:v>22245.800999999999</x:v>
      </x:c>
      <x:c r="J59" s="50">
        <x:f t="shared" si="19"/>
        <x:v>20405.597000000002</x:v>
      </x:c>
      <x:c r="K59" s="50">
        <x:f t="shared" si="19"/>
        <x:v>21307.66</x:v>
      </x:c>
      <x:c r="L59" s="50">
        <x:f t="shared" si="19"/>
        <x:v>19326.495999999999</x:v>
      </x:c>
      <x:c r="M59" s="50">
        <x:f t="shared" si="19"/>
        <x:v>15586.558999999999</x:v>
      </x:c>
      <x:c r="N59" s="50">
        <x:f t="shared" si="19"/>
        <x:v>16730.455999999998</x:v>
      </x:c>
      <x:c r="O59" s="50">
        <x:f t="shared" si="19"/>
        <x:v>13111.173999999999</x:v>
      </x:c>
      <x:c r="P59" s="53">
        <x:f>SUM(D59:O59)</x:f>
        <x:v>204995.45700000005</x:v>
      </x:c>
    </x:row>
    <x:row r="60" spans="1:16" x14ac:dyDescent="0.3">
      <x:c r="A60" s="1">
        <x:f t="shared" si="0"/>
        <x:v>50</x:v>
      </x:c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spans="1:16" x14ac:dyDescent="0.3">
      <x:c r="A61" s="1">
        <x:f t="shared" si="0"/>
        <x:v>51</x:v>
      </x:c>
      <x:c r="B61" s="1" t="s">
        <x:v>34</x:v>
      </x:c>
      <x:c r="C61" s="4">
        <x:f>+C56</x:f>
        <x:v>2021</x:v>
      </x:c>
      <x:c r="D61" s="9">
        <x:f t="shared" ref="D61:P61" si="20">SUM(D26,D31,D36,D41,D46,D51,D56,D21,D16,D11)</x:f>
        <x:v>461685.53093999997</x:v>
      </x:c>
      <x:c r="E61" s="9">
        <x:f t="shared" si="20"/>
        <x:v>439248.58403000003</x:v>
      </x:c>
      <x:c r="F61" s="9">
        <x:f t="shared" si="20"/>
        <x:v>366983.79904000001</x:v>
      </x:c>
      <x:c r="G61" s="9">
        <x:f t="shared" si="20"/>
        <x:v>480952.04192999989</x:v>
      </x:c>
      <x:c r="H61" s="9">
        <x:f t="shared" si="20"/>
        <x:v>478155.80297999992</x:v>
      </x:c>
      <x:c r="I61" s="9">
        <x:f t="shared" si="20"/>
        <x:v>516944.69853000005</x:v>
      </x:c>
      <x:c r="J61" s="9">
        <x:f t="shared" si="20"/>
        <x:v>527521.87523999996</x:v>
      </x:c>
      <x:c r="K61" s="9">
        <x:f t="shared" si="20"/>
        <x:v>627118.24745999998</x:v>
      </x:c>
      <x:c r="L61" s="9">
        <x:f t="shared" si="20"/>
        <x:v>560343.09109</x:v>
      </x:c>
      <x:c r="M61" s="9">
        <x:f t="shared" si="20"/>
        <x:v>544885.42442000005</x:v>
      </x:c>
      <x:c r="N61" s="9">
        <x:f t="shared" si="20"/>
        <x:v>537814.31561000005</x:v>
      </x:c>
      <x:c r="O61" s="9">
        <x:f t="shared" si="20"/>
        <x:v>555070.2794</x:v>
      </x:c>
      <x:c r="P61" s="52">
        <x:f t="shared" si="20"/>
        <x:v>6096723.6906700004</x:v>
      </x:c>
    </x:row>
    <x:row r="62" spans="1:16" x14ac:dyDescent="0.3">
      <x:c r="A62" s="1">
        <x:f t="shared" si="0"/>
        <x:v>52</x:v>
      </x:c>
      <x:c r="B62" s="1" t="s">
        <x:v>34</x:v>
      </x:c>
      <x:c r="C62" s="4">
        <x:f t="shared" ref="C62:C63" si="21">+C57</x:f>
        <x:v>2022</x:v>
      </x:c>
      <x:c r="D62" s="9">
        <x:f t="shared" ref="D62:P62" si="22">SUM(D27,D32,D37,D42,D47,D52,D57,D22,D17,D12)</x:f>
        <x:v>522530.11952000001</x:v>
      </x:c>
      <x:c r="E62" s="9">
        <x:f t="shared" si="22"/>
        <x:v>547723.12099000008</x:v>
      </x:c>
      <x:c r="F62" s="9">
        <x:f t="shared" si="22"/>
        <x:v>564467.76228000002</x:v>
      </x:c>
      <x:c r="G62" s="9">
        <x:f t="shared" si="22"/>
        <x:v>563953.03447999991</x:v>
      </x:c>
      <x:c r="H62" s="9">
        <x:f t="shared" si="22"/>
        <x:v>588397.69000000006</x:v>
      </x:c>
      <x:c r="I62" s="9">
        <x:f t="shared" si="22"/>
        <x:v>567238.32776000001</x:v>
      </x:c>
      <x:c r="J62" s="9">
        <x:f t="shared" si="22"/>
        <x:v>576855.88223999995</x:v>
      </x:c>
      <x:c r="K62" s="9">
        <x:f t="shared" si="22"/>
        <x:v>616809.16812000005</x:v>
      </x:c>
      <x:c r="L62" s="9">
        <x:f t="shared" si="22"/>
        <x:v>599201.73509999993</x:v>
      </x:c>
      <x:c r="M62" s="9">
        <x:f t="shared" si="22"/>
        <x:v>560615.68630000006</x:v>
      </x:c>
      <x:c r="N62" s="9">
        <x:f t="shared" si="22"/>
        <x:v>564549.42148000002</x:v>
      </x:c>
      <x:c r="O62" s="9">
        <x:f t="shared" si="22"/>
        <x:v>590110.45599999989</x:v>
      </x:c>
      <x:c r="P62" s="52">
        <x:f t="shared" si="22"/>
        <x:v>6862452.4042699998</x:v>
      </x:c>
    </x:row>
    <x:row r="63" spans="1:16" ht="14.4" thickBot="1" x14ac:dyDescent="0.35">
      <x:c r="A63" s="1">
        <x:f t="shared" si="0"/>
        <x:v>53</x:v>
      </x:c>
      <x:c r="B63" s="1" t="s">
        <x:v>34</x:v>
      </x:c>
      <x:c r="C63" s="4">
        <x:f t="shared" si="21"/>
        <x:v>2023</x:v>
      </x:c>
      <x:c r="D63" s="9">
        <x:f t="shared" ref="D63:P63" si="23">SUM(D28,D33,D38,D43,D48,D53,D58,D23,D18,D13)</x:f>
        <x:v>571446.94999999995</x:v>
      </x:c>
      <x:c r="E63" s="9">
        <x:f t="shared" si="23"/>
        <x:v>580477.8110000001</x:v>
      </x:c>
      <x:c r="F63" s="9">
        <x:f t="shared" si="23"/>
        <x:v>546152.96400000004</x:v>
      </x:c>
      <x:c r="G63" s="9">
        <x:f t="shared" si="23"/>
        <x:v>617702.54</x:v>
      </x:c>
      <x:c r="H63" s="9">
        <x:f t="shared" si="23"/>
        <x:v>666453.70400000003</x:v>
      </x:c>
      <x:c r="I63" s="9">
        <x:f t="shared" si="23"/>
        <x:v>705012.56699999992</x:v>
      </x:c>
      <x:c r="J63" s="9">
        <x:f t="shared" si="23"/>
        <x:v>707666.28699999978</x:v>
      </x:c>
      <x:c r="K63" s="9">
        <x:f t="shared" si="23"/>
        <x:v>999706.52600000007</x:v>
      </x:c>
      <x:c r="L63" s="9">
        <x:f t="shared" si="23"/>
        <x:v>701589.16376999987</x:v>
      </x:c>
      <x:c r="M63" s="9">
        <x:f t="shared" si="23"/>
        <x:v>725744.0255499999</x:v>
      </x:c>
      <x:c r="N63" s="9">
        <x:f t="shared" si="23"/>
        <x:v>822283.49018999981</x:v>
      </x:c>
      <x:c r="O63" s="9">
        <x:f t="shared" si="23"/>
        <x:v>842149.63449000008</x:v>
      </x:c>
      <x:c r="P63" s="52">
        <x:f t="shared" si="23"/>
        <x:v>8486385.6630000006</x:v>
      </x:c>
    </x:row>
    <x:row r="64" spans="1:16" ht="14.4" thickBot="1" x14ac:dyDescent="0.35">
      <x:c r="A64" s="1">
        <x:f t="shared" si="0"/>
        <x:v>54</x:v>
      </x:c>
      <x:c r="B64" s="1" t="s">
        <x:v>34</x:v>
      </x:c>
      <x:c r="C64" s="54" t="s">
        <x:v>1</x:v>
      </x:c>
      <x:c r="D64" s="55">
        <x:f t="shared" ref="D64:P64" si="24">SUM(D61:D63)</x:f>
        <x:v>1555662.6004599999</x:v>
      </x:c>
      <x:c r="E64" s="55">
        <x:f t="shared" si="24"/>
        <x:v>1567449.5160200002</x:v>
      </x:c>
      <x:c r="F64" s="55">
        <x:f t="shared" si="24"/>
        <x:v>1477604.52532</x:v>
      </x:c>
      <x:c r="G64" s="55">
        <x:f t="shared" si="24"/>
        <x:v>1662607.6164099998</x:v>
      </x:c>
      <x:c r="H64" s="50">
        <x:f t="shared" si="24"/>
        <x:v>1733007.19698</x:v>
      </x:c>
      <x:c r="I64" s="55">
        <x:f t="shared" si="24"/>
        <x:v>1789195.5932899998</x:v>
      </x:c>
      <x:c r="J64" s="55">
        <x:f t="shared" si="24"/>
        <x:v>1812044.0444799997</x:v>
      </x:c>
      <x:c r="K64" s="55">
        <x:f t="shared" si="24"/>
        <x:v>2243633.9415800003</x:v>
      </x:c>
      <x:c r="L64" s="55">
        <x:f t="shared" si="24"/>
        <x:v>1861133.9899599999</x:v>
      </x:c>
      <x:c r="M64" s="55">
        <x:f t="shared" si="24"/>
        <x:v>1831245.1362700001</x:v>
      </x:c>
      <x:c r="N64" s="55">
        <x:f t="shared" si="24"/>
        <x:v>1924647.2272799998</x:v>
      </x:c>
      <x:c r="O64" s="55">
        <x:f t="shared" si="24"/>
        <x:v>1987330.36989</x:v>
      </x:c>
      <x:c r="P64" s="56">
        <x:f t="shared" si="24"/>
        <x:v>21445561.757940002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&amp;RWP/II-H-5.2/5
Page &amp;P of &amp;N</x:oddHeader>
    <x:oddFooter>&amp;R]</x:oddFoot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2025-04-08T12:34:49.0000000Z</dcterms:modified>
</coreProperties>
</file>