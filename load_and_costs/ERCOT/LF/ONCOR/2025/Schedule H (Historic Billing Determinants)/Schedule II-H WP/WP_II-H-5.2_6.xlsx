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Schedule II-H WP\"/>
    </mc:Choice>
  </mc:AlternateContent>
  <xr:revisionPtr revIDLastSave="0" documentId="13_ncr:1_{2B0CC5A2-CA1F-4746-B050-BF83FCBC87FB}" xr6:coauthVersionLast="47" xr6:coauthVersionMax="47" xr10:uidLastSave="{00000000-0000-0000-0000-000000000000}"/>
  <x:bookViews>
    <x:workbookView xWindow="-108" yWindow="-108" windowWidth="23256" windowHeight="12456" tabRatio="599" xr2:uid="{00000000-000D-0000-FFFF-FFFF00000000}"/>
  </x:bookViews>
  <x:sheets>
    <x:sheet name="RES Spline Model" sheetId="97" r:id="rId1"/>
    <x:sheet name="RES Spline Graph" sheetId="98" r:id="rId2"/>
    <x:sheet name="GSS Spline Model" sheetId="52" r:id="rId3"/>
    <x:sheet name="GSS Spline Graph" sheetId="63" r:id="rId4"/>
    <x:sheet name="GSL Spline Model" sheetId="54" r:id="rId5"/>
    <x:sheet name="GSL Spline Graph" sheetId="65" r:id="rId6"/>
    <x:sheet name="GPLD Spline Model" sheetId="56" r:id="rId7"/>
    <x:sheet name="GPLD Spline Graph" sheetId="67" r:id="rId8"/>
    <x:sheet name="SUBS Spline Model" sheetId="85" r:id="rId9"/>
    <x:sheet name="SUBS Spline Graph" sheetId="86" r:id="rId10"/>
    <x:sheet name="RES B Spline Model" sheetId="77" r:id="rId11"/>
    <x:sheet name="RES B Spline Graph" sheetId="78" r:id="rId12"/>
    <x:sheet name="GSS B Spline Model" sheetId="79" r:id="rId13"/>
    <x:sheet name="GSS B Spline Graph" sheetId="80" r:id="rId14"/>
    <x:sheet name="GSL B Spline Model" sheetId="81" r:id="rId15"/>
    <x:sheet name="GSL B Spline Graph" sheetId="82" r:id="rId16"/>
    <x:sheet name="GPLD B Spline Model" sheetId="83" r:id="rId17"/>
    <x:sheet name="GPLD B Spline Graph" sheetId="84" r:id="rId18"/>
    <x:sheet name="SUBS B Spline Model" sheetId="87" r:id="rId19"/>
    <x:sheet name="SUBS B Spline Graph" sheetId="88" r:id="rId20"/>
  </x:sheets>
  <x:externalReferences>
    <x:externalReference r:id="rId21"/>
    <x:externalReference r:id="rId22"/>
    <x:externalReference r:id="rId23"/>
  </x:externalReferences>
  <x:definedNames>
    <x:definedName name="a">#REF!</x:definedName>
    <x:definedName name="_xlnm.Database">#REF!</x:definedName>
    <x:definedName name="HOURLY">[1]HOURLY!$A$1:$G$745</x:definedName>
    <x:definedName name="rngBilled">OFFSET([2]Sheet2!$A$2,0,0,[2]Sheet2!$B$1,9)</x:definedName>
    <x:definedName name="rngYear">OFFSET('[3]Daily Actual_August'!$A$2,0,0,'[3]Daily Actual_August'!$C$1,8)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B11" i="86" l="1"/>
  <x:c r="B11" i="65"/>
  <x:c r="B11" i="63"/>
  <x:c r="B6" i="87"/>
  <x:c r="B4" i="87"/>
  <x:c r="B3" i="87"/>
  <x:c r="B2" i="87"/>
  <x:c r="B1" i="87"/>
  <x:c r="B6" i="88"/>
  <x:c r="B4" i="88"/>
  <x:c r="B3" i="88"/>
  <x:c r="B2" i="88"/>
  <x:c r="B1" i="88"/>
  <x:c r="B6" i="84"/>
  <x:c r="B4" i="84"/>
  <x:c r="B3" i="84"/>
  <x:c r="B2" i="84"/>
  <x:c r="B1" i="84"/>
  <x:c r="B6" i="83"/>
  <x:c r="B4" i="83"/>
  <x:c r="B3" i="83"/>
  <x:c r="B2" i="83"/>
  <x:c r="B1" i="83"/>
  <x:c r="A66" i="83"/>
  <x:c r="A67" i="83" s="1"/>
  <x:c r="A68" i="83" s="1"/>
  <x:c r="A69" i="83" s="1"/>
  <x:c r="A70" i="83" s="1"/>
  <x:c r="A71" i="83" s="1"/>
  <x:c r="A72" i="83" s="1"/>
  <x:c r="A73" i="83" s="1"/>
  <x:c r="A74" i="83" s="1"/>
  <x:c r="A75" i="83" s="1"/>
  <x:c r="A76" i="83" s="1"/>
  <x:c r="A77" i="83" s="1"/>
  <x:c r="A78" i="83" s="1"/>
  <x:c r="A79" i="83" s="1"/>
  <x:c r="A80" i="83" s="1"/>
  <x:c r="A81" i="83" s="1"/>
  <x:c r="A82" i="83" s="1"/>
  <x:c r="A58" i="83"/>
  <x:c r="A59" i="83" s="1"/>
  <x:c r="A60" i="83" s="1"/>
  <x:c r="A61" i="83" s="1"/>
  <x:c r="A62" i="83" s="1"/>
  <x:c r="A63" i="83" s="1"/>
  <x:c r="A64" i="83" s="1"/>
  <x:c r="A65" i="83" s="1"/>
  <x:c r="B6" i="82" l="1"/>
  <x:c r="B4" i="82"/>
  <x:c r="B3" i="82"/>
  <x:c r="B2" i="82"/>
  <x:c r="B1" i="82"/>
  <x:c r="B6" i="81"/>
  <x:c r="B4" i="81"/>
  <x:c r="B3" i="81"/>
  <x:c r="B2" i="81"/>
  <x:c r="B1" i="81"/>
  <x:c r="A67" i="81"/>
  <x:c r="A68" i="81" s="1"/>
  <x:c r="A69" i="81" s="1"/>
  <x:c r="A70" i="81" s="1"/>
  <x:c r="A71" i="81" s="1"/>
  <x:c r="A72" i="81" s="1"/>
  <x:c r="A73" i="81" s="1"/>
  <x:c r="A74" i="81" s="1"/>
  <x:c r="A75" i="81" s="1"/>
  <x:c r="A76" i="81" s="1"/>
  <x:c r="A77" i="81" s="1"/>
  <x:c r="A78" i="81" s="1"/>
  <x:c r="A79" i="81" s="1"/>
  <x:c r="A80" i="81" s="1"/>
  <x:c r="A81" i="81" s="1"/>
  <x:c r="A82" i="81" s="1"/>
  <x:c r="A83" i="81" s="1"/>
  <x:c r="A63" i="81"/>
  <x:c r="A64" i="81" s="1"/>
  <x:c r="A65" i="81" s="1"/>
  <x:c r="A66" i="81" s="1"/>
  <x:c r="B6" i="80"/>
  <x:c r="B4" i="80"/>
  <x:c r="B3" i="80"/>
  <x:c r="B2" i="80"/>
  <x:c r="B1" i="80"/>
  <x:c r="B6" i="79"/>
  <x:c r="B4" i="79"/>
  <x:c r="B3" i="79"/>
  <x:c r="B2" i="79"/>
  <x:c r="B1" i="79"/>
  <x:c r="A67" i="79"/>
  <x:c r="A68" i="79" s="1"/>
  <x:c r="A69" i="79" s="1"/>
  <x:c r="A70" i="79" s="1"/>
  <x:c r="A71" i="79" s="1"/>
  <x:c r="A72" i="79" s="1"/>
  <x:c r="A73" i="79" s="1"/>
  <x:c r="A74" i="79" s="1"/>
  <x:c r="A75" i="79" s="1"/>
  <x:c r="A76" i="79" s="1"/>
  <x:c r="A77" i="79" s="1"/>
  <x:c r="A78" i="79" s="1"/>
  <x:c r="A79" i="79" s="1"/>
  <x:c r="A80" i="79" s="1"/>
  <x:c r="A81" i="79" s="1"/>
  <x:c r="A82" i="79" s="1"/>
  <x:c r="A83" i="79" s="1"/>
  <x:c r="A63" i="79"/>
  <x:c r="A64" i="79" s="1"/>
  <x:c r="A65" i="79" s="1"/>
  <x:c r="A66" i="79" s="1"/>
  <x:c r="B6" i="78"/>
  <x:c r="B4" i="78"/>
  <x:c r="B3" i="78"/>
  <x:c r="B2" i="78"/>
  <x:c r="B1" i="78"/>
  <x:c r="A64" i="77"/>
  <x:c r="A65" i="77" s="1"/>
  <x:c r="A66" i="77" s="1"/>
  <x:c r="A67" i="77" s="1"/>
  <x:c r="A68" i="77" s="1"/>
  <x:c r="A69" i="77" s="1"/>
  <x:c r="A70" i="77" s="1"/>
  <x:c r="A71" i="77" s="1"/>
  <x:c r="A72" i="77" s="1"/>
  <x:c r="A73" i="77" s="1"/>
  <x:c r="A74" i="77" s="1"/>
  <x:c r="A75" i="77" s="1"/>
  <x:c r="A76" i="77" s="1"/>
  <x:c r="A77" i="77" s="1"/>
  <x:c r="A78" i="77" s="1"/>
  <x:c r="A79" i="77" s="1"/>
  <x:c r="A80" i="77" s="1"/>
  <x:c r="A63" i="77"/>
  <x:c r="B6" i="77"/>
  <x:c r="B4" i="77"/>
  <x:c r="B3" i="77"/>
  <x:c r="B2" i="77"/>
  <x:c r="B1" i="77"/>
  <x:c r="B11" i="67" l="1"/>
  <x:c r="A12" i="56"/>
  <x:c r="A13" i="56"/>
  <x:c r="A14" i="56"/>
  <x:c r="A15" i="56"/>
  <x:c r="A16" i="56" s="1"/>
  <x:c r="A17" i="56" s="1"/>
  <x:c r="A18" i="56" s="1"/>
  <x:c r="A19" i="56" s="1"/>
  <x:c r="A20" i="56" s="1"/>
  <x:c r="A21" i="56" s="1"/>
  <x:c r="A22" i="56" s="1"/>
  <x:c r="A23" i="56" s="1"/>
  <x:c r="A24" i="56" s="1"/>
  <x:c r="A25" i="56" s="1"/>
  <x:c r="A26" i="56" s="1"/>
  <x:c r="A27" i="56" s="1"/>
  <x:c r="A28" i="56" s="1"/>
  <x:c r="A29" i="56" s="1"/>
  <x:c r="A30" i="56" s="1"/>
  <x:c r="A31" i="56" s="1"/>
  <x:c r="A32" i="56" s="1"/>
  <x:c r="A33" i="56" s="1"/>
  <x:c r="A34" i="56" s="1"/>
  <x:c r="A35" i="56" s="1"/>
  <x:c r="A36" i="56" s="1"/>
  <x:c r="A37" i="56" s="1"/>
  <x:c r="A38" i="56" s="1"/>
  <x:c r="A39" i="56" s="1"/>
  <x:c r="A40" i="56" s="1"/>
  <x:c r="A41" i="56" s="1"/>
  <x:c r="A42" i="56" s="1"/>
  <x:c r="A43" i="56" s="1"/>
  <x:c r="A44" i="56" s="1"/>
  <x:c r="A45" i="56" s="1"/>
  <x:c r="A46" i="56" s="1"/>
  <x:c r="A47" i="56" s="1"/>
  <x:c r="A48" i="56" s="1"/>
  <x:c r="A49" i="56" s="1"/>
  <x:c r="A50" i="56" s="1"/>
  <x:c r="A51" i="56" s="1"/>
  <x:c r="A52" i="56" s="1"/>
  <x:c r="A53" i="56" s="1"/>
  <x:c r="A54" i="56" s="1"/>
  <x:c r="A55" i="56" s="1"/>
  <x:c r="A56" i="56" s="1"/>
  <x:c r="A57" i="56" s="1"/>
  <x:c r="A58" i="56" s="1"/>
  <x:c r="A59" i="56" s="1"/>
  <x:c r="A60" i="56" s="1"/>
  <x:c r="A61" i="56" s="1"/>
  <x:c r="A62" i="56" s="1"/>
  <x:c r="A63" i="56" s="1"/>
  <x:c r="A64" i="56" s="1"/>
  <x:c r="A65" i="56" s="1"/>
  <x:c r="A66" i="56" s="1"/>
  <x:c r="A67" i="56" s="1"/>
  <x:c r="A68" i="56" s="1"/>
  <x:c r="A69" i="56" s="1"/>
  <x:c r="A70" i="56" s="1"/>
  <x:c r="A71" i="56" s="1"/>
  <x:c r="A72" i="56" s="1"/>
  <x:c r="A73" i="56" s="1"/>
  <x:c r="A74" i="56" s="1"/>
  <x:c r="A75" i="56" s="1"/>
  <x:c r="A76" i="56" s="1"/>
  <x:c r="A77" i="56" s="1"/>
  <x:c r="A78" i="56" s="1"/>
  <x:c r="A11" i="56"/>
  <x:c r="B6" i="65"/>
  <x:c r="B4" i="65"/>
  <x:c r="B3" i="65"/>
  <x:c r="B2" i="65"/>
  <x:c r="B1" i="65"/>
  <x:c r="A80" i="54"/>
  <x:c r="A81" i="54"/>
  <x:c r="A82" i="54" s="1"/>
  <x:c r="A83" i="54" s="1"/>
  <x:c r="A84" i="54" s="1"/>
  <x:c r="A85" i="54" s="1"/>
  <x:c r="A86" i="54" s="1"/>
  <x:c r="A87" i="54" s="1"/>
  <x:c r="A88" i="54" s="1"/>
  <x:c r="A89" i="54" s="1"/>
  <x:c r="A90" i="54" s="1"/>
  <x:c r="A91" i="54" s="1"/>
  <x:c r="A92" i="54" s="1"/>
  <x:c r="A93" i="54" s="1"/>
  <x:c r="A94" i="54" s="1"/>
  <x:c r="A95" i="54" s="1"/>
  <x:c r="B6" i="67" l="1"/>
  <x:c r="B4" i="67"/>
  <x:c r="B3" i="67"/>
  <x:c r="B2" i="67"/>
  <x:c r="B1" i="67"/>
  <x:c r="B6" i="56"/>
  <x:c r="B4" i="56"/>
  <x:c r="B3" i="56"/>
  <x:c r="B2" i="56"/>
  <x:c r="B1" i="56"/>
  <x:c r="B6" i="86"/>
  <x:c r="B4" i="86"/>
  <x:c r="B3" i="86"/>
  <x:c r="B2" i="86"/>
  <x:c r="B1" i="86"/>
  <x:c r="B6" i="85"/>
  <x:c r="B4" i="85"/>
  <x:c r="B3" i="85"/>
  <x:c r="B2" i="85"/>
  <x:c r="B1" i="85"/>
  <x:c r="B6" i="54" l="1"/>
  <x:c r="B4" i="54"/>
  <x:c r="B3" i="54"/>
  <x:c r="B2" i="54"/>
  <x:c r="B1" i="54"/>
  <x:c r="A74" i="52" l="1"/>
  <x:c r="A75" i="52" s="1"/>
  <x:c r="A76" i="52" s="1"/>
  <x:c r="A77" i="52" s="1"/>
  <x:c r="A78" i="52" s="1"/>
  <x:c r="A79" i="52" s="1"/>
  <x:c r="A80" i="52" s="1"/>
  <x:c r="A81" i="52" s="1"/>
  <x:c r="A82" i="52" s="1"/>
  <x:c r="A83" i="52" s="1"/>
  <x:c r="A84" i="52" s="1"/>
  <x:c r="A85" i="52" s="1"/>
  <x:c r="A86" i="52" s="1"/>
  <x:c r="A87" i="52" s="1"/>
  <x:c r="A88" i="52" s="1"/>
  <x:c r="A89" i="52" s="1"/>
  <x:c r="A90" i="52" s="1"/>
  <x:c r="B6" i="63"/>
  <x:c r="B4" i="63"/>
  <x:c r="B3" i="63"/>
  <x:c r="B2" i="63"/>
  <x:c r="B1" i="63"/>
  <x:c r="A12" i="98" l="1"/>
  <x:c r="A13" i="98" s="1"/>
  <x:c r="A14" i="98" s="1"/>
  <x:c r="A15" i="98" s="1"/>
  <x:c r="A16" i="98" s="1"/>
  <x:c r="A17" i="98" s="1"/>
  <x:c r="A18" i="98" s="1"/>
  <x:c r="A19" i="98" s="1"/>
  <x:c r="A20" i="98" s="1"/>
  <x:c r="A21" i="98" s="1"/>
  <x:c r="A22" i="98" s="1"/>
  <x:c r="A23" i="98" s="1"/>
  <x:c r="A24" i="98" s="1"/>
  <x:c r="A25" i="98" s="1"/>
  <x:c r="A26" i="98" s="1"/>
  <x:c r="A27" i="98" s="1"/>
  <x:c r="A28" i="98" s="1"/>
  <x:c r="A29" i="98" s="1"/>
  <x:c r="A30" i="98" s="1"/>
  <x:c r="A31" i="98" s="1"/>
  <x:c r="A32" i="98" s="1"/>
  <x:c r="A33" i="98" s="1"/>
  <x:c r="A34" i="98" s="1"/>
  <x:c r="A35" i="98" s="1"/>
  <x:c r="A36" i="98" s="1"/>
  <x:c r="A37" i="98" s="1"/>
  <x:c r="A11" i="98"/>
  <x:c r="A11" i="97"/>
  <x:c r="A12" i="97" s="1"/>
  <x:c r="A13" i="97" s="1"/>
  <x:c r="A14" i="97" s="1"/>
  <x:c r="A15" i="97" s="1"/>
  <x:c r="A16" i="97" s="1"/>
  <x:c r="A17" i="97" s="1"/>
  <x:c r="A18" i="97" s="1"/>
  <x:c r="A19" i="97" s="1"/>
  <x:c r="A20" i="97" s="1"/>
  <x:c r="A21" i="97" s="1"/>
  <x:c r="A22" i="97" s="1"/>
  <x:c r="A23" i="97" s="1"/>
  <x:c r="A24" i="97" s="1"/>
  <x:c r="A25" i="97" s="1"/>
  <x:c r="A26" i="97" s="1"/>
  <x:c r="A27" i="97" s="1"/>
  <x:c r="A28" i="97" s="1"/>
  <x:c r="A29" i="97" s="1"/>
  <x:c r="A30" i="97" s="1"/>
  <x:c r="A31" i="97" s="1"/>
  <x:c r="A32" i="97" s="1"/>
  <x:c r="A33" i="97" s="1"/>
  <x:c r="A34" i="97" s="1"/>
  <x:c r="A35" i="97" s="1"/>
  <x:c r="A36" i="97" s="1"/>
  <x:c r="A37" i="97" s="1"/>
  <x:c r="A38" i="97" s="1"/>
  <x:c r="A39" i="97" s="1"/>
  <x:c r="A40" i="97" s="1"/>
  <x:c r="A41" i="97" s="1"/>
  <x:c r="A42" i="97" s="1"/>
  <x:c r="A43" i="97" s="1"/>
  <x:c r="A44" i="97" s="1"/>
  <x:c r="A45" i="97" s="1"/>
  <x:c r="A46" i="97" s="1"/>
  <x:c r="A47" i="97" s="1"/>
  <x:c r="A48" i="97" s="1"/>
  <x:c r="A49" i="97" s="1"/>
  <x:c r="A50" i="97" s="1"/>
  <x:c r="A51" i="97" s="1"/>
  <x:c r="A52" i="97" s="1"/>
  <x:c r="A53" i="97" s="1"/>
  <x:c r="A54" i="97" s="1"/>
  <x:c r="A55" i="97" s="1"/>
  <x:c r="A56" i="97" s="1"/>
  <x:c r="A57" i="97" s="1"/>
  <x:c r="A58" i="97" s="1"/>
  <x:c r="A59" i="97" s="1"/>
  <x:c r="A60" i="97" s="1"/>
  <x:c r="A61" i="97" s="1"/>
  <x:c r="A62" i="97" s="1"/>
  <x:c r="A63" i="97" s="1"/>
  <x:c r="A64" i="97" l="1"/>
  <x:c r="A65" i="97" s="1"/>
  <x:c r="A66" i="97" s="1"/>
  <x:c r="A67" i="97" s="1"/>
  <x:c r="A68" i="97" s="1"/>
  <x:c r="A69" i="97" s="1"/>
  <x:c r="A70" i="97" s="1"/>
  <x:c r="A71" i="97" l="1"/>
  <x:c r="A72" i="97" s="1"/>
  <x:c r="A73" i="97" s="1"/>
  <x:c r="A74" i="97" s="1"/>
  <x:c r="A75" i="97" s="1"/>
  <x:c r="A76" i="97" s="1"/>
  <x:c r="A77" i="97" s="1"/>
  <x:c r="A78" i="97" s="1"/>
  <x:c r="A79" i="97" s="1"/>
  <x:c r="A80" i="97" s="1"/>
  <x:c r="A81" i="97" s="1"/>
  <x:c r="A82" i="97" s="1"/>
  <x:c r="A83" i="97" s="1"/>
  <x:c r="A84" i="97" s="1"/>
  <x:c r="A85" i="97" s="1"/>
  <x:c r="A86" i="97" s="1"/>
  <x:c r="A87" i="97" s="1"/>
  <x:c r="A88" i="97" s="1"/>
  <x:c r="A11" i="88" l="1"/>
  <x:c r="A12" i="88" s="1"/>
  <x:c r="A13" i="88" s="1"/>
  <x:c r="A14" i="88" s="1"/>
  <x:c r="A15" i="88" s="1"/>
  <x:c r="A16" i="88" s="1"/>
  <x:c r="A17" i="88" s="1"/>
  <x:c r="A18" i="88" s="1"/>
  <x:c r="A19" i="88" s="1"/>
  <x:c r="A20" i="88" s="1"/>
  <x:c r="A21" i="88" s="1"/>
  <x:c r="A22" i="88" s="1"/>
  <x:c r="A23" i="88" s="1"/>
  <x:c r="A24" i="88" s="1"/>
  <x:c r="A25" i="88" s="1"/>
  <x:c r="A26" i="88" s="1"/>
  <x:c r="A27" i="88" s="1"/>
  <x:c r="A28" i="88" s="1"/>
  <x:c r="A29" i="88" s="1"/>
  <x:c r="A30" i="88" s="1"/>
  <x:c r="A31" i="88" s="1"/>
  <x:c r="A32" i="88" s="1"/>
  <x:c r="A33" i="88" s="1"/>
  <x:c r="A34" i="88" s="1"/>
  <x:c r="A35" i="88" s="1"/>
  <x:c r="A36" i="88" s="1"/>
  <x:c r="A37" i="88" s="1"/>
  <x:c r="A11" i="87"/>
  <x:c r="A12" i="87" s="1"/>
  <x:c r="A13" i="87" s="1"/>
  <x:c r="A14" i="87" s="1"/>
  <x:c r="A15" i="87" s="1"/>
  <x:c r="A16" i="87" s="1"/>
  <x:c r="A17" i="87" s="1"/>
  <x:c r="A18" i="87" s="1"/>
  <x:c r="A19" i="87" s="1"/>
  <x:c r="A20" i="87" s="1"/>
  <x:c r="A21" i="87" s="1"/>
  <x:c r="A22" i="87" s="1"/>
  <x:c r="A23" i="87" s="1"/>
  <x:c r="A24" i="87" s="1"/>
  <x:c r="A25" i="87" s="1"/>
  <x:c r="A26" i="87" s="1"/>
  <x:c r="A27" i="87" s="1"/>
  <x:c r="A28" i="87" s="1"/>
  <x:c r="A29" i="87" s="1"/>
  <x:c r="A30" i="87" s="1"/>
  <x:c r="A31" i="87" s="1"/>
  <x:c r="A32" i="87" s="1"/>
  <x:c r="A33" i="87" s="1"/>
  <x:c r="A34" i="87" s="1"/>
  <x:c r="A35" i="87" s="1"/>
  <x:c r="A36" i="87" s="1"/>
  <x:c r="A37" i="87" s="1"/>
  <x:c r="A38" i="87" s="1"/>
  <x:c r="A39" i="87" s="1"/>
  <x:c r="A40" i="87" s="1"/>
  <x:c r="A41" i="87" s="1"/>
  <x:c r="A42" i="87" s="1"/>
  <x:c r="A43" i="87" s="1"/>
  <x:c r="A44" i="87" s="1"/>
  <x:c r="A45" i="87" s="1"/>
  <x:c r="A46" i="87" s="1"/>
  <x:c r="A47" i="87" s="1"/>
  <x:c r="A48" i="87" s="1"/>
  <x:c r="A49" i="87" s="1"/>
  <x:c r="A50" i="87" s="1"/>
  <x:c r="A51" i="87" s="1"/>
  <x:c r="A52" i="87" s="1"/>
  <x:c r="A53" i="87" s="1"/>
  <x:c r="A54" i="87" s="1"/>
  <x:c r="A55" i="87" s="1"/>
  <x:c r="A56" i="87" s="1"/>
  <x:c r="A57" i="87" s="1"/>
  <x:c r="A58" i="87" s="1"/>
  <x:c r="A59" i="87" s="1"/>
  <x:c r="A63" i="87" s="1"/>
  <x:c r="A64" i="87" s="1"/>
  <x:c r="A65" i="87" s="1"/>
  <x:c r="A66" i="87" s="1"/>
  <x:c r="A67" i="87" s="1"/>
  <x:c r="A68" i="87" s="1"/>
  <x:c r="A69" i="87" s="1"/>
  <x:c r="A70" i="87" s="1"/>
  <x:c r="A71" i="87" s="1"/>
  <x:c r="A72" i="87" s="1"/>
  <x:c r="A73" i="87" s="1"/>
  <x:c r="A74" i="87" s="1"/>
  <x:c r="A75" i="87" s="1"/>
  <x:c r="A76" i="87" s="1"/>
  <x:c r="A77" i="87" s="1"/>
  <x:c r="A78" i="87" s="1"/>
  <x:c r="A79" i="87" s="1"/>
  <x:c r="A11" i="86" l="1"/>
  <x:c r="A12" i="86" s="1"/>
  <x:c r="A13" i="86" s="1"/>
  <x:c r="A14" i="86" s="1"/>
  <x:c r="A15" i="86" s="1"/>
  <x:c r="A16" i="86" s="1"/>
  <x:c r="A17" i="86" s="1"/>
  <x:c r="A18" i="86" s="1"/>
  <x:c r="A19" i="86" s="1"/>
  <x:c r="A20" i="86" s="1"/>
  <x:c r="A21" i="86" s="1"/>
  <x:c r="A22" i="86" s="1"/>
  <x:c r="A23" i="86" s="1"/>
  <x:c r="A24" i="86" s="1"/>
  <x:c r="A25" i="86" s="1"/>
  <x:c r="A26" i="86" s="1"/>
  <x:c r="A27" i="86" s="1"/>
  <x:c r="A28" i="86" s="1"/>
  <x:c r="A29" i="86" s="1"/>
  <x:c r="A30" i="86" s="1"/>
  <x:c r="A31" i="86" s="1"/>
  <x:c r="A32" i="86" s="1"/>
  <x:c r="A33" i="86" s="1"/>
  <x:c r="A34" i="86" s="1"/>
  <x:c r="A35" i="86" s="1"/>
  <x:c r="A36" i="86" s="1"/>
  <x:c r="A37" i="86" s="1"/>
  <x:c r="A11" i="85"/>
  <x:c r="A12" i="85" s="1"/>
  <x:c r="A13" i="85" s="1"/>
  <x:c r="A14" i="85" s="1"/>
  <x:c r="A15" i="85" s="1"/>
  <x:c r="A16" i="85" s="1"/>
  <x:c r="A17" i="85" s="1"/>
  <x:c r="A18" i="85" s="1"/>
  <x:c r="A19" i="85" s="1"/>
  <x:c r="A20" i="85" s="1"/>
  <x:c r="A21" i="85" s="1"/>
  <x:c r="A22" i="85" s="1"/>
  <x:c r="A23" i="85" s="1"/>
  <x:c r="A24" i="85" s="1"/>
  <x:c r="A25" i="85" s="1"/>
  <x:c r="A26" i="85" s="1"/>
  <x:c r="A27" i="85" s="1"/>
  <x:c r="A28" i="85" s="1"/>
  <x:c r="A29" i="85" s="1"/>
  <x:c r="A30" i="85" s="1"/>
  <x:c r="A31" i="85" s="1"/>
  <x:c r="A32" i="85" s="1"/>
  <x:c r="A33" i="85" s="1"/>
  <x:c r="A34" i="85" s="1"/>
  <x:c r="A35" i="85" s="1"/>
  <x:c r="A36" i="85" s="1"/>
  <x:c r="A37" i="85" s="1"/>
  <x:c r="A38" i="85" s="1"/>
  <x:c r="A39" i="85" s="1"/>
  <x:c r="A40" i="85" s="1"/>
  <x:c r="A41" i="85" s="1"/>
  <x:c r="A42" i="85" s="1"/>
  <x:c r="A43" i="85" s="1"/>
  <x:c r="A44" i="85" s="1"/>
  <x:c r="A45" i="85" s="1"/>
  <x:c r="A46" i="85" s="1"/>
  <x:c r="A47" i="85" s="1"/>
  <x:c r="A48" i="85" s="1"/>
  <x:c r="A54" i="85" s="1"/>
  <x:c r="A55" i="85" s="1"/>
  <x:c r="A56" i="85" s="1"/>
  <x:c r="A57" i="85" s="1"/>
  <x:c r="A58" i="85" s="1"/>
  <x:c r="A59" i="85" s="1"/>
  <x:c r="A60" i="85" s="1"/>
  <x:c r="A61" i="85" s="1"/>
  <x:c r="A62" i="85" s="1"/>
  <x:c r="A63" i="85" s="1"/>
  <x:c r="A64" i="85" s="1"/>
  <x:c r="A65" i="85" s="1"/>
  <x:c r="A66" i="85" s="1"/>
  <x:c r="A67" i="85" s="1"/>
  <x:c r="A68" i="85" s="1"/>
  <x:c r="A69" i="85" s="1"/>
  <x:c r="A70" i="85" s="1"/>
  <x:c r="A11" i="79" l="1"/>
  <x:c r="A12" i="79" s="1"/>
  <x:c r="A13" i="79" s="1"/>
  <x:c r="A14" i="79" s="1"/>
  <x:c r="A15" i="79" s="1"/>
  <x:c r="A16" i="79" s="1"/>
  <x:c r="A17" i="79" s="1"/>
  <x:c r="A18" i="79" s="1"/>
  <x:c r="A19" i="79" s="1"/>
  <x:c r="A20" i="79" s="1"/>
  <x:c r="A21" i="79" s="1"/>
  <x:c r="A22" i="79" s="1"/>
  <x:c r="A23" i="79" s="1"/>
  <x:c r="A24" i="79" s="1"/>
  <x:c r="A25" i="79" s="1"/>
  <x:c r="A26" i="79" s="1"/>
  <x:c r="A27" i="79" s="1"/>
  <x:c r="A28" i="79" s="1"/>
  <x:c r="A29" i="79" s="1"/>
  <x:c r="A30" i="79" s="1"/>
  <x:c r="A31" i="79" s="1"/>
  <x:c r="A32" i="79" s="1"/>
  <x:c r="A33" i="79" s="1"/>
  <x:c r="A34" i="79" s="1"/>
  <x:c r="A35" i="79" s="1"/>
  <x:c r="A36" i="79" s="1"/>
  <x:c r="A37" i="79" s="1"/>
  <x:c r="A38" i="79" s="1"/>
  <x:c r="A39" i="79" s="1"/>
  <x:c r="A40" i="79" s="1"/>
  <x:c r="A41" i="79" s="1"/>
  <x:c r="A42" i="79" s="1"/>
  <x:c r="A43" i="79" s="1"/>
  <x:c r="A44" i="79" s="1"/>
  <x:c r="A45" i="79" s="1"/>
  <x:c r="A46" i="79" s="1"/>
  <x:c r="A47" i="79" s="1"/>
  <x:c r="A48" i="79" s="1"/>
  <x:c r="A49" i="79" s="1"/>
  <x:c r="A50" i="79" s="1"/>
  <x:c r="A51" i="79" s="1"/>
  <x:c r="A52" i="79" s="1"/>
  <x:c r="A53" i="79" s="1"/>
  <x:c r="A54" i="79" s="1"/>
  <x:c r="A55" i="79" s="1"/>
  <x:c r="A56" i="79" s="1"/>
  <x:c r="A57" i="79" s="1"/>
  <x:c r="A58" i="79" s="1"/>
  <x:c r="A59" i="79" s="1"/>
  <x:c r="A60" i="79" s="1"/>
  <x:c r="A61" i="79" s="1"/>
  <x:c r="A11" i="52"/>
  <x:c r="A12" i="52" s="1"/>
  <x:c r="A13" i="52" s="1"/>
  <x:c r="A14" i="52" s="1"/>
  <x:c r="A15" i="52" s="1"/>
  <x:c r="A16" i="52" s="1"/>
  <x:c r="A17" i="52" s="1"/>
  <x:c r="A18" i="52" s="1"/>
  <x:c r="A19" i="52" s="1"/>
  <x:c r="A20" i="52" s="1"/>
  <x:c r="A21" i="52" s="1"/>
  <x:c r="A22" i="52" s="1"/>
  <x:c r="A23" i="52" s="1"/>
  <x:c r="A24" i="52" s="1"/>
  <x:c r="A25" i="52" s="1"/>
  <x:c r="A26" i="52" s="1"/>
  <x:c r="A27" i="52" s="1"/>
  <x:c r="A28" i="52" s="1"/>
  <x:c r="A29" i="52" s="1"/>
  <x:c r="A30" i="52" s="1"/>
  <x:c r="A31" i="52" s="1"/>
  <x:c r="A32" i="52" s="1"/>
  <x:c r="A33" i="52" s="1"/>
  <x:c r="A34" i="52" s="1"/>
  <x:c r="A35" i="52" s="1"/>
  <x:c r="A36" i="52" s="1"/>
  <x:c r="A37" i="52" s="1"/>
  <x:c r="A38" i="52" s="1"/>
  <x:c r="A39" i="52" s="1"/>
  <x:c r="A40" i="52" s="1"/>
  <x:c r="A41" i="52" s="1"/>
  <x:c r="A42" i="52" s="1"/>
  <x:c r="A43" i="52" s="1"/>
  <x:c r="A44" i="52" s="1"/>
  <x:c r="A45" i="52" s="1"/>
  <x:c r="A46" i="52" s="1"/>
  <x:c r="A47" i="52" s="1"/>
  <x:c r="A48" i="52" s="1"/>
  <x:c r="A49" i="52" s="1"/>
  <x:c r="A50" i="52" s="1"/>
  <x:c r="A51" i="52" s="1"/>
  <x:c r="A52" i="52" s="1"/>
  <x:c r="A53" i="52" s="1"/>
  <x:c r="A54" i="52" s="1"/>
  <x:c r="A55" i="52" s="1"/>
  <x:c r="A56" i="52" s="1"/>
  <x:c r="A57" i="52" s="1"/>
  <x:c r="A58" i="52" s="1"/>
  <x:c r="A59" i="52" s="1"/>
  <x:c r="A60" i="52" s="1"/>
  <x:c r="A61" i="52" s="1"/>
  <x:c r="A62" i="52" s="1"/>
  <x:c r="A63" i="52" s="1"/>
  <x:c r="A64" i="52" s="1"/>
  <x:c r="A65" i="52" s="1"/>
  <x:c r="A66" i="52" s="1"/>
  <x:c r="A67" i="52" s="1"/>
  <x:c r="A68" i="52" s="1"/>
  <x:c r="A69" i="52" s="1"/>
  <x:c r="A70" i="52" s="1"/>
  <x:c r="A71" i="52" s="1"/>
  <x:c r="A11" i="83"/>
  <x:c r="A12" i="83" s="1"/>
  <x:c r="A13" i="83" s="1"/>
  <x:c r="A14" i="83" s="1"/>
  <x:c r="A15" i="83" s="1"/>
  <x:c r="A16" i="83" s="1"/>
  <x:c r="A17" i="83" s="1"/>
  <x:c r="A18" i="83" s="1"/>
  <x:c r="A19" i="83" s="1"/>
  <x:c r="A20" i="83" s="1"/>
  <x:c r="A21" i="83" s="1"/>
  <x:c r="A22" i="83" s="1"/>
  <x:c r="A23" i="83" s="1"/>
  <x:c r="A24" i="83" s="1"/>
  <x:c r="A25" i="83" s="1"/>
  <x:c r="A26" i="83" s="1"/>
  <x:c r="A27" i="83" s="1"/>
  <x:c r="A28" i="83" s="1"/>
  <x:c r="A29" i="83" s="1"/>
  <x:c r="A30" i="83" s="1"/>
  <x:c r="A31" i="83" s="1"/>
  <x:c r="A32" i="83" s="1"/>
  <x:c r="A33" i="83" s="1"/>
  <x:c r="A34" i="83" s="1"/>
  <x:c r="A35" i="83" s="1"/>
  <x:c r="A36" i="83" s="1"/>
  <x:c r="A37" i="83" s="1"/>
  <x:c r="A38" i="83" s="1"/>
  <x:c r="A39" i="83" s="1"/>
  <x:c r="A40" i="83" s="1"/>
  <x:c r="A41" i="83" s="1"/>
  <x:c r="A42" i="83" s="1"/>
  <x:c r="A43" i="83" s="1"/>
  <x:c r="A44" i="83" s="1"/>
  <x:c r="A45" i="83" s="1"/>
  <x:c r="A46" i="83" s="1"/>
  <x:c r="A47" i="83" s="1"/>
  <x:c r="A48" i="83" s="1"/>
  <x:c r="A49" i="83" s="1"/>
  <x:c r="A50" i="83" s="1"/>
  <x:c r="A51" i="83" s="1"/>
  <x:c r="A52" i="83" s="1"/>
  <x:c r="A53" i="83" s="1"/>
  <x:c r="A54" i="83" s="1"/>
  <x:c r="A55" i="83" s="1"/>
  <x:c r="A56" i="83" s="1"/>
  <x:c r="A57" i="83" s="1"/>
  <x:c r="A11" i="81"/>
  <x:c r="A12" i="81" s="1"/>
  <x:c r="A13" i="81" s="1"/>
  <x:c r="A14" i="81" s="1"/>
  <x:c r="A15" i="81" s="1"/>
  <x:c r="A16" i="81" s="1"/>
  <x:c r="A17" i="81" s="1"/>
  <x:c r="A18" i="81" s="1"/>
  <x:c r="A19" i="81" s="1"/>
  <x:c r="A20" i="81" s="1"/>
  <x:c r="A21" i="81" s="1"/>
  <x:c r="A22" i="81" s="1"/>
  <x:c r="A23" i="81" s="1"/>
  <x:c r="A24" i="81" s="1"/>
  <x:c r="A25" i="81" s="1"/>
  <x:c r="A26" i="81" s="1"/>
  <x:c r="A27" i="81" s="1"/>
  <x:c r="A28" i="81" s="1"/>
  <x:c r="A29" i="81" s="1"/>
  <x:c r="A30" i="81" s="1"/>
  <x:c r="A31" i="81" s="1"/>
  <x:c r="A32" i="81" s="1"/>
  <x:c r="A33" i="81" s="1"/>
  <x:c r="A34" i="81" s="1"/>
  <x:c r="A35" i="81" s="1"/>
  <x:c r="A36" i="81" s="1"/>
  <x:c r="A37" i="81" s="1"/>
  <x:c r="A38" i="81" s="1"/>
  <x:c r="A39" i="81" s="1"/>
  <x:c r="A40" i="81" s="1"/>
  <x:c r="A41" i="81" s="1"/>
  <x:c r="A42" i="81" s="1"/>
  <x:c r="A43" i="81" s="1"/>
  <x:c r="A44" i="81" s="1"/>
  <x:c r="A45" i="81" s="1"/>
  <x:c r="A46" i="81" s="1"/>
  <x:c r="A47" i="81" s="1"/>
  <x:c r="A48" i="81" s="1"/>
  <x:c r="A49" i="81" s="1"/>
  <x:c r="A50" i="81" s="1"/>
  <x:c r="A51" i="81" s="1"/>
  <x:c r="A52" i="81" s="1"/>
  <x:c r="A53" i="81" s="1"/>
  <x:c r="A54" i="81" s="1"/>
  <x:c r="A55" i="81" s="1"/>
  <x:c r="A56" i="81" s="1"/>
  <x:c r="A57" i="81" s="1"/>
  <x:c r="A58" i="81" s="1"/>
  <x:c r="A59" i="81" s="1"/>
  <x:c r="A60" i="81" s="1"/>
  <x:c r="A61" i="81" s="1"/>
  <x:c r="A62" i="81" s="1"/>
  <x:c r="A11" i="77"/>
  <x:c r="A12" i="77" s="1"/>
  <x:c r="A13" i="77" s="1"/>
  <x:c r="A14" i="77" s="1"/>
  <x:c r="A15" i="77" s="1"/>
  <x:c r="A16" i="77" s="1"/>
  <x:c r="A17" i="77" s="1"/>
  <x:c r="A18" i="77" s="1"/>
  <x:c r="A19" i="77" s="1"/>
  <x:c r="A20" i="77" s="1"/>
  <x:c r="A21" i="77" s="1"/>
  <x:c r="A22" i="77" s="1"/>
  <x:c r="A23" i="77" s="1"/>
  <x:c r="A24" i="77" s="1"/>
  <x:c r="A25" i="77" s="1"/>
  <x:c r="A26" i="77" s="1"/>
  <x:c r="A27" i="77" s="1"/>
  <x:c r="A28" i="77" s="1"/>
  <x:c r="A29" i="77" s="1"/>
  <x:c r="A30" i="77" s="1"/>
  <x:c r="A31" i="77" s="1"/>
  <x:c r="A32" i="77" s="1"/>
  <x:c r="A33" i="77" s="1"/>
  <x:c r="A34" i="77" s="1"/>
  <x:c r="A35" i="77" s="1"/>
  <x:c r="A36" i="77" s="1"/>
  <x:c r="A37" i="77" s="1"/>
  <x:c r="A38" i="77" s="1"/>
  <x:c r="A39" i="77" s="1"/>
  <x:c r="A40" i="77" s="1"/>
  <x:c r="A41" i="77" s="1"/>
  <x:c r="A42" i="77" s="1"/>
  <x:c r="A43" i="77" s="1"/>
  <x:c r="A44" i="77" s="1"/>
  <x:c r="A45" i="77" s="1"/>
  <x:c r="A46" i="77" s="1"/>
  <x:c r="A47" i="77" s="1"/>
  <x:c r="A48" i="77" s="1"/>
  <x:c r="A49" i="77" s="1"/>
  <x:c r="A50" i="77" s="1"/>
  <x:c r="A51" i="77" s="1"/>
  <x:c r="A52" i="77" s="1"/>
  <x:c r="A53" i="77" s="1"/>
  <x:c r="A54" i="77" s="1"/>
  <x:c r="A55" i="77" s="1"/>
  <x:c r="A56" i="77" s="1"/>
  <x:c r="A57" i="77" s="1"/>
  <x:c r="A58" i="77" s="1"/>
  <x:c r="A59" i="77" s="1"/>
  <x:c r="A60" i="77" s="1"/>
  <x:c r="A61" i="77" s="1"/>
  <x:c r="A62" i="77" s="1"/>
  <x:c r="A11" i="78"/>
  <x:c r="A12" i="78"/>
  <x:c r="A13" i="78"/>
  <x:c r="A14" i="78"/>
  <x:c r="A15" i="78" s="1"/>
  <x:c r="A16" i="78" s="1"/>
  <x:c r="A17" i="78" s="1"/>
  <x:c r="A18" i="78" s="1"/>
  <x:c r="A19" i="78" s="1"/>
  <x:c r="A20" i="78" s="1"/>
  <x:c r="A21" i="78" s="1"/>
  <x:c r="A22" i="78" s="1"/>
  <x:c r="A23" i="78" s="1"/>
  <x:c r="A24" i="78" s="1"/>
  <x:c r="A25" i="78" s="1"/>
  <x:c r="A26" i="78" s="1"/>
  <x:c r="A27" i="78" s="1"/>
  <x:c r="A28" i="78" s="1"/>
  <x:c r="A29" i="78" s="1"/>
  <x:c r="A30" i="78" s="1"/>
  <x:c r="A31" i="78" s="1"/>
  <x:c r="A32" i="78" s="1"/>
  <x:c r="A33" i="78" s="1"/>
  <x:c r="A34" i="78" s="1"/>
  <x:c r="A35" i="78" s="1"/>
  <x:c r="A36" i="78" s="1"/>
  <x:c r="A37" i="78" s="1"/>
  <x:c r="A11" i="80"/>
  <x:c r="A12" i="80"/>
  <x:c r="A13" i="80" s="1"/>
  <x:c r="A14" i="80" s="1"/>
  <x:c r="A15" i="80" s="1"/>
  <x:c r="A16" i="80" s="1"/>
  <x:c r="A17" i="80" s="1"/>
  <x:c r="A18" i="80" s="1"/>
  <x:c r="A19" i="80" s="1"/>
  <x:c r="A20" i="80" s="1"/>
  <x:c r="A21" i="80" s="1"/>
  <x:c r="A22" i="80" s="1"/>
  <x:c r="A23" i="80" s="1"/>
  <x:c r="A24" i="80" s="1"/>
  <x:c r="A25" i="80" s="1"/>
  <x:c r="A26" i="80" s="1"/>
  <x:c r="A27" i="80" s="1"/>
  <x:c r="A28" i="80" s="1"/>
  <x:c r="A29" i="80" s="1"/>
  <x:c r="A30" i="80" s="1"/>
  <x:c r="A31" i="80" s="1"/>
  <x:c r="A32" i="80" s="1"/>
  <x:c r="A33" i="80" s="1"/>
  <x:c r="A34" i="80" s="1"/>
  <x:c r="A35" i="80" s="1"/>
  <x:c r="A36" i="80" s="1"/>
  <x:c r="A37" i="80" s="1"/>
  <x:c r="A11" i="82"/>
  <x:c r="A12" i="82" s="1"/>
  <x:c r="A13" i="82" s="1"/>
  <x:c r="A14" i="82" s="1"/>
  <x:c r="A15" i="82" s="1"/>
  <x:c r="A16" i="82" s="1"/>
  <x:c r="A17" i="82" s="1"/>
  <x:c r="A18" i="82" s="1"/>
  <x:c r="A19" i="82" s="1"/>
  <x:c r="A20" i="82" s="1"/>
  <x:c r="A21" i="82" s="1"/>
  <x:c r="A22" i="82" s="1"/>
  <x:c r="A23" i="82" s="1"/>
  <x:c r="A24" i="82" s="1"/>
  <x:c r="A25" i="82" s="1"/>
  <x:c r="A26" i="82" s="1"/>
  <x:c r="A27" i="82" s="1"/>
  <x:c r="A28" i="82" s="1"/>
  <x:c r="A29" i="82" s="1"/>
  <x:c r="A30" i="82" s="1"/>
  <x:c r="A31" i="82" s="1"/>
  <x:c r="A32" i="82" s="1"/>
  <x:c r="A33" i="82" s="1"/>
  <x:c r="A34" i="82" s="1"/>
  <x:c r="A35" i="82" s="1"/>
  <x:c r="A36" i="82" s="1"/>
  <x:c r="A37" i="82" s="1"/>
  <x:c r="A11" i="84"/>
  <x:c r="A12" i="84" s="1"/>
  <x:c r="A13" i="84" s="1"/>
  <x:c r="A14" i="84" s="1"/>
  <x:c r="A15" i="84" s="1"/>
  <x:c r="A16" i="84" s="1"/>
  <x:c r="A17" i="84" s="1"/>
  <x:c r="A18" i="84" s="1"/>
  <x:c r="A19" i="84" s="1"/>
  <x:c r="A20" i="84" s="1"/>
  <x:c r="A21" i="84" s="1"/>
  <x:c r="A22" i="84" s="1"/>
  <x:c r="A23" i="84" s="1"/>
  <x:c r="A24" i="84" s="1"/>
  <x:c r="A25" i="84" s="1"/>
  <x:c r="A26" i="84" s="1"/>
  <x:c r="A27" i="84" s="1"/>
  <x:c r="A28" i="84" s="1"/>
  <x:c r="A29" i="84" s="1"/>
  <x:c r="A30" i="84" s="1"/>
  <x:c r="A31" i="84" s="1"/>
  <x:c r="A32" i="84" s="1"/>
  <x:c r="A33" i="84" s="1"/>
  <x:c r="A34" i="84" s="1"/>
  <x:c r="A35" i="84" s="1"/>
  <x:c r="A36" i="84" s="1"/>
  <x:c r="A37" i="84" s="1"/>
  <x:c r="A11" i="54"/>
  <x:c r="A12" i="54" s="1"/>
  <x:c r="A13" i="54" s="1"/>
  <x:c r="A14" i="54" s="1"/>
  <x:c r="A15" i="54" s="1"/>
  <x:c r="A16" i="54" s="1"/>
  <x:c r="A17" i="54" s="1"/>
  <x:c r="A18" i="54" s="1"/>
  <x:c r="A19" i="54" s="1"/>
  <x:c r="A20" i="54" s="1"/>
  <x:c r="A21" i="54" s="1"/>
  <x:c r="A22" i="54" s="1"/>
  <x:c r="A23" i="54" s="1"/>
  <x:c r="A24" i="54" s="1"/>
  <x:c r="A25" i="54" s="1"/>
  <x:c r="A26" i="54" s="1"/>
  <x:c r="A27" i="54" s="1"/>
  <x:c r="A28" i="54" s="1"/>
  <x:c r="A29" i="54" s="1"/>
  <x:c r="A30" i="54" s="1"/>
  <x:c r="A31" i="54" s="1"/>
  <x:c r="A32" i="54" s="1"/>
  <x:c r="A33" i="54" s="1"/>
  <x:c r="A34" i="54" s="1"/>
  <x:c r="A35" i="54" s="1"/>
  <x:c r="A36" i="54" s="1"/>
  <x:c r="A37" i="54" s="1"/>
  <x:c r="A38" i="54" s="1"/>
  <x:c r="A39" i="54" s="1"/>
  <x:c r="A40" i="54" s="1"/>
  <x:c r="A41" i="54" s="1"/>
  <x:c r="A42" i="54" s="1"/>
  <x:c r="A43" i="54" s="1"/>
  <x:c r="A44" i="54" s="1"/>
  <x:c r="A45" i="54" s="1"/>
  <x:c r="A46" i="54" s="1"/>
  <x:c r="A47" i="54" s="1"/>
  <x:c r="A48" i="54" s="1"/>
  <x:c r="A49" i="54" s="1"/>
  <x:c r="A50" i="54" s="1"/>
  <x:c r="A51" i="54" s="1"/>
  <x:c r="A52" i="54" s="1"/>
  <x:c r="A53" i="54" s="1"/>
  <x:c r="A54" i="54" s="1"/>
  <x:c r="A55" i="54" s="1"/>
  <x:c r="A56" i="54" s="1"/>
  <x:c r="A57" i="54" s="1"/>
  <x:c r="A58" i="54" s="1"/>
  <x:c r="A59" i="54" s="1"/>
  <x:c r="A60" i="54" s="1"/>
  <x:c r="A61" i="54" s="1"/>
  <x:c r="A62" i="54" s="1"/>
  <x:c r="A11" i="67"/>
  <x:c r="A12" i="67" s="1"/>
  <x:c r="A13" i="67" s="1"/>
  <x:c r="A14" i="67" s="1"/>
  <x:c r="A15" i="67" s="1"/>
  <x:c r="A16" i="67" s="1"/>
  <x:c r="A17" i="67" s="1"/>
  <x:c r="A18" i="67" s="1"/>
  <x:c r="A19" i="67" s="1"/>
  <x:c r="A20" i="67" s="1"/>
  <x:c r="A21" i="67" s="1"/>
  <x:c r="A22" i="67" s="1"/>
  <x:c r="A23" i="67" s="1"/>
  <x:c r="A24" i="67" s="1"/>
  <x:c r="A25" i="67" s="1"/>
  <x:c r="A26" i="67" s="1"/>
  <x:c r="A27" i="67" s="1"/>
  <x:c r="A28" i="67" s="1"/>
  <x:c r="A29" i="67" s="1"/>
  <x:c r="A30" i="67" s="1"/>
  <x:c r="A31" i="67" s="1"/>
  <x:c r="A32" i="67" s="1"/>
  <x:c r="A33" i="67" s="1"/>
  <x:c r="A34" i="67" s="1"/>
  <x:c r="A35" i="67" s="1"/>
  <x:c r="A36" i="67" s="1"/>
  <x:c r="A37" i="67" s="1"/>
  <x:c r="A11" i="65"/>
  <x:c r="A12" i="65" s="1"/>
  <x:c r="A13" i="65" s="1"/>
  <x:c r="A14" i="65" s="1"/>
  <x:c r="A15" i="65" s="1"/>
  <x:c r="A16" i="65" s="1"/>
  <x:c r="A17" i="65" s="1"/>
  <x:c r="A18" i="65" s="1"/>
  <x:c r="A19" i="65" s="1"/>
  <x:c r="A20" i="65" s="1"/>
  <x:c r="A21" i="65" s="1"/>
  <x:c r="A22" i="65" s="1"/>
  <x:c r="A23" i="65" s="1"/>
  <x:c r="A24" i="65" s="1"/>
  <x:c r="A25" i="65" s="1"/>
  <x:c r="A26" i="65" s="1"/>
  <x:c r="A27" i="65" s="1"/>
  <x:c r="A28" i="65" s="1"/>
  <x:c r="A29" i="65" s="1"/>
  <x:c r="A30" i="65" s="1"/>
  <x:c r="A31" i="65" s="1"/>
  <x:c r="A32" i="65" s="1"/>
  <x:c r="A33" i="65" s="1"/>
  <x:c r="A34" i="65" s="1"/>
  <x:c r="A35" i="65" s="1"/>
  <x:c r="A36" i="65" s="1"/>
  <x:c r="A37" i="65" s="1"/>
  <x:c r="A11" i="63"/>
  <x:c r="A12" i="63"/>
  <x:c r="A13" i="63" s="1"/>
  <x:c r="A14" i="63" s="1"/>
  <x:c r="A15" i="63" s="1"/>
  <x:c r="A16" i="63" s="1"/>
  <x:c r="A17" i="63" s="1"/>
  <x:c r="A18" i="63" s="1"/>
  <x:c r="A19" i="63" s="1"/>
  <x:c r="A20" i="63" s="1"/>
  <x:c r="A21" i="63" s="1"/>
  <x:c r="A22" i="63" s="1"/>
  <x:c r="A23" i="63" s="1"/>
  <x:c r="A24" i="63" s="1"/>
  <x:c r="A25" i="63" s="1"/>
  <x:c r="A26" i="63" s="1"/>
  <x:c r="A27" i="63" s="1"/>
  <x:c r="A28" i="63" s="1"/>
  <x:c r="A29" i="63" s="1"/>
  <x:c r="A30" i="63" s="1"/>
  <x:c r="A31" i="63" s="1"/>
  <x:c r="A32" i="63" s="1"/>
  <x:c r="A33" i="63" s="1"/>
  <x:c r="A34" i="63" s="1"/>
  <x:c r="A35" i="63" s="1"/>
  <x:c r="A36" i="63" s="1"/>
  <x:c r="A37" i="63" s="1"/>
  <x:c r="A63" i="54" l="1"/>
  <x:c r="A64" i="54" s="1"/>
  <x:c r="A65" i="54" s="1"/>
  <x:c r="A66" i="54" s="1"/>
  <x:c r="A67" i="54" s="1"/>
  <x:c r="A68" i="54" s="1"/>
  <x:c r="A69" i="54" s="1"/>
  <x:c r="A70" i="54" s="1"/>
  <x:c r="A71" i="54" s="1"/>
  <x:c r="A72" i="54" s="1"/>
  <x:c r="A73" i="54" s="1"/>
  <x:c r="A74" i="54" s="1"/>
  <x:c r="A75" i="54" s="1"/>
  <x:c r="A76" i="54" s="1"/>
  <x:c r="A77" i="54" s="1"/>
  <x:c r="A78" i="54" s="1"/>
  <x:c r="A79" i="54" s="1"/>
  <x:c r="A72" i="52"/>
  <x:c r="A62" i="79"/>
  <x:c r="A73" i="52" l="1"/>
  <x:c r="C14" i="79" l="1"/>
  <x:c r="C14" i="77"/>
  <x:c r="C14" i="56"/>
  <x:c r="C14" i="87"/>
  <x:c r="C14" i="54"/>
  <x:c r="C14" i="81"/>
  <x:c r="C14" i="85"/>
  <x:c r="C14" i="83"/>
  <x:c r="C14" i="52"/>
  <x:c r="C13" i="87"/>
  <x:c r="C13" i="52"/>
  <x:c r="C13" i="54"/>
  <x:c r="C13" i="79"/>
  <x:c r="C13" i="83"/>
  <x:c r="C13" i="81"/>
  <x:c r="C13" i="56"/>
  <x:c r="C13" i="77"/>
  <x:c r="C13" i="85"/>
</x:calcChain>
</file>

<file path=xl/sharedStrings.xml><?xml version="1.0" encoding="utf-8"?>
<sst xmlns="http://schemas.openxmlformats.org/spreadsheetml/2006/main" count="899" uniqueCount="188">
  <si>
    <t>Variable</t>
  </si>
  <si>
    <t>Coefficient</t>
  </si>
  <si>
    <t>StdErr</t>
  </si>
  <si>
    <t>T-Stat</t>
  </si>
  <si>
    <t>P-Value</t>
  </si>
  <si>
    <t>Model:</t>
  </si>
  <si>
    <t>Dependent Variable:</t>
  </si>
  <si>
    <t>Estimation Begin Date:</t>
  </si>
  <si>
    <t>Estimation End Date:</t>
  </si>
  <si>
    <t>Mean Abs. Dev. (MAD)</t>
  </si>
  <si>
    <t>Deg. of Freedom for Error</t>
  </si>
  <si>
    <t>Mean Abs. % Err. (MAPE)</t>
  </si>
  <si>
    <t>R-Squared</t>
  </si>
  <si>
    <t>Adjusted R-Squared</t>
  </si>
  <si>
    <t>Durbin-Watson Statistic</t>
  </si>
  <si>
    <t>F-Statistic</t>
  </si>
  <si>
    <t>Prob (F-Statistic)</t>
  </si>
  <si>
    <t>Model Sum of Squares</t>
  </si>
  <si>
    <t>Sum of Squared Errors</t>
  </si>
  <si>
    <t>Mean Squared Error</t>
  </si>
  <si>
    <t>Std. Error of Regression</t>
  </si>
  <si>
    <t>Ljung-Box Statistic</t>
  </si>
  <si>
    <t>Prob (Ljung-Box)</t>
  </si>
  <si>
    <t>Line</t>
  </si>
  <si>
    <t>No.</t>
  </si>
  <si>
    <t>(a)</t>
  </si>
  <si>
    <t>(b)</t>
  </si>
  <si>
    <t>(d)</t>
  </si>
  <si>
    <t>(e)</t>
  </si>
  <si>
    <t>(c)</t>
  </si>
  <si>
    <t>Adjusted Observations</t>
  </si>
  <si>
    <t>AR(1)</t>
  </si>
  <si>
    <t>AR(2)</t>
  </si>
  <si>
    <t>AR(3)</t>
  </si>
  <si>
    <t>AR(4)</t>
  </si>
  <si>
    <t>After Corrective Procedures for Autocorrelation</t>
  </si>
  <si>
    <t>AR(5)</t>
  </si>
  <si>
    <t>CONST</t>
  </si>
  <si>
    <t>DayTypeVars.Feb</t>
  </si>
  <si>
    <t>DayTypeVars.Mar</t>
  </si>
  <si>
    <t>DayTypeVars.Apr</t>
  </si>
  <si>
    <t>DayTypeVars.May</t>
  </si>
  <si>
    <t>DayTypeVars.Jun</t>
  </si>
  <si>
    <t>DayTypeVars.Jul</t>
  </si>
  <si>
    <t>DayTypeVars.Aug</t>
  </si>
  <si>
    <t>DayTypeVars.Sep</t>
  </si>
  <si>
    <t>DayTypeVars.Nov</t>
  </si>
  <si>
    <t>DayTypeVars.Dec</t>
  </si>
  <si>
    <t>Residential Spline</t>
  </si>
  <si>
    <t>AR(6)</t>
  </si>
  <si>
    <t>AR(7)</t>
  </si>
  <si>
    <t>Residential Spline Model</t>
  </si>
  <si>
    <t>DayTypeVars.Oct</t>
  </si>
  <si>
    <t>Before Corrective Procedures for Autocorrelation</t>
  </si>
  <si>
    <t xml:space="preserve">Secondary Service Less Than or Equal to 10 KW Spline </t>
  </si>
  <si>
    <t>Secondary Service Less Than or Equal to 10 KW Spline Model</t>
  </si>
  <si>
    <t>Secondary Service Greater Than 10 KW Spline</t>
  </si>
  <si>
    <t>Residential Spline (B)</t>
  </si>
  <si>
    <t>Residential Spline (B) Model</t>
  </si>
  <si>
    <t xml:space="preserve">Secondary Service Less Than or Equal to 10 KW Spline (B) </t>
  </si>
  <si>
    <t>Secondary Service Less Than or Equal to 10 KW Spline (B) Model</t>
  </si>
  <si>
    <t>Secondary Service Greater Than 10 KW Spline (B)</t>
  </si>
  <si>
    <t>Secondary Service Greater Than 10 KW Spline Model</t>
  </si>
  <si>
    <t>Secondary Service Greater Than 10 KW Spline (B) Model</t>
  </si>
  <si>
    <t>SPONSOR: D. E. NELSON</t>
  </si>
  <si>
    <t>ResDMWH</t>
  </si>
  <si>
    <t>AR(8)</t>
  </si>
  <si>
    <t>AR(9)</t>
  </si>
  <si>
    <t>AR(10)</t>
  </si>
  <si>
    <t>AR(11)</t>
  </si>
  <si>
    <t>AR(12)</t>
  </si>
  <si>
    <t>AR(13)</t>
  </si>
  <si>
    <t>AR(14)</t>
  </si>
  <si>
    <t>AR(15)</t>
  </si>
  <si>
    <t>AR(16)</t>
  </si>
  <si>
    <t>AR(17)</t>
  </si>
  <si>
    <t>AR(18)</t>
  </si>
  <si>
    <t>AR(19)</t>
  </si>
  <si>
    <t>GSSDMWH</t>
  </si>
  <si>
    <t>GPLDMWH</t>
  </si>
  <si>
    <t>GSLMWH</t>
  </si>
  <si>
    <t>DayTypeVars.TimeTrend</t>
  </si>
  <si>
    <t>GSLDMWH</t>
  </si>
  <si>
    <t>Primary Service Greater Than 10 KW Distribution Spline</t>
  </si>
  <si>
    <t>GPLDDMWH</t>
  </si>
  <si>
    <t>Primary Service Greater Than 10 KW Distribution Spline Model</t>
  </si>
  <si>
    <t>Primary Service Greater Than 10 KW Distribution Spline (B)</t>
  </si>
  <si>
    <t>Primary Service Greater Than 10 KW Distribution Spline (B) Model</t>
  </si>
  <si>
    <t>ONCOR ELECTRIC DELIVERY COMPANY LLC</t>
  </si>
  <si>
    <t>ADJUSTED WEATHER STATION DATA</t>
  </si>
  <si>
    <t>Model Statistics</t>
  </si>
  <si>
    <t>AR(20)</t>
  </si>
  <si>
    <t>AR(21)</t>
  </si>
  <si>
    <t>Substation Spline</t>
  </si>
  <si>
    <t>Substation Spline Model</t>
  </si>
  <si>
    <t>SUBSDMWH</t>
  </si>
  <si>
    <t>Substation Spline (B)</t>
  </si>
  <si>
    <t>Substation Spline (B) Model</t>
  </si>
  <si>
    <t>FOR THE TEST YEAR ENDING DECEMBER 31, 2024</t>
  </si>
  <si>
    <t>Calendar.DLSav</t>
  </si>
  <si>
    <t>Calendar.Monday</t>
  </si>
  <si>
    <t>Calendar.Tuesday</t>
  </si>
  <si>
    <t>Calendar.Wednesday</t>
  </si>
  <si>
    <t>Calendar.Thursday</t>
  </si>
  <si>
    <t>Calendar.Friday</t>
  </si>
  <si>
    <t>Calendar.Saturday</t>
  </si>
  <si>
    <t>Calendar.PresDay</t>
  </si>
  <si>
    <t>Calendar.MemDay</t>
  </si>
  <si>
    <t>Calendar.LaborDay</t>
  </si>
  <si>
    <t>Calendar.Thanks</t>
  </si>
  <si>
    <t>Calendar.FriAThanks</t>
  </si>
  <si>
    <t>Calendar.XMasDay</t>
  </si>
  <si>
    <t>Calendar.NYEve</t>
  </si>
  <si>
    <t>Calendar.NYDay</t>
  </si>
  <si>
    <t>Calendar.XMasLights</t>
  </si>
  <si>
    <t>DayTypeVars.B15FEB2021</t>
  </si>
  <si>
    <t>DayTypeVars.B16FEB2021</t>
  </si>
  <si>
    <t>RESDD_21_23.ResHDD45</t>
  </si>
  <si>
    <t>RESDD_21_23.ResHDD55</t>
  </si>
  <si>
    <t>RESDD_21_23.ResHDD60</t>
  </si>
  <si>
    <t>RESDD_21_23.ResHDD65</t>
  </si>
  <si>
    <t>RESDD_21_23.ResCDD65</t>
  </si>
  <si>
    <t>RESDD_21_23.ResCDD70</t>
  </si>
  <si>
    <t>RESDD_21_23.ResCDD75</t>
  </si>
  <si>
    <t>RESDD_21_23.ResCDD80</t>
  </si>
  <si>
    <t>MA(1)</t>
  </si>
  <si>
    <t>MA(2)</t>
  </si>
  <si>
    <t>MA(3)</t>
  </si>
  <si>
    <t>MA(4)</t>
  </si>
  <si>
    <t>MA(5)</t>
  </si>
  <si>
    <t>MA(6)</t>
  </si>
  <si>
    <t>MA(7)</t>
  </si>
  <si>
    <t>MA(8)</t>
  </si>
  <si>
    <t>MA(9)</t>
  </si>
  <si>
    <t>MA(10)</t>
  </si>
  <si>
    <t>MA(11)</t>
  </si>
  <si>
    <t>MA(12)</t>
  </si>
  <si>
    <t>MA(13)</t>
  </si>
  <si>
    <t>MA(14)</t>
  </si>
  <si>
    <t>MA(15)</t>
  </si>
  <si>
    <t>2025 RATE CASE</t>
  </si>
  <si>
    <t>Calendar.GoodFri</t>
  </si>
  <si>
    <t>Calendar.July4th</t>
  </si>
  <si>
    <t>Calendar.XMasEve</t>
  </si>
  <si>
    <t>GSSDD_21_23.GSSHDD45</t>
  </si>
  <si>
    <t>GSSDD_21_23.GSSHDD55</t>
  </si>
  <si>
    <t>GSSDD_21_23.GSSHDD65</t>
  </si>
  <si>
    <t>GSSDD_21_23.GSSCDD65</t>
  </si>
  <si>
    <t>GSSDD_21_23.GSSCDD70</t>
  </si>
  <si>
    <t>GSSDD_21_23.GSSCDD75</t>
  </si>
  <si>
    <t>MA(16)</t>
  </si>
  <si>
    <t>MA(17)</t>
  </si>
  <si>
    <t>MA(18)</t>
  </si>
  <si>
    <t>MA(19)</t>
  </si>
  <si>
    <t>MA(20)</t>
  </si>
  <si>
    <t>DayTypeVars.B17FEB2021</t>
  </si>
  <si>
    <t>DayTypeVars.B18FEB2021</t>
  </si>
  <si>
    <t>DayTypeVars.B19FEB2021</t>
  </si>
  <si>
    <t>Calendar.MLK</t>
  </si>
  <si>
    <t>Calendar.XMasWkB4</t>
  </si>
  <si>
    <t>GSLDD_21_23.GSLHDD45</t>
  </si>
  <si>
    <t>GSLDD_21_23.GSLHDD55</t>
  </si>
  <si>
    <t>GSLDD_21_23.GSLCDD65</t>
  </si>
  <si>
    <t>GSLDD_21_23.GSLCDD70</t>
  </si>
  <si>
    <t>GSLDD_21_23.GSLCDD75</t>
  </si>
  <si>
    <t>DayTypeVars.B14FEB2021</t>
  </si>
  <si>
    <t>DayTypeVars.B20FEB2021</t>
  </si>
  <si>
    <t>DayTypeVars.B21FEB2021</t>
  </si>
  <si>
    <t>Calendar.XMasWk</t>
  </si>
  <si>
    <t>GSBDD_21_23.GSBCDD50</t>
  </si>
  <si>
    <t>GSBDD_21_23.GSBCDD80</t>
  </si>
  <si>
    <t>DayTypeVars.B13FEB2021</t>
  </si>
  <si>
    <t>DayTypeVars.B22FEB2021</t>
  </si>
  <si>
    <t>GPDDD_21_23.GPDCDD50</t>
  </si>
  <si>
    <t>GPDDD_21_23.GPDCDD60</t>
  </si>
  <si>
    <t>GPDDD_21_23.GPDCDD70</t>
  </si>
  <si>
    <t>GSLDD_21_23.GSLCDD55</t>
  </si>
  <si>
    <t>RESDD_21_23.ResHDD50</t>
  </si>
  <si>
    <t>RESDD_21_23.ResCDD85</t>
  </si>
  <si>
    <t>GSSDD_21_23.GSSHDD50</t>
  </si>
  <si>
    <t>GSSDD_21_23.GSSHDD60</t>
  </si>
  <si>
    <t>GSSDD_21_23.GSSCDD80</t>
  </si>
  <si>
    <t>GSSDD_21_23.GSSCDD85</t>
  </si>
  <si>
    <t>GSLDD_21_23.GSLHDD50</t>
  </si>
  <si>
    <t>GSLDD_21_23.GSLCDD60</t>
  </si>
  <si>
    <t>GSLDD_21_23.GSLCDD80</t>
  </si>
  <si>
    <t>GSLDD_21_23.GSLCDD85</t>
  </si>
  <si>
    <t>GPDDD_21_23.GPDCDD80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</si>
</sst>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"/>
    <numFmt numFmtId="165" formatCode="0.0000"/>
    <numFmt numFmtId="166" formatCode="mmm\-yyyy"/>
    <numFmt numFmtId="167" formatCode="[$-409]mmmm\ d\,\ yyyy;@"/>
    <numFmt numFmtId="168" formatCode="#,##0.0000"/>
    <numFmt numFmtId="169" formatCode="#,##0.000"/>
    <numFmt numFmtId="170" formatCode="0.0"/>
  </numFmts>
  <fonts count="10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b/>
      <sz val="12"/>
      <name val="Arial"/>
      <family val="2"/>
    </font>
    <font>
      <sz val="9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8" fillId="0" borderId="0"/>
    <xf numFmtId="9" fontId="8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0" fontId="0" fillId="0" borderId="0" xfId="0" applyNumberFormat="1"/>
    <xf numFmtId="166" fontId="3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10" fontId="2" fillId="0" borderId="0" xfId="0" applyNumberFormat="1" applyFont="1" applyAlignment="1">
      <alignment horizontal="right" vertical="center"/>
    </xf>
    <xf numFmtId="10" fontId="0" fillId="0" borderId="0" xfId="0" applyNumberFormat="1" applyAlignment="1">
      <alignment horizontal="right"/>
    </xf>
    <xf numFmtId="1" fontId="0" fillId="0" borderId="0" xfId="0" applyNumberFormat="1"/>
    <xf numFmtId="167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 applyFill="1" applyAlignment="1">
      <alignment horizontal="left" vertical="center"/>
    </xf>
    <xf numFmtId="3" fontId="0" fillId="0" borderId="0" xfId="0" applyNumberFormat="1"/>
    <xf numFmtId="164" fontId="0" fillId="0" borderId="0" xfId="0" applyNumberFormat="1"/>
    <xf numFmtId="168" fontId="0" fillId="0" borderId="0" xfId="0" applyNumberFormat="1"/>
    <xf numFmtId="169" fontId="0" fillId="0" borderId="0" xfId="0" applyNumberFormat="1"/>
    <xf numFmtId="1" fontId="0" fillId="0" borderId="0" xfId="2" applyNumberFormat="1" applyFont="1"/>
    <xf numFmtId="4" fontId="0" fillId="0" borderId="0" xfId="0" applyNumberFormat="1"/>
    <xf numFmtId="2" fontId="0" fillId="0" borderId="0" xfId="0" applyNumberFormat="1"/>
    <xf numFmtId="0" fontId="8" fillId="0" borderId="0" xfId="0" applyFont="1" applyFill="1" applyAlignment="1">
      <alignment horizontal="left" vertical="center"/>
    </xf>
    <xf numFmtId="0" fontId="8" fillId="0" borderId="0" xfId="0" applyFont="1"/>
    <xf numFmtId="170" fontId="0" fillId="0" borderId="0" xfId="0" applyNumberFormat="1"/>
    <xf numFmtId="0" fontId="2" fillId="2" borderId="0" xfId="0" applyFont="1" applyFill="1" applyAlignment="1">
      <alignment horizontal="left" vertical="center"/>
    </xf>
    <xf numFmtId="1" fontId="0" fillId="0" borderId="0" xfId="3" applyNumberFormat="1" applyFont="1"/>
    <xf numFmtId="169" fontId="0" fillId="0" borderId="0" xfId="2" applyNumberFormat="1" applyFont="1"/>
    <xf numFmtId="164" fontId="0" fillId="0" borderId="0" xfId="3" applyNumberFormat="1" applyFont="1"/>
    <xf numFmtId="165" fontId="0" fillId="0" borderId="0" xfId="3" applyNumberFormat="1" applyFont="1"/>
    <xf numFmtId="0" fontId="6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/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/>
  </cellXfs>
  <cellStyles count="4">
    <cellStyle name="Comma" xfId="3" builtinId="3"/>
    <cellStyle name="Normal" xfId="0" builtinId="0"/>
    <cellStyle name="Normal 2" xfId="1" xr:uid="{00000000-0005-0000-0000-000002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9</xdr:col>
      <xdr:colOff>191499</xdr:colOff>
      <xdr:row>36</xdr:row>
      <xdr:rowOff>151867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5A592183-A830-48CE-8B90-07341CB93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" y="1935480"/>
          <a:ext cx="7247619" cy="42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0</xdr:col>
      <xdr:colOff>472440</xdr:colOff>
      <xdr:row>11</xdr:row>
      <xdr:rowOff>38100</xdr:rowOff>
    </xdr:from>
    <xdr:to>
      <xdr:col>9</xdr:col>
      <xdr:colOff>313419</xdr:colOff>
      <xdr:row>37</xdr:row>
      <xdr:rowOff>22327</xdr:rowOff>
    </xdr:to>
    <xdr:pic>
      <xdr:nvPicPr>
        <xdr:cNvPr id="2" name="Picture 1" descr="" title="">
          <a:extLst>
            <a:ext uri="{FF2B5EF4-FFF2-40B4-BE49-F238E27FC236}">
              <a16:creationId xmlns:a16="http://schemas.microsoft.com/office/drawing/2014/main" id="{704A879F-2B7C-41E3-903E-AA42EC45B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" y="1973580"/>
          <a:ext cx="7247619" cy="42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10</xdr:col>
      <xdr:colOff>183879</xdr:colOff>
      <xdr:row>36</xdr:row>
      <xdr:rowOff>151867</xdr:rowOff>
    </xdr:to>
    <xdr:pic>
      <xdr:nvPicPr>
        <xdr:cNvPr id="2" name="Picture 1" descr="" title="">
          <a:extLst>
            <a:ext uri="{FF2B5EF4-FFF2-40B4-BE49-F238E27FC236}">
              <a16:creationId xmlns:a16="http://schemas.microsoft.com/office/drawing/2014/main" id="{D93779C1-352C-4B64-A76A-CB8ED46E3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1935480"/>
          <a:ext cx="7247619" cy="4266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10</xdr:col>
      <xdr:colOff>183879</xdr:colOff>
      <xdr:row>36</xdr:row>
      <xdr:rowOff>151867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436EBA7C-B6F2-4F1F-8136-21C582C5E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1935480"/>
          <a:ext cx="7247619" cy="4266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10</xdr:col>
      <xdr:colOff>183879</xdr:colOff>
      <xdr:row>36</xdr:row>
      <xdr:rowOff>151867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20158C2B-5FD3-475B-BE9A-3223C831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1935480"/>
          <a:ext cx="7247619" cy="42666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9</xdr:col>
      <xdr:colOff>31479</xdr:colOff>
      <xdr:row>36</xdr:row>
      <xdr:rowOff>151867</xdr:rowOff>
    </xdr:to>
    <xdr:pic>
      <xdr:nvPicPr>
        <xdr:cNvPr id="2" name="Picture 1" descr="" title="">
          <a:extLst>
            <a:ext uri="{FF2B5EF4-FFF2-40B4-BE49-F238E27FC236}">
              <a16:creationId xmlns:a16="http://schemas.microsoft.com/office/drawing/2014/main" id="{9FA82EAA-8595-4698-BEDE-B88449B1A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35480"/>
          <a:ext cx="7247619" cy="42666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9</xdr:col>
      <xdr:colOff>77199</xdr:colOff>
      <xdr:row>36</xdr:row>
      <xdr:rowOff>151867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A182BE21-80F7-43F0-AEE9-C8008FF4D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1988820"/>
          <a:ext cx="7247619" cy="42666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10</xdr:col>
      <xdr:colOff>183879</xdr:colOff>
      <xdr:row>36</xdr:row>
      <xdr:rowOff>151867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8A93E9F3-D133-4A5A-B0CC-8242C44A8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1935480"/>
          <a:ext cx="7247619" cy="42666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9</xdr:col>
      <xdr:colOff>511539</xdr:colOff>
      <xdr:row>36</xdr:row>
      <xdr:rowOff>151867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83CA7439-CF91-401E-A496-182021B3A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1935480"/>
          <a:ext cx="7247619" cy="426666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9</xdr:col>
      <xdr:colOff>511539</xdr:colOff>
      <xdr:row>36</xdr:row>
      <xdr:rowOff>151867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BBBA0396-540F-4855-BEF0-2C91DE94B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1935480"/>
          <a:ext cx="7247619" cy="42666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DistFiles\5.2%20Example%20Actu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6378.1362749999944</v>
          </cell>
          <cell r="F2">
            <v>20.997575000000005</v>
          </cell>
          <cell r="G2">
            <v>5508.2766250000186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8044.9016749999782</v>
          </cell>
          <cell r="F3">
            <v>27.354775000000007</v>
          </cell>
          <cell r="G3">
            <v>6750.6001750000141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7770.3656999999967</v>
          </cell>
          <cell r="F4">
            <v>27.035600000000006</v>
          </cell>
          <cell r="G4">
            <v>6499.003700000002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7562.6908999999905</v>
          </cell>
          <cell r="F5">
            <v>26.461300000000001</v>
          </cell>
          <cell r="G5">
            <v>6298.312225000027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7452.5575250000038</v>
          </cell>
          <cell r="F6">
            <v>26.295124999999999</v>
          </cell>
          <cell r="G6">
            <v>6204.6437500000311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7490.0334500000044</v>
          </cell>
          <cell r="F7">
            <v>26.866750000000007</v>
          </cell>
          <cell r="G7">
            <v>6241.9931500000275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7619.8838250000008</v>
          </cell>
          <cell r="F8">
            <v>27.223425000000006</v>
          </cell>
          <cell r="G8">
            <v>6367.1193000000258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7758.4093250000069</v>
          </cell>
          <cell r="F9">
            <v>29.367425000000001</v>
          </cell>
          <cell r="G9">
            <v>6498.4174000000285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7854.2098250000145</v>
          </cell>
          <cell r="F10">
            <v>30.251275000000003</v>
          </cell>
          <cell r="G10">
            <v>6605.4064250000338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8279.7070249999924</v>
          </cell>
          <cell r="F11">
            <v>31.521774999999998</v>
          </cell>
          <cell r="G11">
            <v>6973.0813250000201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8640.0900249999868</v>
          </cell>
          <cell r="F12">
            <v>32.014575000000001</v>
          </cell>
          <cell r="G12">
            <v>7247.1309000000019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8891.1538749999745</v>
          </cell>
          <cell r="F13">
            <v>32.4696</v>
          </cell>
          <cell r="G13">
            <v>7448.6912750000229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9120.4305749999749</v>
          </cell>
          <cell r="F14">
            <v>32.586200000000005</v>
          </cell>
          <cell r="G14">
            <v>7661.4618000000492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9191.8475999999882</v>
          </cell>
          <cell r="F15">
            <v>34.210425000000008</v>
          </cell>
          <cell r="G15">
            <v>7716.9012000000175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9183.3202249999704</v>
          </cell>
          <cell r="F16">
            <v>36.253875000000001</v>
          </cell>
          <cell r="G16">
            <v>7694.9042250000202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9048.2295500000055</v>
          </cell>
          <cell r="F17">
            <v>36.657650000000011</v>
          </cell>
          <cell r="G17">
            <v>7621.216825000025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9089.7506000000012</v>
          </cell>
          <cell r="F18">
            <v>35.965374999999995</v>
          </cell>
          <cell r="G18">
            <v>7640.4907000000776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9306.8506500000149</v>
          </cell>
          <cell r="F19">
            <v>35.947425000000003</v>
          </cell>
          <cell r="G19">
            <v>7896.1520750000336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10087.15765000001</v>
          </cell>
          <cell r="F20">
            <v>39.167825000000008</v>
          </cell>
          <cell r="G20">
            <v>8664.060475000002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10116.680175000012</v>
          </cell>
          <cell r="F21">
            <v>40.478875000000009</v>
          </cell>
          <cell r="G21">
            <v>8673.6767750000308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38.362150000000007</v>
          </cell>
          <cell r="G22">
            <v>8453.1640750000188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9489.7307499999933</v>
          </cell>
          <cell r="F23">
            <v>32.546775000000004</v>
          </cell>
          <cell r="G23">
            <v>8151.1382000000167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8535.7770000000073</v>
          </cell>
          <cell r="F25">
            <v>30.259399999999996</v>
          </cell>
          <cell r="G25">
            <v>7174.401525000012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7888.6961749999991</v>
          </cell>
          <cell r="F26">
            <v>28.294650000000001</v>
          </cell>
          <cell r="G26">
            <v>6650.2944000000407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7549.3004000000237</v>
          </cell>
          <cell r="F27">
            <v>26.50985</v>
          </cell>
          <cell r="G27">
            <v>6280.4889000000385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7315.0605750000204</v>
          </cell>
          <cell r="F28">
            <v>26.291150000000002</v>
          </cell>
          <cell r="G28">
            <v>6070.9082249999983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7222.9926250000271</v>
          </cell>
          <cell r="F29">
            <v>26.479849999999999</v>
          </cell>
          <cell r="G29">
            <v>6007.4899500000365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7307.167875000001</v>
          </cell>
          <cell r="F30">
            <v>27.225675000000003</v>
          </cell>
          <cell r="G30">
            <v>6084.849750000034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7589.4523499999805</v>
          </cell>
          <cell r="F31">
            <v>28.626775000000002</v>
          </cell>
          <cell r="G31">
            <v>6332.3921500000306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8089.0351500000052</v>
          </cell>
          <cell r="F32">
            <v>33.186250000000001</v>
          </cell>
          <cell r="G32">
            <v>6789.7047250000278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8648.4802750000435</v>
          </cell>
          <cell r="F33">
            <v>37.225574999999992</v>
          </cell>
          <cell r="G33">
            <v>7230.4740750000246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8933.7565499999928</v>
          </cell>
          <cell r="F34">
            <v>39.782224999999997</v>
          </cell>
          <cell r="G34">
            <v>7479.0834749999967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9382.2778999999664</v>
          </cell>
          <cell r="F35">
            <v>40.769950000000009</v>
          </cell>
          <cell r="G35">
            <v>7886.611200000003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9786.7662500000388</v>
          </cell>
          <cell r="F36">
            <v>39.837649999999996</v>
          </cell>
          <cell r="G36">
            <v>8252.187650000029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9934.1763000000137</v>
          </cell>
          <cell r="F37">
            <v>40.148949999999999</v>
          </cell>
          <cell r="G37">
            <v>8398.7358500000264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10005.495174999955</v>
          </cell>
          <cell r="F38">
            <v>39.289400000000001</v>
          </cell>
          <cell r="G38">
            <v>8442.6831499999898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9972.0225499999633</v>
          </cell>
          <cell r="F39">
            <v>39.44755</v>
          </cell>
          <cell r="G39">
            <v>8394.4647250000562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9904.6171499999855</v>
          </cell>
          <cell r="F40">
            <v>39.242224999999998</v>
          </cell>
          <cell r="G40">
            <v>8343.6841000000186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9814.4121749999904</v>
          </cell>
          <cell r="F41">
            <v>39.025025000000007</v>
          </cell>
          <cell r="G41">
            <v>8279.5152000000307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9715.1591749999625</v>
          </cell>
          <cell r="F42">
            <v>38.691750000000006</v>
          </cell>
          <cell r="G42">
            <v>8254.6325499999948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9845.6958500000237</v>
          </cell>
          <cell r="F43">
            <v>38.422475000000006</v>
          </cell>
          <cell r="G43">
            <v>8436.0100000000075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10741.877599999978</v>
          </cell>
          <cell r="F44">
            <v>42.418374999999997</v>
          </cell>
          <cell r="G44">
            <v>9255.0055500000399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10774.956375000012</v>
          </cell>
          <cell r="F45">
            <v>43.521900000000002</v>
          </cell>
          <cell r="G45">
            <v>9285.1762749999871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10575.678374999985</v>
          </cell>
          <cell r="F46">
            <v>41.117575000000002</v>
          </cell>
          <cell r="G46">
            <v>9078.8075750000407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10130.703249999977</v>
          </cell>
          <cell r="F47">
            <v>38.528675</v>
          </cell>
          <cell r="G47">
            <v>8697.5171000000028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8864.9762999999912</v>
          </cell>
          <cell r="F49">
            <v>34.369649999999993</v>
          </cell>
          <cell r="G49">
            <v>7462.5196500000739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8285.1203250000399</v>
          </cell>
          <cell r="F50">
            <v>33.490224999999995</v>
          </cell>
          <cell r="G50">
            <v>6961.7451000000065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8007.4171999999671</v>
          </cell>
          <cell r="F51">
            <v>31.912475000000004</v>
          </cell>
          <cell r="G51">
            <v>6715.2576250000211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7937.3922750000256</v>
          </cell>
          <cell r="F52">
            <v>31.524374999999999</v>
          </cell>
          <cell r="G52">
            <v>6642.2603500000159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7989.3808000000008</v>
          </cell>
          <cell r="F53">
            <v>32.364350000000009</v>
          </cell>
          <cell r="G53">
            <v>6695.6562000000131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8245.2097000000031</v>
          </cell>
          <cell r="F54">
            <v>35.400575000000003</v>
          </cell>
          <cell r="G54">
            <v>6938.6503500000044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9014.2835250000044</v>
          </cell>
          <cell r="F55">
            <v>39.93480000000001</v>
          </cell>
          <cell r="G55">
            <v>7592.879324999979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10387.087524999984</v>
          </cell>
          <cell r="F56">
            <v>46.299774999999997</v>
          </cell>
          <cell r="G56">
            <v>8839.0598999999838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11397.867899999967</v>
          </cell>
          <cell r="F57">
            <v>47.731724999999997</v>
          </cell>
          <cell r="G57">
            <v>9823.6959749999787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11303.23165000004</v>
          </cell>
          <cell r="F58">
            <v>48.192525000000003</v>
          </cell>
          <cell r="G58">
            <v>9722.576225000028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11165.839950000027</v>
          </cell>
          <cell r="F59">
            <v>45.168350000000004</v>
          </cell>
          <cell r="G59">
            <v>9517.6611749999665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11150.580100000001</v>
          </cell>
          <cell r="F60">
            <v>46.086775000000003</v>
          </cell>
          <cell r="G60">
            <v>9423.8797499999964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10936.401749999975</v>
          </cell>
          <cell r="F61">
            <v>43.433850000000007</v>
          </cell>
          <cell r="G61">
            <v>9294.9999250000328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10755.817299999992</v>
          </cell>
          <cell r="F62">
            <v>47.295050000000003</v>
          </cell>
          <cell r="G62">
            <v>9230.9956250000032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10839.503600000016</v>
          </cell>
          <cell r="F63">
            <v>46.048725000000005</v>
          </cell>
          <cell r="G63">
            <v>9271.0964999999942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42.079625000000007</v>
          </cell>
          <cell r="G64">
            <v>9317.844150000019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10943.322625000013</v>
          </cell>
          <cell r="F65">
            <v>42.876849999999997</v>
          </cell>
          <cell r="G65">
            <v>9319.0930250000474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10937.597275000015</v>
          </cell>
          <cell r="F66">
            <v>41.061900000000009</v>
          </cell>
          <cell r="G66">
            <v>9367.4194750000115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10822.268474999983</v>
          </cell>
          <cell r="F67">
            <v>44.777025000000002</v>
          </cell>
          <cell r="G67">
            <v>9379.874125000033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11522.136675000018</v>
          </cell>
          <cell r="F68">
            <v>47.458874999999999</v>
          </cell>
          <cell r="G68">
            <v>10006.036324999985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11458.25960000003</v>
          </cell>
          <cell r="F69">
            <v>44.895150000000001</v>
          </cell>
          <cell r="G69">
            <v>9977.7938000000086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11220.134300000047</v>
          </cell>
          <cell r="F70">
            <v>44.567824999999999</v>
          </cell>
          <cell r="G70">
            <v>9672.750299999967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10606.965700000026</v>
          </cell>
          <cell r="F71">
            <v>39.508825000000002</v>
          </cell>
          <cell r="G71">
            <v>9204.3562000000147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9067.265449999999</v>
          </cell>
          <cell r="F73">
            <v>37.300225000000012</v>
          </cell>
          <cell r="G73">
            <v>7690.3492000000369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8361.1853000000083</v>
          </cell>
          <cell r="F74">
            <v>32.568350000000009</v>
          </cell>
          <cell r="G74">
            <v>7030.021225000025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7914.2579500000074</v>
          </cell>
          <cell r="F75">
            <v>31.485474999999997</v>
          </cell>
          <cell r="G75">
            <v>6604.1836250000051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7680.5914000000002</v>
          </cell>
          <cell r="F76">
            <v>30.289874999999995</v>
          </cell>
          <cell r="G76">
            <v>6394.2201250000417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7589.4184249999807</v>
          </cell>
          <cell r="F77">
            <v>30.468574999999998</v>
          </cell>
          <cell r="G77">
            <v>6319.2775000000338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7688.4628500000099</v>
          </cell>
          <cell r="F78">
            <v>29.638799999999996</v>
          </cell>
          <cell r="G78">
            <v>6410.9914749999953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8241.8940749999965</v>
          </cell>
          <cell r="F79">
            <v>32.321624999999997</v>
          </cell>
          <cell r="G79">
            <v>6877.0715750000163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9445.2732250000045</v>
          </cell>
          <cell r="F80">
            <v>35.059925</v>
          </cell>
          <cell r="G80">
            <v>7975.4805249999872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10429.417374999975</v>
          </cell>
          <cell r="F81">
            <v>38.508600000000008</v>
          </cell>
          <cell r="G81">
            <v>8931.0217249999841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10411.612074999979</v>
          </cell>
          <cell r="F82">
            <v>30.440625000000001</v>
          </cell>
          <cell r="G82">
            <v>8841.5458250000447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10602.512374999969</v>
          </cell>
          <cell r="F83">
            <v>41.337449999999997</v>
          </cell>
          <cell r="G83">
            <v>8924.2767250000416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10708.304549999999</v>
          </cell>
          <cell r="F84">
            <v>39.074450000000006</v>
          </cell>
          <cell r="G84">
            <v>9025.7948750000214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10751.473050000021</v>
          </cell>
          <cell r="F85">
            <v>46.927500000000002</v>
          </cell>
          <cell r="G85">
            <v>9084.3709500000241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10720.530175000007</v>
          </cell>
          <cell r="F86">
            <v>45.000599999999999</v>
          </cell>
          <cell r="G86">
            <v>9048.1620000000548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10714.588375000043</v>
          </cell>
          <cell r="F87">
            <v>50.004075</v>
          </cell>
          <cell r="G87">
            <v>9038.0510250000552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10617.98744999997</v>
          </cell>
          <cell r="F88">
            <v>45.304049999999997</v>
          </cell>
          <cell r="G88">
            <v>8975.9846000000725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10518.703849999965</v>
          </cell>
          <cell r="F89">
            <v>45.1297</v>
          </cell>
          <cell r="G89">
            <v>8873.8207749999874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10513.976299999991</v>
          </cell>
          <cell r="F90">
            <v>47.294450000000012</v>
          </cell>
          <cell r="G90">
            <v>8848.2294499999916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10680.457200000008</v>
          </cell>
          <cell r="F91">
            <v>47.073999999999998</v>
          </cell>
          <cell r="G91">
            <v>9040.7864749999735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11563.730399999984</v>
          </cell>
          <cell r="F92">
            <v>52.064000000000007</v>
          </cell>
          <cell r="G92">
            <v>9854.6079749999935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11529.677324999973</v>
          </cell>
          <cell r="F93">
            <v>53.167000000000009</v>
          </cell>
          <cell r="G93">
            <v>9854.7160500000173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11326.462324999997</v>
          </cell>
          <cell r="F94">
            <v>51.129200000000004</v>
          </cell>
          <cell r="G94">
            <v>9639.654900000005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10848.533549999986</v>
          </cell>
          <cell r="F95">
            <v>49.765349999999998</v>
          </cell>
          <cell r="G95">
            <v>9304.0511750000132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9600.904500000026</v>
          </cell>
          <cell r="F97">
            <v>47.001274999999993</v>
          </cell>
          <cell r="G97">
            <v>8072.4371749999846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9146.8220500000043</v>
          </cell>
          <cell r="F98">
            <v>42.280075000000004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8771.4267249999903</v>
          </cell>
          <cell r="F99">
            <v>38.881774999999998</v>
          </cell>
          <cell r="G99">
            <v>7276.8809500000425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8574.566350000001</v>
          </cell>
          <cell r="F100">
            <v>37.835675000000002</v>
          </cell>
          <cell r="G100">
            <v>7173.1481750000148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8593.5542499999992</v>
          </cell>
          <cell r="F101">
            <v>37.698799999999999</v>
          </cell>
          <cell r="G101">
            <v>7215.5201000000216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8882.2336500000001</v>
          </cell>
          <cell r="F102">
            <v>38.158500000000004</v>
          </cell>
          <cell r="G102">
            <v>7461.301425000016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9585.6746000000148</v>
          </cell>
          <cell r="F103">
            <v>41.317050000000009</v>
          </cell>
          <cell r="G103">
            <v>8124.7065000000393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11022.939475000034</v>
          </cell>
          <cell r="F104">
            <v>45.531474999999993</v>
          </cell>
          <cell r="G104">
            <v>9450.6231749999788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12281.758875000045</v>
          </cell>
          <cell r="F105">
            <v>50.125949999999996</v>
          </cell>
          <cell r="G105">
            <v>10534.354550000033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12012.437275000011</v>
          </cell>
          <cell r="F106">
            <v>47.317775000000005</v>
          </cell>
          <cell r="G106">
            <v>10299.695725000051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11774.244149999991</v>
          </cell>
          <cell r="F107">
            <v>46.747550000000004</v>
          </cell>
          <cell r="G107">
            <v>9999.7764000000407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11568.103875000006</v>
          </cell>
          <cell r="F108">
            <v>43.848575000000011</v>
          </cell>
          <cell r="G108">
            <v>9831.4264250000288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11255.511999999984</v>
          </cell>
          <cell r="F109">
            <v>46.815549999999995</v>
          </cell>
          <cell r="G109">
            <v>9636.4506000000183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11025.124050000046</v>
          </cell>
          <cell r="F110">
            <v>43.416274999999999</v>
          </cell>
          <cell r="G110">
            <v>9421.1816749999834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11006.228475000036</v>
          </cell>
          <cell r="F111">
            <v>40.105050000000006</v>
          </cell>
          <cell r="G111">
            <v>9309.4791499999792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10804.638575000037</v>
          </cell>
          <cell r="F112">
            <v>42.517825000000002</v>
          </cell>
          <cell r="G112">
            <v>9146.1637499999615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10647.035150000012</v>
          </cell>
          <cell r="F113">
            <v>40.815825000000004</v>
          </cell>
          <cell r="G113">
            <v>8977.3814250000614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10510.831700000015</v>
          </cell>
          <cell r="F114">
            <v>37.68515</v>
          </cell>
          <cell r="G114">
            <v>8944.9923250000102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10817.105499999965</v>
          </cell>
          <cell r="F115">
            <v>41.267750000000007</v>
          </cell>
          <cell r="G115">
            <v>9215.9821500000162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11937.68950000004</v>
          </cell>
          <cell r="F116">
            <v>46.830175000000004</v>
          </cell>
          <cell r="G116">
            <v>10150.185774999993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12086.42850000002</v>
          </cell>
          <cell r="F117">
            <v>51.538024999999998</v>
          </cell>
          <cell r="G117">
            <v>10324.189449999971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11913.627550000027</v>
          </cell>
          <cell r="F118">
            <v>49.831650000000003</v>
          </cell>
          <cell r="G118">
            <v>10208.546500000002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11479.001175000007</v>
          </cell>
          <cell r="F119">
            <v>48.896400000000007</v>
          </cell>
          <cell r="G119">
            <v>9890.9816500000106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10060.542549999964</v>
          </cell>
          <cell r="F121">
            <v>47.421725000000002</v>
          </cell>
          <cell r="G121">
            <v>8561.0150750000248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9502.283800000032</v>
          </cell>
          <cell r="F122">
            <v>42.814474999999995</v>
          </cell>
          <cell r="G122">
            <v>8060.8054000000448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9268.2694749999991</v>
          </cell>
          <cell r="F123">
            <v>42.130775</v>
          </cell>
          <cell r="G123">
            <v>7827.4951500000179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9300.0577250000078</v>
          </cell>
          <cell r="F124">
            <v>44.099749999999993</v>
          </cell>
          <cell r="G124">
            <v>7792.1019499999975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9466.4318249999815</v>
          </cell>
          <cell r="F125">
            <v>45.722850000000001</v>
          </cell>
          <cell r="G125">
            <v>7875.021600000021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9750.7191250000033</v>
          </cell>
          <cell r="F126">
            <v>46.553350000000002</v>
          </cell>
          <cell r="G126">
            <v>8158.3311500000418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10599.035175000015</v>
          </cell>
          <cell r="F127">
            <v>50.200625000000002</v>
          </cell>
          <cell r="G127">
            <v>8922.8668750000506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12067.676950000015</v>
          </cell>
          <cell r="F128">
            <v>56.277974999999998</v>
          </cell>
          <cell r="G128">
            <v>10282.513550000065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13200.797175000018</v>
          </cell>
          <cell r="F129">
            <v>63.604124999999996</v>
          </cell>
          <cell r="G129">
            <v>11362.74634999995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12856.51897499999</v>
          </cell>
          <cell r="F130">
            <v>63.533274999999989</v>
          </cell>
          <cell r="G130">
            <v>11045.351050000056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12465.600475000007</v>
          </cell>
          <cell r="F131">
            <v>57.645425000000003</v>
          </cell>
          <cell r="G131">
            <v>10646.529925000001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12148.740575000007</v>
          </cell>
          <cell r="F132">
            <v>57.194650000000003</v>
          </cell>
          <cell r="G132">
            <v>10345.571225000029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11726.339199999991</v>
          </cell>
          <cell r="F133">
            <v>53.309950000000008</v>
          </cell>
          <cell r="G133">
            <v>9988.4732249999579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11314.637350000032</v>
          </cell>
          <cell r="F134">
            <v>49.023849999999996</v>
          </cell>
          <cell r="G134">
            <v>9612.1881749999829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11072.56239999999</v>
          </cell>
          <cell r="F135">
            <v>44.554349999999999</v>
          </cell>
          <cell r="G135">
            <v>9379.2364000000034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10813.140499999981</v>
          </cell>
          <cell r="F136">
            <v>41.999425000000002</v>
          </cell>
          <cell r="G136">
            <v>9135.0549750000391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10570.248825000004</v>
          </cell>
          <cell r="F137">
            <v>39.978150000000014</v>
          </cell>
          <cell r="G137">
            <v>8930.5995499999863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10464.600950000005</v>
          </cell>
          <cell r="F138">
            <v>38.596574999999994</v>
          </cell>
          <cell r="G138">
            <v>8843.8767750000043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10660.827124999994</v>
          </cell>
          <cell r="F139">
            <v>40.078025000000011</v>
          </cell>
          <cell r="G139">
            <v>9038.1972249999581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11507.322424999995</v>
          </cell>
          <cell r="F140">
            <v>41.604600000000005</v>
          </cell>
          <cell r="G140">
            <v>9870.9474250000385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11529.843674999996</v>
          </cell>
          <cell r="F141">
            <v>40.404850000000017</v>
          </cell>
          <cell r="G141">
            <v>9989.1612250000326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11469.427249999982</v>
          </cell>
          <cell r="F142">
            <v>39.015299999999996</v>
          </cell>
          <cell r="G142">
            <v>9933.8678000000473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11304.154625000021</v>
          </cell>
          <cell r="F143">
            <v>38.359700000000004</v>
          </cell>
          <cell r="G143">
            <v>9773.9276499999887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10475.233750000014</v>
          </cell>
          <cell r="F145">
            <v>37.860525000000003</v>
          </cell>
          <cell r="G145">
            <v>8933.9011000000119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9929.2034999999796</v>
          </cell>
          <cell r="F146">
            <v>37.116324999999996</v>
          </cell>
          <cell r="G146">
            <v>8479.0732000000062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9726.985350000019</v>
          </cell>
          <cell r="F147">
            <v>37.645975</v>
          </cell>
          <cell r="G147">
            <v>8230.7280250000185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2974.4287250000002</v>
          </cell>
          <cell r="F148">
            <v>4.3265500000000001</v>
          </cell>
          <cell r="G148">
            <v>3642.5544249999939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9686.4323999999997</v>
          </cell>
          <cell r="F149">
            <v>38.516525000000001</v>
          </cell>
          <cell r="G149">
            <v>8097.1906500000205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9765.5474499999673</v>
          </cell>
          <cell r="F150">
            <v>38.659275000000008</v>
          </cell>
          <cell r="G150">
            <v>8218.6567250000317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10054.106600000041</v>
          </cell>
          <cell r="F151">
            <v>39.812200000000011</v>
          </cell>
          <cell r="G151">
            <v>8498.3006750000404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10613.408474999975</v>
          </cell>
          <cell r="F152">
            <v>40.720149999999997</v>
          </cell>
          <cell r="G152">
            <v>9027.4683750000459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42.831400000000009</v>
          </cell>
          <cell r="G153">
            <v>9603.3461750000279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11507.042774999973</v>
          </cell>
          <cell r="F154">
            <v>44.373050000000013</v>
          </cell>
          <cell r="G154">
            <v>9855.889599999995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11480.55012499998</v>
          </cell>
          <cell r="F155">
            <v>43.588100000000004</v>
          </cell>
          <cell r="G155">
            <v>9776.9258750000408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11187.741624999993</v>
          </cell>
          <cell r="F156">
            <v>41.894300000000001</v>
          </cell>
          <cell r="G156">
            <v>9533.2784249999513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10808.768925000002</v>
          </cell>
          <cell r="F157">
            <v>39.502325000000006</v>
          </cell>
          <cell r="G157">
            <v>9162.1062250000232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10375.608025000009</v>
          </cell>
          <cell r="F158">
            <v>36.469675000000002</v>
          </cell>
          <cell r="G158">
            <v>8798.5619500000048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10051.741050000017</v>
          </cell>
          <cell r="F159">
            <v>34.117974999999994</v>
          </cell>
          <cell r="G159">
            <v>8498.264799999999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9805.8847500000393</v>
          </cell>
          <cell r="F160">
            <v>32.578774999999993</v>
          </cell>
          <cell r="G160">
            <v>8276.8947750000134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9673.7895250000329</v>
          </cell>
          <cell r="F161">
            <v>32.188749999999999</v>
          </cell>
          <cell r="G161">
            <v>8157.2656999999963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9627.2904999999919</v>
          </cell>
          <cell r="F162">
            <v>31.477525000000007</v>
          </cell>
          <cell r="G162">
            <v>8114.6730499999967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9710.569449999979</v>
          </cell>
          <cell r="F163">
            <v>31.754325000000005</v>
          </cell>
          <cell r="G163">
            <v>8249.4606000000131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10495.751650000007</v>
          </cell>
          <cell r="F164">
            <v>32.965200000000003</v>
          </cell>
          <cell r="G164">
            <v>8914.2465749999956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10514.375650000027</v>
          </cell>
          <cell r="F165">
            <v>33.85915</v>
          </cell>
          <cell r="G165">
            <v>8988.2889000000159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10240.865874999992</v>
          </cell>
          <cell r="F166">
            <v>31.78</v>
          </cell>
          <cell r="G166">
            <v>8726.0412499999966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9905.1322750000072</v>
          </cell>
          <cell r="F167">
            <v>30.606975000000002</v>
          </cell>
          <cell r="G167">
            <v>8387.3153750000674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8941.2974000000104</v>
          </cell>
          <cell r="F169">
            <v>29.885925</v>
          </cell>
          <cell r="G169">
            <v>7464.149200000038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6201.6007999999883</v>
          </cell>
          <cell r="F170">
            <v>21.421050000000001</v>
          </cell>
          <cell r="G170">
            <v>5160.7624250000272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7943.468674999991</v>
          </cell>
          <cell r="F171">
            <v>27.797850000000004</v>
          </cell>
          <cell r="G171">
            <v>6585.3476750000227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7712.688174999982</v>
          </cell>
          <cell r="F172">
            <v>27.906999999999996</v>
          </cell>
          <cell r="G172">
            <v>6427.5947250000017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7612.5074749999903</v>
          </cell>
          <cell r="F173">
            <v>28.702024999999995</v>
          </cell>
          <cell r="G173">
            <v>6342.3516250000112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7634.9680750000043</v>
          </cell>
          <cell r="F174">
            <v>28.691300000000002</v>
          </cell>
          <cell r="G174">
            <v>6381.3965500000113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7806.4165749999875</v>
          </cell>
          <cell r="F175">
            <v>18.499025</v>
          </cell>
          <cell r="G175">
            <v>6529.7132750000001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8120.7334249999931</v>
          </cell>
          <cell r="F176">
            <v>31.538575000000002</v>
          </cell>
          <cell r="G176">
            <v>6829.8007500000194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8531.8133750000197</v>
          </cell>
          <cell r="F177">
            <v>34.17915</v>
          </cell>
          <cell r="G177">
            <v>7230.4502500000008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8912.7249500000307</v>
          </cell>
          <cell r="F178">
            <v>36.495675000000006</v>
          </cell>
          <cell r="G178">
            <v>7544.4494749999867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9354.5597499999767</v>
          </cell>
          <cell r="F179">
            <v>38.133200000000002</v>
          </cell>
          <cell r="G179">
            <v>7831.6719000000094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9473.8033999999843</v>
          </cell>
          <cell r="F180">
            <v>38.003299999999989</v>
          </cell>
          <cell r="G180">
            <v>7911.0410250000332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9475.955450000034</v>
          </cell>
          <cell r="F181">
            <v>38.44435</v>
          </cell>
          <cell r="G181">
            <v>7880.8129000000527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9479.507349999978</v>
          </cell>
          <cell r="F182">
            <v>38.183825000000006</v>
          </cell>
          <cell r="G182">
            <v>7936.1998750000494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9509.6038249999801</v>
          </cell>
          <cell r="F183">
            <v>36.831000000000003</v>
          </cell>
          <cell r="G183">
            <v>8001.1895500000401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9453.8693250000033</v>
          </cell>
          <cell r="F184">
            <v>36.468299999999999</v>
          </cell>
          <cell r="G184">
            <v>7980.0103250000175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9443.2601750000176</v>
          </cell>
          <cell r="F185">
            <v>36.271850000000008</v>
          </cell>
          <cell r="G185">
            <v>7945.8802500000083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9486.6474249999901</v>
          </cell>
          <cell r="F186">
            <v>37.023500000000006</v>
          </cell>
          <cell r="G186">
            <v>7978.0145500000317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9780.8471749999826</v>
          </cell>
          <cell r="F187">
            <v>38.557700000000004</v>
          </cell>
          <cell r="G187">
            <v>8267.2734750000272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10567.353400000004</v>
          </cell>
          <cell r="F188">
            <v>40.866375000000012</v>
          </cell>
          <cell r="G188">
            <v>8985.3237500000305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10615.565850000001</v>
          </cell>
          <cell r="F189">
            <v>42.311475000000009</v>
          </cell>
          <cell r="G189">
            <v>9062.4978750000319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10366.830149999996</v>
          </cell>
          <cell r="F190">
            <v>41.978925000000004</v>
          </cell>
          <cell r="G190">
            <v>8866.7345750000186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9988.7338500000096</v>
          </cell>
          <cell r="F191">
            <v>40.795550000000013</v>
          </cell>
          <cell r="G191">
            <v>8538.329400000006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8722.0475250000018</v>
          </cell>
          <cell r="F193">
            <v>35.726700000000008</v>
          </cell>
          <cell r="G193">
            <v>7300.7943500000301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8080.0212250000159</v>
          </cell>
          <cell r="F194">
            <v>32.610575000000004</v>
          </cell>
          <cell r="G194">
            <v>6782.6361000000034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7856.6561750000064</v>
          </cell>
          <cell r="F195">
            <v>30.629324999999998</v>
          </cell>
          <cell r="G195">
            <v>6527.035150000017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7813.371125000016</v>
          </cell>
          <cell r="F196">
            <v>29.293600000000001</v>
          </cell>
          <cell r="G196">
            <v>6448.4961500000099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7884.3919750000086</v>
          </cell>
          <cell r="F197">
            <v>30.891874999999999</v>
          </cell>
          <cell r="G197">
            <v>6508.3479750000124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8202.135250000003</v>
          </cell>
          <cell r="F198">
            <v>34.793075000000009</v>
          </cell>
          <cell r="G198">
            <v>6770.8323000000073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8971.5929499999984</v>
          </cell>
          <cell r="F199">
            <v>36.873700000000007</v>
          </cell>
          <cell r="G199">
            <v>7496.2920750000458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10503.649250000009</v>
          </cell>
          <cell r="F200">
            <v>43.277800000000006</v>
          </cell>
          <cell r="G200">
            <v>8875.5104749999864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11691.791450000017</v>
          </cell>
          <cell r="F201">
            <v>43.564300000000003</v>
          </cell>
          <cell r="G201">
            <v>10001.891675000023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11577.386575000013</v>
          </cell>
          <cell r="F202">
            <v>46.842525000000002</v>
          </cell>
          <cell r="G202">
            <v>9825.1021000000237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11426.12117499998</v>
          </cell>
          <cell r="F203">
            <v>44.535775000000001</v>
          </cell>
          <cell r="G203">
            <v>9718.1833500000103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6804.2436749999915</v>
          </cell>
          <cell r="F204">
            <v>29.357924999999998</v>
          </cell>
          <cell r="G204">
            <v>5779.2855500000023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7922.0444499999903</v>
          </cell>
          <cell r="F205">
            <v>12.271625</v>
          </cell>
          <cell r="G205">
            <v>6632.0251750000043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8288.788025000018</v>
          </cell>
          <cell r="F206">
            <v>34.814300000000003</v>
          </cell>
          <cell r="G206">
            <v>6775.5018750000299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10015.771650000012</v>
          </cell>
          <cell r="F207">
            <v>40.185899999999997</v>
          </cell>
          <cell r="G207">
            <v>8454.9541500000123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8683.9710750000013</v>
          </cell>
          <cell r="F208">
            <v>41.440275</v>
          </cell>
          <cell r="G208">
            <v>7236.6019999999926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8711.5115499999774</v>
          </cell>
          <cell r="F209">
            <v>18.835425000000001</v>
          </cell>
          <cell r="G209">
            <v>7199.6021000000237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8886.1916999999885</v>
          </cell>
          <cell r="F210">
            <v>38.663800000000002</v>
          </cell>
          <cell r="G210">
            <v>7449.3250000000862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8501.7104249999884</v>
          </cell>
          <cell r="F211">
            <v>32.404850000000003</v>
          </cell>
          <cell r="G211">
            <v>7338.9714249999806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9351.8785249999746</v>
          </cell>
          <cell r="F212">
            <v>34.274425000000015</v>
          </cell>
          <cell r="G212">
            <v>8123.0217249999951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41.134575000000012</v>
          </cell>
          <cell r="G213">
            <v>9105.2622749999773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7517.8215250000012</v>
          </cell>
          <cell r="F214">
            <v>32.851275000000008</v>
          </cell>
          <cell r="G214">
            <v>6328.9428250000219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8849.7074249999969</v>
          </cell>
          <cell r="F215">
            <v>35.010325000000002</v>
          </cell>
          <cell r="G215">
            <v>7352.5890750000144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7633.0114000000058</v>
          </cell>
          <cell r="F217">
            <v>37.946624999999997</v>
          </cell>
          <cell r="G217">
            <v>6276.1561000000074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6514.4983250000014</v>
          </cell>
          <cell r="F218">
            <v>21.206150000000004</v>
          </cell>
          <cell r="G218">
            <v>5348.2395250000245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8317.2714750000196</v>
          </cell>
          <cell r="F219">
            <v>29.347075000000007</v>
          </cell>
          <cell r="G219">
            <v>6872.7063000000026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6614.6973250000037</v>
          </cell>
          <cell r="F220">
            <v>27.733500000000006</v>
          </cell>
          <cell r="G220">
            <v>5456.8621500000072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8652.865875000005</v>
          </cell>
          <cell r="F221">
            <v>37.907975000000008</v>
          </cell>
          <cell r="G221">
            <v>7046.5077500000616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4264.7686499999909</v>
          </cell>
          <cell r="F222">
            <v>19.834875000000004</v>
          </cell>
          <cell r="G222">
            <v>3505.483899999997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8718.3659249999855</v>
          </cell>
          <cell r="F223">
            <v>43.051175000000001</v>
          </cell>
          <cell r="G223">
            <v>7433.7354250000199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7606.6867499999971</v>
          </cell>
          <cell r="F224">
            <v>29.609475</v>
          </cell>
          <cell r="G224">
            <v>6291.7895750000171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5154.424425000002</v>
          </cell>
          <cell r="F225">
            <v>22.958300000000001</v>
          </cell>
          <cell r="G225">
            <v>4459.4178750000119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6169.4325750000071</v>
          </cell>
          <cell r="F226">
            <v>29.280275</v>
          </cell>
          <cell r="G226">
            <v>5166.9019500000149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9703.325674999991</v>
          </cell>
          <cell r="F227">
            <v>53.137999999999991</v>
          </cell>
          <cell r="G227">
            <v>8115.5749500000084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9336.5647749999862</v>
          </cell>
          <cell r="F228">
            <v>50.517774999999993</v>
          </cell>
          <cell r="G228">
            <v>8033.5153000000128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6512.1761249999872</v>
          </cell>
          <cell r="F229">
            <v>46.172424999999997</v>
          </cell>
          <cell r="G229">
            <v>5581.7173750000065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9489.6062249999941</v>
          </cell>
          <cell r="F230">
            <v>50.991700000000009</v>
          </cell>
          <cell r="G230">
            <v>7934.7154500000197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9063.8287249999867</v>
          </cell>
          <cell r="F231">
            <v>43.483624999999996</v>
          </cell>
          <cell r="G231">
            <v>7660.536874999998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9680.799524999984</v>
          </cell>
          <cell r="F232">
            <v>43.494174999999998</v>
          </cell>
          <cell r="G232">
            <v>8137.8118000000395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8920.9137249999749</v>
          </cell>
          <cell r="F233">
            <v>45.442775000000005</v>
          </cell>
          <cell r="G233">
            <v>7382.8478000000123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6694.282224999999</v>
          </cell>
          <cell r="F234">
            <v>28.766999999999999</v>
          </cell>
          <cell r="G234">
            <v>5645.3533999999872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9886.7681000000121</v>
          </cell>
          <cell r="F235">
            <v>45.2898</v>
          </cell>
          <cell r="G235">
            <v>8477.3188000000064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9468.2140000000272</v>
          </cell>
          <cell r="F236">
            <v>42.104299999999988</v>
          </cell>
          <cell r="G236">
            <v>8086.9253250000129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10361.083075000019</v>
          </cell>
          <cell r="F237">
            <v>49.270225000000011</v>
          </cell>
          <cell r="G237">
            <v>8778.3507500000032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9426.9127749999989</v>
          </cell>
          <cell r="F238">
            <v>48.383675000000011</v>
          </cell>
          <cell r="G238">
            <v>8043.7050750000317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9526.4464499999922</v>
          </cell>
          <cell r="F239">
            <v>43.821450000000006</v>
          </cell>
          <cell r="G239">
            <v>8311.1804250000096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8734.8200249999845</v>
          </cell>
          <cell r="F241">
            <v>37.738250000000008</v>
          </cell>
          <cell r="G241">
            <v>7620.0064500000244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7242.8746500000188</v>
          </cell>
          <cell r="F242">
            <v>28.353725000000001</v>
          </cell>
          <cell r="G242">
            <v>6073.9148750000331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9273.194475000013</v>
          </cell>
          <cell r="F243">
            <v>38.9251</v>
          </cell>
          <cell r="G243">
            <v>7582.890574999994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8854.4172499999859</v>
          </cell>
          <cell r="F244">
            <v>24.747300000000006</v>
          </cell>
          <cell r="G244">
            <v>7240.3844000000045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9468.3818249999968</v>
          </cell>
          <cell r="F245">
            <v>32.865724999999998</v>
          </cell>
          <cell r="G245">
            <v>8033.6023250000198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10545.287874999984</v>
          </cell>
          <cell r="F246">
            <v>43.583925000000001</v>
          </cell>
          <cell r="G246">
            <v>8868.7953500000476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11288.65029999997</v>
          </cell>
          <cell r="F247">
            <v>49.84350000000002</v>
          </cell>
          <cell r="G247">
            <v>9664.9628750000138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12784.689275000026</v>
          </cell>
          <cell r="F248">
            <v>58.277525000000026</v>
          </cell>
          <cell r="G248">
            <v>11011.20674999997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13977.107799999962</v>
          </cell>
          <cell r="F249">
            <v>63.565975000000009</v>
          </cell>
          <cell r="G249">
            <v>12033.484949999969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13364.742275000015</v>
          </cell>
          <cell r="F250">
            <v>61.416675000000005</v>
          </cell>
          <cell r="G250">
            <v>11535.829675000075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12866.752825000012</v>
          </cell>
          <cell r="F251">
            <v>60.286050000000003</v>
          </cell>
          <cell r="G251">
            <v>10939.775250000077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12376.666124999965</v>
          </cell>
          <cell r="F252">
            <v>53.405450000000002</v>
          </cell>
          <cell r="G252">
            <v>10479.953799999999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11879.694424999978</v>
          </cell>
          <cell r="F253">
            <v>53.015200000000007</v>
          </cell>
          <cell r="G253">
            <v>10034.072574999967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11447.138600000009</v>
          </cell>
          <cell r="F254">
            <v>49.157724999999999</v>
          </cell>
          <cell r="G254">
            <v>9650.8446750000076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11164.096724999972</v>
          </cell>
          <cell r="F255">
            <v>44.590325</v>
          </cell>
          <cell r="G255">
            <v>9391.5341500000468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10915.726975000036</v>
          </cell>
          <cell r="F256">
            <v>39.277799999999999</v>
          </cell>
          <cell r="G256">
            <v>9168.2504250000202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10696.63297500001</v>
          </cell>
          <cell r="F257">
            <v>41.270725000000006</v>
          </cell>
          <cell r="G257">
            <v>9006.8106249999655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10574.682349999986</v>
          </cell>
          <cell r="F258">
            <v>41.057925000000004</v>
          </cell>
          <cell r="G258">
            <v>8979.7221500000305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10616.110125000023</v>
          </cell>
          <cell r="F259">
            <v>42.7498</v>
          </cell>
          <cell r="G259">
            <v>9121.1951749999589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11511.069099999982</v>
          </cell>
          <cell r="F260">
            <v>46.889175000000009</v>
          </cell>
          <cell r="G260">
            <v>9951.9797750000289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11559.970549999987</v>
          </cell>
          <cell r="F261">
            <v>45.73682500000001</v>
          </cell>
          <cell r="G261">
            <v>10008.276475000024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11435.791849999981</v>
          </cell>
          <cell r="F262">
            <v>43.852900000000012</v>
          </cell>
          <cell r="G262">
            <v>9827.5646750000396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11054.903674999981</v>
          </cell>
          <cell r="F263">
            <v>45.171025000000007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9637.3126499999908</v>
          </cell>
          <cell r="F265">
            <v>37.950775000000007</v>
          </cell>
          <cell r="G265">
            <v>8053.4076750000104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8857.6067499999972</v>
          </cell>
          <cell r="F266">
            <v>35.871500000000005</v>
          </cell>
          <cell r="G266">
            <v>7471.8818249999986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8650.8039250000056</v>
          </cell>
          <cell r="F267">
            <v>30.349825000000003</v>
          </cell>
          <cell r="G267">
            <v>7181.707600000007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8543.0951999999925</v>
          </cell>
          <cell r="F268">
            <v>30.131100000000004</v>
          </cell>
          <cell r="G268">
            <v>7043.9012499999862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8464.7531500000059</v>
          </cell>
          <cell r="F269">
            <v>30.796399999999998</v>
          </cell>
          <cell r="G269">
            <v>6986.9933000000192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8609.4938250000159</v>
          </cell>
          <cell r="F270">
            <v>32.037950000000002</v>
          </cell>
          <cell r="G270">
            <v>7129.6163249999818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9245.2971749999833</v>
          </cell>
          <cell r="F271">
            <v>35.400350000000003</v>
          </cell>
          <cell r="G271">
            <v>7721.3009000000211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10491.506575000012</v>
          </cell>
          <cell r="F272">
            <v>39.380075000000012</v>
          </cell>
          <cell r="G272">
            <v>8906.8214999999927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11590.995249999985</v>
          </cell>
          <cell r="F273">
            <v>46.721175000000002</v>
          </cell>
          <cell r="G273">
            <v>9897.7002500000417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11303.832225000004</v>
          </cell>
          <cell r="F274">
            <v>43.949825000000004</v>
          </cell>
          <cell r="G274">
            <v>9617.7481749999515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11127.127324999987</v>
          </cell>
          <cell r="F275">
            <v>41.236499999999999</v>
          </cell>
          <cell r="G275">
            <v>9418.6085500000008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11073.838424999994</v>
          </cell>
          <cell r="F276">
            <v>43.697075000000005</v>
          </cell>
          <cell r="G276">
            <v>9324.6292750000212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10922.408899999951</v>
          </cell>
          <cell r="F277">
            <v>43.353825000000008</v>
          </cell>
          <cell r="G277">
            <v>9257.8709249999793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10734.33127500002</v>
          </cell>
          <cell r="F278">
            <v>42.221725000000006</v>
          </cell>
          <cell r="G278">
            <v>9205.2022000000215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10810.345724999977</v>
          </cell>
          <cell r="F279">
            <v>40.993299999999998</v>
          </cell>
          <cell r="G279">
            <v>9210.1662499999893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10642.089625000004</v>
          </cell>
          <cell r="F280">
            <v>37.342224999999999</v>
          </cell>
          <cell r="G280">
            <v>9166.1937500000076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10763.749199999991</v>
          </cell>
          <cell r="F281">
            <v>40.214850000000006</v>
          </cell>
          <cell r="G281">
            <v>9127.1089250000241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10745.368900000012</v>
          </cell>
          <cell r="F282">
            <v>35.590874999999997</v>
          </cell>
          <cell r="G282">
            <v>9134.9346500000465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10807.300249999977</v>
          </cell>
          <cell r="F283">
            <v>36.520924999999998</v>
          </cell>
          <cell r="G283">
            <v>9176.9623750000464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11535.94265000001</v>
          </cell>
          <cell r="F284">
            <v>43.437000000000005</v>
          </cell>
          <cell r="G284">
            <v>9821.0946500000136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11482.356724999987</v>
          </cell>
          <cell r="F285">
            <v>45.010525000000001</v>
          </cell>
          <cell r="G285">
            <v>9826.5570749999497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11226.212550000004</v>
          </cell>
          <cell r="F286">
            <v>41.441049999999997</v>
          </cell>
          <cell r="G286">
            <v>9572.7321750000719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10754.571175000014</v>
          </cell>
          <cell r="F287">
            <v>40.889049999999997</v>
          </cell>
          <cell r="G287">
            <v>9124.546799999991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9198.0026000000016</v>
          </cell>
          <cell r="F289">
            <v>35.433350000000011</v>
          </cell>
          <cell r="G289">
            <v>7671.7285000000165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8482.3431500000115</v>
          </cell>
          <cell r="F290">
            <v>31.578375000000001</v>
          </cell>
          <cell r="G290">
            <v>7079.0020500000037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8142.0895250000294</v>
          </cell>
          <cell r="F291">
            <v>27.881225000000001</v>
          </cell>
          <cell r="G291">
            <v>6794.787150000051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8144.925750000014</v>
          </cell>
          <cell r="F292">
            <v>29.589800000000007</v>
          </cell>
          <cell r="G292">
            <v>6707.4739499999941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8213.8221250000206</v>
          </cell>
          <cell r="F293">
            <v>31.91810000000001</v>
          </cell>
          <cell r="G293">
            <v>6768.8703000000341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8512.8336749999798</v>
          </cell>
          <cell r="F294">
            <v>33.80415</v>
          </cell>
          <cell r="G294">
            <v>7046.1299499999932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9279.8658499999892</v>
          </cell>
          <cell r="F295">
            <v>37.858024999999998</v>
          </cell>
          <cell r="G295">
            <v>7753.4319750000068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10910.214525000018</v>
          </cell>
          <cell r="F296">
            <v>45.190600000000003</v>
          </cell>
          <cell r="G296">
            <v>9168.167600000028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12245.633075000009</v>
          </cell>
          <cell r="F297">
            <v>53.959699999999998</v>
          </cell>
          <cell r="G297">
            <v>10394.305650000017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10797.717424999999</v>
          </cell>
          <cell r="F298">
            <v>45.352074999999999</v>
          </cell>
          <cell r="G298">
            <v>9074.6184499999654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10147.78685000001</v>
          </cell>
          <cell r="F299">
            <v>51.343650000000011</v>
          </cell>
          <cell r="G299">
            <v>8427.7691249999916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7131.9436500000129</v>
          </cell>
          <cell r="F300">
            <v>35.050449999999998</v>
          </cell>
          <cell r="G300">
            <v>6063.3233000000209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8900.9223500000135</v>
          </cell>
          <cell r="F301">
            <v>38.665025</v>
          </cell>
          <cell r="G301">
            <v>7588.2888750000066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6052.7889250000017</v>
          </cell>
          <cell r="F302">
            <v>19.917350000000003</v>
          </cell>
          <cell r="G302">
            <v>5323.0052999999934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8443.2780250000069</v>
          </cell>
          <cell r="F303">
            <v>35.1995</v>
          </cell>
          <cell r="G303">
            <v>6883.6109500000248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9721.9161750000403</v>
          </cell>
          <cell r="F304">
            <v>26.771424999999994</v>
          </cell>
          <cell r="G304">
            <v>8121.1265250000388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8779.9276249999966</v>
          </cell>
          <cell r="F305">
            <v>25.204049999999999</v>
          </cell>
          <cell r="G305">
            <v>7188.7333750000189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8817.6389749999744</v>
          </cell>
          <cell r="F306">
            <v>34.323599999999999</v>
          </cell>
          <cell r="G306">
            <v>7518.4140499999939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9171.9036999999844</v>
          </cell>
          <cell r="F307">
            <v>32.910550000000001</v>
          </cell>
          <cell r="G307">
            <v>7487.3504749999956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8359.7046000000064</v>
          </cell>
          <cell r="F308">
            <v>23.179875000000006</v>
          </cell>
          <cell r="G308">
            <v>6981.8074750000042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4562.3677749999997</v>
          </cell>
          <cell r="F309">
            <v>18.899850000000001</v>
          </cell>
          <cell r="G309">
            <v>3960.8799499999955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7480.5913499999942</v>
          </cell>
          <cell r="F310">
            <v>34.427424999999999</v>
          </cell>
          <cell r="G310">
            <v>6455.4219749999975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10013.095049999962</v>
          </cell>
          <cell r="F311">
            <v>42.961275000000001</v>
          </cell>
          <cell r="G311">
            <v>8661.2140500000187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10629.447749999988</v>
          </cell>
          <cell r="F313">
            <v>44.643500000000003</v>
          </cell>
          <cell r="G313">
            <v>8957.9003000000448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10167.206299999989</v>
          </cell>
          <cell r="F314">
            <v>44.149650000000008</v>
          </cell>
          <cell r="G314">
            <v>8562.9527499999804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9994.6721249999937</v>
          </cell>
          <cell r="F315">
            <v>43.632949999999994</v>
          </cell>
          <cell r="G315">
            <v>8410.2179250000245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3594.8045750000028</v>
          </cell>
          <cell r="F316">
            <v>3.243325</v>
          </cell>
          <cell r="G316">
            <v>4997.0807750000113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10088.640425000025</v>
          </cell>
          <cell r="F317">
            <v>41.883324999999999</v>
          </cell>
          <cell r="G317">
            <v>8474.4710500000347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10278.639975000013</v>
          </cell>
          <cell r="F318">
            <v>42.799799999999998</v>
          </cell>
          <cell r="G318">
            <v>8663.3778749999619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44.797775000000001</v>
          </cell>
          <cell r="G319">
            <v>9059.2708750000074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11365.446600000008</v>
          </cell>
          <cell r="F320">
            <v>47.886849999999995</v>
          </cell>
          <cell r="G320">
            <v>9692.6066250000185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12031.41720000002</v>
          </cell>
          <cell r="F321">
            <v>50.762875000000008</v>
          </cell>
          <cell r="G321">
            <v>10346.617925000002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12379.021324999998</v>
          </cell>
          <cell r="F322">
            <v>51.545500000000004</v>
          </cell>
          <cell r="G322">
            <v>10641.963525000067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12168.623099999968</v>
          </cell>
          <cell r="F323">
            <v>49.98940000000001</v>
          </cell>
          <cell r="G323">
            <v>10483.981725000025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11808.517949999989</v>
          </cell>
          <cell r="F324">
            <v>44.831375000000001</v>
          </cell>
          <cell r="G324">
            <v>10066.141375000012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11211.155524999989</v>
          </cell>
          <cell r="F325">
            <v>39.308575000000005</v>
          </cell>
          <cell r="G325">
            <v>9535.2234500000613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10675.193199999994</v>
          </cell>
          <cell r="F326">
            <v>35.511875000000003</v>
          </cell>
          <cell r="G326">
            <v>8995.5314250000301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10171.62874999996</v>
          </cell>
          <cell r="F327">
            <v>33.234100000000012</v>
          </cell>
          <cell r="G327">
            <v>8536.7559500000498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9787.3413500000242</v>
          </cell>
          <cell r="F328">
            <v>33.112250000000003</v>
          </cell>
          <cell r="G328">
            <v>8216.718400000027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9478.2047750000111</v>
          </cell>
          <cell r="F329">
            <v>32.487575000000007</v>
          </cell>
          <cell r="G329">
            <v>8032.6994000000577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9405.660099999981</v>
          </cell>
          <cell r="F330">
            <v>31.451175000000003</v>
          </cell>
          <cell r="G330">
            <v>7993.1586500000276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9753.9921749999794</v>
          </cell>
          <cell r="F331">
            <v>32.478549999999998</v>
          </cell>
          <cell r="G331">
            <v>8280.7124250000179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10620.29117500002</v>
          </cell>
          <cell r="F332">
            <v>35.208874999999999</v>
          </cell>
          <cell r="G332">
            <v>9080.0344500000065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10755.815374999987</v>
          </cell>
          <cell r="F333">
            <v>35.961850000000005</v>
          </cell>
          <cell r="G333">
            <v>9158.513899999989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10654.846625000006</v>
          </cell>
          <cell r="F334">
            <v>34.652999999999999</v>
          </cell>
          <cell r="G334">
            <v>9020.8412499999722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10354.687724999989</v>
          </cell>
          <cell r="F335">
            <v>33.479900000000001</v>
          </cell>
          <cell r="G335">
            <v>8776.8976500000354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9415.2465750000028</v>
          </cell>
          <cell r="F337">
            <v>31.115250000000003</v>
          </cell>
          <cell r="G337">
            <v>7961.0872750000181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6546.4810500000012</v>
          </cell>
          <cell r="F338">
            <v>21.194325000000003</v>
          </cell>
          <cell r="G338">
            <v>5566.828325000004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8481.8507000000045</v>
          </cell>
          <cell r="F339">
            <v>27.838750000000001</v>
          </cell>
          <cell r="G339">
            <v>7196.4718749999947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8272.2433499999897</v>
          </cell>
          <cell r="F340">
            <v>27.631975000000004</v>
          </cell>
          <cell r="G340">
            <v>7013.9039500000072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8183.5669749999861</v>
          </cell>
          <cell r="F341">
            <v>27.501550000000005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8193.6514749999878</v>
          </cell>
          <cell r="F342">
            <v>27.641750000000005</v>
          </cell>
          <cell r="G342">
            <v>6956.7416249999897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8347.5260250000138</v>
          </cell>
          <cell r="F343">
            <v>28.775500000000008</v>
          </cell>
          <cell r="G343">
            <v>7073.1452750000199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8659.3101750000042</v>
          </cell>
          <cell r="F344">
            <v>29.91555</v>
          </cell>
          <cell r="G344">
            <v>7356.8934000000263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9119.738649999992</v>
          </cell>
          <cell r="F345">
            <v>32.747574999999998</v>
          </cell>
          <cell r="G345">
            <v>7739.1841000000413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9720.0322749999996</v>
          </cell>
          <cell r="F346">
            <v>35.802749999999996</v>
          </cell>
          <cell r="G346">
            <v>8132.2132250000077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10096.446724999978</v>
          </cell>
          <cell r="F347">
            <v>37.445100000000004</v>
          </cell>
          <cell r="G347">
            <v>8496.4419750000052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10220.929174999979</v>
          </cell>
          <cell r="F348">
            <v>35.860925000000009</v>
          </cell>
          <cell r="G348">
            <v>8603.2059250000384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10066.380300000001</v>
          </cell>
          <cell r="F349">
            <v>35.637575000000005</v>
          </cell>
          <cell r="G349">
            <v>8488.9951499999861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10021.304550000024</v>
          </cell>
          <cell r="F350">
            <v>35.317500000000003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9899.0581250000068</v>
          </cell>
          <cell r="F351">
            <v>35.970775000000003</v>
          </cell>
          <cell r="G351">
            <v>8358.9900500000131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9737.4359000000004</v>
          </cell>
          <cell r="F352">
            <v>34.892625000000002</v>
          </cell>
          <cell r="G352">
            <v>8205.129649999988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9493.9007249999831</v>
          </cell>
          <cell r="F353">
            <v>35.812049999999999</v>
          </cell>
          <cell r="G353">
            <v>7998.1317750000107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9525.1179999999858</v>
          </cell>
          <cell r="F354">
            <v>35.280350000000006</v>
          </cell>
          <cell r="G354">
            <v>8005.2784250000368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9711.3501499999857</v>
          </cell>
          <cell r="F355">
            <v>36.870875000000012</v>
          </cell>
          <cell r="G355">
            <v>8228.9186000000245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10370.644174999996</v>
          </cell>
          <cell r="F356">
            <v>38.638800000000003</v>
          </cell>
          <cell r="G356">
            <v>8901.6433000000234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10383.351574999966</v>
          </cell>
          <cell r="F357">
            <v>37.869550000000004</v>
          </cell>
          <cell r="G357">
            <v>8925.8105499999965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10238.900274999993</v>
          </cell>
          <cell r="F358">
            <v>36.696424999999991</v>
          </cell>
          <cell r="G358">
            <v>8725.2441750000235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9906.9300749999875</v>
          </cell>
          <cell r="F359">
            <v>35.222375</v>
          </cell>
          <cell r="G359">
            <v>8395.4000500000275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8754.0601249999909</v>
          </cell>
          <cell r="F361">
            <v>31.482825000000002</v>
          </cell>
          <cell r="G361">
            <v>7360.4662499999977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8193.0546500000037</v>
          </cell>
          <cell r="F362">
            <v>29.562275000000007</v>
          </cell>
          <cell r="G362">
            <v>6855.5297250000349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7850.6815250000145</v>
          </cell>
          <cell r="F363">
            <v>28.698600000000003</v>
          </cell>
          <cell r="G363">
            <v>6566.4979500000054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7708.9129499999781</v>
          </cell>
          <cell r="F364">
            <v>28.603525000000001</v>
          </cell>
          <cell r="G364">
            <v>6438.1139500000036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7653.1483749999934</v>
          </cell>
          <cell r="F365">
            <v>30.755575</v>
          </cell>
          <cell r="G365">
            <v>6416.6293250000244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7780.7722500000091</v>
          </cell>
          <cell r="F366">
            <v>34.607824999999998</v>
          </cell>
          <cell r="G366">
            <v>6523.3555000000142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8264.3412499999813</v>
          </cell>
          <cell r="F367">
            <v>35.806175000000003</v>
          </cell>
          <cell r="G367">
            <v>6974.672350000008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9129.8164500000312</v>
          </cell>
          <cell r="F368">
            <v>39.581799999999994</v>
          </cell>
          <cell r="G368">
            <v>7763.3442750000113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10099.219825000009</v>
          </cell>
          <cell r="F369">
            <v>43.173749999999998</v>
          </cell>
          <cell r="G369">
            <v>8488.7635500000051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10417.651925000027</v>
          </cell>
          <cell r="F370">
            <v>42.736625000000004</v>
          </cell>
          <cell r="G370">
            <v>8798.2926750000079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10803.921449999978</v>
          </cell>
          <cell r="F371">
            <v>42.236050000000006</v>
          </cell>
          <cell r="G371">
            <v>9061.8113000000158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11129.024700000055</v>
          </cell>
          <cell r="F372">
            <v>43.541925000000006</v>
          </cell>
          <cell r="G372">
            <v>9323.5464249999986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11130.40972499999</v>
          </cell>
          <cell r="F373">
            <v>43.717699999999994</v>
          </cell>
          <cell r="G373">
            <v>9466.2372750000468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10978.263799999995</v>
          </cell>
          <cell r="F374">
            <v>43.289449999999995</v>
          </cell>
          <cell r="G374">
            <v>9374.2845000000125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10910.645150000046</v>
          </cell>
          <cell r="F375">
            <v>44.478574999999999</v>
          </cell>
          <cell r="G375">
            <v>9265.7984250000445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10768.374624999997</v>
          </cell>
          <cell r="F376">
            <v>40.740450000000003</v>
          </cell>
          <cell r="G376">
            <v>9131.9415500000632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10633.300275000025</v>
          </cell>
          <cell r="F377">
            <v>43.288849999999996</v>
          </cell>
          <cell r="G377">
            <v>9041.3103250000368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10627.576649999977</v>
          </cell>
          <cell r="F378">
            <v>42.501775000000002</v>
          </cell>
          <cell r="G378">
            <v>9024.1829250000574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10874.798949999991</v>
          </cell>
          <cell r="F379">
            <v>43.213649999999994</v>
          </cell>
          <cell r="G379">
            <v>9301.3846750000339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11563.929374999991</v>
          </cell>
          <cell r="F380">
            <v>46.15617499999999</v>
          </cell>
          <cell r="G380">
            <v>9944.2151250000334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11550.37602499996</v>
          </cell>
          <cell r="F381">
            <v>49.164999999999999</v>
          </cell>
          <cell r="G381">
            <v>9946.9806250000165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11437.985899999989</v>
          </cell>
          <cell r="F382">
            <v>44.183949999999996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11031.854849999992</v>
          </cell>
          <cell r="F383">
            <v>43.548850000000002</v>
          </cell>
          <cell r="G383">
            <v>9378.1325250000264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9536.3240249999835</v>
          </cell>
          <cell r="F385">
            <v>41.139249999999997</v>
          </cell>
          <cell r="G385">
            <v>8028.3510250000045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8925.5790250000027</v>
          </cell>
          <cell r="F386">
            <v>36.153000000000006</v>
          </cell>
          <cell r="G386">
            <v>7528.7040000000297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8688.8838999999844</v>
          </cell>
          <cell r="F387">
            <v>32.552800000000005</v>
          </cell>
          <cell r="G387">
            <v>7345.0280750000456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33.591625000000001</v>
          </cell>
          <cell r="G388">
            <v>7371.3019250000198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8880.8213250000063</v>
          </cell>
          <cell r="F389">
            <v>34.599174999999995</v>
          </cell>
          <cell r="G389">
            <v>7527.1905750000087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9269.560875000032</v>
          </cell>
          <cell r="F390">
            <v>37.543750000000003</v>
          </cell>
          <cell r="G390">
            <v>7859.8041500000099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10444.702399999996</v>
          </cell>
          <cell r="F391">
            <v>43.149225000000001</v>
          </cell>
          <cell r="G391">
            <v>8748.7182750000356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12143.157374999942</v>
          </cell>
          <cell r="F392">
            <v>50.389150000000008</v>
          </cell>
          <cell r="G392">
            <v>10282.408599999982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13510.719224999988</v>
          </cell>
          <cell r="F393">
            <v>59.234850000000002</v>
          </cell>
          <cell r="G393">
            <v>11562.934274999967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13174.080400000019</v>
          </cell>
          <cell r="F394">
            <v>52.395299999999999</v>
          </cell>
          <cell r="G394">
            <v>11240.045875000034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12844.37404999998</v>
          </cell>
          <cell r="F395">
            <v>48.999124999999992</v>
          </cell>
          <cell r="G395">
            <v>10921.870200000014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12686.865049999969</v>
          </cell>
          <cell r="F396">
            <v>50.921125000000004</v>
          </cell>
          <cell r="G396">
            <v>10785.421275000002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12431.474975000006</v>
          </cell>
          <cell r="F397">
            <v>48.273199999999996</v>
          </cell>
          <cell r="G397">
            <v>10587.358725000016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12132.729899999997</v>
          </cell>
          <cell r="F398">
            <v>47.231225000000002</v>
          </cell>
          <cell r="G398">
            <v>10326.061549999997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11923.510050000034</v>
          </cell>
          <cell r="F399">
            <v>46.825875000000018</v>
          </cell>
          <cell r="G399">
            <v>10103.561625000058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11673.407100000037</v>
          </cell>
          <cell r="F400">
            <v>40.430050000000001</v>
          </cell>
          <cell r="G400">
            <v>9828.7749250000525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11362.54265000001</v>
          </cell>
          <cell r="F401">
            <v>44.983525</v>
          </cell>
          <cell r="G401">
            <v>9603.4737500000538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41.892925000000012</v>
          </cell>
          <cell r="G402">
            <v>9568.4811500000178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11717.65907499997</v>
          </cell>
          <cell r="F403">
            <v>44.092524999999995</v>
          </cell>
          <cell r="G403">
            <v>9900.1866000000355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12907.167150000014</v>
          </cell>
          <cell r="F404">
            <v>50.977400000000003</v>
          </cell>
          <cell r="G404">
            <v>10987.700824999974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13257.172624999976</v>
          </cell>
          <cell r="F405">
            <v>51.931249999999999</v>
          </cell>
          <cell r="G405">
            <v>11333.255750000011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13153.303100000008</v>
          </cell>
          <cell r="F406">
            <v>53.785525</v>
          </cell>
          <cell r="G406">
            <v>11309.566775000023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12747.080699999975</v>
          </cell>
          <cell r="F407">
            <v>54.476899999999986</v>
          </cell>
          <cell r="G407">
            <v>11090.213724999976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11374.445600000012</v>
          </cell>
          <cell r="F409">
            <v>50.841250000000002</v>
          </cell>
          <cell r="G409">
            <v>9659.6136000000279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10849.39017499999</v>
          </cell>
          <cell r="F410">
            <v>44.872775000000004</v>
          </cell>
          <cell r="G410">
            <v>9080.4704999999976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10576.473550000017</v>
          </cell>
          <cell r="F411">
            <v>43.384724999999996</v>
          </cell>
          <cell r="G411">
            <v>8876.9995249999702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10470.304450000031</v>
          </cell>
          <cell r="F412">
            <v>43.762925000000003</v>
          </cell>
          <cell r="G412">
            <v>8807.7586000000047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10529.688074999982</v>
          </cell>
          <cell r="F413">
            <v>43.972274999999996</v>
          </cell>
          <cell r="G413">
            <v>8832.4843499999643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10745.919924999998</v>
          </cell>
          <cell r="F414">
            <v>46.060724999999998</v>
          </cell>
          <cell r="G414">
            <v>9073.5405250000113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11596.097725000005</v>
          </cell>
          <cell r="F415">
            <v>49.413875000000004</v>
          </cell>
          <cell r="G415">
            <v>9819.2969499999599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13095.892775000035</v>
          </cell>
          <cell r="F416">
            <v>58.539424999999994</v>
          </cell>
          <cell r="G416">
            <v>11166.888050000016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14161.167650000021</v>
          </cell>
          <cell r="F417">
            <v>65.046599999999998</v>
          </cell>
          <cell r="G417">
            <v>12131.482399999977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13503.689625000005</v>
          </cell>
          <cell r="F418">
            <v>59.671475000000001</v>
          </cell>
          <cell r="G418">
            <v>11535.621625000025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12777.050974999982</v>
          </cell>
          <cell r="F419">
            <v>55.41525</v>
          </cell>
          <cell r="G419">
            <v>10860.477500000075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12268.065500000004</v>
          </cell>
          <cell r="F420">
            <v>50.814324999999997</v>
          </cell>
          <cell r="G420">
            <v>10408.333950000075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11738.349049999933</v>
          </cell>
          <cell r="F421">
            <v>46.210350000000005</v>
          </cell>
          <cell r="G421">
            <v>9934.9963750000461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11283.941899999998</v>
          </cell>
          <cell r="F422">
            <v>45.131749999999997</v>
          </cell>
          <cell r="G422">
            <v>9558.9200250000558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10987.926650000038</v>
          </cell>
          <cell r="F423">
            <v>42.239324999999994</v>
          </cell>
          <cell r="G423">
            <v>9290.0860000000157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10791.825375000009</v>
          </cell>
          <cell r="F424">
            <v>38.929074999999997</v>
          </cell>
          <cell r="G424">
            <v>9124.3034000000407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10604.52845000002</v>
          </cell>
          <cell r="F425">
            <v>41.043775000000011</v>
          </cell>
          <cell r="G425">
            <v>8995.6624000000429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10559.414325000069</v>
          </cell>
          <cell r="F426">
            <v>39.323075000000003</v>
          </cell>
          <cell r="G426">
            <v>8948.3434750000233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10663.083574999941</v>
          </cell>
          <cell r="F427">
            <v>43.015125000000005</v>
          </cell>
          <cell r="G427">
            <v>9053.5472499999923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11439.996775000036</v>
          </cell>
          <cell r="F428">
            <v>43.017374999999994</v>
          </cell>
          <cell r="G428">
            <v>9787.7688749999033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11629.269500000017</v>
          </cell>
          <cell r="F429">
            <v>43.751649999999998</v>
          </cell>
          <cell r="G429">
            <v>9948.3383499999909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11460.698849999973</v>
          </cell>
          <cell r="F430">
            <v>44.592575000000004</v>
          </cell>
          <cell r="G430">
            <v>9800.9259499999807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10967.456575000009</v>
          </cell>
          <cell r="F431">
            <v>43.578450000000004</v>
          </cell>
          <cell r="G431">
            <v>9478.3899250000359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9505.1776249999803</v>
          </cell>
          <cell r="F433">
            <v>41.147324999999995</v>
          </cell>
          <cell r="G433">
            <v>7940.7671250000094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8769.4067499999946</v>
          </cell>
          <cell r="F434">
            <v>35.268874999999994</v>
          </cell>
          <cell r="G434">
            <v>7348.6442250000136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8458.7482749999654</v>
          </cell>
          <cell r="F435">
            <v>32.717249999999993</v>
          </cell>
          <cell r="G435">
            <v>7040.2151250000579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8324.3307999999925</v>
          </cell>
          <cell r="F436">
            <v>32.873649999999998</v>
          </cell>
          <cell r="G436">
            <v>6910.7882500000205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8255.0006499999836</v>
          </cell>
          <cell r="F437">
            <v>32.620899999999999</v>
          </cell>
          <cell r="G437">
            <v>6889.5145250000442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8412.6389749999616</v>
          </cell>
          <cell r="F438">
            <v>34.181549999999994</v>
          </cell>
          <cell r="G438">
            <v>7053.8102500000696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9085.7772749999986</v>
          </cell>
          <cell r="F439">
            <v>36.549249999999994</v>
          </cell>
          <cell r="G439">
            <v>7639.8668250000419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10502.242375000013</v>
          </cell>
          <cell r="F440">
            <v>42.543549999999996</v>
          </cell>
          <cell r="G440">
            <v>8883.0917750000117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49.177224999999993</v>
          </cell>
          <cell r="G441">
            <v>9883.7427250000055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11209.941350000001</v>
          </cell>
          <cell r="F442">
            <v>46.718699999999998</v>
          </cell>
          <cell r="G442">
            <v>9529.4478500000041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11049.233974999977</v>
          </cell>
          <cell r="F443">
            <v>44.895050000000005</v>
          </cell>
          <cell r="G443">
            <v>9300.7747750000508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10983.189075000042</v>
          </cell>
          <cell r="F444">
            <v>46.440350000000002</v>
          </cell>
          <cell r="G444">
            <v>9264.7440750000587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9077.8006000000187</v>
          </cell>
          <cell r="F445">
            <v>39.517975</v>
          </cell>
          <cell r="G445">
            <v>7666.8453750000226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8643.5773000000063</v>
          </cell>
          <cell r="F446">
            <v>33.118699999999997</v>
          </cell>
          <cell r="G446">
            <v>7176.2905000000028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7210.6130750000202</v>
          </cell>
          <cell r="F447">
            <v>27.194075000000002</v>
          </cell>
          <cell r="G447">
            <v>6189.5498249999964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7917.1445249999979</v>
          </cell>
          <cell r="F448">
            <v>28.637975000000001</v>
          </cell>
          <cell r="G448">
            <v>6443.1035999999986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9509.9987250000268</v>
          </cell>
          <cell r="F449">
            <v>42.081424999999996</v>
          </cell>
          <cell r="G449">
            <v>7825.2813750000332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10513.659100000015</v>
          </cell>
          <cell r="F450">
            <v>44.58057500000001</v>
          </cell>
          <cell r="G450">
            <v>8934.7794750000194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9091.3902500000167</v>
          </cell>
          <cell r="F451">
            <v>40.878675000000001</v>
          </cell>
          <cell r="G451">
            <v>7643.3607000000047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10195.454425000018</v>
          </cell>
          <cell r="F452">
            <v>32.385375000000003</v>
          </cell>
          <cell r="G452">
            <v>8522.6568000000043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8311.7124249999979</v>
          </cell>
          <cell r="F453">
            <v>27.742750000000001</v>
          </cell>
          <cell r="G453">
            <v>7120.0969750000368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9999.2417750000295</v>
          </cell>
          <cell r="F454">
            <v>33.76147499999999</v>
          </cell>
          <cell r="G454">
            <v>8368.4890499999965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5798.2891249999975</v>
          </cell>
          <cell r="F455">
            <v>16.558425</v>
          </cell>
          <cell r="G455">
            <v>4793.0730250000088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9112.6207500000419</v>
          </cell>
          <cell r="F457">
            <v>35.60217500000001</v>
          </cell>
          <cell r="G457">
            <v>7648.4216500000548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8415.7905250000258</v>
          </cell>
          <cell r="F458">
            <v>35.563550000000006</v>
          </cell>
          <cell r="G458">
            <v>7044.3048999999619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8068.6179000000211</v>
          </cell>
          <cell r="F459">
            <v>31.065149999999999</v>
          </cell>
          <cell r="G459">
            <v>6691.9515750000337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7926.6471500000052</v>
          </cell>
          <cell r="F460">
            <v>33.032325</v>
          </cell>
          <cell r="G460">
            <v>6487.284750000008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7845.190325000005</v>
          </cell>
          <cell r="F461">
            <v>34.021675000000002</v>
          </cell>
          <cell r="G461">
            <v>6439.9625000000242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7944.9815499999713</v>
          </cell>
          <cell r="F462">
            <v>35.340025000000004</v>
          </cell>
          <cell r="G462">
            <v>6576.0217000000139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8531.8075749999898</v>
          </cell>
          <cell r="F463">
            <v>38.255700000000004</v>
          </cell>
          <cell r="G463">
            <v>7096.1396000000568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9759.0127500000108</v>
          </cell>
          <cell r="F464">
            <v>41.328725000000006</v>
          </cell>
          <cell r="G464">
            <v>8244.7461999999905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10940.769074999964</v>
          </cell>
          <cell r="F465">
            <v>49.018274999999996</v>
          </cell>
          <cell r="G465">
            <v>9280.2469500000207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10846.717650000002</v>
          </cell>
          <cell r="F466">
            <v>48.986750000000001</v>
          </cell>
          <cell r="G466">
            <v>9182.3134500000106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10797.823474999977</v>
          </cell>
          <cell r="F467">
            <v>47.709200000000003</v>
          </cell>
          <cell r="G467">
            <v>9130.476124999961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4003.2140999999965</v>
          </cell>
          <cell r="F468">
            <v>0.67365000000000008</v>
          </cell>
          <cell r="G468">
            <v>6087.4613750000335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10872.104124999983</v>
          </cell>
          <cell r="F469">
            <v>49.78105</v>
          </cell>
          <cell r="G469">
            <v>9222.0261500000615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10771.848350000007</v>
          </cell>
          <cell r="F470">
            <v>45.169000000000004</v>
          </cell>
          <cell r="G470">
            <v>9136.8676999999952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10778.010175000034</v>
          </cell>
          <cell r="F471">
            <v>44.695950000000011</v>
          </cell>
          <cell r="G471">
            <v>9155.564750000025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10341.354750000004</v>
          </cell>
          <cell r="F472">
            <v>37.592425000000006</v>
          </cell>
          <cell r="G472">
            <v>8692.5658250000197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10186.255500000008</v>
          </cell>
          <cell r="F473">
            <v>39.754925</v>
          </cell>
          <cell r="G473">
            <v>8619.0754250000045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10504.445175000012</v>
          </cell>
          <cell r="F474">
            <v>44.614050000000006</v>
          </cell>
          <cell r="G474">
            <v>8863.0873749999828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10400.553250000017</v>
          </cell>
          <cell r="F475">
            <v>44.388950000000015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10933.662874999973</v>
          </cell>
          <cell r="F476">
            <v>43.154375000000002</v>
          </cell>
          <cell r="G476">
            <v>9307.840100000034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10975.187974999988</v>
          </cell>
          <cell r="F477">
            <v>44.741024999999993</v>
          </cell>
          <cell r="G477">
            <v>9349.1472499999982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10799.106175000004</v>
          </cell>
          <cell r="F478">
            <v>41.627775000000007</v>
          </cell>
          <cell r="G478">
            <v>9181.2966750000214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10584.28362499998</v>
          </cell>
          <cell r="F479">
            <v>41.081225000000003</v>
          </cell>
          <cell r="G479">
            <v>8971.8139249999931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9133.8898249999856</v>
          </cell>
          <cell r="F481">
            <v>27.1313</v>
          </cell>
          <cell r="G481">
            <v>7728.4399999999841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9314.8442499999874</v>
          </cell>
          <cell r="F482">
            <v>34.453624999999995</v>
          </cell>
          <cell r="G482">
            <v>7795.910874999985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9121.0163999999604</v>
          </cell>
          <cell r="F483">
            <v>33.238075000000009</v>
          </cell>
          <cell r="G483">
            <v>7595.2757249999922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3145.4948000000013</v>
          </cell>
          <cell r="F484">
            <v>1.159575</v>
          </cell>
          <cell r="G484">
            <v>4235.7014749999935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9128.9381499999836</v>
          </cell>
          <cell r="F485">
            <v>34.500425000000007</v>
          </cell>
          <cell r="G485">
            <v>7591.2471500000011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9303.691449999993</v>
          </cell>
          <cell r="F486">
            <v>35.834575000000001</v>
          </cell>
          <cell r="G486">
            <v>7762.6373250000061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9779.3302749999966</v>
          </cell>
          <cell r="F487">
            <v>39.789400000000001</v>
          </cell>
          <cell r="G487">
            <v>8151.2611250000227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10459.12965000005</v>
          </cell>
          <cell r="F488">
            <v>43.514825000000002</v>
          </cell>
          <cell r="G488">
            <v>8801.1961499999779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11263.008999999995</v>
          </cell>
          <cell r="F489">
            <v>49.092424999999999</v>
          </cell>
          <cell r="G489">
            <v>9510.3500249999724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11773.936474999995</v>
          </cell>
          <cell r="F490">
            <v>52.616499999999988</v>
          </cell>
          <cell r="G490">
            <v>9951.4348750000445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11937.051350000011</v>
          </cell>
          <cell r="F491">
            <v>51.639975000000007</v>
          </cell>
          <cell r="G491">
            <v>10113.085049999969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11768.259950000076</v>
          </cell>
          <cell r="F492">
            <v>49.624300000000012</v>
          </cell>
          <cell r="G492">
            <v>9963.6612750000277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11338.240374999979</v>
          </cell>
          <cell r="F493">
            <v>46.683925000000002</v>
          </cell>
          <cell r="G493">
            <v>9592.4922499999975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10841.720699999989</v>
          </cell>
          <cell r="F494">
            <v>43.611949999999993</v>
          </cell>
          <cell r="G494">
            <v>9166.8208500000055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10362.327199999989</v>
          </cell>
          <cell r="F495">
            <v>40.373575000000002</v>
          </cell>
          <cell r="G495">
            <v>8731.8931500000235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9989.7660000000087</v>
          </cell>
          <cell r="F496">
            <v>39.529025000000004</v>
          </cell>
          <cell r="G496">
            <v>8368.2104000000054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9750.3723999999966</v>
          </cell>
          <cell r="F497">
            <v>39.964149999999997</v>
          </cell>
          <cell r="G497">
            <v>8142.0758250000463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9720.7159749999955</v>
          </cell>
          <cell r="F498">
            <v>40.254449999999999</v>
          </cell>
          <cell r="G498">
            <v>8096.4159000000391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10069.149174999995</v>
          </cell>
          <cell r="F499">
            <v>41.965674999999997</v>
          </cell>
          <cell r="G499">
            <v>8400.2446749999963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10947.076274999978</v>
          </cell>
          <cell r="F500">
            <v>43.398650000000004</v>
          </cell>
          <cell r="G500">
            <v>9212.5520250000081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11067.949625000005</v>
          </cell>
          <cell r="F501">
            <v>43.874350000000007</v>
          </cell>
          <cell r="G501">
            <v>9363.1311750000059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10948.570324999999</v>
          </cell>
          <cell r="F502">
            <v>43.513900000000007</v>
          </cell>
          <cell r="G502">
            <v>9219.2641750000457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10628.511875000007</v>
          </cell>
          <cell r="F503">
            <v>42.076774999999998</v>
          </cell>
          <cell r="G503">
            <v>8990.0411749999857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9653.5744249999989</v>
          </cell>
          <cell r="F505">
            <v>41.421924999999995</v>
          </cell>
          <cell r="G505">
            <v>8094.4070000000138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6713.341425000006</v>
          </cell>
          <cell r="F506">
            <v>29.805375000000002</v>
          </cell>
          <cell r="G506">
            <v>5650.3071499999978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8742.8832749999965</v>
          </cell>
          <cell r="F507">
            <v>41.786050000000003</v>
          </cell>
          <cell r="G507">
            <v>7290.8472499999743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8666.3417000000045</v>
          </cell>
          <cell r="F508">
            <v>40.598100000000002</v>
          </cell>
          <cell r="G508">
            <v>7164.0148000000127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8560.0627999999779</v>
          </cell>
          <cell r="F509">
            <v>41.614774999999995</v>
          </cell>
          <cell r="G509">
            <v>7140.8805500000099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8682.5662749999938</v>
          </cell>
          <cell r="F510">
            <v>37.719075000000004</v>
          </cell>
          <cell r="G510">
            <v>7179.0771250000162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8811.5380499999992</v>
          </cell>
          <cell r="F511">
            <v>39.292499999999997</v>
          </cell>
          <cell r="G511">
            <v>7337.709525000002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9081.300274999965</v>
          </cell>
          <cell r="F512">
            <v>40.235900000000001</v>
          </cell>
          <cell r="G512">
            <v>7675.9358250000123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9707.5454000000373</v>
          </cell>
          <cell r="F513">
            <v>42.689575000000005</v>
          </cell>
          <cell r="G513">
            <v>8179.7794500000236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10348.350099999974</v>
          </cell>
          <cell r="F514">
            <v>47.119324999999996</v>
          </cell>
          <cell r="G514">
            <v>8712.0094250000147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10867.365475000037</v>
          </cell>
          <cell r="F515">
            <v>49.756600000000006</v>
          </cell>
          <cell r="G515">
            <v>9245.1069500000322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11229.15615000001</v>
          </cell>
          <cell r="F516">
            <v>50.035250000000005</v>
          </cell>
          <cell r="G516">
            <v>9619.0313749999787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11559.174749999998</v>
          </cell>
          <cell r="F517">
            <v>47.999100000000006</v>
          </cell>
          <cell r="G517">
            <v>9892.5767999999753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11680.258549999951</v>
          </cell>
          <cell r="F518">
            <v>46.936300000000003</v>
          </cell>
          <cell r="G518">
            <v>9962.2044250000072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11571.017475000008</v>
          </cell>
          <cell r="F519">
            <v>48.290800000000004</v>
          </cell>
          <cell r="G519">
            <v>9899.1075250000158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11385.410924999996</v>
          </cell>
          <cell r="F520">
            <v>48.303400000000011</v>
          </cell>
          <cell r="G520">
            <v>9782.7502249999889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11330.993150000024</v>
          </cell>
          <cell r="F521">
            <v>46.717425000000013</v>
          </cell>
          <cell r="G521">
            <v>9697.8867500000088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11439.667199999991</v>
          </cell>
          <cell r="F522">
            <v>45.548300000000012</v>
          </cell>
          <cell r="G522">
            <v>9764.1679750000294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11721.072500000051</v>
          </cell>
          <cell r="F523">
            <v>46.812799999999996</v>
          </cell>
          <cell r="G523">
            <v>10026.820500000038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12402.588675000032</v>
          </cell>
          <cell r="F524">
            <v>48.247625000000006</v>
          </cell>
          <cell r="G524">
            <v>10633.739475000002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12544.745425000023</v>
          </cell>
          <cell r="F525">
            <v>49.547400000000017</v>
          </cell>
          <cell r="G525">
            <v>10756.434924999965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12362.605174999997</v>
          </cell>
          <cell r="F526">
            <v>49.69487500000001</v>
          </cell>
          <cell r="G526">
            <v>10602.453324999973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11979.861050000003</v>
          </cell>
          <cell r="F527">
            <v>48.667124999999999</v>
          </cell>
          <cell r="G527">
            <v>10255.730624999973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10487.443500000016</v>
          </cell>
          <cell r="F529">
            <v>43.673050000000003</v>
          </cell>
          <cell r="G529">
            <v>8842.2317500000045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9834.4893499999671</v>
          </cell>
          <cell r="F530">
            <v>41.852624999999996</v>
          </cell>
          <cell r="G530">
            <v>8259.275924999989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9523.3920499999713</v>
          </cell>
          <cell r="F531">
            <v>41.595550000000003</v>
          </cell>
          <cell r="G531">
            <v>7993.9390249999833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9511.6110499999995</v>
          </cell>
          <cell r="F532">
            <v>41.694875000000003</v>
          </cell>
          <cell r="G532">
            <v>7946.2862250000171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9631.6773999999787</v>
          </cell>
          <cell r="F533">
            <v>41.841100000000004</v>
          </cell>
          <cell r="G533">
            <v>8038.9383500000195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9904.7696500000511</v>
          </cell>
          <cell r="F534">
            <v>42.879524999999994</v>
          </cell>
          <cell r="G534">
            <v>8350.692874999977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10823.323550000032</v>
          </cell>
          <cell r="F535">
            <v>47.967925000000008</v>
          </cell>
          <cell r="G535">
            <v>9177.8019500000137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12446.85500000002</v>
          </cell>
          <cell r="F536">
            <v>50.612625000000008</v>
          </cell>
          <cell r="G536">
            <v>10639.086049999985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13732.898125000011</v>
          </cell>
          <cell r="F537">
            <v>60.073050000000009</v>
          </cell>
          <cell r="G537">
            <v>11792.671424999966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13336.588849999991</v>
          </cell>
          <cell r="F538">
            <v>60.638475</v>
          </cell>
          <cell r="G538">
            <v>11469.11075000002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12984.460599999999</v>
          </cell>
          <cell r="F539">
            <v>64.436175000000006</v>
          </cell>
          <cell r="G539">
            <v>11120.943275000001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12611.302374999997</v>
          </cell>
          <cell r="F540">
            <v>60.209974999999986</v>
          </cell>
          <cell r="G540">
            <v>10762.658100000042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10260.329400000008</v>
          </cell>
          <cell r="F541">
            <v>54.393725000000011</v>
          </cell>
          <cell r="G541">
            <v>8551.613374999999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10515.042749999988</v>
          </cell>
          <cell r="F542">
            <v>40.894849999999998</v>
          </cell>
          <cell r="G542">
            <v>8834.8448000000626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8589.2685999999885</v>
          </cell>
          <cell r="F543">
            <v>32.971550000000001</v>
          </cell>
          <cell r="G543">
            <v>6958.6943499999943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11068.881749999991</v>
          </cell>
          <cell r="F544">
            <v>51.367175000000003</v>
          </cell>
          <cell r="G544">
            <v>9361.6373250000361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10847.12757500002</v>
          </cell>
          <cell r="F545">
            <v>50.454300000000003</v>
          </cell>
          <cell r="G545">
            <v>9144.2971750000233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10792.039849999999</v>
          </cell>
          <cell r="F546">
            <v>50.977174999999995</v>
          </cell>
          <cell r="G546">
            <v>9109.5075500000476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10995.955649999962</v>
          </cell>
          <cell r="F547">
            <v>49.803500000000014</v>
          </cell>
          <cell r="G547">
            <v>9319.7207250000338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12026.244650000024</v>
          </cell>
          <cell r="F548">
            <v>54.403725000000001</v>
          </cell>
          <cell r="G548">
            <v>10266.149025000077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12334.908799999996</v>
          </cell>
          <cell r="F549">
            <v>58.991675000000008</v>
          </cell>
          <cell r="G549">
            <v>10589.233299999996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12396.826199999958</v>
          </cell>
          <cell r="F550">
            <v>59.97182500000001</v>
          </cell>
          <cell r="G550">
            <v>10561.047199999975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12027.418050000011</v>
          </cell>
          <cell r="F551">
            <v>59.428275000000006</v>
          </cell>
          <cell r="G551">
            <v>10310.37754999997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10615.601450000015</v>
          </cell>
          <cell r="F553">
            <v>54.6965</v>
          </cell>
          <cell r="G553">
            <v>9038.4926999999989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10063.545175000012</v>
          </cell>
          <cell r="F554">
            <v>49.843725000000006</v>
          </cell>
          <cell r="G554">
            <v>8571.1867000000275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9999.2996499999808</v>
          </cell>
          <cell r="F555">
            <v>45.848999999999997</v>
          </cell>
          <cell r="G555">
            <v>8439.058200000034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10144.772175000007</v>
          </cell>
          <cell r="F556">
            <v>46.495550000000001</v>
          </cell>
          <cell r="G556">
            <v>8474.9404000000195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10286.557650000008</v>
          </cell>
          <cell r="F557">
            <v>47.847850000000008</v>
          </cell>
          <cell r="G557">
            <v>8595.2776000000104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10650.821674999992</v>
          </cell>
          <cell r="F558">
            <v>50.220675</v>
          </cell>
          <cell r="G558">
            <v>8945.1260500000408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11507.143874999996</v>
          </cell>
          <cell r="F559">
            <v>54.766525000000001</v>
          </cell>
          <cell r="G559">
            <v>9754.4883250000403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13087.445199999967</v>
          </cell>
          <cell r="F560">
            <v>64.316724999999991</v>
          </cell>
          <cell r="G560">
            <v>11240.286449999991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14265.372274999962</v>
          </cell>
          <cell r="F561">
            <v>72.527125000000012</v>
          </cell>
          <cell r="G561">
            <v>12318.595849999952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13664.728175000002</v>
          </cell>
          <cell r="F562">
            <v>65.420400000000001</v>
          </cell>
          <cell r="G562">
            <v>11744.797324999992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12825.383324999988</v>
          </cell>
          <cell r="F563">
            <v>60.63822500000002</v>
          </cell>
          <cell r="G563">
            <v>11039.957975000088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12238.211275000009</v>
          </cell>
          <cell r="F564">
            <v>56.171875</v>
          </cell>
          <cell r="G564">
            <v>10468.140674999962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11654.545375000014</v>
          </cell>
          <cell r="F565">
            <v>51.560100000000006</v>
          </cell>
          <cell r="G565">
            <v>9987.5380749999913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11295.696974999955</v>
          </cell>
          <cell r="F566">
            <v>48.592325000000002</v>
          </cell>
          <cell r="G566">
            <v>9590.1243000000122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11009.814724999982</v>
          </cell>
          <cell r="F567">
            <v>47.213274999999996</v>
          </cell>
          <cell r="G567">
            <v>9306.1014750000159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10813.046649999993</v>
          </cell>
          <cell r="F568">
            <v>43.251049999999999</v>
          </cell>
          <cell r="G568">
            <v>9126.5630250000049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10629.544274999998</v>
          </cell>
          <cell r="F569">
            <v>47.04657499999999</v>
          </cell>
          <cell r="G569">
            <v>8980.0410500000344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10557.479074999996</v>
          </cell>
          <cell r="F570">
            <v>45.03627500000001</v>
          </cell>
          <cell r="G570">
            <v>8924.9462499999881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10597.161325000046</v>
          </cell>
          <cell r="F571">
            <v>42.193674999999999</v>
          </cell>
          <cell r="G571">
            <v>8965.1551000000673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11411.342874999973</v>
          </cell>
          <cell r="F572">
            <v>48.637325000000004</v>
          </cell>
          <cell r="G572">
            <v>9713.2779750000409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11697.252399999959</v>
          </cell>
          <cell r="F573">
            <v>48.872549999999997</v>
          </cell>
          <cell r="G573">
            <v>9991.2839249999852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11614.113975000035</v>
          </cell>
          <cell r="F574">
            <v>49.420950000000005</v>
          </cell>
          <cell r="G574">
            <v>9884.3439250000192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11264.894224999971</v>
          </cell>
          <cell r="F575">
            <v>47.57777500000001</v>
          </cell>
          <cell r="G575">
            <v>9636.457775000059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9981.0432750000255</v>
          </cell>
          <cell r="F577">
            <v>49.252875000000003</v>
          </cell>
          <cell r="G577">
            <v>8375.832100000016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9484.486099999991</v>
          </cell>
          <cell r="F578">
            <v>45.101275000000001</v>
          </cell>
          <cell r="G578">
            <v>7909.6259250000185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9299.2948000000142</v>
          </cell>
          <cell r="F579">
            <v>41.198650000000008</v>
          </cell>
          <cell r="G579">
            <v>7741.4334750000053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9301.9962249999862</v>
          </cell>
          <cell r="F580">
            <v>43.07105</v>
          </cell>
          <cell r="G580">
            <v>7736.8339749999941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9410.9897500000243</v>
          </cell>
          <cell r="F581">
            <v>44.519149999999996</v>
          </cell>
          <cell r="G581">
            <v>7854.4232749999865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9801.9535750000123</v>
          </cell>
          <cell r="F582">
            <v>46.505399999999995</v>
          </cell>
          <cell r="G582">
            <v>8176.9053250000079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10145.603424999999</v>
          </cell>
          <cell r="F583">
            <v>48.563475000000004</v>
          </cell>
          <cell r="G583">
            <v>9027.3151249999828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11773.758099999997</v>
          </cell>
          <cell r="F584">
            <v>55.19357500000001</v>
          </cell>
          <cell r="G584">
            <v>10520.734175000007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12962.661625000028</v>
          </cell>
          <cell r="F585">
            <v>64.92410000000001</v>
          </cell>
          <cell r="G585">
            <v>11615.800724999974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12374.337600000001</v>
          </cell>
          <cell r="F586">
            <v>58.428899999999999</v>
          </cell>
          <cell r="G586">
            <v>11079.286700000022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11701.769600000016</v>
          </cell>
          <cell r="F587">
            <v>54.970349999999989</v>
          </cell>
          <cell r="G587">
            <v>10514.577775000073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11269.41432499998</v>
          </cell>
          <cell r="F588">
            <v>53.521875000000001</v>
          </cell>
          <cell r="G588">
            <v>10085.535049999999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10849.58445000004</v>
          </cell>
          <cell r="F589">
            <v>46.348700000000008</v>
          </cell>
          <cell r="G589">
            <v>9698.4778749999787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10520.076424999972</v>
          </cell>
          <cell r="F590">
            <v>45.368375</v>
          </cell>
          <cell r="G590">
            <v>9400.5498000000243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10304.277224999998</v>
          </cell>
          <cell r="F591">
            <v>44.8476</v>
          </cell>
          <cell r="G591">
            <v>9192.6478750000224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10139.265924999978</v>
          </cell>
          <cell r="F592">
            <v>37.998075</v>
          </cell>
          <cell r="G592">
            <v>9055.5071500000304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9975.8312749999968</v>
          </cell>
          <cell r="F593">
            <v>41.11377499999999</v>
          </cell>
          <cell r="G593">
            <v>8905.4543750000521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9951.3949499999944</v>
          </cell>
          <cell r="F594">
            <v>40.944750000000006</v>
          </cell>
          <cell r="G594">
            <v>8879.0317000000141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10045.799124999963</v>
          </cell>
          <cell r="F595">
            <v>37.081699999999998</v>
          </cell>
          <cell r="G595">
            <v>8979.8367750000998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10847.903400000028</v>
          </cell>
          <cell r="F596">
            <v>41.852650000000004</v>
          </cell>
          <cell r="G596">
            <v>9738.420800000009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11096.54200000001</v>
          </cell>
          <cell r="F597">
            <v>42.304575000000007</v>
          </cell>
          <cell r="G597">
            <v>9958.586600000006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10997.55834999999</v>
          </cell>
          <cell r="F598">
            <v>40.606675000000003</v>
          </cell>
          <cell r="G598">
            <v>9871.3450250000042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10625.789950000026</v>
          </cell>
          <cell r="F599">
            <v>37.60282500000001</v>
          </cell>
          <cell r="G599">
            <v>9582.3293500000291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9129.1862249999922</v>
          </cell>
          <cell r="F601">
            <v>29.303274999999999</v>
          </cell>
          <cell r="G601">
            <v>8157.2226000000483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8550.8909499999827</v>
          </cell>
          <cell r="F602">
            <v>33.808875</v>
          </cell>
          <cell r="G602">
            <v>7612.2345250000135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8265.1169250000039</v>
          </cell>
          <cell r="F603">
            <v>30.646375000000003</v>
          </cell>
          <cell r="G603">
            <v>7363.8498750000426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8220.5566250000284</v>
          </cell>
          <cell r="F604">
            <v>31.153624999999998</v>
          </cell>
          <cell r="G604">
            <v>7300.6921250000487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8281.5844749999997</v>
          </cell>
          <cell r="F605">
            <v>34.028375000000004</v>
          </cell>
          <cell r="G605">
            <v>7347.7733750000198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8528.1374750000105</v>
          </cell>
          <cell r="F606">
            <v>33.6815</v>
          </cell>
          <cell r="G606">
            <v>7580.8018500000107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9246.8741749999954</v>
          </cell>
          <cell r="F607">
            <v>36.201074999999996</v>
          </cell>
          <cell r="G607">
            <v>8262.846000000045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10717.561124999993</v>
          </cell>
          <cell r="F608">
            <v>40.429725000000005</v>
          </cell>
          <cell r="G608">
            <v>9592.481150000016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11841.252975000018</v>
          </cell>
          <cell r="F609">
            <v>46.030849999999994</v>
          </cell>
          <cell r="G609">
            <v>10619.088949999996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11518.452149999997</v>
          </cell>
          <cell r="F610">
            <v>44.053999999999988</v>
          </cell>
          <cell r="G610">
            <v>10345.205250000005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11359.210624999974</v>
          </cell>
          <cell r="F611">
            <v>39.399725000000004</v>
          </cell>
          <cell r="G611">
            <v>10194.919550000039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11286.783899999988</v>
          </cell>
          <cell r="F612">
            <v>41.010550000000002</v>
          </cell>
          <cell r="G612">
            <v>10140.893200000033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11204.614399999997</v>
          </cell>
          <cell r="F613">
            <v>40.06</v>
          </cell>
          <cell r="G613">
            <v>10031.79947500002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11107.938249999961</v>
          </cell>
          <cell r="F614">
            <v>38.767299999999999</v>
          </cell>
          <cell r="G614">
            <v>9936.8182750000396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11012.609974999999</v>
          </cell>
          <cell r="F615">
            <v>39.465325</v>
          </cell>
          <cell r="G615">
            <v>9888.7428500000296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10806.324049999988</v>
          </cell>
          <cell r="F616">
            <v>34.404225000000004</v>
          </cell>
          <cell r="G616">
            <v>9711.2947249999561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10551.639300000019</v>
          </cell>
          <cell r="F617">
            <v>35.131375000000006</v>
          </cell>
          <cell r="G617">
            <v>9454.3854750000155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10597.680849999961</v>
          </cell>
          <cell r="F618">
            <v>36.157499999999999</v>
          </cell>
          <cell r="G618">
            <v>9493.3990499999854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10933.532199999963</v>
          </cell>
          <cell r="F619">
            <v>38.606825000000008</v>
          </cell>
          <cell r="G619">
            <v>9829.8428250000234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11761.859025000034</v>
          </cell>
          <cell r="F620">
            <v>39.7699</v>
          </cell>
          <cell r="G620">
            <v>10598.398975000042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11982.580174999997</v>
          </cell>
          <cell r="F621">
            <v>43.896825</v>
          </cell>
          <cell r="G621">
            <v>10820.305799999956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11856.326249999989</v>
          </cell>
          <cell r="F622">
            <v>43.776949999999992</v>
          </cell>
          <cell r="G622">
            <v>10700.393974999981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11442.716224999971</v>
          </cell>
          <cell r="F623">
            <v>42.641574999999996</v>
          </cell>
          <cell r="G623">
            <v>10383.204275000004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9982.5391749999944</v>
          </cell>
          <cell r="F625">
            <v>37.846125000000008</v>
          </cell>
          <cell r="G625">
            <v>8954.7241250000043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9503.2465249999696</v>
          </cell>
          <cell r="F626">
            <v>36.508100000000006</v>
          </cell>
          <cell r="G626">
            <v>8474.1542750000499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9235.6171750000121</v>
          </cell>
          <cell r="F627">
            <v>34.015374999999999</v>
          </cell>
          <cell r="G627">
            <v>8220.4369000000115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9140.7222749999946</v>
          </cell>
          <cell r="F628">
            <v>34.412274999999994</v>
          </cell>
          <cell r="G628">
            <v>8130.8470750000388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9158.1620000000221</v>
          </cell>
          <cell r="F629">
            <v>34.339374999999997</v>
          </cell>
          <cell r="G629">
            <v>8135.8552250000084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9357.9677750000228</v>
          </cell>
          <cell r="F630">
            <v>35.176324999999999</v>
          </cell>
          <cell r="G630">
            <v>8330.8942000000443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10031.165625000003</v>
          </cell>
          <cell r="F631">
            <v>38.422175000000003</v>
          </cell>
          <cell r="G631">
            <v>8963.2214250000306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11423.801974999971</v>
          </cell>
          <cell r="F632">
            <v>44.820475000000002</v>
          </cell>
          <cell r="G632">
            <v>10235.778825000016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12402.662249999987</v>
          </cell>
          <cell r="F633">
            <v>47.230925000000006</v>
          </cell>
          <cell r="G633">
            <v>11126.405100000078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12118.264099999988</v>
          </cell>
          <cell r="F634">
            <v>45.605650000000011</v>
          </cell>
          <cell r="G634">
            <v>10861.046124999984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11960.568675000048</v>
          </cell>
          <cell r="F635">
            <v>45.283150000000006</v>
          </cell>
          <cell r="G635">
            <v>10725.615674999961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11887.128075000035</v>
          </cell>
          <cell r="F636">
            <v>44.298274999999997</v>
          </cell>
          <cell r="G636">
            <v>10668.738425000096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11698.953724999998</v>
          </cell>
          <cell r="F637">
            <v>41.460974999999998</v>
          </cell>
          <cell r="G637">
            <v>10498.170524999987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11421.80577499997</v>
          </cell>
          <cell r="F638">
            <v>35.463450000000009</v>
          </cell>
          <cell r="G638">
            <v>10251.238799999976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11227.807199999985</v>
          </cell>
          <cell r="F639">
            <v>33.351649999999999</v>
          </cell>
          <cell r="G639">
            <v>10070.176650000016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10952.138924999972</v>
          </cell>
          <cell r="F640">
            <v>31.947475000000004</v>
          </cell>
          <cell r="G640">
            <v>9810.7685250000686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10637.258950000014</v>
          </cell>
          <cell r="F641">
            <v>29.823950000000007</v>
          </cell>
          <cell r="G641">
            <v>9542.6301000000039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10579.401725000012</v>
          </cell>
          <cell r="F642">
            <v>30.412525000000002</v>
          </cell>
          <cell r="G642">
            <v>9524.7640000000192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10720.756399999942</v>
          </cell>
          <cell r="F643">
            <v>32.662700000000001</v>
          </cell>
          <cell r="G643">
            <v>9685.8613250000017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11249.869525000015</v>
          </cell>
          <cell r="F644">
            <v>34.288250000000005</v>
          </cell>
          <cell r="G644">
            <v>10176.896500000032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11112.107249999966</v>
          </cell>
          <cell r="F645">
            <v>35.348475000000001</v>
          </cell>
          <cell r="G645">
            <v>10029.942950000028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10800.047599999993</v>
          </cell>
          <cell r="F646">
            <v>33.381700000000002</v>
          </cell>
          <cell r="G646">
            <v>9731.7071250000008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10352.055399999987</v>
          </cell>
          <cell r="F647">
            <v>32.007475000000007</v>
          </cell>
          <cell r="G647">
            <v>9353.367249999983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9398.9738749999742</v>
          </cell>
          <cell r="F649">
            <v>26.669950000000004</v>
          </cell>
          <cell r="G649">
            <v>8170.6894250000014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8889.7050249999829</v>
          </cell>
          <cell r="F650">
            <v>26.430699999999995</v>
          </cell>
          <cell r="G650">
            <v>7565.5237000000207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8527.1592750000182</v>
          </cell>
          <cell r="F651">
            <v>27.361299999999996</v>
          </cell>
          <cell r="G651">
            <v>7153.6758750000108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2436.1766000000025</v>
          </cell>
          <cell r="F652">
            <v>1.1539750000000002</v>
          </cell>
          <cell r="G652">
            <v>3279.6114499999931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8027.1262750000178</v>
          </cell>
          <cell r="F653">
            <v>28.202275000000004</v>
          </cell>
          <cell r="G653">
            <v>6734.1899499999872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7975.0490250000048</v>
          </cell>
          <cell r="F654">
            <v>29.27355</v>
          </cell>
          <cell r="G654">
            <v>6720.8032750000366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8150.9278500000028</v>
          </cell>
          <cell r="F655">
            <v>29.902625</v>
          </cell>
          <cell r="G655">
            <v>6871.1733500000237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8583.1285499999831</v>
          </cell>
          <cell r="F656">
            <v>29.963999999999999</v>
          </cell>
          <cell r="G656">
            <v>7266.7323000000151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9135.444150000003</v>
          </cell>
          <cell r="F657">
            <v>30.251024999999998</v>
          </cell>
          <cell r="G657">
            <v>7797.9648999999836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9728.9055749999698</v>
          </cell>
          <cell r="F658">
            <v>31.130725000000002</v>
          </cell>
          <cell r="G658">
            <v>8335.9044750000012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10396.560624999982</v>
          </cell>
          <cell r="F659">
            <v>32.411000000000001</v>
          </cell>
          <cell r="G659">
            <v>8840.2073000000219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10751.664549999983</v>
          </cell>
          <cell r="F660">
            <v>32.86985</v>
          </cell>
          <cell r="G660">
            <v>9213.8036750000028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10747.252849999986</v>
          </cell>
          <cell r="F661">
            <v>32.077600000000004</v>
          </cell>
          <cell r="G661">
            <v>9231.6345000000583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10578.719425000014</v>
          </cell>
          <cell r="F662">
            <v>31.1219</v>
          </cell>
          <cell r="G662">
            <v>9075.9099000000206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10306.347349999987</v>
          </cell>
          <cell r="F663">
            <v>30.673900000000003</v>
          </cell>
          <cell r="G663">
            <v>8828.0073750000247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9997.2668749999866</v>
          </cell>
          <cell r="F664">
            <v>29.770475000000005</v>
          </cell>
          <cell r="G664">
            <v>8505.5951000000387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9762.7126250000092</v>
          </cell>
          <cell r="F665">
            <v>30.829599999999999</v>
          </cell>
          <cell r="G665">
            <v>8271.8983000000262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9592.2094999999408</v>
          </cell>
          <cell r="F666">
            <v>31.336950000000005</v>
          </cell>
          <cell r="G666">
            <v>8135.951450000046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9703.3882249999824</v>
          </cell>
          <cell r="F667">
            <v>31.771950000000004</v>
          </cell>
          <cell r="G667">
            <v>8176.1604750000115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10356.354874999945</v>
          </cell>
          <cell r="F668">
            <v>35.26925</v>
          </cell>
          <cell r="G668">
            <v>8689.1697999999742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10557.673449999993</v>
          </cell>
          <cell r="F669">
            <v>38.774125000000005</v>
          </cell>
          <cell r="G669">
            <v>8907.8080000000155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10406.441124999988</v>
          </cell>
          <cell r="F670">
            <v>38.412649999999999</v>
          </cell>
          <cell r="G670">
            <v>8786.8870500000376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10114.007924999969</v>
          </cell>
          <cell r="F671">
            <v>37.979399999999998</v>
          </cell>
          <cell r="G671">
            <v>8587.3926250000186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9324.0299000000323</v>
          </cell>
          <cell r="F673">
            <v>36.259724999999996</v>
          </cell>
          <cell r="G673">
            <v>7876.0702250000322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7035.7467750000123</v>
          </cell>
          <cell r="F674">
            <v>26.952750000000005</v>
          </cell>
          <cell r="G674">
            <v>6166.9028500000049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8701.3868750000092</v>
          </cell>
          <cell r="F675">
            <v>34.074950000000001</v>
          </cell>
          <cell r="G675">
            <v>7276.9928750000072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8615.7963749999817</v>
          </cell>
          <cell r="F676">
            <v>33.341074999999996</v>
          </cell>
          <cell r="G676">
            <v>7206.5162500000315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8637.7391999999891</v>
          </cell>
          <cell r="F677">
            <v>33.651724999999999</v>
          </cell>
          <cell r="G677">
            <v>7242.3488750000233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8771.555775000028</v>
          </cell>
          <cell r="F678">
            <v>34.878225000000008</v>
          </cell>
          <cell r="G678">
            <v>7388.1836250000233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9172.2722999999751</v>
          </cell>
          <cell r="F679">
            <v>36.356350000000006</v>
          </cell>
          <cell r="G679">
            <v>7691.8210749999871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9580.5967750000091</v>
          </cell>
          <cell r="F680">
            <v>37.525974999999995</v>
          </cell>
          <cell r="G680">
            <v>8175.8714749999872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10181.144225000004</v>
          </cell>
          <cell r="F681">
            <v>39.913249999999998</v>
          </cell>
          <cell r="G681">
            <v>8747.6503749999938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10588.079100000021</v>
          </cell>
          <cell r="F682">
            <v>42.080624999999998</v>
          </cell>
          <cell r="G682">
            <v>9057.6317750000471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10589.903024999985</v>
          </cell>
          <cell r="F683">
            <v>43.116924999999995</v>
          </cell>
          <cell r="G683">
            <v>8971.284674999999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10354.365474999988</v>
          </cell>
          <cell r="F684">
            <v>40.210400000000014</v>
          </cell>
          <cell r="G684">
            <v>8687.7599500000506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9880.8145000000059</v>
          </cell>
          <cell r="F685">
            <v>35.817825000000006</v>
          </cell>
          <cell r="G685">
            <v>8357.6689750000169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9577.2820500000144</v>
          </cell>
          <cell r="F686">
            <v>34.524175</v>
          </cell>
          <cell r="G686">
            <v>8154.1432499999964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9385.5039500000021</v>
          </cell>
          <cell r="F687">
            <v>34.799300000000002</v>
          </cell>
          <cell r="G687">
            <v>7972.4519000000419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9373.6243750000031</v>
          </cell>
          <cell r="F688">
            <v>35.507300000000001</v>
          </cell>
          <cell r="G688">
            <v>7819.6039750000646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9218.094199999985</v>
          </cell>
          <cell r="F689">
            <v>36.396324999999997</v>
          </cell>
          <cell r="G689">
            <v>7710.4571000000324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9108.6314000000002</v>
          </cell>
          <cell r="F690">
            <v>37.578999999999994</v>
          </cell>
          <cell r="G690">
            <v>7679.550325000002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9341.3158750000075</v>
          </cell>
          <cell r="F691">
            <v>38.359025000000003</v>
          </cell>
          <cell r="G691">
            <v>7819.6368750000083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10179.045175000017</v>
          </cell>
          <cell r="F692">
            <v>39.345124999999996</v>
          </cell>
          <cell r="G692">
            <v>8572.4844750000393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10417.726000000041</v>
          </cell>
          <cell r="F693">
            <v>42.006050000000002</v>
          </cell>
          <cell r="G693">
            <v>8973.4170000000322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10307.698399999967</v>
          </cell>
          <cell r="F694">
            <v>41.921250000000001</v>
          </cell>
          <cell r="G694">
            <v>8903.9934999999969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9976.083600000029</v>
          </cell>
          <cell r="F695">
            <v>39.5563</v>
          </cell>
          <cell r="G695">
            <v>8625.7144499999922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8775.4078000000172</v>
          </cell>
          <cell r="F697">
            <v>34.209125000000007</v>
          </cell>
          <cell r="G697">
            <v>7483.4906500000498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8200.6784999999709</v>
          </cell>
          <cell r="F698">
            <v>32.029325000000007</v>
          </cell>
          <cell r="G698">
            <v>6942.4543000000003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7982.9708249999894</v>
          </cell>
          <cell r="F699">
            <v>30.684999999999999</v>
          </cell>
          <cell r="G699">
            <v>6712.2330000000366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7873.7923500000252</v>
          </cell>
          <cell r="F700">
            <v>31.027774999999998</v>
          </cell>
          <cell r="G700">
            <v>6653.4119000000255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7907.6193999999869</v>
          </cell>
          <cell r="F701">
            <v>32.586600000000004</v>
          </cell>
          <cell r="G701">
            <v>6733.0867749999725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36.114149999999995</v>
          </cell>
          <cell r="G702">
            <v>6999.155775000002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9277.1909249999899</v>
          </cell>
          <cell r="F703">
            <v>41.180124999999997</v>
          </cell>
          <cell r="G703">
            <v>7778.505624999967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47.21392500000001</v>
          </cell>
          <cell r="G704">
            <v>9278.5003000000324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12311.449649999991</v>
          </cell>
          <cell r="F705">
            <v>53.322674999999997</v>
          </cell>
          <cell r="G705">
            <v>10495.285650000014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11983.41917499999</v>
          </cell>
          <cell r="F706">
            <v>50.703375000000015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11664.88879999997</v>
          </cell>
          <cell r="F707">
            <v>48.754775000000009</v>
          </cell>
          <cell r="G707">
            <v>9888.4428499999849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11449.867949999965</v>
          </cell>
          <cell r="F708">
            <v>46.018324999999997</v>
          </cell>
          <cell r="G708">
            <v>9709.9616249999945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11244.131799999997</v>
          </cell>
          <cell r="F709">
            <v>46.776600000000002</v>
          </cell>
          <cell r="G709">
            <v>9511.0548250000174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11049.646725000001</v>
          </cell>
          <cell r="F710">
            <v>44.624725000000005</v>
          </cell>
          <cell r="G710">
            <v>9308.4120249999833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10911.353225000017</v>
          </cell>
          <cell r="F711">
            <v>43.657449999999997</v>
          </cell>
          <cell r="G711">
            <v>9208.7910500000526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10701.326299999972</v>
          </cell>
          <cell r="F712">
            <v>39.422775000000001</v>
          </cell>
          <cell r="G712">
            <v>9043.8899000000147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10514.468100000026</v>
          </cell>
          <cell r="F713">
            <v>42.946625000000004</v>
          </cell>
          <cell r="G713">
            <v>8881.2447000000229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10528.950925000016</v>
          </cell>
          <cell r="F714">
            <v>40.938675000000003</v>
          </cell>
          <cell r="G714">
            <v>8852.6637750000209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10550.83420000003</v>
          </cell>
          <cell r="F715">
            <v>41.621225000000003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11381.915100000002</v>
          </cell>
          <cell r="F716">
            <v>46.447749999999992</v>
          </cell>
          <cell r="G716">
            <v>9632.2853750000377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11763.577550000002</v>
          </cell>
          <cell r="F717">
            <v>51.188249999999996</v>
          </cell>
          <cell r="G717">
            <v>10048.218600000015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11637.37787500002</v>
          </cell>
          <cell r="F718">
            <v>50.537375000000004</v>
          </cell>
          <cell r="G718">
            <v>9965.5748000000203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11277.162324999961</v>
          </cell>
          <cell r="F719">
            <v>47.366849999999992</v>
          </cell>
          <cell r="G719">
            <v>9707.9528000000209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9928.6776499999851</v>
          </cell>
          <cell r="F721">
            <v>43.241824999999999</v>
          </cell>
          <cell r="G721">
            <v>8486.374075000007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9432.9857749999792</v>
          </cell>
          <cell r="F722">
            <v>36.048249999999996</v>
          </cell>
          <cell r="G722">
            <v>8035.8905000000086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9334.576525000015</v>
          </cell>
          <cell r="F723">
            <v>31.816999999999997</v>
          </cell>
          <cell r="G723">
            <v>7893.2988500000292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9325.5824000000102</v>
          </cell>
          <cell r="F724">
            <v>31.930350000000001</v>
          </cell>
          <cell r="G724">
            <v>7899.5115750000241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9493.3651750000226</v>
          </cell>
          <cell r="F725">
            <v>32.211575000000011</v>
          </cell>
          <cell r="G725">
            <v>7990.0589749999917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9811.9324999999881</v>
          </cell>
          <cell r="F726">
            <v>33.304375</v>
          </cell>
          <cell r="G726">
            <v>8276.8099500000117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10600.891575000009</v>
          </cell>
          <cell r="F727">
            <v>37.236175000000003</v>
          </cell>
          <cell r="G727">
            <v>9047.2920000000049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12211.790724999988</v>
          </cell>
          <cell r="F728">
            <v>43.654525</v>
          </cell>
          <cell r="G728">
            <v>10497.012049999994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13437.964425000009</v>
          </cell>
          <cell r="F729">
            <v>48.022500000000001</v>
          </cell>
          <cell r="G729">
            <v>11539.568050000067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12882.008049999997</v>
          </cell>
          <cell r="F730">
            <v>50.164225000000009</v>
          </cell>
          <cell r="G730">
            <v>10989.841250000019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9986.0382249999984</v>
          </cell>
          <cell r="F731">
            <v>41.008974999999992</v>
          </cell>
          <cell r="G731">
            <v>8509.9627750000309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9503.3884499999986</v>
          </cell>
          <cell r="F732">
            <v>28.174925000000005</v>
          </cell>
          <cell r="G732">
            <v>8010.8372750000217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7441.8431499999861</v>
          </cell>
          <cell r="F733">
            <v>17.069399999999998</v>
          </cell>
          <cell r="G733">
            <v>6217.4995500000268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4489.2050250000075</v>
          </cell>
          <cell r="F734">
            <v>14.507075000000002</v>
          </cell>
          <cell r="G734">
            <v>3740.9051250000011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10900.931699999994</v>
          </cell>
          <cell r="F735">
            <v>34.953200000000002</v>
          </cell>
          <cell r="G735">
            <v>9224.3137000000261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8054.4519750000227</v>
          </cell>
          <cell r="F736">
            <v>23.166425000000004</v>
          </cell>
          <cell r="G736">
            <v>6814.1572250000354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8463.8161750000108</v>
          </cell>
          <cell r="F737">
            <v>29.590375000000002</v>
          </cell>
          <cell r="G737">
            <v>7105.3328499999943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10477.585724999984</v>
          </cell>
          <cell r="F738">
            <v>33.957700000000003</v>
          </cell>
          <cell r="G738">
            <v>8866.5997499999885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10511.836349999976</v>
          </cell>
          <cell r="F739">
            <v>39.573575000000005</v>
          </cell>
          <cell r="G739">
            <v>8956.6339750000097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11270.162199999952</v>
          </cell>
          <cell r="F740">
            <v>40.844225000000002</v>
          </cell>
          <cell r="G740">
            <v>9662.5342250000576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11592.368825000003</v>
          </cell>
          <cell r="F741">
            <v>42.356700000000011</v>
          </cell>
          <cell r="G741">
            <v>9939.6199499999948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11514.426125000025</v>
          </cell>
          <cell r="F742">
            <v>42.771900000000002</v>
          </cell>
          <cell r="G742">
            <v>9828.5143500000049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11102.118274999999</v>
          </cell>
          <cell r="F743">
            <v>38.750824999999999</v>
          </cell>
          <cell r="G743">
            <v>9471.3192000000126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9345.1728499999863</v>
          </cell>
          <cell r="F745">
            <v>35.830475000000007</v>
          </cell>
          <cell r="G745">
            <v>7995.0888500000065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../drawings/drawing2.xml" Id="rI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../drawings/drawing3.xml" Id="rI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../drawings/drawing4.xml" Id="rId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../drawings/drawing5.xml" Id="rId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../drawings/drawing6.xml" Id="rId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../drawings/drawing7.xml" Id="rId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../drawings/drawing8.xml" Id="rId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../drawings/drawing9.xml" Id="rId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../drawings/drawing10.xml" Id="rId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E1D5C9D-EFA2-4101-BDB9-84AF208CF60E}" mc:Ignorable="x14ac xr xr2 xr3">
  <x:sheetPr>
    <x:pageSetUpPr fitToPage="1"/>
  </x:sheetPr>
  <x:dimension ref="A1:M88"/>
  <x:sheetViews>
    <x:sheetView tabSelected="1" zoomScaleNormal="100" workbookViewId="0">
      <x:selection activeCell="H19" sqref="H19"/>
    </x:sheetView>
  </x:sheetViews>
  <x:sheetFormatPr defaultRowHeight="13.2" x14ac:dyDescent="0.25"/>
  <x:cols>
    <x:col min="1" max="1" width="9.33203125" bestFit="1" customWidth="1"/>
    <x:col min="2" max="2" width="26.88671875" bestFit="1" customWidth="1"/>
    <x:col min="3" max="3" width="22.5546875" bestFit="1" customWidth="1"/>
    <x:col min="4" max="5" width="9.33203125" bestFit="1" customWidth="1"/>
    <x:col min="6" max="6" width="9.33203125" customWidth="1"/>
    <x:col min="8" max="8" width="16.6640625" bestFit="1" customWidth="1"/>
    <x:col min="12" max="12" width="22.88671875" bestFit="1" customWidth="1"/>
    <x:col min="13" max="13" width="14.109375" bestFit="1" customWidth="1"/>
  </x:cols>
  <x:sheetData>
    <x:row r="1" spans="1:6" s="1" customFormat="1" ht="15.6" x14ac:dyDescent="0.3">
      <x:c r="A1" s="6"/>
      <x:c r="B1" s="43" t="s">
        <x:v>140</x:v>
      </x:c>
      <x:c r="C1" s="43"/>
      <x:c r="D1" s="43"/>
      <x:c r="E1" s="43"/>
      <x:c r="F1" s="43"/>
    </x:row>
    <x:row r="2" spans="1:6" s="1" customFormat="1" ht="15.6" x14ac:dyDescent="0.3">
      <x:c r="A2" s="6"/>
      <x:c r="B2" s="43" t="s">
        <x:v>88</x:v>
      </x:c>
      <x:c r="C2" s="43"/>
      <x:c r="D2" s="43"/>
      <x:c r="E2" s="43"/>
      <x:c r="F2" s="43"/>
    </x:row>
    <x:row r="3" spans="1:6" s="1" customFormat="1" ht="15.6" x14ac:dyDescent="0.3">
      <x:c r="A3" s="6"/>
      <x:c r="B3" s="43" t="s">
        <x:v>89</x:v>
      </x:c>
      <x:c r="C3" s="43"/>
      <x:c r="D3" s="43"/>
      <x:c r="E3" s="43"/>
      <x:c r="F3" s="43"/>
    </x:row>
    <x:row r="4" spans="1:6" s="1" customFormat="1" ht="15.6" x14ac:dyDescent="0.3">
      <x:c r="A4" s="6"/>
      <x:c r="B4" s="43" t="s">
        <x:v>98</x:v>
      </x:c>
      <x:c r="C4" s="43"/>
      <x:c r="D4" s="43"/>
      <x:c r="E4" s="43"/>
      <x:c r="F4" s="43"/>
    </x:row>
    <x:row r="5" spans="1:6" s="1" customFormat="1" ht="11.4" x14ac:dyDescent="0.2">
      <x:c r="A5" s="6"/>
    </x:row>
    <x:row r="6" spans="1:6" s="1" customFormat="1" ht="15.6" x14ac:dyDescent="0.3">
      <x:c r="A6" s="6"/>
      <x:c r="B6" s="43" t="s">
        <x:v>64</x:v>
      </x:c>
      <x:c r="C6" s="43"/>
      <x:c r="D6" s="43"/>
      <x:c r="E6" s="43"/>
      <x:c r="F6" s="43"/>
    </x:row>
    <x:row r="8" spans="1:6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6" s="1" customFormat="1" ht="11.4" x14ac:dyDescent="0.2">
      <x:c r="A9" s="7" t="s">
        <x:v>24</x:v>
      </x:c>
      <x:c r="B9" s="8" t="s">
        <x:v>25</x:v>
      </x:c>
      <x:c r="C9" s="8" t="s">
        <x:v>26</x:v>
      </x:c>
      <x:c r="D9" s="8" t="s">
        <x:v>29</x:v>
      </x:c>
      <x:c r="E9" s="8" t="s">
        <x:v>27</x:v>
      </x:c>
      <x:c r="F9" s="8" t="s">
        <x:v>28</x:v>
      </x:c>
    </x:row>
    <x:row r="10" spans="1:6" s="1" customFormat="1" ht="12" x14ac:dyDescent="0.25">
      <x:c r="A10" s="6">
        <x:v>1</x:v>
      </x:c>
      <x:c r="B10" s="3" t="s">
        <x:v>5</x:v>
      </x:c>
      <x:c r="C10" s="3" t="s">
        <x:v>48</x:v>
      </x:c>
    </x:row>
    <x:row r="11" spans="1:6" s="1" customFormat="1" ht="12" x14ac:dyDescent="0.25">
      <x:c r="A11" s="6">
        <x:f>+A10+1</x:f>
        <x:v>2</x:v>
      </x:c>
      <x:c r="B11" s="3" t="s">
        <x:v>35</x:v>
      </x:c>
      <x:c r="C11" s="3"/>
    </x:row>
    <x:row r="12" spans="1:6" s="1" customFormat="1" ht="12" x14ac:dyDescent="0.25">
      <x:c r="A12" s="6">
        <x:f t="shared" ref="A12:A83" si="0">+A11+1</x:f>
        <x:v>3</x:v>
      </x:c>
      <x:c r="B12" s="3" t="s">
        <x:v>6</x:v>
      </x:c>
      <x:c r="C12" s="3" t="s">
        <x:v>65</x:v>
      </x:c>
    </x:row>
    <x:row r="13" spans="1:6" s="1" customFormat="1" ht="12" x14ac:dyDescent="0.25">
      <x:c r="A13" s="6">
        <x:f t="shared" si="0"/>
        <x:v>4</x:v>
      </x:c>
      <x:c r="B13" s="3" t="s">
        <x:v>7</x:v>
      </x:c>
      <x:c r="C13" s="16">
        <x:v>44197</x:v>
      </x:c>
    </x:row>
    <x:row r="14" spans="1:6" s="1" customFormat="1" ht="12" x14ac:dyDescent="0.25">
      <x:c r="A14" s="6">
        <x:f t="shared" si="0"/>
        <x:v>5</x:v>
      </x:c>
      <x:c r="B14" s="3" t="s">
        <x:v>8</x:v>
      </x:c>
      <x:c r="C14" s="16">
        <x:v>45291</x:v>
      </x:c>
    </x:row>
    <x:row r="15" spans="1:6" s="1" customFormat="1" ht="11.4" x14ac:dyDescent="0.2">
      <x:c r="A15" s="6">
        <x:f t="shared" si="0"/>
        <x:v>6</x:v>
      </x:c>
    </x:row>
    <x:row r="16" spans="1:6" s="1" customFormat="1" ht="11.4" x14ac:dyDescent="0.2">
      <x:c r="A16" s="6">
        <x:f t="shared" si="0"/>
        <x:v>7</x:v>
      </x:c>
      <x:c r="B16" s="5" t="s">
        <x:v>0</x:v>
      </x:c>
      <x:c r="C16" s="5" t="s">
        <x:v>1</x:v>
      </x:c>
      <x:c r="D16" s="5" t="s">
        <x:v>2</x:v>
      </x:c>
      <x:c r="E16" s="5" t="s">
        <x:v>3</x:v>
      </x:c>
      <x:c r="F16" s="5" t="s">
        <x:v>4</x:v>
      </x:c>
    </x:row>
    <x:row r="17" spans="1:6" x14ac:dyDescent="0.25">
      <x:c r="A17" s="6">
        <x:f t="shared" si="0"/>
        <x:v>8</x:v>
      </x:c>
      <x:c r="B17" t="s">
        <x:v>37</x:v>
      </x:c>
      <x:c r="C17">
        <x:v>93642.032999999996</x:v>
      </x:c>
      <x:c r="D17">
        <x:v>1293.857</x:v>
      </x:c>
      <x:c r="E17">
        <x:v>72.373999999999995</x:v>
      </x:c>
      <x:c r="F17" s="9">
        <x:v>0</x:v>
      </x:c>
    </x:row>
    <x:row r="18" spans="1:6" x14ac:dyDescent="0.25">
      <x:c r="A18" s="6">
        <x:f t="shared" si="0"/>
        <x:v>9</x:v>
      </x:c>
      <x:c r="B18" t="s">
        <x:v>99</x:v>
      </x:c>
      <x:c r="C18">
        <x:v>-3685.5169999999998</x:v>
      </x:c>
      <x:c r="D18">
        <x:v>1258.6199999999999</x:v>
      </x:c>
      <x:c r="E18">
        <x:v>-2.9279999999999999</x:v>
      </x:c>
      <x:c r="F18" s="9">
        <x:v>3.5000000000000001E-3</x:v>
      </x:c>
    </x:row>
    <x:row r="19" spans="1:6" x14ac:dyDescent="0.25">
      <x:c r="A19" s="6">
        <x:f t="shared" si="0"/>
        <x:v>10</x:v>
      </x:c>
      <x:c r="B19" t="s">
        <x:v>100</x:v>
      </x:c>
      <x:c r="C19">
        <x:v>-5122.8999999999996</x:v>
      </x:c>
      <x:c r="D19">
        <x:v>585.524</x:v>
      </x:c>
      <x:c r="E19">
        <x:v>-8.7490000000000006</x:v>
      </x:c>
      <x:c r="F19" s="9">
        <x:v>0</x:v>
      </x:c>
    </x:row>
    <x:row r="20" spans="1:6" x14ac:dyDescent="0.25">
      <x:c r="A20" s="6">
        <x:f t="shared" si="0"/>
        <x:v>11</x:v>
      </x:c>
      <x:c r="B20" t="s">
        <x:v>101</x:v>
      </x:c>
      <x:c r="C20">
        <x:v>-7372.9650000000001</x:v>
      </x:c>
      <x:c r="D20">
        <x:v>654.30799999999999</x:v>
      </x:c>
      <x:c r="E20">
        <x:v>-11.268000000000001</x:v>
      </x:c>
      <x:c r="F20" s="9">
        <x:v>0</x:v>
      </x:c>
    </x:row>
    <x:row r="21" spans="1:6" x14ac:dyDescent="0.25">
      <x:c r="A21" s="6">
        <x:f t="shared" si="0"/>
        <x:v>12</x:v>
      </x:c>
      <x:c r="B21" t="s">
        <x:v>102</x:v>
      </x:c>
      <x:c r="C21">
        <x:v>-7157.4210000000003</x:v>
      </x:c>
      <x:c r="D21">
        <x:v>616.30899999999997</x:v>
      </x:c>
      <x:c r="E21">
        <x:v>-11.613</x:v>
      </x:c>
      <x:c r="F21" s="9">
        <x:v>0</x:v>
      </x:c>
    </x:row>
    <x:row r="22" spans="1:6" x14ac:dyDescent="0.25">
      <x:c r="A22" s="6">
        <x:f t="shared" si="0"/>
        <x:v>13</x:v>
      </x:c>
      <x:c r="B22" t="s">
        <x:v>103</x:v>
      </x:c>
      <x:c r="C22">
        <x:v>-7215.6139999999996</x:v>
      </x:c>
      <x:c r="D22">
        <x:v>619.351</x:v>
      </x:c>
      <x:c r="E22">
        <x:v>-11.65</x:v>
      </x:c>
      <x:c r="F22" s="9">
        <x:v>0</x:v>
      </x:c>
    </x:row>
    <x:row r="23" spans="1:6" x14ac:dyDescent="0.25">
      <x:c r="A23" s="6">
        <x:f t="shared" si="0"/>
        <x:v>14</x:v>
      </x:c>
      <x:c r="B23" t="s">
        <x:v>104</x:v>
      </x:c>
      <x:c r="C23">
        <x:v>-7804.1059999999998</x:v>
      </x:c>
      <x:c r="D23">
        <x:v>653.11800000000005</x:v>
      </x:c>
      <x:c r="E23">
        <x:v>-11.949</x:v>
      </x:c>
      <x:c r="F23" s="9">
        <x:v>0</x:v>
      </x:c>
    </x:row>
    <x:row r="24" spans="1:6" x14ac:dyDescent="0.25">
      <x:c r="A24" s="6">
        <x:f t="shared" si="0"/>
        <x:v>15</x:v>
      </x:c>
      <x:c r="B24" t="s">
        <x:v>105</x:v>
      </x:c>
      <x:c r="C24">
        <x:v>-3797.5549999999998</x:v>
      </x:c>
      <x:c r="D24">
        <x:v>574.65</x:v>
      </x:c>
      <x:c r="E24">
        <x:v>-6.6079999999999997</x:v>
      </x:c>
      <x:c r="F24" s="9">
        <x:v>0</x:v>
      </x:c>
    </x:row>
    <x:row r="25" spans="1:6" x14ac:dyDescent="0.25">
      <x:c r="A25" s="6">
        <x:f t="shared" si="0"/>
        <x:v>16</x:v>
      </x:c>
      <x:c r="B25" t="s">
        <x:v>106</x:v>
      </x:c>
      <x:c r="C25">
        <x:v>-5474.0209999999997</x:v>
      </x:c>
      <x:c r="D25">
        <x:v>3555.6309999999999</x:v>
      </x:c>
      <x:c r="E25">
        <x:v>-1.54</x:v>
      </x:c>
      <x:c r="F25" s="9">
        <x:v>0.124</x:v>
      </x:c>
    </x:row>
    <x:row r="26" spans="1:6" x14ac:dyDescent="0.25">
      <x:c r="A26" s="6">
        <x:f t="shared" si="0"/>
        <x:v>17</x:v>
      </x:c>
      <x:c r="B26" t="s">
        <x:v>107</x:v>
      </x:c>
      <x:c r="C26">
        <x:v>4062.7179999999998</x:v>
      </x:c>
      <x:c r="D26">
        <x:v>2920.1579999999999</x:v>
      </x:c>
      <x:c r="E26">
        <x:v>1.391</x:v>
      </x:c>
      <x:c r="F26" s="9">
        <x:v>0.16450000000000001</x:v>
      </x:c>
    </x:row>
    <x:row r="27" spans="1:6" x14ac:dyDescent="0.25">
      <x:c r="A27" s="6">
        <x:f t="shared" si="0"/>
        <x:v>18</x:v>
      </x:c>
      <x:c r="B27" t="s">
        <x:v>108</x:v>
      </x:c>
      <x:c r="C27">
        <x:v>10509.441000000001</x:v>
      </x:c>
      <x:c r="D27">
        <x:v>2869.3620000000001</x:v>
      </x:c>
      <x:c r="E27">
        <x:v>3.6629999999999998</x:v>
      </x:c>
      <x:c r="F27" s="9">
        <x:v>2.9999999999999997E-4</x:v>
      </x:c>
    </x:row>
    <x:row r="28" spans="1:6" x14ac:dyDescent="0.25">
      <x:c r="A28" s="6">
        <x:f t="shared" si="0"/>
        <x:v>19</x:v>
      </x:c>
      <x:c r="B28" t="s">
        <x:v>109</x:v>
      </x:c>
      <x:c r="C28">
        <x:v>5994.4759999999997</x:v>
      </x:c>
      <x:c r="D28">
        <x:v>2892.652</x:v>
      </x:c>
      <x:c r="E28">
        <x:v>2.0720000000000001</x:v>
      </x:c>
      <x:c r="F28" s="9">
        <x:v>3.85E-2</x:v>
      </x:c>
    </x:row>
    <x:row r="29" spans="1:6" x14ac:dyDescent="0.25">
      <x:c r="A29" s="6">
        <x:f t="shared" si="0"/>
        <x:v>20</x:v>
      </x:c>
      <x:c r="B29" t="s">
        <x:v>143</x:v>
      </x:c>
      <x:c r="C29">
        <x:v>5410.0720000000001</x:v>
      </x:c>
      <x:c r="D29">
        <x:v>2973.4789999999998</x:v>
      </x:c>
      <x:c r="E29">
        <x:v>1.819</x:v>
      </x:c>
      <x:c r="F29" s="9">
        <x:v>6.9099999999999995E-2</x:v>
      </x:c>
    </x:row>
    <x:row r="30" spans="1:6" x14ac:dyDescent="0.25">
      <x:c r="A30" s="6">
        <x:f t="shared" si="0"/>
        <x:v>21</x:v>
      </x:c>
      <x:c r="B30" t="s">
        <x:v>111</x:v>
      </x:c>
      <x:c r="C30">
        <x:v>7519.1880000000001</x:v>
      </x:c>
      <x:c r="D30">
        <x:v>2954.9250000000002</x:v>
      </x:c>
      <x:c r="E30">
        <x:v>2.5449999999999999</x:v>
      </x:c>
      <x:c r="F30" s="9">
        <x:v>1.11E-2</x:v>
      </x:c>
    </x:row>
    <x:row r="31" spans="1:6" x14ac:dyDescent="0.25">
      <x:c r="A31" s="6">
        <x:f t="shared" si="0"/>
        <x:v>22</x:v>
      </x:c>
      <x:c r="B31" t="s">
        <x:v>112</x:v>
      </x:c>
      <x:c r="C31">
        <x:v>5254.6710000000003</x:v>
      </x:c>
      <x:c r="D31">
        <x:v>3740.1350000000002</x:v>
      </x:c>
      <x:c r="E31">
        <x:v>1.405</x:v>
      </x:c>
      <x:c r="F31" s="9">
        <x:v>0.16039999999999999</x:v>
      </x:c>
    </x:row>
    <x:row r="32" spans="1:6" x14ac:dyDescent="0.25">
      <x:c r="A32" s="6">
        <x:f t="shared" si="0"/>
        <x:v>23</x:v>
      </x:c>
      <x:c r="B32" t="s">
        <x:v>114</x:v>
      </x:c>
      <x:c r="C32">
        <x:v>192.78100000000001</x:v>
      </x:c>
      <x:c r="D32">
        <x:v>102.94499999999999</x:v>
      </x:c>
      <x:c r="E32">
        <x:v>1.873</x:v>
      </x:c>
      <x:c r="F32" s="9">
        <x:v>6.1400000000000003E-2</x:v>
      </x:c>
    </x:row>
    <x:row r="33" spans="1:6" x14ac:dyDescent="0.25">
      <x:c r="A33" s="6">
        <x:f t="shared" si="0"/>
        <x:v>24</x:v>
      </x:c>
      <x:c r="B33" t="s">
        <x:v>39</x:v>
      </x:c>
      <x:c r="C33">
        <x:v>-8989.8799999999992</x:v>
      </x:c>
      <x:c r="D33">
        <x:v>1525.7090000000001</x:v>
      </x:c>
      <x:c r="E33">
        <x:v>-5.8920000000000003</x:v>
      </x:c>
      <x:c r="F33" s="9">
        <x:v>0</x:v>
      </x:c>
    </x:row>
    <x:row r="34" spans="1:6" x14ac:dyDescent="0.25">
      <x:c r="A34" s="6">
        <x:f t="shared" si="0"/>
        <x:v>25</x:v>
      </x:c>
      <x:c r="B34" t="s">
        <x:v>40</x:v>
      </x:c>
      <x:c r="C34">
        <x:v>-7354.3029999999999</x:v>
      </x:c>
      <x:c r="D34">
        <x:v>1612.942</x:v>
      </x:c>
      <x:c r="E34">
        <x:v>-4.5599999999999996</x:v>
      </x:c>
      <x:c r="F34" s="9">
        <x:v>0</x:v>
      </x:c>
    </x:row>
    <x:row r="35" spans="1:6" x14ac:dyDescent="0.25">
      <x:c r="A35" s="6">
        <x:f t="shared" si="0"/>
        <x:v>26</x:v>
      </x:c>
      <x:c r="B35" t="s">
        <x:v>42</x:v>
      </x:c>
      <x:c r="C35">
        <x:v>8115.585</x:v>
      </x:c>
      <x:c r="D35">
        <x:v>1762.739</x:v>
      </x:c>
      <x:c r="E35">
        <x:v>4.6040000000000001</x:v>
      </x:c>
      <x:c r="F35" s="9">
        <x:v>0</x:v>
      </x:c>
    </x:row>
    <x:row r="36" spans="1:6" x14ac:dyDescent="0.25">
      <x:c r="A36" s="6">
        <x:f t="shared" si="0"/>
        <x:v>27</x:v>
      </x:c>
      <x:c r="B36" t="s">
        <x:v>43</x:v>
      </x:c>
      <x:c r="C36">
        <x:v>10006.700000000001</x:v>
      </x:c>
      <x:c r="D36">
        <x:v>1969.105</x:v>
      </x:c>
      <x:c r="E36">
        <x:v>5.0819999999999999</x:v>
      </x:c>
      <x:c r="F36" s="9">
        <x:v>0</x:v>
      </x:c>
    </x:row>
    <x:row r="37" spans="1:6" x14ac:dyDescent="0.25">
      <x:c r="A37" s="6">
        <x:f t="shared" si="0"/>
        <x:v>28</x:v>
      </x:c>
      <x:c r="B37" t="s">
        <x:v>44</x:v>
      </x:c>
      <x:c r="C37">
        <x:v>10581.669</x:v>
      </x:c>
      <x:c r="D37">
        <x:v>1952.598</x:v>
      </x:c>
      <x:c r="E37">
        <x:v>5.4189999999999996</x:v>
      </x:c>
      <x:c r="F37" s="9">
        <x:v>0</x:v>
      </x:c>
    </x:row>
    <x:row r="38" spans="1:6" x14ac:dyDescent="0.25">
      <x:c r="A38" s="6">
        <x:f t="shared" si="0"/>
        <x:v>29</x:v>
      </x:c>
      <x:c r="B38" t="s">
        <x:v>45</x:v>
      </x:c>
      <x:c r="C38">
        <x:v>5150.63</x:v>
      </x:c>
      <x:c r="D38">
        <x:v>1826.7339999999999</x:v>
      </x:c>
      <x:c r="E38">
        <x:v>2.82</x:v>
      </x:c>
      <x:c r="F38" s="9">
        <x:v>4.8999999999999998E-3</x:v>
      </x:c>
    </x:row>
    <x:row r="39" spans="1:6" x14ac:dyDescent="0.25">
      <x:c r="A39" s="6">
        <x:f t="shared" si="0"/>
        <x:v>30</x:v>
      </x:c>
      <x:c r="B39" t="s">
        <x:v>52</x:v>
      </x:c>
      <x:c r="C39">
        <x:v>-4391.4939999999997</x:v>
      </x:c>
      <x:c r="D39">
        <x:v>1681.6410000000001</x:v>
      </x:c>
      <x:c r="E39">
        <x:v>-2.6110000000000002</x:v>
      </x:c>
      <x:c r="F39" s="9">
        <x:v>9.1000000000000004E-3</x:v>
      </x:c>
    </x:row>
    <x:row r="40" spans="1:6" x14ac:dyDescent="0.25">
      <x:c r="A40" s="6">
        <x:f t="shared" si="0"/>
        <x:v>31</x:v>
      </x:c>
      <x:c r="B40" t="s">
        <x:v>46</x:v>
      </x:c>
      <x:c r="C40">
        <x:v>-8881.85</x:v>
      </x:c>
      <x:c r="D40">
        <x:v>1661.92</x:v>
      </x:c>
      <x:c r="E40">
        <x:v>-5.3440000000000003</x:v>
      </x:c>
      <x:c r="F40" s="9">
        <x:v>0</x:v>
      </x:c>
    </x:row>
    <x:row r="41" spans="1:6" x14ac:dyDescent="0.25">
      <x:c r="A41" s="6">
        <x:f t="shared" si="0"/>
        <x:v>32</x:v>
      </x:c>
      <x:c r="B41" t="s">
        <x:v>47</x:v>
      </x:c>
      <x:c r="C41">
        <x:v>-5944.9970000000003</x:v>
      </x:c>
      <x:c r="D41">
        <x:v>2518.9409999999998</x:v>
      </x:c>
      <x:c r="E41">
        <x:v>-2.36</x:v>
      </x:c>
      <x:c r="F41" s="9">
        <x:v>1.84E-2</x:v>
      </x:c>
    </x:row>
    <x:row r="42" spans="1:6" x14ac:dyDescent="0.25">
      <x:c r="A42" s="6">
        <x:f t="shared" si="0"/>
        <x:v>33</x:v>
      </x:c>
      <x:c r="B42" t="s">
        <x:v>117</x:v>
      </x:c>
      <x:c r="C42">
        <x:v>2678.7350000000001</x:v>
      </x:c>
      <x:c r="D42">
        <x:v>168.42599999999999</x:v>
      </x:c>
      <x:c r="E42">
        <x:v>15.904</x:v>
      </x:c>
      <x:c r="F42" s="9">
        <x:v>0</x:v>
      </x:c>
    </x:row>
    <x:row r="43" spans="1:6" x14ac:dyDescent="0.25">
      <x:c r="A43" s="6">
        <x:f t="shared" si="0"/>
        <x:v>34</x:v>
      </x:c>
      <x:c r="B43" t="s">
        <x:v>118</x:v>
      </x:c>
      <x:c r="C43">
        <x:v>1637.5029999999999</x:v>
      </x:c>
      <x:c r="D43">
        <x:v>274.42899999999997</x:v>
      </x:c>
      <x:c r="E43">
        <x:v>5.9669999999999996</x:v>
      </x:c>
      <x:c r="F43" s="9">
        <x:v>0</x:v>
      </x:c>
    </x:row>
    <x:row r="44" spans="1:6" x14ac:dyDescent="0.25">
      <x:c r="A44" s="6">
        <x:f t="shared" si="0"/>
        <x:v>35</x:v>
      </x:c>
      <x:c r="B44" t="s">
        <x:v>119</x:v>
      </x:c>
      <x:c r="C44">
        <x:v>895.30499999999995</x:v>
      </x:c>
      <x:c r="D44">
        <x:v>372.71100000000001</x:v>
      </x:c>
      <x:c r="E44">
        <x:v>2.4020000000000001</x:v>
      </x:c>
      <x:c r="F44" s="9">
        <x:v>1.6500000000000001E-2</x:v>
      </x:c>
    </x:row>
    <x:row r="45" spans="1:6" x14ac:dyDescent="0.25">
      <x:c r="A45" s="6">
        <x:f t="shared" si="0"/>
        <x:v>36</x:v>
      </x:c>
      <x:c r="B45" t="s">
        <x:v>120</x:v>
      </x:c>
      <x:c r="C45">
        <x:v>533.50400000000002</x:v>
      </x:c>
      <x:c r="D45">
        <x:v>215.48099999999999</x:v>
      </x:c>
      <x:c r="E45">
        <x:v>2.476</x:v>
      </x:c>
      <x:c r="F45" s="9">
        <x:v>1.34E-2</x:v>
      </x:c>
    </x:row>
    <x:row r="46" spans="1:6" x14ac:dyDescent="0.25">
      <x:c r="A46" s="6">
        <x:f t="shared" si="0"/>
        <x:v>37</x:v>
      </x:c>
      <x:c r="B46" t="s">
        <x:v>121</x:v>
      </x:c>
      <x:c r="C46" s="21">
        <x:v>1652.3579999999999</x:v>
      </x:c>
      <x:c r="D46">
        <x:v>217.51</x:v>
      </x:c>
      <x:c r="E46" s="21">
        <x:v>7.5970000000000004</x:v>
      </x:c>
      <x:c r="F46" s="9">
        <x:v>0</x:v>
      </x:c>
    </x:row>
    <x:row r="47" spans="1:6" x14ac:dyDescent="0.25">
      <x:c r="A47" s="6">
        <x:f t="shared" si="0"/>
        <x:v>38</x:v>
      </x:c>
      <x:c r="B47" t="s">
        <x:v>122</x:v>
      </x:c>
      <x:c r="C47" s="21">
        <x:v>1406.229</x:v>
      </x:c>
      <x:c r="D47">
        <x:v>388.47699999999998</x:v>
      </x:c>
      <x:c r="E47" s="21">
        <x:v>3.62</x:v>
      </x:c>
      <x:c r="F47" s="9">
        <x:v>2.9999999999999997E-4</x:v>
      </x:c>
    </x:row>
    <x:row r="48" spans="1:6" x14ac:dyDescent="0.25">
      <x:c r="A48" s="6">
        <x:f t="shared" si="0"/>
        <x:v>39</x:v>
      </x:c>
      <x:c r="B48" t="s">
        <x:v>123</x:v>
      </x:c>
      <x:c r="C48" s="21">
        <x:v>2267.92</x:v>
      </x:c>
      <x:c r="D48">
        <x:v>392.35599999999999</x:v>
      </x:c>
      <x:c r="E48" s="21">
        <x:v>5.78</x:v>
      </x:c>
      <x:c r="F48" s="9">
        <x:v>0</x:v>
      </x:c>
    </x:row>
    <x:row r="49" spans="1:11" x14ac:dyDescent="0.25">
      <x:c r="A49" s="6">
        <x:f t="shared" si="0"/>
        <x:v>40</x:v>
      </x:c>
      <x:c r="B49" t="s">
        <x:v>124</x:v>
      </x:c>
      <x:c r="C49" s="21">
        <x:v>412.01</x:v>
      </x:c>
      <x:c r="D49">
        <x:v>298.32</x:v>
      </x:c>
      <x:c r="E49" s="21">
        <x:v>1.381</x:v>
      </x:c>
      <x:c r="F49" s="9">
        <x:v>0.1676</x:v>
      </x:c>
    </x:row>
    <x:row r="50" spans="1:11" x14ac:dyDescent="0.25">
      <x:c r="A50" s="6">
        <x:f t="shared" si="0"/>
        <x:v>41</x:v>
      </x:c>
      <x:c r="B50" t="s">
        <x:v>115</x:v>
      </x:c>
      <x:c r="C50" s="21">
        <x:v>-85712.551999999996</x:v>
      </x:c>
      <x:c r="D50">
        <x:v>6736.5039999999999</x:v>
      </x:c>
      <x:c r="E50" s="21">
        <x:v>-12.724</x:v>
      </x:c>
      <x:c r="F50" s="9">
        <x:v>0</x:v>
      </x:c>
      <x:c r="H50" s="21"/>
      <x:c r="I50" s="21"/>
      <x:c r="J50" s="21"/>
      <x:c r="K50" s="21"/>
    </x:row>
    <x:row r="51" spans="1:11" x14ac:dyDescent="0.25">
      <x:c r="A51" s="6">
        <x:f t="shared" si="0"/>
        <x:v>42</x:v>
      </x:c>
      <x:c r="B51" s="27" t="s">
        <x:v>116</x:v>
      </x:c>
      <x:c r="C51" s="21">
        <x:v>-74196.543999999994</x:v>
      </x:c>
      <x:c r="D51">
        <x:v>5748.9409999999998</x:v>
      </x:c>
      <x:c r="E51" s="21">
        <x:v>-12.906000000000001</x:v>
      </x:c>
      <x:c r="F51" s="9">
        <x:v>0</x:v>
      </x:c>
      <x:c r="H51" s="21"/>
      <x:c r="I51" s="21"/>
      <x:c r="J51" s="21"/>
      <x:c r="K51" s="21"/>
    </x:row>
    <x:row r="52" spans="1:11" x14ac:dyDescent="0.25">
      <x:c r="A52" s="6">
        <x:f t="shared" si="0"/>
        <x:v>43</x:v>
      </x:c>
      <x:c r="B52" s="27" t="s">
        <x:v>125</x:v>
      </x:c>
      <x:c r="C52" s="21">
        <x:v>0.49199999999999999</x:v>
      </x:c>
      <x:c r="D52">
        <x:v>3.2000000000000001E-2</x:v>
      </x:c>
      <x:c r="E52" s="21">
        <x:v>15.535</x:v>
      </x:c>
      <x:c r="F52" s="9">
        <x:v>0</x:v>
      </x:c>
      <x:c r="H52" s="21"/>
      <x:c r="I52" s="21"/>
      <x:c r="J52" s="21"/>
      <x:c r="K52" s="21"/>
    </x:row>
    <x:row r="53" spans="1:11" x14ac:dyDescent="0.25">
      <x:c r="A53" s="6">
        <x:f t="shared" si="0"/>
        <x:v>44</x:v>
      </x:c>
      <x:c r="B53" s="27" t="s">
        <x:v>126</x:v>
      </x:c>
      <x:c r="C53" s="21">
        <x:v>0.16200000000000001</x:v>
      </x:c>
      <x:c r="D53">
        <x:v>3.5000000000000003E-2</x:v>
      </x:c>
      <x:c r="E53" s="21">
        <x:v>4.6029999999999998</x:v>
      </x:c>
      <x:c r="F53" s="9">
        <x:v>0</x:v>
      </x:c>
      <x:c r="H53" s="21"/>
      <x:c r="I53" s="21"/>
      <x:c r="J53" s="21"/>
      <x:c r="K53" s="21"/>
    </x:row>
    <x:row r="54" spans="1:11" x14ac:dyDescent="0.25">
      <x:c r="A54" s="6">
        <x:f t="shared" si="0"/>
        <x:v>45</x:v>
      </x:c>
      <x:c r="B54" s="27" t="s">
        <x:v>127</x:v>
      </x:c>
      <x:c r="C54" s="21">
        <x:v>0.17199999999999999</x:v>
      </x:c>
      <x:c r="D54">
        <x:v>3.5000000000000003E-2</x:v>
      </x:c>
      <x:c r="E54" s="21">
        <x:v>4.8449999999999998</x:v>
      </x:c>
      <x:c r="F54" s="9">
        <x:v>0</x:v>
      </x:c>
      <x:c r="H54" s="21"/>
      <x:c r="I54" s="21"/>
      <x:c r="J54" s="21"/>
      <x:c r="K54" s="21"/>
    </x:row>
    <x:row r="55" spans="1:11" x14ac:dyDescent="0.25">
      <x:c r="A55" s="6">
        <x:f t="shared" si="0"/>
        <x:v>46</x:v>
      </x:c>
      <x:c r="B55" s="27" t="s">
        <x:v>128</x:v>
      </x:c>
      <x:c r="C55" s="21">
        <x:v>0.13600000000000001</x:v>
      </x:c>
      <x:c r="D55">
        <x:v>3.5999999999999997E-2</x:v>
      </x:c>
      <x:c r="E55" s="21">
        <x:v>3.7570000000000001</x:v>
      </x:c>
      <x:c r="F55" s="9">
        <x:v>2.0000000000000001E-4</x:v>
      </x:c>
    </x:row>
    <x:row r="56" spans="1:11" x14ac:dyDescent="0.25">
      <x:c r="A56" s="6">
        <x:f t="shared" si="0"/>
        <x:v>47</x:v>
      </x:c>
      <x:c r="B56" s="27" t="s">
        <x:v>129</x:v>
      </x:c>
      <x:c r="C56" s="21">
        <x:v>0.121</x:v>
      </x:c>
      <x:c r="D56">
        <x:v>3.5999999999999997E-2</x:v>
      </x:c>
      <x:c r="E56" s="21">
        <x:v>3.32</x:v>
      </x:c>
      <x:c r="F56" s="9">
        <x:v>8.9999999999999998E-4</x:v>
      </x:c>
    </x:row>
    <x:row r="57" spans="1:11" x14ac:dyDescent="0.25">
      <x:c r="A57" s="6">
        <x:f t="shared" si="0"/>
        <x:v>48</x:v>
      </x:c>
      <x:c r="B57" s="27" t="s">
        <x:v>130</x:v>
      </x:c>
      <x:c r="C57" s="21">
        <x:v>0.104</x:v>
      </x:c>
      <x:c r="D57">
        <x:v>3.6999999999999998E-2</x:v>
      </x:c>
      <x:c r="E57" s="21">
        <x:v>2.8519999999999999</x:v>
      </x:c>
      <x:c r="F57" s="9">
        <x:v>4.4000000000000003E-3</x:v>
      </x:c>
    </x:row>
    <x:row r="58" spans="1:11" x14ac:dyDescent="0.25">
      <x:c r="A58" s="6">
        <x:f t="shared" si="0"/>
        <x:v>49</x:v>
      </x:c>
      <x:c r="B58" s="27" t="s">
        <x:v>131</x:v>
      </x:c>
      <x:c r="C58" s="21">
        <x:v>9.9000000000000005E-2</x:v>
      </x:c>
      <x:c r="D58">
        <x:v>3.6999999999999998E-2</x:v>
      </x:c>
      <x:c r="E58" s="21">
        <x:v>2.7130000000000001</x:v>
      </x:c>
      <x:c r="F58" s="9">
        <x:v>6.7999999999999996E-3</x:v>
      </x:c>
    </x:row>
    <x:row r="59" spans="1:11" x14ac:dyDescent="0.25">
      <x:c r="A59" s="6">
        <x:f t="shared" si="0"/>
        <x:v>50</x:v>
      </x:c>
      <x:c r="B59" s="27" t="s">
        <x:v>132</x:v>
      </x:c>
      <x:c r="C59" s="21">
        <x:v>5.8999999999999997E-2</x:v>
      </x:c>
      <x:c r="D59">
        <x:v>3.6999999999999998E-2</x:v>
      </x:c>
      <x:c r="E59" s="21">
        <x:v>1.6080000000000001</x:v>
      </x:c>
      <x:c r="F59" s="9">
        <x:v>0.1081</x:v>
      </x:c>
    </x:row>
    <x:row r="60" spans="1:11" x14ac:dyDescent="0.25">
      <x:c r="A60" s="6">
        <x:f t="shared" si="0"/>
        <x:v>51</x:v>
      </x:c>
      <x:c r="B60" s="27" t="s">
        <x:v>133</x:v>
      </x:c>
      <x:c r="C60" s="21">
        <x:v>7.4999999999999997E-2</x:v>
      </x:c>
      <x:c r="D60">
        <x:v>3.6999999999999998E-2</x:v>
      </x:c>
      <x:c r="E60" s="21">
        <x:v>2.044</x:v>
      </x:c>
      <x:c r="F60" s="9">
        <x:v>4.1200000000000001E-2</x:v>
      </x:c>
    </x:row>
    <x:row r="61" spans="1:11" x14ac:dyDescent="0.25">
      <x:c r="A61" s="6">
        <x:f t="shared" si="0"/>
        <x:v>52</x:v>
      </x:c>
      <x:c r="B61" s="27" t="s">
        <x:v>134</x:v>
      </x:c>
      <x:c r="C61" s="21">
        <x:v>0.108</x:v>
      </x:c>
      <x:c r="D61">
        <x:v>3.6999999999999998E-2</x:v>
      </x:c>
      <x:c r="E61" s="21">
        <x:v>2.9460000000000002</x:v>
      </x:c>
      <x:c r="F61" s="9">
        <x:v>3.3E-3</x:v>
      </x:c>
    </x:row>
    <x:row r="62" spans="1:11" x14ac:dyDescent="0.25">
      <x:c r="A62" s="6">
        <x:f t="shared" si="0"/>
        <x:v>53</x:v>
      </x:c>
      <x:c r="B62" s="27" t="s">
        <x:v>135</x:v>
      </x:c>
      <x:c r="C62" s="21">
        <x:v>7.0000000000000007E-2</x:v>
      </x:c>
      <x:c r="D62">
        <x:v>3.6999999999999998E-2</x:v>
      </x:c>
      <x:c r="E62" s="21">
        <x:v>1.9059999999999999</x:v>
      </x:c>
      <x:c r="F62" s="9">
        <x:v>5.6899999999999999E-2</x:v>
      </x:c>
    </x:row>
    <x:row r="63" spans="1:11" x14ac:dyDescent="0.25">
      <x:c r="A63" s="6">
        <x:f t="shared" si="0"/>
        <x:v>54</x:v>
      </x:c>
      <x:c r="B63" s="27" t="s">
        <x:v>136</x:v>
      </x:c>
      <x:c r="C63" s="21">
        <x:v>3.6999999999999998E-2</x:v>
      </x:c>
      <x:c r="D63">
        <x:v>3.6999999999999998E-2</x:v>
      </x:c>
      <x:c r="E63" s="21">
        <x:v>0.995</x:v>
      </x:c>
      <x:c r="F63" s="9">
        <x:v>0.31979999999999997</x:v>
      </x:c>
    </x:row>
    <x:row r="64" spans="1:11" x14ac:dyDescent="0.25">
      <x:c r="A64" s="6">
        <x:f t="shared" si="0"/>
        <x:v>55</x:v>
      </x:c>
      <x:c r="B64" s="27" t="s">
        <x:v>137</x:v>
      </x:c>
      <x:c r="C64" s="21">
        <x:v>-3.1E-2</x:v>
      </x:c>
      <x:c r="D64">
        <x:v>3.6999999999999998E-2</x:v>
      </x:c>
      <x:c r="E64" s="21">
        <x:v>-0.84899999999999998</x:v>
      </x:c>
      <x:c r="F64" s="9">
        <x:v>0.39600000000000002</x:v>
      </x:c>
    </x:row>
    <x:row r="65" spans="1:13" x14ac:dyDescent="0.25">
      <x:c r="A65" s="6">
        <x:f t="shared" si="0"/>
        <x:v>56</x:v>
      </x:c>
      <x:c r="B65" s="27" t="s">
        <x:v>138</x:v>
      </x:c>
      <x:c r="C65" s="21">
        <x:v>1.7999999999999999E-2</x:v>
      </x:c>
      <x:c r="D65">
        <x:v>3.6999999999999998E-2</x:v>
      </x:c>
      <x:c r="E65" s="21">
        <x:v>0.48599999999999999</x:v>
      </x:c>
      <x:c r="F65" s="9">
        <x:v>0.62719999999999998</x:v>
      </x:c>
    </x:row>
    <x:row r="66" spans="1:13" x14ac:dyDescent="0.25">
      <x:c r="A66" s="6">
        <x:f t="shared" si="0"/>
        <x:v>57</x:v>
      </x:c>
      <x:c r="B66" s="27" t="s">
        <x:v>139</x:v>
      </x:c>
      <x:c r="C66" s="21">
        <x:v>5.0999999999999997E-2</x:v>
      </x:c>
      <x:c r="D66">
        <x:v>3.6999999999999998E-2</x:v>
      </x:c>
      <x:c r="E66" s="21">
        <x:v>1.3859999999999999</x:v>
      </x:c>
      <x:c r="F66" s="9">
        <x:v>0.16600000000000001</x:v>
      </x:c>
    </x:row>
    <x:row r="67" spans="1:13" x14ac:dyDescent="0.25">
      <x:c r="A67" s="6">
        <x:f t="shared" si="0"/>
        <x:v>58</x:v>
      </x:c>
      <x:c r="B67" s="27" t="s">
        <x:v>150</x:v>
      </x:c>
      <x:c r="C67" s="21">
        <x:v>1E-3</x:v>
      </x:c>
      <x:c r="D67">
        <x:v>3.6999999999999998E-2</x:v>
      </x:c>
      <x:c r="E67" s="21">
        <x:v>2.1000000000000001E-2</x:v>
      </x:c>
      <x:c r="F67" s="9">
        <x:v>0.9829</x:v>
      </x:c>
    </x:row>
    <x:row r="68" spans="1:13" x14ac:dyDescent="0.25">
      <x:c r="A68" s="6">
        <x:f t="shared" si="0"/>
        <x:v>59</x:v>
      </x:c>
      <x:c r="B68" s="27" t="s">
        <x:v>151</x:v>
      </x:c>
      <x:c r="C68" s="21">
        <x:v>3.0000000000000001E-3</x:v>
      </x:c>
      <x:c r="D68">
        <x:v>3.6999999999999998E-2</x:v>
      </x:c>
      <x:c r="E68" s="21">
        <x:v>8.5999999999999993E-2</x:v>
      </x:c>
      <x:c r="F68" s="9">
        <x:v>0.93159999999999998</x:v>
      </x:c>
    </x:row>
    <x:row r="69" spans="1:13" x14ac:dyDescent="0.25">
      <x:c r="A69" s="6">
        <x:f t="shared" si="0"/>
        <x:v>60</x:v>
      </x:c>
      <x:c r="B69" s="27" t="s">
        <x:v>152</x:v>
      </x:c>
      <x:c r="C69" s="21">
        <x:v>0.03</x:v>
      </x:c>
      <x:c r="D69">
        <x:v>3.6999999999999998E-2</x:v>
      </x:c>
      <x:c r="E69" s="21">
        <x:v>0.81399999999999995</x:v>
      </x:c>
      <x:c r="F69" s="9">
        <x:v>0.41610000000000003</x:v>
      </x:c>
    </x:row>
    <x:row r="70" spans="1:13" x14ac:dyDescent="0.25">
      <x:c r="A70" s="6">
        <x:f t="shared" si="0"/>
        <x:v>61</x:v>
      </x:c>
      <x:c r="B70" s="27" t="s">
        <x:v>153</x:v>
      </x:c>
      <x:c r="C70" s="21">
        <x:v>3.5999999999999997E-2</x:v>
      </x:c>
      <x:c r="D70">
        <x:v>3.5999999999999997E-2</x:v>
      </x:c>
      <x:c r="E70" s="21">
        <x:v>1.016</x:v>
      </x:c>
      <x:c r="F70" s="9">
        <x:v>0.30980000000000002</x:v>
      </x:c>
    </x:row>
    <x:row r="71" spans="1:13" x14ac:dyDescent="0.25">
      <x:c r="A71" s="6">
        <x:f t="shared" si="0"/>
        <x:v>62</x:v>
      </x:c>
      <x:c r="B71" s="27" t="s">
        <x:v>154</x:v>
      </x:c>
      <x:c r="C71" s="21">
        <x:v>-6.7000000000000004E-2</x:v>
      </x:c>
      <x:c r="D71">
        <x:v>3.2000000000000001E-2</x:v>
      </x:c>
      <x:c r="E71" s="21">
        <x:v>-2.1150000000000002</x:v>
      </x:c>
      <x:c r="F71" s="9">
        <x:v>3.4599999999999999E-2</x:v>
      </x:c>
    </x:row>
    <x:row r="72" spans="1:13" x14ac:dyDescent="0.25">
      <x:c r="A72" s="6">
        <x:f t="shared" si="0"/>
        <x:v>63</x:v>
      </x:c>
    </x:row>
    <x:row r="73" spans="1:13" x14ac:dyDescent="0.25">
      <x:c r="A73" s="6">
        <x:f t="shared" si="0"/>
        <x:v>64</x:v>
      </x:c>
      <x:c r="B73" s="30" t="s">
        <x:v>90</x:v>
      </x:c>
    </x:row>
    <x:row r="74" spans="1:13" x14ac:dyDescent="0.25">
      <x:c r="A74" s="6">
        <x:f t="shared" si="0"/>
        <x:v>65</x:v>
      </x:c>
      <x:c r="B74" s="28" t="s">
        <x:v>30</x:v>
      </x:c>
      <x:c r="C74" s="15">
        <x:v>1095</x:v>
      </x:c>
      <x:c r="H74" s="21"/>
      <x:c r="L74" s="28"/>
      <x:c r="M74" s="15"/>
    </x:row>
    <x:row r="75" spans="1:13" x14ac:dyDescent="0.25">
      <x:c r="A75" s="6">
        <x:f t="shared" si="0"/>
        <x:v>66</x:v>
      </x:c>
      <x:c r="B75" s="28" t="s">
        <x:v>10</x:v>
      </x:c>
      <x:c r="C75" s="15">
        <x:v>1040</x:v>
      </x:c>
      <x:c r="F75" s="9"/>
      <x:c r="H75" s="21"/>
      <x:c r="L75" s="28"/>
      <x:c r="M75" s="15"/>
    </x:row>
    <x:row r="76" spans="1:13" x14ac:dyDescent="0.25">
      <x:c r="A76" s="6">
        <x:f t="shared" si="0"/>
        <x:v>67</x:v>
      </x:c>
      <x:c r="B76" s="28" t="s">
        <x:v>12</x:v>
      </x:c>
      <x:c r="C76" s="21">
        <x:v>0.98599999999999999</x:v>
      </x:c>
      <x:c r="F76" s="9"/>
      <x:c r="H76" s="21"/>
      <x:c r="L76" s="28"/>
      <x:c r="M76" s="21"/>
    </x:row>
    <x:row r="77" spans="1:13" x14ac:dyDescent="0.25">
      <x:c r="A77" s="6">
        <x:f t="shared" si="0"/>
        <x:v>68</x:v>
      </x:c>
      <x:c r="B77" s="28" t="s">
        <x:v>13</x:v>
      </x:c>
      <x:c r="C77" s="21">
        <x:v>0.98599999999999999</x:v>
      </x:c>
      <x:c r="F77" s="9"/>
      <x:c r="H77" s="21"/>
      <x:c r="L77" s="28"/>
      <x:c r="M77" s="21"/>
    </x:row>
    <x:row r="78" spans="1:13" x14ac:dyDescent="0.25">
      <x:c r="A78" s="6">
        <x:f t="shared" si="0"/>
        <x:v>69</x:v>
      </x:c>
      <x:c r="B78" t="s">
        <x:v>15</x:v>
      </x:c>
      <x:c r="C78" s="15">
        <x:v>1390.5070000000001</x:v>
      </x:c>
      <x:c r="F78" s="9"/>
      <x:c r="H78" s="21"/>
      <x:c r="L78" s="28"/>
      <x:c r="M78" s="15"/>
    </x:row>
    <x:row r="79" spans="1:13" x14ac:dyDescent="0.25">
      <x:c r="A79" s="6">
        <x:f t="shared" si="0"/>
        <x:v>70</x:v>
      </x:c>
      <x:c r="B79" t="s">
        <x:v>16</x:v>
      </x:c>
      <x:c r="C79" s="34">
        <x:v>0</x:v>
      </x:c>
      <x:c r="F79" s="9"/>
      <x:c r="H79" s="21"/>
      <x:c r="L79" s="28"/>
      <x:c r="M79" s="22"/>
    </x:row>
    <x:row r="80" spans="1:13" x14ac:dyDescent="0.25">
      <x:c r="A80" s="6">
        <x:f t="shared" si="0"/>
        <x:v>71</x:v>
      </x:c>
      <x:c r="B80" t="s">
        <x:v>17</x:v>
      </x:c>
      <x:c r="C80" s="20">
        <x:v>2314391879024.21</x:v>
      </x:c>
      <x:c r="H80" s="21"/>
      <x:c r="L80" s="28"/>
      <x:c r="M80" s="15"/>
    </x:row>
    <x:row r="81" spans="1:13" x14ac:dyDescent="0.25">
      <x:c r="A81" s="6">
        <x:f t="shared" si="0"/>
        <x:v>72</x:v>
      </x:c>
      <x:c r="B81" t="s">
        <x:v>18</x:v>
      </x:c>
      <x:c r="C81" s="20">
        <x:v>32055549772.369999</x:v>
      </x:c>
      <x:c r="F81" s="9"/>
      <x:c r="H81" s="21"/>
      <x:c r="L81" s="28"/>
      <x:c r="M81" s="15"/>
    </x:row>
    <x:row r="82" spans="1:13" x14ac:dyDescent="0.25">
      <x:c r="A82" s="6">
        <x:f t="shared" si="0"/>
        <x:v>73</x:v>
      </x:c>
      <x:c r="B82" t="s">
        <x:v>19</x:v>
      </x:c>
      <x:c r="C82" s="20">
        <x:v>30822644.010000002</x:v>
      </x:c>
      <x:c r="F82" s="9"/>
      <x:c r="H82" s="21"/>
      <x:c r="L82" s="28"/>
      <x:c r="M82" s="15"/>
    </x:row>
    <x:row r="83" spans="1:13" x14ac:dyDescent="0.25">
      <x:c r="A83" s="6">
        <x:f t="shared" si="0"/>
        <x:v>74</x:v>
      </x:c>
      <x:c r="B83" t="s">
        <x:v>20</x:v>
      </x:c>
      <x:c r="C83" s="25">
        <x:v>5551.81</x:v>
      </x:c>
      <x:c r="F83" s="9"/>
      <x:c r="H83" s="21"/>
      <x:c r="L83" s="28"/>
      <x:c r="M83" s="25"/>
    </x:row>
    <x:row r="84" spans="1:13" x14ac:dyDescent="0.25">
      <x:c r="A84" s="6">
        <x:f t="shared" ref="A84:A88" si="1">+A83+1</x:f>
        <x:v>75</x:v>
      </x:c>
      <x:c r="B84" t="s">
        <x:v>9</x:v>
      </x:c>
      <x:c r="C84" s="25">
        <x:v>4084.7</x:v>
      </x:c>
      <x:c r="H84" s="21"/>
      <x:c r="L84" s="28"/>
      <x:c r="M84" s="25"/>
    </x:row>
    <x:row r="85" spans="1:13" x14ac:dyDescent="0.25">
      <x:c r="A85" s="6">
        <x:f t="shared" si="1"/>
        <x:v>76</x:v>
      </x:c>
      <x:c r="B85" t="s">
        <x:v>11</x:v>
      </x:c>
      <x:c r="C85" s="9">
        <x:v>3.5999999999999997E-2</x:v>
      </x:c>
      <x:c r="H85" s="21"/>
      <x:c r="M85" s="9"/>
    </x:row>
    <x:row r="86" spans="1:13" x14ac:dyDescent="0.25">
      <x:c r="A86" s="6">
        <x:f t="shared" si="1"/>
        <x:v>77</x:v>
      </x:c>
      <x:c r="B86" t="s">
        <x:v>14</x:v>
      </x:c>
      <x:c r="C86">
        <x:v>1.9910000000000001</x:v>
      </x:c>
      <x:c r="H86" s="21"/>
    </x:row>
    <x:row r="87" spans="1:13" x14ac:dyDescent="0.25">
      <x:c r="A87" s="6">
        <x:f t="shared" si="1"/>
        <x:v>78</x:v>
      </x:c>
      <x:c r="B87" t="s">
        <x:v>21</x:v>
      </x:c>
      <x:c r="C87">
        <x:v>5.38</x:v>
      </x:c>
      <x:c r="H87" s="21"/>
    </x:row>
    <x:row r="88" spans="1:13" x14ac:dyDescent="0.25">
      <x:c r="A88" s="6">
        <x:f t="shared" si="1"/>
        <x:v>79</x:v>
      </x:c>
      <x:c r="B88" t="s">
        <x:v>22</x:v>
      </x:c>
      <x:c r="C88" s="18">
        <x:v>1</x:v>
      </x:c>
      <x:c r="H88" s="21"/>
    </x:row>
  </x:sheetData>
  <x:mergeCells count="6">
    <x:mergeCell ref="B8:F8"/>
    <x:mergeCell ref="B1:F1"/>
    <x:mergeCell ref="B2:F2"/>
    <x:mergeCell ref="B3:F3"/>
    <x:mergeCell ref="B4:F4"/>
    <x:mergeCell ref="B6:F6"/>
  </x:mergeCells>
  <x:printOptions horizontalCentered="1"/>
  <x:pageMargins left="0.83" right="0.53" top="1.5" bottom="1" header="1" footer="0.5"/>
  <x:pageSetup scale="56" orientation="portrait" r:id="rId1"/>
  <x:headerFooter scaleWithDoc="0" alignWithMargins="0">
    <x:oddHeader>&amp;RWP/II-H-5.2/6
Page &amp;P of 20</x:oddHead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2EDFA3F-DB54-4DBE-A9CE-4E4B25410844}" mc:Ignorable="x14ac xr xr2 xr3">
  <x:sheetPr>
    <x:pageSetUpPr fitToPage="1"/>
  </x:sheetPr>
  <x:dimension ref="A1:J45"/>
  <x:sheetViews>
    <x:sheetView zoomScaleNormal="100" workbookViewId="0">
      <x:selection activeCell="K13" sqref="K13"/>
    </x:sheetView>
  </x:sheetViews>
  <x:sheetFormatPr defaultRowHeight="13.2" x14ac:dyDescent="0.25"/>
  <x:cols>
    <x:col min="1" max="1" width="9.5546875" customWidth="1"/>
    <x:col min="2" max="2" width="26.88671875" bestFit="1" customWidth="1"/>
    <x:col min="3" max="3" width="14.109375" customWidth="1"/>
    <x:col min="4" max="4" width="12.44140625" customWidth="1"/>
    <x:col min="5" max="5" width="11.109375" customWidth="1"/>
    <x:col min="6" max="6" width="11" customWidth="1"/>
    <x:col min="7" max="7" width="9.5546875" customWidth="1"/>
  </x:cols>
  <x:sheetData>
    <x:row r="1" spans="1:10" s="1" customFormat="1" ht="15.6" x14ac:dyDescent="0.3">
      <x:c r="A1" s="6"/>
      <x:c r="B1" s="43" t="s">
        <x:v>140</x:v>
      </x:c>
      <x:c r="C1" s="44"/>
      <x:c r="D1" s="44"/>
      <x:c r="E1" s="44"/>
      <x:c r="F1" s="44"/>
      <x:c r="G1" s="44"/>
      <x:c r="H1" s="44"/>
      <x:c r="I1" s="44"/>
      <x:c r="J1" s="39"/>
    </x:row>
    <x:row r="2" spans="1:10" s="1" customFormat="1" ht="15.6" x14ac:dyDescent="0.3">
      <x:c r="A2" s="6"/>
      <x:c r="B2" s="43" t="s">
        <x:v>88</x:v>
      </x:c>
      <x:c r="C2" s="44"/>
      <x:c r="D2" s="44"/>
      <x:c r="E2" s="44"/>
      <x:c r="F2" s="44"/>
      <x:c r="G2" s="44"/>
      <x:c r="H2" s="44"/>
      <x:c r="I2" s="44"/>
      <x:c r="J2" s="39"/>
    </x:row>
    <x:row r="3" spans="1:10" s="1" customFormat="1" ht="15.6" x14ac:dyDescent="0.3">
      <x:c r="A3" s="6"/>
      <x:c r="B3" s="43" t="s">
        <x:v>89</x:v>
      </x:c>
      <x:c r="C3" s="44"/>
      <x:c r="D3" s="44"/>
      <x:c r="E3" s="44"/>
      <x:c r="F3" s="44"/>
      <x:c r="G3" s="44"/>
      <x:c r="H3" s="44"/>
      <x:c r="I3" s="44"/>
      <x:c r="J3" s="39"/>
    </x:row>
    <x:row r="4" spans="1:10" s="1" customFormat="1" ht="15.6" x14ac:dyDescent="0.3">
      <x:c r="A4" s="6"/>
      <x:c r="B4" s="43" t="s">
        <x:v>98</x:v>
      </x:c>
      <x:c r="C4" s="44"/>
      <x:c r="D4" s="44"/>
      <x:c r="E4" s="44"/>
      <x:c r="F4" s="44"/>
      <x:c r="G4" s="44"/>
      <x:c r="H4" s="44"/>
      <x:c r="I4" s="44"/>
      <x:c r="J4" s="39"/>
    </x:row>
    <x:row r="5" spans="1:10" s="1" customFormat="1" ht="11.4" x14ac:dyDescent="0.2">
      <x:c r="A5" s="6"/>
      <x:c r="B5" s="40"/>
      <x:c r="C5" s="40"/>
      <x:c r="D5" s="40"/>
      <x:c r="E5" s="40"/>
      <x:c r="F5" s="40"/>
      <x:c r="G5" s="40"/>
      <x:c r="H5" s="40"/>
      <x:c r="I5" s="40"/>
      <x:c r="J5" s="40"/>
    </x:row>
    <x:row r="6" spans="1:10" s="1" customFormat="1" ht="15.6" x14ac:dyDescent="0.3">
      <x:c r="A6" s="6"/>
      <x:c r="B6" s="43" t="s">
        <x:v>64</x:v>
      </x:c>
      <x:c r="C6" s="44"/>
      <x:c r="D6" s="44"/>
      <x:c r="E6" s="44"/>
      <x:c r="F6" s="44"/>
      <x:c r="G6" s="44"/>
      <x:c r="H6" s="44"/>
      <x:c r="I6" s="44"/>
      <x:c r="J6" s="39"/>
    </x:row>
    <x:row r="8" spans="1:10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10" s="1" customFormat="1" ht="11.4" x14ac:dyDescent="0.2">
      <x:c r="A9" s="7" t="s">
        <x:v>24</x:v>
      </x:c>
      <x:c r="B9" s="8"/>
      <x:c r="C9" s="8"/>
      <x:c r="D9" s="8"/>
      <x:c r="E9" s="8"/>
      <x:c r="F9" s="8"/>
    </x:row>
    <x:row r="10" spans="1:10" s="1" customFormat="1" x14ac:dyDescent="0.25">
      <x:c r="A10" s="6">
        <x:v>1</x:v>
      </x:c>
      <x:c r="B10" s="42" t="s">
        <x:v>51</x:v>
      </x:c>
      <x:c r="C10" s="44"/>
      <x:c r="D10" s="44"/>
      <x:c r="E10" s="44"/>
      <x:c r="F10" s="44"/>
      <x:c r="G10" s="44"/>
      <x:c r="H10" s="44"/>
      <x:c r="I10" s="44"/>
      <x:c r="J10" s="44"/>
    </x:row>
    <x:row r="11" spans="1:10" s="1" customFormat="1" x14ac:dyDescent="0.25">
      <x:c r="A11" s="6">
        <x:f t="shared" ref="A11:A37" si="0">+A10+1</x:f>
        <x:v>2</x:v>
      </x:c>
      <x:c r="B11" s="42" t="s">
        <x:v>35</x:v>
      </x:c>
      <x:c r="C11" s="44"/>
      <x:c r="D11" s="44"/>
      <x:c r="E11" s="44"/>
      <x:c r="F11" s="44"/>
      <x:c r="G11" s="44"/>
      <x:c r="H11" s="44"/>
      <x:c r="I11" s="44"/>
      <x:c r="J11" s="41"/>
    </x:row>
    <x:row r="12" spans="1:10" s="1" customFormat="1" ht="12" x14ac:dyDescent="0.25">
      <x:c r="A12" s="6">
        <x:f t="shared" si="0"/>
        <x:v>3</x:v>
      </x:c>
      <x:c r="B12" s="3"/>
      <x:c r="C12" s="10"/>
    </x:row>
    <x:row r="13" spans="1:10" s="1" customFormat="1" ht="12" x14ac:dyDescent="0.25">
      <x:c r="A13" s="6">
        <x:f t="shared" si="0"/>
        <x:v>4</x:v>
      </x:c>
      <x:c r="B13" s="3"/>
      <x:c r="C13" s="10"/>
    </x:row>
    <x:row r="14" spans="1:10" s="1" customFormat="1" ht="11.4" x14ac:dyDescent="0.2">
      <x:c r="A14" s="6">
        <x:f t="shared" si="0"/>
        <x:v>5</x:v>
      </x:c>
    </x:row>
    <x:row r="15" spans="1:10" s="1" customFormat="1" ht="11.4" x14ac:dyDescent="0.2">
      <x:c r="A15" s="6">
        <x:f t="shared" si="0"/>
        <x:v>6</x:v>
      </x:c>
      <x:c r="B15" s="12"/>
      <x:c r="C15" s="12"/>
      <x:c r="D15" s="12"/>
      <x:c r="E15" s="12"/>
      <x:c r="F15" s="12"/>
    </x:row>
    <x:row r="16" spans="1:10" x14ac:dyDescent="0.25">
      <x:c r="A16" s="6">
        <x:f t="shared" si="0"/>
        <x:v>7</x:v>
      </x:c>
      <x:c r="F16" s="9"/>
    </x:row>
    <x:row r="17" spans="1:6" x14ac:dyDescent="0.25">
      <x:c r="A17" s="6">
        <x:f t="shared" si="0"/>
        <x:v>8</x:v>
      </x:c>
      <x:c r="F17" s="9"/>
    </x:row>
    <x:row r="18" spans="1:6" x14ac:dyDescent="0.25">
      <x:c r="A18" s="6">
        <x:f t="shared" si="0"/>
        <x:v>9</x:v>
      </x:c>
      <x:c r="F18" s="9"/>
    </x:row>
    <x:row r="19" spans="1:6" x14ac:dyDescent="0.25">
      <x:c r="A19" s="6">
        <x:f t="shared" si="0"/>
        <x:v>10</x:v>
      </x:c>
      <x:c r="F19" s="9"/>
    </x:row>
    <x:row r="20" spans="1:6" x14ac:dyDescent="0.25">
      <x:c r="A20" s="6">
        <x:f t="shared" si="0"/>
        <x:v>11</x:v>
      </x:c>
      <x:c r="F20" s="9"/>
    </x:row>
    <x:row r="21" spans="1:6" x14ac:dyDescent="0.25">
      <x:c r="A21" s="6">
        <x:f t="shared" si="0"/>
        <x:v>12</x:v>
      </x:c>
      <x:c r="F21" s="9"/>
    </x:row>
    <x:row r="22" spans="1:6" x14ac:dyDescent="0.25">
      <x:c r="A22" s="6">
        <x:f t="shared" si="0"/>
        <x:v>13</x:v>
      </x:c>
      <x:c r="F22" s="9"/>
    </x:row>
    <x:row r="23" spans="1:6" x14ac:dyDescent="0.25">
      <x:c r="A23" s="6">
        <x:f t="shared" si="0"/>
        <x:v>14</x:v>
      </x:c>
      <x:c r="F23" s="9"/>
    </x:row>
    <x:row r="24" spans="1:6" x14ac:dyDescent="0.25">
      <x:c r="A24" s="6">
        <x:f t="shared" si="0"/>
        <x:v>15</x:v>
      </x:c>
      <x:c r="F24" s="9"/>
    </x:row>
    <x:row r="25" spans="1:6" x14ac:dyDescent="0.25">
      <x:c r="A25" s="6">
        <x:f t="shared" si="0"/>
        <x:v>16</x:v>
      </x:c>
      <x:c r="F25" s="9"/>
    </x:row>
    <x:row r="26" spans="1:6" x14ac:dyDescent="0.25">
      <x:c r="A26" s="6">
        <x:f t="shared" si="0"/>
        <x:v>17</x:v>
      </x:c>
      <x:c r="F26" s="9"/>
    </x:row>
    <x:row r="27" spans="1:6" x14ac:dyDescent="0.25">
      <x:c r="A27" s="6">
        <x:f t="shared" si="0"/>
        <x:v>18</x:v>
      </x:c>
      <x:c r="F27" s="9"/>
    </x:row>
    <x:row r="28" spans="1:6" x14ac:dyDescent="0.25">
      <x:c r="A28" s="6">
        <x:f t="shared" si="0"/>
        <x:v>19</x:v>
      </x:c>
      <x:c r="F28" s="9"/>
    </x:row>
    <x:row r="29" spans="1:6" x14ac:dyDescent="0.25">
      <x:c r="A29" s="6">
        <x:f t="shared" si="0"/>
        <x:v>20</x:v>
      </x:c>
      <x:c r="F29" s="9"/>
    </x:row>
    <x:row r="30" spans="1:6" x14ac:dyDescent="0.25">
      <x:c r="A30" s="6">
        <x:f t="shared" si="0"/>
        <x:v>21</x:v>
      </x:c>
      <x:c r="F30" s="9"/>
    </x:row>
    <x:row r="31" spans="1:6" x14ac:dyDescent="0.25">
      <x:c r="A31" s="6">
        <x:f t="shared" si="0"/>
        <x:v>22</x:v>
      </x:c>
      <x:c r="F31" s="9"/>
    </x:row>
    <x:row r="32" spans="1:6" x14ac:dyDescent="0.25">
      <x:c r="A32" s="6">
        <x:f t="shared" si="0"/>
        <x:v>23</x:v>
      </x:c>
      <x:c r="F32" s="9"/>
    </x:row>
    <x:row r="33" spans="1:7" x14ac:dyDescent="0.25">
      <x:c r="A33" s="6">
        <x:f t="shared" si="0"/>
        <x:v>24</x:v>
      </x:c>
      <x:c r="F33" s="11"/>
    </x:row>
    <x:row r="34" spans="1:7" x14ac:dyDescent="0.25">
      <x:c r="A34" s="6">
        <x:f t="shared" si="0"/>
        <x:v>25</x:v>
      </x:c>
      <x:c r="F34" s="2"/>
    </x:row>
    <x:row r="35" spans="1:7" x14ac:dyDescent="0.25">
      <x:c r="A35" s="6">
        <x:f t="shared" si="0"/>
        <x:v>26</x:v>
      </x:c>
      <x:c r="F35" s="11"/>
    </x:row>
    <x:row r="36" spans="1:7" x14ac:dyDescent="0.25">
      <x:c r="A36" s="6">
        <x:f t="shared" si="0"/>
        <x:v>27</x:v>
      </x:c>
      <x:c r="F36" s="2"/>
    </x:row>
    <x:row r="37" spans="1:7" x14ac:dyDescent="0.25">
      <x:c r="A37" s="6">
        <x:f t="shared" si="0"/>
        <x:v>28</x:v>
      </x:c>
      <x:c r="F37" s="2"/>
    </x:row>
    <x:row r="38" spans="1:7" x14ac:dyDescent="0.25">
      <x:c r="A38" s="6"/>
      <x:c r="F38" s="2"/>
    </x:row>
    <x:row r="39" spans="1:7" x14ac:dyDescent="0.25">
      <x:c r="A39" s="6"/>
      <x:c r="F39" s="2"/>
    </x:row>
    <x:row r="40" spans="1:7" x14ac:dyDescent="0.25">
      <x:c r="A40" s="6"/>
      <x:c r="F40" s="2"/>
    </x:row>
    <x:row r="41" spans="1:7" x14ac:dyDescent="0.25">
      <x:c r="A41" s="6"/>
    </x:row>
    <x:row r="42" spans="1:7" x14ac:dyDescent="0.25">
      <x:c r="A42" s="6"/>
    </x:row>
    <x:row r="43" spans="1:7" x14ac:dyDescent="0.25">
      <x:c r="A43" s="6"/>
      <x:c r="C43" s="9"/>
      <x:c r="G43" s="9"/>
    </x:row>
    <x:row r="44" spans="1:7" x14ac:dyDescent="0.25">
      <x:c r="A44" s="6"/>
    </x:row>
    <x:row r="45" spans="1:7" x14ac:dyDescent="0.25">
      <x:c r="A45" s="6"/>
    </x:row>
  </x:sheetData>
  <x:mergeCells count="8">
    <x:mergeCell ref="B11:I11"/>
    <x:mergeCell ref="B10:J10"/>
    <x:mergeCell ref="B8:F8"/>
    <x:mergeCell ref="B1:I1"/>
    <x:mergeCell ref="B2:I2"/>
    <x:mergeCell ref="B3:I3"/>
    <x:mergeCell ref="B4:I4"/>
    <x:mergeCell ref="B6:I6"/>
  </x:mergeCells>
  <x:printOptions horizontalCentered="1"/>
  <x:pageMargins left="0.83" right="0.53" top="1.5" bottom="1" header="1" footer="0.5"/>
  <x:pageSetup scale="76" firstPageNumber="7" orientation="portrait" r:id="rId1"/>
  <x:headerFooter scaleWithDoc="0" alignWithMargins="0">
    <x:oddHeader>&amp;RWP/II-H-5.2/6
Page &amp;P of 20</x:oddHeader>
  </x:headerFooter>
  <x:drawing r:id="rId2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3">
    <x:pageSetUpPr fitToPage="1"/>
  </x:sheetPr>
  <x:dimension ref="A1:F90"/>
  <x:sheetViews>
    <x:sheetView zoomScaleNormal="100" workbookViewId="0">
      <x:selection activeCell="G5" sqref="G5"/>
    </x:sheetView>
  </x:sheetViews>
  <x:sheetFormatPr defaultRowHeight="13.2" x14ac:dyDescent="0.25"/>
  <x:cols>
    <x:col min="2" max="2" width="28.6640625" customWidth="1"/>
    <x:col min="3" max="3" width="19.33203125" customWidth="1"/>
    <x:col min="4" max="4" width="12.33203125" customWidth="1"/>
    <x:col min="5" max="5" width="10.5546875" customWidth="1"/>
    <x:col min="6" max="6" width="10.6640625" customWidth="1"/>
  </x:cols>
  <x:sheetData>
    <x:row r="1" spans="1:6" s="1" customFormat="1" ht="15.6" x14ac:dyDescent="0.3">
      <x:c r="A1" s="17"/>
      <x:c r="B1" s="43" t="s">
        <x:v>140</x:v>
      </x:c>
      <x:c r="C1" s="43"/>
      <x:c r="D1" s="43"/>
      <x:c r="E1" s="43"/>
      <x:c r="F1" s="43"/>
    </x:row>
    <x:row r="2" spans="1:6" s="1" customFormat="1" ht="15.6" x14ac:dyDescent="0.3">
      <x:c r="A2" s="6"/>
      <x:c r="B2" s="43" t="s">
        <x:v>88</x:v>
      </x:c>
      <x:c r="C2" s="43"/>
      <x:c r="D2" s="43"/>
      <x:c r="E2" s="43"/>
      <x:c r="F2" s="43"/>
    </x:row>
    <x:row r="3" spans="1:6" s="1" customFormat="1" ht="15.6" x14ac:dyDescent="0.3">
      <x:c r="A3" s="6"/>
      <x:c r="B3" s="43" t="s">
        <x:v>89</x:v>
      </x:c>
      <x:c r="C3" s="43"/>
      <x:c r="D3" s="43"/>
      <x:c r="E3" s="43"/>
      <x:c r="F3" s="43"/>
    </x:row>
    <x:row r="4" spans="1:6" s="1" customFormat="1" ht="15.6" x14ac:dyDescent="0.3">
      <x:c r="A4" s="6"/>
      <x:c r="B4" s="43" t="s">
        <x:v>98</x:v>
      </x:c>
      <x:c r="C4" s="43"/>
      <x:c r="D4" s="43"/>
      <x:c r="E4" s="43"/>
      <x:c r="F4" s="43"/>
    </x:row>
    <x:row r="5" spans="1:6" s="1" customFormat="1" ht="11.4" x14ac:dyDescent="0.2">
      <x:c r="A5" s="6"/>
    </x:row>
    <x:row r="6" spans="1:6" s="1" customFormat="1" ht="15.6" x14ac:dyDescent="0.3">
      <x:c r="A6" s="6"/>
      <x:c r="B6" s="43" t="s">
        <x:v>64</x:v>
      </x:c>
      <x:c r="C6" s="43"/>
      <x:c r="D6" s="43"/>
      <x:c r="E6" s="43"/>
      <x:c r="F6" s="43"/>
    </x:row>
    <x:row r="8" spans="1:6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6" s="1" customFormat="1" ht="11.4" x14ac:dyDescent="0.2">
      <x:c r="A9" s="7" t="s">
        <x:v>24</x:v>
      </x:c>
      <x:c r="B9" s="8" t="s">
        <x:v>25</x:v>
      </x:c>
      <x:c r="C9" s="8" t="s">
        <x:v>26</x:v>
      </x:c>
      <x:c r="D9" s="8" t="s">
        <x:v>29</x:v>
      </x:c>
      <x:c r="E9" s="8" t="s">
        <x:v>27</x:v>
      </x:c>
      <x:c r="F9" s="8" t="s">
        <x:v>28</x:v>
      </x:c>
    </x:row>
    <x:row r="10" spans="1:6" s="1" customFormat="1" ht="12" x14ac:dyDescent="0.25">
      <x:c r="A10" s="6">
        <x:v>1</x:v>
      </x:c>
      <x:c r="B10" s="3" t="s">
        <x:v>5</x:v>
      </x:c>
      <x:c r="C10" s="3" t="s">
        <x:v>54</x:v>
      </x:c>
    </x:row>
    <x:row r="11" spans="1:6" s="1" customFormat="1" ht="12" x14ac:dyDescent="0.25">
      <x:c r="A11" s="6">
        <x:f>+A10+1</x:f>
        <x:v>2</x:v>
      </x:c>
      <x:c r="B11" s="3" t="s">
        <x:v>35</x:v>
      </x:c>
      <x:c r="C11" s="3"/>
    </x:row>
    <x:row r="12" spans="1:6" s="1" customFormat="1" ht="12" x14ac:dyDescent="0.25">
      <x:c r="A12" s="6">
        <x:f t="shared" ref="A12:A79" si="0">+A11+1</x:f>
        <x:v>3</x:v>
      </x:c>
      <x:c r="B12" s="3" t="s">
        <x:v>6</x:v>
      </x:c>
      <x:c r="C12" s="3" t="s">
        <x:v>78</x:v>
      </x:c>
    </x:row>
    <x:row r="13" spans="1:6" s="1" customFormat="1" ht="12" x14ac:dyDescent="0.25">
      <x:c r="A13" s="6">
        <x:f t="shared" si="0"/>
        <x:v>4</x:v>
      </x:c>
      <x:c r="B13" s="3" t="s">
        <x:v>7</x:v>
      </x:c>
      <x:c r="C13" s="16">
        <x:f>+'RES Spline Model'!C13</x:f>
        <x:v>44197</x:v>
      </x:c>
    </x:row>
    <x:row r="14" spans="1:6" s="1" customFormat="1" ht="12" x14ac:dyDescent="0.25">
      <x:c r="A14" s="6">
        <x:f t="shared" si="0"/>
        <x:v>5</x:v>
      </x:c>
      <x:c r="B14" s="3" t="s">
        <x:v>8</x:v>
      </x:c>
      <x:c r="C14" s="16">
        <x:f>+'RES Spline Model'!C14</x:f>
        <x:v>45291</x:v>
      </x:c>
    </x:row>
    <x:row r="15" spans="1:6" s="1" customFormat="1" ht="11.4" x14ac:dyDescent="0.2">
      <x:c r="A15" s="6">
        <x:f t="shared" si="0"/>
        <x:v>6</x:v>
      </x:c>
    </x:row>
    <x:row r="16" spans="1:6" s="1" customFormat="1" ht="11.4" x14ac:dyDescent="0.2">
      <x:c r="A16" s="6">
        <x:f t="shared" si="0"/>
        <x:v>7</x:v>
      </x:c>
      <x:c r="B16" s="5" t="s">
        <x:v>0</x:v>
      </x:c>
      <x:c r="C16" s="5" t="s">
        <x:v>1</x:v>
      </x:c>
      <x:c r="D16" s="5" t="s">
        <x:v>2</x:v>
      </x:c>
      <x:c r="E16" s="5" t="s">
        <x:v>3</x:v>
      </x:c>
      <x:c r="F16" s="5" t="s">
        <x:v>4</x:v>
      </x:c>
    </x:row>
    <x:row r="17" spans="1:6" x14ac:dyDescent="0.25">
      <x:c r="A17" s="6">
        <x:f t="shared" si="0"/>
        <x:v>8</x:v>
      </x:c>
      <x:c r="B17" t="s">
        <x:v>37</x:v>
      </x:c>
      <x:c r="C17">
        <x:v>5578.5870000000004</x:v>
      </x:c>
      <x:c r="D17">
        <x:v>729.68700000000001</x:v>
      </x:c>
      <x:c r="E17">
        <x:v>7.6449999999999996</x:v>
      </x:c>
      <x:c r="F17" s="9">
        <x:v>0</x:v>
      </x:c>
    </x:row>
    <x:row r="18" spans="1:6" x14ac:dyDescent="0.25">
      <x:c r="A18" s="6">
        <x:f t="shared" si="0"/>
        <x:v>9</x:v>
      </x:c>
      <x:c r="B18" t="s">
        <x:v>99</x:v>
      </x:c>
      <x:c r="C18">
        <x:v>-184.565</x:v>
      </x:c>
      <x:c r="D18">
        <x:v>40.753</x:v>
      </x:c>
      <x:c r="E18">
        <x:v>-4.5289999999999999</x:v>
      </x:c>
      <x:c r="F18" s="9">
        <x:v>0</x:v>
      </x:c>
    </x:row>
    <x:row r="19" spans="1:6" x14ac:dyDescent="0.25">
      <x:c r="A19" s="6">
        <x:f t="shared" si="0"/>
        <x:v>10</x:v>
      </x:c>
      <x:c r="B19" t="s">
        <x:v>100</x:v>
      </x:c>
      <x:c r="C19">
        <x:v>464.99900000000002</x:v>
      </x:c>
      <x:c r="D19">
        <x:v>12.138999999999999</x:v>
      </x:c>
      <x:c r="E19">
        <x:v>38.305999999999997</x:v>
      </x:c>
      <x:c r="F19" s="9">
        <x:v>0</x:v>
      </x:c>
    </x:row>
    <x:row r="20" spans="1:6" x14ac:dyDescent="0.25">
      <x:c r="A20" s="6">
        <x:f t="shared" si="0"/>
        <x:v>11</x:v>
      </x:c>
      <x:c r="B20" t="s">
        <x:v>101</x:v>
      </x:c>
      <x:c r="C20">
        <x:v>495.822</x:v>
      </x:c>
      <x:c r="D20">
        <x:v>16.413</x:v>
      </x:c>
      <x:c r="E20">
        <x:v>30.207999999999998</x:v>
      </x:c>
      <x:c r="F20" s="9">
        <x:v>0</x:v>
      </x:c>
    </x:row>
    <x:row r="21" spans="1:6" x14ac:dyDescent="0.25">
      <x:c r="A21" s="6">
        <x:f t="shared" si="0"/>
        <x:v>12</x:v>
      </x:c>
      <x:c r="B21" t="s">
        <x:v>102</x:v>
      </x:c>
      <x:c r="C21">
        <x:v>514.88599999999997</x:v>
      </x:c>
      <x:c r="D21">
        <x:v>17.364000000000001</x:v>
      </x:c>
      <x:c r="E21">
        <x:v>29.652000000000001</x:v>
      </x:c>
      <x:c r="F21" s="9">
        <x:v>0</x:v>
      </x:c>
    </x:row>
    <x:row r="22" spans="1:6" x14ac:dyDescent="0.25">
      <x:c r="A22" s="6">
        <x:f t="shared" si="0"/>
        <x:v>13</x:v>
      </x:c>
      <x:c r="B22" t="s">
        <x:v>103</x:v>
      </x:c>
      <x:c r="C22">
        <x:v>517.98599999999999</x:v>
      </x:c>
      <x:c r="D22">
        <x:v>17.399000000000001</x:v>
      </x:c>
      <x:c r="E22">
        <x:v>29.771999999999998</x:v>
      </x:c>
      <x:c r="F22" s="9">
        <x:v>0</x:v>
      </x:c>
    </x:row>
    <x:row r="23" spans="1:6" x14ac:dyDescent="0.25">
      <x:c r="A23" s="6">
        <x:f t="shared" si="0"/>
        <x:v>14</x:v>
      </x:c>
      <x:c r="B23" t="s">
        <x:v>104</x:v>
      </x:c>
      <x:c r="C23">
        <x:v>494.47399999999999</x:v>
      </x:c>
      <x:c r="D23">
        <x:v>16.463000000000001</x:v>
      </x:c>
      <x:c r="E23">
        <x:v>30.035</x:v>
      </x:c>
      <x:c r="F23" s="9">
        <x:v>0</x:v>
      </x:c>
    </x:row>
    <x:row r="24" spans="1:6" x14ac:dyDescent="0.25">
      <x:c r="A24" s="6">
        <x:f t="shared" si="0"/>
        <x:v>15</x:v>
      </x:c>
      <x:c r="B24" t="s">
        <x:v>105</x:v>
      </x:c>
      <x:c r="C24">
        <x:v>203.804</x:v>
      </x:c>
      <x:c r="D24">
        <x:v>11.932</x:v>
      </x:c>
      <x:c r="E24">
        <x:v>17.079999999999998</x:v>
      </x:c>
      <x:c r="F24" s="9">
        <x:v>0</x:v>
      </x:c>
    </x:row>
    <x:row r="25" spans="1:6" x14ac:dyDescent="0.25">
      <x:c r="A25" s="6">
        <x:f t="shared" si="0"/>
        <x:v>16</x:v>
      </x:c>
      <x:c r="B25" t="s">
        <x:v>106</x:v>
      </x:c>
      <x:c r="C25">
        <x:v>-150.07</x:v>
      </x:c>
      <x:c r="D25">
        <x:v>61.137</x:v>
      </x:c>
      <x:c r="E25">
        <x:v>-2.4550000000000001</x:v>
      </x:c>
      <x:c r="F25" s="9">
        <x:v>1.43E-2</x:v>
      </x:c>
    </x:row>
    <x:row r="26" spans="1:6" x14ac:dyDescent="0.25">
      <x:c r="A26" s="6">
        <x:f t="shared" si="0"/>
        <x:v>17</x:v>
      </x:c>
      <x:c r="B26" t="s">
        <x:v>141</x:v>
      </x:c>
      <x:c r="C26">
        <x:v>-94.861000000000004</x:v>
      </x:c>
      <x:c r="D26">
        <x:v>48.832000000000001</x:v>
      </x:c>
      <x:c r="E26">
        <x:v>-1.9430000000000001</x:v>
      </x:c>
      <x:c r="F26" s="9">
        <x:v>5.2299999999999999E-2</x:v>
      </x:c>
    </x:row>
    <x:row r="27" spans="1:6" x14ac:dyDescent="0.25">
      <x:c r="A27" s="6">
        <x:f t="shared" si="0"/>
        <x:v>18</x:v>
      </x:c>
      <x:c r="B27" t="s">
        <x:v>107</x:v>
      </x:c>
      <x:c r="C27">
        <x:v>-423.31</x:v>
      </x:c>
      <x:c r="D27">
        <x:v>49.808</x:v>
      </x:c>
      <x:c r="E27">
        <x:v>-8.4990000000000006</x:v>
      </x:c>
      <x:c r="F27" s="9">
        <x:v>0</x:v>
      </x:c>
    </x:row>
    <x:row r="28" spans="1:6" x14ac:dyDescent="0.25">
      <x:c r="A28" s="6">
        <x:f t="shared" si="0"/>
        <x:v>19</x:v>
      </x:c>
      <x:c r="B28" t="s">
        <x:v>142</x:v>
      </x:c>
      <x:c r="C28">
        <x:v>-491.61799999999999</x:v>
      </x:c>
      <x:c r="D28">
        <x:v>48.615000000000002</x:v>
      </x:c>
      <x:c r="E28">
        <x:v>-10.112</x:v>
      </x:c>
      <x:c r="F28" s="9">
        <x:v>0</x:v>
      </x:c>
    </x:row>
    <x:row r="29" spans="1:6" x14ac:dyDescent="0.25">
      <x:c r="A29" s="6">
        <x:f t="shared" si="0"/>
        <x:v>20</x:v>
      </x:c>
      <x:c r="B29" t="s">
        <x:v>108</x:v>
      </x:c>
      <x:c r="C29">
        <x:v>-466.66500000000002</x:v>
      </x:c>
      <x:c r="D29">
        <x:v>48.637</x:v>
      </x:c>
      <x:c r="E29">
        <x:v>-9.5950000000000006</x:v>
      </x:c>
      <x:c r="F29" s="9">
        <x:v>0</x:v>
      </x:c>
    </x:row>
    <x:row r="30" spans="1:6" x14ac:dyDescent="0.25">
      <x:c r="A30" s="6">
        <x:f t="shared" si="0"/>
        <x:v>21</x:v>
      </x:c>
      <x:c r="B30" t="s">
        <x:v>109</x:v>
      </x:c>
      <x:c r="C30">
        <x:v>-427.14499999999998</x:v>
      </x:c>
      <x:c r="D30">
        <x:v>57.281999999999996</x:v>
      </x:c>
      <x:c r="E30">
        <x:v>-7.4569999999999999</x:v>
      </x:c>
      <x:c r="F30" s="9">
        <x:v>0</x:v>
      </x:c>
    </x:row>
    <x:row r="31" spans="1:6" x14ac:dyDescent="0.25">
      <x:c r="A31" s="6">
        <x:f t="shared" si="0"/>
        <x:v>22</x:v>
      </x:c>
      <x:c r="B31" t="s">
        <x:v>110</x:v>
      </x:c>
      <x:c r="C31">
        <x:v>-330.73099999999999</x:v>
      </x:c>
      <x:c r="D31">
        <x:v>57.18</x:v>
      </x:c>
      <x:c r="E31">
        <x:v>-5.7839999999999998</x:v>
      </x:c>
      <x:c r="F31" s="9">
        <x:v>0</x:v>
      </x:c>
    </x:row>
    <x:row r="32" spans="1:6" x14ac:dyDescent="0.25">
      <x:c r="A32" s="6">
        <x:f t="shared" si="0"/>
        <x:v>23</x:v>
      </x:c>
      <x:c r="B32" t="s">
        <x:v>143</x:v>
      </x:c>
      <x:c r="C32">
        <x:v>-228.71899999999999</x:v>
      </x:c>
      <x:c r="D32">
        <x:v>50.594000000000001</x:v>
      </x:c>
      <x:c r="E32">
        <x:v>-4.5209999999999999</x:v>
      </x:c>
      <x:c r="F32" s="9">
        <x:v>0</x:v>
      </x:c>
    </x:row>
    <x:row r="33" spans="1:6" x14ac:dyDescent="0.25">
      <x:c r="A33" s="6">
        <x:f t="shared" si="0"/>
        <x:v>24</x:v>
      </x:c>
      <x:c r="B33" t="s">
        <x:v>111</x:v>
      </x:c>
      <x:c r="C33">
        <x:v>-70.98</x:v>
      </x:c>
      <x:c r="D33">
        <x:v>50.222000000000001</x:v>
      </x:c>
      <x:c r="E33">
        <x:v>-1.413</x:v>
      </x:c>
      <x:c r="F33" s="9">
        <x:v>0.15790000000000001</x:v>
      </x:c>
    </x:row>
    <x:row r="34" spans="1:6" x14ac:dyDescent="0.25">
      <x:c r="A34" s="6">
        <x:f t="shared" si="0"/>
        <x:v>25</x:v>
      </x:c>
      <x:c r="B34" t="s">
        <x:v>113</x:v>
      </x:c>
      <x:c r="C34">
        <x:v>254.203</x:v>
      </x:c>
      <x:c r="D34">
        <x:v>65.338999999999999</x:v>
      </x:c>
      <x:c r="E34">
        <x:v>3.891</x:v>
      </x:c>
      <x:c r="F34" s="9">
        <x:v>1E-4</x:v>
      </x:c>
    </x:row>
    <x:row r="35" spans="1:6" x14ac:dyDescent="0.25">
      <x:c r="A35" s="6">
        <x:f t="shared" si="0"/>
        <x:v>26</x:v>
      </x:c>
      <x:c r="B35" t="s">
        <x:v>39</x:v>
      </x:c>
      <x:c r="C35">
        <x:v>-94.867999999999995</x:v>
      </x:c>
      <x:c r="D35">
        <x:v>41.057000000000002</x:v>
      </x:c>
      <x:c r="E35">
        <x:v>-2.3109999999999999</x:v>
      </x:c>
      <x:c r="F35" s="9">
        <x:v>2.1000000000000001E-2</x:v>
      </x:c>
    </x:row>
    <x:row r="36" spans="1:6" x14ac:dyDescent="0.25">
      <x:c r="A36" s="6">
        <x:f t="shared" si="0"/>
        <x:v>27</x:v>
      </x:c>
      <x:c r="B36" t="s">
        <x:v>42</x:v>
      </x:c>
      <x:c r="C36">
        <x:v>62.405000000000001</x:v>
      </x:c>
      <x:c r="D36">
        <x:v>51.790999999999997</x:v>
      </x:c>
      <x:c r="E36">
        <x:v>1.2050000000000001</x:v>
      </x:c>
      <x:c r="F36" s="9">
        <x:v>0.22850000000000001</x:v>
      </x:c>
    </x:row>
    <x:row r="37" spans="1:6" x14ac:dyDescent="0.25">
      <x:c r="A37" s="6">
        <x:f t="shared" si="0"/>
        <x:v>28</x:v>
      </x:c>
      <x:c r="B37" t="s">
        <x:v>43</x:v>
      </x:c>
      <x:c r="C37">
        <x:v>89.51</x:v>
      </x:c>
      <x:c r="D37">
        <x:v>62.491</x:v>
      </x:c>
      <x:c r="E37">
        <x:v>1.4319999999999999</x:v>
      </x:c>
      <x:c r="F37" s="9">
        <x:v>0.15240000000000001</x:v>
      </x:c>
    </x:row>
    <x:row r="38" spans="1:6" x14ac:dyDescent="0.25">
      <x:c r="A38" s="6">
        <x:f t="shared" si="0"/>
        <x:v>29</x:v>
      </x:c>
      <x:c r="B38" t="s">
        <x:v>44</x:v>
      </x:c>
      <x:c r="C38">
        <x:v>137.416</x:v>
      </x:c>
      <x:c r="D38">
        <x:v>62.502000000000002</x:v>
      </x:c>
      <x:c r="E38">
        <x:v>2.1989999999999998</x:v>
      </x:c>
      <x:c r="F38" s="9">
        <x:v>2.81E-2</x:v>
      </x:c>
    </x:row>
    <x:row r="39" spans="1:6" x14ac:dyDescent="0.25">
      <x:c r="A39" s="6">
        <x:f t="shared" si="0"/>
        <x:v>30</x:v>
      </x:c>
      <x:c r="B39" t="s">
        <x:v>45</x:v>
      </x:c>
      <x:c r="C39">
        <x:v>113.91200000000001</x:v>
      </x:c>
      <x:c r="D39">
        <x:v>51.185000000000002</x:v>
      </x:c>
      <x:c r="E39">
        <x:v>2.226</x:v>
      </x:c>
      <x:c r="F39" s="9">
        <x:v>2.63E-2</x:v>
      </x:c>
    </x:row>
    <x:row r="40" spans="1:6" x14ac:dyDescent="0.25">
      <x:c r="A40" s="6">
        <x:f t="shared" si="0"/>
        <x:v>31</x:v>
      </x:c>
      <x:c r="B40" t="s">
        <x:v>47</x:v>
      </x:c>
      <x:c r="C40">
        <x:v>88.052999999999997</x:v>
      </x:c>
      <x:c r="D40">
        <x:v>48.405999999999999</x:v>
      </x:c>
      <x:c r="E40">
        <x:v>1.819</x:v>
      </x:c>
      <x:c r="F40" s="9">
        <x:v>6.9199999999999998E-2</x:v>
      </x:c>
    </x:row>
    <x:row r="41" spans="1:6" x14ac:dyDescent="0.25">
      <x:c r="A41" s="6">
        <x:f t="shared" si="0"/>
        <x:v>32</x:v>
      </x:c>
      <x:c r="B41" t="s">
        <x:v>81</x:v>
      </x:c>
      <x:c r="C41">
        <x:v>-265.428</x:v>
      </x:c>
      <x:c r="D41">
        <x:v>125.98</x:v>
      </x:c>
      <x:c r="E41">
        <x:v>-2.1070000000000002</x:v>
      </x:c>
      <x:c r="F41" s="9">
        <x:v>3.5400000000000001E-2</x:v>
      </x:c>
    </x:row>
    <x:row r="42" spans="1:6" x14ac:dyDescent="0.25">
      <x:c r="A42" s="6">
        <x:f t="shared" si="0"/>
        <x:v>33</x:v>
      </x:c>
      <x:c r="B42" t="s">
        <x:v>144</x:v>
      </x:c>
      <x:c r="C42">
        <x:v>33.933999999999997</x:v>
      </x:c>
      <x:c r="D42">
        <x:v>3.1869999999999998</x:v>
      </x:c>
      <x:c r="E42">
        <x:v>10.646000000000001</x:v>
      </x:c>
      <x:c r="F42" s="9">
        <x:v>0</x:v>
      </x:c>
    </x:row>
    <x:row r="43" spans="1:6" x14ac:dyDescent="0.25">
      <x:c r="A43" s="6">
        <x:f t="shared" si="0"/>
        <x:v>34</x:v>
      </x:c>
      <x:c r="B43" t="s">
        <x:v>145</x:v>
      </x:c>
      <x:c r="C43">
        <x:v>27.053000000000001</x:v>
      </x:c>
      <x:c r="D43">
        <x:v>3.0339999999999998</x:v>
      </x:c>
      <x:c r="E43">
        <x:v>8.9149999999999991</x:v>
      </x:c>
      <x:c r="F43" s="9">
        <x:v>0</x:v>
      </x:c>
    </x:row>
    <x:row r="44" spans="1:6" x14ac:dyDescent="0.25">
      <x:c r="A44" s="6">
        <x:f t="shared" si="0"/>
        <x:v>35</x:v>
      </x:c>
      <x:c r="B44" t="s">
        <x:v>146</x:v>
      </x:c>
      <x:c r="C44">
        <x:v>13.738</x:v>
      </x:c>
      <x:c r="D44">
        <x:v>1.7310000000000001</x:v>
      </x:c>
      <x:c r="E44">
        <x:v>7.9370000000000003</x:v>
      </x:c>
      <x:c r="F44" s="9">
        <x:v>0</x:v>
      </x:c>
    </x:row>
    <x:row r="45" spans="1:6" x14ac:dyDescent="0.25">
      <x:c r="A45" s="6">
        <x:f t="shared" si="0"/>
        <x:v>36</x:v>
      </x:c>
      <x:c r="B45" t="s">
        <x:v>147</x:v>
      </x:c>
      <x:c r="C45">
        <x:v>21.484999999999999</x:v>
      </x:c>
      <x:c r="D45">
        <x:v>3.6360000000000001</x:v>
      </x:c>
      <x:c r="E45">
        <x:v>5.91</x:v>
      </x:c>
      <x:c r="F45" s="9">
        <x:v>0</x:v>
      </x:c>
    </x:row>
    <x:row r="46" spans="1:6" x14ac:dyDescent="0.25">
      <x:c r="A46" s="6">
        <x:f t="shared" si="0"/>
        <x:v>37</x:v>
      </x:c>
      <x:c r="B46" t="s">
        <x:v>148</x:v>
      </x:c>
      <x:c r="C46">
        <x:v>21.545999999999999</x:v>
      </x:c>
      <x:c r="D46">
        <x:v>6.6390000000000002</x:v>
      </x:c>
      <x:c r="E46">
        <x:v>3.246</x:v>
      </x:c>
      <x:c r="F46" s="9">
        <x:v>1.1999999999999999E-3</x:v>
      </x:c>
    </x:row>
    <x:row r="47" spans="1:6" x14ac:dyDescent="0.25">
      <x:c r="A47" s="6">
        <x:f t="shared" si="0"/>
        <x:v>38</x:v>
      </x:c>
      <x:c r="B47" t="s">
        <x:v>149</x:v>
      </x:c>
      <x:c r="C47">
        <x:v>34.493000000000002</x:v>
      </x:c>
      <x:c r="D47">
        <x:v>4.9219999999999997</x:v>
      </x:c>
      <x:c r="E47">
        <x:v>7.0069999999999997</x:v>
      </x:c>
      <x:c r="F47" s="9">
        <x:v>0</x:v>
      </x:c>
    </x:row>
    <x:row r="48" spans="1:6" x14ac:dyDescent="0.25">
      <x:c r="A48" s="6">
        <x:f t="shared" si="0"/>
        <x:v>39</x:v>
      </x:c>
      <x:c r="B48" t="s">
        <x:v>115</x:v>
      </x:c>
      <x:c r="C48">
        <x:v>-2544.4180000000001</x:v>
      </x:c>
      <x:c r="D48">
        <x:v>123.79300000000001</x:v>
      </x:c>
      <x:c r="E48">
        <x:v>-20.553999999999998</x:v>
      </x:c>
      <x:c r="F48" s="9">
        <x:v>0</x:v>
      </x:c>
    </x:row>
    <x:row r="49" spans="1:6" x14ac:dyDescent="0.25">
      <x:c r="A49" s="6">
        <x:f t="shared" si="0"/>
        <x:v>40</x:v>
      </x:c>
      <x:c r="B49" t="s">
        <x:v>116</x:v>
      </x:c>
      <x:c r="C49">
        <x:v>-2314.183</x:v>
      </x:c>
      <x:c r="D49" s="29">
        <x:v>129</x:v>
      </x:c>
      <x:c r="E49">
        <x:v>-17.939</x:v>
      </x:c>
      <x:c r="F49" s="9">
        <x:v>0</x:v>
      </x:c>
    </x:row>
    <x:row r="50" spans="1:6" x14ac:dyDescent="0.25">
      <x:c r="A50" s="6">
        <x:f t="shared" si="0"/>
        <x:v>41</x:v>
      </x:c>
      <x:c r="B50" t="s">
        <x:v>155</x:v>
      </x:c>
      <x:c r="C50">
        <x:v>-788.08799999999997</x:v>
      </x:c>
      <x:c r="D50">
        <x:v>129.23699999999999</x:v>
      </x:c>
      <x:c r="E50">
        <x:v>-6.0979999999999999</x:v>
      </x:c>
      <x:c r="F50" s="9">
        <x:v>0</x:v>
      </x:c>
    </x:row>
    <x:row r="51" spans="1:6" x14ac:dyDescent="0.25">
      <x:c r="A51" s="6">
        <x:f t="shared" si="0"/>
        <x:v>42</x:v>
      </x:c>
      <x:c r="B51" t="s">
        <x:v>156</x:v>
      </x:c>
      <x:c r="C51">
        <x:v>-391.12</x:v>
      </x:c>
      <x:c r="D51">
        <x:v>125.95399999999999</x:v>
      </x:c>
      <x:c r="E51">
        <x:v>-3.105</x:v>
      </x:c>
      <x:c r="F51" s="9">
        <x:v>2E-3</x:v>
      </x:c>
    </x:row>
    <x:row r="52" spans="1:6" x14ac:dyDescent="0.25">
      <x:c r="A52" s="6">
        <x:f t="shared" si="0"/>
        <x:v>43</x:v>
      </x:c>
      <x:c r="B52" t="s">
        <x:v>157</x:v>
      </x:c>
      <x:c r="C52" s="21">
        <x:v>-392.65899999999999</x:v>
      </x:c>
      <x:c r="D52" s="21">
        <x:v>104.708</x:v>
      </x:c>
      <x:c r="E52">
        <x:v>-3.75</x:v>
      </x:c>
      <x:c r="F52" s="9">
        <x:v>2.0000000000000001E-4</x:v>
      </x:c>
    </x:row>
    <x:row r="53" spans="1:6" x14ac:dyDescent="0.25">
      <x:c r="A53" s="6">
        <x:f t="shared" si="0"/>
        <x:v>44</x:v>
      </x:c>
      <x:c r="B53" t="s">
        <x:v>31</x:v>
      </x:c>
      <x:c r="C53" s="21">
        <x:v>0.79</x:v>
      </x:c>
      <x:c r="D53" s="21">
        <x:v>3.2000000000000001E-2</x:v>
      </x:c>
      <x:c r="E53">
        <x:v>25.071000000000002</x:v>
      </x:c>
      <x:c r="F53" s="9">
        <x:v>0</x:v>
      </x:c>
    </x:row>
    <x:row r="54" spans="1:6" x14ac:dyDescent="0.25">
      <x:c r="A54" s="6">
        <x:f t="shared" si="0"/>
        <x:v>45</x:v>
      </x:c>
      <x:c r="B54" t="s">
        <x:v>32</x:v>
      </x:c>
      <x:c r="C54" s="21">
        <x:v>-6.2E-2</x:v>
      </x:c>
      <x:c r="D54" s="21">
        <x:v>0.04</x:v>
      </x:c>
      <x:c r="E54">
        <x:v>-1.544</x:v>
      </x:c>
      <x:c r="F54" s="9">
        <x:v>0.12280000000000001</x:v>
      </x:c>
    </x:row>
    <x:row r="55" spans="1:6" x14ac:dyDescent="0.25">
      <x:c r="A55" s="6">
        <x:f t="shared" si="0"/>
        <x:v>46</x:v>
      </x:c>
      <x:c r="B55" t="s">
        <x:v>33</x:v>
      </x:c>
      <x:c r="C55" s="21">
        <x:v>0.124</x:v>
      </x:c>
      <x:c r="D55" s="21">
        <x:v>0.04</x:v>
      </x:c>
      <x:c r="E55">
        <x:v>3.1059999999999999</x:v>
      </x:c>
      <x:c r="F55" s="9">
        <x:v>2E-3</x:v>
      </x:c>
    </x:row>
    <x:row r="56" spans="1:6" x14ac:dyDescent="0.25">
      <x:c r="A56" s="6">
        <x:f t="shared" si="0"/>
        <x:v>47</x:v>
      </x:c>
      <x:c r="B56" t="s">
        <x:v>34</x:v>
      </x:c>
      <x:c r="C56" s="21">
        <x:v>-4.0000000000000001E-3</x:v>
      </x:c>
      <x:c r="D56" s="21">
        <x:v>0.04</x:v>
      </x:c>
      <x:c r="E56">
        <x:v>-0.109</x:v>
      </x:c>
      <x:c r="F56" s="9">
        <x:v>0.91300000000000003</x:v>
      </x:c>
    </x:row>
    <x:row r="57" spans="1:6" x14ac:dyDescent="0.25">
      <x:c r="A57" s="6">
        <x:f t="shared" si="0"/>
        <x:v>48</x:v>
      </x:c>
      <x:c r="B57" t="s">
        <x:v>36</x:v>
      </x:c>
      <x:c r="C57" s="21">
        <x:v>1.7999999999999999E-2</x:v>
      </x:c>
      <x:c r="D57" s="21">
        <x:v>0.04</x:v>
      </x:c>
      <x:c r="E57">
        <x:v>0.45400000000000001</x:v>
      </x:c>
      <x:c r="F57" s="9">
        <x:v>0.65029999999999999</x:v>
      </x:c>
    </x:row>
    <x:row r="58" spans="1:6" x14ac:dyDescent="0.25">
      <x:c r="A58" s="6">
        <x:f t="shared" si="0"/>
        <x:v>49</x:v>
      </x:c>
      <x:c r="B58" t="s">
        <x:v>49</x:v>
      </x:c>
      <x:c r="C58" s="21">
        <x:v>5.2999999999999999E-2</x:v>
      </x:c>
      <x:c r="D58" s="21">
        <x:v>0.04</x:v>
      </x:c>
      <x:c r="E58">
        <x:v>1.3129999999999999</x:v>
      </x:c>
      <x:c r="F58" s="9">
        <x:v>0.1893</x:v>
      </x:c>
    </x:row>
    <x:row r="59" spans="1:6" x14ac:dyDescent="0.25">
      <x:c r="A59" s="6">
        <x:f t="shared" si="0"/>
        <x:v>50</x:v>
      </x:c>
      <x:c r="B59" t="s">
        <x:v>50</x:v>
      </x:c>
      <x:c r="C59" s="21">
        <x:v>4.7E-2</x:v>
      </x:c>
      <x:c r="D59" s="21">
        <x:v>4.1000000000000002E-2</x:v>
      </x:c>
      <x:c r="E59">
        <x:v>1.1499999999999999</x:v>
      </x:c>
      <x:c r="F59" s="9">
        <x:v>0.25030000000000002</x:v>
      </x:c>
    </x:row>
    <x:row r="60" spans="1:6" x14ac:dyDescent="0.25">
      <x:c r="A60" s="6">
        <x:f t="shared" si="0"/>
        <x:v>51</x:v>
      </x:c>
      <x:c r="B60" t="s">
        <x:v>66</x:v>
      </x:c>
      <x:c r="C60" s="21">
        <x:v>-0.05</x:v>
      </x:c>
      <x:c r="D60" s="21">
        <x:v>4.1000000000000002E-2</x:v>
      </x:c>
      <x:c r="E60">
        <x:v>-1.2</x:v>
      </x:c>
      <x:c r="F60" s="9">
        <x:v>0.2306</x:v>
      </x:c>
    </x:row>
    <x:row r="61" spans="1:6" x14ac:dyDescent="0.25">
      <x:c r="A61" s="6">
        <x:f t="shared" si="0"/>
        <x:v>52</x:v>
      </x:c>
      <x:c r="B61" t="s">
        <x:v>67</x:v>
      </x:c>
      <x:c r="C61" s="21">
        <x:v>1.2E-2</x:v>
      </x:c>
      <x:c r="D61" s="21">
        <x:v>4.2000000000000003E-2</x:v>
      </x:c>
      <x:c r="E61">
        <x:v>0.29499999999999998</x:v>
      </x:c>
      <x:c r="F61" s="13">
        <x:v>0.76780000000000004</x:v>
      </x:c>
    </x:row>
    <x:row r="62" spans="1:6" x14ac:dyDescent="0.25">
      <x:c r="A62" s="6">
        <x:f t="shared" si="0"/>
        <x:v>53</x:v>
      </x:c>
      <x:c r="B62" s="27" t="s">
        <x:v>68</x:v>
      </x:c>
      <x:c r="C62" s="21">
        <x:v>-4.9000000000000002E-2</x:v>
      </x:c>
      <x:c r="D62" s="21">
        <x:v>4.1000000000000002E-2</x:v>
      </x:c>
      <x:c r="E62">
        <x:v>-1.1970000000000001</x:v>
      </x:c>
      <x:c r="F62" s="13">
        <x:v>0.23150000000000001</x:v>
      </x:c>
    </x:row>
    <x:row r="63" spans="1:6" x14ac:dyDescent="0.25">
      <x:c r="A63" s="6">
        <x:f t="shared" si="0"/>
        <x:v>54</x:v>
      </x:c>
      <x:c r="B63" t="s">
        <x:v>69</x:v>
      </x:c>
      <x:c r="C63" s="21">
        <x:v>-1.2E-2</x:v>
      </x:c>
      <x:c r="D63" s="21">
        <x:v>4.1000000000000002E-2</x:v>
      </x:c>
      <x:c r="E63">
        <x:v>-0.28699999999999998</x:v>
      </x:c>
      <x:c r="F63" s="13">
        <x:v>0.77449999999999997</x:v>
      </x:c>
    </x:row>
    <x:row r="64" spans="1:6" x14ac:dyDescent="0.25">
      <x:c r="A64" s="6">
        <x:f t="shared" si="0"/>
        <x:v>55</x:v>
      </x:c>
      <x:c r="B64" t="s">
        <x:v>70</x:v>
      </x:c>
      <x:c r="C64" s="21">
        <x:v>1.9E-2</x:v>
      </x:c>
      <x:c r="D64" s="21">
        <x:v>4.1000000000000002E-2</x:v>
      </x:c>
      <x:c r="E64">
        <x:v>0.46300000000000002</x:v>
      </x:c>
      <x:c r="F64" s="13">
        <x:v>0.64339999999999997</x:v>
      </x:c>
    </x:row>
    <x:row r="65" spans="1:6" x14ac:dyDescent="0.25">
      <x:c r="A65" s="6">
        <x:f t="shared" si="0"/>
        <x:v>56</x:v>
      </x:c>
      <x:c r="B65" t="s">
        <x:v>71</x:v>
      </x:c>
      <x:c r="C65" s="21">
        <x:v>1.4999999999999999E-2</x:v>
      </x:c>
      <x:c r="D65" s="21">
        <x:v>4.1000000000000002E-2</x:v>
      </x:c>
      <x:c r="E65">
        <x:v>0.36399999999999999</x:v>
      </x:c>
      <x:c r="F65" s="13">
        <x:v>0.71619999999999995</x:v>
      </x:c>
    </x:row>
    <x:row r="66" spans="1:6" x14ac:dyDescent="0.25">
      <x:c r="A66" s="6">
        <x:f t="shared" si="0"/>
        <x:v>57</x:v>
      </x:c>
      <x:c r="B66" t="s">
        <x:v>72</x:v>
      </x:c>
      <x:c r="C66" s="21">
        <x:v>0.115</x:v>
      </x:c>
      <x:c r="D66" s="21">
        <x:v>4.1000000000000002E-2</x:v>
      </x:c>
      <x:c r="E66">
        <x:v>2.8330000000000002</x:v>
      </x:c>
      <x:c r="F66" s="9">
        <x:v>4.7000000000000002E-3</x:v>
      </x:c>
    </x:row>
    <x:row r="67" spans="1:6" x14ac:dyDescent="0.25">
      <x:c r="A67" s="6">
        <x:f t="shared" si="0"/>
        <x:v>58</x:v>
      </x:c>
      <x:c r="B67" t="s">
        <x:v>73</x:v>
      </x:c>
      <x:c r="C67" s="21">
        <x:v>-0.03</x:v>
      </x:c>
      <x:c r="D67" s="21">
        <x:v>4.1000000000000002E-2</x:v>
      </x:c>
      <x:c r="E67">
        <x:v>-0.72099999999999997</x:v>
      </x:c>
      <x:c r="F67" s="9">
        <x:v>0.47089999999999999</x:v>
      </x:c>
    </x:row>
    <x:row r="68" spans="1:6" x14ac:dyDescent="0.25">
      <x:c r="A68" s="6">
        <x:f t="shared" si="0"/>
        <x:v>59</x:v>
      </x:c>
      <x:c r="B68" t="s">
        <x:v>74</x:v>
      </x:c>
      <x:c r="C68" s="21">
        <x:v>-8.5000000000000006E-2</x:v>
      </x:c>
      <x:c r="D68" s="21">
        <x:v>4.1000000000000002E-2</x:v>
      </x:c>
      <x:c r="E68">
        <x:v>-2.0830000000000002</x:v>
      </x:c>
      <x:c r="F68" s="9">
        <x:v>3.7499999999999999E-2</x:v>
      </x:c>
    </x:row>
    <x:row r="69" spans="1:6" x14ac:dyDescent="0.25">
      <x:c r="A69" s="6">
        <x:f t="shared" si="0"/>
        <x:v>60</x:v>
      </x:c>
      <x:c r="B69" t="s">
        <x:v>75</x:v>
      </x:c>
      <x:c r="C69" s="21">
        <x:v>4.4999999999999998E-2</x:v>
      </x:c>
      <x:c r="D69" s="21">
        <x:v>4.1000000000000002E-2</x:v>
      </x:c>
      <x:c r="E69">
        <x:v>1.0920000000000001</x:v>
      </x:c>
      <x:c r="F69" s="9">
        <x:v>0.2752</x:v>
      </x:c>
    </x:row>
    <x:row r="70" spans="1:6" x14ac:dyDescent="0.25">
      <x:c r="A70" s="6">
        <x:f t="shared" si="0"/>
        <x:v>61</x:v>
      </x:c>
      <x:c r="B70" t="s">
        <x:v>76</x:v>
      </x:c>
      <x:c r="C70" s="21">
        <x:v>-4.0000000000000001E-3</x:v>
      </x:c>
      <x:c r="D70" s="21">
        <x:v>4.1000000000000002E-2</x:v>
      </x:c>
      <x:c r="E70">
        <x:v>-0.105</x:v>
      </x:c>
      <x:c r="F70" s="9">
        <x:v>0.91679999999999995</x:v>
      </x:c>
    </x:row>
    <x:row r="71" spans="1:6" x14ac:dyDescent="0.25">
      <x:c r="A71" s="6">
        <x:f t="shared" si="0"/>
        <x:v>62</x:v>
      </x:c>
      <x:c r="B71" t="s">
        <x:v>77</x:v>
      </x:c>
      <x:c r="C71" s="21">
        <x:v>-4.1000000000000002E-2</x:v>
      </x:c>
      <x:c r="D71" s="21">
        <x:v>4.1000000000000002E-2</x:v>
      </x:c>
      <x:c r="E71">
        <x:v>-0.98399999999999999</x:v>
      </x:c>
      <x:c r="F71" s="9">
        <x:v>0.32540000000000002</x:v>
      </x:c>
    </x:row>
    <x:row r="72" spans="1:6" x14ac:dyDescent="0.25">
      <x:c r="A72" s="6">
        <x:f t="shared" si="0"/>
        <x:v>63</x:v>
      </x:c>
      <x:c r="B72" t="s">
        <x:v>91</x:v>
      </x:c>
      <x:c r="C72" s="21">
        <x:v>-1.9E-2</x:v>
      </x:c>
      <x:c r="D72" s="21">
        <x:v>4.1000000000000002E-2</x:v>
      </x:c>
      <x:c r="E72">
        <x:v>-0.47099999999999997</x:v>
      </x:c>
      <x:c r="F72" s="9">
        <x:v>0.63759999999999994</x:v>
      </x:c>
    </x:row>
    <x:row r="73" spans="1:6" x14ac:dyDescent="0.25">
      <x:c r="A73" s="6">
        <x:f t="shared" si="0"/>
        <x:v>64</x:v>
      </x:c>
      <x:c r="B73" t="s">
        <x:v>92</x:v>
      </x:c>
      <x:c r="C73" s="21">
        <x:v>8.5000000000000006E-2</x:v>
      </x:c>
      <x:c r="D73" s="21">
        <x:v>3.1E-2</x:v>
      </x:c>
      <x:c r="E73">
        <x:v>2.7160000000000002</x:v>
      </x:c>
      <x:c r="F73" s="9">
        <x:v>6.7000000000000002E-3</x:v>
      </x:c>
    </x:row>
    <x:row r="74" spans="1:6" x14ac:dyDescent="0.25">
      <x:c r="A74" s="6">
        <x:f t="shared" si="0"/>
        <x:v>65</x:v>
      </x:c>
      <x:c r="C74" s="21"/>
      <x:c r="D74" s="21"/>
      <x:c r="F74" s="9"/>
    </x:row>
    <x:row r="75" spans="1:6" x14ac:dyDescent="0.25">
      <x:c r="A75" s="6">
        <x:f t="shared" si="0"/>
        <x:v>66</x:v>
      </x:c>
      <x:c r="B75" s="5" t="s">
        <x:v>90</x:v>
      </x:c>
    </x:row>
    <x:row r="76" spans="1:6" x14ac:dyDescent="0.25">
      <x:c r="A76" s="6">
        <x:f t="shared" si="0"/>
        <x:v>67</x:v>
      </x:c>
      <x:c r="B76" t="s">
        <x:v>30</x:v>
      </x:c>
      <x:c r="C76" s="15">
        <x:v>1074</x:v>
      </x:c>
    </x:row>
    <x:row r="77" spans="1:6" x14ac:dyDescent="0.25">
      <x:c r="A77" s="6">
        <x:f t="shared" si="0"/>
        <x:v>68</x:v>
      </x:c>
      <x:c r="B77" t="s">
        <x:v>10</x:v>
      </x:c>
      <x:c r="C77" s="15">
        <x:v>1017</x:v>
      </x:c>
      <x:c r="F77" s="9"/>
    </x:row>
    <x:row r="78" spans="1:6" x14ac:dyDescent="0.25">
      <x:c r="A78" s="6">
        <x:f t="shared" si="0"/>
        <x:v>69</x:v>
      </x:c>
      <x:c r="B78" t="s">
        <x:v>12</x:v>
      </x:c>
      <x:c r="C78" s="21">
        <x:v>0.98099999999999998</x:v>
      </x:c>
      <x:c r="F78" s="9"/>
    </x:row>
    <x:row r="79" spans="1:6" x14ac:dyDescent="0.25">
      <x:c r="A79" s="6">
        <x:f t="shared" si="0"/>
        <x:v>70</x:v>
      </x:c>
      <x:c r="B79" t="s">
        <x:v>13</x:v>
      </x:c>
      <x:c r="C79" s="21">
        <x:v>0.98</x:v>
      </x:c>
      <x:c r="F79" s="9"/>
    </x:row>
    <x:row r="80" spans="1:6" x14ac:dyDescent="0.25">
      <x:c r="A80" s="6">
        <x:f t="shared" ref="A80:A90" si="1">+A79+1</x:f>
        <x:v>71</x:v>
      </x:c>
      <x:c r="B80" t="s">
        <x:v>15</x:v>
      </x:c>
      <x:c r="C80" s="20">
        <x:v>936.20500000000004</x:v>
      </x:c>
      <x:c r="F80" s="9"/>
    </x:row>
    <x:row r="81" spans="1:6" x14ac:dyDescent="0.25">
      <x:c r="A81" s="6">
        <x:f t="shared" si="1"/>
        <x:v>72</x:v>
      </x:c>
      <x:c r="B81" t="s">
        <x:v>16</x:v>
      </x:c>
      <x:c r="C81" s="22">
        <x:v>0</x:v>
      </x:c>
      <x:c r="F81" s="9"/>
    </x:row>
    <x:row r="82" spans="1:6" x14ac:dyDescent="0.25">
      <x:c r="A82" s="6">
        <x:f t="shared" si="1"/>
        <x:v>73</x:v>
      </x:c>
      <x:c r="B82" t="s">
        <x:v>17</x:v>
      </x:c>
      <x:c r="C82" s="20">
        <x:v>624109879.25</x:v>
      </x:c>
    </x:row>
    <x:row r="83" spans="1:6" x14ac:dyDescent="0.25">
      <x:c r="A83" s="6">
        <x:f t="shared" si="1"/>
        <x:v>74</x:v>
      </x:c>
      <x:c r="B83" t="s">
        <x:v>18</x:v>
      </x:c>
      <x:c r="C83" s="20">
        <x:v>12106616.98</x:v>
      </x:c>
      <x:c r="F83" s="9"/>
    </x:row>
    <x:row r="84" spans="1:6" x14ac:dyDescent="0.25">
      <x:c r="A84" s="6">
        <x:f t="shared" si="1"/>
        <x:v>75</x:v>
      </x:c>
      <x:c r="B84" t="s">
        <x:v>19</x:v>
      </x:c>
      <x:c r="C84" s="20">
        <x:v>11904.24</x:v>
      </x:c>
      <x:c r="F84" s="9"/>
    </x:row>
    <x:row r="85" spans="1:6" x14ac:dyDescent="0.25">
      <x:c r="A85" s="6">
        <x:f t="shared" si="1"/>
        <x:v>76</x:v>
      </x:c>
      <x:c r="B85" t="s">
        <x:v>20</x:v>
      </x:c>
      <x:c r="C85">
        <x:v>109.11</x:v>
      </x:c>
      <x:c r="F85" s="9"/>
    </x:row>
    <x:row r="86" spans="1:6" x14ac:dyDescent="0.25">
      <x:c r="A86" s="6">
        <x:f t="shared" si="1"/>
        <x:v>77</x:v>
      </x:c>
      <x:c r="B86" t="s">
        <x:v>9</x:v>
      </x:c>
      <x:c r="C86" s="26">
        <x:v>76.989999999999995</x:v>
      </x:c>
    </x:row>
    <x:row r="87" spans="1:6" x14ac:dyDescent="0.25">
      <x:c r="A87" s="6">
        <x:f t="shared" si="1"/>
        <x:v>78</x:v>
      </x:c>
      <x:c r="B87" t="s">
        <x:v>11</x:v>
      </x:c>
      <x:c r="C87" s="9">
        <x:v>1.5699999999999999E-2</x:v>
      </x:c>
    </x:row>
    <x:row r="88" spans="1:6" x14ac:dyDescent="0.25">
      <x:c r="A88" s="6">
        <x:f t="shared" si="1"/>
        <x:v>79</x:v>
      </x:c>
      <x:c r="B88" t="s">
        <x:v>14</x:v>
      </x:c>
      <x:c r="C88">
        <x:v>1.9810000000000001</x:v>
      </x:c>
    </x:row>
    <x:row r="89" spans="1:6" x14ac:dyDescent="0.25">
      <x:c r="A89" s="6">
        <x:f t="shared" si="1"/>
        <x:v>80</x:v>
      </x:c>
      <x:c r="B89" t="s">
        <x:v>21</x:v>
      </x:c>
      <x:c r="C89">
        <x:v>11.57</x:v>
      </x:c>
    </x:row>
    <x:row r="90" spans="1:6" x14ac:dyDescent="0.25">
      <x:c r="A90" s="6">
        <x:f t="shared" si="1"/>
        <x:v>81</x:v>
      </x:c>
      <x:c r="B90" t="s">
        <x:v>22</x:v>
      </x:c>
      <x:c r="C90">
        <x:v>0.98429999999999995</x:v>
      </x:c>
    </x:row>
  </x:sheetData>
  <x:mergeCells count="6">
    <x:mergeCell ref="B6:F6"/>
    <x:mergeCell ref="B8:F8"/>
    <x:mergeCell ref="B1:F1"/>
    <x:mergeCell ref="B2:F2"/>
    <x:mergeCell ref="B3:F3"/>
    <x:mergeCell ref="B4:F4"/>
  </x:mergeCells>
  <x:phoneticPr fontId="0" type="noConversion"/>
  <x:printOptions horizontalCentered="1"/>
  <x:pageMargins left="0.83" right="0.53" top="1.5" bottom="1" header="1" footer="0.5"/>
  <x:pageSetup scale="54" firstPageNumber="7" orientation="portrait" r:id="rId1"/>
  <x:headerFooter scaleWithDoc="0" alignWithMargins="0">
    <x:oddHeader>&amp;RWP/II-H-5.2/6
Page &amp;P of 20</x:oddHead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7">
    <x:pageSetUpPr fitToPage="1"/>
  </x:sheetPr>
  <x:dimension ref="A1:J45"/>
  <x:sheetViews>
    <x:sheetView zoomScaleNormal="100" workbookViewId="0">
      <x:selection activeCell="G5" sqref="G5"/>
    </x:sheetView>
  </x:sheetViews>
  <x:sheetFormatPr defaultRowHeight="13.2" x14ac:dyDescent="0.25"/>
  <x:cols>
    <x:col min="1" max="1" width="9.33203125" bestFit="1" customWidth="1"/>
    <x:col min="2" max="2" width="26.88671875" bestFit="1" customWidth="1"/>
    <x:col min="3" max="3" width="12.5546875" customWidth="1"/>
    <x:col min="4" max="5" width="9.33203125" bestFit="1" customWidth="1"/>
    <x:col min="6" max="6" width="9.33203125" customWidth="1"/>
    <x:col min="8" max="8" width="13.44140625" customWidth="1"/>
  </x:cols>
  <x:sheetData>
    <x:row r="1" spans="1:10" s="1" customFormat="1" ht="15.6" x14ac:dyDescent="0.3">
      <x:c r="A1" s="6"/>
      <x:c r="B1" s="43" t="str">
        <x:f>+'RES Spline Model'!B1:F1</x:f>
        <x:v>2025 RATE CASE</x:v>
      </x:c>
      <x:c r="C1" s="44"/>
      <x:c r="D1" s="44"/>
      <x:c r="E1" s="44"/>
      <x:c r="F1" s="44"/>
      <x:c r="G1" s="44"/>
      <x:c r="H1" s="44"/>
      <x:c r="I1" s="44"/>
      <x:c r="J1" s="44"/>
    </x:row>
    <x:row r="2" spans="1:10" s="1" customFormat="1" ht="15.6" x14ac:dyDescent="0.3">
      <x:c r="A2" s="6"/>
      <x:c r="B2" s="43" t="str">
        <x:f>+'RES Spline Model'!B2:F2</x:f>
        <x:v>ONCOR ELECTRIC DELIVERY COMPANY LLC</x:v>
      </x:c>
      <x:c r="C2" s="44"/>
      <x:c r="D2" s="44"/>
      <x:c r="E2" s="44"/>
      <x:c r="F2" s="44"/>
      <x:c r="G2" s="44"/>
      <x:c r="H2" s="44"/>
      <x:c r="I2" s="44"/>
      <x:c r="J2" s="44"/>
    </x:row>
    <x:row r="3" spans="1:10" s="1" customFormat="1" ht="15.6" x14ac:dyDescent="0.3">
      <x:c r="A3" s="6"/>
      <x:c r="B3" s="43" t="str">
        <x:f>+'RES Spline Model'!B3:F3</x:f>
        <x:v>ADJUSTED WEATHER STATION DATA</x:v>
      </x:c>
      <x:c r="C3" s="44"/>
      <x:c r="D3" s="44"/>
      <x:c r="E3" s="44"/>
      <x:c r="F3" s="44"/>
      <x:c r="G3" s="44"/>
      <x:c r="H3" s="44"/>
      <x:c r="I3" s="44"/>
      <x:c r="J3" s="44"/>
    </x:row>
    <x:row r="4" spans="1:10" s="1" customFormat="1" ht="15.6" x14ac:dyDescent="0.3">
      <x:c r="A4" s="6"/>
      <x:c r="B4" s="43" t="str">
        <x:f>+'RES Spline Model'!B4:F4</x:f>
        <x:v>FOR THE TEST YEAR ENDING DECEMBER 31, 2024</x:v>
      </x:c>
      <x:c r="C4" s="44"/>
      <x:c r="D4" s="44"/>
      <x:c r="E4" s="44"/>
      <x:c r="F4" s="44"/>
      <x:c r="G4" s="44"/>
      <x:c r="H4" s="44"/>
      <x:c r="I4" s="44"/>
      <x:c r="J4" s="44"/>
    </x:row>
    <x:row r="5" spans="1:10" s="1" customFormat="1" ht="11.4" x14ac:dyDescent="0.2">
      <x:c r="A5" s="6"/>
    </x:row>
    <x:row r="6" spans="1:10" s="1" customFormat="1" ht="15.6" x14ac:dyDescent="0.3">
      <x:c r="A6" s="6"/>
      <x:c r="B6" s="43" t="str">
        <x:f>+'RES Spline Model'!B6:F6</x:f>
        <x:v>SPONSOR: D. E. NELSON</x:v>
      </x:c>
      <x:c r="C6" s="44"/>
      <x:c r="D6" s="44"/>
      <x:c r="E6" s="44"/>
      <x:c r="F6" s="44"/>
      <x:c r="G6" s="44"/>
      <x:c r="H6" s="44"/>
      <x:c r="I6" s="44"/>
      <x:c r="J6" s="44"/>
    </x:row>
    <x:row r="8" spans="1:10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10" s="1" customFormat="1" ht="11.4" x14ac:dyDescent="0.2">
      <x:c r="A9" s="7" t="s">
        <x:v>24</x:v>
      </x:c>
      <x:c r="B9" s="8"/>
      <x:c r="C9" s="8"/>
      <x:c r="D9" s="8"/>
      <x:c r="E9" s="8"/>
      <x:c r="F9" s="8"/>
    </x:row>
    <x:row r="10" spans="1:10" s="1" customFormat="1" x14ac:dyDescent="0.25">
      <x:c r="A10" s="6">
        <x:v>1</x:v>
      </x:c>
      <x:c r="B10" s="42" t="s">
        <x:v>55</x:v>
      </x:c>
      <x:c r="C10" s="44"/>
      <x:c r="D10" s="44"/>
      <x:c r="E10" s="44"/>
      <x:c r="F10" s="44"/>
      <x:c r="G10" s="44"/>
      <x:c r="H10" s="44"/>
      <x:c r="I10" s="44"/>
      <x:c r="J10" s="44"/>
    </x:row>
    <x:row r="11" spans="1:10" s="1" customFormat="1" x14ac:dyDescent="0.25">
      <x:c r="A11" s="6">
        <x:f t="shared" ref="A11:A37" si="0">+A10+1</x:f>
        <x:v>2</x:v>
      </x:c>
      <x:c r="B11" s="42" t="str">
        <x:f>+'RES Spline Graph'!B11</x:f>
        <x:v>After Corrective Procedures for Autocorrelation</x:v>
      </x:c>
      <x:c r="C11" s="44"/>
      <x:c r="D11" s="44"/>
      <x:c r="E11" s="44"/>
      <x:c r="F11" s="44"/>
      <x:c r="G11" s="44"/>
      <x:c r="H11" s="44"/>
      <x:c r="I11" s="44"/>
      <x:c r="J11" s="44"/>
    </x:row>
    <x:row r="12" spans="1:10" s="1" customFormat="1" ht="12" x14ac:dyDescent="0.25">
      <x:c r="A12" s="6">
        <x:f t="shared" si="0"/>
        <x:v>3</x:v>
      </x:c>
      <x:c r="B12" s="3"/>
      <x:c r="C12" s="10"/>
    </x:row>
    <x:row r="13" spans="1:10" s="1" customFormat="1" ht="12" x14ac:dyDescent="0.25">
      <x:c r="A13" s="6">
        <x:f t="shared" si="0"/>
        <x:v>4</x:v>
      </x:c>
      <x:c r="B13" s="3"/>
      <x:c r="C13" s="10"/>
    </x:row>
    <x:row r="14" spans="1:10" s="1" customFormat="1" ht="11.4" x14ac:dyDescent="0.2">
      <x:c r="A14" s="6">
        <x:f t="shared" si="0"/>
        <x:v>5</x:v>
      </x:c>
    </x:row>
    <x:row r="15" spans="1:10" s="1" customFormat="1" ht="11.4" x14ac:dyDescent="0.2">
      <x:c r="A15" s="6">
        <x:f t="shared" si="0"/>
        <x:v>6</x:v>
      </x:c>
      <x:c r="B15" s="12"/>
      <x:c r="C15" s="12"/>
      <x:c r="D15" s="12"/>
      <x:c r="E15" s="12"/>
      <x:c r="F15" s="12"/>
    </x:row>
    <x:row r="16" spans="1:10" x14ac:dyDescent="0.25">
      <x:c r="A16" s="6">
        <x:f t="shared" si="0"/>
        <x:v>7</x:v>
      </x:c>
      <x:c r="F16" s="9"/>
    </x:row>
    <x:row r="17" spans="1:6" x14ac:dyDescent="0.25">
      <x:c r="A17" s="6">
        <x:f t="shared" si="0"/>
        <x:v>8</x:v>
      </x:c>
      <x:c r="F17" s="9"/>
    </x:row>
    <x:row r="18" spans="1:6" x14ac:dyDescent="0.25">
      <x:c r="A18" s="6">
        <x:f t="shared" si="0"/>
        <x:v>9</x:v>
      </x:c>
      <x:c r="F18" s="9"/>
    </x:row>
    <x:row r="19" spans="1:6" x14ac:dyDescent="0.25">
      <x:c r="A19" s="6">
        <x:f t="shared" si="0"/>
        <x:v>10</x:v>
      </x:c>
      <x:c r="F19" s="9"/>
    </x:row>
    <x:row r="20" spans="1:6" x14ac:dyDescent="0.25">
      <x:c r="A20" s="6">
        <x:f t="shared" si="0"/>
        <x:v>11</x:v>
      </x:c>
      <x:c r="F20" s="9"/>
    </x:row>
    <x:row r="21" spans="1:6" x14ac:dyDescent="0.25">
      <x:c r="A21" s="6">
        <x:f t="shared" si="0"/>
        <x:v>12</x:v>
      </x:c>
      <x:c r="F21" s="9"/>
    </x:row>
    <x:row r="22" spans="1:6" x14ac:dyDescent="0.25">
      <x:c r="A22" s="6">
        <x:f t="shared" si="0"/>
        <x:v>13</x:v>
      </x:c>
      <x:c r="F22" s="9"/>
    </x:row>
    <x:row r="23" spans="1:6" x14ac:dyDescent="0.25">
      <x:c r="A23" s="6">
        <x:f t="shared" si="0"/>
        <x:v>14</x:v>
      </x:c>
      <x:c r="F23" s="9"/>
    </x:row>
    <x:row r="24" spans="1:6" x14ac:dyDescent="0.25">
      <x:c r="A24" s="6">
        <x:f t="shared" si="0"/>
        <x:v>15</x:v>
      </x:c>
      <x:c r="F24" s="9"/>
    </x:row>
    <x:row r="25" spans="1:6" x14ac:dyDescent="0.25">
      <x:c r="A25" s="6">
        <x:f t="shared" si="0"/>
        <x:v>16</x:v>
      </x:c>
      <x:c r="F25" s="9"/>
    </x:row>
    <x:row r="26" spans="1:6" x14ac:dyDescent="0.25">
      <x:c r="A26" s="6">
        <x:f t="shared" si="0"/>
        <x:v>17</x:v>
      </x:c>
      <x:c r="F26" s="9"/>
    </x:row>
    <x:row r="27" spans="1:6" x14ac:dyDescent="0.25">
      <x:c r="A27" s="6">
        <x:f t="shared" si="0"/>
        <x:v>18</x:v>
      </x:c>
      <x:c r="F27" s="9"/>
    </x:row>
    <x:row r="28" spans="1:6" x14ac:dyDescent="0.25">
      <x:c r="A28" s="6">
        <x:f t="shared" si="0"/>
        <x:v>19</x:v>
      </x:c>
      <x:c r="F28" s="9"/>
    </x:row>
    <x:row r="29" spans="1:6" x14ac:dyDescent="0.25">
      <x:c r="A29" s="6">
        <x:f t="shared" si="0"/>
        <x:v>20</x:v>
      </x:c>
      <x:c r="F29" s="9"/>
    </x:row>
    <x:row r="30" spans="1:6" x14ac:dyDescent="0.25">
      <x:c r="A30" s="6">
        <x:f t="shared" si="0"/>
        <x:v>21</x:v>
      </x:c>
      <x:c r="F30" s="9"/>
    </x:row>
    <x:row r="31" spans="1:6" x14ac:dyDescent="0.25">
      <x:c r="A31" s="6">
        <x:f t="shared" si="0"/>
        <x:v>22</x:v>
      </x:c>
      <x:c r="F31" s="9"/>
    </x:row>
    <x:row r="32" spans="1:6" x14ac:dyDescent="0.25">
      <x:c r="A32" s="6">
        <x:f t="shared" si="0"/>
        <x:v>23</x:v>
      </x:c>
      <x:c r="F32" s="9"/>
    </x:row>
    <x:row r="33" spans="1:7" x14ac:dyDescent="0.25">
      <x:c r="A33" s="6">
        <x:f t="shared" si="0"/>
        <x:v>24</x:v>
      </x:c>
      <x:c r="F33" s="11"/>
    </x:row>
    <x:row r="34" spans="1:7" x14ac:dyDescent="0.25">
      <x:c r="A34" s="6">
        <x:f t="shared" si="0"/>
        <x:v>25</x:v>
      </x:c>
      <x:c r="F34" s="2"/>
    </x:row>
    <x:row r="35" spans="1:7" x14ac:dyDescent="0.25">
      <x:c r="A35" s="6">
        <x:f t="shared" si="0"/>
        <x:v>26</x:v>
      </x:c>
      <x:c r="F35" s="11"/>
    </x:row>
    <x:row r="36" spans="1:7" x14ac:dyDescent="0.25">
      <x:c r="A36" s="6">
        <x:f t="shared" si="0"/>
        <x:v>27</x:v>
      </x:c>
      <x:c r="F36" s="2"/>
    </x:row>
    <x:row r="37" spans="1:7" x14ac:dyDescent="0.25">
      <x:c r="A37" s="6">
        <x:f t="shared" si="0"/>
        <x:v>28</x:v>
      </x:c>
      <x:c r="F37" s="2"/>
    </x:row>
    <x:row r="38" spans="1:7" x14ac:dyDescent="0.25">
      <x:c r="A38" s="6"/>
      <x:c r="F38" s="2"/>
    </x:row>
    <x:row r="39" spans="1:7" x14ac:dyDescent="0.25">
      <x:c r="A39" s="6"/>
      <x:c r="F39" s="2"/>
    </x:row>
    <x:row r="40" spans="1:7" x14ac:dyDescent="0.25">
      <x:c r="A40" s="6"/>
      <x:c r="F40" s="2"/>
    </x:row>
    <x:row r="41" spans="1:7" x14ac:dyDescent="0.25">
      <x:c r="A41" s="6"/>
    </x:row>
    <x:row r="42" spans="1:7" x14ac:dyDescent="0.25">
      <x:c r="A42" s="6"/>
    </x:row>
    <x:row r="43" spans="1:7" x14ac:dyDescent="0.25">
      <x:c r="A43" s="6"/>
      <x:c r="C43" s="9"/>
      <x:c r="G43" s="9"/>
    </x:row>
    <x:row r="44" spans="1:7" x14ac:dyDescent="0.25">
      <x:c r="A44" s="6"/>
    </x:row>
    <x:row r="45" spans="1:7" x14ac:dyDescent="0.25">
      <x:c r="A45" s="6"/>
    </x:row>
  </x:sheetData>
  <x:mergeCells count="8">
    <x:mergeCell ref="B10:J10"/>
    <x:mergeCell ref="B11:J11"/>
    <x:mergeCell ref="B8:F8"/>
    <x:mergeCell ref="B1:J1"/>
    <x:mergeCell ref="B2:J2"/>
    <x:mergeCell ref="B3:J3"/>
    <x:mergeCell ref="B4:J4"/>
    <x:mergeCell ref="B6:J6"/>
  </x:mergeCells>
  <x:phoneticPr fontId="1" type="noConversion"/>
  <x:printOptions horizontalCentered="1"/>
  <x:pageMargins left="0.83" right="0.53" top="1.5" bottom="1" header="1" footer="0.5"/>
  <x:pageSetup scale="79" firstPageNumber="7" orientation="portrait" r:id="rId1"/>
  <x:headerFooter scaleWithDoc="0" alignWithMargins="0">
    <x:oddHeader>&amp;RWP/II-H-5.2/6
Page &amp;P of 20</x:oddHeader>
  </x:headerFooter>
  <x:drawing r:id="rId2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>
    <x:pageSetUpPr fitToPage="1"/>
  </x:sheetPr>
  <x:dimension ref="A1:F95"/>
  <x:sheetViews>
    <x:sheetView workbookViewId="0">
      <x:selection activeCell="G5" sqref="G5"/>
    </x:sheetView>
  </x:sheetViews>
  <x:sheetFormatPr defaultRowHeight="13.2" x14ac:dyDescent="0.25"/>
  <x:cols>
    <x:col min="2" max="2" width="24.44140625" customWidth="1"/>
    <x:col min="3" max="3" width="18" customWidth="1"/>
    <x:col min="4" max="4" width="10.33203125" customWidth="1"/>
  </x:cols>
  <x:sheetData>
    <x:row r="1" spans="1:6" s="1" customFormat="1" ht="15.6" x14ac:dyDescent="0.3">
      <x:c r="A1" s="6"/>
      <x:c r="B1" s="43" t="str">
        <x:f>+'RES Spline Model'!B1:F1</x:f>
        <x:v>2025 RATE CASE</x:v>
      </x:c>
      <x:c r="C1" s="43"/>
      <x:c r="D1" s="43"/>
      <x:c r="E1" s="43"/>
      <x:c r="F1" s="43"/>
    </x:row>
    <x:row r="2" spans="1:6" s="1" customFormat="1" ht="15.6" x14ac:dyDescent="0.3">
      <x:c r="A2" s="6"/>
      <x:c r="B2" s="43" t="str">
        <x:f>+'RES Spline Model'!B2:F2</x:f>
        <x:v>ONCOR ELECTRIC DELIVERY COMPANY LLC</x:v>
      </x:c>
      <x:c r="C2" s="43"/>
      <x:c r="D2" s="43"/>
      <x:c r="E2" s="43"/>
      <x:c r="F2" s="43"/>
    </x:row>
    <x:row r="3" spans="1:6" s="1" customFormat="1" ht="15.6" x14ac:dyDescent="0.3">
      <x:c r="A3" s="6"/>
      <x:c r="B3" s="43" t="str">
        <x:f>+'RES Spline Model'!B3:F3</x:f>
        <x:v>ADJUSTED WEATHER STATION DATA</x:v>
      </x:c>
      <x:c r="C3" s="43"/>
      <x:c r="D3" s="43"/>
      <x:c r="E3" s="43"/>
      <x:c r="F3" s="43"/>
    </x:row>
    <x:row r="4" spans="1:6" s="1" customFormat="1" ht="15.6" x14ac:dyDescent="0.3">
      <x:c r="A4" s="6"/>
      <x:c r="B4" s="43" t="str">
        <x:f>+'RES Spline Model'!B4:F4</x:f>
        <x:v>FOR THE TEST YEAR ENDING DECEMBER 31, 2024</x:v>
      </x:c>
      <x:c r="C4" s="43"/>
      <x:c r="D4" s="43"/>
      <x:c r="E4" s="43"/>
      <x:c r="F4" s="43"/>
    </x:row>
    <x:row r="5" spans="1:6" s="1" customFormat="1" ht="11.4" x14ac:dyDescent="0.2">
      <x:c r="A5" s="6"/>
    </x:row>
    <x:row r="6" spans="1:6" s="1" customFormat="1" ht="15.6" x14ac:dyDescent="0.3">
      <x:c r="A6" s="6"/>
      <x:c r="B6" s="43" t="str">
        <x:f>+'RES Spline Model'!B6:F6</x:f>
        <x:v>SPONSOR: D. E. NELSON</x:v>
      </x:c>
      <x:c r="C6" s="43"/>
      <x:c r="D6" s="43"/>
      <x:c r="E6" s="43"/>
      <x:c r="F6" s="43"/>
    </x:row>
    <x:row r="8" spans="1:6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6" s="1" customFormat="1" ht="11.4" x14ac:dyDescent="0.2">
      <x:c r="A9" s="7" t="s">
        <x:v>24</x:v>
      </x:c>
      <x:c r="B9" s="8" t="s">
        <x:v>25</x:v>
      </x:c>
      <x:c r="C9" s="8" t="s">
        <x:v>26</x:v>
      </x:c>
      <x:c r="D9" s="8" t="s">
        <x:v>29</x:v>
      </x:c>
      <x:c r="E9" s="8" t="s">
        <x:v>27</x:v>
      </x:c>
      <x:c r="F9" s="8" t="s">
        <x:v>28</x:v>
      </x:c>
    </x:row>
    <x:row r="10" spans="1:6" s="1" customFormat="1" ht="12" x14ac:dyDescent="0.25">
      <x:c r="A10" s="6">
        <x:v>1</x:v>
      </x:c>
      <x:c r="B10" s="3" t="s">
        <x:v>5</x:v>
      </x:c>
      <x:c r="C10" s="3" t="s">
        <x:v>56</x:v>
      </x:c>
    </x:row>
    <x:row r="11" spans="1:6" s="1" customFormat="1" ht="12" x14ac:dyDescent="0.25">
      <x:c r="A11" s="6">
        <x:f>+A10+1</x:f>
        <x:v>2</x:v>
      </x:c>
      <x:c r="B11" s="3" t="s">
        <x:v>35</x:v>
      </x:c>
      <x:c r="C11" s="3"/>
    </x:row>
    <x:row r="12" spans="1:6" s="1" customFormat="1" ht="12" x14ac:dyDescent="0.25">
      <x:c r="A12" s="6">
        <x:f t="shared" ref="A12:A91" si="0">+A11+1</x:f>
        <x:v>3</x:v>
      </x:c>
      <x:c r="B12" s="3" t="s">
        <x:v>6</x:v>
      </x:c>
      <x:c r="C12" s="3" t="s">
        <x:v>82</x:v>
      </x:c>
    </x:row>
    <x:row r="13" spans="1:6" s="1" customFormat="1" ht="12" x14ac:dyDescent="0.25">
      <x:c r="A13" s="6">
        <x:f t="shared" si="0"/>
        <x:v>4</x:v>
      </x:c>
      <x:c r="B13" s="3" t="s">
        <x:v>7</x:v>
      </x:c>
      <x:c r="C13" s="16">
        <x:f>+'RES Spline Model'!C13</x:f>
        <x:v>44197</x:v>
      </x:c>
    </x:row>
    <x:row r="14" spans="1:6" s="1" customFormat="1" ht="12" x14ac:dyDescent="0.25">
      <x:c r="A14" s="6">
        <x:f t="shared" si="0"/>
        <x:v>5</x:v>
      </x:c>
      <x:c r="B14" s="3" t="s">
        <x:v>8</x:v>
      </x:c>
      <x:c r="C14" s="16">
        <x:f>+'RES Spline Model'!C14</x:f>
        <x:v>45291</x:v>
      </x:c>
    </x:row>
    <x:row r="15" spans="1:6" s="1" customFormat="1" ht="11.4" x14ac:dyDescent="0.2">
      <x:c r="A15" s="6">
        <x:f t="shared" si="0"/>
        <x:v>6</x:v>
      </x:c>
    </x:row>
    <x:row r="16" spans="1:6" s="1" customFormat="1" ht="11.4" x14ac:dyDescent="0.2">
      <x:c r="A16" s="6">
        <x:f t="shared" si="0"/>
        <x:v>7</x:v>
      </x:c>
      <x:c r="B16" s="5" t="s">
        <x:v>0</x:v>
      </x:c>
      <x:c r="C16" s="5" t="s">
        <x:v>1</x:v>
      </x:c>
      <x:c r="D16" s="5" t="s">
        <x:v>2</x:v>
      </x:c>
      <x:c r="E16" s="5" t="s">
        <x:v>3</x:v>
      </x:c>
      <x:c r="F16" s="5" t="s">
        <x:v>4</x:v>
      </x:c>
    </x:row>
    <x:row r="17" spans="1:6" x14ac:dyDescent="0.25">
      <x:c r="A17" s="6">
        <x:f t="shared" si="0"/>
        <x:v>8</x:v>
      </x:c>
      <x:c r="B17" t="s">
        <x:v>37</x:v>
      </x:c>
      <x:c r="C17">
        <x:v>81946.313999999998</x:v>
      </x:c>
      <x:c r="D17">
        <x:v>1768.1479999999999</x:v>
      </x:c>
      <x:c r="E17">
        <x:v>46.345999999999997</x:v>
      </x:c>
      <x:c r="F17" s="9">
        <x:v>0</x:v>
      </x:c>
    </x:row>
    <x:row r="18" spans="1:6" x14ac:dyDescent="0.25">
      <x:c r="A18" s="6">
        <x:f t="shared" si="0"/>
        <x:v>9</x:v>
      </x:c>
      <x:c r="B18" t="s">
        <x:v>99</x:v>
      </x:c>
      <x:c r="C18">
        <x:v>-1701.2650000000001</x:v>
      </x:c>
      <x:c r="D18">
        <x:v>659.85799999999995</x:v>
      </x:c>
      <x:c r="E18">
        <x:v>-2.5779999999999998</x:v>
      </x:c>
      <x:c r="F18" s="9">
        <x:v>1.01E-2</x:v>
      </x:c>
    </x:row>
    <x:row r="19" spans="1:6" x14ac:dyDescent="0.25">
      <x:c r="A19" s="6">
        <x:f t="shared" si="0"/>
        <x:v>10</x:v>
      </x:c>
      <x:c r="B19" t="s">
        <x:v>100</x:v>
      </x:c>
      <x:c r="C19">
        <x:v>21167.759999999998</x:v>
      </x:c>
      <x:c r="D19">
        <x:v>308.96800000000002</x:v>
      </x:c>
      <x:c r="E19">
        <x:v>68.510999999999996</x:v>
      </x:c>
      <x:c r="F19" s="9">
        <x:v>0</x:v>
      </x:c>
    </x:row>
    <x:row r="20" spans="1:6" x14ac:dyDescent="0.25">
      <x:c r="A20" s="6">
        <x:f t="shared" si="0"/>
        <x:v>11</x:v>
      </x:c>
      <x:c r="B20" t="s">
        <x:v>101</x:v>
      </x:c>
      <x:c r="C20">
        <x:v>22827.116000000002</x:v>
      </x:c>
      <x:c r="D20">
        <x:v>458.04399999999998</x:v>
      </x:c>
      <x:c r="E20">
        <x:v>49.835999999999999</x:v>
      </x:c>
      <x:c r="F20" s="9">
        <x:v>0</x:v>
      </x:c>
    </x:row>
    <x:row r="21" spans="1:6" x14ac:dyDescent="0.25">
      <x:c r="A21" s="6">
        <x:f t="shared" si="0"/>
        <x:v>12</x:v>
      </x:c>
      <x:c r="B21" t="s">
        <x:v>102</x:v>
      </x:c>
      <x:c r="C21">
        <x:v>23571.548999999999</x:v>
      </x:c>
      <x:c r="D21">
        <x:v>530.46</x:v>
      </x:c>
      <x:c r="E21">
        <x:v>44.436</x:v>
      </x:c>
      <x:c r="F21" s="9">
        <x:v>0</x:v>
      </x:c>
    </x:row>
    <x:row r="22" spans="1:6" x14ac:dyDescent="0.25">
      <x:c r="A22" s="6">
        <x:f t="shared" si="0"/>
        <x:v>13</x:v>
      </x:c>
      <x:c r="B22" t="s">
        <x:v>103</x:v>
      </x:c>
      <x:c r="C22">
        <x:v>23261.846000000001</x:v>
      </x:c>
      <x:c r="D22">
        <x:v>531.01499999999999</x:v>
      </x:c>
      <x:c r="E22">
        <x:v>43.805999999999997</x:v>
      </x:c>
      <x:c r="F22" s="9">
        <x:v>0</x:v>
      </x:c>
    </x:row>
    <x:row r="23" spans="1:6" x14ac:dyDescent="0.25">
      <x:c r="A23" s="6">
        <x:f t="shared" si="0"/>
        <x:v>14</x:v>
      </x:c>
      <x:c r="B23" t="s">
        <x:v>104</x:v>
      </x:c>
      <x:c r="C23">
        <x:v>21530.764999999999</x:v>
      </x:c>
      <x:c r="D23">
        <x:v>458.45499999999998</x:v>
      </x:c>
      <x:c r="E23">
        <x:v>46.963999999999999</x:v>
      </x:c>
      <x:c r="F23" s="9">
        <x:v>0</x:v>
      </x:c>
    </x:row>
    <x:row r="24" spans="1:6" x14ac:dyDescent="0.25">
      <x:c r="A24" s="6">
        <x:f t="shared" si="0"/>
        <x:v>15</x:v>
      </x:c>
      <x:c r="B24" t="s">
        <x:v>105</x:v>
      </x:c>
      <x:c r="C24">
        <x:v>6066.6459999999997</x:v>
      </x:c>
      <x:c r="D24">
        <x:v>301.995</x:v>
      </x:c>
      <x:c r="E24">
        <x:v>20.088999999999999</x:v>
      </x:c>
      <x:c r="F24" s="9">
        <x:v>0</x:v>
      </x:c>
    </x:row>
    <x:row r="25" spans="1:6" x14ac:dyDescent="0.25">
      <x:c r="A25" s="6">
        <x:f t="shared" si="0"/>
        <x:v>16</x:v>
      </x:c>
      <x:c r="B25" t="s">
        <x:v>158</x:v>
      </x:c>
      <x:c r="C25">
        <x:v>-6742.509</x:v>
      </x:c>
      <x:c r="D25">
        <x:v>1536.2349999999999</x:v>
      </x:c>
      <x:c r="E25">
        <x:v>-4.3890000000000002</x:v>
      </x:c>
      <x:c r="F25" s="9">
        <x:v>0</x:v>
      </x:c>
    </x:row>
    <x:row r="26" spans="1:6" x14ac:dyDescent="0.25">
      <x:c r="A26" s="6">
        <x:f t="shared" si="0"/>
        <x:v>17</x:v>
      </x:c>
      <x:c r="B26" t="s">
        <x:v>106</x:v>
      </x:c>
      <x:c r="C26">
        <x:v>-6237.076</x:v>
      </x:c>
      <x:c r="D26">
        <x:v>1565.048</x:v>
      </x:c>
      <x:c r="E26">
        <x:v>-3.9849999999999999</x:v>
      </x:c>
      <x:c r="F26" s="9">
        <x:v>1E-4</x:v>
      </x:c>
    </x:row>
    <x:row r="27" spans="1:6" x14ac:dyDescent="0.25">
      <x:c r="A27" s="6">
        <x:f t="shared" si="0"/>
        <x:v>18</x:v>
      </x:c>
      <x:c r="B27" t="s">
        <x:v>141</x:v>
      </x:c>
      <x:c r="C27">
        <x:v>-7019.3180000000002</x:v>
      </x:c>
      <x:c r="D27">
        <x:v>1239.0730000000001</x:v>
      </x:c>
      <x:c r="E27">
        <x:v>-5.665</x:v>
      </x:c>
      <x:c r="F27" s="9">
        <x:v>0</x:v>
      </x:c>
    </x:row>
    <x:row r="28" spans="1:6" x14ac:dyDescent="0.25">
      <x:c r="A28" s="6">
        <x:f t="shared" si="0"/>
        <x:v>19</x:v>
      </x:c>
      <x:c r="B28" t="s">
        <x:v>107</x:v>
      </x:c>
      <x:c r="C28">
        <x:v>-17447.439999999999</x:v>
      </x:c>
      <x:c r="D28">
        <x:v>1270.665</x:v>
      </x:c>
      <x:c r="E28">
        <x:v>-13.731</x:v>
      </x:c>
      <x:c r="F28" s="9">
        <x:v>0</x:v>
      </x:c>
    </x:row>
    <x:row r="29" spans="1:6" x14ac:dyDescent="0.25">
      <x:c r="A29" s="6">
        <x:f t="shared" si="0"/>
        <x:v>20</x:v>
      </x:c>
      <x:c r="B29" t="s">
        <x:v>142</x:v>
      </x:c>
      <x:c r="C29">
        <x:v>-18344.2</x:v>
      </x:c>
      <x:c r="D29">
        <x:v>1241.58</x:v>
      </x:c>
      <x:c r="E29">
        <x:v>-14.775</x:v>
      </x:c>
      <x:c r="F29" s="9">
        <x:v>0</x:v>
      </x:c>
    </x:row>
    <x:row r="30" spans="1:6" x14ac:dyDescent="0.25">
      <x:c r="A30" s="6">
        <x:f t="shared" si="0"/>
        <x:v>21</x:v>
      </x:c>
      <x:c r="B30" t="s">
        <x:v>108</x:v>
      </x:c>
      <x:c r="C30">
        <x:v>-20013.656999999999</x:v>
      </x:c>
      <x:c r="D30">
        <x:v>1248.7190000000001</x:v>
      </x:c>
      <x:c r="E30">
        <x:v>-16.027000000000001</x:v>
      </x:c>
      <x:c r="F30" s="9">
        <x:v>0</x:v>
      </x:c>
    </x:row>
    <x:row r="31" spans="1:6" x14ac:dyDescent="0.25">
      <x:c r="A31" s="6">
        <x:f t="shared" si="0"/>
        <x:v>22</x:v>
      </x:c>
      <x:c r="B31" t="s">
        <x:v>109</x:v>
      </x:c>
      <x:c r="C31">
        <x:v>-22159.85</x:v>
      </x:c>
      <x:c r="D31">
        <x:v>1450.124</x:v>
      </x:c>
      <x:c r="E31">
        <x:v>-15.281000000000001</x:v>
      </x:c>
      <x:c r="F31" s="9">
        <x:v>0</x:v>
      </x:c>
    </x:row>
    <x:row r="32" spans="1:6" x14ac:dyDescent="0.25">
      <x:c r="A32" s="6">
        <x:f t="shared" si="0"/>
        <x:v>23</x:v>
      </x:c>
      <x:c r="B32" t="s">
        <x:v>110</x:v>
      </x:c>
      <x:c r="C32">
        <x:v>-14519.351000000001</x:v>
      </x:c>
      <x:c r="D32">
        <x:v>1448.002</x:v>
      </x:c>
      <x:c r="E32">
        <x:v>-10.026999999999999</x:v>
      </x:c>
      <x:c r="F32" s="9">
        <x:v>0</x:v>
      </x:c>
    </x:row>
    <x:row r="33" spans="1:6" x14ac:dyDescent="0.25">
      <x:c r="A33" s="6">
        <x:f t="shared" si="0"/>
        <x:v>24</x:v>
      </x:c>
      <x:c r="B33" t="s">
        <x:v>159</x:v>
      </x:c>
      <x:c r="C33">
        <x:v>-4881.1689999999999</x:v>
      </x:c>
      <x:c r="D33">
        <x:v>2234.2539999999999</x:v>
      </x:c>
      <x:c r="E33">
        <x:v>-2.1850000000000001</x:v>
      </x:c>
      <x:c r="F33" s="9">
        <x:v>2.9100000000000001E-2</x:v>
      </x:c>
    </x:row>
    <x:row r="34" spans="1:6" x14ac:dyDescent="0.25">
      <x:c r="A34" s="6">
        <x:f t="shared" si="0"/>
        <x:v>25</x:v>
      </x:c>
      <x:c r="B34" t="s">
        <x:v>143</x:v>
      </x:c>
      <x:c r="C34">
        <x:v>-12593.03</x:v>
      </x:c>
      <x:c r="D34">
        <x:v>1408.5889999999999</x:v>
      </x:c>
      <x:c r="E34">
        <x:v>-8.94</x:v>
      </x:c>
      <x:c r="F34" s="9">
        <x:v>0</x:v>
      </x:c>
    </x:row>
    <x:row r="35" spans="1:6" x14ac:dyDescent="0.25">
      <x:c r="A35" s="6">
        <x:f t="shared" si="0"/>
        <x:v>26</x:v>
      </x:c>
      <x:c r="B35" t="s">
        <x:v>111</x:v>
      </x:c>
      <x:c r="C35">
        <x:v>-4861.8609999999999</x:v>
      </x:c>
      <x:c r="D35">
        <x:v>1291.8150000000001</x:v>
      </x:c>
      <x:c r="E35">
        <x:v>-3.7639999999999998</x:v>
      </x:c>
      <x:c r="F35" s="9">
        <x:v>2.0000000000000001E-4</x:v>
      </x:c>
    </x:row>
    <x:row r="36" spans="1:6" x14ac:dyDescent="0.25">
      <x:c r="A36" s="6">
        <x:f t="shared" si="0"/>
        <x:v>27</x:v>
      </x:c>
      <x:c r="B36" t="s">
        <x:v>112</x:v>
      </x:c>
      <x:c r="C36">
        <x:v>-4192.9960000000001</x:v>
      </x:c>
      <x:c r="D36">
        <x:v>1600.9190000000001</x:v>
      </x:c>
      <x:c r="E36">
        <x:v>-2.6190000000000002</x:v>
      </x:c>
      <x:c r="F36" s="9">
        <x:v>8.8999999999999999E-3</x:v>
      </x:c>
    </x:row>
    <x:row r="37" spans="1:6" x14ac:dyDescent="0.25">
      <x:c r="A37" s="6">
        <x:f t="shared" si="0"/>
        <x:v>28</x:v>
      </x:c>
      <x:c r="B37" t="s">
        <x:v>113</x:v>
      </x:c>
      <x:c r="C37">
        <x:v>2539.415</x:v>
      </x:c>
      <x:c r="D37">
        <x:v>1737.558</x:v>
      </x:c>
      <x:c r="E37">
        <x:v>1.4610000000000001</x:v>
      </x:c>
      <x:c r="F37" s="9">
        <x:v>0.14419999999999999</x:v>
      </x:c>
    </x:row>
    <x:row r="38" spans="1:6" x14ac:dyDescent="0.25">
      <x:c r="A38" s="6">
        <x:f t="shared" si="0"/>
        <x:v>29</x:v>
      </x:c>
      <x:c r="B38" t="s">
        <x:v>114</x:v>
      </x:c>
      <x:c r="C38">
        <x:v>-126.38800000000001</x:v>
      </x:c>
      <x:c r="D38">
        <x:v>36.67</x:v>
      </x:c>
      <x:c r="E38">
        <x:v>-3.4470000000000001</x:v>
      </x:c>
      <x:c r="F38" s="9">
        <x:v>5.9999999999999995E-4</x:v>
      </x:c>
    </x:row>
    <x:row r="39" spans="1:6" x14ac:dyDescent="0.25">
      <x:c r="A39" s="6">
        <x:f t="shared" si="0"/>
        <x:v>30</x:v>
      </x:c>
      <x:c r="B39" t="s">
        <x:v>39</x:v>
      </x:c>
      <x:c r="C39">
        <x:v>-1871.261</x:v>
      </x:c>
      <x:c r="D39">
        <x:v>765.96500000000003</x:v>
      </x:c>
      <x:c r="E39">
        <x:v>-2.4430000000000001</x:v>
      </x:c>
      <x:c r="F39" s="9">
        <x:v>1.47E-2</x:v>
      </x:c>
    </x:row>
    <x:row r="40" spans="1:6" x14ac:dyDescent="0.25">
      <x:c r="A40" s="6">
        <x:f t="shared" si="0"/>
        <x:v>31</x:v>
      </x:c>
      <x:c r="B40" t="s">
        <x:v>41</x:v>
      </x:c>
      <x:c r="C40">
        <x:v>2928.4740000000002</x:v>
      </x:c>
      <x:c r="D40">
        <x:v>883.45699999999999</x:v>
      </x:c>
      <x:c r="E40">
        <x:v>3.3149999999999999</x:v>
      </x:c>
      <x:c r="F40" s="9">
        <x:v>1E-3</x:v>
      </x:c>
    </x:row>
    <x:row r="41" spans="1:6" x14ac:dyDescent="0.25">
      <x:c r="A41" s="6">
        <x:f t="shared" si="0"/>
        <x:v>32</x:v>
      </x:c>
      <x:c r="B41" t="s">
        <x:v>42</x:v>
      </x:c>
      <x:c r="C41">
        <x:v>7046.7160000000003</x:v>
      </x:c>
      <x:c r="D41">
        <x:v>1017.737</x:v>
      </x:c>
      <x:c r="E41">
        <x:v>6.9240000000000004</x:v>
      </x:c>
      <x:c r="F41" s="9">
        <x:v>0</x:v>
      </x:c>
    </x:row>
    <x:row r="42" spans="1:6" x14ac:dyDescent="0.25">
      <x:c r="A42" s="6">
        <x:f t="shared" si="0"/>
        <x:v>33</x:v>
      </x:c>
      <x:c r="B42" t="s">
        <x:v>43</x:v>
      </x:c>
      <x:c r="C42">
        <x:v>8941.0580000000009</x:v>
      </x:c>
      <x:c r="D42">
        <x:v>1094.4459999999999</x:v>
      </x:c>
      <x:c r="E42">
        <x:v>8.1690000000000005</x:v>
      </x:c>
      <x:c r="F42" s="9">
        <x:v>0</x:v>
      </x:c>
    </x:row>
    <x:row r="43" spans="1:6" x14ac:dyDescent="0.25">
      <x:c r="A43" s="6">
        <x:f t="shared" si="0"/>
        <x:v>34</x:v>
      </x:c>
      <x:c r="B43" t="s">
        <x:v>44</x:v>
      </x:c>
      <x:c r="C43">
        <x:v>12523.769</x:v>
      </x:c>
      <x:c r="D43">
        <x:v>1097.6199999999999</x:v>
      </x:c>
      <x:c r="E43">
        <x:v>11.41</x:v>
      </x:c>
      <x:c r="F43" s="9">
        <x:v>0</x:v>
      </x:c>
    </x:row>
    <x:row r="44" spans="1:6" x14ac:dyDescent="0.25">
      <x:c r="A44" s="6">
        <x:f t="shared" si="0"/>
        <x:v>35</x:v>
      </x:c>
      <x:c r="B44" t="s">
        <x:v>45</x:v>
      </x:c>
      <x:c r="C44">
        <x:v>8815.2009999999991</x:v>
      </x:c>
      <x:c r="D44">
        <x:v>1020.407</x:v>
      </x:c>
      <x:c r="E44">
        <x:v>8.6389999999999993</x:v>
      </x:c>
      <x:c r="F44" s="9">
        <x:v>0</x:v>
      </x:c>
    </x:row>
    <x:row r="45" spans="1:6" x14ac:dyDescent="0.25">
      <x:c r="A45" s="6">
        <x:f t="shared" si="0"/>
        <x:v>36</x:v>
      </x:c>
      <x:c r="B45" t="s">
        <x:v>52</x:v>
      </x:c>
      <x:c r="C45">
        <x:v>2968.1179999999999</x:v>
      </x:c>
      <x:c r="D45">
        <x:v>923.90499999999997</x:v>
      </x:c>
      <x:c r="E45">
        <x:v>3.2130000000000001</x:v>
      </x:c>
      <x:c r="F45" s="9">
        <x:v>1.4E-3</x:v>
      </x:c>
    </x:row>
    <x:row r="46" spans="1:6" x14ac:dyDescent="0.25">
      <x:c r="A46" s="6">
        <x:f t="shared" si="0"/>
        <x:v>37</x:v>
      </x:c>
      <x:c r="B46" t="s">
        <x:v>46</x:v>
      </x:c>
      <x:c r="C46">
        <x:v>-1322.7809999999999</x:v>
      </x:c>
      <x:c r="D46">
        <x:v>811.68299999999999</x:v>
      </x:c>
      <x:c r="E46">
        <x:v>-1.63</x:v>
      </x:c>
      <x:c r="F46" s="9">
        <x:v>0.10349999999999999</x:v>
      </x:c>
    </x:row>
    <x:row r="47" spans="1:6" x14ac:dyDescent="0.25">
      <x:c r="A47" s="6">
        <x:f t="shared" si="0"/>
        <x:v>38</x:v>
      </x:c>
      <x:c r="B47" t="s">
        <x:v>81</x:v>
      </x:c>
      <x:c r="C47">
        <x:v>2075.2150000000001</x:v>
      </x:c>
      <x:c r="D47">
        <x:v>305.94299999999998</x:v>
      </x:c>
      <x:c r="E47">
        <x:v>6.7830000000000004</x:v>
      </x:c>
      <x:c r="F47" s="9">
        <x:v>0</x:v>
      </x:c>
    </x:row>
    <x:row r="48" spans="1:6" x14ac:dyDescent="0.25">
      <x:c r="A48" s="6">
        <x:f t="shared" si="0"/>
        <x:v>39</x:v>
      </x:c>
      <x:c r="B48" t="s">
        <x:v>160</x:v>
      </x:c>
      <x:c r="C48" s="21">
        <x:v>520.85</x:v>
      </x:c>
      <x:c r="D48">
        <x:v>78.728999999999999</x:v>
      </x:c>
      <x:c r="E48">
        <x:v>6.6159999999999997</x:v>
      </x:c>
      <x:c r="F48" s="9">
        <x:v>0</x:v>
      </x:c>
    </x:row>
    <x:row r="49" spans="1:6" x14ac:dyDescent="0.25">
      <x:c r="A49" s="6">
        <x:f t="shared" si="0"/>
        <x:v>40</x:v>
      </x:c>
      <x:c r="B49" t="s">
        <x:v>161</x:v>
      </x:c>
      <x:c r="C49" s="21">
        <x:v>503.702</x:v>
      </x:c>
      <x:c r="D49">
        <x:v>47.139000000000003</x:v>
      </x:c>
      <x:c r="E49">
        <x:v>10.685</x:v>
      </x:c>
      <x:c r="F49" s="9">
        <x:v>0</x:v>
      </x:c>
    </x:row>
    <x:row r="50" spans="1:6" x14ac:dyDescent="0.25">
      <x:c r="A50" s="6">
        <x:f t="shared" si="0"/>
        <x:v>41</x:v>
      </x:c>
      <x:c r="B50" t="s">
        <x:v>176</x:v>
      </x:c>
      <x:c r="C50" s="21">
        <x:v>229.85599999999999</x:v>
      </x:c>
      <x:c r="D50">
        <x:v>43.235999999999997</x:v>
      </x:c>
      <x:c r="E50">
        <x:v>5.3159999999999998</x:v>
      </x:c>
      <x:c r="F50" s="9">
        <x:v>0</x:v>
      </x:c>
    </x:row>
    <x:row r="51" spans="1:6" x14ac:dyDescent="0.25">
      <x:c r="A51" s="6">
        <x:f t="shared" si="0"/>
        <x:v>42</x:v>
      </x:c>
      <x:c r="B51" t="s">
        <x:v>162</x:v>
      </x:c>
      <x:c r="C51" s="21">
        <x:v>779.41200000000003</x:v>
      </x:c>
      <x:c r="D51">
        <x:v>115.447</x:v>
      </x:c>
      <x:c r="E51">
        <x:v>6.7510000000000003</x:v>
      </x:c>
      <x:c r="F51" s="9">
        <x:v>0</x:v>
      </x:c>
    </x:row>
    <x:row r="52" spans="1:6" x14ac:dyDescent="0.25">
      <x:c r="A52" s="6">
        <x:f t="shared" si="0"/>
        <x:v>43</x:v>
      </x:c>
      <x:c r="B52" t="s">
        <x:v>163</x:v>
      </x:c>
      <x:c r="C52" s="21">
        <x:v>390.39400000000001</x:v>
      </x:c>
      <x:c r="D52">
        <x:v>163</x:v>
      </x:c>
      <x:c r="E52">
        <x:v>2.395</x:v>
      </x:c>
      <x:c r="F52" s="9">
        <x:v>1.6799999999999999E-2</x:v>
      </x:c>
    </x:row>
    <x:row r="53" spans="1:6" x14ac:dyDescent="0.25">
      <x:c r="A53" s="6">
        <x:f t="shared" si="0"/>
        <x:v>44</x:v>
      </x:c>
      <x:c r="B53" t="s">
        <x:v>164</x:v>
      </x:c>
      <x:c r="C53" s="21">
        <x:v>617.06399999999996</x:v>
      </x:c>
      <x:c r="D53">
        <x:v>114.69499999999999</x:v>
      </x:c>
      <x:c r="E53">
        <x:v>5.38</x:v>
      </x:c>
      <x:c r="F53" s="9">
        <x:v>0</x:v>
      </x:c>
    </x:row>
    <x:row r="54" spans="1:6" x14ac:dyDescent="0.25">
      <x:c r="A54" s="6">
        <x:f t="shared" si="0"/>
        <x:v>45</x:v>
      </x:c>
      <x:c r="B54" t="s">
        <x:v>115</x:v>
      </x:c>
      <x:c r="C54" s="21">
        <x:v>-49559.557000000001</x:v>
      </x:c>
      <x:c r="D54">
        <x:v>3110.768</x:v>
      </x:c>
      <x:c r="E54">
        <x:v>-15.932</x:v>
      </x:c>
      <x:c r="F54" s="9">
        <x:v>0</x:v>
      </x:c>
    </x:row>
    <x:row r="55" spans="1:6" x14ac:dyDescent="0.25">
      <x:c r="A55" s="6">
        <x:f t="shared" si="0"/>
        <x:v>46</x:v>
      </x:c>
      <x:c r="B55" t="s">
        <x:v>116</x:v>
      </x:c>
      <x:c r="C55" s="21">
        <x:v>-49199.972999999998</x:v>
      </x:c>
      <x:c r="D55">
        <x:v>3206.9520000000002</x:v>
      </x:c>
      <x:c r="E55">
        <x:v>-15.342000000000001</x:v>
      </x:c>
      <x:c r="F55" s="9">
        <x:v>0</x:v>
      </x:c>
    </x:row>
    <x:row r="56" spans="1:6" x14ac:dyDescent="0.25">
      <x:c r="A56" s="6">
        <x:f t="shared" si="0"/>
        <x:v>47</x:v>
      </x:c>
      <x:c r="B56" t="s">
        <x:v>155</x:v>
      </x:c>
      <x:c r="C56" s="21">
        <x:v>-24835.651999999998</x:v>
      </x:c>
      <x:c r="D56">
        <x:v>3153.748</x:v>
      </x:c>
      <x:c r="E56">
        <x:v>-7.875</x:v>
      </x:c>
      <x:c r="F56" s="9">
        <x:v>0</x:v>
      </x:c>
    </x:row>
    <x:row r="57" spans="1:6" x14ac:dyDescent="0.25">
      <x:c r="A57" s="6">
        <x:f t="shared" si="0"/>
        <x:v>48</x:v>
      </x:c>
      <x:c r="B57" t="s">
        <x:v>156</x:v>
      </x:c>
      <x:c r="C57" s="21">
        <x:v>-17219.687000000002</x:v>
      </x:c>
      <x:c r="D57">
        <x:v>3112.7689999999998</x:v>
      </x:c>
      <x:c r="E57">
        <x:v>-5.532</x:v>
      </x:c>
      <x:c r="F57" s="9">
        <x:v>0</x:v>
      </x:c>
    </x:row>
    <x:row r="58" spans="1:6" x14ac:dyDescent="0.25">
      <x:c r="A58" s="6">
        <x:f t="shared" si="0"/>
        <x:v>49</x:v>
      </x:c>
      <x:c r="B58" t="s">
        <x:v>157</x:v>
      </x:c>
      <x:c r="C58" s="21">
        <x:v>-14314.56</x:v>
      </x:c>
      <x:c r="D58">
        <x:v>2629.9360000000001</x:v>
      </x:c>
      <x:c r="E58">
        <x:v>-5.4429999999999996</x:v>
      </x:c>
      <x:c r="F58" s="9">
        <x:v>0</x:v>
      </x:c>
    </x:row>
    <x:row r="59" spans="1:6" x14ac:dyDescent="0.25">
      <x:c r="A59" s="6">
        <x:f t="shared" si="0"/>
        <x:v>50</x:v>
      </x:c>
      <x:c r="B59" t="s">
        <x:v>31</x:v>
      </x:c>
      <x:c r="C59" s="21">
        <x:v>0.67400000000000004</x:v>
      </x:c>
      <x:c r="D59">
        <x:v>3.2000000000000001E-2</x:v>
      </x:c>
      <x:c r="E59">
        <x:v>21.355</x:v>
      </x:c>
      <x:c r="F59" s="9">
        <x:v>0</x:v>
      </x:c>
    </x:row>
    <x:row r="60" spans="1:6" x14ac:dyDescent="0.25">
      <x:c r="A60" s="6">
        <x:f t="shared" si="0"/>
        <x:v>51</x:v>
      </x:c>
      <x:c r="B60" t="s">
        <x:v>32</x:v>
      </x:c>
      <x:c r="C60" s="21">
        <x:v>-7.8E-2</x:v>
      </x:c>
      <x:c r="D60">
        <x:v>3.7999999999999999E-2</x:v>
      </x:c>
      <x:c r="E60">
        <x:v>-2.0649999999999999</x:v>
      </x:c>
      <x:c r="F60" s="9">
        <x:v>3.9199999999999999E-2</x:v>
      </x:c>
    </x:row>
    <x:row r="61" spans="1:6" x14ac:dyDescent="0.25">
      <x:c r="A61" s="6">
        <x:f t="shared" si="0"/>
        <x:v>52</x:v>
      </x:c>
      <x:c r="B61" s="27" t="s">
        <x:v>33</x:v>
      </x:c>
      <x:c r="C61" s="21">
        <x:v>9.7000000000000003E-2</x:v>
      </x:c>
      <x:c r="D61">
        <x:v>3.7999999999999999E-2</x:v>
      </x:c>
      <x:c r="E61">
        <x:v>2.5299999999999998</x:v>
      </x:c>
      <x:c r="F61" s="9">
        <x:v>1.1599999999999999E-2</x:v>
      </x:c>
    </x:row>
    <x:row r="62" spans="1:6" x14ac:dyDescent="0.25">
      <x:c r="A62" s="6">
        <x:f t="shared" si="0"/>
        <x:v>53</x:v>
      </x:c>
      <x:c r="B62" t="s">
        <x:v>34</x:v>
      </x:c>
      <x:c r="C62" s="21">
        <x:v>-7.1999999999999995E-2</x:v>
      </x:c>
      <x:c r="D62">
        <x:v>3.7999999999999999E-2</x:v>
      </x:c>
      <x:c r="E62">
        <x:v>-1.893</x:v>
      </x:c>
      <x:c r="F62" s="9">
        <x:v>5.8599999999999999E-2</x:v>
      </x:c>
    </x:row>
    <x:row r="63" spans="1:6" x14ac:dyDescent="0.25">
      <x:c r="A63" s="6">
        <x:f t="shared" si="0"/>
        <x:v>54</x:v>
      </x:c>
      <x:c r="B63" t="s">
        <x:v>36</x:v>
      </x:c>
      <x:c r="C63" s="21">
        <x:v>1.7000000000000001E-2</x:v>
      </x:c>
      <x:c r="D63">
        <x:v>3.7999999999999999E-2</x:v>
      </x:c>
      <x:c r="E63">
        <x:v>0.44400000000000001</x:v>
      </x:c>
      <x:c r="F63" s="9">
        <x:v>0.65690000000000004</x:v>
      </x:c>
    </x:row>
    <x:row r="64" spans="1:6" x14ac:dyDescent="0.25">
      <x:c r="A64" s="6">
        <x:f t="shared" si="0"/>
        <x:v>55</x:v>
      </x:c>
      <x:c r="B64" t="s">
        <x:v>49</x:v>
      </x:c>
      <x:c r="C64" s="21">
        <x:v>4.4999999999999998E-2</x:v>
      </x:c>
      <x:c r="D64">
        <x:v>3.9E-2</x:v>
      </x:c>
      <x:c r="E64">
        <x:v>1.167</x:v>
      </x:c>
      <x:c r="F64" s="9">
        <x:v>0.2437</x:v>
      </x:c>
    </x:row>
    <x:row r="65" spans="1:6" x14ac:dyDescent="0.25">
      <x:c r="A65" s="6">
        <x:f t="shared" si="0"/>
        <x:v>56</x:v>
      </x:c>
      <x:c r="B65" t="s">
        <x:v>50</x:v>
      </x:c>
      <x:c r="C65" s="21">
        <x:v>3.6999999999999998E-2</x:v>
      </x:c>
      <x:c r="D65">
        <x:v>3.9E-2</x:v>
      </x:c>
      <x:c r="E65">
        <x:v>0.94199999999999995</x:v>
      </x:c>
      <x:c r="F65" s="9">
        <x:v>0.34660000000000002</x:v>
      </x:c>
    </x:row>
    <x:row r="66" spans="1:6" x14ac:dyDescent="0.25">
      <x:c r="A66" s="6">
        <x:f t="shared" si="0"/>
        <x:v>57</x:v>
      </x:c>
      <x:c r="B66" t="s">
        <x:v>66</x:v>
      </x:c>
      <x:c r="C66" s="21">
        <x:v>-2.3E-2</x:v>
      </x:c>
      <x:c r="D66">
        <x:v>3.9E-2</x:v>
      </x:c>
      <x:c r="E66">
        <x:v>-0.59099999999999997</x:v>
      </x:c>
      <x:c r="F66" s="9">
        <x:v>0.55469999999999997</x:v>
      </x:c>
    </x:row>
    <x:row r="67" spans="1:6" x14ac:dyDescent="0.25">
      <x:c r="A67" s="6">
        <x:f t="shared" si="0"/>
        <x:v>58</x:v>
      </x:c>
      <x:c r="B67" t="s">
        <x:v>67</x:v>
      </x:c>
      <x:c r="C67" s="21">
        <x:v>1.0999999999999999E-2</x:v>
      </x:c>
      <x:c r="D67">
        <x:v>3.9E-2</x:v>
      </x:c>
      <x:c r="E67">
        <x:v>0.28299999999999997</x:v>
      </x:c>
      <x:c r="F67" s="9">
        <x:v>0.77729999999999999</x:v>
      </x:c>
    </x:row>
    <x:row r="68" spans="1:6" x14ac:dyDescent="0.25">
      <x:c r="A68" s="6">
        <x:f t="shared" si="0"/>
        <x:v>59</x:v>
      </x:c>
      <x:c r="B68" t="s">
        <x:v>68</x:v>
      </x:c>
      <x:c r="C68" s="21">
        <x:v>-0.12</x:v>
      </x:c>
      <x:c r="D68">
        <x:v>3.9E-2</x:v>
      </x:c>
      <x:c r="E68">
        <x:v>-3.0819999999999999</x:v>
      </x:c>
      <x:c r="F68" s="9">
        <x:v>2.0999999999999999E-3</x:v>
      </x:c>
    </x:row>
    <x:row r="69" spans="1:6" x14ac:dyDescent="0.25">
      <x:c r="A69" s="6">
        <x:f t="shared" si="0"/>
        <x:v>60</x:v>
      </x:c>
      <x:c r="B69" t="s">
        <x:v>69</x:v>
      </x:c>
      <x:c r="C69" s="21">
        <x:v>7.9000000000000001E-2</x:v>
      </x:c>
      <x:c r="D69">
        <x:v>3.9E-2</x:v>
      </x:c>
      <x:c r="E69">
        <x:v>2.0299999999999998</x:v>
      </x:c>
      <x:c r="F69" s="9">
        <x:v>4.2599999999999999E-2</x:v>
      </x:c>
    </x:row>
    <x:row r="70" spans="1:6" x14ac:dyDescent="0.25">
      <x:c r="A70" s="6">
        <x:f t="shared" si="0"/>
        <x:v>61</x:v>
      </x:c>
      <x:c r="B70" t="s">
        <x:v>70</x:v>
      </x:c>
      <x:c r="C70" s="21">
        <x:v>-3.2000000000000001E-2</x:v>
      </x:c>
      <x:c r="D70">
        <x:v>3.9E-2</x:v>
      </x:c>
      <x:c r="E70">
        <x:v>-0.82099999999999995</x:v>
      </x:c>
      <x:c r="F70" s="9">
        <x:v>0.41199999999999998</x:v>
      </x:c>
    </x:row>
    <x:row r="71" spans="1:6" x14ac:dyDescent="0.25">
      <x:c r="A71" s="6">
        <x:f t="shared" si="0"/>
        <x:v>62</x:v>
      </x:c>
      <x:c r="B71" t="s">
        <x:v>71</x:v>
      </x:c>
      <x:c r="C71" s="21">
        <x:v>7.9000000000000001E-2</x:v>
      </x:c>
      <x:c r="D71">
        <x:v>3.9E-2</x:v>
      </x:c>
      <x:c r="E71">
        <x:v>2.0129999999999999</x:v>
      </x:c>
      <x:c r="F71" s="9">
        <x:v>4.4400000000000002E-2</x:v>
      </x:c>
    </x:row>
    <x:row r="72" spans="1:6" x14ac:dyDescent="0.25">
      <x:c r="A72" s="6">
        <x:f t="shared" si="0"/>
        <x:v>63</x:v>
      </x:c>
      <x:c r="B72" t="s">
        <x:v>72</x:v>
      </x:c>
      <x:c r="C72" s="21">
        <x:v>2.5999999999999999E-2</x:v>
      </x:c>
      <x:c r="D72">
        <x:v>0.04</x:v>
      </x:c>
      <x:c r="E72">
        <x:v>0.66</x:v>
      </x:c>
      <x:c r="F72" s="9">
        <x:v>0.5091</x:v>
      </x:c>
    </x:row>
    <x:row r="73" spans="1:6" x14ac:dyDescent="0.25">
      <x:c r="A73" s="6">
        <x:f t="shared" si="0"/>
        <x:v>64</x:v>
      </x:c>
      <x:c r="B73" t="s">
        <x:v>73</x:v>
      </x:c>
      <x:c r="C73" s="21">
        <x:v>-4.2000000000000003E-2</x:v>
      </x:c>
      <x:c r="D73">
        <x:v>3.9E-2</x:v>
      </x:c>
      <x:c r="E73">
        <x:v>-1.06</x:v>
      </x:c>
      <x:c r="F73" s="9">
        <x:v>0.28949999999999998</x:v>
      </x:c>
    </x:row>
    <x:row r="74" spans="1:6" x14ac:dyDescent="0.25">
      <x:c r="A74" s="6">
        <x:f t="shared" si="0"/>
        <x:v>65</x:v>
      </x:c>
      <x:c r="B74" t="s">
        <x:v>74</x:v>
      </x:c>
      <x:c r="C74" s="21">
        <x:v>-3.1E-2</x:v>
      </x:c>
      <x:c r="D74">
        <x:v>3.9E-2</x:v>
      </x:c>
      <x:c r="E74">
        <x:v>-0.79300000000000004</x:v>
      </x:c>
      <x:c r="F74" s="9">
        <x:v>0.42809999999999998</x:v>
      </x:c>
    </x:row>
    <x:row r="75" spans="1:6" x14ac:dyDescent="0.25">
      <x:c r="A75" s="6">
        <x:f t="shared" si="0"/>
        <x:v>66</x:v>
      </x:c>
      <x:c r="B75" t="s">
        <x:v>75</x:v>
      </x:c>
      <x:c r="C75" s="21">
        <x:v>-3.9E-2</x:v>
      </x:c>
      <x:c r="D75">
        <x:v>3.9E-2</x:v>
      </x:c>
      <x:c r="E75">
        <x:v>-1.002</x:v>
      </x:c>
      <x:c r="F75" s="9">
        <x:v>0.31680000000000003</x:v>
      </x:c>
    </x:row>
    <x:row r="76" spans="1:6" x14ac:dyDescent="0.25">
      <x:c r="A76" s="6">
        <x:f t="shared" si="0"/>
        <x:v>67</x:v>
      </x:c>
      <x:c r="B76" t="s">
        <x:v>76</x:v>
      </x:c>
      <x:c r="C76" s="21">
        <x:v>-2E-3</x:v>
      </x:c>
      <x:c r="D76">
        <x:v>3.9E-2</x:v>
      </x:c>
      <x:c r="E76">
        <x:v>-4.9000000000000002E-2</x:v>
      </x:c>
      <x:c r="F76" s="9">
        <x:v>0.96109999999999995</x:v>
      </x:c>
    </x:row>
    <x:row r="77" spans="1:6" x14ac:dyDescent="0.25">
      <x:c r="A77" s="6">
        <x:f t="shared" si="0"/>
        <x:v>68</x:v>
      </x:c>
      <x:c r="B77" t="s">
        <x:v>77</x:v>
      </x:c>
      <x:c r="C77" s="21">
        <x:v>-7.0000000000000001E-3</x:v>
      </x:c>
      <x:c r="D77">
        <x:v>3.9E-2</x:v>
      </x:c>
      <x:c r="E77">
        <x:v>-0.189</x:v>
      </x:c>
      <x:c r="F77" s="9">
        <x:v>0.85040000000000004</x:v>
      </x:c>
    </x:row>
    <x:row r="78" spans="1:6" x14ac:dyDescent="0.25">
      <x:c r="A78" s="6">
        <x:f t="shared" si="0"/>
        <x:v>69</x:v>
      </x:c>
      <x:c r="B78" t="s">
        <x:v>91</x:v>
      </x:c>
      <x:c r="C78" s="21">
        <x:v>6.0999999999999999E-2</x:v>
      </x:c>
      <x:c r="D78">
        <x:v>3.1E-2</x:v>
      </x:c>
      <x:c r="E78">
        <x:v>1.9630000000000001</x:v>
      </x:c>
      <x:c r="F78" s="9">
        <x:v>4.99E-2</x:v>
      </x:c>
    </x:row>
    <x:row r="79" spans="1:6" x14ac:dyDescent="0.25">
      <x:c r="A79" s="6">
        <x:f t="shared" si="0"/>
        <x:v>70</x:v>
      </x:c>
      <x:c r="C79" s="21"/>
      <x:c r="F79" s="9"/>
    </x:row>
    <x:row r="80" spans="1:6" x14ac:dyDescent="0.25">
      <x:c r="A80" s="6">
        <x:f t="shared" si="0"/>
        <x:v>71</x:v>
      </x:c>
      <x:c r="B80" s="4" t="s">
        <x:v>90</x:v>
      </x:c>
    </x:row>
    <x:row r="81" spans="1:6" x14ac:dyDescent="0.25">
      <x:c r="A81" s="6">
        <x:f t="shared" si="0"/>
        <x:v>72</x:v>
      </x:c>
      <x:c r="B81" t="s">
        <x:v>30</x:v>
      </x:c>
      <x:c r="C81" s="15">
        <x:v>1075</x:v>
      </x:c>
    </x:row>
    <x:row r="82" spans="1:6" x14ac:dyDescent="0.25">
      <x:c r="A82" s="6">
        <x:f t="shared" si="0"/>
        <x:v>73</x:v>
      </x:c>
      <x:c r="B82" t="s">
        <x:v>10</x:v>
      </x:c>
      <x:c r="C82" s="31">
        <x:v>1013</x:v>
      </x:c>
      <x:c r="F82" s="9"/>
    </x:row>
    <x:row r="83" spans="1:6" x14ac:dyDescent="0.25">
      <x:c r="A83" s="6">
        <x:f t="shared" si="0"/>
        <x:v>74</x:v>
      </x:c>
      <x:c r="B83" t="s">
        <x:v>12</x:v>
      </x:c>
      <x:c r="C83" s="33">
        <x:v>0.98699999999999999</x:v>
      </x:c>
      <x:c r="F83" s="9"/>
    </x:row>
    <x:row r="84" spans="1:6" x14ac:dyDescent="0.25">
      <x:c r="A84" s="6">
        <x:f t="shared" si="0"/>
        <x:v>75</x:v>
      </x:c>
      <x:c r="B84" t="s">
        <x:v>13</x:v>
      </x:c>
      <x:c r="C84" s="21">
        <x:v>0.98699999999999999</x:v>
      </x:c>
      <x:c r="F84" s="9"/>
    </x:row>
    <x:row r="85" spans="1:6" x14ac:dyDescent="0.25">
      <x:c r="A85" s="6">
        <x:f t="shared" si="0"/>
        <x:v>76</x:v>
      </x:c>
      <x:c r="B85" t="s">
        <x:v>15</x:v>
      </x:c>
      <x:c r="C85" s="15">
        <x:v>1293.4100000000001</x:v>
      </x:c>
      <x:c r="F85" s="9"/>
    </x:row>
    <x:row r="86" spans="1:6" x14ac:dyDescent="0.25">
      <x:c r="A86" s="6">
        <x:f t="shared" si="0"/>
        <x:v>77</x:v>
      </x:c>
      <x:c r="B86" t="s">
        <x:v>16</x:v>
      </x:c>
      <x:c r="C86" s="22">
        <x:v>0</x:v>
      </x:c>
      <x:c r="F86" s="9"/>
    </x:row>
    <x:row r="87" spans="1:6" x14ac:dyDescent="0.25">
      <x:c r="A87" s="6">
        <x:f t="shared" si="0"/>
        <x:v>78</x:v>
      </x:c>
      <x:c r="B87" t="s">
        <x:v>17</x:v>
      </x:c>
      <x:c r="C87" s="20">
        <x:v>545976889088.34003</x:v>
      </x:c>
    </x:row>
    <x:row r="88" spans="1:6" x14ac:dyDescent="0.25">
      <x:c r="A88" s="6">
        <x:f t="shared" si="0"/>
        <x:v>79</x:v>
      </x:c>
      <x:c r="B88" t="s">
        <x:v>18</x:v>
      </x:c>
      <x:c r="C88" s="20">
        <x:v>7009996350.3599997</x:v>
      </x:c>
      <x:c r="F88" s="9"/>
    </x:row>
    <x:row r="89" spans="1:6" x14ac:dyDescent="0.25">
      <x:c r="A89" s="6">
        <x:f t="shared" si="0"/>
        <x:v>80</x:v>
      </x:c>
      <x:c r="B89" t="s">
        <x:v>19</x:v>
      </x:c>
      <x:c r="C89" s="20">
        <x:v>6920035.8799999999</x:v>
      </x:c>
      <x:c r="F89" s="9"/>
    </x:row>
    <x:row r="90" spans="1:6" x14ac:dyDescent="0.25">
      <x:c r="A90" s="6">
        <x:f t="shared" si="0"/>
        <x:v>81</x:v>
      </x:c>
      <x:c r="B90" t="s">
        <x:v>20</x:v>
      </x:c>
      <x:c r="C90" s="25">
        <x:v>2630.6</x:v>
      </x:c>
      <x:c r="F90" s="9"/>
    </x:row>
    <x:row r="91" spans="1:6" x14ac:dyDescent="0.25">
      <x:c r="A91" s="6">
        <x:f t="shared" si="0"/>
        <x:v>82</x:v>
      </x:c>
      <x:c r="B91" t="s">
        <x:v>9</x:v>
      </x:c>
      <x:c r="C91" s="25">
        <x:v>1816.8</x:v>
      </x:c>
    </x:row>
    <x:row r="92" spans="1:6" x14ac:dyDescent="0.25">
      <x:c r="A92" s="6">
        <x:f t="shared" ref="A92:A95" si="1">+A91+1</x:f>
        <x:v>83</x:v>
      </x:c>
      <x:c r="B92" t="s">
        <x:v>11</x:v>
      </x:c>
      <x:c r="C92" s="9">
        <x:v>1.46E-2</x:v>
      </x:c>
    </x:row>
    <x:row r="93" spans="1:6" x14ac:dyDescent="0.25">
      <x:c r="A93" s="6">
        <x:f t="shared" si="1"/>
        <x:v>84</x:v>
      </x:c>
      <x:c r="B93" t="s">
        <x:v>14</x:v>
      </x:c>
      <x:c r="C93">
        <x:v>2.0019999999999998</x:v>
      </x:c>
    </x:row>
    <x:row r="94" spans="1:6" x14ac:dyDescent="0.25">
      <x:c r="A94" s="6">
        <x:f t="shared" si="1"/>
        <x:v>85</x:v>
      </x:c>
      <x:c r="B94" t="s">
        <x:v>21</x:v>
      </x:c>
      <x:c r="C94">
        <x:v>9.09</x:v>
      </x:c>
    </x:row>
    <x:row r="95" spans="1:6" x14ac:dyDescent="0.25">
      <x:c r="A95" s="6">
        <x:f t="shared" si="1"/>
        <x:v>86</x:v>
      </x:c>
      <x:c r="B95" t="s">
        <x:v>22</x:v>
      </x:c>
      <x:c r="C95">
        <x:v>0.99739999999999995</x:v>
      </x:c>
    </x:row>
  </x:sheetData>
  <x:mergeCells count="6">
    <x:mergeCell ref="B6:F6"/>
    <x:mergeCell ref="B8:F8"/>
    <x:mergeCell ref="B1:F1"/>
    <x:mergeCell ref="B2:F2"/>
    <x:mergeCell ref="B3:F3"/>
    <x:mergeCell ref="B4:F4"/>
  </x:mergeCells>
  <x:phoneticPr fontId="0" type="noConversion"/>
  <x:printOptions horizontalCentered="1"/>
  <x:pageMargins left="0.83" right="0.53" top="1.5" bottom="1" header="1" footer="0.5"/>
  <x:pageSetup scale="51" firstPageNumber="7" orientation="portrait" r:id="rId1"/>
  <x:headerFooter scaleWithDoc="0" alignWithMargins="0">
    <x:oddHeader>&amp;RWP/II-H-5.2/6
Page &amp;P of 20</x:oddHeader>
  </x:headerFooter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Sheet8">
    <x:pageSetUpPr fitToPage="1"/>
  </x:sheetPr>
  <x:dimension ref="A1:K45"/>
  <x:sheetViews>
    <x:sheetView zoomScaleNormal="100" workbookViewId="0">
      <x:selection activeCell="G5" sqref="G5"/>
    </x:sheetView>
  </x:sheetViews>
  <x:sheetFormatPr defaultRowHeight="13.2" x14ac:dyDescent="0.25"/>
  <x:cols>
    <x:col min="1" max="1" width="9.33203125" bestFit="1" customWidth="1"/>
    <x:col min="2" max="2" width="26.88671875" bestFit="1" customWidth="1"/>
    <x:col min="3" max="3" width="12.5546875" customWidth="1"/>
    <x:col min="4" max="5" width="9.33203125" bestFit="1" customWidth="1"/>
    <x:col min="6" max="6" width="9.33203125" customWidth="1"/>
  </x:cols>
  <x:sheetData>
    <x:row r="1" spans="1:11" s="1" customFormat="1" ht="15.6" x14ac:dyDescent="0.3">
      <x:c r="A1" s="6"/>
      <x:c r="B1" s="43" t="str">
        <x:f>+'RES Spline Model'!B1:F1</x:f>
        <x:v>2025 RATE CASE</x:v>
      </x:c>
      <x:c r="C1" s="44"/>
      <x:c r="D1" s="44"/>
      <x:c r="E1" s="44"/>
      <x:c r="F1" s="44"/>
      <x:c r="G1" s="44"/>
      <x:c r="H1" s="44"/>
      <x:c r="I1" s="44"/>
      <x:c r="J1" s="44"/>
      <x:c r="K1" s="35"/>
    </x:row>
    <x:row r="2" spans="1:11" s="1" customFormat="1" ht="15.6" x14ac:dyDescent="0.3">
      <x:c r="A2" s="6"/>
      <x:c r="B2" s="43" t="str">
        <x:f>+'RES Spline Model'!B2:F2</x:f>
        <x:v>ONCOR ELECTRIC DELIVERY COMPANY LLC</x:v>
      </x:c>
      <x:c r="C2" s="44"/>
      <x:c r="D2" s="44"/>
      <x:c r="E2" s="44"/>
      <x:c r="F2" s="44"/>
      <x:c r="G2" s="44"/>
      <x:c r="H2" s="44"/>
      <x:c r="I2" s="44"/>
      <x:c r="J2" s="44"/>
      <x:c r="K2" s="35"/>
    </x:row>
    <x:row r="3" spans="1:11" s="1" customFormat="1" ht="15.6" x14ac:dyDescent="0.3">
      <x:c r="A3" s="6"/>
      <x:c r="B3" s="43" t="str">
        <x:f>+'RES Spline Model'!B3:F3</x:f>
        <x:v>ADJUSTED WEATHER STATION DATA</x:v>
      </x:c>
      <x:c r="C3" s="44"/>
      <x:c r="D3" s="44"/>
      <x:c r="E3" s="44"/>
      <x:c r="F3" s="44"/>
      <x:c r="G3" s="44"/>
      <x:c r="H3" s="44"/>
      <x:c r="I3" s="44"/>
      <x:c r="J3" s="44"/>
      <x:c r="K3" s="35"/>
    </x:row>
    <x:row r="4" spans="1:11" s="1" customFormat="1" ht="15.6" x14ac:dyDescent="0.3">
      <x:c r="A4" s="6"/>
      <x:c r="B4" s="43" t="str">
        <x:f>+'RES Spline Model'!B4:F4</x:f>
        <x:v>FOR THE TEST YEAR ENDING DECEMBER 31, 2024</x:v>
      </x:c>
      <x:c r="C4" s="44"/>
      <x:c r="D4" s="44"/>
      <x:c r="E4" s="44"/>
      <x:c r="F4" s="44"/>
      <x:c r="G4" s="44"/>
      <x:c r="H4" s="44"/>
      <x:c r="I4" s="44"/>
      <x:c r="J4" s="44"/>
      <x:c r="K4" s="35"/>
    </x:row>
    <x:row r="5" spans="1:11" s="1" customFormat="1" ht="11.4" x14ac:dyDescent="0.2">
      <x:c r="A5" s="6"/>
    </x:row>
    <x:row r="6" spans="1:11" s="1" customFormat="1" ht="15.6" x14ac:dyDescent="0.3">
      <x:c r="A6" s="6"/>
      <x:c r="B6" s="43" t="str">
        <x:f>+'RES Spline Model'!B6:F6</x:f>
        <x:v>SPONSOR: D. E. NELSON</x:v>
      </x:c>
      <x:c r="C6" s="44"/>
      <x:c r="D6" s="44"/>
      <x:c r="E6" s="44"/>
      <x:c r="F6" s="44"/>
      <x:c r="G6" s="44"/>
      <x:c r="H6" s="44"/>
      <x:c r="I6" s="44"/>
      <x:c r="J6" s="44"/>
      <x:c r="K6" s="36"/>
    </x:row>
    <x:row r="8" spans="1:11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11" s="1" customFormat="1" ht="11.4" x14ac:dyDescent="0.2">
      <x:c r="A9" s="7" t="s">
        <x:v>24</x:v>
      </x:c>
      <x:c r="B9" s="8"/>
      <x:c r="C9" s="8"/>
      <x:c r="D9" s="8"/>
      <x:c r="E9" s="8"/>
      <x:c r="F9" s="8"/>
    </x:row>
    <x:row r="10" spans="1:11" s="1" customFormat="1" x14ac:dyDescent="0.25">
      <x:c r="A10" s="6">
        <x:v>1</x:v>
      </x:c>
      <x:c r="B10" s="42" t="s">
        <x:v>62</x:v>
      </x:c>
      <x:c r="C10" s="44"/>
      <x:c r="D10" s="44"/>
      <x:c r="E10" s="44"/>
      <x:c r="F10" s="44"/>
      <x:c r="G10" s="44"/>
      <x:c r="H10" s="44"/>
      <x:c r="I10" s="44"/>
      <x:c r="J10" s="44"/>
      <x:c r="K10" s="44"/>
    </x:row>
    <x:row r="11" spans="1:11" s="1" customFormat="1" x14ac:dyDescent="0.25">
      <x:c r="A11" s="6">
        <x:f t="shared" ref="A11:A37" si="0">+A10+1</x:f>
        <x:v>2</x:v>
      </x:c>
      <x:c r="B11" s="42" t="str">
        <x:f>+'RES Spline Graph'!B11</x:f>
        <x:v>After Corrective Procedures for Autocorrelation</x:v>
      </x:c>
      <x:c r="C11" s="44"/>
      <x:c r="D11" s="44"/>
      <x:c r="E11" s="44"/>
      <x:c r="F11" s="44"/>
      <x:c r="G11" s="44"/>
      <x:c r="H11" s="44"/>
      <x:c r="I11" s="44"/>
      <x:c r="J11" s="44"/>
      <x:c r="K11" s="44"/>
    </x:row>
    <x:row r="12" spans="1:11" s="1" customFormat="1" ht="12" x14ac:dyDescent="0.25">
      <x:c r="A12" s="6">
        <x:f t="shared" si="0"/>
        <x:v>3</x:v>
      </x:c>
      <x:c r="B12" s="3"/>
      <x:c r="C12" s="10"/>
    </x:row>
    <x:row r="13" spans="1:11" s="1" customFormat="1" ht="12" x14ac:dyDescent="0.25">
      <x:c r="A13" s="6">
        <x:f t="shared" si="0"/>
        <x:v>4</x:v>
      </x:c>
      <x:c r="B13" s="3"/>
      <x:c r="C13" s="10"/>
    </x:row>
    <x:row r="14" spans="1:11" s="1" customFormat="1" ht="11.4" x14ac:dyDescent="0.2">
      <x:c r="A14" s="6">
        <x:f t="shared" si="0"/>
        <x:v>5</x:v>
      </x:c>
    </x:row>
    <x:row r="15" spans="1:11" s="1" customFormat="1" ht="11.4" x14ac:dyDescent="0.2">
      <x:c r="A15" s="6">
        <x:f t="shared" si="0"/>
        <x:v>6</x:v>
      </x:c>
      <x:c r="B15" s="12"/>
      <x:c r="C15" s="12"/>
      <x:c r="D15" s="12"/>
      <x:c r="E15" s="12"/>
      <x:c r="F15" s="12"/>
    </x:row>
    <x:row r="16" spans="1:11" x14ac:dyDescent="0.25">
      <x:c r="A16" s="6">
        <x:f t="shared" si="0"/>
        <x:v>7</x:v>
      </x:c>
      <x:c r="F16" s="9"/>
    </x:row>
    <x:row r="17" spans="1:6" x14ac:dyDescent="0.25">
      <x:c r="A17" s="6">
        <x:f t="shared" si="0"/>
        <x:v>8</x:v>
      </x:c>
      <x:c r="F17" s="9"/>
    </x:row>
    <x:row r="18" spans="1:6" x14ac:dyDescent="0.25">
      <x:c r="A18" s="6">
        <x:f t="shared" si="0"/>
        <x:v>9</x:v>
      </x:c>
      <x:c r="F18" s="9"/>
    </x:row>
    <x:row r="19" spans="1:6" x14ac:dyDescent="0.25">
      <x:c r="A19" s="6">
        <x:f t="shared" si="0"/>
        <x:v>10</x:v>
      </x:c>
      <x:c r="F19" s="9"/>
    </x:row>
    <x:row r="20" spans="1:6" x14ac:dyDescent="0.25">
      <x:c r="A20" s="6">
        <x:f t="shared" si="0"/>
        <x:v>11</x:v>
      </x:c>
      <x:c r="F20" s="9"/>
    </x:row>
    <x:row r="21" spans="1:6" x14ac:dyDescent="0.25">
      <x:c r="A21" s="6">
        <x:f t="shared" si="0"/>
        <x:v>12</x:v>
      </x:c>
      <x:c r="F21" s="9"/>
    </x:row>
    <x:row r="22" spans="1:6" x14ac:dyDescent="0.25">
      <x:c r="A22" s="6">
        <x:f t="shared" si="0"/>
        <x:v>13</x:v>
      </x:c>
      <x:c r="F22" s="9"/>
    </x:row>
    <x:row r="23" spans="1:6" x14ac:dyDescent="0.25">
      <x:c r="A23" s="6">
        <x:f t="shared" si="0"/>
        <x:v>14</x:v>
      </x:c>
      <x:c r="F23" s="9"/>
    </x:row>
    <x:row r="24" spans="1:6" x14ac:dyDescent="0.25">
      <x:c r="A24" s="6">
        <x:f t="shared" si="0"/>
        <x:v>15</x:v>
      </x:c>
      <x:c r="F24" s="9"/>
    </x:row>
    <x:row r="25" spans="1:6" x14ac:dyDescent="0.25">
      <x:c r="A25" s="6">
        <x:f t="shared" si="0"/>
        <x:v>16</x:v>
      </x:c>
      <x:c r="F25" s="9"/>
    </x:row>
    <x:row r="26" spans="1:6" x14ac:dyDescent="0.25">
      <x:c r="A26" s="6">
        <x:f t="shared" si="0"/>
        <x:v>17</x:v>
      </x:c>
      <x:c r="F26" s="9"/>
    </x:row>
    <x:row r="27" spans="1:6" x14ac:dyDescent="0.25">
      <x:c r="A27" s="6">
        <x:f t="shared" si="0"/>
        <x:v>18</x:v>
      </x:c>
      <x:c r="F27" s="9"/>
    </x:row>
    <x:row r="28" spans="1:6" x14ac:dyDescent="0.25">
      <x:c r="A28" s="6">
        <x:f t="shared" si="0"/>
        <x:v>19</x:v>
      </x:c>
      <x:c r="F28" s="9"/>
    </x:row>
    <x:row r="29" spans="1:6" x14ac:dyDescent="0.25">
      <x:c r="A29" s="6">
        <x:f t="shared" si="0"/>
        <x:v>20</x:v>
      </x:c>
      <x:c r="F29" s="9"/>
    </x:row>
    <x:row r="30" spans="1:6" x14ac:dyDescent="0.25">
      <x:c r="A30" s="6">
        <x:f t="shared" si="0"/>
        <x:v>21</x:v>
      </x:c>
      <x:c r="F30" s="9"/>
    </x:row>
    <x:row r="31" spans="1:6" x14ac:dyDescent="0.25">
      <x:c r="A31" s="6">
        <x:f t="shared" si="0"/>
        <x:v>22</x:v>
      </x:c>
      <x:c r="F31" s="9"/>
    </x:row>
    <x:row r="32" spans="1:6" x14ac:dyDescent="0.25">
      <x:c r="A32" s="6">
        <x:f t="shared" si="0"/>
        <x:v>23</x:v>
      </x:c>
      <x:c r="F32" s="9"/>
    </x:row>
    <x:row r="33" spans="1:7" x14ac:dyDescent="0.25">
      <x:c r="A33" s="6">
        <x:f t="shared" si="0"/>
        <x:v>24</x:v>
      </x:c>
      <x:c r="F33" s="11"/>
    </x:row>
    <x:row r="34" spans="1:7" x14ac:dyDescent="0.25">
      <x:c r="A34" s="6">
        <x:f t="shared" si="0"/>
        <x:v>25</x:v>
      </x:c>
      <x:c r="F34" s="2"/>
    </x:row>
    <x:row r="35" spans="1:7" x14ac:dyDescent="0.25">
      <x:c r="A35" s="6">
        <x:f t="shared" si="0"/>
        <x:v>26</x:v>
      </x:c>
      <x:c r="F35" s="11"/>
    </x:row>
    <x:row r="36" spans="1:7" x14ac:dyDescent="0.25">
      <x:c r="A36" s="6">
        <x:f t="shared" si="0"/>
        <x:v>27</x:v>
      </x:c>
      <x:c r="F36" s="2"/>
    </x:row>
    <x:row r="37" spans="1:7" x14ac:dyDescent="0.25">
      <x:c r="A37" s="6">
        <x:f t="shared" si="0"/>
        <x:v>28</x:v>
      </x:c>
      <x:c r="F37" s="2"/>
    </x:row>
    <x:row r="38" spans="1:7" x14ac:dyDescent="0.25">
      <x:c r="A38" s="6"/>
      <x:c r="F38" s="2"/>
    </x:row>
    <x:row r="39" spans="1:7" x14ac:dyDescent="0.25">
      <x:c r="A39" s="6"/>
      <x:c r="F39" s="2"/>
    </x:row>
    <x:row r="40" spans="1:7" x14ac:dyDescent="0.25">
      <x:c r="A40" s="6"/>
      <x:c r="F40" s="2"/>
    </x:row>
    <x:row r="41" spans="1:7" x14ac:dyDescent="0.25">
      <x:c r="A41" s="6"/>
    </x:row>
    <x:row r="42" spans="1:7" x14ac:dyDescent="0.25">
      <x:c r="A42" s="6"/>
    </x:row>
    <x:row r="43" spans="1:7" x14ac:dyDescent="0.25">
      <x:c r="A43" s="6"/>
      <x:c r="C43" s="9"/>
      <x:c r="G43" s="9"/>
    </x:row>
    <x:row r="44" spans="1:7" x14ac:dyDescent="0.25">
      <x:c r="A44" s="6"/>
    </x:row>
    <x:row r="45" spans="1:7" x14ac:dyDescent="0.25">
      <x:c r="A45" s="6"/>
    </x:row>
  </x:sheetData>
  <x:mergeCells count="8">
    <x:mergeCell ref="B10:K10"/>
    <x:mergeCell ref="B11:K11"/>
    <x:mergeCell ref="B8:F8"/>
    <x:mergeCell ref="B1:J1"/>
    <x:mergeCell ref="B6:J6"/>
    <x:mergeCell ref="B2:J2"/>
    <x:mergeCell ref="B3:J3"/>
    <x:mergeCell ref="B4:J4"/>
  </x:mergeCells>
  <x:phoneticPr fontId="1" type="noConversion"/>
  <x:printOptions horizontalCentered="1"/>
  <x:pageMargins left="0.83" right="0.53" top="1.5" bottom="1" header="1" footer="0.5"/>
  <x:pageSetup scale="76" firstPageNumber="7" orientation="portrait" r:id="rId1"/>
  <x:headerFooter scaleWithDoc="0" alignWithMargins="0">
    <x:oddHeader>&amp;RWP/II-H-5.2/6
Page &amp;P of 20</x:oddHeader>
  </x:headerFooter>
  <x:drawing r:id="rId2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5">
    <x:pageSetUpPr fitToPage="1"/>
  </x:sheetPr>
  <x:dimension ref="A1:F78"/>
  <x:sheetViews>
    <x:sheetView workbookViewId="0">
      <x:selection activeCell="G5" sqref="G5"/>
    </x:sheetView>
  </x:sheetViews>
  <x:sheetFormatPr defaultRowHeight="13.2" x14ac:dyDescent="0.25"/>
  <x:cols>
    <x:col min="2" max="2" width="28.109375" customWidth="1"/>
    <x:col min="3" max="3" width="17.109375" customWidth="1"/>
    <x:col min="4" max="4" width="11.6640625" customWidth="1"/>
    <x:col min="5" max="5" width="12.5546875" customWidth="1"/>
    <x:col min="6" max="6" width="14.6640625" customWidth="1"/>
  </x:cols>
  <x:sheetData>
    <x:row r="1" spans="1:6" s="1" customFormat="1" ht="15.6" x14ac:dyDescent="0.3">
      <x:c r="A1" s="6"/>
      <x:c r="B1" s="43" t="str">
        <x:f>+'RES Spline Model'!B1:F1</x:f>
        <x:v>2025 RATE CASE</x:v>
      </x:c>
      <x:c r="C1" s="43"/>
      <x:c r="D1" s="43"/>
      <x:c r="E1" s="43"/>
      <x:c r="F1" s="43"/>
    </x:row>
    <x:row r="2" spans="1:6" s="1" customFormat="1" ht="15.6" x14ac:dyDescent="0.3">
      <x:c r="A2" s="6"/>
      <x:c r="B2" s="43" t="str">
        <x:f>+'RES Spline Model'!B2:F2</x:f>
        <x:v>ONCOR ELECTRIC DELIVERY COMPANY LLC</x:v>
      </x:c>
      <x:c r="C2" s="43"/>
      <x:c r="D2" s="43"/>
      <x:c r="E2" s="43"/>
      <x:c r="F2" s="43"/>
    </x:row>
    <x:row r="3" spans="1:6" s="1" customFormat="1" ht="15.6" x14ac:dyDescent="0.3">
      <x:c r="A3" s="6"/>
      <x:c r="B3" s="43" t="str">
        <x:f>+'RES Spline Model'!B3:F3</x:f>
        <x:v>ADJUSTED WEATHER STATION DATA</x:v>
      </x:c>
      <x:c r="C3" s="43"/>
      <x:c r="D3" s="43"/>
      <x:c r="E3" s="43"/>
      <x:c r="F3" s="43"/>
    </x:row>
    <x:row r="4" spans="1:6" s="1" customFormat="1" ht="15.6" x14ac:dyDescent="0.3">
      <x:c r="A4" s="6"/>
      <x:c r="B4" s="43" t="str">
        <x:f>+'RES Spline Model'!B4:F4</x:f>
        <x:v>FOR THE TEST YEAR ENDING DECEMBER 31, 2024</x:v>
      </x:c>
      <x:c r="C4" s="43"/>
      <x:c r="D4" s="43"/>
      <x:c r="E4" s="43"/>
      <x:c r="F4" s="43"/>
    </x:row>
    <x:row r="5" spans="1:6" s="1" customFormat="1" ht="11.4" x14ac:dyDescent="0.2">
      <x:c r="A5" s="6"/>
    </x:row>
    <x:row r="6" spans="1:6" s="1" customFormat="1" ht="15.6" x14ac:dyDescent="0.3">
      <x:c r="A6" s="6"/>
      <x:c r="B6" s="43" t="str">
        <x:f>+'RES Spline Model'!B6:F6</x:f>
        <x:v>SPONSOR: D. E. NELSON</x:v>
      </x:c>
      <x:c r="C6" s="43"/>
      <x:c r="D6" s="43"/>
      <x:c r="E6" s="43"/>
      <x:c r="F6" s="43"/>
    </x:row>
    <x:row r="8" spans="1:6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6" s="1" customFormat="1" ht="11.4" x14ac:dyDescent="0.2">
      <x:c r="A9" s="7" t="s">
        <x:v>24</x:v>
      </x:c>
      <x:c r="B9" s="8" t="s">
        <x:v>25</x:v>
      </x:c>
      <x:c r="C9" s="8" t="s">
        <x:v>26</x:v>
      </x:c>
      <x:c r="D9" s="8" t="s">
        <x:v>29</x:v>
      </x:c>
      <x:c r="E9" s="8" t="s">
        <x:v>27</x:v>
      </x:c>
      <x:c r="F9" s="8" t="s">
        <x:v>28</x:v>
      </x:c>
    </x:row>
    <x:row r="10" spans="1:6" s="1" customFormat="1" ht="12" x14ac:dyDescent="0.25">
      <x:c r="A10" s="6">
        <x:v>1</x:v>
      </x:c>
      <x:c r="B10" s="3" t="s">
        <x:v>5</x:v>
      </x:c>
      <x:c r="C10" s="3" t="s">
        <x:v>83</x:v>
      </x:c>
    </x:row>
    <x:row r="11" spans="1:6" s="1" customFormat="1" ht="12" x14ac:dyDescent="0.25">
      <x:c r="A11" s="6">
        <x:f>+A10+1</x:f>
        <x:v>2</x:v>
      </x:c>
      <x:c r="B11" s="3" t="s">
        <x:v>35</x:v>
      </x:c>
      <x:c r="C11" s="3"/>
    </x:row>
    <x:row r="12" spans="1:6" s="1" customFormat="1" ht="12" x14ac:dyDescent="0.25">
      <x:c r="A12" s="6">
        <x:f t="shared" ref="A12:A75" si="0">+A11+1</x:f>
        <x:v>3</x:v>
      </x:c>
      <x:c r="B12" s="3" t="s">
        <x:v>6</x:v>
      </x:c>
      <x:c r="C12" s="3" t="s">
        <x:v>84</x:v>
      </x:c>
    </x:row>
    <x:row r="13" spans="1:6" s="1" customFormat="1" ht="12" x14ac:dyDescent="0.25">
      <x:c r="A13" s="6">
        <x:f t="shared" si="0"/>
        <x:v>4</x:v>
      </x:c>
      <x:c r="B13" s="3" t="s">
        <x:v>7</x:v>
      </x:c>
      <x:c r="C13" s="16">
        <x:f>+'RES Spline Model'!C13</x:f>
        <x:v>44197</x:v>
      </x:c>
    </x:row>
    <x:row r="14" spans="1:6" s="1" customFormat="1" ht="12" x14ac:dyDescent="0.25">
      <x:c r="A14" s="6">
        <x:f t="shared" si="0"/>
        <x:v>5</x:v>
      </x:c>
      <x:c r="B14" s="3" t="s">
        <x:v>8</x:v>
      </x:c>
      <x:c r="C14" s="16">
        <x:f>+'RES Spline Model'!C14</x:f>
        <x:v>45291</x:v>
      </x:c>
    </x:row>
    <x:row r="15" spans="1:6" s="1" customFormat="1" ht="11.4" x14ac:dyDescent="0.2">
      <x:c r="A15" s="6">
        <x:f t="shared" si="0"/>
        <x:v>6</x:v>
      </x:c>
    </x:row>
    <x:row r="16" spans="1:6" s="1" customFormat="1" ht="11.4" x14ac:dyDescent="0.2">
      <x:c r="A16" s="6">
        <x:f t="shared" si="0"/>
        <x:v>7</x:v>
      </x:c>
      <x:c r="B16" s="5" t="s">
        <x:v>0</x:v>
      </x:c>
      <x:c r="C16" s="5" t="s">
        <x:v>1</x:v>
      </x:c>
      <x:c r="D16" s="5" t="s">
        <x:v>2</x:v>
      </x:c>
      <x:c r="E16" s="5" t="s">
        <x:v>3</x:v>
      </x:c>
      <x:c r="F16" s="5" t="s">
        <x:v>4</x:v>
      </x:c>
    </x:row>
    <x:row r="17" spans="1:6" x14ac:dyDescent="0.25">
      <x:c r="A17" s="6">
        <x:f t="shared" si="0"/>
        <x:v>8</x:v>
      </x:c>
      <x:c r="B17" t="s">
        <x:v>37</x:v>
      </x:c>
      <x:c r="C17">
        <x:v>21193.792000000001</x:v>
      </x:c>
      <x:c r="D17">
        <x:v>2052.19</x:v>
      </x:c>
      <x:c r="E17">
        <x:v>10.327</x:v>
      </x:c>
      <x:c r="F17" s="9">
        <x:v>0</x:v>
      </x:c>
    </x:row>
    <x:row r="18" spans="1:6" x14ac:dyDescent="0.25">
      <x:c r="A18" s="6">
        <x:f t="shared" si="0"/>
        <x:v>9</x:v>
      </x:c>
      <x:c r="B18" t="s">
        <x:v>99</x:v>
      </x:c>
      <x:c r="C18">
        <x:v>-1525.587</x:v>
      </x:c>
      <x:c r="D18">
        <x:v>259.69400000000002</x:v>
      </x:c>
      <x:c r="E18">
        <x:v>-5.875</x:v>
      </x:c>
      <x:c r="F18" s="9">
        <x:v>0</x:v>
      </x:c>
    </x:row>
    <x:row r="19" spans="1:6" x14ac:dyDescent="0.25">
      <x:c r="A19" s="6">
        <x:f t="shared" si="0"/>
        <x:v>10</x:v>
      </x:c>
      <x:c r="B19" t="s">
        <x:v>100</x:v>
      </x:c>
      <x:c r="C19">
        <x:v>2258.1410000000001</x:v>
      </x:c>
      <x:c r="D19">
        <x:v>60.68</x:v>
      </x:c>
      <x:c r="E19">
        <x:v>37.213999999999999</x:v>
      </x:c>
      <x:c r="F19" s="9">
        <x:v>0</x:v>
      </x:c>
    </x:row>
    <x:row r="20" spans="1:6" x14ac:dyDescent="0.25">
      <x:c r="A20" s="6">
        <x:f t="shared" si="0"/>
        <x:v>11</x:v>
      </x:c>
      <x:c r="B20" t="s">
        <x:v>101</x:v>
      </x:c>
      <x:c r="C20">
        <x:v>2655.0949999999998</x:v>
      </x:c>
      <x:c r="D20">
        <x:v>87.244</x:v>
      </x:c>
      <x:c r="E20">
        <x:v>30.433</x:v>
      </x:c>
      <x:c r="F20" s="9">
        <x:v>0</x:v>
      </x:c>
    </x:row>
    <x:row r="21" spans="1:6" x14ac:dyDescent="0.25">
      <x:c r="A21" s="6">
        <x:f t="shared" si="0"/>
        <x:v>12</x:v>
      </x:c>
      <x:c r="B21" t="s">
        <x:v>102</x:v>
      </x:c>
      <x:c r="C21">
        <x:v>2652.6410000000001</x:v>
      </x:c>
      <x:c r="D21">
        <x:v>99.387</x:v>
      </x:c>
      <x:c r="E21">
        <x:v>26.69</x:v>
      </x:c>
      <x:c r="F21" s="9">
        <x:v>0</x:v>
      </x:c>
    </x:row>
    <x:row r="22" spans="1:6" x14ac:dyDescent="0.25">
      <x:c r="A22" s="6">
        <x:f t="shared" si="0"/>
        <x:v>13</x:v>
      </x:c>
      <x:c r="B22" t="s">
        <x:v>103</x:v>
      </x:c>
      <x:c r="C22">
        <x:v>2714.145</x:v>
      </x:c>
      <x:c r="D22">
        <x:v>99.515000000000001</x:v>
      </x:c>
      <x:c r="E22">
        <x:v>27.274000000000001</x:v>
      </x:c>
      <x:c r="F22" s="9">
        <x:v>0</x:v>
      </x:c>
    </x:row>
    <x:row r="23" spans="1:6" x14ac:dyDescent="0.25">
      <x:c r="A23" s="6">
        <x:f t="shared" si="0"/>
        <x:v>14</x:v>
      </x:c>
      <x:c r="B23" t="s">
        <x:v>104</x:v>
      </x:c>
      <x:c r="C23">
        <x:v>2437.1590000000001</x:v>
      </x:c>
      <x:c r="D23">
        <x:v>87.551000000000002</x:v>
      </x:c>
      <x:c r="E23">
        <x:v>27.837</x:v>
      </x:c>
      <x:c r="F23" s="9">
        <x:v>0</x:v>
      </x:c>
    </x:row>
    <x:row r="24" spans="1:6" x14ac:dyDescent="0.25">
      <x:c r="A24" s="6">
        <x:f t="shared" si="0"/>
        <x:v>15</x:v>
      </x:c>
      <x:c r="B24" t="s">
        <x:v>105</x:v>
      </x:c>
      <x:c r="C24">
        <x:v>764.34100000000001</x:v>
      </x:c>
      <x:c r="D24">
        <x:v>59.262</x:v>
      </x:c>
      <x:c r="E24">
        <x:v>12.898</x:v>
      </x:c>
      <x:c r="F24" s="9">
        <x:v>0</x:v>
      </x:c>
    </x:row>
    <x:row r="25" spans="1:6" x14ac:dyDescent="0.25">
      <x:c r="A25" s="6">
        <x:f t="shared" si="0"/>
        <x:v>16</x:v>
      </x:c>
      <x:c r="B25" t="s">
        <x:v>158</x:v>
      </x:c>
      <x:c r="C25">
        <x:v>-490.95499999999998</x:v>
      </x:c>
      <x:c r="D25">
        <x:v>279.09899999999999</x:v>
      </x:c>
      <x:c r="E25">
        <x:v>-1.7589999999999999</x:v>
      </x:c>
      <x:c r="F25" s="9">
        <x:v>7.8899999999999998E-2</x:v>
      </x:c>
    </x:row>
    <x:row r="26" spans="1:6" x14ac:dyDescent="0.25">
      <x:c r="A26" s="6">
        <x:f t="shared" si="0"/>
        <x:v>17</x:v>
      </x:c>
      <x:c r="B26" t="s">
        <x:v>141</x:v>
      </x:c>
      <x:c r="C26">
        <x:v>-496.17399999999998</x:v>
      </x:c>
      <x:c r="D26">
        <x:v>278.36200000000002</x:v>
      </x:c>
      <x:c r="E26">
        <x:v>-1.782</x:v>
      </x:c>
      <x:c r="F26" s="9">
        <x:v>7.4999999999999997E-2</x:v>
      </x:c>
    </x:row>
    <x:row r="27" spans="1:6" x14ac:dyDescent="0.25">
      <x:c r="A27" s="6">
        <x:f t="shared" si="0"/>
        <x:v>18</x:v>
      </x:c>
      <x:c r="B27" t="s">
        <x:v>107</x:v>
      </x:c>
      <x:c r="C27">
        <x:v>-2766.51</x:v>
      </x:c>
      <x:c r="D27">
        <x:v>279.16800000000001</x:v>
      </x:c>
      <x:c r="E27">
        <x:v>-9.91</x:v>
      </x:c>
      <x:c r="F27" s="9">
        <x:v>0</x:v>
      </x:c>
    </x:row>
    <x:row r="28" spans="1:6" x14ac:dyDescent="0.25">
      <x:c r="A28" s="6">
        <x:f t="shared" si="0"/>
        <x:v>19</x:v>
      </x:c>
      <x:c r="B28" t="s">
        <x:v>142</x:v>
      </x:c>
      <x:c r="C28">
        <x:v>-2103.7339999999999</x:v>
      </x:c>
      <x:c r="D28">
        <x:v>275.97000000000003</x:v>
      </x:c>
      <x:c r="E28">
        <x:v>-7.6230000000000002</x:v>
      </x:c>
      <x:c r="F28" s="9">
        <x:v>0</x:v>
      </x:c>
    </x:row>
    <x:row r="29" spans="1:6" x14ac:dyDescent="0.25">
      <x:c r="A29" s="6">
        <x:f t="shared" si="0"/>
        <x:v>20</x:v>
      </x:c>
      <x:c r="B29" t="s">
        <x:v>108</x:v>
      </x:c>
      <x:c r="C29">
        <x:v>-2200.6460000000002</x:v>
      </x:c>
      <x:c r="D29">
        <x:v>278.09699999999998</x:v>
      </x:c>
      <x:c r="E29">
        <x:v>-7.9130000000000003</x:v>
      </x:c>
      <x:c r="F29" s="9">
        <x:v>0</x:v>
      </x:c>
    </x:row>
    <x:row r="30" spans="1:6" x14ac:dyDescent="0.25">
      <x:c r="A30" s="6">
        <x:f t="shared" si="0"/>
        <x:v>21</x:v>
      </x:c>
      <x:c r="B30" t="s">
        <x:v>109</x:v>
      </x:c>
      <x:c r="C30">
        <x:v>-2739.06</x:v>
      </x:c>
      <x:c r="D30">
        <x:v>346.59300000000002</x:v>
      </x:c>
      <x:c r="E30">
        <x:v>-7.9029999999999996</x:v>
      </x:c>
      <x:c r="F30" s="9">
        <x:v>0</x:v>
      </x:c>
    </x:row>
    <x:row r="31" spans="1:6" x14ac:dyDescent="0.25">
      <x:c r="A31" s="6">
        <x:f t="shared" si="0"/>
        <x:v>22</x:v>
      </x:c>
      <x:c r="B31" t="s">
        <x:v>110</x:v>
      </x:c>
      <x:c r="C31">
        <x:v>-2153.15</x:v>
      </x:c>
      <x:c r="D31">
        <x:v>346.416</x:v>
      </x:c>
      <x:c r="E31">
        <x:v>-6.2149999999999999</x:v>
      </x:c>
      <x:c r="F31" s="9">
        <x:v>0</x:v>
      </x:c>
    </x:row>
    <x:row r="32" spans="1:6" x14ac:dyDescent="0.25">
      <x:c r="A32" s="6">
        <x:f t="shared" si="0"/>
        <x:v>23</x:v>
      </x:c>
      <x:c r="B32" t="s">
        <x:v>159</x:v>
      </x:c>
      <x:c r="C32">
        <x:v>1086.953</x:v>
      </x:c>
      <x:c r="D32">
        <x:v>579.11199999999997</x:v>
      </x:c>
      <x:c r="E32">
        <x:v>1.877</x:v>
      </x:c>
      <x:c r="F32" s="9">
        <x:v>6.08E-2</x:v>
      </x:c>
    </x:row>
    <x:row r="33" spans="1:6" x14ac:dyDescent="0.25">
      <x:c r="A33" s="6">
        <x:f t="shared" si="0"/>
        <x:v>24</x:v>
      </x:c>
      <x:c r="B33" t="s">
        <x:v>143</x:v>
      </x:c>
      <x:c r="C33">
        <x:v>-2098.7440000000001</x:v>
      </x:c>
      <x:c r="D33">
        <x:v>319.91300000000001</x:v>
      </x:c>
      <x:c r="E33">
        <x:v>-6.56</x:v>
      </x:c>
      <x:c r="F33" s="9">
        <x:v>0</x:v>
      </x:c>
    </x:row>
    <x:row r="34" spans="1:6" x14ac:dyDescent="0.25">
      <x:c r="A34" s="6">
        <x:f t="shared" si="0"/>
        <x:v>25</x:v>
      </x:c>
      <x:c r="B34" t="s">
        <x:v>111</x:v>
      </x:c>
      <x:c r="C34">
        <x:v>-1141.1890000000001</x:v>
      </x:c>
      <x:c r="D34">
        <x:v>287.84899999999999</x:v>
      </x:c>
      <x:c r="E34">
        <x:v>-3.9649999999999999</x:v>
      </x:c>
      <x:c r="F34" s="9">
        <x:v>1E-4</x:v>
      </x:c>
    </x:row>
    <x:row r="35" spans="1:6" x14ac:dyDescent="0.25">
      <x:c r="A35" s="6">
        <x:f t="shared" si="0"/>
        <x:v>26</x:v>
      </x:c>
      <x:c r="B35" t="s">
        <x:v>114</x:v>
      </x:c>
      <x:c r="C35">
        <x:v>-21.515999999999998</x:v>
      </x:c>
      <x:c r="D35">
        <x:v>11.204000000000001</x:v>
      </x:c>
      <x:c r="E35">
        <x:v>-1.92</x:v>
      </x:c>
      <x:c r="F35" s="9">
        <x:v>5.5100000000000003E-2</x:v>
      </x:c>
    </x:row>
    <x:row r="36" spans="1:6" x14ac:dyDescent="0.25">
      <x:c r="A36" s="6">
        <x:f t="shared" si="0"/>
        <x:v>27</x:v>
      </x:c>
      <x:c r="B36" t="s">
        <x:v>38</x:v>
      </x:c>
      <x:c r="C36">
        <x:v>-1116.9549999999999</x:v>
      </x:c>
      <x:c r="D36">
        <x:v>323.512</x:v>
      </x:c>
      <x:c r="E36">
        <x:v>-3.4529999999999998</x:v>
      </x:c>
      <x:c r="F36" s="9">
        <x:v>5.9999999999999995E-4</x:v>
      </x:c>
    </x:row>
    <x:row r="37" spans="1:6" x14ac:dyDescent="0.25">
      <x:c r="A37" s="6">
        <x:f t="shared" si="0"/>
        <x:v>28</x:v>
      </x:c>
      <x:c r="B37" t="s">
        <x:v>39</x:v>
      </x:c>
      <x:c r="C37">
        <x:v>-783.92</x:v>
      </x:c>
      <x:c r="D37">
        <x:v>366.31400000000002</x:v>
      </x:c>
      <x:c r="E37">
        <x:v>-2.14</x:v>
      </x:c>
      <x:c r="F37" s="9">
        <x:v>3.2599999999999997E-2</x:v>
      </x:c>
    </x:row>
    <x:row r="38" spans="1:6" x14ac:dyDescent="0.25">
      <x:c r="A38" s="6">
        <x:f t="shared" si="0"/>
        <x:v>29</x:v>
      </x:c>
      <x:c r="B38" t="s">
        <x:v>40</x:v>
      </x:c>
      <x:c r="C38">
        <x:v>-574.66499999999996</x:v>
      </x:c>
      <x:c r="D38">
        <x:v>320.745</x:v>
      </x:c>
      <x:c r="E38">
        <x:v>-1.792</x:v>
      </x:c>
      <x:c r="F38" s="9">
        <x:v>7.3499999999999996E-2</x:v>
      </x:c>
    </x:row>
    <x:row r="39" spans="1:6" x14ac:dyDescent="0.25">
      <x:c r="A39" s="6">
        <x:f t="shared" si="0"/>
        <x:v>30</x:v>
      </x:c>
      <x:c r="B39" t="s">
        <x:v>44</x:v>
      </x:c>
      <x:c r="C39">
        <x:v>348.8</x:v>
      </x:c>
      <x:c r="D39">
        <x:v>268.51600000000002</x:v>
      </x:c>
      <x:c r="E39">
        <x:v>1.2989999999999999</x:v>
      </x:c>
      <x:c r="F39" s="9">
        <x:v>0.19420000000000001</x:v>
      </x:c>
    </x:row>
    <x:row r="40" spans="1:6" x14ac:dyDescent="0.25">
      <x:c r="A40" s="6">
        <x:f t="shared" si="0"/>
        <x:v>31</x:v>
      </x:c>
      <x:c r="B40" t="s">
        <x:v>46</x:v>
      </x:c>
      <x:c r="C40">
        <x:v>-549.56100000000004</x:v>
      </x:c>
      <x:c r="D40">
        <x:v>318.44600000000003</x:v>
      </x:c>
      <x:c r="E40">
        <x:v>-1.726</x:v>
      </x:c>
      <x:c r="F40" s="9">
        <x:v>8.4699999999999998E-2</x:v>
      </x:c>
    </x:row>
    <x:row r="41" spans="1:6" x14ac:dyDescent="0.25">
      <x:c r="A41" s="6">
        <x:f t="shared" si="0"/>
        <x:v>32</x:v>
      </x:c>
      <x:c r="B41" t="s">
        <x:v>47</x:v>
      </x:c>
      <x:c r="C41">
        <x:v>-514.01099999999997</x:v>
      </x:c>
      <x:c r="D41">
        <x:v>345.98599999999999</x:v>
      </x:c>
      <x:c r="E41">
        <x:v>-1.486</x:v>
      </x:c>
      <x:c r="F41" s="9">
        <x:v>0.13769999999999999</x:v>
      </x:c>
    </x:row>
    <x:row r="42" spans="1:6" x14ac:dyDescent="0.25">
      <x:c r="A42" s="6">
        <x:f t="shared" si="0"/>
        <x:v>33</x:v>
      </x:c>
      <x:c r="B42" t="s">
        <x:v>81</x:v>
      </x:c>
      <x:c r="C42">
        <x:v>5061.902</x:v>
      </x:c>
      <x:c r="D42">
        <x:v>361.613</x:v>
      </x:c>
      <x:c r="E42">
        <x:v>13.997999999999999</x:v>
      </x:c>
      <x:c r="F42" s="9">
        <x:v>0</x:v>
      </x:c>
    </x:row>
    <x:row r="43" spans="1:6" x14ac:dyDescent="0.25">
      <x:c r="A43" s="6">
        <x:f t="shared" si="0"/>
        <x:v>34</x:v>
      </x:c>
      <x:c r="B43" t="s">
        <x:v>173</x:v>
      </x:c>
      <x:c r="C43">
        <x:v>40.201000000000001</x:v>
      </x:c>
      <x:c r="D43">
        <x:v>9.3079999999999998</x:v>
      </x:c>
      <x:c r="E43">
        <x:v>4.319</x:v>
      </x:c>
      <x:c r="F43" s="9">
        <x:v>0</x:v>
      </x:c>
    </x:row>
    <x:row r="44" spans="1:6" x14ac:dyDescent="0.25">
      <x:c r="A44" s="6">
        <x:f t="shared" si="0"/>
        <x:v>35</x:v>
      </x:c>
      <x:c r="B44" t="s">
        <x:v>174</x:v>
      </x:c>
      <x:c r="C44">
        <x:v>49.323</x:v>
      </x:c>
      <x:c r="D44">
        <x:v>16.157</x:v>
      </x:c>
      <x:c r="E44">
        <x:v>3.0529999999999999</x:v>
      </x:c>
      <x:c r="F44" s="9">
        <x:v>2.3E-3</x:v>
      </x:c>
    </x:row>
    <x:row r="45" spans="1:6" x14ac:dyDescent="0.25">
      <x:c r="A45" s="6">
        <x:f t="shared" si="0"/>
        <x:v>36</x:v>
      </x:c>
      <x:c r="B45" t="s">
        <x:v>175</x:v>
      </x:c>
      <x:c r="C45">
        <x:v>47.826000000000001</x:v>
      </x:c>
      <x:c r="D45">
        <x:v>17.335000000000001</x:v>
      </x:c>
      <x:c r="E45">
        <x:v>2.7589999999999999</x:v>
      </x:c>
      <x:c r="F45" s="9">
        <x:v>5.8999999999999999E-3</x:v>
      </x:c>
    </x:row>
    <x:row r="46" spans="1:6" x14ac:dyDescent="0.25">
      <x:c r="A46" s="6">
        <x:f t="shared" si="0"/>
        <x:v>37</x:v>
      </x:c>
      <x:c r="B46" t="s">
        <x:v>115</x:v>
      </x:c>
      <x:c r="C46">
        <x:v>-28157.553</x:v>
      </x:c>
      <x:c r="D46">
        <x:v>1024.165</x:v>
      </x:c>
      <x:c r="E46">
        <x:v>-27.492999999999999</x:v>
      </x:c>
      <x:c r="F46" s="9">
        <x:v>0</x:v>
      </x:c>
    </x:row>
    <x:row r="47" spans="1:6" x14ac:dyDescent="0.25">
      <x:c r="A47" s="6">
        <x:f t="shared" si="0"/>
        <x:v>38</x:v>
      </x:c>
      <x:c r="B47" t="s">
        <x:v>116</x:v>
      </x:c>
      <x:c r="C47">
        <x:v>-29502.523000000001</x:v>
      </x:c>
      <x:c r="D47">
        <x:v>1059.317</x:v>
      </x:c>
      <x:c r="E47">
        <x:v>-27.850999999999999</x:v>
      </x:c>
      <x:c r="F47" s="9">
        <x:v>0</x:v>
      </x:c>
    </x:row>
    <x:row r="48" spans="1:6" x14ac:dyDescent="0.25">
      <x:c r="A48" s="6">
        <x:f t="shared" si="0"/>
        <x:v>39</x:v>
      </x:c>
      <x:c r="B48" t="s">
        <x:v>155</x:v>
      </x:c>
      <x:c r="C48">
        <x:v>-27684.733</x:v>
      </x:c>
      <x:c r="D48">
        <x:v>1066.931</x:v>
      </x:c>
      <x:c r="E48">
        <x:v>-25.948</x:v>
      </x:c>
      <x:c r="F48" s="9">
        <x:v>0</x:v>
      </x:c>
    </x:row>
    <x:row r="49" spans="1:6" x14ac:dyDescent="0.25">
      <x:c r="A49" s="6">
        <x:f t="shared" si="0"/>
        <x:v>40</x:v>
      </x:c>
      <x:c r="B49" t="s">
        <x:v>156</x:v>
      </x:c>
      <x:c r="C49">
        <x:v>-25602.113000000001</x:v>
      </x:c>
      <x:c r="D49">
        <x:v>1063.6759999999999</x:v>
      </x:c>
      <x:c r="E49">
        <x:v>-24.068999999999999</x:v>
      </x:c>
      <x:c r="F49" s="9">
        <x:v>0</x:v>
      </x:c>
    </x:row>
    <x:row r="50" spans="1:6" x14ac:dyDescent="0.25">
      <x:c r="A50" s="6">
        <x:f t="shared" si="0"/>
        <x:v>41</x:v>
      </x:c>
      <x:c r="B50" t="s">
        <x:v>157</x:v>
      </x:c>
      <x:c r="C50">
        <x:v>-21704.440999999999</x:v>
      </x:c>
      <x:c r="D50">
        <x:v>1053.269</x:v>
      </x:c>
      <x:c r="E50">
        <x:v>-20.606999999999999</x:v>
      </x:c>
      <x:c r="F50" s="9">
        <x:v>0</x:v>
      </x:c>
    </x:row>
    <x:row r="51" spans="1:6" x14ac:dyDescent="0.25">
      <x:c r="A51" s="6">
        <x:f t="shared" si="0"/>
        <x:v>42</x:v>
      </x:c>
      <x:c r="B51" t="s">
        <x:v>171</x:v>
      </x:c>
      <x:c r="C51">
        <x:v>-3024.1889999999999</x:v>
      </x:c>
      <x:c r="D51">
        <x:v>672.19200000000001</x:v>
      </x:c>
      <x:c r="E51">
        <x:v>-4.4989999999999997</x:v>
      </x:c>
      <x:c r="F51" s="9">
        <x:v>0</x:v>
      </x:c>
    </x:row>
    <x:row r="52" spans="1:6" x14ac:dyDescent="0.25">
      <x:c r="A52" s="6">
        <x:f t="shared" si="0"/>
        <x:v>43</x:v>
      </x:c>
      <x:c r="B52" t="s">
        <x:v>165</x:v>
      </x:c>
      <x:c r="C52">
        <x:v>-10627.179</x:v>
      </x:c>
      <x:c r="D52">
        <x:v>925.07600000000002</x:v>
      </x:c>
      <x:c r="E52">
        <x:v>-11.488</x:v>
      </x:c>
      <x:c r="F52" s="9">
        <x:v>0</x:v>
      </x:c>
    </x:row>
    <x:row r="53" spans="1:6" x14ac:dyDescent="0.25">
      <x:c r="A53" s="6">
        <x:f t="shared" si="0"/>
        <x:v>44</x:v>
      </x:c>
      <x:c r="B53" t="s">
        <x:v>166</x:v>
      </x:c>
      <x:c r="C53">
        <x:v>-14173.611000000001</x:v>
      </x:c>
      <x:c r="D53">
        <x:v>1017.58</x:v>
      </x:c>
      <x:c r="E53">
        <x:v>-13.929</x:v>
      </x:c>
      <x:c r="F53" s="9">
        <x:v>0</x:v>
      </x:c>
    </x:row>
    <x:row r="54" spans="1:6" x14ac:dyDescent="0.25">
      <x:c r="A54" s="6">
        <x:f t="shared" si="0"/>
        <x:v>45</x:v>
      </x:c>
      <x:c r="B54" t="s">
        <x:v>167</x:v>
      </x:c>
      <x:c r="C54">
        <x:v>-8148.5309999999999</x:v>
      </x:c>
      <x:c r="D54">
        <x:v>918.803</x:v>
      </x:c>
      <x:c r="E54">
        <x:v>-8.8689999999999998</x:v>
      </x:c>
      <x:c r="F54" s="9">
        <x:v>0</x:v>
      </x:c>
    </x:row>
    <x:row r="55" spans="1:6" x14ac:dyDescent="0.25">
      <x:c r="A55" s="6">
        <x:f t="shared" si="0"/>
        <x:v>46</x:v>
      </x:c>
      <x:c r="B55" s="27" t="s">
        <x:v>172</x:v>
      </x:c>
      <x:c r="C55">
        <x:v>-3758.4789999999998</x:v>
      </x:c>
      <x:c r="D55">
        <x:v>672.37800000000004</x:v>
      </x:c>
      <x:c r="E55">
        <x:v>-5.59</x:v>
      </x:c>
      <x:c r="F55" s="9">
        <x:v>0</x:v>
      </x:c>
    </x:row>
    <x:row r="56" spans="1:6" x14ac:dyDescent="0.25">
      <x:c r="A56" s="6">
        <x:f t="shared" si="0"/>
        <x:v>47</x:v>
      </x:c>
      <x:c r="B56" s="27" t="s">
        <x:v>31</x:v>
      </x:c>
      <x:c r="C56">
        <x:v>0.99299999999999999</x:v>
      </x:c>
      <x:c r="D56">
        <x:v>3.1E-2</x:v>
      </x:c>
      <x:c r="E56">
        <x:v>31.780999999999999</x:v>
      </x:c>
      <x:c r="F56" s="9">
        <x:v>0</x:v>
      </x:c>
    </x:row>
    <x:row r="57" spans="1:6" x14ac:dyDescent="0.25">
      <x:c r="A57" s="6">
        <x:f t="shared" si="0"/>
        <x:v>48</x:v>
      </x:c>
      <x:c r="B57" s="27" t="s">
        <x:v>32</x:v>
      </x:c>
      <x:c r="C57">
        <x:v>-0.21199999999999999</x:v>
      </x:c>
      <x:c r="D57">
        <x:v>4.3999999999999997E-2</x:v>
      </x:c>
      <x:c r="E57">
        <x:v>-4.7930000000000001</x:v>
      </x:c>
      <x:c r="F57" s="9">
        <x:v>0</x:v>
      </x:c>
    </x:row>
    <x:row r="58" spans="1:6" x14ac:dyDescent="0.25">
      <x:c r="A58" s="6">
        <x:f t="shared" si="0"/>
        <x:v>49</x:v>
      </x:c>
      <x:c r="B58" s="27" t="s">
        <x:v>33</x:v>
      </x:c>
      <x:c r="C58">
        <x:v>4.7E-2</x:v>
      </x:c>
      <x:c r="D58">
        <x:v>4.4999999999999998E-2</x:v>
      </x:c>
      <x:c r="E58">
        <x:v>1.0609999999999999</x:v>
      </x:c>
      <x:c r="F58" s="9">
        <x:v>0.28910000000000002</x:v>
      </x:c>
    </x:row>
    <x:row r="59" spans="1:6" x14ac:dyDescent="0.25">
      <x:c r="A59" s="6">
        <x:f t="shared" si="0"/>
        <x:v>50</x:v>
      </x:c>
      <x:c r="B59" s="27" t="s">
        <x:v>34</x:v>
      </x:c>
      <x:c r="C59">
        <x:v>-8.0000000000000002E-3</x:v>
      </x:c>
      <x:c r="D59">
        <x:v>4.4999999999999998E-2</x:v>
      </x:c>
      <x:c r="E59">
        <x:v>-0.16900000000000001</x:v>
      </x:c>
      <x:c r="F59" s="9">
        <x:v>0.86550000000000005</x:v>
      </x:c>
    </x:row>
    <x:row r="60" spans="1:6" x14ac:dyDescent="0.25">
      <x:c r="A60" s="6">
        <x:f t="shared" si="0"/>
        <x:v>51</x:v>
      </x:c>
      <x:c r="B60" s="27" t="s">
        <x:v>36</x:v>
      </x:c>
      <x:c r="C60">
        <x:v>4.4999999999999998E-2</x:v>
      </x:c>
      <x:c r="D60">
        <x:v>4.3999999999999997E-2</x:v>
      </x:c>
      <x:c r="E60">
        <x:v>1.02</x:v>
      </x:c>
      <x:c r="F60" s="9">
        <x:v>0.308</x:v>
      </x:c>
    </x:row>
    <x:row r="61" spans="1:6" x14ac:dyDescent="0.25">
      <x:c r="A61" s="6">
        <x:f t="shared" si="0"/>
        <x:v>52</x:v>
      </x:c>
      <x:c r="B61" s="27" t="s">
        <x:v>49</x:v>
      </x:c>
      <x:c r="C61">
        <x:v>6.6000000000000003E-2</x:v>
      </x:c>
      <x:c r="D61">
        <x:v>3.1E-2</x:v>
      </x:c>
      <x:c r="E61">
        <x:v>2.1280000000000001</x:v>
      </x:c>
      <x:c r="F61" s="9">
        <x:v>3.3599999999999998E-2</x:v>
      </x:c>
    </x:row>
    <x:row r="62" spans="1:6" x14ac:dyDescent="0.25">
      <x:c r="A62" s="6">
        <x:f t="shared" si="0"/>
        <x:v>53</x:v>
      </x:c>
      <x:c r="F62" s="11"/>
    </x:row>
    <x:row r="63" spans="1:6" x14ac:dyDescent="0.25">
      <x:c r="A63" s="6">
        <x:f t="shared" si="0"/>
        <x:v>54</x:v>
      </x:c>
      <x:c r="B63" s="4" t="s">
        <x:v>90</x:v>
      </x:c>
      <x:c r="F63" s="11"/>
    </x:row>
    <x:row r="64" spans="1:6" x14ac:dyDescent="0.25">
      <x:c r="A64" s="6">
        <x:f t="shared" si="0"/>
        <x:v>55</x:v>
      </x:c>
      <x:c r="B64" t="s">
        <x:v>30</x:v>
      </x:c>
      <x:c r="C64" s="15">
        <x:v>1089</x:v>
      </x:c>
      <x:c r="F64" s="9"/>
    </x:row>
    <x:row r="65" spans="1:6" x14ac:dyDescent="0.25">
      <x:c r="A65" s="6">
        <x:f t="shared" si="0"/>
        <x:v>56</x:v>
      </x:c>
      <x:c r="B65" t="s">
        <x:v>10</x:v>
      </x:c>
      <x:c r="C65" s="15">
        <x:v>1044</x:v>
      </x:c>
      <x:c r="F65" s="9"/>
    </x:row>
    <x:row r="66" spans="1:6" x14ac:dyDescent="0.25">
      <x:c r="A66" s="6">
        <x:f t="shared" si="0"/>
        <x:v>57</x:v>
      </x:c>
      <x:c r="B66" t="s">
        <x:v>12</x:v>
      </x:c>
      <x:c r="C66" s="21">
        <x:v>0.98699999999999999</x:v>
      </x:c>
      <x:c r="F66" s="9"/>
    </x:row>
    <x:row r="67" spans="1:6" x14ac:dyDescent="0.25">
      <x:c r="A67" s="6">
        <x:f t="shared" si="0"/>
        <x:v>58</x:v>
      </x:c>
      <x:c r="B67" t="s">
        <x:v>13</x:v>
      </x:c>
      <x:c r="C67" s="21">
        <x:v>0.98599999999999999</x:v>
      </x:c>
      <x:c r="F67" s="9"/>
    </x:row>
    <x:row r="68" spans="1:6" x14ac:dyDescent="0.25">
      <x:c r="A68" s="6">
        <x:f t="shared" si="0"/>
        <x:v>59</x:v>
      </x:c>
      <x:c r="B68" t="s">
        <x:v>15</x:v>
      </x:c>
      <x:c r="C68" s="15">
        <x:v>1803.288</x:v>
      </x:c>
      <x:c r="F68" s="9"/>
    </x:row>
    <x:row r="69" spans="1:6" x14ac:dyDescent="0.25">
      <x:c r="A69" s="6">
        <x:f t="shared" si="0"/>
        <x:v>60</x:v>
      </x:c>
      <x:c r="B69" t="s">
        <x:v>16</x:v>
      </x:c>
      <x:c r="C69" s="22">
        <x:v>0</x:v>
      </x:c>
      <x:c r="F69" s="9"/>
    </x:row>
    <x:row r="70" spans="1:6" x14ac:dyDescent="0.25">
      <x:c r="A70" s="6">
        <x:f t="shared" si="0"/>
        <x:v>61</x:v>
      </x:c>
      <x:c r="B70" t="s">
        <x:v>17</x:v>
      </x:c>
      <x:c r="C70" s="15">
        <x:v>36923758846.480003</x:v>
      </x:c>
    </x:row>
    <x:row r="71" spans="1:6" x14ac:dyDescent="0.25">
      <x:c r="A71" s="6">
        <x:f t="shared" si="0"/>
        <x:v>62</x:v>
      </x:c>
      <x:c r="B71" t="s">
        <x:v>18</x:v>
      </x:c>
      <x:c r="C71" s="15">
        <x:v>485834687</x:v>
      </x:c>
      <x:c r="F71" s="9"/>
    </x:row>
    <x:row r="72" spans="1:6" x14ac:dyDescent="0.25">
      <x:c r="A72" s="6">
        <x:f t="shared" si="0"/>
        <x:v>63</x:v>
      </x:c>
      <x:c r="B72" t="s">
        <x:v>19</x:v>
      </x:c>
      <x:c r="C72" s="15">
        <x:v>465358.9</x:v>
      </x:c>
      <x:c r="F72" s="9"/>
    </x:row>
    <x:row r="73" spans="1:6" x14ac:dyDescent="0.25">
      <x:c r="A73" s="6">
        <x:f t="shared" si="0"/>
        <x:v>64</x:v>
      </x:c>
      <x:c r="B73" t="s">
        <x:v>20</x:v>
      </x:c>
      <x:c r="C73">
        <x:v>682.17</x:v>
      </x:c>
      <x:c r="F73" s="9"/>
    </x:row>
    <x:row r="74" spans="1:6" x14ac:dyDescent="0.25">
      <x:c r="A74" s="6">
        <x:f t="shared" si="0"/>
        <x:v>65</x:v>
      </x:c>
      <x:c r="B74" t="s">
        <x:v>9</x:v>
      </x:c>
      <x:c r="C74" s="26">
        <x:v>464.11</x:v>
      </x:c>
    </x:row>
    <x:row r="75" spans="1:6" x14ac:dyDescent="0.25">
      <x:c r="A75" s="6">
        <x:f t="shared" si="0"/>
        <x:v>66</x:v>
      </x:c>
      <x:c r="B75" t="s">
        <x:v>11</x:v>
      </x:c>
      <x:c r="C75" s="9">
        <x:v>9.2999999999999992E-3</x:v>
      </x:c>
    </x:row>
    <x:row r="76" spans="1:6" x14ac:dyDescent="0.25">
      <x:c r="A76" s="6">
        <x:f t="shared" ref="A76:A78" si="1">+A75+1</x:f>
        <x:v>67</x:v>
      </x:c>
      <x:c r="B76" t="s">
        <x:v>14</x:v>
      </x:c>
      <x:c r="C76">
        <x:v>2.0099999999999998</x:v>
      </x:c>
    </x:row>
    <x:row r="77" spans="1:6" x14ac:dyDescent="0.25">
      <x:c r="A77" s="6">
        <x:f t="shared" si="1"/>
        <x:v>68</x:v>
      </x:c>
      <x:c r="B77" t="s">
        <x:v>21</x:v>
      </x:c>
      <x:c r="C77" s="26">
        <x:v>16.3</x:v>
      </x:c>
    </x:row>
    <x:row r="78" spans="1:6" x14ac:dyDescent="0.25">
      <x:c r="A78" s="6">
        <x:f t="shared" si="1"/>
        <x:v>69</x:v>
      </x:c>
      <x:c r="B78" t="s">
        <x:v>22</x:v>
      </x:c>
      <x:c r="C78">
        <x:v>0.87690000000000001</x:v>
      </x:c>
    </x:row>
  </x:sheetData>
  <x:mergeCells count="6">
    <x:mergeCell ref="B6:F6"/>
    <x:mergeCell ref="B8:F8"/>
    <x:mergeCell ref="B1:F1"/>
    <x:mergeCell ref="B2:F2"/>
    <x:mergeCell ref="B3:F3"/>
    <x:mergeCell ref="B4:F4"/>
  </x:mergeCells>
  <x:phoneticPr fontId="0" type="noConversion"/>
  <x:printOptions horizontalCentered="1"/>
  <x:pageMargins left="0.83" right="0.53" top="1.5" bottom="1" header="1" footer="0.5"/>
  <x:pageSetup scale="63" firstPageNumber="7" orientation="portrait" r:id="rId1"/>
  <x:headerFooter scaleWithDoc="0" alignWithMargins="0">
    <x:oddHeader>&amp;RWP/II-H-5.2/6
Page &amp;P of 20</x:oddHeader>
  </x:headerFooter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9">
    <x:pageSetUpPr fitToPage="1"/>
  </x:sheetPr>
  <x:dimension ref="A1:K49"/>
  <x:sheetViews>
    <x:sheetView zoomScaleNormal="100" workbookViewId="0">
      <x:selection activeCell="G5" sqref="G5"/>
    </x:sheetView>
  </x:sheetViews>
  <x:sheetFormatPr defaultRowHeight="13.2" x14ac:dyDescent="0.25"/>
  <x:cols>
    <x:col min="1" max="1" width="9.33203125" bestFit="1" customWidth="1"/>
    <x:col min="2" max="2" width="26.88671875" bestFit="1" customWidth="1"/>
    <x:col min="3" max="3" width="12.5546875" customWidth="1"/>
    <x:col min="4" max="5" width="9.33203125" bestFit="1" customWidth="1"/>
    <x:col min="6" max="6" width="9.33203125" customWidth="1"/>
  </x:cols>
  <x:sheetData>
    <x:row r="1" spans="1:11" s="1" customFormat="1" ht="15.6" x14ac:dyDescent="0.3">
      <x:c r="A1" s="6"/>
      <x:c r="B1" s="43" t="str">
        <x:f>+'RES Spline Model'!B1:F1</x:f>
        <x:v>2025 RATE CASE</x:v>
      </x:c>
      <x:c r="C1" s="44"/>
      <x:c r="D1" s="44"/>
      <x:c r="E1" s="44"/>
      <x:c r="F1" s="44"/>
      <x:c r="G1" s="44"/>
      <x:c r="H1" s="44"/>
      <x:c r="I1" s="44"/>
      <x:c r="J1" s="44"/>
      <x:c r="K1" s="39"/>
    </x:row>
    <x:row r="2" spans="1:11" s="1" customFormat="1" ht="15.6" x14ac:dyDescent="0.3">
      <x:c r="A2" s="6"/>
      <x:c r="B2" s="43" t="str">
        <x:f>+'RES Spline Model'!B2:F2</x:f>
        <x:v>ONCOR ELECTRIC DELIVERY COMPANY LLC</x:v>
      </x:c>
      <x:c r="C2" s="44"/>
      <x:c r="D2" s="44"/>
      <x:c r="E2" s="44"/>
      <x:c r="F2" s="44"/>
      <x:c r="G2" s="44"/>
      <x:c r="H2" s="44"/>
      <x:c r="I2" s="44"/>
      <x:c r="J2" s="44"/>
      <x:c r="K2" s="39"/>
    </x:row>
    <x:row r="3" spans="1:11" s="1" customFormat="1" ht="15.6" x14ac:dyDescent="0.3">
      <x:c r="A3" s="6"/>
      <x:c r="B3" s="43" t="str">
        <x:f>+'RES Spline Model'!B3:F3</x:f>
        <x:v>ADJUSTED WEATHER STATION DATA</x:v>
      </x:c>
      <x:c r="C3" s="44"/>
      <x:c r="D3" s="44"/>
      <x:c r="E3" s="44"/>
      <x:c r="F3" s="44"/>
      <x:c r="G3" s="44"/>
      <x:c r="H3" s="44"/>
      <x:c r="I3" s="44"/>
      <x:c r="J3" s="44"/>
      <x:c r="K3" s="39"/>
    </x:row>
    <x:row r="4" spans="1:11" s="1" customFormat="1" ht="15.6" x14ac:dyDescent="0.3">
      <x:c r="A4" s="6"/>
      <x:c r="B4" s="43" t="str">
        <x:f>+'RES Spline Model'!B4:F4</x:f>
        <x:v>FOR THE TEST YEAR ENDING DECEMBER 31, 2024</x:v>
      </x:c>
      <x:c r="C4" s="44"/>
      <x:c r="D4" s="44"/>
      <x:c r="E4" s="44"/>
      <x:c r="F4" s="44"/>
      <x:c r="G4" s="44"/>
      <x:c r="H4" s="44"/>
      <x:c r="I4" s="44"/>
      <x:c r="J4" s="44"/>
      <x:c r="K4" s="39"/>
    </x:row>
    <x:row r="5" spans="1:11" s="1" customFormat="1" ht="11.4" x14ac:dyDescent="0.2">
      <x:c r="A5" s="6"/>
      <x:c r="B5" s="40"/>
      <x:c r="C5" s="40"/>
      <x:c r="D5" s="40"/>
      <x:c r="E5" s="40"/>
      <x:c r="F5" s="40"/>
      <x:c r="G5" s="40"/>
      <x:c r="H5" s="40"/>
      <x:c r="I5" s="40"/>
      <x:c r="J5" s="40"/>
      <x:c r="K5" s="40"/>
    </x:row>
    <x:row r="6" spans="1:11" s="1" customFormat="1" ht="15.6" x14ac:dyDescent="0.3">
      <x:c r="A6" s="6"/>
      <x:c r="B6" s="43" t="str">
        <x:f>+'RES Spline Model'!B6:F6</x:f>
        <x:v>SPONSOR: D. E. NELSON</x:v>
      </x:c>
      <x:c r="C6" s="44"/>
      <x:c r="D6" s="44"/>
      <x:c r="E6" s="44"/>
      <x:c r="F6" s="44"/>
      <x:c r="G6" s="44"/>
      <x:c r="H6" s="44"/>
      <x:c r="I6" s="44"/>
      <x:c r="J6" s="44"/>
      <x:c r="K6" s="39"/>
    </x:row>
    <x:row r="8" spans="1:11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11" s="1" customFormat="1" ht="11.4" x14ac:dyDescent="0.2">
      <x:c r="A9" s="7" t="s">
        <x:v>24</x:v>
      </x:c>
      <x:c r="B9" s="8"/>
      <x:c r="C9" s="8"/>
      <x:c r="D9" s="8"/>
      <x:c r="E9" s="8"/>
      <x:c r="F9" s="8"/>
    </x:row>
    <x:row r="10" spans="1:11" s="1" customFormat="1" x14ac:dyDescent="0.25">
      <x:c r="A10" s="6">
        <x:v>1</x:v>
      </x:c>
      <x:c r="B10" s="42" t="s">
        <x:v>85</x:v>
      </x:c>
      <x:c r="C10" s="44"/>
      <x:c r="D10" s="44"/>
      <x:c r="E10" s="44"/>
      <x:c r="F10" s="44"/>
      <x:c r="G10" s="44"/>
      <x:c r="H10" s="44"/>
      <x:c r="I10" s="44"/>
      <x:c r="J10" s="44"/>
      <x:c r="K10" s="44"/>
    </x:row>
    <x:row r="11" spans="1:11" s="1" customFormat="1" x14ac:dyDescent="0.25">
      <x:c r="A11" s="6">
        <x:f t="shared" ref="A11:A37" si="0">+A10+1</x:f>
        <x:v>2</x:v>
      </x:c>
      <x:c r="B11" s="42" t="str">
        <x:f>+'RES Spline Graph'!B11:H11</x:f>
        <x:v>After Corrective Procedures for Autocorrelation</x:v>
      </x:c>
      <x:c r="C11" s="44"/>
      <x:c r="D11" s="44"/>
      <x:c r="E11" s="44"/>
      <x:c r="F11" s="44"/>
      <x:c r="G11" s="44"/>
      <x:c r="H11" s="44"/>
      <x:c r="I11" s="44"/>
      <x:c r="J11" s="44"/>
      <x:c r="K11" s="44"/>
    </x:row>
    <x:row r="12" spans="1:11" s="1" customFormat="1" ht="12" x14ac:dyDescent="0.25">
      <x:c r="A12" s="6">
        <x:f t="shared" si="0"/>
        <x:v>3</x:v>
      </x:c>
      <x:c r="B12" s="3"/>
      <x:c r="C12" s="10"/>
    </x:row>
    <x:row r="13" spans="1:11" s="1" customFormat="1" ht="12" x14ac:dyDescent="0.25">
      <x:c r="A13" s="6">
        <x:f t="shared" si="0"/>
        <x:v>4</x:v>
      </x:c>
      <x:c r="B13" s="3"/>
      <x:c r="C13" s="10"/>
    </x:row>
    <x:row r="14" spans="1:11" s="1" customFormat="1" ht="11.4" x14ac:dyDescent="0.2">
      <x:c r="A14" s="6">
        <x:f t="shared" si="0"/>
        <x:v>5</x:v>
      </x:c>
    </x:row>
    <x:row r="15" spans="1:11" s="1" customFormat="1" ht="11.4" x14ac:dyDescent="0.2">
      <x:c r="A15" s="6">
        <x:f t="shared" si="0"/>
        <x:v>6</x:v>
      </x:c>
      <x:c r="B15" s="12"/>
      <x:c r="C15" s="12"/>
      <x:c r="D15" s="12"/>
      <x:c r="E15" s="12"/>
      <x:c r="F15" s="12"/>
    </x:row>
    <x:row r="16" spans="1:11" x14ac:dyDescent="0.25">
      <x:c r="A16" s="6">
        <x:f t="shared" si="0"/>
        <x:v>7</x:v>
      </x:c>
      <x:c r="F16" s="9"/>
    </x:row>
    <x:row r="17" spans="1:6" x14ac:dyDescent="0.25">
      <x:c r="A17" s="6">
        <x:f t="shared" si="0"/>
        <x:v>8</x:v>
      </x:c>
      <x:c r="F17" s="9"/>
    </x:row>
    <x:row r="18" spans="1:6" x14ac:dyDescent="0.25">
      <x:c r="A18" s="6">
        <x:f t="shared" si="0"/>
        <x:v>9</x:v>
      </x:c>
      <x:c r="F18" s="9"/>
    </x:row>
    <x:row r="19" spans="1:6" x14ac:dyDescent="0.25">
      <x:c r="A19" s="6">
        <x:f t="shared" si="0"/>
        <x:v>10</x:v>
      </x:c>
      <x:c r="F19" s="9"/>
    </x:row>
    <x:row r="20" spans="1:6" x14ac:dyDescent="0.25">
      <x:c r="A20" s="6">
        <x:f t="shared" si="0"/>
        <x:v>11</x:v>
      </x:c>
      <x:c r="F20" s="9"/>
    </x:row>
    <x:row r="21" spans="1:6" x14ac:dyDescent="0.25">
      <x:c r="A21" s="6">
        <x:f t="shared" si="0"/>
        <x:v>12</x:v>
      </x:c>
      <x:c r="F21" s="9"/>
    </x:row>
    <x:row r="22" spans="1:6" x14ac:dyDescent="0.25">
      <x:c r="A22" s="6">
        <x:f t="shared" si="0"/>
        <x:v>13</x:v>
      </x:c>
      <x:c r="F22" s="9"/>
    </x:row>
    <x:row r="23" spans="1:6" x14ac:dyDescent="0.25">
      <x:c r="A23" s="6">
        <x:f t="shared" si="0"/>
        <x:v>14</x:v>
      </x:c>
      <x:c r="F23" s="9"/>
    </x:row>
    <x:row r="24" spans="1:6" x14ac:dyDescent="0.25">
      <x:c r="A24" s="6">
        <x:f t="shared" si="0"/>
        <x:v>15</x:v>
      </x:c>
      <x:c r="F24" s="9"/>
    </x:row>
    <x:row r="25" spans="1:6" x14ac:dyDescent="0.25">
      <x:c r="A25" s="6">
        <x:f t="shared" si="0"/>
        <x:v>16</x:v>
      </x:c>
      <x:c r="F25" s="9"/>
    </x:row>
    <x:row r="26" spans="1:6" x14ac:dyDescent="0.25">
      <x:c r="A26" s="6">
        <x:f t="shared" si="0"/>
        <x:v>17</x:v>
      </x:c>
      <x:c r="F26" s="9"/>
    </x:row>
    <x:row r="27" spans="1:6" x14ac:dyDescent="0.25">
      <x:c r="A27" s="6">
        <x:f t="shared" si="0"/>
        <x:v>18</x:v>
      </x:c>
      <x:c r="F27" s="9"/>
    </x:row>
    <x:row r="28" spans="1:6" x14ac:dyDescent="0.25">
      <x:c r="A28" s="6">
        <x:f t="shared" si="0"/>
        <x:v>19</x:v>
      </x:c>
      <x:c r="F28" s="9"/>
    </x:row>
    <x:row r="29" spans="1:6" x14ac:dyDescent="0.25">
      <x:c r="A29" s="6">
        <x:f t="shared" si="0"/>
        <x:v>20</x:v>
      </x:c>
      <x:c r="F29" s="9"/>
    </x:row>
    <x:row r="30" spans="1:6" x14ac:dyDescent="0.25">
      <x:c r="A30" s="6">
        <x:f t="shared" si="0"/>
        <x:v>21</x:v>
      </x:c>
      <x:c r="F30" s="9"/>
    </x:row>
    <x:row r="31" spans="1:6" x14ac:dyDescent="0.25">
      <x:c r="A31" s="6">
        <x:f t="shared" si="0"/>
        <x:v>22</x:v>
      </x:c>
      <x:c r="F31" s="9"/>
    </x:row>
    <x:row r="32" spans="1:6" x14ac:dyDescent="0.25">
      <x:c r="A32" s="6">
        <x:f t="shared" si="0"/>
        <x:v>23</x:v>
      </x:c>
      <x:c r="F32" s="9"/>
    </x:row>
    <x:row r="33" spans="1:7" x14ac:dyDescent="0.25">
      <x:c r="A33" s="6">
        <x:f t="shared" si="0"/>
        <x:v>24</x:v>
      </x:c>
    </x:row>
    <x:row r="34" spans="1:7" x14ac:dyDescent="0.25">
      <x:c r="A34" s="6">
        <x:f t="shared" si="0"/>
        <x:v>25</x:v>
      </x:c>
      <x:c r="B34" s="19"/>
    </x:row>
    <x:row r="35" spans="1:7" x14ac:dyDescent="0.25">
      <x:c r="A35" s="6">
        <x:f t="shared" si="0"/>
        <x:v>26</x:v>
      </x:c>
      <x:c r="F35" s="2"/>
    </x:row>
    <x:row r="36" spans="1:7" x14ac:dyDescent="0.25">
      <x:c r="A36" s="6">
        <x:f t="shared" si="0"/>
        <x:v>27</x:v>
      </x:c>
      <x:c r="F36" s="11"/>
    </x:row>
    <x:row r="37" spans="1:7" x14ac:dyDescent="0.25">
      <x:c r="A37" s="6">
        <x:f t="shared" si="0"/>
        <x:v>28</x:v>
      </x:c>
      <x:c r="F37" s="2"/>
    </x:row>
    <x:row r="38" spans="1:7" x14ac:dyDescent="0.25">
      <x:c r="A38" s="6"/>
      <x:c r="F38" s="2"/>
    </x:row>
    <x:row r="39" spans="1:7" x14ac:dyDescent="0.25">
      <x:c r="A39" s="6"/>
      <x:c r="F39" s="11"/>
    </x:row>
    <x:row r="40" spans="1:7" x14ac:dyDescent="0.25">
      <x:c r="A40" s="6"/>
      <x:c r="F40" s="2"/>
    </x:row>
    <x:row r="41" spans="1:7" x14ac:dyDescent="0.25">
      <x:c r="A41" s="6"/>
      <x:c r="F41" s="2"/>
    </x:row>
    <x:row r="42" spans="1:7" x14ac:dyDescent="0.25">
      <x:c r="A42" s="6"/>
      <x:c r="F42" s="2"/>
    </x:row>
    <x:row r="43" spans="1:7" x14ac:dyDescent="0.25">
      <x:c r="A43" s="6"/>
      <x:c r="F43" s="2"/>
    </x:row>
    <x:row r="44" spans="1:7" x14ac:dyDescent="0.25">
      <x:c r="A44" s="6"/>
      <x:c r="F44" s="2"/>
    </x:row>
    <x:row r="45" spans="1:7" x14ac:dyDescent="0.25">
      <x:c r="A45" s="6"/>
    </x:row>
    <x:row r="46" spans="1:7" x14ac:dyDescent="0.25">
      <x:c r="A46" s="6"/>
    </x:row>
    <x:row r="47" spans="1:7" x14ac:dyDescent="0.25">
      <x:c r="A47" s="6"/>
      <x:c r="C47" s="9"/>
      <x:c r="G47" s="9"/>
    </x:row>
    <x:row r="48" spans="1:7" x14ac:dyDescent="0.25">
      <x:c r="A48" s="6"/>
    </x:row>
    <x:row r="49" spans="1:1" x14ac:dyDescent="0.25">
      <x:c r="A49" s="6"/>
    </x:row>
  </x:sheetData>
  <x:mergeCells count="8">
    <x:mergeCell ref="B10:K10"/>
    <x:mergeCell ref="B11:K11"/>
    <x:mergeCell ref="B8:F8"/>
    <x:mergeCell ref="B1:J1"/>
    <x:mergeCell ref="B2:J2"/>
    <x:mergeCell ref="B3:J3"/>
    <x:mergeCell ref="B4:J4"/>
    <x:mergeCell ref="B6:J6"/>
  </x:mergeCells>
  <x:phoneticPr fontId="1" type="noConversion"/>
  <x:printOptions horizontalCentered="1"/>
  <x:pageMargins left="0.83" right="0.53" top="1.5" bottom="1" header="1" footer="0.5"/>
  <x:pageSetup scale="76" firstPageNumber="7" orientation="portrait" r:id="rId1"/>
  <x:headerFooter scaleWithDoc="0" alignWithMargins="0">
    <x:oddHeader>&amp;RWP/II-H-5.2/6
Page &amp;P of 20</x:oddHeader>
  </x:headerFooter>
  <x:drawing r:id="rId2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pageSetUpPr fitToPage="1"/>
  </x:sheetPr>
  <x:dimension ref="A1:F70"/>
  <x:sheetViews>
    <x:sheetView workbookViewId="0">
      <x:selection activeCell="G5" sqref="G5"/>
    </x:sheetView>
  </x:sheetViews>
  <x:sheetFormatPr defaultRowHeight="13.2" x14ac:dyDescent="0.25"/>
  <x:cols>
    <x:col min="2" max="2" width="28.109375" customWidth="1"/>
    <x:col min="3" max="3" width="17.109375" customWidth="1"/>
    <x:col min="4" max="4" width="11.6640625" customWidth="1"/>
    <x:col min="5" max="5" width="12.5546875" customWidth="1"/>
    <x:col min="6" max="6" width="14.6640625" customWidth="1"/>
  </x:cols>
  <x:sheetData>
    <x:row r="1" spans="1:6" s="1" customFormat="1" ht="15.6" x14ac:dyDescent="0.3">
      <x:c r="A1" s="6"/>
      <x:c r="B1" s="43" t="str">
        <x:f>+'RES Spline Model'!B1:F1</x:f>
        <x:v>2025 RATE CASE</x:v>
      </x:c>
      <x:c r="C1" s="43"/>
      <x:c r="D1" s="43"/>
      <x:c r="E1" s="43"/>
      <x:c r="F1" s="43"/>
    </x:row>
    <x:row r="2" spans="1:6" s="1" customFormat="1" ht="15.6" x14ac:dyDescent="0.3">
      <x:c r="A2" s="6"/>
      <x:c r="B2" s="43" t="str">
        <x:f>+'RES Spline Model'!B2:F2</x:f>
        <x:v>ONCOR ELECTRIC DELIVERY COMPANY LLC</x:v>
      </x:c>
      <x:c r="C2" s="43"/>
      <x:c r="D2" s="43"/>
      <x:c r="E2" s="43"/>
      <x:c r="F2" s="43"/>
    </x:row>
    <x:row r="3" spans="1:6" s="1" customFormat="1" ht="15.6" x14ac:dyDescent="0.3">
      <x:c r="A3" s="6"/>
      <x:c r="B3" s="43" t="str">
        <x:f>+'RES Spline Model'!B3:F3</x:f>
        <x:v>ADJUSTED WEATHER STATION DATA</x:v>
      </x:c>
      <x:c r="C3" s="43"/>
      <x:c r="D3" s="43"/>
      <x:c r="E3" s="43"/>
      <x:c r="F3" s="43"/>
    </x:row>
    <x:row r="4" spans="1:6" s="1" customFormat="1" ht="15.6" x14ac:dyDescent="0.3">
      <x:c r="A4" s="6"/>
      <x:c r="B4" s="43" t="str">
        <x:f>+'RES Spline Model'!B4:F4</x:f>
        <x:v>FOR THE TEST YEAR ENDING DECEMBER 31, 2024</x:v>
      </x:c>
      <x:c r="C4" s="43"/>
      <x:c r="D4" s="43"/>
      <x:c r="E4" s="43"/>
      <x:c r="F4" s="43"/>
    </x:row>
    <x:row r="5" spans="1:6" s="1" customFormat="1" ht="11.4" x14ac:dyDescent="0.2">
      <x:c r="A5" s="6"/>
    </x:row>
    <x:row r="6" spans="1:6" s="1" customFormat="1" ht="15.6" x14ac:dyDescent="0.3">
      <x:c r="A6" s="6"/>
      <x:c r="B6" s="43" t="str">
        <x:f>+'RES Spline Model'!B6:F6</x:f>
        <x:v>SPONSOR: D. E. NELSON</x:v>
      </x:c>
      <x:c r="C6" s="43"/>
      <x:c r="D6" s="43"/>
      <x:c r="E6" s="43"/>
      <x:c r="F6" s="43"/>
    </x:row>
    <x:row r="8" spans="1:6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6" s="1" customFormat="1" ht="11.4" x14ac:dyDescent="0.2">
      <x:c r="A9" s="7" t="s">
        <x:v>24</x:v>
      </x:c>
      <x:c r="B9" s="8" t="s">
        <x:v>25</x:v>
      </x:c>
      <x:c r="C9" s="8" t="s">
        <x:v>26</x:v>
      </x:c>
      <x:c r="D9" s="8" t="s">
        <x:v>29</x:v>
      </x:c>
      <x:c r="E9" s="8" t="s">
        <x:v>27</x:v>
      </x:c>
      <x:c r="F9" s="8" t="s">
        <x:v>28</x:v>
      </x:c>
    </x:row>
    <x:row r="10" spans="1:6" s="1" customFormat="1" ht="12" x14ac:dyDescent="0.25">
      <x:c r="A10" s="6">
        <x:v>1</x:v>
      </x:c>
      <x:c r="B10" s="3" t="s">
        <x:v>5</x:v>
      </x:c>
      <x:c r="C10" s="3" t="s">
        <x:v>93</x:v>
      </x:c>
    </x:row>
    <x:row r="11" spans="1:6" s="1" customFormat="1" ht="12" x14ac:dyDescent="0.25">
      <x:c r="A11" s="6">
        <x:f>+A10+1</x:f>
        <x:v>2</x:v>
      </x:c>
      <x:c r="B11" s="3" t="s">
        <x:v>35</x:v>
      </x:c>
      <x:c r="C11" s="3"/>
    </x:row>
    <x:row r="12" spans="1:6" s="1" customFormat="1" ht="12" x14ac:dyDescent="0.25">
      <x:c r="A12" s="6">
        <x:f t="shared" ref="A12:A70" si="0">+A11+1</x:f>
        <x:v>3</x:v>
      </x:c>
      <x:c r="B12" s="3" t="s">
        <x:v>6</x:v>
      </x:c>
      <x:c r="C12" s="3" t="s">
        <x:v>95</x:v>
      </x:c>
    </x:row>
    <x:row r="13" spans="1:6" s="1" customFormat="1" ht="12" x14ac:dyDescent="0.25">
      <x:c r="A13" s="6">
        <x:f t="shared" si="0"/>
        <x:v>4</x:v>
      </x:c>
      <x:c r="B13" s="3" t="s">
        <x:v>7</x:v>
      </x:c>
      <x:c r="C13" s="16">
        <x:f>+'RES Spline Model'!C13</x:f>
        <x:v>44197</x:v>
      </x:c>
    </x:row>
    <x:row r="14" spans="1:6" s="1" customFormat="1" ht="12" x14ac:dyDescent="0.25">
      <x:c r="A14" s="6">
        <x:f t="shared" si="0"/>
        <x:v>5</x:v>
      </x:c>
      <x:c r="B14" s="3" t="s">
        <x:v>8</x:v>
      </x:c>
      <x:c r="C14" s="16">
        <x:f>+'RES Spline Model'!C14</x:f>
        <x:v>45291</x:v>
      </x:c>
    </x:row>
    <x:row r="15" spans="1:6" s="1" customFormat="1" ht="11.4" x14ac:dyDescent="0.2">
      <x:c r="A15" s="6">
        <x:f t="shared" si="0"/>
        <x:v>6</x:v>
      </x:c>
    </x:row>
    <x:row r="16" spans="1:6" s="1" customFormat="1" ht="11.4" x14ac:dyDescent="0.2">
      <x:c r="A16" s="6">
        <x:f t="shared" si="0"/>
        <x:v>7</x:v>
      </x:c>
      <x:c r="B16" s="5" t="s">
        <x:v>0</x:v>
      </x:c>
      <x:c r="C16" s="5" t="s">
        <x:v>1</x:v>
      </x:c>
      <x:c r="D16" s="5" t="s">
        <x:v>2</x:v>
      </x:c>
      <x:c r="E16" s="5" t="s">
        <x:v>3</x:v>
      </x:c>
      <x:c r="F16" s="5" t="s">
        <x:v>4</x:v>
      </x:c>
    </x:row>
    <x:row r="17" spans="1:6" x14ac:dyDescent="0.25">
      <x:c r="A17" s="6">
        <x:f t="shared" si="0"/>
        <x:v>8</x:v>
      </x:c>
      <x:c r="B17" t="s">
        <x:v>37</x:v>
      </x:c>
      <x:c r="C17">
        <x:v>-888.38800000000003</x:v>
      </x:c>
      <x:c r="D17">
        <x:v>3380.665</x:v>
      </x:c>
      <x:c r="E17">
        <x:v>-0.26300000000000001</x:v>
      </x:c>
      <x:c r="F17" s="9">
        <x:v>0.79279999999999995</x:v>
      </x:c>
    </x:row>
    <x:row r="18" spans="1:6" x14ac:dyDescent="0.25">
      <x:c r="A18" s="6">
        <x:f t="shared" si="0"/>
        <x:v>9</x:v>
      </x:c>
      <x:c r="B18" t="s">
        <x:v>99</x:v>
      </x:c>
      <x:c r="C18">
        <x:v>-399.86599999999999</x:v>
      </x:c>
      <x:c r="D18">
        <x:v>157.74100000000001</x:v>
      </x:c>
      <x:c r="E18">
        <x:v>-2.5350000000000001</x:v>
      </x:c>
      <x:c r="F18" s="9">
        <x:v>1.14E-2</x:v>
      </x:c>
    </x:row>
    <x:row r="19" spans="1:6" x14ac:dyDescent="0.25">
      <x:c r="A19" s="6">
        <x:f t="shared" si="0"/>
        <x:v>10</x:v>
      </x:c>
      <x:c r="B19" t="s">
        <x:v>100</x:v>
      </x:c>
      <x:c r="C19">
        <x:v>182.49199999999999</x:v>
      </x:c>
      <x:c r="D19">
        <x:v>38.128</x:v>
      </x:c>
      <x:c r="E19">
        <x:v>4.7859999999999996</x:v>
      </x:c>
      <x:c r="F19" s="9">
        <x:v>0</x:v>
      </x:c>
    </x:row>
    <x:row r="20" spans="1:6" x14ac:dyDescent="0.25">
      <x:c r="A20" s="6">
        <x:f t="shared" si="0"/>
        <x:v>11</x:v>
      </x:c>
      <x:c r="B20" t="s">
        <x:v>101</x:v>
      </x:c>
      <x:c r="C20">
        <x:v>110.55800000000001</x:v>
      </x:c>
      <x:c r="D20">
        <x:v>51.011000000000003</x:v>
      </x:c>
      <x:c r="E20">
        <x:v>2.1669999999999998</x:v>
      </x:c>
      <x:c r="F20" s="9">
        <x:v>3.04E-2</x:v>
      </x:c>
    </x:row>
    <x:row r="21" spans="1:6" x14ac:dyDescent="0.25">
      <x:c r="A21" s="6">
        <x:f t="shared" si="0"/>
        <x:v>12</x:v>
      </x:c>
      <x:c r="B21" t="s">
        <x:v>102</x:v>
      </x:c>
      <x:c r="C21">
        <x:v>181.23699999999999</x:v>
      </x:c>
      <x:c r="D21">
        <x:v>55.545000000000002</x:v>
      </x:c>
      <x:c r="E21">
        <x:v>3.2629999999999999</x:v>
      </x:c>
      <x:c r="F21" s="9">
        <x:v>1.1999999999999999E-3</x:v>
      </x:c>
    </x:row>
    <x:row r="22" spans="1:6" x14ac:dyDescent="0.25">
      <x:c r="A22" s="6">
        <x:f t="shared" si="0"/>
        <x:v>13</x:v>
      </x:c>
      <x:c r="B22" t="s">
        <x:v>103</x:v>
      </x:c>
      <x:c r="C22">
        <x:v>158.209</x:v>
      </x:c>
      <x:c r="D22">
        <x:v>55.473999999999997</x:v>
      </x:c>
      <x:c r="E22">
        <x:v>2.8519999999999999</x:v>
      </x:c>
      <x:c r="F22" s="9">
        <x:v>4.4000000000000003E-3</x:v>
      </x:c>
    </x:row>
    <x:row r="23" spans="1:6" x14ac:dyDescent="0.25">
      <x:c r="A23" s="6">
        <x:f t="shared" si="0"/>
        <x:v>14</x:v>
      </x:c>
      <x:c r="B23" t="s">
        <x:v>104</x:v>
      </x:c>
      <x:c r="C23">
        <x:v>141.709</x:v>
      </x:c>
      <x:c r="D23">
        <x:v>50.802999999999997</x:v>
      </x:c>
      <x:c r="E23">
        <x:v>2.7890000000000001</x:v>
      </x:c>
      <x:c r="F23" s="9">
        <x:v>5.4000000000000003E-3</x:v>
      </x:c>
    </x:row>
    <x:row r="24" spans="1:6" x14ac:dyDescent="0.25">
      <x:c r="A24" s="6">
        <x:f t="shared" si="0"/>
        <x:v>15</x:v>
      </x:c>
      <x:c r="B24" t="s">
        <x:v>105</x:v>
      </x:c>
      <x:c r="C24">
        <x:v>68.242999999999995</x:v>
      </x:c>
      <x:c r="D24">
        <x:v>37.563000000000002</x:v>
      </x:c>
      <x:c r="E24">
        <x:v>1.8169999999999999</x:v>
      </x:c>
      <x:c r="F24" s="9">
        <x:v>6.9500000000000006E-2</x:v>
      </x:c>
    </x:row>
    <x:row r="25" spans="1:6" x14ac:dyDescent="0.25">
      <x:c r="A25" s="6">
        <x:f t="shared" si="0"/>
        <x:v>16</x:v>
      </x:c>
      <x:c r="B25" t="s">
        <x:v>107</x:v>
      </x:c>
      <x:c r="C25">
        <x:v>-408.57900000000001</x:v>
      </x:c>
      <x:c r="D25">
        <x:v>189.09100000000001</x:v>
      </x:c>
      <x:c r="E25">
        <x:v>-2.161</x:v>
      </x:c>
      <x:c r="F25" s="9">
        <x:v>3.09E-2</x:v>
      </x:c>
    </x:row>
    <x:row r="26" spans="1:6" x14ac:dyDescent="0.25">
      <x:c r="A26" s="6">
        <x:f t="shared" si="0"/>
        <x:v>17</x:v>
      </x:c>
      <x:c r="B26" t="s">
        <x:v>142</x:v>
      </x:c>
      <x:c r="C26">
        <x:v>-284.33</x:v>
      </x:c>
      <x:c r="D26">
        <x:v>188.03700000000001</x:v>
      </x:c>
      <x:c r="E26">
        <x:v>-1.512</x:v>
      </x:c>
      <x:c r="F26" s="9">
        <x:v>0.1308</x:v>
      </x:c>
    </x:row>
    <x:row r="27" spans="1:6" x14ac:dyDescent="0.25">
      <x:c r="A27" s="6">
        <x:f t="shared" si="0"/>
        <x:v>18</x:v>
      </x:c>
      <x:c r="B27" t="s">
        <x:v>159</x:v>
      </x:c>
      <x:c r="C27">
        <x:v>1382.6980000000001</x:v>
      </x:c>
      <x:c r="D27">
        <x:v>347.48</x:v>
      </x:c>
      <x:c r="E27">
        <x:v>3.9790000000000001</x:v>
      </x:c>
      <x:c r="F27" s="9">
        <x:v>1E-4</x:v>
      </x:c>
    </x:row>
    <x:row r="28" spans="1:6" x14ac:dyDescent="0.25">
      <x:c r="A28" s="6">
        <x:f t="shared" si="0"/>
        <x:v>19</x:v>
      </x:c>
      <x:c r="B28" t="s">
        <x:v>143</x:v>
      </x:c>
      <x:c r="C28">
        <x:v>-807.53700000000003</x:v>
      </x:c>
      <x:c r="D28">
        <x:v>205.221</x:v>
      </x:c>
      <x:c r="E28">
        <x:v>-3.9350000000000001</x:v>
      </x:c>
      <x:c r="F28" s="9">
        <x:v>1E-4</x:v>
      </x:c>
    </x:row>
    <x:row r="29" spans="1:6" x14ac:dyDescent="0.25">
      <x:c r="A29" s="6">
        <x:f t="shared" si="0"/>
        <x:v>20</x:v>
      </x:c>
      <x:c r="B29" t="s">
        <x:v>168</x:v>
      </x:c>
      <x:c r="C29">
        <x:v>640.91200000000003</x:v>
      </x:c>
      <x:c r="D29">
        <x:v>326.34800000000001</x:v>
      </x:c>
      <x:c r="E29">
        <x:v>1.964</x:v>
      </x:c>
      <x:c r="F29" s="9">
        <x:v>4.9799999999999997E-2</x:v>
      </x:c>
    </x:row>
    <x:row r="30" spans="1:6" x14ac:dyDescent="0.25">
      <x:c r="A30" s="6">
        <x:f t="shared" si="0"/>
        <x:v>21</x:v>
      </x:c>
      <x:c r="B30" t="s">
        <x:v>112</x:v>
      </x:c>
      <x:c r="C30">
        <x:v>755.36300000000006</x:v>
      </x:c>
      <x:c r="D30">
        <x:v>234.899</x:v>
      </x:c>
      <x:c r="E30">
        <x:v>3.2160000000000002</x:v>
      </x:c>
      <x:c r="F30" s="9">
        <x:v>1.4E-3</x:v>
      </x:c>
    </x:row>
    <x:row r="31" spans="1:6" x14ac:dyDescent="0.25">
      <x:c r="A31" s="6">
        <x:f t="shared" si="0"/>
        <x:v>22</x:v>
      </x:c>
      <x:c r="B31" t="s">
        <x:v>113</x:v>
      </x:c>
      <x:c r="C31">
        <x:v>456.56700000000001</x:v>
      </x:c>
      <x:c r="D31">
        <x:v>259.815</x:v>
      </x:c>
      <x:c r="E31">
        <x:v>1.7569999999999999</x:v>
      </x:c>
      <x:c r="F31" s="9">
        <x:v>7.9200000000000007E-2</x:v>
      </x:c>
    </x:row>
    <x:row r="32" spans="1:6" x14ac:dyDescent="0.25">
      <x:c r="A32" s="6">
        <x:f t="shared" si="0"/>
        <x:v>23</x:v>
      </x:c>
      <x:c r="B32" t="s">
        <x:v>39</x:v>
      </x:c>
      <x:c r="C32">
        <x:v>403.05500000000001</x:v>
      </x:c>
      <x:c r="D32">
        <x:v>181.553</x:v>
      </x:c>
      <x:c r="E32">
        <x:v>2.2200000000000002</x:v>
      </x:c>
      <x:c r="F32" s="9">
        <x:v>2.6599999999999999E-2</x:v>
      </x:c>
    </x:row>
    <x:row r="33" spans="1:6" x14ac:dyDescent="0.25">
      <x:c r="A33" s="6">
        <x:f t="shared" si="0"/>
        <x:v>24</x:v>
      </x:c>
      <x:c r="B33" t="s">
        <x:v>40</x:v>
      </x:c>
      <x:c r="C33">
        <x:v>448.35</x:v>
      </x:c>
      <x:c r="D33">
        <x:v>181.18600000000001</x:v>
      </x:c>
      <x:c r="E33">
        <x:v>2.4750000000000001</x:v>
      </x:c>
      <x:c r="F33" s="9">
        <x:v>1.35E-2</x:v>
      </x:c>
    </x:row>
    <x:row r="34" spans="1:6" x14ac:dyDescent="0.25">
      <x:c r="A34" s="6">
        <x:f t="shared" si="0"/>
        <x:v>25</x:v>
      </x:c>
      <x:c r="B34" t="s">
        <x:v>46</x:v>
      </x:c>
      <x:c r="C34">
        <x:v>324.142</x:v>
      </x:c>
      <x:c r="D34">
        <x:v>157.96899999999999</x:v>
      </x:c>
      <x:c r="E34">
        <x:v>2.052</x:v>
      </x:c>
      <x:c r="F34" s="9">
        <x:v>4.0399999999999998E-2</x:v>
      </x:c>
    </x:row>
    <x:row r="35" spans="1:6" x14ac:dyDescent="0.25">
      <x:c r="A35" s="6">
        <x:f t="shared" si="0"/>
        <x:v>26</x:v>
      </x:c>
      <x:c r="B35" t="s">
        <x:v>81</x:v>
      </x:c>
      <x:c r="C35">
        <x:v>3670.3719999999998</x:v>
      </x:c>
      <x:c r="D35">
        <x:v>583.04499999999996</x:v>
      </x:c>
      <x:c r="E35">
        <x:v>6.2949999999999999</x:v>
      </x:c>
      <x:c r="F35" s="9">
        <x:v>0</x:v>
      </x:c>
    </x:row>
    <x:row r="36" spans="1:6" x14ac:dyDescent="0.25">
      <x:c r="A36" s="6">
        <x:f t="shared" si="0"/>
        <x:v>27</x:v>
      </x:c>
      <x:c r="B36" t="s">
        <x:v>169</x:v>
      </x:c>
      <x:c r="C36">
        <x:v>27.135000000000002</x:v>
      </x:c>
      <x:c r="D36">
        <x:v>3.2709999999999999</x:v>
      </x:c>
      <x:c r="E36">
        <x:v>8.2949999999999999</x:v>
      </x:c>
      <x:c r="F36" s="9">
        <x:v>0</x:v>
      </x:c>
    </x:row>
    <x:row r="37" spans="1:6" x14ac:dyDescent="0.25">
      <x:c r="A37" s="6">
        <x:f t="shared" si="0"/>
        <x:v>28</x:v>
      </x:c>
      <x:c r="B37" t="s">
        <x:v>170</x:v>
      </x:c>
      <x:c r="C37">
        <x:v>-25.786999999999999</x:v>
      </x:c>
      <x:c r="D37">
        <x:v>12.361000000000001</x:v>
      </x:c>
      <x:c r="E37">
        <x:v>-2.0859999999999999</x:v>
      </x:c>
      <x:c r="F37" s="9">
        <x:v>3.7199999999999997E-2</x:v>
      </x:c>
    </x:row>
    <x:row r="38" spans="1:6" x14ac:dyDescent="0.25">
      <x:c r="A38" s="6">
        <x:f t="shared" si="0"/>
        <x:v>29</x:v>
      </x:c>
      <x:c r="B38" t="s">
        <x:v>115</x:v>
      </x:c>
      <x:c r="C38">
        <x:v>-10856.621999999999</x:v>
      </x:c>
      <x:c r="D38">
        <x:v>523.67100000000005</x:v>
      </x:c>
      <x:c r="E38">
        <x:v>-20.731999999999999</x:v>
      </x:c>
      <x:c r="F38" s="9">
        <x:v>0</x:v>
      </x:c>
    </x:row>
    <x:row r="39" spans="1:6" x14ac:dyDescent="0.25">
      <x:c r="A39" s="6">
        <x:f t="shared" si="0"/>
        <x:v>30</x:v>
      </x:c>
      <x:c r="B39" t="s">
        <x:v>116</x:v>
      </x:c>
      <x:c r="C39">
        <x:v>-11307.98</x:v>
      </x:c>
      <x:c r="D39">
        <x:v>537.48699999999997</x:v>
      </x:c>
      <x:c r="E39">
        <x:v>-21.039000000000001</x:v>
      </x:c>
      <x:c r="F39" s="9">
        <x:v>0</x:v>
      </x:c>
    </x:row>
    <x:row r="40" spans="1:6" x14ac:dyDescent="0.25">
      <x:c r="A40" s="6">
        <x:f t="shared" si="0"/>
        <x:v>31</x:v>
      </x:c>
      <x:c r="B40" t="s">
        <x:v>155</x:v>
      </x:c>
      <x:c r="C40">
        <x:v>-11156.665000000001</x:v>
      </x:c>
      <x:c r="D40">
        <x:v>539.49199999999996</x:v>
      </x:c>
      <x:c r="E40">
        <x:v>-20.68</x:v>
      </x:c>
      <x:c r="F40" s="9">
        <x:v>0</x:v>
      </x:c>
    </x:row>
    <x:row r="41" spans="1:6" x14ac:dyDescent="0.25">
      <x:c r="A41" s="6">
        <x:f t="shared" si="0"/>
        <x:v>32</x:v>
      </x:c>
      <x:c r="B41" t="s">
        <x:v>156</x:v>
      </x:c>
      <x:c r="C41">
        <x:v>-10169.797</x:v>
      </x:c>
      <x:c r="D41">
        <x:v>535.88099999999997</x:v>
      </x:c>
      <x:c r="E41">
        <x:v>-18.978000000000002</x:v>
      </x:c>
      <x:c r="F41" s="9">
        <x:v>0</x:v>
      </x:c>
    </x:row>
    <x:row r="42" spans="1:6" x14ac:dyDescent="0.25">
      <x:c r="A42" s="6">
        <x:f t="shared" si="0"/>
        <x:v>33</x:v>
      </x:c>
      <x:c r="B42" t="s">
        <x:v>157</x:v>
      </x:c>
      <x:c r="C42">
        <x:v>-8226.4629999999997</x:v>
      </x:c>
      <x:c r="D42">
        <x:v>520.24300000000005</x:v>
      </x:c>
      <x:c r="E42">
        <x:v>-15.813000000000001</x:v>
      </x:c>
      <x:c r="F42" s="9">
        <x:v>0</x:v>
      </x:c>
    </x:row>
    <x:row r="43" spans="1:6" x14ac:dyDescent="0.25">
      <x:c r="A43" s="6">
        <x:f t="shared" si="0"/>
        <x:v>34</x:v>
      </x:c>
      <x:c r="B43" t="s">
        <x:v>171</x:v>
      </x:c>
      <x:c r="C43">
        <x:v>-2244.5450000000001</x:v>
      </x:c>
      <x:c r="D43">
        <x:v>407.31099999999998</x:v>
      </x:c>
      <x:c r="E43">
        <x:v>-5.5110000000000001</x:v>
      </x:c>
      <x:c r="F43" s="9">
        <x:v>0</x:v>
      </x:c>
    </x:row>
    <x:row r="44" spans="1:6" x14ac:dyDescent="0.25">
      <x:c r="A44" s="6">
        <x:f t="shared" si="0"/>
        <x:v>35</x:v>
      </x:c>
      <x:c r="B44" t="s">
        <x:v>165</x:v>
      </x:c>
      <x:c r="C44">
        <x:v>-5472.9129999999996</x:v>
      </x:c>
      <x:c r="D44">
        <x:v>500.03699999999998</x:v>
      </x:c>
      <x:c r="E44">
        <x:v>-10.945</x:v>
      </x:c>
      <x:c r="F44" s="9">
        <x:v>0</x:v>
      </x:c>
    </x:row>
    <x:row r="45" spans="1:6" x14ac:dyDescent="0.25">
      <x:c r="A45" s="6">
        <x:f t="shared" si="0"/>
        <x:v>36</x:v>
      </x:c>
      <x:c r="B45" t="s">
        <x:v>166</x:v>
      </x:c>
      <x:c r="C45">
        <x:v>-5489.1909999999998</x:v>
      </x:c>
      <x:c r="D45">
        <x:v>496.67</x:v>
      </x:c>
      <x:c r="E45">
        <x:v>-11.052</x:v>
      </x:c>
      <x:c r="F45" s="9">
        <x:v>0</x:v>
      </x:c>
    </x:row>
    <x:row r="46" spans="1:6" x14ac:dyDescent="0.25">
      <x:c r="A46" s="6">
        <x:f t="shared" si="0"/>
        <x:v>37</x:v>
      </x:c>
      <x:c r="B46" t="s">
        <x:v>167</x:v>
      </x:c>
      <x:c r="C46">
        <x:v>-2797.12</x:v>
      </x:c>
      <x:c r="D46">
        <x:v>405.44900000000001</x:v>
      </x:c>
      <x:c r="E46">
        <x:v>-6.899</x:v>
      </x:c>
      <x:c r="F46" s="9">
        <x:v>0</x:v>
      </x:c>
    </x:row>
    <x:row r="47" spans="1:6" x14ac:dyDescent="0.25">
      <x:c r="A47" s="6">
        <x:f t="shared" si="0"/>
        <x:v>38</x:v>
      </x:c>
      <x:c r="B47" t="s">
        <x:v>31</x:v>
      </x:c>
      <x:c r="C47">
        <x:v>0.79300000000000004</x:v>
      </x:c>
      <x:c r="D47">
        <x:v>3.1E-2</x:v>
      </x:c>
      <x:c r="E47">
        <x:v>25.649000000000001</x:v>
      </x:c>
      <x:c r="F47" s="9">
        <x:v>0</x:v>
      </x:c>
    </x:row>
    <x:row r="48" spans="1:6" x14ac:dyDescent="0.25">
      <x:c r="A48" s="6">
        <x:f t="shared" si="0"/>
        <x:v>39</x:v>
      </x:c>
      <x:c r="B48" t="s">
        <x:v>32</x:v>
      </x:c>
      <x:c r="C48">
        <x:v>-8.1000000000000003E-2</x:v>
      </x:c>
      <x:c r="D48">
        <x:v>3.9E-2</x:v>
      </x:c>
      <x:c r="E48">
        <x:v>-2.0499999999999998</x:v>
      </x:c>
      <x:c r="F48" s="9">
        <x:v>4.0599999999999997E-2</x:v>
      </x:c>
    </x:row>
    <x:row r="49" spans="1:6" x14ac:dyDescent="0.25">
      <x:c r="A49" s="6"/>
      <x:c r="B49" t="s">
        <x:v>33</x:v>
      </x:c>
      <x:c r="C49">
        <x:v>0.129</x:v>
      </x:c>
      <x:c r="D49">
        <x:v>0.04</x:v>
      </x:c>
      <x:c r="E49">
        <x:v>3.262</x:v>
      </x:c>
      <x:c r="F49" s="9">
        <x:v>1.1999999999999999E-3</x:v>
      </x:c>
    </x:row>
    <x:row r="50" spans="1:6" x14ac:dyDescent="0.25">
      <x:c r="A50" s="6"/>
      <x:c r="B50" t="s">
        <x:v>34</x:v>
      </x:c>
      <x:c r="C50">
        <x:v>-7.0999999999999994E-2</x:v>
      </x:c>
      <x:c r="D50">
        <x:v>0.04</x:v>
      </x:c>
      <x:c r="E50">
        <x:v>-1.7729999999999999</x:v>
      </x:c>
      <x:c r="F50" s="9">
        <x:v>7.6499999999999999E-2</x:v>
      </x:c>
    </x:row>
    <x:row r="51" spans="1:6" x14ac:dyDescent="0.25">
      <x:c r="A51" s="6"/>
      <x:c r="B51" t="s">
        <x:v>36</x:v>
      </x:c>
      <x:c r="C51">
        <x:v>8.1000000000000003E-2</x:v>
      </x:c>
      <x:c r="D51">
        <x:v>0.04</x:v>
      </x:c>
      <x:c r="E51">
        <x:v>2.0339999999999998</x:v>
      </x:c>
      <x:c r="F51" s="9">
        <x:v>4.2200000000000001E-2</x:v>
      </x:c>
    </x:row>
    <x:row r="52" spans="1:6" x14ac:dyDescent="0.25">
      <x:c r="A52" s="6"/>
      <x:c r="B52" t="s">
        <x:v>49</x:v>
      </x:c>
      <x:c r="C52">
        <x:v>4.2999999999999997E-2</x:v>
      </x:c>
      <x:c r="D52">
        <x:v>0.04</x:v>
      </x:c>
      <x:c r="E52">
        <x:v>1.091</x:v>
      </x:c>
      <x:c r="F52" s="9">
        <x:v>0.27539999999999998</x:v>
      </x:c>
    </x:row>
    <x:row r="53" spans="1:6" x14ac:dyDescent="0.25">
      <x:c r="A53" s="6"/>
      <x:c r="B53" t="s">
        <x:v>50</x:v>
      </x:c>
      <x:c r="C53">
        <x:v>7.9000000000000001E-2</x:v>
      </x:c>
      <x:c r="D53">
        <x:v>3.1E-2</x:v>
      </x:c>
      <x:c r="E53">
        <x:v>2.5489999999999999</x:v>
      </x:c>
      <x:c r="F53" s="9">
        <x:v>1.09E-2</x:v>
      </x:c>
    </x:row>
    <x:row r="54" spans="1:6" x14ac:dyDescent="0.25">
      <x:c r="A54" s="6">
        <x:f>+A48+1</x:f>
        <x:v>40</x:v>
      </x:c>
      <x:c r="F54" s="11"/>
    </x:row>
    <x:row r="55" spans="1:6" x14ac:dyDescent="0.25">
      <x:c r="A55" s="6">
        <x:f t="shared" si="0"/>
        <x:v>41</x:v>
      </x:c>
      <x:c r="B55" s="4" t="s">
        <x:v>90</x:v>
      </x:c>
      <x:c r="F55" s="11"/>
    </x:row>
    <x:row r="56" spans="1:6" x14ac:dyDescent="0.25">
      <x:c r="A56" s="6">
        <x:f t="shared" si="0"/>
        <x:v>42</x:v>
      </x:c>
      <x:c r="B56" t="s">
        <x:v>30</x:v>
      </x:c>
      <x:c r="C56" s="15">
        <x:v>1088</x:v>
      </x:c>
      <x:c r="F56" s="9"/>
    </x:row>
    <x:row r="57" spans="1:6" x14ac:dyDescent="0.25">
      <x:c r="A57" s="6">
        <x:f t="shared" si="0"/>
        <x:v>43</x:v>
      </x:c>
      <x:c r="B57" t="s">
        <x:v>10</x:v>
      </x:c>
      <x:c r="C57" s="15">
        <x:v>1051</x:v>
      </x:c>
      <x:c r="F57" s="9"/>
    </x:row>
    <x:row r="58" spans="1:6" x14ac:dyDescent="0.25">
      <x:c r="A58" s="6">
        <x:f t="shared" si="0"/>
        <x:v>44</x:v>
      </x:c>
      <x:c r="B58" t="s">
        <x:v>12</x:v>
      </x:c>
      <x:c r="C58" s="21">
        <x:v>0.98599999999999999</x:v>
      </x:c>
      <x:c r="F58" s="9"/>
    </x:row>
    <x:row r="59" spans="1:6" x14ac:dyDescent="0.25">
      <x:c r="A59" s="6">
        <x:f t="shared" si="0"/>
        <x:v>45</x:v>
      </x:c>
      <x:c r="B59" t="s">
        <x:v>13</x:v>
      </x:c>
      <x:c r="C59" s="21">
        <x:v>0.98599999999999999</x:v>
      </x:c>
      <x:c r="F59" s="9"/>
    </x:row>
    <x:row r="60" spans="1:6" x14ac:dyDescent="0.25">
      <x:c r="A60" s="6">
        <x:f t="shared" si="0"/>
        <x:v>46</x:v>
      </x:c>
      <x:c r="B60" t="s">
        <x:v>15</x:v>
      </x:c>
      <x:c r="C60" s="15">
        <x:v>2082.2020000000002</x:v>
      </x:c>
      <x:c r="F60" s="9"/>
    </x:row>
    <x:row r="61" spans="1:6" x14ac:dyDescent="0.25">
      <x:c r="A61" s="6">
        <x:f t="shared" si="0"/>
        <x:v>47</x:v>
      </x:c>
      <x:c r="B61" t="s">
        <x:v>16</x:v>
      </x:c>
      <x:c r="C61" s="22">
        <x:v>0</x:v>
      </x:c>
      <x:c r="F61" s="9"/>
    </x:row>
    <x:row r="62" spans="1:6" x14ac:dyDescent="0.25">
      <x:c r="A62" s="6">
        <x:f t="shared" si="0"/>
        <x:v>48</x:v>
      </x:c>
      <x:c r="B62" t="s">
        <x:v>17</x:v>
      </x:c>
      <x:c r="C62" s="20">
        <x:v>13248056991.02</x:v>
      </x:c>
    </x:row>
    <x:row r="63" spans="1:6" x14ac:dyDescent="0.25">
      <x:c r="A63" s="6">
        <x:f t="shared" si="0"/>
        <x:v>49</x:v>
      </x:c>
      <x:c r="B63" t="s">
        <x:v>18</x:v>
      </x:c>
      <x:c r="C63" s="20">
        <x:v>185750346.02000001</x:v>
      </x:c>
      <x:c r="F63" s="9"/>
    </x:row>
    <x:row r="64" spans="1:6" x14ac:dyDescent="0.25">
      <x:c r="A64" s="6">
        <x:f t="shared" si="0"/>
        <x:v>50</x:v>
      </x:c>
      <x:c r="B64" t="s">
        <x:v>19</x:v>
      </x:c>
      <x:c r="C64" s="20">
        <x:v>176736.77</x:v>
      </x:c>
      <x:c r="F64" s="9"/>
    </x:row>
    <x:row r="65" spans="1:6" x14ac:dyDescent="0.25">
      <x:c r="A65" s="6">
        <x:f t="shared" si="0"/>
        <x:v>51</x:v>
      </x:c>
      <x:c r="B65" t="s">
        <x:v>20</x:v>
      </x:c>
      <x:c r="C65" s="26">
        <x:v>420.4</x:v>
      </x:c>
      <x:c r="F65" s="9"/>
    </x:row>
    <x:row r="66" spans="1:6" x14ac:dyDescent="0.25">
      <x:c r="A66" s="6">
        <x:f t="shared" si="0"/>
        <x:v>52</x:v>
      </x:c>
      <x:c r="B66" t="s">
        <x:v>9</x:v>
      </x:c>
      <x:c r="C66" s="26">
        <x:v>300.60000000000002</x:v>
      </x:c>
    </x:row>
    <x:row r="67" spans="1:6" x14ac:dyDescent="0.25">
      <x:c r="A67" s="6">
        <x:f t="shared" si="0"/>
        <x:v>53</x:v>
      </x:c>
      <x:c r="B67" t="s">
        <x:v>11</x:v>
      </x:c>
      <x:c r="C67" s="9">
        <x:v>1.55E-2</x:v>
      </x:c>
    </x:row>
    <x:row r="68" spans="1:6" x14ac:dyDescent="0.25">
      <x:c r="A68" s="6">
        <x:f t="shared" si="0"/>
        <x:v>54</x:v>
      </x:c>
      <x:c r="B68" t="s">
        <x:v>14</x:v>
      </x:c>
      <x:c r="C68">
        <x:v>1.9970000000000001</x:v>
      </x:c>
    </x:row>
    <x:row r="69" spans="1:6" x14ac:dyDescent="0.25">
      <x:c r="A69" s="6">
        <x:f t="shared" si="0"/>
        <x:v>55</x:v>
      </x:c>
      <x:c r="B69" t="s">
        <x:v>21</x:v>
      </x:c>
      <x:c r="C69">
        <x:v>13.27</x:v>
      </x:c>
    </x:row>
    <x:row r="70" spans="1:6" x14ac:dyDescent="0.25">
      <x:c r="A70" s="6">
        <x:f t="shared" si="0"/>
        <x:v>56</x:v>
      </x:c>
      <x:c r="B70" t="s">
        <x:v>22</x:v>
      </x:c>
      <x:c r="C70">
        <x:v>0.96140000000000003</x:v>
      </x:c>
    </x:row>
  </x:sheetData>
  <x:mergeCells count="6">
    <x:mergeCell ref="B8:F8"/>
    <x:mergeCell ref="B1:F1"/>
    <x:mergeCell ref="B2:F2"/>
    <x:mergeCell ref="B3:F3"/>
    <x:mergeCell ref="B4:F4"/>
    <x:mergeCell ref="B6:F6"/>
  </x:mergeCells>
  <x:printOptions horizontalCentered="1"/>
  <x:pageMargins left="0.83" right="0.53" top="1.5" bottom="1" header="1" footer="0.5"/>
  <x:pageSetup scale="70" firstPageNumber="7" orientation="portrait" r:id="rId1"/>
  <x:headerFooter scaleWithDoc="0" alignWithMargins="0">
    <x:oddHeader>&amp;RWP/II-H-5.2/6
Page &amp;P of 20</x:oddHeader>
  </x:headerFooter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pageSetUpPr fitToPage="1"/>
  </x:sheetPr>
  <x:dimension ref="A1:K49"/>
  <x:sheetViews>
    <x:sheetView zoomScaleNormal="100" workbookViewId="0">
      <x:selection activeCell="G5" sqref="G5"/>
    </x:sheetView>
  </x:sheetViews>
  <x:sheetFormatPr defaultRowHeight="13.2" x14ac:dyDescent="0.25"/>
  <x:cols>
    <x:col min="1" max="1" width="9.33203125" bestFit="1" customWidth="1"/>
    <x:col min="2" max="2" width="26.88671875" bestFit="1" customWidth="1"/>
    <x:col min="3" max="3" width="12.5546875" customWidth="1"/>
    <x:col min="4" max="5" width="9.33203125" bestFit="1" customWidth="1"/>
    <x:col min="6" max="6" width="9.33203125" customWidth="1"/>
  </x:cols>
  <x:sheetData>
    <x:row r="1" spans="1:11" s="1" customFormat="1" ht="15.6" x14ac:dyDescent="0.3">
      <x:c r="A1" s="6"/>
      <x:c r="B1" s="43" t="str">
        <x:f>+'RES Spline Model'!B1:F1</x:f>
        <x:v>2025 RATE CASE</x:v>
      </x:c>
      <x:c r="C1" s="44"/>
      <x:c r="D1" s="44"/>
      <x:c r="E1" s="44"/>
      <x:c r="F1" s="44"/>
      <x:c r="G1" s="44"/>
      <x:c r="H1" s="44"/>
      <x:c r="I1" s="44"/>
      <x:c r="J1" s="44"/>
      <x:c r="K1" s="39"/>
    </x:row>
    <x:row r="2" spans="1:11" s="1" customFormat="1" ht="15.6" x14ac:dyDescent="0.3">
      <x:c r="A2" s="6"/>
      <x:c r="B2" s="43" t="str">
        <x:f>+'RES Spline Model'!B2:F2</x:f>
        <x:v>ONCOR ELECTRIC DELIVERY COMPANY LLC</x:v>
      </x:c>
      <x:c r="C2" s="44"/>
      <x:c r="D2" s="44"/>
      <x:c r="E2" s="44"/>
      <x:c r="F2" s="44"/>
      <x:c r="G2" s="44"/>
      <x:c r="H2" s="44"/>
      <x:c r="I2" s="44"/>
      <x:c r="J2" s="44"/>
      <x:c r="K2" s="39"/>
    </x:row>
    <x:row r="3" spans="1:11" s="1" customFormat="1" ht="15.6" x14ac:dyDescent="0.3">
      <x:c r="A3" s="6"/>
      <x:c r="B3" s="43" t="str">
        <x:f>+'RES Spline Model'!B3:F3</x:f>
        <x:v>ADJUSTED WEATHER STATION DATA</x:v>
      </x:c>
      <x:c r="C3" s="44"/>
      <x:c r="D3" s="44"/>
      <x:c r="E3" s="44"/>
      <x:c r="F3" s="44"/>
      <x:c r="G3" s="44"/>
      <x:c r="H3" s="44"/>
      <x:c r="I3" s="44"/>
      <x:c r="J3" s="44"/>
      <x:c r="K3" s="39"/>
    </x:row>
    <x:row r="4" spans="1:11" s="1" customFormat="1" ht="15.6" x14ac:dyDescent="0.3">
      <x:c r="A4" s="6"/>
      <x:c r="B4" s="43" t="str">
        <x:f>+'RES Spline Model'!B4:F4</x:f>
        <x:v>FOR THE TEST YEAR ENDING DECEMBER 31, 2024</x:v>
      </x:c>
      <x:c r="C4" s="44"/>
      <x:c r="D4" s="44"/>
      <x:c r="E4" s="44"/>
      <x:c r="F4" s="44"/>
      <x:c r="G4" s="44"/>
      <x:c r="H4" s="44"/>
      <x:c r="I4" s="44"/>
      <x:c r="J4" s="44"/>
      <x:c r="K4" s="39"/>
    </x:row>
    <x:row r="5" spans="1:11" s="1" customFormat="1" ht="11.4" x14ac:dyDescent="0.2">
      <x:c r="A5" s="6"/>
      <x:c r="B5" s="40"/>
      <x:c r="C5" s="40"/>
      <x:c r="D5" s="40"/>
      <x:c r="E5" s="40"/>
      <x:c r="F5" s="40"/>
      <x:c r="G5" s="40"/>
      <x:c r="H5" s="40"/>
      <x:c r="I5" s="40"/>
      <x:c r="J5" s="40"/>
      <x:c r="K5" s="40"/>
    </x:row>
    <x:row r="6" spans="1:11" s="1" customFormat="1" ht="15.6" x14ac:dyDescent="0.3">
      <x:c r="A6" s="6"/>
      <x:c r="B6" s="43" t="str">
        <x:f>+'RES Spline Model'!B6:F6</x:f>
        <x:v>SPONSOR: D. E. NELSON</x:v>
      </x:c>
      <x:c r="C6" s="44"/>
      <x:c r="D6" s="44"/>
      <x:c r="E6" s="44"/>
      <x:c r="F6" s="44"/>
      <x:c r="G6" s="44"/>
      <x:c r="H6" s="44"/>
      <x:c r="I6" s="44"/>
      <x:c r="J6" s="44"/>
      <x:c r="K6" s="39"/>
    </x:row>
    <x:row r="8" spans="1:11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11" s="1" customFormat="1" ht="11.4" x14ac:dyDescent="0.2">
      <x:c r="A9" s="7" t="s">
        <x:v>24</x:v>
      </x:c>
      <x:c r="B9" s="8"/>
      <x:c r="C9" s="8"/>
      <x:c r="D9" s="8"/>
      <x:c r="E9" s="8"/>
      <x:c r="F9" s="8"/>
    </x:row>
    <x:row r="10" spans="1:11" s="1" customFormat="1" x14ac:dyDescent="0.25">
      <x:c r="A10" s="6">
        <x:v>1</x:v>
      </x:c>
      <x:c r="B10" s="42" t="s">
        <x:v>94</x:v>
      </x:c>
      <x:c r="C10" s="44"/>
      <x:c r="D10" s="44"/>
      <x:c r="E10" s="44"/>
      <x:c r="F10" s="44"/>
      <x:c r="G10" s="44"/>
      <x:c r="H10" s="44"/>
      <x:c r="I10" s="44"/>
      <x:c r="J10" s="44"/>
      <x:c r="K10" s="44"/>
    </x:row>
    <x:row r="11" spans="1:11" s="1" customFormat="1" x14ac:dyDescent="0.25">
      <x:c r="A11" s="6">
        <x:f t="shared" ref="A11:A37" si="0">+A10+1</x:f>
        <x:v>2</x:v>
      </x:c>
      <x:c r="B11" s="42" t="str">
        <x:f>+'RES Spline Graph'!B11</x:f>
        <x:v>After Corrective Procedures for Autocorrelation</x:v>
      </x:c>
      <x:c r="C11" s="44"/>
      <x:c r="D11" s="44"/>
      <x:c r="E11" s="44"/>
      <x:c r="F11" s="44"/>
      <x:c r="G11" s="44"/>
      <x:c r="H11" s="44"/>
      <x:c r="I11" s="44"/>
      <x:c r="J11" s="44"/>
      <x:c r="K11" s="41"/>
    </x:row>
    <x:row r="12" spans="1:11" s="1" customFormat="1" ht="12" x14ac:dyDescent="0.25">
      <x:c r="A12" s="6">
        <x:f t="shared" si="0"/>
        <x:v>3</x:v>
      </x:c>
      <x:c r="B12" s="3"/>
      <x:c r="C12" s="10"/>
    </x:row>
    <x:row r="13" spans="1:11" s="1" customFormat="1" ht="12" x14ac:dyDescent="0.25">
      <x:c r="A13" s="6">
        <x:f t="shared" si="0"/>
        <x:v>4</x:v>
      </x:c>
      <x:c r="B13" s="3"/>
      <x:c r="C13" s="10"/>
    </x:row>
    <x:row r="14" spans="1:11" s="1" customFormat="1" ht="11.4" x14ac:dyDescent="0.2">
      <x:c r="A14" s="6">
        <x:f t="shared" si="0"/>
        <x:v>5</x:v>
      </x:c>
    </x:row>
    <x:row r="15" spans="1:11" s="1" customFormat="1" ht="11.4" x14ac:dyDescent="0.2">
      <x:c r="A15" s="6">
        <x:f t="shared" si="0"/>
        <x:v>6</x:v>
      </x:c>
      <x:c r="B15" s="12"/>
      <x:c r="C15" s="12"/>
      <x:c r="D15" s="12"/>
      <x:c r="E15" s="12"/>
      <x:c r="F15" s="12"/>
    </x:row>
    <x:row r="16" spans="1:11" x14ac:dyDescent="0.25">
      <x:c r="A16" s="6">
        <x:f t="shared" si="0"/>
        <x:v>7</x:v>
      </x:c>
      <x:c r="F16" s="9"/>
    </x:row>
    <x:row r="17" spans="1:6" x14ac:dyDescent="0.25">
      <x:c r="A17" s="6">
        <x:f t="shared" si="0"/>
        <x:v>8</x:v>
      </x:c>
      <x:c r="F17" s="9"/>
    </x:row>
    <x:row r="18" spans="1:6" x14ac:dyDescent="0.25">
      <x:c r="A18" s="6">
        <x:f t="shared" si="0"/>
        <x:v>9</x:v>
      </x:c>
      <x:c r="F18" s="9"/>
    </x:row>
    <x:row r="19" spans="1:6" x14ac:dyDescent="0.25">
      <x:c r="A19" s="6">
        <x:f t="shared" si="0"/>
        <x:v>10</x:v>
      </x:c>
      <x:c r="F19" s="9"/>
    </x:row>
    <x:row r="20" spans="1:6" x14ac:dyDescent="0.25">
      <x:c r="A20" s="6">
        <x:f t="shared" si="0"/>
        <x:v>11</x:v>
      </x:c>
      <x:c r="F20" s="9"/>
    </x:row>
    <x:row r="21" spans="1:6" x14ac:dyDescent="0.25">
      <x:c r="A21" s="6">
        <x:f t="shared" si="0"/>
        <x:v>12</x:v>
      </x:c>
      <x:c r="F21" s="9"/>
    </x:row>
    <x:row r="22" spans="1:6" x14ac:dyDescent="0.25">
      <x:c r="A22" s="6">
        <x:f t="shared" si="0"/>
        <x:v>13</x:v>
      </x:c>
      <x:c r="F22" s="9"/>
    </x:row>
    <x:row r="23" spans="1:6" x14ac:dyDescent="0.25">
      <x:c r="A23" s="6">
        <x:f t="shared" si="0"/>
        <x:v>14</x:v>
      </x:c>
      <x:c r="F23" s="9"/>
    </x:row>
    <x:row r="24" spans="1:6" x14ac:dyDescent="0.25">
      <x:c r="A24" s="6">
        <x:f t="shared" si="0"/>
        <x:v>15</x:v>
      </x:c>
      <x:c r="F24" s="9"/>
    </x:row>
    <x:row r="25" spans="1:6" x14ac:dyDescent="0.25">
      <x:c r="A25" s="6">
        <x:f t="shared" si="0"/>
        <x:v>16</x:v>
      </x:c>
      <x:c r="F25" s="9"/>
    </x:row>
    <x:row r="26" spans="1:6" x14ac:dyDescent="0.25">
      <x:c r="A26" s="6">
        <x:f t="shared" si="0"/>
        <x:v>17</x:v>
      </x:c>
      <x:c r="F26" s="9"/>
    </x:row>
    <x:row r="27" spans="1:6" x14ac:dyDescent="0.25">
      <x:c r="A27" s="6">
        <x:f t="shared" si="0"/>
        <x:v>18</x:v>
      </x:c>
      <x:c r="F27" s="9"/>
    </x:row>
    <x:row r="28" spans="1:6" x14ac:dyDescent="0.25">
      <x:c r="A28" s="6">
        <x:f t="shared" si="0"/>
        <x:v>19</x:v>
      </x:c>
      <x:c r="F28" s="9"/>
    </x:row>
    <x:row r="29" spans="1:6" x14ac:dyDescent="0.25">
      <x:c r="A29" s="6">
        <x:f t="shared" si="0"/>
        <x:v>20</x:v>
      </x:c>
      <x:c r="F29" s="9"/>
    </x:row>
    <x:row r="30" spans="1:6" x14ac:dyDescent="0.25">
      <x:c r="A30" s="6">
        <x:f t="shared" si="0"/>
        <x:v>21</x:v>
      </x:c>
      <x:c r="F30" s="9"/>
    </x:row>
    <x:row r="31" spans="1:6" x14ac:dyDescent="0.25">
      <x:c r="A31" s="6">
        <x:f t="shared" si="0"/>
        <x:v>22</x:v>
      </x:c>
      <x:c r="F31" s="9"/>
    </x:row>
    <x:row r="32" spans="1:6" x14ac:dyDescent="0.25">
      <x:c r="A32" s="6">
        <x:f t="shared" si="0"/>
        <x:v>23</x:v>
      </x:c>
      <x:c r="F32" s="9"/>
    </x:row>
    <x:row r="33" spans="1:7" x14ac:dyDescent="0.25">
      <x:c r="A33" s="6">
        <x:f t="shared" si="0"/>
        <x:v>24</x:v>
      </x:c>
    </x:row>
    <x:row r="34" spans="1:7" x14ac:dyDescent="0.25">
      <x:c r="A34" s="6">
        <x:f t="shared" si="0"/>
        <x:v>25</x:v>
      </x:c>
      <x:c r="B34" s="19"/>
    </x:row>
    <x:row r="35" spans="1:7" x14ac:dyDescent="0.25">
      <x:c r="A35" s="6">
        <x:f t="shared" si="0"/>
        <x:v>26</x:v>
      </x:c>
      <x:c r="F35" s="2"/>
    </x:row>
    <x:row r="36" spans="1:7" x14ac:dyDescent="0.25">
      <x:c r="A36" s="6">
        <x:f t="shared" si="0"/>
        <x:v>27</x:v>
      </x:c>
      <x:c r="F36" s="11"/>
    </x:row>
    <x:row r="37" spans="1:7" x14ac:dyDescent="0.25">
      <x:c r="A37" s="6">
        <x:f t="shared" si="0"/>
        <x:v>28</x:v>
      </x:c>
      <x:c r="F37" s="2"/>
    </x:row>
    <x:row r="38" spans="1:7" x14ac:dyDescent="0.25">
      <x:c r="A38" s="6"/>
      <x:c r="F38" s="2"/>
    </x:row>
    <x:row r="39" spans="1:7" x14ac:dyDescent="0.25">
      <x:c r="A39" s="6"/>
      <x:c r="F39" s="11"/>
    </x:row>
    <x:row r="40" spans="1:7" x14ac:dyDescent="0.25">
      <x:c r="A40" s="6"/>
      <x:c r="F40" s="2"/>
    </x:row>
    <x:row r="41" spans="1:7" x14ac:dyDescent="0.25">
      <x:c r="A41" s="6"/>
      <x:c r="F41" s="2"/>
    </x:row>
    <x:row r="42" spans="1:7" x14ac:dyDescent="0.25">
      <x:c r="A42" s="6"/>
      <x:c r="F42" s="2"/>
    </x:row>
    <x:row r="43" spans="1:7" x14ac:dyDescent="0.25">
      <x:c r="A43" s="6"/>
      <x:c r="F43" s="2"/>
    </x:row>
    <x:row r="44" spans="1:7" x14ac:dyDescent="0.25">
      <x:c r="A44" s="6"/>
      <x:c r="F44" s="2"/>
    </x:row>
    <x:row r="45" spans="1:7" x14ac:dyDescent="0.25">
      <x:c r="A45" s="6"/>
    </x:row>
    <x:row r="46" spans="1:7" x14ac:dyDescent="0.25">
      <x:c r="A46" s="6"/>
    </x:row>
    <x:row r="47" spans="1:7" x14ac:dyDescent="0.25">
      <x:c r="A47" s="6"/>
      <x:c r="C47" s="9"/>
      <x:c r="G47" s="9"/>
    </x:row>
    <x:row r="48" spans="1:7" x14ac:dyDescent="0.25">
      <x:c r="A48" s="6"/>
    </x:row>
    <x:row r="49" spans="1:1" x14ac:dyDescent="0.25">
      <x:c r="A49" s="6"/>
    </x:row>
  </x:sheetData>
  <x:mergeCells count="8">
    <x:mergeCell ref="B11:J11"/>
    <x:mergeCell ref="B10:K10"/>
    <x:mergeCell ref="B8:F8"/>
    <x:mergeCell ref="B1:J1"/>
    <x:mergeCell ref="B2:J2"/>
    <x:mergeCell ref="B3:J3"/>
    <x:mergeCell ref="B4:J4"/>
    <x:mergeCell ref="B6:J6"/>
  </x:mergeCells>
  <x:printOptions horizontalCentered="1"/>
  <x:pageMargins left="0.83" right="0.53" top="1.5" bottom="1" header="1" footer="0.5"/>
  <x:pageSetup scale="76" firstPageNumber="7" orientation="portrait" r:id="rId1"/>
  <x:headerFooter scaleWithDoc="0" alignWithMargins="0">
    <x:oddHeader>&amp;RWP/II-H-5.2/6
Page &amp;P of 20</x:oddHeader>
  </x:headerFooter>
  <x:drawing r:id="rId2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 codeName="Sheet6">
    <x:pageSetUpPr fitToPage="1"/>
  </x:sheetPr>
  <x:dimension ref="A1:F80"/>
  <x:sheetViews>
    <x:sheetView zoomScaleNormal="100" workbookViewId="0">
      <x:selection activeCell="G5" sqref="G5"/>
    </x:sheetView>
  </x:sheetViews>
  <x:sheetFormatPr defaultRowHeight="13.2" x14ac:dyDescent="0.25"/>
  <x:cols>
    <x:col min="1" max="1" width="9.33203125" bestFit="1" customWidth="1"/>
    <x:col min="2" max="2" width="26.88671875" bestFit="1" customWidth="1"/>
    <x:col min="3" max="3" width="20.109375" bestFit="1" customWidth="1"/>
    <x:col min="4" max="5" width="9.33203125" bestFit="1" customWidth="1"/>
    <x:col min="6" max="6" width="9.33203125" customWidth="1"/>
  </x:cols>
  <x:sheetData>
    <x:row r="1" spans="1:6" s="1" customFormat="1" ht="15.6" x14ac:dyDescent="0.3">
      <x:c r="A1" s="6"/>
      <x:c r="B1" s="43" t="str">
        <x:f>+'RES Spline Model'!B1:F1</x:f>
        <x:v>2025 RATE CASE</x:v>
      </x:c>
      <x:c r="C1" s="43"/>
      <x:c r="D1" s="43"/>
      <x:c r="E1" s="43"/>
      <x:c r="F1" s="43"/>
    </x:row>
    <x:row r="2" spans="1:6" s="1" customFormat="1" ht="15.6" x14ac:dyDescent="0.3">
      <x:c r="A2" s="6"/>
      <x:c r="B2" s="43" t="str">
        <x:f>+'RES Spline Model'!B2:F2</x:f>
        <x:v>ONCOR ELECTRIC DELIVERY COMPANY LLC</x:v>
      </x:c>
      <x:c r="C2" s="43"/>
      <x:c r="D2" s="43"/>
      <x:c r="E2" s="43"/>
      <x:c r="F2" s="43"/>
    </x:row>
    <x:row r="3" spans="1:6" s="1" customFormat="1" ht="15.6" x14ac:dyDescent="0.3">
      <x:c r="A3" s="6"/>
      <x:c r="B3" s="43" t="str">
        <x:f>+'RES Spline Model'!B3:F3</x:f>
        <x:v>ADJUSTED WEATHER STATION DATA</x:v>
      </x:c>
      <x:c r="C3" s="43"/>
      <x:c r="D3" s="43"/>
      <x:c r="E3" s="43"/>
      <x:c r="F3" s="43"/>
    </x:row>
    <x:row r="4" spans="1:6" s="1" customFormat="1" ht="15.6" x14ac:dyDescent="0.3">
      <x:c r="A4" s="6"/>
      <x:c r="B4" s="43" t="str">
        <x:f>+'RES Spline Model'!B4:F4</x:f>
        <x:v>FOR THE TEST YEAR ENDING DECEMBER 31, 2024</x:v>
      </x:c>
      <x:c r="C4" s="43"/>
      <x:c r="D4" s="43"/>
      <x:c r="E4" s="43"/>
      <x:c r="F4" s="43"/>
    </x:row>
    <x:row r="5" spans="1:6" s="1" customFormat="1" ht="11.4" x14ac:dyDescent="0.2">
      <x:c r="A5" s="6"/>
    </x:row>
    <x:row r="6" spans="1:6" s="1" customFormat="1" ht="15.6" x14ac:dyDescent="0.3">
      <x:c r="A6" s="6"/>
      <x:c r="B6" s="43" t="str">
        <x:f>+'RES Spline Model'!B6:F6</x:f>
        <x:v>SPONSOR: D. E. NELSON</x:v>
      </x:c>
      <x:c r="C6" s="43"/>
      <x:c r="D6" s="43"/>
      <x:c r="E6" s="43"/>
      <x:c r="F6" s="43"/>
    </x:row>
    <x:row r="8" spans="1:6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6" s="1" customFormat="1" ht="11.4" x14ac:dyDescent="0.2">
      <x:c r="A9" s="7" t="s">
        <x:v>24</x:v>
      </x:c>
      <x:c r="B9" s="8" t="s">
        <x:v>25</x:v>
      </x:c>
      <x:c r="C9" s="8" t="s">
        <x:v>26</x:v>
      </x:c>
      <x:c r="D9" s="8" t="s">
        <x:v>29</x:v>
      </x:c>
      <x:c r="E9" s="8" t="s">
        <x:v>27</x:v>
      </x:c>
      <x:c r="F9" s="8" t="s">
        <x:v>28</x:v>
      </x:c>
    </x:row>
    <x:row r="10" spans="1:6" s="1" customFormat="1" ht="12" x14ac:dyDescent="0.25">
      <x:c r="A10" s="6">
        <x:v>1</x:v>
      </x:c>
      <x:c r="B10" s="3" t="s">
        <x:v>5</x:v>
      </x:c>
      <x:c r="C10" s="3" t="s">
        <x:v>57</x:v>
      </x:c>
    </x:row>
    <x:row r="11" spans="1:6" s="1" customFormat="1" ht="12" x14ac:dyDescent="0.25">
      <x:c r="A11" s="6">
        <x:f t="shared" ref="A11:A42" si="0">+A10+1</x:f>
        <x:v>2</x:v>
      </x:c>
      <x:c r="B11" s="3" t="s">
        <x:v>53</x:v>
      </x:c>
      <x:c r="C11" s="3"/>
    </x:row>
    <x:row r="12" spans="1:6" s="1" customFormat="1" ht="12" x14ac:dyDescent="0.25">
      <x:c r="A12" s="6">
        <x:f t="shared" si="0"/>
        <x:v>3</x:v>
      </x:c>
      <x:c r="B12" s="3" t="s">
        <x:v>6</x:v>
      </x:c>
      <x:c r="C12" s="3" t="s">
        <x:v>65</x:v>
      </x:c>
    </x:row>
    <x:row r="13" spans="1:6" s="1" customFormat="1" ht="12" x14ac:dyDescent="0.25">
      <x:c r="A13" s="6">
        <x:f t="shared" si="0"/>
        <x:v>4</x:v>
      </x:c>
      <x:c r="B13" s="3" t="s">
        <x:v>7</x:v>
      </x:c>
      <x:c r="C13" s="16">
        <x:f>+'RES Spline Model'!C13</x:f>
        <x:v>44197</x:v>
      </x:c>
    </x:row>
    <x:row r="14" spans="1:6" s="1" customFormat="1" ht="12" x14ac:dyDescent="0.25">
      <x:c r="A14" s="6">
        <x:f t="shared" si="0"/>
        <x:v>5</x:v>
      </x:c>
      <x:c r="B14" s="3" t="s">
        <x:v>8</x:v>
      </x:c>
      <x:c r="C14" s="16">
        <x:f>+'RES Spline Model'!C14</x:f>
        <x:v>45291</x:v>
      </x:c>
    </x:row>
    <x:row r="15" spans="1:6" s="1" customFormat="1" ht="11.4" x14ac:dyDescent="0.2">
      <x:c r="A15" s="6">
        <x:f t="shared" si="0"/>
        <x:v>6</x:v>
      </x:c>
    </x:row>
    <x:row r="16" spans="1:6" s="1" customFormat="1" ht="11.4" x14ac:dyDescent="0.2">
      <x:c r="A16" s="6">
        <x:f t="shared" si="0"/>
        <x:v>7</x:v>
      </x:c>
      <x:c r="B16" s="5" t="s">
        <x:v>0</x:v>
      </x:c>
      <x:c r="C16" s="5" t="s">
        <x:v>1</x:v>
      </x:c>
      <x:c r="D16" s="5" t="s">
        <x:v>2</x:v>
      </x:c>
      <x:c r="E16" s="5" t="s">
        <x:v>3</x:v>
      </x:c>
      <x:c r="F16" s="5" t="s">
        <x:v>4</x:v>
      </x:c>
    </x:row>
    <x:row r="17" spans="1:6" x14ac:dyDescent="0.25">
      <x:c r="A17" s="6">
        <x:f t="shared" si="0"/>
        <x:v>8</x:v>
      </x:c>
      <x:c r="B17" t="s">
        <x:v>37</x:v>
      </x:c>
      <x:c r="C17">
        <x:v>89469.884999999995</x:v>
      </x:c>
      <x:c r="D17">
        <x:v>1740.675</x:v>
      </x:c>
      <x:c r="E17">
        <x:v>51.4</x:v>
      </x:c>
      <x:c r="F17" s="9">
        <x:v>0</x:v>
      </x:c>
    </x:row>
    <x:row r="18" spans="1:6" x14ac:dyDescent="0.25">
      <x:c r="A18" s="6">
        <x:f t="shared" si="0"/>
        <x:v>9</x:v>
      </x:c>
      <x:c r="B18" t="s">
        <x:v>99</x:v>
      </x:c>
      <x:c r="C18">
        <x:v>-2550.4839999999999</x:v>
      </x:c>
      <x:c r="D18">
        <x:v>1064.8309999999999</x:v>
      </x:c>
      <x:c r="E18">
        <x:v>-2.395</x:v>
      </x:c>
      <x:c r="F18" s="9">
        <x:v>1.6799999999999999E-2</x:v>
      </x:c>
    </x:row>
    <x:row r="19" spans="1:6" x14ac:dyDescent="0.25">
      <x:c r="A19" s="6">
        <x:f t="shared" si="0"/>
        <x:v>10</x:v>
      </x:c>
      <x:c r="B19" t="s">
        <x:v>100</x:v>
      </x:c>
      <x:c r="C19">
        <x:v>-5167.5730000000003</x:v>
      </x:c>
      <x:c r="D19">
        <x:v>724.08</x:v>
      </x:c>
      <x:c r="E19">
        <x:v>-7.1369999999999996</x:v>
      </x:c>
      <x:c r="F19" s="9">
        <x:v>0</x:v>
      </x:c>
    </x:row>
    <x:row r="20" spans="1:6" x14ac:dyDescent="0.25">
      <x:c r="A20" s="6">
        <x:f t="shared" si="0"/>
        <x:v>11</x:v>
      </x:c>
      <x:c r="B20" t="s">
        <x:v>101</x:v>
      </x:c>
      <x:c r="C20">
        <x:v>-7334.777</x:v>
      </x:c>
      <x:c r="D20">
        <x:v>710.41499999999996</x:v>
      </x:c>
      <x:c r="E20">
        <x:v>-10.324999999999999</x:v>
      </x:c>
      <x:c r="F20" s="9">
        <x:v>0</x:v>
      </x:c>
    </x:row>
    <x:row r="21" spans="1:6" x14ac:dyDescent="0.25">
      <x:c r="A21" s="6">
        <x:f t="shared" si="0"/>
        <x:v>12</x:v>
      </x:c>
      <x:c r="B21" t="s">
        <x:v>102</x:v>
      </x:c>
      <x:c r="C21">
        <x:v>-7294.0439999999999</x:v>
      </x:c>
      <x:c r="D21">
        <x:v>707.63900000000001</x:v>
      </x:c>
      <x:c r="E21">
        <x:v>-10.308</x:v>
      </x:c>
      <x:c r="F21" s="9">
        <x:v>0</x:v>
      </x:c>
    </x:row>
    <x:row r="22" spans="1:6" x14ac:dyDescent="0.25">
      <x:c r="A22" s="6">
        <x:f t="shared" si="0"/>
        <x:v>13</x:v>
      </x:c>
      <x:c r="B22" t="s">
        <x:v>103</x:v>
      </x:c>
      <x:c r="C22">
        <x:v>-7495.7420000000002</x:v>
      </x:c>
      <x:c r="D22">
        <x:v>711.84400000000005</x:v>
      </x:c>
      <x:c r="E22">
        <x:v>-10.53</x:v>
      </x:c>
      <x:c r="F22" s="9">
        <x:v>0</x:v>
      </x:c>
    </x:row>
    <x:row r="23" spans="1:6" x14ac:dyDescent="0.25">
      <x:c r="A23" s="6">
        <x:f t="shared" si="0"/>
        <x:v>14</x:v>
      </x:c>
      <x:c r="B23" t="s">
        <x:v>104</x:v>
      </x:c>
      <x:c r="C23">
        <x:v>-8205.2160000000003</x:v>
      </x:c>
      <x:c r="D23">
        <x:v>712.77499999999998</x:v>
      </x:c>
      <x:c r="E23">
        <x:v>-11.512</x:v>
      </x:c>
      <x:c r="F23" s="9">
        <x:v>0</x:v>
      </x:c>
    </x:row>
    <x:row r="24" spans="1:6" x14ac:dyDescent="0.25">
      <x:c r="A24" s="6">
        <x:f t="shared" si="0"/>
        <x:v>15</x:v>
      </x:c>
      <x:c r="B24" t="s">
        <x:v>105</x:v>
      </x:c>
      <x:c r="C24">
        <x:v>-3930.152</x:v>
      </x:c>
      <x:c r="D24">
        <x:v>702.22699999999998</x:v>
      </x:c>
      <x:c r="E24">
        <x:v>-5.5970000000000004</x:v>
      </x:c>
      <x:c r="F24" s="9">
        <x:v>0</x:v>
      </x:c>
    </x:row>
    <x:row r="25" spans="1:6" x14ac:dyDescent="0.25">
      <x:c r="A25" s="6">
        <x:f t="shared" si="0"/>
        <x:v>16</x:v>
      </x:c>
      <x:c r="B25" t="s">
        <x:v>158</x:v>
      </x:c>
      <x:c r="C25">
        <x:v>4828.9399999999996</x:v>
      </x:c>
      <x:c r="D25">
        <x:v>3690.2080000000001</x:v>
      </x:c>
      <x:c r="E25">
        <x:v>1.3089999999999999</x:v>
      </x:c>
      <x:c r="F25" s="9">
        <x:v>0.191</x:v>
      </x:c>
    </x:row>
    <x:row r="26" spans="1:6" x14ac:dyDescent="0.25">
      <x:c r="A26" s="6">
        <x:f t="shared" si="0"/>
        <x:v>17</x:v>
      </x:c>
      <x:c r="B26" t="s">
        <x:v>106</x:v>
      </x:c>
      <x:c r="C26">
        <x:v>-8111.7020000000002</x:v>
      </x:c>
      <x:c r="D26">
        <x:v>4529.6909999999998</x:v>
      </x:c>
      <x:c r="E26">
        <x:v>-1.7909999999999999</x:v>
      </x:c>
      <x:c r="F26" s="9">
        <x:v>7.3599999999999999E-2</x:v>
      </x:c>
    </x:row>
    <x:row r="27" spans="1:6" x14ac:dyDescent="0.25">
      <x:c r="A27" s="6">
        <x:f t="shared" si="0"/>
        <x:v>18</x:v>
      </x:c>
      <x:c r="B27" t="s">
        <x:v>141</x:v>
      </x:c>
      <x:c r="C27">
        <x:v>2860.8220000000001</x:v>
      </x:c>
      <x:c r="D27">
        <x:v>3703.3069999999998</x:v>
      </x:c>
      <x:c r="E27">
        <x:v>0.77300000000000002</x:v>
      </x:c>
      <x:c r="F27" s="9">
        <x:v>0.44</x:v>
      </x:c>
    </x:row>
    <x:row r="28" spans="1:6" x14ac:dyDescent="0.25">
      <x:c r="A28" s="6">
        <x:f t="shared" si="0"/>
        <x:v>19</x:v>
      </x:c>
      <x:c r="B28" t="s">
        <x:v>107</x:v>
      </x:c>
      <x:c r="C28">
        <x:v>5972.7150000000001</x:v>
      </x:c>
      <x:c r="D28">
        <x:v>3679.0740000000001</x:v>
      </x:c>
      <x:c r="E28">
        <x:v>1.623</x:v>
      </x:c>
      <x:c r="F28" s="9">
        <x:v>0.1048</x:v>
      </x:c>
    </x:row>
    <x:row r="29" spans="1:6" x14ac:dyDescent="0.25">
      <x:c r="A29" s="6">
        <x:f t="shared" si="0"/>
        <x:v>20</x:v>
      </x:c>
      <x:c r="B29" t="s">
        <x:v>142</x:v>
      </x:c>
      <x:c r="C29">
        <x:v>2163.77</x:v>
      </x:c>
      <x:c r="D29">
        <x:v>3664.902</x:v>
      </x:c>
      <x:c r="E29">
        <x:v>0.59</x:v>
      </x:c>
      <x:c r="F29" s="9">
        <x:v>0.55510000000000004</x:v>
      </x:c>
    </x:row>
    <x:row r="30" spans="1:6" x14ac:dyDescent="0.25">
      <x:c r="A30" s="6">
        <x:f t="shared" si="0"/>
        <x:v>21</x:v>
      </x:c>
      <x:c r="B30" t="s">
        <x:v>108</x:v>
      </x:c>
      <x:c r="C30">
        <x:v>10163.715</x:v>
      </x:c>
      <x:c r="D30">
        <x:v>3687.3649999999998</x:v>
      </x:c>
      <x:c r="E30">
        <x:v>2.7559999999999998</x:v>
      </x:c>
      <x:c r="F30" s="9">
        <x:v>5.8999999999999999E-3</x:v>
      </x:c>
    </x:row>
    <x:row r="31" spans="1:6" x14ac:dyDescent="0.25">
      <x:c r="A31" s="6">
        <x:f t="shared" si="0"/>
        <x:v>22</x:v>
      </x:c>
      <x:c r="B31" t="s">
        <x:v>109</x:v>
      </x:c>
      <x:c r="C31">
        <x:v>8642.81</x:v>
      </x:c>
      <x:c r="D31">
        <x:v>3705.9050000000002</x:v>
      </x:c>
      <x:c r="E31">
        <x:v>2.3319999999999999</x:v>
      </x:c>
      <x:c r="F31" s="9">
        <x:v>1.9900000000000001E-2</x:v>
      </x:c>
    </x:row>
    <x:row r="32" spans="1:6" x14ac:dyDescent="0.25">
      <x:c r="A32" s="6">
        <x:f t="shared" si="0"/>
        <x:v>23</x:v>
      </x:c>
      <x:c r="B32" t="s">
        <x:v>110</x:v>
      </x:c>
      <x:c r="C32">
        <x:v>-713.96699999999998</x:v>
      </x:c>
      <x:c r="D32">
        <x:v>3699.6030000000001</x:v>
      </x:c>
      <x:c r="E32">
        <x:v>-0.193</x:v>
      </x:c>
      <x:c r="F32" s="9">
        <x:v>0.84699999999999998</x:v>
      </x:c>
    </x:row>
    <x:row r="33" spans="1:6" x14ac:dyDescent="0.25">
      <x:c r="A33" s="6">
        <x:f t="shared" si="0"/>
        <x:v>24</x:v>
      </x:c>
      <x:c r="B33" t="s">
        <x:v>159</x:v>
      </x:c>
      <x:c r="C33">
        <x:v>8145.6509999999998</x:v>
      </x:c>
      <x:c r="D33">
        <x:v>4316.9380000000001</x:v>
      </x:c>
      <x:c r="E33">
        <x:v>1.887</x:v>
      </x:c>
      <x:c r="F33" s="9">
        <x:v>5.9400000000000001E-2</x:v>
      </x:c>
    </x:row>
    <x:row r="34" spans="1:6" x14ac:dyDescent="0.25">
      <x:c r="A34" s="6">
        <x:f t="shared" si="0"/>
        <x:v>25</x:v>
      </x:c>
      <x:c r="B34" t="s">
        <x:v>143</x:v>
      </x:c>
      <x:c r="C34">
        <x:v>6187.8509999999997</x:v>
      </x:c>
      <x:c r="D34">
        <x:v>3984.1610000000001</x:v>
      </x:c>
      <x:c r="E34">
        <x:v>1.5529999999999999</x:v>
      </x:c>
      <x:c r="F34" s="9">
        <x:v>0.1207</x:v>
      </x:c>
    </x:row>
    <x:row r="35" spans="1:6" x14ac:dyDescent="0.25">
      <x:c r="A35" s="6">
        <x:f t="shared" si="0"/>
        <x:v>26</x:v>
      </x:c>
      <x:c r="B35" t="s">
        <x:v>111</x:v>
      </x:c>
      <x:c r="C35">
        <x:v>8108.0330000000004</x:v>
      </x:c>
      <x:c r="D35">
        <x:v>4056.547</x:v>
      </x:c>
      <x:c r="E35">
        <x:v>1.9990000000000001</x:v>
      </x:c>
      <x:c r="F35" s="9">
        <x:v>4.5900000000000003E-2</x:v>
      </x:c>
    </x:row>
    <x:row r="36" spans="1:6" x14ac:dyDescent="0.25">
      <x:c r="A36" s="6">
        <x:f t="shared" si="0"/>
        <x:v>27</x:v>
      </x:c>
      <x:c r="B36" t="s">
        <x:v>168</x:v>
      </x:c>
      <x:c r="C36">
        <x:v>7097.1080000000002</x:v>
      </x:c>
      <x:c r="D36">
        <x:v>5276.53</x:v>
      </x:c>
      <x:c r="E36">
        <x:v>1.345</x:v>
      </x:c>
      <x:c r="F36" s="9">
        <x:v>0.1789</x:v>
      </x:c>
    </x:row>
    <x:row r="37" spans="1:6" x14ac:dyDescent="0.25">
      <x:c r="A37" s="6">
        <x:f t="shared" si="0"/>
        <x:v>28</x:v>
      </x:c>
      <x:c r="B37" t="s">
        <x:v>112</x:v>
      </x:c>
      <x:c r="C37">
        <x:v>6971.4949999999999</x:v>
      </x:c>
      <x:c r="D37">
        <x:v>4066.875</x:v>
      </x:c>
      <x:c r="E37">
        <x:v>1.714</x:v>
      </x:c>
      <x:c r="F37" s="9">
        <x:v>8.6800000000000002E-2</x:v>
      </x:c>
    </x:row>
    <x:row r="38" spans="1:6" x14ac:dyDescent="0.25">
      <x:c r="A38" s="6">
        <x:f t="shared" si="0"/>
        <x:v>29</x:v>
      </x:c>
      <x:c r="B38" t="s">
        <x:v>113</x:v>
      </x:c>
      <x:c r="C38">
        <x:v>207.49100000000001</x:v>
      </x:c>
      <x:c r="D38">
        <x:v>3671.4360000000001</x:v>
      </x:c>
      <x:c r="E38">
        <x:v>5.7000000000000002E-2</x:v>
      </x:c>
      <x:c r="F38" s="9">
        <x:v>0.95489999999999997</x:v>
      </x:c>
    </x:row>
    <x:row r="39" spans="1:6" x14ac:dyDescent="0.25">
      <x:c r="A39" s="6">
        <x:f t="shared" si="0"/>
        <x:v>30</x:v>
      </x:c>
      <x:c r="B39" t="s">
        <x:v>114</x:v>
      </x:c>
      <x:c r="C39">
        <x:v>137.70400000000001</x:v>
      </x:c>
      <x:c r="D39">
        <x:v>107.892</x:v>
      </x:c>
      <x:c r="E39">
        <x:v>1.276</x:v>
      </x:c>
      <x:c r="F39" s="9">
        <x:v>0.2021</x:v>
      </x:c>
    </x:row>
    <x:row r="40" spans="1:6" x14ac:dyDescent="0.25">
      <x:c r="A40" s="6">
        <x:f t="shared" si="0"/>
        <x:v>31</x:v>
      </x:c>
      <x:c r="B40" t="s">
        <x:v>38</x:v>
      </x:c>
      <x:c r="C40">
        <x:v>1374.8610000000001</x:v>
      </x:c>
      <x:c r="D40">
        <x:v>982.39800000000002</x:v>
      </x:c>
      <x:c r="E40">
        <x:v>1.399</x:v>
      </x:c>
      <x:c r="F40" s="9">
        <x:v>0.16200000000000001</x:v>
      </x:c>
    </x:row>
    <x:row r="41" spans="1:6" x14ac:dyDescent="0.25">
      <x:c r="A41" s="6">
        <x:f t="shared" si="0"/>
        <x:v>32</x:v>
      </x:c>
      <x:c r="B41" t="s">
        <x:v>39</x:v>
      </x:c>
      <x:c r="C41">
        <x:v>-7912.32</x:v>
      </x:c>
      <x:c r="D41">
        <x:v>1190.1669999999999</x:v>
      </x:c>
      <x:c r="E41">
        <x:v>-6.6479999999999997</x:v>
      </x:c>
      <x:c r="F41" s="9">
        <x:v>0</x:v>
      </x:c>
    </x:row>
    <x:row r="42" spans="1:6" x14ac:dyDescent="0.25">
      <x:c r="A42" s="6">
        <x:f t="shared" si="0"/>
        <x:v>33</x:v>
      </x:c>
      <x:c r="B42" t="s">
        <x:v>40</x:v>
      </x:c>
      <x:c r="C42">
        <x:v>-7955.7380000000003</x:v>
      </x:c>
      <x:c r="D42">
        <x:v>1513.9110000000001</x:v>
      </x:c>
      <x:c r="E42">
        <x:v>-5.2549999999999999</x:v>
      </x:c>
      <x:c r="F42" s="9">
        <x:v>0</x:v>
      </x:c>
    </x:row>
    <x:row r="43" spans="1:6" x14ac:dyDescent="0.25">
      <x:c r="A43" s="6">
        <x:f t="shared" ref="A43:A61" si="1">+A42+1</x:f>
        <x:v>34</x:v>
      </x:c>
      <x:c r="B43" t="s">
        <x:v>41</x:v>
      </x:c>
      <x:c r="C43">
        <x:v>-811.36599999999999</x:v>
      </x:c>
      <x:c r="D43">
        <x:v>1607.873</x:v>
      </x:c>
      <x:c r="E43">
        <x:v>-0.505</x:v>
      </x:c>
      <x:c r="F43" s="9">
        <x:v>0.6139</x:v>
      </x:c>
    </x:row>
    <x:row r="44" spans="1:6" x14ac:dyDescent="0.25">
      <x:c r="A44" s="6">
        <x:f t="shared" si="1"/>
        <x:v>35</x:v>
      </x:c>
      <x:c r="B44" t="s">
        <x:v>42</x:v>
      </x:c>
      <x:c r="C44">
        <x:v>5786.98</x:v>
      </x:c>
      <x:c r="D44">
        <x:v>1773.252</x:v>
      </x:c>
      <x:c r="E44">
        <x:v>3.2629999999999999</x:v>
      </x:c>
      <x:c r="F44" s="9">
        <x:v>1.1999999999999999E-3</x:v>
      </x:c>
    </x:row>
    <x:row r="45" spans="1:6" x14ac:dyDescent="0.25">
      <x:c r="A45" s="6">
        <x:f t="shared" si="1"/>
        <x:v>36</x:v>
      </x:c>
      <x:c r="B45" t="s">
        <x:v>43</x:v>
      </x:c>
      <x:c r="C45">
        <x:v>7031.1350000000002</x:v>
      </x:c>
      <x:c r="D45">
        <x:v>1857.1859999999999</x:v>
      </x:c>
      <x:c r="E45">
        <x:v>3.786</x:v>
      </x:c>
      <x:c r="F45" s="9">
        <x:v>2.0000000000000001E-4</x:v>
      </x:c>
    </x:row>
    <x:row r="46" spans="1:6" x14ac:dyDescent="0.25">
      <x:c r="A46" s="6">
        <x:f t="shared" si="1"/>
        <x:v>37</x:v>
      </x:c>
      <x:c r="B46" t="s">
        <x:v>44</x:v>
      </x:c>
      <x:c r="C46">
        <x:v>7395.6139999999996</x:v>
      </x:c>
      <x:c r="D46">
        <x:v>1839.34</x:v>
      </x:c>
      <x:c r="E46">
        <x:v>4.0209999999999999</x:v>
      </x:c>
      <x:c r="F46" s="9">
        <x:v>1E-4</x:v>
      </x:c>
    </x:row>
    <x:row r="47" spans="1:6" x14ac:dyDescent="0.25">
      <x:c r="A47" s="6">
        <x:f t="shared" si="1"/>
        <x:v>38</x:v>
      </x:c>
      <x:c r="B47" t="s">
        <x:v>45</x:v>
      </x:c>
      <x:c r="C47">
        <x:v>2972.8220000000001</x:v>
      </x:c>
      <x:c r="D47">
        <x:v>1741.4639999999999</x:v>
      </x:c>
      <x:c r="E47">
        <x:v>1.7070000000000001</x:v>
      </x:c>
      <x:c r="F47" s="9">
        <x:v>8.8099999999999998E-2</x:v>
      </x:c>
    </x:row>
    <x:row r="48" spans="1:6" x14ac:dyDescent="0.25">
      <x:c r="A48" s="6">
        <x:f t="shared" si="1"/>
        <x:v>39</x:v>
      </x:c>
      <x:c r="B48" t="s">
        <x:v>52</x:v>
      </x:c>
      <x:c r="C48">
        <x:v>-4539.0780000000004</x:v>
      </x:c>
      <x:c r="D48">
        <x:v>1547.944</x:v>
      </x:c>
      <x:c r="E48">
        <x:v>-2.9319999999999999</x:v>
      </x:c>
      <x:c r="F48" s="9">
        <x:v>3.3999999999999998E-3</x:v>
      </x:c>
    </x:row>
    <x:row r="49" spans="1:6" x14ac:dyDescent="0.25">
      <x:c r="A49" s="6">
        <x:f t="shared" si="1"/>
        <x:v>40</x:v>
      </x:c>
      <x:c r="B49" t="s">
        <x:v>46</x:v>
      </x:c>
      <x:c r="C49">
        <x:v>-8977.0669999999991</x:v>
      </x:c>
      <x:c r="D49">
        <x:v>1027.913</x:v>
      </x:c>
      <x:c r="E49">
        <x:v>-8.7330000000000005</x:v>
      </x:c>
      <x:c r="F49" s="9">
        <x:v>0</x:v>
      </x:c>
    </x:row>
    <x:row r="50" spans="1:6" x14ac:dyDescent="0.25">
      <x:c r="A50" s="6">
        <x:f t="shared" si="1"/>
        <x:v>41</x:v>
      </x:c>
      <x:c r="B50" t="s">
        <x:v>47</x:v>
      </x:c>
      <x:c r="C50">
        <x:v>-5341.4260000000004</x:v>
      </x:c>
      <x:c r="D50">
        <x:v>2047.364</x:v>
      </x:c>
      <x:c r="E50">
        <x:v>-2.609</x:v>
      </x:c>
      <x:c r="F50" s="9">
        <x:v>9.1999999999999998E-3</x:v>
      </x:c>
    </x:row>
    <x:row r="51" spans="1:6" x14ac:dyDescent="0.25">
      <x:c r="A51" s="6">
        <x:f t="shared" si="1"/>
        <x:v>42</x:v>
      </x:c>
      <x:c r="B51" t="s">
        <x:v>81</x:v>
      </x:c>
      <x:c r="C51">
        <x:v>326.03300000000002</x:v>
      </x:c>
      <x:c r="D51">
        <x:v>240.28299999999999</x:v>
      </x:c>
      <x:c r="E51">
        <x:v>1.357</x:v>
      </x:c>
      <x:c r="F51" s="9">
        <x:v>0.17510000000000001</x:v>
      </x:c>
    </x:row>
    <x:row r="52" spans="1:6" x14ac:dyDescent="0.25">
      <x:c r="A52" s="6">
        <x:f t="shared" si="1"/>
        <x:v>43</x:v>
      </x:c>
      <x:c r="B52" t="s">
        <x:v>117</x:v>
      </x:c>
      <x:c r="C52">
        <x:v>2923.8040000000001</x:v>
      </x:c>
      <x:c r="D52">
        <x:v>307.16899999999998</x:v>
      </x:c>
      <x:c r="E52">
        <x:v>9.5190000000000001</x:v>
      </x:c>
      <x:c r="F52" s="9">
        <x:v>0</x:v>
      </x:c>
    </x:row>
    <x:row r="53" spans="1:6" x14ac:dyDescent="0.25">
      <x:c r="A53" s="6">
        <x:f t="shared" si="1"/>
        <x:v>44</x:v>
      </x:c>
      <x:c r="B53" t="s">
        <x:v>177</x:v>
      </x:c>
      <x:c r="C53">
        <x:v>-14.207000000000001</x:v>
      </x:c>
      <x:c r="D53">
        <x:v>505.32499999999999</x:v>
      </x:c>
      <x:c r="E53">
        <x:v>-2.8000000000000001E-2</x:v>
      </x:c>
      <x:c r="F53" s="9">
        <x:v>0.97760000000000002</x:v>
      </x:c>
    </x:row>
    <x:row r="54" spans="1:6" x14ac:dyDescent="0.25">
      <x:c r="A54" s="6">
        <x:f t="shared" si="1"/>
        <x:v>45</x:v>
      </x:c>
      <x:c r="B54" t="s">
        <x:v>118</x:v>
      </x:c>
      <x:c r="C54">
        <x:v>1055.7860000000001</x:v>
      </x:c>
      <x:c r="D54">
        <x:v>517.77300000000002</x:v>
      </x:c>
      <x:c r="E54">
        <x:v>2.0390000000000001</x:v>
      </x:c>
      <x:c r="F54" s="9">
        <x:v>4.1700000000000001E-2</x:v>
      </x:c>
    </x:row>
    <x:row r="55" spans="1:6" x14ac:dyDescent="0.25">
      <x:c r="A55" s="6">
        <x:f t="shared" si="1"/>
        <x:v>46</x:v>
      </x:c>
      <x:c r="B55" t="s">
        <x:v>119</x:v>
      </x:c>
      <x:c r="C55">
        <x:v>1866.7249999999999</x:v>
      </x:c>
      <x:c r="D55">
        <x:v>485.23099999999999</x:v>
      </x:c>
      <x:c r="E55">
        <x:v>3.847</x:v>
      </x:c>
      <x:c r="F55" s="9">
        <x:v>1E-4</x:v>
      </x:c>
    </x:row>
    <x:row r="56" spans="1:6" x14ac:dyDescent="0.25">
      <x:c r="A56" s="6">
        <x:f t="shared" si="1"/>
        <x:v>47</x:v>
      </x:c>
      <x:c r="B56" t="s">
        <x:v>120</x:v>
      </x:c>
      <x:c r="C56">
        <x:v>224.32900000000001</x:v>
      </x:c>
      <x:c r="D56">
        <x:v>266.38299999999998</x:v>
      </x:c>
      <x:c r="E56">
        <x:v>0.84199999999999997</x:v>
      </x:c>
      <x:c r="F56" s="9">
        <x:v>0.39989999999999998</x:v>
      </x:c>
    </x:row>
    <x:row r="57" spans="1:6" x14ac:dyDescent="0.25">
      <x:c r="A57" s="6">
        <x:f t="shared" si="1"/>
        <x:v>48</x:v>
      </x:c>
      <x:c r="B57" t="s">
        <x:v>121</x:v>
      </x:c>
      <x:c r="C57">
        <x:v>1561.09</x:v>
      </x:c>
      <x:c r="D57">
        <x:v>265.476</x:v>
      </x:c>
      <x:c r="E57">
        <x:v>5.88</x:v>
      </x:c>
      <x:c r="F57" s="9">
        <x:v>0</x:v>
      </x:c>
    </x:row>
    <x:row r="58" spans="1:6" x14ac:dyDescent="0.25">
      <x:c r="A58" s="6">
        <x:f t="shared" si="1"/>
        <x:v>49</x:v>
      </x:c>
      <x:c r="B58" t="s">
        <x:v>122</x:v>
      </x:c>
      <x:c r="C58">
        <x:v>2146.337</x:v>
      </x:c>
      <x:c r="D58">
        <x:v>465.64400000000001</x:v>
      </x:c>
      <x:c r="E58">
        <x:v>4.609</x:v>
      </x:c>
      <x:c r="F58" s="9">
        <x:v>0</x:v>
      </x:c>
    </x:row>
    <x:row r="59" spans="1:6" x14ac:dyDescent="0.25">
      <x:c r="A59" s="6">
        <x:f t="shared" si="1"/>
        <x:v>50</x:v>
      </x:c>
      <x:c r="B59" t="s">
        <x:v>123</x:v>
      </x:c>
      <x:c r="C59">
        <x:v>1685.7080000000001</x:v>
      </x:c>
      <x:c r="D59">
        <x:v>443.238</x:v>
      </x:c>
      <x:c r="E59">
        <x:v>3.8029999999999999</x:v>
      </x:c>
      <x:c r="F59" s="9">
        <x:v>2.0000000000000001E-4</x:v>
      </x:c>
    </x:row>
    <x:row r="60" spans="1:6" x14ac:dyDescent="0.25">
      <x:c r="A60" s="6">
        <x:f t="shared" si="1"/>
        <x:v>51</x:v>
      </x:c>
      <x:c r="B60" t="s">
        <x:v>124</x:v>
      </x:c>
      <x:c r="C60">
        <x:v>688.90700000000004</x:v>
      </x:c>
      <x:c r="D60">
        <x:v>430.51299999999998</x:v>
      </x:c>
      <x:c r="E60">
        <x:v>1.6</x:v>
      </x:c>
      <x:c r="F60" s="9">
        <x:v>0.1099</x:v>
      </x:c>
    </x:row>
    <x:row r="61" spans="1:6" x14ac:dyDescent="0.25">
      <x:c r="A61" s="6">
        <x:f t="shared" si="1"/>
        <x:v>52</x:v>
      </x:c>
      <x:c r="B61" t="s">
        <x:v>178</x:v>
      </x:c>
      <x:c r="C61">
        <x:v>-175.392</x:v>
      </x:c>
      <x:c r="D61">
        <x:v>324.38299999999998</x:v>
      </x:c>
      <x:c r="E61">
        <x:v>-0.54100000000000004</x:v>
      </x:c>
      <x:c r="F61" s="9">
        <x:v>0.58879999999999999</x:v>
      </x:c>
    </x:row>
    <x:row r="62" spans="1:6" x14ac:dyDescent="0.25">
      <x:c r="A62" s="6">
        <x:f>+A61+1</x:f>
        <x:v>53</x:v>
      </x:c>
      <x:c r="B62" t="s">
        <x:v>115</x:v>
      </x:c>
      <x:c r="C62">
        <x:v>-91401.09</x:v>
      </x:c>
      <x:c r="D62">
        <x:v>8110.1379999999999</x:v>
      </x:c>
      <x:c r="E62">
        <x:v>-11.27</x:v>
      </x:c>
      <x:c r="F62" s="9">
        <x:v>0</x:v>
      </x:c>
    </x:row>
    <x:row r="63" spans="1:6" x14ac:dyDescent="0.25">
      <x:c r="A63" s="6">
        <x:f>+A62+1</x:f>
        <x:v>54</x:v>
      </x:c>
      <x:c r="B63" t="s">
        <x:v>116</x:v>
      </x:c>
      <x:c r="C63">
        <x:v>-87526.657999999996</x:v>
      </x:c>
      <x:c r="D63">
        <x:v>6689.0370000000003</x:v>
      </x:c>
      <x:c r="E63">
        <x:v>-13.085000000000001</x:v>
      </x:c>
      <x:c r="F63" s="9">
        <x:v>0</x:v>
      </x:c>
    </x:row>
    <x:row r="64" spans="1:6" x14ac:dyDescent="0.25">
      <x:c r="A64" s="6">
        <x:f t="shared" ref="A64:A80" si="2">+A63+1</x:f>
        <x:v>55</x:v>
      </x:c>
      <x:c r="F64" s="9"/>
    </x:row>
    <x:row r="65" spans="1:6" x14ac:dyDescent="0.25">
      <x:c r="A65" s="6">
        <x:f t="shared" si="2"/>
        <x:v>56</x:v>
      </x:c>
      <x:c r="B65" s="4" t="s">
        <x:v>90</x:v>
      </x:c>
    </x:row>
    <x:row r="66" spans="1:6" x14ac:dyDescent="0.25">
      <x:c r="A66" s="6">
        <x:f t="shared" si="2"/>
        <x:v>57</x:v>
      </x:c>
      <x:c r="B66" t="s">
        <x:v>30</x:v>
      </x:c>
      <x:c r="C66" s="15">
        <x:v>1095</x:v>
      </x:c>
      <x:c r="F66" s="11"/>
    </x:row>
    <x:row r="67" spans="1:6" x14ac:dyDescent="0.25">
      <x:c r="A67" s="6">
        <x:f t="shared" si="2"/>
        <x:v>58</x:v>
      </x:c>
      <x:c r="B67" t="s">
        <x:v>10</x:v>
      </x:c>
      <x:c r="C67" s="15">
        <x:v>1048</x:v>
      </x:c>
      <x:c r="F67" s="9"/>
    </x:row>
    <x:row r="68" spans="1:6" x14ac:dyDescent="0.25">
      <x:c r="A68" s="6">
        <x:f t="shared" si="2"/>
        <x:v>59</x:v>
      </x:c>
      <x:c r="B68" t="s">
        <x:v>12</x:v>
      </x:c>
      <x:c r="C68" s="23">
        <x:v>0.98299999999999998</x:v>
      </x:c>
      <x:c r="F68" s="9"/>
    </x:row>
    <x:row r="69" spans="1:6" x14ac:dyDescent="0.25">
      <x:c r="A69" s="6">
        <x:f t="shared" si="2"/>
        <x:v>60</x:v>
      </x:c>
      <x:c r="B69" t="s">
        <x:v>13</x:v>
      </x:c>
      <x:c r="C69" s="21">
        <x:v>0.98199999999999998</x:v>
      </x:c>
      <x:c r="F69" s="9"/>
    </x:row>
    <x:row r="70" spans="1:6" x14ac:dyDescent="0.25">
      <x:c r="A70" s="6">
        <x:f t="shared" si="2"/>
        <x:v>61</x:v>
      </x:c>
      <x:c r="B70" t="s">
        <x:v>15</x:v>
      </x:c>
      <x:c r="C70" s="15">
        <x:v>1301.5999999999999</x:v>
      </x:c>
      <x:c r="F70" s="9"/>
    </x:row>
    <x:row r="71" spans="1:6" x14ac:dyDescent="0.25">
      <x:c r="A71" s="6">
        <x:f t="shared" si="2"/>
        <x:v>62</x:v>
      </x:c>
      <x:c r="B71" t="s">
        <x:v>16</x:v>
      </x:c>
      <x:c r="C71" s="22">
        <x:v>0</x:v>
      </x:c>
      <x:c r="F71" s="9"/>
    </x:row>
    <x:row r="72" spans="1:6" x14ac:dyDescent="0.25">
      <x:c r="A72" s="6">
        <x:f t="shared" si="2"/>
        <x:v>63</x:v>
      </x:c>
      <x:c r="B72" t="s">
        <x:v>17</x:v>
      </x:c>
      <x:c r="C72" s="15">
        <x:v>2306082814700.5298</x:v>
      </x:c>
    </x:row>
    <x:row r="73" spans="1:6" x14ac:dyDescent="0.25">
      <x:c r="A73" s="6">
        <x:f t="shared" si="2"/>
        <x:v>64</x:v>
      </x:c>
      <x:c r="B73" t="s">
        <x:v>18</x:v>
      </x:c>
      <x:c r="C73" s="15">
        <x:v>40364614096.050003</x:v>
      </x:c>
      <x:c r="F73" s="9"/>
    </x:row>
    <x:row r="74" spans="1:6" x14ac:dyDescent="0.25">
      <x:c r="A74" s="6">
        <x:f t="shared" si="2"/>
        <x:v>65</x:v>
      </x:c>
      <x:c r="B74" t="s">
        <x:v>19</x:v>
      </x:c>
      <x:c r="C74" s="15">
        <x:v>38515853.149999999</x:v>
      </x:c>
      <x:c r="F74" s="9"/>
    </x:row>
    <x:row r="75" spans="1:6" x14ac:dyDescent="0.25">
      <x:c r="A75" s="6">
        <x:f t="shared" si="2"/>
        <x:v>66</x:v>
      </x:c>
      <x:c r="B75" t="s">
        <x:v>20</x:v>
      </x:c>
      <x:c r="C75" s="25">
        <x:v>6206.11</x:v>
      </x:c>
      <x:c r="F75" s="9"/>
    </x:row>
    <x:row r="76" spans="1:6" x14ac:dyDescent="0.25">
      <x:c r="A76" s="6">
        <x:f t="shared" si="2"/>
        <x:v>67</x:v>
      </x:c>
      <x:c r="B76" t="s">
        <x:v>9</x:v>
      </x:c>
      <x:c r="C76" s="26">
        <x:v>4663.95</x:v>
      </x:c>
    </x:row>
    <x:row r="77" spans="1:6" x14ac:dyDescent="0.25">
      <x:c r="A77" s="6">
        <x:f t="shared" si="2"/>
        <x:v>68</x:v>
      </x:c>
      <x:c r="B77" t="s">
        <x:v>11</x:v>
      </x:c>
      <x:c r="C77" s="9">
        <x:v>4.0899999999999999E-2</x:v>
      </x:c>
    </x:row>
    <x:row r="78" spans="1:6" x14ac:dyDescent="0.25">
      <x:c r="A78" s="6">
        <x:f t="shared" si="2"/>
        <x:v>69</x:v>
      </x:c>
      <x:c r="B78" t="s">
        <x:v>14</x:v>
      </x:c>
      <x:c r="C78">
        <x:v>1.256</x:v>
      </x:c>
    </x:row>
    <x:row r="79" spans="1:6" x14ac:dyDescent="0.25">
      <x:c r="A79" s="6">
        <x:f t="shared" si="2"/>
        <x:v>70</x:v>
      </x:c>
      <x:c r="B79" t="s">
        <x:v>21</x:v>
      </x:c>
      <x:c r="C79">
        <x:v>254.58</x:v>
      </x:c>
    </x:row>
    <x:row r="80" spans="1:6" x14ac:dyDescent="0.25">
      <x:c r="A80" s="6">
        <x:f t="shared" si="2"/>
        <x:v>71</x:v>
      </x:c>
      <x:c r="B80" t="s">
        <x:v>22</x:v>
      </x:c>
      <x:c r="C80" s="18">
        <x:v>0</x:v>
      </x:c>
    </x:row>
  </x:sheetData>
  <x:mergeCells count="6">
    <x:mergeCell ref="B6:F6"/>
    <x:mergeCell ref="B8:F8"/>
    <x:mergeCell ref="B1:F1"/>
    <x:mergeCell ref="B2:F2"/>
    <x:mergeCell ref="B3:F3"/>
    <x:mergeCell ref="B4:F4"/>
  </x:mergeCells>
  <x:phoneticPr fontId="1" type="noConversion"/>
  <x:printOptions horizontalCentered="1"/>
  <x:pageMargins left="0.83" right="0.53" top="1.5" bottom="1" header="1" footer="0.5"/>
  <x:pageSetup scale="61" orientation="portrait" r:id="rId1"/>
  <x:headerFooter scaleWithDoc="0" alignWithMargins="0">
    <x:oddHeader>&amp;RWP/II-H-5.2/6
Page &amp;P of 20</x:oddHeader>
  </x:headerFooter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 codeName="Sheet10">
    <x:pageSetUpPr fitToPage="1"/>
  </x:sheetPr>
  <x:dimension ref="A1:J45"/>
  <x:sheetViews>
    <x:sheetView zoomScaleNormal="100" workbookViewId="0">
      <x:selection activeCell="G5" sqref="G5"/>
    </x:sheetView>
  </x:sheetViews>
  <x:sheetFormatPr defaultRowHeight="13.2" x14ac:dyDescent="0.25"/>
  <x:cols>
    <x:col min="1" max="1" width="12.21875" customWidth="1"/>
    <x:col min="2" max="2" width="26.88671875" bestFit="1" customWidth="1"/>
    <x:col min="3" max="3" width="12.5546875" customWidth="1"/>
    <x:col min="4" max="4" width="11.33203125" customWidth="1"/>
    <x:col min="5" max="5" width="12.77734375" customWidth="1"/>
    <x:col min="6" max="6" width="11" customWidth="1"/>
    <x:col min="7" max="7" width="10.88671875" customWidth="1"/>
    <x:col min="9" max="9" width="10.88671875" customWidth="1"/>
    <x:col min="10" max="10" width="12" customWidth="1"/>
  </x:cols>
  <x:sheetData>
    <x:row r="1" spans="1:10" s="1" customFormat="1" ht="15.6" x14ac:dyDescent="0.3">
      <x:c r="A1" s="6"/>
      <x:c r="B1" s="43" t="str">
        <x:f>+'RES Spline Model'!B1:F1</x:f>
        <x:v>2025 RATE CASE</x:v>
      </x:c>
      <x:c r="C1" s="44"/>
      <x:c r="D1" s="44"/>
      <x:c r="E1" s="44"/>
      <x:c r="F1" s="44"/>
      <x:c r="G1" s="44"/>
      <x:c r="H1" s="44"/>
      <x:c r="I1" s="44"/>
      <x:c r="J1" s="38"/>
    </x:row>
    <x:row r="2" spans="1:10" s="1" customFormat="1" ht="15.6" x14ac:dyDescent="0.3">
      <x:c r="A2" s="6"/>
      <x:c r="B2" s="43" t="str">
        <x:f>+'RES Spline Model'!B2:F2</x:f>
        <x:v>ONCOR ELECTRIC DELIVERY COMPANY LLC</x:v>
      </x:c>
      <x:c r="C2" s="44"/>
      <x:c r="D2" s="44"/>
      <x:c r="E2" s="44"/>
      <x:c r="F2" s="44"/>
      <x:c r="G2" s="44"/>
      <x:c r="H2" s="44"/>
      <x:c r="I2" s="44"/>
      <x:c r="J2" s="38"/>
    </x:row>
    <x:row r="3" spans="1:10" s="1" customFormat="1" ht="15.6" x14ac:dyDescent="0.3">
      <x:c r="A3" s="6"/>
      <x:c r="B3" s="43" t="str">
        <x:f>+'RES Spline Model'!B3:F3</x:f>
        <x:v>ADJUSTED WEATHER STATION DATA</x:v>
      </x:c>
      <x:c r="C3" s="44"/>
      <x:c r="D3" s="44"/>
      <x:c r="E3" s="44"/>
      <x:c r="F3" s="44"/>
      <x:c r="G3" s="44"/>
      <x:c r="H3" s="44"/>
      <x:c r="I3" s="44"/>
      <x:c r="J3" s="38"/>
    </x:row>
    <x:row r="4" spans="1:10" s="1" customFormat="1" ht="15.6" x14ac:dyDescent="0.3">
      <x:c r="A4" s="6"/>
      <x:c r="B4" s="43" t="str">
        <x:f>+'RES Spline Model'!B4:F4</x:f>
        <x:v>FOR THE TEST YEAR ENDING DECEMBER 31, 2024</x:v>
      </x:c>
      <x:c r="C4" s="44"/>
      <x:c r="D4" s="44"/>
      <x:c r="E4" s="44"/>
      <x:c r="F4" s="44"/>
      <x:c r="G4" s="44"/>
      <x:c r="H4" s="44"/>
      <x:c r="I4" s="44"/>
      <x:c r="J4" s="38"/>
    </x:row>
    <x:row r="5" spans="1:10" s="1" customFormat="1" ht="15.6" x14ac:dyDescent="0.3">
      <x:c r="A5" s="6"/>
      <x:c r="B5" s="37"/>
      <x:c r="C5" s="40"/>
      <x:c r="D5" s="40"/>
      <x:c r="E5" s="40"/>
      <x:c r="F5" s="40"/>
      <x:c r="G5" s="40"/>
      <x:c r="H5" s="40"/>
      <x:c r="I5" s="40"/>
      <x:c r="J5" s="40"/>
    </x:row>
    <x:row r="6" spans="1:10" s="1" customFormat="1" ht="15.6" x14ac:dyDescent="0.3">
      <x:c r="A6" s="6"/>
      <x:c r="B6" s="43" t="str">
        <x:f>+'RES Spline Model'!B6:F6</x:f>
        <x:v>SPONSOR: D. E. NELSON</x:v>
      </x:c>
      <x:c r="C6" s="44"/>
      <x:c r="D6" s="44"/>
      <x:c r="E6" s="44"/>
      <x:c r="F6" s="44"/>
      <x:c r="G6" s="44"/>
      <x:c r="H6" s="44"/>
      <x:c r="I6" s="44"/>
      <x:c r="J6" s="38"/>
    </x:row>
    <x:row r="8" spans="1:10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10" s="1" customFormat="1" ht="11.4" x14ac:dyDescent="0.2">
      <x:c r="A9" s="7" t="s">
        <x:v>24</x:v>
      </x:c>
      <x:c r="B9" s="8"/>
      <x:c r="C9" s="8"/>
      <x:c r="D9" s="8"/>
      <x:c r="E9" s="8"/>
      <x:c r="F9" s="8"/>
    </x:row>
    <x:row r="10" spans="1:10" s="1" customFormat="1" x14ac:dyDescent="0.25">
      <x:c r="A10" s="6">
        <x:v>1</x:v>
      </x:c>
      <x:c r="B10" s="42" t="s">
        <x:v>58</x:v>
      </x:c>
      <x:c r="C10" s="44"/>
      <x:c r="D10" s="44"/>
      <x:c r="E10" s="44"/>
      <x:c r="F10" s="44"/>
      <x:c r="G10" s="44"/>
      <x:c r="H10" s="44"/>
      <x:c r="I10" s="44"/>
    </x:row>
    <x:row r="11" spans="1:10" s="1" customFormat="1" x14ac:dyDescent="0.25">
      <x:c r="A11" s="6">
        <x:f t="shared" ref="A11:A37" si="0">+A10+1</x:f>
        <x:v>2</x:v>
      </x:c>
      <x:c r="B11" s="42" t="s">
        <x:v>53</x:v>
      </x:c>
      <x:c r="C11" s="44"/>
      <x:c r="D11" s="44"/>
      <x:c r="E11" s="44"/>
      <x:c r="F11" s="44"/>
      <x:c r="G11" s="44"/>
      <x:c r="H11" s="44"/>
      <x:c r="I11" s="44"/>
    </x:row>
    <x:row r="12" spans="1:10" s="1" customFormat="1" ht="12" x14ac:dyDescent="0.25">
      <x:c r="A12" s="6">
        <x:f t="shared" si="0"/>
        <x:v>3</x:v>
      </x:c>
      <x:c r="B12" s="3"/>
      <x:c r="C12" s="10"/>
    </x:row>
    <x:row r="13" spans="1:10" s="1" customFormat="1" ht="12" x14ac:dyDescent="0.25">
      <x:c r="A13" s="6">
        <x:f t="shared" si="0"/>
        <x:v>4</x:v>
      </x:c>
      <x:c r="B13" s="3"/>
      <x:c r="C13" s="10"/>
    </x:row>
    <x:row r="14" spans="1:10" s="1" customFormat="1" ht="11.4" x14ac:dyDescent="0.2">
      <x:c r="A14" s="6">
        <x:f t="shared" si="0"/>
        <x:v>5</x:v>
      </x:c>
    </x:row>
    <x:row r="15" spans="1:10" s="1" customFormat="1" ht="11.4" x14ac:dyDescent="0.2">
      <x:c r="A15" s="6">
        <x:f t="shared" si="0"/>
        <x:v>6</x:v>
      </x:c>
      <x:c r="B15" s="12"/>
      <x:c r="C15" s="12"/>
      <x:c r="D15" s="12"/>
      <x:c r="E15" s="12"/>
      <x:c r="F15" s="12"/>
    </x:row>
    <x:row r="16" spans="1:10" x14ac:dyDescent="0.25">
      <x:c r="A16" s="6">
        <x:f t="shared" si="0"/>
        <x:v>7</x:v>
      </x:c>
      <x:c r="F16" s="9"/>
    </x:row>
    <x:row r="17" spans="1:6" x14ac:dyDescent="0.25">
      <x:c r="A17" s="6">
        <x:f t="shared" si="0"/>
        <x:v>8</x:v>
      </x:c>
      <x:c r="F17" s="9"/>
    </x:row>
    <x:row r="18" spans="1:6" x14ac:dyDescent="0.25">
      <x:c r="A18" s="6">
        <x:f t="shared" si="0"/>
        <x:v>9</x:v>
      </x:c>
      <x:c r="F18" s="9"/>
    </x:row>
    <x:row r="19" spans="1:6" x14ac:dyDescent="0.25">
      <x:c r="A19" s="6">
        <x:f t="shared" si="0"/>
        <x:v>10</x:v>
      </x:c>
      <x:c r="F19" s="9"/>
    </x:row>
    <x:row r="20" spans="1:6" x14ac:dyDescent="0.25">
      <x:c r="A20" s="6">
        <x:f t="shared" si="0"/>
        <x:v>11</x:v>
      </x:c>
      <x:c r="F20" s="9"/>
    </x:row>
    <x:row r="21" spans="1:6" x14ac:dyDescent="0.25">
      <x:c r="A21" s="6">
        <x:f t="shared" si="0"/>
        <x:v>12</x:v>
      </x:c>
      <x:c r="F21" s="9"/>
    </x:row>
    <x:row r="22" spans="1:6" x14ac:dyDescent="0.25">
      <x:c r="A22" s="6">
        <x:f t="shared" si="0"/>
        <x:v>13</x:v>
      </x:c>
      <x:c r="F22" s="9"/>
    </x:row>
    <x:row r="23" spans="1:6" x14ac:dyDescent="0.25">
      <x:c r="A23" s="6">
        <x:f t="shared" si="0"/>
        <x:v>14</x:v>
      </x:c>
      <x:c r="F23" s="9"/>
    </x:row>
    <x:row r="24" spans="1:6" x14ac:dyDescent="0.25">
      <x:c r="A24" s="6">
        <x:f t="shared" si="0"/>
        <x:v>15</x:v>
      </x:c>
      <x:c r="F24" s="9"/>
    </x:row>
    <x:row r="25" spans="1:6" x14ac:dyDescent="0.25">
      <x:c r="A25" s="6">
        <x:f t="shared" si="0"/>
        <x:v>16</x:v>
      </x:c>
      <x:c r="F25" s="9"/>
    </x:row>
    <x:row r="26" spans="1:6" x14ac:dyDescent="0.25">
      <x:c r="A26" s="6">
        <x:f t="shared" si="0"/>
        <x:v>17</x:v>
      </x:c>
      <x:c r="F26" s="9"/>
    </x:row>
    <x:row r="27" spans="1:6" x14ac:dyDescent="0.25">
      <x:c r="A27" s="6">
        <x:f t="shared" si="0"/>
        <x:v>18</x:v>
      </x:c>
      <x:c r="F27" s="9"/>
    </x:row>
    <x:row r="28" spans="1:6" x14ac:dyDescent="0.25">
      <x:c r="A28" s="6">
        <x:f t="shared" si="0"/>
        <x:v>19</x:v>
      </x:c>
      <x:c r="F28" s="9"/>
    </x:row>
    <x:row r="29" spans="1:6" x14ac:dyDescent="0.25">
      <x:c r="A29" s="6">
        <x:f t="shared" si="0"/>
        <x:v>20</x:v>
      </x:c>
      <x:c r="F29" s="9"/>
    </x:row>
    <x:row r="30" spans="1:6" x14ac:dyDescent="0.25">
      <x:c r="A30" s="6">
        <x:f t="shared" si="0"/>
        <x:v>21</x:v>
      </x:c>
      <x:c r="F30" s="9"/>
    </x:row>
    <x:row r="31" spans="1:6" x14ac:dyDescent="0.25">
      <x:c r="A31" s="6">
        <x:f t="shared" si="0"/>
        <x:v>22</x:v>
      </x:c>
      <x:c r="F31" s="9"/>
    </x:row>
    <x:row r="32" spans="1:6" x14ac:dyDescent="0.25">
      <x:c r="A32" s="6">
        <x:f t="shared" si="0"/>
        <x:v>23</x:v>
      </x:c>
      <x:c r="F32" s="9"/>
    </x:row>
    <x:row r="33" spans="1:7" x14ac:dyDescent="0.25">
      <x:c r="A33" s="6">
        <x:f t="shared" si="0"/>
        <x:v>24</x:v>
      </x:c>
      <x:c r="F33" s="11"/>
    </x:row>
    <x:row r="34" spans="1:7" x14ac:dyDescent="0.25">
      <x:c r="A34" s="6">
        <x:f t="shared" si="0"/>
        <x:v>25</x:v>
      </x:c>
      <x:c r="F34" s="2"/>
    </x:row>
    <x:row r="35" spans="1:7" x14ac:dyDescent="0.25">
      <x:c r="A35" s="6">
        <x:f t="shared" si="0"/>
        <x:v>26</x:v>
      </x:c>
      <x:c r="F35" s="11"/>
    </x:row>
    <x:row r="36" spans="1:7" x14ac:dyDescent="0.25">
      <x:c r="A36" s="6">
        <x:f t="shared" si="0"/>
        <x:v>27</x:v>
      </x:c>
      <x:c r="F36" s="2"/>
    </x:row>
    <x:row r="37" spans="1:7" x14ac:dyDescent="0.25">
      <x:c r="A37" s="6">
        <x:f t="shared" si="0"/>
        <x:v>28</x:v>
      </x:c>
      <x:c r="F37" s="2"/>
    </x:row>
    <x:row r="38" spans="1:7" x14ac:dyDescent="0.25">
      <x:c r="A38" s="6"/>
      <x:c r="F38" s="2"/>
    </x:row>
    <x:row r="39" spans="1:7" x14ac:dyDescent="0.25">
      <x:c r="A39" s="6"/>
      <x:c r="F39" s="2"/>
    </x:row>
    <x:row r="40" spans="1:7" x14ac:dyDescent="0.25">
      <x:c r="A40" s="6"/>
      <x:c r="F40" s="2"/>
    </x:row>
    <x:row r="41" spans="1:7" x14ac:dyDescent="0.25">
      <x:c r="A41" s="6"/>
    </x:row>
    <x:row r="42" spans="1:7" x14ac:dyDescent="0.25">
      <x:c r="A42" s="6"/>
    </x:row>
    <x:row r="43" spans="1:7" x14ac:dyDescent="0.25">
      <x:c r="A43" s="6"/>
      <x:c r="C43" s="9"/>
      <x:c r="G43" s="9"/>
    </x:row>
    <x:row r="44" spans="1:7" x14ac:dyDescent="0.25">
      <x:c r="A44" s="6"/>
    </x:row>
    <x:row r="45" spans="1:7" x14ac:dyDescent="0.25">
      <x:c r="A45" s="6"/>
    </x:row>
  </x:sheetData>
  <x:mergeCells count="8">
    <x:mergeCell ref="B10:I10"/>
    <x:mergeCell ref="B11:I11"/>
    <x:mergeCell ref="B8:F8"/>
    <x:mergeCell ref="B1:I1"/>
    <x:mergeCell ref="B2:I2"/>
    <x:mergeCell ref="B3:I3"/>
    <x:mergeCell ref="B4:I4"/>
    <x:mergeCell ref="B6:I6"/>
  </x:mergeCells>
  <x:phoneticPr fontId="1" type="noConversion"/>
  <x:printOptions horizontalCentered="1"/>
  <x:pageMargins left="0.83" right="0.53" top="1.5" bottom="1" header="1" footer="0.5"/>
  <x:pageSetup scale="71" firstPageNumber="7" orientation="portrait" r:id="rId1"/>
  <x:headerFooter scaleWithDoc="0" alignWithMargins="0">
    <x:oddHeader>&amp;RWP/II-H-5.2/6
Page &amp;P of 20</x:oddHeader>
  </x:headerFooter>
  <x:drawing r:id="rId2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 codeName="Sheet11">
    <x:pageSetUpPr fitToPage="1"/>
  </x:sheetPr>
  <x:dimension ref="A1:F83"/>
  <x:sheetViews>
    <x:sheetView zoomScaleNormal="100" workbookViewId="0">
      <x:selection activeCell="G5" sqref="G5"/>
    </x:sheetView>
  </x:sheetViews>
  <x:sheetFormatPr defaultRowHeight="13.2" x14ac:dyDescent="0.25"/>
  <x:cols>
    <x:col min="2" max="2" width="28.44140625" customWidth="1"/>
    <x:col min="3" max="3" width="18.88671875" customWidth="1"/>
    <x:col min="4" max="4" width="12.33203125" customWidth="1"/>
    <x:col min="5" max="5" width="12.109375" customWidth="1"/>
    <x:col min="6" max="6" width="14" customWidth="1"/>
  </x:cols>
  <x:sheetData>
    <x:row r="1" spans="1:6" s="1" customFormat="1" ht="15.6" x14ac:dyDescent="0.3">
      <x:c r="A1" s="6"/>
      <x:c r="B1" s="43" t="str">
        <x:f>+'RES Spline Model'!B1:F1</x:f>
        <x:v>2025 RATE CASE</x:v>
      </x:c>
      <x:c r="C1" s="43"/>
      <x:c r="D1" s="43"/>
      <x:c r="E1" s="43"/>
      <x:c r="F1" s="43"/>
    </x:row>
    <x:row r="2" spans="1:6" s="1" customFormat="1" ht="15.6" x14ac:dyDescent="0.3">
      <x:c r="A2" s="6"/>
      <x:c r="B2" s="43" t="str">
        <x:f>+'RES Spline Model'!B2:F2</x:f>
        <x:v>ONCOR ELECTRIC DELIVERY COMPANY LLC</x:v>
      </x:c>
      <x:c r="C2" s="43"/>
      <x:c r="D2" s="43"/>
      <x:c r="E2" s="43"/>
      <x:c r="F2" s="43"/>
    </x:row>
    <x:row r="3" spans="1:6" s="1" customFormat="1" ht="15.6" x14ac:dyDescent="0.3">
      <x:c r="A3" s="6"/>
      <x:c r="B3" s="43" t="str">
        <x:f>+'RES Spline Model'!B3:F3</x:f>
        <x:v>ADJUSTED WEATHER STATION DATA</x:v>
      </x:c>
      <x:c r="C3" s="43"/>
      <x:c r="D3" s="43"/>
      <x:c r="E3" s="43"/>
      <x:c r="F3" s="43"/>
    </x:row>
    <x:row r="4" spans="1:6" s="1" customFormat="1" ht="15.6" x14ac:dyDescent="0.3">
      <x:c r="A4" s="6"/>
      <x:c r="B4" s="43" t="str">
        <x:f>+'RES Spline Model'!B4:F4</x:f>
        <x:v>FOR THE TEST YEAR ENDING DECEMBER 31, 2024</x:v>
      </x:c>
      <x:c r="C4" s="43"/>
      <x:c r="D4" s="43"/>
      <x:c r="E4" s="43"/>
      <x:c r="F4" s="43"/>
    </x:row>
    <x:row r="5" spans="1:6" s="1" customFormat="1" ht="11.4" x14ac:dyDescent="0.2">
      <x:c r="A5" s="6"/>
    </x:row>
    <x:row r="6" spans="1:6" s="1" customFormat="1" ht="15.6" x14ac:dyDescent="0.3">
      <x:c r="A6" s="6"/>
      <x:c r="B6" s="43" t="str">
        <x:f>+'RES Spline Model'!B6:F6</x:f>
        <x:v>SPONSOR: D. E. NELSON</x:v>
      </x:c>
      <x:c r="C6" s="43"/>
      <x:c r="D6" s="43"/>
      <x:c r="E6" s="43"/>
      <x:c r="F6" s="43"/>
    </x:row>
    <x:row r="8" spans="1:6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6" s="1" customFormat="1" ht="11.4" x14ac:dyDescent="0.2">
      <x:c r="A9" s="7" t="s">
        <x:v>24</x:v>
      </x:c>
      <x:c r="B9" s="8" t="s">
        <x:v>25</x:v>
      </x:c>
      <x:c r="C9" s="8" t="s">
        <x:v>26</x:v>
      </x:c>
      <x:c r="D9" s="8" t="s">
        <x:v>29</x:v>
      </x:c>
      <x:c r="E9" s="8" t="s">
        <x:v>27</x:v>
      </x:c>
      <x:c r="F9" s="8" t="s">
        <x:v>28</x:v>
      </x:c>
    </x:row>
    <x:row r="10" spans="1:6" s="1" customFormat="1" ht="12" x14ac:dyDescent="0.25">
      <x:c r="A10" s="6">
        <x:v>1</x:v>
      </x:c>
      <x:c r="B10" s="3" t="s">
        <x:v>5</x:v>
      </x:c>
      <x:c r="C10" s="3" t="s">
        <x:v>59</x:v>
      </x:c>
    </x:row>
    <x:row r="11" spans="1:6" s="1" customFormat="1" ht="12" x14ac:dyDescent="0.25">
      <x:c r="A11" s="6">
        <x:f t="shared" ref="A11:A42" si="0">+A10+1</x:f>
        <x:v>2</x:v>
      </x:c>
      <x:c r="B11" s="3" t="s">
        <x:v>53</x:v>
      </x:c>
      <x:c r="C11" s="3"/>
    </x:row>
    <x:row r="12" spans="1:6" s="1" customFormat="1" ht="12" x14ac:dyDescent="0.25">
      <x:c r="A12" s="6">
        <x:f t="shared" si="0"/>
        <x:v>3</x:v>
      </x:c>
      <x:c r="B12" s="3" t="s">
        <x:v>6</x:v>
      </x:c>
      <x:c r="C12" s="3" t="s">
        <x:v>78</x:v>
      </x:c>
    </x:row>
    <x:row r="13" spans="1:6" s="1" customFormat="1" ht="12" x14ac:dyDescent="0.25">
      <x:c r="A13" s="6">
        <x:f t="shared" si="0"/>
        <x:v>4</x:v>
      </x:c>
      <x:c r="B13" s="3" t="s">
        <x:v>7</x:v>
      </x:c>
      <x:c r="C13" s="16">
        <x:f>+'RES Spline Model'!C13</x:f>
        <x:v>44197</x:v>
      </x:c>
    </x:row>
    <x:row r="14" spans="1:6" s="1" customFormat="1" ht="12" x14ac:dyDescent="0.25">
      <x:c r="A14" s="6">
        <x:f t="shared" si="0"/>
        <x:v>5</x:v>
      </x:c>
      <x:c r="B14" s="3" t="s">
        <x:v>8</x:v>
      </x:c>
      <x:c r="C14" s="16">
        <x:f>+'RES Spline Model'!C14</x:f>
        <x:v>45291</x:v>
      </x:c>
    </x:row>
    <x:row r="15" spans="1:6" s="1" customFormat="1" ht="11.4" x14ac:dyDescent="0.2">
      <x:c r="A15" s="6">
        <x:f t="shared" si="0"/>
        <x:v>6</x:v>
      </x:c>
    </x:row>
    <x:row r="16" spans="1:6" s="1" customFormat="1" ht="11.4" x14ac:dyDescent="0.2">
      <x:c r="A16" s="6">
        <x:f t="shared" si="0"/>
        <x:v>7</x:v>
      </x:c>
      <x:c r="B16" s="5" t="s">
        <x:v>0</x:v>
      </x:c>
      <x:c r="C16" s="5" t="s">
        <x:v>1</x:v>
      </x:c>
      <x:c r="D16" s="5" t="s">
        <x:v>2</x:v>
      </x:c>
      <x:c r="E16" s="5" t="s">
        <x:v>3</x:v>
      </x:c>
      <x:c r="F16" s="5" t="s">
        <x:v>4</x:v>
      </x:c>
    </x:row>
    <x:row r="17" spans="1:6" x14ac:dyDescent="0.25">
      <x:c r="A17" s="6">
        <x:f t="shared" si="0"/>
        <x:v>8</x:v>
      </x:c>
      <x:c r="B17" t="s">
        <x:v>37</x:v>
      </x:c>
      <x:c r="C17">
        <x:v>5134.2330000000002</x:v>
      </x:c>
      <x:c r="D17">
        <x:v>57.343000000000004</x:v>
      </x:c>
      <x:c r="E17">
        <x:v>89.534999999999997</x:v>
      </x:c>
      <x:c r="F17" s="9">
        <x:v>0</x:v>
      </x:c>
    </x:row>
    <x:row r="18" spans="1:6" x14ac:dyDescent="0.25">
      <x:c r="A18" s="6">
        <x:f t="shared" si="0"/>
        <x:v>9</x:v>
      </x:c>
      <x:c r="B18" t="s">
        <x:v>99</x:v>
      </x:c>
      <x:c r="C18">
        <x:v>-70.664000000000001</x:v>
      </x:c>
      <x:c r="D18">
        <x:v>34.869999999999997</x:v>
      </x:c>
      <x:c r="E18">
        <x:v>-2.0259999999999998</x:v>
      </x:c>
      <x:c r="F18" s="9">
        <x:v>4.2999999999999997E-2</x:v>
      </x:c>
    </x:row>
    <x:row r="19" spans="1:6" x14ac:dyDescent="0.25">
      <x:c r="A19" s="6">
        <x:f t="shared" si="0"/>
        <x:v>10</x:v>
      </x:c>
      <x:c r="B19" t="s">
        <x:v>100</x:v>
      </x:c>
      <x:c r="C19">
        <x:v>468.91300000000001</x:v>
      </x:c>
      <x:c r="D19">
        <x:v>23.725000000000001</x:v>
      </x:c>
      <x:c r="E19">
        <x:v>19.765000000000001</x:v>
      </x:c>
      <x:c r="F19" s="9">
        <x:v>0</x:v>
      </x:c>
    </x:row>
    <x:row r="20" spans="1:6" x14ac:dyDescent="0.25">
      <x:c r="A20" s="6">
        <x:f t="shared" si="0"/>
        <x:v>11</x:v>
      </x:c>
      <x:c r="B20" t="s">
        <x:v>101</x:v>
      </x:c>
      <x:c r="C20">
        <x:v>502.38799999999998</x:v>
      </x:c>
      <x:c r="D20">
        <x:v>23.276</x:v>
      </x:c>
      <x:c r="E20">
        <x:v>21.584</x:v>
      </x:c>
      <x:c r="F20" s="9">
        <x:v>0</x:v>
      </x:c>
    </x:row>
    <x:row r="21" spans="1:6" x14ac:dyDescent="0.25">
      <x:c r="A21" s="6">
        <x:f t="shared" si="0"/>
        <x:v>12</x:v>
      </x:c>
      <x:c r="B21" t="s">
        <x:v>102</x:v>
      </x:c>
      <x:c r="C21">
        <x:v>517.77499999999998</x:v>
      </x:c>
      <x:c r="D21">
        <x:v>23.225999999999999</x:v>
      </x:c>
      <x:c r="E21">
        <x:v>22.292999999999999</x:v>
      </x:c>
      <x:c r="F21" s="9">
        <x:v>0</x:v>
      </x:c>
    </x:row>
    <x:row r="22" spans="1:6" x14ac:dyDescent="0.25">
      <x:c r="A22" s="6">
        <x:f t="shared" si="0"/>
        <x:v>13</x:v>
      </x:c>
      <x:c r="B22" t="s">
        <x:v>103</x:v>
      </x:c>
      <x:c r="C22">
        <x:v>517.37400000000002</x:v>
      </x:c>
      <x:c r="D22">
        <x:v>23.347000000000001</x:v>
      </x:c>
      <x:c r="E22">
        <x:v>22.16</x:v>
      </x:c>
      <x:c r="F22" s="9">
        <x:v>0</x:v>
      </x:c>
    </x:row>
    <x:row r="23" spans="1:6" x14ac:dyDescent="0.25">
      <x:c r="A23" s="6">
        <x:f t="shared" si="0"/>
        <x:v>14</x:v>
      </x:c>
      <x:c r="B23" t="s">
        <x:v>104</x:v>
      </x:c>
      <x:c r="C23">
        <x:v>481.92899999999997</x:v>
      </x:c>
      <x:c r="D23">
        <x:v>23.38</x:v>
      </x:c>
      <x:c r="E23">
        <x:v>20.613</x:v>
      </x:c>
      <x:c r="F23" s="9">
        <x:v>0</x:v>
      </x:c>
    </x:row>
    <x:row r="24" spans="1:6" x14ac:dyDescent="0.25">
      <x:c r="A24" s="6">
        <x:f t="shared" si="0"/>
        <x:v>15</x:v>
      </x:c>
      <x:c r="B24" t="s">
        <x:v>105</x:v>
      </x:c>
      <x:c r="C24">
        <x:v>201.81</x:v>
      </x:c>
      <x:c r="D24">
        <x:v>23.004000000000001</x:v>
      </x:c>
      <x:c r="E24">
        <x:v>8.7729999999999997</x:v>
      </x:c>
      <x:c r="F24" s="9">
        <x:v>0</x:v>
      </x:c>
    </x:row>
    <x:row r="25" spans="1:6" x14ac:dyDescent="0.25">
      <x:c r="A25" s="6">
        <x:f t="shared" si="0"/>
        <x:v>16</x:v>
      </x:c>
      <x:c r="B25" t="s">
        <x:v>158</x:v>
      </x:c>
      <x:c r="C25">
        <x:v>-32.947000000000003</x:v>
      </x:c>
      <x:c r="D25">
        <x:v>121.056</x:v>
      </x:c>
      <x:c r="E25">
        <x:v>-0.27200000000000002</x:v>
      </x:c>
      <x:c r="F25" s="9">
        <x:v>0.78559999999999997</x:v>
      </x:c>
    </x:row>
    <x:row r="26" spans="1:6" x14ac:dyDescent="0.25">
      <x:c r="A26" s="6">
        <x:f t="shared" si="0"/>
        <x:v>17</x:v>
      </x:c>
      <x:c r="B26" t="s">
        <x:v>106</x:v>
      </x:c>
      <x:c r="C26">
        <x:v>-185.19300000000001</x:v>
      </x:c>
      <x:c r="D26">
        <x:v>148.416</x:v>
      </x:c>
      <x:c r="E26">
        <x:v>-1.248</x:v>
      </x:c>
      <x:c r="F26" s="9">
        <x:v>0.21240000000000001</x:v>
      </x:c>
    </x:row>
    <x:row r="27" spans="1:6" x14ac:dyDescent="0.25">
      <x:c r="A27" s="6">
        <x:f t="shared" si="0"/>
        <x:v>18</x:v>
      </x:c>
      <x:c r="B27" t="s">
        <x:v>141</x:v>
      </x:c>
      <x:c r="C27">
        <x:v>-63.783000000000001</x:v>
      </x:c>
      <x:c r="D27">
        <x:v>121.378</x:v>
      </x:c>
      <x:c r="E27">
        <x:v>-0.52500000000000002</x:v>
      </x:c>
      <x:c r="F27" s="9">
        <x:v>0.59940000000000004</x:v>
      </x:c>
    </x:row>
    <x:row r="28" spans="1:6" x14ac:dyDescent="0.25">
      <x:c r="A28" s="6">
        <x:f t="shared" si="0"/>
        <x:v>19</x:v>
      </x:c>
      <x:c r="B28" t="s">
        <x:v>107</x:v>
      </x:c>
      <x:c r="C28">
        <x:v>-405.82799999999997</x:v>
      </x:c>
      <x:c r="D28">
        <x:v>120.548</x:v>
      </x:c>
      <x:c r="E28">
        <x:v>-3.367</x:v>
      </x:c>
      <x:c r="F28" s="9">
        <x:v>8.0000000000000004E-4</x:v>
      </x:c>
    </x:row>
    <x:row r="29" spans="1:6" x14ac:dyDescent="0.25">
      <x:c r="A29" s="6">
        <x:f t="shared" si="0"/>
        <x:v>20</x:v>
      </x:c>
      <x:c r="B29" t="s">
        <x:v>142</x:v>
      </x:c>
      <x:c r="C29">
        <x:v>-545.98</x:v>
      </x:c>
      <x:c r="D29">
        <x:v>120.139</x:v>
      </x:c>
      <x:c r="E29">
        <x:v>-4.5449999999999999</x:v>
      </x:c>
      <x:c r="F29" s="9">
        <x:v>0</x:v>
      </x:c>
    </x:row>
    <x:row r="30" spans="1:6" x14ac:dyDescent="0.25">
      <x:c r="A30" s="6">
        <x:f t="shared" si="0"/>
        <x:v>21</x:v>
      </x:c>
      <x:c r="B30" t="s">
        <x:v>108</x:v>
      </x:c>
      <x:c r="C30">
        <x:v>-455.26299999999998</x:v>
      </x:c>
      <x:c r="D30">
        <x:v>120.85</x:v>
      </x:c>
      <x:c r="E30">
        <x:v>-3.7669999999999999</x:v>
      </x:c>
      <x:c r="F30" s="9">
        <x:v>2.0000000000000001E-4</x:v>
      </x:c>
    </x:row>
    <x:row r="31" spans="1:6" x14ac:dyDescent="0.25">
      <x:c r="A31" s="6">
        <x:f t="shared" si="0"/>
        <x:v>22</x:v>
      </x:c>
      <x:c r="B31" t="s">
        <x:v>109</x:v>
      </x:c>
      <x:c r="C31">
        <x:v>-433.27</x:v>
      </x:c>
      <x:c r="D31">
        <x:v>121.51</x:v>
      </x:c>
      <x:c r="E31">
        <x:v>-3.5659999999999998</x:v>
      </x:c>
      <x:c r="F31" s="9">
        <x:v>4.0000000000000002E-4</x:v>
      </x:c>
    </x:row>
    <x:row r="32" spans="1:6" x14ac:dyDescent="0.25">
      <x:c r="A32" s="6">
        <x:f t="shared" si="0"/>
        <x:v>23</x:v>
      </x:c>
      <x:c r="B32" t="s">
        <x:v>110</x:v>
      </x:c>
      <x:c r="C32">
        <x:v>-290.48500000000001</x:v>
      </x:c>
      <x:c r="D32">
        <x:v>121.41500000000001</x:v>
      </x:c>
      <x:c r="E32">
        <x:v>-2.3929999999999998</x:v>
      </x:c>
      <x:c r="F32" s="9">
        <x:v>1.6899999999999998E-2</x:v>
      </x:c>
    </x:row>
    <x:row r="33" spans="1:6" x14ac:dyDescent="0.25">
      <x:c r="A33" s="6">
        <x:f t="shared" si="0"/>
        <x:v>24</x:v>
      </x:c>
      <x:c r="B33" t="s">
        <x:v>159</x:v>
      </x:c>
      <x:c r="C33">
        <x:v>182.23400000000001</x:v>
      </x:c>
      <x:c r="D33">
        <x:v>141.48400000000001</x:v>
      </x:c>
      <x:c r="E33">
        <x:v>1.288</x:v>
      </x:c>
      <x:c r="F33" s="9">
        <x:v>0.19800000000000001</x:v>
      </x:c>
    </x:row>
    <x:row r="34" spans="1:6" x14ac:dyDescent="0.25">
      <x:c r="A34" s="6">
        <x:f t="shared" si="0"/>
        <x:v>25</x:v>
      </x:c>
      <x:c r="B34" t="s">
        <x:v>143</x:v>
      </x:c>
      <x:c r="C34">
        <x:v>-319.15699999999998</x:v>
      </x:c>
      <x:c r="D34">
        <x:v>130.739</x:v>
      </x:c>
      <x:c r="E34">
        <x:v>-2.4409999999999998</x:v>
      </x:c>
      <x:c r="F34" s="9">
        <x:v>1.4800000000000001E-2</x:v>
      </x:c>
    </x:row>
    <x:row r="35" spans="1:6" x14ac:dyDescent="0.25">
      <x:c r="A35" s="6">
        <x:f t="shared" si="0"/>
        <x:v>26</x:v>
      </x:c>
      <x:c r="B35" t="s">
        <x:v>111</x:v>
      </x:c>
      <x:c r="C35">
        <x:v>-57.817</x:v>
      </x:c>
      <x:c r="D35">
        <x:v>132.93799999999999</x:v>
      </x:c>
      <x:c r="E35">
        <x:v>-0.435</x:v>
      </x:c>
      <x:c r="F35" s="14">
        <x:v>0.66369999999999996</x:v>
      </x:c>
    </x:row>
    <x:row r="36" spans="1:6" x14ac:dyDescent="0.25">
      <x:c r="A36" s="6">
        <x:f t="shared" si="0"/>
        <x:v>27</x:v>
      </x:c>
      <x:c r="B36" t="s">
        <x:v>168</x:v>
      </x:c>
      <x:c r="C36">
        <x:v>66.215999999999994</x:v>
      </x:c>
      <x:c r="D36">
        <x:v>173.04400000000001</x:v>
      </x:c>
      <x:c r="E36">
        <x:v>0.38300000000000001</x:v>
      </x:c>
      <x:c r="F36" s="13">
        <x:v>0.70209999999999995</x:v>
      </x:c>
    </x:row>
    <x:row r="37" spans="1:6" x14ac:dyDescent="0.25">
      <x:c r="A37" s="6">
        <x:f t="shared" si="0"/>
        <x:v>28</x:v>
      </x:c>
      <x:c r="B37" t="s">
        <x:v>112</x:v>
      </x:c>
      <x:c r="C37">
        <x:v>80.611000000000004</x:v>
      </x:c>
      <x:c r="D37">
        <x:v>133.29</x:v>
      </x:c>
      <x:c r="E37">
        <x:v>0.60499999999999998</x:v>
      </x:c>
      <x:c r="F37" s="13">
        <x:v>0.54549999999999998</x:v>
      </x:c>
    </x:row>
    <x:row r="38" spans="1:6" x14ac:dyDescent="0.25">
      <x:c r="A38" s="6">
        <x:f t="shared" si="0"/>
        <x:v>29</x:v>
      </x:c>
      <x:c r="B38" t="s">
        <x:v>113</x:v>
      </x:c>
      <x:c r="C38">
        <x:v>-280.51799999999997</x:v>
      </x:c>
      <x:c r="D38">
        <x:v>120.346</x:v>
      </x:c>
      <x:c r="E38">
        <x:v>-2.331</x:v>
      </x:c>
      <x:c r="F38" s="13">
        <x:v>1.9900000000000001E-2</x:v>
      </x:c>
    </x:row>
    <x:row r="39" spans="1:6" x14ac:dyDescent="0.25">
      <x:c r="A39" s="6">
        <x:f t="shared" si="0"/>
        <x:v>30</x:v>
      </x:c>
      <x:c r="B39" t="s">
        <x:v>114</x:v>
      </x:c>
      <x:c r="C39">
        <x:v>1.133</x:v>
      </x:c>
      <x:c r="D39">
        <x:v>3.5369999999999999</x:v>
      </x:c>
      <x:c r="E39">
        <x:v>0.32</x:v>
      </x:c>
      <x:c r="F39" s="13">
        <x:v>0.74880000000000002</x:v>
      </x:c>
    </x:row>
    <x:row r="40" spans="1:6" x14ac:dyDescent="0.25">
      <x:c r="A40" s="6">
        <x:f t="shared" si="0"/>
        <x:v>31</x:v>
      </x:c>
      <x:c r="B40" t="s">
        <x:v>38</x:v>
      </x:c>
      <x:c r="C40">
        <x:v>55.078000000000003</x:v>
      </x:c>
      <x:c r="D40">
        <x:v>32.32</x:v>
      </x:c>
      <x:c r="E40">
        <x:v>1.704</x:v>
      </x:c>
      <x:c r="F40" s="13">
        <x:v>8.8700000000000001E-2</x:v>
      </x:c>
    </x:row>
    <x:row r="41" spans="1:6" x14ac:dyDescent="0.25">
      <x:c r="A41" s="6">
        <x:f t="shared" si="0"/>
        <x:v>32</x:v>
      </x:c>
      <x:c r="B41" t="s">
        <x:v>39</x:v>
      </x:c>
      <x:c r="C41">
        <x:v>-209.48400000000001</x:v>
      </x:c>
      <x:c r="D41">
        <x:v>38.981999999999999</x:v>
      </x:c>
      <x:c r="E41">
        <x:v>-5.3739999999999997</x:v>
      </x:c>
      <x:c r="F41" s="13">
        <x:v>0</x:v>
      </x:c>
    </x:row>
    <x:row r="42" spans="1:6" x14ac:dyDescent="0.25">
      <x:c r="A42" s="6">
        <x:f t="shared" si="0"/>
        <x:v>33</x:v>
      </x:c>
      <x:c r="B42" t="s">
        <x:v>40</x:v>
      </x:c>
      <x:c r="C42">
        <x:v>-272.94900000000001</x:v>
      </x:c>
      <x:c r="D42">
        <x:v>49.658000000000001</x:v>
      </x:c>
      <x:c r="E42">
        <x:v>-5.4969999999999999</x:v>
      </x:c>
      <x:c r="F42" s="13">
        <x:v>0</x:v>
      </x:c>
    </x:row>
    <x:row r="43" spans="1:6" x14ac:dyDescent="0.25">
      <x:c r="A43" s="6">
        <x:f t="shared" ref="A43:A83" si="1">+A42+1</x:f>
        <x:v>34</x:v>
      </x:c>
      <x:c r="B43" t="s">
        <x:v>41</x:v>
      </x:c>
      <x:c r="C43">
        <x:v>-207.547</x:v>
      </x:c>
      <x:c r="D43">
        <x:v>52.84</x:v>
      </x:c>
      <x:c r="E43">
        <x:v>-3.9279999999999999</x:v>
      </x:c>
      <x:c r="F43" s="13">
        <x:v>1E-4</x:v>
      </x:c>
    </x:row>
    <x:row r="44" spans="1:6" x14ac:dyDescent="0.25">
      <x:c r="A44" s="6">
        <x:f t="shared" si="1"/>
        <x:v>35</x:v>
      </x:c>
      <x:c r="B44" t="s">
        <x:v>42</x:v>
      </x:c>
      <x:c r="C44">
        <x:v>-77.426000000000002</x:v>
      </x:c>
      <x:c r="D44">
        <x:v>58.174999999999997</x:v>
      </x:c>
      <x:c r="E44">
        <x:v>-1.331</x:v>
      </x:c>
      <x:c r="F44" s="13">
        <x:v>0.1835</x:v>
      </x:c>
    </x:row>
    <x:row r="45" spans="1:6" x14ac:dyDescent="0.25">
      <x:c r="A45" s="6">
        <x:f t="shared" si="1"/>
        <x:v>36</x:v>
      </x:c>
      <x:c r="B45" t="s">
        <x:v>43</x:v>
      </x:c>
      <x:c r="C45">
        <x:v>9.077</x:v>
      </x:c>
      <x:c r="D45">
        <x:v>60.814</x:v>
      </x:c>
      <x:c r="E45">
        <x:v>0.14899999999999999</x:v>
      </x:c>
      <x:c r="F45" s="13">
        <x:v>0.88139999999999996</x:v>
      </x:c>
    </x:row>
    <x:row r="46" spans="1:6" x14ac:dyDescent="0.25">
      <x:c r="A46" s="6">
        <x:f t="shared" si="1"/>
        <x:v>37</x:v>
      </x:c>
      <x:c r="B46" t="s">
        <x:v>44</x:v>
      </x:c>
      <x:c r="C46">
        <x:v>14.673</x:v>
      </x:c>
      <x:c r="D46">
        <x:v>60.189</x:v>
      </x:c>
      <x:c r="E46">
        <x:v>0.24399999999999999</x:v>
      </x:c>
      <x:c r="F46" s="13">
        <x:v>0.8075</x:v>
      </x:c>
    </x:row>
    <x:row r="47" spans="1:6" x14ac:dyDescent="0.25">
      <x:c r="A47" s="6">
        <x:f t="shared" si="1"/>
        <x:v>38</x:v>
      </x:c>
      <x:c r="B47" t="s">
        <x:v>45</x:v>
      </x:c>
      <x:c r="C47">
        <x:v>-47.994999999999997</x:v>
      </x:c>
      <x:c r="D47">
        <x:v>57.133000000000003</x:v>
      </x:c>
      <x:c r="E47">
        <x:v>-0.84</x:v>
      </x:c>
      <x:c r="F47" s="13">
        <x:v>0.40110000000000001</x:v>
      </x:c>
    </x:row>
    <x:row r="48" spans="1:6" x14ac:dyDescent="0.25">
      <x:c r="A48" s="6">
        <x:f t="shared" si="1"/>
        <x:v>39</x:v>
      </x:c>
      <x:c r="B48" t="s">
        <x:v>52</x:v>
      </x:c>
      <x:c r="C48">
        <x:v>-175.77699999999999</x:v>
      </x:c>
      <x:c r="D48">
        <x:v>50.768999999999998</x:v>
      </x:c>
      <x:c r="E48">
        <x:v>-3.4620000000000002</x:v>
      </x:c>
      <x:c r="F48" s="13">
        <x:v>5.9999999999999995E-4</x:v>
      </x:c>
    </x:row>
    <x:row r="49" spans="1:6" x14ac:dyDescent="0.25">
      <x:c r="A49" s="6">
        <x:f t="shared" si="1"/>
        <x:v>40</x:v>
      </x:c>
      <x:c r="B49" t="s">
        <x:v>46</x:v>
      </x:c>
      <x:c r="C49">
        <x:v>-298.60399999999998</x:v>
      </x:c>
      <x:c r="D49">
        <x:v>33.732999999999997</x:v>
      </x:c>
      <x:c r="E49">
        <x:v>-8.8520000000000003</x:v>
      </x:c>
      <x:c r="F49" s="13">
        <x:v>0</x:v>
      </x:c>
    </x:row>
    <x:row r="50" spans="1:6" x14ac:dyDescent="0.25">
      <x:c r="A50" s="6">
        <x:f t="shared" si="1"/>
        <x:v>41</x:v>
      </x:c>
      <x:c r="B50" t="s">
        <x:v>47</x:v>
      </x:c>
      <x:c r="C50">
        <x:v>-237.42099999999999</x:v>
      </x:c>
      <x:c r="D50">
        <x:v>67.215999999999994</x:v>
      </x:c>
      <x:c r="E50">
        <x:v>-3.532</x:v>
      </x:c>
      <x:c r="F50" s="13">
        <x:v>4.0000000000000002E-4</x:v>
      </x:c>
    </x:row>
    <x:row r="51" spans="1:6" x14ac:dyDescent="0.25">
      <x:c r="A51" s="6">
        <x:f t="shared" si="1"/>
        <x:v>42</x:v>
      </x:c>
      <x:c r="B51" t="s">
        <x:v>81</x:v>
      </x:c>
      <x:c r="C51">
        <x:v>-178.65100000000001</x:v>
      </x:c>
      <x:c r="D51">
        <x:v>7.8929999999999998</x:v>
      </x:c>
      <x:c r="E51">
        <x:v>-22.634</x:v>
      </x:c>
      <x:c r="F51" s="13">
        <x:v>0</x:v>
      </x:c>
    </x:row>
    <x:row r="52" spans="1:6" x14ac:dyDescent="0.25">
      <x:c r="A52" s="6">
        <x:f t="shared" si="1"/>
        <x:v>43</x:v>
      </x:c>
      <x:c r="B52" t="s">
        <x:v>144</x:v>
      </x:c>
      <x:c r="C52">
        <x:v>21.803000000000001</x:v>
      </x:c>
      <x:c r="D52">
        <x:v>10.07</x:v>
      </x:c>
      <x:c r="E52">
        <x:v>2.165</x:v>
      </x:c>
      <x:c r="F52" s="13">
        <x:v>3.0599999999999999E-2</x:v>
      </x:c>
    </x:row>
    <x:row r="53" spans="1:6" x14ac:dyDescent="0.25">
      <x:c r="A53" s="6">
        <x:f t="shared" si="1"/>
        <x:v>44</x:v>
      </x:c>
      <x:c r="B53" t="s">
        <x:v>179</x:v>
      </x:c>
      <x:c r="C53">
        <x:v>46.042999999999999</x:v>
      </x:c>
      <x:c r="D53">
        <x:v>16.434000000000001</x:v>
      </x:c>
      <x:c r="E53">
        <x:v>2.802</x:v>
      </x:c>
      <x:c r="F53" s="13">
        <x:v>5.1999999999999998E-3</x:v>
      </x:c>
    </x:row>
    <x:row r="54" spans="1:6" x14ac:dyDescent="0.25">
      <x:c r="A54" s="6">
        <x:f t="shared" si="1"/>
        <x:v>45</x:v>
      </x:c>
      <x:c r="B54" t="s">
        <x:v>145</x:v>
      </x:c>
      <x:c r="C54">
        <x:v>-21.709</x:v>
      </x:c>
      <x:c r="D54">
        <x:v>17.106000000000002</x:v>
      </x:c>
      <x:c r="E54">
        <x:v>-1.2689999999999999</x:v>
      </x:c>
      <x:c r="F54" s="13">
        <x:v>0.20469999999999999</x:v>
      </x:c>
    </x:row>
    <x:row r="55" spans="1:6" x14ac:dyDescent="0.25">
      <x:c r="A55" s="6">
        <x:f t="shared" si="1"/>
        <x:v>46</x:v>
      </x:c>
      <x:c r="B55" t="s">
        <x:v>180</x:v>
      </x:c>
      <x:c r="C55">
        <x:v>57.756</x:v>
      </x:c>
      <x:c r="D55">
        <x:v>15.933</x:v>
      </x:c>
      <x:c r="E55">
        <x:v>3.625</x:v>
      </x:c>
      <x:c r="F55" s="13">
        <x:v>2.9999999999999997E-4</x:v>
      </x:c>
    </x:row>
    <x:row r="56" spans="1:6" x14ac:dyDescent="0.25">
      <x:c r="A56" s="6">
        <x:f t="shared" si="1"/>
        <x:v>47</x:v>
      </x:c>
      <x:c r="B56" t="s">
        <x:v>146</x:v>
      </x:c>
      <x:c r="C56">
        <x:v>-14.113</x:v>
      </x:c>
      <x:c r="D56">
        <x:v>8.734</x:v>
      </x:c>
      <x:c r="E56">
        <x:v>-1.6160000000000001</x:v>
      </x:c>
      <x:c r="F56" s="13">
        <x:v>0.1065</x:v>
      </x:c>
    </x:row>
    <x:row r="57" spans="1:6" x14ac:dyDescent="0.25">
      <x:c r="A57" s="6">
        <x:f t="shared" si="1"/>
        <x:v>48</x:v>
      </x:c>
      <x:c r="B57" t="s">
        <x:v>147</x:v>
      </x:c>
      <x:c r="C57">
        <x:v>10.561999999999999</x:v>
      </x:c>
      <x:c r="D57">
        <x:v>8.8480000000000008</x:v>
      </x:c>
      <x:c r="E57">
        <x:v>1.194</x:v>
      </x:c>
      <x:c r="F57" s="13">
        <x:v>0.23280000000000001</x:v>
      </x:c>
    </x:row>
    <x:row r="58" spans="1:6" x14ac:dyDescent="0.25">
      <x:c r="A58" s="6">
        <x:f t="shared" si="1"/>
        <x:v>49</x:v>
      </x:c>
      <x:c r="B58" t="s">
        <x:v>148</x:v>
      </x:c>
      <x:c r="C58">
        <x:v>50.5</x:v>
      </x:c>
      <x:c r="D58">
        <x:v>15.617000000000001</x:v>
      </x:c>
      <x:c r="E58">
        <x:v>3.234</x:v>
      </x:c>
      <x:c r="F58" s="13">
        <x:v>1.2999999999999999E-3</x:v>
      </x:c>
    </x:row>
    <x:row r="59" spans="1:6" x14ac:dyDescent="0.25">
      <x:c r="A59" s="6">
        <x:f t="shared" si="1"/>
        <x:v>50</x:v>
      </x:c>
      <x:c r="B59" t="s">
        <x:v>149</x:v>
      </x:c>
      <x:c r="C59">
        <x:v>29.867999999999999</x:v>
      </x:c>
      <x:c r="D59">
        <x:v>14.702</x:v>
      </x:c>
      <x:c r="E59">
        <x:v>2.032</x:v>
      </x:c>
      <x:c r="F59" s="13">
        <x:v>4.24E-2</x:v>
      </x:c>
    </x:row>
    <x:row r="60" spans="1:6" x14ac:dyDescent="0.25">
      <x:c r="A60" s="6">
        <x:f t="shared" si="1"/>
        <x:v>51</x:v>
      </x:c>
      <x:c r="B60" t="s">
        <x:v>181</x:v>
      </x:c>
      <x:c r="C60">
        <x:v>7.4450000000000003</x:v>
      </x:c>
      <x:c r="D60">
        <x:v>13.977</x:v>
      </x:c>
      <x:c r="E60">
        <x:v>0.53300000000000003</x:v>
      </x:c>
      <x:c r="F60" s="13">
        <x:v>0.59440000000000004</x:v>
      </x:c>
    </x:row>
    <x:row r="61" spans="1:6" x14ac:dyDescent="0.25">
      <x:c r="A61" s="6">
        <x:f t="shared" si="1"/>
        <x:v>52</x:v>
      </x:c>
      <x:c r="B61" t="s">
        <x:v>182</x:v>
      </x:c>
      <x:c r="C61">
        <x:v>-16.492999999999999</x:v>
      </x:c>
      <x:c r="D61">
        <x:v>10.686999999999999</x:v>
      </x:c>
      <x:c r="E61">
        <x:v>-1.5429999999999999</x:v>
      </x:c>
      <x:c r="F61" s="13">
        <x:v>0.1231</x:v>
      </x:c>
    </x:row>
    <x:row r="62" spans="1:6" x14ac:dyDescent="0.25">
      <x:c r="A62" s="6">
        <x:f t="shared" si="1"/>
        <x:v>53</x:v>
      </x:c>
      <x:c r="B62" t="s">
        <x:v>115</x:v>
      </x:c>
      <x:c r="C62">
        <x:v>-2819.94</x:v>
      </x:c>
      <x:c r="D62">
        <x:v>267.66199999999998</x:v>
      </x:c>
      <x:c r="E62">
        <x:v>-10.535</x:v>
      </x:c>
      <x:c r="F62" s="13">
        <x:v>0</x:v>
      </x:c>
    </x:row>
    <x:row r="63" spans="1:6" x14ac:dyDescent="0.25">
      <x:c r="A63" s="6">
        <x:f t="shared" si="1"/>
        <x:v>54</x:v>
      </x:c>
      <x:c r="B63" t="s">
        <x:v>116</x:v>
      </x:c>
      <x:c r="C63">
        <x:v>-2617.518</x:v>
      </x:c>
      <x:c r="D63">
        <x:v>220.67400000000001</x:v>
      </x:c>
      <x:c r="E63">
        <x:v>-11.861000000000001</x:v>
      </x:c>
      <x:c r="F63" s="13">
        <x:v>0</x:v>
      </x:c>
    </x:row>
    <x:row r="64" spans="1:6" x14ac:dyDescent="0.25">
      <x:c r="A64" s="6">
        <x:f t="shared" si="1"/>
        <x:v>55</x:v>
      </x:c>
      <x:c r="B64" t="s">
        <x:v>155</x:v>
      </x:c>
      <x:c r="C64">
        <x:v>-936.74300000000005</x:v>
      </x:c>
      <x:c r="D64">
        <x:v>210.98599999999999</x:v>
      </x:c>
      <x:c r="E64">
        <x:v>-4.4400000000000004</x:v>
      </x:c>
      <x:c r="F64" s="13">
        <x:v>0</x:v>
      </x:c>
    </x:row>
    <x:row r="65" spans="1:6" x14ac:dyDescent="0.25">
      <x:c r="A65" s="6">
        <x:f t="shared" si="1"/>
        <x:v>56</x:v>
      </x:c>
      <x:c r="B65" t="s">
        <x:v>156</x:v>
      </x:c>
      <x:c r="C65">
        <x:v>-549.31899999999996</x:v>
      </x:c>
      <x:c r="D65">
        <x:v>209.88499999999999</x:v>
      </x:c>
      <x:c r="E65">
        <x:v>-2.617</x:v>
      </x:c>
      <x:c r="F65" s="13">
        <x:v>8.9999999999999993E-3</x:v>
      </x:c>
    </x:row>
    <x:row r="66" spans="1:6" x14ac:dyDescent="0.25">
      <x:c r="A66" s="6">
        <x:f t="shared" si="1"/>
        <x:v>57</x:v>
      </x:c>
      <x:c r="B66" t="s">
        <x:v>157</x:v>
      </x:c>
      <x:c r="C66">
        <x:v>-453.20600000000002</x:v>
      </x:c>
      <x:c r="D66">
        <x:v>208.65199999999999</x:v>
      </x:c>
      <x:c r="E66">
        <x:v>-2.1720000000000002</x:v>
      </x:c>
      <x:c r="F66" s="13">
        <x:v>3.0099999999999998E-2</x:v>
      </x:c>
    </x:row>
    <x:row r="67" spans="1:6" x14ac:dyDescent="0.25">
      <x:c r="A67" s="6">
        <x:f t="shared" si="1"/>
        <x:v>58</x:v>
      </x:c>
      <x:c r="F67" s="11"/>
    </x:row>
    <x:row r="68" spans="1:6" x14ac:dyDescent="0.25">
      <x:c r="A68" s="6">
        <x:f t="shared" si="1"/>
        <x:v>59</x:v>
      </x:c>
      <x:c r="B68" s="4" t="s">
        <x:v>90</x:v>
      </x:c>
      <x:c r="F68" s="11"/>
    </x:row>
    <x:row r="69" spans="1:6" x14ac:dyDescent="0.25">
      <x:c r="A69" s="6">
        <x:f t="shared" si="1"/>
        <x:v>60</x:v>
      </x:c>
      <x:c r="B69" t="s">
        <x:v>30</x:v>
      </x:c>
      <x:c r="C69" s="15">
        <x:v>1095</x:v>
      </x:c>
      <x:c r="F69" s="9"/>
    </x:row>
    <x:row r="70" spans="1:6" x14ac:dyDescent="0.25">
      <x:c r="A70" s="6">
        <x:f t="shared" si="1"/>
        <x:v>61</x:v>
      </x:c>
      <x:c r="B70" t="s">
        <x:v>10</x:v>
      </x:c>
      <x:c r="C70" s="15">
        <x:v>1045</x:v>
      </x:c>
      <x:c r="F70" s="9"/>
    </x:row>
    <x:row r="71" spans="1:6" x14ac:dyDescent="0.25">
      <x:c r="A71" s="6">
        <x:f t="shared" si="1"/>
        <x:v>62</x:v>
      </x:c>
      <x:c r="B71" t="s">
        <x:v>12</x:v>
      </x:c>
      <x:c r="C71" s="23">
        <x:v>0.93300000000000005</x:v>
      </x:c>
      <x:c r="F71" s="9"/>
    </x:row>
    <x:row r="72" spans="1:6" x14ac:dyDescent="0.25">
      <x:c r="A72" s="6">
        <x:f t="shared" si="1"/>
        <x:v>63</x:v>
      </x:c>
      <x:c r="B72" t="s">
        <x:v>13</x:v>
      </x:c>
      <x:c r="C72" s="21">
        <x:v>0.92900000000000005</x:v>
      </x:c>
      <x:c r="F72" s="9"/>
    </x:row>
    <x:row r="73" spans="1:6" x14ac:dyDescent="0.25">
      <x:c r="A73" s="6">
        <x:f t="shared" si="1"/>
        <x:v>64</x:v>
      </x:c>
      <x:c r="B73" t="s">
        <x:v>15</x:v>
      </x:c>
      <x:c r="C73" s="15">
        <x:v>294.78399999999999</x:v>
      </x:c>
      <x:c r="F73" s="9"/>
    </x:row>
    <x:row r="74" spans="1:6" x14ac:dyDescent="0.25">
      <x:c r="A74" s="6">
        <x:f t="shared" si="1"/>
        <x:v>65</x:v>
      </x:c>
      <x:c r="B74" t="s">
        <x:v>16</x:v>
      </x:c>
      <x:c r="C74" s="18">
        <x:v>0</x:v>
      </x:c>
      <x:c r="F74" s="9"/>
    </x:row>
    <x:row r="75" spans="1:6" x14ac:dyDescent="0.25">
      <x:c r="A75" s="6">
        <x:f t="shared" si="1"/>
        <x:v>66</x:v>
      </x:c>
      <x:c r="B75" t="s">
        <x:v>17</x:v>
      </x:c>
      <x:c r="C75" s="15">
        <x:v>597458309.37</x:v>
      </x:c>
    </x:row>
    <x:row r="76" spans="1:6" x14ac:dyDescent="0.25">
      <x:c r="A76" s="6">
        <x:f t="shared" si="1"/>
        <x:v>67</x:v>
      </x:c>
      <x:c r="B76" t="s">
        <x:v>18</x:v>
      </x:c>
      <x:c r="C76" s="15">
        <x:v>43223946.130000003</x:v>
      </x:c>
      <x:c r="F76" s="9"/>
    </x:row>
    <x:row r="77" spans="1:6" x14ac:dyDescent="0.25">
      <x:c r="A77" s="6">
        <x:f t="shared" si="1"/>
        <x:v>68</x:v>
      </x:c>
      <x:c r="B77" t="s">
        <x:v>19</x:v>
      </x:c>
      <x:c r="C77" s="15">
        <x:v>41362.629999999997</x:v>
      </x:c>
      <x:c r="F77" s="9"/>
    </x:row>
    <x:row r="78" spans="1:6" x14ac:dyDescent="0.25">
      <x:c r="A78" s="6">
        <x:f t="shared" si="1"/>
        <x:v>69</x:v>
      </x:c>
      <x:c r="B78" t="s">
        <x:v>20</x:v>
      </x:c>
      <x:c r="C78">
        <x:v>203.38</x:v>
      </x:c>
      <x:c r="F78" s="9"/>
    </x:row>
    <x:row r="79" spans="1:6" x14ac:dyDescent="0.25">
      <x:c r="A79" s="6">
        <x:f t="shared" si="1"/>
        <x:v>70</x:v>
      </x:c>
      <x:c r="B79" t="s">
        <x:v>9</x:v>
      </x:c>
      <x:c r="C79" s="26">
        <x:v>158.78</x:v>
      </x:c>
    </x:row>
    <x:row r="80" spans="1:6" x14ac:dyDescent="0.25">
      <x:c r="A80" s="6">
        <x:f t="shared" si="1"/>
        <x:v>71</x:v>
      </x:c>
      <x:c r="B80" t="s">
        <x:v>11</x:v>
      </x:c>
      <x:c r="C80" s="9">
        <x:v>3.2000000000000001E-2</x:v>
      </x:c>
    </x:row>
    <x:row r="81" spans="1:3" x14ac:dyDescent="0.25">
      <x:c r="A81" s="6">
        <x:f t="shared" si="1"/>
        <x:v>72</x:v>
      </x:c>
      <x:c r="B81" t="s">
        <x:v>14</x:v>
      </x:c>
      <x:c r="C81">
        <x:v>0.48799999999999999</x:v>
      </x:c>
    </x:row>
    <x:row r="82" spans="1:3" x14ac:dyDescent="0.25">
      <x:c r="A82" s="6">
        <x:f t="shared" si="1"/>
        <x:v>73</x:v>
      </x:c>
      <x:c r="B82" t="s">
        <x:v>21</x:v>
      </x:c>
      <x:c r="C82">
        <x:v>6599.56</x:v>
      </x:c>
    </x:row>
    <x:row r="83" spans="1:3" x14ac:dyDescent="0.25">
      <x:c r="A83" s="6">
        <x:f t="shared" si="1"/>
        <x:v>74</x:v>
      </x:c>
      <x:c r="B83" t="s">
        <x:v>22</x:v>
      </x:c>
      <x:c r="C83" s="18">
        <x:v>0</x:v>
      </x:c>
    </x:row>
  </x:sheetData>
  <x:mergeCells count="6">
    <x:mergeCell ref="B6:F6"/>
    <x:mergeCell ref="B8:F8"/>
    <x:mergeCell ref="B1:F1"/>
    <x:mergeCell ref="B2:F2"/>
    <x:mergeCell ref="B3:F3"/>
    <x:mergeCell ref="B4:F4"/>
  </x:mergeCells>
  <x:phoneticPr fontId="0" type="noConversion"/>
  <x:printOptions horizontalCentered="1"/>
  <x:pageMargins left="0.83" right="0.53" top="1.5" bottom="1" header="1" footer="0.5"/>
  <x:pageSetup scale="59" firstPageNumber="7" orientation="portrait" r:id="rId1"/>
  <x:headerFooter scaleWithDoc="0" alignWithMargins="0">
    <x:oddHeader>&amp;RWP/II-H-5.2/6
Page &amp;P of 20</x:oddHeader>
  </x:headerFooter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 codeName="Sheet12">
    <x:pageSetUpPr fitToPage="1"/>
  </x:sheetPr>
  <x:dimension ref="A1:I45"/>
  <x:sheetViews>
    <x:sheetView zoomScaleNormal="100" workbookViewId="0">
      <x:selection activeCell="G5" sqref="G5"/>
    </x:sheetView>
  </x:sheetViews>
  <x:sheetFormatPr defaultRowHeight="13.2" x14ac:dyDescent="0.25"/>
  <x:cols>
    <x:col min="1" max="1" width="9.33203125" bestFit="1" customWidth="1"/>
    <x:col min="2" max="2" width="26.88671875" bestFit="1" customWidth="1"/>
    <x:col min="3" max="3" width="12.5546875" customWidth="1"/>
    <x:col min="4" max="4" width="10.6640625" customWidth="1"/>
    <x:col min="5" max="5" width="11.33203125" customWidth="1"/>
    <x:col min="6" max="6" width="10.5546875" customWidth="1"/>
    <x:col min="7" max="7" width="10.33203125" customWidth="1"/>
    <x:col min="8" max="8" width="13.33203125" customWidth="1"/>
  </x:cols>
  <x:sheetData>
    <x:row r="1" spans="1:9" s="1" customFormat="1" ht="15.6" x14ac:dyDescent="0.3">
      <x:c r="A1" s="6"/>
      <x:c r="B1" s="43" t="str">
        <x:f>+'RES Spline Model'!B1:F1</x:f>
        <x:v>2025 RATE CASE</x:v>
      </x:c>
      <x:c r="C1" s="44"/>
      <x:c r="D1" s="44"/>
      <x:c r="E1" s="44"/>
      <x:c r="F1" s="44"/>
      <x:c r="G1" s="44"/>
      <x:c r="H1" s="44"/>
      <x:c r="I1" s="44"/>
    </x:row>
    <x:row r="2" spans="1:9" s="1" customFormat="1" ht="15.6" x14ac:dyDescent="0.3">
      <x:c r="A2" s="6"/>
      <x:c r="B2" s="43" t="str">
        <x:f>+'RES Spline Model'!B2:F2</x:f>
        <x:v>ONCOR ELECTRIC DELIVERY COMPANY LLC</x:v>
      </x:c>
      <x:c r="C2" s="44"/>
      <x:c r="D2" s="44"/>
      <x:c r="E2" s="44"/>
      <x:c r="F2" s="44"/>
      <x:c r="G2" s="44"/>
      <x:c r="H2" s="44"/>
      <x:c r="I2" s="44"/>
    </x:row>
    <x:row r="3" spans="1:9" s="1" customFormat="1" ht="15.6" x14ac:dyDescent="0.3">
      <x:c r="A3" s="6"/>
      <x:c r="B3" s="43" t="str">
        <x:f>+'RES Spline Model'!B3:F3</x:f>
        <x:v>ADJUSTED WEATHER STATION DATA</x:v>
      </x:c>
      <x:c r="C3" s="44"/>
      <x:c r="D3" s="44"/>
      <x:c r="E3" s="44"/>
      <x:c r="F3" s="44"/>
      <x:c r="G3" s="44"/>
      <x:c r="H3" s="44"/>
      <x:c r="I3" s="44"/>
    </x:row>
    <x:row r="4" spans="1:9" s="1" customFormat="1" ht="15.6" x14ac:dyDescent="0.3">
      <x:c r="A4" s="6"/>
      <x:c r="B4" s="43" t="str">
        <x:f>+'RES Spline Model'!B4:F4</x:f>
        <x:v>FOR THE TEST YEAR ENDING DECEMBER 31, 2024</x:v>
      </x:c>
      <x:c r="C4" s="44"/>
      <x:c r="D4" s="44"/>
      <x:c r="E4" s="44"/>
      <x:c r="F4" s="44"/>
      <x:c r="G4" s="44"/>
      <x:c r="H4" s="44"/>
      <x:c r="I4" s="44"/>
    </x:row>
    <x:row r="5" spans="1:9" s="1" customFormat="1" ht="15.6" x14ac:dyDescent="0.3">
      <x:c r="A5" s="6"/>
      <x:c r="B5" s="37"/>
      <x:c r="C5" s="40"/>
      <x:c r="D5" s="40"/>
      <x:c r="E5" s="40"/>
      <x:c r="F5" s="40"/>
      <x:c r="G5" s="40"/>
      <x:c r="H5" s="40"/>
      <x:c r="I5" s="40"/>
    </x:row>
    <x:row r="6" spans="1:9" s="1" customFormat="1" ht="15.6" x14ac:dyDescent="0.3">
      <x:c r="A6" s="6"/>
      <x:c r="B6" s="43" t="str">
        <x:f>+'RES Spline Model'!B6:F6</x:f>
        <x:v>SPONSOR: D. E. NELSON</x:v>
      </x:c>
      <x:c r="C6" s="44"/>
      <x:c r="D6" s="44"/>
      <x:c r="E6" s="44"/>
      <x:c r="F6" s="44"/>
      <x:c r="G6" s="44"/>
      <x:c r="H6" s="44"/>
      <x:c r="I6" s="44"/>
    </x:row>
    <x:row r="8" spans="1:9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9" s="1" customFormat="1" ht="11.4" x14ac:dyDescent="0.2">
      <x:c r="A9" s="7" t="s">
        <x:v>24</x:v>
      </x:c>
      <x:c r="B9" s="8"/>
      <x:c r="C9" s="8"/>
      <x:c r="D9" s="8"/>
      <x:c r="E9" s="8"/>
      <x:c r="F9" s="8"/>
    </x:row>
    <x:row r="10" spans="1:9" s="1" customFormat="1" x14ac:dyDescent="0.25">
      <x:c r="A10" s="6">
        <x:v>1</x:v>
      </x:c>
      <x:c r="B10" s="42" t="s">
        <x:v>60</x:v>
      </x:c>
      <x:c r="C10" s="44"/>
      <x:c r="D10" s="44"/>
      <x:c r="E10" s="44"/>
      <x:c r="F10" s="44"/>
      <x:c r="G10" s="44"/>
      <x:c r="H10" s="44"/>
      <x:c r="I10" s="44"/>
    </x:row>
    <x:row r="11" spans="1:9" s="1" customFormat="1" x14ac:dyDescent="0.25">
      <x:c r="A11" s="6">
        <x:f t="shared" ref="A11:A37" si="0">+A10+1</x:f>
        <x:v>2</x:v>
      </x:c>
      <x:c r="B11" s="42" t="s">
        <x:v>53</x:v>
      </x:c>
      <x:c r="C11" s="44"/>
      <x:c r="D11" s="44"/>
      <x:c r="E11" s="44"/>
      <x:c r="F11" s="44"/>
      <x:c r="G11" s="44"/>
      <x:c r="H11" s="44"/>
      <x:c r="I11" s="44"/>
    </x:row>
    <x:row r="12" spans="1:9" s="1" customFormat="1" ht="12" x14ac:dyDescent="0.25">
      <x:c r="A12" s="6">
        <x:f t="shared" si="0"/>
        <x:v>3</x:v>
      </x:c>
      <x:c r="B12" s="3"/>
      <x:c r="C12" s="10"/>
    </x:row>
    <x:row r="13" spans="1:9" s="1" customFormat="1" ht="12" x14ac:dyDescent="0.25">
      <x:c r="A13" s="6">
        <x:f t="shared" si="0"/>
        <x:v>4</x:v>
      </x:c>
      <x:c r="B13" s="3"/>
      <x:c r="C13" s="10"/>
    </x:row>
    <x:row r="14" spans="1:9" s="1" customFormat="1" ht="11.4" x14ac:dyDescent="0.2">
      <x:c r="A14" s="6">
        <x:f t="shared" si="0"/>
        <x:v>5</x:v>
      </x:c>
    </x:row>
    <x:row r="15" spans="1:9" s="1" customFormat="1" ht="11.4" x14ac:dyDescent="0.2">
      <x:c r="A15" s="6">
        <x:f t="shared" si="0"/>
        <x:v>6</x:v>
      </x:c>
      <x:c r="B15" s="12"/>
      <x:c r="C15" s="12"/>
      <x:c r="D15" s="12"/>
      <x:c r="E15" s="12"/>
      <x:c r="F15" s="12"/>
    </x:row>
    <x:row r="16" spans="1:9" x14ac:dyDescent="0.25">
      <x:c r="A16" s="6">
        <x:f t="shared" si="0"/>
        <x:v>7</x:v>
      </x:c>
      <x:c r="F16" s="9"/>
    </x:row>
    <x:row r="17" spans="1:6" x14ac:dyDescent="0.25">
      <x:c r="A17" s="6">
        <x:f t="shared" si="0"/>
        <x:v>8</x:v>
      </x:c>
      <x:c r="F17" s="9"/>
    </x:row>
    <x:row r="18" spans="1:6" x14ac:dyDescent="0.25">
      <x:c r="A18" s="6">
        <x:f t="shared" si="0"/>
        <x:v>9</x:v>
      </x:c>
      <x:c r="F18" s="9"/>
    </x:row>
    <x:row r="19" spans="1:6" x14ac:dyDescent="0.25">
      <x:c r="A19" s="6">
        <x:f t="shared" si="0"/>
        <x:v>10</x:v>
      </x:c>
      <x:c r="F19" s="9"/>
    </x:row>
    <x:row r="20" spans="1:6" x14ac:dyDescent="0.25">
      <x:c r="A20" s="6">
        <x:f t="shared" si="0"/>
        <x:v>11</x:v>
      </x:c>
      <x:c r="F20" s="9"/>
    </x:row>
    <x:row r="21" spans="1:6" x14ac:dyDescent="0.25">
      <x:c r="A21" s="6">
        <x:f t="shared" si="0"/>
        <x:v>12</x:v>
      </x:c>
      <x:c r="F21" s="9"/>
    </x:row>
    <x:row r="22" spans="1:6" x14ac:dyDescent="0.25">
      <x:c r="A22" s="6">
        <x:f t="shared" si="0"/>
        <x:v>13</x:v>
      </x:c>
      <x:c r="F22" s="9"/>
    </x:row>
    <x:row r="23" spans="1:6" x14ac:dyDescent="0.25">
      <x:c r="A23" s="6">
        <x:f t="shared" si="0"/>
        <x:v>14</x:v>
      </x:c>
      <x:c r="F23" s="9"/>
    </x:row>
    <x:row r="24" spans="1:6" x14ac:dyDescent="0.25">
      <x:c r="A24" s="6">
        <x:f t="shared" si="0"/>
        <x:v>15</x:v>
      </x:c>
      <x:c r="F24" s="9"/>
    </x:row>
    <x:row r="25" spans="1:6" x14ac:dyDescent="0.25">
      <x:c r="A25" s="6">
        <x:f t="shared" si="0"/>
        <x:v>16</x:v>
      </x:c>
      <x:c r="F25" s="9"/>
    </x:row>
    <x:row r="26" spans="1:6" x14ac:dyDescent="0.25">
      <x:c r="A26" s="6">
        <x:f t="shared" si="0"/>
        <x:v>17</x:v>
      </x:c>
      <x:c r="F26" s="9"/>
    </x:row>
    <x:row r="27" spans="1:6" x14ac:dyDescent="0.25">
      <x:c r="A27" s="6">
        <x:f t="shared" si="0"/>
        <x:v>18</x:v>
      </x:c>
      <x:c r="F27" s="9"/>
    </x:row>
    <x:row r="28" spans="1:6" x14ac:dyDescent="0.25">
      <x:c r="A28" s="6">
        <x:f t="shared" si="0"/>
        <x:v>19</x:v>
      </x:c>
      <x:c r="F28" s="9"/>
    </x:row>
    <x:row r="29" spans="1:6" x14ac:dyDescent="0.25">
      <x:c r="A29" s="6">
        <x:f t="shared" si="0"/>
        <x:v>20</x:v>
      </x:c>
      <x:c r="F29" s="9"/>
    </x:row>
    <x:row r="30" spans="1:6" x14ac:dyDescent="0.25">
      <x:c r="A30" s="6">
        <x:f t="shared" si="0"/>
        <x:v>21</x:v>
      </x:c>
      <x:c r="F30" s="9"/>
    </x:row>
    <x:row r="31" spans="1:6" x14ac:dyDescent="0.25">
      <x:c r="A31" s="6">
        <x:f t="shared" si="0"/>
        <x:v>22</x:v>
      </x:c>
      <x:c r="F31" s="9"/>
    </x:row>
    <x:row r="32" spans="1:6" x14ac:dyDescent="0.25">
      <x:c r="A32" s="6">
        <x:f t="shared" si="0"/>
        <x:v>23</x:v>
      </x:c>
      <x:c r="F32" s="9"/>
    </x:row>
    <x:row r="33" spans="1:7" x14ac:dyDescent="0.25">
      <x:c r="A33" s="6">
        <x:f t="shared" si="0"/>
        <x:v>24</x:v>
      </x:c>
      <x:c r="F33" s="11"/>
    </x:row>
    <x:row r="34" spans="1:7" x14ac:dyDescent="0.25">
      <x:c r="A34" s="6">
        <x:f t="shared" si="0"/>
        <x:v>25</x:v>
      </x:c>
      <x:c r="F34" s="2"/>
    </x:row>
    <x:row r="35" spans="1:7" x14ac:dyDescent="0.25">
      <x:c r="A35" s="6">
        <x:f t="shared" si="0"/>
        <x:v>26</x:v>
      </x:c>
      <x:c r="F35" s="11"/>
    </x:row>
    <x:row r="36" spans="1:7" x14ac:dyDescent="0.25">
      <x:c r="A36" s="6">
        <x:f t="shared" si="0"/>
        <x:v>27</x:v>
      </x:c>
      <x:c r="F36" s="2"/>
    </x:row>
    <x:row r="37" spans="1:7" x14ac:dyDescent="0.25">
      <x:c r="A37" s="6">
        <x:f t="shared" si="0"/>
        <x:v>28</x:v>
      </x:c>
      <x:c r="F37" s="2"/>
    </x:row>
    <x:row r="38" spans="1:7" x14ac:dyDescent="0.25">
      <x:c r="A38" s="6"/>
      <x:c r="F38" s="2"/>
    </x:row>
    <x:row r="39" spans="1:7" x14ac:dyDescent="0.25">
      <x:c r="A39" s="6"/>
      <x:c r="F39" s="2"/>
    </x:row>
    <x:row r="40" spans="1:7" x14ac:dyDescent="0.25">
      <x:c r="A40" s="6"/>
      <x:c r="F40" s="2"/>
    </x:row>
    <x:row r="41" spans="1:7" x14ac:dyDescent="0.25">
      <x:c r="A41" s="6"/>
    </x:row>
    <x:row r="42" spans="1:7" x14ac:dyDescent="0.25">
      <x:c r="A42" s="6"/>
    </x:row>
    <x:row r="43" spans="1:7" x14ac:dyDescent="0.25">
      <x:c r="A43" s="6"/>
      <x:c r="C43" s="9"/>
      <x:c r="G43" s="9"/>
    </x:row>
    <x:row r="44" spans="1:7" x14ac:dyDescent="0.25">
      <x:c r="A44" s="6"/>
    </x:row>
    <x:row r="45" spans="1:7" x14ac:dyDescent="0.25">
      <x:c r="A45" s="6"/>
    </x:row>
  </x:sheetData>
  <x:mergeCells count="8">
    <x:mergeCell ref="B11:I11"/>
    <x:mergeCell ref="B10:I10"/>
    <x:mergeCell ref="B8:F8"/>
    <x:mergeCell ref="B1:I1"/>
    <x:mergeCell ref="B2:I2"/>
    <x:mergeCell ref="B3:I3"/>
    <x:mergeCell ref="B4:I4"/>
    <x:mergeCell ref="B6:I6"/>
  </x:mergeCells>
  <x:phoneticPr fontId="1" type="noConversion"/>
  <x:printOptions horizontalCentered="1"/>
  <x:pageMargins left="0.83" right="0.53" top="1.5" bottom="1" header="1" footer="0.5"/>
  <x:pageSetup scale="75" firstPageNumber="7" orientation="portrait" r:id="rId1"/>
  <x:headerFooter scaleWithDoc="0" alignWithMargins="0">
    <x:oddHeader>&amp;RWP/II-H-5.2/6
Page &amp;P of 20</x:oddHeader>
  </x:headerFooter>
  <x:drawing r:id="rId2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 codeName="Sheet13">
    <x:pageSetUpPr fitToPage="1"/>
  </x:sheetPr>
  <x:dimension ref="A1:F83"/>
  <x:sheetViews>
    <x:sheetView workbookViewId="0">
      <x:selection activeCell="G5" sqref="G5"/>
    </x:sheetView>
  </x:sheetViews>
  <x:sheetFormatPr defaultRowHeight="13.2" x14ac:dyDescent="0.25"/>
  <x:cols>
    <x:col min="2" max="2" width="24.5546875" customWidth="1"/>
    <x:col min="3" max="3" width="16.6640625" customWidth="1"/>
    <x:col min="4" max="4" width="11.44140625" customWidth="1"/>
    <x:col min="5" max="5" width="11.88671875" customWidth="1"/>
    <x:col min="6" max="6" width="11.5546875" customWidth="1"/>
  </x:cols>
  <x:sheetData>
    <x:row r="1" spans="1:6" s="1" customFormat="1" ht="15.6" x14ac:dyDescent="0.3">
      <x:c r="A1" s="6"/>
      <x:c r="B1" s="43" t="str">
        <x:f>+'RES Spline Model'!B1:F1</x:f>
        <x:v>2025 RATE CASE</x:v>
      </x:c>
      <x:c r="C1" s="43"/>
      <x:c r="D1" s="43"/>
      <x:c r="E1" s="43"/>
      <x:c r="F1" s="43"/>
    </x:row>
    <x:row r="2" spans="1:6" s="1" customFormat="1" ht="15.6" x14ac:dyDescent="0.3">
      <x:c r="A2" s="6"/>
      <x:c r="B2" s="43" t="str">
        <x:f>+'RES Spline Model'!B2:F2</x:f>
        <x:v>ONCOR ELECTRIC DELIVERY COMPANY LLC</x:v>
      </x:c>
      <x:c r="C2" s="43"/>
      <x:c r="D2" s="43"/>
      <x:c r="E2" s="43"/>
      <x:c r="F2" s="43"/>
    </x:row>
    <x:row r="3" spans="1:6" s="1" customFormat="1" ht="15.6" x14ac:dyDescent="0.3">
      <x:c r="A3" s="6"/>
      <x:c r="B3" s="43" t="str">
        <x:f>+'RES Spline Model'!B3:F3</x:f>
        <x:v>ADJUSTED WEATHER STATION DATA</x:v>
      </x:c>
      <x:c r="C3" s="43"/>
      <x:c r="D3" s="43"/>
      <x:c r="E3" s="43"/>
      <x:c r="F3" s="43"/>
    </x:row>
    <x:row r="4" spans="1:6" s="1" customFormat="1" ht="15.6" x14ac:dyDescent="0.3">
      <x:c r="A4" s="6"/>
      <x:c r="B4" s="43" t="str">
        <x:f>+'RES Spline Model'!B4:F4</x:f>
        <x:v>FOR THE TEST YEAR ENDING DECEMBER 31, 2024</x:v>
      </x:c>
      <x:c r="C4" s="43"/>
      <x:c r="D4" s="43"/>
      <x:c r="E4" s="43"/>
      <x:c r="F4" s="43"/>
    </x:row>
    <x:row r="5" spans="1:6" s="1" customFormat="1" ht="11.4" x14ac:dyDescent="0.2">
      <x:c r="A5" s="6"/>
    </x:row>
    <x:row r="6" spans="1:6" s="1" customFormat="1" ht="15.6" x14ac:dyDescent="0.3">
      <x:c r="A6" s="6"/>
      <x:c r="B6" s="43" t="str">
        <x:f>+'RES Spline Model'!B6:F6</x:f>
        <x:v>SPONSOR: D. E. NELSON</x:v>
      </x:c>
      <x:c r="C6" s="43"/>
      <x:c r="D6" s="43"/>
      <x:c r="E6" s="43"/>
      <x:c r="F6" s="43"/>
    </x:row>
    <x:row r="8" spans="1:6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6" s="1" customFormat="1" ht="11.4" x14ac:dyDescent="0.2">
      <x:c r="A9" s="7" t="s">
        <x:v>24</x:v>
      </x:c>
      <x:c r="B9" s="8" t="s">
        <x:v>25</x:v>
      </x:c>
      <x:c r="C9" s="8" t="s">
        <x:v>26</x:v>
      </x:c>
      <x:c r="D9" s="8" t="s">
        <x:v>29</x:v>
      </x:c>
      <x:c r="E9" s="8" t="s">
        <x:v>27</x:v>
      </x:c>
      <x:c r="F9" s="8" t="s">
        <x:v>28</x:v>
      </x:c>
    </x:row>
    <x:row r="10" spans="1:6" s="1" customFormat="1" ht="12" x14ac:dyDescent="0.25">
      <x:c r="A10" s="6">
        <x:v>1</x:v>
      </x:c>
      <x:c r="B10" s="3" t="s">
        <x:v>5</x:v>
      </x:c>
      <x:c r="C10" s="3" t="s">
        <x:v>61</x:v>
      </x:c>
    </x:row>
    <x:row r="11" spans="1:6" s="1" customFormat="1" ht="12" x14ac:dyDescent="0.25">
      <x:c r="A11" s="6">
        <x:f t="shared" ref="A11:A42" si="0">+A10+1</x:f>
        <x:v>2</x:v>
      </x:c>
      <x:c r="B11" s="3" t="s">
        <x:v>53</x:v>
      </x:c>
      <x:c r="C11" s="3"/>
    </x:row>
    <x:row r="12" spans="1:6" s="1" customFormat="1" ht="12" x14ac:dyDescent="0.25">
      <x:c r="A12" s="6">
        <x:f t="shared" si="0"/>
        <x:v>3</x:v>
      </x:c>
      <x:c r="B12" s="3" t="s">
        <x:v>6</x:v>
      </x:c>
      <x:c r="C12" s="3" t="s">
        <x:v>80</x:v>
      </x:c>
    </x:row>
    <x:row r="13" spans="1:6" s="1" customFormat="1" ht="12" x14ac:dyDescent="0.25">
      <x:c r="A13" s="6">
        <x:f t="shared" si="0"/>
        <x:v>4</x:v>
      </x:c>
      <x:c r="B13" s="3" t="s">
        <x:v>7</x:v>
      </x:c>
      <x:c r="C13" s="16">
        <x:f>+'RES Spline Model'!C13</x:f>
        <x:v>44197</x:v>
      </x:c>
    </x:row>
    <x:row r="14" spans="1:6" s="1" customFormat="1" ht="12" x14ac:dyDescent="0.25">
      <x:c r="A14" s="6">
        <x:f t="shared" si="0"/>
        <x:v>5</x:v>
      </x:c>
      <x:c r="B14" s="3" t="s">
        <x:v>8</x:v>
      </x:c>
      <x:c r="C14" s="16">
        <x:f>+'RES Spline Model'!C14</x:f>
        <x:v>45291</x:v>
      </x:c>
    </x:row>
    <x:row r="15" spans="1:6" s="1" customFormat="1" ht="11.4" x14ac:dyDescent="0.2">
      <x:c r="A15" s="6">
        <x:f t="shared" si="0"/>
        <x:v>6</x:v>
      </x:c>
    </x:row>
    <x:row r="16" spans="1:6" s="1" customFormat="1" ht="11.4" x14ac:dyDescent="0.2">
      <x:c r="A16" s="6">
        <x:f t="shared" si="0"/>
        <x:v>7</x:v>
      </x:c>
      <x:c r="B16" s="5" t="s">
        <x:v>0</x:v>
      </x:c>
      <x:c r="C16" s="5" t="s">
        <x:v>1</x:v>
      </x:c>
      <x:c r="D16" s="5" t="s">
        <x:v>2</x:v>
      </x:c>
      <x:c r="E16" s="5" t="s">
        <x:v>3</x:v>
      </x:c>
      <x:c r="F16" s="5" t="s">
        <x:v>4</x:v>
      </x:c>
    </x:row>
    <x:row r="17" spans="1:6" x14ac:dyDescent="0.25">
      <x:c r="A17" s="6">
        <x:f t="shared" si="0"/>
        <x:v>8</x:v>
      </x:c>
      <x:c r="B17" t="s">
        <x:v>37</x:v>
      </x:c>
      <x:c r="C17">
        <x:v>82363.327999999994</x:v>
      </x:c>
      <x:c r="D17">
        <x:v>894.70699999999999</x:v>
      </x:c>
      <x:c r="E17">
        <x:v>92.055999999999997</x:v>
      </x:c>
      <x:c r="F17" s="9">
        <x:v>0</x:v>
      </x:c>
    </x:row>
    <x:row r="18" spans="1:6" x14ac:dyDescent="0.25">
      <x:c r="A18" s="6">
        <x:f t="shared" si="0"/>
        <x:v>9</x:v>
      </x:c>
      <x:c r="B18" t="s">
        <x:v>99</x:v>
      </x:c>
      <x:c r="C18">
        <x:v>-758.86599999999999</x:v>
      </x:c>
      <x:c r="D18">
        <x:v>547.471</x:v>
      </x:c>
      <x:c r="E18">
        <x:v>-1.3859999999999999</x:v>
      </x:c>
      <x:c r="F18" s="9">
        <x:v>0.16600000000000001</x:v>
      </x:c>
    </x:row>
    <x:row r="19" spans="1:6" x14ac:dyDescent="0.25">
      <x:c r="A19" s="6">
        <x:f t="shared" si="0"/>
        <x:v>10</x:v>
      </x:c>
      <x:c r="B19" t="s">
        <x:v>100</x:v>
      </x:c>
      <x:c r="C19">
        <x:v>21180.424999999999</x:v>
      </x:c>
      <x:c r="D19">
        <x:v>372.47199999999998</x:v>
      </x:c>
      <x:c r="E19">
        <x:v>56.863999999999997</x:v>
      </x:c>
      <x:c r="F19" s="9">
        <x:v>0</x:v>
      </x:c>
    </x:row>
    <x:row r="20" spans="1:6" x14ac:dyDescent="0.25">
      <x:c r="A20" s="6">
        <x:f t="shared" si="0"/>
        <x:v>11</x:v>
      </x:c>
      <x:c r="B20" t="s">
        <x:v>101</x:v>
      </x:c>
      <x:c r="C20">
        <x:v>22815.46</x:v>
      </x:c>
      <x:c r="D20">
        <x:v>365.51900000000001</x:v>
      </x:c>
      <x:c r="E20">
        <x:v>62.418999999999997</x:v>
      </x:c>
      <x:c r="F20" s="9">
        <x:v>0</x:v>
      </x:c>
    </x:row>
    <x:row r="21" spans="1:6" x14ac:dyDescent="0.25">
      <x:c r="A21" s="6">
        <x:f t="shared" si="0"/>
        <x:v>12</x:v>
      </x:c>
      <x:c r="B21" t="s">
        <x:v>102</x:v>
      </x:c>
      <x:c r="C21">
        <x:v>23437.091</x:v>
      </x:c>
      <x:c r="D21">
        <x:v>364.53899999999999</x:v>
      </x:c>
      <x:c r="E21">
        <x:v>64.292000000000002</x:v>
      </x:c>
      <x:c r="F21" s="9">
        <x:v>0</x:v>
      </x:c>
    </x:row>
    <x:row r="22" spans="1:6" x14ac:dyDescent="0.25">
      <x:c r="A22" s="6">
        <x:f t="shared" si="0"/>
        <x:v>13</x:v>
      </x:c>
      <x:c r="B22" t="s">
        <x:v>103</x:v>
      </x:c>
      <x:c r="C22">
        <x:v>23217.530999999999</x:v>
      </x:c>
      <x:c r="D22">
        <x:v>366.64800000000002</x:v>
      </x:c>
      <x:c r="E22">
        <x:v>63.323999999999998</x:v>
      </x:c>
      <x:c r="F22" s="9">
        <x:v>0</x:v>
      </x:c>
    </x:row>
    <x:row r="23" spans="1:6" x14ac:dyDescent="0.25">
      <x:c r="A23" s="6">
        <x:f t="shared" si="0"/>
        <x:v>14</x:v>
      </x:c>
      <x:c r="B23" t="s">
        <x:v>104</x:v>
      </x:c>
      <x:c r="C23">
        <x:v>21317.225999999999</x:v>
      </x:c>
      <x:c r="D23">
        <x:v>367.13099999999997</x:v>
      </x:c>
      <x:c r="E23">
        <x:v>58.064</x:v>
      </x:c>
      <x:c r="F23" s="9">
        <x:v>0</x:v>
      </x:c>
    </x:row>
    <x:row r="24" spans="1:6" x14ac:dyDescent="0.25">
      <x:c r="A24" s="6">
        <x:f t="shared" si="0"/>
        <x:v>15</x:v>
      </x:c>
      <x:c r="B24" t="s">
        <x:v>105</x:v>
      </x:c>
      <x:c r="C24">
        <x:v>5935.5469999999996</x:v>
      </x:c>
      <x:c r="D24">
        <x:v>361.26400000000001</x:v>
      </x:c>
      <x:c r="E24">
        <x:v>16.43</x:v>
      </x:c>
      <x:c r="F24" s="9">
        <x:v>0</x:v>
      </x:c>
    </x:row>
    <x:row r="25" spans="1:6" x14ac:dyDescent="0.25">
      <x:c r="A25" s="6">
        <x:f t="shared" si="0"/>
        <x:v>16</x:v>
      </x:c>
      <x:c r="B25" t="s">
        <x:v>158</x:v>
      </x:c>
      <x:c r="C25">
        <x:v>-4239.8069999999998</x:v>
      </x:c>
      <x:c r="D25">
        <x:v>1898.6859999999999</x:v>
      </x:c>
      <x:c r="E25">
        <x:v>-2.2330000000000001</x:v>
      </x:c>
      <x:c r="F25" s="9">
        <x:v>2.5700000000000001E-2</x:v>
      </x:c>
    </x:row>
    <x:row r="26" spans="1:6" x14ac:dyDescent="0.25">
      <x:c r="A26" s="6">
        <x:f t="shared" si="0"/>
        <x:v>17</x:v>
      </x:c>
      <x:c r="B26" t="s">
        <x:v>106</x:v>
      </x:c>
      <x:c r="C26">
        <x:v>-7060.4939999999997</x:v>
      </x:c>
      <x:c r="D26">
        <x:v>2329.848</x:v>
      </x:c>
      <x:c r="E26">
        <x:v>-3.03</x:v>
      </x:c>
      <x:c r="F26" s="9">
        <x:v>2.5000000000000001E-3</x:v>
      </x:c>
    </x:row>
    <x:row r="27" spans="1:6" x14ac:dyDescent="0.25">
      <x:c r="A27" s="6">
        <x:f t="shared" si="0"/>
        <x:v>18</x:v>
      </x:c>
      <x:c r="B27" t="s">
        <x:v>141</x:v>
      </x:c>
      <x:c r="C27">
        <x:v>-7443.7520000000004</x:v>
      </x:c>
      <x:c r="D27">
        <x:v>1903.835</x:v>
      </x:c>
      <x:c r="E27">
        <x:v>-3.91</x:v>
      </x:c>
      <x:c r="F27" s="9">
        <x:v>1E-4</x:v>
      </x:c>
    </x:row>
    <x:row r="28" spans="1:6" x14ac:dyDescent="0.25">
      <x:c r="A28" s="6">
        <x:f t="shared" si="0"/>
        <x:v>19</x:v>
      </x:c>
      <x:c r="B28" t="s">
        <x:v>107</x:v>
      </x:c>
      <x:c r="C28">
        <x:v>-19905.852999999999</x:v>
      </x:c>
      <x:c r="D28">
        <x:v>1892.2170000000001</x:v>
      </x:c>
      <x:c r="E28">
        <x:v>-10.52</x:v>
      </x:c>
      <x:c r="F28" s="9">
        <x:v>0</x:v>
      </x:c>
    </x:row>
    <x:row r="29" spans="1:6" x14ac:dyDescent="0.25">
      <x:c r="A29" s="6">
        <x:f t="shared" si="0"/>
        <x:v>20</x:v>
      </x:c>
      <x:c r="B29" t="s">
        <x:v>142</x:v>
      </x:c>
      <x:c r="C29">
        <x:v>-22079.222000000002</x:v>
      </x:c>
      <x:c r="D29">
        <x:v>1885.019</x:v>
      </x:c>
      <x:c r="E29">
        <x:v>-11.712999999999999</x:v>
      </x:c>
      <x:c r="F29" s="9">
        <x:v>0</x:v>
      </x:c>
    </x:row>
    <x:row r="30" spans="1:6" x14ac:dyDescent="0.25">
      <x:c r="A30" s="6">
        <x:f t="shared" si="0"/>
        <x:v>21</x:v>
      </x:c>
      <x:c r="B30" t="s">
        <x:v>108</x:v>
      </x:c>
      <x:c r="C30">
        <x:v>-20697.178</x:v>
      </x:c>
      <x:c r="D30">
        <x:v>1896.7059999999999</x:v>
      </x:c>
      <x:c r="E30">
        <x:v>-10.912000000000001</x:v>
      </x:c>
      <x:c r="F30" s="9">
        <x:v>0</x:v>
      </x:c>
    </x:row>
    <x:row r="31" spans="1:6" x14ac:dyDescent="0.25">
      <x:c r="A31" s="6">
        <x:f t="shared" si="0"/>
        <x:v>22</x:v>
      </x:c>
      <x:c r="B31" t="s">
        <x:v>109</x:v>
      </x:c>
      <x:c r="C31">
        <x:v>-28023.453000000001</x:v>
      </x:c>
      <x:c r="D31">
        <x:v>1907.4469999999999</x:v>
      </x:c>
      <x:c r="E31">
        <x:v>-14.692</x:v>
      </x:c>
      <x:c r="F31" s="9">
        <x:v>0</x:v>
      </x:c>
    </x:row>
    <x:row r="32" spans="1:6" x14ac:dyDescent="0.25">
      <x:c r="A32" s="6">
        <x:f t="shared" si="0"/>
        <x:v>23</x:v>
      </x:c>
      <x:c r="B32" t="s">
        <x:v>110</x:v>
      </x:c>
      <x:c r="C32">
        <x:v>-18964.159</x:v>
      </x:c>
      <x:c r="D32">
        <x:v>1903.2460000000001</x:v>
      </x:c>
      <x:c r="E32">
        <x:v>-9.9640000000000004</x:v>
      </x:c>
      <x:c r="F32" s="9">
        <x:v>0</x:v>
      </x:c>
    </x:row>
    <x:row r="33" spans="1:6" x14ac:dyDescent="0.25">
      <x:c r="A33" s="6">
        <x:f t="shared" si="0"/>
        <x:v>24</x:v>
      </x:c>
      <x:c r="B33" t="s">
        <x:v>159</x:v>
      </x:c>
      <x:c r="C33">
        <x:v>-2098.3319999999999</x:v>
      </x:c>
      <x:c r="D33">
        <x:v>2220.3209999999999</x:v>
      </x:c>
      <x:c r="E33">
        <x:v>-0.94499999999999995</x:v>
      </x:c>
      <x:c r="F33" s="9">
        <x:v>0.3448</x:v>
      </x:c>
    </x:row>
    <x:row r="34" spans="1:6" x14ac:dyDescent="0.25">
      <x:c r="A34" s="6">
        <x:f t="shared" si="0"/>
        <x:v>25</x:v>
      </x:c>
      <x:c r="B34" t="s">
        <x:v>143</x:v>
      </x:c>
      <x:c r="C34">
        <x:v>-16210.189</x:v>
      </x:c>
      <x:c r="D34">
        <x:v>2052.145</x:v>
      </x:c>
      <x:c r="E34">
        <x:v>-7.899</x:v>
      </x:c>
      <x:c r="F34" s="9">
        <x:v>0</x:v>
      </x:c>
    </x:row>
    <x:row r="35" spans="1:6" x14ac:dyDescent="0.25">
      <x:c r="A35" s="6">
        <x:f t="shared" si="0"/>
        <x:v>26</x:v>
      </x:c>
      <x:c r="B35" t="s">
        <x:v>111</x:v>
      </x:c>
      <x:c r="C35">
        <x:v>-8604.0550000000003</x:v>
      </x:c>
      <x:c r="D35">
        <x:v>2086.6529999999998</x:v>
      </x:c>
      <x:c r="E35">
        <x:v>-4.1230000000000002</x:v>
      </x:c>
      <x:c r="F35" s="9">
        <x:v>0</x:v>
      </x:c>
    </x:row>
    <x:row r="36" spans="1:6" x14ac:dyDescent="0.25">
      <x:c r="A36" s="6">
        <x:f t="shared" si="0"/>
        <x:v>27</x:v>
      </x:c>
      <x:c r="B36" t="s">
        <x:v>168</x:v>
      </x:c>
      <x:c r="C36">
        <x:v>-6249.4</x:v>
      </x:c>
      <x:c r="D36">
        <x:v>2714.03</x:v>
      </x:c>
      <x:c r="E36">
        <x:v>-2.3029999999999999</x:v>
      </x:c>
      <x:c r="F36" s="9">
        <x:v>2.1499999999999998E-2</x:v>
      </x:c>
    </x:row>
    <x:row r="37" spans="1:6" x14ac:dyDescent="0.25">
      <x:c r="A37" s="6">
        <x:f t="shared" si="0"/>
        <x:v>28</x:v>
      </x:c>
      <x:c r="B37" t="s">
        <x:v>112</x:v>
      </x:c>
      <x:c r="C37">
        <x:v>-10038.284</x:v>
      </x:c>
      <x:c r="D37">
        <x:v>2092.634</x:v>
      </x:c>
      <x:c r="E37">
        <x:v>-4.7969999999999997</x:v>
      </x:c>
      <x:c r="F37" s="9">
        <x:v>0</x:v>
      </x:c>
    </x:row>
    <x:row r="38" spans="1:6" x14ac:dyDescent="0.25">
      <x:c r="A38" s="6">
        <x:f t="shared" si="0"/>
        <x:v>29</x:v>
      </x:c>
      <x:c r="B38" t="s">
        <x:v>113</x:v>
      </x:c>
      <x:c r="C38">
        <x:v>-11059.300999999999</x:v>
      </x:c>
      <x:c r="D38">
        <x:v>1890.2650000000001</x:v>
      </x:c>
      <x:c r="E38">
        <x:v>-5.851</x:v>
      </x:c>
      <x:c r="F38" s="9">
        <x:v>0</x:v>
      </x:c>
    </x:row>
    <x:row r="39" spans="1:6" x14ac:dyDescent="0.25">
      <x:c r="A39" s="6">
        <x:f t="shared" si="0"/>
        <x:v>30</x:v>
      </x:c>
      <x:c r="B39" t="s">
        <x:v>114</x:v>
      </x:c>
      <x:c r="C39">
        <x:v>-201.00399999999999</x:v>
      </x:c>
      <x:c r="D39">
        <x:v>55.508000000000003</x:v>
      </x:c>
      <x:c r="E39">
        <x:v>-3.621</x:v>
      </x:c>
      <x:c r="F39" s="9">
        <x:v>2.9999999999999997E-4</x:v>
      </x:c>
    </x:row>
    <x:row r="40" spans="1:6" x14ac:dyDescent="0.25">
      <x:c r="A40" s="6">
        <x:f t="shared" si="0"/>
        <x:v>31</x:v>
      </x:c>
      <x:c r="B40" t="s">
        <x:v>38</x:v>
      </x:c>
      <x:c r="C40">
        <x:v>1311.047</x:v>
      </x:c>
      <x:c r="D40">
        <x:v>507.58100000000002</x:v>
      </x:c>
      <x:c r="E40">
        <x:v>2.5830000000000002</x:v>
      </x:c>
      <x:c r="F40" s="9">
        <x:v>9.9000000000000008E-3</x:v>
      </x:c>
    </x:row>
    <x:row r="41" spans="1:6" x14ac:dyDescent="0.25">
      <x:c r="A41" s="6">
        <x:f t="shared" si="0"/>
        <x:v>32</x:v>
      </x:c>
      <x:c r="B41" t="s">
        <x:v>39</x:v>
      </x:c>
      <x:c r="C41">
        <x:v>-1721.6880000000001</x:v>
      </x:c>
      <x:c r="D41">
        <x:v>612.38800000000003</x:v>
      </x:c>
      <x:c r="E41">
        <x:v>-2.8109999999999999</x:v>
      </x:c>
      <x:c r="F41" s="9">
        <x:v>5.0000000000000001E-3</x:v>
      </x:c>
    </x:row>
    <x:row r="42" spans="1:6" x14ac:dyDescent="0.25">
      <x:c r="A42" s="6">
        <x:f t="shared" si="0"/>
        <x:v>33</x:v>
      </x:c>
      <x:c r="B42" t="s">
        <x:v>40</x:v>
      </x:c>
      <x:c r="C42">
        <x:v>-992.85500000000002</x:v>
      </x:c>
      <x:c r="D42">
        <x:v>779.16200000000003</x:v>
      </x:c>
      <x:c r="E42">
        <x:v>-1.274</x:v>
      </x:c>
      <x:c r="F42" s="9">
        <x:v>0.2029</x:v>
      </x:c>
    </x:row>
    <x:row r="43" spans="1:6" x14ac:dyDescent="0.25">
      <x:c r="A43" s="6">
        <x:f t="shared" ref="A43:A83" si="1">+A42+1</x:f>
        <x:v>34</x:v>
      </x:c>
      <x:c r="B43" t="s">
        <x:v>41</x:v>
      </x:c>
      <x:c r="C43">
        <x:v>1731.5239999999999</x:v>
      </x:c>
      <x:c r="D43">
        <x:v>827.18399999999997</x:v>
      </x:c>
      <x:c r="E43">
        <x:v>2.093</x:v>
      </x:c>
      <x:c r="F43" s="9">
        <x:v>3.6600000000000001E-2</x:v>
      </x:c>
    </x:row>
    <x:row r="44" spans="1:6" x14ac:dyDescent="0.25">
      <x:c r="A44" s="6">
        <x:f t="shared" si="1"/>
        <x:v>35</x:v>
      </x:c>
      <x:c r="B44" t="s">
        <x:v>42</x:v>
      </x:c>
      <x:c r="C44">
        <x:v>3732.998</x:v>
      </x:c>
      <x:c r="D44">
        <x:v>911.59699999999998</x:v>
      </x:c>
      <x:c r="E44">
        <x:v>4.0949999999999998</x:v>
      </x:c>
      <x:c r="F44" s="9">
        <x:v>1E-4</x:v>
      </x:c>
    </x:row>
    <x:row r="45" spans="1:6" x14ac:dyDescent="0.25">
      <x:c r="A45" s="6">
        <x:f t="shared" si="1"/>
        <x:v>36</x:v>
      </x:c>
      <x:c r="B45" t="s">
        <x:v>43</x:v>
      </x:c>
      <x:c r="C45">
        <x:v>4936.9840000000004</x:v>
      </x:c>
      <x:c r="D45">
        <x:v>954.81500000000005</x:v>
      </x:c>
      <x:c r="E45">
        <x:v>5.1710000000000003</x:v>
      </x:c>
      <x:c r="F45" s="9">
        <x:v>0</x:v>
      </x:c>
    </x:row>
    <x:row r="46" spans="1:6" x14ac:dyDescent="0.25">
      <x:c r="A46" s="6">
        <x:f t="shared" si="1"/>
        <x:v>37</x:v>
      </x:c>
      <x:c r="B46" t="s">
        <x:v>44</x:v>
      </x:c>
      <x:c r="C46">
        <x:v>9470.2340000000004</x:v>
      </x:c>
      <x:c r="D46">
        <x:v>945.04</x:v>
      </x:c>
      <x:c r="E46">
        <x:v>10.021000000000001</x:v>
      </x:c>
      <x:c r="F46" s="9">
        <x:v>0</x:v>
      </x:c>
    </x:row>
    <x:row r="47" spans="1:6" x14ac:dyDescent="0.25">
      <x:c r="A47" s="6">
        <x:f t="shared" si="1"/>
        <x:v>38</x:v>
      </x:c>
      <x:c r="B47" t="s">
        <x:v>45</x:v>
      </x:c>
      <x:c r="C47">
        <x:v>6164.7910000000002</x:v>
      </x:c>
      <x:c r="D47">
        <x:v>895.45699999999999</x:v>
      </x:c>
      <x:c r="E47">
        <x:v>6.8849999999999998</x:v>
      </x:c>
      <x:c r="F47" s="9">
        <x:v>0</x:v>
      </x:c>
    </x:row>
    <x:row r="48" spans="1:6" x14ac:dyDescent="0.25">
      <x:c r="A48" s="6">
        <x:f t="shared" si="1"/>
        <x:v>39</x:v>
      </x:c>
      <x:c r="B48" t="s">
        <x:v>52</x:v>
      </x:c>
      <x:c r="C48">
        <x:v>2457.3000000000002</x:v>
      </x:c>
      <x:c r="D48">
        <x:v>796.45299999999997</x:v>
      </x:c>
      <x:c r="E48">
        <x:v>3.085</x:v>
      </x:c>
      <x:c r="F48" s="9">
        <x:v>2.0999999999999999E-3</x:v>
      </x:c>
    </x:row>
    <x:row r="49" spans="1:6" x14ac:dyDescent="0.25">
      <x:c r="A49" s="6">
        <x:f t="shared" si="1"/>
        <x:v>40</x:v>
      </x:c>
      <x:c r="B49" t="s">
        <x:v>46</x:v>
      </x:c>
      <x:c r="C49">
        <x:v>-949.57799999999997</x:v>
      </x:c>
      <x:c r="D49">
        <x:v>529.42200000000003</x:v>
      </x:c>
      <x:c r="E49">
        <x:v>-1.794</x:v>
      </x:c>
      <x:c r="F49" s="9">
        <x:v>7.3200000000000001E-2</x:v>
      </x:c>
    </x:row>
    <x:row r="50" spans="1:6" x14ac:dyDescent="0.25">
      <x:c r="A50" s="6">
        <x:f t="shared" si="1"/>
        <x:v>41</x:v>
      </x:c>
      <x:c r="B50" t="s">
        <x:v>47</x:v>
      </x:c>
      <x:c r="C50">
        <x:v>2405.7759999999998</x:v>
      </x:c>
      <x:c r="D50">
        <x:v>1053.836</x:v>
      </x:c>
      <x:c r="E50">
        <x:v>2.2829999999999999</x:v>
      </x:c>
      <x:c r="F50" s="9">
        <x:v>2.2599999999999999E-2</x:v>
      </x:c>
    </x:row>
    <x:row r="51" spans="1:6" x14ac:dyDescent="0.25">
      <x:c r="A51" s="6">
        <x:f t="shared" si="1"/>
        <x:v>42</x:v>
      </x:c>
      <x:c r="B51" t="s">
        <x:v>81</x:v>
      </x:c>
      <x:c r="C51">
        <x:v>1988.894</x:v>
      </x:c>
      <x:c r="D51">
        <x:v>123.59399999999999</x:v>
      </x:c>
      <x:c r="E51">
        <x:v>16.091999999999999</x:v>
      </x:c>
      <x:c r="F51" s="9">
        <x:v>0</x:v>
      </x:c>
    </x:row>
    <x:row r="52" spans="1:6" x14ac:dyDescent="0.25">
      <x:c r="A52" s="6">
        <x:f t="shared" si="1"/>
        <x:v>43</x:v>
      </x:c>
      <x:c r="B52" t="s">
        <x:v>160</x:v>
      </x:c>
      <x:c r="C52">
        <x:v>321.18099999999998</x:v>
      </x:c>
      <x:c r="D52">
        <x:v>158.672</x:v>
      </x:c>
      <x:c r="E52">
        <x:v>2.024</x:v>
      </x:c>
      <x:c r="F52" s="9">
        <x:v>4.3200000000000002E-2</x:v>
      </x:c>
    </x:row>
    <x:row r="53" spans="1:6" x14ac:dyDescent="0.25">
      <x:c r="A53" s="6">
        <x:f t="shared" si="1"/>
        <x:v>44</x:v>
      </x:c>
      <x:c r="B53" t="s">
        <x:v>183</x:v>
      </x:c>
      <x:c r="C53">
        <x:v>515.31500000000005</x:v>
      </x:c>
      <x:c r="D53">
        <x:v>258.58999999999997</x:v>
      </x:c>
      <x:c r="E53">
        <x:v>1.9930000000000001</x:v>
      </x:c>
      <x:c r="F53" s="9">
        <x:v>4.65E-2</x:v>
      </x:c>
    </x:row>
    <x:row r="54" spans="1:6" x14ac:dyDescent="0.25">
      <x:c r="A54" s="6">
        <x:f t="shared" si="1"/>
        <x:v>45</x:v>
      </x:c>
      <x:c r="B54" t="s">
        <x:v>161</x:v>
      </x:c>
      <x:c r="C54">
        <x:v>280.02600000000001</x:v>
      </x:c>
      <x:c r="D54">
        <x:v>152.14400000000001</x:v>
      </x:c>
      <x:c r="E54">
        <x:v>1.841</x:v>
      </x:c>
      <x:c r="F54" s="9">
        <x:v>6.6000000000000003E-2</x:v>
      </x:c>
    </x:row>
    <x:row r="55" spans="1:6" x14ac:dyDescent="0.25">
      <x:c r="A55" s="6">
        <x:f t="shared" si="1"/>
        <x:v>46</x:v>
      </x:c>
      <x:c r="B55" t="s">
        <x:v>176</x:v>
      </x:c>
      <x:c r="C55">
        <x:v>-241.12</x:v>
      </x:c>
      <x:c r="D55">
        <x:v>141.136</x:v>
      </x:c>
      <x:c r="E55">
        <x:v>-1.708</x:v>
      </x:c>
      <x:c r="F55" s="9">
        <x:v>8.7900000000000006E-2</x:v>
      </x:c>
    </x:row>
    <x:row r="56" spans="1:6" x14ac:dyDescent="0.25">
      <x:c r="A56" s="6">
        <x:f t="shared" si="1"/>
        <x:v>47</x:v>
      </x:c>
      <x:c r="B56" t="s">
        <x:v>184</x:v>
      </x:c>
      <x:c r="C56">
        <x:v>741.05899999999997</x:v>
      </x:c>
      <x:c r="D56">
        <x:v>248.26</x:v>
      </x:c>
      <x:c r="E56">
        <x:v>2.9849999999999999</x:v>
      </x:c>
      <x:c r="F56" s="9">
        <x:v>2.8999999999999998E-3</x:v>
      </x:c>
    </x:row>
    <x:row r="57" spans="1:6" x14ac:dyDescent="0.25">
      <x:c r="A57" s="6">
        <x:f t="shared" si="1"/>
        <x:v>48</x:v>
      </x:c>
      <x:c r="B57" t="s">
        <x:v>162</x:v>
      </x:c>
      <x:c r="C57">
        <x:v>515.274</x:v>
      </x:c>
      <x:c r="D57">
        <x:v>247.761</x:v>
      </x:c>
      <x:c r="E57">
        <x:v>2.08</x:v>
      </x:c>
      <x:c r="F57" s="9">
        <x:v>3.78E-2</x:v>
      </x:c>
    </x:row>
    <x:row r="58" spans="1:6" x14ac:dyDescent="0.25">
      <x:c r="A58" s="6">
        <x:f t="shared" si="1"/>
        <x:v>49</x:v>
      </x:c>
      <x:c r="B58" t="s">
        <x:v>163</x:v>
      </x:c>
      <x:c r="C58">
        <x:v>703.90700000000004</x:v>
      </x:c>
      <x:c r="D58">
        <x:v>242.416</x:v>
      </x:c>
      <x:c r="E58">
        <x:v>2.9039999999999999</x:v>
      </x:c>
      <x:c r="F58" s="9">
        <x:v>3.8E-3</x:v>
      </x:c>
    </x:row>
    <x:row r="59" spans="1:6" x14ac:dyDescent="0.25">
      <x:c r="A59" s="6">
        <x:f t="shared" si="1"/>
        <x:v>50</x:v>
      </x:c>
      <x:c r="B59" t="s">
        <x:v>164</x:v>
      </x:c>
      <x:c r="C59">
        <x:v>524.42999999999995</x:v>
      </x:c>
      <x:c r="D59">
        <x:v>228.446</x:v>
      </x:c>
      <x:c r="E59">
        <x:v>2.2959999999999998</x:v>
      </x:c>
      <x:c r="F59" s="9">
        <x:v>2.1899999999999999E-2</x:v>
      </x:c>
    </x:row>
    <x:row r="60" spans="1:6" x14ac:dyDescent="0.25">
      <x:c r="A60" s="6">
        <x:f t="shared" si="1"/>
        <x:v>51</x:v>
      </x:c>
      <x:c r="B60" t="s">
        <x:v>185</x:v>
      </x:c>
      <x:c r="C60">
        <x:v>98.37</x:v>
      </x:c>
      <x:c r="D60">
        <x:v>221.36099999999999</x:v>
      </x:c>
      <x:c r="E60">
        <x:v>0.44400000000000001</x:v>
      </x:c>
      <x:c r="F60" s="9">
        <x:v>0.65690000000000004</x:v>
      </x:c>
    </x:row>
    <x:row r="61" spans="1:6" x14ac:dyDescent="0.25">
      <x:c r="A61" s="6">
        <x:f t="shared" si="1"/>
        <x:v>52</x:v>
      </x:c>
      <x:c r="B61" t="s">
        <x:v>186</x:v>
      </x:c>
      <x:c r="C61">
        <x:v>-244.48599999999999</x:v>
      </x:c>
      <x:c r="D61">
        <x:v>166.04599999999999</x:v>
      </x:c>
      <x:c r="E61">
        <x:v>-1.472</x:v>
      </x:c>
      <x:c r="F61" s="9">
        <x:v>0.14119999999999999</x:v>
      </x:c>
    </x:row>
    <x:row r="62" spans="1:6" x14ac:dyDescent="0.25">
      <x:c r="A62" s="6">
        <x:f t="shared" si="1"/>
        <x:v>53</x:v>
      </x:c>
      <x:c r="B62" t="s">
        <x:v>115</x:v>
      </x:c>
      <x:c r="C62">
        <x:v>-48118.98</x:v>
      </x:c>
      <x:c r="D62">
        <x:v>4199.6570000000002</x:v>
      </x:c>
      <x:c r="E62">
        <x:v>-11.458</x:v>
      </x:c>
      <x:c r="F62" s="9">
        <x:v>0</x:v>
      </x:c>
    </x:row>
    <x:row r="63" spans="1:6" x14ac:dyDescent="0.25">
      <x:c r="A63" s="6">
        <x:f t="shared" si="1"/>
        <x:v>54</x:v>
      </x:c>
      <x:c r="B63" t="s">
        <x:v>116</x:v>
      </x:c>
      <x:c r="C63">
        <x:v>-50203.669000000002</x:v>
      </x:c>
      <x:c r="D63">
        <x:v>3470.6080000000002</x:v>
      </x:c>
      <x:c r="E63">
        <x:v>-14.465</x:v>
      </x:c>
      <x:c r="F63" s="9">
        <x:v>0</x:v>
      </x:c>
    </x:row>
    <x:row r="64" spans="1:6" x14ac:dyDescent="0.25">
      <x:c r="A64" s="6">
        <x:f t="shared" si="1"/>
        <x:v>55</x:v>
      </x:c>
      <x:c r="B64" t="s">
        <x:v>155</x:v>
      </x:c>
      <x:c r="C64">
        <x:v>-25564.484</x:v>
      </x:c>
      <x:c r="D64">
        <x:v>3309.759</x:v>
      </x:c>
      <x:c r="E64">
        <x:v>-7.7240000000000002</x:v>
      </x:c>
      <x:c r="F64" s="9">
        <x:v>0</x:v>
      </x:c>
    </x:row>
    <x:row r="65" spans="1:6" x14ac:dyDescent="0.25">
      <x:c r="A65" s="6">
        <x:f t="shared" si="1"/>
        <x:v>56</x:v>
      </x:c>
      <x:c r="B65" t="s">
        <x:v>156</x:v>
      </x:c>
      <x:c r="C65">
        <x:v>-17239.745999999999</x:v>
      </x:c>
      <x:c r="D65">
        <x:v>3288.38</x:v>
      </x:c>
      <x:c r="E65">
        <x:v>-5.2430000000000003</x:v>
      </x:c>
      <x:c r="F65" s="9">
        <x:v>0</x:v>
      </x:c>
    </x:row>
    <x:row r="66" spans="1:6" x14ac:dyDescent="0.25">
      <x:c r="A66" s="6">
        <x:f t="shared" si="1"/>
        <x:v>57</x:v>
      </x:c>
      <x:c r="B66" t="s">
        <x:v>157</x:v>
      </x:c>
      <x:c r="C66">
        <x:v>-12539.128000000001</x:v>
      </x:c>
      <x:c r="D66">
        <x:v>3273.4589999999998</x:v>
      </x:c>
      <x:c r="E66">
        <x:v>-3.831</x:v>
      </x:c>
      <x:c r="F66" s="9">
        <x:v>1E-4</x:v>
      </x:c>
    </x:row>
    <x:row r="67" spans="1:6" x14ac:dyDescent="0.25">
      <x:c r="A67" s="6">
        <x:f t="shared" si="1"/>
        <x:v>58</x:v>
      </x:c>
      <x:c r="F67" s="9"/>
    </x:row>
    <x:row r="68" spans="1:6" x14ac:dyDescent="0.25">
      <x:c r="A68" s="6">
        <x:f t="shared" si="1"/>
        <x:v>59</x:v>
      </x:c>
      <x:c r="B68" s="4" t="s">
        <x:v>90</x:v>
      </x:c>
      <x:c r="F68" s="9"/>
    </x:row>
    <x:row r="69" spans="1:6" x14ac:dyDescent="0.25">
      <x:c r="A69" s="6">
        <x:f t="shared" si="1"/>
        <x:v>60</x:v>
      </x:c>
      <x:c r="B69" t="s">
        <x:v>30</x:v>
      </x:c>
      <x:c r="C69" s="15">
        <x:v>1095</x:v>
      </x:c>
      <x:c r="F69" s="9"/>
    </x:row>
    <x:row r="70" spans="1:6" x14ac:dyDescent="0.25">
      <x:c r="A70" s="6">
        <x:f t="shared" si="1"/>
        <x:v>61</x:v>
      </x:c>
      <x:c r="B70" t="s">
        <x:v>10</x:v>
      </x:c>
      <x:c r="C70" s="15">
        <x:v>1045</x:v>
      </x:c>
      <x:c r="F70" s="9"/>
    </x:row>
    <x:row r="71" spans="1:6" x14ac:dyDescent="0.25">
      <x:c r="A71" s="6">
        <x:f t="shared" si="1"/>
        <x:v>62</x:v>
      </x:c>
      <x:c r="B71" t="s">
        <x:v>12</x:v>
      </x:c>
      <x:c r="C71" s="23">
        <x:v>0.98099999999999998</x:v>
      </x:c>
      <x:c r="F71" s="9"/>
    </x:row>
    <x:row r="72" spans="1:6" x14ac:dyDescent="0.25">
      <x:c r="A72" s="6">
        <x:f t="shared" si="1"/>
        <x:v>63</x:v>
      </x:c>
      <x:c r="B72" t="s">
        <x:v>13</x:v>
      </x:c>
      <x:c r="C72" s="21">
        <x:v>0.98</x:v>
      </x:c>
      <x:c r="F72" s="9"/>
    </x:row>
    <x:row r="73" spans="1:6" x14ac:dyDescent="0.25">
      <x:c r="A73" s="6">
        <x:f t="shared" si="1"/>
        <x:v>64</x:v>
      </x:c>
      <x:c r="B73" t="s">
        <x:v>15</x:v>
      </x:c>
      <x:c r="C73" s="15">
        <x:v>1099.48</x:v>
      </x:c>
      <x:c r="F73" s="9"/>
    </x:row>
    <x:row r="74" spans="1:6" x14ac:dyDescent="0.25">
      <x:c r="A74" s="6">
        <x:f t="shared" si="1"/>
        <x:v>65</x:v>
      </x:c>
      <x:c r="B74" t="s">
        <x:v>16</x:v>
      </x:c>
      <x:c r="C74" s="18">
        <x:v>0</x:v>
      </x:c>
      <x:c r="F74" s="9"/>
    </x:row>
    <x:row r="75" spans="1:6" x14ac:dyDescent="0.25">
      <x:c r="A75" s="6">
        <x:f t="shared" si="1"/>
        <x:v>66</x:v>
      </x:c>
      <x:c r="B75" t="s">
        <x:v>17</x:v>
      </x:c>
      <x:c r="C75" s="15">
        <x:v>548967811634.08002</x:v>
      </x:c>
    </x:row>
    <x:row r="76" spans="1:6" x14ac:dyDescent="0.25">
      <x:c r="A76" s="6">
        <x:f t="shared" si="1"/>
        <x:v>67</x:v>
      </x:c>
      <x:c r="B76" t="s">
        <x:v>18</x:v>
      </x:c>
      <x:c r="C76" s="15">
        <x:v>10648287088.959999</x:v>
      </x:c>
      <x:c r="F76" s="9"/>
    </x:row>
    <x:row r="77" spans="1:6" x14ac:dyDescent="0.25">
      <x:c r="A77" s="6">
        <x:f t="shared" si="1"/>
        <x:v>68</x:v>
      </x:c>
      <x:c r="B77" t="s">
        <x:v>19</x:v>
      </x:c>
      <x:c r="C77" s="15">
        <x:v>10189748.41</x:v>
      </x:c>
      <x:c r="F77" s="9"/>
    </x:row>
    <x:row r="78" spans="1:6" x14ac:dyDescent="0.25">
      <x:c r="A78" s="6">
        <x:f t="shared" si="1"/>
        <x:v>69</x:v>
      </x:c>
      <x:c r="B78" t="s">
        <x:v>20</x:v>
      </x:c>
      <x:c r="C78" s="25">
        <x:v>3192.14</x:v>
      </x:c>
      <x:c r="F78" s="9"/>
    </x:row>
    <x:row r="79" spans="1:6" x14ac:dyDescent="0.25">
      <x:c r="A79" s="6">
        <x:f t="shared" si="1"/>
        <x:v>70</x:v>
      </x:c>
      <x:c r="B79" t="s">
        <x:v>9</x:v>
      </x:c>
      <x:c r="C79" s="26">
        <x:v>2298.9299999999998</x:v>
      </x:c>
    </x:row>
    <x:row r="80" spans="1:6" x14ac:dyDescent="0.25">
      <x:c r="A80" s="6">
        <x:f t="shared" si="1"/>
        <x:v>71</x:v>
      </x:c>
      <x:c r="B80" t="s">
        <x:v>11</x:v>
      </x:c>
      <x:c r="C80" s="9">
        <x:v>1.8599999999999998E-2</x:v>
      </x:c>
    </x:row>
    <x:row r="81" spans="1:3" x14ac:dyDescent="0.25">
      <x:c r="A81" s="6">
        <x:f t="shared" si="1"/>
        <x:v>72</x:v>
      </x:c>
      <x:c r="B81" t="s">
        <x:v>14</x:v>
      </x:c>
      <x:c r="C81">
        <x:v>1.095</x:v>
      </x:c>
    </x:row>
    <x:row r="82" spans="1:3" x14ac:dyDescent="0.25">
      <x:c r="A82" s="6">
        <x:f t="shared" si="1"/>
        <x:v>73</x:v>
      </x:c>
      <x:c r="B82" t="s">
        <x:v>21</x:v>
      </x:c>
      <x:c r="C82">
        <x:v>338.26</x:v>
      </x:c>
    </x:row>
    <x:row r="83" spans="1:3" x14ac:dyDescent="0.25">
      <x:c r="A83" s="6">
        <x:f t="shared" si="1"/>
        <x:v>74</x:v>
      </x:c>
      <x:c r="B83" t="s">
        <x:v>22</x:v>
      </x:c>
      <x:c r="C83" s="18">
        <x:v>0</x:v>
      </x:c>
    </x:row>
  </x:sheetData>
  <x:mergeCells count="6">
    <x:mergeCell ref="B6:F6"/>
    <x:mergeCell ref="B8:F8"/>
    <x:mergeCell ref="B1:F1"/>
    <x:mergeCell ref="B2:F2"/>
    <x:mergeCell ref="B3:F3"/>
    <x:mergeCell ref="B4:F4"/>
  </x:mergeCells>
  <x:phoneticPr fontId="0" type="noConversion"/>
  <x:printOptions horizontalCentered="1"/>
  <x:pageMargins left="0.83" right="0.53" top="1.5" bottom="1" header="1" footer="0.5"/>
  <x:pageSetup scale="59" firstPageNumber="7" orientation="portrait" r:id="rId1"/>
  <x:headerFooter scaleWithDoc="0" alignWithMargins="0">
    <x:oddHeader>&amp;RWP/II-H-5.2/6
Page &amp;P of 20</x:oddHeader>
  </x:headerFooter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 codeName="Sheet14">
    <x:pageSetUpPr fitToPage="1"/>
  </x:sheetPr>
  <x:dimension ref="A1:K49"/>
  <x:sheetViews>
    <x:sheetView zoomScaleNormal="100" workbookViewId="0">
      <x:selection activeCell="G5" sqref="G5"/>
    </x:sheetView>
  </x:sheetViews>
  <x:sheetFormatPr defaultRowHeight="13.2" x14ac:dyDescent="0.25"/>
  <x:cols>
    <x:col min="1" max="1" width="9.33203125" bestFit="1" customWidth="1"/>
    <x:col min="2" max="2" width="26.88671875" bestFit="1" customWidth="1"/>
    <x:col min="3" max="3" width="12.5546875" customWidth="1"/>
    <x:col min="4" max="5" width="9.33203125" bestFit="1" customWidth="1"/>
    <x:col min="6" max="6" width="9.33203125" customWidth="1"/>
  </x:cols>
  <x:sheetData>
    <x:row r="1" spans="1:11" s="1" customFormat="1" ht="15.6" x14ac:dyDescent="0.3">
      <x:c r="A1" s="6"/>
      <x:c r="B1" s="43" t="str">
        <x:f>+'RES Spline Model'!B1:F1</x:f>
        <x:v>2025 RATE CASE</x:v>
      </x:c>
      <x:c r="C1" s="44"/>
      <x:c r="D1" s="44"/>
      <x:c r="E1" s="44"/>
      <x:c r="F1" s="44"/>
      <x:c r="G1" s="44"/>
      <x:c r="H1" s="44"/>
      <x:c r="I1" s="44"/>
      <x:c r="J1" s="44"/>
      <x:c r="K1" s="38"/>
    </x:row>
    <x:row r="2" spans="1:11" s="1" customFormat="1" ht="15.6" x14ac:dyDescent="0.3">
      <x:c r="A2" s="6"/>
      <x:c r="B2" s="43" t="str">
        <x:f>+'RES Spline Model'!B2:F2</x:f>
        <x:v>ONCOR ELECTRIC DELIVERY COMPANY LLC</x:v>
      </x:c>
      <x:c r="C2" s="44"/>
      <x:c r="D2" s="44"/>
      <x:c r="E2" s="44"/>
      <x:c r="F2" s="44"/>
      <x:c r="G2" s="44"/>
      <x:c r="H2" s="44"/>
      <x:c r="I2" s="44"/>
      <x:c r="J2" s="44"/>
      <x:c r="K2" s="38"/>
    </x:row>
    <x:row r="3" spans="1:11" s="1" customFormat="1" ht="15.6" x14ac:dyDescent="0.3">
      <x:c r="A3" s="6"/>
      <x:c r="B3" s="43" t="str">
        <x:f>+'RES Spline Model'!B3:F3</x:f>
        <x:v>ADJUSTED WEATHER STATION DATA</x:v>
      </x:c>
      <x:c r="C3" s="44"/>
      <x:c r="D3" s="44"/>
      <x:c r="E3" s="44"/>
      <x:c r="F3" s="44"/>
      <x:c r="G3" s="44"/>
      <x:c r="H3" s="44"/>
      <x:c r="I3" s="44"/>
      <x:c r="J3" s="44"/>
      <x:c r="K3" s="38"/>
    </x:row>
    <x:row r="4" spans="1:11" s="1" customFormat="1" ht="15.6" x14ac:dyDescent="0.3">
      <x:c r="A4" s="6"/>
      <x:c r="B4" s="43" t="str">
        <x:f>+'RES Spline Model'!B4:F4</x:f>
        <x:v>FOR THE TEST YEAR ENDING DECEMBER 31, 2024</x:v>
      </x:c>
      <x:c r="C4" s="44"/>
      <x:c r="D4" s="44"/>
      <x:c r="E4" s="44"/>
      <x:c r="F4" s="44"/>
      <x:c r="G4" s="44"/>
      <x:c r="H4" s="44"/>
      <x:c r="I4" s="44"/>
      <x:c r="J4" s="44"/>
      <x:c r="K4" s="38"/>
    </x:row>
    <x:row r="5" spans="1:11" s="1" customFormat="1" ht="11.4" x14ac:dyDescent="0.2">
      <x:c r="A5" s="6"/>
      <x:c r="K5" s="40"/>
    </x:row>
    <x:row r="6" spans="1:11" s="1" customFormat="1" ht="15.6" x14ac:dyDescent="0.3">
      <x:c r="A6" s="6"/>
      <x:c r="B6" s="43" t="str">
        <x:f>+'RES Spline Model'!B6:F6</x:f>
        <x:v>SPONSOR: D. E. NELSON</x:v>
      </x:c>
      <x:c r="C6" s="44"/>
      <x:c r="D6" s="44"/>
      <x:c r="E6" s="44"/>
      <x:c r="F6" s="44"/>
      <x:c r="G6" s="44"/>
      <x:c r="H6" s="44"/>
      <x:c r="I6" s="44"/>
      <x:c r="J6" s="44"/>
      <x:c r="K6" s="38"/>
    </x:row>
    <x:row r="8" spans="1:11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11" s="1" customFormat="1" ht="11.4" x14ac:dyDescent="0.2">
      <x:c r="A9" s="7" t="s">
        <x:v>24</x:v>
      </x:c>
      <x:c r="B9" s="8"/>
      <x:c r="C9" s="8"/>
      <x:c r="D9" s="8"/>
      <x:c r="E9" s="8"/>
      <x:c r="F9" s="8"/>
    </x:row>
    <x:row r="10" spans="1:11" s="1" customFormat="1" x14ac:dyDescent="0.25">
      <x:c r="A10" s="6">
        <x:v>1</x:v>
      </x:c>
      <x:c r="B10" s="42" t="s">
        <x:v>63</x:v>
      </x:c>
      <x:c r="C10" s="44"/>
      <x:c r="D10" s="44"/>
      <x:c r="E10" s="44"/>
      <x:c r="F10" s="44"/>
      <x:c r="G10" s="44"/>
      <x:c r="H10" s="44"/>
      <x:c r="I10" s="44"/>
      <x:c r="J10" s="44"/>
      <x:c r="K10" s="44"/>
    </x:row>
    <x:row r="11" spans="1:11" s="1" customFormat="1" x14ac:dyDescent="0.25">
      <x:c r="A11" s="6">
        <x:f t="shared" ref="A11:A37" si="0">+A10+1</x:f>
        <x:v>2</x:v>
      </x:c>
      <x:c r="B11" s="42" t="s">
        <x:v>53</x:v>
      </x:c>
      <x:c r="C11" s="44"/>
      <x:c r="D11" s="44"/>
      <x:c r="E11" s="44"/>
      <x:c r="F11" s="44"/>
      <x:c r="G11" s="44"/>
      <x:c r="H11" s="44"/>
      <x:c r="I11" s="44"/>
      <x:c r="J11" s="44"/>
      <x:c r="K11" s="44"/>
    </x:row>
    <x:row r="12" spans="1:11" s="1" customFormat="1" ht="12" x14ac:dyDescent="0.25">
      <x:c r="A12" s="6">
        <x:f t="shared" si="0"/>
        <x:v>3</x:v>
      </x:c>
      <x:c r="B12" s="3"/>
      <x:c r="C12" s="10"/>
    </x:row>
    <x:row r="13" spans="1:11" s="1" customFormat="1" ht="12" x14ac:dyDescent="0.25">
      <x:c r="A13" s="6">
        <x:f t="shared" si="0"/>
        <x:v>4</x:v>
      </x:c>
      <x:c r="B13" s="3"/>
      <x:c r="C13" s="10"/>
    </x:row>
    <x:row r="14" spans="1:11" s="1" customFormat="1" ht="11.4" x14ac:dyDescent="0.2">
      <x:c r="A14" s="6">
        <x:f t="shared" si="0"/>
        <x:v>5</x:v>
      </x:c>
    </x:row>
    <x:row r="15" spans="1:11" s="1" customFormat="1" ht="11.4" x14ac:dyDescent="0.2">
      <x:c r="A15" s="6">
        <x:f t="shared" si="0"/>
        <x:v>6</x:v>
      </x:c>
      <x:c r="B15" s="12"/>
      <x:c r="C15" s="12"/>
      <x:c r="D15" s="12"/>
      <x:c r="E15" s="12"/>
      <x:c r="F15" s="12"/>
    </x:row>
    <x:row r="16" spans="1:11" x14ac:dyDescent="0.25">
      <x:c r="A16" s="6">
        <x:f t="shared" si="0"/>
        <x:v>7</x:v>
      </x:c>
      <x:c r="F16" s="9"/>
    </x:row>
    <x:row r="17" spans="1:6" x14ac:dyDescent="0.25">
      <x:c r="A17" s="6">
        <x:f t="shared" si="0"/>
        <x:v>8</x:v>
      </x:c>
      <x:c r="F17" s="9"/>
    </x:row>
    <x:row r="18" spans="1:6" x14ac:dyDescent="0.25">
      <x:c r="A18" s="6">
        <x:f t="shared" si="0"/>
        <x:v>9</x:v>
      </x:c>
      <x:c r="F18" s="9"/>
    </x:row>
    <x:row r="19" spans="1:6" x14ac:dyDescent="0.25">
      <x:c r="A19" s="6">
        <x:f t="shared" si="0"/>
        <x:v>10</x:v>
      </x:c>
      <x:c r="F19" s="9"/>
    </x:row>
    <x:row r="20" spans="1:6" x14ac:dyDescent="0.25">
      <x:c r="A20" s="6">
        <x:f t="shared" si="0"/>
        <x:v>11</x:v>
      </x:c>
      <x:c r="F20" s="9"/>
    </x:row>
    <x:row r="21" spans="1:6" x14ac:dyDescent="0.25">
      <x:c r="A21" s="6">
        <x:f t="shared" si="0"/>
        <x:v>12</x:v>
      </x:c>
      <x:c r="F21" s="9"/>
    </x:row>
    <x:row r="22" spans="1:6" x14ac:dyDescent="0.25">
      <x:c r="A22" s="6">
        <x:f t="shared" si="0"/>
        <x:v>13</x:v>
      </x:c>
      <x:c r="F22" s="9"/>
    </x:row>
    <x:row r="23" spans="1:6" x14ac:dyDescent="0.25">
      <x:c r="A23" s="6">
        <x:f t="shared" si="0"/>
        <x:v>14</x:v>
      </x:c>
      <x:c r="F23" s="9"/>
    </x:row>
    <x:row r="24" spans="1:6" x14ac:dyDescent="0.25">
      <x:c r="A24" s="6">
        <x:f t="shared" si="0"/>
        <x:v>15</x:v>
      </x:c>
      <x:c r="F24" s="9"/>
    </x:row>
    <x:row r="25" spans="1:6" x14ac:dyDescent="0.25">
      <x:c r="A25" s="6">
        <x:f t="shared" si="0"/>
        <x:v>16</x:v>
      </x:c>
      <x:c r="F25" s="9"/>
    </x:row>
    <x:row r="26" spans="1:6" x14ac:dyDescent="0.25">
      <x:c r="A26" s="6">
        <x:f t="shared" si="0"/>
        <x:v>17</x:v>
      </x:c>
      <x:c r="F26" s="9"/>
    </x:row>
    <x:row r="27" spans="1:6" x14ac:dyDescent="0.25">
      <x:c r="A27" s="6">
        <x:f t="shared" si="0"/>
        <x:v>18</x:v>
      </x:c>
      <x:c r="F27" s="9"/>
    </x:row>
    <x:row r="28" spans="1:6" x14ac:dyDescent="0.25">
      <x:c r="A28" s="6">
        <x:f t="shared" si="0"/>
        <x:v>19</x:v>
      </x:c>
      <x:c r="F28" s="9"/>
    </x:row>
    <x:row r="29" spans="1:6" x14ac:dyDescent="0.25">
      <x:c r="A29" s="6">
        <x:f t="shared" si="0"/>
        <x:v>20</x:v>
      </x:c>
      <x:c r="F29" s="9"/>
    </x:row>
    <x:row r="30" spans="1:6" x14ac:dyDescent="0.25">
      <x:c r="A30" s="6">
        <x:f t="shared" si="0"/>
        <x:v>21</x:v>
      </x:c>
      <x:c r="F30" s="9"/>
    </x:row>
    <x:row r="31" spans="1:6" x14ac:dyDescent="0.25">
      <x:c r="A31" s="6">
        <x:f t="shared" si="0"/>
        <x:v>22</x:v>
      </x:c>
      <x:c r="F31" s="9"/>
    </x:row>
    <x:row r="32" spans="1:6" x14ac:dyDescent="0.25">
      <x:c r="A32" s="6">
        <x:f t="shared" si="0"/>
        <x:v>23</x:v>
      </x:c>
      <x:c r="F32" s="9"/>
    </x:row>
    <x:row r="33" spans="1:7" x14ac:dyDescent="0.25">
      <x:c r="A33" s="6">
        <x:f t="shared" si="0"/>
        <x:v>24</x:v>
      </x:c>
    </x:row>
    <x:row r="34" spans="1:7" x14ac:dyDescent="0.25">
      <x:c r="A34" s="6">
        <x:f t="shared" si="0"/>
        <x:v>25</x:v>
      </x:c>
      <x:c r="B34" s="19"/>
    </x:row>
    <x:row r="35" spans="1:7" x14ac:dyDescent="0.25">
      <x:c r="A35" s="6">
        <x:f t="shared" si="0"/>
        <x:v>26</x:v>
      </x:c>
      <x:c r="F35" s="2"/>
    </x:row>
    <x:row r="36" spans="1:7" x14ac:dyDescent="0.25">
      <x:c r="A36" s="6">
        <x:f t="shared" si="0"/>
        <x:v>27</x:v>
      </x:c>
      <x:c r="F36" s="11"/>
    </x:row>
    <x:row r="37" spans="1:7" x14ac:dyDescent="0.25">
      <x:c r="A37" s="6">
        <x:f t="shared" si="0"/>
        <x:v>28</x:v>
      </x:c>
      <x:c r="F37" s="2"/>
    </x:row>
    <x:row r="38" spans="1:7" x14ac:dyDescent="0.25">
      <x:c r="A38" s="6"/>
      <x:c r="F38" s="2"/>
    </x:row>
    <x:row r="39" spans="1:7" x14ac:dyDescent="0.25">
      <x:c r="A39" s="6"/>
      <x:c r="F39" s="11"/>
    </x:row>
    <x:row r="40" spans="1:7" x14ac:dyDescent="0.25">
      <x:c r="A40" s="6"/>
      <x:c r="F40" s="2"/>
    </x:row>
    <x:row r="41" spans="1:7" x14ac:dyDescent="0.25">
      <x:c r="A41" s="6"/>
      <x:c r="F41" s="2"/>
    </x:row>
    <x:row r="42" spans="1:7" x14ac:dyDescent="0.25">
      <x:c r="A42" s="6"/>
      <x:c r="F42" s="2"/>
    </x:row>
    <x:row r="43" spans="1:7" x14ac:dyDescent="0.25">
      <x:c r="A43" s="6"/>
      <x:c r="F43" s="2"/>
    </x:row>
    <x:row r="44" spans="1:7" x14ac:dyDescent="0.25">
      <x:c r="A44" s="6"/>
      <x:c r="F44" s="2"/>
    </x:row>
    <x:row r="45" spans="1:7" x14ac:dyDescent="0.25">
      <x:c r="A45" s="6"/>
    </x:row>
    <x:row r="46" spans="1:7" x14ac:dyDescent="0.25">
      <x:c r="A46" s="6"/>
    </x:row>
    <x:row r="47" spans="1:7" x14ac:dyDescent="0.25">
      <x:c r="A47" s="6"/>
      <x:c r="C47" s="9"/>
      <x:c r="G47" s="9"/>
    </x:row>
    <x:row r="48" spans="1:7" x14ac:dyDescent="0.25">
      <x:c r="A48" s="6"/>
    </x:row>
    <x:row r="49" spans="1:1" x14ac:dyDescent="0.25">
      <x:c r="A49" s="6"/>
    </x:row>
  </x:sheetData>
  <x:mergeCells count="8">
    <x:mergeCell ref="B10:K10"/>
    <x:mergeCell ref="B11:K11"/>
    <x:mergeCell ref="B8:F8"/>
    <x:mergeCell ref="B1:J1"/>
    <x:mergeCell ref="B2:J2"/>
    <x:mergeCell ref="B3:J3"/>
    <x:mergeCell ref="B4:J4"/>
    <x:mergeCell ref="B6:J6"/>
  </x:mergeCells>
  <x:phoneticPr fontId="1" type="noConversion"/>
  <x:printOptions horizontalCentered="1"/>
  <x:pageMargins left="0.83" right="0.53" top="1.5" bottom="1" header="1" footer="0.5"/>
  <x:pageSetup scale="76" firstPageNumber="7" orientation="portrait" r:id="rId1"/>
  <x:headerFooter scaleWithDoc="0" alignWithMargins="0">
    <x:oddHeader>&amp;RWP/II-H-5.2/6
Page &amp;P of 20</x:oddHeader>
  </x:headerFooter>
  <x: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 codeName="Sheet15">
    <x:pageSetUpPr fitToPage="1"/>
  </x:sheetPr>
  <x:dimension ref="A1:F82"/>
  <x:sheetViews>
    <x:sheetView workbookViewId="0">
      <x:selection activeCell="G5" sqref="G5"/>
    </x:sheetView>
  </x:sheetViews>
  <x:sheetFormatPr defaultRowHeight="13.2" x14ac:dyDescent="0.25"/>
  <x:cols>
    <x:col min="2" max="2" width="26.6640625" customWidth="1"/>
    <x:col min="3" max="3" width="18" customWidth="1"/>
    <x:col min="4" max="4" width="13.5546875" customWidth="1"/>
    <x:col min="5" max="5" width="14.109375" customWidth="1"/>
    <x:col min="6" max="6" width="15.5546875" customWidth="1"/>
  </x:cols>
  <x:sheetData>
    <x:row r="1" spans="1:6" s="1" customFormat="1" ht="15.6" x14ac:dyDescent="0.3">
      <x:c r="A1" s="6"/>
      <x:c r="B1" s="43" t="str">
        <x:f>+'RES Spline Model'!B1:F1</x:f>
        <x:v>2025 RATE CASE</x:v>
      </x:c>
      <x:c r="C1" s="43"/>
      <x:c r="D1" s="43"/>
      <x:c r="E1" s="43"/>
      <x:c r="F1" s="43"/>
    </x:row>
    <x:row r="2" spans="1:6" s="1" customFormat="1" ht="15.6" x14ac:dyDescent="0.3">
      <x:c r="A2" s="6"/>
      <x:c r="B2" s="43" t="str">
        <x:f>+'RES Spline Model'!B2:F2</x:f>
        <x:v>ONCOR ELECTRIC DELIVERY COMPANY LLC</x:v>
      </x:c>
      <x:c r="C2" s="43"/>
      <x:c r="D2" s="43"/>
      <x:c r="E2" s="43"/>
      <x:c r="F2" s="43"/>
    </x:row>
    <x:row r="3" spans="1:6" s="1" customFormat="1" ht="15.6" x14ac:dyDescent="0.3">
      <x:c r="A3" s="6"/>
      <x:c r="B3" s="43" t="str">
        <x:f>+'RES Spline Model'!B3:F3</x:f>
        <x:v>ADJUSTED WEATHER STATION DATA</x:v>
      </x:c>
      <x:c r="C3" s="43"/>
      <x:c r="D3" s="43"/>
      <x:c r="E3" s="43"/>
      <x:c r="F3" s="43"/>
    </x:row>
    <x:row r="4" spans="1:6" s="1" customFormat="1" ht="15.6" x14ac:dyDescent="0.3">
      <x:c r="A4" s="6"/>
      <x:c r="B4" s="43" t="str">
        <x:f>+'RES Spline Model'!B4:F4</x:f>
        <x:v>FOR THE TEST YEAR ENDING DECEMBER 31, 2024</x:v>
      </x:c>
      <x:c r="C4" s="43"/>
      <x:c r="D4" s="43"/>
      <x:c r="E4" s="43"/>
      <x:c r="F4" s="43"/>
    </x:row>
    <x:row r="5" spans="1:6" s="1" customFormat="1" ht="11.4" x14ac:dyDescent="0.2">
      <x:c r="A5" s="6"/>
    </x:row>
    <x:row r="6" spans="1:6" s="1" customFormat="1" ht="15.6" x14ac:dyDescent="0.3">
      <x:c r="A6" s="6"/>
      <x:c r="B6" s="43" t="str">
        <x:f>+'RES Spline Model'!B6:F6</x:f>
        <x:v>SPONSOR: D. E. NELSON</x:v>
      </x:c>
      <x:c r="C6" s="43"/>
      <x:c r="D6" s="43"/>
      <x:c r="E6" s="43"/>
      <x:c r="F6" s="43"/>
    </x:row>
    <x:row r="8" spans="1:6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6" s="1" customFormat="1" ht="11.4" x14ac:dyDescent="0.2">
      <x:c r="A9" s="7" t="s">
        <x:v>24</x:v>
      </x:c>
      <x:c r="B9" s="8" t="s">
        <x:v>25</x:v>
      </x:c>
      <x:c r="C9" s="8" t="s">
        <x:v>26</x:v>
      </x:c>
      <x:c r="D9" s="8" t="s">
        <x:v>29</x:v>
      </x:c>
      <x:c r="E9" s="8" t="s">
        <x:v>27</x:v>
      </x:c>
      <x:c r="F9" s="8" t="s">
        <x:v>28</x:v>
      </x:c>
    </x:row>
    <x:row r="10" spans="1:6" s="1" customFormat="1" ht="12" x14ac:dyDescent="0.25">
      <x:c r="A10" s="6">
        <x:v>1</x:v>
      </x:c>
      <x:c r="B10" s="3" t="s">
        <x:v>5</x:v>
      </x:c>
      <x:c r="C10" s="3" t="s">
        <x:v>86</x:v>
      </x:c>
    </x:row>
    <x:row r="11" spans="1:6" s="1" customFormat="1" ht="12" x14ac:dyDescent="0.25">
      <x:c r="A11" s="6">
        <x:f t="shared" ref="A11:A42" si="0">+A10+1</x:f>
        <x:v>2</x:v>
      </x:c>
      <x:c r="B11" s="3" t="s">
        <x:v>53</x:v>
      </x:c>
      <x:c r="C11" s="3"/>
    </x:row>
    <x:row r="12" spans="1:6" s="1" customFormat="1" ht="12" x14ac:dyDescent="0.25">
      <x:c r="A12" s="6">
        <x:f t="shared" si="0"/>
        <x:v>3</x:v>
      </x:c>
      <x:c r="B12" s="3" t="s">
        <x:v>6</x:v>
      </x:c>
      <x:c r="C12" s="3" t="s">
        <x:v>79</x:v>
      </x:c>
    </x:row>
    <x:row r="13" spans="1:6" s="1" customFormat="1" ht="12" x14ac:dyDescent="0.25">
      <x:c r="A13" s="6">
        <x:f t="shared" si="0"/>
        <x:v>4</x:v>
      </x:c>
      <x:c r="B13" s="3" t="s">
        <x:v>7</x:v>
      </x:c>
      <x:c r="C13" s="16">
        <x:f>+'RES Spline Model'!C13</x:f>
        <x:v>44197</x:v>
      </x:c>
    </x:row>
    <x:row r="14" spans="1:6" s="1" customFormat="1" ht="12" x14ac:dyDescent="0.25">
      <x:c r="A14" s="6">
        <x:f t="shared" si="0"/>
        <x:v>5</x:v>
      </x:c>
      <x:c r="B14" s="3" t="s">
        <x:v>8</x:v>
      </x:c>
      <x:c r="C14" s="16">
        <x:f>+'RES Spline Model'!C14</x:f>
        <x:v>45291</x:v>
      </x:c>
    </x:row>
    <x:row r="15" spans="1:6" s="1" customFormat="1" ht="11.4" x14ac:dyDescent="0.2">
      <x:c r="A15" s="6">
        <x:f t="shared" si="0"/>
        <x:v>6</x:v>
      </x:c>
    </x:row>
    <x:row r="16" spans="1:6" s="1" customFormat="1" ht="11.4" x14ac:dyDescent="0.2">
      <x:c r="A16" s="6">
        <x:f t="shared" si="0"/>
        <x:v>7</x:v>
      </x:c>
      <x:c r="B16" s="5" t="s">
        <x:v>0</x:v>
      </x:c>
      <x:c r="C16" s="5" t="s">
        <x:v>1</x:v>
      </x:c>
      <x:c r="D16" s="5" t="s">
        <x:v>2</x:v>
      </x:c>
      <x:c r="E16" s="5" t="s">
        <x:v>3</x:v>
      </x:c>
      <x:c r="F16" s="5" t="s">
        <x:v>4</x:v>
      </x:c>
    </x:row>
    <x:row r="17" spans="1:6" x14ac:dyDescent="0.25">
      <x:c r="A17" s="6">
        <x:f t="shared" si="0"/>
        <x:v>8</x:v>
      </x:c>
      <x:c r="B17" t="s">
        <x:v>37</x:v>
      </x:c>
      <x:c r="C17">
        <x:v>19362.580000000002</x:v>
      </x:c>
      <x:c r="D17">
        <x:v>323.57400000000001</x:v>
      </x:c>
      <x:c r="E17">
        <x:v>59.84</x:v>
      </x:c>
      <x:c r="F17" s="9">
        <x:v>0</x:v>
      </x:c>
    </x:row>
    <x:row r="18" spans="1:6" x14ac:dyDescent="0.25">
      <x:c r="A18" s="6">
        <x:f t="shared" si="0"/>
        <x:v>9</x:v>
      </x:c>
      <x:c r="B18" t="s">
        <x:v>99</x:v>
      </x:c>
      <x:c r="C18">
        <x:v>-201.00399999999999</x:v>
      </x:c>
      <x:c r="D18">
        <x:v>232.755</x:v>
      </x:c>
      <x:c r="E18">
        <x:v>-0.86399999999999999</x:v>
      </x:c>
      <x:c r="F18" s="9">
        <x:v>0.38800000000000001</x:v>
      </x:c>
    </x:row>
    <x:row r="19" spans="1:6" x14ac:dyDescent="0.25">
      <x:c r="A19" s="6">
        <x:f t="shared" si="0"/>
        <x:v>10</x:v>
      </x:c>
      <x:c r="B19" t="s">
        <x:v>100</x:v>
      </x:c>
      <x:c r="C19">
        <x:v>2304.308</x:v>
      </x:c>
      <x:c r="D19">
        <x:v>159.21299999999999</x:v>
      </x:c>
      <x:c r="E19">
        <x:v>14.473000000000001</x:v>
      </x:c>
      <x:c r="F19" s="9">
        <x:v>0</x:v>
      </x:c>
    </x:row>
    <x:row r="20" spans="1:6" x14ac:dyDescent="0.25">
      <x:c r="A20" s="6">
        <x:f t="shared" si="0"/>
        <x:v>11</x:v>
      </x:c>
      <x:c r="B20" t="s">
        <x:v>101</x:v>
      </x:c>
      <x:c r="C20">
        <x:v>2650.9659999999999</x:v>
      </x:c>
      <x:c r="D20">
        <x:v>155.708</x:v>
      </x:c>
      <x:c r="E20">
        <x:v>17.024999999999999</x:v>
      </x:c>
      <x:c r="F20" s="9">
        <x:v>0</x:v>
      </x:c>
    </x:row>
    <x:row r="21" spans="1:6" x14ac:dyDescent="0.25">
      <x:c r="A21" s="6">
        <x:f t="shared" si="0"/>
        <x:v>12</x:v>
      </x:c>
      <x:c r="B21" t="s">
        <x:v>102</x:v>
      </x:c>
      <x:c r="C21">
        <x:v>2618.3539999999998</x:v>
      </x:c>
      <x:c r="D21">
        <x:v>155.60599999999999</x:v>
      </x:c>
      <x:c r="E21">
        <x:v>16.827000000000002</x:v>
      </x:c>
      <x:c r="F21" s="9">
        <x:v>0</x:v>
      </x:c>
    </x:row>
    <x:row r="22" spans="1:6" x14ac:dyDescent="0.25">
      <x:c r="A22" s="6">
        <x:f t="shared" si="0"/>
        <x:v>13</x:v>
      </x:c>
      <x:c r="B22" t="s">
        <x:v>103</x:v>
      </x:c>
      <x:c r="C22">
        <x:v>2685.6390000000001</x:v>
      </x:c>
      <x:c r="D22">
        <x:v>156.34</x:v>
      </x:c>
      <x:c r="E22">
        <x:v>17.178000000000001</x:v>
      </x:c>
      <x:c r="F22" s="9">
        <x:v>0</x:v>
      </x:c>
    </x:row>
    <x:row r="23" spans="1:6" x14ac:dyDescent="0.25">
      <x:c r="A23" s="6">
        <x:f t="shared" si="0"/>
        <x:v>14</x:v>
      </x:c>
      <x:c r="B23" t="s">
        <x:v>104</x:v>
      </x:c>
      <x:c r="C23">
        <x:v>2484.0929999999998</x:v>
      </x:c>
      <x:c r="D23">
        <x:v>156.64500000000001</x:v>
      </x:c>
      <x:c r="E23">
        <x:v>15.858000000000001</x:v>
      </x:c>
      <x:c r="F23" s="9">
        <x:v>0</x:v>
      </x:c>
    </x:row>
    <x:row r="24" spans="1:6" x14ac:dyDescent="0.25">
      <x:c r="A24" s="6">
        <x:f t="shared" si="0"/>
        <x:v>15</x:v>
      </x:c>
      <x:c r="B24" t="s">
        <x:v>105</x:v>
      </x:c>
      <x:c r="C24">
        <x:v>744.16300000000001</x:v>
      </x:c>
      <x:c r="D24">
        <x:v>154.703</x:v>
      </x:c>
      <x:c r="E24">
        <x:v>4.8099999999999996</x:v>
      </x:c>
      <x:c r="F24" s="9">
        <x:v>0</x:v>
      </x:c>
    </x:row>
    <x:row r="25" spans="1:6" x14ac:dyDescent="0.25">
      <x:c r="A25" s="6">
        <x:f t="shared" si="0"/>
        <x:v>16</x:v>
      </x:c>
      <x:c r="B25" t="s">
        <x:v>158</x:v>
      </x:c>
      <x:c r="C25">
        <x:v>-326.56200000000001</x:v>
      </x:c>
      <x:c r="D25">
        <x:v>806.49400000000003</x:v>
      </x:c>
      <x:c r="E25">
        <x:v>-0.40500000000000003</x:v>
      </x:c>
      <x:c r="F25" s="9">
        <x:v>0.68559999999999999</x:v>
      </x:c>
    </x:row>
    <x:row r="26" spans="1:6" x14ac:dyDescent="0.25">
      <x:c r="A26" s="6">
        <x:f t="shared" si="0"/>
        <x:v>17</x:v>
      </x:c>
      <x:c r="B26" t="s">
        <x:v>106</x:v>
      </x:c>
      <x:c r="C26">
        <x:v>529.71600000000001</x:v>
      </x:c>
      <x:c r="D26">
        <x:v>988.48900000000003</x:v>
      </x:c>
      <x:c r="E26">
        <x:v>0.53600000000000003</x:v>
      </x:c>
      <x:c r="F26" s="9">
        <x:v>0.59219999999999995</x:v>
      </x:c>
    </x:row>
    <x:row r="27" spans="1:6" x14ac:dyDescent="0.25">
      <x:c r="A27" s="6">
        <x:f t="shared" si="0"/>
        <x:v>18</x:v>
      </x:c>
      <x:c r="B27" t="s">
        <x:v>141</x:v>
      </x:c>
      <x:c r="C27">
        <x:v>-889.36300000000006</x:v>
      </x:c>
      <x:c r="D27">
        <x:v>806.86500000000001</x:v>
      </x:c>
      <x:c r="E27">
        <x:v>-1.1020000000000001</x:v>
      </x:c>
      <x:c r="F27" s="9">
        <x:v>0.27060000000000001</x:v>
      </x:c>
    </x:row>
    <x:row r="28" spans="1:6" x14ac:dyDescent="0.25">
      <x:c r="A28" s="6">
        <x:f t="shared" si="0"/>
        <x:v>19</x:v>
      </x:c>
      <x:c r="B28" t="s">
        <x:v>107</x:v>
      </x:c>
      <x:c r="C28">
        <x:v>-2765.4070000000002</x:v>
      </x:c>
      <x:c r="D28">
        <x:v>805.71100000000001</x:v>
      </x:c>
      <x:c r="E28">
        <x:v>-3.4319999999999999</x:v>
      </x:c>
      <x:c r="F28" s="9">
        <x:v>5.9999999999999995E-4</x:v>
      </x:c>
    </x:row>
    <x:row r="29" spans="1:6" x14ac:dyDescent="0.25">
      <x:c r="A29" s="6">
        <x:f t="shared" si="0"/>
        <x:v>20</x:v>
      </x:c>
      <x:c r="B29" t="s">
        <x:v>142</x:v>
      </x:c>
      <x:c r="C29">
        <x:v>-3310.3620000000001</x:v>
      </x:c>
      <x:c r="D29">
        <x:v>803.32600000000002</x:v>
      </x:c>
      <x:c r="E29">
        <x:v>-4.1210000000000004</x:v>
      </x:c>
      <x:c r="F29" s="9">
        <x:v>0</x:v>
      </x:c>
    </x:row>
    <x:row r="30" spans="1:6" x14ac:dyDescent="0.25">
      <x:c r="A30" s="6">
        <x:f t="shared" si="0"/>
        <x:v>21</x:v>
      </x:c>
      <x:c r="B30" t="s">
        <x:v>108</x:v>
      </x:c>
      <x:c r="C30">
        <x:v>-2564.0230000000001</x:v>
      </x:c>
      <x:c r="D30">
        <x:v>807.64700000000005</x:v>
      </x:c>
      <x:c r="E30">
        <x:v>-3.1749999999999998</x:v>
      </x:c>
      <x:c r="F30" s="9">
        <x:v>1.6000000000000001E-3</x:v>
      </x:c>
    </x:row>
    <x:row r="31" spans="1:6" x14ac:dyDescent="0.25">
      <x:c r="A31" s="6">
        <x:f t="shared" si="0"/>
        <x:v>22</x:v>
      </x:c>
      <x:c r="B31" t="s">
        <x:v>109</x:v>
      </x:c>
      <x:c r="C31">
        <x:v>-3607.3130000000001</x:v>
      </x:c>
      <x:c r="D31">
        <x:v>810.12699999999995</x:v>
      </x:c>
      <x:c r="E31">
        <x:v>-4.4530000000000003</x:v>
      </x:c>
      <x:c r="F31" s="9">
        <x:v>0</x:v>
      </x:c>
    </x:row>
    <x:row r="32" spans="1:6" x14ac:dyDescent="0.25">
      <x:c r="A32" s="6">
        <x:f t="shared" si="0"/>
        <x:v>23</x:v>
      </x:c>
      <x:c r="B32" t="s">
        <x:v>110</x:v>
      </x:c>
      <x:c r="C32">
        <x:v>-3538.489</x:v>
      </x:c>
      <x:c r="D32">
        <x:v>811.04899999999998</x:v>
      </x:c>
      <x:c r="E32">
        <x:v>-4.3630000000000004</x:v>
      </x:c>
      <x:c r="F32" s="9">
        <x:v>0</x:v>
      </x:c>
    </x:row>
    <x:row r="33" spans="1:6" x14ac:dyDescent="0.25">
      <x:c r="A33" s="6">
        <x:f t="shared" si="0"/>
        <x:v>24</x:v>
      </x:c>
      <x:c r="B33" t="s">
        <x:v>159</x:v>
      </x:c>
      <x:c r="C33">
        <x:v>1362.0650000000001</x:v>
      </x:c>
      <x:c r="D33">
        <x:v>944.39700000000005</x:v>
      </x:c>
      <x:c r="E33">
        <x:v>1.4419999999999999</x:v>
      </x:c>
      <x:c r="F33" s="9">
        <x:v>0.14949999999999999</x:v>
      </x:c>
    </x:row>
    <x:row r="34" spans="1:6" x14ac:dyDescent="0.25">
      <x:c r="A34" s="6">
        <x:f t="shared" si="0"/>
        <x:v>25</x:v>
      </x:c>
      <x:c r="B34" t="s">
        <x:v>143</x:v>
      </x:c>
      <x:c r="C34">
        <x:v>-5104.4160000000002</x:v>
      </x:c>
      <x:c r="D34">
        <x:v>864.77599999999995</x:v>
      </x:c>
      <x:c r="E34">
        <x:v>-5.9029999999999996</x:v>
      </x:c>
      <x:c r="F34" s="9">
        <x:v>0</x:v>
      </x:c>
    </x:row>
    <x:row r="35" spans="1:6" x14ac:dyDescent="0.25">
      <x:c r="A35" s="6">
        <x:f t="shared" si="0"/>
        <x:v>26</x:v>
      </x:c>
      <x:c r="B35" t="s">
        <x:v>111</x:v>
      </x:c>
      <x:c r="C35">
        <x:v>-3637.3710000000001</x:v>
      </x:c>
      <x:c r="D35">
        <x:v>886.03599999999994</x:v>
      </x:c>
      <x:c r="E35">
        <x:v>-4.1050000000000004</x:v>
      </x:c>
      <x:c r="F35" s="9">
        <x:v>0</x:v>
      </x:c>
    </x:row>
    <x:row r="36" spans="1:6" x14ac:dyDescent="0.25">
      <x:c r="A36" s="6">
        <x:f t="shared" si="0"/>
        <x:v>27</x:v>
      </x:c>
      <x:c r="B36" t="s">
        <x:v>168</x:v>
      </x:c>
      <x:c r="C36">
        <x:v>-2044.585</x:v>
      </x:c>
      <x:c r="D36">
        <x:v>1156.45</x:v>
      </x:c>
      <x:c r="E36">
        <x:v>-1.768</x:v>
      </x:c>
      <x:c r="F36" s="9">
        <x:v>7.7399999999999997E-2</x:v>
      </x:c>
    </x:row>
    <x:row r="37" spans="1:6" x14ac:dyDescent="0.25">
      <x:c r="A37" s="6">
        <x:f t="shared" si="0"/>
        <x:v>28</x:v>
      </x:c>
      <x:c r="B37" t="s">
        <x:v>112</x:v>
      </x:c>
      <x:c r="C37">
        <x:v>-2934.3530000000001</x:v>
      </x:c>
      <x:c r="D37">
        <x:v>889.26</x:v>
      </x:c>
      <x:c r="E37">
        <x:v>-3.3</x:v>
      </x:c>
      <x:c r="F37" s="9">
        <x:v>1E-3</x:v>
      </x:c>
    </x:row>
    <x:row r="38" spans="1:6" x14ac:dyDescent="0.25">
      <x:c r="A38" s="6">
        <x:f t="shared" si="0"/>
        <x:v>29</x:v>
      </x:c>
      <x:c r="B38" t="s">
        <x:v>113</x:v>
      </x:c>
      <x:c r="C38">
        <x:v>-3533.3589999999999</x:v>
      </x:c>
      <x:c r="D38">
        <x:v>801.48</x:v>
      </x:c>
      <x:c r="E38">
        <x:v>-4.4089999999999998</x:v>
      </x:c>
      <x:c r="F38" s="9">
        <x:v>0</x:v>
      </x:c>
    </x:row>
    <x:row r="39" spans="1:6" x14ac:dyDescent="0.25">
      <x:c r="A39" s="6">
        <x:f t="shared" si="0"/>
        <x:v>30</x:v>
      </x:c>
      <x:c r="B39" t="s">
        <x:v>114</x:v>
      </x:c>
      <x:c r="C39">
        <x:v>-58.643999999999998</x:v>
      </x:c>
      <x:c r="D39">
        <x:v>23.577999999999999</x:v>
      </x:c>
      <x:c r="E39">
        <x:v>-2.4870000000000001</x:v>
      </x:c>
      <x:c r="F39" s="9">
        <x:v>1.2999999999999999E-2</x:v>
      </x:c>
    </x:row>
    <x:row r="40" spans="1:6" x14ac:dyDescent="0.25">
      <x:c r="A40" s="6">
        <x:f t="shared" si="0"/>
        <x:v>31</x:v>
      </x:c>
      <x:c r="B40" t="s">
        <x:v>38</x:v>
      </x:c>
      <x:c r="C40">
        <x:v>-607.46299999999997</x:v>
      </x:c>
      <x:c r="D40">
        <x:v>217.983</x:v>
      </x:c>
      <x:c r="E40">
        <x:v>-2.7869999999999999</x:v>
      </x:c>
      <x:c r="F40" s="9">
        <x:v>5.4000000000000003E-3</x:v>
      </x:c>
    </x:row>
    <x:row r="41" spans="1:6" x14ac:dyDescent="0.25">
      <x:c r="A41" s="6">
        <x:f t="shared" si="0"/>
        <x:v>32</x:v>
      </x:c>
      <x:c r="B41" t="s">
        <x:v>39</x:v>
      </x:c>
      <x:c r="C41">
        <x:v>-414.803</x:v>
      </x:c>
      <x:c r="D41">
        <x:v>258.12</x:v>
      </x:c>
      <x:c r="E41">
        <x:v>-1.607</x:v>
      </x:c>
      <x:c r="F41" s="9">
        <x:v>0.1084</x:v>
      </x:c>
    </x:row>
    <x:row r="42" spans="1:6" x14ac:dyDescent="0.25">
      <x:c r="A42" s="6">
        <x:f t="shared" si="0"/>
        <x:v>33</x:v>
      </x:c>
      <x:c r="B42" t="s">
        <x:v>40</x:v>
      </x:c>
      <x:c r="C42">
        <x:v>-173.53100000000001</x:v>
      </x:c>
      <x:c r="D42">
        <x:v>332.83300000000003</x:v>
      </x:c>
      <x:c r="E42">
        <x:v>-0.52100000000000002</x:v>
      </x:c>
      <x:c r="F42" s="9">
        <x:v>0.60219999999999996</x:v>
      </x:c>
    </x:row>
    <x:row r="43" spans="1:6" x14ac:dyDescent="0.25">
      <x:c r="A43" s="6">
        <x:f t="shared" ref="A43:A82" si="1">+A42+1</x:f>
        <x:v>34</x:v>
      </x:c>
      <x:c r="B43" t="s">
        <x:v>41</x:v>
      </x:c>
      <x:c r="C43">
        <x:v>-463.48399999999998</x:v>
      </x:c>
      <x:c r="D43">
        <x:v>356.99799999999999</x:v>
      </x:c>
      <x:c r="E43">
        <x:v>-1.298</x:v>
      </x:c>
      <x:c r="F43" s="9">
        <x:v>0.19450000000000001</x:v>
      </x:c>
    </x:row>
    <x:row r="44" spans="1:6" x14ac:dyDescent="0.25">
      <x:c r="A44" s="6">
        <x:f t="shared" si="1"/>
        <x:v>35</x:v>
      </x:c>
      <x:c r="B44" t="s">
        <x:v>42</x:v>
      </x:c>
      <x:c r="C44">
        <x:v>330.62799999999999</x:v>
      </x:c>
      <x:c r="D44">
        <x:v>384.99099999999999</x:v>
      </x:c>
      <x:c r="E44">
        <x:v>0.85899999999999999</x:v>
      </x:c>
      <x:c r="F44" s="9">
        <x:v>0.3906</x:v>
      </x:c>
    </x:row>
    <x:row r="45" spans="1:6" x14ac:dyDescent="0.25">
      <x:c r="A45" s="6">
        <x:f t="shared" si="1"/>
        <x:v>36</x:v>
      </x:c>
      <x:c r="B45" t="s">
        <x:v>43</x:v>
      </x:c>
      <x:c r="C45">
        <x:v>1232.328</x:v>
      </x:c>
      <x:c r="D45">
        <x:v>397.76100000000002</x:v>
      </x:c>
      <x:c r="E45">
        <x:v>3.0979999999999999</x:v>
      </x:c>
      <x:c r="F45" s="9">
        <x:v>2E-3</x:v>
      </x:c>
    </x:row>
    <x:row r="46" spans="1:6" x14ac:dyDescent="0.25">
      <x:c r="A46" s="6">
        <x:f t="shared" si="1"/>
        <x:v>37</x:v>
      </x:c>
      <x:c r="B46" t="s">
        <x:v>44</x:v>
      </x:c>
      <x:c r="C46">
        <x:v>1929.201</x:v>
      </x:c>
      <x:c r="D46">
        <x:v>391.95100000000002</x:v>
      </x:c>
      <x:c r="E46">
        <x:v>4.9219999999999997</x:v>
      </x:c>
      <x:c r="F46" s="9">
        <x:v>0</x:v>
      </x:c>
    </x:row>
    <x:row r="47" spans="1:6" x14ac:dyDescent="0.25">
      <x:c r="A47" s="6">
        <x:f t="shared" si="1"/>
        <x:v>38</x:v>
      </x:c>
      <x:c r="B47" t="s">
        <x:v>45</x:v>
      </x:c>
      <x:c r="C47">
        <x:v>1455.941</x:v>
      </x:c>
      <x:c r="D47">
        <x:v>380.15600000000001</x:v>
      </x:c>
      <x:c r="E47">
        <x:v>3.83</x:v>
      </x:c>
      <x:c r="F47" s="9">
        <x:v>1E-4</x:v>
      </x:c>
    </x:row>
    <x:row r="48" spans="1:6" x14ac:dyDescent="0.25">
      <x:c r="A48" s="6">
        <x:f t="shared" si="1"/>
        <x:v>39</x:v>
      </x:c>
      <x:c r="B48" t="s">
        <x:v>52</x:v>
      </x:c>
      <x:c r="C48">
        <x:v>486.05099999999999</x:v>
      </x:c>
      <x:c r="D48">
        <x:v>338.91</x:v>
      </x:c>
      <x:c r="E48">
        <x:v>1.4339999999999999</x:v>
      </x:c>
      <x:c r="F48" s="9">
        <x:v>0.15179999999999999</x:v>
      </x:c>
    </x:row>
    <x:row r="49" spans="1:6" x14ac:dyDescent="0.25">
      <x:c r="A49" s="6">
        <x:f t="shared" si="1"/>
        <x:v>40</x:v>
      </x:c>
      <x:c r="B49" t="s">
        <x:v>46</x:v>
      </x:c>
      <x:c r="C49">
        <x:v>512.00900000000001</x:v>
      </x:c>
      <x:c r="D49">
        <x:v>224.101</x:v>
      </x:c>
      <x:c r="E49">
        <x:v>2.2850000000000001</x:v>
      </x:c>
      <x:c r="F49" s="9">
        <x:v>2.2499999999999999E-2</x:v>
      </x:c>
    </x:row>
    <x:row r="50" spans="1:6" x14ac:dyDescent="0.25">
      <x:c r="A50" s="6">
        <x:f t="shared" si="1"/>
        <x:v>41</x:v>
      </x:c>
      <x:c r="B50" t="s">
        <x:v>47</x:v>
      </x:c>
      <x:c r="C50">
        <x:v>266.61599999999999</x:v>
      </x:c>
      <x:c r="D50">
        <x:v>445.45</x:v>
      </x:c>
      <x:c r="E50">
        <x:v>0.59899999999999998</x:v>
      </x:c>
      <x:c r="F50" s="9">
        <x:v>0.54959999999999998</x:v>
      </x:c>
    </x:row>
    <x:row r="51" spans="1:6" x14ac:dyDescent="0.25">
      <x:c r="A51" s="6">
        <x:f t="shared" si="1"/>
        <x:v>42</x:v>
      </x:c>
      <x:c r="B51" t="s">
        <x:v>81</x:v>
      </x:c>
      <x:c r="C51">
        <x:v>5202.05</x:v>
      </x:c>
      <x:c r="D51">
        <x:v>53.137</x:v>
      </x:c>
      <x:c r="E51">
        <x:v>97.9</x:v>
      </x:c>
      <x:c r="F51" s="9">
        <x:v>0</x:v>
      </x:c>
    </x:row>
    <x:row r="52" spans="1:6" x14ac:dyDescent="0.25">
      <x:c r="A52" s="6">
        <x:f t="shared" si="1"/>
        <x:v>43</x:v>
      </x:c>
      <x:c r="B52" t="s">
        <x:v>173</x:v>
      </x:c>
      <x:c r="C52">
        <x:v>46.475000000000001</x:v>
      </x:c>
      <x:c r="D52">
        <x:v>17.998999999999999</x:v>
      </x:c>
      <x:c r="E52">
        <x:v>2.5819999999999999</x:v>
      </x:c>
      <x:c r="F52" s="9">
        <x:v>9.9000000000000008E-3</x:v>
      </x:c>
    </x:row>
    <x:row r="53" spans="1:6" x14ac:dyDescent="0.25">
      <x:c r="A53" s="6">
        <x:f t="shared" si="1"/>
        <x:v>44</x:v>
      </x:c>
      <x:c r="B53" t="s">
        <x:v>174</x:v>
      </x:c>
      <x:c r="C53">
        <x:v>30.850999999999999</x:v>
      </x:c>
      <x:c r="D53">
        <x:v>34.055</x:v>
      </x:c>
      <x:c r="E53">
        <x:v>0.90600000000000003</x:v>
      </x:c>
      <x:c r="F53" s="9">
        <x:v>0.36520000000000002</x:v>
      </x:c>
    </x:row>
    <x:row r="54" spans="1:6" x14ac:dyDescent="0.25">
      <x:c r="A54" s="6">
        <x:f t="shared" si="1"/>
        <x:v>45</x:v>
      </x:c>
      <x:c r="B54" t="s">
        <x:v>175</x:v>
      </x:c>
      <x:c r="C54">
        <x:v>14.294</x:v>
      </x:c>
      <x:c r="D54">
        <x:v>38.15</x:v>
      </x:c>
      <x:c r="E54">
        <x:v>0.375</x:v>
      </x:c>
      <x:c r="F54" s="9">
        <x:v>0.70799999999999996</x:v>
      </x:c>
    </x:row>
    <x:row r="55" spans="1:6" x14ac:dyDescent="0.25">
      <x:c r="A55" s="6">
        <x:f t="shared" si="1"/>
        <x:v>46</x:v>
      </x:c>
      <x:c r="B55" t="s">
        <x:v>187</x:v>
      </x:c>
      <x:c r="C55">
        <x:v>-25.631</x:v>
      </x:c>
      <x:c r="D55">
        <x:v>36.822000000000003</x:v>
      </x:c>
      <x:c r="E55">
        <x:v>-0.69599999999999995</x:v>
      </x:c>
      <x:c r="F55" s="9">
        <x:v>0.48649999999999999</x:v>
      </x:c>
    </x:row>
    <x:row r="56" spans="1:6" x14ac:dyDescent="0.25">
      <x:c r="A56" s="6">
        <x:f t="shared" si="1"/>
        <x:v>47</x:v>
      </x:c>
      <x:c r="B56" t="s">
        <x:v>115</x:v>
      </x:c>
      <x:c r="C56">
        <x:v>-29631.246999999999</x:v>
      </x:c>
      <x:c r="D56">
        <x:v>1675.645</x:v>
      </x:c>
      <x:c r="E56">
        <x:v>-17.683</x:v>
      </x:c>
      <x:c r="F56" s="9">
        <x:v>0</x:v>
      </x:c>
    </x:row>
    <x:row r="57" spans="1:6" x14ac:dyDescent="0.25">
      <x:c r="A57" s="6">
        <x:f t="shared" si="1"/>
        <x:v>48</x:v>
      </x:c>
      <x:c r="B57" t="s">
        <x:v>116</x:v>
      </x:c>
      <x:c r="C57">
        <x:v>-30259.472000000002</x:v>
      </x:c>
      <x:c r="D57">
        <x:v>1375.452</x:v>
      </x:c>
      <x:c r="E57">
        <x:v>-22</x:v>
      </x:c>
      <x:c r="F57" s="9">
        <x:v>0</x:v>
      </x:c>
    </x:row>
    <x:row r="58" spans="1:6" x14ac:dyDescent="0.25">
      <x:c r="A58" s="6">
        <x:f t="shared" si="1"/>
        <x:v>49</x:v>
      </x:c>
      <x:c r="B58" t="s">
        <x:v>155</x:v>
      </x:c>
      <x:c r="C58">
        <x:v>-28444.082999999999</x:v>
      </x:c>
      <x:c r="D58">
        <x:v>1375.4880000000001</x:v>
      </x:c>
      <x:c r="E58">
        <x:v>-20.678999999999998</x:v>
      </x:c>
      <x:c r="F58" s="9">
        <x:v>0</x:v>
      </x:c>
    </x:row>
    <x:row r="59" spans="1:6" x14ac:dyDescent="0.25">
      <x:c r="A59" s="6">
        <x:f t="shared" si="1"/>
        <x:v>50</x:v>
      </x:c>
      <x:c r="B59" t="s">
        <x:v>156</x:v>
      </x:c>
      <x:c r="C59">
        <x:v>-26478.722000000002</x:v>
      </x:c>
      <x:c r="D59">
        <x:v>1375.4490000000001</x:v>
      </x:c>
      <x:c r="E59">
        <x:v>-19.251000000000001</x:v>
      </x:c>
      <x:c r="F59" s="9">
        <x:v>0</x:v>
      </x:c>
    </x:row>
    <x:row r="60" spans="1:6" x14ac:dyDescent="0.25">
      <x:c r="A60" s="6">
        <x:f t="shared" si="1"/>
        <x:v>51</x:v>
      </x:c>
      <x:c r="B60" t="s">
        <x:v>157</x:v>
      </x:c>
      <x:c r="C60">
        <x:v>-22852.63</x:v>
      </x:c>
      <x:c r="D60">
        <x:v>1375.355</x:v>
      </x:c>
      <x:c r="E60">
        <x:v>-16.616</x:v>
      </x:c>
      <x:c r="F60" s="9">
        <x:v>0</x:v>
      </x:c>
    </x:row>
    <x:row r="61" spans="1:6" x14ac:dyDescent="0.25">
      <x:c r="A61" s="6">
        <x:f t="shared" si="1"/>
        <x:v>52</x:v>
      </x:c>
      <x:c r="B61" t="s">
        <x:v>171</x:v>
      </x:c>
      <x:c r="C61">
        <x:v>-4311.0290000000005</x:v>
      </x:c>
      <x:c r="D61">
        <x:v>1375.521</x:v>
      </x:c>
      <x:c r="E61">
        <x:v>-3.1339999999999999</x:v>
      </x:c>
      <x:c r="F61" s="9">
        <x:v>1.8E-3</x:v>
      </x:c>
    </x:row>
    <x:row r="62" spans="1:6" x14ac:dyDescent="0.25">
      <x:c r="A62" s="6">
        <x:f t="shared" si="1"/>
        <x:v>53</x:v>
      </x:c>
      <x:c r="B62" t="s">
        <x:v>165</x:v>
      </x:c>
      <x:c r="C62">
        <x:v>-11733.19</x:v>
      </x:c>
      <x:c r="D62">
        <x:v>1375.586</x:v>
      </x:c>
      <x:c r="E62">
        <x:v>-8.5299999999999994</x:v>
      </x:c>
      <x:c r="F62" s="9">
        <x:v>0</x:v>
      </x:c>
    </x:row>
    <x:row r="63" spans="1:6" x14ac:dyDescent="0.25">
      <x:c r="A63" s="6">
        <x:f t="shared" si="1"/>
        <x:v>54</x:v>
      </x:c>
      <x:c r="B63" t="s">
        <x:v>166</x:v>
      </x:c>
      <x:c r="C63">
        <x:v>-15586.847</x:v>
      </x:c>
      <x:c r="D63">
        <x:v>1375.4749999999999</x:v>
      </x:c>
      <x:c r="E63">
        <x:v>-11.332000000000001</x:v>
      </x:c>
      <x:c r="F63" s="9">
        <x:v>0</x:v>
      </x:c>
    </x:row>
    <x:row r="64" spans="1:6" x14ac:dyDescent="0.25">
      <x:c r="A64" s="6">
        <x:f t="shared" si="1"/>
        <x:v>55</x:v>
      </x:c>
      <x:c r="B64" t="s">
        <x:v>167</x:v>
      </x:c>
      <x:c r="C64">
        <x:v>-10097.458000000001</x:v>
      </x:c>
      <x:c r="D64">
        <x:v>1374.7049999999999</x:v>
      </x:c>
      <x:c r="E64">
        <x:v>-7.3449999999999998</x:v>
      </x:c>
      <x:c r="F64" s="9">
        <x:v>0</x:v>
      </x:c>
    </x:row>
    <x:row r="65" spans="1:6" x14ac:dyDescent="0.25">
      <x:c r="A65" s="6">
        <x:f t="shared" si="1"/>
        <x:v>56</x:v>
      </x:c>
      <x:c r="B65" t="s">
        <x:v>172</x:v>
      </x:c>
      <x:c r="C65">
        <x:v>-6480.509</x:v>
      </x:c>
      <x:c r="D65">
        <x:v>1376.027</x:v>
      </x:c>
      <x:c r="E65">
        <x:v>-4.71</x:v>
      </x:c>
      <x:c r="F65" s="9">
        <x:v>0</x:v>
      </x:c>
    </x:row>
    <x:row r="66" spans="1:6" x14ac:dyDescent="0.25">
      <x:c r="A66" s="6">
        <x:f t="shared" si="1"/>
        <x:v>57</x:v>
      </x:c>
      <x:c r="F66" s="9"/>
    </x:row>
    <x:row r="67" spans="1:6" x14ac:dyDescent="0.25">
      <x:c r="A67" s="6">
        <x:f t="shared" si="1"/>
        <x:v>58</x:v>
      </x:c>
      <x:c r="B67" s="4" t="s">
        <x:v>90</x:v>
      </x:c>
    </x:row>
    <x:row r="68" spans="1:6" x14ac:dyDescent="0.25">
      <x:c r="A68" s="6">
        <x:f t="shared" si="1"/>
        <x:v>59</x:v>
      </x:c>
      <x:c r="B68" t="s">
        <x:v>30</x:v>
      </x:c>
      <x:c r="C68" s="15">
        <x:v>1095</x:v>
      </x:c>
      <x:c r="F68" s="9"/>
    </x:row>
    <x:row r="69" spans="1:6" x14ac:dyDescent="0.25">
      <x:c r="A69" s="6">
        <x:f t="shared" si="1"/>
        <x:v>60</x:v>
      </x:c>
      <x:c r="B69" t="s">
        <x:v>10</x:v>
      </x:c>
      <x:c r="C69" s="24">
        <x:v>1046</x:v>
      </x:c>
      <x:c r="F69" s="9"/>
    </x:row>
    <x:row r="70" spans="1:6" x14ac:dyDescent="0.25">
      <x:c r="A70" s="6">
        <x:f t="shared" si="1"/>
        <x:v>61</x:v>
      </x:c>
      <x:c r="B70" t="s">
        <x:v>12</x:v>
      </x:c>
      <x:c r="C70" s="21">
        <x:v>0.94899999999999995</x:v>
      </x:c>
      <x:c r="F70" s="9"/>
    </x:row>
    <x:row r="71" spans="1:6" x14ac:dyDescent="0.25">
      <x:c r="A71" s="6">
        <x:f t="shared" si="1"/>
        <x:v>62</x:v>
      </x:c>
      <x:c r="B71" t="s">
        <x:v>13</x:v>
      </x:c>
      <x:c r="C71" s="32">
        <x:v>0.94699999999999995</x:v>
      </x:c>
      <x:c r="F71" s="9"/>
    </x:row>
    <x:row r="72" spans="1:6" x14ac:dyDescent="0.25">
      <x:c r="A72" s="6">
        <x:f t="shared" si="1"/>
        <x:v>63</x:v>
      </x:c>
      <x:c r="B72" t="s">
        <x:v>15</x:v>
      </x:c>
      <x:c r="C72" s="15">
        <x:v>406.41199999999998</x:v>
      </x:c>
      <x:c r="F72" s="9"/>
    </x:row>
    <x:row r="73" spans="1:6" x14ac:dyDescent="0.25">
      <x:c r="A73" s="6">
        <x:f t="shared" si="1"/>
        <x:v>64</x:v>
      </x:c>
      <x:c r="B73" t="s">
        <x:v>16</x:v>
      </x:c>
      <x:c r="C73" s="18">
        <x:v>0</x:v>
      </x:c>
      <x:c r="F73" s="9"/>
    </x:row>
    <x:row r="74" spans="1:6" x14ac:dyDescent="0.25">
      <x:c r="A74" s="6">
        <x:f t="shared" si="1"/>
        <x:v>65</x:v>
      </x:c>
      <x:c r="B74" t="s">
        <x:v>17</x:v>
      </x:c>
      <x:c r="C74" s="15">
        <x:v>36091629478.669998</x:v>
      </x:c>
    </x:row>
    <x:row r="75" spans="1:6" x14ac:dyDescent="0.25">
      <x:c r="A75" s="6">
        <x:f t="shared" si="1"/>
        <x:v>66</x:v>
      </x:c>
      <x:c r="B75" t="s">
        <x:v>18</x:v>
      </x:c>
      <x:c r="C75" s="15">
        <x:v>1935218361.5899999</x:v>
      </x:c>
      <x:c r="F75" s="9"/>
    </x:row>
    <x:row r="76" spans="1:6" x14ac:dyDescent="0.25">
      <x:c r="A76" s="6">
        <x:f t="shared" si="1"/>
        <x:v>67</x:v>
      </x:c>
      <x:c r="B76" t="s">
        <x:v>19</x:v>
      </x:c>
      <x:c r="C76" s="15">
        <x:v>1850113.16</x:v>
      </x:c>
      <x:c r="F76" s="9"/>
    </x:row>
    <x:row r="77" spans="1:6" x14ac:dyDescent="0.25">
      <x:c r="A77" s="6">
        <x:f t="shared" si="1"/>
        <x:v>68</x:v>
      </x:c>
      <x:c r="B77" t="s">
        <x:v>20</x:v>
      </x:c>
      <x:c r="C77" s="25">
        <x:v>1360.19</x:v>
      </x:c>
      <x:c r="F77" s="9"/>
    </x:row>
    <x:row r="78" spans="1:6" x14ac:dyDescent="0.25">
      <x:c r="A78" s="6">
        <x:f t="shared" si="1"/>
        <x:v>69</x:v>
      </x:c>
      <x:c r="B78" t="s">
        <x:v>9</x:v>
      </x:c>
      <x:c r="C78" s="26">
        <x:v>964.9</x:v>
      </x:c>
    </x:row>
    <x:row r="79" spans="1:6" x14ac:dyDescent="0.25">
      <x:c r="A79" s="6">
        <x:f t="shared" si="1"/>
        <x:v>70</x:v>
      </x:c>
      <x:c r="B79" t="s">
        <x:v>11</x:v>
      </x:c>
      <x:c r="C79" s="9">
        <x:v>1.9199999999999998E-2</x:v>
      </x:c>
    </x:row>
    <x:row r="80" spans="1:6" x14ac:dyDescent="0.25">
      <x:c r="A80" s="6">
        <x:f t="shared" si="1"/>
        <x:v>71</x:v>
      </x:c>
      <x:c r="B80" t="s">
        <x:v>14</x:v>
      </x:c>
      <x:c r="C80">
        <x:v>0.373</x:v>
      </x:c>
    </x:row>
    <x:row r="81" spans="1:3" x14ac:dyDescent="0.25">
      <x:c r="A81" s="6">
        <x:f t="shared" si="1"/>
        <x:v>72</x:v>
      </x:c>
      <x:c r="B81" t="s">
        <x:v>21</x:v>
      </x:c>
      <x:c r="C81">
        <x:v>5406.33</x:v>
      </x:c>
    </x:row>
    <x:row r="82" spans="1:3" x14ac:dyDescent="0.25">
      <x:c r="A82" s="6">
        <x:f t="shared" si="1"/>
        <x:v>73</x:v>
      </x:c>
      <x:c r="B82" t="s">
        <x:v>22</x:v>
      </x:c>
      <x:c r="C82" s="18">
        <x:v>0</x:v>
      </x:c>
    </x:row>
  </x:sheetData>
  <x:mergeCells count="6">
    <x:mergeCell ref="B6:F6"/>
    <x:mergeCell ref="B8:F8"/>
    <x:mergeCell ref="B1:F1"/>
    <x:mergeCell ref="B2:F2"/>
    <x:mergeCell ref="B3:F3"/>
    <x:mergeCell ref="B4:F4"/>
  </x:mergeCells>
  <x:phoneticPr fontId="0" type="noConversion"/>
  <x:printOptions horizontalCentered="1"/>
  <x:pageMargins left="0.83" right="0.53" top="1.5" bottom="1" header="1" footer="0.5"/>
  <x:pageSetup scale="60" firstPageNumber="7" orientation="portrait" r:id="rId1"/>
  <x:headerFooter scaleWithDoc="0" alignWithMargins="0">
    <x:oddHeader>&amp;RWP/II-H-5.2/6
Page &amp;P of 20</x:oddHeader>
  </x:headerFooter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 codeName="Sheet16">
    <x:pageSetUpPr fitToPage="1"/>
  </x:sheetPr>
  <x:dimension ref="A1:J44"/>
  <x:sheetViews>
    <x:sheetView zoomScaleNormal="100" workbookViewId="0">
      <x:selection activeCell="G5" sqref="G5"/>
    </x:sheetView>
  </x:sheetViews>
  <x:sheetFormatPr defaultRowHeight="13.2" x14ac:dyDescent="0.25"/>
  <x:cols>
    <x:col min="1" max="1" width="9.33203125" bestFit="1" customWidth="1"/>
    <x:col min="2" max="2" width="26.88671875" bestFit="1" customWidth="1"/>
    <x:col min="3" max="3" width="12.5546875" customWidth="1"/>
    <x:col min="4" max="5" width="9.33203125" bestFit="1" customWidth="1"/>
    <x:col min="6" max="6" width="9.33203125" customWidth="1"/>
    <x:col min="8" max="8" width="13" customWidth="1"/>
  </x:cols>
  <x:sheetData>
    <x:row r="1" spans="1:10" s="1" customFormat="1" ht="15.6" x14ac:dyDescent="0.3">
      <x:c r="A1" s="6"/>
      <x:c r="B1" s="43" t="str">
        <x:f>+'RES Spline Model'!B1:F1</x:f>
        <x:v>2025 RATE CASE</x:v>
      </x:c>
      <x:c r="C1" s="44"/>
      <x:c r="D1" s="44"/>
      <x:c r="E1" s="44"/>
      <x:c r="F1" s="44"/>
      <x:c r="G1" s="44"/>
      <x:c r="H1" s="44"/>
      <x:c r="I1" s="44"/>
      <x:c r="J1" s="44"/>
    </x:row>
    <x:row r="2" spans="1:10" s="1" customFormat="1" ht="15.6" x14ac:dyDescent="0.3">
      <x:c r="A2" s="6"/>
      <x:c r="B2" s="43" t="str">
        <x:f>+'RES Spline Model'!B2:F2</x:f>
        <x:v>ONCOR ELECTRIC DELIVERY COMPANY LLC</x:v>
      </x:c>
      <x:c r="C2" s="44"/>
      <x:c r="D2" s="44"/>
      <x:c r="E2" s="44"/>
      <x:c r="F2" s="44"/>
      <x:c r="G2" s="44"/>
      <x:c r="H2" s="44"/>
      <x:c r="I2" s="44"/>
      <x:c r="J2" s="44"/>
    </x:row>
    <x:row r="3" spans="1:10" s="1" customFormat="1" ht="15.6" x14ac:dyDescent="0.3">
      <x:c r="A3" s="6"/>
      <x:c r="B3" s="43" t="str">
        <x:f>+'RES Spline Model'!B3:F3</x:f>
        <x:v>ADJUSTED WEATHER STATION DATA</x:v>
      </x:c>
      <x:c r="C3" s="44"/>
      <x:c r="D3" s="44"/>
      <x:c r="E3" s="44"/>
      <x:c r="F3" s="44"/>
      <x:c r="G3" s="44"/>
      <x:c r="H3" s="44"/>
      <x:c r="I3" s="44"/>
      <x:c r="J3" s="44"/>
    </x:row>
    <x:row r="4" spans="1:10" s="1" customFormat="1" ht="15.6" x14ac:dyDescent="0.3">
      <x:c r="A4" s="6"/>
      <x:c r="B4" s="43" t="str">
        <x:f>+'RES Spline Model'!B4:F4</x:f>
        <x:v>FOR THE TEST YEAR ENDING DECEMBER 31, 2024</x:v>
      </x:c>
      <x:c r="C4" s="44"/>
      <x:c r="D4" s="44"/>
      <x:c r="E4" s="44"/>
      <x:c r="F4" s="44"/>
      <x:c r="G4" s="44"/>
      <x:c r="H4" s="44"/>
      <x:c r="I4" s="44"/>
      <x:c r="J4" s="44"/>
    </x:row>
    <x:row r="5" spans="1:10" s="1" customFormat="1" ht="11.4" x14ac:dyDescent="0.2">
      <x:c r="A5" s="6"/>
    </x:row>
    <x:row r="6" spans="1:10" s="1" customFormat="1" ht="15.6" x14ac:dyDescent="0.3">
      <x:c r="A6" s="6"/>
      <x:c r="B6" s="43" t="str">
        <x:f>+'RES Spline Model'!B6:F6</x:f>
        <x:v>SPONSOR: D. E. NELSON</x:v>
      </x:c>
      <x:c r="C6" s="44"/>
      <x:c r="D6" s="44"/>
      <x:c r="E6" s="44"/>
      <x:c r="F6" s="44"/>
      <x:c r="G6" s="44"/>
      <x:c r="H6" s="44"/>
      <x:c r="I6" s="44"/>
      <x:c r="J6" s="44"/>
    </x:row>
    <x:row r="8" spans="1:10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10" s="1" customFormat="1" ht="11.4" x14ac:dyDescent="0.2">
      <x:c r="A9" s="7" t="s">
        <x:v>24</x:v>
      </x:c>
      <x:c r="B9" s="8"/>
      <x:c r="C9" s="8"/>
      <x:c r="D9" s="8"/>
      <x:c r="E9" s="8"/>
      <x:c r="F9" s="8"/>
    </x:row>
    <x:row r="10" spans="1:10" s="1" customFormat="1" x14ac:dyDescent="0.25">
      <x:c r="A10" s="6">
        <x:v>1</x:v>
      </x:c>
      <x:c r="B10" s="42" t="s">
        <x:v>87</x:v>
      </x:c>
      <x:c r="C10" s="44"/>
      <x:c r="D10" s="44"/>
      <x:c r="E10" s="44"/>
      <x:c r="F10" s="44"/>
      <x:c r="G10" s="44"/>
      <x:c r="H10" s="44"/>
      <x:c r="I10" s="44"/>
      <x:c r="J10" s="44"/>
    </x:row>
    <x:row r="11" spans="1:10" s="1" customFormat="1" x14ac:dyDescent="0.25">
      <x:c r="A11" s="6">
        <x:f t="shared" ref="A11:A37" si="0">+A10+1</x:f>
        <x:v>2</x:v>
      </x:c>
      <x:c r="B11" s="42" t="s">
        <x:v>53</x:v>
      </x:c>
      <x:c r="C11" s="44"/>
      <x:c r="D11" s="44"/>
      <x:c r="E11" s="44"/>
      <x:c r="F11" s="44"/>
      <x:c r="G11" s="44"/>
      <x:c r="H11" s="44"/>
      <x:c r="I11" s="44"/>
      <x:c r="J11" s="44"/>
    </x:row>
    <x:row r="12" spans="1:10" s="1" customFormat="1" ht="12" x14ac:dyDescent="0.25">
      <x:c r="A12" s="6">
        <x:f t="shared" si="0"/>
        <x:v>3</x:v>
      </x:c>
      <x:c r="B12" s="3"/>
      <x:c r="C12" s="10"/>
    </x:row>
    <x:row r="13" spans="1:10" s="1" customFormat="1" ht="12" x14ac:dyDescent="0.25">
      <x:c r="A13" s="6">
        <x:f t="shared" si="0"/>
        <x:v>4</x:v>
      </x:c>
      <x:c r="B13" s="3"/>
      <x:c r="C13" s="10"/>
    </x:row>
    <x:row r="14" spans="1:10" s="1" customFormat="1" ht="11.4" x14ac:dyDescent="0.2">
      <x:c r="A14" s="6">
        <x:f t="shared" si="0"/>
        <x:v>5</x:v>
      </x:c>
    </x:row>
    <x:row r="15" spans="1:10" s="1" customFormat="1" ht="11.4" x14ac:dyDescent="0.2">
      <x:c r="A15" s="6">
        <x:f t="shared" si="0"/>
        <x:v>6</x:v>
      </x:c>
      <x:c r="B15" s="12"/>
      <x:c r="C15" s="12"/>
      <x:c r="D15" s="12"/>
      <x:c r="E15" s="12"/>
      <x:c r="F15" s="12"/>
    </x:row>
    <x:row r="16" spans="1:10" x14ac:dyDescent="0.25">
      <x:c r="A16" s="6">
        <x:f t="shared" si="0"/>
        <x:v>7</x:v>
      </x:c>
      <x:c r="F16" s="9"/>
    </x:row>
    <x:row r="17" spans="1:6" x14ac:dyDescent="0.25">
      <x:c r="A17" s="6">
        <x:f t="shared" si="0"/>
        <x:v>8</x:v>
      </x:c>
      <x:c r="F17" s="9"/>
    </x:row>
    <x:row r="18" spans="1:6" x14ac:dyDescent="0.25">
      <x:c r="A18" s="6">
        <x:f t="shared" si="0"/>
        <x:v>9</x:v>
      </x:c>
      <x:c r="F18" s="9"/>
    </x:row>
    <x:row r="19" spans="1:6" x14ac:dyDescent="0.25">
      <x:c r="A19" s="6">
        <x:f t="shared" si="0"/>
        <x:v>10</x:v>
      </x:c>
      <x:c r="F19" s="9"/>
    </x:row>
    <x:row r="20" spans="1:6" x14ac:dyDescent="0.25">
      <x:c r="A20" s="6">
        <x:f t="shared" si="0"/>
        <x:v>11</x:v>
      </x:c>
      <x:c r="F20" s="9"/>
    </x:row>
    <x:row r="21" spans="1:6" x14ac:dyDescent="0.25">
      <x:c r="A21" s="6">
        <x:f t="shared" si="0"/>
        <x:v>12</x:v>
      </x:c>
      <x:c r="F21" s="9"/>
    </x:row>
    <x:row r="22" spans="1:6" x14ac:dyDescent="0.25">
      <x:c r="A22" s="6">
        <x:f t="shared" si="0"/>
        <x:v>13</x:v>
      </x:c>
      <x:c r="F22" s="9"/>
    </x:row>
    <x:row r="23" spans="1:6" x14ac:dyDescent="0.25">
      <x:c r="A23" s="6">
        <x:f t="shared" si="0"/>
        <x:v>14</x:v>
      </x:c>
      <x:c r="F23" s="9"/>
    </x:row>
    <x:row r="24" spans="1:6" x14ac:dyDescent="0.25">
      <x:c r="A24" s="6">
        <x:f t="shared" si="0"/>
        <x:v>15</x:v>
      </x:c>
      <x:c r="F24" s="9"/>
    </x:row>
    <x:row r="25" spans="1:6" x14ac:dyDescent="0.25">
      <x:c r="A25" s="6">
        <x:f t="shared" si="0"/>
        <x:v>16</x:v>
      </x:c>
      <x:c r="F25" s="9"/>
    </x:row>
    <x:row r="26" spans="1:6" x14ac:dyDescent="0.25">
      <x:c r="A26" s="6">
        <x:f t="shared" si="0"/>
        <x:v>17</x:v>
      </x:c>
      <x:c r="F26" s="9"/>
    </x:row>
    <x:row r="27" spans="1:6" x14ac:dyDescent="0.25">
      <x:c r="A27" s="6">
        <x:f t="shared" si="0"/>
        <x:v>18</x:v>
      </x:c>
      <x:c r="F27" s="9"/>
    </x:row>
    <x:row r="28" spans="1:6" x14ac:dyDescent="0.25">
      <x:c r="A28" s="6">
        <x:f t="shared" si="0"/>
        <x:v>19</x:v>
      </x:c>
      <x:c r="F28" s="9"/>
    </x:row>
    <x:row r="29" spans="1:6" x14ac:dyDescent="0.25">
      <x:c r="A29" s="6">
        <x:f t="shared" si="0"/>
        <x:v>20</x:v>
      </x:c>
      <x:c r="F29" s="9"/>
    </x:row>
    <x:row r="30" spans="1:6" x14ac:dyDescent="0.25">
      <x:c r="A30" s="6">
        <x:f t="shared" si="0"/>
        <x:v>21</x:v>
      </x:c>
      <x:c r="F30" s="9"/>
    </x:row>
    <x:row r="31" spans="1:6" x14ac:dyDescent="0.25">
      <x:c r="A31" s="6">
        <x:f t="shared" si="0"/>
        <x:v>22</x:v>
      </x:c>
      <x:c r="F31" s="9"/>
    </x:row>
    <x:row r="32" spans="1:6" x14ac:dyDescent="0.25">
      <x:c r="A32" s="6">
        <x:f t="shared" si="0"/>
        <x:v>23</x:v>
      </x:c>
      <x:c r="F32" s="9"/>
    </x:row>
    <x:row r="33" spans="1:7" x14ac:dyDescent="0.25">
      <x:c r="A33" s="6">
        <x:f t="shared" si="0"/>
        <x:v>24</x:v>
      </x:c>
      <x:c r="F33" s="11"/>
    </x:row>
    <x:row r="34" spans="1:7" x14ac:dyDescent="0.25">
      <x:c r="A34" s="6">
        <x:f t="shared" si="0"/>
        <x:v>25</x:v>
      </x:c>
      <x:c r="F34" s="2"/>
    </x:row>
    <x:row r="35" spans="1:7" x14ac:dyDescent="0.25">
      <x:c r="A35" s="6">
        <x:f t="shared" si="0"/>
        <x:v>26</x:v>
      </x:c>
      <x:c r="F35" s="11"/>
    </x:row>
    <x:row r="36" spans="1:7" x14ac:dyDescent="0.25">
      <x:c r="A36" s="6">
        <x:f t="shared" si="0"/>
        <x:v>27</x:v>
      </x:c>
      <x:c r="F36" s="2"/>
    </x:row>
    <x:row r="37" spans="1:7" x14ac:dyDescent="0.25">
      <x:c r="A37" s="6">
        <x:f t="shared" si="0"/>
        <x:v>28</x:v>
      </x:c>
      <x:c r="F37" s="2"/>
    </x:row>
    <x:row r="38" spans="1:7" x14ac:dyDescent="0.25">
      <x:c r="A38" s="6"/>
      <x:c r="F38" s="2"/>
    </x:row>
    <x:row r="39" spans="1:7" x14ac:dyDescent="0.25">
      <x:c r="A39" s="6"/>
      <x:c r="F39" s="2"/>
    </x:row>
    <x:row r="40" spans="1:7" x14ac:dyDescent="0.25">
      <x:c r="A40" s="6"/>
    </x:row>
    <x:row r="41" spans="1:7" x14ac:dyDescent="0.25">
      <x:c r="A41" s="6"/>
    </x:row>
    <x:row r="42" spans="1:7" x14ac:dyDescent="0.25">
      <x:c r="A42" s="6"/>
      <x:c r="C42" s="9"/>
      <x:c r="G42" s="9"/>
    </x:row>
    <x:row r="43" spans="1:7" x14ac:dyDescent="0.25">
      <x:c r="A43" s="6"/>
    </x:row>
    <x:row r="44" spans="1:7" x14ac:dyDescent="0.25">
      <x:c r="A44" s="6"/>
    </x:row>
  </x:sheetData>
  <x:mergeCells count="8">
    <x:mergeCell ref="B10:J10"/>
    <x:mergeCell ref="B11:J11"/>
    <x:mergeCell ref="B8:F8"/>
    <x:mergeCell ref="B1:J1"/>
    <x:mergeCell ref="B2:J2"/>
    <x:mergeCell ref="B3:J3"/>
    <x:mergeCell ref="B4:J4"/>
    <x:mergeCell ref="B6:J6"/>
  </x:mergeCells>
  <x:phoneticPr fontId="1" type="noConversion"/>
  <x:printOptions horizontalCentered="1"/>
  <x:pageMargins left="0.83" right="0.53" top="1.5" bottom="1" header="1" footer="0.5"/>
  <x:pageSetup scale="79" firstPageNumber="7" orientation="portrait" r:id="rId1"/>
  <x:headerFooter scaleWithDoc="0" alignWithMargins="0">
    <x:oddHeader>&amp;RWP/II-H-5.2/6
Page &amp;P of 20</x:oddHeader>
  </x:headerFooter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pageSetUpPr fitToPage="1"/>
  </x:sheetPr>
  <x:dimension ref="A1:F79"/>
  <x:sheetViews>
    <x:sheetView workbookViewId="0">
      <x:selection activeCell="G5" sqref="G5"/>
    </x:sheetView>
  </x:sheetViews>
  <x:sheetFormatPr defaultRowHeight="13.2" x14ac:dyDescent="0.25"/>
  <x:cols>
    <x:col min="2" max="2" width="26.6640625" customWidth="1"/>
    <x:col min="3" max="3" width="18" customWidth="1"/>
    <x:col min="4" max="4" width="13.5546875" customWidth="1"/>
    <x:col min="5" max="5" width="14.109375" customWidth="1"/>
    <x:col min="6" max="6" width="15.5546875" customWidth="1"/>
  </x:cols>
  <x:sheetData>
    <x:row r="1" spans="1:6" s="1" customFormat="1" ht="15.6" x14ac:dyDescent="0.3">
      <x:c r="A1" s="6"/>
      <x:c r="B1" s="43" t="str">
        <x:f>+'RES Spline Model'!B1:F1</x:f>
        <x:v>2025 RATE CASE</x:v>
      </x:c>
      <x:c r="C1" s="43"/>
      <x:c r="D1" s="43"/>
      <x:c r="E1" s="43"/>
      <x:c r="F1" s="43"/>
    </x:row>
    <x:row r="2" spans="1:6" s="1" customFormat="1" ht="15.6" x14ac:dyDescent="0.3">
      <x:c r="A2" s="6"/>
      <x:c r="B2" s="43" t="str">
        <x:f>+'RES Spline Model'!B2:F2</x:f>
        <x:v>ONCOR ELECTRIC DELIVERY COMPANY LLC</x:v>
      </x:c>
      <x:c r="C2" s="43"/>
      <x:c r="D2" s="43"/>
      <x:c r="E2" s="43"/>
      <x:c r="F2" s="43"/>
    </x:row>
    <x:row r="3" spans="1:6" s="1" customFormat="1" ht="15.6" x14ac:dyDescent="0.3">
      <x:c r="A3" s="6"/>
      <x:c r="B3" s="43" t="str">
        <x:f>+'RES Spline Model'!B3:F3</x:f>
        <x:v>ADJUSTED WEATHER STATION DATA</x:v>
      </x:c>
      <x:c r="C3" s="43"/>
      <x:c r="D3" s="43"/>
      <x:c r="E3" s="43"/>
      <x:c r="F3" s="43"/>
    </x:row>
    <x:row r="4" spans="1:6" s="1" customFormat="1" ht="15.6" x14ac:dyDescent="0.3">
      <x:c r="A4" s="6"/>
      <x:c r="B4" s="43" t="str">
        <x:f>+'RES Spline Model'!B4:F4</x:f>
        <x:v>FOR THE TEST YEAR ENDING DECEMBER 31, 2024</x:v>
      </x:c>
      <x:c r="C4" s="43"/>
      <x:c r="D4" s="43"/>
      <x:c r="E4" s="43"/>
      <x:c r="F4" s="43"/>
    </x:row>
    <x:row r="5" spans="1:6" s="1" customFormat="1" ht="11.4" x14ac:dyDescent="0.2">
      <x:c r="A5" s="6"/>
    </x:row>
    <x:row r="6" spans="1:6" s="1" customFormat="1" ht="15.6" x14ac:dyDescent="0.3">
      <x:c r="A6" s="6"/>
      <x:c r="B6" s="43" t="str">
        <x:f>+'RES Spline Model'!B6:F6</x:f>
        <x:v>SPONSOR: D. E. NELSON</x:v>
      </x:c>
      <x:c r="C6" s="43"/>
      <x:c r="D6" s="43"/>
      <x:c r="E6" s="43"/>
      <x:c r="F6" s="43"/>
    </x:row>
    <x:row r="8" spans="1:6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6" s="1" customFormat="1" ht="11.4" x14ac:dyDescent="0.2">
      <x:c r="A9" s="7" t="s">
        <x:v>24</x:v>
      </x:c>
      <x:c r="B9" s="8" t="s">
        <x:v>25</x:v>
      </x:c>
      <x:c r="C9" s="8" t="s">
        <x:v>26</x:v>
      </x:c>
      <x:c r="D9" s="8" t="s">
        <x:v>29</x:v>
      </x:c>
      <x:c r="E9" s="8" t="s">
        <x:v>27</x:v>
      </x:c>
      <x:c r="F9" s="8" t="s">
        <x:v>28</x:v>
      </x:c>
    </x:row>
    <x:row r="10" spans="1:6" s="1" customFormat="1" ht="12" x14ac:dyDescent="0.25">
      <x:c r="A10" s="6">
        <x:v>1</x:v>
      </x:c>
      <x:c r="B10" s="3" t="s">
        <x:v>5</x:v>
      </x:c>
      <x:c r="C10" s="3" t="s">
        <x:v>96</x:v>
      </x:c>
    </x:row>
    <x:row r="11" spans="1:6" s="1" customFormat="1" ht="12" x14ac:dyDescent="0.25">
      <x:c r="A11" s="6">
        <x:f t="shared" ref="A11:A78" si="0">+A10+1</x:f>
        <x:v>2</x:v>
      </x:c>
      <x:c r="B11" s="3" t="s">
        <x:v>53</x:v>
      </x:c>
      <x:c r="C11" s="3"/>
    </x:row>
    <x:row r="12" spans="1:6" s="1" customFormat="1" ht="12" x14ac:dyDescent="0.25">
      <x:c r="A12" s="6">
        <x:f t="shared" si="0"/>
        <x:v>3</x:v>
      </x:c>
      <x:c r="B12" s="3" t="s">
        <x:v>6</x:v>
      </x:c>
      <x:c r="C12" s="3" t="s">
        <x:v>95</x:v>
      </x:c>
    </x:row>
    <x:row r="13" spans="1:6" s="1" customFormat="1" ht="12" x14ac:dyDescent="0.25">
      <x:c r="A13" s="6">
        <x:f t="shared" si="0"/>
        <x:v>4</x:v>
      </x:c>
      <x:c r="B13" s="3" t="s">
        <x:v>7</x:v>
      </x:c>
      <x:c r="C13" s="16">
        <x:f>+'RES Spline Model'!C13</x:f>
        <x:v>44197</x:v>
      </x:c>
    </x:row>
    <x:row r="14" spans="1:6" s="1" customFormat="1" ht="12" x14ac:dyDescent="0.25">
      <x:c r="A14" s="6">
        <x:f t="shared" si="0"/>
        <x:v>5</x:v>
      </x:c>
      <x:c r="B14" s="3" t="s">
        <x:v>8</x:v>
      </x:c>
      <x:c r="C14" s="16">
        <x:f>+'RES Spline Model'!C14</x:f>
        <x:v>45291</x:v>
      </x:c>
    </x:row>
    <x:row r="15" spans="1:6" s="1" customFormat="1" ht="11.4" x14ac:dyDescent="0.2">
      <x:c r="A15" s="6">
        <x:f t="shared" si="0"/>
        <x:v>6</x:v>
      </x:c>
    </x:row>
    <x:row r="16" spans="1:6" s="1" customFormat="1" ht="11.4" x14ac:dyDescent="0.2">
      <x:c r="A16" s="6">
        <x:f t="shared" si="0"/>
        <x:v>7</x:v>
      </x:c>
      <x:c r="B16" s="5" t="s">
        <x:v>0</x:v>
      </x:c>
      <x:c r="C16" s="5" t="s">
        <x:v>1</x:v>
      </x:c>
      <x:c r="D16" s="5" t="s">
        <x:v>2</x:v>
      </x:c>
      <x:c r="E16" s="5" t="s">
        <x:v>3</x:v>
      </x:c>
      <x:c r="F16" s="5" t="s">
        <x:v>4</x:v>
      </x:c>
    </x:row>
    <x:row r="17" spans="1:6" x14ac:dyDescent="0.25">
      <x:c r="A17" s="6">
        <x:f t="shared" si="0"/>
        <x:v>8</x:v>
      </x:c>
      <x:c r="B17" t="s">
        <x:v>37</x:v>
      </x:c>
      <x:c r="C17">
        <x:v>-472.86599999999999</x:v>
      </x:c>
      <x:c r="D17">
        <x:v>296.99700000000001</x:v>
      </x:c>
      <x:c r="E17">
        <x:v>-1.5920000000000001</x:v>
      </x:c>
      <x:c r="F17" s="9">
        <x:v>0.11169999999999999</x:v>
      </x:c>
    </x:row>
    <x:row r="18" spans="1:6" x14ac:dyDescent="0.25">
      <x:c r="A18" s="6">
        <x:f t="shared" si="0"/>
        <x:v>9</x:v>
      </x:c>
      <x:c r="B18" t="s">
        <x:v>99</x:v>
      </x:c>
      <x:c r="C18">
        <x:v>131.79499999999999</x:v>
      </x:c>
      <x:c r="D18">
        <x:v>214.374</x:v>
      </x:c>
      <x:c r="E18">
        <x:v>0.61499999999999999</x:v>
      </x:c>
      <x:c r="F18" s="9">
        <x:v>0.53879999999999995</x:v>
      </x:c>
    </x:row>
    <x:row r="19" spans="1:6" x14ac:dyDescent="0.25">
      <x:c r="A19" s="6">
        <x:f t="shared" si="0"/>
        <x:v>10</x:v>
      </x:c>
      <x:c r="B19" t="s">
        <x:v>100</x:v>
      </x:c>
      <x:c r="C19">
        <x:v>177.964</x:v>
      </x:c>
      <x:c r="D19">
        <x:v>146.70599999999999</x:v>
      </x:c>
      <x:c r="E19">
        <x:v>1.2130000000000001</x:v>
      </x:c>
      <x:c r="F19" s="9">
        <x:v>0.22539999999999999</x:v>
      </x:c>
    </x:row>
    <x:row r="20" spans="1:6" x14ac:dyDescent="0.25">
      <x:c r="A20" s="6">
        <x:f t="shared" si="0"/>
        <x:v>11</x:v>
      </x:c>
      <x:c r="B20" t="s">
        <x:v>101</x:v>
      </x:c>
      <x:c r="C20">
        <x:v>105.51600000000001</x:v>
      </x:c>
      <x:c r="D20">
        <x:v>143.72999999999999</x:v>
      </x:c>
      <x:c r="E20">
        <x:v>0.73399999999999999</x:v>
      </x:c>
      <x:c r="F20" s="9">
        <x:v>0.46300000000000002</x:v>
      </x:c>
    </x:row>
    <x:row r="21" spans="1:6" x14ac:dyDescent="0.25">
      <x:c r="A21" s="6">
        <x:f t="shared" si="0"/>
        <x:v>12</x:v>
      </x:c>
      <x:c r="B21" t="s">
        <x:v>102</x:v>
      </x:c>
      <x:c r="C21">
        <x:v>171.03800000000001</x:v>
      </x:c>
      <x:c r="D21">
        <x:v>143.649</x:v>
      </x:c>
      <x:c r="E21">
        <x:v>1.1910000000000001</x:v>
      </x:c>
      <x:c r="F21" s="9">
        <x:v>0.2341</x:v>
      </x:c>
    </x:row>
    <x:row r="22" spans="1:6" x14ac:dyDescent="0.25">
      <x:c r="A22" s="6">
        <x:f t="shared" si="0"/>
        <x:v>13</x:v>
      </x:c>
      <x:c r="B22" t="s">
        <x:v>103</x:v>
      </x:c>
      <x:c r="C22">
        <x:v>142.268</x:v>
      </x:c>
      <x:c r="D22">
        <x:v>144.34299999999999</x:v>
      </x:c>
      <x:c r="E22">
        <x:v>0.98599999999999999</x:v>
      </x:c>
      <x:c r="F22" s="9">
        <x:v>0.32450000000000001</x:v>
      </x:c>
    </x:row>
    <x:row r="23" spans="1:6" x14ac:dyDescent="0.25">
      <x:c r="A23" s="6">
        <x:f t="shared" si="0"/>
        <x:v>14</x:v>
      </x:c>
      <x:c r="B23" t="s">
        <x:v>104</x:v>
      </x:c>
      <x:c r="C23">
        <x:v>137.34399999999999</x:v>
      </x:c>
      <x:c r="D23">
        <x:v>144.53800000000001</x:v>
      </x:c>
      <x:c r="E23">
        <x:v>0.95</x:v>
      </x:c>
      <x:c r="F23" s="9">
        <x:v>0.3422</x:v>
      </x:c>
    </x:row>
    <x:row r="24" spans="1:6" x14ac:dyDescent="0.25">
      <x:c r="A24" s="6">
        <x:f t="shared" si="0"/>
        <x:v>15</x:v>
      </x:c>
      <x:c r="B24" t="s">
        <x:v>105</x:v>
      </x:c>
      <x:c r="C24">
        <x:v>64.016000000000005</x:v>
      </x:c>
      <x:c r="D24">
        <x:v>142.76300000000001</x:v>
      </x:c>
      <x:c r="E24">
        <x:v>0.44800000000000001</x:v>
      </x:c>
      <x:c r="F24" s="9">
        <x:v>0.65400000000000003</x:v>
      </x:c>
    </x:row>
    <x:row r="25" spans="1:6" x14ac:dyDescent="0.25">
      <x:c r="A25" s="6">
        <x:f t="shared" si="0"/>
        <x:v>16</x:v>
      </x:c>
      <x:c r="B25" t="s">
        <x:v>158</x:v>
      </x:c>
      <x:c r="C25">
        <x:v>-2.9729999999999999</x:v>
      </x:c>
      <x:c r="D25">
        <x:v>744.34900000000005</x:v>
      </x:c>
      <x:c r="E25">
        <x:v>-4.0000000000000001E-3</x:v>
      </x:c>
      <x:c r="F25" s="9">
        <x:v>0.99680000000000002</x:v>
      </x:c>
    </x:row>
    <x:row r="26" spans="1:6" x14ac:dyDescent="0.25">
      <x:c r="A26" s="6">
        <x:f t="shared" si="0"/>
        <x:v>17</x:v>
      </x:c>
      <x:c r="B26" t="s">
        <x:v>106</x:v>
      </x:c>
      <x:c r="C26">
        <x:v>-61.805</x:v>
      </x:c>
      <x:c r="D26">
        <x:v>909.56700000000001</x:v>
      </x:c>
      <x:c r="E26">
        <x:v>-6.8000000000000005E-2</x:v>
      </x:c>
      <x:c r="F26" s="9">
        <x:v>0.94579999999999997</x:v>
      </x:c>
    </x:row>
    <x:row r="27" spans="1:6" x14ac:dyDescent="0.25">
      <x:c r="A27" s="6">
        <x:f t="shared" si="0"/>
        <x:v>18</x:v>
      </x:c>
      <x:c r="B27" t="s">
        <x:v>141</x:v>
      </x:c>
      <x:c r="C27">
        <x:v>304.52999999999997</x:v>
      </x:c>
      <x:c r="D27">
        <x:v>744.28499999999997</x:v>
      </x:c>
      <x:c r="E27">
        <x:v>0.40899999999999997</x:v>
      </x:c>
      <x:c r="F27" s="9">
        <x:v>0.6825</x:v>
      </x:c>
    </x:row>
    <x:row r="28" spans="1:6" x14ac:dyDescent="0.25">
      <x:c r="A28" s="6">
        <x:f t="shared" si="0"/>
        <x:v>19</x:v>
      </x:c>
      <x:c r="B28" t="s">
        <x:v>107</x:v>
      </x:c>
      <x:c r="C28">
        <x:v>-247.19800000000001</x:v>
      </x:c>
      <x:c r="D28">
        <x:v>743.78099999999995</x:v>
      </x:c>
      <x:c r="E28">
        <x:v>-0.33200000000000002</x:v>
      </x:c>
      <x:c r="F28" s="9">
        <x:v>0.73970000000000002</x:v>
      </x:c>
    </x:row>
    <x:row r="29" spans="1:6" x14ac:dyDescent="0.25">
      <x:c r="A29" s="6">
        <x:f t="shared" si="0"/>
        <x:v>20</x:v>
      </x:c>
      <x:c r="B29" t="s">
        <x:v>142</x:v>
      </x:c>
      <x:c r="C29">
        <x:v>-233.09</x:v>
      </x:c>
      <x:c r="D29">
        <x:v>741.77</x:v>
      </x:c>
      <x:c r="E29">
        <x:v>-0.314</x:v>
      </x:c>
      <x:c r="F29" s="9">
        <x:v>0.75339999999999996</x:v>
      </x:c>
    </x:row>
    <x:row r="30" spans="1:6" x14ac:dyDescent="0.25">
      <x:c r="A30" s="6">
        <x:f t="shared" si="0"/>
        <x:v>21</x:v>
      </x:c>
      <x:c r="B30" t="s">
        <x:v>108</x:v>
      </x:c>
      <x:c r="C30">
        <x:v>-19.853999999999999</x:v>
      </x:c>
      <x:c r="D30">
        <x:v>744.99099999999999</x:v>
      </x:c>
      <x:c r="E30">
        <x:v>-2.7E-2</x:v>
      </x:c>
      <x:c r="F30" s="9">
        <x:v>0.97870000000000001</x:v>
      </x:c>
    </x:row>
    <x:row r="31" spans="1:6" x14ac:dyDescent="0.25">
      <x:c r="A31" s="6">
        <x:f t="shared" si="0"/>
        <x:v>22</x:v>
      </x:c>
      <x:c r="B31" t="s">
        <x:v>109</x:v>
      </x:c>
      <x:c r="C31">
        <x:v>-64.965000000000003</x:v>
      </x:c>
      <x:c r="D31">
        <x:v>746.71299999999997</x:v>
      </x:c>
      <x:c r="E31">
        <x:v>-8.6999999999999994E-2</x:v>
      </x:c>
      <x:c r="F31" s="9">
        <x:v>0.93069999999999997</x:v>
      </x:c>
    </x:row>
    <x:row r="32" spans="1:6" x14ac:dyDescent="0.25">
      <x:c r="A32" s="6">
        <x:f t="shared" si="0"/>
        <x:v>23</x:v>
      </x:c>
      <x:c r="B32" t="s">
        <x:v>110</x:v>
      </x:c>
      <x:c r="C32">
        <x:v>-36.860999999999997</x:v>
      </x:c>
      <x:c r="D32">
        <x:v>747.27300000000002</x:v>
      </x:c>
      <x:c r="E32">
        <x:v>-4.9000000000000002E-2</x:v>
      </x:c>
      <x:c r="F32" s="9">
        <x:v>0.9607</x:v>
      </x:c>
    </x:row>
    <x:row r="33" spans="1:6" x14ac:dyDescent="0.25">
      <x:c r="A33" s="6">
        <x:f t="shared" si="0"/>
        <x:v>24</x:v>
      </x:c>
      <x:c r="B33" t="s">
        <x:v>159</x:v>
      </x:c>
      <x:c r="C33">
        <x:v>1670.829</x:v>
      </x:c>
      <x:c r="D33">
        <x:v>871.572</x:v>
      </x:c>
      <x:c r="E33">
        <x:v>1.917</x:v>
      </x:c>
      <x:c r="F33" s="9">
        <x:v>5.5500000000000001E-2</x:v>
      </x:c>
    </x:row>
    <x:row r="34" spans="1:6" x14ac:dyDescent="0.25">
      <x:c r="A34" s="6">
        <x:f t="shared" si="0"/>
        <x:v>25</x:v>
      </x:c>
      <x:c r="B34" t="s">
        <x:v>143</x:v>
      </x:c>
      <x:c r="C34">
        <x:v>-1373.9359999999999</x:v>
      </x:c>
      <x:c r="D34">
        <x:v>798.06600000000003</x:v>
      </x:c>
      <x:c r="E34">
        <x:v>-1.722</x:v>
      </x:c>
      <x:c r="F34" s="9">
        <x:v>8.5400000000000004E-2</x:v>
      </x:c>
    </x:row>
    <x:row r="35" spans="1:6" x14ac:dyDescent="0.25">
      <x:c r="A35" s="6">
        <x:f t="shared" si="0"/>
        <x:v>26</x:v>
      </x:c>
      <x:c r="B35" t="s">
        <x:v>111</x:v>
      </x:c>
      <x:c r="C35">
        <x:v>-781.48299999999995</x:v>
      </x:c>
      <x:c r="D35">
        <x:v>817.99300000000005</x:v>
      </x:c>
      <x:c r="E35">
        <x:v>-0.95499999999999996</x:v>
      </x:c>
      <x:c r="F35" s="9">
        <x:v>0.33960000000000001</x:v>
      </x:c>
    </x:row>
    <x:row r="36" spans="1:6" x14ac:dyDescent="0.25">
      <x:c r="A36" s="6">
        <x:f t="shared" si="0"/>
        <x:v>27</x:v>
      </x:c>
      <x:c r="B36" t="s">
        <x:v>168</x:v>
      </x:c>
      <x:c r="C36">
        <x:v>-238.911</x:v>
      </x:c>
      <x:c r="D36">
        <x:v>1065.836</x:v>
      </x:c>
      <x:c r="E36">
        <x:v>-0.224</x:v>
      </x:c>
      <x:c r="F36" s="9">
        <x:v>0.82269999999999999</x:v>
      </x:c>
    </x:row>
    <x:row r="37" spans="1:6" x14ac:dyDescent="0.25">
      <x:c r="A37" s="6">
        <x:f t="shared" si="0"/>
        <x:v>28</x:v>
      </x:c>
      <x:c r="B37" t="s">
        <x:v>112</x:v>
      </x:c>
      <x:c r="C37">
        <x:v>596.03499999999997</x:v>
      </x:c>
      <x:c r="D37">
        <x:v>820.94100000000003</x:v>
      </x:c>
      <x:c r="E37">
        <x:v>0.72599999999999998</x:v>
      </x:c>
      <x:c r="F37" s="9">
        <x:v>0.46800000000000003</x:v>
      </x:c>
    </x:row>
    <x:row r="38" spans="1:6" x14ac:dyDescent="0.25">
      <x:c r="A38" s="6">
        <x:f t="shared" si="0"/>
        <x:v>29</x:v>
      </x:c>
      <x:c r="B38" t="s">
        <x:v>113</x:v>
      </x:c>
      <x:c r="C38">
        <x:v>-464.81</x:v>
      </x:c>
      <x:c r="D38">
        <x:v>739.16800000000001</x:v>
      </x:c>
      <x:c r="E38">
        <x:v>-0.629</x:v>
      </x:c>
      <x:c r="F38" s="9">
        <x:v>0.52959999999999996</x:v>
      </x:c>
    </x:row>
    <x:row r="39" spans="1:6" x14ac:dyDescent="0.25">
      <x:c r="A39" s="6">
        <x:f t="shared" si="0"/>
        <x:v>30</x:v>
      </x:c>
      <x:c r="B39" t="s">
        <x:v>114</x:v>
      </x:c>
      <x:c r="C39">
        <x:v>1.552</x:v>
      </x:c>
      <x:c r="D39">
        <x:v>21.733000000000001</x:v>
      </x:c>
      <x:c r="E39">
        <x:v>7.0999999999999994E-2</x:v>
      </x:c>
      <x:c r="F39" s="9">
        <x:v>0.94310000000000005</x:v>
      </x:c>
    </x:row>
    <x:row r="40" spans="1:6" x14ac:dyDescent="0.25">
      <x:c r="A40" s="6">
        <x:f t="shared" si="0"/>
        <x:v>31</x:v>
      </x:c>
      <x:c r="B40" t="s">
        <x:v>38</x:v>
      </x:c>
      <x:c r="C40">
        <x:v>-267.71100000000001</x:v>
      </x:c>
      <x:c r="D40">
        <x:v>199.88499999999999</x:v>
      </x:c>
      <x:c r="E40">
        <x:v>-1.339</x:v>
      </x:c>
      <x:c r="F40" s="9">
        <x:v>0.18079999999999999</x:v>
      </x:c>
    </x:row>
    <x:row r="41" spans="1:6" x14ac:dyDescent="0.25">
      <x:c r="A41" s="6">
        <x:f t="shared" si="0"/>
        <x:v>32</x:v>
      </x:c>
      <x:c r="B41" t="s">
        <x:v>39</x:v>
      </x:c>
      <x:c r="C41">
        <x:v>662.05499999999995</x:v>
      </x:c>
      <x:c r="D41">
        <x:v>234.37100000000001</x:v>
      </x:c>
      <x:c r="E41">
        <x:v>2.8250000000000002</x:v>
      </x:c>
      <x:c r="F41" s="9">
        <x:v>4.7999999999999996E-3</x:v>
      </x:c>
    </x:row>
    <x:row r="42" spans="1:6" x14ac:dyDescent="0.25">
      <x:c r="A42" s="6">
        <x:f t="shared" si="0"/>
        <x:v>33</x:v>
      </x:c>
      <x:c r="B42" t="s">
        <x:v>40</x:v>
      </x:c>
      <x:c r="C42">
        <x:v>272.99</x:v>
      </x:c>
      <x:c r="D42">
        <x:v>304.428</x:v>
      </x:c>
      <x:c r="E42">
        <x:v>0.89700000000000002</x:v>
      </x:c>
      <x:c r="F42" s="9">
        <x:v>0.37009999999999998</x:v>
      </x:c>
    </x:row>
    <x:row r="43" spans="1:6" x14ac:dyDescent="0.25">
      <x:c r="A43" s="6">
        <x:f t="shared" si="0"/>
        <x:v>34</x:v>
      </x:c>
      <x:c r="B43" t="s">
        <x:v>41</x:v>
      </x:c>
      <x:c r="C43">
        <x:v>-289.24599999999998</x:v>
      </x:c>
      <x:c r="D43">
        <x:v>328.68700000000001</x:v>
      </x:c>
      <x:c r="E43">
        <x:v>-0.88</x:v>
      </x:c>
      <x:c r="F43" s="9">
        <x:v>0.379</x:v>
      </x:c>
    </x:row>
    <x:row r="44" spans="1:6" x14ac:dyDescent="0.25">
      <x:c r="A44" s="6">
        <x:f t="shared" si="0"/>
        <x:v>35</x:v>
      </x:c>
      <x:c r="B44" t="s">
        <x:v>42</x:v>
      </x:c>
      <x:c r="C44">
        <x:v>492.26499999999999</x:v>
      </x:c>
      <x:c r="D44">
        <x:v>350.05399999999997</x:v>
      </x:c>
      <x:c r="E44">
        <x:v>1.4059999999999999</x:v>
      </x:c>
      <x:c r="F44" s="9">
        <x:v>0.16</x:v>
      </x:c>
    </x:row>
    <x:row r="45" spans="1:6" x14ac:dyDescent="0.25">
      <x:c r="A45" s="6">
        <x:f t="shared" si="0"/>
        <x:v>36</x:v>
      </x:c>
      <x:c r="B45" t="s">
        <x:v>43</x:v>
      </x:c>
      <x:c r="C45">
        <x:v>864.11800000000005</x:v>
      </x:c>
      <x:c r="D45">
        <x:v>358.952</x:v>
      </x:c>
      <x:c r="E45">
        <x:v>2.407</x:v>
      </x:c>
      <x:c r="F45" s="9">
        <x:v>1.6199999999999999E-2</x:v>
      </x:c>
    </x:row>
    <x:row r="46" spans="1:6" x14ac:dyDescent="0.25">
      <x:c r="A46" s="6">
        <x:f t="shared" si="0"/>
        <x:v>37</x:v>
      </x:c>
      <x:c r="B46" t="s">
        <x:v>44</x:v>
      </x:c>
      <x:c r="C46">
        <x:v>583.95299999999997</x:v>
      </x:c>
      <x:c r="D46">
        <x:v>353.77300000000002</x:v>
      </x:c>
      <x:c r="E46">
        <x:v>1.651</x:v>
      </x:c>
      <x:c r="F46" s="9">
        <x:v>9.9099999999999994E-2</x:v>
      </x:c>
    </x:row>
    <x:row r="47" spans="1:6" x14ac:dyDescent="0.25">
      <x:c r="A47" s="6">
        <x:f t="shared" si="0"/>
        <x:v>38</x:v>
      </x:c>
      <x:c r="B47" t="s">
        <x:v>45</x:v>
      </x:c>
      <x:c r="C47">
        <x:v>221.02099999999999</x:v>
      </x:c>
      <x:c r="D47">
        <x:v>345.78100000000001</x:v>
      </x:c>
      <x:c r="E47">
        <x:v>0.63900000000000001</x:v>
      </x:c>
      <x:c r="F47" s="9">
        <x:v>0.52280000000000004</x:v>
      </x:c>
    </x:row>
    <x:row r="48" spans="1:6" x14ac:dyDescent="0.25">
      <x:c r="A48" s="6">
        <x:f t="shared" si="0"/>
        <x:v>39</x:v>
      </x:c>
      <x:c r="B48" t="s">
        <x:v>52</x:v>
      </x:c>
      <x:c r="C48">
        <x:v>63.634</x:v>
      </x:c>
      <x:c r="D48">
        <x:v>309.303</x:v>
      </x:c>
      <x:c r="E48">
        <x:v>0.20599999999999999</x:v>
      </x:c>
      <x:c r="F48" s="9">
        <x:v>0.83699999999999997</x:v>
      </x:c>
    </x:row>
    <x:row r="49" spans="1:6" x14ac:dyDescent="0.25">
      <x:c r="A49" s="6">
        <x:f t="shared" si="0"/>
        <x:v>40</x:v>
      </x:c>
      <x:c r="B49" t="s">
        <x:v>46</x:v>
      </x:c>
      <x:c r="C49">
        <x:v>-123.101</x:v>
      </x:c>
      <x:c r="D49">
        <x:v>203.98500000000001</x:v>
      </x:c>
      <x:c r="E49">
        <x:v>-0.60299999999999998</x:v>
      </x:c>
      <x:c r="F49" s="9">
        <x:v>0.54630000000000001</x:v>
      </x:c>
    </x:row>
    <x:row r="50" spans="1:6" x14ac:dyDescent="0.25">
      <x:c r="A50" s="6">
        <x:f t="shared" si="0"/>
        <x:v>41</x:v>
      </x:c>
      <x:c r="B50" t="s">
        <x:v>47</x:v>
      </x:c>
      <x:c r="C50">
        <x:v>-50.619</x:v>
      </x:c>
      <x:c r="D50">
        <x:v>407.96499999999997</x:v>
      </x:c>
      <x:c r="E50">
        <x:v>-0.124</x:v>
      </x:c>
      <x:c r="F50" s="9">
        <x:v>0.90129999999999999</x:v>
      </x:c>
    </x:row>
    <x:row r="51" spans="1:6" x14ac:dyDescent="0.25">
      <x:c r="A51" s="6">
        <x:f t="shared" si="0"/>
        <x:v>42</x:v>
      </x:c>
      <x:c r="B51" t="s">
        <x:v>81</x:v>
      </x:c>
      <x:c r="C51">
        <x:v>3525.9789999999998</x:v>
      </x:c>
      <x:c r="D51">
        <x:v>49.05</x:v>
      </x:c>
      <x:c r="E51">
        <x:v>71.885000000000005</x:v>
      </x:c>
      <x:c r="F51" s="9">
        <x:v>0</x:v>
      </x:c>
    </x:row>
    <x:row r="52" spans="1:6" x14ac:dyDescent="0.25">
      <x:c r="A52" s="6">
        <x:f t="shared" si="0"/>
        <x:v>43</x:v>
      </x:c>
      <x:c r="B52" t="s">
        <x:v>169</x:v>
      </x:c>
      <x:c r="C52">
        <x:v>24.57</x:v>
      </x:c>
      <x:c r="D52">
        <x:v>7.6790000000000003</x:v>
      </x:c>
      <x:c r="E52">
        <x:v>3.2</x:v>
      </x:c>
      <x:c r="F52" s="9">
        <x:v>1.4E-3</x:v>
      </x:c>
    </x:row>
    <x:row r="53" spans="1:6" x14ac:dyDescent="0.25">
      <x:c r="A53" s="6">
        <x:f t="shared" si="0"/>
        <x:v>44</x:v>
      </x:c>
      <x:c r="B53" t="s">
        <x:v>170</x:v>
      </x:c>
      <x:c r="C53">
        <x:v>-42.417999999999999</x:v>
      </x:c>
      <x:c r="D53">
        <x:v>20.364999999999998</x:v>
      </x:c>
      <x:c r="E53">
        <x:v>-2.0830000000000002</x:v>
      </x:c>
      <x:c r="F53" s="9">
        <x:v>3.7499999999999999E-2</x:v>
      </x:c>
    </x:row>
    <x:row r="54" spans="1:6" x14ac:dyDescent="0.25">
      <x:c r="A54" s="6">
        <x:f t="shared" si="0"/>
        <x:v>45</x:v>
      </x:c>
      <x:c r="B54" t="s">
        <x:v>155</x:v>
      </x:c>
      <x:c r="C54">
        <x:v>-10403.994000000001</x:v>
      </x:c>
      <x:c r="D54">
        <x:v>1269.248</x:v>
      </x:c>
      <x:c r="E54">
        <x:v>-8.1969999999999992</x:v>
      </x:c>
      <x:c r="F54" s="9">
        <x:v>0</x:v>
      </x:c>
    </x:row>
    <x:row r="55" spans="1:6" x14ac:dyDescent="0.25">
      <x:c r="A55" s="6">
        <x:f t="shared" si="0"/>
        <x:v>46</x:v>
      </x:c>
      <x:c r="B55" t="s">
        <x:v>115</x:v>
      </x:c>
      <x:c r="C55">
        <x:v>-10294.634</x:v>
      </x:c>
      <x:c r="D55">
        <x:v>1543.4449999999999</x:v>
      </x:c>
      <x:c r="E55">
        <x:v>-6.67</x:v>
      </x:c>
      <x:c r="F55" s="9">
        <x:v>0</x:v>
      </x:c>
    </x:row>
    <x:row r="56" spans="1:6" x14ac:dyDescent="0.25">
      <x:c r="A56" s="6">
        <x:f t="shared" si="0"/>
        <x:v>47</x:v>
      </x:c>
      <x:c r="B56" t="s">
        <x:v>116</x:v>
      </x:c>
      <x:c r="C56">
        <x:v>-10600.064</x:v>
      </x:c>
      <x:c r="D56">
        <x:v>1269.269</x:v>
      </x:c>
      <x:c r="E56">
        <x:v>-8.3510000000000009</x:v>
      </x:c>
      <x:c r="F56" s="9">
        <x:v>0</x:v>
      </x:c>
    </x:row>
    <x:row r="57" spans="1:6" x14ac:dyDescent="0.25">
      <x:c r="A57" s="6">
        <x:f t="shared" si="0"/>
        <x:v>48</x:v>
      </x:c>
      <x:c r="B57" t="s">
        <x:v>156</x:v>
      </x:c>
      <x:c r="C57">
        <x:v>-9567.2150000000001</x:v>
      </x:c>
      <x:c r="D57">
        <x:v>1269.2550000000001</x:v>
      </x:c>
      <x:c r="E57">
        <x:v>-7.5380000000000003</x:v>
      </x:c>
      <x:c r="F57" s="9">
        <x:v>0</x:v>
      </x:c>
    </x:row>
    <x:row r="58" spans="1:6" x14ac:dyDescent="0.25">
      <x:c r="A58" s="6">
        <x:f t="shared" si="0"/>
        <x:v>49</x:v>
      </x:c>
      <x:c r="B58" t="s">
        <x:v>157</x:v>
      </x:c>
      <x:c r="C58">
        <x:v>-7991.4960000000001</x:v>
      </x:c>
      <x:c r="D58">
        <x:v>1269.2809999999999</x:v>
      </x:c>
      <x:c r="E58">
        <x:v>-6.2960000000000003</x:v>
      </x:c>
      <x:c r="F58" s="9">
        <x:v>0</x:v>
      </x:c>
    </x:row>
    <x:row r="59" spans="1:6" x14ac:dyDescent="0.25">
      <x:c r="A59" s="6">
        <x:f t="shared" si="0"/>
        <x:v>50</x:v>
      </x:c>
      <x:c r="B59" t="s">
        <x:v>171</x:v>
      </x:c>
      <x:c r="C59">
        <x:v>-2046.0050000000001</x:v>
      </x:c>
      <x:c r="D59">
        <x:v>1269.2919999999999</x:v>
      </x:c>
      <x:c r="E59">
        <x:v>-1.6120000000000001</x:v>
      </x:c>
      <x:c r="F59" s="9">
        <x:v>0.10730000000000001</x:v>
      </x:c>
    </x:row>
    <x:row r="60" spans="1:6" x14ac:dyDescent="0.25">
      <x:c r="A60" s="6"/>
      <x:c r="B60" t="s">
        <x:v>165</x:v>
      </x:c>
      <x:c r="C60">
        <x:v>-5111.924</x:v>
      </x:c>
      <x:c r="D60">
        <x:v>1269.347</x:v>
      </x:c>
      <x:c r="E60">
        <x:v>-4.0270000000000001</x:v>
      </x:c>
      <x:c r="F60" s="9">
        <x:v>1E-4</x:v>
      </x:c>
    </x:row>
    <x:row r="61" spans="1:6" x14ac:dyDescent="0.25">
      <x:c r="A61" s="6"/>
      <x:c r="B61" t="s">
        <x:v>166</x:v>
      </x:c>
      <x:c r="C61">
        <x:v>-5541.9530000000004</x:v>
      </x:c>
      <x:c r="D61">
        <x:v>1269.252</x:v>
      </x:c>
      <x:c r="E61">
        <x:v>-4.3659999999999997</x:v>
      </x:c>
      <x:c r="F61" s="9">
        <x:v>0</x:v>
      </x:c>
    </x:row>
    <x:row r="62" spans="1:6" x14ac:dyDescent="0.25">
      <x:c r="A62" s="6"/>
      <x:c r="B62" t="s">
        <x:v>167</x:v>
      </x:c>
      <x:c r="C62">
        <x:v>-3360.8270000000002</x:v>
      </x:c>
      <x:c r="D62">
        <x:v>1269.124</x:v>
      </x:c>
      <x:c r="E62">
        <x:v>-2.6480000000000001</x:v>
      </x:c>
      <x:c r="F62" s="9">
        <x:v>8.2000000000000007E-3</x:v>
      </x:c>
    </x:row>
    <x:row r="63" spans="1:6" x14ac:dyDescent="0.25">
      <x:c r="A63" s="6">
        <x:f>+A59+1</x:f>
        <x:v>51</x:v>
      </x:c>
      <x:c r="F63" s="9"/>
    </x:row>
    <x:row r="64" spans="1:6" x14ac:dyDescent="0.25">
      <x:c r="A64" s="6">
        <x:f t="shared" si="0"/>
        <x:v>52</x:v>
      </x:c>
      <x:c r="B64" s="4" t="s">
        <x:v>90</x:v>
      </x:c>
    </x:row>
    <x:row r="65" spans="1:6" x14ac:dyDescent="0.25">
      <x:c r="A65" s="6">
        <x:f t="shared" si="0"/>
        <x:v>53</x:v>
      </x:c>
      <x:c r="B65" t="s">
        <x:v>30</x:v>
      </x:c>
      <x:c r="C65" s="24">
        <x:v>1095</x:v>
      </x:c>
      <x:c r="F65" s="9"/>
    </x:row>
    <x:row r="66" spans="1:6" x14ac:dyDescent="0.25">
      <x:c r="A66" s="6">
        <x:f t="shared" si="0"/>
        <x:v>54</x:v>
      </x:c>
      <x:c r="B66" t="s">
        <x:v>10</x:v>
      </x:c>
      <x:c r="C66" s="15">
        <x:v>1049</x:v>
      </x:c>
      <x:c r="F66" s="9"/>
    </x:row>
    <x:row r="67" spans="1:6" x14ac:dyDescent="0.25">
      <x:c r="A67" s="6">
        <x:f t="shared" si="0"/>
        <x:v>55</x:v>
      </x:c>
      <x:c r="B67" t="s">
        <x:v>12</x:v>
      </x:c>
      <x:c r="C67" s="32">
        <x:v>0.879</x:v>
      </x:c>
      <x:c r="F67" s="9"/>
    </x:row>
    <x:row r="68" spans="1:6" x14ac:dyDescent="0.25">
      <x:c r="A68" s="6">
        <x:f t="shared" si="0"/>
        <x:v>56</x:v>
      </x:c>
      <x:c r="B68" t="s">
        <x:v>13</x:v>
      </x:c>
      <x:c r="C68" s="21">
        <x:v>0.873</x:v>
      </x:c>
      <x:c r="F68" s="9"/>
    </x:row>
    <x:row r="69" spans="1:6" x14ac:dyDescent="0.25">
      <x:c r="A69" s="6">
        <x:f t="shared" si="0"/>
        <x:v>57</x:v>
      </x:c>
      <x:c r="B69" t="s">
        <x:v>15</x:v>
      </x:c>
      <x:c r="C69" s="15">
        <x:v>168.76900000000001</x:v>
      </x:c>
      <x:c r="F69" s="9"/>
    </x:row>
    <x:row r="70" spans="1:6" x14ac:dyDescent="0.25">
      <x:c r="A70" s="6">
        <x:f t="shared" si="0"/>
        <x:v>58</x:v>
      </x:c>
      <x:c r="B70" t="s">
        <x:v>16</x:v>
      </x:c>
      <x:c r="C70" s="18">
        <x:v>0</x:v>
      </x:c>
      <x:c r="F70" s="9"/>
    </x:row>
    <x:row r="71" spans="1:6" x14ac:dyDescent="0.25">
      <x:c r="A71" s="6">
        <x:f t="shared" si="0"/>
        <x:v>59</x:v>
      </x:c>
      <x:c r="B71" t="s">
        <x:v>17</x:v>
      </x:c>
      <x:c r="C71" s="15">
        <x:v>11978006047.32</x:v>
      </x:c>
    </x:row>
    <x:row r="72" spans="1:6" x14ac:dyDescent="0.25">
      <x:c r="A72" s="6">
        <x:f t="shared" si="0"/>
        <x:v>60</x:v>
      </x:c>
      <x:c r="B72" t="s">
        <x:v>18</x:v>
      </x:c>
      <x:c r="C72" s="15">
        <x:v>1654450972.9200001</x:v>
      </x:c>
      <x:c r="F72" s="9"/>
    </x:row>
    <x:row r="73" spans="1:6" x14ac:dyDescent="0.25">
      <x:c r="A73" s="6">
        <x:f t="shared" si="0"/>
        <x:v>61</x:v>
      </x:c>
      <x:c r="B73" t="s">
        <x:v>19</x:v>
      </x:c>
      <x:c r="C73" s="15">
        <x:v>1577169.66</x:v>
      </x:c>
      <x:c r="F73" s="9"/>
    </x:row>
    <x:row r="74" spans="1:6" x14ac:dyDescent="0.25">
      <x:c r="A74" s="6">
        <x:f t="shared" si="0"/>
        <x:v>62</x:v>
      </x:c>
      <x:c r="B74" t="s">
        <x:v>20</x:v>
      </x:c>
      <x:c r="C74" s="26">
        <x:v>1255.8499999999999</x:v>
      </x:c>
      <x:c r="F74" s="9"/>
    </x:row>
    <x:row r="75" spans="1:6" x14ac:dyDescent="0.25">
      <x:c r="A75" s="6">
        <x:f t="shared" si="0"/>
        <x:v>63</x:v>
      </x:c>
      <x:c r="B75" t="s">
        <x:v>9</x:v>
      </x:c>
      <x:c r="C75" s="26">
        <x:v>1013.77</x:v>
      </x:c>
    </x:row>
    <x:row r="76" spans="1:6" x14ac:dyDescent="0.25">
      <x:c r="A76" s="6">
        <x:f t="shared" si="0"/>
        <x:v>64</x:v>
      </x:c>
      <x:c r="B76" t="s">
        <x:v>11</x:v>
      </x:c>
      <x:c r="C76" s="9">
        <x:v>5.2200000000000003E-2</x:v>
      </x:c>
    </x:row>
    <x:row r="77" spans="1:6" x14ac:dyDescent="0.25">
      <x:c r="A77" s="6">
        <x:f t="shared" si="0"/>
        <x:v>65</x:v>
      </x:c>
      <x:c r="B77" t="s">
        <x:v>14</x:v>
      </x:c>
      <x:c r="C77">
        <x:v>0.13900000000000001</x:v>
      </x:c>
    </x:row>
    <x:row r="78" spans="1:6" x14ac:dyDescent="0.25">
      <x:c r="A78" s="6">
        <x:f t="shared" si="0"/>
        <x:v>66</x:v>
      </x:c>
      <x:c r="B78" t="s">
        <x:v>21</x:v>
      </x:c>
      <x:c r="C78">
        <x:v>16428.830000000002</x:v>
      </x:c>
    </x:row>
    <x:row r="79" spans="1:6" x14ac:dyDescent="0.25">
      <x:c r="A79" s="6">
        <x:f t="shared" ref="A79" si="1">+A78+1</x:f>
        <x:v>67</x:v>
      </x:c>
      <x:c r="B79" t="s">
        <x:v>22</x:v>
      </x:c>
      <x:c r="C79" s="18">
        <x:v>0</x:v>
      </x:c>
    </x:row>
  </x:sheetData>
  <x:mergeCells count="6">
    <x:mergeCell ref="B8:F8"/>
    <x:mergeCell ref="B1:F1"/>
    <x:mergeCell ref="B2:F2"/>
    <x:mergeCell ref="B3:F3"/>
    <x:mergeCell ref="B4:F4"/>
    <x:mergeCell ref="B6:F6"/>
  </x:mergeCells>
  <x:printOptions horizontalCentered="1"/>
  <x:pageMargins left="0.83" right="0.53" top="1.5" bottom="1" header="1" footer="0.5"/>
  <x:pageSetup scale="62" firstPageNumber="7" orientation="portrait" r:id="rId1"/>
  <x:headerFooter scaleWithDoc="0" alignWithMargins="0">
    <x:oddHeader>&amp;RWP/II-H-5.2/6
Page &amp;P of 20</x:oddHeader>
  </x:headerFooter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pageSetUpPr fitToPage="1"/>
  </x:sheetPr>
  <x:dimension ref="A1:J44"/>
  <x:sheetViews>
    <x:sheetView zoomScaleNormal="100" workbookViewId="0">
      <x:selection activeCell="G5" sqref="G5"/>
    </x:sheetView>
  </x:sheetViews>
  <x:sheetFormatPr defaultRowHeight="13.2" x14ac:dyDescent="0.25"/>
  <x:cols>
    <x:col min="1" max="1" width="9.33203125" bestFit="1" customWidth="1"/>
    <x:col min="2" max="2" width="26.88671875" bestFit="1" customWidth="1"/>
    <x:col min="3" max="3" width="12.5546875" customWidth="1"/>
    <x:col min="4" max="5" width="9.33203125" bestFit="1" customWidth="1"/>
    <x:col min="6" max="6" width="9.33203125" customWidth="1"/>
    <x:col min="8" max="8" width="13" customWidth="1"/>
  </x:cols>
  <x:sheetData>
    <x:row r="1" spans="1:10" s="1" customFormat="1" ht="15.6" x14ac:dyDescent="0.3">
      <x:c r="A1" s="6"/>
      <x:c r="B1" s="43" t="str">
        <x:f>+'RES Spline Model'!B1:F1</x:f>
        <x:v>2025 RATE CASE</x:v>
      </x:c>
      <x:c r="C1" s="44"/>
      <x:c r="D1" s="44"/>
      <x:c r="E1" s="44"/>
      <x:c r="F1" s="44"/>
      <x:c r="G1" s="44"/>
      <x:c r="H1" s="44"/>
      <x:c r="I1" s="44"/>
      <x:c r="J1" s="44"/>
    </x:row>
    <x:row r="2" spans="1:10" s="1" customFormat="1" ht="15.6" x14ac:dyDescent="0.3">
      <x:c r="A2" s="6"/>
      <x:c r="B2" s="43" t="str">
        <x:f>+'RES Spline Model'!B2:F2</x:f>
        <x:v>ONCOR ELECTRIC DELIVERY COMPANY LLC</x:v>
      </x:c>
      <x:c r="C2" s="44"/>
      <x:c r="D2" s="44"/>
      <x:c r="E2" s="44"/>
      <x:c r="F2" s="44"/>
      <x:c r="G2" s="44"/>
      <x:c r="H2" s="44"/>
      <x:c r="I2" s="44"/>
      <x:c r="J2" s="44"/>
    </x:row>
    <x:row r="3" spans="1:10" s="1" customFormat="1" ht="15.6" x14ac:dyDescent="0.3">
      <x:c r="A3" s="6"/>
      <x:c r="B3" s="43" t="str">
        <x:f>+'RES Spline Model'!B3:F3</x:f>
        <x:v>ADJUSTED WEATHER STATION DATA</x:v>
      </x:c>
      <x:c r="C3" s="44"/>
      <x:c r="D3" s="44"/>
      <x:c r="E3" s="44"/>
      <x:c r="F3" s="44"/>
      <x:c r="G3" s="44"/>
      <x:c r="H3" s="44"/>
      <x:c r="I3" s="44"/>
      <x:c r="J3" s="44"/>
    </x:row>
    <x:row r="4" spans="1:10" s="1" customFormat="1" ht="15.6" x14ac:dyDescent="0.3">
      <x:c r="A4" s="6"/>
      <x:c r="B4" s="43" t="str">
        <x:f>+'RES Spline Model'!B4:F4</x:f>
        <x:v>FOR THE TEST YEAR ENDING DECEMBER 31, 2024</x:v>
      </x:c>
      <x:c r="C4" s="44"/>
      <x:c r="D4" s="44"/>
      <x:c r="E4" s="44"/>
      <x:c r="F4" s="44"/>
      <x:c r="G4" s="44"/>
      <x:c r="H4" s="44"/>
      <x:c r="I4" s="44"/>
      <x:c r="J4" s="44"/>
    </x:row>
    <x:row r="5" spans="1:10" s="1" customFormat="1" ht="11.4" x14ac:dyDescent="0.2">
      <x:c r="A5" s="6"/>
    </x:row>
    <x:row r="6" spans="1:10" s="1" customFormat="1" ht="15.6" x14ac:dyDescent="0.3">
      <x:c r="A6" s="6"/>
      <x:c r="B6" s="43" t="str">
        <x:f>+'RES Spline Model'!B6:F6</x:f>
        <x:v>SPONSOR: D. E. NELSON</x:v>
      </x:c>
      <x:c r="C6" s="44"/>
      <x:c r="D6" s="44"/>
      <x:c r="E6" s="44"/>
      <x:c r="F6" s="44"/>
      <x:c r="G6" s="44"/>
      <x:c r="H6" s="44"/>
      <x:c r="I6" s="44"/>
      <x:c r="J6" s="44"/>
    </x:row>
    <x:row r="8" spans="1:10" s="1" customFormat="1" ht="12" x14ac:dyDescent="0.25">
      <x:c r="A8" s="6" t="s">
        <x:v>23</x:v>
      </x:c>
      <x:c r="B8" s="42"/>
      <x:c r="C8" s="42"/>
      <x:c r="D8" s="42"/>
      <x:c r="E8" s="42"/>
      <x:c r="F8" s="42"/>
    </x:row>
    <x:row r="9" spans="1:10" s="1" customFormat="1" ht="11.4" x14ac:dyDescent="0.2">
      <x:c r="A9" s="7" t="s">
        <x:v>24</x:v>
      </x:c>
      <x:c r="B9" s="8"/>
      <x:c r="C9" s="8"/>
      <x:c r="D9" s="8"/>
      <x:c r="E9" s="8"/>
      <x:c r="F9" s="8"/>
    </x:row>
    <x:row r="10" spans="1:10" s="1" customFormat="1" x14ac:dyDescent="0.25">
      <x:c r="A10" s="6">
        <x:v>1</x:v>
      </x:c>
      <x:c r="B10" s="42" t="s">
        <x:v>97</x:v>
      </x:c>
      <x:c r="C10" s="44"/>
      <x:c r="D10" s="44"/>
      <x:c r="E10" s="44"/>
      <x:c r="F10" s="44"/>
      <x:c r="G10" s="44"/>
      <x:c r="H10" s="44"/>
      <x:c r="I10" s="44"/>
      <x:c r="J10" s="44"/>
    </x:row>
    <x:row r="11" spans="1:10" s="1" customFormat="1" x14ac:dyDescent="0.25">
      <x:c r="A11" s="6">
        <x:f t="shared" ref="A11:A37" si="0">+A10+1</x:f>
        <x:v>2</x:v>
      </x:c>
      <x:c r="B11" s="42" t="s">
        <x:v>53</x:v>
      </x:c>
      <x:c r="C11" s="44"/>
      <x:c r="D11" s="44"/>
      <x:c r="E11" s="44"/>
      <x:c r="F11" s="44"/>
      <x:c r="G11" s="44"/>
      <x:c r="H11" s="44"/>
      <x:c r="I11" s="44"/>
      <x:c r="J11" s="44"/>
    </x:row>
    <x:row r="12" spans="1:10" s="1" customFormat="1" ht="12" x14ac:dyDescent="0.25">
      <x:c r="A12" s="6">
        <x:f t="shared" si="0"/>
        <x:v>3</x:v>
      </x:c>
      <x:c r="B12" s="3"/>
      <x:c r="C12" s="10"/>
    </x:row>
    <x:row r="13" spans="1:10" s="1" customFormat="1" ht="12" x14ac:dyDescent="0.25">
      <x:c r="A13" s="6">
        <x:f t="shared" si="0"/>
        <x:v>4</x:v>
      </x:c>
      <x:c r="B13" s="3"/>
      <x:c r="C13" s="10"/>
    </x:row>
    <x:row r="14" spans="1:10" s="1" customFormat="1" ht="11.4" x14ac:dyDescent="0.2">
      <x:c r="A14" s="6">
        <x:f t="shared" si="0"/>
        <x:v>5</x:v>
      </x:c>
    </x:row>
    <x:row r="15" spans="1:10" s="1" customFormat="1" ht="11.4" x14ac:dyDescent="0.2">
      <x:c r="A15" s="6">
        <x:f t="shared" si="0"/>
        <x:v>6</x:v>
      </x:c>
      <x:c r="B15" s="12"/>
      <x:c r="C15" s="12"/>
      <x:c r="D15" s="12"/>
      <x:c r="E15" s="12"/>
      <x:c r="F15" s="12"/>
    </x:row>
    <x:row r="16" spans="1:10" x14ac:dyDescent="0.25">
      <x:c r="A16" s="6">
        <x:f t="shared" si="0"/>
        <x:v>7</x:v>
      </x:c>
      <x:c r="F16" s="9"/>
    </x:row>
    <x:row r="17" spans="1:6" x14ac:dyDescent="0.25">
      <x:c r="A17" s="6">
        <x:f t="shared" si="0"/>
        <x:v>8</x:v>
      </x:c>
      <x:c r="F17" s="9"/>
    </x:row>
    <x:row r="18" spans="1:6" x14ac:dyDescent="0.25">
      <x:c r="A18" s="6">
        <x:f t="shared" si="0"/>
        <x:v>9</x:v>
      </x:c>
      <x:c r="F18" s="9"/>
    </x:row>
    <x:row r="19" spans="1:6" x14ac:dyDescent="0.25">
      <x:c r="A19" s="6">
        <x:f t="shared" si="0"/>
        <x:v>10</x:v>
      </x:c>
      <x:c r="F19" s="9"/>
    </x:row>
    <x:row r="20" spans="1:6" x14ac:dyDescent="0.25">
      <x:c r="A20" s="6">
        <x:f t="shared" si="0"/>
        <x:v>11</x:v>
      </x:c>
      <x:c r="F20" s="9"/>
    </x:row>
    <x:row r="21" spans="1:6" x14ac:dyDescent="0.25">
      <x:c r="A21" s="6">
        <x:f t="shared" si="0"/>
        <x:v>12</x:v>
      </x:c>
      <x:c r="F21" s="9"/>
    </x:row>
    <x:row r="22" spans="1:6" x14ac:dyDescent="0.25">
      <x:c r="A22" s="6">
        <x:f t="shared" si="0"/>
        <x:v>13</x:v>
      </x:c>
      <x:c r="F22" s="9"/>
    </x:row>
    <x:row r="23" spans="1:6" x14ac:dyDescent="0.25">
      <x:c r="A23" s="6">
        <x:f t="shared" si="0"/>
        <x:v>14</x:v>
      </x:c>
      <x:c r="F23" s="9"/>
    </x:row>
    <x:row r="24" spans="1:6" x14ac:dyDescent="0.25">
      <x:c r="A24" s="6">
        <x:f t="shared" si="0"/>
        <x:v>15</x:v>
      </x:c>
      <x:c r="F24" s="9"/>
    </x:row>
    <x:row r="25" spans="1:6" x14ac:dyDescent="0.25">
      <x:c r="A25" s="6">
        <x:f t="shared" si="0"/>
        <x:v>16</x:v>
      </x:c>
      <x:c r="F25" s="9"/>
    </x:row>
    <x:row r="26" spans="1:6" x14ac:dyDescent="0.25">
      <x:c r="A26" s="6">
        <x:f t="shared" si="0"/>
        <x:v>17</x:v>
      </x:c>
      <x:c r="F26" s="9"/>
    </x:row>
    <x:row r="27" spans="1:6" x14ac:dyDescent="0.25">
      <x:c r="A27" s="6">
        <x:f t="shared" si="0"/>
        <x:v>18</x:v>
      </x:c>
      <x:c r="F27" s="9"/>
    </x:row>
    <x:row r="28" spans="1:6" x14ac:dyDescent="0.25">
      <x:c r="A28" s="6">
        <x:f t="shared" si="0"/>
        <x:v>19</x:v>
      </x:c>
      <x:c r="F28" s="9"/>
    </x:row>
    <x:row r="29" spans="1:6" x14ac:dyDescent="0.25">
      <x:c r="A29" s="6">
        <x:f t="shared" si="0"/>
        <x:v>20</x:v>
      </x:c>
      <x:c r="F29" s="9"/>
    </x:row>
    <x:row r="30" spans="1:6" x14ac:dyDescent="0.25">
      <x:c r="A30" s="6">
        <x:f t="shared" si="0"/>
        <x:v>21</x:v>
      </x:c>
      <x:c r="F30" s="9"/>
    </x:row>
    <x:row r="31" spans="1:6" x14ac:dyDescent="0.25">
      <x:c r="A31" s="6">
        <x:f t="shared" si="0"/>
        <x:v>22</x:v>
      </x:c>
      <x:c r="F31" s="9"/>
    </x:row>
    <x:row r="32" spans="1:6" x14ac:dyDescent="0.25">
      <x:c r="A32" s="6">
        <x:f t="shared" si="0"/>
        <x:v>23</x:v>
      </x:c>
      <x:c r="F32" s="9"/>
    </x:row>
    <x:row r="33" spans="1:7" x14ac:dyDescent="0.25">
      <x:c r="A33" s="6">
        <x:f t="shared" si="0"/>
        <x:v>24</x:v>
      </x:c>
      <x:c r="F33" s="11"/>
    </x:row>
    <x:row r="34" spans="1:7" x14ac:dyDescent="0.25">
      <x:c r="A34" s="6">
        <x:f t="shared" si="0"/>
        <x:v>25</x:v>
      </x:c>
      <x:c r="F34" s="2"/>
    </x:row>
    <x:row r="35" spans="1:7" x14ac:dyDescent="0.25">
      <x:c r="A35" s="6">
        <x:f t="shared" si="0"/>
        <x:v>26</x:v>
      </x:c>
      <x:c r="F35" s="11"/>
    </x:row>
    <x:row r="36" spans="1:7" x14ac:dyDescent="0.25">
      <x:c r="A36" s="6">
        <x:f t="shared" si="0"/>
        <x:v>27</x:v>
      </x:c>
      <x:c r="F36" s="2"/>
    </x:row>
    <x:row r="37" spans="1:7" x14ac:dyDescent="0.25">
      <x:c r="A37" s="6">
        <x:f t="shared" si="0"/>
        <x:v>28</x:v>
      </x:c>
      <x:c r="F37" s="2"/>
    </x:row>
    <x:row r="38" spans="1:7" x14ac:dyDescent="0.25">
      <x:c r="A38" s="6"/>
      <x:c r="F38" s="2"/>
    </x:row>
    <x:row r="39" spans="1:7" x14ac:dyDescent="0.25">
      <x:c r="A39" s="6"/>
      <x:c r="F39" s="2"/>
    </x:row>
    <x:row r="40" spans="1:7" x14ac:dyDescent="0.25">
      <x:c r="A40" s="6"/>
    </x:row>
    <x:row r="41" spans="1:7" x14ac:dyDescent="0.25">
      <x:c r="A41" s="6"/>
    </x:row>
    <x:row r="42" spans="1:7" x14ac:dyDescent="0.25">
      <x:c r="A42" s="6"/>
      <x:c r="C42" s="9"/>
      <x:c r="G42" s="9"/>
    </x:row>
    <x:row r="43" spans="1:7" x14ac:dyDescent="0.25">
      <x:c r="A43" s="6"/>
    </x:row>
    <x:row r="44" spans="1:7" x14ac:dyDescent="0.25">
      <x:c r="A44" s="6"/>
    </x:row>
  </x:sheetData>
  <x:mergeCells count="8">
    <x:mergeCell ref="B10:J10"/>
    <x:mergeCell ref="B11:J11"/>
    <x:mergeCell ref="B1:J1"/>
    <x:mergeCell ref="B2:J2"/>
    <x:mergeCell ref="B3:J3"/>
    <x:mergeCell ref="B4:J4"/>
    <x:mergeCell ref="B6:J6"/>
    <x:mergeCell ref="B8:F8"/>
  </x:mergeCells>
  <x:printOptions horizontalCentered="1"/>
  <x:pageMargins left="0.83" right="0.53" top="1.5" bottom="1" header="1" footer="0.5"/>
  <x:pageSetup scale="79" firstPageNumber="7" orientation="portrait" r:id="rId1"/>
  <x:headerFooter scaleWithDoc="0" alignWithMargins="0">
    <x:oddHeader>&amp;RWP/II-H-5.2/6
Page &amp;P of 20</x:oddHeader>
  </x:headerFooter>
  <x: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2025-05-05T16:54:07.0000000Z</dcterms:modified>
</coreProperties>
</file>