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Q:\2024 Test Year\"/>
    </mc:Choice>
  </mc:AlternateContent>
  <xr:revisionPtr revIDLastSave="0" documentId="8_{39934725-1D48-4D71-A9FE-6ABB401AE8E0}" xr6:coauthVersionLast="47" xr6:coauthVersionMax="47" xr10:uidLastSave="{00000000-0000-0000-0000-000000000000}"/>
  <x:bookViews>
    <x:workbookView xWindow="-110" yWindow="-110" windowWidth="19420" windowHeight="10300" activeTab="3" xr2:uid="{00000000-000D-0000-FFFF-FFFF00000000}"/>
  </x:bookViews>
  <x:sheets>
    <x:sheet name="Res Seasonal Weights" sheetId="4" r:id="rId1"/>
    <x:sheet name="Res Monthly Weather Weights" sheetId="1" r:id="rId2"/>
    <x:sheet name="Res Weights by Year (21-23)" sheetId="3" r:id="rId3"/>
    <x:sheet name="Res Sales by Year (21-23)" sheetId="2" r:id="rId4"/>
  </x:sheets>
  <x:externalReferences>
    <x:externalReference r:id="rId5"/>
    <x:externalReference r:id="rId6"/>
    <x:externalReference r:id="rId7"/>
  </x:externalReferences>
  <x:definedNames>
    <x:definedName name="_xlnm.Database">#REF!</x:definedName>
    <x:definedName name="HOURLY">[1]HOURLY!$A$1:$G$745</x:definedName>
    <x:definedName name="OLE_LINK2" localSheetId="0">'Res Seasonal Weights'!$B$24</x:definedName>
    <x:definedName name="_xlnm.Print_Area" localSheetId="3">'Res Sales by Year (21-23)'!$A$1:$P$64</x:definedName>
    <x:definedName name="_xlnm.Print_Area" localSheetId="0">'Res Seasonal Weights'!$A$1:$P$36</x:definedName>
    <x:definedName name="_xlnm.Print_Area" localSheetId="2">'Res Weights by Year (21-23)'!$A$1:$P$64</x:definedName>
    <x:definedName name="rngBilled">OFFSET([2]Sheet2!$A$2,0,0,[2]Sheet2!$B$1,9)</x:definedName>
    <x:definedName name="rngYear">OFFSET('[3]Daily Actual_August'!$A$2,0,0,'[3]Daily Actual_August'!$C$1,8)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H14" i="2" l="1"/>
  <x:c r="H61" i="2"/>
  <x:c r="H46" i="3" s="1"/>
  <x:c r="H62" i="2"/>
  <x:c r="H47" i="3" s="1"/>
  <x:c r="H63" i="2"/>
  <x:c r="H38" i="3" s="1"/>
  <x:c r="I14" i="2"/>
  <x:c r="I61" i="2"/>
  <x:c r="I62" i="2"/>
  <x:c r="I12" i="3" s="1"/>
  <x:c r="I63" i="2"/>
  <x:c r="I48" i="3" s="1"/>
  <x:c r="J14" i="2"/>
  <x:c r="J61" i="2"/>
  <x:c r="J62" i="2"/>
  <x:c r="J63" i="2"/>
  <x:c r="J43" i="3" s="1"/>
  <x:c r="K14" i="2"/>
  <x:c r="K61" i="2"/>
  <x:c r="K16" i="3" s="1"/>
  <x:c r="K62" i="2"/>
  <x:c r="K57" i="3" s="1"/>
  <x:c r="K63" i="2"/>
  <x:c r="K58" i="3" s="1"/>
  <x:c r="L14" i="2"/>
  <x:c r="L61" i="2"/>
  <x:c r="L31" i="3" s="1"/>
  <x:c r="L62" i="2"/>
  <x:c r="L17" i="3" s="1"/>
  <x:c r="L63" i="2"/>
  <x:c r="L33" i="3" s="1"/>
  <x:c r="D14" i="2"/>
  <x:c r="D61" i="2"/>
  <x:c r="D26" i="3" s="1"/>
  <x:c r="D62" i="2"/>
  <x:c r="D27" i="3" s="1"/>
  <x:c r="D63" i="2"/>
  <x:c r="D18" i="3" s="1"/>
  <x:c r="E14" i="2"/>
  <x:c r="E61" i="2"/>
  <x:c r="E56" i="3" s="1"/>
  <x:c r="E62" i="2"/>
  <x:c r="E17" i="3" s="1"/>
  <x:c r="E63" i="2"/>
  <x:c r="E43" i="3" s="1"/>
  <x:c r="F14" i="2"/>
  <x:c r="F61" i="2"/>
  <x:c r="F16" i="3" s="1"/>
  <x:c r="F62" i="2"/>
  <x:c r="F52" i="3" s="1"/>
  <x:c r="F63" i="2"/>
  <x:c r="F58" i="3" s="1"/>
  <x:c r="N14" i="2"/>
  <x:c r="N61" i="2"/>
  <x:c r="N56" i="3" s="1"/>
  <x:c r="N62" i="2"/>
  <x:c r="N27" i="3" s="1"/>
  <x:c r="N63" i="2"/>
  <x:c r="N38" i="3" s="1"/>
  <x:c r="O14" i="2"/>
  <x:c r="O61" i="2"/>
  <x:c r="O26" i="3" s="1"/>
  <x:c r="O62" i="2"/>
  <x:c r="O32" i="3" s="1"/>
  <x:c r="O63" i="2"/>
  <x:c r="O18" i="3" s="1"/>
  <x:c r="D54" i="2"/>
  <x:c r="E54" i="2"/>
  <x:c r="F54" i="2"/>
  <x:c r="G54" i="2"/>
  <x:c r="H54" i="2"/>
  <x:c r="I54" i="2"/>
  <x:c r="J54" i="2"/>
  <x:c r="K54" i="2"/>
  <x:c r="L54" i="2"/>
  <x:c r="M54" i="2"/>
  <x:c r="N54" i="2"/>
  <x:c r="O54" i="2"/>
  <x:c r="P26" i="2"/>
  <x:c r="P31" i="2"/>
  <x:c r="P36" i="2"/>
  <x:c r="P41" i="2"/>
  <x:c r="P46" i="2"/>
  <x:c r="P51" i="2"/>
  <x:c r="P56" i="2"/>
  <x:c r="P21" i="2"/>
  <x:c r="P16" i="2"/>
  <x:c r="P11" i="2"/>
  <x:c r="P27" i="2"/>
  <x:c r="P32" i="2"/>
  <x:c r="P37" i="2"/>
  <x:c r="P42" i="2"/>
  <x:c r="P47" i="2"/>
  <x:c r="P52" i="2"/>
  <x:c r="P57" i="2"/>
  <x:c r="P22" i="2"/>
  <x:c r="P17" i="2"/>
  <x:c r="P12" i="2"/>
  <x:c r="P28" i="2"/>
  <x:c r="P33" i="2"/>
  <x:c r="P38" i="2"/>
  <x:c r="P43" i="2"/>
  <x:c r="P48" i="2"/>
  <x:c r="P53" i="2"/>
  <x:c r="P58" i="2"/>
  <x:c r="P23" i="2"/>
  <x:c r="P18" i="2"/>
  <x:c r="P13" i="2"/>
  <x:c r="D19" i="2"/>
  <x:c r="E19" i="2"/>
  <x:c r="F19" i="2"/>
  <x:c r="G19" i="2"/>
  <x:c r="H19" i="2"/>
  <x:c r="I19" i="2"/>
  <x:c r="J19" i="2"/>
  <x:c r="K19" i="2"/>
  <x:c r="L19" i="2"/>
  <x:c r="M19" i="2"/>
  <x:c r="N19" i="2"/>
  <x:c r="O19" i="2"/>
  <x:c r="D44" i="2"/>
  <x:c r="E44" i="2"/>
  <x:c r="F44" i="2"/>
  <x:c r="G44" i="2"/>
  <x:c r="H44" i="2"/>
  <x:c r="I44" i="2"/>
  <x:c r="J44" i="2"/>
  <x:c r="K44" i="2"/>
  <x:c r="L44" i="2"/>
  <x:c r="M44" i="2"/>
  <x:c r="N44" i="2"/>
  <x:c r="O44" i="2"/>
  <x:c r="D59" i="2"/>
  <x:c r="E59" i="2"/>
  <x:c r="F59" i="2"/>
  <x:c r="G59" i="2"/>
  <x:c r="H59" i="2"/>
  <x:c r="I59" i="2"/>
  <x:c r="J59" i="2"/>
  <x:c r="K59" i="2"/>
  <x:c r="L59" i="2"/>
  <x:c r="M59" i="2"/>
  <x:c r="N59" i="2"/>
  <x:c r="O59" i="2"/>
  <x:c r="D29" i="2"/>
  <x:c r="E29" i="2"/>
  <x:c r="F29" i="2"/>
  <x:c r="G29" i="2"/>
  <x:c r="H29" i="2"/>
  <x:c r="I29" i="2"/>
  <x:c r="J29" i="2"/>
  <x:c r="K29" i="2"/>
  <x:c r="L29" i="2"/>
  <x:c r="M29" i="2"/>
  <x:c r="N29" i="2"/>
  <x:c r="O29" i="2"/>
  <x:c r="D39" i="2"/>
  <x:c r="E39" i="2"/>
  <x:c r="F39" i="2"/>
  <x:c r="G39" i="2"/>
  <x:c r="H39" i="2"/>
  <x:c r="I39" i="2"/>
  <x:c r="J39" i="2"/>
  <x:c r="K39" i="2"/>
  <x:c r="L39" i="2"/>
  <x:c r="M39" i="2"/>
  <x:c r="N39" i="2"/>
  <x:c r="O39" i="2"/>
  <x:c r="D49" i="2"/>
  <x:c r="E49" i="2"/>
  <x:c r="F49" i="2"/>
  <x:c r="G49" i="2"/>
  <x:c r="H49" i="2"/>
  <x:c r="I49" i="2"/>
  <x:c r="J49" i="2"/>
  <x:c r="K49" i="2"/>
  <x:c r="L49" i="2"/>
  <x:c r="M49" i="2"/>
  <x:c r="N49" i="2"/>
  <x:c r="O49" i="2"/>
  <x:c r="D34" i="2"/>
  <x:c r="E34" i="2"/>
  <x:c r="F34" i="2"/>
  <x:c r="G34" i="2"/>
  <x:c r="H34" i="2"/>
  <x:c r="I34" i="2"/>
  <x:c r="J34" i="2"/>
  <x:c r="K34" i="2"/>
  <x:c r="L34" i="2"/>
  <x:c r="M34" i="2"/>
  <x:c r="N34" i="2"/>
  <x:c r="O34" i="2"/>
  <x:c r="D24" i="2"/>
  <x:c r="E24" i="2"/>
  <x:c r="F24" i="2"/>
  <x:c r="G24" i="2"/>
  <x:c r="H24" i="2"/>
  <x:c r="I24" i="2"/>
  <x:c r="J24" i="2"/>
  <x:c r="K24" i="2"/>
  <x:c r="L24" i="2"/>
  <x:c r="M24" i="2"/>
  <x:c r="N24" i="2"/>
  <x:c r="O24" i="2"/>
  <x:c r="G14" i="2"/>
  <x:c r="M14" i="2"/>
  <x:c r="C18" i="2"/>
  <x:c r="C23" i="2" s="1"/>
  <x:c r="C28" i="2" s="1"/>
  <x:c r="C33" i="2" s="1"/>
  <x:c r="C38" i="2" s="1"/>
  <x:c r="C43" i="2" s="1"/>
  <x:c r="C48" i="2" s="1"/>
  <x:c r="C53" i="2" s="1"/>
  <x:c r="C58" i="2" s="1"/>
  <x:c r="C63" i="2" s="1"/>
  <x:c r="C17" i="2"/>
  <x:c r="C22" i="2" s="1"/>
  <x:c r="C27" i="2" s="1"/>
  <x:c r="C32" i="2" s="1"/>
  <x:c r="C37" i="2" s="1"/>
  <x:c r="C42" i="2" s="1"/>
  <x:c r="C47" i="2" s="1"/>
  <x:c r="C52" i="2" s="1"/>
  <x:c r="C57" i="2" s="1"/>
  <x:c r="C62" i="2" s="1"/>
  <x:c r="C16" i="2"/>
  <x:c r="C21" i="2" s="1"/>
  <x:c r="C26" i="2" s="1"/>
  <x:c r="C31" i="2" s="1"/>
  <x:c r="C36" i="2" s="1"/>
  <x:c r="C41" i="2" s="1"/>
  <x:c r="C46" i="2" s="1"/>
  <x:c r="C51" i="2" s="1"/>
  <x:c r="C56" i="2" s="1"/>
  <x:c r="C61" i="2" s="1"/>
  <x:c r="A12" i="3"/>
  <x:c r="A13" i="3"/>
  <x:c r="A14" i="3"/>
  <x:c r="A15" i="3"/>
  <x:c r="A16" i="3"/>
  <x:c r="A17" i="3"/>
  <x:c r="A18" i="3"/>
  <x:c r="A19" i="3"/>
  <x:c r="A20" i="3"/>
  <x:c r="A21" i="3"/>
  <x:c r="A22" i="3"/>
  <x:c r="A23" i="3"/>
  <x:c r="A24" i="3"/>
  <x:c r="A25" i="3"/>
  <x:c r="A26" i="3"/>
  <x:c r="A27" i="3"/>
  <x:c r="A28" i="3"/>
  <x:c r="A29" i="3"/>
  <x:c r="A30" i="3"/>
  <x:c r="A31" i="3"/>
  <x:c r="A32" i="3"/>
  <x:c r="A33" i="3"/>
  <x:c r="A34" i="3"/>
  <x:c r="A35" i="3"/>
  <x:c r="A36" i="3"/>
  <x:c r="A37" i="3"/>
  <x:c r="A38" i="3"/>
  <x:c r="A39" i="3"/>
  <x:c r="A40" i="3"/>
  <x:c r="A41" i="3"/>
  <x:c r="A42" i="3"/>
  <x:c r="A43" i="3"/>
  <x:c r="A44" i="3"/>
  <x:c r="A45" i="3"/>
  <x:c r="A46" i="3"/>
  <x:c r="A47" i="3"/>
  <x:c r="A48" i="3"/>
  <x:c r="A49" i="3"/>
  <x:c r="A50" i="3"/>
  <x:c r="A51" i="3"/>
  <x:c r="A52" i="3"/>
  <x:c r="A53" i="3"/>
  <x:c r="A54" i="3"/>
  <x:c r="A55" i="3"/>
  <x:c r="A56" i="3"/>
  <x:c r="A57" i="3"/>
  <x:c r="A58" i="3"/>
  <x:c r="A59" i="3"/>
  <x:c r="A60" i="3"/>
  <x:c r="A61" i="3"/>
  <x:c r="A62" i="3"/>
  <x:c r="A63" i="3"/>
  <x:c r="A64" i="3"/>
  <x:c r="C64" i="3"/>
  <x:c r="B4" i="2"/>
  <x:c r="B4" i="3"/>
  <x:c r="B4" i="1"/>
  <x:c r="C17" i="3"/>
  <x:c r="C22" i="3"/>
  <x:c r="C27" i="3"/>
  <x:c r="C32" i="3"/>
  <x:c r="C37" i="3"/>
  <x:c r="C42" i="3"/>
  <x:c r="C47" i="3"/>
  <x:c r="C52" i="3"/>
  <x:c r="C57" i="3"/>
  <x:c r="C62" i="3"/>
  <x:c r="C18" i="3"/>
  <x:c r="C23" i="3"/>
  <x:c r="C28" i="3"/>
  <x:c r="C33" i="3"/>
  <x:c r="C38" i="3"/>
  <x:c r="C43" i="3"/>
  <x:c r="C48" i="3"/>
  <x:c r="C53" i="3"/>
  <x:c r="C58" i="3"/>
  <x:c r="C63" i="3"/>
  <x:c r="C16" i="3"/>
  <x:c r="C21" i="3"/>
  <x:c r="C26" i="3"/>
  <x:c r="C31" i="3"/>
  <x:c r="C36" i="3"/>
  <x:c r="C41" i="3"/>
  <x:c r="C46" i="3"/>
  <x:c r="C51" i="3"/>
  <x:c r="C56" i="3"/>
  <x:c r="C61" i="3"/>
  <x:c r="A12" i="4"/>
  <x:c r="A13" i="4"/>
  <x:c r="A14" i="4"/>
  <x:c r="A15" i="4" s="1"/>
  <x:c r="A16" i="4" s="1"/>
  <x:c r="A17" i="4" s="1"/>
  <x:c r="A18" i="4" s="1"/>
  <x:c r="A19" i="4" s="1"/>
  <x:c r="A20" i="4" s="1"/>
  <x:c r="A21" i="4" s="1"/>
  <x:c r="A22" i="4" s="1"/>
  <x:c r="A23" i="4" s="1"/>
  <x:c r="A24" i="4" s="1"/>
  <x:c r="A25" i="4" s="1"/>
  <x:c r="A26" i="4" s="1"/>
  <x:c r="A27" i="4" s="1"/>
  <x:c r="A28" i="4" s="1"/>
  <x:c r="A29" i="4" s="1"/>
  <x:c r="A30" i="4" s="1"/>
  <x:c r="A31" i="4" s="1"/>
  <x:c r="A32" i="4" s="1"/>
  <x:c r="A33" i="4" s="1"/>
  <x:c r="A34" i="4" s="1"/>
  <x:c r="A35" i="4" s="1"/>
  <x:c r="A36" i="4" s="1"/>
  <x:c r="A12" i="2"/>
  <x:c r="A13" i="2" s="1"/>
  <x:c r="A14" i="2" s="1"/>
  <x:c r="A15" i="2" s="1"/>
  <x:c r="A16" i="2" s="1"/>
  <x:c r="A17" i="2" s="1"/>
  <x:c r="A18" i="2" s="1"/>
  <x:c r="A19" i="2" s="1"/>
  <x:c r="A20" i="2" s="1"/>
  <x:c r="A21" i="2" s="1"/>
  <x:c r="A22" i="2" s="1"/>
  <x:c r="A23" i="2" s="1"/>
  <x:c r="A24" i="2" s="1"/>
  <x:c r="A25" i="2" s="1"/>
  <x:c r="A26" i="2" s="1"/>
  <x:c r="A27" i="2" s="1"/>
  <x:c r="A28" i="2" s="1"/>
  <x:c r="A29" i="2" s="1"/>
  <x:c r="A30" i="2" s="1"/>
  <x:c r="A31" i="2" s="1"/>
  <x:c r="A32" i="2" s="1"/>
  <x:c r="A33" i="2" s="1"/>
  <x:c r="A34" i="2" s="1"/>
  <x:c r="A35" i="2" s="1"/>
  <x:c r="A36" i="2" s="1"/>
  <x:c r="A37" i="2" s="1"/>
  <x:c r="A38" i="2" s="1"/>
  <x:c r="A39" i="2" s="1"/>
  <x:c r="A40" i="2" s="1"/>
  <x:c r="A41" i="2" s="1"/>
  <x:c r="A42" i="2" s="1"/>
  <x:c r="A43" i="2" s="1"/>
  <x:c r="A44" i="2" s="1"/>
  <x:c r="A45" i="2" s="1"/>
  <x:c r="A46" i="2" s="1"/>
  <x:c r="A47" i="2" s="1"/>
  <x:c r="A48" i="2" s="1"/>
  <x:c r="A49" i="2" s="1"/>
  <x:c r="A50" i="2" s="1"/>
  <x:c r="A51" i="2" s="1"/>
  <x:c r="A52" i="2" s="1"/>
  <x:c r="A53" i="2" s="1"/>
  <x:c r="A54" i="2" s="1"/>
  <x:c r="A55" i="2" s="1"/>
  <x:c r="A56" i="2" s="1"/>
  <x:c r="A57" i="2" s="1"/>
  <x:c r="A58" i="2" s="1"/>
  <x:c r="A59" i="2" s="1"/>
  <x:c r="A60" i="2" s="1"/>
  <x:c r="A61" i="2" s="1"/>
  <x:c r="A62" i="2" s="1"/>
  <x:c r="A63" i="2" s="1"/>
  <x:c r="A64" i="2" s="1"/>
  <x:c r="A12" i="1"/>
  <x:c r="A13" i="1"/>
  <x:c r="A14" i="1"/>
  <x:c r="A15" i="1"/>
  <x:c r="A16" i="1"/>
  <x:c r="A17" i="1"/>
  <x:c r="A18" i="1"/>
  <x:c r="A19" i="1"/>
  <x:c r="A20" i="1"/>
  <x:c r="M62" i="2"/>
  <x:c r="M32" i="3" s="1"/>
  <x:c r="J52" i="3"/>
  <x:c r="M61" i="2"/>
  <x:c r="M16" i="3" s="1"/>
  <x:c r="K27" i="3"/>
  <x:c r="O57" i="3"/>
  <x:c r="I38" i="3"/>
  <x:c r="E27" i="3"/>
  <x:c r="K13" i="3"/>
  <x:c r="M63" i="2"/>
  <x:c r="J51" i="3"/>
  <x:c r="G61" i="2"/>
  <x:c r="G41" i="3" s="1"/>
  <x:c r="E36" i="3"/>
  <x:c r="G63" i="2"/>
  <x:c r="G23" i="3" s="1"/>
  <x:c r="K46" i="3"/>
  <x:c r="O47" i="3"/>
  <x:c r="E18" i="3"/>
  <x:c r="L21" i="3"/>
  <x:c r="H21" i="3"/>
  <x:c r="L43" i="3"/>
  <x:c r="F32" i="3"/>
  <x:c r="H12" i="3"/>
  <x:c r="G62" i="2"/>
  <x:c r="G27" i="3" s="1"/>
  <x:c r="I16" i="3"/>
  <x:c r="H53" i="3"/>
  <x:c r="M57" i="3"/>
  <x:c r="O22" i="3"/>
  <x:c r="E23" i="3"/>
  <x:c r="E12" i="3"/>
  <x:c r="K37" i="3"/>
  <x:c r="J37" i="3"/>
  <x:c r="J47" i="3"/>
  <x:c r="G43" i="3"/>
  <x:c r="D17" i="3"/>
  <x:c r="E47" i="3"/>
  <x:c r="K17" i="3"/>
  <x:c r="I43" i="3"/>
  <x:c r="O36" i="3"/>
  <x:c r="J12" i="3"/>
  <x:c r="K28" i="3"/>
  <x:c r="D37" i="3"/>
  <x:c r="K56" i="3"/>
  <x:c r="J22" i="3"/>
  <x:c r="O16" i="3"/>
  <x:c r="J17" i="3"/>
  <x:c r="J32" i="3"/>
  <x:c r="J42" i="3"/>
  <x:c r="J27" i="3"/>
  <x:c r="L38" i="3"/>
  <x:c r="D47" i="3"/>
  <x:c r="J57" i="3"/>
  <x:c r="M47" i="3"/>
  <x:c r="K33" i="3"/>
  <x:c r="H32" i="3"/>
  <x:c r="H31" i="3"/>
  <x:c r="H17" i="3"/>
  <x:c r="H26" i="3"/>
  <x:c r="G32" i="3"/>
  <x:c r="O33" i="3"/>
  <x:c r="H27" i="3"/>
  <x:c r="H28" i="3"/>
  <x:c r="D42" i="3"/>
  <x:c r="H16" i="3"/>
  <x:c r="H58" i="3"/>
  <x:c r="F13" i="3"/>
  <x:c r="H18" i="3"/>
  <x:c r="I11" i="3"/>
  <x:c r="D36" i="3"/>
  <x:c r="D31" i="3"/>
  <x:c r="D46" i="3"/>
  <x:c r="D32" i="3"/>
  <x:c r="H42" i="3"/>
  <x:c r="D41" i="3"/>
  <x:c r="I46" i="3"/>
  <x:c r="G42" i="3"/>
  <x:c r="K21" i="3"/>
  <x:c r="O58" i="3"/>
  <x:c r="E53" i="3"/>
  <x:c r="N36" i="3"/>
  <x:c r="D52" i="3"/>
  <x:c r="L41" i="3"/>
  <x:c r="I13" i="3"/>
  <x:c r="H56" i="3"/>
  <x:c r="F28" i="3"/>
  <x:c r="F51" i="3"/>
  <x:c r="D22" i="3"/>
  <x:c r="F42" i="3"/>
  <x:c r="E21" i="3"/>
  <x:c r="E16" i="3"/>
  <x:c r="E11" i="3"/>
  <x:c r="F37" i="3"/>
  <x:c r="L26" i="3"/>
  <x:c r="L23" i="3"/>
  <x:c r="L56" i="3"/>
  <x:c r="K11" i="3"/>
  <x:c r="K48" i="3"/>
  <x:c r="L27" i="3"/>
  <x:c r="O46" i="3"/>
  <x:c r="E33" i="3"/>
  <x:c r="F57" i="3"/>
  <x:c r="H33" i="3"/>
  <x:c r="L18" i="3"/>
  <x:c r="E28" i="3"/>
  <x:c r="K18" i="3"/>
  <x:c r="K12" i="3"/>
  <x:c r="F12" i="3"/>
  <x:c r="N21" i="3"/>
  <x:c r="M37" i="3"/>
  <x:c r="H22" i="3"/>
  <x:c r="L53" i="3"/>
  <x:c r="E51" i="3"/>
  <x:c r="K36" i="3"/>
  <x:c r="K53" i="3"/>
  <x:c r="J56" i="3"/>
  <x:c r="H57" i="3"/>
  <x:c r="I56" i="3"/>
  <x:c r="I41" i="3"/>
  <x:c r="O43" i="3"/>
  <x:c r="I58" i="3"/>
  <x:c r="I36" i="3"/>
  <x:c r="F53" i="3"/>
  <x:c r="E52" i="3"/>
  <x:c r="J21" i="3"/>
  <x:c r="O38" i="3"/>
  <x:c r="N51" i="3"/>
  <x:c r="K22" i="3"/>
  <x:c r="H51" i="3"/>
  <x:c r="E38" i="3"/>
  <x:c r="E31" i="3"/>
  <x:c r="L46" i="3"/>
  <x:c r="K47" i="3"/>
  <x:c r="I21" i="3"/>
  <x:c r="I31" i="3"/>
  <x:c r="O37" i="3"/>
  <x:c r="E32" i="3"/>
  <x:c r="H52" i="3"/>
  <x:c r="I23" i="3"/>
  <x:c r="I26" i="3"/>
  <x:c r="D23" i="3"/>
  <x:c r="K32" i="3"/>
  <x:c r="L28" i="3"/>
  <x:c r="J31" i="3"/>
  <x:c r="H41" i="3"/>
  <x:c r="K26" i="3"/>
  <x:c r="M48" i="3"/>
  <x:c r="N11" i="3"/>
  <x:c r="L48" i="3"/>
  <x:c r="H48" i="3"/>
  <x:c r="D57" i="3"/>
  <x:c r="D12" i="3"/>
  <x:c r="D16" i="3"/>
  <x:c r="D56" i="3"/>
  <x:c r="D51" i="3"/>
  <x:c r="N16" i="3"/>
  <x:c r="D11" i="3"/>
  <x:c r="H11" i="3"/>
  <x:c r="D21" i="3"/>
  <x:c r="E48" i="3"/>
  <x:c r="O52" i="3"/>
  <x:c r="E46" i="3"/>
  <x:c r="G17" i="3"/>
  <x:c r="K43" i="3"/>
  <x:c r="K31" i="3"/>
  <x:c r="K23" i="3"/>
  <x:c r="K42" i="3"/>
  <x:c r="L58" i="3"/>
  <x:c r="G37" i="3"/>
  <x:c r="I28" i="3"/>
  <x:c r="L11" i="3"/>
  <x:c r="L16" i="3"/>
  <x:c r="M22" i="3"/>
  <x:c r="N52" i="3"/>
  <x:c r="O51" i="3"/>
  <x:c r="O53" i="3"/>
  <x:c r="N31" i="3"/>
  <x:c r="F47" i="3"/>
  <x:c r="N42" i="3"/>
  <x:c r="K52" i="3"/>
  <x:c r="E42" i="3"/>
  <x:c r="L13" i="3"/>
  <x:c r="E37" i="3"/>
  <x:c r="K38" i="3"/>
  <x:c r="M52" i="3"/>
  <x:c r="L36" i="3"/>
  <x:c r="O48" i="3"/>
  <x:c r="I51" i="3"/>
  <x:c r="H23" i="3"/>
  <x:c r="O28" i="3"/>
  <x:c r="J26" i="3"/>
  <x:c r="O12" i="3"/>
  <x:c r="J18" i="3"/>
  <x:c r="O27" i="3"/>
  <x:c r="G57" i="3"/>
  <x:c r="E13" i="3"/>
  <x:c r="O17" i="3"/>
  <x:c r="O42" i="3"/>
  <x:c r="K51" i="3"/>
  <x:c r="N12" i="3"/>
  <x:c r="E41" i="3"/>
  <x:c r="J36" i="3"/>
  <x:c r="J58" i="3"/>
  <x:c r="O13" i="3"/>
  <x:c r="J41" i="3"/>
  <x:c r="J16" i="3"/>
  <x:c r="F17" i="3"/>
  <x:c r="N28" i="3"/>
  <x:c r="D13" i="3"/>
  <x:c r="D28" i="3"/>
  <x:c r="N46" i="3"/>
  <x:c r="N17" i="3"/>
  <x:c r="O23" i="3"/>
  <x:c r="E26" i="3"/>
  <x:c r="O11" i="3"/>
  <x:c r="J33" i="3"/>
  <x:c r="M56" i="3"/>
  <x:c r="J28" i="3" l="1"/>
  <x:c r="N13" i="3"/>
  <x:c r="E22" i="3"/>
  <x:c r="E58" i="3"/>
  <x:c r="E63" i="3" s="1"/>
  <x:c r="M26" i="3"/>
  <x:c r="N18" i="3"/>
  <x:c r="J64" i="2"/>
  <x:c r="J54" i="3" s="1"/>
  <x:c r="I12" i="1" s="1"/>
  <x:c r="J12" i="4" s="1"/>
  <x:c r="P14" i="2"/>
  <x:c r="M41" i="3"/>
  <x:c r="O31" i="3"/>
  <x:c r="O56" i="3"/>
  <x:c r="M31" i="3"/>
  <x:c r="O21" i="3"/>
  <x:c r="J38" i="3"/>
  <x:c r="N53" i="3"/>
  <x:c r="G64" i="2"/>
  <x:c r="G59" i="3" s="1"/>
  <x:c r="F15" i="1" s="1"/>
  <x:c r="G15" i="4" s="1"/>
  <x:c r="N41" i="3"/>
  <x:c r="I53" i="3"/>
  <x:c r="H37" i="3"/>
  <x:c r="E57" i="3"/>
  <x:c r="K41" i="3"/>
  <x:c r="K61" i="3" s="1"/>
  <x:c r="N26" i="3"/>
  <x:c r="N61" i="3" s="1"/>
  <x:c r="F23" i="3"/>
  <x:c r="P54" i="2"/>
  <x:c r="D48" i="3"/>
  <x:c r="D38" i="3"/>
  <x:c r="O41" i="3"/>
  <x:c r="F48" i="3"/>
  <x:c r="M17" i="3"/>
  <x:c r="F43" i="3"/>
  <x:c r="G38" i="3"/>
  <x:c r="E62" i="3"/>
  <x:c r="O62" i="3"/>
  <x:c r="N58" i="3"/>
  <x:c r="G51" i="3"/>
  <x:c r="G28" i="3"/>
  <x:c r="G58" i="3"/>
  <x:c r="J59" i="3"/>
  <x:c r="I15" i="1" s="1"/>
  <x:c r="J15" i="4" s="1"/>
  <x:c r="J29" i="3"/>
  <x:c r="I16" i="1" s="1"/>
  <x:c r="J16" i="4" s="1"/>
  <x:c r="L63" i="3"/>
  <x:c r="F22" i="3"/>
  <x:c r="M51" i="3"/>
  <x:c r="N57" i="3"/>
  <x:c r="H13" i="3"/>
  <x:c r="G26" i="3"/>
  <x:c r="G16" i="3"/>
  <x:c r="I18" i="3"/>
  <x:c r="H36" i="3"/>
  <x:c r="H61" i="3" s="1"/>
  <x:c r="M42" i="3"/>
  <x:c r="G33" i="3"/>
  <x:c r="M21" i="3"/>
  <x:c r="P61" i="2"/>
  <x:c r="P51" i="3" s="1"/>
  <x:c r="J24" i="3"/>
  <x:c r="I20" i="1" s="1"/>
  <x:c r="J20" i="4" s="1"/>
  <x:c r="J44" i="3"/>
  <x:c r="I14" i="1" s="1"/>
  <x:c r="J14" i="4" s="1"/>
  <x:c r="L64" i="2"/>
  <x:c r="L19" i="3" s="1"/>
  <x:c r="K13" i="1" s="1"/>
  <x:c r="L13" i="4" s="1"/>
  <x:c r="P34" i="2"/>
  <x:c r="P29" i="2"/>
  <x:c r="I61" i="3"/>
  <x:c r="G11" i="3"/>
  <x:c r="D62" i="3"/>
  <x:c r="D61" i="3"/>
  <x:c r="J48" i="3"/>
  <x:c r="J53" i="3"/>
  <x:c r="J23" i="3"/>
  <x:c r="G21" i="3"/>
  <x:c r="J62" i="3"/>
  <x:c r="N47" i="3"/>
  <x:c r="N32" i="3"/>
  <x:c r="I33" i="3"/>
  <x:c r="H43" i="3"/>
  <x:c r="H63" i="3" s="1"/>
  <x:c r="M27" i="3"/>
  <x:c r="M12" i="3"/>
  <x:c r="O64" i="2"/>
  <x:c r="O19" i="3" s="1"/>
  <x:c r="N13" i="1" s="1"/>
  <x:c r="O13" i="4" s="1"/>
  <x:c r="E64" i="2"/>
  <x:c r="I64" i="2"/>
  <x:c r="I49" i="3" s="1"/>
  <x:c r="H18" i="1" s="1"/>
  <x:c r="I18" i="4" s="1"/>
  <x:c r="E61" i="3"/>
  <x:c r="M36" i="3"/>
  <x:c r="F27" i="3"/>
  <x:c r="J13" i="3"/>
  <x:c r="J11" i="3"/>
  <x:c r="N22" i="3"/>
  <x:c r="M11" i="3"/>
  <x:c r="N37" i="3"/>
  <x:c r="L51" i="3"/>
  <x:c r="L61" i="3" s="1"/>
  <x:c r="N43" i="3"/>
  <x:c r="N33" i="3"/>
  <x:c r="G56" i="3"/>
  <x:c r="J46" i="3"/>
  <x:c r="J61" i="3" s="1"/>
  <x:c r="G46" i="3"/>
  <x:c r="M46" i="3"/>
  <x:c r="K64" i="2"/>
  <x:c r="K24" i="3" s="1"/>
  <x:c r="J20" i="1" s="1"/>
  <x:c r="K20" i="4" s="1"/>
  <x:c r="G36" i="3"/>
  <x:c r="G22" i="3"/>
  <x:c r="E14" i="3"/>
  <x:c r="D11" i="1" s="1"/>
  <x:c r="E11" i="4" s="1"/>
  <x:c r="G34" i="3"/>
  <x:c r="F19" i="1" s="1"/>
  <x:c r="G19" i="4" s="1"/>
  <x:c r="K62" i="3"/>
  <x:c r="H64" i="2"/>
  <x:c r="O63" i="3"/>
  <x:c r="G29" i="3"/>
  <x:c r="F16" i="1" s="1"/>
  <x:c r="G16" i="4" s="1"/>
  <x:c r="G31" i="3"/>
  <x:c r="H14" i="3"/>
  <x:c r="G11" i="1" s="1"/>
  <x:c r="P19" i="2"/>
  <x:c r="M49" i="3"/>
  <x:c r="L18" i="1" s="1"/>
  <x:c r="M18" i="4" s="1"/>
  <x:c r="P41" i="3"/>
  <x:c r="K63" i="3"/>
  <x:c r="H59" i="3"/>
  <x:c r="G15" i="1" s="1"/>
  <x:c r="H15" i="4" s="1"/>
  <x:c r="P27" i="3"/>
  <x:c r="P24" i="2"/>
  <x:c r="P39" i="2"/>
  <x:c r="P44" i="2"/>
  <x:c r="E49" i="3"/>
  <x:c r="D18" i="1" s="1"/>
  <x:c r="E18" i="4" s="1"/>
  <x:c r="E59" i="3"/>
  <x:c r="D15" i="1" s="1"/>
  <x:c r="E15" i="4" s="1"/>
  <x:c r="E54" i="3"/>
  <x:c r="D12" i="1" s="1"/>
  <x:c r="E12" i="4" s="1"/>
  <x:c r="E34" i="3"/>
  <x:c r="D19" i="1" s="1"/>
  <x:c r="E19" i="4" s="1"/>
  <x:c r="E19" i="3"/>
  <x:c r="D13" i="1" s="1"/>
  <x:c r="E13" i="4" s="1"/>
  <x:c r="E29" i="3"/>
  <x:c r="E44" i="3"/>
  <x:c r="D14" i="1" s="1"/>
  <x:c r="E14" i="4" s="1"/>
  <x:c r="H62" i="3"/>
  <x:c r="H44" i="3"/>
  <x:c r="G14" i="1" s="1"/>
  <x:c r="H14" i="4" s="1"/>
  <x:c r="M64" i="2"/>
  <x:c r="M38" i="3"/>
  <x:c r="M43" i="3"/>
  <x:c r="M13" i="3"/>
  <x:c r="M53" i="3"/>
  <x:c r="M58" i="3"/>
  <x:c r="M18" i="3"/>
  <x:c r="M33" i="3"/>
  <x:c r="M28" i="3"/>
  <x:c r="M23" i="3"/>
  <x:c r="I63" i="3"/>
  <x:c r="M61" i="3"/>
  <x:c r="P63" i="2"/>
  <x:c r="P33" i="3" s="1"/>
  <x:c r="K54" i="3"/>
  <x:c r="J12" i="1" s="1"/>
  <x:c r="K12" i="4" s="1"/>
  <x:c r="K44" i="3"/>
  <x:c r="J14" i="1" s="1"/>
  <x:c r="K14" i="4" s="1"/>
  <x:c r="F56" i="3"/>
  <x:c r="I37" i="3"/>
  <x:c r="I22" i="3"/>
  <x:c r="F41" i="3"/>
  <x:c r="D33" i="3"/>
  <x:c r="G47" i="3"/>
  <x:c r="L57" i="3"/>
  <x:c r="G13" i="3"/>
  <x:c r="F46" i="3"/>
  <x:c r="F38" i="3"/>
  <x:c r="G53" i="3"/>
  <x:c r="I42" i="3"/>
  <x:c r="I57" i="3"/>
  <x:c r="F33" i="3"/>
  <x:c r="E39" i="3"/>
  <x:c r="D17" i="1" s="1"/>
  <x:c r="E17" i="4" s="1"/>
  <x:c r="E24" i="3"/>
  <x:c r="D20" i="1" s="1"/>
  <x:c r="E20" i="4" s="1"/>
  <x:c r="N64" i="2"/>
  <x:c r="N34" i="3" s="1"/>
  <x:c r="M19" i="1" s="1"/>
  <x:c r="N19" i="4" s="1"/>
  <x:c r="D64" i="2"/>
  <x:c r="D34" i="3" s="1"/>
  <x:c r="C19" i="1" s="1"/>
  <x:c r="D19" i="4" s="1"/>
  <x:c r="P49" i="2"/>
  <x:c r="P59" i="2"/>
  <x:c r="P62" i="2"/>
  <x:c r="L32" i="3"/>
  <x:c r="L12" i="3"/>
  <x:c r="L52" i="3"/>
  <x:c r="I52" i="3"/>
  <x:c r="D43" i="3"/>
  <x:c r="G52" i="3"/>
  <x:c r="N23" i="3"/>
  <x:c r="G48" i="3"/>
  <x:c r="G12" i="3"/>
  <x:c r="F11" i="3"/>
  <x:c r="D53" i="3"/>
  <x:c r="N48" i="3"/>
  <x:c r="I47" i="3"/>
  <x:c r="I17" i="3"/>
  <x:c r="L47" i="3"/>
  <x:c r="L42" i="3"/>
  <x:c r="L22" i="3"/>
  <x:c r="F18" i="3"/>
  <x:c r="G18" i="3"/>
  <x:c r="L37" i="3"/>
  <x:c r="F36" i="3"/>
  <x:c r="F21" i="3"/>
  <x:c r="I32" i="3"/>
  <x:c r="G54" i="3"/>
  <x:c r="F12" i="1" s="1"/>
  <x:c r="G12" i="4" s="1"/>
  <x:c r="D58" i="3"/>
  <x:c r="I27" i="3"/>
  <x:c r="F26" i="3"/>
  <x:c r="F64" i="2"/>
  <x:c r="F59" i="3" s="1"/>
  <x:c r="E15" i="1" s="1"/>
  <x:c r="F15" i="4" s="1"/>
  <x:c r="F31" i="3"/>
  <x:c r="J39" i="3" l="1"/>
  <x:c r="I17" i="1" s="1"/>
  <x:c r="J17" i="4" s="1"/>
  <x:c r="J63" i="3"/>
  <x:c r="L54" i="3"/>
  <x:c r="K12" i="1" s="1"/>
  <x:c r="L12" i="4" s="1"/>
  <x:c r="M62" i="3"/>
  <x:c r="J19" i="3"/>
  <x:c r="I13" i="1" s="1"/>
  <x:c r="J13" i="4" s="1"/>
  <x:c r="I59" i="3"/>
  <x:c r="H15" i="1" s="1"/>
  <x:c r="I15" i="4" s="1"/>
  <x:c r="O29" i="3"/>
  <x:c r="J34" i="3"/>
  <x:c r="I54" i="3"/>
  <x:c r="H12" i="1" s="1"/>
  <x:c r="I12" i="4" s="1"/>
  <x:c r="I34" i="3"/>
  <x:c r="H19" i="1" s="1"/>
  <x:c r="I19" i="4" s="1"/>
  <x:c r="I29" i="3"/>
  <x:c r="I24" i="3"/>
  <x:c r="H20" i="1" s="1"/>
  <x:c r="I20" i="4" s="1"/>
  <x:c r="L44" i="3"/>
  <x:c r="K14" i="1" s="1"/>
  <x:c r="L14" i="4" s="1"/>
  <x:c r="F29" i="4" s="1"/>
  <x:c r="J49" i="3"/>
  <x:c r="I18" i="1" s="1"/>
  <x:c r="J18" i="4" s="1"/>
  <x:c r="G44" i="3"/>
  <x:c r="F14" i="1" s="1"/>
  <x:c r="G14" i="4" s="1"/>
  <x:c r="G14" i="3"/>
  <x:c r="F11" i="1" s="1"/>
  <x:c r="G11" i="4" s="1"/>
  <x:c r="G21" i="4" s="1"/>
  <x:c r="G24" i="3"/>
  <x:c r="F20" i="1" s="1"/>
  <x:c r="G20" i="4" s="1"/>
  <x:c r="I39" i="3"/>
  <x:c r="H17" i="1" s="1"/>
  <x:c r="I17" i="4" s="1"/>
  <x:c r="F62" i="3"/>
  <x:c r="J14" i="3"/>
  <x:c r="I11" i="1" s="1"/>
  <x:c r="J11" i="4" s="1"/>
  <x:c r="O61" i="3"/>
  <x:c r="I44" i="3"/>
  <x:c r="H14" i="1" s="1"/>
  <x:c r="I14" i="4" s="1"/>
  <x:c r="G19" i="3"/>
  <x:c r="F13" i="1" s="1"/>
  <x:c r="G13" i="4" s="1"/>
  <x:c r="G39" i="3"/>
  <x:c r="F17" i="1" s="1"/>
  <x:c r="G17" i="4" s="1"/>
  <x:c r="I14" i="3"/>
  <x:c r="H11" i="1" s="1"/>
  <x:c r="G49" i="3"/>
  <x:c r="F18" i="1" s="1"/>
  <x:c r="G18" i="4" s="1"/>
  <x:c r="G61" i="3"/>
  <x:c r="K39" i="3"/>
  <x:c r="J17" i="1" s="1"/>
  <x:c r="K17" i="4" s="1"/>
  <x:c r="O34" i="3"/>
  <x:c r="N19" i="1" s="1"/>
  <x:c r="O19" i="4" s="1"/>
  <x:c r="K14" i="3"/>
  <x:c r="J11" i="1" s="1"/>
  <x:c r="K11" i="4" s="1"/>
  <x:c r="G63" i="3"/>
  <x:c r="G62" i="3"/>
  <x:c r="L59" i="3"/>
  <x:c r="K15" i="1" s="1"/>
  <x:c r="L15" i="4" s="1"/>
  <x:c r="D63" i="3"/>
  <x:c r="K19" i="3"/>
  <x:c r="J13" i="1" s="1"/>
  <x:c r="K13" i="4" s="1"/>
  <x:c r="L49" i="3"/>
  <x:c r="K18" i="1" s="1"/>
  <x:c r="L18" i="4" s="1"/>
  <x:c r="O14" i="3"/>
  <x:c r="N11" i="1" s="1"/>
  <x:c r="O11" i="4" s="1"/>
  <x:c r="O49" i="3"/>
  <x:c r="N18" i="1" s="1"/>
  <x:c r="O18" i="4" s="1"/>
  <x:c r="K29" i="3"/>
  <x:c r="L14" i="3"/>
  <x:c r="K11" i="1" s="1"/>
  <x:c r="P56" i="3"/>
  <x:c r="N62" i="3"/>
  <x:c r="K34" i="3"/>
  <x:c r="J19" i="1" s="1"/>
  <x:c r="K19" i="4" s="1"/>
  <x:c r="P46" i="3"/>
  <x:c r="P16" i="3"/>
  <x:c r="P11" i="3"/>
  <x:c r="K59" i="3"/>
  <x:c r="J15" i="1" s="1"/>
  <x:c r="K15" i="4" s="1"/>
  <x:c r="L29" i="3"/>
  <x:c r="L64" i="3" s="1"/>
  <x:c r="K49" i="3"/>
  <x:c r="J18" i="1" s="1"/>
  <x:c r="K18" i="4" s="1"/>
  <x:c r="O44" i="3"/>
  <x:c r="N14" i="1" s="1"/>
  <x:c r="O14" i="4" s="1"/>
  <x:c r="P36" i="3"/>
  <x:c r="H54" i="3"/>
  <x:c r="G12" i="1" s="1"/>
  <x:c r="H12" i="4" s="1"/>
  <x:c r="H34" i="3"/>
  <x:c r="G19" i="1" s="1"/>
  <x:c r="H19" i="4" s="1"/>
  <x:c r="H29" i="3"/>
  <x:c r="L62" i="3"/>
  <x:c r="O39" i="3"/>
  <x:c r="N17" i="1" s="1"/>
  <x:c r="O17" i="4" s="1"/>
  <x:c r="H19" i="3"/>
  <x:c r="G13" i="1" s="1"/>
  <x:c r="H13" i="4" s="1"/>
  <x:c r="F28" i="4" s="1"/>
  <x:c r="P21" i="3"/>
  <x:c r="L39" i="3"/>
  <x:c r="K17" i="1" s="1"/>
  <x:c r="L17" i="4" s="1"/>
  <x:c r="H39" i="3"/>
  <x:c r="G17" i="1" s="1"/>
  <x:c r="H17" i="4" s="1"/>
  <x:c r="N63" i="3"/>
  <x:c r="D29" i="3"/>
  <x:c r="O24" i="3"/>
  <x:c r="N20" i="1" s="1"/>
  <x:c r="O20" i="4" s="1"/>
  <x:c r="P26" i="3"/>
  <x:c r="L24" i="3"/>
  <x:c r="K20" i="1" s="1"/>
  <x:c r="L20" i="4" s="1"/>
  <x:c r="H49" i="3"/>
  <x:c r="G18" i="1" s="1"/>
  <x:c r="H18" i="4" s="1"/>
  <x:c r="D19" i="3"/>
  <x:c r="C13" i="1" s="1"/>
  <x:c r="D13" i="4" s="1"/>
  <x:c r="I19" i="3"/>
  <x:c r="H13" i="1" s="1"/>
  <x:c r="I13" i="4" s="1"/>
  <x:c r="P31" i="3"/>
  <x:c r="L34" i="3"/>
  <x:c r="K19" i="1" s="1"/>
  <x:c r="L19" i="4" s="1"/>
  <x:c r="H24" i="3"/>
  <x:c r="G20" i="1" s="1"/>
  <x:c r="H20" i="4" s="1"/>
  <x:c r="O59" i="3"/>
  <x:c r="N15" i="1" s="1"/>
  <x:c r="O15" i="4" s="1"/>
  <x:c r="O54" i="3"/>
  <x:c r="N12" i="1" s="1"/>
  <x:c r="O12" i="4" s="1"/>
  <x:c r="C16" i="1"/>
  <x:c r="D16" i="4" s="1"/>
  <x:c r="H16" i="1"/>
  <x:c r="I16" i="4" s="1"/>
  <x:c r="N29" i="3"/>
  <x:c r="F61" i="3"/>
  <x:c r="I62" i="3"/>
  <x:c r="N19" i="3"/>
  <x:c r="M13" i="1" s="1"/>
  <x:c r="N13" i="4" s="1"/>
  <x:c r="F63" i="3"/>
  <x:c r="M19" i="3"/>
  <x:c r="L13" i="1" s="1"/>
  <x:c r="M13" i="4" s="1"/>
  <x:c r="M29" i="3"/>
  <x:c r="M34" i="3"/>
  <x:c r="L19" i="1" s="1"/>
  <x:c r="M19" i="4" s="1"/>
  <x:c r="M14" i="3"/>
  <x:c r="L11" i="1" s="1"/>
  <x:c r="M24" i="3"/>
  <x:c r="L20" i="1" s="1"/>
  <x:c r="M20" i="4" s="1"/>
  <x:c r="M44" i="3"/>
  <x:c r="L14" i="1" s="1"/>
  <x:c r="M14" i="4" s="1"/>
  <x:c r="M54" i="3"/>
  <x:c r="L12" i="1" s="1"/>
  <x:c r="M12" i="4" s="1"/>
  <x:c r="M39" i="3"/>
  <x:c r="L17" i="1" s="1"/>
  <x:c r="M17" i="4" s="1"/>
  <x:c r="F24" i="3"/>
  <x:c r="E20" i="1" s="1"/>
  <x:c r="F20" i="4" s="1"/>
  <x:c r="F39" i="3"/>
  <x:c r="E17" i="1" s="1"/>
  <x:c r="F17" i="4" s="1"/>
  <x:c r="F44" i="3"/>
  <x:c r="E14" i="1" s="1"/>
  <x:c r="F14" i="4" s="1"/>
  <x:c r="F34" i="3"/>
  <x:c r="E19" i="1" s="1"/>
  <x:c r="F19" i="4" s="1"/>
  <x:c r="D34" i="4" s="1"/>
  <x:c r="F29" i="3"/>
  <x:c r="F19" i="3"/>
  <x:c r="E13" i="1" s="1"/>
  <x:c r="F13" i="4" s="1"/>
  <x:c r="H11" i="4"/>
  <x:c r="M63" i="3"/>
  <x:c r="I11" i="4"/>
  <x:c r="N16" i="1"/>
  <x:c r="O16" i="4" s="1"/>
  <x:c r="F54" i="3"/>
  <x:c r="E12" i="1" s="1"/>
  <x:c r="F12" i="4" s="1"/>
  <x:c r="M59" i="3"/>
  <x:c r="L15" i="1" s="1"/>
  <x:c r="M15" i="4" s="1"/>
  <x:c r="D16" i="1"/>
  <x:c r="E16" i="4" s="1"/>
  <x:c r="E21" i="4" s="1"/>
  <x:c r="E64" i="3"/>
  <x:c r="N24" i="3"/>
  <x:c r="M20" i="1" s="1"/>
  <x:c r="N20" i="4" s="1"/>
  <x:c r="N39" i="3"/>
  <x:c r="M17" i="1" s="1"/>
  <x:c r="N17" i="4" s="1"/>
  <x:c r="N44" i="3"/>
  <x:c r="M14" i="1" s="1"/>
  <x:c r="N14" i="4" s="1"/>
  <x:c r="N49" i="3"/>
  <x:c r="M18" i="1" s="1"/>
  <x:c r="N18" i="4" s="1"/>
  <x:c r="N59" i="3"/>
  <x:c r="M15" i="1" s="1"/>
  <x:c r="N15" i="4" s="1"/>
  <x:c r="N14" i="3"/>
  <x:c r="M11" i="1" s="1"/>
  <x:c r="F49" i="3"/>
  <x:c r="E18" i="1" s="1"/>
  <x:c r="F18" i="4" s="1"/>
  <x:c r="P42" i="3"/>
  <x:c r="P52" i="3"/>
  <x:c r="P17" i="3"/>
  <x:c r="P32" i="3"/>
  <x:c r="P12" i="3"/>
  <x:c r="P22" i="3"/>
  <x:c r="P47" i="3"/>
  <x:c r="P57" i="3"/>
  <x:c r="P37" i="3"/>
  <x:c r="L11" i="4"/>
  <x:c r="N54" i="3"/>
  <x:c r="M12" i="1" s="1"/>
  <x:c r="N12" i="4" s="1"/>
  <x:c r="F14" i="3"/>
  <x:c r="E11" i="1" s="1"/>
  <x:c r="D24" i="3"/>
  <x:c r="C20" i="1" s="1"/>
  <x:c r="D20" i="4" s="1"/>
  <x:c r="D39" i="3"/>
  <x:c r="C17" i="1" s="1"/>
  <x:c r="D17" i="4" s="1"/>
  <x:c r="D44" i="3"/>
  <x:c r="C14" i="1" s="1"/>
  <x:c r="D14" i="4" s="1"/>
  <x:c r="D14" i="3"/>
  <x:c r="C11" i="1" s="1"/>
  <x:c r="D49" i="3"/>
  <x:c r="C18" i="1" s="1"/>
  <x:c r="D18" i="4" s="1"/>
  <x:c r="D54" i="3"/>
  <x:c r="C12" i="1" s="1"/>
  <x:c r="D12" i="4" s="1"/>
  <x:c r="D59" i="3"/>
  <x:c r="C15" i="1" s="1"/>
  <x:c r="D15" i="4" s="1"/>
  <x:c r="P48" i="3"/>
  <x:c r="P23" i="3"/>
  <x:c r="P38" i="3"/>
  <x:c r="P58" i="3"/>
  <x:c r="P13" i="3"/>
  <x:c r="P28" i="3"/>
  <x:c r="P53" i="3"/>
  <x:c r="P18" i="3"/>
  <x:c r="P43" i="3"/>
  <x:c r="P64" i="2"/>
  <x:c r="P49" i="3" s="1"/>
  <x:c r="O18" i="1" s="1"/>
  <x:c r="P18" i="4" s="1"/>
  <x:c r="F32" i="4" l="1"/>
  <x:c r="F35" i="4"/>
  <x:c r="F30" i="4"/>
  <x:c r="D28" i="4"/>
  <x:c r="D27" i="4"/>
  <x:c r="D29" i="4"/>
  <x:c r="P61" i="3"/>
  <x:c r="K16" i="1"/>
  <x:c r="L16" i="4" s="1"/>
  <x:c r="L21" i="4" s="1"/>
  <x:c r="F21" i="1"/>
  <x:c r="F27" i="4"/>
  <x:c r="I64" i="3"/>
  <x:c r="I19" i="1"/>
  <x:c r="J19" i="4" s="1"/>
  <x:c r="J21" i="4" s="1"/>
  <x:c r="J64" i="3"/>
  <x:c r="K64" i="3"/>
  <x:c r="G64" i="3"/>
  <x:c r="O64" i="3"/>
  <x:c r="O21" i="4"/>
  <x:c r="D21" i="1"/>
  <x:c r="J16" i="1"/>
  <x:c r="K16" i="4" s="1"/>
  <x:c r="K21" i="4" s="1"/>
  <x:c r="F33" i="4"/>
  <x:c r="H64" i="3"/>
  <x:c r="G16" i="1"/>
  <x:c r="P62" i="3"/>
  <x:c r="D30" i="4"/>
  <x:c r="H21" i="1"/>
  <x:c r="N21" i="1"/>
  <x:c r="I21" i="4"/>
  <x:c r="D64" i="3"/>
  <x:c r="P34" i="3"/>
  <x:c r="O19" i="1" s="1"/>
  <x:c r="P19" i="4" s="1"/>
  <x:c r="P14" i="3"/>
  <x:c r="O11" i="1" s="1"/>
  <x:c r="P29" i="3"/>
  <x:c r="P54" i="3"/>
  <x:c r="O12" i="1" s="1"/>
  <x:c r="P12" i="4" s="1"/>
  <x:c r="D33" i="4"/>
  <x:c r="F26" i="4"/>
  <x:c r="P63" i="3"/>
  <x:c r="P59" i="3"/>
  <x:c r="O15" i="1" s="1"/>
  <x:c r="P15" i="4" s="1"/>
  <x:c r="D32" i="4"/>
  <x:c r="D35" i="4"/>
  <x:c r="F11" i="4"/>
  <x:c r="M16" i="1"/>
  <x:c r="N16" i="4" s="1"/>
  <x:c r="N64" i="3"/>
  <x:c r="M64" i="3"/>
  <x:c r="L16" i="1"/>
  <x:c r="M16" i="4" s="1"/>
  <x:c r="P44" i="3"/>
  <x:c r="O14" i="1" s="1"/>
  <x:c r="P14" i="4" s="1"/>
  <x:c r="D11" i="4"/>
  <x:c r="C21" i="1"/>
  <x:c r="P39" i="3"/>
  <x:c r="O17" i="1" s="1"/>
  <x:c r="P17" i="4" s="1"/>
  <x:c r="N11" i="4"/>
  <x:c r="P19" i="3"/>
  <x:c r="O13" i="1" s="1"/>
  <x:c r="P13" i="4" s="1"/>
  <x:c r="E16" i="1"/>
  <x:c r="F16" i="4" s="1"/>
  <x:c r="F64" i="3"/>
  <x:c r="M11" i="4"/>
  <x:c r="P24" i="3"/>
  <x:c r="O20" i="1" s="1"/>
  <x:c r="P20" i="4" s="1"/>
  <x:c r="K21" i="1" l="1"/>
  <x:c r="I21" i="1"/>
  <x:c r="F34" i="4"/>
  <x:c r="N21" i="4"/>
  <x:c r="M21" i="1"/>
  <x:c r="D31" i="4"/>
  <x:c r="E21" i="1"/>
  <x:c r="J21" i="1"/>
  <x:c r="H16" i="4"/>
  <x:c r="G21" i="1"/>
  <x:c r="D26" i="4"/>
  <x:c r="D21" i="4"/>
  <x:c r="O16" i="1"/>
  <x:c r="P16" i="4" s="1"/>
  <x:c r="P64" i="3"/>
  <x:c r="M21" i="4"/>
  <x:c r="L21" i="1"/>
  <x:c r="P11" i="4"/>
  <x:c r="F21" i="4"/>
  <x:c r="F31" i="4" l="1"/>
  <x:c r="H21" i="4"/>
  <x:c r="F36" i="4" s="1"/>
  <x:c r="D36" i="4"/>
  <x:c r="O21" i="1"/>
  <x:c r="P21" i="4"/>
</x:calcChain>
</file>

<file path=xl/sharedStrings.xml><?xml version="1.0" encoding="utf-8"?>
<sst xmlns="http://schemas.openxmlformats.org/spreadsheetml/2006/main" count="242" uniqueCount="50">
  <si>
    <t>Annual</t>
  </si>
  <si>
    <t xml:space="preserve">Total </t>
  </si>
  <si>
    <t>Midland Odessa</t>
  </si>
  <si>
    <t>Waco</t>
  </si>
  <si>
    <t>Wichita Falls</t>
  </si>
  <si>
    <t>Lufkin</t>
  </si>
  <si>
    <t>Austin</t>
  </si>
  <si>
    <t>Killeen</t>
  </si>
  <si>
    <t>Longview</t>
  </si>
  <si>
    <t>Abilene</t>
  </si>
  <si>
    <t xml:space="preserve">PUC DOCKET NO. </t>
  </si>
  <si>
    <t>ONCOR ELECTRIC DELIVERY COMPANY</t>
  </si>
  <si>
    <t>Line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</si>
  <si>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</si>
  <si>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</si>
  <si>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</si>
  <si>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</si>
  <si>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</si>
  <si>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</si>
  <si>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</si>
  <si>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</si>
  <si>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</si>
  <si>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</si>
  <si>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</si>
  <si>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</si>
  <si>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</si>
  <si>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</si>
  <si>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No.</t>
  </si>
  <si>
    <t>Weather Station</t>
  </si>
  <si>
    <t>Dallas-Fort Worth</t>
  </si>
  <si>
    <t>Midland-Odessa</t>
  </si>
  <si>
    <t>Killeen-Temple</t>
  </si>
  <si>
    <t>Wichita Falls.</t>
  </si>
  <si>
    <t>Year</t>
  </si>
  <si>
    <t>System</t>
  </si>
  <si>
    <t>ONCOR ELECTRIC DELIVERY COMPANY LLC</t>
  </si>
  <si>
    <t>Nov to Mar</t>
  </si>
  <si>
    <t>May to Sep</t>
  </si>
  <si>
    <t>SPONSOR: D. E. NELSON</t>
  </si>
  <si>
    <t>RESIDENTIAL MONTHLY KWH SALES BY YEAR</t>
  </si>
  <si>
    <t>WEATHER WEIGHTS</t>
  </si>
  <si>
    <t>RESIDENTIAL MONTHLY WEIGHTS BY YEAR</t>
  </si>
  <si>
    <t>RESIDENTIAL MONTHLY WEIGHTS</t>
  </si>
  <si>
    <t>SEASONAL WEIGHTS</t>
  </si>
  <si>
    <t>(o)</t>
  </si>
  <si>
    <t>Sherman-Denison</t>
  </si>
  <si>
    <t>HDD</t>
  </si>
  <si>
    <t>CDD</t>
  </si>
  <si>
    <t>Denison</t>
  </si>
  <si>
    <t>FOR THE TEST YEAR ENDING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</si>
</sst>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m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2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0" fontId="1" fillId="0" borderId="0"/>
    <xf numFmtId="0" fontId="6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2"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Border="1" applyAlignment="1" applyProtection="1">
      <alignment horizontal="center"/>
      <protection locked="0"/>
    </xf>
    <xf numFmtId="164" fontId="7" fillId="0" borderId="0" xfId="4" applyNumberFormat="1" applyFont="1" applyBorder="1" applyAlignment="1" applyProtection="1">
      <alignment horizontal="right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7" fillId="0" borderId="0" xfId="0" applyNumberFormat="1" applyFont="1" applyFill="1" applyProtection="1">
      <protection locked="0"/>
    </xf>
    <xf numFmtId="164" fontId="7" fillId="0" borderId="1" xfId="0" applyNumberFormat="1" applyFont="1" applyFill="1" applyBorder="1" applyProtection="1">
      <protection locked="0"/>
    </xf>
    <xf numFmtId="164" fontId="7" fillId="0" borderId="0" xfId="4" applyNumberFormat="1" applyFont="1" applyFill="1" applyBorder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3" fontId="7" fillId="0" borderId="0" xfId="0" applyNumberFormat="1" applyFont="1" applyFill="1" applyBorder="1" applyAlignment="1" applyProtection="1">
      <protection locked="0"/>
    </xf>
    <xf numFmtId="164" fontId="7" fillId="0" borderId="0" xfId="0" applyNumberFormat="1" applyFont="1" applyFill="1" applyBorder="1" applyProtection="1">
      <protection locked="0"/>
    </xf>
    <xf numFmtId="164" fontId="7" fillId="0" borderId="0" xfId="0" applyNumberFormat="1" applyFont="1" applyFill="1" applyBorder="1" applyAlignment="1" applyProtection="1">
      <protection locked="0"/>
    </xf>
    <xf numFmtId="0" fontId="6" fillId="0" borderId="0" xfId="0" applyFont="1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/>
    <xf numFmtId="0" fontId="6" fillId="0" borderId="0" xfId="0" applyFont="1" applyAlignment="1" applyProtection="1">
      <protection locked="0"/>
    </xf>
    <xf numFmtId="0" fontId="0" fillId="0" borderId="0" xfId="0" quotePrefix="1" applyAlignment="1">
      <alignment horizontal="center"/>
    </xf>
    <xf numFmtId="0" fontId="4" fillId="0" borderId="0" xfId="0" applyFont="1" applyAlignment="1">
      <alignment horizontal="center"/>
    </xf>
    <xf numFmtId="165" fontId="7" fillId="0" borderId="2" xfId="2" applyNumberFormat="1" applyFont="1" applyBorder="1" applyAlignment="1">
      <alignment horizontal="right" vertical="center" wrapText="1"/>
    </xf>
    <xf numFmtId="165" fontId="7" fillId="0" borderId="3" xfId="2" applyNumberFormat="1" applyFont="1" applyBorder="1" applyAlignment="1">
      <alignment horizontal="right" vertical="center" wrapText="1"/>
    </xf>
    <xf numFmtId="165" fontId="7" fillId="0" borderId="4" xfId="2" applyNumberFormat="1" applyFont="1" applyBorder="1" applyAlignment="1">
      <alignment horizontal="right" vertical="center" wrapText="1"/>
    </xf>
    <xf numFmtId="0" fontId="7" fillId="0" borderId="5" xfId="2" applyFont="1" applyBorder="1" applyAlignment="1">
      <alignment horizontal="right" vertical="center" wrapText="1"/>
    </xf>
    <xf numFmtId="0" fontId="6" fillId="0" borderId="0" xfId="0" applyFont="1" applyAlignment="1" applyProtection="1">
      <alignment horizontal="center"/>
      <protection locked="0"/>
    </xf>
    <xf numFmtId="0" fontId="1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/>
    <xf numFmtId="0" fontId="1" fillId="0" borderId="0" xfId="1" applyFont="1" applyProtection="1">
      <protection locked="0"/>
    </xf>
    <xf numFmtId="0" fontId="1" fillId="0" borderId="0" xfId="1"/>
    <xf numFmtId="0" fontId="1" fillId="0" borderId="0" xfId="1" applyFont="1" applyAlignment="1" applyProtection="1">
      <protection locked="0"/>
    </xf>
    <xf numFmtId="0" fontId="1" fillId="0" borderId="0" xfId="1" quotePrefix="1" applyAlignment="1">
      <alignment horizontal="center"/>
    </xf>
    <xf numFmtId="0" fontId="4" fillId="0" borderId="0" xfId="1" applyFont="1" applyAlignment="1">
      <alignment horizontal="center"/>
    </xf>
    <xf numFmtId="165" fontId="5" fillId="0" borderId="2" xfId="3" applyNumberFormat="1" applyFont="1" applyBorder="1" applyAlignment="1" applyProtection="1">
      <alignment horizontal="right" vertical="center" wrapText="1"/>
      <protection locked="0"/>
    </xf>
    <xf numFmtId="0" fontId="5" fillId="0" borderId="0" xfId="3" applyFont="1" applyBorder="1" applyAlignment="1" applyProtection="1">
      <alignment horizontal="right"/>
      <protection locked="0"/>
    </xf>
    <xf numFmtId="165" fontId="5" fillId="0" borderId="3" xfId="3" applyNumberFormat="1" applyFont="1" applyBorder="1" applyAlignment="1" applyProtection="1">
      <alignment horizontal="right" vertical="center" wrapText="1"/>
      <protection locked="0"/>
    </xf>
    <xf numFmtId="165" fontId="5" fillId="0" borderId="4" xfId="3" applyNumberFormat="1" applyFont="1" applyBorder="1" applyAlignment="1" applyProtection="1">
      <alignment horizontal="right" vertical="center" wrapText="1"/>
      <protection locked="0"/>
    </xf>
    <xf numFmtId="0" fontId="5" fillId="0" borderId="5" xfId="3" applyFont="1" applyBorder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right"/>
      <protection locked="0"/>
    </xf>
    <xf numFmtId="0" fontId="1" fillId="0" borderId="0" xfId="1" applyFont="1" applyAlignment="1" applyProtection="1">
      <alignment horizontal="center"/>
      <protection locked="0"/>
    </xf>
    <xf numFmtId="0" fontId="5" fillId="0" borderId="0" xfId="3" applyFont="1" applyFill="1" applyBorder="1" applyAlignment="1" applyProtection="1">
      <alignment horizontal="center"/>
      <protection locked="0"/>
    </xf>
    <xf numFmtId="164" fontId="5" fillId="0" borderId="0" xfId="3" applyNumberFormat="1" applyFont="1" applyFill="1" applyProtection="1">
      <protection locked="0"/>
    </xf>
    <xf numFmtId="164" fontId="5" fillId="0" borderId="1" xfId="3" applyNumberFormat="1" applyFont="1" applyFill="1" applyBorder="1" applyProtection="1">
      <protection locked="0"/>
    </xf>
    <xf numFmtId="164" fontId="5" fillId="0" borderId="0" xfId="5" applyNumberFormat="1" applyFont="1" applyFill="1" applyBorder="1" applyAlignment="1" applyProtection="1">
      <alignment horizontal="right"/>
      <protection locked="0"/>
    </xf>
    <xf numFmtId="164" fontId="1" fillId="0" borderId="0" xfId="1" applyNumberFormat="1" applyFont="1" applyProtection="1">
      <protection locked="0"/>
    </xf>
    <xf numFmtId="164" fontId="6" fillId="0" borderId="0" xfId="4" applyNumberFormat="1" applyFont="1" applyProtection="1">
      <protection locked="0"/>
    </xf>
    <xf numFmtId="10" fontId="1" fillId="0" borderId="0" xfId="1" applyNumberFormat="1" applyFont="1" applyProtection="1">
      <protection locked="0"/>
    </xf>
    <xf numFmtId="0" fontId="1" fillId="0" borderId="1" xfId="1" applyFont="1" applyBorder="1" applyProtection="1">
      <protection locked="0"/>
    </xf>
    <xf numFmtId="0" fontId="7" fillId="0" borderId="6" xfId="0" applyFont="1" applyFill="1" applyBorder="1" applyAlignment="1" applyProtection="1">
      <alignment horizontal="center"/>
      <protection locked="0"/>
    </xf>
    <xf numFmtId="3" fontId="7" fillId="0" borderId="6" xfId="0" applyNumberFormat="1" applyFont="1" applyFill="1" applyBorder="1" applyAlignment="1" applyProtection="1">
      <protection locked="0"/>
    </xf>
    <xf numFmtId="3" fontId="7" fillId="0" borderId="7" xfId="0" applyNumberFormat="1" applyFont="1" applyFill="1" applyBorder="1" applyAlignment="1" applyProtection="1">
      <protection locked="0"/>
    </xf>
    <xf numFmtId="3" fontId="7" fillId="0" borderId="8" xfId="0" applyNumberFormat="1" applyFont="1" applyFill="1" applyBorder="1" applyAlignment="1" applyProtection="1">
      <protection locked="0"/>
    </xf>
    <xf numFmtId="3" fontId="7" fillId="0" borderId="9" xfId="0" applyNumberFormat="1" applyFont="1" applyFill="1" applyBorder="1" applyAlignment="1" applyProtection="1">
      <protection locked="0"/>
    </xf>
    <xf numFmtId="0" fontId="7" fillId="0" borderId="10" xfId="0" applyFont="1" applyFill="1" applyBorder="1" applyAlignment="1" applyProtection="1">
      <alignment horizontal="center"/>
      <protection locked="0"/>
    </xf>
    <xf numFmtId="3" fontId="7" fillId="0" borderId="10" xfId="0" applyNumberFormat="1" applyFont="1" applyFill="1" applyBorder="1" applyAlignment="1" applyProtection="1">
      <protection locked="0"/>
    </xf>
    <xf numFmtId="3" fontId="7" fillId="0" borderId="11" xfId="0" applyNumberFormat="1" applyFont="1" applyFill="1" applyBorder="1" applyAlignment="1" applyProtection="1">
      <protection locked="0"/>
    </xf>
    <xf numFmtId="0" fontId="7" fillId="0" borderId="6" xfId="0" applyFont="1" applyBorder="1" applyAlignment="1" applyProtection="1">
      <alignment horizontal="center"/>
      <protection locked="0"/>
    </xf>
    <xf numFmtId="164" fontId="7" fillId="0" borderId="6" xfId="4" applyNumberFormat="1" applyFont="1" applyBorder="1" applyAlignment="1" applyProtection="1">
      <alignment horizontal="right"/>
      <protection locked="0"/>
    </xf>
    <xf numFmtId="164" fontId="7" fillId="0" borderId="7" xfId="4" applyNumberFormat="1" applyFont="1" applyBorder="1" applyAlignment="1" applyProtection="1">
      <alignment horizontal="right"/>
      <protection locked="0"/>
    </xf>
    <xf numFmtId="164" fontId="7" fillId="0" borderId="8" xfId="4" applyNumberFormat="1" applyFont="1" applyBorder="1" applyAlignment="1" applyProtection="1">
      <alignment horizontal="right"/>
      <protection locked="0"/>
    </xf>
    <xf numFmtId="164" fontId="7" fillId="0" borderId="9" xfId="4" applyNumberFormat="1" applyFont="1" applyBorder="1" applyAlignment="1" applyProtection="1">
      <alignment horizontal="right"/>
      <protection locked="0"/>
    </xf>
    <xf numFmtId="164" fontId="1" fillId="0" borderId="12" xfId="1" applyNumberFormat="1" applyFont="1" applyBorder="1" applyProtection="1">
      <protection locked="0"/>
    </xf>
    <xf numFmtId="164" fontId="7" fillId="0" borderId="6" xfId="0" applyNumberFormat="1" applyFont="1" applyFill="1" applyBorder="1" applyAlignment="1" applyProtection="1">
      <protection locked="0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1" fillId="0" borderId="5" xfId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/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 applyProtection="1">
      <protection locked="0"/>
    </xf>
  </cellXfs>
  <cellStyles count="6">
    <cellStyle name="Normal" xfId="0" builtinId="0"/>
    <cellStyle name="Normal 2" xfId="1" xr:uid="{00000000-0005-0000-0000-000002000000}"/>
    <cellStyle name="Normal_System Weather Weights WF" xfId="2" xr:uid="{00000000-0005-0000-0000-000003000000}"/>
    <cellStyle name="Normal_System Weather Weights WF 2" xfId="3" xr:uid="{00000000-0005-0000-0000-000004000000}"/>
    <cellStyle name="Percent" xfId="4" builtinId="5"/>
    <cellStyle name="Percent_System Weather Weights WF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16</xdr:col>
      <xdr:colOff>333375</xdr:colOff>
      <xdr:row>2</xdr:row>
      <xdr:rowOff>66675</xdr:rowOff>
    </xdr:from>
    <xdr:to>
      <xdr:col>16</xdr:col>
      <xdr:colOff>400050</xdr:colOff>
      <xdr:row>5</xdr:row>
      <xdr:rowOff>0</xdr:rowOff>
    </xdr:to>
    <xdr:sp macro="" textlink="">
      <xdr:nvSpPr>
        <xdr:cNvPr id="2102" name="Text Box 1" descr="" title="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 txBox="1">
          <a:spLocks noChangeArrowheads="1"/>
        </xdr:cNvSpPr>
      </xdr:nvSpPr>
      <xdr:spPr bwMode="auto">
        <a:xfrm>
          <a:off x="13382625" y="466725"/>
          <a:ext cx="666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6378.1362749999944</v>
          </cell>
          <cell r="F2">
            <v>20.997575000000005</v>
          </cell>
          <cell r="G2">
            <v>5508.2766250000186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8044.9016749999782</v>
          </cell>
          <cell r="F3">
            <v>27.354775000000007</v>
          </cell>
          <cell r="G3">
            <v>6750.6001750000141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7770.3656999999967</v>
          </cell>
          <cell r="F4">
            <v>27.035600000000006</v>
          </cell>
          <cell r="G4">
            <v>6499.003700000002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7562.6908999999905</v>
          </cell>
          <cell r="F5">
            <v>26.461300000000001</v>
          </cell>
          <cell r="G5">
            <v>6298.312225000027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7452.5575250000038</v>
          </cell>
          <cell r="F6">
            <v>26.295124999999999</v>
          </cell>
          <cell r="G6">
            <v>6204.6437500000311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7490.0334500000044</v>
          </cell>
          <cell r="F7">
            <v>26.866750000000007</v>
          </cell>
          <cell r="G7">
            <v>6241.9931500000275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7619.8838250000008</v>
          </cell>
          <cell r="F8">
            <v>27.223425000000006</v>
          </cell>
          <cell r="G8">
            <v>6367.1193000000258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7758.4093250000069</v>
          </cell>
          <cell r="F9">
            <v>29.367425000000001</v>
          </cell>
          <cell r="G9">
            <v>6498.4174000000285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7854.2098250000145</v>
          </cell>
          <cell r="F10">
            <v>30.251275000000003</v>
          </cell>
          <cell r="G10">
            <v>6605.4064250000338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8279.7070249999924</v>
          </cell>
          <cell r="F11">
            <v>31.521774999999998</v>
          </cell>
          <cell r="G11">
            <v>6973.0813250000201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8640.0900249999868</v>
          </cell>
          <cell r="F12">
            <v>32.014575000000001</v>
          </cell>
          <cell r="G12">
            <v>7247.1309000000019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8891.1538749999745</v>
          </cell>
          <cell r="F13">
            <v>32.4696</v>
          </cell>
          <cell r="G13">
            <v>7448.6912750000229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9120.4305749999749</v>
          </cell>
          <cell r="F14">
            <v>32.586200000000005</v>
          </cell>
          <cell r="G14">
            <v>7661.4618000000492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9191.8475999999882</v>
          </cell>
          <cell r="F15">
            <v>34.210425000000008</v>
          </cell>
          <cell r="G15">
            <v>7716.9012000000175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9183.3202249999704</v>
          </cell>
          <cell r="F16">
            <v>36.253875000000001</v>
          </cell>
          <cell r="G16">
            <v>7694.9042250000202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9048.2295500000055</v>
          </cell>
          <cell r="F17">
            <v>36.657650000000011</v>
          </cell>
          <cell r="G17">
            <v>7621.216825000025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9089.7506000000012</v>
          </cell>
          <cell r="F18">
            <v>35.965374999999995</v>
          </cell>
          <cell r="G18">
            <v>7640.4907000000776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9306.8506500000149</v>
          </cell>
          <cell r="F19">
            <v>35.947425000000003</v>
          </cell>
          <cell r="G19">
            <v>7896.1520750000336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10087.15765000001</v>
          </cell>
          <cell r="F20">
            <v>39.167825000000008</v>
          </cell>
          <cell r="G20">
            <v>8664.060475000002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10116.680175000012</v>
          </cell>
          <cell r="F21">
            <v>40.478875000000009</v>
          </cell>
          <cell r="G21">
            <v>8673.6767750000308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38.362150000000007</v>
          </cell>
          <cell r="G22">
            <v>8453.1640750000188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9489.7307499999933</v>
          </cell>
          <cell r="F23">
            <v>32.546775000000004</v>
          </cell>
          <cell r="G23">
            <v>8151.1382000000167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8535.7770000000073</v>
          </cell>
          <cell r="F25">
            <v>30.259399999999996</v>
          </cell>
          <cell r="G25">
            <v>7174.401525000012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7888.6961749999991</v>
          </cell>
          <cell r="F26">
            <v>28.294650000000001</v>
          </cell>
          <cell r="G26">
            <v>6650.2944000000407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7549.3004000000237</v>
          </cell>
          <cell r="F27">
            <v>26.50985</v>
          </cell>
          <cell r="G27">
            <v>6280.4889000000385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7315.0605750000204</v>
          </cell>
          <cell r="F28">
            <v>26.291150000000002</v>
          </cell>
          <cell r="G28">
            <v>6070.9082249999983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7222.9926250000271</v>
          </cell>
          <cell r="F29">
            <v>26.479849999999999</v>
          </cell>
          <cell r="G29">
            <v>6007.4899500000365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7307.167875000001</v>
          </cell>
          <cell r="F30">
            <v>27.225675000000003</v>
          </cell>
          <cell r="G30">
            <v>6084.849750000034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7589.4523499999805</v>
          </cell>
          <cell r="F31">
            <v>28.626775000000002</v>
          </cell>
          <cell r="G31">
            <v>6332.3921500000306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8089.0351500000052</v>
          </cell>
          <cell r="F32">
            <v>33.186250000000001</v>
          </cell>
          <cell r="G32">
            <v>6789.7047250000278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8648.4802750000435</v>
          </cell>
          <cell r="F33">
            <v>37.225574999999992</v>
          </cell>
          <cell r="G33">
            <v>7230.4740750000246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8933.7565499999928</v>
          </cell>
          <cell r="F34">
            <v>39.782224999999997</v>
          </cell>
          <cell r="G34">
            <v>7479.0834749999967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9382.2778999999664</v>
          </cell>
          <cell r="F35">
            <v>40.769950000000009</v>
          </cell>
          <cell r="G35">
            <v>7886.611200000003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9786.7662500000388</v>
          </cell>
          <cell r="F36">
            <v>39.837649999999996</v>
          </cell>
          <cell r="G36">
            <v>8252.187650000029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9934.1763000000137</v>
          </cell>
          <cell r="F37">
            <v>40.148949999999999</v>
          </cell>
          <cell r="G37">
            <v>8398.7358500000264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10005.495174999955</v>
          </cell>
          <cell r="F38">
            <v>39.289400000000001</v>
          </cell>
          <cell r="G38">
            <v>8442.6831499999898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9972.0225499999633</v>
          </cell>
          <cell r="F39">
            <v>39.44755</v>
          </cell>
          <cell r="G39">
            <v>8394.4647250000562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9904.6171499999855</v>
          </cell>
          <cell r="F40">
            <v>39.242224999999998</v>
          </cell>
          <cell r="G40">
            <v>8343.6841000000186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9814.4121749999904</v>
          </cell>
          <cell r="F41">
            <v>39.025025000000007</v>
          </cell>
          <cell r="G41">
            <v>8279.5152000000307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9715.1591749999625</v>
          </cell>
          <cell r="F42">
            <v>38.691750000000006</v>
          </cell>
          <cell r="G42">
            <v>8254.6325499999948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9845.6958500000237</v>
          </cell>
          <cell r="F43">
            <v>38.422475000000006</v>
          </cell>
          <cell r="G43">
            <v>8436.0100000000075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10741.877599999978</v>
          </cell>
          <cell r="F44">
            <v>42.418374999999997</v>
          </cell>
          <cell r="G44">
            <v>9255.0055500000399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10774.956375000012</v>
          </cell>
          <cell r="F45">
            <v>43.521900000000002</v>
          </cell>
          <cell r="G45">
            <v>9285.1762749999871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10575.678374999985</v>
          </cell>
          <cell r="F46">
            <v>41.117575000000002</v>
          </cell>
          <cell r="G46">
            <v>9078.8075750000407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10130.703249999977</v>
          </cell>
          <cell r="F47">
            <v>38.528675</v>
          </cell>
          <cell r="G47">
            <v>8697.5171000000028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8864.9762999999912</v>
          </cell>
          <cell r="F49">
            <v>34.369649999999993</v>
          </cell>
          <cell r="G49">
            <v>7462.5196500000739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8285.1203250000399</v>
          </cell>
          <cell r="F50">
            <v>33.490224999999995</v>
          </cell>
          <cell r="G50">
            <v>6961.7451000000065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8007.4171999999671</v>
          </cell>
          <cell r="F51">
            <v>31.912475000000004</v>
          </cell>
          <cell r="G51">
            <v>6715.2576250000211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7937.3922750000256</v>
          </cell>
          <cell r="F52">
            <v>31.524374999999999</v>
          </cell>
          <cell r="G52">
            <v>6642.2603500000159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7989.3808000000008</v>
          </cell>
          <cell r="F53">
            <v>32.364350000000009</v>
          </cell>
          <cell r="G53">
            <v>6695.6562000000131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8245.2097000000031</v>
          </cell>
          <cell r="F54">
            <v>35.400575000000003</v>
          </cell>
          <cell r="G54">
            <v>6938.6503500000044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9014.2835250000044</v>
          </cell>
          <cell r="F55">
            <v>39.93480000000001</v>
          </cell>
          <cell r="G55">
            <v>7592.879324999979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10387.087524999984</v>
          </cell>
          <cell r="F56">
            <v>46.299774999999997</v>
          </cell>
          <cell r="G56">
            <v>8839.0598999999838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11397.867899999967</v>
          </cell>
          <cell r="F57">
            <v>47.731724999999997</v>
          </cell>
          <cell r="G57">
            <v>9823.6959749999787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11303.23165000004</v>
          </cell>
          <cell r="F58">
            <v>48.192525000000003</v>
          </cell>
          <cell r="G58">
            <v>9722.576225000028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11165.839950000027</v>
          </cell>
          <cell r="F59">
            <v>45.168350000000004</v>
          </cell>
          <cell r="G59">
            <v>9517.6611749999665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11150.580100000001</v>
          </cell>
          <cell r="F60">
            <v>46.086775000000003</v>
          </cell>
          <cell r="G60">
            <v>9423.8797499999964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10936.401749999975</v>
          </cell>
          <cell r="F61">
            <v>43.433850000000007</v>
          </cell>
          <cell r="G61">
            <v>9294.9999250000328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10755.817299999992</v>
          </cell>
          <cell r="F62">
            <v>47.295050000000003</v>
          </cell>
          <cell r="G62">
            <v>9230.9956250000032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10839.503600000016</v>
          </cell>
          <cell r="F63">
            <v>46.048725000000005</v>
          </cell>
          <cell r="G63">
            <v>9271.0964999999942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42.079625000000007</v>
          </cell>
          <cell r="G64">
            <v>9317.844150000019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10943.322625000013</v>
          </cell>
          <cell r="F65">
            <v>42.876849999999997</v>
          </cell>
          <cell r="G65">
            <v>9319.0930250000474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10937.597275000015</v>
          </cell>
          <cell r="F66">
            <v>41.061900000000009</v>
          </cell>
          <cell r="G66">
            <v>9367.4194750000115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10822.268474999983</v>
          </cell>
          <cell r="F67">
            <v>44.777025000000002</v>
          </cell>
          <cell r="G67">
            <v>9379.874125000033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11522.136675000018</v>
          </cell>
          <cell r="F68">
            <v>47.458874999999999</v>
          </cell>
          <cell r="G68">
            <v>10006.036324999985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11458.25960000003</v>
          </cell>
          <cell r="F69">
            <v>44.895150000000001</v>
          </cell>
          <cell r="G69">
            <v>9977.7938000000086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11220.134300000047</v>
          </cell>
          <cell r="F70">
            <v>44.567824999999999</v>
          </cell>
          <cell r="G70">
            <v>9672.750299999967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10606.965700000026</v>
          </cell>
          <cell r="F71">
            <v>39.508825000000002</v>
          </cell>
          <cell r="G71">
            <v>9204.3562000000147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9067.265449999999</v>
          </cell>
          <cell r="F73">
            <v>37.300225000000012</v>
          </cell>
          <cell r="G73">
            <v>7690.3492000000369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8361.1853000000083</v>
          </cell>
          <cell r="F74">
            <v>32.568350000000009</v>
          </cell>
          <cell r="G74">
            <v>7030.021225000025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7914.2579500000074</v>
          </cell>
          <cell r="F75">
            <v>31.485474999999997</v>
          </cell>
          <cell r="G75">
            <v>6604.1836250000051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7680.5914000000002</v>
          </cell>
          <cell r="F76">
            <v>30.289874999999995</v>
          </cell>
          <cell r="G76">
            <v>6394.2201250000417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7589.4184249999807</v>
          </cell>
          <cell r="F77">
            <v>30.468574999999998</v>
          </cell>
          <cell r="G77">
            <v>6319.2775000000338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7688.4628500000099</v>
          </cell>
          <cell r="F78">
            <v>29.638799999999996</v>
          </cell>
          <cell r="G78">
            <v>6410.9914749999953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8241.8940749999965</v>
          </cell>
          <cell r="F79">
            <v>32.321624999999997</v>
          </cell>
          <cell r="G79">
            <v>6877.0715750000163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9445.2732250000045</v>
          </cell>
          <cell r="F80">
            <v>35.059925</v>
          </cell>
          <cell r="G80">
            <v>7975.4805249999872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10429.417374999975</v>
          </cell>
          <cell r="F81">
            <v>38.508600000000008</v>
          </cell>
          <cell r="G81">
            <v>8931.0217249999841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10411.612074999979</v>
          </cell>
          <cell r="F82">
            <v>30.440625000000001</v>
          </cell>
          <cell r="G82">
            <v>8841.5458250000447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10602.512374999969</v>
          </cell>
          <cell r="F83">
            <v>41.337449999999997</v>
          </cell>
          <cell r="G83">
            <v>8924.2767250000416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10708.304549999999</v>
          </cell>
          <cell r="F84">
            <v>39.074450000000006</v>
          </cell>
          <cell r="G84">
            <v>9025.7948750000214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10751.473050000021</v>
          </cell>
          <cell r="F85">
            <v>46.927500000000002</v>
          </cell>
          <cell r="G85">
            <v>9084.3709500000241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10720.530175000007</v>
          </cell>
          <cell r="F86">
            <v>45.000599999999999</v>
          </cell>
          <cell r="G86">
            <v>9048.1620000000548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10714.588375000043</v>
          </cell>
          <cell r="F87">
            <v>50.004075</v>
          </cell>
          <cell r="G87">
            <v>9038.0510250000552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10617.98744999997</v>
          </cell>
          <cell r="F88">
            <v>45.304049999999997</v>
          </cell>
          <cell r="G88">
            <v>8975.9846000000725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10518.703849999965</v>
          </cell>
          <cell r="F89">
            <v>45.1297</v>
          </cell>
          <cell r="G89">
            <v>8873.8207749999874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10513.976299999991</v>
          </cell>
          <cell r="F90">
            <v>47.294450000000012</v>
          </cell>
          <cell r="G90">
            <v>8848.2294499999916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10680.457200000008</v>
          </cell>
          <cell r="F91">
            <v>47.073999999999998</v>
          </cell>
          <cell r="G91">
            <v>9040.7864749999735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11563.730399999984</v>
          </cell>
          <cell r="F92">
            <v>52.064000000000007</v>
          </cell>
          <cell r="G92">
            <v>9854.6079749999935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11529.677324999973</v>
          </cell>
          <cell r="F93">
            <v>53.167000000000009</v>
          </cell>
          <cell r="G93">
            <v>9854.7160500000173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11326.462324999997</v>
          </cell>
          <cell r="F94">
            <v>51.129200000000004</v>
          </cell>
          <cell r="G94">
            <v>9639.654900000005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10848.533549999986</v>
          </cell>
          <cell r="F95">
            <v>49.765349999999998</v>
          </cell>
          <cell r="G95">
            <v>9304.0511750000132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9600.904500000026</v>
          </cell>
          <cell r="F97">
            <v>47.001274999999993</v>
          </cell>
          <cell r="G97">
            <v>8072.4371749999846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9146.8220500000043</v>
          </cell>
          <cell r="F98">
            <v>42.280075000000004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8771.4267249999903</v>
          </cell>
          <cell r="F99">
            <v>38.881774999999998</v>
          </cell>
          <cell r="G99">
            <v>7276.8809500000425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8574.566350000001</v>
          </cell>
          <cell r="F100">
            <v>37.835675000000002</v>
          </cell>
          <cell r="G100">
            <v>7173.1481750000148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8593.5542499999992</v>
          </cell>
          <cell r="F101">
            <v>37.698799999999999</v>
          </cell>
          <cell r="G101">
            <v>7215.5201000000216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8882.2336500000001</v>
          </cell>
          <cell r="F102">
            <v>38.158500000000004</v>
          </cell>
          <cell r="G102">
            <v>7461.301425000016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9585.6746000000148</v>
          </cell>
          <cell r="F103">
            <v>41.317050000000009</v>
          </cell>
          <cell r="G103">
            <v>8124.7065000000393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11022.939475000034</v>
          </cell>
          <cell r="F104">
            <v>45.531474999999993</v>
          </cell>
          <cell r="G104">
            <v>9450.6231749999788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12281.758875000045</v>
          </cell>
          <cell r="F105">
            <v>50.125949999999996</v>
          </cell>
          <cell r="G105">
            <v>10534.354550000033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12012.437275000011</v>
          </cell>
          <cell r="F106">
            <v>47.317775000000005</v>
          </cell>
          <cell r="G106">
            <v>10299.695725000051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11774.244149999991</v>
          </cell>
          <cell r="F107">
            <v>46.747550000000004</v>
          </cell>
          <cell r="G107">
            <v>9999.7764000000407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11568.103875000006</v>
          </cell>
          <cell r="F108">
            <v>43.848575000000011</v>
          </cell>
          <cell r="G108">
            <v>9831.4264250000288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11255.511999999984</v>
          </cell>
          <cell r="F109">
            <v>46.815549999999995</v>
          </cell>
          <cell r="G109">
            <v>9636.4506000000183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11025.124050000046</v>
          </cell>
          <cell r="F110">
            <v>43.416274999999999</v>
          </cell>
          <cell r="G110">
            <v>9421.1816749999834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11006.228475000036</v>
          </cell>
          <cell r="F111">
            <v>40.105050000000006</v>
          </cell>
          <cell r="G111">
            <v>9309.4791499999792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10804.638575000037</v>
          </cell>
          <cell r="F112">
            <v>42.517825000000002</v>
          </cell>
          <cell r="G112">
            <v>9146.1637499999615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10647.035150000012</v>
          </cell>
          <cell r="F113">
            <v>40.815825000000004</v>
          </cell>
          <cell r="G113">
            <v>8977.3814250000614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10510.831700000015</v>
          </cell>
          <cell r="F114">
            <v>37.68515</v>
          </cell>
          <cell r="G114">
            <v>8944.9923250000102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10817.105499999965</v>
          </cell>
          <cell r="F115">
            <v>41.267750000000007</v>
          </cell>
          <cell r="G115">
            <v>9215.9821500000162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11937.68950000004</v>
          </cell>
          <cell r="F116">
            <v>46.830175000000004</v>
          </cell>
          <cell r="G116">
            <v>10150.185774999993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12086.42850000002</v>
          </cell>
          <cell r="F117">
            <v>51.538024999999998</v>
          </cell>
          <cell r="G117">
            <v>10324.189449999971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11913.627550000027</v>
          </cell>
          <cell r="F118">
            <v>49.831650000000003</v>
          </cell>
          <cell r="G118">
            <v>10208.546500000002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11479.001175000007</v>
          </cell>
          <cell r="F119">
            <v>48.896400000000007</v>
          </cell>
          <cell r="G119">
            <v>9890.9816500000106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10060.542549999964</v>
          </cell>
          <cell r="F121">
            <v>47.421725000000002</v>
          </cell>
          <cell r="G121">
            <v>8561.0150750000248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9502.283800000032</v>
          </cell>
          <cell r="F122">
            <v>42.814474999999995</v>
          </cell>
          <cell r="G122">
            <v>8060.8054000000448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9268.2694749999991</v>
          </cell>
          <cell r="F123">
            <v>42.130775</v>
          </cell>
          <cell r="G123">
            <v>7827.4951500000179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9300.0577250000078</v>
          </cell>
          <cell r="F124">
            <v>44.099749999999993</v>
          </cell>
          <cell r="G124">
            <v>7792.1019499999975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9466.4318249999815</v>
          </cell>
          <cell r="F125">
            <v>45.722850000000001</v>
          </cell>
          <cell r="G125">
            <v>7875.021600000021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9750.7191250000033</v>
          </cell>
          <cell r="F126">
            <v>46.553350000000002</v>
          </cell>
          <cell r="G126">
            <v>8158.3311500000418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10599.035175000015</v>
          </cell>
          <cell r="F127">
            <v>50.200625000000002</v>
          </cell>
          <cell r="G127">
            <v>8922.8668750000506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12067.676950000015</v>
          </cell>
          <cell r="F128">
            <v>56.277974999999998</v>
          </cell>
          <cell r="G128">
            <v>10282.513550000065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13200.797175000018</v>
          </cell>
          <cell r="F129">
            <v>63.604124999999996</v>
          </cell>
          <cell r="G129">
            <v>11362.74634999995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12856.51897499999</v>
          </cell>
          <cell r="F130">
            <v>63.533274999999989</v>
          </cell>
          <cell r="G130">
            <v>11045.351050000056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12465.600475000007</v>
          </cell>
          <cell r="F131">
            <v>57.645425000000003</v>
          </cell>
          <cell r="G131">
            <v>10646.529925000001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12148.740575000007</v>
          </cell>
          <cell r="F132">
            <v>57.194650000000003</v>
          </cell>
          <cell r="G132">
            <v>10345.571225000029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11726.339199999991</v>
          </cell>
          <cell r="F133">
            <v>53.309950000000008</v>
          </cell>
          <cell r="G133">
            <v>9988.4732249999579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11314.637350000032</v>
          </cell>
          <cell r="F134">
            <v>49.023849999999996</v>
          </cell>
          <cell r="G134">
            <v>9612.1881749999829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11072.56239999999</v>
          </cell>
          <cell r="F135">
            <v>44.554349999999999</v>
          </cell>
          <cell r="G135">
            <v>9379.2364000000034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10813.140499999981</v>
          </cell>
          <cell r="F136">
            <v>41.999425000000002</v>
          </cell>
          <cell r="G136">
            <v>9135.0549750000391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10570.248825000004</v>
          </cell>
          <cell r="F137">
            <v>39.978150000000014</v>
          </cell>
          <cell r="G137">
            <v>8930.5995499999863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10464.600950000005</v>
          </cell>
          <cell r="F138">
            <v>38.596574999999994</v>
          </cell>
          <cell r="G138">
            <v>8843.8767750000043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10660.827124999994</v>
          </cell>
          <cell r="F139">
            <v>40.078025000000011</v>
          </cell>
          <cell r="G139">
            <v>9038.1972249999581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11507.322424999995</v>
          </cell>
          <cell r="F140">
            <v>41.604600000000005</v>
          </cell>
          <cell r="G140">
            <v>9870.9474250000385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11529.843674999996</v>
          </cell>
          <cell r="F141">
            <v>40.404850000000017</v>
          </cell>
          <cell r="G141">
            <v>9989.1612250000326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11469.427249999982</v>
          </cell>
          <cell r="F142">
            <v>39.015299999999996</v>
          </cell>
          <cell r="G142">
            <v>9933.8678000000473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11304.154625000021</v>
          </cell>
          <cell r="F143">
            <v>38.359700000000004</v>
          </cell>
          <cell r="G143">
            <v>9773.9276499999887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10475.233750000014</v>
          </cell>
          <cell r="F145">
            <v>37.860525000000003</v>
          </cell>
          <cell r="G145">
            <v>8933.9011000000119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9929.2034999999796</v>
          </cell>
          <cell r="F146">
            <v>37.116324999999996</v>
          </cell>
          <cell r="G146">
            <v>8479.0732000000062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9726.985350000019</v>
          </cell>
          <cell r="F147">
            <v>37.645975</v>
          </cell>
          <cell r="G147">
            <v>8230.7280250000185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2974.4287250000002</v>
          </cell>
          <cell r="F148">
            <v>4.3265500000000001</v>
          </cell>
          <cell r="G148">
            <v>3642.5544249999939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9686.4323999999997</v>
          </cell>
          <cell r="F149">
            <v>38.516525000000001</v>
          </cell>
          <cell r="G149">
            <v>8097.1906500000205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9765.5474499999673</v>
          </cell>
          <cell r="F150">
            <v>38.659275000000008</v>
          </cell>
          <cell r="G150">
            <v>8218.6567250000317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10054.106600000041</v>
          </cell>
          <cell r="F151">
            <v>39.812200000000011</v>
          </cell>
          <cell r="G151">
            <v>8498.3006750000404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10613.408474999975</v>
          </cell>
          <cell r="F152">
            <v>40.720149999999997</v>
          </cell>
          <cell r="G152">
            <v>9027.4683750000459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42.831400000000009</v>
          </cell>
          <cell r="G153">
            <v>9603.3461750000279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11507.042774999973</v>
          </cell>
          <cell r="F154">
            <v>44.373050000000013</v>
          </cell>
          <cell r="G154">
            <v>9855.889599999995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11480.55012499998</v>
          </cell>
          <cell r="F155">
            <v>43.588100000000004</v>
          </cell>
          <cell r="G155">
            <v>9776.9258750000408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11187.741624999993</v>
          </cell>
          <cell r="F156">
            <v>41.894300000000001</v>
          </cell>
          <cell r="G156">
            <v>9533.2784249999513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10808.768925000002</v>
          </cell>
          <cell r="F157">
            <v>39.502325000000006</v>
          </cell>
          <cell r="G157">
            <v>9162.1062250000232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10375.608025000009</v>
          </cell>
          <cell r="F158">
            <v>36.469675000000002</v>
          </cell>
          <cell r="G158">
            <v>8798.5619500000048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10051.741050000017</v>
          </cell>
          <cell r="F159">
            <v>34.117974999999994</v>
          </cell>
          <cell r="G159">
            <v>8498.264799999999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9805.8847500000393</v>
          </cell>
          <cell r="F160">
            <v>32.578774999999993</v>
          </cell>
          <cell r="G160">
            <v>8276.8947750000134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9673.7895250000329</v>
          </cell>
          <cell r="F161">
            <v>32.188749999999999</v>
          </cell>
          <cell r="G161">
            <v>8157.2656999999963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9627.2904999999919</v>
          </cell>
          <cell r="F162">
            <v>31.477525000000007</v>
          </cell>
          <cell r="G162">
            <v>8114.6730499999967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9710.569449999979</v>
          </cell>
          <cell r="F163">
            <v>31.754325000000005</v>
          </cell>
          <cell r="G163">
            <v>8249.4606000000131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10495.751650000007</v>
          </cell>
          <cell r="F164">
            <v>32.965200000000003</v>
          </cell>
          <cell r="G164">
            <v>8914.2465749999956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10514.375650000027</v>
          </cell>
          <cell r="F165">
            <v>33.85915</v>
          </cell>
          <cell r="G165">
            <v>8988.2889000000159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10240.865874999992</v>
          </cell>
          <cell r="F166">
            <v>31.78</v>
          </cell>
          <cell r="G166">
            <v>8726.0412499999966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9905.1322750000072</v>
          </cell>
          <cell r="F167">
            <v>30.606975000000002</v>
          </cell>
          <cell r="G167">
            <v>8387.3153750000674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8941.2974000000104</v>
          </cell>
          <cell r="F169">
            <v>29.885925</v>
          </cell>
          <cell r="G169">
            <v>7464.149200000038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6201.6007999999883</v>
          </cell>
          <cell r="F170">
            <v>21.421050000000001</v>
          </cell>
          <cell r="G170">
            <v>5160.7624250000272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7943.468674999991</v>
          </cell>
          <cell r="F171">
            <v>27.797850000000004</v>
          </cell>
          <cell r="G171">
            <v>6585.3476750000227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7712.688174999982</v>
          </cell>
          <cell r="F172">
            <v>27.906999999999996</v>
          </cell>
          <cell r="G172">
            <v>6427.5947250000017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7612.5074749999903</v>
          </cell>
          <cell r="F173">
            <v>28.702024999999995</v>
          </cell>
          <cell r="G173">
            <v>6342.3516250000112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7634.9680750000043</v>
          </cell>
          <cell r="F174">
            <v>28.691300000000002</v>
          </cell>
          <cell r="G174">
            <v>6381.3965500000113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7806.4165749999875</v>
          </cell>
          <cell r="F175">
            <v>18.499025</v>
          </cell>
          <cell r="G175">
            <v>6529.7132750000001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8120.7334249999931</v>
          </cell>
          <cell r="F176">
            <v>31.538575000000002</v>
          </cell>
          <cell r="G176">
            <v>6829.8007500000194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8531.8133750000197</v>
          </cell>
          <cell r="F177">
            <v>34.17915</v>
          </cell>
          <cell r="G177">
            <v>7230.4502500000008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8912.7249500000307</v>
          </cell>
          <cell r="F178">
            <v>36.495675000000006</v>
          </cell>
          <cell r="G178">
            <v>7544.4494749999867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9354.5597499999767</v>
          </cell>
          <cell r="F179">
            <v>38.133200000000002</v>
          </cell>
          <cell r="G179">
            <v>7831.6719000000094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9473.8033999999843</v>
          </cell>
          <cell r="F180">
            <v>38.003299999999989</v>
          </cell>
          <cell r="G180">
            <v>7911.0410250000332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9475.955450000034</v>
          </cell>
          <cell r="F181">
            <v>38.44435</v>
          </cell>
          <cell r="G181">
            <v>7880.8129000000527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9479.507349999978</v>
          </cell>
          <cell r="F182">
            <v>38.183825000000006</v>
          </cell>
          <cell r="G182">
            <v>7936.1998750000494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9509.6038249999801</v>
          </cell>
          <cell r="F183">
            <v>36.831000000000003</v>
          </cell>
          <cell r="G183">
            <v>8001.1895500000401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9453.8693250000033</v>
          </cell>
          <cell r="F184">
            <v>36.468299999999999</v>
          </cell>
          <cell r="G184">
            <v>7980.0103250000175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9443.2601750000176</v>
          </cell>
          <cell r="F185">
            <v>36.271850000000008</v>
          </cell>
          <cell r="G185">
            <v>7945.8802500000083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9486.6474249999901</v>
          </cell>
          <cell r="F186">
            <v>37.023500000000006</v>
          </cell>
          <cell r="G186">
            <v>7978.0145500000317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9780.8471749999826</v>
          </cell>
          <cell r="F187">
            <v>38.557700000000004</v>
          </cell>
          <cell r="G187">
            <v>8267.2734750000272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10567.353400000004</v>
          </cell>
          <cell r="F188">
            <v>40.866375000000012</v>
          </cell>
          <cell r="G188">
            <v>8985.3237500000305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10615.565850000001</v>
          </cell>
          <cell r="F189">
            <v>42.311475000000009</v>
          </cell>
          <cell r="G189">
            <v>9062.4978750000319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10366.830149999996</v>
          </cell>
          <cell r="F190">
            <v>41.978925000000004</v>
          </cell>
          <cell r="G190">
            <v>8866.7345750000186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9988.7338500000096</v>
          </cell>
          <cell r="F191">
            <v>40.795550000000013</v>
          </cell>
          <cell r="G191">
            <v>8538.329400000006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8722.0475250000018</v>
          </cell>
          <cell r="F193">
            <v>35.726700000000008</v>
          </cell>
          <cell r="G193">
            <v>7300.7943500000301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8080.0212250000159</v>
          </cell>
          <cell r="F194">
            <v>32.610575000000004</v>
          </cell>
          <cell r="G194">
            <v>6782.6361000000034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7856.6561750000064</v>
          </cell>
          <cell r="F195">
            <v>30.629324999999998</v>
          </cell>
          <cell r="G195">
            <v>6527.035150000017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7813.371125000016</v>
          </cell>
          <cell r="F196">
            <v>29.293600000000001</v>
          </cell>
          <cell r="G196">
            <v>6448.4961500000099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7884.3919750000086</v>
          </cell>
          <cell r="F197">
            <v>30.891874999999999</v>
          </cell>
          <cell r="G197">
            <v>6508.3479750000124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8202.135250000003</v>
          </cell>
          <cell r="F198">
            <v>34.793075000000009</v>
          </cell>
          <cell r="G198">
            <v>6770.8323000000073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8971.5929499999984</v>
          </cell>
          <cell r="F199">
            <v>36.873700000000007</v>
          </cell>
          <cell r="G199">
            <v>7496.2920750000458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10503.649250000009</v>
          </cell>
          <cell r="F200">
            <v>43.277800000000006</v>
          </cell>
          <cell r="G200">
            <v>8875.5104749999864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11691.791450000017</v>
          </cell>
          <cell r="F201">
            <v>43.564300000000003</v>
          </cell>
          <cell r="G201">
            <v>10001.891675000023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11577.386575000013</v>
          </cell>
          <cell r="F202">
            <v>46.842525000000002</v>
          </cell>
          <cell r="G202">
            <v>9825.1021000000237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11426.12117499998</v>
          </cell>
          <cell r="F203">
            <v>44.535775000000001</v>
          </cell>
          <cell r="G203">
            <v>9718.1833500000103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6804.2436749999915</v>
          </cell>
          <cell r="F204">
            <v>29.357924999999998</v>
          </cell>
          <cell r="G204">
            <v>5779.2855500000023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7922.0444499999903</v>
          </cell>
          <cell r="F205">
            <v>12.271625</v>
          </cell>
          <cell r="G205">
            <v>6632.0251750000043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8288.788025000018</v>
          </cell>
          <cell r="F206">
            <v>34.814300000000003</v>
          </cell>
          <cell r="G206">
            <v>6775.5018750000299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10015.771650000012</v>
          </cell>
          <cell r="F207">
            <v>40.185899999999997</v>
          </cell>
          <cell r="G207">
            <v>8454.9541500000123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8683.9710750000013</v>
          </cell>
          <cell r="F208">
            <v>41.440275</v>
          </cell>
          <cell r="G208">
            <v>7236.6019999999926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8711.5115499999774</v>
          </cell>
          <cell r="F209">
            <v>18.835425000000001</v>
          </cell>
          <cell r="G209">
            <v>7199.6021000000237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8886.1916999999885</v>
          </cell>
          <cell r="F210">
            <v>38.663800000000002</v>
          </cell>
          <cell r="G210">
            <v>7449.3250000000862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8501.7104249999884</v>
          </cell>
          <cell r="F211">
            <v>32.404850000000003</v>
          </cell>
          <cell r="G211">
            <v>7338.9714249999806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9351.8785249999746</v>
          </cell>
          <cell r="F212">
            <v>34.274425000000015</v>
          </cell>
          <cell r="G212">
            <v>8123.0217249999951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41.134575000000012</v>
          </cell>
          <cell r="G213">
            <v>9105.2622749999773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7517.8215250000012</v>
          </cell>
          <cell r="F214">
            <v>32.851275000000008</v>
          </cell>
          <cell r="G214">
            <v>6328.9428250000219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8849.7074249999969</v>
          </cell>
          <cell r="F215">
            <v>35.010325000000002</v>
          </cell>
          <cell r="G215">
            <v>7352.5890750000144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7633.0114000000058</v>
          </cell>
          <cell r="F217">
            <v>37.946624999999997</v>
          </cell>
          <cell r="G217">
            <v>6276.1561000000074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6514.4983250000014</v>
          </cell>
          <cell r="F218">
            <v>21.206150000000004</v>
          </cell>
          <cell r="G218">
            <v>5348.2395250000245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8317.2714750000196</v>
          </cell>
          <cell r="F219">
            <v>29.347075000000007</v>
          </cell>
          <cell r="G219">
            <v>6872.7063000000026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6614.6973250000037</v>
          </cell>
          <cell r="F220">
            <v>27.733500000000006</v>
          </cell>
          <cell r="G220">
            <v>5456.8621500000072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8652.865875000005</v>
          </cell>
          <cell r="F221">
            <v>37.907975000000008</v>
          </cell>
          <cell r="G221">
            <v>7046.5077500000616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4264.7686499999909</v>
          </cell>
          <cell r="F222">
            <v>19.834875000000004</v>
          </cell>
          <cell r="G222">
            <v>3505.483899999997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8718.3659249999855</v>
          </cell>
          <cell r="F223">
            <v>43.051175000000001</v>
          </cell>
          <cell r="G223">
            <v>7433.7354250000199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7606.6867499999971</v>
          </cell>
          <cell r="F224">
            <v>29.609475</v>
          </cell>
          <cell r="G224">
            <v>6291.7895750000171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5154.424425000002</v>
          </cell>
          <cell r="F225">
            <v>22.958300000000001</v>
          </cell>
          <cell r="G225">
            <v>4459.4178750000119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6169.4325750000071</v>
          </cell>
          <cell r="F226">
            <v>29.280275</v>
          </cell>
          <cell r="G226">
            <v>5166.9019500000149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9703.325674999991</v>
          </cell>
          <cell r="F227">
            <v>53.137999999999991</v>
          </cell>
          <cell r="G227">
            <v>8115.5749500000084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9336.5647749999862</v>
          </cell>
          <cell r="F228">
            <v>50.517774999999993</v>
          </cell>
          <cell r="G228">
            <v>8033.5153000000128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6512.1761249999872</v>
          </cell>
          <cell r="F229">
            <v>46.172424999999997</v>
          </cell>
          <cell r="G229">
            <v>5581.7173750000065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9489.6062249999941</v>
          </cell>
          <cell r="F230">
            <v>50.991700000000009</v>
          </cell>
          <cell r="G230">
            <v>7934.7154500000197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9063.8287249999867</v>
          </cell>
          <cell r="F231">
            <v>43.483624999999996</v>
          </cell>
          <cell r="G231">
            <v>7660.536874999998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9680.799524999984</v>
          </cell>
          <cell r="F232">
            <v>43.494174999999998</v>
          </cell>
          <cell r="G232">
            <v>8137.8118000000395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8920.9137249999749</v>
          </cell>
          <cell r="F233">
            <v>45.442775000000005</v>
          </cell>
          <cell r="G233">
            <v>7382.8478000000123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6694.282224999999</v>
          </cell>
          <cell r="F234">
            <v>28.766999999999999</v>
          </cell>
          <cell r="G234">
            <v>5645.3533999999872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9886.7681000000121</v>
          </cell>
          <cell r="F235">
            <v>45.2898</v>
          </cell>
          <cell r="G235">
            <v>8477.3188000000064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9468.2140000000272</v>
          </cell>
          <cell r="F236">
            <v>42.104299999999988</v>
          </cell>
          <cell r="G236">
            <v>8086.9253250000129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10361.083075000019</v>
          </cell>
          <cell r="F237">
            <v>49.270225000000011</v>
          </cell>
          <cell r="G237">
            <v>8778.3507500000032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9426.9127749999989</v>
          </cell>
          <cell r="F238">
            <v>48.383675000000011</v>
          </cell>
          <cell r="G238">
            <v>8043.7050750000317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9526.4464499999922</v>
          </cell>
          <cell r="F239">
            <v>43.821450000000006</v>
          </cell>
          <cell r="G239">
            <v>8311.1804250000096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8734.8200249999845</v>
          </cell>
          <cell r="F241">
            <v>37.738250000000008</v>
          </cell>
          <cell r="G241">
            <v>7620.0064500000244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7242.8746500000188</v>
          </cell>
          <cell r="F242">
            <v>28.353725000000001</v>
          </cell>
          <cell r="G242">
            <v>6073.9148750000331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9273.194475000013</v>
          </cell>
          <cell r="F243">
            <v>38.9251</v>
          </cell>
          <cell r="G243">
            <v>7582.890574999994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8854.4172499999859</v>
          </cell>
          <cell r="F244">
            <v>24.747300000000006</v>
          </cell>
          <cell r="G244">
            <v>7240.3844000000045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9468.3818249999968</v>
          </cell>
          <cell r="F245">
            <v>32.865724999999998</v>
          </cell>
          <cell r="G245">
            <v>8033.6023250000198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10545.287874999984</v>
          </cell>
          <cell r="F246">
            <v>43.583925000000001</v>
          </cell>
          <cell r="G246">
            <v>8868.7953500000476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11288.65029999997</v>
          </cell>
          <cell r="F247">
            <v>49.84350000000002</v>
          </cell>
          <cell r="G247">
            <v>9664.9628750000138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12784.689275000026</v>
          </cell>
          <cell r="F248">
            <v>58.277525000000026</v>
          </cell>
          <cell r="G248">
            <v>11011.20674999997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13977.107799999962</v>
          </cell>
          <cell r="F249">
            <v>63.565975000000009</v>
          </cell>
          <cell r="G249">
            <v>12033.484949999969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13364.742275000015</v>
          </cell>
          <cell r="F250">
            <v>61.416675000000005</v>
          </cell>
          <cell r="G250">
            <v>11535.829675000075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12866.752825000012</v>
          </cell>
          <cell r="F251">
            <v>60.286050000000003</v>
          </cell>
          <cell r="G251">
            <v>10939.775250000077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12376.666124999965</v>
          </cell>
          <cell r="F252">
            <v>53.405450000000002</v>
          </cell>
          <cell r="G252">
            <v>10479.953799999999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11879.694424999978</v>
          </cell>
          <cell r="F253">
            <v>53.015200000000007</v>
          </cell>
          <cell r="G253">
            <v>10034.072574999967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11447.138600000009</v>
          </cell>
          <cell r="F254">
            <v>49.157724999999999</v>
          </cell>
          <cell r="G254">
            <v>9650.8446750000076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11164.096724999972</v>
          </cell>
          <cell r="F255">
            <v>44.590325</v>
          </cell>
          <cell r="G255">
            <v>9391.5341500000468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10915.726975000036</v>
          </cell>
          <cell r="F256">
            <v>39.277799999999999</v>
          </cell>
          <cell r="G256">
            <v>9168.2504250000202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10696.63297500001</v>
          </cell>
          <cell r="F257">
            <v>41.270725000000006</v>
          </cell>
          <cell r="G257">
            <v>9006.8106249999655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10574.682349999986</v>
          </cell>
          <cell r="F258">
            <v>41.057925000000004</v>
          </cell>
          <cell r="G258">
            <v>8979.7221500000305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10616.110125000023</v>
          </cell>
          <cell r="F259">
            <v>42.7498</v>
          </cell>
          <cell r="G259">
            <v>9121.1951749999589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11511.069099999982</v>
          </cell>
          <cell r="F260">
            <v>46.889175000000009</v>
          </cell>
          <cell r="G260">
            <v>9951.9797750000289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11559.970549999987</v>
          </cell>
          <cell r="F261">
            <v>45.73682500000001</v>
          </cell>
          <cell r="G261">
            <v>10008.276475000024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11435.791849999981</v>
          </cell>
          <cell r="F262">
            <v>43.852900000000012</v>
          </cell>
          <cell r="G262">
            <v>9827.5646750000396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11054.903674999981</v>
          </cell>
          <cell r="F263">
            <v>45.171025000000007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9637.3126499999908</v>
          </cell>
          <cell r="F265">
            <v>37.950775000000007</v>
          </cell>
          <cell r="G265">
            <v>8053.4076750000104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8857.6067499999972</v>
          </cell>
          <cell r="F266">
            <v>35.871500000000005</v>
          </cell>
          <cell r="G266">
            <v>7471.8818249999986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8650.8039250000056</v>
          </cell>
          <cell r="F267">
            <v>30.349825000000003</v>
          </cell>
          <cell r="G267">
            <v>7181.707600000007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8543.0951999999925</v>
          </cell>
          <cell r="F268">
            <v>30.131100000000004</v>
          </cell>
          <cell r="G268">
            <v>7043.9012499999862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8464.7531500000059</v>
          </cell>
          <cell r="F269">
            <v>30.796399999999998</v>
          </cell>
          <cell r="G269">
            <v>6986.9933000000192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8609.4938250000159</v>
          </cell>
          <cell r="F270">
            <v>32.037950000000002</v>
          </cell>
          <cell r="G270">
            <v>7129.6163249999818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9245.2971749999833</v>
          </cell>
          <cell r="F271">
            <v>35.400350000000003</v>
          </cell>
          <cell r="G271">
            <v>7721.3009000000211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10491.506575000012</v>
          </cell>
          <cell r="F272">
            <v>39.380075000000012</v>
          </cell>
          <cell r="G272">
            <v>8906.8214999999927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11590.995249999985</v>
          </cell>
          <cell r="F273">
            <v>46.721175000000002</v>
          </cell>
          <cell r="G273">
            <v>9897.7002500000417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11303.832225000004</v>
          </cell>
          <cell r="F274">
            <v>43.949825000000004</v>
          </cell>
          <cell r="G274">
            <v>9617.7481749999515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11127.127324999987</v>
          </cell>
          <cell r="F275">
            <v>41.236499999999999</v>
          </cell>
          <cell r="G275">
            <v>9418.6085500000008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11073.838424999994</v>
          </cell>
          <cell r="F276">
            <v>43.697075000000005</v>
          </cell>
          <cell r="G276">
            <v>9324.6292750000212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10922.408899999951</v>
          </cell>
          <cell r="F277">
            <v>43.353825000000008</v>
          </cell>
          <cell r="G277">
            <v>9257.8709249999793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10734.33127500002</v>
          </cell>
          <cell r="F278">
            <v>42.221725000000006</v>
          </cell>
          <cell r="G278">
            <v>9205.2022000000215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10810.345724999977</v>
          </cell>
          <cell r="F279">
            <v>40.993299999999998</v>
          </cell>
          <cell r="G279">
            <v>9210.1662499999893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10642.089625000004</v>
          </cell>
          <cell r="F280">
            <v>37.342224999999999</v>
          </cell>
          <cell r="G280">
            <v>9166.1937500000076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10763.749199999991</v>
          </cell>
          <cell r="F281">
            <v>40.214850000000006</v>
          </cell>
          <cell r="G281">
            <v>9127.1089250000241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10745.368900000012</v>
          </cell>
          <cell r="F282">
            <v>35.590874999999997</v>
          </cell>
          <cell r="G282">
            <v>9134.9346500000465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10807.300249999977</v>
          </cell>
          <cell r="F283">
            <v>36.520924999999998</v>
          </cell>
          <cell r="G283">
            <v>9176.9623750000464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11535.94265000001</v>
          </cell>
          <cell r="F284">
            <v>43.437000000000005</v>
          </cell>
          <cell r="G284">
            <v>9821.0946500000136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11482.356724999987</v>
          </cell>
          <cell r="F285">
            <v>45.010525000000001</v>
          </cell>
          <cell r="G285">
            <v>9826.5570749999497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11226.212550000004</v>
          </cell>
          <cell r="F286">
            <v>41.441049999999997</v>
          </cell>
          <cell r="G286">
            <v>9572.7321750000719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10754.571175000014</v>
          </cell>
          <cell r="F287">
            <v>40.889049999999997</v>
          </cell>
          <cell r="G287">
            <v>9124.546799999991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9198.0026000000016</v>
          </cell>
          <cell r="F289">
            <v>35.433350000000011</v>
          </cell>
          <cell r="G289">
            <v>7671.7285000000165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8482.3431500000115</v>
          </cell>
          <cell r="F290">
            <v>31.578375000000001</v>
          </cell>
          <cell r="G290">
            <v>7079.0020500000037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8142.0895250000294</v>
          </cell>
          <cell r="F291">
            <v>27.881225000000001</v>
          </cell>
          <cell r="G291">
            <v>6794.787150000051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8144.925750000014</v>
          </cell>
          <cell r="F292">
            <v>29.589800000000007</v>
          </cell>
          <cell r="G292">
            <v>6707.4739499999941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8213.8221250000206</v>
          </cell>
          <cell r="F293">
            <v>31.91810000000001</v>
          </cell>
          <cell r="G293">
            <v>6768.8703000000341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8512.8336749999798</v>
          </cell>
          <cell r="F294">
            <v>33.80415</v>
          </cell>
          <cell r="G294">
            <v>7046.1299499999932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9279.8658499999892</v>
          </cell>
          <cell r="F295">
            <v>37.858024999999998</v>
          </cell>
          <cell r="G295">
            <v>7753.4319750000068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10910.214525000018</v>
          </cell>
          <cell r="F296">
            <v>45.190600000000003</v>
          </cell>
          <cell r="G296">
            <v>9168.167600000028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12245.633075000009</v>
          </cell>
          <cell r="F297">
            <v>53.959699999999998</v>
          </cell>
          <cell r="G297">
            <v>10394.305650000017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10797.717424999999</v>
          </cell>
          <cell r="F298">
            <v>45.352074999999999</v>
          </cell>
          <cell r="G298">
            <v>9074.6184499999654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10147.78685000001</v>
          </cell>
          <cell r="F299">
            <v>51.343650000000011</v>
          </cell>
          <cell r="G299">
            <v>8427.7691249999916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7131.9436500000129</v>
          </cell>
          <cell r="F300">
            <v>35.050449999999998</v>
          </cell>
          <cell r="G300">
            <v>6063.3233000000209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8900.9223500000135</v>
          </cell>
          <cell r="F301">
            <v>38.665025</v>
          </cell>
          <cell r="G301">
            <v>7588.2888750000066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6052.7889250000017</v>
          </cell>
          <cell r="F302">
            <v>19.917350000000003</v>
          </cell>
          <cell r="G302">
            <v>5323.0052999999934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8443.2780250000069</v>
          </cell>
          <cell r="F303">
            <v>35.1995</v>
          </cell>
          <cell r="G303">
            <v>6883.6109500000248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9721.9161750000403</v>
          </cell>
          <cell r="F304">
            <v>26.771424999999994</v>
          </cell>
          <cell r="G304">
            <v>8121.1265250000388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8779.9276249999966</v>
          </cell>
          <cell r="F305">
            <v>25.204049999999999</v>
          </cell>
          <cell r="G305">
            <v>7188.7333750000189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8817.6389749999744</v>
          </cell>
          <cell r="F306">
            <v>34.323599999999999</v>
          </cell>
          <cell r="G306">
            <v>7518.4140499999939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9171.9036999999844</v>
          </cell>
          <cell r="F307">
            <v>32.910550000000001</v>
          </cell>
          <cell r="G307">
            <v>7487.3504749999956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8359.7046000000064</v>
          </cell>
          <cell r="F308">
            <v>23.179875000000006</v>
          </cell>
          <cell r="G308">
            <v>6981.8074750000042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4562.3677749999997</v>
          </cell>
          <cell r="F309">
            <v>18.899850000000001</v>
          </cell>
          <cell r="G309">
            <v>3960.8799499999955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7480.5913499999942</v>
          </cell>
          <cell r="F310">
            <v>34.427424999999999</v>
          </cell>
          <cell r="G310">
            <v>6455.4219749999975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10013.095049999962</v>
          </cell>
          <cell r="F311">
            <v>42.961275000000001</v>
          </cell>
          <cell r="G311">
            <v>8661.2140500000187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10629.447749999988</v>
          </cell>
          <cell r="F313">
            <v>44.643500000000003</v>
          </cell>
          <cell r="G313">
            <v>8957.9003000000448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10167.206299999989</v>
          </cell>
          <cell r="F314">
            <v>44.149650000000008</v>
          </cell>
          <cell r="G314">
            <v>8562.9527499999804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9994.6721249999937</v>
          </cell>
          <cell r="F315">
            <v>43.632949999999994</v>
          </cell>
          <cell r="G315">
            <v>8410.2179250000245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3594.8045750000028</v>
          </cell>
          <cell r="F316">
            <v>3.243325</v>
          </cell>
          <cell r="G316">
            <v>4997.0807750000113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10088.640425000025</v>
          </cell>
          <cell r="F317">
            <v>41.883324999999999</v>
          </cell>
          <cell r="G317">
            <v>8474.4710500000347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10278.639975000013</v>
          </cell>
          <cell r="F318">
            <v>42.799799999999998</v>
          </cell>
          <cell r="G318">
            <v>8663.3778749999619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44.797775000000001</v>
          </cell>
          <cell r="G319">
            <v>9059.2708750000074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11365.446600000008</v>
          </cell>
          <cell r="F320">
            <v>47.886849999999995</v>
          </cell>
          <cell r="G320">
            <v>9692.6066250000185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12031.41720000002</v>
          </cell>
          <cell r="F321">
            <v>50.762875000000008</v>
          </cell>
          <cell r="G321">
            <v>10346.617925000002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12379.021324999998</v>
          </cell>
          <cell r="F322">
            <v>51.545500000000004</v>
          </cell>
          <cell r="G322">
            <v>10641.963525000067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12168.623099999968</v>
          </cell>
          <cell r="F323">
            <v>49.98940000000001</v>
          </cell>
          <cell r="G323">
            <v>10483.981725000025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11808.517949999989</v>
          </cell>
          <cell r="F324">
            <v>44.831375000000001</v>
          </cell>
          <cell r="G324">
            <v>10066.141375000012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11211.155524999989</v>
          </cell>
          <cell r="F325">
            <v>39.308575000000005</v>
          </cell>
          <cell r="G325">
            <v>9535.2234500000613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10675.193199999994</v>
          </cell>
          <cell r="F326">
            <v>35.511875000000003</v>
          </cell>
          <cell r="G326">
            <v>8995.5314250000301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10171.62874999996</v>
          </cell>
          <cell r="F327">
            <v>33.234100000000012</v>
          </cell>
          <cell r="G327">
            <v>8536.7559500000498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9787.3413500000242</v>
          </cell>
          <cell r="F328">
            <v>33.112250000000003</v>
          </cell>
          <cell r="G328">
            <v>8216.718400000027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9478.2047750000111</v>
          </cell>
          <cell r="F329">
            <v>32.487575000000007</v>
          </cell>
          <cell r="G329">
            <v>8032.6994000000577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9405.660099999981</v>
          </cell>
          <cell r="F330">
            <v>31.451175000000003</v>
          </cell>
          <cell r="G330">
            <v>7993.1586500000276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9753.9921749999794</v>
          </cell>
          <cell r="F331">
            <v>32.478549999999998</v>
          </cell>
          <cell r="G331">
            <v>8280.7124250000179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10620.29117500002</v>
          </cell>
          <cell r="F332">
            <v>35.208874999999999</v>
          </cell>
          <cell r="G332">
            <v>9080.0344500000065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10755.815374999987</v>
          </cell>
          <cell r="F333">
            <v>35.961850000000005</v>
          </cell>
          <cell r="G333">
            <v>9158.513899999989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10654.846625000006</v>
          </cell>
          <cell r="F334">
            <v>34.652999999999999</v>
          </cell>
          <cell r="G334">
            <v>9020.8412499999722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10354.687724999989</v>
          </cell>
          <cell r="F335">
            <v>33.479900000000001</v>
          </cell>
          <cell r="G335">
            <v>8776.8976500000354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9415.2465750000028</v>
          </cell>
          <cell r="F337">
            <v>31.115250000000003</v>
          </cell>
          <cell r="G337">
            <v>7961.0872750000181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6546.4810500000012</v>
          </cell>
          <cell r="F338">
            <v>21.194325000000003</v>
          </cell>
          <cell r="G338">
            <v>5566.828325000004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8481.8507000000045</v>
          </cell>
          <cell r="F339">
            <v>27.838750000000001</v>
          </cell>
          <cell r="G339">
            <v>7196.4718749999947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8272.2433499999897</v>
          </cell>
          <cell r="F340">
            <v>27.631975000000004</v>
          </cell>
          <cell r="G340">
            <v>7013.9039500000072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8183.5669749999861</v>
          </cell>
          <cell r="F341">
            <v>27.501550000000005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8193.6514749999878</v>
          </cell>
          <cell r="F342">
            <v>27.641750000000005</v>
          </cell>
          <cell r="G342">
            <v>6956.7416249999897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8347.5260250000138</v>
          </cell>
          <cell r="F343">
            <v>28.775500000000008</v>
          </cell>
          <cell r="G343">
            <v>7073.1452750000199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8659.3101750000042</v>
          </cell>
          <cell r="F344">
            <v>29.91555</v>
          </cell>
          <cell r="G344">
            <v>7356.8934000000263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9119.738649999992</v>
          </cell>
          <cell r="F345">
            <v>32.747574999999998</v>
          </cell>
          <cell r="G345">
            <v>7739.1841000000413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9720.0322749999996</v>
          </cell>
          <cell r="F346">
            <v>35.802749999999996</v>
          </cell>
          <cell r="G346">
            <v>8132.2132250000077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10096.446724999978</v>
          </cell>
          <cell r="F347">
            <v>37.445100000000004</v>
          </cell>
          <cell r="G347">
            <v>8496.4419750000052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10220.929174999979</v>
          </cell>
          <cell r="F348">
            <v>35.860925000000009</v>
          </cell>
          <cell r="G348">
            <v>8603.2059250000384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10066.380300000001</v>
          </cell>
          <cell r="F349">
            <v>35.637575000000005</v>
          </cell>
          <cell r="G349">
            <v>8488.9951499999861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10021.304550000024</v>
          </cell>
          <cell r="F350">
            <v>35.317500000000003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9899.0581250000068</v>
          </cell>
          <cell r="F351">
            <v>35.970775000000003</v>
          </cell>
          <cell r="G351">
            <v>8358.9900500000131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9737.4359000000004</v>
          </cell>
          <cell r="F352">
            <v>34.892625000000002</v>
          </cell>
          <cell r="G352">
            <v>8205.129649999988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9493.9007249999831</v>
          </cell>
          <cell r="F353">
            <v>35.812049999999999</v>
          </cell>
          <cell r="G353">
            <v>7998.1317750000107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9525.1179999999858</v>
          </cell>
          <cell r="F354">
            <v>35.280350000000006</v>
          </cell>
          <cell r="G354">
            <v>8005.2784250000368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9711.3501499999857</v>
          </cell>
          <cell r="F355">
            <v>36.870875000000012</v>
          </cell>
          <cell r="G355">
            <v>8228.9186000000245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10370.644174999996</v>
          </cell>
          <cell r="F356">
            <v>38.638800000000003</v>
          </cell>
          <cell r="G356">
            <v>8901.6433000000234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10383.351574999966</v>
          </cell>
          <cell r="F357">
            <v>37.869550000000004</v>
          </cell>
          <cell r="G357">
            <v>8925.8105499999965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10238.900274999993</v>
          </cell>
          <cell r="F358">
            <v>36.696424999999991</v>
          </cell>
          <cell r="G358">
            <v>8725.2441750000235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9906.9300749999875</v>
          </cell>
          <cell r="F359">
            <v>35.222375</v>
          </cell>
          <cell r="G359">
            <v>8395.4000500000275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8754.0601249999909</v>
          </cell>
          <cell r="F361">
            <v>31.482825000000002</v>
          </cell>
          <cell r="G361">
            <v>7360.4662499999977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8193.0546500000037</v>
          </cell>
          <cell r="F362">
            <v>29.562275000000007</v>
          </cell>
          <cell r="G362">
            <v>6855.5297250000349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7850.6815250000145</v>
          </cell>
          <cell r="F363">
            <v>28.698600000000003</v>
          </cell>
          <cell r="G363">
            <v>6566.4979500000054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7708.9129499999781</v>
          </cell>
          <cell r="F364">
            <v>28.603525000000001</v>
          </cell>
          <cell r="G364">
            <v>6438.1139500000036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7653.1483749999934</v>
          </cell>
          <cell r="F365">
            <v>30.755575</v>
          </cell>
          <cell r="G365">
            <v>6416.6293250000244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7780.7722500000091</v>
          </cell>
          <cell r="F366">
            <v>34.607824999999998</v>
          </cell>
          <cell r="G366">
            <v>6523.3555000000142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8264.3412499999813</v>
          </cell>
          <cell r="F367">
            <v>35.806175000000003</v>
          </cell>
          <cell r="G367">
            <v>6974.672350000008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9129.8164500000312</v>
          </cell>
          <cell r="F368">
            <v>39.581799999999994</v>
          </cell>
          <cell r="G368">
            <v>7763.3442750000113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10099.219825000009</v>
          </cell>
          <cell r="F369">
            <v>43.173749999999998</v>
          </cell>
          <cell r="G369">
            <v>8488.7635500000051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10417.651925000027</v>
          </cell>
          <cell r="F370">
            <v>42.736625000000004</v>
          </cell>
          <cell r="G370">
            <v>8798.2926750000079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10803.921449999978</v>
          </cell>
          <cell r="F371">
            <v>42.236050000000006</v>
          </cell>
          <cell r="G371">
            <v>9061.8113000000158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11129.024700000055</v>
          </cell>
          <cell r="F372">
            <v>43.541925000000006</v>
          </cell>
          <cell r="G372">
            <v>9323.5464249999986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11130.40972499999</v>
          </cell>
          <cell r="F373">
            <v>43.717699999999994</v>
          </cell>
          <cell r="G373">
            <v>9466.2372750000468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10978.263799999995</v>
          </cell>
          <cell r="F374">
            <v>43.289449999999995</v>
          </cell>
          <cell r="G374">
            <v>9374.2845000000125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10910.645150000046</v>
          </cell>
          <cell r="F375">
            <v>44.478574999999999</v>
          </cell>
          <cell r="G375">
            <v>9265.7984250000445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10768.374624999997</v>
          </cell>
          <cell r="F376">
            <v>40.740450000000003</v>
          </cell>
          <cell r="G376">
            <v>9131.9415500000632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10633.300275000025</v>
          </cell>
          <cell r="F377">
            <v>43.288849999999996</v>
          </cell>
          <cell r="G377">
            <v>9041.3103250000368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10627.576649999977</v>
          </cell>
          <cell r="F378">
            <v>42.501775000000002</v>
          </cell>
          <cell r="G378">
            <v>9024.1829250000574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10874.798949999991</v>
          </cell>
          <cell r="F379">
            <v>43.213649999999994</v>
          </cell>
          <cell r="G379">
            <v>9301.3846750000339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11563.929374999991</v>
          </cell>
          <cell r="F380">
            <v>46.15617499999999</v>
          </cell>
          <cell r="G380">
            <v>9944.2151250000334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11550.37602499996</v>
          </cell>
          <cell r="F381">
            <v>49.164999999999999</v>
          </cell>
          <cell r="G381">
            <v>9946.9806250000165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11437.985899999989</v>
          </cell>
          <cell r="F382">
            <v>44.183949999999996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11031.854849999992</v>
          </cell>
          <cell r="F383">
            <v>43.548850000000002</v>
          </cell>
          <cell r="G383">
            <v>9378.1325250000264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9536.3240249999835</v>
          </cell>
          <cell r="F385">
            <v>41.139249999999997</v>
          </cell>
          <cell r="G385">
            <v>8028.3510250000045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8925.5790250000027</v>
          </cell>
          <cell r="F386">
            <v>36.153000000000006</v>
          </cell>
          <cell r="G386">
            <v>7528.7040000000297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8688.8838999999844</v>
          </cell>
          <cell r="F387">
            <v>32.552800000000005</v>
          </cell>
          <cell r="G387">
            <v>7345.0280750000456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33.591625000000001</v>
          </cell>
          <cell r="G388">
            <v>7371.3019250000198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8880.8213250000063</v>
          </cell>
          <cell r="F389">
            <v>34.599174999999995</v>
          </cell>
          <cell r="G389">
            <v>7527.1905750000087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9269.560875000032</v>
          </cell>
          <cell r="F390">
            <v>37.543750000000003</v>
          </cell>
          <cell r="G390">
            <v>7859.8041500000099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10444.702399999996</v>
          </cell>
          <cell r="F391">
            <v>43.149225000000001</v>
          </cell>
          <cell r="G391">
            <v>8748.7182750000356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12143.157374999942</v>
          </cell>
          <cell r="F392">
            <v>50.389150000000008</v>
          </cell>
          <cell r="G392">
            <v>10282.408599999982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13510.719224999988</v>
          </cell>
          <cell r="F393">
            <v>59.234850000000002</v>
          </cell>
          <cell r="G393">
            <v>11562.934274999967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13174.080400000019</v>
          </cell>
          <cell r="F394">
            <v>52.395299999999999</v>
          </cell>
          <cell r="G394">
            <v>11240.045875000034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12844.37404999998</v>
          </cell>
          <cell r="F395">
            <v>48.999124999999992</v>
          </cell>
          <cell r="G395">
            <v>10921.870200000014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12686.865049999969</v>
          </cell>
          <cell r="F396">
            <v>50.921125000000004</v>
          </cell>
          <cell r="G396">
            <v>10785.421275000002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12431.474975000006</v>
          </cell>
          <cell r="F397">
            <v>48.273199999999996</v>
          </cell>
          <cell r="G397">
            <v>10587.358725000016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12132.729899999997</v>
          </cell>
          <cell r="F398">
            <v>47.231225000000002</v>
          </cell>
          <cell r="G398">
            <v>10326.061549999997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11923.510050000034</v>
          </cell>
          <cell r="F399">
            <v>46.825875000000018</v>
          </cell>
          <cell r="G399">
            <v>10103.561625000058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11673.407100000037</v>
          </cell>
          <cell r="F400">
            <v>40.430050000000001</v>
          </cell>
          <cell r="G400">
            <v>9828.7749250000525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11362.54265000001</v>
          </cell>
          <cell r="F401">
            <v>44.983525</v>
          </cell>
          <cell r="G401">
            <v>9603.4737500000538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41.892925000000012</v>
          </cell>
          <cell r="G402">
            <v>9568.4811500000178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11717.65907499997</v>
          </cell>
          <cell r="F403">
            <v>44.092524999999995</v>
          </cell>
          <cell r="G403">
            <v>9900.1866000000355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12907.167150000014</v>
          </cell>
          <cell r="F404">
            <v>50.977400000000003</v>
          </cell>
          <cell r="G404">
            <v>10987.700824999974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13257.172624999976</v>
          </cell>
          <cell r="F405">
            <v>51.931249999999999</v>
          </cell>
          <cell r="G405">
            <v>11333.255750000011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13153.303100000008</v>
          </cell>
          <cell r="F406">
            <v>53.785525</v>
          </cell>
          <cell r="G406">
            <v>11309.566775000023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12747.080699999975</v>
          </cell>
          <cell r="F407">
            <v>54.476899999999986</v>
          </cell>
          <cell r="G407">
            <v>11090.213724999976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11374.445600000012</v>
          </cell>
          <cell r="F409">
            <v>50.841250000000002</v>
          </cell>
          <cell r="G409">
            <v>9659.6136000000279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10849.39017499999</v>
          </cell>
          <cell r="F410">
            <v>44.872775000000004</v>
          </cell>
          <cell r="G410">
            <v>9080.4704999999976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10576.473550000017</v>
          </cell>
          <cell r="F411">
            <v>43.384724999999996</v>
          </cell>
          <cell r="G411">
            <v>8876.9995249999702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10470.304450000031</v>
          </cell>
          <cell r="F412">
            <v>43.762925000000003</v>
          </cell>
          <cell r="G412">
            <v>8807.7586000000047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10529.688074999982</v>
          </cell>
          <cell r="F413">
            <v>43.972274999999996</v>
          </cell>
          <cell r="G413">
            <v>8832.4843499999643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10745.919924999998</v>
          </cell>
          <cell r="F414">
            <v>46.060724999999998</v>
          </cell>
          <cell r="G414">
            <v>9073.5405250000113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11596.097725000005</v>
          </cell>
          <cell r="F415">
            <v>49.413875000000004</v>
          </cell>
          <cell r="G415">
            <v>9819.2969499999599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13095.892775000035</v>
          </cell>
          <cell r="F416">
            <v>58.539424999999994</v>
          </cell>
          <cell r="G416">
            <v>11166.888050000016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14161.167650000021</v>
          </cell>
          <cell r="F417">
            <v>65.046599999999998</v>
          </cell>
          <cell r="G417">
            <v>12131.482399999977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13503.689625000005</v>
          </cell>
          <cell r="F418">
            <v>59.671475000000001</v>
          </cell>
          <cell r="G418">
            <v>11535.621625000025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12777.050974999982</v>
          </cell>
          <cell r="F419">
            <v>55.41525</v>
          </cell>
          <cell r="G419">
            <v>10860.477500000075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12268.065500000004</v>
          </cell>
          <cell r="F420">
            <v>50.814324999999997</v>
          </cell>
          <cell r="G420">
            <v>10408.333950000075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11738.349049999933</v>
          </cell>
          <cell r="F421">
            <v>46.210350000000005</v>
          </cell>
          <cell r="G421">
            <v>9934.9963750000461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11283.941899999998</v>
          </cell>
          <cell r="F422">
            <v>45.131749999999997</v>
          </cell>
          <cell r="G422">
            <v>9558.9200250000558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10987.926650000038</v>
          </cell>
          <cell r="F423">
            <v>42.239324999999994</v>
          </cell>
          <cell r="G423">
            <v>9290.0860000000157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10791.825375000009</v>
          </cell>
          <cell r="F424">
            <v>38.929074999999997</v>
          </cell>
          <cell r="G424">
            <v>9124.3034000000407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10604.52845000002</v>
          </cell>
          <cell r="F425">
            <v>41.043775000000011</v>
          </cell>
          <cell r="G425">
            <v>8995.6624000000429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10559.414325000069</v>
          </cell>
          <cell r="F426">
            <v>39.323075000000003</v>
          </cell>
          <cell r="G426">
            <v>8948.3434750000233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10663.083574999941</v>
          </cell>
          <cell r="F427">
            <v>43.015125000000005</v>
          </cell>
          <cell r="G427">
            <v>9053.5472499999923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11439.996775000036</v>
          </cell>
          <cell r="F428">
            <v>43.017374999999994</v>
          </cell>
          <cell r="G428">
            <v>9787.7688749999033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11629.269500000017</v>
          </cell>
          <cell r="F429">
            <v>43.751649999999998</v>
          </cell>
          <cell r="G429">
            <v>9948.3383499999909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11460.698849999973</v>
          </cell>
          <cell r="F430">
            <v>44.592575000000004</v>
          </cell>
          <cell r="G430">
            <v>9800.9259499999807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10967.456575000009</v>
          </cell>
          <cell r="F431">
            <v>43.578450000000004</v>
          </cell>
          <cell r="G431">
            <v>9478.3899250000359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9505.1776249999803</v>
          </cell>
          <cell r="F433">
            <v>41.147324999999995</v>
          </cell>
          <cell r="G433">
            <v>7940.7671250000094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8769.4067499999946</v>
          </cell>
          <cell r="F434">
            <v>35.268874999999994</v>
          </cell>
          <cell r="G434">
            <v>7348.6442250000136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8458.7482749999654</v>
          </cell>
          <cell r="F435">
            <v>32.717249999999993</v>
          </cell>
          <cell r="G435">
            <v>7040.2151250000579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8324.3307999999925</v>
          </cell>
          <cell r="F436">
            <v>32.873649999999998</v>
          </cell>
          <cell r="G436">
            <v>6910.7882500000205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8255.0006499999836</v>
          </cell>
          <cell r="F437">
            <v>32.620899999999999</v>
          </cell>
          <cell r="G437">
            <v>6889.5145250000442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8412.6389749999616</v>
          </cell>
          <cell r="F438">
            <v>34.181549999999994</v>
          </cell>
          <cell r="G438">
            <v>7053.8102500000696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9085.7772749999986</v>
          </cell>
          <cell r="F439">
            <v>36.549249999999994</v>
          </cell>
          <cell r="G439">
            <v>7639.8668250000419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10502.242375000013</v>
          </cell>
          <cell r="F440">
            <v>42.543549999999996</v>
          </cell>
          <cell r="G440">
            <v>8883.0917750000117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49.177224999999993</v>
          </cell>
          <cell r="G441">
            <v>9883.7427250000055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11209.941350000001</v>
          </cell>
          <cell r="F442">
            <v>46.718699999999998</v>
          </cell>
          <cell r="G442">
            <v>9529.4478500000041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11049.233974999977</v>
          </cell>
          <cell r="F443">
            <v>44.895050000000005</v>
          </cell>
          <cell r="G443">
            <v>9300.7747750000508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10983.189075000042</v>
          </cell>
          <cell r="F444">
            <v>46.440350000000002</v>
          </cell>
          <cell r="G444">
            <v>9264.7440750000587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9077.8006000000187</v>
          </cell>
          <cell r="F445">
            <v>39.517975</v>
          </cell>
          <cell r="G445">
            <v>7666.8453750000226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8643.5773000000063</v>
          </cell>
          <cell r="F446">
            <v>33.118699999999997</v>
          </cell>
          <cell r="G446">
            <v>7176.2905000000028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7210.6130750000202</v>
          </cell>
          <cell r="F447">
            <v>27.194075000000002</v>
          </cell>
          <cell r="G447">
            <v>6189.5498249999964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7917.1445249999979</v>
          </cell>
          <cell r="F448">
            <v>28.637975000000001</v>
          </cell>
          <cell r="G448">
            <v>6443.1035999999986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9509.9987250000268</v>
          </cell>
          <cell r="F449">
            <v>42.081424999999996</v>
          </cell>
          <cell r="G449">
            <v>7825.2813750000332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10513.659100000015</v>
          </cell>
          <cell r="F450">
            <v>44.58057500000001</v>
          </cell>
          <cell r="G450">
            <v>8934.7794750000194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9091.3902500000167</v>
          </cell>
          <cell r="F451">
            <v>40.878675000000001</v>
          </cell>
          <cell r="G451">
            <v>7643.3607000000047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10195.454425000018</v>
          </cell>
          <cell r="F452">
            <v>32.385375000000003</v>
          </cell>
          <cell r="G452">
            <v>8522.6568000000043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8311.7124249999979</v>
          </cell>
          <cell r="F453">
            <v>27.742750000000001</v>
          </cell>
          <cell r="G453">
            <v>7120.0969750000368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9999.2417750000295</v>
          </cell>
          <cell r="F454">
            <v>33.76147499999999</v>
          </cell>
          <cell r="G454">
            <v>8368.4890499999965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5798.2891249999975</v>
          </cell>
          <cell r="F455">
            <v>16.558425</v>
          </cell>
          <cell r="G455">
            <v>4793.0730250000088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9112.6207500000419</v>
          </cell>
          <cell r="F457">
            <v>35.60217500000001</v>
          </cell>
          <cell r="G457">
            <v>7648.4216500000548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8415.7905250000258</v>
          </cell>
          <cell r="F458">
            <v>35.563550000000006</v>
          </cell>
          <cell r="G458">
            <v>7044.3048999999619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8068.6179000000211</v>
          </cell>
          <cell r="F459">
            <v>31.065149999999999</v>
          </cell>
          <cell r="G459">
            <v>6691.9515750000337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7926.6471500000052</v>
          </cell>
          <cell r="F460">
            <v>33.032325</v>
          </cell>
          <cell r="G460">
            <v>6487.284750000008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7845.190325000005</v>
          </cell>
          <cell r="F461">
            <v>34.021675000000002</v>
          </cell>
          <cell r="G461">
            <v>6439.9625000000242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7944.9815499999713</v>
          </cell>
          <cell r="F462">
            <v>35.340025000000004</v>
          </cell>
          <cell r="G462">
            <v>6576.0217000000139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8531.8075749999898</v>
          </cell>
          <cell r="F463">
            <v>38.255700000000004</v>
          </cell>
          <cell r="G463">
            <v>7096.1396000000568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9759.0127500000108</v>
          </cell>
          <cell r="F464">
            <v>41.328725000000006</v>
          </cell>
          <cell r="G464">
            <v>8244.7461999999905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10940.769074999964</v>
          </cell>
          <cell r="F465">
            <v>49.018274999999996</v>
          </cell>
          <cell r="G465">
            <v>9280.2469500000207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10846.717650000002</v>
          </cell>
          <cell r="F466">
            <v>48.986750000000001</v>
          </cell>
          <cell r="G466">
            <v>9182.3134500000106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10797.823474999977</v>
          </cell>
          <cell r="F467">
            <v>47.709200000000003</v>
          </cell>
          <cell r="G467">
            <v>9130.476124999961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4003.2140999999965</v>
          </cell>
          <cell r="F468">
            <v>0.67365000000000008</v>
          </cell>
          <cell r="G468">
            <v>6087.4613750000335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10872.104124999983</v>
          </cell>
          <cell r="F469">
            <v>49.78105</v>
          </cell>
          <cell r="G469">
            <v>9222.0261500000615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10771.848350000007</v>
          </cell>
          <cell r="F470">
            <v>45.169000000000004</v>
          </cell>
          <cell r="G470">
            <v>9136.8676999999952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10778.010175000034</v>
          </cell>
          <cell r="F471">
            <v>44.695950000000011</v>
          </cell>
          <cell r="G471">
            <v>9155.564750000025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10341.354750000004</v>
          </cell>
          <cell r="F472">
            <v>37.592425000000006</v>
          </cell>
          <cell r="G472">
            <v>8692.5658250000197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10186.255500000008</v>
          </cell>
          <cell r="F473">
            <v>39.754925</v>
          </cell>
          <cell r="G473">
            <v>8619.0754250000045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10504.445175000012</v>
          </cell>
          <cell r="F474">
            <v>44.614050000000006</v>
          </cell>
          <cell r="G474">
            <v>8863.0873749999828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10400.553250000017</v>
          </cell>
          <cell r="F475">
            <v>44.388950000000015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10933.662874999973</v>
          </cell>
          <cell r="F476">
            <v>43.154375000000002</v>
          </cell>
          <cell r="G476">
            <v>9307.840100000034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10975.187974999988</v>
          </cell>
          <cell r="F477">
            <v>44.741024999999993</v>
          </cell>
          <cell r="G477">
            <v>9349.1472499999982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10799.106175000004</v>
          </cell>
          <cell r="F478">
            <v>41.627775000000007</v>
          </cell>
          <cell r="G478">
            <v>9181.2966750000214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10584.28362499998</v>
          </cell>
          <cell r="F479">
            <v>41.081225000000003</v>
          </cell>
          <cell r="G479">
            <v>8971.8139249999931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9133.8898249999856</v>
          </cell>
          <cell r="F481">
            <v>27.1313</v>
          </cell>
          <cell r="G481">
            <v>7728.4399999999841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9314.8442499999874</v>
          </cell>
          <cell r="F482">
            <v>34.453624999999995</v>
          </cell>
          <cell r="G482">
            <v>7795.910874999985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9121.0163999999604</v>
          </cell>
          <cell r="F483">
            <v>33.238075000000009</v>
          </cell>
          <cell r="G483">
            <v>7595.2757249999922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3145.4948000000013</v>
          </cell>
          <cell r="F484">
            <v>1.159575</v>
          </cell>
          <cell r="G484">
            <v>4235.7014749999935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9128.9381499999836</v>
          </cell>
          <cell r="F485">
            <v>34.500425000000007</v>
          </cell>
          <cell r="G485">
            <v>7591.2471500000011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9303.691449999993</v>
          </cell>
          <cell r="F486">
            <v>35.834575000000001</v>
          </cell>
          <cell r="G486">
            <v>7762.6373250000061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9779.3302749999966</v>
          </cell>
          <cell r="F487">
            <v>39.789400000000001</v>
          </cell>
          <cell r="G487">
            <v>8151.2611250000227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10459.12965000005</v>
          </cell>
          <cell r="F488">
            <v>43.514825000000002</v>
          </cell>
          <cell r="G488">
            <v>8801.1961499999779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11263.008999999995</v>
          </cell>
          <cell r="F489">
            <v>49.092424999999999</v>
          </cell>
          <cell r="G489">
            <v>9510.3500249999724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11773.936474999995</v>
          </cell>
          <cell r="F490">
            <v>52.616499999999988</v>
          </cell>
          <cell r="G490">
            <v>9951.4348750000445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11937.051350000011</v>
          </cell>
          <cell r="F491">
            <v>51.639975000000007</v>
          </cell>
          <cell r="G491">
            <v>10113.085049999969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11768.259950000076</v>
          </cell>
          <cell r="F492">
            <v>49.624300000000012</v>
          </cell>
          <cell r="G492">
            <v>9963.6612750000277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11338.240374999979</v>
          </cell>
          <cell r="F493">
            <v>46.683925000000002</v>
          </cell>
          <cell r="G493">
            <v>9592.4922499999975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10841.720699999989</v>
          </cell>
          <cell r="F494">
            <v>43.611949999999993</v>
          </cell>
          <cell r="G494">
            <v>9166.8208500000055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10362.327199999989</v>
          </cell>
          <cell r="F495">
            <v>40.373575000000002</v>
          </cell>
          <cell r="G495">
            <v>8731.8931500000235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9989.7660000000087</v>
          </cell>
          <cell r="F496">
            <v>39.529025000000004</v>
          </cell>
          <cell r="G496">
            <v>8368.2104000000054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9750.3723999999966</v>
          </cell>
          <cell r="F497">
            <v>39.964149999999997</v>
          </cell>
          <cell r="G497">
            <v>8142.0758250000463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9720.7159749999955</v>
          </cell>
          <cell r="F498">
            <v>40.254449999999999</v>
          </cell>
          <cell r="G498">
            <v>8096.4159000000391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10069.149174999995</v>
          </cell>
          <cell r="F499">
            <v>41.965674999999997</v>
          </cell>
          <cell r="G499">
            <v>8400.2446749999963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10947.076274999978</v>
          </cell>
          <cell r="F500">
            <v>43.398650000000004</v>
          </cell>
          <cell r="G500">
            <v>9212.5520250000081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11067.949625000005</v>
          </cell>
          <cell r="F501">
            <v>43.874350000000007</v>
          </cell>
          <cell r="G501">
            <v>9363.1311750000059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10948.570324999999</v>
          </cell>
          <cell r="F502">
            <v>43.513900000000007</v>
          </cell>
          <cell r="G502">
            <v>9219.2641750000457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10628.511875000007</v>
          </cell>
          <cell r="F503">
            <v>42.076774999999998</v>
          </cell>
          <cell r="G503">
            <v>8990.0411749999857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9653.5744249999989</v>
          </cell>
          <cell r="F505">
            <v>41.421924999999995</v>
          </cell>
          <cell r="G505">
            <v>8094.4070000000138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6713.341425000006</v>
          </cell>
          <cell r="F506">
            <v>29.805375000000002</v>
          </cell>
          <cell r="G506">
            <v>5650.3071499999978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8742.8832749999965</v>
          </cell>
          <cell r="F507">
            <v>41.786050000000003</v>
          </cell>
          <cell r="G507">
            <v>7290.8472499999743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8666.3417000000045</v>
          </cell>
          <cell r="F508">
            <v>40.598100000000002</v>
          </cell>
          <cell r="G508">
            <v>7164.0148000000127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8560.0627999999779</v>
          </cell>
          <cell r="F509">
            <v>41.614774999999995</v>
          </cell>
          <cell r="G509">
            <v>7140.8805500000099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8682.5662749999938</v>
          </cell>
          <cell r="F510">
            <v>37.719075000000004</v>
          </cell>
          <cell r="G510">
            <v>7179.0771250000162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8811.5380499999992</v>
          </cell>
          <cell r="F511">
            <v>39.292499999999997</v>
          </cell>
          <cell r="G511">
            <v>7337.709525000002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9081.300274999965</v>
          </cell>
          <cell r="F512">
            <v>40.235900000000001</v>
          </cell>
          <cell r="G512">
            <v>7675.9358250000123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9707.5454000000373</v>
          </cell>
          <cell r="F513">
            <v>42.689575000000005</v>
          </cell>
          <cell r="G513">
            <v>8179.7794500000236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10348.350099999974</v>
          </cell>
          <cell r="F514">
            <v>47.119324999999996</v>
          </cell>
          <cell r="G514">
            <v>8712.0094250000147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10867.365475000037</v>
          </cell>
          <cell r="F515">
            <v>49.756600000000006</v>
          </cell>
          <cell r="G515">
            <v>9245.1069500000322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11229.15615000001</v>
          </cell>
          <cell r="F516">
            <v>50.035250000000005</v>
          </cell>
          <cell r="G516">
            <v>9619.0313749999787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11559.174749999998</v>
          </cell>
          <cell r="F517">
            <v>47.999100000000006</v>
          </cell>
          <cell r="G517">
            <v>9892.5767999999753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11680.258549999951</v>
          </cell>
          <cell r="F518">
            <v>46.936300000000003</v>
          </cell>
          <cell r="G518">
            <v>9962.2044250000072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11571.017475000008</v>
          </cell>
          <cell r="F519">
            <v>48.290800000000004</v>
          </cell>
          <cell r="G519">
            <v>9899.1075250000158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11385.410924999996</v>
          </cell>
          <cell r="F520">
            <v>48.303400000000011</v>
          </cell>
          <cell r="G520">
            <v>9782.7502249999889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11330.993150000024</v>
          </cell>
          <cell r="F521">
            <v>46.717425000000013</v>
          </cell>
          <cell r="G521">
            <v>9697.8867500000088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11439.667199999991</v>
          </cell>
          <cell r="F522">
            <v>45.548300000000012</v>
          </cell>
          <cell r="G522">
            <v>9764.1679750000294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11721.072500000051</v>
          </cell>
          <cell r="F523">
            <v>46.812799999999996</v>
          </cell>
          <cell r="G523">
            <v>10026.820500000038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12402.588675000032</v>
          </cell>
          <cell r="F524">
            <v>48.247625000000006</v>
          </cell>
          <cell r="G524">
            <v>10633.739475000002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12544.745425000023</v>
          </cell>
          <cell r="F525">
            <v>49.547400000000017</v>
          </cell>
          <cell r="G525">
            <v>10756.434924999965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12362.605174999997</v>
          </cell>
          <cell r="F526">
            <v>49.69487500000001</v>
          </cell>
          <cell r="G526">
            <v>10602.453324999973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11979.861050000003</v>
          </cell>
          <cell r="F527">
            <v>48.667124999999999</v>
          </cell>
          <cell r="G527">
            <v>10255.730624999973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10487.443500000016</v>
          </cell>
          <cell r="F529">
            <v>43.673050000000003</v>
          </cell>
          <cell r="G529">
            <v>8842.2317500000045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9834.4893499999671</v>
          </cell>
          <cell r="F530">
            <v>41.852624999999996</v>
          </cell>
          <cell r="G530">
            <v>8259.275924999989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9523.3920499999713</v>
          </cell>
          <cell r="F531">
            <v>41.595550000000003</v>
          </cell>
          <cell r="G531">
            <v>7993.9390249999833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9511.6110499999995</v>
          </cell>
          <cell r="F532">
            <v>41.694875000000003</v>
          </cell>
          <cell r="G532">
            <v>7946.2862250000171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9631.6773999999787</v>
          </cell>
          <cell r="F533">
            <v>41.841100000000004</v>
          </cell>
          <cell r="G533">
            <v>8038.9383500000195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9904.7696500000511</v>
          </cell>
          <cell r="F534">
            <v>42.879524999999994</v>
          </cell>
          <cell r="G534">
            <v>8350.692874999977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10823.323550000032</v>
          </cell>
          <cell r="F535">
            <v>47.967925000000008</v>
          </cell>
          <cell r="G535">
            <v>9177.8019500000137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12446.85500000002</v>
          </cell>
          <cell r="F536">
            <v>50.612625000000008</v>
          </cell>
          <cell r="G536">
            <v>10639.086049999985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13732.898125000011</v>
          </cell>
          <cell r="F537">
            <v>60.073050000000009</v>
          </cell>
          <cell r="G537">
            <v>11792.671424999966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13336.588849999991</v>
          </cell>
          <cell r="F538">
            <v>60.638475</v>
          </cell>
          <cell r="G538">
            <v>11469.11075000002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12984.460599999999</v>
          </cell>
          <cell r="F539">
            <v>64.436175000000006</v>
          </cell>
          <cell r="G539">
            <v>11120.943275000001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12611.302374999997</v>
          </cell>
          <cell r="F540">
            <v>60.209974999999986</v>
          </cell>
          <cell r="G540">
            <v>10762.658100000042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10260.329400000008</v>
          </cell>
          <cell r="F541">
            <v>54.393725000000011</v>
          </cell>
          <cell r="G541">
            <v>8551.613374999999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10515.042749999988</v>
          </cell>
          <cell r="F542">
            <v>40.894849999999998</v>
          </cell>
          <cell r="G542">
            <v>8834.8448000000626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8589.2685999999885</v>
          </cell>
          <cell r="F543">
            <v>32.971550000000001</v>
          </cell>
          <cell r="G543">
            <v>6958.6943499999943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11068.881749999991</v>
          </cell>
          <cell r="F544">
            <v>51.367175000000003</v>
          </cell>
          <cell r="G544">
            <v>9361.6373250000361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10847.12757500002</v>
          </cell>
          <cell r="F545">
            <v>50.454300000000003</v>
          </cell>
          <cell r="G545">
            <v>9144.2971750000233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10792.039849999999</v>
          </cell>
          <cell r="F546">
            <v>50.977174999999995</v>
          </cell>
          <cell r="G546">
            <v>9109.5075500000476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10995.955649999962</v>
          </cell>
          <cell r="F547">
            <v>49.803500000000014</v>
          </cell>
          <cell r="G547">
            <v>9319.7207250000338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12026.244650000024</v>
          </cell>
          <cell r="F548">
            <v>54.403725000000001</v>
          </cell>
          <cell r="G548">
            <v>10266.149025000077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12334.908799999996</v>
          </cell>
          <cell r="F549">
            <v>58.991675000000008</v>
          </cell>
          <cell r="G549">
            <v>10589.233299999996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12396.826199999958</v>
          </cell>
          <cell r="F550">
            <v>59.97182500000001</v>
          </cell>
          <cell r="G550">
            <v>10561.047199999975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12027.418050000011</v>
          </cell>
          <cell r="F551">
            <v>59.428275000000006</v>
          </cell>
          <cell r="G551">
            <v>10310.37754999997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10615.601450000015</v>
          </cell>
          <cell r="F553">
            <v>54.6965</v>
          </cell>
          <cell r="G553">
            <v>9038.4926999999989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10063.545175000012</v>
          </cell>
          <cell r="F554">
            <v>49.843725000000006</v>
          </cell>
          <cell r="G554">
            <v>8571.1867000000275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9999.2996499999808</v>
          </cell>
          <cell r="F555">
            <v>45.848999999999997</v>
          </cell>
          <cell r="G555">
            <v>8439.058200000034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10144.772175000007</v>
          </cell>
          <cell r="F556">
            <v>46.495550000000001</v>
          </cell>
          <cell r="G556">
            <v>8474.9404000000195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10286.557650000008</v>
          </cell>
          <cell r="F557">
            <v>47.847850000000008</v>
          </cell>
          <cell r="G557">
            <v>8595.2776000000104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10650.821674999992</v>
          </cell>
          <cell r="F558">
            <v>50.220675</v>
          </cell>
          <cell r="G558">
            <v>8945.1260500000408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11507.143874999996</v>
          </cell>
          <cell r="F559">
            <v>54.766525000000001</v>
          </cell>
          <cell r="G559">
            <v>9754.4883250000403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13087.445199999967</v>
          </cell>
          <cell r="F560">
            <v>64.316724999999991</v>
          </cell>
          <cell r="G560">
            <v>11240.286449999991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14265.372274999962</v>
          </cell>
          <cell r="F561">
            <v>72.527125000000012</v>
          </cell>
          <cell r="G561">
            <v>12318.595849999952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13664.728175000002</v>
          </cell>
          <cell r="F562">
            <v>65.420400000000001</v>
          </cell>
          <cell r="G562">
            <v>11744.797324999992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12825.383324999988</v>
          </cell>
          <cell r="F563">
            <v>60.63822500000002</v>
          </cell>
          <cell r="G563">
            <v>11039.957975000088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12238.211275000009</v>
          </cell>
          <cell r="F564">
            <v>56.171875</v>
          </cell>
          <cell r="G564">
            <v>10468.140674999962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11654.545375000014</v>
          </cell>
          <cell r="F565">
            <v>51.560100000000006</v>
          </cell>
          <cell r="G565">
            <v>9987.5380749999913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11295.696974999955</v>
          </cell>
          <cell r="F566">
            <v>48.592325000000002</v>
          </cell>
          <cell r="G566">
            <v>9590.1243000000122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11009.814724999982</v>
          </cell>
          <cell r="F567">
            <v>47.213274999999996</v>
          </cell>
          <cell r="G567">
            <v>9306.1014750000159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10813.046649999993</v>
          </cell>
          <cell r="F568">
            <v>43.251049999999999</v>
          </cell>
          <cell r="G568">
            <v>9126.5630250000049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10629.544274999998</v>
          </cell>
          <cell r="F569">
            <v>47.04657499999999</v>
          </cell>
          <cell r="G569">
            <v>8980.0410500000344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10557.479074999996</v>
          </cell>
          <cell r="F570">
            <v>45.03627500000001</v>
          </cell>
          <cell r="G570">
            <v>8924.9462499999881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10597.161325000046</v>
          </cell>
          <cell r="F571">
            <v>42.193674999999999</v>
          </cell>
          <cell r="G571">
            <v>8965.1551000000673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11411.342874999973</v>
          </cell>
          <cell r="F572">
            <v>48.637325000000004</v>
          </cell>
          <cell r="G572">
            <v>9713.2779750000409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11697.252399999959</v>
          </cell>
          <cell r="F573">
            <v>48.872549999999997</v>
          </cell>
          <cell r="G573">
            <v>9991.2839249999852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11614.113975000035</v>
          </cell>
          <cell r="F574">
            <v>49.420950000000005</v>
          </cell>
          <cell r="G574">
            <v>9884.3439250000192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11264.894224999971</v>
          </cell>
          <cell r="F575">
            <v>47.57777500000001</v>
          </cell>
          <cell r="G575">
            <v>9636.457775000059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9981.0432750000255</v>
          </cell>
          <cell r="F577">
            <v>49.252875000000003</v>
          </cell>
          <cell r="G577">
            <v>8375.832100000016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9484.486099999991</v>
          </cell>
          <cell r="F578">
            <v>45.101275000000001</v>
          </cell>
          <cell r="G578">
            <v>7909.6259250000185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9299.2948000000142</v>
          </cell>
          <cell r="F579">
            <v>41.198650000000008</v>
          </cell>
          <cell r="G579">
            <v>7741.4334750000053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9301.9962249999862</v>
          </cell>
          <cell r="F580">
            <v>43.07105</v>
          </cell>
          <cell r="G580">
            <v>7736.8339749999941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9410.9897500000243</v>
          </cell>
          <cell r="F581">
            <v>44.519149999999996</v>
          </cell>
          <cell r="G581">
            <v>7854.4232749999865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9801.9535750000123</v>
          </cell>
          <cell r="F582">
            <v>46.505399999999995</v>
          </cell>
          <cell r="G582">
            <v>8176.9053250000079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10145.603424999999</v>
          </cell>
          <cell r="F583">
            <v>48.563475000000004</v>
          </cell>
          <cell r="G583">
            <v>9027.3151249999828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11773.758099999997</v>
          </cell>
          <cell r="F584">
            <v>55.19357500000001</v>
          </cell>
          <cell r="G584">
            <v>10520.734175000007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12962.661625000028</v>
          </cell>
          <cell r="F585">
            <v>64.92410000000001</v>
          </cell>
          <cell r="G585">
            <v>11615.800724999974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12374.337600000001</v>
          </cell>
          <cell r="F586">
            <v>58.428899999999999</v>
          </cell>
          <cell r="G586">
            <v>11079.286700000022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11701.769600000016</v>
          </cell>
          <cell r="F587">
            <v>54.970349999999989</v>
          </cell>
          <cell r="G587">
            <v>10514.577775000073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11269.41432499998</v>
          </cell>
          <cell r="F588">
            <v>53.521875000000001</v>
          </cell>
          <cell r="G588">
            <v>10085.535049999999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10849.58445000004</v>
          </cell>
          <cell r="F589">
            <v>46.348700000000008</v>
          </cell>
          <cell r="G589">
            <v>9698.4778749999787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10520.076424999972</v>
          </cell>
          <cell r="F590">
            <v>45.368375</v>
          </cell>
          <cell r="G590">
            <v>9400.5498000000243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10304.277224999998</v>
          </cell>
          <cell r="F591">
            <v>44.8476</v>
          </cell>
          <cell r="G591">
            <v>9192.6478750000224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10139.265924999978</v>
          </cell>
          <cell r="F592">
            <v>37.998075</v>
          </cell>
          <cell r="G592">
            <v>9055.5071500000304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9975.8312749999968</v>
          </cell>
          <cell r="F593">
            <v>41.11377499999999</v>
          </cell>
          <cell r="G593">
            <v>8905.4543750000521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9951.3949499999944</v>
          </cell>
          <cell r="F594">
            <v>40.944750000000006</v>
          </cell>
          <cell r="G594">
            <v>8879.0317000000141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10045.799124999963</v>
          </cell>
          <cell r="F595">
            <v>37.081699999999998</v>
          </cell>
          <cell r="G595">
            <v>8979.8367750000998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10847.903400000028</v>
          </cell>
          <cell r="F596">
            <v>41.852650000000004</v>
          </cell>
          <cell r="G596">
            <v>9738.420800000009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11096.54200000001</v>
          </cell>
          <cell r="F597">
            <v>42.304575000000007</v>
          </cell>
          <cell r="G597">
            <v>9958.586600000006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10997.55834999999</v>
          </cell>
          <cell r="F598">
            <v>40.606675000000003</v>
          </cell>
          <cell r="G598">
            <v>9871.3450250000042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10625.789950000026</v>
          </cell>
          <cell r="F599">
            <v>37.60282500000001</v>
          </cell>
          <cell r="G599">
            <v>9582.3293500000291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9129.1862249999922</v>
          </cell>
          <cell r="F601">
            <v>29.303274999999999</v>
          </cell>
          <cell r="G601">
            <v>8157.2226000000483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8550.8909499999827</v>
          </cell>
          <cell r="F602">
            <v>33.808875</v>
          </cell>
          <cell r="G602">
            <v>7612.2345250000135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8265.1169250000039</v>
          </cell>
          <cell r="F603">
            <v>30.646375000000003</v>
          </cell>
          <cell r="G603">
            <v>7363.8498750000426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8220.5566250000284</v>
          </cell>
          <cell r="F604">
            <v>31.153624999999998</v>
          </cell>
          <cell r="G604">
            <v>7300.6921250000487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8281.5844749999997</v>
          </cell>
          <cell r="F605">
            <v>34.028375000000004</v>
          </cell>
          <cell r="G605">
            <v>7347.7733750000198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8528.1374750000105</v>
          </cell>
          <cell r="F606">
            <v>33.6815</v>
          </cell>
          <cell r="G606">
            <v>7580.8018500000107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9246.8741749999954</v>
          </cell>
          <cell r="F607">
            <v>36.201074999999996</v>
          </cell>
          <cell r="G607">
            <v>8262.846000000045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10717.561124999993</v>
          </cell>
          <cell r="F608">
            <v>40.429725000000005</v>
          </cell>
          <cell r="G608">
            <v>9592.481150000016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11841.252975000018</v>
          </cell>
          <cell r="F609">
            <v>46.030849999999994</v>
          </cell>
          <cell r="G609">
            <v>10619.088949999996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11518.452149999997</v>
          </cell>
          <cell r="F610">
            <v>44.053999999999988</v>
          </cell>
          <cell r="G610">
            <v>10345.205250000005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11359.210624999974</v>
          </cell>
          <cell r="F611">
            <v>39.399725000000004</v>
          </cell>
          <cell r="G611">
            <v>10194.919550000039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11286.783899999988</v>
          </cell>
          <cell r="F612">
            <v>41.010550000000002</v>
          </cell>
          <cell r="G612">
            <v>10140.893200000033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11204.614399999997</v>
          </cell>
          <cell r="F613">
            <v>40.06</v>
          </cell>
          <cell r="G613">
            <v>10031.79947500002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11107.938249999961</v>
          </cell>
          <cell r="F614">
            <v>38.767299999999999</v>
          </cell>
          <cell r="G614">
            <v>9936.8182750000396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11012.609974999999</v>
          </cell>
          <cell r="F615">
            <v>39.465325</v>
          </cell>
          <cell r="G615">
            <v>9888.7428500000296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10806.324049999988</v>
          </cell>
          <cell r="F616">
            <v>34.404225000000004</v>
          </cell>
          <cell r="G616">
            <v>9711.2947249999561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10551.639300000019</v>
          </cell>
          <cell r="F617">
            <v>35.131375000000006</v>
          </cell>
          <cell r="G617">
            <v>9454.3854750000155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10597.680849999961</v>
          </cell>
          <cell r="F618">
            <v>36.157499999999999</v>
          </cell>
          <cell r="G618">
            <v>9493.3990499999854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10933.532199999963</v>
          </cell>
          <cell r="F619">
            <v>38.606825000000008</v>
          </cell>
          <cell r="G619">
            <v>9829.8428250000234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11761.859025000034</v>
          </cell>
          <cell r="F620">
            <v>39.7699</v>
          </cell>
          <cell r="G620">
            <v>10598.398975000042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11982.580174999997</v>
          </cell>
          <cell r="F621">
            <v>43.896825</v>
          </cell>
          <cell r="G621">
            <v>10820.305799999956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11856.326249999989</v>
          </cell>
          <cell r="F622">
            <v>43.776949999999992</v>
          </cell>
          <cell r="G622">
            <v>10700.393974999981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11442.716224999971</v>
          </cell>
          <cell r="F623">
            <v>42.641574999999996</v>
          </cell>
          <cell r="G623">
            <v>10383.204275000004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9982.5391749999944</v>
          </cell>
          <cell r="F625">
            <v>37.846125000000008</v>
          </cell>
          <cell r="G625">
            <v>8954.7241250000043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9503.2465249999696</v>
          </cell>
          <cell r="F626">
            <v>36.508100000000006</v>
          </cell>
          <cell r="G626">
            <v>8474.1542750000499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9235.6171750000121</v>
          </cell>
          <cell r="F627">
            <v>34.015374999999999</v>
          </cell>
          <cell r="G627">
            <v>8220.4369000000115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9140.7222749999946</v>
          </cell>
          <cell r="F628">
            <v>34.412274999999994</v>
          </cell>
          <cell r="G628">
            <v>8130.8470750000388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9158.1620000000221</v>
          </cell>
          <cell r="F629">
            <v>34.339374999999997</v>
          </cell>
          <cell r="G629">
            <v>8135.8552250000084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9357.9677750000228</v>
          </cell>
          <cell r="F630">
            <v>35.176324999999999</v>
          </cell>
          <cell r="G630">
            <v>8330.8942000000443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10031.165625000003</v>
          </cell>
          <cell r="F631">
            <v>38.422175000000003</v>
          </cell>
          <cell r="G631">
            <v>8963.2214250000306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11423.801974999971</v>
          </cell>
          <cell r="F632">
            <v>44.820475000000002</v>
          </cell>
          <cell r="G632">
            <v>10235.778825000016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12402.662249999987</v>
          </cell>
          <cell r="F633">
            <v>47.230925000000006</v>
          </cell>
          <cell r="G633">
            <v>11126.405100000078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12118.264099999988</v>
          </cell>
          <cell r="F634">
            <v>45.605650000000011</v>
          </cell>
          <cell r="G634">
            <v>10861.046124999984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11960.568675000048</v>
          </cell>
          <cell r="F635">
            <v>45.283150000000006</v>
          </cell>
          <cell r="G635">
            <v>10725.615674999961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11887.128075000035</v>
          </cell>
          <cell r="F636">
            <v>44.298274999999997</v>
          </cell>
          <cell r="G636">
            <v>10668.738425000096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11698.953724999998</v>
          </cell>
          <cell r="F637">
            <v>41.460974999999998</v>
          </cell>
          <cell r="G637">
            <v>10498.170524999987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11421.80577499997</v>
          </cell>
          <cell r="F638">
            <v>35.463450000000009</v>
          </cell>
          <cell r="G638">
            <v>10251.238799999976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11227.807199999985</v>
          </cell>
          <cell r="F639">
            <v>33.351649999999999</v>
          </cell>
          <cell r="G639">
            <v>10070.176650000016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10952.138924999972</v>
          </cell>
          <cell r="F640">
            <v>31.947475000000004</v>
          </cell>
          <cell r="G640">
            <v>9810.7685250000686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10637.258950000014</v>
          </cell>
          <cell r="F641">
            <v>29.823950000000007</v>
          </cell>
          <cell r="G641">
            <v>9542.6301000000039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10579.401725000012</v>
          </cell>
          <cell r="F642">
            <v>30.412525000000002</v>
          </cell>
          <cell r="G642">
            <v>9524.7640000000192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10720.756399999942</v>
          </cell>
          <cell r="F643">
            <v>32.662700000000001</v>
          </cell>
          <cell r="G643">
            <v>9685.8613250000017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11249.869525000015</v>
          </cell>
          <cell r="F644">
            <v>34.288250000000005</v>
          </cell>
          <cell r="G644">
            <v>10176.896500000032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11112.107249999966</v>
          </cell>
          <cell r="F645">
            <v>35.348475000000001</v>
          </cell>
          <cell r="G645">
            <v>10029.942950000028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10800.047599999993</v>
          </cell>
          <cell r="F646">
            <v>33.381700000000002</v>
          </cell>
          <cell r="G646">
            <v>9731.7071250000008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10352.055399999987</v>
          </cell>
          <cell r="F647">
            <v>32.007475000000007</v>
          </cell>
          <cell r="G647">
            <v>9353.367249999983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9398.9738749999742</v>
          </cell>
          <cell r="F649">
            <v>26.669950000000004</v>
          </cell>
          <cell r="G649">
            <v>8170.6894250000014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8889.7050249999829</v>
          </cell>
          <cell r="F650">
            <v>26.430699999999995</v>
          </cell>
          <cell r="G650">
            <v>7565.5237000000207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8527.1592750000182</v>
          </cell>
          <cell r="F651">
            <v>27.361299999999996</v>
          </cell>
          <cell r="G651">
            <v>7153.6758750000108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2436.1766000000025</v>
          </cell>
          <cell r="F652">
            <v>1.1539750000000002</v>
          </cell>
          <cell r="G652">
            <v>3279.6114499999931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8027.1262750000178</v>
          </cell>
          <cell r="F653">
            <v>28.202275000000004</v>
          </cell>
          <cell r="G653">
            <v>6734.1899499999872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7975.0490250000048</v>
          </cell>
          <cell r="F654">
            <v>29.27355</v>
          </cell>
          <cell r="G654">
            <v>6720.8032750000366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8150.9278500000028</v>
          </cell>
          <cell r="F655">
            <v>29.902625</v>
          </cell>
          <cell r="G655">
            <v>6871.1733500000237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8583.1285499999831</v>
          </cell>
          <cell r="F656">
            <v>29.963999999999999</v>
          </cell>
          <cell r="G656">
            <v>7266.7323000000151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9135.444150000003</v>
          </cell>
          <cell r="F657">
            <v>30.251024999999998</v>
          </cell>
          <cell r="G657">
            <v>7797.9648999999836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9728.9055749999698</v>
          </cell>
          <cell r="F658">
            <v>31.130725000000002</v>
          </cell>
          <cell r="G658">
            <v>8335.9044750000012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10396.560624999982</v>
          </cell>
          <cell r="F659">
            <v>32.411000000000001</v>
          </cell>
          <cell r="G659">
            <v>8840.2073000000219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10751.664549999983</v>
          </cell>
          <cell r="F660">
            <v>32.86985</v>
          </cell>
          <cell r="G660">
            <v>9213.8036750000028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10747.252849999986</v>
          </cell>
          <cell r="F661">
            <v>32.077600000000004</v>
          </cell>
          <cell r="G661">
            <v>9231.6345000000583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10578.719425000014</v>
          </cell>
          <cell r="F662">
            <v>31.1219</v>
          </cell>
          <cell r="G662">
            <v>9075.9099000000206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10306.347349999987</v>
          </cell>
          <cell r="F663">
            <v>30.673900000000003</v>
          </cell>
          <cell r="G663">
            <v>8828.0073750000247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9997.2668749999866</v>
          </cell>
          <cell r="F664">
            <v>29.770475000000005</v>
          </cell>
          <cell r="G664">
            <v>8505.5951000000387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9762.7126250000092</v>
          </cell>
          <cell r="F665">
            <v>30.829599999999999</v>
          </cell>
          <cell r="G665">
            <v>8271.8983000000262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9592.2094999999408</v>
          </cell>
          <cell r="F666">
            <v>31.336950000000005</v>
          </cell>
          <cell r="G666">
            <v>8135.951450000046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9703.3882249999824</v>
          </cell>
          <cell r="F667">
            <v>31.771950000000004</v>
          </cell>
          <cell r="G667">
            <v>8176.1604750000115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10356.354874999945</v>
          </cell>
          <cell r="F668">
            <v>35.26925</v>
          </cell>
          <cell r="G668">
            <v>8689.1697999999742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10557.673449999993</v>
          </cell>
          <cell r="F669">
            <v>38.774125000000005</v>
          </cell>
          <cell r="G669">
            <v>8907.8080000000155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10406.441124999988</v>
          </cell>
          <cell r="F670">
            <v>38.412649999999999</v>
          </cell>
          <cell r="G670">
            <v>8786.8870500000376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10114.007924999969</v>
          </cell>
          <cell r="F671">
            <v>37.979399999999998</v>
          </cell>
          <cell r="G671">
            <v>8587.3926250000186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9324.0299000000323</v>
          </cell>
          <cell r="F673">
            <v>36.259724999999996</v>
          </cell>
          <cell r="G673">
            <v>7876.0702250000322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7035.7467750000123</v>
          </cell>
          <cell r="F674">
            <v>26.952750000000005</v>
          </cell>
          <cell r="G674">
            <v>6166.9028500000049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8701.3868750000092</v>
          </cell>
          <cell r="F675">
            <v>34.074950000000001</v>
          </cell>
          <cell r="G675">
            <v>7276.9928750000072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8615.7963749999817</v>
          </cell>
          <cell r="F676">
            <v>33.341074999999996</v>
          </cell>
          <cell r="G676">
            <v>7206.5162500000315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8637.7391999999891</v>
          </cell>
          <cell r="F677">
            <v>33.651724999999999</v>
          </cell>
          <cell r="G677">
            <v>7242.3488750000233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8771.555775000028</v>
          </cell>
          <cell r="F678">
            <v>34.878225000000008</v>
          </cell>
          <cell r="G678">
            <v>7388.1836250000233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9172.2722999999751</v>
          </cell>
          <cell r="F679">
            <v>36.356350000000006</v>
          </cell>
          <cell r="G679">
            <v>7691.8210749999871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9580.5967750000091</v>
          </cell>
          <cell r="F680">
            <v>37.525974999999995</v>
          </cell>
          <cell r="G680">
            <v>8175.8714749999872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10181.144225000004</v>
          </cell>
          <cell r="F681">
            <v>39.913249999999998</v>
          </cell>
          <cell r="G681">
            <v>8747.6503749999938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10588.079100000021</v>
          </cell>
          <cell r="F682">
            <v>42.080624999999998</v>
          </cell>
          <cell r="G682">
            <v>9057.6317750000471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10589.903024999985</v>
          </cell>
          <cell r="F683">
            <v>43.116924999999995</v>
          </cell>
          <cell r="G683">
            <v>8971.284674999999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10354.365474999988</v>
          </cell>
          <cell r="F684">
            <v>40.210400000000014</v>
          </cell>
          <cell r="G684">
            <v>8687.7599500000506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9880.8145000000059</v>
          </cell>
          <cell r="F685">
            <v>35.817825000000006</v>
          </cell>
          <cell r="G685">
            <v>8357.6689750000169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9577.2820500000144</v>
          </cell>
          <cell r="F686">
            <v>34.524175</v>
          </cell>
          <cell r="G686">
            <v>8154.1432499999964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9385.5039500000021</v>
          </cell>
          <cell r="F687">
            <v>34.799300000000002</v>
          </cell>
          <cell r="G687">
            <v>7972.4519000000419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9373.6243750000031</v>
          </cell>
          <cell r="F688">
            <v>35.507300000000001</v>
          </cell>
          <cell r="G688">
            <v>7819.6039750000646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9218.094199999985</v>
          </cell>
          <cell r="F689">
            <v>36.396324999999997</v>
          </cell>
          <cell r="G689">
            <v>7710.4571000000324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9108.6314000000002</v>
          </cell>
          <cell r="F690">
            <v>37.578999999999994</v>
          </cell>
          <cell r="G690">
            <v>7679.550325000002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9341.3158750000075</v>
          </cell>
          <cell r="F691">
            <v>38.359025000000003</v>
          </cell>
          <cell r="G691">
            <v>7819.6368750000083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10179.045175000017</v>
          </cell>
          <cell r="F692">
            <v>39.345124999999996</v>
          </cell>
          <cell r="G692">
            <v>8572.4844750000393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10417.726000000041</v>
          </cell>
          <cell r="F693">
            <v>42.006050000000002</v>
          </cell>
          <cell r="G693">
            <v>8973.4170000000322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10307.698399999967</v>
          </cell>
          <cell r="F694">
            <v>41.921250000000001</v>
          </cell>
          <cell r="G694">
            <v>8903.9934999999969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9976.083600000029</v>
          </cell>
          <cell r="F695">
            <v>39.5563</v>
          </cell>
          <cell r="G695">
            <v>8625.7144499999922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8775.4078000000172</v>
          </cell>
          <cell r="F697">
            <v>34.209125000000007</v>
          </cell>
          <cell r="G697">
            <v>7483.4906500000498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8200.6784999999709</v>
          </cell>
          <cell r="F698">
            <v>32.029325000000007</v>
          </cell>
          <cell r="G698">
            <v>6942.4543000000003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7982.9708249999894</v>
          </cell>
          <cell r="F699">
            <v>30.684999999999999</v>
          </cell>
          <cell r="G699">
            <v>6712.2330000000366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7873.7923500000252</v>
          </cell>
          <cell r="F700">
            <v>31.027774999999998</v>
          </cell>
          <cell r="G700">
            <v>6653.4119000000255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7907.6193999999869</v>
          </cell>
          <cell r="F701">
            <v>32.586600000000004</v>
          </cell>
          <cell r="G701">
            <v>6733.0867749999725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36.114149999999995</v>
          </cell>
          <cell r="G702">
            <v>6999.155775000002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9277.1909249999899</v>
          </cell>
          <cell r="F703">
            <v>41.180124999999997</v>
          </cell>
          <cell r="G703">
            <v>7778.505624999967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47.21392500000001</v>
          </cell>
          <cell r="G704">
            <v>9278.5003000000324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12311.449649999991</v>
          </cell>
          <cell r="F705">
            <v>53.322674999999997</v>
          </cell>
          <cell r="G705">
            <v>10495.285650000014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11983.41917499999</v>
          </cell>
          <cell r="F706">
            <v>50.703375000000015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11664.88879999997</v>
          </cell>
          <cell r="F707">
            <v>48.754775000000009</v>
          </cell>
          <cell r="G707">
            <v>9888.4428499999849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11449.867949999965</v>
          </cell>
          <cell r="F708">
            <v>46.018324999999997</v>
          </cell>
          <cell r="G708">
            <v>9709.9616249999945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11244.131799999997</v>
          </cell>
          <cell r="F709">
            <v>46.776600000000002</v>
          </cell>
          <cell r="G709">
            <v>9511.0548250000174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11049.646725000001</v>
          </cell>
          <cell r="F710">
            <v>44.624725000000005</v>
          </cell>
          <cell r="G710">
            <v>9308.4120249999833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10911.353225000017</v>
          </cell>
          <cell r="F711">
            <v>43.657449999999997</v>
          </cell>
          <cell r="G711">
            <v>9208.7910500000526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10701.326299999972</v>
          </cell>
          <cell r="F712">
            <v>39.422775000000001</v>
          </cell>
          <cell r="G712">
            <v>9043.8899000000147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10514.468100000026</v>
          </cell>
          <cell r="F713">
            <v>42.946625000000004</v>
          </cell>
          <cell r="G713">
            <v>8881.2447000000229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10528.950925000016</v>
          </cell>
          <cell r="F714">
            <v>40.938675000000003</v>
          </cell>
          <cell r="G714">
            <v>8852.6637750000209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10550.83420000003</v>
          </cell>
          <cell r="F715">
            <v>41.621225000000003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11381.915100000002</v>
          </cell>
          <cell r="F716">
            <v>46.447749999999992</v>
          </cell>
          <cell r="G716">
            <v>9632.2853750000377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11763.577550000002</v>
          </cell>
          <cell r="F717">
            <v>51.188249999999996</v>
          </cell>
          <cell r="G717">
            <v>10048.218600000015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11637.37787500002</v>
          </cell>
          <cell r="F718">
            <v>50.537375000000004</v>
          </cell>
          <cell r="G718">
            <v>9965.5748000000203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11277.162324999961</v>
          </cell>
          <cell r="F719">
            <v>47.366849999999992</v>
          </cell>
          <cell r="G719">
            <v>9707.9528000000209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9928.6776499999851</v>
          </cell>
          <cell r="F721">
            <v>43.241824999999999</v>
          </cell>
          <cell r="G721">
            <v>8486.374075000007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9432.9857749999792</v>
          </cell>
          <cell r="F722">
            <v>36.048249999999996</v>
          </cell>
          <cell r="G722">
            <v>8035.8905000000086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9334.576525000015</v>
          </cell>
          <cell r="F723">
            <v>31.816999999999997</v>
          </cell>
          <cell r="G723">
            <v>7893.2988500000292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9325.5824000000102</v>
          </cell>
          <cell r="F724">
            <v>31.930350000000001</v>
          </cell>
          <cell r="G724">
            <v>7899.5115750000241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9493.3651750000226</v>
          </cell>
          <cell r="F725">
            <v>32.211575000000011</v>
          </cell>
          <cell r="G725">
            <v>7990.0589749999917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9811.9324999999881</v>
          </cell>
          <cell r="F726">
            <v>33.304375</v>
          </cell>
          <cell r="G726">
            <v>8276.8099500000117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10600.891575000009</v>
          </cell>
          <cell r="F727">
            <v>37.236175000000003</v>
          </cell>
          <cell r="G727">
            <v>9047.2920000000049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12211.790724999988</v>
          </cell>
          <cell r="F728">
            <v>43.654525</v>
          </cell>
          <cell r="G728">
            <v>10497.012049999994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13437.964425000009</v>
          </cell>
          <cell r="F729">
            <v>48.022500000000001</v>
          </cell>
          <cell r="G729">
            <v>11539.568050000067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12882.008049999997</v>
          </cell>
          <cell r="F730">
            <v>50.164225000000009</v>
          </cell>
          <cell r="G730">
            <v>10989.841250000019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9986.0382249999984</v>
          </cell>
          <cell r="F731">
            <v>41.008974999999992</v>
          </cell>
          <cell r="G731">
            <v>8509.9627750000309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9503.3884499999986</v>
          </cell>
          <cell r="F732">
            <v>28.174925000000005</v>
          </cell>
          <cell r="G732">
            <v>8010.8372750000217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7441.8431499999861</v>
          </cell>
          <cell r="F733">
            <v>17.069399999999998</v>
          </cell>
          <cell r="G733">
            <v>6217.4995500000268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4489.2050250000075</v>
          </cell>
          <cell r="F734">
            <v>14.507075000000002</v>
          </cell>
          <cell r="G734">
            <v>3740.9051250000011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10900.931699999994</v>
          </cell>
          <cell r="F735">
            <v>34.953200000000002</v>
          </cell>
          <cell r="G735">
            <v>9224.3137000000261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8054.4519750000227</v>
          </cell>
          <cell r="F736">
            <v>23.166425000000004</v>
          </cell>
          <cell r="G736">
            <v>6814.1572250000354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8463.8161750000108</v>
          </cell>
          <cell r="F737">
            <v>29.590375000000002</v>
          </cell>
          <cell r="G737">
            <v>7105.3328499999943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10477.585724999984</v>
          </cell>
          <cell r="F738">
            <v>33.957700000000003</v>
          </cell>
          <cell r="G738">
            <v>8866.5997499999885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10511.836349999976</v>
          </cell>
          <cell r="F739">
            <v>39.573575000000005</v>
          </cell>
          <cell r="G739">
            <v>8956.6339750000097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11270.162199999952</v>
          </cell>
          <cell r="F740">
            <v>40.844225000000002</v>
          </cell>
          <cell r="G740">
            <v>9662.5342250000576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11592.368825000003</v>
          </cell>
          <cell r="F741">
            <v>42.356700000000011</v>
          </cell>
          <cell r="G741">
            <v>9939.6199499999948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11514.426125000025</v>
          </cell>
          <cell r="F742">
            <v>42.771900000000002</v>
          </cell>
          <cell r="G742">
            <v>9828.5143500000049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11102.118274999999</v>
          </cell>
          <cell r="F743">
            <v>38.750824999999999</v>
          </cell>
          <cell r="G743">
            <v>9471.3192000000126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9345.1728499999863</v>
          </cell>
          <cell r="F745">
            <v>35.830475000000007</v>
          </cell>
          <cell r="G745">
            <v>7995.0888500000065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P36"/>
  <x:sheetViews>
    <x:sheetView view="pageBreakPreview" zoomScale="85" zoomScaleNormal="100" zoomScaleSheetLayoutView="85" workbookViewId="0">
      <x:pane xSplit="3" topLeftCell="D1" activePane="topRight" state="frozen"/>
      <x:selection pane="topRight"/>
    </x:sheetView>
  </x:sheetViews>
  <x:sheetFormatPr defaultColWidth="9.08984375" defaultRowHeight="12.5" x14ac:dyDescent="0.25"/>
  <x:cols>
    <x:col min="1" max="1" width="8.08984375" style="29" customWidth="1"/>
    <x:col min="2" max="2" width="16.90625" style="29" customWidth="1"/>
    <x:col min="3" max="3" width="4.453125" style="29" bestFit="1" customWidth="1"/>
    <x:col min="4" max="4" width="9.90625" style="29" bestFit="1" customWidth="1"/>
    <x:col min="5" max="13" width="9.08984375" style="29"/>
    <x:col min="14" max="14" width="9.6328125" style="29" bestFit="1" customWidth="1"/>
    <x:col min="15" max="15" width="9.08984375" style="29"/>
    <x:col min="16" max="16" width="9.54296875" style="29" bestFit="1" customWidth="1"/>
    <x:col min="17" max="16384" width="9.08984375" style="29"/>
  </x:cols>
  <x:sheetData>
    <x:row r="1" spans="1:16" ht="15.5" x14ac:dyDescent="0.35">
      <x:c r="A1" s="26"/>
      <x:c r="B1" s="67" t="s">
        <x:v>10</x:v>
      </x:c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</x:row>
    <x:row r="2" spans="1:16" ht="15.5" x14ac:dyDescent="0.35">
      <x:c r="A2" s="26"/>
      <x:c r="B2" s="67" t="s">
        <x:v>35</x:v>
      </x:c>
      <x:c r="C2" s="67"/>
      <x:c r="D2" s="67"/>
      <x:c r="E2" s="67"/>
      <x:c r="F2" s="67"/>
      <x:c r="G2" s="68"/>
      <x:c r="H2" s="68"/>
      <x:c r="I2" s="68"/>
      <x:c r="J2" s="68"/>
      <x:c r="K2" s="68"/>
      <x:c r="L2" s="68"/>
      <x:c r="M2" s="68"/>
      <x:c r="N2" s="68"/>
      <x:c r="O2" s="68"/>
      <x:c r="P2" s="68"/>
    </x:row>
    <x:row r="3" spans="1:16" ht="15.5" x14ac:dyDescent="0.35">
      <x:c r="A3" s="26"/>
      <x:c r="B3" s="67" t="s">
        <x:v>40</x:v>
      </x:c>
      <x:c r="C3" s="67"/>
      <x:c r="D3" s="67"/>
      <x:c r="E3" s="67"/>
      <x:c r="F3" s="67"/>
      <x:c r="G3" s="68"/>
      <x:c r="H3" s="68"/>
      <x:c r="I3" s="68"/>
      <x:c r="J3" s="68"/>
      <x:c r="K3" s="68"/>
      <x:c r="L3" s="68"/>
      <x:c r="M3" s="68"/>
      <x:c r="N3" s="68"/>
      <x:c r="O3" s="68"/>
      <x:c r="P3" s="68"/>
    </x:row>
    <x:row r="4" spans="1:16" ht="15.5" x14ac:dyDescent="0.35">
      <x:c r="A4" s="26"/>
      <x:c r="B4" s="69" t="s">
        <x:v>49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6" ht="15.5" x14ac:dyDescent="0.35">
      <x:c r="A5" s="26"/>
      <x:c r="B5" s="67"/>
      <x:c r="C5" s="67"/>
      <x:c r="D5" s="67"/>
      <x:c r="E5" s="67"/>
      <x:c r="F5" s="67"/>
      <x:c r="G5" s="30"/>
      <x:c r="H5" s="30"/>
      <x:c r="I5" s="31"/>
      <x:c r="J5" s="31"/>
      <x:c r="K5" s="31"/>
      <x:c r="L5" s="31"/>
      <x:c r="M5" s="31"/>
      <x:c r="N5" s="31"/>
      <x:c r="O5" s="31"/>
      <x:c r="P5" s="31"/>
    </x:row>
    <x:row r="6" spans="1:16" ht="15.5" x14ac:dyDescent="0.35">
      <x:c r="A6" s="26"/>
      <x:c r="B6" s="67" t="s">
        <x:v>38</x:v>
      </x:c>
      <x:c r="C6" s="67"/>
      <x:c r="D6" s="67"/>
      <x:c r="E6" s="67"/>
      <x:c r="F6" s="67"/>
      <x:c r="G6" s="68"/>
      <x:c r="H6" s="68"/>
      <x:c r="I6" s="68"/>
      <x:c r="J6" s="68"/>
      <x:c r="K6" s="68"/>
      <x:c r="L6" s="68"/>
      <x:c r="M6" s="68"/>
      <x:c r="N6" s="68"/>
      <x:c r="O6" s="68"/>
      <x:c r="P6" s="68"/>
    </x:row>
    <x:row r="7" spans="1:16" ht="15.5" x14ac:dyDescent="0.35">
      <x:c r="A7" s="26"/>
      <x:c r="B7" s="27"/>
      <x:c r="C7" s="27"/>
      <x:c r="D7" s="27"/>
      <x:c r="E7" s="27"/>
      <x:c r="F7" s="27"/>
      <x:c r="G7" s="28"/>
      <x:c r="H7" s="28"/>
      <x:c r="I7" s="31"/>
      <x:c r="J7" s="31"/>
      <x:c r="K7" s="31"/>
      <x:c r="L7" s="31"/>
      <x:c r="M7" s="31"/>
      <x:c r="N7" s="31"/>
      <x:c r="O7" s="31"/>
      <x:c r="P7" s="31"/>
    </x:row>
    <x:row r="8" spans="1:16" ht="15.5" x14ac:dyDescent="0.35">
      <x:c r="A8" s="26"/>
      <x:c r="B8" s="67" t="s">
        <x:v>42</x:v>
      </x:c>
      <x:c r="C8" s="71"/>
      <x:c r="D8" s="71"/>
      <x:c r="E8" s="71"/>
      <x:c r="F8" s="71"/>
      <x:c r="G8" s="71"/>
      <x:c r="H8" s="71"/>
      <x:c r="I8" s="71"/>
      <x:c r="J8" s="71"/>
      <x:c r="K8" s="71"/>
      <x:c r="L8" s="71"/>
      <x:c r="M8" s="71"/>
      <x:c r="N8" s="71"/>
      <x:c r="O8" s="71"/>
      <x:c r="P8" s="71"/>
    </x:row>
    <x:row r="9" spans="1:16" x14ac:dyDescent="0.25">
      <x:c r="A9" s="26" t="s">
        <x:v>12</x:v>
      </x:c>
      <x:c r="B9" s="26" t="s">
        <x:v>13</x:v>
      </x:c>
      <x:c r="C9" s="26"/>
      <x:c r="D9" s="32" t="s">
        <x:v>14</x:v>
      </x:c>
      <x:c r="E9" s="32" t="s">
        <x:v>15</x:v>
      </x:c>
      <x:c r="F9" s="32" t="s">
        <x:v>16</x:v>
      </x:c>
      <x:c r="G9" s="32" t="s">
        <x:v>17</x:v>
      </x:c>
      <x:c r="H9" s="32" t="s">
        <x:v>18</x:v>
      </x:c>
      <x:c r="I9" s="32" t="s">
        <x:v>19</x:v>
      </x:c>
      <x:c r="J9" s="32" t="s">
        <x:v>20</x:v>
      </x:c>
      <x:c r="K9" s="32" t="s">
        <x:v>21</x:v>
      </x:c>
      <x:c r="L9" s="32" t="s">
        <x:v>22</x:v>
      </x:c>
      <x:c r="M9" s="32" t="s">
        <x:v>23</x:v>
      </x:c>
      <x:c r="N9" s="32" t="s">
        <x:v>24</x:v>
      </x:c>
      <x:c r="O9" s="32" t="s">
        <x:v>25</x:v>
      </x:c>
      <x:c r="P9" s="32" t="s">
        <x:v>26</x:v>
      </x:c>
    </x:row>
    <x:row r="10" spans="1:16" s="39" customFormat="1" x14ac:dyDescent="0.25">
      <x:c r="A10" s="33" t="s">
        <x:v>27</x:v>
      </x:c>
      <x:c r="B10" s="34" t="s">
        <x:v>28</x:v>
      </x:c>
      <x:c r="C10" s="35"/>
      <x:c r="D10" s="36">
        <x:v>36892</x:v>
      </x:c>
      <x:c r="E10" s="37">
        <x:v>36923</x:v>
      </x:c>
      <x:c r="F10" s="37">
        <x:v>36951</x:v>
      </x:c>
      <x:c r="G10" s="37">
        <x:v>36982</x:v>
      </x:c>
      <x:c r="H10" s="37">
        <x:v>37012</x:v>
      </x:c>
      <x:c r="I10" s="37">
        <x:v>37043</x:v>
      </x:c>
      <x:c r="J10" s="37">
        <x:v>37073</x:v>
      </x:c>
      <x:c r="K10" s="37">
        <x:v>37104</x:v>
      </x:c>
      <x:c r="L10" s="37">
        <x:v>37135</x:v>
      </x:c>
      <x:c r="M10" s="37">
        <x:v>37165</x:v>
      </x:c>
      <x:c r="N10" s="37">
        <x:v>37196</x:v>
      </x:c>
      <x:c r="O10" s="37">
        <x:v>37226</x:v>
      </x:c>
      <x:c r="P10" s="38" t="s">
        <x:v>0</x:v>
      </x:c>
    </x:row>
    <x:row r="11" spans="1:16" x14ac:dyDescent="0.25">
      <x:c r="A11" s="40">
        <x:v>1</x:v>
      </x:c>
      <x:c r="B11" s="30" t="s">
        <x:v>29</x:v>
      </x:c>
      <x:c r="C11" s="41"/>
      <x:c r="D11" s="42">
        <x:f>+'Res Monthly Weather Weights'!C11</x:f>
        <x:v>0.6842466537095353</x:v>
      </x:c>
      <x:c r="E11" s="42">
        <x:f>+'Res Monthly Weather Weights'!D11</x:f>
        <x:v>0.68405042577780284</x:v>
      </x:c>
      <x:c r="F11" s="42">
        <x:f>+'Res Monthly Weather Weights'!E11</x:f>
        <x:v>0.68559851480914347</x:v>
      </x:c>
      <x:c r="G11" s="42">
        <x:f>+'Res Monthly Weather Weights'!F11</x:f>
        <x:v>0.68865637375120559</x:v>
      </x:c>
      <x:c r="H11" s="42">
        <x:f>+'Res Monthly Weather Weights'!G11</x:f>
        <x:v>0.68952427056075982</x:v>
      </x:c>
      <x:c r="I11" s="42">
        <x:f>+'Res Monthly Weather Weights'!H11</x:f>
        <x:v>0.69610926630834569</x:v>
      </x:c>
      <x:c r="J11" s="42">
        <x:f>+'Res Monthly Weather Weights'!I11</x:f>
        <x:v>0.70517894357480215</x:v>
      </x:c>
      <x:c r="K11" s="42">
        <x:f>+'Res Monthly Weather Weights'!J11</x:f>
        <x:v>0.71056044010309394</x:v>
      </x:c>
      <x:c r="L11" s="42">
        <x:f>+'Res Monthly Weather Weights'!K11</x:f>
        <x:v>0.70735820756575929</x:v>
      </x:c>
      <x:c r="M11" s="42">
        <x:f>+'Res Monthly Weather Weights'!L11</x:f>
        <x:v>0.70166443064955208</x:v>
      </x:c>
      <x:c r="N11" s="42">
        <x:f>+'Res Monthly Weather Weights'!M11</x:f>
        <x:v>0.69339622623634611</x:v>
      </x:c>
      <x:c r="O11" s="42">
        <x:f>+'Res Monthly Weather Weights'!N11</x:f>
        <x:v>0.6837896244658157</x:v>
      </x:c>
      <x:c r="P11" s="42">
        <x:f>+'Res Monthly Weather Weights'!O11</x:f>
        <x:v>0.69612564384089759</x:v>
      </x:c>
    </x:row>
    <x:row r="12" spans="1:16" x14ac:dyDescent="0.25">
      <x:c r="A12" s="40">
        <x:f>+A11+1</x:f>
        <x:v>2</x:v>
      </x:c>
      <x:c r="B12" s="30" t="s">
        <x:v>30</x:v>
      </x:c>
      <x:c r="C12" s="41"/>
      <x:c r="D12" s="42">
        <x:f>+'Res Monthly Weather Weights'!C12</x:f>
        <x:v>5.6327069538495478E-2</x:v>
      </x:c>
      <x:c r="E12" s="42">
        <x:f>+'Res Monthly Weather Weights'!D12</x:f>
        <x:v>5.6672598811494924E-2</x:v>
      </x:c>
      <x:c r="F12" s="42">
        <x:f>+'Res Monthly Weather Weights'!E12</x:f>
        <x:v>5.4263579346917258E-2</x:v>
      </x:c>
      <x:c r="G12" s="42">
        <x:f>+'Res Monthly Weather Weights'!F12</x:f>
        <x:v>5.489443671330569E-2</x:v>
      </x:c>
      <x:c r="H12" s="42">
        <x:f>+'Res Monthly Weather Weights'!G12</x:f>
        <x:v>5.7650058187680868E-2</x:v>
      </x:c>
      <x:c r="I12" s="42">
        <x:f>+'Res Monthly Weather Weights'!H12</x:f>
        <x:v>5.7171460500517454E-2</x:v>
      </x:c>
      <x:c r="J12" s="42">
        <x:f>+'Res Monthly Weather Weights'!I12</x:f>
        <x:v>5.4274808849714612E-2</x:v>
      </x:c>
      <x:c r="K12" s="42">
        <x:f>+'Res Monthly Weather Weights'!J12</x:f>
        <x:v>5.1466788251161355E-2</x:v>
      </x:c>
      <x:c r="L12" s="42">
        <x:f>+'Res Monthly Weather Weights'!K12</x:f>
        <x:v>5.0016082633975036E-2</x:v>
      </x:c>
      <x:c r="M12" s="42">
        <x:f>+'Res Monthly Weather Weights'!L12</x:f>
        <x:v>5.2030850807543126E-2</x:v>
      </x:c>
      <x:c r="N12" s="42">
        <x:f>+'Res Monthly Weather Weights'!M12</x:f>
        <x:v>5.3537017642947424E-2</x:v>
      </x:c>
      <x:c r="O12" s="42">
        <x:f>+'Res Monthly Weather Weights'!N12</x:f>
        <x:v>5.8112093865455024E-2</x:v>
      </x:c>
      <x:c r="P12" s="42">
        <x:f>+'Res Monthly Weather Weights'!O12</x:f>
        <x:v>5.4282927565840668E-2</x:v>
      </x:c>
    </x:row>
    <x:row r="13" spans="1:16" x14ac:dyDescent="0.25">
      <x:c r="A13" s="40">
        <x:f t="shared" ref="A13:A36" si="0">+A12+1</x:f>
        <x:v>3</x:v>
      </x:c>
      <x:c r="B13" s="30" t="s">
        <x:v>5</x:v>
      </x:c>
      <x:c r="C13" s="41"/>
      <x:c r="D13" s="42">
        <x:f>+'Res Monthly Weather Weights'!C13</x:f>
        <x:v>2.9210748880904587E-2</x:v>
      </x:c>
      <x:c r="E13" s="42">
        <x:f>+'Res Monthly Weather Weights'!D13</x:f>
        <x:v>2.8802293829726638E-2</x:v>
      </x:c>
      <x:c r="F13" s="42">
        <x:f>+'Res Monthly Weather Weights'!E13</x:f>
        <x:v>2.7102348674979595E-2</x:v>
      </x:c>
      <x:c r="G13" s="42">
        <x:f>+'Res Monthly Weather Weights'!F13</x:f>
        <x:v>2.7922034129400742E-2</x:v>
      </x:c>
      <x:c r="H13" s="42">
        <x:f>+'Res Monthly Weather Weights'!G13</x:f>
        <x:v>2.6923797943178458E-2</x:v>
      </x:c>
      <x:c r="I13" s="42">
        <x:f>+'Res Monthly Weather Weights'!H13</x:f>
        <x:v>2.614940813825312E-2</x:v>
      </x:c>
      <x:c r="J13" s="42">
        <x:f>+'Res Monthly Weather Weights'!I13</x:f>
        <x:v>2.5347949981278942E-2</x:v>
      </x:c>
      <x:c r="K13" s="42">
        <x:f>+'Res Monthly Weather Weights'!J13</x:f>
        <x:v>2.4563014543006308E-2</x:v>
      </x:c>
      <x:c r="L13" s="42">
        <x:f>+'Res Monthly Weather Weights'!K13</x:f>
        <x:v>2.4720792433345844E-2</x:v>
      </x:c>
      <x:c r="M13" s="42">
        <x:f>+'Res Monthly Weather Weights'!L13</x:f>
        <x:v>2.4369130746701415E-2</x:v>
      </x:c>
      <x:c r="N13" s="42">
        <x:f>+'Res Monthly Weather Weights'!M13</x:f>
        <x:v>2.6927032682479184E-2</x:v>
      </x:c>
      <x:c r="O13" s="42">
        <x:f>+'Res Monthly Weather Weights'!N13</x:f>
        <x:v>2.8529837530280149E-2</x:v>
      </x:c>
      <x:c r="P13" s="42">
        <x:f>+'Res Monthly Weather Weights'!O13</x:f>
        <x:v>2.6432332761275549E-2</x:v>
      </x:c>
    </x:row>
    <x:row r="14" spans="1:16" x14ac:dyDescent="0.25">
      <x:c r="A14" s="40">
        <x:f t="shared" si="0"/>
        <x:v>4</x:v>
      </x:c>
      <x:c r="B14" s="30" t="s">
        <x:v>9</x:v>
      </x:c>
      <x:c r="C14" s="41"/>
      <x:c r="D14" s="42">
        <x:f>+'Res Monthly Weather Weights'!C14</x:f>
        <x:v>1.4502322354727043E-2</x:v>
      </x:c>
      <x:c r="E14" s="42">
        <x:f>+'Res Monthly Weather Weights'!D14</x:f>
        <x:v>1.4627539792194047E-2</x:v>
      </x:c>
      <x:c r="F14" s="42">
        <x:f>+'Res Monthly Weather Weights'!E14</x:f>
        <x:v>1.3729779023334495E-2</x:v>
      </x:c>
      <x:c r="G14" s="42">
        <x:f>+'Res Monthly Weather Weights'!F14</x:f>
        <x:v>1.2922010918922472E-2</x:v>
      </x:c>
      <x:c r="H14" s="42">
        <x:f>+'Res Monthly Weather Weights'!G14</x:f>
        <x:v>1.2842978645765323E-2</x:v>
      </x:c>
      <x:c r="I14" s="42">
        <x:f>+'Res Monthly Weather Weights'!H14</x:f>
        <x:v>1.2411264295333426E-2</x:v>
      </x:c>
      <x:c r="J14" s="42">
        <x:f>+'Res Monthly Weather Weights'!I14</x:f>
        <x:v>1.2142128913303282E-2</x:v>
      </x:c>
      <x:c r="K14" s="42">
        <x:f>+'Res Monthly Weather Weights'!J14</x:f>
        <x:v>1.185970695282413E-2</x:v>
      </x:c>
      <x:c r="L14" s="42">
        <x:f>+'Res Monthly Weather Weights'!K14</x:f>
        <x:v>1.164726098041723E-2</x:v>
      </x:c>
      <x:c r="M14" s="42">
        <x:f>+'Res Monthly Weather Weights'!L14</x:f>
        <x:v>1.1410164169530857E-2</x:v>
      </x:c>
      <x:c r="N14" s="42">
        <x:f>+'Res Monthly Weather Weights'!M14</x:f>
        <x:v>1.2048395618468004E-2</x:v>
      </x:c>
      <x:c r="O14" s="42">
        <x:f>+'Res Monthly Weather Weights'!N14</x:f>
        <x:v>1.3734452832669556E-2</x:v>
      </x:c>
      <x:c r="P14" s="42">
        <x:f>+'Res Monthly Weather Weights'!O14</x:f>
        <x:v>1.2714991026938337E-2</x:v>
      </x:c>
    </x:row>
    <x:row r="15" spans="1:16" x14ac:dyDescent="0.25">
      <x:c r="A15" s="40">
        <x:f t="shared" si="0"/>
        <x:v>5</x:v>
      </x:c>
      <x:c r="B15" s="30" t="s">
        <x:v>45</x:v>
      </x:c>
      <x:c r="C15" s="41"/>
      <x:c r="D15" s="42">
        <x:f>+'Res Monthly Weather Weights'!C15</x:f>
        <x:v>2.7510074142766461E-2</x:v>
      </x:c>
      <x:c r="E15" s="42">
        <x:f>+'Res Monthly Weather Weights'!D15</x:f>
        <x:v>2.7931990578495883E-2</x:v>
      </x:c>
      <x:c r="F15" s="42">
        <x:f>+'Res Monthly Weather Weights'!E15</x:f>
        <x:v>2.8152502623979267E-2</x:v>
      </x:c>
      <x:c r="G15" s="42">
        <x:f>+'Res Monthly Weather Weights'!F15</x:f>
        <x:v>2.6100432311338781E-2</x:v>
      </x:c>
      <x:c r="H15" s="42">
        <x:f>+'Res Monthly Weather Weights'!G15</x:f>
        <x:v>2.3295877642223291E-2</x:v>
      </x:c>
      <x:c r="I15" s="42">
        <x:f>+'Res Monthly Weather Weights'!H15</x:f>
        <x:v>2.2195850747596859E-2</x:v>
      </x:c>
      <x:c r="J15" s="42">
        <x:f>+'Res Monthly Weather Weights'!I15</x:f>
        <x:v>2.2809321919665983E-2</x:v>
      </x:c>
      <x:c r="K15" s="42">
        <x:f>+'Res Monthly Weather Weights'!J15</x:f>
        <x:v>2.3586125822388903E-2</x:v>
      </x:c>
      <x:c r="L15" s="42">
        <x:f>+'Res Monthly Weather Weights'!K15</x:f>
        <x:v>2.3887548415985043E-2</x:v>
      </x:c>
      <x:c r="M15" s="42">
        <x:f>+'Res Monthly Weather Weights'!L15</x:f>
        <x:v>2.3949840218822266E-2</x:v>
      </x:c>
      <x:c r="N15" s="42">
        <x:f>+'Res Monthly Weather Weights'!M15</x:f>
        <x:v>2.4647673933100571E-2</x:v>
      </x:c>
      <x:c r="O15" s="42">
        <x:f>+'Res Monthly Weather Weights'!N15</x:f>
        <x:v>2.7565279941066296E-2</x:v>
      </x:c>
      <x:c r="P15" s="42">
        <x:f>+'Res Monthly Weather Weights'!O15</x:f>
        <x:v>2.4937122661713794E-2</x:v>
      </x:c>
    </x:row>
    <x:row r="16" spans="1:16" x14ac:dyDescent="0.25">
      <x:c r="A16" s="40">
        <x:f t="shared" si="0"/>
        <x:v>6</x:v>
      </x:c>
      <x:c r="B16" s="30" t="s">
        <x:v>31</x:v>
      </x:c>
      <x:c r="C16" s="41"/>
      <x:c r="D16" s="42">
        <x:f>+'Res Monthly Weather Weights'!C16</x:f>
        <x:v>5.2350245586823878E-2</x:v>
      </x:c>
      <x:c r="E16" s="42">
        <x:f>+'Res Monthly Weather Weights'!D16</x:f>
        <x:v>5.3723293003999022E-2</x:v>
      </x:c>
      <x:c r="F16" s="42">
        <x:f>+'Res Monthly Weather Weights'!E16</x:f>
        <x:v>5.4159440169649513E-2</x:v>
      </x:c>
      <x:c r="G16" s="42">
        <x:f>+'Res Monthly Weather Weights'!F16</x:f>
        <x:v>4.9904217855958034E-2</x:v>
      </x:c>
      <x:c r="H16" s="42">
        <x:f>+'Res Monthly Weather Weights'!G16</x:f>
        <x:v>4.9078764030776802E-2</x:v>
      </x:c>
      <x:c r="I16" s="42">
        <x:f>+'Res Monthly Weather Weights'!H16</x:f>
        <x:v>4.7041513957275412E-2</x:v>
      </x:c>
      <x:c r="J16" s="42">
        <x:f>+'Res Monthly Weather Weights'!I16</x:f>
        <x:v>4.4598990760978952E-2</x:v>
      </x:c>
      <x:c r="K16" s="42">
        <x:f>+'Res Monthly Weather Weights'!J16</x:f>
        <x:v>4.372461367952387E-2</x:v>
      </x:c>
      <x:c r="L16" s="42">
        <x:f>+'Res Monthly Weather Weights'!K16</x:f>
        <x:v>4.489395099738739E-2</x:v>
      </x:c>
      <x:c r="M16" s="42">
        <x:f>+'Res Monthly Weather Weights'!L16</x:f>
        <x:v>4.6612420662902665E-2</x:v>
      </x:c>
      <x:c r="N16" s="42">
        <x:f>+'Res Monthly Weather Weights'!M16</x:f>
        <x:v>4.9171147191173589E-2</x:v>
      </x:c>
      <x:c r="O16" s="42">
        <x:f>+'Res Monthly Weather Weights'!N16</x:f>
        <x:v>5.068760367954437E-2</x:v>
      </x:c>
      <x:c r="P16" s="42">
        <x:f>+'Res Monthly Weather Weights'!O16</x:f>
        <x:v>4.8269623863806288E-2</x:v>
      </x:c>
    </x:row>
    <x:row r="17" spans="1:16" x14ac:dyDescent="0.25">
      <x:c r="A17" s="40">
        <x:f t="shared" si="0"/>
        <x:v>7</x:v>
      </x:c>
      <x:c r="B17" s="30" t="s">
        <x:v>3</x:v>
      </x:c>
      <x:c r="C17" s="41"/>
      <x:c r="D17" s="42">
        <x:f>+'Res Monthly Weather Weights'!C17</x:f>
        <x:v>3.8231386577861556E-2</x:v>
      </x:c>
      <x:c r="E17" s="42">
        <x:f>+'Res Monthly Weather Weights'!D17</x:f>
        <x:v>3.9066819392775148E-2</x:v>
      </x:c>
      <x:c r="F17" s="42">
        <x:f>+'Res Monthly Weather Weights'!E17</x:f>
        <x:v>4.090581226498153E-2</x:v>
      </x:c>
      <x:c r="G17" s="42">
        <x:f>+'Res Monthly Weather Weights'!F17</x:f>
        <x:v>3.8050378940994674E-2</x:v>
      </x:c>
      <x:c r="H17" s="42">
        <x:f>+'Res Monthly Weather Weights'!G17</x:f>
        <x:v>3.6764384704129745E-2</x:v>
      </x:c>
      <x:c r="I17" s="42">
        <x:f>+'Res Monthly Weather Weights'!H17</x:f>
        <x:v>3.5600916035753195E-2</x:v>
      </x:c>
      <x:c r="J17" s="42">
        <x:f>+'Res Monthly Weather Weights'!I17</x:f>
        <x:v>3.5106317189389419E-2</x:v>
      </x:c>
      <x:c r="K17" s="42">
        <x:f>+'Res Monthly Weather Weights'!J17</x:f>
        <x:v>3.5176501542589216E-2</x:v>
      </x:c>
      <x:c r="L17" s="42">
        <x:f>+'Res Monthly Weather Weights'!K17</x:f>
        <x:v>3.6220890385645965E-2</x:v>
      </x:c>
      <x:c r="M17" s="42">
        <x:f>+'Res Monthly Weather Weights'!L17</x:f>
        <x:v>3.7896852271475247E-2</x:v>
      </x:c>
      <x:c r="N17" s="42">
        <x:f>+'Res Monthly Weather Weights'!M17</x:f>
        <x:v>3.7950638700785792E-2</x:v>
      </x:c>
      <x:c r="O17" s="42">
        <x:f>+'Res Monthly Weather Weights'!N17</x:f>
        <x:v>3.7924060930908686E-2</x:v>
      </x:c>
      <x:c r="P17" s="42">
        <x:f>+'Res Monthly Weather Weights'!O17</x:f>
        <x:v>3.7182176722156096E-2</x:v>
      </x:c>
    </x:row>
    <x:row r="18" spans="1:16" x14ac:dyDescent="0.25">
      <x:c r="A18" s="40">
        <x:f t="shared" si="0"/>
        <x:v>8</x:v>
      </x:c>
      <x:c r="B18" s="30" t="s">
        <x:v>32</x:v>
      </x:c>
      <x:c r="C18" s="41"/>
      <x:c r="D18" s="42">
        <x:f>+'Res Monthly Weather Weights'!C18</x:f>
        <x:v>1.9416085067219018E-2</x:v>
      </x:c>
      <x:c r="E18" s="42">
        <x:f>+'Res Monthly Weather Weights'!D18</x:f>
        <x:v>1.9545807968369345E-2</x:v>
      </x:c>
      <x:c r="F18" s="42">
        <x:f>+'Res Monthly Weather Weights'!E18</x:f>
        <x:v>1.984579388120437E-2</x:v>
      </x:c>
      <x:c r="G18" s="42">
        <x:f>+'Res Monthly Weather Weights'!F18</x:f>
        <x:v>1.8467719545435895E-2</x:v>
      </x:c>
      <x:c r="H18" s="42">
        <x:f>+'Res Monthly Weather Weights'!G18</x:f>
        <x:v>1.7801695255155316E-2</x:v>
      </x:c>
      <x:c r="I18" s="42">
        <x:f>+'Res Monthly Weather Weights'!H18</x:f>
        <x:v>1.772557816479239E-2</x:v>
      </x:c>
      <x:c r="J18" s="42">
        <x:f>+'Res Monthly Weather Weights'!I18</x:f>
        <x:v>1.8215009815435231E-2</x:v>
      </x:c>
      <x:c r="K18" s="42">
        <x:f>+'Res Monthly Weather Weights'!J18</x:f>
        <x:v>1.870255349669293E-2</x:v>
      </x:c>
      <x:c r="L18" s="42">
        <x:f>+'Res Monthly Weather Weights'!K18</x:f>
        <x:v>1.8871371791882235E-2</x:v>
      </x:c>
      <x:c r="M18" s="42">
        <x:f>+'Res Monthly Weather Weights'!L18</x:f>
        <x:v>1.864156652519457E-2</x:v>
      </x:c>
      <x:c r="N18" s="42">
        <x:f>+'Res Monthly Weather Weights'!M18</x:f>
        <x:v>1.7981267285178557E-2</x:v>
      </x:c>
      <x:c r="O18" s="42">
        <x:f>+'Res Monthly Weather Weights'!N18</x:f>
        <x:v>1.8860707086721992E-2</x:v>
      </x:c>
      <x:c r="P18" s="42">
        <x:f>+'Res Monthly Weather Weights'!O18</x:f>
        <x:v>1.8702767125544657E-2</x:v>
      </x:c>
    </x:row>
    <x:row r="19" spans="1:16" x14ac:dyDescent="0.25">
      <x:c r="A19" s="40">
        <x:f t="shared" si="0"/>
        <x:v>9</x:v>
      </x:c>
      <x:c r="B19" s="30" t="s">
        <x:v>8</x:v>
      </x:c>
      <x:c r="C19" s="41"/>
      <x:c r="D19" s="42">
        <x:f>+'Res Monthly Weather Weights'!C19</x:f>
        <x:v>3.9423880955649498E-2</x:v>
      </x:c>
      <x:c r="E19" s="42">
        <x:f>+'Res Monthly Weather Weights'!D19</x:f>
        <x:v>3.909115593892766E-2</x:v>
      </x:c>
      <x:c r="F19" s="42">
        <x:f>+'Res Monthly Weather Weights'!E19</x:f>
        <x:v>3.8490681164191784E-2</x:v>
      </x:c>
      <x:c r="G19" s="42">
        <x:f>+'Res Monthly Weather Weights'!F19</x:f>
        <x:v>3.8257478230367799E-2</x:v>
      </x:c>
      <x:c r="H19" s="42">
        <x:f>+'Res Monthly Weather Weights'!G19</x:f>
        <x:v>3.6702592837663937E-2</x:v>
      </x:c>
      <x:c r="I19" s="42">
        <x:f>+'Res Monthly Weather Weights'!H19</x:f>
        <x:v>3.5932793496112343E-2</x:v>
      </x:c>
      <x:c r="J19" s="42">
        <x:f>+'Res Monthly Weather Weights'!I19</x:f>
        <x:v>3.5399141315435735E-2</x:v>
      </x:c>
      <x:c r="K19" s="42">
        <x:f>+'Res Monthly Weather Weights'!J19</x:f>
        <x:v>3.479533238223903E-2</x:v>
      </x:c>
      <x:c r="L19" s="42">
        <x:f>+'Res Monthly Weather Weights'!K19</x:f>
        <x:v>3.5312793898563219E-2</x:v>
      </x:c>
      <x:c r="M19" s="42">
        <x:f>+'Res Monthly Weather Weights'!L19</x:f>
        <x:v>3.4769055680427152E-2</x:v>
      </x:c>
      <x:c r="N19" s="42">
        <x:f>+'Res Monthly Weather Weights'!M19</x:f>
        <x:v>3.6675807515269644E-2</x:v>
      </x:c>
      <x:c r="O19" s="42">
        <x:f>+'Res Monthly Weather Weights'!N19</x:f>
        <x:v>3.9108907486633357E-2</x:v>
      </x:c>
      <x:c r="P19" s="42">
        <x:f>+'Res Monthly Weather Weights'!O19</x:f>
        <x:v>3.6732626306456496E-2</x:v>
      </x:c>
    </x:row>
    <x:row r="20" spans="1:16" x14ac:dyDescent="0.25">
      <x:c r="A20" s="40">
        <x:f t="shared" si="0"/>
        <x:v>10</x:v>
      </x:c>
      <x:c r="B20" s="30" t="s">
        <x:v>6</x:v>
      </x:c>
      <x:c r="C20" s="41"/>
      <x:c r="D20" s="43">
        <x:f>+'Res Monthly Weather Weights'!C20</x:f>
        <x:v>3.8781533186017139E-2</x:v>
      </x:c>
      <x:c r="E20" s="43">
        <x:f>+'Res Monthly Weather Weights'!D20</x:f>
        <x:v>3.6488074906214515E-2</x:v>
      </x:c>
      <x:c r="F20" s="43">
        <x:f>+'Res Monthly Weather Weights'!E20</x:f>
        <x:v>3.7751548041618704E-2</x:v>
      </x:c>
      <x:c r="G20" s="43">
        <x:f>+'Res Monthly Weather Weights'!F20</x:f>
        <x:v>4.4824917603070412E-2</x:v>
      </x:c>
      <x:c r="H20" s="43">
        <x:f>+'Res Monthly Weather Weights'!G20</x:f>
        <x:v>4.9415580192666397E-2</x:v>
      </x:c>
      <x:c r="I20" s="43">
        <x:f>+'Res Monthly Weather Weights'!H20</x:f>
        <x:v>4.9661948356020107E-2</x:v>
      </x:c>
      <x:c r="J20" s="43">
        <x:f>+'Res Monthly Weather Weights'!I20</x:f>
        <x:v>4.6927387679995769E-2</x:v>
      </x:c>
      <x:c r="K20" s="43">
        <x:f>+'Res Monthly Weather Weights'!J20</x:f>
        <x:v>4.5564923226480307E-2</x:v>
      </x:c>
      <x:c r="L20" s="43">
        <x:f>+'Res Monthly Weather Weights'!K20</x:f>
        <x:v>4.7071100897038629E-2</x:v>
      </x:c>
      <x:c r="M20" s="43">
        <x:f>+'Res Monthly Weather Weights'!L20</x:f>
        <x:v>4.8655688267850807E-2</x:v>
      </x:c>
      <x:c r="N20" s="43">
        <x:f>+'Res Monthly Weather Weights'!M20</x:f>
        <x:v>4.766479319425105E-2</x:v>
      </x:c>
      <x:c r="O20" s="43">
        <x:f>+'Res Monthly Weather Weights'!N20</x:f>
        <x:v>4.1687432180904899E-2</x:v>
      </x:c>
      <x:c r="P20" s="43">
        <x:f>+'Res Monthly Weather Weights'!O20</x:f>
        <x:v>4.46197881253707E-2</x:v>
      </x:c>
    </x:row>
    <x:row r="21" spans="1:16" x14ac:dyDescent="0.25">
      <x:c r="A21" s="40">
        <x:f t="shared" si="0"/>
        <x:v>11</x:v>
      </x:c>
      <x:c r="C21" s="41"/>
      <x:c r="D21" s="44">
        <x:f t="shared" ref="D21:P21" si="1">SUM(D11:D20)</x:f>
        <x:v>0.99999999999999989</x:v>
      </x:c>
      <x:c r="E21" s="44">
        <x:f t="shared" si="1"/>
        <x:v>1</x:v>
      </x:c>
      <x:c r="F21" s="44">
        <x:f t="shared" si="1"/>
        <x:v>1</x:v>
      </x:c>
      <x:c r="G21" s="44">
        <x:f t="shared" si="1"/>
        <x:v>1.0000000000000002</x:v>
      </x:c>
      <x:c r="H21" s="44">
        <x:f t="shared" si="1"/>
        <x:v>1</x:v>
      </x:c>
      <x:c r="I21" s="44">
        <x:f t="shared" si="1"/>
        <x:v>1</x:v>
      </x:c>
      <x:c r="J21" s="44">
        <x:f t="shared" si="1"/>
        <x:v>1</x:v>
      </x:c>
      <x:c r="K21" s="44">
        <x:f t="shared" si="1"/>
        <x:v>1</x:v>
      </x:c>
      <x:c r="L21" s="44">
        <x:f t="shared" si="1"/>
        <x:v>0.99999999999999989</x:v>
      </x:c>
      <x:c r="M21" s="44">
        <x:f t="shared" si="1"/>
        <x:v>1.0000000000000002</x:v>
      </x:c>
      <x:c r="N21" s="44">
        <x:f t="shared" si="1"/>
        <x:v>0.99999999999999989</x:v>
      </x:c>
      <x:c r="O21" s="44">
        <x:f t="shared" si="1"/>
        <x:v>1</x:v>
      </x:c>
      <x:c r="P21" s="44">
        <x:f t="shared" si="1"/>
        <x:v>1</x:v>
      </x:c>
    </x:row>
    <x:row r="22" spans="1:16" x14ac:dyDescent="0.25">
      <x:c r="A22" s="40">
        <x:f t="shared" si="0"/>
        <x:v>12</x:v>
      </x:c>
    </x:row>
    <x:row r="23" spans="1:16" ht="15.5" x14ac:dyDescent="0.35">
      <x:c r="A23" s="40">
        <x:f t="shared" si="0"/>
        <x:v>13</x:v>
      </x:c>
      <x:c r="D23" s="64" t="s">
        <x:v>43</x:v>
      </x:c>
      <x:c r="E23" s="65"/>
      <x:c r="F23" s="66"/>
      <x:c r="G23" s="27"/>
      <x:c r="H23" s="27"/>
      <x:c r="I23" s="28"/>
      <x:c r="J23" s="28"/>
    </x:row>
    <x:row r="24" spans="1:16" x14ac:dyDescent="0.25">
      <x:c r="A24" s="40">
        <x:f t="shared" si="0"/>
        <x:v>14</x:v>
      </x:c>
      <x:c r="D24" s="29" t="s">
        <x:v>36</x:v>
      </x:c>
      <x:c r="F24" s="29" t="s">
        <x:v>37</x:v>
      </x:c>
    </x:row>
    <x:row r="25" spans="1:16" x14ac:dyDescent="0.25">
      <x:c r="A25" s="40">
        <x:f t="shared" si="0"/>
        <x:v>15</x:v>
      </x:c>
      <x:c r="B25" s="34" t="s">
        <x:v>28</x:v>
      </x:c>
      <x:c r="D25" s="48" t="s">
        <x:v>46</x:v>
      </x:c>
      <x:c r="E25" s="48"/>
      <x:c r="F25" s="48" t="s">
        <x:v>47</x:v>
      </x:c>
    </x:row>
    <x:row r="26" spans="1:16" ht="13" x14ac:dyDescent="0.3">
      <x:c r="A26" s="40">
        <x:f t="shared" si="0"/>
        <x:v>16</x:v>
      </x:c>
      <x:c r="B26" s="29" t="s">
        <x:v>29</x:v>
      </x:c>
      <x:c r="D26" s="45">
        <x:f>ROUND(AVERAGE(D11:F11,N11:O11),3)</x:f>
        <x:v>0.68600000000000005</x:v>
      </x:c>
      <x:c r="F26" s="45">
        <x:f>ROUND(AVERAGE(H11:L11),3)</x:f>
        <x:v>0.70199999999999996</x:v>
      </x:c>
      <x:c r="H26" s="46"/>
      <x:c r="I26" s="46"/>
      <x:c r="K26" s="47"/>
      <x:c r="L26" s="47"/>
    </x:row>
    <x:row r="27" spans="1:16" x14ac:dyDescent="0.25">
      <x:c r="A27" s="40">
        <x:f t="shared" si="0"/>
        <x:v>17</x:v>
      </x:c>
      <x:c r="B27" s="29" t="s">
        <x:v>30</x:v>
      </x:c>
      <x:c r="D27" s="45">
        <x:f t="shared" ref="D27:D35" si="2">ROUND(AVERAGE(D12:F12,N12:O12),3)</x:f>
        <x:v>5.6000000000000001E-2</x:v>
      </x:c>
      <x:c r="F27" s="45">
        <x:f t="shared" ref="F27:F35" si="3">ROUND(AVERAGE(H12:L12),3)</x:f>
        <x:v>5.3999999999999999E-2</x:v>
      </x:c>
      <x:c r="H27" s="45"/>
      <x:c r="I27" s="45"/>
      <x:c r="K27" s="47"/>
      <x:c r="L27" s="47"/>
    </x:row>
    <x:row r="28" spans="1:16" x14ac:dyDescent="0.25">
      <x:c r="A28" s="40">
        <x:f t="shared" si="0"/>
        <x:v>18</x:v>
      </x:c>
      <x:c r="B28" s="29" t="s">
        <x:v>5</x:v>
      </x:c>
      <x:c r="D28" s="45">
        <x:f t="shared" si="2"/>
        <x:v>2.8000000000000001E-2</x:v>
      </x:c>
      <x:c r="F28" s="45">
        <x:f t="shared" si="3"/>
        <x:v>2.5999999999999999E-2</x:v>
      </x:c>
      <x:c r="H28" s="45"/>
      <x:c r="I28" s="45"/>
      <x:c r="K28" s="47"/>
      <x:c r="L28" s="47"/>
    </x:row>
    <x:row r="29" spans="1:16" x14ac:dyDescent="0.25">
      <x:c r="A29" s="40">
        <x:f t="shared" si="0"/>
        <x:v>19</x:v>
      </x:c>
      <x:c r="B29" s="29" t="s">
        <x:v>9</x:v>
      </x:c>
      <x:c r="D29" s="45">
        <x:f t="shared" si="2"/>
        <x:v>1.4E-2</x:v>
      </x:c>
      <x:c r="F29" s="45">
        <x:f t="shared" si="3"/>
        <x:v>1.2E-2</x:v>
      </x:c>
      <x:c r="H29" s="45"/>
      <x:c r="I29" s="45"/>
      <x:c r="K29" s="47"/>
      <x:c r="L29" s="47"/>
    </x:row>
    <x:row r="30" spans="1:16" x14ac:dyDescent="0.25">
      <x:c r="A30" s="40">
        <x:f t="shared" si="0"/>
        <x:v>20</x:v>
      </x:c>
      <x:c r="B30" s="29" t="s">
        <x:v>45</x:v>
      </x:c>
      <x:c r="D30" s="45">
        <x:f t="shared" si="2"/>
        <x:v>2.7E-2</x:v>
      </x:c>
      <x:c r="F30" s="45">
        <x:f t="shared" si="3"/>
        <x:v>2.3E-2</x:v>
      </x:c>
      <x:c r="H30" s="45"/>
      <x:c r="I30" s="45"/>
      <x:c r="K30" s="47"/>
      <x:c r="L30" s="47"/>
    </x:row>
    <x:row r="31" spans="1:16" x14ac:dyDescent="0.25">
      <x:c r="A31" s="40">
        <x:f t="shared" si="0"/>
        <x:v>21</x:v>
      </x:c>
      <x:c r="B31" s="29" t="s">
        <x:v>31</x:v>
      </x:c>
      <x:c r="D31" s="45">
        <x:f>ROUND(AVERAGE(D16:F16,N16:O16),3)</x:f>
        <x:v>5.1999999999999998E-2</x:v>
      </x:c>
      <x:c r="F31" s="45">
        <x:f t="shared" si="3"/>
        <x:v>4.5999999999999999E-2</x:v>
      </x:c>
      <x:c r="H31" s="45"/>
      <x:c r="I31" s="45"/>
      <x:c r="K31" s="47"/>
      <x:c r="L31" s="47"/>
    </x:row>
    <x:row r="32" spans="1:16" x14ac:dyDescent="0.25">
      <x:c r="A32" s="40">
        <x:f t="shared" si="0"/>
        <x:v>22</x:v>
      </x:c>
      <x:c r="B32" s="29" t="s">
        <x:v>3</x:v>
      </x:c>
      <x:c r="D32" s="45">
        <x:f t="shared" si="2"/>
        <x:v>3.9E-2</x:v>
      </x:c>
      <x:c r="F32" s="45">
        <x:f t="shared" si="3"/>
        <x:v>3.5999999999999997E-2</x:v>
      </x:c>
      <x:c r="H32" s="45"/>
      <x:c r="I32" s="45"/>
      <x:c r="K32" s="47"/>
      <x:c r="L32" s="47"/>
    </x:row>
    <x:row r="33" spans="1:12" x14ac:dyDescent="0.25">
      <x:c r="A33" s="40">
        <x:f t="shared" si="0"/>
        <x:v>23</x:v>
      </x:c>
      <x:c r="B33" s="29" t="s">
        <x:v>32</x:v>
      </x:c>
      <x:c r="D33" s="45">
        <x:f t="shared" si="2"/>
        <x:v>1.9E-2</x:v>
      </x:c>
      <x:c r="F33" s="45">
        <x:f t="shared" si="3"/>
        <x:v>1.7999999999999999E-2</x:v>
      </x:c>
      <x:c r="H33" s="45"/>
      <x:c r="I33" s="45"/>
      <x:c r="K33" s="47"/>
      <x:c r="L33" s="47"/>
    </x:row>
    <x:row r="34" spans="1:12" x14ac:dyDescent="0.25">
      <x:c r="A34" s="40">
        <x:f t="shared" si="0"/>
        <x:v>24</x:v>
      </x:c>
      <x:c r="B34" s="29" t="s">
        <x:v>8</x:v>
      </x:c>
      <x:c r="D34" s="45">
        <x:f t="shared" si="2"/>
        <x:v>3.9E-2</x:v>
      </x:c>
      <x:c r="F34" s="45">
        <x:f t="shared" si="3"/>
        <x:v>3.5999999999999997E-2</x:v>
      </x:c>
      <x:c r="H34" s="45"/>
      <x:c r="I34" s="45"/>
      <x:c r="K34" s="47"/>
      <x:c r="L34" s="47"/>
    </x:row>
    <x:row r="35" spans="1:12" x14ac:dyDescent="0.25">
      <x:c r="A35" s="40">
        <x:f t="shared" si="0"/>
        <x:v>25</x:v>
      </x:c>
      <x:c r="B35" s="29" t="s">
        <x:v>6</x:v>
      </x:c>
      <x:c r="D35" s="45">
        <x:f t="shared" si="2"/>
        <x:v>0.04</x:v>
      </x:c>
      <x:c r="E35" s="48"/>
      <x:c r="F35" s="45">
        <x:f t="shared" si="3"/>
        <x:v>4.8000000000000001E-2</x:v>
      </x:c>
      <x:c r="H35" s="45"/>
      <x:c r="I35" s="45"/>
      <x:c r="K35" s="47"/>
      <x:c r="L35" s="47"/>
    </x:row>
    <x:row r="36" spans="1:12" x14ac:dyDescent="0.25">
      <x:c r="A36" s="40">
        <x:f t="shared" si="0"/>
        <x:v>26</x:v>
      </x:c>
      <x:c r="D36" s="62">
        <x:f t="shared" ref="D36" si="4">AVERAGE(D21:F21,N21:O21)</x:f>
        <x:v>1</x:v>
      </x:c>
      <x:c r="F36" s="62">
        <x:f t="shared" ref="F36" si="5">AVERAGE(H21:L21)</x:f>
        <x:v>1</x:v>
      </x:c>
      <x:c r="H36" s="45"/>
      <x:c r="I36" s="45"/>
      <x:c r="K36" s="47"/>
      <x:c r="L36" s="47"/>
    </x:row>
  </x:sheetData>
  <x:mergeCells count="8">
    <x:mergeCell ref="D23:F23"/>
    <x:mergeCell ref="B1:P1"/>
    <x:mergeCell ref="B2:P2"/>
    <x:mergeCell ref="B3:P3"/>
    <x:mergeCell ref="B4:P4"/>
    <x:mergeCell ref="B5:F5"/>
    <x:mergeCell ref="B6:P6"/>
    <x:mergeCell ref="B8:P8"/>
  </x:mergeCells>
  <x:printOptions horizontalCentered="1"/>
  <x:pageMargins left="0.5" right="0.5" top="0.7" bottom="1" header="0.5" footer="0.43"/>
  <x:pageSetup scale="85" orientation="landscape" r:id="rId1"/>
  <x:headerFooter alignWithMargins="0">
    <x:oddHeader>&amp;RWP/II-H-5.2/1
Page &amp;P of &amp;N</x:oddHeader>
    <x:oddFooter>&amp;R]</x:oddFooter>
  </x:headerFooter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1:O21"/>
  <x:sheetViews>
    <x:sheetView zoomScaleNormal="100" zoomScaleSheetLayoutView="100" workbookViewId="0"/>
  </x:sheetViews>
  <x:sheetFormatPr defaultColWidth="9.08984375" defaultRowHeight="13" x14ac:dyDescent="0.3"/>
  <x:cols>
    <x:col min="1" max="1" width="8.08984375" style="1" customWidth="1"/>
    <x:col min="2" max="2" width="16.90625" style="1" customWidth="1"/>
    <x:col min="3" max="3" width="7.08984375" style="1" customWidth="1"/>
    <x:col min="4" max="4" width="9.90625" style="1" bestFit="1" customWidth="1"/>
    <x:col min="5" max="13" width="9.08984375" style="1"/>
    <x:col min="14" max="14" width="9.6328125" style="1" bestFit="1" customWidth="1"/>
    <x:col min="15" max="16384" width="9.08984375" style="1"/>
  </x:cols>
  <x:sheetData>
    <x:row r="1" spans="1:15" ht="15.5" x14ac:dyDescent="0.35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</x:row>
    <x:row r="2" spans="1:15" ht="15.5" x14ac:dyDescent="0.35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</x:row>
    <x:row r="3" spans="1:15" ht="15.5" x14ac:dyDescent="0.35">
      <x:c r="A3" s="14"/>
      <x:c r="B3" s="69" t="s">
        <x:v>40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</x:row>
    <x:row r="4" spans="1:15" ht="15.5" x14ac:dyDescent="0.35">
      <x:c r="A4" s="14"/>
      <x:c r="B4" s="69" t="str">
        <x:f>+'Res Seasonal Weights'!B4:P4</x:f>
        <x:v>FOR THE TEST YEAR ENDING DECEMBER 31, 2024</x:v>
      </x:c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</x:row>
    <x:row r="5" spans="1:15" ht="15.5" x14ac:dyDescent="0.35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</x:row>
    <x:row r="6" spans="1:15" ht="15.5" x14ac:dyDescent="0.35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</x:row>
    <x:row r="7" spans="1:15" ht="15.5" x14ac:dyDescent="0.35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</x:row>
    <x:row r="8" spans="1:15" ht="15.5" x14ac:dyDescent="0.35">
      <x:c r="A8" s="14"/>
      <x:c r="B8" s="69" t="s">
        <x:v>42</x:v>
      </x:c>
      <x:c r="C8" s="71"/>
      <x:c r="D8" s="71"/>
      <x:c r="E8" s="71"/>
      <x:c r="F8" s="71"/>
      <x:c r="G8" s="71"/>
      <x:c r="H8" s="71"/>
      <x:c r="I8" s="71"/>
      <x:c r="J8" s="71"/>
      <x:c r="K8" s="71"/>
      <x:c r="L8" s="71"/>
      <x:c r="M8" s="71"/>
      <x:c r="N8" s="71"/>
      <x:c r="O8" s="71"/>
    </x:row>
    <x:row r="9" spans="1:15" ht="14.5" x14ac:dyDescent="0.35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</x:row>
    <x:row r="10" spans="1:15" ht="15.75" customHeight="1" x14ac:dyDescent="0.3">
      <x:c r="A10" s="20" t="s">
        <x:v>27</x:v>
      </x:c>
      <x:c r="B10" s="21" t="s">
        <x:v>28</x:v>
      </x:c>
      <x:c r="C10" s="22">
        <x:v>36892</x:v>
      </x:c>
      <x:c r="D10" s="23">
        <x:v>36923</x:v>
      </x:c>
      <x:c r="E10" s="23">
        <x:v>36951</x:v>
      </x:c>
      <x:c r="F10" s="23">
        <x:v>36982</x:v>
      </x:c>
      <x:c r="G10" s="23">
        <x:v>37012</x:v>
      </x:c>
      <x:c r="H10" s="23">
        <x:v>37043</x:v>
      </x:c>
      <x:c r="I10" s="23">
        <x:v>37073</x:v>
      </x:c>
      <x:c r="J10" s="23">
        <x:v>37104</x:v>
      </x:c>
      <x:c r="K10" s="23">
        <x:v>37135</x:v>
      </x:c>
      <x:c r="L10" s="23">
        <x:v>37165</x:v>
      </x:c>
      <x:c r="M10" s="23">
        <x:v>37196</x:v>
      </x:c>
      <x:c r="N10" s="23">
        <x:v>37226</x:v>
      </x:c>
      <x:c r="O10" s="24" t="s">
        <x:v>0</x:v>
      </x:c>
    </x:row>
    <x:row r="11" spans="1:15" ht="14.5" x14ac:dyDescent="0.35">
      <x:c r="A11" s="25">
        <x:v>1</x:v>
      </x:c>
      <x:c r="B11" s="17" t="s">
        <x:v>29</x:v>
      </x:c>
      <x:c r="C11" s="5">
        <x:f>+'Res Weights by Year (21-23)'!D14</x:f>
        <x:v>0.6842466537095353</x:v>
      </x:c>
      <x:c r="D11" s="5">
        <x:f>+'Res Weights by Year (21-23)'!E14</x:f>
        <x:v>0.68405042577780284</x:v>
      </x:c>
      <x:c r="E11" s="5">
        <x:f>+'Res Weights by Year (21-23)'!F14</x:f>
        <x:v>0.68559851480914347</x:v>
      </x:c>
      <x:c r="F11" s="5">
        <x:f>+'Res Weights by Year (21-23)'!G14</x:f>
        <x:v>0.68865637375120559</x:v>
      </x:c>
      <x:c r="G11" s="5">
        <x:f>+'Res Weights by Year (21-23)'!H14</x:f>
        <x:v>0.68952427056075982</x:v>
      </x:c>
      <x:c r="H11" s="5">
        <x:f>+'Res Weights by Year (21-23)'!I14</x:f>
        <x:v>0.69610926630834569</x:v>
      </x:c>
      <x:c r="I11" s="5">
        <x:f>+'Res Weights by Year (21-23)'!J14</x:f>
        <x:v>0.70517894357480215</x:v>
      </x:c>
      <x:c r="J11" s="5">
        <x:f>+'Res Weights by Year (21-23)'!K14</x:f>
        <x:v>0.71056044010309394</x:v>
      </x:c>
      <x:c r="K11" s="5">
        <x:f>+'Res Weights by Year (21-23)'!L14</x:f>
        <x:v>0.70735820756575929</x:v>
      </x:c>
      <x:c r="L11" s="5">
        <x:f>+'Res Weights by Year (21-23)'!M14</x:f>
        <x:v>0.70166443064955208</x:v>
      </x:c>
      <x:c r="M11" s="5">
        <x:f>+'Res Weights by Year (21-23)'!N14</x:f>
        <x:v>0.69339622623634611</x:v>
      </x:c>
      <x:c r="N11" s="5">
        <x:f>+'Res Weights by Year (21-23)'!O14</x:f>
        <x:v>0.6837896244658157</x:v>
      </x:c>
      <x:c r="O11" s="5">
        <x:f>+'Res Weights by Year (21-23)'!P14</x:f>
        <x:v>0.69612564384089759</x:v>
      </x:c>
    </x:row>
    <x:row r="12" spans="1:15" ht="14.5" x14ac:dyDescent="0.35">
      <x:c r="A12" s="25">
        <x:f>+A11+1</x:f>
        <x:v>2</x:v>
      </x:c>
      <x:c r="B12" s="17" t="s">
        <x:v>30</x:v>
      </x:c>
      <x:c r="C12" s="5">
        <x:f>+'Res Weights by Year (21-23)'!D54</x:f>
        <x:v>5.6327069538495478E-2</x:v>
      </x:c>
      <x:c r="D12" s="5">
        <x:f>+'Res Weights by Year (21-23)'!E54</x:f>
        <x:v>5.6672598811494924E-2</x:v>
      </x:c>
      <x:c r="E12" s="5">
        <x:f>+'Res Weights by Year (21-23)'!F54</x:f>
        <x:v>5.4263579346917258E-2</x:v>
      </x:c>
      <x:c r="F12" s="5">
        <x:f>+'Res Weights by Year (21-23)'!G54</x:f>
        <x:v>5.489443671330569E-2</x:v>
      </x:c>
      <x:c r="G12" s="5">
        <x:f>+'Res Weights by Year (21-23)'!H54</x:f>
        <x:v>5.7650058187680868E-2</x:v>
      </x:c>
      <x:c r="H12" s="5">
        <x:f>+'Res Weights by Year (21-23)'!I54</x:f>
        <x:v>5.7171460500517454E-2</x:v>
      </x:c>
      <x:c r="I12" s="5">
        <x:f>+'Res Weights by Year (21-23)'!J54</x:f>
        <x:v>5.4274808849714612E-2</x:v>
      </x:c>
      <x:c r="J12" s="5">
        <x:f>+'Res Weights by Year (21-23)'!K54</x:f>
        <x:v>5.1466788251161355E-2</x:v>
      </x:c>
      <x:c r="K12" s="5">
        <x:f>+'Res Weights by Year (21-23)'!L54</x:f>
        <x:v>5.0016082633975036E-2</x:v>
      </x:c>
      <x:c r="L12" s="5">
        <x:f>+'Res Weights by Year (21-23)'!M54</x:f>
        <x:v>5.2030850807543126E-2</x:v>
      </x:c>
      <x:c r="M12" s="5">
        <x:f>+'Res Weights by Year (21-23)'!N54</x:f>
        <x:v>5.3537017642947424E-2</x:v>
      </x:c>
      <x:c r="N12" s="5">
        <x:f>+'Res Weights by Year (21-23)'!O54</x:f>
        <x:v>5.8112093865455024E-2</x:v>
      </x:c>
      <x:c r="O12" s="5">
        <x:f>+'Res Weights by Year (21-23)'!P54</x:f>
        <x:v>5.4282927565840668E-2</x:v>
      </x:c>
    </x:row>
    <x:row r="13" spans="1:15" ht="14.5" x14ac:dyDescent="0.35">
      <x:c r="A13" s="25">
        <x:f t="shared" ref="A13:A20" si="0">+A12+1</x:f>
        <x:v>3</x:v>
      </x:c>
      <x:c r="B13" s="17" t="s">
        <x:v>5</x:v>
      </x:c>
      <x:c r="C13" s="5">
        <x:f>+'Res Weights by Year (21-23)'!D19</x:f>
        <x:v>2.9210748880904587E-2</x:v>
      </x:c>
      <x:c r="D13" s="5">
        <x:f>+'Res Weights by Year (21-23)'!E19</x:f>
        <x:v>2.8802293829726638E-2</x:v>
      </x:c>
      <x:c r="E13" s="5">
        <x:f>+'Res Weights by Year (21-23)'!F19</x:f>
        <x:v>2.7102348674979595E-2</x:v>
      </x:c>
      <x:c r="F13" s="5">
        <x:f>+'Res Weights by Year (21-23)'!G19</x:f>
        <x:v>2.7922034129400742E-2</x:v>
      </x:c>
      <x:c r="G13" s="5">
        <x:f>+'Res Weights by Year (21-23)'!H19</x:f>
        <x:v>2.6923797943178458E-2</x:v>
      </x:c>
      <x:c r="H13" s="5">
        <x:f>+'Res Weights by Year (21-23)'!I19</x:f>
        <x:v>2.614940813825312E-2</x:v>
      </x:c>
      <x:c r="I13" s="5">
        <x:f>+'Res Weights by Year (21-23)'!J19</x:f>
        <x:v>2.5347949981278942E-2</x:v>
      </x:c>
      <x:c r="J13" s="5">
        <x:f>+'Res Weights by Year (21-23)'!K19</x:f>
        <x:v>2.4563014543006308E-2</x:v>
      </x:c>
      <x:c r="K13" s="5">
        <x:f>+'Res Weights by Year (21-23)'!L19</x:f>
        <x:v>2.4720792433345844E-2</x:v>
      </x:c>
      <x:c r="L13" s="5">
        <x:f>+'Res Weights by Year (21-23)'!M19</x:f>
        <x:v>2.4369130746701415E-2</x:v>
      </x:c>
      <x:c r="M13" s="5">
        <x:f>+'Res Weights by Year (21-23)'!N19</x:f>
        <x:v>2.6927032682479184E-2</x:v>
      </x:c>
      <x:c r="N13" s="5">
        <x:f>+'Res Weights by Year (21-23)'!O19</x:f>
        <x:v>2.8529837530280149E-2</x:v>
      </x:c>
      <x:c r="O13" s="5">
        <x:f>+'Res Weights by Year (21-23)'!P19</x:f>
        <x:v>2.6432332761275549E-2</x:v>
      </x:c>
    </x:row>
    <x:row r="14" spans="1:15" ht="14.5" x14ac:dyDescent="0.35">
      <x:c r="A14" s="25">
        <x:f t="shared" si="0"/>
        <x:v>4</x:v>
      </x:c>
      <x:c r="B14" s="17" t="s">
        <x:v>9</x:v>
      </x:c>
      <x:c r="C14" s="5">
        <x:f>+'Res Weights by Year (21-23)'!D44</x:f>
        <x:v>1.4502322354727043E-2</x:v>
      </x:c>
      <x:c r="D14" s="5">
        <x:f>+'Res Weights by Year (21-23)'!E44</x:f>
        <x:v>1.4627539792194047E-2</x:v>
      </x:c>
      <x:c r="E14" s="5">
        <x:f>+'Res Weights by Year (21-23)'!F44</x:f>
        <x:v>1.3729779023334495E-2</x:v>
      </x:c>
      <x:c r="F14" s="5">
        <x:f>+'Res Weights by Year (21-23)'!G44</x:f>
        <x:v>1.2922010918922472E-2</x:v>
      </x:c>
      <x:c r="G14" s="5">
        <x:f>+'Res Weights by Year (21-23)'!H44</x:f>
        <x:v>1.2842978645765323E-2</x:v>
      </x:c>
      <x:c r="H14" s="5">
        <x:f>+'Res Weights by Year (21-23)'!I44</x:f>
        <x:v>1.2411264295333426E-2</x:v>
      </x:c>
      <x:c r="I14" s="5">
        <x:f>+'Res Weights by Year (21-23)'!J44</x:f>
        <x:v>1.2142128913303282E-2</x:v>
      </x:c>
      <x:c r="J14" s="5">
        <x:f>+'Res Weights by Year (21-23)'!K44</x:f>
        <x:v>1.185970695282413E-2</x:v>
      </x:c>
      <x:c r="K14" s="5">
        <x:f>+'Res Weights by Year (21-23)'!L44</x:f>
        <x:v>1.164726098041723E-2</x:v>
      </x:c>
      <x:c r="L14" s="5">
        <x:f>+'Res Weights by Year (21-23)'!M44</x:f>
        <x:v>1.1410164169530857E-2</x:v>
      </x:c>
      <x:c r="M14" s="5">
        <x:f>+'Res Weights by Year (21-23)'!N44</x:f>
        <x:v>1.2048395618468004E-2</x:v>
      </x:c>
      <x:c r="N14" s="5">
        <x:f>+'Res Weights by Year (21-23)'!O44</x:f>
        <x:v>1.3734452832669556E-2</x:v>
      </x:c>
      <x:c r="O14" s="5">
        <x:f>+'Res Weights by Year (21-23)'!P44</x:f>
        <x:v>1.2714991026938337E-2</x:v>
      </x:c>
    </x:row>
    <x:row r="15" spans="1:15" ht="14.5" x14ac:dyDescent="0.35">
      <x:c r="A15" s="25">
        <x:f t="shared" si="0"/>
        <x:v>5</x:v>
      </x:c>
      <x:c r="B15" s="17" t="s">
        <x:v>45</x:v>
      </x:c>
      <x:c r="C15" s="5">
        <x:f>+'Res Weights by Year (21-23)'!D59</x:f>
        <x:v>2.7510074142766461E-2</x:v>
      </x:c>
      <x:c r="D15" s="5">
        <x:f>+'Res Weights by Year (21-23)'!E59</x:f>
        <x:v>2.7931990578495883E-2</x:v>
      </x:c>
      <x:c r="E15" s="5">
        <x:f>+'Res Weights by Year (21-23)'!F59</x:f>
        <x:v>2.8152502623979267E-2</x:v>
      </x:c>
      <x:c r="F15" s="5">
        <x:f>+'Res Weights by Year (21-23)'!G59</x:f>
        <x:v>2.6100432311338781E-2</x:v>
      </x:c>
      <x:c r="G15" s="5">
        <x:f>+'Res Weights by Year (21-23)'!H59</x:f>
        <x:v>2.3295877642223291E-2</x:v>
      </x:c>
      <x:c r="H15" s="5">
        <x:f>+'Res Weights by Year (21-23)'!I59</x:f>
        <x:v>2.2195850747596859E-2</x:v>
      </x:c>
      <x:c r="I15" s="5">
        <x:f>+'Res Weights by Year (21-23)'!J59</x:f>
        <x:v>2.2809321919665983E-2</x:v>
      </x:c>
      <x:c r="J15" s="5">
        <x:f>+'Res Weights by Year (21-23)'!K59</x:f>
        <x:v>2.3586125822388903E-2</x:v>
      </x:c>
      <x:c r="K15" s="5">
        <x:f>+'Res Weights by Year (21-23)'!L59</x:f>
        <x:v>2.3887548415985043E-2</x:v>
      </x:c>
      <x:c r="L15" s="5">
        <x:f>+'Res Weights by Year (21-23)'!M59</x:f>
        <x:v>2.3949840218822266E-2</x:v>
      </x:c>
      <x:c r="M15" s="5">
        <x:f>+'Res Weights by Year (21-23)'!N59</x:f>
        <x:v>2.4647673933100571E-2</x:v>
      </x:c>
      <x:c r="N15" s="5">
        <x:f>+'Res Weights by Year (21-23)'!O59</x:f>
        <x:v>2.7565279941066296E-2</x:v>
      </x:c>
      <x:c r="O15" s="5">
        <x:f>+'Res Weights by Year (21-23)'!P59</x:f>
        <x:v>2.4937122661713794E-2</x:v>
      </x:c>
    </x:row>
    <x:row r="16" spans="1:15" ht="14.5" x14ac:dyDescent="0.35">
      <x:c r="A16" s="25">
        <x:f t="shared" si="0"/>
        <x:v>6</x:v>
      </x:c>
      <x:c r="B16" s="17" t="s">
        <x:v>31</x:v>
      </x:c>
      <x:c r="C16" s="5">
        <x:f>+'Res Weights by Year (21-23)'!D29</x:f>
        <x:v>5.2350245586823878E-2</x:v>
      </x:c>
      <x:c r="D16" s="5">
        <x:f>+'Res Weights by Year (21-23)'!E29</x:f>
        <x:v>5.3723293003999022E-2</x:v>
      </x:c>
      <x:c r="E16" s="5">
        <x:f>+'Res Weights by Year (21-23)'!F29</x:f>
        <x:v>5.4159440169649513E-2</x:v>
      </x:c>
      <x:c r="F16" s="5">
        <x:f>+'Res Weights by Year (21-23)'!G29</x:f>
        <x:v>4.9904217855958034E-2</x:v>
      </x:c>
      <x:c r="G16" s="5">
        <x:f>+'Res Weights by Year (21-23)'!H29</x:f>
        <x:v>4.9078764030776802E-2</x:v>
      </x:c>
      <x:c r="H16" s="5">
        <x:f>+'Res Weights by Year (21-23)'!I29</x:f>
        <x:v>4.7041513957275412E-2</x:v>
      </x:c>
      <x:c r="I16" s="5">
        <x:f>+'Res Weights by Year (21-23)'!J29</x:f>
        <x:v>4.4598990760978952E-2</x:v>
      </x:c>
      <x:c r="J16" s="5">
        <x:f>+'Res Weights by Year (21-23)'!K29</x:f>
        <x:v>4.372461367952387E-2</x:v>
      </x:c>
      <x:c r="K16" s="5">
        <x:f>+'Res Weights by Year (21-23)'!L29</x:f>
        <x:v>4.489395099738739E-2</x:v>
      </x:c>
      <x:c r="L16" s="5">
        <x:f>+'Res Weights by Year (21-23)'!M29</x:f>
        <x:v>4.6612420662902665E-2</x:v>
      </x:c>
      <x:c r="M16" s="5">
        <x:f>+'Res Weights by Year (21-23)'!N29</x:f>
        <x:v>4.9171147191173589E-2</x:v>
      </x:c>
      <x:c r="N16" s="5">
        <x:f>+'Res Weights by Year (21-23)'!O29</x:f>
        <x:v>5.068760367954437E-2</x:v>
      </x:c>
      <x:c r="O16" s="5">
        <x:f>+'Res Weights by Year (21-23)'!P29</x:f>
        <x:v>4.8269623863806288E-2</x:v>
      </x:c>
    </x:row>
    <x:row r="17" spans="1:15" ht="14.5" x14ac:dyDescent="0.35">
      <x:c r="A17" s="25">
        <x:f t="shared" si="0"/>
        <x:v>7</x:v>
      </x:c>
      <x:c r="B17" s="17" t="s">
        <x:v>3</x:v>
      </x:c>
      <x:c r="C17" s="5">
        <x:f>+'Res Weights by Year (21-23)'!D39</x:f>
        <x:v>3.8231386577861556E-2</x:v>
      </x:c>
      <x:c r="D17" s="5">
        <x:f>+'Res Weights by Year (21-23)'!E39</x:f>
        <x:v>3.9066819392775148E-2</x:v>
      </x:c>
      <x:c r="E17" s="5">
        <x:f>+'Res Weights by Year (21-23)'!F39</x:f>
        <x:v>4.090581226498153E-2</x:v>
      </x:c>
      <x:c r="F17" s="5">
        <x:f>+'Res Weights by Year (21-23)'!G39</x:f>
        <x:v>3.8050378940994674E-2</x:v>
      </x:c>
      <x:c r="G17" s="5">
        <x:f>+'Res Weights by Year (21-23)'!H39</x:f>
        <x:v>3.6764384704129745E-2</x:v>
      </x:c>
      <x:c r="H17" s="5">
        <x:f>+'Res Weights by Year (21-23)'!I39</x:f>
        <x:v>3.5600916035753195E-2</x:v>
      </x:c>
      <x:c r="I17" s="5">
        <x:f>+'Res Weights by Year (21-23)'!J39</x:f>
        <x:v>3.5106317189389419E-2</x:v>
      </x:c>
      <x:c r="J17" s="5">
        <x:f>+'Res Weights by Year (21-23)'!K39</x:f>
        <x:v>3.5176501542589216E-2</x:v>
      </x:c>
      <x:c r="K17" s="5">
        <x:f>+'Res Weights by Year (21-23)'!L39</x:f>
        <x:v>3.6220890385645965E-2</x:v>
      </x:c>
      <x:c r="L17" s="5">
        <x:f>+'Res Weights by Year (21-23)'!M39</x:f>
        <x:v>3.7896852271475247E-2</x:v>
      </x:c>
      <x:c r="M17" s="5">
        <x:f>+'Res Weights by Year (21-23)'!N39</x:f>
        <x:v>3.7950638700785792E-2</x:v>
      </x:c>
      <x:c r="N17" s="5">
        <x:f>+'Res Weights by Year (21-23)'!O39</x:f>
        <x:v>3.7924060930908686E-2</x:v>
      </x:c>
      <x:c r="O17" s="5">
        <x:f>+'Res Weights by Year (21-23)'!P39</x:f>
        <x:v>3.7182176722156096E-2</x:v>
      </x:c>
    </x:row>
    <x:row r="18" spans="1:15" ht="14.5" x14ac:dyDescent="0.35">
      <x:c r="A18" s="25">
        <x:f t="shared" si="0"/>
        <x:v>8</x:v>
      </x:c>
      <x:c r="B18" s="17" t="s">
        <x:v>32</x:v>
      </x:c>
      <x:c r="C18" s="5">
        <x:f>+'Res Weights by Year (21-23)'!D49</x:f>
        <x:v>1.9416085067219018E-2</x:v>
      </x:c>
      <x:c r="D18" s="5">
        <x:f>+'Res Weights by Year (21-23)'!E49</x:f>
        <x:v>1.9545807968369345E-2</x:v>
      </x:c>
      <x:c r="E18" s="5">
        <x:f>+'Res Weights by Year (21-23)'!F49</x:f>
        <x:v>1.984579388120437E-2</x:v>
      </x:c>
      <x:c r="F18" s="5">
        <x:f>+'Res Weights by Year (21-23)'!G49</x:f>
        <x:v>1.8467719545435895E-2</x:v>
      </x:c>
      <x:c r="G18" s="5">
        <x:f>+'Res Weights by Year (21-23)'!H49</x:f>
        <x:v>1.7801695255155316E-2</x:v>
      </x:c>
      <x:c r="H18" s="5">
        <x:f>+'Res Weights by Year (21-23)'!I49</x:f>
        <x:v>1.772557816479239E-2</x:v>
      </x:c>
      <x:c r="I18" s="5">
        <x:f>+'Res Weights by Year (21-23)'!J49</x:f>
        <x:v>1.8215009815435231E-2</x:v>
      </x:c>
      <x:c r="J18" s="5">
        <x:f>+'Res Weights by Year (21-23)'!K49</x:f>
        <x:v>1.870255349669293E-2</x:v>
      </x:c>
      <x:c r="K18" s="5">
        <x:f>+'Res Weights by Year (21-23)'!L49</x:f>
        <x:v>1.8871371791882235E-2</x:v>
      </x:c>
      <x:c r="L18" s="5">
        <x:f>+'Res Weights by Year (21-23)'!M49</x:f>
        <x:v>1.864156652519457E-2</x:v>
      </x:c>
      <x:c r="M18" s="5">
        <x:f>+'Res Weights by Year (21-23)'!N49</x:f>
        <x:v>1.7981267285178557E-2</x:v>
      </x:c>
      <x:c r="N18" s="5">
        <x:f>+'Res Weights by Year (21-23)'!O49</x:f>
        <x:v>1.8860707086721992E-2</x:v>
      </x:c>
      <x:c r="O18" s="5">
        <x:f>+'Res Weights by Year (21-23)'!P49</x:f>
        <x:v>1.8702767125544657E-2</x:v>
      </x:c>
    </x:row>
    <x:row r="19" spans="1:15" ht="14.5" x14ac:dyDescent="0.35">
      <x:c r="A19" s="25">
        <x:f t="shared" si="0"/>
        <x:v>9</x:v>
      </x:c>
      <x:c r="B19" s="17" t="s">
        <x:v>8</x:v>
      </x:c>
      <x:c r="C19" s="5">
        <x:f>+'Res Weights by Year (21-23)'!D34</x:f>
        <x:v>3.9423880955649498E-2</x:v>
      </x:c>
      <x:c r="D19" s="5">
        <x:f>+'Res Weights by Year (21-23)'!E34</x:f>
        <x:v>3.909115593892766E-2</x:v>
      </x:c>
      <x:c r="E19" s="5">
        <x:f>+'Res Weights by Year (21-23)'!F34</x:f>
        <x:v>3.8490681164191784E-2</x:v>
      </x:c>
      <x:c r="F19" s="5">
        <x:f>+'Res Weights by Year (21-23)'!G34</x:f>
        <x:v>3.8257478230367799E-2</x:v>
      </x:c>
      <x:c r="G19" s="5">
        <x:f>+'Res Weights by Year (21-23)'!H34</x:f>
        <x:v>3.6702592837663937E-2</x:v>
      </x:c>
      <x:c r="H19" s="5">
        <x:f>+'Res Weights by Year (21-23)'!I34</x:f>
        <x:v>3.5932793496112343E-2</x:v>
      </x:c>
      <x:c r="I19" s="5">
        <x:f>+'Res Weights by Year (21-23)'!J34</x:f>
        <x:v>3.5399141315435735E-2</x:v>
      </x:c>
      <x:c r="J19" s="5">
        <x:f>+'Res Weights by Year (21-23)'!K34</x:f>
        <x:v>3.479533238223903E-2</x:v>
      </x:c>
      <x:c r="K19" s="5">
        <x:f>+'Res Weights by Year (21-23)'!L34</x:f>
        <x:v>3.5312793898563219E-2</x:v>
      </x:c>
      <x:c r="L19" s="5">
        <x:f>+'Res Weights by Year (21-23)'!M34</x:f>
        <x:v>3.4769055680427152E-2</x:v>
      </x:c>
      <x:c r="M19" s="5">
        <x:f>+'Res Weights by Year (21-23)'!N34</x:f>
        <x:v>3.6675807515269644E-2</x:v>
      </x:c>
      <x:c r="N19" s="5">
        <x:f>+'Res Weights by Year (21-23)'!O34</x:f>
        <x:v>3.9108907486633357E-2</x:v>
      </x:c>
      <x:c r="O19" s="5">
        <x:f>+'Res Weights by Year (21-23)'!P34</x:f>
        <x:v>3.6732626306456496E-2</x:v>
      </x:c>
    </x:row>
    <x:row r="20" spans="1:15" ht="14.5" x14ac:dyDescent="0.35">
      <x:c r="A20" s="25">
        <x:f t="shared" si="0"/>
        <x:v>10</x:v>
      </x:c>
      <x:c r="B20" s="17" t="s">
        <x:v>6</x:v>
      </x:c>
      <x:c r="C20" s="6">
        <x:f>+'Res Weights by Year (21-23)'!D24</x:f>
        <x:v>3.8781533186017139E-2</x:v>
      </x:c>
      <x:c r="D20" s="6">
        <x:f>+'Res Weights by Year (21-23)'!E24</x:f>
        <x:v>3.6488074906214515E-2</x:v>
      </x:c>
      <x:c r="E20" s="6">
        <x:f>+'Res Weights by Year (21-23)'!F24</x:f>
        <x:v>3.7751548041618704E-2</x:v>
      </x:c>
      <x:c r="F20" s="6">
        <x:f>+'Res Weights by Year (21-23)'!G24</x:f>
        <x:v>4.4824917603070412E-2</x:v>
      </x:c>
      <x:c r="G20" s="6">
        <x:f>+'Res Weights by Year (21-23)'!H24</x:f>
        <x:v>4.9415580192666397E-2</x:v>
      </x:c>
      <x:c r="H20" s="6">
        <x:f>+'Res Weights by Year (21-23)'!I24</x:f>
        <x:v>4.9661948356020107E-2</x:v>
      </x:c>
      <x:c r="I20" s="6">
        <x:f>+'Res Weights by Year (21-23)'!J24</x:f>
        <x:v>4.6927387679995769E-2</x:v>
      </x:c>
      <x:c r="J20" s="6">
        <x:f>+'Res Weights by Year (21-23)'!K24</x:f>
        <x:v>4.5564923226480307E-2</x:v>
      </x:c>
      <x:c r="K20" s="6">
        <x:f>+'Res Weights by Year (21-23)'!L24</x:f>
        <x:v>4.7071100897038629E-2</x:v>
      </x:c>
      <x:c r="L20" s="6">
        <x:f>+'Res Weights by Year (21-23)'!M24</x:f>
        <x:v>4.8655688267850807E-2</x:v>
      </x:c>
      <x:c r="M20" s="6">
        <x:f>+'Res Weights by Year (21-23)'!N24</x:f>
        <x:v>4.766479319425105E-2</x:v>
      </x:c>
      <x:c r="N20" s="6">
        <x:f>+'Res Weights by Year (21-23)'!O24</x:f>
        <x:v>4.1687432180904899E-2</x:v>
      </x:c>
      <x:c r="O20" s="6">
        <x:f>+'Res Weights by Year (21-23)'!P24</x:f>
        <x:v>4.46197881253707E-2</x:v>
      </x:c>
    </x:row>
    <x:row r="21" spans="1:15" x14ac:dyDescent="0.3">
      <x:c r="B21" s="4"/>
      <x:c r="C21" s="7">
        <x:f t="shared" ref="C21:O21" si="1">SUM(C11:C20)</x:f>
        <x:v>0.99999999999999989</x:v>
      </x:c>
      <x:c r="D21" s="7">
        <x:f t="shared" si="1"/>
        <x:v>1</x:v>
      </x:c>
      <x:c r="E21" s="7">
        <x:f t="shared" si="1"/>
        <x:v>1</x:v>
      </x:c>
      <x:c r="F21" s="7">
        <x:f t="shared" si="1"/>
        <x:v>1.0000000000000002</x:v>
      </x:c>
      <x:c r="G21" s="7">
        <x:f t="shared" si="1"/>
        <x:v>1</x:v>
      </x:c>
      <x:c r="H21" s="7">
        <x:f t="shared" si="1"/>
        <x:v>1</x:v>
      </x:c>
      <x:c r="I21" s="7">
        <x:f t="shared" si="1"/>
        <x:v>1</x:v>
      </x:c>
      <x:c r="J21" s="7">
        <x:f t="shared" si="1"/>
        <x:v>1</x:v>
      </x:c>
      <x:c r="K21" s="7">
        <x:f t="shared" si="1"/>
        <x:v>0.99999999999999989</x:v>
      </x:c>
      <x:c r="L21" s="7">
        <x:f t="shared" si="1"/>
        <x:v>1.0000000000000002</x:v>
      </x:c>
      <x:c r="M21" s="7">
        <x:f t="shared" si="1"/>
        <x:v>0.99999999999999989</x:v>
      </x:c>
      <x:c r="N21" s="7">
        <x:f t="shared" si="1"/>
        <x:v>1</x:v>
      </x:c>
      <x:c r="O21" s="7">
        <x:f t="shared" si="1"/>
        <x:v>1</x:v>
      </x:c>
    </x:row>
  </x:sheetData>
  <x:mergeCells count="7">
    <x:mergeCell ref="B8:O8"/>
    <x:mergeCell ref="B1:O1"/>
    <x:mergeCell ref="B2:O2"/>
    <x:mergeCell ref="B3:O3"/>
    <x:mergeCell ref="B4:O4"/>
    <x:mergeCell ref="B5:F5"/>
    <x:mergeCell ref="B6:O6"/>
  </x:mergeCells>
  <x:phoneticPr fontId="2" type="noConversion"/>
  <x:printOptions horizontalCentered="1"/>
  <x:pageMargins left="0.5" right="0.5" top="0.7" bottom="1" header="0.5" footer="0.43"/>
  <x:pageSetup scale="88" orientation="landscape" r:id="rId1"/>
  <x:headerFooter alignWithMargins="0">
    <x:oddHeader>&amp;RWP/II-H-5.2/1
Page &amp;P of &amp;N</x:oddHead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pageSetUpPr fitToPage="1"/>
  </x:sheetPr>
  <x:dimension ref="A1:Q64"/>
  <x:sheetViews>
    <x:sheetView view="pageBreakPreview" zoomScaleNormal="100" workbookViewId="0"/>
  </x:sheetViews>
  <x:sheetFormatPr defaultColWidth="9.08984375" defaultRowHeight="13" x14ac:dyDescent="0.3"/>
  <x:cols>
    <x:col min="1" max="1" width="9.08984375" style="1"/>
    <x:col min="2" max="2" width="16.90625" style="1" customWidth="1"/>
    <x:col min="3" max="3" width="6.90625" style="1" customWidth="1"/>
    <x:col min="4" max="15" width="8.6328125" style="1" customWidth="1"/>
    <x:col min="16" max="16" width="9.6328125" style="1" customWidth="1"/>
    <x:col min="17" max="17" width="9.54296875" style="1" bestFit="1" customWidth="1"/>
    <x:col min="18" max="16384" width="9.08984375" style="1"/>
  </x:cols>
  <x:sheetData>
    <x:row r="1" spans="1:17" ht="15.5" x14ac:dyDescent="0.35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</x:row>
    <x:row r="2" spans="1:17" ht="15.5" x14ac:dyDescent="0.35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 spans="1:17" ht="15.5" x14ac:dyDescent="0.35">
      <x:c r="A3" s="14"/>
      <x:c r="B3" s="69" t="s">
        <x:v>40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 spans="1:17" ht="15.5" x14ac:dyDescent="0.35">
      <x:c r="A4" s="14"/>
      <x:c r="B4" s="69" t="str">
        <x:f>+'Res Seasonal Weights'!B4:P4</x:f>
        <x:v>FOR THE TEST YEAR ENDING DECEMBER 31, 2024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7" ht="15.5" x14ac:dyDescent="0.35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  <x:c r="P5" s="18"/>
    </x:row>
    <x:row r="6" spans="1:17" ht="15.5" x14ac:dyDescent="0.35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  <x:c r="P6" s="70"/>
    </x:row>
    <x:row r="7" spans="1:17" ht="15.5" x14ac:dyDescent="0.35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  <x:c r="P7" s="18"/>
    </x:row>
    <x:row r="8" spans="1:17" ht="15.5" x14ac:dyDescent="0.35">
      <x:c r="A8" s="14"/>
      <x:c r="B8" s="69" t="s">
        <x:v>41</x:v>
      </x:c>
      <x:c r="C8" s="71"/>
      <x:c r="D8" s="71"/>
      <x:c r="E8" s="71"/>
      <x:c r="F8" s="71"/>
      <x:c r="G8" s="71"/>
      <x:c r="H8" s="71"/>
      <x:c r="I8" s="71"/>
      <x:c r="J8" s="71"/>
      <x:c r="K8" s="71"/>
      <x:c r="L8" s="71"/>
      <x:c r="M8" s="71"/>
      <x:c r="N8" s="71"/>
      <x:c r="O8" s="71"/>
      <x:c r="P8" s="71"/>
    </x:row>
    <x:row r="9" spans="1:17" ht="14.5" x14ac:dyDescent="0.35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  <x:c r="P9" s="19" t="s">
        <x:v>44</x:v>
      </x:c>
    </x:row>
    <x:row r="10" spans="1:17" ht="15.75" customHeight="1" x14ac:dyDescent="0.3">
      <x:c r="A10" s="20" t="s">
        <x:v>27</x:v>
      </x:c>
      <x:c r="B10" s="21" t="s">
        <x:v>28</x:v>
      </x:c>
      <x:c r="C10" s="1" t="s">
        <x:v>33</x:v>
      </x:c>
      <x:c r="D10" s="22">
        <x:v>36892</x:v>
      </x:c>
      <x:c r="E10" s="23">
        <x:v>36923</x:v>
      </x:c>
      <x:c r="F10" s="23">
        <x:v>36951</x:v>
      </x:c>
      <x:c r="G10" s="23">
        <x:v>36982</x:v>
      </x:c>
      <x:c r="H10" s="23">
        <x:v>37012</x:v>
      </x:c>
      <x:c r="I10" s="23">
        <x:v>37043</x:v>
      </x:c>
      <x:c r="J10" s="23">
        <x:v>37073</x:v>
      </x:c>
      <x:c r="K10" s="23">
        <x:v>37104</x:v>
      </x:c>
      <x:c r="L10" s="23">
        <x:v>37135</x:v>
      </x:c>
      <x:c r="M10" s="23">
        <x:v>37165</x:v>
      </x:c>
      <x:c r="N10" s="23">
        <x:v>37196</x:v>
      </x:c>
      <x:c r="O10" s="23">
        <x:v>37226</x:v>
      </x:c>
      <x:c r="P10" s="24" t="s">
        <x:v>0</x:v>
      </x:c>
    </x:row>
    <x:row r="11" spans="1:17" ht="14.5" x14ac:dyDescent="0.35">
      <x:c r="A11" s="1">
        <x:v>1</x:v>
      </x:c>
      <x:c r="B11" s="17" t="s">
        <x:v>29</x:v>
      </x:c>
      <x:c r="C11" s="2">
        <x:v>2021</x:v>
      </x:c>
      <x:c r="D11" s="3">
        <x:f>'Res Sales by Year (21-23)'!D11/'Res Sales by Year (21-23)'!D61</x:f>
        <x:v>0.68081362360192865</x:v>
      </x:c>
      <x:c r="E11" s="3">
        <x:f>'Res Sales by Year (21-23)'!E11/'Res Sales by Year (21-23)'!E$61</x:f>
        <x:v>0.68566829757124292</x:v>
      </x:c>
      <x:c r="F11" s="3">
        <x:f>'Res Sales by Year (21-23)'!F11/'Res Sales by Year (21-23)'!F$61</x:f>
        <x:v>0.68761950048545017</x:v>
      </x:c>
      <x:c r="G11" s="3">
        <x:f>'Res Sales by Year (21-23)'!G11/'Res Sales by Year (21-23)'!G$61</x:f>
        <x:v>0.68699690295766758</x:v>
      </x:c>
      <x:c r="H11" s="3">
        <x:f>'Res Sales by Year (21-23)'!H11/'Res Sales by Year (21-23)'!H$61</x:f>
        <x:v>0.68741735671237159</x:v>
      </x:c>
      <x:c r="I11" s="3">
        <x:f>'Res Sales by Year (21-23)'!I11/'Res Sales by Year (21-23)'!I$61</x:f>
        <x:v>0.69278081582961382</x:v>
      </x:c>
      <x:c r="J11" s="3">
        <x:f>'Res Sales by Year (21-23)'!J11/'Res Sales by Year (21-23)'!J$61</x:f>
        <x:v>0.70894374461844212</x:v>
      </x:c>
      <x:c r="K11" s="3">
        <x:f>'Res Sales by Year (21-23)'!K11/'Res Sales by Year (21-23)'!K$61</x:f>
        <x:v>0.7142834311410613</x:v>
      </x:c>
      <x:c r="L11" s="3">
        <x:f>'Res Sales by Year (21-23)'!L11/'Res Sales by Year (21-23)'!L$61</x:f>
        <x:v>0.70863312511010901</x:v>
      </x:c>
      <x:c r="M11" s="3">
        <x:f>'Res Sales by Year (21-23)'!M11/'Res Sales by Year (21-23)'!M$61</x:f>
        <x:v>0.70389001471376633</x:v>
      </x:c>
      <x:c r="N11" s="3">
        <x:f>'Res Sales by Year (21-23)'!N11/'Res Sales by Year (21-23)'!N$61</x:f>
        <x:v>0.69719710049420269</x:v>
      </x:c>
      <x:c r="O11" s="3">
        <x:f>'Res Sales by Year (21-23)'!O11/'Res Sales by Year (21-23)'!O$61</x:f>
        <x:v>0.68753903109241887</x:v>
      </x:c>
      <x:c r="P11" s="59">
        <x:f>'Res Sales by Year (21-23)'!P11/'Res Sales by Year (21-23)'!P$61</x:f>
        <x:v>0.69686832711122915</x:v>
      </x:c>
      <x:c r="Q11" s="4"/>
    </x:row>
    <x:row r="12" spans="1:17" ht="14.5" x14ac:dyDescent="0.35">
      <x:c r="A12" s="1">
        <x:f>+A11+1</x:f>
        <x:v>2</x:v>
      </x:c>
      <x:c r="B12" s="17" t="s">
        <x:v>29</x:v>
      </x:c>
      <x:c r="C12" s="2">
        <x:v>2022</x:v>
      </x:c>
      <x:c r="D12" s="3">
        <x:f>'Res Sales by Year (21-23)'!D12/'Res Sales by Year (21-23)'!D62</x:f>
        <x:v>0.69114184377027432</x:v>
      </x:c>
      <x:c r="E12" s="3">
        <x:f>'Res Sales by Year (21-23)'!E12/'Res Sales by Year (21-23)'!E$62</x:f>
        <x:v>0.68256962829851409</x:v>
      </x:c>
      <x:c r="F12" s="3">
        <x:f>'Res Sales by Year (21-23)'!F12/'Res Sales by Year (21-23)'!F$62</x:f>
        <x:v>0.68372926053526584</x:v>
      </x:c>
      <x:c r="G12" s="3">
        <x:f>'Res Sales by Year (21-23)'!G12/'Res Sales by Year (21-23)'!G$62</x:f>
        <x:v>0.68998218821890922</x:v>
      </x:c>
      <x:c r="H12" s="3">
        <x:f>'Res Sales by Year (21-23)'!H12/'Res Sales by Year (21-23)'!H$62</x:f>
        <x:v>0.69063555897578388</x:v>
      </x:c>
      <x:c r="I12" s="3">
        <x:f>'Res Sales by Year (21-23)'!I12/'Res Sales by Year (21-23)'!I$62</x:f>
        <x:v>0.69557197064150478</x:v>
      </x:c>
      <x:c r="J12" s="3">
        <x:f>'Res Sales by Year (21-23)'!J12/'Res Sales by Year (21-23)'!J$62</x:f>
        <x:v>0.71018308716399015</x:v>
      </x:c>
      <x:c r="K12" s="3">
        <x:f>'Res Sales by Year (21-23)'!K12/'Res Sales by Year (21-23)'!K$62</x:f>
        <x:v>0.71313290609409929</x:v>
      </x:c>
      <x:c r="L12" s="3">
        <x:f>'Res Sales by Year (21-23)'!L12/'Res Sales by Year (21-23)'!L$62</x:f>
        <x:v>0.70474766047777271</x:v>
      </x:c>
      <x:c r="M12" s="3">
        <x:f>'Res Sales by Year (21-23)'!M12/'Res Sales by Year (21-23)'!M$62</x:f>
        <x:v>0.7009248183525193</x:v>
      </x:c>
      <x:c r="N12" s="3">
        <x:f>'Res Sales by Year (21-23)'!N12/'Res Sales by Year (21-23)'!N$62</x:f>
        <x:v>0.69285403054768269</x:v>
      </x:c>
      <x:c r="O12" s="3">
        <x:f>'Res Sales by Year (21-23)'!O12/'Res Sales by Year (21-23)'!O$62</x:f>
        <x:v>0.68236422973413224</x:v>
      </x:c>
      <x:c r="P12" s="60">
        <x:f>'Res Sales by Year (21-23)'!P12/'Res Sales by Year (21-23)'!P$62</x:f>
        <x:v>0.69690011109820715</x:v>
      </x:c>
    </x:row>
    <x:row r="13" spans="1:17" ht="15" thickBot="1" x14ac:dyDescent="0.4">
      <x:c r="A13" s="1">
        <x:f t="shared" ref="A13:A64" si="0">+A12+1</x:f>
        <x:v>3</x:v>
      </x:c>
      <x:c r="B13" s="17" t="s">
        <x:v>29</x:v>
      </x:c>
      <x:c r="C13" s="2">
        <x:v>2023</x:v>
      </x:c>
      <x:c r="D13" s="3">
        <x:f>'Res Sales by Year (21-23)'!D13/'Res Sales by Year (21-23)'!D63</x:f>
        <x:v>0.68181159648972522</x:v>
      </x:c>
      <x:c r="E13" s="3">
        <x:f>'Res Sales by Year (21-23)'!E13/'Res Sales by Year (21-23)'!E63</x:f>
        <x:v>0.68404433014492427</x:v>
      </x:c>
      <x:c r="F13" s="3">
        <x:f>'Res Sales by Year (21-23)'!F13/'Res Sales by Year (21-23)'!F63</x:f>
        <x:v>0.68518395066627835</x:v>
      </x:c>
      <x:c r="G13" s="3">
        <x:f>'Res Sales by Year (21-23)'!G13/'Res Sales by Year (21-23)'!G63</x:f>
        <x:v>0.68875126767367312</x:v>
      </x:c>
      <x:c r="H13" s="3">
        <x:f>'Res Sales by Year (21-23)'!H13/'Res Sales by Year (21-23)'!H63</x:f>
        <x:v>0.69029431698292398</x:v>
      </x:c>
      <x:c r="I13" s="3">
        <x:f>'Res Sales by Year (21-23)'!I13/'Res Sales by Year (21-23)'!I63</x:f>
        <x:v>0.69968342888633439</x:v>
      </x:c>
      <x:c r="J13" s="3">
        <x:f>'Res Sales by Year (21-23)'!J13/'Res Sales by Year (21-23)'!J63</x:f>
        <x:v>0.6963717436609731</x:v>
      </x:c>
      <x:c r="K13" s="3">
        <x:f>'Res Sales by Year (21-23)'!K13/'Res Sales by Year (21-23)'!K63</x:f>
        <x:v>0.70486652719061971</x:v>
      </x:c>
      <x:c r="L13" s="3">
        <x:f>'Res Sales by Year (21-23)'!L13/'Res Sales by Year (21-23)'!L63</x:f>
        <x:v>0.70841368509392666</x:v>
      </x:c>
      <x:c r="M13" s="3">
        <x:f>'Res Sales by Year (21-23)'!M13/'Res Sales by Year (21-23)'!M63</x:f>
        <x:v>0.70034536447131113</x:v>
      </x:c>
      <x:c r="N13" s="3">
        <x:f>'Res Sales by Year (21-23)'!N13/'Res Sales by Year (21-23)'!N63</x:f>
        <x:v>0.69018516636040239</x:v>
      </x:c>
      <x:c r="O13" s="3">
        <x:f>'Res Sales by Year (21-23)'!O13/'Res Sales by Year (21-23)'!O63</x:f>
        <x:v>0.68187239190913262</x:v>
      </x:c>
      <x:c r="P13" s="60">
        <x:f>'Res Sales by Year (21-23)'!P13/'Res Sales by Year (21-23)'!P63</x:f>
        <x:v>0.69464582578096756</x:v>
      </x:c>
    </x:row>
    <x:row r="14" spans="1:17" ht="14.5" x14ac:dyDescent="0.35">
      <x:c r="A14" s="1">
        <x:f t="shared" si="0"/>
        <x:v>4</x:v>
      </x:c>
      <x:c r="B14" s="17" t="s">
        <x:v>29</x:v>
      </x:c>
      <x:c r="C14" s="57" t="s">
        <x:v>1</x:v>
      </x:c>
      <x:c r="D14" s="58">
        <x:f>'Res Sales by Year (21-23)'!D14/'Res Sales by Year (21-23)'!D64</x:f>
        <x:v>0.6842466537095353</x:v>
      </x:c>
      <x:c r="E14" s="58">
        <x:f>'Res Sales by Year (21-23)'!E14/'Res Sales by Year (21-23)'!E64</x:f>
        <x:v>0.68405042577780284</x:v>
      </x:c>
      <x:c r="F14" s="58">
        <x:f>'Res Sales by Year (21-23)'!F14/'Res Sales by Year (21-23)'!F64</x:f>
        <x:v>0.68559851480914347</x:v>
      </x:c>
      <x:c r="G14" s="58">
        <x:f>'Res Sales by Year (21-23)'!G14/'Res Sales by Year (21-23)'!G64</x:f>
        <x:v>0.68865637375120559</x:v>
      </x:c>
      <x:c r="H14" s="58">
        <x:f>'Res Sales by Year (21-23)'!H14/'Res Sales by Year (21-23)'!H64</x:f>
        <x:v>0.68952427056075982</x:v>
      </x:c>
      <x:c r="I14" s="58">
        <x:f>'Res Sales by Year (21-23)'!I14/'Res Sales by Year (21-23)'!I64</x:f>
        <x:v>0.69610926630834569</x:v>
      </x:c>
      <x:c r="J14" s="58">
        <x:f>'Res Sales by Year (21-23)'!J14/'Res Sales by Year (21-23)'!J64</x:f>
        <x:v>0.70517894357480215</x:v>
      </x:c>
      <x:c r="K14" s="58">
        <x:f>'Res Sales by Year (21-23)'!K14/'Res Sales by Year (21-23)'!K64</x:f>
        <x:v>0.71056044010309394</x:v>
      </x:c>
      <x:c r="L14" s="58">
        <x:f>'Res Sales by Year (21-23)'!L14/'Res Sales by Year (21-23)'!L64</x:f>
        <x:v>0.70735820756575929</x:v>
      </x:c>
      <x:c r="M14" s="58">
        <x:f>'Res Sales by Year (21-23)'!M14/'Res Sales by Year (21-23)'!M64</x:f>
        <x:v>0.70166443064955208</x:v>
      </x:c>
      <x:c r="N14" s="58">
        <x:f>'Res Sales by Year (21-23)'!N14/'Res Sales by Year (21-23)'!N64</x:f>
        <x:v>0.69339622623634611</x:v>
      </x:c>
      <x:c r="O14" s="58">
        <x:f>'Res Sales by Year (21-23)'!O14/'Res Sales by Year (21-23)'!O64</x:f>
        <x:v>0.6837896244658157</x:v>
      </x:c>
      <x:c r="P14" s="61">
        <x:f>'Res Sales by Year (21-23)'!P14/'Res Sales by Year (21-23)'!P64</x:f>
        <x:v>0.69612564384089759</x:v>
      </x:c>
    </x:row>
    <x:row r="15" spans="1:17" x14ac:dyDescent="0.3">
      <x:c r="A15" s="1">
        <x:f t="shared" si="0"/>
        <x:v>5</x:v>
      </x:c>
      <x:c r="B15" s="8"/>
      <x:c r="C15" s="4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</x:row>
    <x:row r="16" spans="1:17" x14ac:dyDescent="0.3">
      <x:c r="A16" s="1">
        <x:f t="shared" si="0"/>
        <x:v>6</x:v>
      </x:c>
      <x:c r="B16" s="8" t="s">
        <x:v>5</x:v>
      </x:c>
      <x:c r="C16" s="2">
        <x:f>+C11</x:f>
        <x:v>2021</x:v>
      </x:c>
      <x:c r="D16" s="3">
        <x:f>'Res Sales by Year (21-23)'!D16/'Res Sales by Year (21-23)'!D61</x:f>
        <x:v>3.0021685063037276E-2</x:v>
      </x:c>
      <x:c r="E16" s="3">
        <x:f>'Res Sales by Year (21-23)'!E16/'Res Sales by Year (21-23)'!E$61</x:f>
        <x:v>2.852662068327037E-2</x:v>
      </x:c>
      <x:c r="F16" s="3">
        <x:f>'Res Sales by Year (21-23)'!F16/'Res Sales by Year (21-23)'!F$61</x:f>
        <x:v>2.6826841640018809E-2</x:v>
      </x:c>
      <x:c r="G16" s="3">
        <x:f>'Res Sales by Year (21-23)'!G16/'Res Sales by Year (21-23)'!G$61</x:f>
        <x:v>2.9076616902978962E-2</x:v>
      </x:c>
      <x:c r="H16" s="3">
        <x:f>'Res Sales by Year (21-23)'!H16/'Res Sales by Year (21-23)'!H$61</x:f>
        <x:v>2.7997905017004845E-2</x:v>
      </x:c>
      <x:c r="I16" s="3">
        <x:f>'Res Sales by Year (21-23)'!I16/'Res Sales by Year (21-23)'!I$61</x:f>
        <x:v>2.7229680489270068E-2</x:v>
      </x:c>
      <x:c r="J16" s="3">
        <x:f>'Res Sales by Year (21-23)'!J16/'Res Sales by Year (21-23)'!J$61</x:f>
        <x:v>2.5720872545751707E-2</x:v>
      </x:c>
      <x:c r="K16" s="3">
        <x:f>'Res Sales by Year (21-23)'!K16/'Res Sales by Year (21-23)'!K$61</x:f>
        <x:v>2.5071490499160697E-2</x:v>
      </x:c>
      <x:c r="L16" s="3">
        <x:f>'Res Sales by Year (21-23)'!L16/'Res Sales by Year (21-23)'!L$61</x:f>
        <x:v>2.5417334834354505E-2</x:v>
      </x:c>
      <x:c r="M16" s="3">
        <x:f>'Res Sales by Year (21-23)'!M16/'Res Sales by Year (21-23)'!M$61</x:f>
        <x:v>2.507427848830196E-2</x:v>
      </x:c>
      <x:c r="N16" s="3">
        <x:f>'Res Sales by Year (21-23)'!N16/'Res Sales by Year (21-23)'!N$61</x:f>
        <x:v>2.7807139960576623E-2</x:v>
      </x:c>
      <x:c r="O16" s="3">
        <x:f>'Res Sales by Year (21-23)'!O16/'Res Sales by Year (21-23)'!O$61</x:f>
        <x:v>2.9271790715708873E-2</x:v>
      </x:c>
      <x:c r="P16" s="60">
        <x:f>'Res Sales by Year (21-23)'!P16/'Res Sales by Year (21-23)'!P$61</x:f>
        <x:v>2.7057191265799748E-2</x:v>
      </x:c>
      <x:c r="Q16" s="4"/>
    </x:row>
    <x:row r="17" spans="1:17" x14ac:dyDescent="0.3">
      <x:c r="A17" s="1">
        <x:f t="shared" si="0"/>
        <x:v>7</x:v>
      </x:c>
      <x:c r="B17" s="8" t="s">
        <x:v>5</x:v>
      </x:c>
      <x:c r="C17" s="2">
        <x:f>+C12</x:f>
        <x:v>2022</x:v>
      </x:c>
      <x:c r="D17" s="3">
        <x:f>'Res Sales by Year (21-23)'!D17/'Res Sales by Year (21-23)'!D62</x:f>
        <x:v>2.8401807443292584E-2</x:v>
      </x:c>
      <x:c r="E17" s="3">
        <x:f>'Res Sales by Year (21-23)'!E17/'Res Sales by Year (21-23)'!E$62</x:f>
        <x:v>2.9795069940434956E-2</x:v>
      </x:c>
      <x:c r="F17" s="3">
        <x:f>'Res Sales by Year (21-23)'!F17/'Res Sales by Year (21-23)'!F$62</x:f>
        <x:v>2.8403153735293375E-2</x:v>
      </x:c>
      <x:c r="G17" s="3">
        <x:f>'Res Sales by Year (21-23)'!G17/'Res Sales by Year (21-23)'!G$62</x:f>
        <x:v>2.7351889817619938E-2</x:v>
      </x:c>
      <x:c r="H17" s="3">
        <x:f>'Res Sales by Year (21-23)'!H17/'Res Sales by Year (21-23)'!H$62</x:f>
        <x:v>2.6763858655920566E-2</x:v>
      </x:c>
      <x:c r="I17" s="3">
        <x:f>'Res Sales by Year (21-23)'!I17/'Res Sales by Year (21-23)'!I$62</x:f>
        <x:v>2.6084783317086111E-2</x:v>
      </x:c>
      <x:c r="J17" s="3">
        <x:f>'Res Sales by Year (21-23)'!J17/'Res Sales by Year (21-23)'!J$62</x:f>
        <x:v>2.4964196772821901E-2</x:v>
      </x:c>
      <x:c r="K17" s="3">
        <x:f>'Res Sales by Year (21-23)'!K17/'Res Sales by Year (21-23)'!K$62</x:f>
        <x:v>2.4035695627529042E-2</x:v>
      </x:c>
      <x:c r="L17" s="3">
        <x:f>'Res Sales by Year (21-23)'!L17/'Res Sales by Year (21-23)'!L$62</x:f>
        <x:v>2.4772185683546236E-2</x:v>
      </x:c>
      <x:c r="M17" s="3">
        <x:f>'Res Sales by Year (21-23)'!M17/'Res Sales by Year (21-23)'!M$62</x:f>
        <x:v>2.452087418745403E-2</x:v>
      </x:c>
      <x:c r="N17" s="3">
        <x:f>'Res Sales by Year (21-23)'!N17/'Res Sales by Year (21-23)'!N$62</x:f>
        <x:v>2.6798925564330486E-2</x:v>
      </x:c>
      <x:c r="O17" s="3">
        <x:f>'Res Sales by Year (21-23)'!O17/'Res Sales by Year (21-23)'!O$62</x:f>
        <x:v>2.7440527041020388E-2</x:v>
      </x:c>
      <x:c r="P17" s="60">
        <x:f>'Res Sales by Year (21-23)'!P17/'Res Sales by Year (21-23)'!P$62</x:f>
        <x:v>2.6340595614840152E-2</x:v>
      </x:c>
    </x:row>
    <x:row r="18" spans="1:17" ht="13.5" thickBot="1" x14ac:dyDescent="0.35">
      <x:c r="A18" s="1">
        <x:f t="shared" si="0"/>
        <x:v>8</x:v>
      </x:c>
      <x:c r="B18" s="8" t="s">
        <x:v>5</x:v>
      </x:c>
      <x:c r="C18" s="2">
        <x:f>+C13</x:f>
        <x:v>2023</x:v>
      </x:c>
      <x:c r="D18" s="3">
        <x:f>'Res Sales by Year (21-23)'!D18/'Res Sales by Year (21-23)'!D63</x:f>
        <x:v>2.909257702508182E-2</x:v>
      </x:c>
      <x:c r="E18" s="3">
        <x:f>'Res Sales by Year (21-23)'!E18/'Res Sales by Year (21-23)'!E63</x:f>
        <x:v>2.799519517971704E-2</x:v>
      </x:c>
      <x:c r="F18" s="3">
        <x:f>'Res Sales by Year (21-23)'!F18/'Res Sales by Year (21-23)'!F63</x:f>
        <x:v>2.5886832144453926E-2</x:v>
      </x:c>
      <x:c r="G18" s="3">
        <x:f>'Res Sales by Year (21-23)'!G18/'Res Sales by Year (21-23)'!G63</x:f>
        <x:v>2.7473734987271053E-2</x:v>
      </x:c>
      <x:c r="H18" s="3">
        <x:f>'Res Sales by Year (21-23)'!H18/'Res Sales by Year (21-23)'!H63</x:f>
        <x:v>2.6060668746147157E-2</x:v>
      </x:c>
      <x:c r="I18" s="3">
        <x:f>'Res Sales by Year (21-23)'!I18/'Res Sales by Year (21-23)'!I63</x:f>
        <x:v>2.5267077200114747E-2</x:v>
      </x:c>
      <x:c r="J18" s="3">
        <x:f>'Res Sales by Year (21-23)'!J18/'Res Sales by Year (21-23)'!J63</x:f>
        <x:v>2.5425674053111264E-2</x:v>
      </x:c>
      <x:c r="K18" s="3">
        <x:f>'Res Sales by Year (21-23)'!K18/'Res Sales by Year (21-23)'!K63</x:f>
        <x:v>2.4691394423090179E-2</x:v>
      </x:c>
      <x:c r="L18" s="3">
        <x:f>'Res Sales by Year (21-23)'!L18/'Res Sales by Year (21-23)'!L63</x:f>
        <x:v>2.4104332677794525E-2</x:v>
      </x:c>
      <x:c r="M18" s="3">
        <x:f>'Res Sales by Year (21-23)'!M18/'Res Sales by Year (21-23)'!M63</x:f>
        <x:v>2.361272853471616E-2</x:v>
      </x:c>
      <x:c r="N18" s="3">
        <x:f>'Res Sales by Year (21-23)'!N18/'Res Sales by Year (21-23)'!N63</x:f>
        <x:v>2.6185894387724583E-2</x:v>
      </x:c>
      <x:c r="O18" s="3">
        <x:f>'Res Sales by Year (21-23)'!O18/'Res Sales by Year (21-23)'!O63</x:f>
        <x:v>2.9036377421585928E-2</x:v>
      </x:c>
      <x:c r="P18" s="60">
        <x:f>'Res Sales by Year (21-23)'!P18/'Res Sales by Year (21-23)'!P63</x:f>
        <x:v>2.5941635186242321E-2</x:v>
      </x:c>
    </x:row>
    <x:row r="19" spans="1:17" x14ac:dyDescent="0.3">
      <x:c r="A19" s="1">
        <x:f t="shared" si="0"/>
        <x:v>9</x:v>
      </x:c>
      <x:c r="B19" s="8" t="s">
        <x:v>5</x:v>
      </x:c>
      <x:c r="C19" s="57" t="s">
        <x:v>1</x:v>
      </x:c>
      <x:c r="D19" s="58">
        <x:f>'Res Sales by Year (21-23)'!D19/'Res Sales by Year (21-23)'!D64</x:f>
        <x:v>2.9210748880904587E-2</x:v>
      </x:c>
      <x:c r="E19" s="58">
        <x:f>'Res Sales by Year (21-23)'!E19/'Res Sales by Year (21-23)'!E64</x:f>
        <x:v>2.8802293829726638E-2</x:v>
      </x:c>
      <x:c r="F19" s="58">
        <x:f>'Res Sales by Year (21-23)'!F19/'Res Sales by Year (21-23)'!F64</x:f>
        <x:v>2.7102348674979595E-2</x:v>
      </x:c>
      <x:c r="G19" s="58">
        <x:f>'Res Sales by Year (21-23)'!G19/'Res Sales by Year (21-23)'!G64</x:f>
        <x:v>2.7922034129400742E-2</x:v>
      </x:c>
      <x:c r="H19" s="58">
        <x:f>'Res Sales by Year (21-23)'!H19/'Res Sales by Year (21-23)'!H64</x:f>
        <x:v>2.6923797943178458E-2</x:v>
      </x:c>
      <x:c r="I19" s="58">
        <x:f>'Res Sales by Year (21-23)'!I19/'Res Sales by Year (21-23)'!I64</x:f>
        <x:v>2.614940813825312E-2</x:v>
      </x:c>
      <x:c r="J19" s="58">
        <x:f>'Res Sales by Year (21-23)'!J19/'Res Sales by Year (21-23)'!J64</x:f>
        <x:v>2.5347949981278942E-2</x:v>
      </x:c>
      <x:c r="K19" s="58">
        <x:f>'Res Sales by Year (21-23)'!K19/'Res Sales by Year (21-23)'!K64</x:f>
        <x:v>2.4563014543006308E-2</x:v>
      </x:c>
      <x:c r="L19" s="58">
        <x:f>'Res Sales by Year (21-23)'!L19/'Res Sales by Year (21-23)'!L64</x:f>
        <x:v>2.4720792433345844E-2</x:v>
      </x:c>
      <x:c r="M19" s="58">
        <x:f>'Res Sales by Year (21-23)'!M19/'Res Sales by Year (21-23)'!M64</x:f>
        <x:v>2.4369130746701415E-2</x:v>
      </x:c>
      <x:c r="N19" s="58">
        <x:f>'Res Sales by Year (21-23)'!N19/'Res Sales by Year (21-23)'!N64</x:f>
        <x:v>2.6927032682479184E-2</x:v>
      </x:c>
      <x:c r="O19" s="58">
        <x:f>'Res Sales by Year (21-23)'!O19/'Res Sales by Year (21-23)'!O64</x:f>
        <x:v>2.8529837530280149E-2</x:v>
      </x:c>
      <x:c r="P19" s="61">
        <x:f>'Res Sales by Year (21-23)'!P19/'Res Sales by Year (21-23)'!P64</x:f>
        <x:v>2.6432332761275549E-2</x:v>
      </x:c>
    </x:row>
    <x:row r="20" spans="1:17" x14ac:dyDescent="0.3">
      <x:c r="A20" s="1">
        <x:f t="shared" si="0"/>
        <x:v>10</x:v>
      </x:c>
      <x:c r="B20" s="8"/>
      <x:c r="C20" s="4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</x:row>
    <x:row r="21" spans="1:17" x14ac:dyDescent="0.3">
      <x:c r="A21" s="1">
        <x:f t="shared" si="0"/>
        <x:v>11</x:v>
      </x:c>
      <x:c r="B21" s="8" t="s">
        <x:v>6</x:v>
      </x:c>
      <x:c r="C21" s="2">
        <x:f>+C16</x:f>
        <x:v>2021</x:v>
      </x:c>
      <x:c r="D21" s="3">
        <x:f>'Res Sales by Year (21-23)'!D21/'Res Sales by Year (21-23)'!D61</x:f>
        <x:v>3.6794960477766252E-2</x:v>
      </x:c>
      <x:c r="E21" s="3">
        <x:f>'Res Sales by Year (21-23)'!E21/'Res Sales by Year (21-23)'!E$61</x:f>
        <x:v>3.4768475653655651E-2</x:v>
      </x:c>
      <x:c r="F21" s="3">
        <x:f>'Res Sales by Year (21-23)'!F21/'Res Sales by Year (21-23)'!F$61</x:f>
        <x:v>3.5169398077563314E-2</x:v>
      </x:c>
      <x:c r="G21" s="3">
        <x:f>'Res Sales by Year (21-23)'!G21/'Res Sales by Year (21-23)'!G$61</x:f>
        <x:v>4.4859669980016732E-2</x:v>
      </x:c>
      <x:c r="H21" s="3">
        <x:f>'Res Sales by Year (21-23)'!H21/'Res Sales by Year (21-23)'!H$61</x:f>
        <x:v>4.7894541496316022E-2</x:v>
      </x:c>
      <x:c r="I21" s="3">
        <x:f>'Res Sales by Year (21-23)'!I21/'Res Sales by Year (21-23)'!I$61</x:f>
        <x:v>4.8865080187661225E-2</x:v>
      </x:c>
      <x:c r="J21" s="3">
        <x:f>'Res Sales by Year (21-23)'!J21/'Res Sales by Year (21-23)'!J$61</x:f>
        <x:v>4.4693839367666965E-2</x:v>
      </x:c>
      <x:c r="K21" s="3">
        <x:f>'Res Sales by Year (21-23)'!K21/'Res Sales by Year (21-23)'!K$61</x:f>
        <x:v>4.3766850215782901E-2</x:v>
      </x:c>
      <x:c r="L21" s="3">
        <x:f>'Res Sales by Year (21-23)'!L21/'Res Sales by Year (21-23)'!L$61</x:f>
        <x:v>4.61751725775639E-2</x:v>
      </x:c>
      <x:c r="M21" s="3">
        <x:f>'Res Sales by Year (21-23)'!M21/'Res Sales by Year (21-23)'!M$61</x:f>
        <x:v>4.6352115807233807E-2</x:v>
      </x:c>
      <x:c r="N21" s="3">
        <x:f>'Res Sales by Year (21-23)'!N21/'Res Sales by Year (21-23)'!N$61</x:f>
        <x:v>4.5871200246338083E-2</x:v>
      </x:c>
      <x:c r="O21" s="3">
        <x:f>'Res Sales by Year (21-23)'!O21/'Res Sales by Year (21-23)'!O$61</x:f>
        <x:v>4.2596250312811071E-2</x:v>
      </x:c>
      <x:c r="P21" s="60">
        <x:f>'Res Sales by Year (21-23)'!P21/'Res Sales by Year (21-23)'!P$61</x:f>
        <x:v>4.2896893702972116E-2</x:v>
      </x:c>
      <x:c r="Q21" s="4"/>
    </x:row>
    <x:row r="22" spans="1:17" x14ac:dyDescent="0.3">
      <x:c r="A22" s="1">
        <x:f t="shared" si="0"/>
        <x:v>12</x:v>
      </x:c>
      <x:c r="B22" s="8" t="s">
        <x:v>6</x:v>
      </x:c>
      <x:c r="C22" s="2">
        <x:f>+C17</x:f>
        <x:v>2022</x:v>
      </x:c>
      <x:c r="D22" s="3">
        <x:f>'Res Sales by Year (21-23)'!D22/'Res Sales by Year (21-23)'!D62</x:f>
        <x:v>4.0732110862648524E-2</x:v>
      </x:c>
      <x:c r="E22" s="3">
        <x:f>'Res Sales by Year (21-23)'!E22/'Res Sales by Year (21-23)'!E$62</x:f>
        <x:v>3.6615922308104829E-2</x:v>
      </x:c>
      <x:c r="F22" s="3">
        <x:f>'Res Sales by Year (21-23)'!F22/'Res Sales by Year (21-23)'!F$62</x:f>
        <x:v>3.7997803564456215E-2</x:v>
      </x:c>
      <x:c r="G22" s="3">
        <x:f>'Res Sales by Year (21-23)'!G22/'Res Sales by Year (21-23)'!G$62</x:f>
        <x:v>4.303248891998579E-2</x:v>
      </x:c>
      <x:c r="H22" s="3">
        <x:f>'Res Sales by Year (21-23)'!H22/'Res Sales by Year (21-23)'!H$62</x:f>
        <x:v>5.0548542815391194E-2</x:v>
      </x:c>
      <x:c r="I22" s="3">
        <x:f>'Res Sales by Year (21-23)'!I22/'Res Sales by Year (21-23)'!I$62</x:f>
        <x:v>4.9850177097581723E-2</x:v>
      </x:c>
      <x:c r="J22" s="3">
        <x:f>'Res Sales by Year (21-23)'!J22/'Res Sales by Year (21-23)'!J$62</x:f>
        <x:v>4.5939417763929277E-2</x:v>
      </x:c>
      <x:c r="K22" s="3">
        <x:f>'Res Sales by Year (21-23)'!K22/'Res Sales by Year (21-23)'!K$62</x:f>
        <x:v>4.4756713064899332E-2</x:v>
      </x:c>
      <x:c r="L22" s="3">
        <x:f>'Res Sales by Year (21-23)'!L22/'Res Sales by Year (21-23)'!L$62</x:f>
        <x:v>4.7079917686519999E-2</x:v>
      </x:c>
      <x:c r="M22" s="3">
        <x:f>'Res Sales by Year (21-23)'!M22/'Res Sales by Year (21-23)'!M$62</x:f>
        <x:v>4.8949876739469787E-2</x:v>
      </x:c>
      <x:c r="N22" s="3">
        <x:f>'Res Sales by Year (21-23)'!N22/'Res Sales by Year (21-23)'!N$62</x:f>
        <x:v>4.8610690663241855E-2</x:v>
      </x:c>
      <x:c r="O22" s="3">
        <x:f>'Res Sales by Year (21-23)'!O22/'Res Sales by Year (21-23)'!O$62</x:f>
        <x:v>4.0717510657922909E-2</x:v>
      </x:c>
      <x:c r="P22" s="60">
        <x:f>'Res Sales by Year (21-23)'!P22/'Res Sales by Year (21-23)'!P$62</x:f>
        <x:v>4.4606131932981047E-2</x:v>
      </x:c>
    </x:row>
    <x:row r="23" spans="1:17" ht="13.5" thickBot="1" x14ac:dyDescent="0.35">
      <x:c r="A23" s="1">
        <x:f t="shared" si="0"/>
        <x:v>13</x:v>
      </x:c>
      <x:c r="B23" s="8" t="s">
        <x:v>6</x:v>
      </x:c>
      <x:c r="C23" s="2">
        <x:f>+C18</x:f>
        <x:v>2023</x:v>
      </x:c>
      <x:c r="D23" s="3">
        <x:f>'Res Sales by Year (21-23)'!D23/'Res Sales by Year (21-23)'!D63</x:f>
        <x:v>3.9097332583582979E-2</x:v>
      </x:c>
      <x:c r="E23" s="3">
        <x:f>'Res Sales by Year (21-23)'!E23/'Res Sales by Year (21-23)'!E63</x:f>
        <x:v>3.8072782088449691E-2</x:v>
      </x:c>
      <x:c r="F23" s="3">
        <x:f>'Res Sales by Year (21-23)'!F23/'Res Sales by Year (21-23)'!F63</x:f>
        <x:v>4.0886173019749096E-2</x:v>
      </x:c>
      <x:c r="G23" s="3">
        <x:f>'Res Sales by Year (21-23)'!G23/'Res Sales by Year (21-23)'!G63</x:f>
        <x:v>4.6737767426940559E-2</x:v>
      </x:c>
      <x:c r="H23" s="3">
        <x:f>'Res Sales by Year (21-23)'!H23/'Res Sales by Year (21-23)'!H63</x:f>
        <x:v>4.9588783190868763E-2</x:v>
      </x:c>
      <x:c r="I23" s="3">
        <x:f>'Res Sales by Year (21-23)'!I23/'Res Sales by Year (21-23)'!I63</x:f>
        <x:v>5.014949824462861E-2</x:v>
      </x:c>
      <x:c r="J23" s="3">
        <x:f>'Res Sales by Year (21-23)'!J23/'Res Sales by Year (21-23)'!J63</x:f>
        <x:v>5.001239599369349E-2</x:v>
      </x:c>
      <x:c r="K23" s="3">
        <x:f>'Res Sales by Year (21-23)'!K23/'Res Sales by Year (21-23)'!K63</x:f>
        <x:v>4.7867151875730804E-2</x:v>
      </x:c>
      <x:c r="L23" s="3">
        <x:f>'Res Sales by Year (21-23)'!L23/'Res Sales by Year (21-23)'!L63</x:f>
        <x:v>4.7803528257113294E-2</x:v>
      </x:c>
      <x:c r="M23" s="3">
        <x:f>'Res Sales by Year (21-23)'!M23/'Res Sales by Year (21-23)'!M63</x:f>
        <x:v>5.0434197486644627E-2</x:v>
      </x:c>
      <x:c r="N23" s="3">
        <x:f>'Res Sales by Year (21-23)'!N23/'Res Sales by Year (21-23)'!N63</x:f>
        <x:v>4.8534346463435289E-2</x:v>
      </x:c>
      <x:c r="O23" s="3">
        <x:f>'Res Sales by Year (21-23)'!O23/'Res Sales by Year (21-23)'!O63</x:f>
        <x:v>4.1908000587719929E-2</x:v>
      </x:c>
      <x:c r="P23" s="60">
        <x:f>'Res Sales by Year (21-23)'!P23/'Res Sales by Year (21-23)'!P63</x:f>
        <x:v>4.6243315731133522E-2</x:v>
      </x:c>
    </x:row>
    <x:row r="24" spans="1:17" x14ac:dyDescent="0.3">
      <x:c r="A24" s="1">
        <x:f t="shared" si="0"/>
        <x:v>14</x:v>
      </x:c>
      <x:c r="B24" s="8" t="s">
        <x:v>6</x:v>
      </x:c>
      <x:c r="C24" s="57" t="s">
        <x:v>1</x:v>
      </x:c>
      <x:c r="D24" s="58">
        <x:f>'Res Sales by Year (21-23)'!D24/'Res Sales by Year (21-23)'!D64</x:f>
        <x:v>3.8781533186017139E-2</x:v>
      </x:c>
      <x:c r="E24" s="58">
        <x:f>'Res Sales by Year (21-23)'!E24/'Res Sales by Year (21-23)'!E64</x:f>
        <x:v>3.6488074906214515E-2</x:v>
      </x:c>
      <x:c r="F24" s="58">
        <x:f>'Res Sales by Year (21-23)'!F24/'Res Sales by Year (21-23)'!F64</x:f>
        <x:v>3.7751548041618704E-2</x:v>
      </x:c>
      <x:c r="G24" s="58">
        <x:f>'Res Sales by Year (21-23)'!G24/'Res Sales by Year (21-23)'!G64</x:f>
        <x:v>4.4824917603070412E-2</x:v>
      </x:c>
      <x:c r="H24" s="58">
        <x:f>'Res Sales by Year (21-23)'!H24/'Res Sales by Year (21-23)'!H64</x:f>
        <x:v>4.9415580192666397E-2</x:v>
      </x:c>
      <x:c r="I24" s="58">
        <x:f>'Res Sales by Year (21-23)'!I24/'Res Sales by Year (21-23)'!I64</x:f>
        <x:v>4.9661948356020107E-2</x:v>
      </x:c>
      <x:c r="J24" s="58">
        <x:f>'Res Sales by Year (21-23)'!J24/'Res Sales by Year (21-23)'!J64</x:f>
        <x:v>4.6927387679995769E-2</x:v>
      </x:c>
      <x:c r="K24" s="58">
        <x:f>'Res Sales by Year (21-23)'!K24/'Res Sales by Year (21-23)'!K64</x:f>
        <x:v>4.5564923226480307E-2</x:v>
      </x:c>
      <x:c r="L24" s="58">
        <x:f>'Res Sales by Year (21-23)'!L24/'Res Sales by Year (21-23)'!L64</x:f>
        <x:v>4.7071100897038629E-2</x:v>
      </x:c>
      <x:c r="M24" s="58">
        <x:f>'Res Sales by Year (21-23)'!M24/'Res Sales by Year (21-23)'!M64</x:f>
        <x:v>4.8655688267850807E-2</x:v>
      </x:c>
      <x:c r="N24" s="58">
        <x:f>'Res Sales by Year (21-23)'!N24/'Res Sales by Year (21-23)'!N64</x:f>
        <x:v>4.766479319425105E-2</x:v>
      </x:c>
      <x:c r="O24" s="58">
        <x:f>'Res Sales by Year (21-23)'!O24/'Res Sales by Year (21-23)'!O64</x:f>
        <x:v>4.1687432180904899E-2</x:v>
      </x:c>
      <x:c r="P24" s="61">
        <x:f>'Res Sales by Year (21-23)'!P24/'Res Sales by Year (21-23)'!P64</x:f>
        <x:v>4.46197881253707E-2</x:v>
      </x:c>
    </x:row>
    <x:row r="25" spans="1:17" x14ac:dyDescent="0.3">
      <x:c r="A25" s="1">
        <x:f t="shared" si="0"/>
        <x:v>15</x:v>
      </x:c>
      <x:c r="B25" s="8"/>
      <x:c r="C25" s="4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</x:row>
    <x:row r="26" spans="1:17" x14ac:dyDescent="0.3">
      <x:c r="A26" s="1">
        <x:f t="shared" si="0"/>
        <x:v>16</x:v>
      </x:c>
      <x:c r="B26" s="8" t="s">
        <x:v>7</x:v>
      </x:c>
      <x:c r="C26" s="2">
        <x:f>+C21</x:f>
        <x:v>2021</x:v>
      </x:c>
      <x:c r="D26" s="3">
        <x:f>'Res Sales by Year (21-23)'!D26/'Res Sales by Year (21-23)'!D61</x:f>
        <x:v>5.2972424849875056E-2</x:v>
      </x:c>
      <x:c r="E26" s="3">
        <x:f>'Res Sales by Year (21-23)'!E26/'Res Sales by Year (21-23)'!E$61</x:f>
        <x:v>5.2295030455176306E-2</x:v>
      </x:c>
      <x:c r="F26" s="3">
        <x:f>'Res Sales by Year (21-23)'!F26/'Res Sales by Year (21-23)'!F$61</x:f>
        <x:v>5.5032062211363184E-2</x:v>
      </x:c>
      <x:c r="G26" s="3">
        <x:f>'Res Sales by Year (21-23)'!G26/'Res Sales by Year (21-23)'!G$61</x:f>
        <x:v>4.9986056697860617E-2</x:v>
      </x:c>
      <x:c r="H26" s="3">
        <x:f>'Res Sales by Year (21-23)'!H26/'Res Sales by Year (21-23)'!H$61</x:f>
        <x:v>4.9928963715604846E-2</x:v>
      </x:c>
      <x:c r="I26" s="3">
        <x:f>'Res Sales by Year (21-23)'!I26/'Res Sales by Year (21-23)'!I$61</x:f>
        <x:v>4.7212775504633528E-2</x:v>
      </x:c>
      <x:c r="J26" s="3">
        <x:f>'Res Sales by Year (21-23)'!J26/'Res Sales by Year (21-23)'!J$61</x:f>
        <x:v>4.3246307009769995E-2</x:v>
      </x:c>
      <x:c r="K26" s="3">
        <x:f>'Res Sales by Year (21-23)'!K26/'Res Sales by Year (21-23)'!K$61</x:f>
        <x:v>4.2779938130401929E-2</x:v>
      </x:c>
      <x:c r="L26" s="3">
        <x:f>'Res Sales by Year (21-23)'!L26/'Res Sales by Year (21-23)'!L$61</x:f>
        <x:v>4.4747013481206029E-2</x:v>
      </x:c>
      <x:c r="M26" s="3">
        <x:f>'Res Sales by Year (21-23)'!M26/'Res Sales by Year (21-23)'!M$61</x:f>
        <x:v>4.6083814486401739E-2</x:v>
      </x:c>
      <x:c r="N26" s="3">
        <x:f>'Res Sales by Year (21-23)'!N26/'Res Sales by Year (21-23)'!N$61</x:f>
        <x:v>4.8058393712310382E-2</x:v>
      </x:c>
      <x:c r="O26" s="3">
        <x:f>'Res Sales by Year (21-23)'!O26/'Res Sales by Year (21-23)'!O$61</x:f>
        <x:v>4.9995327220921953E-2</x:v>
      </x:c>
      <x:c r="P26" s="60">
        <x:f>'Res Sales by Year (21-23)'!P26/'Res Sales by Year (21-23)'!P$61</x:f>
        <x:v>4.8132532420680919E-2</x:v>
      </x:c>
      <x:c r="Q26" s="4"/>
    </x:row>
    <x:row r="27" spans="1:17" x14ac:dyDescent="0.3">
      <x:c r="A27" s="1">
        <x:f t="shared" si="0"/>
        <x:v>17</x:v>
      </x:c>
      <x:c r="B27" s="8" t="s">
        <x:v>7</x:v>
      </x:c>
      <x:c r="C27" s="2">
        <x:f>+C22</x:f>
        <x:v>2022</x:v>
      </x:c>
      <x:c r="D27" s="3">
        <x:f>'Res Sales by Year (21-23)'!D27/'Res Sales by Year (21-23)'!D62</x:f>
        <x:v>5.0196015273324152E-2</x:v>
      </x:c>
      <x:c r="E27" s="3">
        <x:f>'Res Sales by Year (21-23)'!E27/'Res Sales by Year (21-23)'!E$62</x:f>
        <x:v>5.5261873899663652E-2</x:v>
      </x:c>
      <x:c r="F27" s="3">
        <x:f>'Res Sales by Year (21-23)'!F27/'Res Sales by Year (21-23)'!F$62</x:f>
        <x:v>5.5465974476380284E-2</x:v>
      </x:c>
      <x:c r="G27" s="3">
        <x:f>'Res Sales by Year (21-23)'!G27/'Res Sales by Year (21-23)'!G$62</x:f>
        <x:v>4.9687839567669888E-2</x:v>
      </x:c>
      <x:c r="H27" s="3">
        <x:f>'Res Sales by Year (21-23)'!H27/'Res Sales by Year (21-23)'!H$62</x:f>
        <x:v>4.8470324433819892E-2</x:v>
      </x:c>
      <x:c r="I27" s="3">
        <x:f>'Res Sales by Year (21-23)'!I27/'Res Sales by Year (21-23)'!I$62</x:f>
        <x:v>4.6829179578412428E-2</x:v>
      </x:c>
      <x:c r="J27" s="3">
        <x:f>'Res Sales by Year (21-23)'!J27/'Res Sales by Year (21-23)'!J$62</x:f>
        <x:v>4.3919422265603372E-2</x:v>
      </x:c>
      <x:c r="K27" s="3">
        <x:f>'Res Sales by Year (21-23)'!K27/'Res Sales by Year (21-23)'!K$62</x:f>
        <x:v>4.3321462759545938E-2</x:v>
      </x:c>
      <x:c r="L27" s="3">
        <x:f>'Res Sales by Year (21-23)'!L27/'Res Sales by Year (21-23)'!L$62</x:f>
        <x:v>4.5595221815319366E-2</x:v>
      </x:c>
      <x:c r="M27" s="3">
        <x:f>'Res Sales by Year (21-23)'!M27/'Res Sales by Year (21-23)'!M$62</x:f>
        <x:v>4.7064503196020131E-2</x:v>
      </x:c>
      <x:c r="N27" s="3">
        <x:f>'Res Sales by Year (21-23)'!N27/'Res Sales by Year (21-23)'!N$62</x:f>
        <x:v>4.9865871630632705E-2</x:v>
      </x:c>
      <x:c r="O27" s="3">
        <x:f>'Res Sales by Year (21-23)'!O27/'Res Sales by Year (21-23)'!O$62</x:f>
        <x:v>5.1532074654197013E-2</x:v>
      </x:c>
      <x:c r="P27" s="60">
        <x:f>'Res Sales by Year (21-23)'!P27/'Res Sales by Year (21-23)'!P$62</x:f>
        <x:v>4.8327668623181649E-2</x:v>
      </x:c>
    </x:row>
    <x:row r="28" spans="1:17" ht="13.5" thickBot="1" x14ac:dyDescent="0.35">
      <x:c r="A28" s="1">
        <x:f t="shared" si="0"/>
        <x:v>18</x:v>
      </x:c>
      <x:c r="B28" s="8" t="s">
        <x:v>7</x:v>
      </x:c>
      <x:c r="C28" s="2">
        <x:f>+C23</x:f>
        <x:v>2023</x:v>
      </x:c>
      <x:c r="D28" s="3">
        <x:f>'Res Sales by Year (21-23)'!D28/'Res Sales by Year (21-23)'!D63</x:f>
        <x:v>5.3556634754084495E-2</x:v>
      </x:c>
      <x:c r="E28" s="3">
        <x:f>'Res Sales by Year (21-23)'!E28/'Res Sales by Year (21-23)'!E63</x:f>
        <x:v>5.3476202891950791E-2</x:v>
      </x:c>
      <x:c r="F28" s="3">
        <x:f>'Res Sales by Year (21-23)'!F28/'Res Sales by Year (21-23)'!F63</x:f>
        <x:v>5.1410015859914671E-2</x:v>
      </x:c>
      <x:c r="G28" s="3">
        <x:f>'Res Sales by Year (21-23)'!G28/'Res Sales by Year (21-23)'!G63</x:f>
        <x:v>5.0063381807125461E-2</x:v>
      </x:c>
      <x:c r="H28" s="3">
        <x:f>'Res Sales by Year (21-23)'!H28/'Res Sales by Year (21-23)'!H63</x:f>
        <x:v>4.8953201620649395E-2</x:v>
      </x:c>
      <x:c r="I28" s="3">
        <x:f>'Res Sales by Year (21-23)'!I28/'Res Sales by Year (21-23)'!I63</x:f>
        <x:v>4.713642830988423E-2</x:v>
      </x:c>
      <x:c r="J28" s="3">
        <x:f>'Res Sales by Year (21-23)'!J28/'Res Sales by Year (21-23)'!J63</x:f>
        <x:v>4.6555098659782919E-2</x:v>
      </x:c>
      <x:c r="K28" s="3">
        <x:f>'Res Sales by Year (21-23)'!K28/'Res Sales by Year (21-23)'!K63</x:f>
        <x:v>4.4912026346971633E-2</x:v>
      </x:c>
      <x:c r="L28" s="3">
        <x:f>'Res Sales by Year (21-23)'!L28/'Res Sales by Year (21-23)'!L63</x:f>
        <x:v>4.4449006462605307E-2</x:v>
      </x:c>
      <x:c r="M28" s="3">
        <x:f>'Res Sales by Year (21-23)'!M28/'Res Sales by Year (21-23)'!M63</x:f>
        <x:v>4.6683386343533022E-2</x:v>
      </x:c>
      <x:c r="N28" s="3">
        <x:f>'Res Sales by Year (21-23)'!N28/'Res Sales by Year (21-23)'!N63</x:f>
        <x:v>4.960966750275219E-2</x:v>
      </x:c>
      <x:c r="O28" s="3">
        <x:f>'Res Sales by Year (21-23)'!O28/'Res Sales by Year (21-23)'!O63</x:f>
        <x:v>5.0403641133490898E-2</x:v>
      </x:c>
      <x:c r="P28" s="60">
        <x:f>'Res Sales by Year (21-23)'!P28/'Res Sales by Year (21-23)'!P63</x:f>
        <x:v>4.833880110984011E-2</x:v>
      </x:c>
    </x:row>
    <x:row r="29" spans="1:17" x14ac:dyDescent="0.3">
      <x:c r="A29" s="1">
        <x:f t="shared" si="0"/>
        <x:v>19</x:v>
      </x:c>
      <x:c r="B29" s="8" t="s">
        <x:v>7</x:v>
      </x:c>
      <x:c r="C29" s="57" t="s">
        <x:v>1</x:v>
      </x:c>
      <x:c r="D29" s="58">
        <x:f>'Res Sales by Year (21-23)'!D29/'Res Sales by Year (21-23)'!D64</x:f>
        <x:v>5.2350245586823878E-2</x:v>
      </x:c>
      <x:c r="E29" s="58">
        <x:f>'Res Sales by Year (21-23)'!E29/'Res Sales by Year (21-23)'!E64</x:f>
        <x:v>5.3723293003999022E-2</x:v>
      </x:c>
      <x:c r="F29" s="58">
        <x:f>'Res Sales by Year (21-23)'!F29/'Res Sales by Year (21-23)'!F64</x:f>
        <x:v>5.4159440169649513E-2</x:v>
      </x:c>
      <x:c r="G29" s="58">
        <x:f>'Res Sales by Year (21-23)'!G29/'Res Sales by Year (21-23)'!G64</x:f>
        <x:v>4.9904217855958034E-2</x:v>
      </x:c>
      <x:c r="H29" s="58">
        <x:f>'Res Sales by Year (21-23)'!H29/'Res Sales by Year (21-23)'!H64</x:f>
        <x:v>4.9078764030776802E-2</x:v>
      </x:c>
      <x:c r="I29" s="58">
        <x:f>'Res Sales by Year (21-23)'!I29/'Res Sales by Year (21-23)'!I64</x:f>
        <x:v>4.7041513957275412E-2</x:v>
      </x:c>
      <x:c r="J29" s="58">
        <x:f>'Res Sales by Year (21-23)'!J29/'Res Sales by Year (21-23)'!J64</x:f>
        <x:v>4.4598990760978952E-2</x:v>
      </x:c>
      <x:c r="K29" s="58">
        <x:f>'Res Sales by Year (21-23)'!K29/'Res Sales by Year (21-23)'!K64</x:f>
        <x:v>4.372461367952387E-2</x:v>
      </x:c>
      <x:c r="L29" s="58">
        <x:f>'Res Sales by Year (21-23)'!L29/'Res Sales by Year (21-23)'!L64</x:f>
        <x:v>4.489395099738739E-2</x:v>
      </x:c>
      <x:c r="M29" s="58">
        <x:f>'Res Sales by Year (21-23)'!M29/'Res Sales by Year (21-23)'!M64</x:f>
        <x:v>4.6612420662902665E-2</x:v>
      </x:c>
      <x:c r="N29" s="58">
        <x:f>'Res Sales by Year (21-23)'!N29/'Res Sales by Year (21-23)'!N64</x:f>
        <x:v>4.9171147191173589E-2</x:v>
      </x:c>
      <x:c r="O29" s="58">
        <x:f>'Res Sales by Year (21-23)'!O29/'Res Sales by Year (21-23)'!O64</x:f>
        <x:v>5.068760367954437E-2</x:v>
      </x:c>
      <x:c r="P29" s="61">
        <x:f>'Res Sales by Year (21-23)'!P29/'Res Sales by Year (21-23)'!P64</x:f>
        <x:v>4.8269623863806288E-2</x:v>
      </x:c>
    </x:row>
    <x:row r="30" spans="1:17" x14ac:dyDescent="0.3">
      <x:c r="A30" s="1">
        <x:f t="shared" si="0"/>
        <x:v>20</x:v>
      </x:c>
      <x:c r="B30" s="8"/>
      <x:c r="C30" s="4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spans="1:17" x14ac:dyDescent="0.3">
      <x:c r="A31" s="1">
        <x:f t="shared" si="0"/>
        <x:v>21</x:v>
      </x:c>
      <x:c r="B31" s="8" t="s">
        <x:v>8</x:v>
      </x:c>
      <x:c r="C31" s="2">
        <x:f>+C26</x:f>
        <x:v>2021</x:v>
      </x:c>
      <x:c r="D31" s="3">
        <x:f>'Res Sales by Year (21-23)'!D31/'Res Sales by Year (21-23)'!D61</x:f>
        <x:v>3.9379054822772666E-2</x:v>
      </x:c>
      <x:c r="E31" s="3">
        <x:f>'Res Sales by Year (21-23)'!E31/'Res Sales by Year (21-23)'!E$61</x:f>
        <x:v>4.0313440706746681E-2</x:v>
      </x:c>
      <x:c r="F31" s="3">
        <x:f>'Res Sales by Year (21-23)'!F31/'Res Sales by Year (21-23)'!F$61</x:f>
        <x:v>3.9095682824175901E-2</x:v>
      </x:c>
      <x:c r="G31" s="3">
        <x:f>'Res Sales by Year (21-23)'!G31/'Res Sales by Year (21-23)'!G$61</x:f>
        <x:v>3.8911796741546871E-2</x:v>
      </x:c>
      <x:c r="H31" s="3">
        <x:f>'Res Sales by Year (21-23)'!H31/'Res Sales by Year (21-23)'!H$61</x:f>
        <x:v>3.7691819883436201E-2</x:v>
      </x:c>
      <x:c r="I31" s="3">
        <x:f>'Res Sales by Year (21-23)'!I31/'Res Sales by Year (21-23)'!I$61</x:f>
        <x:v>3.6245709507524412E-2</x:v>
      </x:c>
      <x:c r="J31" s="3">
        <x:f>'Res Sales by Year (21-23)'!J31/'Res Sales by Year (21-23)'!J$61</x:f>
        <x:v>3.5691333131715929E-2</x:v>
      </x:c>
      <x:c r="K31" s="3">
        <x:f>'Res Sales by Year (21-23)'!K31/'Res Sales by Year (21-23)'!K$61</x:f>
        <x:v>3.5184157568697881E-2</x:v>
      </x:c>
      <x:c r="L31" s="3">
        <x:f>'Res Sales by Year (21-23)'!L31/'Res Sales by Year (21-23)'!L$61</x:f>
        <x:v>3.5389350044265556E-2</x:v>
      </x:c>
      <x:c r="M31" s="3">
        <x:f>'Res Sales by Year (21-23)'!M31/'Res Sales by Year (21-23)'!M$61</x:f>
        <x:v>3.4743063430922809E-2</x:v>
      </x:c>
      <x:c r="N31" s="3">
        <x:f>'Res Sales by Year (21-23)'!N31/'Res Sales by Year (21-23)'!N$61</x:f>
        <x:v>3.6525019013924763E-2</x:v>
      </x:c>
      <x:c r="O31" s="3">
        <x:f>'Res Sales by Year (21-23)'!O31/'Res Sales by Year (21-23)'!O$61</x:f>
        <x:v>3.9215246440143257E-2</x:v>
      </x:c>
      <x:c r="P31" s="60">
        <x:f>'Res Sales by Year (21-23)'!P31/'Res Sales by Year (21-23)'!P$61</x:f>
        <x:v>3.7166678657874062E-2</x:v>
      </x:c>
      <x:c r="Q31" s="4"/>
    </x:row>
    <x:row r="32" spans="1:17" x14ac:dyDescent="0.3">
      <x:c r="A32" s="1">
        <x:f t="shared" si="0"/>
        <x:v>22</x:v>
      </x:c>
      <x:c r="B32" s="8" t="s">
        <x:v>8</x:v>
      </x:c>
      <x:c r="C32" s="2">
        <x:f>+C27</x:f>
        <x:v>2022</x:v>
      </x:c>
      <x:c r="D32" s="3">
        <x:f>'Res Sales by Year (21-23)'!D32/'Res Sales by Year (21-23)'!D62</x:f>
        <x:v>3.8622657035357069E-2</x:v>
      </x:c>
      <x:c r="E32" s="3">
        <x:f>'Res Sales by Year (21-23)'!E32/'Res Sales by Year (21-23)'!E$62</x:f>
        <x:v>3.8863626742406669E-2</x:v>
      </x:c>
      <x:c r="F32" s="3">
        <x:f>'Res Sales by Year (21-23)'!F32/'Res Sales by Year (21-23)'!F$62</x:f>
        <x:v>3.8916702220878362E-2</x:v>
      </x:c>
      <x:c r="G32" s="3">
        <x:f>'Res Sales by Year (21-23)'!G32/'Res Sales by Year (21-23)'!G$62</x:f>
        <x:v>3.8212490138373634E-2</x:v>
      </x:c>
      <x:c r="H32" s="3">
        <x:f>'Res Sales by Year (21-23)'!H32/'Res Sales by Year (21-23)'!H$62</x:f>
        <x:v>3.568241994406858E-2</x:v>
      </x:c>
      <x:c r="I32" s="3">
        <x:f>'Res Sales by Year (21-23)'!I32/'Res Sales by Year (21-23)'!I$62</x:f>
        <x:v>3.5327466261659626E-2</x:v>
      </x:c>
      <x:c r="J32" s="3">
        <x:f>'Res Sales by Year (21-23)'!J32/'Res Sales by Year (21-23)'!J$62</x:f>
        <x:v>3.5142505346235094E-2</x:v>
      </x:c>
      <x:c r="K32" s="3">
        <x:f>'Res Sales by Year (21-23)'!K32/'Res Sales by Year (21-23)'!K$62</x:f>
        <x:v>3.422032539421082E-2</x:v>
      </x:c>
      <x:c r="L32" s="3">
        <x:f>'Res Sales by Year (21-23)'!L32/'Res Sales by Year (21-23)'!L$62</x:f>
        <x:v>3.5198935496946852E-2</x:v>
      </x:c>
      <x:c r="M32" s="3">
        <x:f>'Res Sales by Year (21-23)'!M32/'Res Sales by Year (21-23)'!M$62</x:f>
        <x:v>3.4948524799515143E-2</x:v>
      </x:c>
      <x:c r="N32" s="3">
        <x:f>'Res Sales by Year (21-23)'!N32/'Res Sales by Year (21-23)'!N$62</x:f>
        <x:v>3.7166554556112792E-2</x:v>
      </x:c>
      <x:c r="O32" s="3">
        <x:f>'Res Sales by Year (21-23)'!O32/'Res Sales by Year (21-23)'!O$62</x:f>
        <x:v>3.850553892339556E-2</x:v>
      </x:c>
      <x:c r="P32" s="60">
        <x:f>'Res Sales by Year (21-23)'!P32/'Res Sales by Year (21-23)'!P$62</x:f>
        <x:v>3.6446175524598445E-2</x:v>
      </x:c>
    </x:row>
    <x:row r="33" spans="1:17" ht="13.5" thickBot="1" x14ac:dyDescent="0.35">
      <x:c r="A33" s="1">
        <x:f t="shared" si="0"/>
        <x:v>23</x:v>
      </x:c>
      <x:c r="B33" s="8" t="s">
        <x:v>8</x:v>
      </x:c>
      <x:c r="C33" s="2">
        <x:f>+C28</x:f>
        <x:v>2023</x:v>
      </x:c>
      <x:c r="D33" s="3">
        <x:f>'Res Sales by Year (21-23)'!D33/'Res Sales by Year (21-23)'!D63</x:f>
        <x:v>4.0145882330686361E-2</x:v>
      </x:c>
      <x:c r="E33" s="3">
        <x:f>'Res Sales by Year (21-23)'!E33/'Res Sales by Year (21-23)'!E63</x:f>
        <x:v>3.8113898011136044E-2</x:v>
      </x:c>
      <x:c r="F33" s="3">
        <x:f>'Res Sales by Year (21-23)'!F33/'Res Sales by Year (21-23)'!F63</x:f>
        <x:v>3.7167977488426839E-2</x:v>
      </x:c>
      <x:c r="G33" s="3">
        <x:f>'Res Sales by Year (21-23)'!G33/'Res Sales by Year (21-23)'!G63</x:f>
        <x:v>3.7701631741479447E-2</x:v>
      </x:c>
      <x:c r="H33" s="3">
        <x:f>'Res Sales by Year (21-23)'!H33/'Res Sales by Year (21-23)'!H63</x:f>
        <x:v>3.6917855823163988E-2</x:v>
      </x:c>
      <x:c r="I33" s="3">
        <x:f>'Res Sales by Year (21-23)'!I33/'Res Sales by Year (21-23)'!I63</x:f>
        <x:v>3.6358758373187902E-2</x:v>
      </x:c>
      <x:c r="J33" s="3">
        <x:f>'Res Sales by Year (21-23)'!J33/'Res Sales by Year (21-23)'!J63</x:f>
        <x:v>3.5412457962882449E-2</x:v>
      </x:c>
      <x:c r="K33" s="3">
        <x:f>'Res Sales by Year (21-23)'!K33/'Res Sales by Year (21-23)'!K63</x:f>
        <x:v>3.5070628260331783E-2</x:v>
      </x:c>
      <x:c r="L33" s="3">
        <x:f>'Res Sales by Year (21-23)'!L33/'Res Sales by Year (21-23)'!L63</x:f>
        <x:v>3.5341534316673882E-2</x:v>
      </x:c>
      <x:c r="M33" s="3">
        <x:f>'Res Sales by Year (21-23)'!M33/'Res Sales by Year (21-23)'!M63</x:f>
        <x:v>3.4634694550623006E-2</x:v>
      </x:c>
      <x:c r="N33" s="3">
        <x:f>'Res Sales by Year (21-23)'!N33/'Res Sales by Year (21-23)'!N63</x:f>
        <x:v>3.6364103850277225E-2</x:v>
      </x:c>
      <x:c r="O33" s="3">
        <x:f>'Res Sales by Year (21-23)'!O33/'Res Sales by Year (21-23)'!O63</x:f>
        <x:v>3.9672347190141524E-2</x:v>
      </x:c>
      <x:c r="P33" s="60">
        <x:f>'Res Sales by Year (21-23)'!P33/'Res Sales by Year (21-23)'!P63</x:f>
        <x:v>3.6617794170096196E-2</x:v>
      </x:c>
    </x:row>
    <x:row r="34" spans="1:17" x14ac:dyDescent="0.3">
      <x:c r="A34" s="1">
        <x:f t="shared" si="0"/>
        <x:v>24</x:v>
      </x:c>
      <x:c r="B34" s="8" t="s">
        <x:v>8</x:v>
      </x:c>
      <x:c r="C34" s="57" t="s">
        <x:v>1</x:v>
      </x:c>
      <x:c r="D34" s="58">
        <x:f>'Res Sales by Year (21-23)'!D34/'Res Sales by Year (21-23)'!D64</x:f>
        <x:v>3.9423880955649498E-2</x:v>
      </x:c>
      <x:c r="E34" s="58">
        <x:f>'Res Sales by Year (21-23)'!E34/'Res Sales by Year (21-23)'!E64</x:f>
        <x:v>3.909115593892766E-2</x:v>
      </x:c>
      <x:c r="F34" s="58">
        <x:f>'Res Sales by Year (21-23)'!F34/'Res Sales by Year (21-23)'!F64</x:f>
        <x:v>3.8490681164191784E-2</x:v>
      </x:c>
      <x:c r="G34" s="58">
        <x:f>'Res Sales by Year (21-23)'!G34/'Res Sales by Year (21-23)'!G64</x:f>
        <x:v>3.8257478230367799E-2</x:v>
      </x:c>
      <x:c r="H34" s="58">
        <x:f>'Res Sales by Year (21-23)'!H34/'Res Sales by Year (21-23)'!H64</x:f>
        <x:v>3.6702592837663937E-2</x:v>
      </x:c>
      <x:c r="I34" s="58">
        <x:f>'Res Sales by Year (21-23)'!I34/'Res Sales by Year (21-23)'!I64</x:f>
        <x:v>3.5932793496112343E-2</x:v>
      </x:c>
      <x:c r="J34" s="58">
        <x:f>'Res Sales by Year (21-23)'!J34/'Res Sales by Year (21-23)'!J64</x:f>
        <x:v>3.5399141315435735E-2</x:v>
      </x:c>
      <x:c r="K34" s="58">
        <x:f>'Res Sales by Year (21-23)'!K34/'Res Sales by Year (21-23)'!K64</x:f>
        <x:v>3.479533238223903E-2</x:v>
      </x:c>
      <x:c r="L34" s="58">
        <x:f>'Res Sales by Year (21-23)'!L34/'Res Sales by Year (21-23)'!L64</x:f>
        <x:v>3.5312793898563219E-2</x:v>
      </x:c>
      <x:c r="M34" s="58">
        <x:f>'Res Sales by Year (21-23)'!M34/'Res Sales by Year (21-23)'!M64</x:f>
        <x:v>3.4769055680427152E-2</x:v>
      </x:c>
      <x:c r="N34" s="58">
        <x:f>'Res Sales by Year (21-23)'!N34/'Res Sales by Year (21-23)'!N64</x:f>
        <x:v>3.6675807515269644E-2</x:v>
      </x:c>
      <x:c r="O34" s="58">
        <x:f>'Res Sales by Year (21-23)'!O34/'Res Sales by Year (21-23)'!O64</x:f>
        <x:v>3.9108907486633357E-2</x:v>
      </x:c>
      <x:c r="P34" s="61">
        <x:f>'Res Sales by Year (21-23)'!P34/'Res Sales by Year (21-23)'!P64</x:f>
        <x:v>3.6732626306456496E-2</x:v>
      </x:c>
    </x:row>
    <x:row r="35" spans="1:17" x14ac:dyDescent="0.3">
      <x:c r="A35" s="1">
        <x:f t="shared" si="0"/>
        <x:v>25</x:v>
      </x:c>
      <x:c r="B35" s="8"/>
      <x:c r="C35" s="4"/>
    </x:row>
    <x:row r="36" spans="1:17" x14ac:dyDescent="0.3">
      <x:c r="A36" s="1">
        <x:f t="shared" si="0"/>
        <x:v>26</x:v>
      </x:c>
      <x:c r="B36" s="8" t="s">
        <x:v>3</x:v>
      </x:c>
      <x:c r="C36" s="2">
        <x:f>+C31</x:f>
        <x:v>2021</x:v>
      </x:c>
      <x:c r="D36" s="3">
        <x:f>'Res Sales by Year (21-23)'!D36/'Res Sales by Year (21-23)'!D61</x:f>
        <x:v>3.8754156074726445E-2</x:v>
      </x:c>
      <x:c r="E36" s="3">
        <x:f>'Res Sales by Year (21-23)'!E36/'Res Sales by Year (21-23)'!E$61</x:f>
        <x:v>3.9365292897737117E-2</x:v>
      </x:c>
      <x:c r="F36" s="3">
        <x:f>'Res Sales by Year (21-23)'!F36/'Res Sales by Year (21-23)'!F$61</x:f>
        <x:v>4.1153236401159331E-2</x:v>
      </x:c>
      <x:c r="G36" s="3">
        <x:f>'Res Sales by Year (21-23)'!G36/'Res Sales by Year (21-23)'!G$61</x:f>
        <x:v>3.7630661904906722E-2</x:v>
      </x:c>
      <x:c r="H36" s="3">
        <x:f>'Res Sales by Year (21-23)'!H36/'Res Sales by Year (21-23)'!H$61</x:f>
        <x:v>3.7625714748686707E-2</x:v>
      </x:c>
      <x:c r="I36" s="3">
        <x:f>'Res Sales by Year (21-23)'!I36/'Res Sales by Year (21-23)'!I$61</x:f>
        <x:v>3.5080720155154052E-2</x:v>
      </x:c>
      <x:c r="J36" s="3">
        <x:f>'Res Sales by Year (21-23)'!J36/'Res Sales by Year (21-23)'!J$61</x:f>
        <x:v>3.4519958248224014E-2</x:v>
      </x:c>
      <x:c r="K36" s="3">
        <x:f>'Res Sales by Year (21-23)'!K36/'Res Sales by Year (21-23)'!K$61</x:f>
        <x:v>3.4408982998179377E-2</x:v>
      </x:c>
      <x:c r="L36" s="3">
        <x:f>'Res Sales by Year (21-23)'!L36/'Res Sales by Year (21-23)'!L$61</x:f>
        <x:v>3.5654690209289776E-2</x:v>
      </x:c>
      <x:c r="M36" s="3">
        <x:f>'Res Sales by Year (21-23)'!M36/'Res Sales by Year (21-23)'!M$61</x:f>
        <x:v>3.7616805104479747E-2</x:v>
      </x:c>
      <x:c r="N36" s="3">
        <x:f>'Res Sales by Year (21-23)'!N36/'Res Sales by Year (21-23)'!N$61</x:f>
        <x:v>3.81254797646823E-2</x:v>
      </x:c>
      <x:c r="O36" s="3">
        <x:f>'Res Sales by Year (21-23)'!O36/'Res Sales by Year (21-23)'!O$61</x:f>
        <x:v>3.7447460903208558E-2</x:v>
      </x:c>
      <x:c r="P36" s="60">
        <x:f>'Res Sales by Year (21-23)'!P36/'Res Sales by Year (21-23)'!P$61</x:f>
        <x:v>3.7123613685178782E-2</x:v>
      </x:c>
      <x:c r="Q36" s="4"/>
    </x:row>
    <x:row r="37" spans="1:17" x14ac:dyDescent="0.3">
      <x:c r="A37" s="1">
        <x:f t="shared" si="0"/>
        <x:v>27</x:v>
      </x:c>
      <x:c r="B37" s="8" t="s">
        <x:v>3</x:v>
      </x:c>
      <x:c r="C37" s="2">
        <x:f>+C32</x:f>
        <x:v>2022</x:v>
      </x:c>
      <x:c r="D37" s="3">
        <x:f>'Res Sales by Year (21-23)'!D37/'Res Sales by Year (21-23)'!D62</x:f>
        <x:v>3.6960773728953518E-2</x:v>
      </x:c>
      <x:c r="E37" s="3">
        <x:f>'Res Sales by Year (21-23)'!E37/'Res Sales by Year (21-23)'!E$62</x:f>
        <x:v>3.9516784722695077E-2</x:v>
      </x:c>
      <x:c r="F37" s="3">
        <x:f>'Res Sales by Year (21-23)'!F37/'Res Sales by Year (21-23)'!F$62</x:f>
        <x:v>4.1315459381201576E-2</x:v>
      </x:c>
      <x:c r="G37" s="3">
        <x:f>'Res Sales by Year (21-23)'!G37/'Res Sales by Year (21-23)'!G$62</x:f>
        <x:v>3.9027643447905921E-2</x:v>
      </x:c>
      <x:c r="H37" s="3">
        <x:f>'Res Sales by Year (21-23)'!H37/'Res Sales by Year (21-23)'!H$62</x:f>
        <x:v>3.6288755047497324E-2</x:v>
      </x:c>
      <x:c r="I37" s="3">
        <x:f>'Res Sales by Year (21-23)'!I37/'Res Sales by Year (21-23)'!I$62</x:f>
        <x:v>3.6154804232945238E-2</x:v>
      </x:c>
      <x:c r="J37" s="3">
        <x:f>'Res Sales by Year (21-23)'!J37/'Res Sales by Year (21-23)'!J$62</x:f>
        <x:v>3.5333955098717819E-2</x:v>
      </x:c>
      <x:c r="K37" s="3">
        <x:f>'Res Sales by Year (21-23)'!K37/'Res Sales by Year (21-23)'!K$62</x:f>
        <x:v>3.5405799069020728E-2</x:v>
      </x:c>
      <x:c r="L37" s="3">
        <x:f>'Res Sales by Year (21-23)'!L37/'Res Sales by Year (21-23)'!L$62</x:f>
        <x:v>3.7109013846406136E-2</x:v>
      </x:c>
      <x:c r="M37" s="3">
        <x:f>'Res Sales by Year (21-23)'!M37/'Res Sales by Year (21-23)'!M$62</x:f>
        <x:v>3.8375589658501887E-2</x:v>
      </x:c>
      <x:c r="N37" s="3">
        <x:f>'Res Sales by Year (21-23)'!N37/'Res Sales by Year (21-23)'!N$62</x:f>
        <x:v>3.7977435852034794E-2</x:v>
      </x:c>
      <x:c r="O37" s="3">
        <x:f>'Res Sales by Year (21-23)'!O37/'Res Sales by Year (21-23)'!O$62</x:f>
        <x:v>3.8361275824779155E-2</x:v>
      </x:c>
      <x:c r="P37" s="60">
        <x:f>'Res Sales by Year (21-23)'!P37/'Res Sales by Year (21-23)'!P$62</x:f>
        <x:v>3.7419856204675292E-2</x:v>
      </x:c>
    </x:row>
    <x:row r="38" spans="1:17" ht="13.5" thickBot="1" x14ac:dyDescent="0.35">
      <x:c r="A38" s="1">
        <x:f t="shared" si="0"/>
        <x:v>28</x:v>
      </x:c>
      <x:c r="B38" s="8" t="s">
        <x:v>3</x:v>
      </x:c>
      <x:c r="C38" s="2">
        <x:f>+C33</x:f>
        <x:v>2023</x:v>
      </x:c>
      <x:c r="D38" s="3">
        <x:f>'Res Sales by Year (21-23)'!D38/'Res Sales by Year (21-23)'!D63</x:f>
        <x:v>3.8788797063632419E-2</x:v>
      </x:c>
      <x:c r="E38" s="3">
        <x:f>'Res Sales by Year (21-23)'!E38/'Res Sales by Year (21-23)'!E63</x:f>
        <x:v>3.8276448305533881E-2</x:v>
      </x:c>
      <x:c r="F38" s="3">
        <x:f>'Res Sales by Year (21-23)'!F38/'Res Sales by Year (21-23)'!F63</x:f>
        <x:v>4.0078577026335722E-2</x:v>
      </x:c>
      <x:c r="G38" s="3">
        <x:f>'Res Sales by Year (21-23)'!G38/'Res Sales by Year (21-23)'!G63</x:f>
        <x:v>3.73778141644064E-2</x:v>
      </x:c>
      <x:c r="H38" s="3">
        <x:f>'Res Sales by Year (21-23)'!H38/'Res Sales by Year (21-23)'!H63</x:f>
        <x:v>3.64742577928776E-2</x:v>
      </x:c>
      <x:c r="I38" s="3">
        <x:f>'Res Sales by Year (21-23)'!I38/'Res Sales by Year (21-23)'!I63</x:f>
        <x:v>3.5418421342821159E-2</x:v>
      </x:c>
      <x:c r="J38" s="3">
        <x:f>'Res Sales by Year (21-23)'!J38/'Res Sales by Year (21-23)'!J63</x:f>
        <x:v>3.5390059434726444E-2</x:v>
      </x:c>
      <x:c r="K38" s="3">
        <x:f>'Res Sales by Year (21-23)'!K38/'Res Sales by Year (21-23)'!K63</x:f>
        <x:v>3.556703981012771E-2</x:v>
      </x:c>
      <x:c r="L38" s="3">
        <x:f>'Res Sales by Year (21-23)'!L38/'Res Sales by Year (21-23)'!L63</x:f>
        <x:v>3.5971154918399868E-2</x:v>
      </x:c>
      <x:c r="M38" s="3">
        <x:f>'Res Sales by Year (21-23)'!M38/'Res Sales by Year (21-23)'!M63</x:f>
        <x:v>3.7724716848891109E-2</x:v>
      </x:c>
      <x:c r="N38" s="3">
        <x:f>'Res Sales by Year (21-23)'!N38/'Res Sales by Year (21-23)'!N63</x:f>
        <x:v>3.7754514647095207E-2</x:v>
      </x:c>
      <x:c r="O38" s="3">
        <x:f>'Res Sales by Year (21-23)'!O38/'Res Sales by Year (21-23)'!O63</x:f>
        <x:v>3.7886782414784159E-2</x:v>
      </x:c>
      <x:c r="P38" s="60">
        <x:f>'Res Sales by Year (21-23)'!P38/'Res Sales by Year (21-23)'!P63</x:f>
        <x:v>3.6995689932226981E-2</x:v>
      </x:c>
    </x:row>
    <x:row r="39" spans="1:17" x14ac:dyDescent="0.3">
      <x:c r="A39" s="1">
        <x:f t="shared" si="0"/>
        <x:v>29</x:v>
      </x:c>
      <x:c r="B39" s="8" t="s">
        <x:v>3</x:v>
      </x:c>
      <x:c r="C39" s="57" t="s">
        <x:v>1</x:v>
      </x:c>
      <x:c r="D39" s="58">
        <x:f>'Res Sales by Year (21-23)'!D39/'Res Sales by Year (21-23)'!D64</x:f>
        <x:v>3.8231386577861556E-2</x:v>
      </x:c>
      <x:c r="E39" s="58">
        <x:f>'Res Sales by Year (21-23)'!E39/'Res Sales by Year (21-23)'!E64</x:f>
        <x:v>3.9066819392775148E-2</x:v>
      </x:c>
      <x:c r="F39" s="58">
        <x:f>'Res Sales by Year (21-23)'!F39/'Res Sales by Year (21-23)'!F64</x:f>
        <x:v>4.090581226498153E-2</x:v>
      </x:c>
      <x:c r="G39" s="58">
        <x:f>'Res Sales by Year (21-23)'!G39/'Res Sales by Year (21-23)'!G64</x:f>
        <x:v>3.8050378940994674E-2</x:v>
      </x:c>
      <x:c r="H39" s="58">
        <x:f>'Res Sales by Year (21-23)'!H39/'Res Sales by Year (21-23)'!H64</x:f>
        <x:v>3.6764384704129745E-2</x:v>
      </x:c>
      <x:c r="I39" s="58">
        <x:f>'Res Sales by Year (21-23)'!I39/'Res Sales by Year (21-23)'!I64</x:f>
        <x:v>3.5600916035753195E-2</x:v>
      </x:c>
      <x:c r="J39" s="58">
        <x:f>'Res Sales by Year (21-23)'!J39/'Res Sales by Year (21-23)'!J64</x:f>
        <x:v>3.5106317189389419E-2</x:v>
      </x:c>
      <x:c r="K39" s="58">
        <x:f>'Res Sales by Year (21-23)'!K39/'Res Sales by Year (21-23)'!K64</x:f>
        <x:v>3.5176501542589216E-2</x:v>
      </x:c>
      <x:c r="L39" s="58">
        <x:f>'Res Sales by Year (21-23)'!L39/'Res Sales by Year (21-23)'!L64</x:f>
        <x:v>3.6220890385645965E-2</x:v>
      </x:c>
      <x:c r="M39" s="58">
        <x:f>'Res Sales by Year (21-23)'!M39/'Res Sales by Year (21-23)'!M64</x:f>
        <x:v>3.7896852271475247E-2</x:v>
      </x:c>
      <x:c r="N39" s="58">
        <x:f>'Res Sales by Year (21-23)'!N39/'Res Sales by Year (21-23)'!N64</x:f>
        <x:v>3.7950638700785792E-2</x:v>
      </x:c>
      <x:c r="O39" s="58">
        <x:f>'Res Sales by Year (21-23)'!O39/'Res Sales by Year (21-23)'!O64</x:f>
        <x:v>3.7924060930908686E-2</x:v>
      </x:c>
      <x:c r="P39" s="61">
        <x:f>'Res Sales by Year (21-23)'!P39/'Res Sales by Year (21-23)'!P64</x:f>
        <x:v>3.7182176722156096E-2</x:v>
      </x:c>
    </x:row>
    <x:row r="40" spans="1:17" x14ac:dyDescent="0.3">
      <x:c r="A40" s="1">
        <x:f t="shared" si="0"/>
        <x:v>30</x:v>
      </x:c>
      <x:c r="B40" s="8"/>
    </x:row>
    <x:row r="41" spans="1:17" x14ac:dyDescent="0.3">
      <x:c r="A41" s="1">
        <x:f t="shared" si="0"/>
        <x:v>31</x:v>
      </x:c>
      <x:c r="B41" s="8" t="s">
        <x:v>9</x:v>
      </x:c>
      <x:c r="C41" s="2">
        <x:f>+C36</x:f>
        <x:v>2021</x:v>
      </x:c>
      <x:c r="D41" s="3">
        <x:f>'Res Sales by Year (21-23)'!D41/'Res Sales by Year (21-23)'!D61</x:f>
        <x:v>1.5083511939170282E-2</x:v>
      </x:c>
      <x:c r="E41" s="3">
        <x:f>'Res Sales by Year (21-23)'!E41/'Res Sales by Year (21-23)'!E$61</x:f>
        <x:v>1.505770822433412E-2</x:v>
      </x:c>
      <x:c r="F41" s="3">
        <x:f>'Res Sales by Year (21-23)'!F41/'Res Sales by Year (21-23)'!F$61</x:f>
        <x:v>1.3376799824713272E-2</x:v>
      </x:c>
      <x:c r="G41" s="3">
        <x:f>'Res Sales by Year (21-23)'!G41/'Res Sales by Year (21-23)'!G$61</x:f>
        <x:v>1.3137510147285978E-2</x:v>
      </x:c>
      <x:c r="H41" s="3">
        <x:f>'Res Sales by Year (21-23)'!H41/'Res Sales by Year (21-23)'!H$61</x:f>
        <x:v>1.2829094839744037E-2</x:v>
      </x:c>
      <x:c r="I41" s="3">
        <x:f>'Res Sales by Year (21-23)'!I41/'Res Sales by Year (21-23)'!I$61</x:f>
        <x:v>1.2538299717677271E-2</x:v>
      </x:c>
      <x:c r="J41" s="3">
        <x:f>'Res Sales by Year (21-23)'!J41/'Res Sales by Year (21-23)'!J$61</x:f>
        <x:v>1.1844616104327107E-2</x:v>
      </x:c>
      <x:c r="K41" s="3">
        <x:f>'Res Sales by Year (21-23)'!K41/'Res Sales by Year (21-23)'!K$61</x:f>
        <x:v>1.1685438703713188E-2</x:v>
      </x:c>
      <x:c r="L41" s="3">
        <x:f>'Res Sales by Year (21-23)'!L41/'Res Sales by Year (21-23)'!L$61</x:f>
        <x:v>1.1764978820860845E-2</x:v>
      </x:c>
      <x:c r="M41" s="3">
        <x:f>'Res Sales by Year (21-23)'!M41/'Res Sales by Year (21-23)'!M$61</x:f>
        <x:v>1.1365548299195215E-2</x:v>
      </x:c>
      <x:c r="N41" s="3">
        <x:f>'Res Sales by Year (21-23)'!N41/'Res Sales by Year (21-23)'!N$61</x:f>
        <x:v>1.1840779166895759E-2</x:v>
      </x:c>
      <x:c r="O41" s="3">
        <x:f>'Res Sales by Year (21-23)'!O41/'Res Sales by Year (21-23)'!O$61</x:f>
        <x:v>1.3341204841160898E-2</x:v>
      </x:c>
      <x:c r="P41" s="60">
        <x:f>'Res Sales by Year (21-23)'!P41/'Res Sales by Year (21-23)'!P$61</x:f>
        <x:v>1.2752289310893089E-2</x:v>
      </x:c>
      <x:c r="Q41" s="4"/>
    </x:row>
    <x:row r="42" spans="1:17" x14ac:dyDescent="0.3">
      <x:c r="A42" s="1">
        <x:f t="shared" si="0"/>
        <x:v>32</x:v>
      </x:c>
      <x:c r="B42" s="8" t="s">
        <x:v>9</x:v>
      </x:c>
      <x:c r="C42" s="2">
        <x:f>+C37</x:f>
        <x:v>2022</x:v>
      </x:c>
      <x:c r="D42" s="3">
        <x:f>'Res Sales by Year (21-23)'!D42/'Res Sales by Year (21-23)'!D62</x:f>
        <x:v>1.4227330303927756E-2</x:v>
      </x:c>
      <x:c r="E42" s="3">
        <x:f>'Res Sales by Year (21-23)'!E42/'Res Sales by Year (21-23)'!E$62</x:f>
        <x:v>1.4439062909269303E-2</x:v>
      </x:c>
      <x:c r="F42" s="3">
        <x:f>'Res Sales by Year (21-23)'!F42/'Res Sales by Year (21-23)'!F$62</x:f>
        <x:v>1.4163747681741671E-2</x:v>
      </x:c>
      <x:c r="G42" s="3">
        <x:f>'Res Sales by Year (21-23)'!G42/'Res Sales by Year (21-23)'!G$62</x:f>
        <x:v>1.303299836429707E-2</x:v>
      </x:c>
      <x:c r="H42" s="3">
        <x:f>'Res Sales by Year (21-23)'!H42/'Res Sales by Year (21-23)'!H$62</x:f>
        <x:v>1.3184427552315008E-2</x:v>
      </x:c>
      <x:c r="I42" s="3">
        <x:f>'Res Sales by Year (21-23)'!I42/'Res Sales by Year (21-23)'!I$62</x:f>
        <x:v>1.3089024992915314E-2</x:v>
      </x:c>
      <x:c r="J42" s="3">
        <x:f>'Res Sales by Year (21-23)'!J42/'Res Sales by Year (21-23)'!J$62</x:f>
        <x:v>1.2205817263308919E-2</x:v>
      </x:c>
      <x:c r="K42" s="3">
        <x:f>'Res Sales by Year (21-23)'!K42/'Res Sales by Year (21-23)'!K$62</x:f>
        <x:v>1.1819665565280427E-2</x:v>
      </x:c>
      <x:c r="L42" s="3">
        <x:f>'Res Sales by Year (21-23)'!L42/'Res Sales by Year (21-23)'!L$62</x:f>
        <x:v>1.1834467210057627E-2</x:v>
      </x:c>
      <x:c r="M42" s="3">
        <x:f>'Res Sales by Year (21-23)'!M42/'Res Sales by Year (21-23)'!M$62</x:f>
        <x:v>1.1531802758931982E-2</x:v>
      </x:c>
      <x:c r="N42" s="3">
        <x:f>'Res Sales by Year (21-23)'!N42/'Res Sales by Year (21-23)'!N$62</x:f>
        <x:v>1.2114267466861851E-2</x:v>
      </x:c>
      <x:c r="O42" s="3">
        <x:f>'Res Sales by Year (21-23)'!O42/'Res Sales by Year (21-23)'!O$62</x:f>
        <x:v>1.4037687646284731E-2</x:v>
      </x:c>
      <x:c r="P42" s="60">
        <x:f>'Res Sales by Year (21-23)'!P42/'Res Sales by Year (21-23)'!P$62</x:f>
        <x:v>1.2861275797849601E-2</x:v>
      </x:c>
    </x:row>
    <x:row r="43" spans="1:17" ht="13.5" thickBot="1" x14ac:dyDescent="0.35">
      <x:c r="A43" s="1">
        <x:f t="shared" si="0"/>
        <x:v>33</x:v>
      </x:c>
      <x:c r="B43" s="8" t="s">
        <x:v>9</x:v>
      </x:c>
      <x:c r="C43" s="2">
        <x:f>+C38</x:f>
        <x:v>2023</x:v>
      </x:c>
      <x:c r="D43" s="3">
        <x:f>'Res Sales by Year (21-23)'!D43/'Res Sales by Year (21-23)'!D63</x:f>
        <x:v>1.4159866713415337E-2</x:v>
      </x:c>
      <x:c r="E43" s="3">
        <x:f>'Res Sales by Year (21-23)'!E43/'Res Sales by Year (21-23)'!E63</x:f>
        <x:v>1.4401914141857122E-2</x:v>
      </x:c>
      <x:c r="F43" s="3">
        <x:f>'Res Sales by Year (21-23)'!F43/'Res Sales by Year (21-23)'!F63</x:f>
        <x:v>1.3671465234145802E-2</x:v>
      </x:c>
      <x:c r="G43" s="3">
        <x:f>'Res Sales by Year (21-23)'!G43/'Res Sales by Year (21-23)'!G63</x:f>
        <x:v>1.2602433153848309E-2</x:v>
      </x:c>
      <x:c r="H43" s="3">
        <x:f>'Res Sales by Year (21-23)'!H43/'Res Sales by Year (21-23)'!H63</x:f>
        <x:v>1.2461365628559306E-2</x:v>
      </x:c>
      <x:c r="I43" s="3">
        <x:f>'Res Sales by Year (21-23)'!I43/'Res Sales by Year (21-23)'!I63</x:f>
        <x:v>1.1511226882189408E-2</x:v>
      </x:c>
      <x:c r="J43" s="3">
        <x:f>'Res Sales by Year (21-23)'!J43/'Res Sales by Year (21-23)'!J63</x:f>
        <x:v>1.2342074205932372E-2</x:v>
      </x:c>
      <x:c r="K43" s="3">
        <x:f>'Res Sales by Year (21-23)'!K43/'Res Sales by Year (21-23)'!K63</x:f>
        <x:v>1.2043354650788056E-2</x:v>
      </x:c>
      <x:c r="L43" s="3">
        <x:f>'Res Sales by Year (21-23)'!L43/'Res Sales by Year (21-23)'!L63</x:f>
        <x:v>1.1398932577640254E-2</x:v>
      </x:c>
      <x:c r="M43" s="3">
        <x:f>'Res Sales by Year (21-23)'!M43/'Res Sales by Year (21-23)'!M63</x:f>
        <x:v>1.13429663508151E-2</x:v>
      </x:c>
      <x:c r="N43" s="3">
        <x:f>'Res Sales by Year (21-23)'!N43/'Res Sales by Year (21-23)'!N63</x:f>
        <x:v>1.2189868187495642E-2</x:v>
      </x:c>
      <x:c r="O43" s="3">
        <x:f>'Res Sales by Year (21-23)'!O43/'Res Sales by Year (21-23)'!O63</x:f>
        <x:v>1.3766816400067924E-2</x:v>
      </x:c>
      <x:c r="P43" s="60">
        <x:f>'Res Sales by Year (21-23)'!P43/'Res Sales by Year (21-23)'!P63</x:f>
        <x:v>1.2531691645651955E-2</x:v>
      </x:c>
    </x:row>
    <x:row r="44" spans="1:17" x14ac:dyDescent="0.3">
      <x:c r="A44" s="1">
        <x:f t="shared" si="0"/>
        <x:v>34</x:v>
      </x:c>
      <x:c r="B44" s="8" t="s">
        <x:v>9</x:v>
      </x:c>
      <x:c r="C44" s="57" t="s">
        <x:v>1</x:v>
      </x:c>
      <x:c r="D44" s="58">
        <x:f>'Res Sales by Year (21-23)'!D44/'Res Sales by Year (21-23)'!D64</x:f>
        <x:v>1.4502322354727043E-2</x:v>
      </x:c>
      <x:c r="E44" s="58">
        <x:f>'Res Sales by Year (21-23)'!E44/'Res Sales by Year (21-23)'!E64</x:f>
        <x:v>1.4627539792194047E-2</x:v>
      </x:c>
      <x:c r="F44" s="58">
        <x:f>'Res Sales by Year (21-23)'!F44/'Res Sales by Year (21-23)'!F64</x:f>
        <x:v>1.3729779023334495E-2</x:v>
      </x:c>
      <x:c r="G44" s="58">
        <x:f>'Res Sales by Year (21-23)'!G44/'Res Sales by Year (21-23)'!G64</x:f>
        <x:v>1.2922010918922472E-2</x:v>
      </x:c>
      <x:c r="H44" s="58">
        <x:f>'Res Sales by Year (21-23)'!H44/'Res Sales by Year (21-23)'!H64</x:f>
        <x:v>1.2842978645765323E-2</x:v>
      </x:c>
      <x:c r="I44" s="58">
        <x:f>'Res Sales by Year (21-23)'!I44/'Res Sales by Year (21-23)'!I64</x:f>
        <x:v>1.2411264295333426E-2</x:v>
      </x:c>
      <x:c r="J44" s="58">
        <x:f>'Res Sales by Year (21-23)'!J44/'Res Sales by Year (21-23)'!J64</x:f>
        <x:v>1.2142128913303282E-2</x:v>
      </x:c>
      <x:c r="K44" s="58">
        <x:f>'Res Sales by Year (21-23)'!K44/'Res Sales by Year (21-23)'!K64</x:f>
        <x:v>1.185970695282413E-2</x:v>
      </x:c>
      <x:c r="L44" s="58">
        <x:f>'Res Sales by Year (21-23)'!L44/'Res Sales by Year (21-23)'!L64</x:f>
        <x:v>1.164726098041723E-2</x:v>
      </x:c>
      <x:c r="M44" s="58">
        <x:f>'Res Sales by Year (21-23)'!M44/'Res Sales by Year (21-23)'!M64</x:f>
        <x:v>1.1410164169530857E-2</x:v>
      </x:c>
      <x:c r="N44" s="58">
        <x:f>'Res Sales by Year (21-23)'!N44/'Res Sales by Year (21-23)'!N64</x:f>
        <x:v>1.2048395618468004E-2</x:v>
      </x:c>
      <x:c r="O44" s="58">
        <x:f>'Res Sales by Year (21-23)'!O44/'Res Sales by Year (21-23)'!O64</x:f>
        <x:v>1.3734452832669556E-2</x:v>
      </x:c>
      <x:c r="P44" s="61">
        <x:f>'Res Sales by Year (21-23)'!P44/'Res Sales by Year (21-23)'!P64</x:f>
        <x:v>1.2714991026938337E-2</x:v>
      </x:c>
    </x:row>
    <x:row r="45" spans="1:17" x14ac:dyDescent="0.3">
      <x:c r="A45" s="1">
        <x:f t="shared" si="0"/>
        <x:v>35</x:v>
      </x:c>
      <x:c r="B45" s="8"/>
      <x:c r="C45" s="4"/>
    </x:row>
    <x:row r="46" spans="1:17" x14ac:dyDescent="0.3">
      <x:c r="A46" s="1">
        <x:f t="shared" si="0"/>
        <x:v>36</x:v>
      </x:c>
      <x:c r="B46" s="8" t="s">
        <x:v>4</x:v>
      </x:c>
      <x:c r="C46" s="2">
        <x:f>+C41</x:f>
        <x:v>2021</x:v>
      </x:c>
      <x:c r="D46" s="3">
        <x:f>'Res Sales by Year (21-23)'!D46/'Res Sales by Year (21-23)'!D61</x:f>
        <x:v>1.9775368365651816E-2</x:v>
      </x:c>
      <x:c r="E46" s="3">
        <x:f>'Res Sales by Year (21-23)'!E46/'Res Sales by Year (21-23)'!E$61</x:f>
        <x:v>1.9808409984913067E-2</x:v>
      </x:c>
      <x:c r="F46" s="3">
        <x:f>'Res Sales by Year (21-23)'!F46/'Res Sales by Year (21-23)'!F$61</x:f>
        <x:v>2.0248164807266811E-2</x:v>
      </x:c>
      <x:c r="G46" s="3">
        <x:f>'Res Sales by Year (21-23)'!G46/'Res Sales by Year (21-23)'!G$61</x:f>
        <x:v>1.8808851983041153E-2</x:v>
      </x:c>
      <x:c r="H46" s="3">
        <x:f>'Res Sales by Year (21-23)'!H46/'Res Sales by Year (21-23)'!H$61</x:f>
        <x:v>1.8125362386226911E-2</x:v>
      </x:c>
      <x:c r="I46" s="3">
        <x:f>'Res Sales by Year (21-23)'!I46/'Res Sales by Year (21-23)'!I$61</x:f>
        <x:v>1.8213564723962402E-2</x:v>
      </x:c>
      <x:c r="J46" s="3">
        <x:f>'Res Sales by Year (21-23)'!J46/'Res Sales by Year (21-23)'!J$61</x:f>
        <x:v>1.8472235102570175E-2</x:v>
      </x:c>
      <x:c r="K46" s="3">
        <x:f>'Res Sales by Year (21-23)'!K46/'Res Sales by Year (21-23)'!K$61</x:f>
        <x:v>1.9009559170261661E-2</x:v>
      </x:c>
      <x:c r="L46" s="3">
        <x:f>'Res Sales by Year (21-23)'!L46/'Res Sales by Year (21-23)'!L$61</x:f>
        <x:v>1.9141569409264592E-2</x:v>
      </x:c>
      <x:c r="M46" s="3">
        <x:f>'Res Sales by Year (21-23)'!M46/'Res Sales by Year (21-23)'!M$61</x:f>
        <x:v>1.8860191234547286E-2</x:v>
      </x:c>
      <x:c r="N46" s="3">
        <x:f>'Res Sales by Year (21-23)'!N46/'Res Sales by Year (21-23)'!N$61</x:f>
        <x:v>1.7902435306345894E-2</x:v>
      </x:c>
      <x:c r="O46" s="3">
        <x:f>'Res Sales by Year (21-23)'!O46/'Res Sales by Year (21-23)'!O$61</x:f>
        <x:v>1.8882269443195977E-2</x:v>
      </x:c>
      <x:c r="P46" s="60">
        <x:f>'Res Sales by Year (21-23)'!P46/'Res Sales by Year (21-23)'!P$61</x:f>
        <x:v>1.9008406116513114E-2</x:v>
      </x:c>
      <x:c r="Q46" s="4"/>
    </x:row>
    <x:row r="47" spans="1:17" x14ac:dyDescent="0.3">
      <x:c r="A47" s="1">
        <x:f t="shared" si="0"/>
        <x:v>37</x:v>
      </x:c>
      <x:c r="B47" s="8" t="s">
        <x:v>4</x:v>
      </x:c>
      <x:c r="C47" s="2">
        <x:f>+C42</x:f>
        <x:v>2022</x:v>
      </x:c>
      <x:c r="D47" s="3">
        <x:f>'Res Sales by Year (21-23)'!D47/'Res Sales by Year (21-23)'!D62</x:f>
        <x:v>1.9190545217123305E-2</x:v>
      </x:c>
      <x:c r="E47" s="3">
        <x:f>'Res Sales by Year (21-23)'!E47/'Res Sales by Year (21-23)'!E$62</x:f>
        <x:v>1.9794967068570576E-2</x:v>
      </x:c>
      <x:c r="F47" s="3">
        <x:f>'Res Sales by Year (21-23)'!F47/'Res Sales by Year (21-23)'!F$62</x:f>
        <x:v>1.949634335046016E-2</x:v>
      </x:c>
      <x:c r="G47" s="3">
        <x:f>'Res Sales by Year (21-23)'!G47/'Res Sales by Year (21-23)'!G$62</x:f>
        <x:v>1.8385638769501472E-2</x:v>
      </x:c>
      <x:c r="H47" s="3">
        <x:f>'Res Sales by Year (21-23)'!H47/'Res Sales by Year (21-23)'!H$62</x:f>
        <x:v>1.7908789294059452E-2</x:v>
      </x:c>
      <x:c r="I47" s="3">
        <x:f>'Res Sales by Year (21-23)'!I47/'Res Sales by Year (21-23)'!I$62</x:f>
        <x:v>1.8100000868067824E-2</x:v>
      </x:c>
      <x:c r="J47" s="3">
        <x:f>'Res Sales by Year (21-23)'!J47/'Res Sales by Year (21-23)'!J$62</x:f>
        <x:v>1.8278710852203391E-2</x:v>
      </x:c>
      <x:c r="K47" s="3">
        <x:f>'Res Sales by Year (21-23)'!K47/'Res Sales by Year (21-23)'!K$62</x:f>
        <x:v>1.8775854329379418E-2</x:v>
      </x:c>
      <x:c r="L47" s="3">
        <x:f>'Res Sales by Year (21-23)'!L47/'Res Sales by Year (21-23)'!L$62</x:f>
        <x:v>1.9161746005623072E-2</x:v>
      </x:c>
      <x:c r="M47" s="3">
        <x:f>'Res Sales by Year (21-23)'!M47/'Res Sales by Year (21-23)'!M$62</x:f>
        <x:v>1.8971198175213241E-2</x:v>
      </x:c>
      <x:c r="N47" s="3">
        <x:f>'Res Sales by Year (21-23)'!N47/'Res Sales by Year (21-23)'!N$62</x:f>
        <x:v>1.7651219537000388E-2</x:v>
      </x:c>
      <x:c r="O47" s="3">
        <x:f>'Res Sales by Year (21-23)'!O47/'Res Sales by Year (21-23)'!O$62</x:f>
        <x:v>1.9032811432000384E-2</x:v>
      </x:c>
      <x:c r="P47" s="60">
        <x:f>'Res Sales by Year (21-23)'!P47/'Res Sales by Year (21-23)'!P$62</x:f>
        <x:v>1.8761527651797904E-2</x:v>
      </x:c>
    </x:row>
    <x:row r="48" spans="1:17" ht="13.5" thickBot="1" x14ac:dyDescent="0.35">
      <x:c r="A48" s="1">
        <x:f t="shared" si="0"/>
        <x:v>38</x:v>
      </x:c>
      <x:c r="B48" s="8" t="s">
        <x:v>4</x:v>
      </x:c>
      <x:c r="C48" s="2">
        <x:f>+C43</x:f>
        <x:v>2023</x:v>
      </x:c>
      <x:c r="D48" s="3">
        <x:f>'Res Sales by Year (21-23)'!D48/'Res Sales by Year (21-23)'!D63</x:f>
        <x:v>1.9251360787165418E-2</x:v>
      </x:c>
      <x:c r="E48" s="3">
        <x:f>'Res Sales by Year (21-23)'!E48/'Res Sales by Year (21-23)'!E63</x:f>
        <x:v>1.9010565070514952E-2</x:v>
      </x:c>
      <x:c r="F48" s="3">
        <x:f>'Res Sales by Year (21-23)'!F48/'Res Sales by Year (21-23)'!F63</x:f>
        <x:v>1.9735636286821095E-2</x:v>
      </x:c>
      <x:c r="G48" s="3">
        <x:f>'Res Sales by Year (21-23)'!G48/'Res Sales by Year (21-23)'!G63</x:f>
        <x:v>1.8241541104639106E-2</x:v>
      </x:c>
      <x:c r="H48" s="3">
        <x:f>'Res Sales by Year (21-23)'!H48/'Res Sales by Year (21-23)'!H63</x:f>
        <x:v>1.736188521858853E-2</x:v>
      </x:c>
      <x:c r="I48" s="3">
        <x:f>'Res Sales by Year (21-23)'!I48/'Res Sales by Year (21-23)'!I63</x:f>
        <x:v>1.6858070265419932E-2</x:v>
      </x:c>
      <x:c r="J48" s="3">
        <x:f>'Res Sales by Year (21-23)'!J48/'Res Sales by Year (21-23)'!J63</x:f>
        <x:v>1.791382947135799E-2</x:v>
      </x:c>
      <x:c r="K48" s="3">
        <x:f>'Res Sales by Year (21-23)'!K48/'Res Sales by Year (21-23)'!K63</x:f>
        <x:v>1.837617763214347E-2</x:v>
      </x:c>
      <x:c r="L48" s="3">
        <x:f>'Res Sales by Year (21-23)'!L48/'Res Sales by Year (21-23)'!L63</x:f>
        <x:v>1.841387654139659E-2</x:v>
      </x:c>
      <x:c r="M48" s="3">
        <x:f>'Res Sales by Year (21-23)'!M48/'Res Sales by Year (21-23)'!M63</x:f>
        <x:v>1.8159311081126409E-2</x:v>
      </x:c>
      <x:c r="N48" s="3">
        <x:f>'Res Sales by Year (21-23)'!N48/'Res Sales by Year (21-23)'!N63</x:f>
        <x:v>1.836723454558109E-2</x:v>
      </x:c>
      <x:c r="O48" s="3">
        <x:f>'Res Sales by Year (21-23)'!O48/'Res Sales by Year (21-23)'!O63</x:f>
        <x:v>1.8651804688195123E-2</x:v>
      </x:c>
      <x:c r="P48" s="60">
        <x:f>'Res Sales by Year (21-23)'!P48/'Res Sales by Year (21-23)'!P63</x:f>
        <x:v>1.835758296923649E-2</x:v>
      </x:c>
    </x:row>
    <x:row r="49" spans="1:17" x14ac:dyDescent="0.3">
      <x:c r="A49" s="1">
        <x:f t="shared" si="0"/>
        <x:v>39</x:v>
      </x:c>
      <x:c r="B49" s="8" t="s">
        <x:v>4</x:v>
      </x:c>
      <x:c r="C49" s="57" t="s">
        <x:v>1</x:v>
      </x:c>
      <x:c r="D49" s="58">
        <x:f>'Res Sales by Year (21-23)'!D49/'Res Sales by Year (21-23)'!D64</x:f>
        <x:v>1.9416085067219018E-2</x:v>
      </x:c>
      <x:c r="E49" s="58">
        <x:f>'Res Sales by Year (21-23)'!E49/'Res Sales by Year (21-23)'!E64</x:f>
        <x:v>1.9545807968369345E-2</x:v>
      </x:c>
      <x:c r="F49" s="58">
        <x:f>'Res Sales by Year (21-23)'!F49/'Res Sales by Year (21-23)'!F64</x:f>
        <x:v>1.984579388120437E-2</x:v>
      </x:c>
      <x:c r="G49" s="58">
        <x:f>'Res Sales by Year (21-23)'!G49/'Res Sales by Year (21-23)'!G64</x:f>
        <x:v>1.8467719545435895E-2</x:v>
      </x:c>
      <x:c r="H49" s="58">
        <x:f>'Res Sales by Year (21-23)'!H49/'Res Sales by Year (21-23)'!H64</x:f>
        <x:v>1.7801695255155316E-2</x:v>
      </x:c>
      <x:c r="I49" s="58">
        <x:f>'Res Sales by Year (21-23)'!I49/'Res Sales by Year (21-23)'!I64</x:f>
        <x:v>1.772557816479239E-2</x:v>
      </x:c>
      <x:c r="J49" s="58">
        <x:f>'Res Sales by Year (21-23)'!J49/'Res Sales by Year (21-23)'!J64</x:f>
        <x:v>1.8215009815435231E-2</x:v>
      </x:c>
      <x:c r="K49" s="58">
        <x:f>'Res Sales by Year (21-23)'!K49/'Res Sales by Year (21-23)'!K64</x:f>
        <x:v>1.870255349669293E-2</x:v>
      </x:c>
      <x:c r="L49" s="58">
        <x:f>'Res Sales by Year (21-23)'!L49/'Res Sales by Year (21-23)'!L64</x:f>
        <x:v>1.8871371791882235E-2</x:v>
      </x:c>
      <x:c r="M49" s="58">
        <x:f>'Res Sales by Year (21-23)'!M49/'Res Sales by Year (21-23)'!M64</x:f>
        <x:v>1.864156652519457E-2</x:v>
      </x:c>
      <x:c r="N49" s="58">
        <x:f>'Res Sales by Year (21-23)'!N49/'Res Sales by Year (21-23)'!N64</x:f>
        <x:v>1.7981267285178557E-2</x:v>
      </x:c>
      <x:c r="O49" s="58">
        <x:f>'Res Sales by Year (21-23)'!O49/'Res Sales by Year (21-23)'!O64</x:f>
        <x:v>1.8860707086721992E-2</x:v>
      </x:c>
      <x:c r="P49" s="61">
        <x:f>'Res Sales by Year (21-23)'!P49/'Res Sales by Year (21-23)'!P64</x:f>
        <x:v>1.8702767125544657E-2</x:v>
      </x:c>
    </x:row>
    <x:row r="50" spans="1:17" x14ac:dyDescent="0.3">
      <x:c r="A50" s="1">
        <x:f t="shared" si="0"/>
        <x:v>40</x:v>
      </x:c>
      <x:c r="B50" s="8"/>
    </x:row>
    <x:row r="51" spans="1:17" x14ac:dyDescent="0.3">
      <x:c r="A51" s="1">
        <x:f t="shared" si="0"/>
        <x:v>41</x:v>
      </x:c>
      <x:c r="B51" s="8" t="s">
        <x:v>2</x:v>
      </x:c>
      <x:c r="C51" s="2">
        <x:f>+C46</x:f>
        <x:v>2021</x:v>
      </x:c>
      <x:c r="D51" s="3">
        <x:f>'Res Sales by Year (21-23)'!D51/'Res Sales by Year (21-23)'!D61</x:f>
        <x:v>5.8902814187959354E-2</x:v>
      </x:c>
      <x:c r="E51" s="3">
        <x:f>'Res Sales by Year (21-23)'!E51/'Res Sales by Year (21-23)'!E$61</x:f>
        <x:v>5.6054561055123762E-2</x:v>
      </x:c>
      <x:c r="F51" s="3">
        <x:f>'Res Sales by Year (21-23)'!F51/'Res Sales by Year (21-23)'!F$61</x:f>
        <x:v>5.2495633183060275E-2</x:v>
      </x:c>
      <x:c r="G51" s="3">
        <x:f>'Res Sales by Year (21-23)'!G51/'Res Sales by Year (21-23)'!G$61</x:f>
        <x:v>5.5082765891885668E-2</x:v>
      </x:c>
      <x:c r="H51" s="3">
        <x:f>'Res Sales by Year (21-23)'!H51/'Res Sales by Year (21-23)'!H$61</x:f>
        <x:v>5.6633918288899403E-2</x:v>
      </x:c>
      <x:c r="I51" s="3">
        <x:f>'Res Sales by Year (21-23)'!I51/'Res Sales by Year (21-23)'!I$61</x:f>
        <x:v>5.9448429803222423E-2</x:v>
      </x:c>
      <x:c r="J51" s="3">
        <x:f>'Res Sales by Year (21-23)'!J51/'Res Sales by Year (21-23)'!J$61</x:f>
        <x:v>5.3454668083911368E-2</x:v>
      </x:c>
      <x:c r="K51" s="3">
        <x:f>'Res Sales by Year (21-23)'!K51/'Res Sales by Year (21-23)'!K$61</x:f>
        <x:v>4.9402982353824315E-2</x:v>
      </x:c>
      <x:c r="L51" s="3">
        <x:f>'Res Sales by Year (21-23)'!L51/'Res Sales by Year (21-23)'!L$61</x:f>
        <x:v>4.9314799492934269E-2</x:v>
      </x:c>
      <x:c r="M51" s="3">
        <x:f>'Res Sales by Year (21-23)'!M51/'Res Sales by Year (21-23)'!M$61</x:f>
        <x:v>5.2048092662237165E-2</x:v>
      </x:c>
      <x:c r="N51" s="3">
        <x:f>'Res Sales by Year (21-23)'!N51/'Res Sales by Year (21-23)'!N$61</x:f>
        <x:v>5.2652503939898988E-2</x:v>
      </x:c>
      <x:c r="O51" s="3">
        <x:f>'Res Sales by Year (21-23)'!O51/'Res Sales by Year (21-23)'!O$61</x:f>
        <x:v>5.505055269232343E-2</x:v>
      </x:c>
      <x:c r="P51" s="60">
        <x:f>'Res Sales by Year (21-23)'!P51/'Res Sales by Year (21-23)'!P$61</x:f>
        <x:v>5.3783239488714919E-2</x:v>
      </x:c>
      <x:c r="Q51" s="4"/>
    </x:row>
    <x:row r="52" spans="1:17" x14ac:dyDescent="0.3">
      <x:c r="A52" s="1">
        <x:f t="shared" si="0"/>
        <x:v>42</x:v>
      </x:c>
      <x:c r="B52" s="8" t="s">
        <x:v>2</x:v>
      </x:c>
      <x:c r="C52" s="2">
        <x:f>+C47</x:f>
        <x:v>2022</x:v>
      </x:c>
      <x:c r="D52" s="3">
        <x:f>'Res Sales by Year (21-23)'!D52/'Res Sales by Year (21-23)'!D62</x:f>
        <x:v>5.3837032892661188E-2</x:v>
      </x:c>
      <x:c r="E52" s="3">
        <x:f>'Res Sales by Year (21-23)'!E52/'Res Sales by Year (21-23)'!E$62</x:f>
        <x:v>5.5624584057089081E-2</x:v>
      </x:c>
      <x:c r="F52" s="3">
        <x:f>'Res Sales by Year (21-23)'!F52/'Res Sales by Year (21-23)'!F$62</x:f>
        <x:v>5.3288783921028447E-2</x:v>
      </x:c>
      <x:c r="G52" s="3">
        <x:f>'Res Sales by Year (21-23)'!G52/'Res Sales by Year (21-23)'!G$62</x:f>
        <x:v>5.503232525623715E-2</x:v>
      </x:c>
      <x:c r="H52" s="3">
        <x:f>'Res Sales by Year (21-23)'!H52/'Res Sales by Year (21-23)'!H$62</x:f>
        <x:v>5.8314066173526379E-2</x:v>
      </x:c>
      <x:c r="I52" s="3">
        <x:f>'Res Sales by Year (21-23)'!I52/'Res Sales by Year (21-23)'!I$62</x:f>
        <x:v>5.7398663471509001E-2</x:v>
      </x:c>
      <x:c r="J52" s="3">
        <x:f>'Res Sales by Year (21-23)'!J52/'Res Sales by Year (21-23)'!J$62</x:f>
        <x:v>5.124007717967563E-2</x:v>
      </x:c>
      <x:c r="K52" s="3">
        <x:f>'Res Sales by Year (21-23)'!K52/'Res Sales by Year (21-23)'!K$62</x:f>
        <x:v>5.0564946439692025E-2</x:v>
      </x:c>
      <x:c r="L52" s="3">
        <x:f>'Res Sales by Year (21-23)'!L52/'Res Sales by Year (21-23)'!L$62</x:f>
        <x:v>5.0031287745151871E-2</x:v>
      </x:c>
      <x:c r="M52" s="3">
        <x:f>'Res Sales by Year (21-23)'!M52/'Res Sales by Year (21-23)'!M$62</x:f>
        <x:v>5.0274790682222598E-2</x:v>
      </x:c>
      <x:c r="N52" s="3">
        <x:f>'Res Sales by Year (21-23)'!N52/'Res Sales by Year (21-23)'!N$62</x:f>
        <x:v>5.2104826383599513E-2</x:v>
      </x:c>
      <x:c r="O52" s="3">
        <x:f>'Res Sales by Year (21-23)'!O52/'Res Sales by Year (21-23)'!O$62</x:f>
        <x:v>6.0019102076778887E-2</x:v>
      </x:c>
      <x:c r="P52" s="60">
        <x:f>'Res Sales by Year (21-23)'!P52/'Res Sales by Year (21-23)'!P$62</x:f>
        <x:v>5.3536471186708845E-2</x:v>
      </x:c>
    </x:row>
    <x:row r="53" spans="1:17" ht="13.5" thickBot="1" x14ac:dyDescent="0.35">
      <x:c r="A53" s="1">
        <x:f t="shared" si="0"/>
        <x:v>43</x:v>
      </x:c>
      <x:c r="B53" s="8" t="s">
        <x:v>2</x:v>
      </x:c>
      <x:c r="C53" s="2">
        <x:f>+C48</x:f>
        <x:v>2023</x:v>
      </x:c>
      <x:c r="D53" s="3">
        <x:f>'Res Sales by Year (21-23)'!D53/'Res Sales by Year (21-23)'!D63</x:f>
        <x:v>5.5884594446245009E-2</x:v>
      </x:c>
      <x:c r="E53" s="3">
        <x:f>'Res Sales by Year (21-23)'!E53/'Res Sales by Year (21-23)'!E63</x:f>
        <x:v>5.8436107613091183E-2</x:v>
      </x:c>
      <x:c r="F53" s="3">
        <x:f>'Res Sales by Year (21-23)'!F53/'Res Sales by Year (21-23)'!F63</x:f>
        <x:v>5.7800297729593678E-2</x:v>
      </x:c>
      <x:c r="G53" s="3">
        <x:f>'Res Sales by Year (21-23)'!G53/'Res Sales by Year (21-23)'!G63</x:f>
        <x:v>5.4570776707422303E-2</x:v>
      </x:c>
      <x:c r="H53" s="3">
        <x:f>'Res Sales by Year (21-23)'!H53/'Res Sales by Year (21-23)'!H63</x:f>
        <x:v>5.7873252942123664E-2</x:v>
      </x:c>
      <x:c r="I53" s="3">
        <x:f>'Res Sales by Year (21-23)'!I53/'Res Sales by Year (21-23)'!I63</x:f>
        <x:v>5.4889473886041658E-2</x:v>
      </x:c>
      <x:c r="J53" s="3">
        <x:f>'Res Sales by Year (21-23)'!J53/'Res Sales by Year (21-23)'!J63</x:f>
        <x:v>5.8294308143980969E-2</x:v>
      </x:c>
      <x:c r="K53" s="3">
        <x:f>'Res Sales by Year (21-23)'!K53/'Res Sales by Year (21-23)'!K63</x:f>
        <x:v>5.408264163594622E-2</x:v>
      </x:c>
      <x:c r="L53" s="3">
        <x:f>'Res Sales by Year (21-23)'!L53/'Res Sales by Year (21-23)'!L63</x:f>
        <x:v>5.0582681428346793E-2</x:v>
      </x:c>
      <x:c r="M53" s="3">
        <x:f>'Res Sales by Year (21-23)'!M53/'Res Sales by Year (21-23)'!M63</x:f>
        <x:v>5.3555130977550845E-2</x:v>
      </x:c>
      <x:c r="N53" s="3">
        <x:f>'Res Sales by Year (21-23)'!N53/'Res Sales by Year (21-23)'!N63</x:f>
        <x:v>5.5742530856425131E-2</x:v>
      </x:c>
      <x:c r="O53" s="3">
        <x:f>'Res Sales by Year (21-23)'!O53/'Res Sales by Year (21-23)'!O63</x:f>
        <x:v>5.8862039356907384E-2</x:v>
      </x:c>
      <x:c r="P53" s="60">
        <x:f>'Res Sales by Year (21-23)'!P53/'Res Sales by Year (21-23)'!P63</x:f>
        <x:v>5.5507293700759776E-2</x:v>
      </x:c>
    </x:row>
    <x:row r="54" spans="1:17" x14ac:dyDescent="0.3">
      <x:c r="A54" s="1">
        <x:f t="shared" si="0"/>
        <x:v>44</x:v>
      </x:c>
      <x:c r="B54" s="8" t="s">
        <x:v>2</x:v>
      </x:c>
      <x:c r="C54" s="57" t="s">
        <x:v>1</x:v>
      </x:c>
      <x:c r="D54" s="58">
        <x:f>'Res Sales by Year (21-23)'!D54/'Res Sales by Year (21-23)'!D64</x:f>
        <x:v>5.6327069538495478E-2</x:v>
      </x:c>
      <x:c r="E54" s="58">
        <x:f>'Res Sales by Year (21-23)'!E54/'Res Sales by Year (21-23)'!E64</x:f>
        <x:v>5.6672598811494924E-2</x:v>
      </x:c>
      <x:c r="F54" s="58">
        <x:f>'Res Sales by Year (21-23)'!F54/'Res Sales by Year (21-23)'!F64</x:f>
        <x:v>5.4263579346917258E-2</x:v>
      </x:c>
      <x:c r="G54" s="58">
        <x:f>'Res Sales by Year (21-23)'!G54/'Res Sales by Year (21-23)'!G64</x:f>
        <x:v>5.489443671330569E-2</x:v>
      </x:c>
      <x:c r="H54" s="58">
        <x:f>'Res Sales by Year (21-23)'!H54/'Res Sales by Year (21-23)'!H64</x:f>
        <x:v>5.7650058187680868E-2</x:v>
      </x:c>
      <x:c r="I54" s="58">
        <x:f>'Res Sales by Year (21-23)'!I54/'Res Sales by Year (21-23)'!I64</x:f>
        <x:v>5.7171460500517454E-2</x:v>
      </x:c>
      <x:c r="J54" s="58">
        <x:f>'Res Sales by Year (21-23)'!J54/'Res Sales by Year (21-23)'!J64</x:f>
        <x:v>5.4274808849714612E-2</x:v>
      </x:c>
      <x:c r="K54" s="58">
        <x:f>'Res Sales by Year (21-23)'!K54/'Res Sales by Year (21-23)'!K64</x:f>
        <x:v>5.1466788251161355E-2</x:v>
      </x:c>
      <x:c r="L54" s="58">
        <x:f>'Res Sales by Year (21-23)'!L54/'Res Sales by Year (21-23)'!L64</x:f>
        <x:v>5.0016082633975036E-2</x:v>
      </x:c>
      <x:c r="M54" s="58">
        <x:f>'Res Sales by Year (21-23)'!M54/'Res Sales by Year (21-23)'!M64</x:f>
        <x:v>5.2030850807543126E-2</x:v>
      </x:c>
      <x:c r="N54" s="58">
        <x:f>'Res Sales by Year (21-23)'!N54/'Res Sales by Year (21-23)'!N64</x:f>
        <x:v>5.3537017642947424E-2</x:v>
      </x:c>
      <x:c r="O54" s="58">
        <x:f>'Res Sales by Year (21-23)'!O54/'Res Sales by Year (21-23)'!O64</x:f>
        <x:v>5.8112093865455024E-2</x:v>
      </x:c>
      <x:c r="P54" s="61">
        <x:f>'Res Sales by Year (21-23)'!P54/'Res Sales by Year (21-23)'!P64</x:f>
        <x:v>5.4282927565840668E-2</x:v>
      </x:c>
    </x:row>
    <x:row r="55" spans="1:17" x14ac:dyDescent="0.3">
      <x:c r="A55" s="1">
        <x:f t="shared" si="0"/>
        <x:v>45</x:v>
      </x:c>
      <x:c r="B55" s="8"/>
      <x:c r="C55" s="4"/>
    </x:row>
    <x:row r="56" spans="1:17" x14ac:dyDescent="0.3">
      <x:c r="A56" s="1">
        <x:f t="shared" si="0"/>
        <x:v>46</x:v>
      </x:c>
      <x:c r="B56" s="8" t="s">
        <x:v>48</x:v>
      </x:c>
      <x:c r="C56" s="2">
        <x:f>+C51</x:f>
        <x:v>2021</x:v>
      </x:c>
      <x:c r="D56" s="3">
        <x:f>'Res Sales by Year (21-23)'!D56/'Res Sales by Year (21-23)'!D61</x:f>
        <x:v>2.7502400617112201E-2</x:v>
      </x:c>
      <x:c r="E56" s="3">
        <x:f>'Res Sales by Year (21-23)'!E56/'Res Sales by Year (21-23)'!E$61</x:f>
        <x:v>2.8142162767800044E-2</x:v>
      </x:c>
      <x:c r="F56" s="3">
        <x:f>'Res Sales by Year (21-23)'!F56/'Res Sales by Year (21-23)'!F$61</x:f>
        <x:v>2.8982680545229011E-2</x:v>
      </x:c>
      <x:c r="G56" s="3">
        <x:f>'Res Sales by Year (21-23)'!G56/'Res Sales by Year (21-23)'!G$61</x:f>
        <x:v>2.5509166792809741E-2</x:v>
      </x:c>
      <x:c r="H56" s="3">
        <x:f>'Res Sales by Year (21-23)'!H56/'Res Sales by Year (21-23)'!H$61</x:f>
        <x:v>2.3855322911709501E-2</x:v>
      </x:c>
      <x:c r="I56" s="3">
        <x:f>'Res Sales by Year (21-23)'!I56/'Res Sales by Year (21-23)'!I$61</x:f>
        <x:v>2.2384924081280913E-2</x:v>
      </x:c>
      <x:c r="J56" s="3">
        <x:f>'Res Sales by Year (21-23)'!J56/'Res Sales by Year (21-23)'!J$61</x:f>
        <x:v>2.3412425787620785E-2</x:v>
      </x:c>
      <x:c r="K56" s="3">
        <x:f>'Res Sales by Year (21-23)'!K56/'Res Sales by Year (21-23)'!K$61</x:f>
        <x:v>2.4407169218916787E-2</x:v>
      </x:c>
      <x:c r="L56" s="3">
        <x:f>'Res Sales by Year (21-23)'!L56/'Res Sales by Year (21-23)'!L$61</x:f>
        <x:v>2.3761966020151612E-2</x:v>
      </x:c>
      <x:c r="M56" s="3">
        <x:f>'Res Sales by Year (21-23)'!M56/'Res Sales by Year (21-23)'!M$61</x:f>
        <x:v>2.3966075772914014E-2</x:v>
      </x:c>
      <x:c r="N56" s="3">
        <x:f>'Res Sales by Year (21-23)'!N56/'Res Sales by Year (21-23)'!N$61</x:f>
        <x:v>2.401994839482462E-2</x:v>
      </x:c>
      <x:c r="O56" s="3">
        <x:f>'Res Sales by Year (21-23)'!O56/'Res Sales by Year (21-23)'!O$61</x:f>
        <x:v>2.6660866338107096E-2</x:v>
      </x:c>
      <x:c r="P56" s="60">
        <x:f>'Res Sales by Year (21-23)'!P56/'Res Sales by Year (21-23)'!P$61</x:f>
        <x:v>2.521082824014409E-2</x:v>
      </x:c>
    </x:row>
    <x:row r="57" spans="1:17" x14ac:dyDescent="0.3">
      <x:c r="A57" s="1">
        <x:f t="shared" si="0"/>
        <x:v>47</x:v>
      </x:c>
      <x:c r="B57" s="8" t="s">
        <x:v>48</x:v>
      </x:c>
      <x:c r="C57" s="2">
        <x:f>+C52</x:f>
        <x:v>2022</x:v>
      </x:c>
      <x:c r="D57" s="3">
        <x:f>'Res Sales by Year (21-23)'!D57/'Res Sales by Year (21-23)'!D62</x:f>
        <x:v>2.6689883472437587E-2</x:v>
      </x:c>
      <x:c r="E57" s="3">
        <x:f>'Res Sales by Year (21-23)'!E57/'Res Sales by Year (21-23)'!E$62</x:f>
        <x:v>2.7518480053251831E-2</x:v>
      </x:c>
      <x:c r="F57" s="3">
        <x:f>'Res Sales by Year (21-23)'!F57/'Res Sales by Year (21-23)'!F$62</x:f>
        <x:v>2.7222771133294119E-2</x:v>
      </x:c>
      <x:c r="G57" s="3">
        <x:f>'Res Sales by Year (21-23)'!G57/'Res Sales by Year (21-23)'!G$62</x:f>
        <x:v>2.6254497499499853E-2</x:v>
      </x:c>
      <x:c r="H57" s="3">
        <x:f>'Res Sales by Year (21-23)'!H57/'Res Sales by Year (21-23)'!H$62</x:f>
        <x:v>2.2203257107617728E-2</x:v>
      </x:c>
      <x:c r="I57" s="3">
        <x:f>'Res Sales by Year (21-23)'!I57/'Res Sales by Year (21-23)'!I$62</x:f>
        <x:v>2.1593929538317864E-2</x:v>
      </x:c>
      <x:c r="J57" s="3">
        <x:f>'Res Sales by Year (21-23)'!J57/'Res Sales by Year (21-23)'!J$62</x:f>
        <x:v>2.2792810293514435E-2</x:v>
      </x:c>
      <x:c r="K57" s="3">
        <x:f>'Res Sales by Year (21-23)'!K57/'Res Sales by Year (21-23)'!K$62</x:f>
        <x:v>2.3966631656343027E-2</x:v>
      </x:c>
      <x:c r="L57" s="3">
        <x:f>'Res Sales by Year (21-23)'!L57/'Res Sales by Year (21-23)'!L$62</x:f>
        <x:v>2.44695640326562E-2</x:v>
      </x:c>
      <x:c r="M57" s="3">
        <x:f>'Res Sales by Year (21-23)'!M57/'Res Sales by Year (21-23)'!M$62</x:f>
        <x:v>2.4438021450151896E-2</x:v>
      </x:c>
      <x:c r="N57" s="3">
        <x:f>'Res Sales by Year (21-23)'!N57/'Res Sales by Year (21-23)'!N$62</x:f>
        <x:v>2.4856177798502896E-2</x:v>
      </x:c>
      <x:c r="O57" s="3">
        <x:f>'Res Sales by Year (21-23)'!O57/'Res Sales by Year (21-23)'!O$62</x:f>
        <x:v>2.7989242009488702E-2</x:v>
      </x:c>
      <x:c r="P57" s="60">
        <x:f>'Res Sales by Year (21-23)'!P57/'Res Sales by Year (21-23)'!P$62</x:f>
        <x:v>2.4800186365159901E-2</x:v>
      </x:c>
    </x:row>
    <x:row r="58" spans="1:17" ht="13.5" thickBot="1" x14ac:dyDescent="0.35">
      <x:c r="A58" s="1">
        <x:f t="shared" si="0"/>
        <x:v>48</x:v>
      </x:c>
      <x:c r="B58" s="8" t="s">
        <x:v>48</x:v>
      </x:c>
      <x:c r="C58" s="2">
        <x:f>+C53</x:f>
        <x:v>2023</x:v>
      </x:c>
      <x:c r="D58" s="3">
        <x:f>'Res Sales by Year (21-23)'!D58/'Res Sales by Year (21-23)'!D63</x:f>
        <x:v>2.821135780638102E-2</x:v>
      </x:c>
      <x:c r="E58" s="3">
        <x:f>'Res Sales by Year (21-23)'!E58/'Res Sales by Year (21-23)'!E63</x:f>
        <x:v>2.8172556552825113E-2</x:v>
      </x:c>
      <x:c r="F58" s="3">
        <x:f>'Res Sales by Year (21-23)'!F58/'Res Sales by Year (21-23)'!F63</x:f>
        <x:v>2.8179074544280831E-2</x:v>
      </x:c>
      <x:c r="G58" s="3">
        <x:f>'Res Sales by Year (21-23)'!G58/'Res Sales by Year (21-23)'!G63</x:f>
        <x:v>2.6479651233194471E-2</x:v>
      </x:c>
      <x:c r="H58" s="3">
        <x:f>'Res Sales by Year (21-23)'!H58/'Res Sales by Year (21-23)'!H63</x:f>
        <x:v>2.4014412054097472E-2</x:v>
      </x:c>
      <x:c r="I58" s="3">
        <x:f>'Res Sales by Year (21-23)'!I58/'Res Sales by Year (21-23)'!I63</x:f>
        <x:v>2.272761660937804E-2</x:v>
      </x:c>
      <x:c r="J58" s="3">
        <x:f>'Res Sales by Year (21-23)'!J58/'Res Sales by Year (21-23)'!J63</x:f>
        <x:v>2.2282358413559144E-2</x:v>
      </x:c>
      <x:c r="K58" s="3">
        <x:f>'Res Sales by Year (21-23)'!K58/'Res Sales by Year (21-23)'!K63</x:f>
        <x:v>2.2523058174250477E-2</x:v>
      </x:c>
      <x:c r="L58" s="3">
        <x:f>'Res Sales by Year (21-23)'!L58/'Res Sales by Year (21-23)'!L63</x:f>
        <x:v>2.3521267726102787E-2</x:v>
      </x:c>
      <x:c r="M58" s="3">
        <x:f>'Res Sales by Year (21-23)'!M58/'Res Sales by Year (21-23)'!M63</x:f>
        <x:v>2.3507503354788732E-2</x:v>
      </x:c>
      <x:c r="N58" s="3">
        <x:f>'Res Sales by Year (21-23)'!N58/'Res Sales by Year (21-23)'!N63</x:f>
        <x:v>2.5066673198811208E-2</x:v>
      </x:c>
      <x:c r="O58" s="3">
        <x:f>'Res Sales by Year (21-23)'!O58/'Res Sales by Year (21-23)'!O63</x:f>
        <x:v>2.7939798897974561E-2</x:v>
      </x:c>
      <x:c r="P58" s="60">
        <x:f>'Res Sales by Year (21-23)'!P58/'Res Sales by Year (21-23)'!P63</x:f>
        <x:v>2.4820369773845202E-2</x:v>
      </x:c>
    </x:row>
    <x:row r="59" spans="1:17" x14ac:dyDescent="0.3">
      <x:c r="A59" s="1">
        <x:f t="shared" si="0"/>
        <x:v>49</x:v>
      </x:c>
      <x:c r="B59" s="8" t="s">
        <x:v>48</x:v>
      </x:c>
      <x:c r="C59" s="57" t="s">
        <x:v>1</x:v>
      </x:c>
      <x:c r="D59" s="58">
        <x:f>'Res Sales by Year (21-23)'!D59/'Res Sales by Year (21-23)'!D64</x:f>
        <x:v>2.7510074142766461E-2</x:v>
      </x:c>
      <x:c r="E59" s="58">
        <x:f>'Res Sales by Year (21-23)'!E59/'Res Sales by Year (21-23)'!E64</x:f>
        <x:v>2.7931990578495883E-2</x:v>
      </x:c>
      <x:c r="F59" s="58">
        <x:f>'Res Sales by Year (21-23)'!F59/'Res Sales by Year (21-23)'!F64</x:f>
        <x:v>2.8152502623979267E-2</x:v>
      </x:c>
      <x:c r="G59" s="58">
        <x:f>'Res Sales by Year (21-23)'!G59/'Res Sales by Year (21-23)'!G64</x:f>
        <x:v>2.6100432311338781E-2</x:v>
      </x:c>
      <x:c r="H59" s="58">
        <x:f>'Res Sales by Year (21-23)'!H59/'Res Sales by Year (21-23)'!H64</x:f>
        <x:v>2.3295877642223291E-2</x:v>
      </x:c>
      <x:c r="I59" s="58">
        <x:f>'Res Sales by Year (21-23)'!I59/'Res Sales by Year (21-23)'!I64</x:f>
        <x:v>2.2195850747596859E-2</x:v>
      </x:c>
      <x:c r="J59" s="58">
        <x:f>'Res Sales by Year (21-23)'!J59/'Res Sales by Year (21-23)'!J64</x:f>
        <x:v>2.2809321919665983E-2</x:v>
      </x:c>
      <x:c r="K59" s="58">
        <x:f>'Res Sales by Year (21-23)'!K59/'Res Sales by Year (21-23)'!K64</x:f>
        <x:v>2.3586125822388903E-2</x:v>
      </x:c>
      <x:c r="L59" s="58">
        <x:f>'Res Sales by Year (21-23)'!L59/'Res Sales by Year (21-23)'!L64</x:f>
        <x:v>2.3887548415985043E-2</x:v>
      </x:c>
      <x:c r="M59" s="58">
        <x:f>'Res Sales by Year (21-23)'!M59/'Res Sales by Year (21-23)'!M64</x:f>
        <x:v>2.3949840218822266E-2</x:v>
      </x:c>
      <x:c r="N59" s="58">
        <x:f>'Res Sales by Year (21-23)'!N59/'Res Sales by Year (21-23)'!N64</x:f>
        <x:v>2.4647673933100571E-2</x:v>
      </x:c>
      <x:c r="O59" s="58">
        <x:f>'Res Sales by Year (21-23)'!O59/'Res Sales by Year (21-23)'!O64</x:f>
        <x:v>2.7565279941066296E-2</x:v>
      </x:c>
      <x:c r="P59" s="61">
        <x:f>'Res Sales by Year (21-23)'!P59/'Res Sales by Year (21-23)'!P64</x:f>
        <x:v>2.4937122661713794E-2</x:v>
      </x:c>
    </x:row>
    <x:row r="60" spans="1:17" x14ac:dyDescent="0.3">
      <x:c r="A60" s="1">
        <x:f t="shared" si="0"/>
        <x:v>50</x:v>
      </x:c>
    </x:row>
    <x:row r="61" spans="1:17" x14ac:dyDescent="0.3">
      <x:c r="A61" s="1">
        <x:f t="shared" si="0"/>
        <x:v>51</x:v>
      </x:c>
      <x:c r="B61" s="1" t="s">
        <x:v>34</x:v>
      </x:c>
      <x:c r="C61" s="2">
        <x:f>+C56</x:f>
        <x:v>2021</x:v>
      </x:c>
      <x:c r="D61" s="11">
        <x:f t="shared" ref="D61:O61" si="1">SUM(D26,D31,D36,D41,D46,D51,D56,D21,D16,D11)</x:f>
        <x:v>1</x:v>
      </x:c>
      <x:c r="E61" s="11">
        <x:f t="shared" si="1"/>
        <x:v>1</x:v>
      </x:c>
      <x:c r="F61" s="11">
        <x:f t="shared" si="1"/>
        <x:v>1</x:v>
      </x:c>
      <x:c r="G61" s="11">
        <x:f t="shared" si="1"/>
        <x:v>1</x:v>
      </x:c>
      <x:c r="H61" s="11">
        <x:f t="shared" si="1"/>
        <x:v>1</x:v>
      </x:c>
      <x:c r="I61" s="11">
        <x:f t="shared" si="1"/>
        <x:v>1</x:v>
      </x:c>
      <x:c r="J61" s="11">
        <x:f t="shared" si="1"/>
        <x:v>1.0000000000000002</x:v>
      </x:c>
      <x:c r="K61" s="11">
        <x:f t="shared" si="1"/>
        <x:v>1</x:v>
      </x:c>
      <x:c r="L61" s="11">
        <x:f t="shared" si="1"/>
        <x:v>1</x:v>
      </x:c>
      <x:c r="M61" s="11">
        <x:f t="shared" si="1"/>
        <x:v>1</x:v>
      </x:c>
      <x:c r="N61" s="11">
        <x:f t="shared" si="1"/>
        <x:v>1</x:v>
      </x:c>
      <x:c r="O61" s="11">
        <x:f t="shared" si="1"/>
        <x:v>1</x:v>
      </x:c>
      <x:c r="P61" s="11">
        <x:f>SUM(P26,P31,P36,P41,P46,P51,P56,P21,P16,P11)</x:f>
        <x:v>1</x:v>
      </x:c>
    </x:row>
    <x:row r="62" spans="1:17" x14ac:dyDescent="0.3">
      <x:c r="A62" s="1">
        <x:f t="shared" si="0"/>
        <x:v>52</x:v>
      </x:c>
      <x:c r="B62" s="1" t="s">
        <x:v>34</x:v>
      </x:c>
      <x:c r="C62" s="2">
        <x:f>+C57</x:f>
        <x:v>2022</x:v>
      </x:c>
      <x:c r="D62" s="11">
        <x:f t="shared" ref="D62:P62" si="2">SUM(D27,D32,D37,D42,D47,D52,D57,D22,D17,D12)</x:f>
        <x:v>1</x:v>
      </x:c>
      <x:c r="E62" s="11">
        <x:f t="shared" si="2"/>
        <x:v>1</x:v>
      </x:c>
      <x:c r="F62" s="11">
        <x:f t="shared" si="2"/>
        <x:v>1</x:v>
      </x:c>
      <x:c r="G62" s="11">
        <x:f t="shared" si="2"/>
        <x:v>0.99999999999999989</x:v>
      </x:c>
      <x:c r="H62" s="11">
        <x:f t="shared" si="2"/>
        <x:v>1</x:v>
      </x:c>
      <x:c r="I62" s="11">
        <x:f t="shared" si="2"/>
        <x:v>1</x:v>
      </x:c>
      <x:c r="J62" s="11">
        <x:f t="shared" si="2"/>
        <x:v>1</x:v>
      </x:c>
      <x:c r="K62" s="11">
        <x:f t="shared" si="2"/>
        <x:v>1</x:v>
      </x:c>
      <x:c r="L62" s="11">
        <x:f t="shared" si="2"/>
        <x:v>1</x:v>
      </x:c>
      <x:c r="M62" s="11">
        <x:f t="shared" si="2"/>
        <x:v>1</x:v>
      </x:c>
      <x:c r="N62" s="11">
        <x:f t="shared" si="2"/>
        <x:v>1</x:v>
      </x:c>
      <x:c r="O62" s="11">
        <x:f t="shared" si="2"/>
        <x:v>1</x:v>
      </x:c>
      <x:c r="P62" s="11">
        <x:f t="shared" si="2"/>
        <x:v>1</x:v>
      </x:c>
    </x:row>
    <x:row r="63" spans="1:17" ht="13.5" thickBot="1" x14ac:dyDescent="0.35">
      <x:c r="A63" s="1">
        <x:f t="shared" si="0"/>
        <x:v>53</x:v>
      </x:c>
      <x:c r="B63" s="1" t="s">
        <x:v>34</x:v>
      </x:c>
      <x:c r="C63" s="2">
        <x:f>+C58</x:f>
        <x:v>2023</x:v>
      </x:c>
      <x:c r="D63" s="11">
        <x:f t="shared" ref="D63:P64" si="3">SUM(D28,D33,D38,D43,D48,D53,D58,D23,D18,D13)</x:f>
        <x:v>1</x:v>
      </x:c>
      <x:c r="E63" s="11">
        <x:f t="shared" si="3"/>
        <x:v>1</x:v>
      </x:c>
      <x:c r="F63" s="11">
        <x:f t="shared" si="3"/>
        <x:v>1</x:v>
      </x:c>
      <x:c r="G63" s="11">
        <x:f t="shared" si="3"/>
        <x:v>1.0000000000000002</x:v>
      </x:c>
      <x:c r="H63" s="11">
        <x:f t="shared" si="3"/>
        <x:v>0.99999999999999978</x:v>
      </x:c>
      <x:c r="I63" s="11">
        <x:f t="shared" si="3"/>
        <x:v>1</x:v>
      </x:c>
      <x:c r="J63" s="11">
        <x:f t="shared" si="3"/>
        <x:v>1</x:v>
      </x:c>
      <x:c r="K63" s="11">
        <x:f t="shared" si="3"/>
        <x:v>1</x:v>
      </x:c>
      <x:c r="L63" s="11">
        <x:f t="shared" si="3"/>
        <x:v>1</x:v>
      </x:c>
      <x:c r="M63" s="11">
        <x:f t="shared" si="3"/>
        <x:v>1.0000000000000002</x:v>
      </x:c>
      <x:c r="N63" s="11">
        <x:f t="shared" si="3"/>
        <x:v>1</x:v>
      </x:c>
      <x:c r="O63" s="11">
        <x:f t="shared" si="3"/>
        <x:v>1</x:v>
      </x:c>
      <x:c r="P63" s="11">
        <x:f t="shared" si="3"/>
        <x:v>1</x:v>
      </x:c>
    </x:row>
    <x:row r="64" spans="1:17" x14ac:dyDescent="0.3">
      <x:c r="A64" s="1">
        <x:f t="shared" si="0"/>
        <x:v>54</x:v>
      </x:c>
      <x:c r="B64" s="1" t="s">
        <x:v>34</x:v>
      </x:c>
      <x:c r="C64" s="57" t="str">
        <x:f>+C59</x:f>
        <x:v xml:space="preserve">Total </x:v>
      </x:c>
      <x:c r="D64" s="63">
        <x:f t="shared" si="3"/>
        <x:v>1</x:v>
      </x:c>
      <x:c r="E64" s="63">
        <x:f t="shared" si="3"/>
        <x:v>1</x:v>
      </x:c>
      <x:c r="F64" s="63">
        <x:f t="shared" si="3"/>
        <x:v>1</x:v>
      </x:c>
      <x:c r="G64" s="63">
        <x:f t="shared" si="3"/>
        <x:v>1</x:v>
      </x:c>
      <x:c r="H64" s="63">
        <x:f t="shared" si="3"/>
        <x:v>1</x:v>
      </x:c>
      <x:c r="I64" s="63">
        <x:f t="shared" si="3"/>
        <x:v>1</x:v>
      </x:c>
      <x:c r="J64" s="63">
        <x:f t="shared" si="3"/>
        <x:v>1</x:v>
      </x:c>
      <x:c r="K64" s="63">
        <x:f t="shared" si="3"/>
        <x:v>1</x:v>
      </x:c>
      <x:c r="L64" s="63">
        <x:f t="shared" si="3"/>
        <x:v>0.99999999999999989</x:v>
      </x:c>
      <x:c r="M64" s="63">
        <x:f t="shared" si="3"/>
        <x:v>1.0000000000000002</x:v>
      </x:c>
      <x:c r="N64" s="63">
        <x:f t="shared" si="3"/>
        <x:v>1</x:v>
      </x:c>
      <x:c r="O64" s="63">
        <x:f t="shared" si="3"/>
        <x:v>1</x:v>
      </x:c>
      <x:c r="P64" s="63">
        <x:f t="shared" si="3"/>
        <x:v>1.0000000000000002</x:v>
      </x:c>
    </x:row>
  </x:sheetData>
  <x:mergeCells count="7">
    <x:mergeCell ref="B8:P8"/>
    <x:mergeCell ref="B5:F5"/>
    <x:mergeCell ref="B6:P6"/>
    <x:mergeCell ref="B1:P1"/>
    <x:mergeCell ref="B2:P2"/>
    <x:mergeCell ref="B3:P3"/>
    <x:mergeCell ref="B4:P4"/>
  </x:mergeCells>
  <x:phoneticPr fontId="2" type="noConversion"/>
  <x:printOptions horizontalCentered="1"/>
  <x:pageMargins left="0.25" right="0.25" top="0.25" bottom="0.5" header="0.24" footer="0.2"/>
  <x:pageSetup scale="64" orientation="landscape" r:id="rId1"/>
  <x:headerFooter alignWithMargins="0">
    <x:oddHeader>&amp;RWP/II-H-5.2/1
Page &amp;P of &amp;N</x:oddHeader>
    <x:oddFooter>&amp;R]</x:oddFoot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pageSetUpPr fitToPage="1"/>
  </x:sheetPr>
  <x:dimension ref="A1:P64"/>
  <x:sheetViews>
    <x:sheetView tabSelected="1" view="pageBreakPreview" zoomScaleNormal="100" workbookViewId="0"/>
  </x:sheetViews>
  <x:sheetFormatPr defaultColWidth="9.08984375" defaultRowHeight="13" x14ac:dyDescent="0.3"/>
  <x:cols>
    <x:col min="1" max="1" width="9.08984375" style="1"/>
    <x:col min="2" max="2" width="18.453125" style="1" customWidth="1"/>
    <x:col min="3" max="3" width="6.90625" style="1" customWidth="1"/>
    <x:col min="4" max="15" width="8.6328125" style="1" customWidth="1"/>
    <x:col min="16" max="16" width="9.6328125" style="1" customWidth="1"/>
    <x:col min="17" max="16384" width="9.08984375" style="1"/>
  </x:cols>
  <x:sheetData>
    <x:row r="1" spans="1:16" ht="15.5" x14ac:dyDescent="0.35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</x:row>
    <x:row r="2" spans="1:16" ht="15.5" x14ac:dyDescent="0.35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 spans="1:16" ht="15.5" x14ac:dyDescent="0.35">
      <x:c r="A3" s="14"/>
      <x:c r="B3" s="69" t="s">
        <x:v>40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 spans="1:16" ht="15.5" x14ac:dyDescent="0.35">
      <x:c r="A4" s="14"/>
      <x:c r="B4" s="69" t="str">
        <x:f>+'Res Seasonal Weights'!B4:P4</x:f>
        <x:v>FOR THE TEST YEAR ENDING DECEMBER 31, 2024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6" ht="15.5" x14ac:dyDescent="0.35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  <x:c r="P5" s="18"/>
    </x:row>
    <x:row r="6" spans="1:16" ht="15.5" x14ac:dyDescent="0.35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  <x:c r="P6" s="70"/>
    </x:row>
    <x:row r="7" spans="1:16" ht="15.5" x14ac:dyDescent="0.35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  <x:c r="P7" s="18"/>
    </x:row>
    <x:row r="8" spans="1:16" ht="15.5" x14ac:dyDescent="0.35">
      <x:c r="A8" s="14"/>
      <x:c r="B8" s="69" t="s">
        <x:v>39</x:v>
      </x:c>
      <x:c r="C8" s="71"/>
      <x:c r="D8" s="71"/>
      <x:c r="E8" s="71"/>
      <x:c r="F8" s="71"/>
      <x:c r="G8" s="71"/>
      <x:c r="H8" s="71"/>
      <x:c r="I8" s="71"/>
      <x:c r="J8" s="71"/>
      <x:c r="K8" s="71"/>
      <x:c r="L8" s="71"/>
      <x:c r="M8" s="71"/>
      <x:c r="N8" s="71"/>
      <x:c r="O8" s="71"/>
      <x:c r="P8" s="71"/>
    </x:row>
    <x:row r="9" spans="1:16" ht="14.5" x14ac:dyDescent="0.35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  <x:c r="P9" s="19" t="s">
        <x:v>44</x:v>
      </x:c>
    </x:row>
    <x:row r="10" spans="1:16" ht="15.75" customHeight="1" x14ac:dyDescent="0.3">
      <x:c r="A10" s="20" t="s">
        <x:v>27</x:v>
      </x:c>
      <x:c r="B10" s="21" t="s">
        <x:v>28</x:v>
      </x:c>
      <x:c r="C10" s="21" t="s">
        <x:v>33</x:v>
      </x:c>
      <x:c r="D10" s="22">
        <x:v>36892</x:v>
      </x:c>
      <x:c r="E10" s="23">
        <x:v>36923</x:v>
      </x:c>
      <x:c r="F10" s="23">
        <x:v>36951</x:v>
      </x:c>
      <x:c r="G10" s="23">
        <x:v>36982</x:v>
      </x:c>
      <x:c r="H10" s="23">
        <x:v>37012</x:v>
      </x:c>
      <x:c r="I10" s="23">
        <x:v>37043</x:v>
      </x:c>
      <x:c r="J10" s="23">
        <x:v>37073</x:v>
      </x:c>
      <x:c r="K10" s="23">
        <x:v>37104</x:v>
      </x:c>
      <x:c r="L10" s="23">
        <x:v>37135</x:v>
      </x:c>
      <x:c r="M10" s="23">
        <x:v>37165</x:v>
      </x:c>
      <x:c r="N10" s="23">
        <x:v>37196</x:v>
      </x:c>
      <x:c r="O10" s="23">
        <x:v>37226</x:v>
      </x:c>
      <x:c r="P10" s="24" t="s">
        <x:v>0</x:v>
      </x:c>
    </x:row>
    <x:row r="11" spans="1:16" ht="14.5" x14ac:dyDescent="0.35">
      <x:c r="A11" s="1">
        <x:v>1</x:v>
      </x:c>
      <x:c r="B11" s="17" t="s">
        <x:v>29</x:v>
      </x:c>
      <x:c r="C11" s="4">
        <x:v>2021</x:v>
      </x:c>
      <x:c r="D11" s="9">
        <x:v>2649047.7283900003</x:v>
      </x:c>
      <x:c r="E11" s="9">
        <x:v>2628425.4549399996</x:v>
      </x:c>
      <x:c r="F11" s="9">
        <x:v>2955476.0600100001</x:v>
      </x:c>
      <x:c r="G11" s="9">
        <x:v>1691420.5508899998</x:v>
      </x:c>
      <x:c r="H11" s="9">
        <x:v>1802675.0053399995</x:v>
      </x:c>
      <x:c r="I11" s="9">
        <x:v>2285495.65998</x:v>
      </x:c>
      <x:c r="J11" s="9">
        <x:v>3450447.51431</x:v>
      </x:c>
      <x:c r="K11" s="9">
        <x:v>3585804.5854100003</x:v>
      </x:c>
      <x:c r="L11" s="9">
        <x:v>3566224.3495700001</x:v>
      </x:c>
      <x:c r="M11" s="9">
        <x:v>2727618.6736199996</x:v>
      </x:c>
      <x:c r="N11" s="9">
        <x:v>1950158.5666299996</x:v>
      </x:c>
      <x:c r="O11" s="9">
        <x:v>1901768.0625200004</x:v>
      </x:c>
      <x:c r="P11" s="51">
        <x:f>SUM(D11:O11)</x:f>
        <x:v>31194562.211609993</x:v>
      </x:c>
    </x:row>
    <x:row r="12" spans="1:16" ht="14.5" x14ac:dyDescent="0.35">
      <x:c r="A12" s="1">
        <x:f>+A11+1</x:f>
        <x:v>2</x:v>
      </x:c>
      <x:c r="B12" s="17" t="s">
        <x:v>29</x:v>
      </x:c>
      <x:c r="C12" s="4">
        <x:v>2022</x:v>
      </x:c>
      <x:c r="D12" s="9">
        <x:v>2298812.6317499997</x:v>
      </x:c>
      <x:c r="E12" s="9">
        <x:v>2848013.4527600002</x:v>
      </x:c>
      <x:c r="F12" s="9">
        <x:v>2687233.4708000002</x:v>
      </x:c>
      <x:c r="G12" s="9">
        <x:v>1994712.6321399999</x:v>
      </x:c>
      <x:c r="H12" s="9">
        <x:v>2147767.4785700003</x:v>
      </x:c>
      <x:c r="I12" s="9">
        <x:v>3008196.2420000001</x:v>
      </x:c>
      <x:c r="J12" s="9">
        <x:v>4133907.8694699998</x:v>
      </x:c>
      <x:c r="K12" s="9">
        <x:v>4519053.3684600005</x:v>
      </x:c>
      <x:c r="L12" s="9">
        <x:v>3469279.19153</x:v>
      </x:c>
      <x:c r="M12" s="9">
        <x:v>2693587.586850001</x:v>
      </x:c>
      <x:c r="N12" s="9">
        <x:v>1853723.16</x:v>
      </x:c>
      <x:c r="O12" s="9">
        <x:v>2230791.3266999992</x:v>
      </x:c>
      <x:c r="P12" s="52">
        <x:f>SUM(D12:O12)</x:f>
        <x:v>33885078.411030002</x:v>
      </x:c>
    </x:row>
    <x:row r="13" spans="1:16" ht="15" thickBot="1" x14ac:dyDescent="0.4">
      <x:c r="A13" s="1">
        <x:f t="shared" ref="A13:A64" si="0">+A12+1</x:f>
        <x:v>3</x:v>
      </x:c>
      <x:c r="B13" s="17" t="s">
        <x:v>29</x:v>
      </x:c>
      <x:c r="C13" s="4">
        <x:v>2023</x:v>
      </x:c>
      <x:c r="D13" s="9">
        <x:v>2681323.9606200005</x:v>
      </x:c>
      <x:c r="E13" s="9">
        <x:v>2615142.8597700004</x:v>
      </x:c>
      <x:c r="F13" s="9">
        <x:v>2214394.93408</x:v>
      </x:c>
      <x:c r="G13" s="9">
        <x:v>1834995.4411099995</x:v>
      </x:c>
      <x:c r="H13" s="9">
        <x:v>1854909.9220100001</x:v>
      </x:c>
      <x:c r="I13" s="9">
        <x:v>2604469.8296599998</x:v>
      </x:c>
      <x:c r="J13" s="9">
        <x:v>3751958.6265299995</x:v>
      </x:c>
      <x:c r="K13" s="9">
        <x:v>4331691.4588200012</x:v>
      </x:c>
      <x:c r="L13" s="9">
        <x:v>4318987.9725899994</x:v>
      </x:c>
      <x:c r="M13" s="9">
        <x:v>3069907.4236300001</x:v>
      </x:c>
      <x:c r="N13" s="9">
        <x:v>1973351.6798100001</x:v>
      </x:c>
      <x:c r="O13" s="9">
        <x:v>2031191.5110200001</x:v>
      </x:c>
      <x:c r="P13" s="52">
        <x:f>SUM(D13:O13)</x:f>
        <x:v>33282325.619649999</x:v>
      </x:c>
    </x:row>
    <x:row r="14" spans="1:16" ht="14.5" x14ac:dyDescent="0.35">
      <x:c r="A14" s="1">
        <x:f t="shared" si="0"/>
        <x:v>4</x:v>
      </x:c>
      <x:c r="B14" s="17" t="s">
        <x:v>29</x:v>
      </x:c>
      <x:c r="C14" s="49" t="s">
        <x:v>1</x:v>
      </x:c>
      <x:c r="D14" s="50">
        <x:f t="shared" ref="D14:O14" si="1">SUM(D11:D13)</x:f>
        <x:v>7629184.3207600005</x:v>
      </x:c>
      <x:c r="E14" s="50">
        <x:f t="shared" si="1"/>
        <x:v>8091581.7674700003</x:v>
      </x:c>
      <x:c r="F14" s="50">
        <x:f t="shared" si="1"/>
        <x:v>7857104.4648900004</x:v>
      </x:c>
      <x:c r="G14" s="50">
        <x:f t="shared" si="1"/>
        <x:v>5521128.62414</x:v>
      </x:c>
      <x:c r="H14" s="50">
        <x:f t="shared" si="1"/>
        <x:v>5805352.4059199998</x:v>
      </x:c>
      <x:c r="I14" s="50">
        <x:f t="shared" si="1"/>
        <x:v>7898161.7316399999</x:v>
      </x:c>
      <x:c r="J14" s="50">
        <x:f t="shared" si="1"/>
        <x:v>11336314.01031</x:v>
      </x:c>
      <x:c r="K14" s="50">
        <x:f t="shared" si="1"/>
        <x:v>12436549.412690002</x:v>
      </x:c>
      <x:c r="L14" s="50">
        <x:f t="shared" si="1"/>
        <x:v>11354491.513689999</x:v>
      </x:c>
      <x:c r="M14" s="50">
        <x:f t="shared" si="1"/>
        <x:v>8491113.6841000021</x:v>
      </x:c>
      <x:c r="N14" s="50">
        <x:f t="shared" si="1"/>
        <x:v>5777233.4064399991</x:v>
      </x:c>
      <x:c r="O14" s="50">
        <x:f t="shared" si="1"/>
        <x:v>6163750.9002399994</x:v>
      </x:c>
      <x:c r="P14" s="53">
        <x:f>SUM(D14:O14)</x:f>
        <x:v>98361966.24229002</x:v>
      </x:c>
    </x:row>
    <x:row r="15" spans="1:16" x14ac:dyDescent="0.3">
      <x:c r="A15" s="1">
        <x:f t="shared" si="0"/>
        <x:v>5</x:v>
      </x:c>
      <x:c r="B15" s="8"/>
      <x:c r="C15" s="12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</x:row>
    <x:row r="16" spans="1:16" x14ac:dyDescent="0.3">
      <x:c r="A16" s="1">
        <x:f t="shared" si="0"/>
        <x:v>6</x:v>
      </x:c>
      <x:c r="B16" s="8" t="s">
        <x:v>5</x:v>
      </x:c>
      <x:c r="C16" s="4">
        <x:f>+C11</x:f>
        <x:v>2021</x:v>
      </x:c>
      <x:c r="D16" s="9">
        <x:v>116814.46120000001</x:v>
      </x:c>
      <x:c r="E16" s="9">
        <x:v>109353.30714999999</x:v>
      </x:c>
      <x:c r="F16" s="9">
        <x:v>115305.17703000001</x:v>
      </x:c>
      <x:c r="G16" s="9">
        <x:v>71588.077279999983</x:v>
      </x:c>
      <x:c r="H16" s="9">
        <x:v>73421.369250000003</x:v>
      </x:c>
      <x:c r="I16" s="9">
        <x:v>89831.177710000004</x:v>
      </x:c>
      <x:c r="J16" s="9">
        <x:v>125184.15095</x:v>
      </x:c>
      <x:c r="K16" s="9">
        <x:v>125862.45414000002</x:v>
      </x:c>
      <x:c r="L16" s="9">
        <x:v>127913.74715000001</x:v>
      </x:c>
      <x:c r="M16" s="9">
        <x:v>97164.4274</x:v>
      </x:c>
      <x:c r="N16" s="9">
        <x:v>77780.490149999998</x:v>
      </x:c>
      <x:c r="O16" s="9">
        <x:v>80967.267599999992</x:v>
      </x:c>
      <x:c r="P16" s="52">
        <x:f>SUM(D16:O16)</x:f>
        <x:v>1211186.1070099999</x:v>
      </x:c>
    </x:row>
    <x:row r="17" spans="1:16" x14ac:dyDescent="0.3">
      <x:c r="A17" s="1">
        <x:f t="shared" si="0"/>
        <x:v>7</x:v>
      </x:c>
      <x:c r="B17" s="8" t="s">
        <x:v>5</x:v>
      </x:c>
      <x:c r="C17" s="4">
        <x:f t="shared" ref="C17:C18" si="2">+C12</x:f>
        <x:v>2022</x:v>
      </x:c>
      <x:c r="D17" s="9">
        <x:v>94467.487830000013</x:v>
      </x:c>
      <x:c r="E17" s="9">
        <x:v>124319.56609000001</x:v>
      </x:c>
      <x:c r="F17" s="9">
        <x:v>111631.76684</x:v>
      </x:c>
      <x:c r="G17" s="9">
        <x:v>79073.287779999984</x:v>
      </x:c>
      <x:c r="H17" s="9">
        <x:v>83231.372140000007</x:v>
      </x:c>
      <x:c r="I17" s="9">
        <x:v>112810.96775</x:v>
      </x:c>
      <x:c r="J17" s="9">
        <x:v>145314.20328000002</x:v>
      </x:c>
      <x:c r="K17" s="9">
        <x:v>152311.84868999998</x:v>
      </x:c>
      <x:c r="L17" s="9">
        <x:v>121946.66706999998</x:v>
      </x:c>
      <x:c r="M17" s="9">
        <x:v>94231.39344</x:v>
      </x:c>
      <x:c r="N17" s="9">
        <x:v>71700.223700000002</x:v>
      </x:c>
      <x:c r="O17" s="9">
        <x:v>89708.819799999997</x:v>
      </x:c>
      <x:c r="P17" s="52">
        <x:f>SUM(D17:O17)</x:f>
        <x:v>1280747.6044099999</x:v>
      </x:c>
    </x:row>
    <x:row r="18" spans="1:16" ht="13.5" thickBot="1" x14ac:dyDescent="0.35">
      <x:c r="A18" s="1">
        <x:f t="shared" si="0"/>
        <x:v>8</x:v>
      </x:c>
      <x:c r="B18" s="8" t="s">
        <x:v>5</x:v>
      </x:c>
      <x:c r="C18" s="4">
        <x:f t="shared" si="2"/>
        <x:v>2023</x:v>
      </x:c>
      <x:c r="D18" s="9">
        <x:v>114410.82002</x:v>
      </x:c>
      <x:c r="E18" s="9">
        <x:v>107027.32492</x:v>
      </x:c>
      <x:c r="F18" s="9">
        <x:v>83661.723110000006</x:v>
      </x:c>
      <x:c r="G18" s="9">
        <x:v>73196.494609999994</x:v>
      </x:c>
      <x:c r="H18" s="9">
        <x:v>70028.380420000001</x:v>
      </x:c>
      <x:c r="I18" s="9">
        <x:v>94053.021030000004</x:v>
      </x:c>
      <x:c r="J18" s="9">
        <x:v>136990.16074000002</x:v>
      </x:c>
      <x:c r="K18" s="9">
        <x:v>151738.66002000001</x:v>
      </x:c>
      <x:c r="L18" s="9">
        <x:v>146956.96189000001</x:v>
      </x:c>
      <x:c r="M18" s="9">
        <x:v>103504.49121000001</x:v>
      </x:c>
      <x:c r="N18" s="9">
        <x:v>74869.732350000006</x:v>
      </x:c>
      <x:c r="O18" s="9">
        <x:v>86494.839840000001</x:v>
      </x:c>
      <x:c r="P18" s="52">
        <x:f>SUM(D18:O18)</x:f>
        <x:v>1242932.6101600002</x:v>
      </x:c>
    </x:row>
    <x:row r="19" spans="1:16" x14ac:dyDescent="0.3">
      <x:c r="A19" s="1">
        <x:f t="shared" si="0"/>
        <x:v>9</x:v>
      </x:c>
      <x:c r="B19" s="8" t="s">
        <x:v>5</x:v>
      </x:c>
      <x:c r="C19" s="49" t="s">
        <x:v>1</x:v>
      </x:c>
      <x:c r="D19" s="50">
        <x:f t="shared" ref="D19:O19" si="3">SUM(D16:D18)</x:f>
        <x:v>325692.76905</x:v>
      </x:c>
      <x:c r="E19" s="50">
        <x:f t="shared" si="3"/>
        <x:v>340700.19815999997</x:v>
      </x:c>
      <x:c r="F19" s="50">
        <x:f t="shared" si="3"/>
        <x:v>310598.66698000004</x:v>
      </x:c>
      <x:c r="G19" s="50">
        <x:f t="shared" si="3"/>
        <x:v>223857.85966999998</x:v>
      </x:c>
      <x:c r="H19" s="50">
        <x:f t="shared" si="3"/>
        <x:v>226681.12181000001</x:v>
      </x:c>
      <x:c r="I19" s="50">
        <x:f t="shared" si="3"/>
        <x:v>296695.16648999997</x:v>
      </x:c>
      <x:c r="J19" s="50">
        <x:f t="shared" si="3"/>
        <x:v>407488.51497000002</x:v>
      </x:c>
      <x:c r="K19" s="50">
        <x:f t="shared" si="3"/>
        <x:v>429912.96285000001</x:v>
      </x:c>
      <x:c r="L19" s="50">
        <x:f t="shared" si="3"/>
        <x:v>396817.37610999995</x:v>
      </x:c>
      <x:c r="M19" s="50">
        <x:f t="shared" si="3"/>
        <x:v>294900.31205000001</x:v>
      </x:c>
      <x:c r="N19" s="50">
        <x:f t="shared" si="3"/>
        <x:v>224350.44620000001</x:v>
      </x:c>
      <x:c r="O19" s="50">
        <x:f t="shared" si="3"/>
        <x:v>257170.92723999999</x:v>
      </x:c>
      <x:c r="P19" s="53">
        <x:f>SUM(D19:O19)</x:f>
        <x:v>3734866.3215799998</x:v>
      </x:c>
    </x:row>
    <x:row r="20" spans="1:16" x14ac:dyDescent="0.3">
      <x:c r="A20" s="1">
        <x:f t="shared" si="0"/>
        <x:v>10</x:v>
      </x:c>
      <x:c r="B20" s="8"/>
      <x:c r="C20" s="12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</x:row>
    <x:row r="21" spans="1:16" x14ac:dyDescent="0.3">
      <x:c r="A21" s="1">
        <x:f t="shared" si="0"/>
        <x:v>11</x:v>
      </x:c>
      <x:c r="B21" s="8" t="s">
        <x:v>6</x:v>
      </x:c>
      <x:c r="C21" s="4">
        <x:f>+C16</x:f>
        <x:v>2021</x:v>
      </x:c>
      <x:c r="D21" s="9">
        <x:v>143169.29493</x:v>
      </x:c>
      <x:c r="E21" s="9">
        <x:v>133280.69383</x:v>
      </x:c>
      <x:c r="F21" s="9">
        <x:v>151162.54554999998</x:v>
      </x:c>
      <x:c r="G21" s="9">
        <x:v>110446.73910999999</x:v>
      </x:c>
      <x:c r="H21" s="9">
        <x:v>125598.06935999999</x:v>
      </x:c>
      <x:c r="I21" s="9">
        <x:v>161206.72821999999</x:v>
      </x:c>
      <x:c r="J21" s="9">
        <x:v>217526.07046999998</x:v>
      </x:c>
      <x:c r="K21" s="9">
        <x:v>219715.82337</x:v>
      </x:c>
      <x:c r="L21" s="9">
        <x:v>232378.39010999998</x:v>
      </x:c>
      <x:c r="M21" s="9">
        <x:v>179617.40328</x:v>
      </x:c>
      <x:c r="N21" s="9">
        <x:v>128308.21307</x:v>
      </x:c>
      <x:c r="O21" s="9">
        <x:v>117823.40312999999</x:v>
      </x:c>
      <x:c r="P21" s="52">
        <x:f>SUM(D21:O21)</x:f>
        <x:v>1920233.3744300001</x:v>
      </x:c>
    </x:row>
    <x:row r="22" spans="1:16" x14ac:dyDescent="0.3">
      <x:c r="A22" s="1">
        <x:f t="shared" si="0"/>
        <x:v>12</x:v>
      </x:c>
      <x:c r="B22" s="8" t="s">
        <x:v>6</x:v>
      </x:c>
      <x:c r="C22" s="4">
        <x:f t="shared" ref="C22:C23" si="4">+C17</x:f>
        <x:v>2022</x:v>
      </x:c>
      <x:c r="D22" s="9">
        <x:v>135479.41253</x:v>
      </x:c>
      <x:c r="E22" s="9">
        <x:v>152779.48944</x:v>
      </x:c>
      <x:c r="F22" s="9">
        <x:v>149341.23117000001</x:v>
      </x:c>
      <x:c r="G22" s="9">
        <x:v>124405.31177</x:v>
      </x:c>
      <x:c r="H22" s="9">
        <x:v>157197.98225999999</x:v>
      </x:c>
      <x:c r="I22" s="9">
        <x:v>215591.08437</x:v>
      </x:c>
      <x:c r="J22" s="9">
        <x:v>267408.95980999997</x:v>
      </x:c>
      <x:c r="K22" s="9">
        <x:v>283618.90639000002</x:v>
      </x:c>
      <x:c r="L22" s="9">
        <x:v>231761.50547000003</x:v>
      </x:c>
      <x:c r="M22" s="9">
        <x:v>188109.7329</x:v>
      </x:c>
      <x:c r="N22" s="9">
        <x:v>130057.35571</x:v>
      </x:c>
      <x:c r="O22" s="9">
        <x:v>133114.05502</x:v>
      </x:c>
      <x:c r="P22" s="52">
        <x:f>SUM(D22:O22)</x:f>
        <x:v>2168865.0268399999</x:v>
      </x:c>
    </x:row>
    <x:row r="23" spans="1:16" ht="13.5" thickBot="1" x14ac:dyDescent="0.35">
      <x:c r="A23" s="1">
        <x:f t="shared" si="0"/>
        <x:v>13</x:v>
      </x:c>
      <x:c r="B23" s="8" t="s">
        <x:v>6</x:v>
      </x:c>
      <x:c r="C23" s="4">
        <x:f t="shared" si="4"/>
        <x:v>2023</x:v>
      </x:c>
      <x:c r="D23" s="9">
        <x:v>153755.98654000001</x:v>
      </x:c>
      <x:c r="E23" s="9">
        <x:v>145554.54937999998</x:v>
      </x:c>
      <x:c r="F23" s="9">
        <x:v>132136.97477999999</x:v>
      </x:c>
      <x:c r="G23" s="9">
        <x:v>124520.40987999999</x:v>
      </x:c>
      <x:c r="H23" s="9">
        <x:v>133251.46057</x:v>
      </x:c>
      <x:c r="I23" s="9">
        <x:v>186674.21544999999</x:v>
      </x:c>
      <x:c r="J23" s="9">
        <x:v>269460.15873000002</x:v>
      </x:c>
      <x:c r="K23" s="9">
        <x:v>294163.11448999995</x:v>
      </x:c>
      <x:c r="L23" s="9">
        <x:v>291443.92313999997</x:v>
      </x:c>
      <x:c r="M23" s="9">
        <x:v>221074.23726000002</x:v>
      </x:c>
      <x:c r="N23" s="9">
        <x:v>138767.59279999998</x:v>
      </x:c>
      <x:c r="O23" s="9">
        <x:v>124837.39780000001</x:v>
      </x:c>
      <x:c r="P23" s="52">
        <x:f>SUM(D23:O23)</x:f>
        <x:v>2215640.0208200002</x:v>
      </x:c>
    </x:row>
    <x:row r="24" spans="1:16" x14ac:dyDescent="0.3">
      <x:c r="A24" s="1">
        <x:f t="shared" si="0"/>
        <x:v>14</x:v>
      </x:c>
      <x:c r="B24" s="8" t="s">
        <x:v>6</x:v>
      </x:c>
      <x:c r="C24" s="49" t="s">
        <x:v>1</x:v>
      </x:c>
      <x:c r="D24" s="50">
        <x:f t="shared" ref="D24:O24" si="5">SUM(D21:D23)</x:f>
        <x:v>432404.69400000002</x:v>
      </x:c>
      <x:c r="E24" s="50">
        <x:f t="shared" si="5"/>
        <x:v>431614.73265000002</x:v>
      </x:c>
      <x:c r="F24" s="50">
        <x:f t="shared" si="5"/>
        <x:v>432640.75149999995</x:v>
      </x:c>
      <x:c r="G24" s="50">
        <x:f t="shared" si="5"/>
        <x:v>359372.46075999999</x:v>
      </x:c>
      <x:c r="H24" s="50">
        <x:f t="shared" si="5"/>
        <x:v>416047.51218999998</x:v>
      </x:c>
      <x:c r="I24" s="50">
        <x:f t="shared" si="5"/>
        <x:v>563472.02804</x:v>
      </x:c>
      <x:c r="J24" s="50">
        <x:f t="shared" si="5"/>
        <x:v>754395.18900999997</x:v>
      </x:c>
      <x:c r="K24" s="50">
        <x:f t="shared" si="5"/>
        <x:v>797497.84424999997</x:v>
      </x:c>
      <x:c r="L24" s="50">
        <x:f t="shared" si="5"/>
        <x:v>755583.81871999998</x:v>
      </x:c>
      <x:c r="M24" s="50">
        <x:f t="shared" si="5"/>
        <x:v>588801.37344</x:v>
      </x:c>
      <x:c r="N24" s="50">
        <x:f t="shared" si="5"/>
        <x:v>397133.16157999996</x:v>
      </x:c>
      <x:c r="O24" s="50">
        <x:f t="shared" si="5"/>
        <x:v>375774.85595</x:v>
      </x:c>
      <x:c r="P24" s="53">
        <x:f>SUM(D24:O24)</x:f>
        <x:v>6304738.4220899995</x:v>
      </x:c>
    </x:row>
    <x:row r="25" spans="1:16" x14ac:dyDescent="0.3">
      <x:c r="A25" s="1">
        <x:f t="shared" si="0"/>
        <x:v>15</x:v>
      </x:c>
      <x:c r="B25" s="8"/>
      <x:c r="C25" s="12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</x:row>
    <x:row r="26" spans="1:16" x14ac:dyDescent="0.3">
      <x:c r="A26" s="1">
        <x:f t="shared" si="0"/>
        <x:v>16</x:v>
      </x:c>
      <x:c r="B26" s="8" t="s">
        <x:v>7</x:v>
      </x:c>
      <x:c r="C26" s="4">
        <x:f>+C21</x:f>
        <x:v>2021</x:v>
      </x:c>
      <x:c r="D26" s="9">
        <x:v>206115.85440000001</x:v>
      </x:c>
      <x:c r="E26" s="9">
        <x:v>200466.59544000003</x:v>
      </x:c>
      <x:c r="F26" s="9">
        <x:v>236534.80200000003</x:v>
      </x:c>
      <x:c r="G26" s="9">
        <x:v>123068.15822999999</x:v>
      </x:c>
      <x:c r="H26" s="9">
        <x:v>130933.11371000002</x:v>
      </x:c>
      <x:c r="I26" s="9">
        <x:v>155755.74705000003</x:v>
      </x:c>
      <x:c r="J26" s="9">
        <x:v>210480.89309999999</x:v>
      </x:c>
      <x:c r="K26" s="9">
        <x:v>214761.3841</x:v>
      </x:c>
      <x:c r="L26" s="9">
        <x:v>225191.12273</x:v>
      </x:c>
      <x:c r="M26" s="9">
        <x:v>178577.71856000001</x:v>
      </x:c>
      <x:c r="N26" s="9">
        <x:v>134426.10150000002</x:v>
      </x:c>
      <x:c r="O26" s="9">
        <x:v>138289.62761999996</x:v>
      </x:c>
      <x:c r="P26" s="52">
        <x:f>SUM(D26:O26)</x:f>
        <x:v>2154601.1184399999</x:v>
      </x:c>
    </x:row>
    <x:row r="27" spans="1:16" x14ac:dyDescent="0.3">
      <x:c r="A27" s="1">
        <x:f t="shared" si="0"/>
        <x:v>17</x:v>
      </x:c>
      <x:c r="B27" s="8" t="s">
        <x:v>7</x:v>
      </x:c>
      <x:c r="C27" s="4">
        <x:f t="shared" ref="C27:C28" si="6">+C22</x:f>
        <x:v>2022</x:v>
      </x:c>
      <x:c r="D27" s="9">
        <x:v>166957.38366000002</x:v>
      </x:c>
      <x:c r="E27" s="9">
        <x:v>230579.49513999998</x:v>
      </x:c>
      <x:c r="F27" s="9">
        <x:v>217995.67710000006</x:v>
      </x:c>
      <x:c r="G27" s="9">
        <x:v>143645.68092000001</x:v>
      </x:c>
      <x:c r="H27" s="9">
        <x:v>150735.05142</x:v>
      </x:c>
      <x:c r="I27" s="9">
        <x:v>202525.93257</x:v>
      </x:c>
      <x:c r="J27" s="9">
        <x:v>255650.75908999998</x:v>
      </x:c>
      <x:c r="K27" s="9">
        <x:v>274523.86580000003</x:v>
      </x:c>
      <x:c r="L27" s="9">
        <x:v>224452.75542999999</x:v>
      </x:c>
      <x:c r="M27" s="9">
        <x:v>180864.42121999999</x:v>
      </x:c>
      <x:c r="N27" s="9">
        <x:v>133415.57826000001</x:v>
      </x:c>
      <x:c r="O27" s="9">
        <x:v>168469.12568999999</x:v>
      </x:c>
      <x:c r="P27" s="52">
        <x:f>SUM(D27:O27)</x:f>
        <x:v>2349815.7263000002</x:v>
      </x:c>
    </x:row>
    <x:row r="28" spans="1:16" ht="13.5" thickBot="1" x14ac:dyDescent="0.35">
      <x:c r="A28" s="1">
        <x:f t="shared" si="0"/>
        <x:v>18</x:v>
      </x:c>
      <x:c r="B28" s="8" t="s">
        <x:v>7</x:v>
      </x:c>
      <x:c r="C28" s="4">
        <x:f t="shared" si="6"/>
        <x:v>2023</x:v>
      </x:c>
      <x:c r="D28" s="9">
        <x:v>210619.31002000003</x:v>
      </x:c>
      <x:c r="E28" s="9">
        <x:v>204442.75904</x:v>
      </x:c>
      <x:c r="F28" s="9">
        <x:v>166148.19796999998</x:v>
      </x:c>
      <x:c r="G28" s="9">
        <x:v>133380.62910999998</x:v>
      </x:c>
      <x:c r="H28" s="9">
        <x:v>131543.57086000001</x:v>
      </x:c>
      <x:c r="I28" s="9">
        <x:v>175458.50072000001</x:v>
      </x:c>
      <x:c r="J28" s="9">
        <x:v>250832.69907999999</x:v>
      </x:c>
      <x:c r="K28" s="9">
        <x:v>276002.66635000007</x:v>
      </x:c>
      <x:c r="L28" s="9">
        <x:v>270992.39942000003</x:v>
      </x:c>
      <x:c r="M28" s="9">
        <x:v>204632.85910999999</x:v>
      </x:c>
      <x:c r="N28" s="9">
        <x:v>141842.11060000001</x:v>
      </x:c>
      <x:c r="O28" s="9">
        <x:v>150144.58601000003</x:v>
      </x:c>
      <x:c r="P28" s="52">
        <x:f>SUM(D28:O28)</x:f>
        <x:v>2316040.2882900001</x:v>
      </x:c>
    </x:row>
    <x:row r="29" spans="1:16" x14ac:dyDescent="0.3">
      <x:c r="A29" s="1">
        <x:f t="shared" si="0"/>
        <x:v>19</x:v>
      </x:c>
      <x:c r="B29" s="8" t="s">
        <x:v>7</x:v>
      </x:c>
      <x:c r="C29" s="49" t="s">
        <x:v>1</x:v>
      </x:c>
      <x:c r="D29" s="50">
        <x:f t="shared" ref="D29:O29" si="7">SUM(D26:D28)</x:f>
        <x:v>583692.5480800001</x:v>
      </x:c>
      <x:c r="E29" s="50">
        <x:f t="shared" si="7"/>
        <x:v>635488.84961999999</x:v>
      </x:c>
      <x:c r="F29" s="50">
        <x:f t="shared" si="7"/>
        <x:v>620678.67707000009</x:v>
      </x:c>
      <x:c r="G29" s="50">
        <x:f t="shared" si="7"/>
        <x:v>400094.46825999999</x:v>
      </x:c>
      <x:c r="H29" s="50">
        <x:f t="shared" si="7"/>
        <x:v>413211.73599000007</x:v>
      </x:c>
      <x:c r="I29" s="50">
        <x:f t="shared" si="7"/>
        <x:v>533740.18034000008</x:v>
      </x:c>
      <x:c r="J29" s="50">
        <x:f t="shared" si="7"/>
        <x:v>716964.35126999998</x:v>
      </x:c>
      <x:c r="K29" s="50">
        <x:f t="shared" si="7"/>
        <x:v>765287.91625000013</x:v>
      </x:c>
      <x:c r="L29" s="50">
        <x:f t="shared" si="7"/>
        <x:v>720636.27757999999</x:v>
      </x:c>
      <x:c r="M29" s="50">
        <x:f t="shared" si="7"/>
        <x:v>564074.99888999993</x:v>
      </x:c>
      <x:c r="N29" s="50">
        <x:f t="shared" si="7"/>
        <x:v>409683.79036000004</x:v>
      </x:c>
      <x:c r="O29" s="50">
        <x:f t="shared" si="7"/>
        <x:v>456903.33931999997</x:v>
      </x:c>
      <x:c r="P29" s="53">
        <x:f>SUM(D29:O29)</x:f>
        <x:v>6820457.1330299992</x:v>
      </x:c>
    </x:row>
    <x:row r="30" spans="1:16" ht="14.5" x14ac:dyDescent="0.35">
      <x:c r="A30" s="1">
        <x:f t="shared" si="0"/>
        <x:v>20</x:v>
      </x:c>
      <x:c r="B30" s="8"/>
      <x:c r="C30" s="13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spans="1:16" x14ac:dyDescent="0.3">
      <x:c r="A31" s="1">
        <x:f t="shared" si="0"/>
        <x:v>21</x:v>
      </x:c>
      <x:c r="B31" s="8" t="s">
        <x:v>8</x:v>
      </x:c>
      <x:c r="C31" s="4">
        <x:f>+C26</x:f>
        <x:v>2021</x:v>
      </x:c>
      <x:c r="D31" s="9">
        <x:v>153224.01330999998</x:v>
      </x:c>
      <x:c r="E31" s="9">
        <x:v>154536.63834999999</x:v>
      </x:c>
      <x:c r="F31" s="9">
        <x:v>168038.21671000001</x:v>
      </x:c>
      <x:c r="G31" s="9">
        <x:v>95802.779309999998</x:v>
      </x:c>
      <x:c r="H31" s="9">
        <x:v>98842.574959999998</x:v>
      </x:c>
      <x:c r="I31" s="9">
        <x:v>119575.21033999999</x:v>
      </x:c>
      <x:c r="J31" s="9">
        <x:v>173710.64012</x:v>
      </x:c>
      <x:c r="K31" s="9">
        <x:v>176629.48354000002</x:v>
      </x:c>
      <x:c r="L31" s="9">
        <x:v>178098.30978999997</x:v>
      </x:c>
      <x:c r="M31" s="9">
        <x:v>134631.58535000001</x:v>
      </x:c>
      <x:c r="N31" s="9">
        <x:v>102165.62672999999</x:v>
      </x:c>
      <x:c r="O31" s="9">
        <x:v>108471.37379999999</x:v>
      </x:c>
      <x:c r="P31" s="52">
        <x:f>SUM(D31:O31)</x:f>
        <x:v>1663726.4523099998</x:v>
      </x:c>
    </x:row>
    <x:row r="32" spans="1:16" x14ac:dyDescent="0.3">
      <x:c r="A32" s="1">
        <x:f t="shared" si="0"/>
        <x:v>22</x:v>
      </x:c>
      <x:c r="B32" s="8" t="s">
        <x:v>8</x:v>
      </x:c>
      <x:c r="C32" s="4">
        <x:f t="shared" ref="C32:C33" si="8">+C27</x:f>
        <x:v>2022</x:v>
      </x:c>
      <x:c r="D32" s="9">
        <x:v>128463.14062000001</x:v>
      </x:c>
      <x:c r="E32" s="9">
        <x:v>162158.00879000002</x:v>
      </x:c>
      <x:c r="F32" s="9">
        <x:v>152952.74141000002</x:v>
      </x:c>
      <x:c r="G32" s="9">
        <x:v>110470.87603999999</x:v>
      </x:c>
      <x:c r="H32" s="9">
        <x:v>110966.68874999999</x:v>
      </x:c>
      <x:c r="I32" s="9">
        <x:v>152783.54467</x:v>
      </x:c>
      <x:c r="J32" s="9">
        <x:v>204561.16462</x:v>
      </x:c>
      <x:c r="K32" s="9">
        <x:v>216850.84985000003</x:v>
      </x:c>
      <x:c r="L32" s="9">
        <x:v>173274.69296000001</x:v>
      </x:c>
      <x:c r="M32" s="9">
        <x:v>134303.86556999999</x:v>
      </x:c>
      <x:c r="N32" s="9">
        <x:v>99438.698370000013</x:v>
      </x:c>
      <x:c r="O32" s="9">
        <x:v>125882.65697</x:v>
      </x:c>
      <x:c r="P32" s="52">
        <x:f>SUM(D32:O32)</x:f>
        <x:v>1772106.9286200001</x:v>
      </x:c>
    </x:row>
    <x:row r="33" spans="1:16" ht="13.5" thickBot="1" x14ac:dyDescent="0.35">
      <x:c r="A33" s="1">
        <x:f t="shared" si="0"/>
        <x:v>23</x:v>
      </x:c>
      <x:c r="B33" s="8" t="s">
        <x:v>8</x:v>
      </x:c>
      <x:c r="C33" s="4">
        <x:f t="shared" si="8"/>
        <x:v>2023</x:v>
      </x:c>
      <x:c r="D33" s="9">
        <x:v>157879.56199000002</x:v>
      </x:c>
      <x:c r="E33" s="9">
        <x:v>145711.73803999997</x:v>
      </x:c>
      <x:c r="F33" s="9">
        <x:v>120120.41580999999</x:v>
      </x:c>
      <x:c r="G33" s="9">
        <x:v>100446.01820000001</x:v>
      </x:c>
      <x:c r="H33" s="9">
        <x:v>99203.043369999999</x:v>
      </x:c>
      <x:c r="I33" s="9">
        <x:v>135340.19146</x:v>
      </x:c>
      <x:c r="J33" s="9">
        <x:v>190797.62834999996</x:v>
      </x:c>
      <x:c r="K33" s="9">
        <x:v>215523.27288999999</x:v>
      </x:c>
      <x:c r="L33" s="9">
        <x:v>215466.84495</x:v>
      </x:c>
      <x:c r="M33" s="9">
        <x:v>151818.39033999998</x:v>
      </x:c>
      <x:c r="N33" s="9">
        <x:v>103970.88914</x:v>
      </x:c>
      <x:c r="O33" s="9">
        <x:v>118177.735</x:v>
      </x:c>
      <x:c r="P33" s="52">
        <x:f>SUM(D33:O33)</x:f>
        <x:v>1754455.72954</x:v>
      </x:c>
    </x:row>
    <x:row r="34" spans="1:16" x14ac:dyDescent="0.3">
      <x:c r="A34" s="1">
        <x:f t="shared" si="0"/>
        <x:v>24</x:v>
      </x:c>
      <x:c r="B34" s="8" t="s">
        <x:v>8</x:v>
      </x:c>
      <x:c r="C34" s="49" t="s">
        <x:v>1</x:v>
      </x:c>
      <x:c r="D34" s="50">
        <x:f t="shared" ref="D34:O34" si="9">SUM(D31:D33)</x:f>
        <x:v>439566.71591999999</x:v>
      </x:c>
      <x:c r="E34" s="50">
        <x:f t="shared" si="9"/>
        <x:v>462406.38517999998</x:v>
      </x:c>
      <x:c r="F34" s="50">
        <x:f t="shared" si="9"/>
        <x:v>441111.37393</x:v>
      </x:c>
      <x:c r="G34" s="50">
        <x:f t="shared" si="9"/>
        <x:v>306719.67355000001</x:v>
      </x:c>
      <x:c r="H34" s="50">
        <x:f t="shared" si="9"/>
        <x:v>309012.30707999994</x:v>
      </x:c>
      <x:c r="I34" s="50">
        <x:f t="shared" si="9"/>
        <x:v>407698.94646999997</x:v>
      </x:c>
      <x:c r="J34" s="50">
        <x:f t="shared" si="9"/>
        <x:v>569069.43308999995</x:v>
      </x:c>
      <x:c r="K34" s="50">
        <x:f t="shared" si="9"/>
        <x:v>609003.60628000007</x:v>
      </x:c>
      <x:c r="L34" s="50">
        <x:f t="shared" si="9"/>
        <x:v>566839.84770000004</x:v>
      </x:c>
      <x:c r="M34" s="50">
        <x:f t="shared" si="9"/>
        <x:v>420753.84125999996</x:v>
      </x:c>
      <x:c r="N34" s="50">
        <x:f t="shared" si="9"/>
        <x:v>305575.21424</x:v>
      </x:c>
      <x:c r="O34" s="50">
        <x:f t="shared" si="9"/>
        <x:v>352531.76577</x:v>
      </x:c>
      <x:c r="P34" s="53">
        <x:f>SUM(D34:O34)</x:f>
        <x:v>5190289.1104699997</x:v>
      </x:c>
    </x:row>
    <x:row r="35" spans="1:16" x14ac:dyDescent="0.3">
      <x:c r="A35" s="1">
        <x:f t="shared" si="0"/>
        <x:v>25</x:v>
      </x:c>
      <x:c r="B35" s="8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</x:row>
    <x:row r="36" spans="1:16" x14ac:dyDescent="0.3">
      <x:c r="A36" s="1">
        <x:f t="shared" si="0"/>
        <x:v>26</x:v>
      </x:c>
      <x:c r="B36" s="8" t="s">
        <x:v>3</x:v>
      </x:c>
      <x:c r="C36" s="4">
        <x:f>+C31</x:f>
        <x:v>2021</x:v>
      </x:c>
      <x:c r="D36" s="9">
        <x:v>150792.53052</x:v>
      </x:c>
      <x:c r="E36" s="9">
        <x:v>150902.02983000001</x:v>
      </x:c>
      <x:c r="F36" s="9">
        <x:v>176881.84365</x:v>
      </x:c>
      <x:c r="G36" s="9">
        <x:v>92648.561610000004</x:v>
      </x:c>
      <x:c r="H36" s="9">
        <x:v>98669.221649999992</x:v>
      </x:c>
      <x:c r="I36" s="9">
        <x:v>115731.89070999999</x:v>
      </x:c>
      <x:c r="J36" s="9">
        <x:v>168009.52830999997</x:v>
      </x:c>
      <x:c r="K36" s="9">
        <x:v>172737.99676000004</x:v>
      </x:c>
      <x:c r="L36" s="9">
        <x:v>179433.64470999999</x:v>
      </x:c>
      <x:c r="M36" s="9">
        <x:v>145767.51750999998</x:v>
      </x:c>
      <x:c r="N36" s="9">
        <x:v>106642.34105</x:v>
      </x:c>
      <x:c r="O36" s="9">
        <x:v>103581.58875000001</x:v>
      </x:c>
      <x:c r="P36" s="52">
        <x:f>SUM(D36:O36)</x:f>
        <x:v>1661798.6950599998</x:v>
      </x:c>
    </x:row>
    <x:row r="37" spans="1:16" x14ac:dyDescent="0.3">
      <x:c r="A37" s="1">
        <x:f t="shared" si="0"/>
        <x:v>27</x:v>
      </x:c>
      <x:c r="B37" s="8" t="s">
        <x:v>3</x:v>
      </x:c>
      <x:c r="C37" s="4">
        <x:f t="shared" ref="C37:C38" si="10">+C32</x:f>
        <x:v>2022</x:v>
      </x:c>
      <x:c r="D37" s="9">
        <x:v>122935.53674</x:v>
      </x:c>
      <x:c r="E37" s="9">
        <x:v>164883.30249999996</x:v>
      </x:c>
      <x:c r="F37" s="9">
        <x:v>162380.4797</x:v>
      </x:c>
      <x:c r="G37" s="9">
        <x:v>112827.45368999999</x:v>
      </x:c>
      <x:c r="H37" s="9">
        <x:v>112852.29513000001</x:v>
      </x:c>
      <x:c r="I37" s="9">
        <x:v>156361.59997000001</x:v>
      </x:c>
      <x:c r="J37" s="9">
        <x:v>205675.57532999999</x:v>
      </x:c>
      <x:c r="K37" s="9">
        <x:v>224363.08040000001</x:v>
      </x:c>
      <x:c r="L37" s="9">
        <x:v>182677.48411999998</x:v>
      </x:c>
      <x:c r="M37" s="9">
        <x:v>147473.75073</x:v>
      </x:c>
      <x:c r="N37" s="9">
        <x:v>101608.20215000001</x:v>
      </x:c>
      <x:c r="O37" s="9">
        <x:v>125411.03074000002</x:v>
      </x:c>
      <x:c r="P37" s="52">
        <x:f>SUM(D37:O37)</x:f>
        <x:v>1819449.7911999999</x:v>
      </x:c>
    </x:row>
    <x:row r="38" spans="1:16" ht="13.5" thickBot="1" x14ac:dyDescent="0.35">
      <x:c r="A38" s="1">
        <x:f t="shared" si="0"/>
        <x:v>28</x:v>
      </x:c>
      <x:c r="B38" s="8" t="s">
        <x:v>3</x:v>
      </x:c>
      <x:c r="C38" s="4">
        <x:f t="shared" si="10"/>
        <x:v>2023</x:v>
      </x:c>
      <x:c r="D38" s="9">
        <x:v>152542.62541999997</x:v>
      </x:c>
      <x:c r="E38" s="9">
        <x:v>146333.17765000003</x:v>
      </x:c>
      <x:c r="F38" s="9">
        <x:v>129526.96549</x:v>
      </x:c>
      <x:c r="G38" s="9">
        <x:v>99583.291979999995</x:v>
      </x:c>
      <x:c r="H38" s="9">
        <x:v>98011.038210000013</x:v>
      </x:c>
      <x:c r="I38" s="9">
        <x:v>131839.92358999999</x:v>
      </x:c>
      <x:c r="J38" s="9">
        <x:v>190676.94805000001</x:v>
      </x:c>
      <x:c r="K38" s="9">
        <x:v>218573.92374</x:v>
      </x:c>
      <x:c r="L38" s="9">
        <x:v>219305.45487999998</x:v>
      </x:c>
      <x:c r="M38" s="9">
        <x:v>165363.25388</x:v>
      </x:c>
      <x:c r="N38" s="9">
        <x:v>107946.29982</x:v>
      </x:c>
      <x:c r="O38" s="9">
        <x:v>112858.81601</x:v>
      </x:c>
      <x:c r="P38" s="52">
        <x:f>SUM(D38:O38)</x:f>
        <x:v>1772561.71872</x:v>
      </x:c>
    </x:row>
    <x:row r="39" spans="1:16" x14ac:dyDescent="0.3">
      <x:c r="A39" s="1">
        <x:f t="shared" si="0"/>
        <x:v>29</x:v>
      </x:c>
      <x:c r="B39" s="8" t="s">
        <x:v>3</x:v>
      </x:c>
      <x:c r="C39" s="49" t="s">
        <x:v>1</x:v>
      </x:c>
      <x:c r="D39" s="50">
        <x:f t="shared" ref="D39:O39" si="11">SUM(D36:D38)</x:f>
        <x:v>426270.69267999998</x:v>
      </x:c>
      <x:c r="E39" s="50">
        <x:f t="shared" si="11"/>
        <x:v>462118.50998000003</x:v>
      </x:c>
      <x:c r="F39" s="50">
        <x:f t="shared" si="11"/>
        <x:v>468789.28883999994</x:v>
      </x:c>
      <x:c r="G39" s="50">
        <x:f t="shared" si="11"/>
        <x:v>305059.30728000001</x:v>
      </x:c>
      <x:c r="H39" s="50">
        <x:f t="shared" si="11"/>
        <x:v>309532.55499000003</x:v>
      </x:c>
      <x:c r="I39" s="50">
        <x:f t="shared" si="11"/>
        <x:v>403933.41426999995</x:v>
      </x:c>
      <x:c r="J39" s="50">
        <x:f t="shared" si="11"/>
        <x:v>564362.05168999999</x:v>
      </x:c>
      <x:c r="K39" s="50">
        <x:f t="shared" si="11"/>
        <x:v>615675.0009000001</x:v>
      </x:c>
      <x:c r="L39" s="50">
        <x:f t="shared" si="11"/>
        <x:v>581416.58370999992</x:v>
      </x:c>
      <x:c r="M39" s="50">
        <x:f t="shared" si="11"/>
        <x:v>458604.52211999998</x:v>
      </x:c>
      <x:c r="N39" s="50">
        <x:f t="shared" si="11"/>
        <x:v>316196.84302000003</x:v>
      </x:c>
      <x:c r="O39" s="50">
        <x:f t="shared" si="11"/>
        <x:v>341851.43550000002</x:v>
      </x:c>
      <x:c r="P39" s="53">
        <x:f>SUM(D39:O39)</x:f>
        <x:v>5253810.204979999</x:v>
      </x:c>
    </x:row>
    <x:row r="40" spans="1:16" x14ac:dyDescent="0.3">
      <x:c r="A40" s="1">
        <x:f t="shared" si="0"/>
        <x:v>30</x:v>
      </x:c>
      <x:c r="B40" s="8"/>
      <x:c r="C40" s="12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</x:row>
    <x:row r="41" spans="1:16" x14ac:dyDescent="0.3">
      <x:c r="A41" s="1">
        <x:f t="shared" si="0"/>
        <x:v>31</x:v>
      </x:c>
      <x:c r="B41" s="8" t="s">
        <x:v>9</x:v>
      </x:c>
      <x:c r="C41" s="4">
        <x:f>+C36</x:f>
        <x:v>2021</x:v>
      </x:c>
      <x:c r="D41" s="9">
        <x:v>58689.98747</x:v>
      </x:c>
      <x:c r="E41" s="9">
        <x:v>57721.880579999997</x:v>
      </x:c>
      <x:c r="F41" s="9">
        <x:v>57495.186820000003</x:v>
      </x:c>
      <x:c r="G41" s="9">
        <x:v>32345.203529999995</x:v>
      </x:c>
      <x:c r="H41" s="9">
        <x:v>33642.863950000006</x:v>
      </x:c>
      <x:c r="I41" s="9">
        <x:v>41364.063399999992</x:v>
      </x:c>
      <x:c r="J41" s="9">
        <x:v>57648.052479999991</x:v>
      </x:c>
      <x:c r="K41" s="9">
        <x:v>58662.567070000005</x:v>
      </x:c>
      <x:c r="L41" s="9">
        <x:v>59207.723229999996</x:v>
      </x:c>
      <x:c r="M41" s="9">
        <x:v>44042.224110000003</x:v>
      </x:c>
      <x:c r="N41" s="9">
        <x:v>33120.328399999999</x:v>
      </x:c>
      <x:c r="O41" s="9">
        <x:v>36902.453729999987</x:v>
      </x:c>
      <x:c r="P41" s="52">
        <x:f>SUM(D41:O41)</x:f>
        <x:v>570842.53477000003</x:v>
      </x:c>
    </x:row>
    <x:row r="42" spans="1:16" x14ac:dyDescent="0.3">
      <x:c r="A42" s="1">
        <x:f t="shared" si="0"/>
        <x:v>32</x:v>
      </x:c>
      <x:c r="B42" s="8" t="s">
        <x:v>9</x:v>
      </x:c>
      <x:c r="C42" s="4">
        <x:f t="shared" ref="C42:C43" si="12">+C37</x:f>
        <x:v>2022</x:v>
      </x:c>
      <x:c r="D42" s="9">
        <x:v>47321.641589999992</x:v>
      </x:c>
      <x:c r="E42" s="9">
        <x:v>60246.813959999992</x:v>
      </x:c>
      <x:c r="F42" s="9">
        <x:v>55667.204900000004</x:v>
      </x:c>
      <x:c r="G42" s="9">
        <x:v>37677.909540000008</x:v>
      </x:c>
      <x:c r="H42" s="9">
        <x:v>41001.486749999996</x:v>
      </x:c>
      <x:c r="I42" s="9">
        <x:v>56607.162820000005</x:v>
      </x:c>
      <x:c r="J42" s="9">
        <x:v>71048.895629999985</x:v>
      </x:c>
      <x:c r="K42" s="9">
        <x:v>74900.062850000002</x:v>
      </x:c>
      <x:c r="L42" s="9">
        <x:v>58257.832039999987</x:v>
      </x:c>
      <x:c r="M42" s="9">
        <x:v>44315.624090000005</x:v>
      </x:c>
      <x:c r="N42" s="9">
        <x:v>32411.586249999989</x:v>
      </x:c>
      <x:c r="O42" s="9">
        <x:v>45892.135730000002</x:v>
      </x:c>
      <x:c r="P42" s="52">
        <x:f>SUM(D42:O42)</x:f>
        <x:v>625348.35614999989</x:v>
      </x:c>
    </x:row>
    <x:row r="43" spans="1:16" ht="13.5" thickBot="1" x14ac:dyDescent="0.35">
      <x:c r="A43" s="1">
        <x:f t="shared" si="0"/>
        <x:v>33</x:v>
      </x:c>
      <x:c r="B43" s="8" t="s">
        <x:v>9</x:v>
      </x:c>
      <x:c r="C43" s="4">
        <x:f t="shared" si="12"/>
        <x:v>2023</x:v>
      </x:c>
      <x:c r="D43" s="9">
        <x:v>55685.749689999997</x:v>
      </x:c>
      <x:c r="E43" s="9">
        <x:v>55059.3891</x:v>
      </x:c>
      <x:c r="F43" s="9">
        <x:v>44183.789369999991</x:v>
      </x:c>
      <x:c r="G43" s="9">
        <x:v>33575.847289999998</x:v>
      </x:c>
      <x:c r="H43" s="9">
        <x:v>33485.297760000001</x:v>
      </x:c>
      <x:c r="I43" s="9">
        <x:v>42848.868329999998</x:v>
      </x:c>
      <x:c r="J43" s="9">
        <x:v>66497.459450000009</x:v>
      </x:c>
      <x:c r="K43" s="9">
        <x:v>74011.312019999983</x:v>
      </x:c>
      <x:c r="L43" s="9">
        <x:v>69495.908590000006</x:v>
      </x:c>
      <x:c r="M43" s="9">
        <x:v>49720.978210000001</x:v>
      </x:c>
      <x:c r="N43" s="9">
        <x:v>34852.81637</x:v>
      </x:c>
      <x:c r="O43" s="9">
        <x:v>41009.198990000004</x:v>
      </x:c>
      <x:c r="P43" s="52">
        <x:f>SUM(D43:O43)</x:f>
        <x:v>600426.61517000012</x:v>
      </x:c>
    </x:row>
    <x:row r="44" spans="1:16" x14ac:dyDescent="0.3">
      <x:c r="A44" s="1">
        <x:f t="shared" si="0"/>
        <x:v>34</x:v>
      </x:c>
      <x:c r="B44" s="8" t="s">
        <x:v>9</x:v>
      </x:c>
      <x:c r="C44" s="49" t="s">
        <x:v>1</x:v>
      </x:c>
      <x:c r="D44" s="50">
        <x:f t="shared" ref="D44:O44" si="13">SUM(D41:D43)</x:f>
        <x:v>161697.37874999997</x:v>
      </x:c>
      <x:c r="E44" s="50">
        <x:f t="shared" si="13"/>
        <x:v>173028.08364</x:v>
      </x:c>
      <x:c r="F44" s="50">
        <x:f t="shared" si="13"/>
        <x:v>157346.18109</x:v>
      </x:c>
      <x:c r="G44" s="50">
        <x:f t="shared" si="13"/>
        <x:v>103598.96036</x:v>
      </x:c>
      <x:c r="H44" s="50">
        <x:f t="shared" si="13"/>
        <x:v>108129.64846000001</x:v>
      </x:c>
      <x:c r="I44" s="50">
        <x:f t="shared" si="13"/>
        <x:v>140820.09454999998</x:v>
      </x:c>
      <x:c r="J44" s="50">
        <x:f t="shared" si="13"/>
        <x:v>195194.40755999996</x:v>
      </x:c>
      <x:c r="K44" s="50">
        <x:f t="shared" si="13"/>
        <x:v>207573.94193999999</x:v>
      </x:c>
      <x:c r="L44" s="50">
        <x:f t="shared" si="13"/>
        <x:v>186961.46385999999</x:v>
      </x:c>
      <x:c r="M44" s="50">
        <x:f t="shared" si="13"/>
        <x:v>138078.82641000001</x:v>
      </x:c>
      <x:c r="N44" s="50">
        <x:f t="shared" si="13"/>
        <x:v>100384.73101999999</x:v>
      </x:c>
      <x:c r="O44" s="50">
        <x:f t="shared" si="13"/>
        <x:v>123803.78844999999</x:v>
      </x:c>
      <x:c r="P44" s="53">
        <x:f>SUM(D44:O44)</x:f>
        <x:v>1796617.5060900003</x:v>
      </x:c>
    </x:row>
    <x:row r="45" spans="1:16" x14ac:dyDescent="0.3">
      <x:c r="A45" s="1">
        <x:f t="shared" si="0"/>
        <x:v>35</x:v>
      </x:c>
      <x:c r="B45" s="8"/>
      <x:c r="C45" s="12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</x:row>
    <x:row r="46" spans="1:16" x14ac:dyDescent="0.3">
      <x:c r="A46" s="1">
        <x:f t="shared" si="0"/>
        <x:v>36</x:v>
      </x:c>
      <x:c r="B46" s="8" t="s">
        <x:v>4</x:v>
      </x:c>
      <x:c r="C46" s="4">
        <x:f>+C41</x:f>
        <x:v>2021</x:v>
      </x:c>
      <x:c r="D46" s="9">
        <x:v>76946.014050000013</x:v>
      </x:c>
      <x:c r="E46" s="9">
        <x:v>75933.114029999997</x:v>
      </x:c>
      <x:c r="F46" s="9">
        <x:v>87029.187370000014</x:v>
      </x:c>
      <x:c r="G46" s="9">
        <x:v>46308.329259999999</x:v>
      </x:c>
      <x:c r="H46" s="9">
        <x:v>47531.732240000005</x:v>
      </x:c>
      <x:c r="I46" s="9">
        <x:v>60086.858900000007</x:v>
      </x:c>
      <x:c r="J46" s="9">
        <x:v>89904.845310000004</x:v>
      </x:c>
      <x:c r="K46" s="9">
        <x:v>95430.695250000004</x:v>
      </x:c>
      <x:c r="L46" s="9">
        <x:v>96330.708369999993</x:v>
      </x:c>
      <x:c r="M46" s="9">
        <x:v>73084.443199999994</x:v>
      </x:c>
      <x:c r="N46" s="9">
        <x:v>50075.635069999997</x:v>
      </x:c>
      <x:c r="O46" s="9">
        <x:v>52229.321320000003</x:v>
      </x:c>
      <x:c r="P46" s="52">
        <x:f>SUM(D46:O46)</x:f>
        <x:v>850890.88436999999</x:v>
      </x:c>
    </x:row>
    <x:row r="47" spans="1:16" x14ac:dyDescent="0.3">
      <x:c r="A47" s="1">
        <x:f t="shared" si="0"/>
        <x:v>37</x:v>
      </x:c>
      <x:c r="B47" s="8" t="s">
        <x:v>4</x:v>
      </x:c>
      <x:c r="C47" s="4">
        <x:f t="shared" ref="C47:C48" si="14">+C42</x:f>
        <x:v>2022</x:v>
      </x:c>
      <x:c r="D47" s="9">
        <x:v>63829.831969999999</x:v>
      </x:c>
      <x:c r="E47" s="9">
        <x:v>82594.25877</x:v>
      </x:c>
      <x:c r="F47" s="9">
        <x:v>76625.690069999997</x:v>
      </x:c>
      <x:c r="G47" s="9">
        <x:v>53152.192230000001</x:v>
      </x:c>
      <x:c r="H47" s="9">
        <x:v>55693.505389999998</x:v>
      </x:c>
      <x:c r="I47" s="9">
        <x:v>78278.534629999995</x:v>
      </x:c>
      <x:c r="J47" s="9">
        <x:v>106398.62875</x:v>
      </x:c>
      <x:c r="K47" s="9">
        <x:v>118980.74963000001</x:v>
      </x:c>
      <x:c r="L47" s="9">
        <x:v>94328.013299999991</x:v>
      </x:c>
      <x:c r="M47" s="9">
        <x:v>72904.514970000004</x:v>
      </x:c>
      <x:c r="N47" s="9">
        <x:v>47225.639189999987</x:v>
      </x:c>
      <x:c r="O47" s="9">
        <x:v>62222.239699999998</x:v>
      </x:c>
      <x:c r="P47" s="52">
        <x:f>SUM(D47:O47)</x:f>
        <x:v>912233.7986000001</x:v>
      </x:c>
    </x:row>
    <x:row r="48" spans="1:16" ht="13.5" thickBot="1" x14ac:dyDescent="0.35">
      <x:c r="A48" s="1">
        <x:f t="shared" si="0"/>
        <x:v>38</x:v>
      </x:c>
      <x:c r="B48" s="8" t="s">
        <x:v>4</x:v>
      </x:c>
      <x:c r="C48" s="4">
        <x:f t="shared" si="14"/>
        <x:v>2023</x:v>
      </x:c>
      <x:c r="D48" s="9">
        <x:v>75708.795829999988</x:v>
      </x:c>
      <x:c r="E48" s="9">
        <x:v>72678.540430000008</x:v>
      </x:c>
      <x:c r="F48" s="9">
        <x:v>63782.131749999993</x:v>
      </x:c>
      <x:c r="G48" s="9">
        <x:v>48599.757759999993</x:v>
      </x:c>
      <x:c r="H48" s="9">
        <x:v>46653.626379999994</x:v>
      </x:c>
      <x:c r="I48" s="9">
        <x:v>62751.715389999998</x:v>
      </x:c>
      <x:c r="J48" s="9">
        <x:v>96517.338090000005</x:v>
      </x:c>
      <x:c r="K48" s="9">
        <x:v>112929.08461999999</x:v>
      </x:c>
      <x:c r="L48" s="9">
        <x:v>112263.93982</x:v>
      </x:c>
      <x:c r="M48" s="9">
        <x:v>79599.875610000003</x:v>
      </x:c>
      <x:c r="N48" s="9">
        <x:v>52514.911809999998</x:v>
      </x:c>
      <x:c r="O48" s="9">
        <x:v>55560.817240000004</x:v>
      </x:c>
      <x:c r="P48" s="52">
        <x:f>SUM(D48:O48)</x:f>
        <x:v>879560.53472999984</x:v>
      </x:c>
    </x:row>
    <x:row r="49" spans="1:16" x14ac:dyDescent="0.3">
      <x:c r="A49" s="1">
        <x:f t="shared" si="0"/>
        <x:v>39</x:v>
      </x:c>
      <x:c r="B49" s="8" t="s">
        <x:v>4</x:v>
      </x:c>
      <x:c r="C49" s="49" t="s">
        <x:v>1</x:v>
      </x:c>
      <x:c r="D49" s="50">
        <x:f t="shared" ref="D49:O49" si="15">SUM(D46:D48)</x:f>
        <x:v>216484.64184999999</x:v>
      </x:c>
      <x:c r="E49" s="50">
        <x:f t="shared" si="15"/>
        <x:v>231205.91323000001</x:v>
      </x:c>
      <x:c r="F49" s="50">
        <x:f t="shared" si="15"/>
        <x:v>227437.00919000001</x:v>
      </x:c>
      <x:c r="G49" s="50">
        <x:f t="shared" si="15"/>
        <x:v>148060.27924999999</x:v>
      </x:c>
      <x:c r="H49" s="50">
        <x:f t="shared" si="15"/>
        <x:v>149878.86400999999</x:v>
      </x:c>
      <x:c r="I49" s="50">
        <x:f t="shared" si="15"/>
        <x:v>201117.10892</x:v>
      </x:c>
      <x:c r="J49" s="50">
        <x:f t="shared" si="15"/>
        <x:v>292820.81215000001</x:v>
      </x:c>
      <x:c r="K49" s="50">
        <x:f t="shared" si="15"/>
        <x:v>327340.5295</x:v>
      </x:c>
      <x:c r="L49" s="50">
        <x:f t="shared" si="15"/>
        <x:v>302922.66148999997</x:v>
      </x:c>
      <x:c r="M49" s="50">
        <x:f t="shared" si="15"/>
        <x:v>225588.83377999999</x:v>
      </x:c>
      <x:c r="N49" s="50">
        <x:f t="shared" si="15"/>
        <x:v>149816.18606999997</x:v>
      </x:c>
      <x:c r="O49" s="50">
        <x:f t="shared" si="15"/>
        <x:v>170012.37826</x:v>
      </x:c>
      <x:c r="P49" s="53">
        <x:f>SUM(D49:O49)</x:f>
        <x:v>2642685.2176999999</x:v>
      </x:c>
    </x:row>
    <x:row r="50" spans="1:16" x14ac:dyDescent="0.3">
      <x:c r="A50" s="1">
        <x:f t="shared" si="0"/>
        <x:v>40</x:v>
      </x:c>
      <x:c r="B50" s="8"/>
      <x:c r="C50" s="12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</x:row>
    <x:row r="51" spans="1:16" x14ac:dyDescent="0.3">
      <x:c r="A51" s="1">
        <x:f t="shared" si="0"/>
        <x:v>41</x:v>
      </x:c>
      <x:c r="B51" s="8" t="s">
        <x:v>2</x:v>
      </x:c>
      <x:c r="C51" s="4">
        <x:f>+C46</x:f>
        <x:v>2021</x:v>
      </x:c>
      <x:c r="D51" s="9">
        <x:v>229191.01603</x:v>
      </x:c>
      <x:c r="E51" s="9">
        <x:v>214878.29561999999</x:v>
      </x:c>
      <x:c r="F51" s="9">
        <x:v>225632.90747000001</x:v>
      </x:c>
      <x:c r="G51" s="9">
        <x:v>135616.50981000002</x:v>
      </x:c>
      <x:c r="H51" s="9">
        <x:v>148516.10590999998</x:v>
      </x:c>
      <x:c r="I51" s="9">
        <x:v>196121.37807999999</x:v>
      </x:c>
      <x:c r="J51" s="9">
        <x:v>260165.25008999999</x:v>
      </x:c>
      <x:c r="K51" s="9">
        <x:v>248010.00966000001</x:v>
      </x:c>
      <x:c r="L51" s="9">
        <x:v>248178.68726999994</x:v>
      </x:c>
      <x:c r="M51" s="9">
        <x:v>201689.67666</x:v>
      </x:c>
      <x:c r="N51" s="9">
        <x:v>147276.47539000004</x:v>
      </x:c>
      <x:c r="O51" s="9">
        <x:v>152272.63936999999</x:v>
      </x:c>
      <x:c r="P51" s="52">
        <x:f>SUM(D51:O51)</x:f>
        <x:v>2407548.9513599994</x:v>
      </x:c>
    </x:row>
    <x:row r="52" spans="1:16" x14ac:dyDescent="0.3">
      <x:c r="A52" s="1">
        <x:f t="shared" si="0"/>
        <x:v>42</x:v>
      </x:c>
      <x:c r="B52" s="8" t="s">
        <x:v>2</x:v>
      </x:c>
      <x:c r="C52" s="4">
        <x:f t="shared" ref="C52:C53" si="16">+C47</x:f>
        <x:v>2022</x:v>
      </x:c>
      <x:c r="D52" s="9">
        <x:v>179067.80262999999</x:v>
      </x:c>
      <x:c r="E52" s="9">
        <x:v>232092.89885000003</x:v>
      </x:c>
      <x:c r="F52" s="9">
        <x:v>209438.75307999999</x:v>
      </x:c>
      <x:c r="G52" s="9">
        <x:v>159096.38863</x:v>
      </x:c>
      <x:c r="H52" s="9">
        <x:v>181347.53306999998</x:v>
      </x:c>
      <x:c r="I52" s="9">
        <x:v>248236.63263999997</x:v>
      </x:c>
      <x:c r="J52" s="9">
        <x:v>298263.59162000002</x:v>
      </x:c>
      <x:c r="K52" s="9">
        <x:v>320425.11231999996</x:v>
      </x:c>
      <x:c r="L52" s="9">
        <x:v>246290.28975000003</x:v>
      </x:c>
      <x:c r="M52" s="9">
        <x:v>193201.25149999998</x:v>
      </x:c>
      <x:c r="N52" s="9">
        <x:v>139405.87649999995</x:v>
      </x:c>
      <x:c r="O52" s="9">
        <x:v>196214.99269000001</x:v>
      </x:c>
      <x:c r="P52" s="52">
        <x:f>SUM(D52:O52)</x:f>
        <x:v>2603081.1232799995</x:v>
      </x:c>
    </x:row>
    <x:row r="53" spans="1:16" ht="13.5" thickBot="1" x14ac:dyDescent="0.35">
      <x:c r="A53" s="1">
        <x:f t="shared" si="0"/>
        <x:v>43</x:v>
      </x:c>
      <x:c r="B53" s="8" t="s">
        <x:v>2</x:v>
      </x:c>
      <x:c r="C53" s="4">
        <x:f t="shared" si="16"/>
        <x:v>2023</x:v>
      </x:c>
      <x:c r="D53" s="9">
        <x:v>219774.35245999997</x:v>
      </x:c>
      <x:c r="E53" s="9">
        <x:v>223404.77487000002</x:v>
      </x:c>
      <x:c r="F53" s="9">
        <x:v>186800.47358999998</x:v>
      </x:c>
      <x:c r="G53" s="9">
        <x:v>145389.38971999998</x:v>
      </x:c>
      <x:c r="H53" s="9">
        <x:v>155512.90001999994</x:v>
      </x:c>
      <x:c r="I53" s="9">
        <x:v>204318.08558000001</x:v>
      </x:c>
      <x:c r="J53" s="9">
        <x:v>314082.00334000005</x:v>
      </x:c>
      <x:c r="K53" s="9">
        <x:v>332359.82673000003</x:v>
      </x:c>
      <x:c r="L53" s="9">
        <x:v>308387.59514000005</x:v>
      </x:c>
      <x:c r="M53" s="9">
        <x:v>234754.59751999995</x:v>
      </x:c>
      <x:c r="N53" s="9">
        <x:v>159376.96470999994</x:v>
      </x:c>
      <x:c r="O53" s="9">
        <x:v>175340.83515000003</x:v>
      </x:c>
      <x:c r="P53" s="52">
        <x:f>SUM(D53:O53)</x:f>
        <x:v>2659501.7988300002</x:v>
      </x:c>
    </x:row>
    <x:row r="54" spans="1:16" x14ac:dyDescent="0.3">
      <x:c r="A54" s="1">
        <x:f t="shared" si="0"/>
        <x:v>44</x:v>
      </x:c>
      <x:c r="B54" s="8" t="s">
        <x:v>2</x:v>
      </x:c>
      <x:c r="C54" s="49" t="s">
        <x:v>1</x:v>
      </x:c>
      <x:c r="D54" s="50">
        <x:f t="shared" ref="D54:O54" si="17">SUM(D51:D53)</x:f>
        <x:v>628033.17111999996</x:v>
      </x:c>
      <x:c r="E54" s="50">
        <x:f t="shared" si="17"/>
        <x:v>670375.96934000007</x:v>
      </x:c>
      <x:c r="F54" s="50">
        <x:f t="shared" si="17"/>
        <x:v>621872.13413999998</x:v>
      </x:c>
      <x:c r="G54" s="50">
        <x:f t="shared" si="17"/>
        <x:v>440102.28816</x:v>
      </x:c>
      <x:c r="H54" s="50">
        <x:f t="shared" si="17"/>
        <x:v>485376.53899999987</x:v>
      </x:c>
      <x:c r="I54" s="50">
        <x:f t="shared" si="17"/>
        <x:v>648676.09629999998</x:v>
      </x:c>
      <x:c r="J54" s="50">
        <x:f t="shared" si="17"/>
        <x:v>872510.84505000012</x:v>
      </x:c>
      <x:c r="K54" s="50">
        <x:f t="shared" si="17"/>
        <x:v>900794.94870999991</x:v>
      </x:c>
      <x:c r="L54" s="50">
        <x:f t="shared" si="17"/>
        <x:v>802856.57215999998</x:v>
      </x:c>
      <x:c r="M54" s="50">
        <x:f t="shared" si="17"/>
        <x:v>629645.52567999996</x:v>
      </x:c>
      <x:c r="N54" s="50">
        <x:f t="shared" si="17"/>
        <x:v>446059.3165999999</x:v>
      </x:c>
      <x:c r="O54" s="50">
        <x:f t="shared" si="17"/>
        <x:v>523828.46721000003</x:v>
      </x:c>
      <x:c r="P54" s="53">
        <x:f>SUM(D54:O54)</x:f>
        <x:v>7670131.87347</x:v>
      </x:c>
    </x:row>
    <x:row r="55" spans="1:16" ht="14.5" x14ac:dyDescent="0.35">
      <x:c r="A55" s="1">
        <x:f t="shared" si="0"/>
        <x:v>45</x:v>
      </x:c>
      <x:c r="B55" s="8"/>
      <x:c r="C55" s="13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</x:row>
    <x:row r="56" spans="1:16" x14ac:dyDescent="0.3">
      <x:c r="A56" s="1">
        <x:f t="shared" si="0"/>
        <x:v>46</x:v>
      </x:c>
      <x:c r="B56" s="8" t="s">
        <x:v>48</x:v>
      </x:c>
      <x:c r="C56" s="4">
        <x:f>+C51</x:f>
        <x:v>2021</x:v>
      </x:c>
      <x:c r="D56" s="9">
        <x:v>107011.91832000001</x:v>
      </x:c>
      <x:c r="E56" s="9">
        <x:v>107879.53481000001</x:v>
      </x:c>
      <x:c r="F56" s="9">
        <x:v>124571.24681</x:v>
      </x:c>
      <x:c r="G56" s="9">
        <x:v>62804.837639999998</x:v>
      </x:c>
      <x:c r="H56" s="9">
        <x:v>62557.911780000002</x:v>
      </x:c>
      <x:c r="I56" s="9">
        <x:v>73848.244160000002</x:v>
      </x:c>
      <x:c r="J56" s="9">
        <x:v>113948.88095999998</x:v>
      </x:c>
      <x:c r="K56" s="9">
        <x:v>122527.46667000001</x:v>
      </x:c>
      <x:c r="L56" s="9">
        <x:v>119583.03784</x:v>
      </x:c>
      <x:c r="M56" s="9">
        <x:v>92870.071240000005</x:v>
      </x:c>
      <x:c r="N56" s="9">
        <x:v>67187.181500000006</x:v>
      </x:c>
      <x:c r="O56" s="9">
        <x:v>73745.317469999995</x:v>
      </x:c>
      <x:c r="P56" s="52">
        <x:f>SUM(D56:O56)</x:f>
        <x:v>1128535.6491999999</x:v>
      </x:c>
    </x:row>
    <x:row r="57" spans="1:16" x14ac:dyDescent="0.3">
      <x:c r="A57" s="1">
        <x:f t="shared" si="0"/>
        <x:v>47</x:v>
      </x:c>
      <x:c r="B57" s="8" t="s">
        <x:v>48</x:v>
      </x:c>
      <x:c r="C57" s="4">
        <x:f t="shared" ref="C57:C58" si="18">+C52</x:f>
        <x:v>2022</x:v>
      </x:c>
      <x:c r="D57" s="9">
        <x:v>88773.443280000007</x:v>
      </x:c>
      <x:c r="E57" s="9">
        <x:v>114820.52253999998</x:v>
      </x:c>
      <x:c r="F57" s="9">
        <x:v>106992.55682</x:v>
      </x:c>
      <x:c r="G57" s="9">
        <x:v>75900.767739999996</x:v>
      </x:c>
      <x:c r="H57" s="9">
        <x:v>69048.621830000004</x:v>
      </x:c>
      <x:c r="I57" s="9">
        <x:v>93389.009950000007</x:v>
      </x:c>
      <x:c r="J57" s="9">
        <x:v>132674.77012999999</x:v>
      </x:c>
      <x:c r="K57" s="9">
        <x:v>151874.19706999999</x:v>
      </x:c>
      <x:c r="L57" s="9">
        <x:v>120456.94379</x:v>
      </x:c>
      <x:c r="M57" s="9">
        <x:v>93912.998229999983</x:v>
      </x:c>
      <x:c r="N57" s="9">
        <x:v>66502.423920000001</x:v>
      </x:c>
      <x:c r="O57" s="9">
        <x:v>91502.683749999997</x:v>
      </x:c>
      <x:c r="P57" s="52">
        <x:f>SUM(D57:O57)</x:f>
        <x:v>1205848.9390500002</x:v>
      </x:c>
    </x:row>
    <x:row r="58" spans="1:16" ht="13.5" thickBot="1" x14ac:dyDescent="0.35">
      <x:c r="A58" s="1">
        <x:f t="shared" si="0"/>
        <x:v>48</x:v>
      </x:c>
      <x:c r="B58" s="8" t="s">
        <x:v>48</x:v>
      </x:c>
      <x:c r="C58" s="4">
        <x:f t="shared" si="18"/>
        <x:v>2023</x:v>
      </x:c>
      <x:c r="D58" s="9">
        <x:v>110945.29637999999</x:v>
      </x:c>
      <x:c r="E58" s="9">
        <x:v>107705.38817999999</x:v>
      </x:c>
      <x:c r="F58" s="9">
        <x:v>91069.850450000013</x:v>
      </x:c>
      <x:c r="G58" s="9">
        <x:v>70548.021579999986</x:v>
      </x:c>
      <x:c r="H58" s="9">
        <x:v>64529.824590000004</x:v>
      </x:c>
      <x:c r="I58" s="9">
        <x:v>84600.248219999994</x:v>
      </x:c>
      <x:c r="J58" s="9">
        <x:v>120054.39283000003</x:v>
      </x:c>
      <x:c r="K58" s="9">
        <x:v>138413.35196999996</x:v>
      </x:c>
      <x:c r="L58" s="9">
        <x:v>143402.18794000003</x:v>
      </x:c>
      <x:c r="M58" s="9">
        <x:v>103043.24512000002</x:v>
      </x:c>
      <x:c r="N58" s="9">
        <x:v>71669.696879999989</x:v>
      </x:c>
      <x:c r="O58" s="9">
        <x:v>83228.303439999989</x:v>
      </x:c>
      <x:c r="P58" s="52">
        <x:f>SUM(D58:O58)</x:f>
        <x:v>1189209.80758</x:v>
      </x:c>
    </x:row>
    <x:row r="59" spans="1:16" x14ac:dyDescent="0.3">
      <x:c r="A59" s="1">
        <x:f t="shared" si="0"/>
        <x:v>49</x:v>
      </x:c>
      <x:c r="B59" s="8" t="s">
        <x:v>48</x:v>
      </x:c>
      <x:c r="C59" s="49" t="s">
        <x:v>1</x:v>
      </x:c>
      <x:c r="D59" s="50">
        <x:f t="shared" ref="D59:O59" si="19">SUM(D56:D58)</x:f>
        <x:v>306730.65798000002</x:v>
      </x:c>
      <x:c r="E59" s="50">
        <x:f t="shared" si="19"/>
        <x:v>330405.44552999997</x:v>
      </x:c>
      <x:c r="F59" s="50">
        <x:f t="shared" si="19"/>
        <x:v>322633.65408000001</x:v>
      </x:c>
      <x:c r="G59" s="50">
        <x:f t="shared" si="19"/>
        <x:v>209253.62695999997</x:v>
      </x:c>
      <x:c r="H59" s="50">
        <x:f t="shared" si="19"/>
        <x:v>196136.35820000002</x:v>
      </x:c>
      <x:c r="I59" s="50">
        <x:f t="shared" si="19"/>
        <x:v>251837.50232999999</x:v>
      </x:c>
      <x:c r="J59" s="50">
        <x:f t="shared" si="19"/>
        <x:v>366678.04391999997</x:v>
      </x:c>
      <x:c r="K59" s="50">
        <x:f t="shared" si="19"/>
        <x:v>412815.01570999995</x:v>
      </x:c>
      <x:c r="L59" s="50">
        <x:f t="shared" si="19"/>
        <x:v>383442.16957000003</x:v>
      </x:c>
      <x:c r="M59" s="50">
        <x:f t="shared" si="19"/>
        <x:v>289826.31459000002</x:v>
      </x:c>
      <x:c r="N59" s="50">
        <x:f t="shared" si="19"/>
        <x:v>205359.30229999998</x:v>
      </x:c>
      <x:c r="O59" s="50">
        <x:f t="shared" si="19"/>
        <x:v>248476.30465999997</x:v>
      </x:c>
      <x:c r="P59" s="53">
        <x:f>SUM(D59:O59)</x:f>
        <x:v>3523594.3958300003</x:v>
      </x:c>
    </x:row>
    <x:row r="60" spans="1:16" x14ac:dyDescent="0.3">
      <x:c r="A60" s="1">
        <x:f t="shared" si="0"/>
        <x:v>50</x:v>
      </x:c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</x:row>
    <x:row r="61" spans="1:16" x14ac:dyDescent="0.3">
      <x:c r="A61" s="1">
        <x:f t="shared" si="0"/>
        <x:v>51</x:v>
      </x:c>
      <x:c r="B61" s="1" t="s">
        <x:v>34</x:v>
      </x:c>
      <x:c r="C61" s="4">
        <x:f>+C56</x:f>
        <x:v>2021</x:v>
      </x:c>
      <x:c r="D61" s="9">
        <x:f t="shared" ref="D61:P61" si="20">SUM(D26,D31,D36,D41,D46,D51,D56,D21,D16,D11)</x:f>
        <x:v>3891002.8186200005</x:v>
      </x:c>
      <x:c r="E61" s="9">
        <x:f t="shared" si="20"/>
        <x:v>3833377.5445799995</x:v>
      </x:c>
      <x:c r="F61" s="9">
        <x:f t="shared" si="20"/>
        <x:v>4298127.1734199999</x:v>
      </x:c>
      <x:c r="G61" s="9">
        <x:f t="shared" si="20"/>
        <x:v>2462049.7466699998</x:v>
      </x:c>
      <x:c r="H61" s="9">
        <x:f t="shared" si="20"/>
        <x:v>2622387.9681499992</x:v>
      </x:c>
      <x:c r="I61" s="9">
        <x:f t="shared" si="20"/>
        <x:v>3299016.9585499996</x:v>
      </x:c>
      <x:c r="J61" s="9">
        <x:f t="shared" si="20"/>
        <x:v>4867025.8260999992</x:v>
      </x:c>
      <x:c r="K61" s="9">
        <x:f t="shared" si="20"/>
        <x:v>5020142.4659700003</x:v>
      </x:c>
      <x:c r="L61" s="9">
        <x:f t="shared" si="20"/>
        <x:v>5032539.7207699995</x:v>
      </x:c>
      <x:c r="M61" s="9">
        <x:f t="shared" si="20"/>
        <x:v>3875063.7409299994</x:v>
      </x:c>
      <x:c r="N61" s="9">
        <x:f t="shared" si="20"/>
        <x:v>2797140.9594899993</x:v>
      </x:c>
      <x:c r="O61" s="9">
        <x:f t="shared" si="20"/>
        <x:v>2766051.0553100002</x:v>
      </x:c>
      <x:c r="P61" s="52">
        <x:f t="shared" si="20"/>
        <x:v>44763925.978559993</x:v>
      </x:c>
    </x:row>
    <x:row r="62" spans="1:16" x14ac:dyDescent="0.3">
      <x:c r="A62" s="1">
        <x:f t="shared" si="0"/>
        <x:v>52</x:v>
      </x:c>
      <x:c r="B62" s="1" t="s">
        <x:v>34</x:v>
      </x:c>
      <x:c r="C62" s="4">
        <x:f t="shared" ref="C62:C63" si="21">+C57</x:f>
        <x:v>2022</x:v>
      </x:c>
      <x:c r="D62" s="9">
        <x:f t="shared" ref="D62:P62" si="22">SUM(D27,D32,D37,D42,D47,D52,D57,D22,D17,D12)</x:f>
        <x:v>3326108.3125999998</x:v>
      </x:c>
      <x:c r="E62" s="9">
        <x:f t="shared" si="22"/>
        <x:v>4172487.8088400001</x:v>
      </x:c>
      <x:c r="F62" s="9">
        <x:f t="shared" si="22"/>
        <x:v>3930259.5718900003</x:v>
      </x:c>
      <x:c r="G62" s="9">
        <x:f t="shared" si="22"/>
        <x:v>2890962.5004799999</x:v>
      </x:c>
      <x:c r="H62" s="9">
        <x:f t="shared" si="22"/>
        <x:v>3109842.0153100002</x:v>
      </x:c>
      <x:c r="I62" s="9">
        <x:f t="shared" si="22"/>
        <x:v>4324780.7113700006</x:v>
      </x:c>
      <x:c r="J62" s="9">
        <x:f t="shared" si="22"/>
        <x:v>5820904.4177299999</x:v>
      </x:c>
      <x:c r="K62" s="9">
        <x:f t="shared" si="22"/>
        <x:v>6336902.04146</x:v>
      </x:c>
      <x:c r="L62" s="9">
        <x:f t="shared" si="22"/>
        <x:v>4922725.3754599998</x:v>
      </x:c>
      <x:c r="M62" s="9">
        <x:f t="shared" si="22"/>
        <x:v>3842905.139500001</x:v>
      </x:c>
      <x:c r="N62" s="9">
        <x:f t="shared" si="22"/>
        <x:v>2675488.7440499999</x:v>
      </x:c>
      <x:c r="O62" s="9">
        <x:f t="shared" si="22"/>
        <x:v>3269209.0667899991</x:v>
      </x:c>
      <x:c r="P62" s="52">
        <x:f t="shared" si="22"/>
        <x:v>48622575.705480002</x:v>
      </x:c>
    </x:row>
    <x:row r="63" spans="1:16" ht="13.5" thickBot="1" x14ac:dyDescent="0.35">
      <x:c r="A63" s="1">
        <x:f t="shared" si="0"/>
        <x:v>53</x:v>
      </x:c>
      <x:c r="B63" s="1" t="s">
        <x:v>34</x:v>
      </x:c>
      <x:c r="C63" s="4">
        <x:f t="shared" si="21"/>
        <x:v>2023</x:v>
      </x:c>
      <x:c r="D63" s="9">
        <x:f t="shared" ref="D63:P63" si="23">SUM(D28,D33,D38,D43,D48,D53,D58,D23,D18,D13)</x:f>
        <x:v>3932646.45897</x:v>
      </x:c>
      <x:c r="E63" s="9">
        <x:f t="shared" si="23"/>
        <x:v>3823060.5013800003</x:v>
      </x:c>
      <x:c r="F63" s="9">
        <x:f t="shared" si="23"/>
        <x:v>3231825.4564</x:v>
      </x:c>
      <x:c r="G63" s="9">
        <x:f t="shared" si="23"/>
        <x:v>2664235.301239999</x:v>
      </x:c>
      <x:c r="H63" s="9">
        <x:f t="shared" si="23"/>
        <x:v>2687129.0641900003</x:v>
      </x:c>
      <x:c r="I63" s="9">
        <x:f t="shared" si="23"/>
        <x:v>3722354.5994299995</x:v>
      </x:c>
      <x:c r="J63" s="9">
        <x:f t="shared" si="23"/>
        <x:v>5387867.4151899992</x:v>
      </x:c>
      <x:c r="K63" s="9">
        <x:f t="shared" si="23"/>
        <x:v>6145406.6716500008</x:v>
      </x:c>
      <x:c r="L63" s="9">
        <x:f t="shared" si="23"/>
        <x:v>6096703.18836</x:v>
      </x:c>
      <x:c r="M63" s="9">
        <x:f t="shared" si="23"/>
        <x:v>4383419.3518899996</x:v>
      </x:c>
      <x:c r="N63" s="9">
        <x:f t="shared" si="23"/>
        <x:v>2859162.69429</x:v>
      </x:c>
      <x:c r="O63" s="9">
        <x:f t="shared" si="23"/>
        <x:v>2978844.0405000001</x:v>
      </x:c>
      <x:c r="P63" s="52">
        <x:f t="shared" si="23"/>
        <x:v>47912654.743489996</x:v>
      </x:c>
    </x:row>
    <x:row r="64" spans="1:16" ht="13.5" thickBot="1" x14ac:dyDescent="0.35">
      <x:c r="A64" s="1">
        <x:f t="shared" si="0"/>
        <x:v>54</x:v>
      </x:c>
      <x:c r="B64" s="1" t="s">
        <x:v>34</x:v>
      </x:c>
      <x:c r="C64" s="54" t="s">
        <x:v>1</x:v>
      </x:c>
      <x:c r="D64" s="55">
        <x:f t="shared" ref="D64:P64" si="24">SUM(D61:D63)</x:f>
        <x:v>11149757.590190001</x:v>
      </x:c>
      <x:c r="E64" s="55">
        <x:f t="shared" si="24"/>
        <x:v>11828925.854800001</x:v>
      </x:c>
      <x:c r="F64" s="55">
        <x:f t="shared" si="24"/>
        <x:v>11460212.201710001</x:v>
      </x:c>
      <x:c r="G64" s="55">
        <x:f t="shared" si="24"/>
        <x:v>8017247.5483899992</x:v>
      </x:c>
      <x:c r="H64" s="50">
        <x:f t="shared" si="24"/>
        <x:v>8419359.0476500001</x:v>
      </x:c>
      <x:c r="I64" s="55">
        <x:f t="shared" si="24"/>
        <x:v>11346152.26935</x:v>
      </x:c>
      <x:c r="J64" s="55">
        <x:f t="shared" si="24"/>
        <x:v>16075797.659019999</x:v>
      </x:c>
      <x:c r="K64" s="55">
        <x:f t="shared" si="24"/>
        <x:v>17502451.179080002</x:v>
      </x:c>
      <x:c r="L64" s="55">
        <x:f t="shared" si="24"/>
        <x:v>16051968.28459</x:v>
      </x:c>
      <x:c r="M64" s="55">
        <x:f t="shared" si="24"/>
        <x:v>12101388.232319999</x:v>
      </x:c>
      <x:c r="N64" s="55">
        <x:f t="shared" si="24"/>
        <x:v>8331792.3978299992</x:v>
      </x:c>
      <x:c r="O64" s="55">
        <x:f t="shared" si="24"/>
        <x:v>9014104.1625999995</x:v>
      </x:c>
      <x:c r="P64" s="56">
        <x:f t="shared" si="24"/>
        <x:v>141299156.42752999</x:v>
      </x:c>
    </x:row>
  </x:sheetData>
  <x:mergeCells count="7">
    <x:mergeCell ref="B8:P8"/>
    <x:mergeCell ref="B5:F5"/>
    <x:mergeCell ref="B6:P6"/>
    <x:mergeCell ref="B1:P1"/>
    <x:mergeCell ref="B2:P2"/>
    <x:mergeCell ref="B3:P3"/>
    <x:mergeCell ref="B4:P4"/>
  </x:mergeCells>
  <x:phoneticPr fontId="2" type="noConversion"/>
  <x:printOptions horizontalCentered="1"/>
  <x:pageMargins left="0.25" right="0.25" top="0.25" bottom="0.5" header="0.24" footer="0.2"/>
  <x:pageSetup scale="64" orientation="landscape" r:id="rId1"/>
  <x:headerFooter alignWithMargins="0">
    <x:oddHeader>&amp;RWP/II-H-5.2/1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2025-04-04T20:32:07.0000000Z</dcterms:modified>
</coreProperties>
</file>