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10910" yWindow="4880" windowWidth="10890" windowHeight="4770" activeTab="1"/>
  </bookViews>
  <sheets>
    <sheet name="Sch II-H-1.3.1_Narrative" sheetId="49" r:id="rId2"/>
    <sheet name="RESIDENTIAL" sheetId="1" r:id="rId3"/>
    <sheet name="SEC &lt; 10kW" sheetId="37" r:id="rId4"/>
    <sheet name="SEC &gt; 10kW " sheetId="38" r:id="rId5"/>
    <sheet name="PRIMARY  &lt; 10kW" sheetId="39" r:id="rId6"/>
    <sheet name="PRIMARY  &gt; 10kW DLS" sheetId="40" r:id="rId7"/>
    <sheet name="PRIMARY  SUBSTATIONS" sheetId="41" r:id="rId8"/>
    <sheet name="TRANSMISSION" sheetId="42" r:id="rId9"/>
    <sheet name="STREET LIGHTING" sheetId="43" r:id="rId10"/>
    <sheet name="WHOLESALE SUB" sheetId="44" r:id="rId11"/>
    <sheet name="WHOLESALE DLS" sheetId="45" r:id="rId12"/>
  </sheets>
  <externalReferences>
    <externalReference r:id="rId15"/>
    <externalReference r:id="rId16"/>
  </externalReferences>
  <definedNames>
    <definedName name="_xlnm.Print_Area" localSheetId="0">'Sch II-H-1.3.1_Narrative'!$A$1:$R$73</definedName>
  </definedNames>
  <calcPr calcId="152511"/>
</workbook>
</file>

<file path=xl/calcChain.xml><?xml version="1.0" encoding="utf-8"?>
<calcChain xmlns="http://schemas.openxmlformats.org/spreadsheetml/2006/main">
  <c r="V35" i="1" l="1"/>
</calcChain>
</file>

<file path=xl/sharedStrings.xml><?xml version="1.0" encoding="utf-8"?>
<sst xmlns="http://schemas.openxmlformats.org/spreadsheetml/2006/main" count="715" uniqueCount="124">
  <si>
    <t>Rate Class     =  Residential Service</t>
  </si>
  <si>
    <t>Voltage Level = Secondary</t>
  </si>
  <si>
    <t>Line</t>
  </si>
  <si>
    <t xml:space="preserve">  ERCOT</t>
  </si>
  <si>
    <t xml:space="preserve"> SYSTEM</t>
  </si>
  <si>
    <t xml:space="preserve"> </t>
  </si>
  <si>
    <t xml:space="preserve">   CLASS</t>
  </si>
  <si>
    <t xml:space="preserve">         KWH</t>
  </si>
  <si>
    <t xml:space="preserve">        KWH</t>
  </si>
  <si>
    <t>No.</t>
  </si>
  <si>
    <t xml:space="preserve"> Month</t>
  </si>
  <si>
    <t>PEAK KW*</t>
  </si>
  <si>
    <t>PEAK KW#</t>
  </si>
  <si>
    <t xml:space="preserve">       SALES*</t>
  </si>
  <si>
    <t xml:space="preserve">      SALES#</t>
  </si>
  <si>
    <t xml:space="preserve"> COIN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</si>
  <si>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</si>
  <si>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</si>
  <si>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</si>
  <si>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</si>
  <si>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</si>
  <si>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</si>
  <si>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</si>
  <si>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</si>
  <si>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</si>
  <si>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</si>
  <si>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</si>
  <si>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</si>
  <si>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   AT METER</t>
  </si>
  <si>
    <t>+    BASED ON CLASS KW</t>
  </si>
  <si>
    <t>Rate Class     =  Secondary Service Less Than or Equal to 10 kW</t>
  </si>
  <si>
    <t>Rate Class     =  Secondary Service Greater Than 10 kW</t>
  </si>
  <si>
    <t>Rate Class     =  Primary Service Less Than or Equal to 10 kW</t>
  </si>
  <si>
    <t>Voltage Level = Primary</t>
  </si>
  <si>
    <t>Rate Class     =  Transmission Service</t>
  </si>
  <si>
    <t>Voltage Level = Transmission</t>
  </si>
  <si>
    <t xml:space="preserve">Rate Class     =  Lighting Service </t>
  </si>
  <si>
    <t>Voltage Level = Secondary and Primary</t>
  </si>
  <si>
    <t xml:space="preserve">       ( c )</t>
  </si>
  <si>
    <t xml:space="preserve">      ( e )</t>
  </si>
  <si>
    <t xml:space="preserve">      ( f )</t>
  </si>
  <si>
    <t>Voltage Level  =  Primary</t>
  </si>
  <si>
    <t>ONCOR ELECTRIC DELIVERY COMPANY LLC</t>
  </si>
  <si>
    <t xml:space="preserve">Rate Class     =  Primary Service Greater Than 10kW - Substation </t>
  </si>
  <si>
    <t xml:space="preserve">Rate Class     =  Primary Service Greater Than 10 kW - Distribution Line </t>
  </si>
  <si>
    <t>SPONSOR:  D. E. NELSON</t>
  </si>
  <si>
    <t xml:space="preserve">Rate Class      =  Wholesale Service - Distribution Line </t>
  </si>
  <si>
    <t>Rate Class      =  Wholesale Service - Substation</t>
  </si>
  <si>
    <t xml:space="preserve">           ( a )</t>
  </si>
  <si>
    <t xml:space="preserve">           ( b )</t>
  </si>
  <si>
    <t xml:space="preserve">       SUM OF</t>
  </si>
  <si>
    <t>MAX DEMANDS*</t>
  </si>
  <si>
    <t xml:space="preserve">    CUSTOMER</t>
  </si>
  <si>
    <t>MAX DEMANDS#</t>
  </si>
  <si>
    <t xml:space="preserve">       ( d )</t>
  </si>
  <si>
    <t xml:space="preserve">      ( g )</t>
  </si>
  <si>
    <t xml:space="preserve">      ( h )</t>
  </si>
  <si>
    <t xml:space="preserve">           ( i )</t>
  </si>
  <si>
    <t xml:space="preserve">          ( j )</t>
  </si>
  <si>
    <t>*     AT SOURCE(BUSBAR)</t>
  </si>
  <si>
    <t xml:space="preserve">  CLASS</t>
  </si>
  <si>
    <t xml:space="preserve">   ( k )</t>
  </si>
  <si>
    <t xml:space="preserve">   ( l )</t>
  </si>
  <si>
    <t xml:space="preserve"> LOAD+</t>
  </si>
  <si>
    <t xml:space="preserve">     FACTOR</t>
  </si>
  <si>
    <t xml:space="preserve">         SCHEDULE  II-H-1.3.1</t>
  </si>
  <si>
    <r>
      <t xml:space="preserve">kW Demand Adjustment </t>
    </r>
    <r>
      <rPr>
        <b/>
        <i/>
        <u val="single"/>
        <sz val="14"/>
        <rFont val="Arial"/>
        <family val="2"/>
      </rPr>
      <t xml:space="preserve">At Meter </t>
    </r>
    <r>
      <rPr>
        <b/>
        <u val="single"/>
        <sz val="14"/>
        <rFont val="Arial"/>
        <family val="2"/>
      </rPr>
      <t>for Adjusted Test Year Load Data (Schedule II-H-1.4)</t>
    </r>
  </si>
  <si>
    <r>
      <t xml:space="preserve">Adjustments to all rate classes kW </t>
    </r>
    <r>
      <rPr>
        <b/>
        <sz val="14"/>
        <rFont val="Arial"/>
        <family val="2"/>
      </rPr>
      <t>at meter</t>
    </r>
    <r>
      <rPr>
        <sz val="14"/>
        <rFont val="Arial"/>
        <family val="2"/>
      </rPr>
      <t xml:space="preserve"> are made using the following formula:</t>
    </r>
  </si>
  <si>
    <t>EXAMPLE:</t>
  </si>
  <si>
    <t xml:space="preserve">      For Rate Class = Residential</t>
  </si>
  <si>
    <t xml:space="preserve">  X</t>
  </si>
  <si>
    <r>
      <t xml:space="preserve">kW Demand Adjustment </t>
    </r>
    <r>
      <rPr>
        <b/>
        <i/>
        <u val="single"/>
        <sz val="14"/>
        <rFont val="Arial"/>
        <family val="2"/>
      </rPr>
      <t xml:space="preserve">At Source </t>
    </r>
    <r>
      <rPr>
        <b/>
        <u val="single"/>
        <sz val="14"/>
        <rFont val="Arial"/>
        <family val="2"/>
      </rPr>
      <t>for both Unadjusted and Adjusted Test Year Load Data (Schedules II-H-1.3 and II-H-1.4)</t>
    </r>
  </si>
  <si>
    <t xml:space="preserve">              the following formula based on rate class voltage level:</t>
  </si>
  <si>
    <t xml:space="preserve">            Voltage Level  = Secondary</t>
  </si>
  <si>
    <t>Schedule II.H-1.3</t>
  </si>
  <si>
    <t>Schedule II.H-1.4</t>
  </si>
  <si>
    <r>
      <t xml:space="preserve">kWh Sales Adjustment </t>
    </r>
    <r>
      <rPr>
        <b/>
        <i/>
        <u val="single"/>
        <sz val="14"/>
        <rFont val="Arial"/>
        <family val="2"/>
      </rPr>
      <t>At Source</t>
    </r>
    <r>
      <rPr>
        <b/>
        <u val="single"/>
        <sz val="14"/>
        <rFont val="Arial"/>
        <family val="2"/>
      </rPr>
      <t xml:space="preserve"> for both Unadjusted and Adjusted Test Year Load Data (Schedules II-H-1.3 and II-H-1.4)</t>
    </r>
  </si>
  <si>
    <t xml:space="preserve">                   SCHEDULE  II-H-1.3.1</t>
  </si>
  <si>
    <r>
      <t xml:space="preserve">(Rate Class Monthly Unadjusted  kW)  </t>
    </r>
    <r>
      <rPr>
        <b/>
        <sz val="14"/>
        <rFont val="Arial"/>
        <family val="2"/>
      </rPr>
      <t xml:space="preserve">  X </t>
    </r>
    <r>
      <rPr>
        <sz val="14"/>
        <rFont val="Arial"/>
        <family val="2"/>
      </rPr>
      <t xml:space="preserve">        </t>
    </r>
    <r>
      <rPr>
        <u val="single"/>
        <sz val="14"/>
        <rFont val="Arial"/>
        <family val="2"/>
      </rPr>
      <t xml:space="preserve"> Rate Class Monthly Final Adjusted kWh Sales from Schedule II-H-1</t>
    </r>
    <r>
      <rPr>
        <sz val="14"/>
        <rFont val="Arial"/>
        <family val="2"/>
      </rPr>
      <t xml:space="preserve">.2 (h)                 </t>
    </r>
  </si>
  <si>
    <t xml:space="preserve">          Rate Class Monthly Booked kWh Sales from Schedule II-H-1.2(c)</t>
  </si>
  <si>
    <r>
      <t xml:space="preserve">      For Rate Class = </t>
    </r>
    <r>
      <rPr>
        <b/>
        <sz val="14"/>
        <rFont val="Arial"/>
        <family val="2"/>
      </rPr>
      <t>Residential</t>
    </r>
  </si>
  <si>
    <r>
      <t>Each kW Column (b) (d) (f) (h) from Schedule</t>
    </r>
    <r>
      <rPr>
        <b/>
        <sz val="14"/>
        <rFont val="Arial"/>
        <family val="2"/>
      </rPr>
      <t xml:space="preserve"> II-H-1.3</t>
    </r>
    <r>
      <rPr>
        <sz val="14"/>
        <rFont val="Arial"/>
        <family val="2"/>
      </rPr>
      <t xml:space="preserve">     </t>
    </r>
    <r>
      <rPr>
        <b/>
        <sz val="14"/>
        <rFont val="Arial"/>
        <family val="2"/>
      </rPr>
      <t>X</t>
    </r>
    <r>
      <rPr>
        <sz val="14"/>
        <rFont val="Arial"/>
        <family val="2"/>
      </rPr>
      <t xml:space="preserve">      </t>
    </r>
    <r>
      <rPr>
        <u val="single"/>
        <sz val="14"/>
        <rFont val="Arial"/>
        <family val="2"/>
      </rPr>
      <t xml:space="preserve"> Column ( h ) from Schedule II-H-1.2</t>
    </r>
  </si>
  <si>
    <r>
      <t>Adjustments to all rate classes</t>
    </r>
    <r>
      <rPr>
        <b/>
        <sz val="14"/>
        <rFont val="Arial"/>
        <family val="2"/>
      </rPr>
      <t xml:space="preserve"> kW  </t>
    </r>
    <r>
      <rPr>
        <b/>
        <i/>
        <sz val="14"/>
        <rFont val="Arial"/>
        <family val="2"/>
      </rPr>
      <t>at source</t>
    </r>
    <r>
      <rPr>
        <sz val="14"/>
        <rFont val="Arial"/>
        <family val="2"/>
      </rPr>
      <t xml:space="preserve"> for both unadjusted and adjusted kW data  are made</t>
    </r>
  </si>
  <si>
    <t xml:space="preserve">                      using  the following formula based on line losses by rate class voltage level:</t>
  </si>
  <si>
    <r>
      <t xml:space="preserve">Rate Class Monthly unadjusted or adjusted kW </t>
    </r>
    <r>
      <rPr>
        <b/>
        <i/>
        <sz val="14"/>
        <rFont val="Arial"/>
        <family val="2"/>
      </rPr>
      <t xml:space="preserve">at meter </t>
    </r>
    <r>
      <rPr>
        <sz val="14"/>
        <rFont val="Arial"/>
        <family val="2"/>
      </rPr>
      <t xml:space="preserve">  </t>
    </r>
    <r>
      <rPr>
        <b/>
        <sz val="14"/>
        <rFont val="Arial"/>
        <family val="2"/>
      </rPr>
      <t xml:space="preserve">X   </t>
    </r>
    <r>
      <rPr>
        <sz val="14"/>
        <rFont val="Arial"/>
        <family val="2"/>
      </rPr>
      <t>Demand Voltage Line Loss Factor (col d) WP/II-H-1.3/1</t>
    </r>
  </si>
  <si>
    <t>line 38 or 39 or 40</t>
  </si>
  <si>
    <r>
      <t>Each kW</t>
    </r>
    <r>
      <rPr>
        <b/>
        <i/>
        <sz val="14"/>
        <rFont val="Arial"/>
        <family val="2"/>
      </rPr>
      <t xml:space="preserve"> at meter</t>
    </r>
    <r>
      <rPr>
        <sz val="14"/>
        <rFont val="Arial"/>
        <family val="2"/>
      </rPr>
      <t xml:space="preserve"> Column (b) (d)  (f ) (h)   </t>
    </r>
    <r>
      <rPr>
        <b/>
        <sz val="14"/>
        <rFont val="Arial"/>
        <family val="2"/>
      </rPr>
      <t xml:space="preserve"> X</t>
    </r>
    <r>
      <rPr>
        <sz val="14"/>
        <rFont val="Arial"/>
        <family val="2"/>
      </rPr>
      <t xml:space="preserve">   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>Demand Voltage Line Loss Factors WP/II-H-1.3/1 (col d)  line 40</t>
    </r>
  </si>
  <si>
    <r>
      <t xml:space="preserve">Adjustments to all rate classes </t>
    </r>
    <r>
      <rPr>
        <b/>
        <sz val="14"/>
        <rFont val="Arial"/>
        <family val="2"/>
      </rPr>
      <t>kWh</t>
    </r>
    <r>
      <rPr>
        <sz val="14"/>
        <rFont val="Arial"/>
        <family val="2"/>
      </rPr>
      <t xml:space="preserve"> sales </t>
    </r>
    <r>
      <rPr>
        <b/>
        <i/>
        <sz val="14"/>
        <rFont val="Arial"/>
        <family val="2"/>
      </rPr>
      <t>at source</t>
    </r>
    <r>
      <rPr>
        <sz val="14"/>
        <rFont val="Arial"/>
        <family val="2"/>
      </rPr>
      <t xml:space="preserve"> for both unadjusted and adjusted data are made using </t>
    </r>
  </si>
  <si>
    <r>
      <t xml:space="preserve">Rate Class Monthly unadjusted or adjusted kWh Sales </t>
    </r>
    <r>
      <rPr>
        <b/>
        <i/>
        <sz val="14"/>
        <rFont val="Arial"/>
        <family val="2"/>
      </rPr>
      <t xml:space="preserve">at meter </t>
    </r>
    <r>
      <rPr>
        <sz val="14"/>
        <rFont val="Arial"/>
        <family val="2"/>
      </rPr>
      <t xml:space="preserve">  </t>
    </r>
    <r>
      <rPr>
        <b/>
        <sz val="14"/>
        <rFont val="Arial"/>
        <family val="2"/>
      </rPr>
      <t>X   Energy</t>
    </r>
    <r>
      <rPr>
        <sz val="14"/>
        <rFont val="Arial"/>
        <family val="2"/>
      </rPr>
      <t xml:space="preserve"> Voltage Line Loss Factor (col d) WP/II-H-1.3/1</t>
    </r>
  </si>
  <si>
    <r>
      <t>Each kWh sales</t>
    </r>
    <r>
      <rPr>
        <b/>
        <i/>
        <sz val="14"/>
        <rFont val="Arial"/>
        <family val="2"/>
      </rPr>
      <t xml:space="preserve"> at meter</t>
    </r>
    <r>
      <rPr>
        <sz val="14"/>
        <rFont val="Arial"/>
        <family val="2"/>
      </rPr>
      <t xml:space="preserve"> Column (j)  </t>
    </r>
    <r>
      <rPr>
        <b/>
        <sz val="14"/>
        <rFont val="Arial"/>
        <family val="2"/>
      </rPr>
      <t xml:space="preserve"> X</t>
    </r>
    <r>
      <rPr>
        <sz val="14"/>
        <rFont val="Arial"/>
        <family val="2"/>
      </rPr>
      <t xml:space="preserve">    Energy Voltage Line Loss Factors WP/II-H-1.3/1(col d) line 40</t>
    </r>
  </si>
  <si>
    <t>DIFFERENCES OF ADJUSTED TEST YEAR LOAD DATA FROM UNADJUSTED TEST YEAR DATA LOAD DATA</t>
  </si>
  <si>
    <t xml:space="preserve">                   PAGE   2  OF  11</t>
  </si>
  <si>
    <t xml:space="preserve">                   PAGE   3  OF  11</t>
  </si>
  <si>
    <t xml:space="preserve">                   PAGE   4  OF  11</t>
  </si>
  <si>
    <t xml:space="preserve">                   PAGE   5  OF  11</t>
  </si>
  <si>
    <t xml:space="preserve">                   PAGE   6  OF  11</t>
  </si>
  <si>
    <t xml:space="preserve">                   PAGE   7  OF  11</t>
  </si>
  <si>
    <t xml:space="preserve">                   PAGE   8  OF  11</t>
  </si>
  <si>
    <t xml:space="preserve">                   PAGE   9  OF  11</t>
  </si>
  <si>
    <t xml:space="preserve">                   PAGE   10  OF  11</t>
  </si>
  <si>
    <t xml:space="preserve">                   PAGE   11  OF  11</t>
  </si>
  <si>
    <t>ADJUSTMENTS TO TEST YEAR LOAD DATA</t>
  </si>
  <si>
    <t xml:space="preserve">PUC DOCKET </t>
  </si>
  <si>
    <t>PUC DOCKET NO.</t>
  </si>
  <si>
    <t xml:space="preserve">      column (i)</t>
  </si>
  <si>
    <t xml:space="preserve"> column (j)</t>
  </si>
  <si>
    <t>WP II-H-1.3 col (b)</t>
  </si>
  <si>
    <t xml:space="preserve">                 column (i)</t>
  </si>
  <si>
    <t xml:space="preserve">           column (j)</t>
  </si>
  <si>
    <t xml:space="preserve">        WP II-H-1.3 col (b)</t>
  </si>
  <si>
    <t>FOR THE TEST YEAR ENDING DECEMBER 31, 2021</t>
  </si>
  <si>
    <t>ADJUSTMENTS TO TEST YEAR DATA FOR THE TEST YEAR 2021</t>
  </si>
  <si>
    <t xml:space="preserve">   9,327,644</t>
  </si>
  <si>
    <r>
      <t xml:space="preserve"> </t>
    </r>
    <r>
      <rPr>
        <b/>
        <u val="single"/>
        <sz val="14"/>
        <rFont val="Arial"/>
        <family val="2"/>
      </rPr>
      <t xml:space="preserve">4,138,304,208    </t>
    </r>
    <r>
      <rPr>
        <b/>
        <sz val="14"/>
        <rFont val="Arial"/>
        <family val="2"/>
      </rPr>
      <t xml:space="preserve">   =       9,918,823</t>
    </r>
  </si>
  <si>
    <t xml:space="preserve"> 3,891,654,035</t>
  </si>
  <si>
    <t>Unadjusted class kW at source =        9,327,644   X    1.03884525     =     9,689,978 kW</t>
  </si>
  <si>
    <t>Adjusted class kW at source     =        9,918,823   X    1.03884525     =   10,304,122 kW</t>
  </si>
  <si>
    <t>Adjusted class kWh sales at source      =      4,138,304,208   X  1.03717731    =   4,292,155,230  kWh</t>
  </si>
  <si>
    <t>Unadjusted class kWH sales at source =      3,891,654,035   X  1.03717731    =   4,036,335,267  kWh</t>
  </si>
  <si>
    <t xml:space="preserve">         PAGE   1  OF   11</t>
  </si>
  <si>
    <t xml:space="preserve">   Column ( c ) from Schedule II-H-1.2</t>
  </si>
  <si>
    <r>
      <t xml:space="preserve">January 2021 Schedule II-H-1.4 Residential Class Peak column (d)  kW </t>
    </r>
    <r>
      <rPr>
        <i/>
        <sz val="14"/>
        <rFont val="Arial"/>
        <family val="2"/>
      </rPr>
      <t>at Meter</t>
    </r>
    <r>
      <rPr>
        <sz val="14"/>
        <rFont val="Arial"/>
        <family val="2"/>
      </rPr>
      <t xml:space="preserve"> Adjusted kW Calculation:</t>
    </r>
  </si>
  <si>
    <r>
      <t xml:space="preserve">January 2021 Residential Class Peak kW </t>
    </r>
    <r>
      <rPr>
        <b/>
        <i/>
        <sz val="14"/>
        <rFont val="Arial"/>
        <family val="2"/>
      </rPr>
      <t xml:space="preserve">at Source </t>
    </r>
    <r>
      <rPr>
        <b/>
        <sz val="14"/>
        <rFont val="Arial"/>
        <family val="2"/>
      </rPr>
      <t>Unadjusted</t>
    </r>
    <r>
      <rPr>
        <b/>
        <i/>
        <sz val="14"/>
        <rFont val="Arial"/>
        <family val="2"/>
      </rPr>
      <t xml:space="preserve"> and</t>
    </r>
    <r>
      <rPr>
        <b/>
        <sz val="14"/>
        <rFont val="Arial"/>
        <family val="2"/>
      </rPr>
      <t xml:space="preserve"> Adjusted kW Calculation:</t>
    </r>
  </si>
  <si>
    <r>
      <t xml:space="preserve">January 2021 Residential kWh Sales </t>
    </r>
    <r>
      <rPr>
        <b/>
        <i/>
        <sz val="14"/>
        <rFont val="Arial"/>
        <family val="2"/>
      </rPr>
      <t xml:space="preserve">at Source </t>
    </r>
    <r>
      <rPr>
        <b/>
        <sz val="14"/>
        <rFont val="Arial"/>
        <family val="2"/>
      </rPr>
      <t>Unadjusted</t>
    </r>
    <r>
      <rPr>
        <b/>
        <i/>
        <sz val="14"/>
        <rFont val="Arial"/>
        <family val="2"/>
      </rPr>
      <t xml:space="preserve"> and</t>
    </r>
    <r>
      <rPr>
        <b/>
        <sz val="14"/>
        <rFont val="Arial"/>
        <family val="2"/>
      </rPr>
      <t xml:space="preserve"> Adjusted kWh Sales Calculation: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</si>
</sst>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2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 val="single"/>
      <sz val="14"/>
      <name val="Arial"/>
      <family val="2"/>
    </font>
    <font>
      <i/>
      <sz val="14"/>
      <name val="Arial"/>
      <family val="2"/>
    </font>
    <font>
      <b/>
      <u val="single"/>
      <sz val="14"/>
      <name val="Arial"/>
      <family val="2"/>
    </font>
    <font>
      <b/>
      <i/>
      <u val="single"/>
      <sz val="14"/>
      <name val="Arial"/>
      <family val="2"/>
    </font>
    <font>
      <b/>
      <i/>
      <sz val="14"/>
      <name val="Arial"/>
      <family val="2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double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49" fontId="4" fillId="0" borderId="0" xfId="0" applyNumberFormat="1" applyFont="1"/>
    <xf numFmtId="3" fontId="4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0" fontId="6" fillId="0" borderId="0" xfId="0" applyFont="1"/>
    <xf numFmtId="0" fontId="4" fillId="0" borderId="1" xfId="0" applyFont="1" applyBorder="1"/>
    <xf numFmtId="164" fontId="4" fillId="0" borderId="0" xfId="0" applyNumberFormat="1" applyFont="1"/>
    <xf numFmtId="0" fontId="4" fillId="0" borderId="0" xfId="0" applyFont="1" applyAlignment="1">
      <alignment horizontal="center"/>
    </xf>
    <xf numFmtId="3" fontId="4" fillId="0" borderId="0" xfId="0" applyNumberFormat="1" applyFont="1" applyBorder="1"/>
    <xf numFmtId="3" fontId="4" fillId="0" borderId="2" xfId="0" applyNumberFormat="1" applyFont="1" applyBorder="1"/>
    <xf numFmtId="3" fontId="7" fillId="0" borderId="0" xfId="0" applyNumberFormat="1" applyFont="1"/>
    <xf numFmtId="0" fontId="4" fillId="0" borderId="0" xfId="0" applyFont="1" applyProtection="1">
      <protection locked="0"/>
    </xf>
    <xf numFmtId="3" fontId="4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/>
      <protection locked="0"/>
    </xf>
    <xf numFmtId="3" fontId="4" fillId="0" borderId="0" xfId="0" applyNumberFormat="1" applyFont="1" applyAlignment="1" applyProtection="1">
      <alignment horizontal="centerContinuous"/>
      <protection locked="0"/>
    </xf>
    <xf numFmtId="0" fontId="8" fillId="0" borderId="0" xfId="0" applyFont="1"/>
    <xf numFmtId="3" fontId="6" fillId="0" borderId="0" xfId="0" applyNumberFormat="1" applyFont="1"/>
    <xf numFmtId="3" fontId="5" fillId="0" borderId="0" xfId="0" applyNumberFormat="1" applyFont="1"/>
    <xf numFmtId="49" fontId="5" fillId="0" borderId="0" xfId="0" applyNumberFormat="1" applyFont="1"/>
    <xf numFmtId="49" fontId="8" fillId="0" borderId="0" xfId="0" applyNumberFormat="1" applyFont="1"/>
    <xf numFmtId="0" fontId="4" fillId="0" borderId="0" xfId="0" applyFont="1" applyAlignment="1">
      <alignment/>
    </xf>
    <xf numFmtId="3" fontId="4" fillId="0" borderId="0" xfId="0" applyNumberFormat="1" applyFont="1" applyAlignment="1">
      <alignment/>
    </xf>
    <xf numFmtId="3" fontId="5" fillId="0" borderId="0" xfId="0" applyNumberFormat="1" applyFont="1" applyAlignment="1">
      <alignment/>
    </xf>
    <xf numFmtId="0" fontId="5" fillId="0" borderId="0" xfId="0" applyFont="1" applyAlignment="1">
      <alignment/>
    </xf>
    <xf numFmtId="0" fontId="11" fillId="0" borderId="0" xfId="0" applyFont="1" applyProtection="1">
      <protection locked="0"/>
    </xf>
    <xf numFmtId="49" fontId="5" fillId="0" borderId="0" xfId="0" applyNumberFormat="1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9" Type="http://schemas.openxmlformats.org/officeDocument/2006/relationships/worksheet" Target="worksheets/sheet8.xml" /><Relationship Id="rId2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5" Type="http://schemas.openxmlformats.org/officeDocument/2006/relationships/externalLink" Target="externalLinks/externalLink1.xml" /><Relationship Id="rId16" Type="http://schemas.openxmlformats.org/officeDocument/2006/relationships/externalLink" Target="externalLinks/externalLink2.xml" /><Relationship Id="rId17" Type="http://schemas.openxmlformats.org/officeDocument/2006/relationships/calcChain" Target="calcChain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8" Type="http://schemas.openxmlformats.org/officeDocument/2006/relationships/worksheet" Target="worksheets/sheet7.xml" /><Relationship Id="rId13" Type="http://schemas.openxmlformats.org/officeDocument/2006/relationships/styles" Target="style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II-H-1.4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II-H-1.3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"/>
      <sheetName val="WHOLESALE DLS"/>
    </sheetNames>
    <sheetDataSet>
      <sheetData sheetId="0">
        <row r="22">
          <cell r="D22">
            <v>36170188.6993942</v>
          </cell>
          <cell r="F22">
            <v>34817687.080428</v>
          </cell>
          <cell r="H22">
            <v>10304122.0270918</v>
          </cell>
          <cell r="J22">
            <v>9918822.91130641</v>
          </cell>
          <cell r="L22">
            <v>10012083.7560713</v>
          </cell>
          <cell r="N22">
            <v>9637704.74461924</v>
          </cell>
          <cell r="P22">
            <v>10010104.1534549</v>
          </cell>
          <cell r="R22">
            <v>9635799.16472267</v>
          </cell>
          <cell r="T22">
            <v>4292155229.79613</v>
          </cell>
          <cell r="V22">
            <v>4138304207.75287</v>
          </cell>
          <cell r="X22">
            <v>0.971658112136802</v>
          </cell>
          <cell r="Z22">
            <v>0.57005942451255</v>
          </cell>
        </row>
        <row r="23">
          <cell r="D23">
            <v>37788014.9593198</v>
          </cell>
          <cell r="F23">
            <v>36375018.4213488</v>
          </cell>
          <cell r="H23">
            <v>15210692.8814063</v>
          </cell>
          <cell r="J23">
            <v>14641923.7517046</v>
          </cell>
          <cell r="L23">
            <v>15170088.5557923</v>
          </cell>
          <cell r="N23">
            <v>14602837.732135</v>
          </cell>
          <cell r="P23">
            <v>15183296.3047905</v>
          </cell>
          <cell r="R23">
            <v>14615551.6075168</v>
          </cell>
          <cell r="T23">
            <v>3948472458.06819</v>
          </cell>
          <cell r="V23">
            <v>3806940642.31132</v>
          </cell>
          <cell r="X23">
            <v>0.997330540697221</v>
          </cell>
          <cell r="Z23">
            <v>0.449106902291227</v>
          </cell>
        </row>
        <row r="24">
          <cell r="D24">
            <v>23517463.3560884</v>
          </cell>
          <cell r="F24">
            <v>22638081.5113477</v>
          </cell>
          <cell r="H24">
            <v>4975046.45996005</v>
          </cell>
          <cell r="J24">
            <v>4789015.95712109</v>
          </cell>
          <cell r="L24">
            <v>4975046.45996005</v>
          </cell>
          <cell r="N24">
            <v>4789015.95712109</v>
          </cell>
          <cell r="P24">
            <v>3714931.2898117</v>
          </cell>
          <cell r="R24">
            <v>3576019.91653753</v>
          </cell>
          <cell r="T24">
            <v>3412009257.7532</v>
          </cell>
          <cell r="V24">
            <v>3289706805.1573</v>
          </cell>
          <cell r="X24">
            <v>1</v>
          </cell>
          <cell r="Z24">
            <v>0.547473993479445</v>
          </cell>
        </row>
        <row r="25">
          <cell r="D25">
            <v>33195463.9447028</v>
          </cell>
          <cell r="F25">
            <v>31954195.3657447</v>
          </cell>
          <cell r="H25">
            <v>7161654.2581807</v>
          </cell>
          <cell r="J25">
            <v>6893860.54941223</v>
          </cell>
          <cell r="L25">
            <v>7071966.71994198</v>
          </cell>
          <cell r="N25">
            <v>6807526.67188226</v>
          </cell>
          <cell r="P25">
            <v>6591768.16928564</v>
          </cell>
          <cell r="R25">
            <v>6345284.04958963</v>
          </cell>
          <cell r="T25">
            <v>2847990120.29266</v>
          </cell>
          <cell r="V25">
            <v>2745904765.19312</v>
          </cell>
          <cell r="X25">
            <v>0.987476700912185</v>
          </cell>
          <cell r="Z25">
            <v>0.552323507518215</v>
          </cell>
        </row>
        <row r="26">
          <cell r="D26">
            <v>31194376.2640462</v>
          </cell>
          <cell r="F26">
            <v>30027933.7898195</v>
          </cell>
          <cell r="H26">
            <v>9893940.86345773</v>
          </cell>
          <cell r="J26">
            <v>9523979.53571915</v>
          </cell>
          <cell r="L26">
            <v>9576336.05514827</v>
          </cell>
          <cell r="N26">
            <v>9218250.83402887</v>
          </cell>
          <cell r="P26">
            <v>9576336.05514827</v>
          </cell>
          <cell r="R26">
            <v>9218250.83402887</v>
          </cell>
          <cell r="T26">
            <v>2963206394.00092</v>
          </cell>
          <cell r="V26">
            <v>2856991145.98814</v>
          </cell>
          <cell r="X26">
            <v>0.967899059364454</v>
          </cell>
          <cell r="Z26">
            <v>0.459580723456454</v>
          </cell>
        </row>
        <row r="27">
          <cell r="D27">
            <v>34737079.5536949</v>
          </cell>
          <cell r="F27">
            <v>33438165.7790117</v>
          </cell>
          <cell r="H27">
            <v>13703432.7195672</v>
          </cell>
          <cell r="J27">
            <v>13191024.142088</v>
          </cell>
          <cell r="L27">
            <v>12658519.2046314</v>
          </cell>
          <cell r="N27">
            <v>12185182.7821906</v>
          </cell>
          <cell r="P27">
            <v>12258901.6162378</v>
          </cell>
          <cell r="R27">
            <v>11800507.9810675</v>
          </cell>
          <cell r="T27">
            <v>3955586071.02412</v>
          </cell>
          <cell r="V27">
            <v>3813799269.93584</v>
          </cell>
          <cell r="X27">
            <v>0.923748046469865</v>
          </cell>
          <cell r="Z27">
            <v>0.545104470602975</v>
          </cell>
        </row>
        <row r="28">
          <cell r="D28">
            <v>31608436.908133</v>
          </cell>
          <cell r="F28">
            <v>30426511.5815461</v>
          </cell>
          <cell r="H28">
            <v>13094260.923743</v>
          </cell>
          <cell r="J28">
            <v>12604630.9346458</v>
          </cell>
          <cell r="L28">
            <v>11971066.0512987</v>
          </cell>
          <cell r="N28">
            <v>11523435.3698639</v>
          </cell>
          <cell r="P28">
            <v>12839138.4653324</v>
          </cell>
          <cell r="R28">
            <v>12359048.1980459</v>
          </cell>
          <cell r="T28">
            <v>5296062409.2495</v>
          </cell>
          <cell r="V28">
            <v>5106226634.24968</v>
          </cell>
          <cell r="X28">
            <v>0.914222354435618</v>
          </cell>
          <cell r="Z28">
            <v>0.56409166357695</v>
          </cell>
        </row>
        <row r="29">
          <cell r="D29">
            <v>32652296.5783096</v>
          </cell>
          <cell r="F29">
            <v>31431338.5028028</v>
          </cell>
          <cell r="H29">
            <v>13262385.9170043</v>
          </cell>
          <cell r="J29">
            <v>12766469.2776642</v>
          </cell>
          <cell r="L29">
            <v>12621848.0762767</v>
          </cell>
          <cell r="N29">
            <v>12149882.8869495</v>
          </cell>
          <cell r="P29">
            <v>12787170.2865522</v>
          </cell>
          <cell r="R29">
            <v>12309023.2506522</v>
          </cell>
          <cell r="T29">
            <v>5638646159.21512</v>
          </cell>
          <cell r="V29">
            <v>5436530572.03569</v>
          </cell>
          <cell r="X29">
            <v>0.951702669132378</v>
          </cell>
          <cell r="Z29">
            <v>0.593498157881356</v>
          </cell>
        </row>
        <row r="30">
          <cell r="D30">
            <v>29541201.5634364</v>
          </cell>
          <cell r="F30">
            <v>28436575.7824428</v>
          </cell>
          <cell r="H30">
            <v>12256549.3699918</v>
          </cell>
          <cell r="J30">
            <v>11798243.691699</v>
          </cell>
          <cell r="L30">
            <v>11895806.9237146</v>
          </cell>
          <cell r="N30">
            <v>11450990.3855166</v>
          </cell>
          <cell r="P30">
            <v>12082289.5806229</v>
          </cell>
          <cell r="R30">
            <v>11630499.949266</v>
          </cell>
          <cell r="T30">
            <v>5233699751.37726</v>
          </cell>
          <cell r="V30">
            <v>5046099347.21966</v>
          </cell>
          <cell r="X30">
            <v>0.970567372970373</v>
          </cell>
          <cell r="Z30">
            <v>0.505621969567377</v>
          </cell>
        </row>
        <row r="31">
          <cell r="D31">
            <v>28362802.8047574</v>
          </cell>
          <cell r="F31">
            <v>27302240.5547049</v>
          </cell>
          <cell r="H31">
            <v>9028955.66418167</v>
          </cell>
          <cell r="J31">
            <v>8691338.48294798</v>
          </cell>
          <cell r="L31">
            <v>8514652.76948815</v>
          </cell>
          <cell r="N31">
            <v>8196266.77069293</v>
          </cell>
          <cell r="P31">
            <v>8514652.76948815</v>
          </cell>
          <cell r="R31">
            <v>8196266.77069293</v>
          </cell>
          <cell r="T31">
            <v>3954715787.18494</v>
          </cell>
          <cell r="V31">
            <v>3812960181.1609</v>
          </cell>
          <cell r="X31">
            <v>0.943038495943248</v>
          </cell>
          <cell r="Z31">
            <v>0.472227024861562</v>
          </cell>
        </row>
        <row r="32">
          <cell r="D32">
            <v>31158323.7576263</v>
          </cell>
          <cell r="F32">
            <v>29993229.3845585</v>
          </cell>
          <cell r="H32">
            <v>5987311.11664547</v>
          </cell>
          <cell r="J32">
            <v>5763429.28827521</v>
          </cell>
          <cell r="L32">
            <v>5986246.16965325</v>
          </cell>
          <cell r="N32">
            <v>5762404.16254417</v>
          </cell>
          <cell r="P32">
            <v>4157645.91265534</v>
          </cell>
          <cell r="R32">
            <v>4002180.23691091</v>
          </cell>
          <cell r="T32">
            <v>2893056203.57405</v>
          </cell>
          <cell r="V32">
            <v>2789355468.1816</v>
          </cell>
          <cell r="X32">
            <v>0.999822132678347</v>
          </cell>
          <cell r="Z32">
            <v>0.627735119973065</v>
          </cell>
        </row>
        <row r="33">
          <cell r="D33">
            <v>37978000.7461701</v>
          </cell>
          <cell r="F33">
            <v>36557900.1234947</v>
          </cell>
          <cell r="H33">
            <v>8553740.40324883</v>
          </cell>
          <cell r="J33">
            <v>8233892.81163798</v>
          </cell>
          <cell r="L33">
            <v>8061743.35051669</v>
          </cell>
          <cell r="N33">
            <v>7760292.86531513</v>
          </cell>
          <cell r="P33">
            <v>5851395.79329055</v>
          </cell>
          <cell r="R33">
            <v>5632596.20810148</v>
          </cell>
          <cell r="T33">
            <v>3334024856.15399</v>
          </cell>
          <cell r="V33">
            <v>3214517731.13763</v>
          </cell>
          <cell r="X33">
            <v>0.94248164784785</v>
          </cell>
          <cell r="Z33">
            <v>0.556000843772812</v>
          </cell>
        </row>
      </sheetData>
      <sheetData sheetId="1">
        <row r="22">
          <cell r="D22">
            <v>881775.701087785</v>
          </cell>
          <cell r="F22">
            <v>848803.712105424</v>
          </cell>
          <cell r="H22">
            <v>302376.575609868</v>
          </cell>
          <cell r="J22">
            <v>291069.893981838</v>
          </cell>
          <cell r="L22">
            <v>284621.28672937</v>
          </cell>
          <cell r="N22">
            <v>273978.523588347</v>
          </cell>
          <cell r="P22">
            <v>297857.914284952</v>
          </cell>
          <cell r="R22">
            <v>286720.197679701</v>
          </cell>
          <cell r="T22">
            <v>171454870.361409</v>
          </cell>
          <cell r="V22">
            <v>165309121.750949</v>
          </cell>
          <cell r="X22">
            <v>0.941280871890664</v>
          </cell>
          <cell r="Z22">
            <v>0.777422246878373</v>
          </cell>
        </row>
        <row r="23">
          <cell r="D23">
            <v>962802.103565365</v>
          </cell>
          <cell r="F23">
            <v>926800.317270064</v>
          </cell>
          <cell r="H23">
            <v>371448.400894492</v>
          </cell>
          <cell r="J23">
            <v>357558.936071749</v>
          </cell>
          <cell r="L23">
            <v>364920.577200734</v>
          </cell>
          <cell r="N23">
            <v>351275.205440029</v>
          </cell>
          <cell r="P23">
            <v>367084.567716656</v>
          </cell>
          <cell r="R23">
            <v>353358.278471651</v>
          </cell>
          <cell r="T23">
            <v>163600196.503973</v>
          </cell>
          <cell r="V23">
            <v>157735996.331556</v>
          </cell>
          <cell r="X23">
            <v>0.982426028277311</v>
          </cell>
          <cell r="Z23">
            <v>0.665079473440287</v>
          </cell>
        </row>
        <row r="24">
          <cell r="D24">
            <v>747679.488607089</v>
          </cell>
          <cell r="F24">
            <v>719721.721308355</v>
          </cell>
          <cell r="H24">
            <v>230458.389927116</v>
          </cell>
          <cell r="J24">
            <v>221840.924641788</v>
          </cell>
          <cell r="L24">
            <v>202540.115586469</v>
          </cell>
          <cell r="N24">
            <v>194966.590424271</v>
          </cell>
          <cell r="P24">
            <v>159486.317304979</v>
          </cell>
          <cell r="R24">
            <v>153522.690624713</v>
          </cell>
          <cell r="T24">
            <v>157599766.516679</v>
          </cell>
          <cell r="V24">
            <v>151950649.964685</v>
          </cell>
          <cell r="X24">
            <v>0.878857635213558</v>
          </cell>
          <cell r="Z24">
            <v>0.776485688680559</v>
          </cell>
        </row>
        <row r="25">
          <cell r="D25">
            <v>803690.09978222</v>
          </cell>
          <cell r="F25">
            <v>773637.943567707</v>
          </cell>
          <cell r="H25">
            <v>238419.301903911</v>
          </cell>
          <cell r="J25">
            <v>229504.156492374</v>
          </cell>
          <cell r="L25">
            <v>211605.105368235</v>
          </cell>
          <cell r="N25">
            <v>203692.615611253</v>
          </cell>
          <cell r="P25">
            <v>229592.158039115</v>
          </cell>
          <cell r="R25">
            <v>221007.08351737</v>
          </cell>
          <cell r="T25">
            <v>143969789.15798</v>
          </cell>
          <cell r="V25">
            <v>138809235.07281</v>
          </cell>
          <cell r="X25">
            <v>0.887533449173158</v>
          </cell>
          <cell r="Z25">
            <v>0.822123956956132</v>
          </cell>
        </row>
        <row r="26">
          <cell r="D26">
            <v>775275.573132832</v>
          </cell>
          <cell r="F26">
            <v>746285.913263441</v>
          </cell>
          <cell r="H26">
            <v>289000.925167375</v>
          </cell>
          <cell r="J26">
            <v>278194.395446999</v>
          </cell>
          <cell r="L26">
            <v>278901.997976762</v>
          </cell>
          <cell r="N26">
            <v>268473.094579783</v>
          </cell>
          <cell r="P26">
            <v>278901.997976762</v>
          </cell>
          <cell r="R26">
            <v>268473.094579783</v>
          </cell>
          <cell r="T26">
            <v>144806412.356381</v>
          </cell>
          <cell r="V26">
            <v>139615869.762584</v>
          </cell>
          <cell r="X26">
            <v>0.965055727123489</v>
          </cell>
          <cell r="Z26">
            <v>0.694008553198852</v>
          </cell>
        </row>
        <row r="27">
          <cell r="D27">
            <v>844331.372474436</v>
          </cell>
          <cell r="F27">
            <v>812759.528663879</v>
          </cell>
          <cell r="H27">
            <v>355367.541869655</v>
          </cell>
          <cell r="J27">
            <v>342079.384052695</v>
          </cell>
          <cell r="L27">
            <v>346762.856147366</v>
          </cell>
          <cell r="N27">
            <v>333796.450905899</v>
          </cell>
          <cell r="P27">
            <v>334782.151209548</v>
          </cell>
          <cell r="R27">
            <v>322263.737073669</v>
          </cell>
          <cell r="T27">
            <v>158658568.432497</v>
          </cell>
          <cell r="V27">
            <v>152971499.442119</v>
          </cell>
          <cell r="X27">
            <v>0.975786517595225</v>
          </cell>
          <cell r="Z27">
            <v>0.7031551</v>
          </cell>
        </row>
        <row r="28">
          <cell r="D28">
            <v>818681.649201602</v>
          </cell>
          <cell r="F28">
            <v>788068.918226779</v>
          </cell>
          <cell r="H28">
            <v>360484.342640014</v>
          </cell>
          <cell r="J28">
            <v>347004.853741446</v>
          </cell>
          <cell r="L28">
            <v>360171.005902741</v>
          </cell>
          <cell r="N28">
            <v>346703.233516021</v>
          </cell>
          <cell r="P28">
            <v>342367.031730449</v>
          </cell>
          <cell r="R28">
            <v>329564.99830606</v>
          </cell>
          <cell r="T28">
            <v>185676312.729353</v>
          </cell>
          <cell r="V28">
            <v>179020800.765498</v>
          </cell>
          <cell r="X28">
            <v>0.999130789606621</v>
          </cell>
          <cell r="Z28">
            <v>0.702596113262855</v>
          </cell>
        </row>
        <row r="29">
          <cell r="D29">
            <v>836582.271253485</v>
          </cell>
          <cell r="F29">
            <v>805300.18738955</v>
          </cell>
          <cell r="H29">
            <v>359856.657856942</v>
          </cell>
          <cell r="J29">
            <v>346400.639797643</v>
          </cell>
          <cell r="L29">
            <v>353794.856899407</v>
          </cell>
          <cell r="N29">
            <v>340565.506045996</v>
          </cell>
          <cell r="P29">
            <v>344100.628548561</v>
          </cell>
          <cell r="R29">
            <v>331233.771229483</v>
          </cell>
          <cell r="T29">
            <v>189449236.235292</v>
          </cell>
          <cell r="V29">
            <v>182658484.955428</v>
          </cell>
          <cell r="X29">
            <v>0.983154956771858</v>
          </cell>
          <cell r="Z29">
            <v>0.733890368867248</v>
          </cell>
        </row>
        <row r="30">
          <cell r="D30">
            <v>793452.351689856</v>
          </cell>
          <cell r="F30">
            <v>763783.012689391</v>
          </cell>
          <cell r="H30">
            <v>352972.737967015</v>
          </cell>
          <cell r="J30">
            <v>339774.128373935</v>
          </cell>
          <cell r="L30">
            <v>346859.429190681</v>
          </cell>
          <cell r="N30">
            <v>333889.412820764</v>
          </cell>
          <cell r="P30">
            <v>339042.271349253</v>
          </cell>
          <cell r="R30">
            <v>326364.559747888</v>
          </cell>
          <cell r="T30">
            <v>182227459.522068</v>
          </cell>
          <cell r="V30">
            <v>175695570.671173</v>
          </cell>
          <cell r="X30">
            <v>0.982680507249527</v>
          </cell>
          <cell r="Z30">
            <v>0.674947024578222</v>
          </cell>
        </row>
        <row r="31">
          <cell r="D31">
            <v>758812.038998569</v>
          </cell>
          <cell r="F31">
            <v>730437.995396915</v>
          </cell>
          <cell r="H31">
            <v>282551.734612858</v>
          </cell>
          <cell r="J31">
            <v>271986.357647821</v>
          </cell>
          <cell r="L31">
            <v>277994.615442602</v>
          </cell>
          <cell r="N31">
            <v>267599.641543659</v>
          </cell>
          <cell r="P31">
            <v>277994.615442602</v>
          </cell>
          <cell r="R31">
            <v>267599.641543659</v>
          </cell>
          <cell r="T31">
            <v>161350387.493473</v>
          </cell>
          <cell r="V31">
            <v>155566831.052965</v>
          </cell>
          <cell r="X31">
            <v>0.983871558330722</v>
          </cell>
          <cell r="Z31">
            <v>0.714644651819979</v>
          </cell>
        </row>
        <row r="32">
          <cell r="D32">
            <v>789348.614563423</v>
          </cell>
          <cell r="F32">
            <v>759832.725442731</v>
          </cell>
          <cell r="H32">
            <v>231923.158250351</v>
          </cell>
          <cell r="J32">
            <v>223250.921298084</v>
          </cell>
          <cell r="L32">
            <v>200024.64705765</v>
          </cell>
          <cell r="N32">
            <v>192545.182097514</v>
          </cell>
          <cell r="P32">
            <v>214911.428649513</v>
          </cell>
          <cell r="R32">
            <v>206875.306482761</v>
          </cell>
          <cell r="T32">
            <v>140652170.985208</v>
          </cell>
          <cell r="V32">
            <v>135610535.93239</v>
          </cell>
          <cell r="X32">
            <v>0.862460862324635</v>
          </cell>
          <cell r="Z32">
            <v>0.821482852849804</v>
          </cell>
        </row>
        <row r="33">
          <cell r="D33">
            <v>853525.02144218</v>
          </cell>
          <cell r="F33">
            <v>821609.402120346</v>
          </cell>
          <cell r="H33">
            <v>257011.059905103</v>
          </cell>
          <cell r="J33">
            <v>247400.718153701</v>
          </cell>
          <cell r="L33">
            <v>229779.056527826</v>
          </cell>
          <cell r="N33">
            <v>221186.993363841</v>
          </cell>
          <cell r="P33">
            <v>245802.602355875</v>
          </cell>
          <cell r="R33">
            <v>236611.375282238</v>
          </cell>
          <cell r="T33">
            <v>149922171.554961</v>
          </cell>
          <cell r="V33">
            <v>144548256.10089</v>
          </cell>
          <cell r="X33">
            <v>0.894043457167435</v>
          </cell>
          <cell r="Z33">
            <v>0.794985041510622</v>
          </cell>
        </row>
      </sheetData>
      <sheetData sheetId="2">
        <row r="22">
          <cell r="D22">
            <v>11045481.5616893</v>
          </cell>
          <cell r="F22">
            <v>10632460.998855</v>
          </cell>
          <cell r="H22">
            <v>6701402.14236038</v>
          </cell>
          <cell r="J22">
            <v>6450818.51056865</v>
          </cell>
          <cell r="L22">
            <v>6621083.6094597</v>
          </cell>
          <cell r="N22">
            <v>6373503.30581436</v>
          </cell>
          <cell r="P22">
            <v>6573669.28312544</v>
          </cell>
          <cell r="R22">
            <v>6327861.92995217</v>
          </cell>
          <cell r="T22">
            <v>3598168584.2369</v>
          </cell>
          <cell r="V22">
            <v>3469193306.19342</v>
          </cell>
          <cell r="X22">
            <v>0.988014667498765</v>
          </cell>
          <cell r="Z22">
            <v>0.739711796337806</v>
          </cell>
        </row>
        <row r="23">
          <cell r="D23">
            <v>12446842.1052802</v>
          </cell>
          <cell r="F23">
            <v>11981420.864647</v>
          </cell>
          <cell r="H23">
            <v>7317948.50401264</v>
          </cell>
          <cell r="J23">
            <v>7044310.52878818</v>
          </cell>
          <cell r="L23">
            <v>6172618.62861144</v>
          </cell>
          <cell r="N23">
            <v>5941807.64894415</v>
          </cell>
          <cell r="P23">
            <v>6181427.23638142</v>
          </cell>
          <cell r="R23">
            <v>5950286.87893927</v>
          </cell>
          <cell r="T23">
            <v>3493771853.33121</v>
          </cell>
          <cell r="V23">
            <v>3368538644.92125</v>
          </cell>
          <cell r="X23">
            <v>0.84349030677475</v>
          </cell>
          <cell r="Z23">
            <v>0.699838343799901</v>
          </cell>
        </row>
        <row r="24">
          <cell r="D24">
            <v>10280803.9141222</v>
          </cell>
          <cell r="F24">
            <v>9896376.72592905</v>
          </cell>
          <cell r="H24">
            <v>5868274.06417098</v>
          </cell>
          <cell r="J24">
            <v>5648843.35458052</v>
          </cell>
          <cell r="L24">
            <v>5290102.39112521</v>
          </cell>
          <cell r="N24">
            <v>5092291.09110802</v>
          </cell>
          <cell r="P24">
            <v>4689476.07664003</v>
          </cell>
          <cell r="R24">
            <v>4514123.82624202</v>
          </cell>
          <cell r="T24">
            <v>3550730777.38453</v>
          </cell>
          <cell r="V24">
            <v>3423455893.35686</v>
          </cell>
          <cell r="X24">
            <v>0.901475004963414</v>
          </cell>
          <cell r="Z24">
            <v>0.763568952334674</v>
          </cell>
        </row>
        <row r="25">
          <cell r="D25">
            <v>11134769.5503992</v>
          </cell>
          <cell r="F25">
            <v>10718410.2670985</v>
          </cell>
          <cell r="H25">
            <v>7041668.66935636</v>
          </cell>
          <cell r="J25">
            <v>6778361.5477187</v>
          </cell>
          <cell r="L25">
            <v>6140945.01734593</v>
          </cell>
          <cell r="N25">
            <v>5911318.4000515</v>
          </cell>
          <cell r="P25">
            <v>6545420.16577037</v>
          </cell>
          <cell r="R25">
            <v>6300669.12383933</v>
          </cell>
          <cell r="T25">
            <v>3371383295.64679</v>
          </cell>
          <cell r="V25">
            <v>3250537068.52666</v>
          </cell>
          <cell r="X25">
            <v>0.872086618342303</v>
          </cell>
          <cell r="Z25">
            <v>0.693619761942357</v>
          </cell>
        </row>
        <row r="26">
          <cell r="D26">
            <v>11989309.3661107</v>
          </cell>
          <cell r="F26">
            <v>11540996.5175736</v>
          </cell>
          <cell r="H26">
            <v>8185384.25348949</v>
          </cell>
          <cell r="J26">
            <v>7879310.49903072</v>
          </cell>
          <cell r="L26">
            <v>7765012.27144592</v>
          </cell>
          <cell r="N26">
            <v>7474657.36741968</v>
          </cell>
          <cell r="P26">
            <v>7765012.27144592</v>
          </cell>
          <cell r="R26">
            <v>7474657.36741968</v>
          </cell>
          <cell r="T26">
            <v>3730588491.61561</v>
          </cell>
          <cell r="V26">
            <v>3596866661.5491</v>
          </cell>
          <cell r="X26">
            <v>0.948643586052254</v>
          </cell>
          <cell r="Z26">
            <v>0.643912795978797</v>
          </cell>
        </row>
        <row r="27">
          <cell r="D27">
            <v>13446800.2811818</v>
          </cell>
          <cell r="F27">
            <v>12943987.8877668</v>
          </cell>
          <cell r="H27">
            <v>9206163.57321327</v>
          </cell>
          <cell r="J27">
            <v>8861920.10684043</v>
          </cell>
          <cell r="L27">
            <v>8786097.13944201</v>
          </cell>
          <cell r="N27">
            <v>8457561.09822171</v>
          </cell>
          <cell r="P27">
            <v>8630514.38646895</v>
          </cell>
          <cell r="R27">
            <v>8307796.00705374</v>
          </cell>
          <cell r="T27">
            <v>4117440075.50107</v>
          </cell>
          <cell r="V27">
            <v>3969851665.97196</v>
          </cell>
          <cell r="X27">
            <v>0.95437117422142</v>
          </cell>
          <cell r="Z27">
            <v>0.700639261682732</v>
          </cell>
        </row>
        <row r="28">
          <cell r="D28">
            <v>12925522.1341146</v>
          </cell>
          <cell r="F28">
            <v>12442201.746774</v>
          </cell>
          <cell r="H28">
            <v>9293781.10362425</v>
          </cell>
          <cell r="J28">
            <v>8946261.37975894</v>
          </cell>
          <cell r="L28">
            <v>9263257.38639276</v>
          </cell>
          <cell r="N28">
            <v>8916879.02723846</v>
          </cell>
          <cell r="P28">
            <v>8674224.49117857</v>
          </cell>
          <cell r="R28">
            <v>8349871.67220109</v>
          </cell>
          <cell r="T28">
            <v>4741611147.89921</v>
          </cell>
          <cell r="V28">
            <v>4571649512.73472</v>
          </cell>
          <cell r="X28">
            <v>0.996715683650049</v>
          </cell>
          <cell r="Z28">
            <v>0.695886570075524</v>
          </cell>
        </row>
        <row r="29">
          <cell r="D29">
            <v>13708959.2406344</v>
          </cell>
          <cell r="F29">
            <v>13196344.0115187</v>
          </cell>
          <cell r="H29">
            <v>9793744.3547214</v>
          </cell>
          <cell r="J29">
            <v>9427529.64664817</v>
          </cell>
          <cell r="L29">
            <v>9212856.42254002</v>
          </cell>
          <cell r="N29">
            <v>8868362.6923484</v>
          </cell>
          <cell r="P29">
            <v>8890472.01149111</v>
          </cell>
          <cell r="R29">
            <v>8558033.11024984</v>
          </cell>
          <cell r="T29">
            <v>4845699708.05547</v>
          </cell>
          <cell r="V29">
            <v>4672007049.54591</v>
          </cell>
          <cell r="X29">
            <v>0.940687860419662</v>
          </cell>
          <cell r="Z29">
            <v>0.701932919218224</v>
          </cell>
        </row>
        <row r="30">
          <cell r="D30">
            <v>13379187.6391175</v>
          </cell>
          <cell r="F30">
            <v>12878903.4660725</v>
          </cell>
          <cell r="H30">
            <v>9444954.30354684</v>
          </cell>
          <cell r="J30">
            <v>9091781.80304442</v>
          </cell>
          <cell r="L30">
            <v>9013354.86931006</v>
          </cell>
          <cell r="N30">
            <v>8676321.04417927</v>
          </cell>
          <cell r="P30">
            <v>8784174.26445382</v>
          </cell>
          <cell r="R30">
            <v>8455710.12475321</v>
          </cell>
          <cell r="T30">
            <v>4739698483.67124</v>
          </cell>
          <cell r="V30">
            <v>4569805407.38465</v>
          </cell>
          <cell r="X30">
            <v>0.954303703293228</v>
          </cell>
          <cell r="Z30">
            <v>0.64960088447283</v>
          </cell>
        </row>
        <row r="31">
          <cell r="D31">
            <v>11856453.0102121</v>
          </cell>
          <cell r="F31">
            <v>11413108.0217527</v>
          </cell>
          <cell r="H31">
            <v>7748899.19057932</v>
          </cell>
          <cell r="J31">
            <v>7459146.79842107</v>
          </cell>
          <cell r="L31">
            <v>7405233.98988335</v>
          </cell>
          <cell r="N31">
            <v>7128332.17321384</v>
          </cell>
          <cell r="P31">
            <v>7405233.98988335</v>
          </cell>
          <cell r="R31">
            <v>7128332.17321384</v>
          </cell>
          <cell r="T31">
            <v>4102269898.02575</v>
          </cell>
          <cell r="V31">
            <v>3955225258.97655</v>
          </cell>
          <cell r="X31">
            <v>0.955649803637428</v>
          </cell>
          <cell r="Z31">
            <v>0.675164184898869</v>
          </cell>
        </row>
        <row r="32">
          <cell r="D32">
            <v>10934278.1552008</v>
          </cell>
          <cell r="F32">
            <v>10525415.7898412</v>
          </cell>
          <cell r="H32">
            <v>6759945.90013156</v>
          </cell>
          <cell r="J32">
            <v>6507173.15819103</v>
          </cell>
          <cell r="L32">
            <v>5245537.67760179</v>
          </cell>
          <cell r="N32">
            <v>5049392.77329213</v>
          </cell>
          <cell r="P32">
            <v>6586489.62259286</v>
          </cell>
          <cell r="R32">
            <v>6340202.88209791</v>
          </cell>
          <cell r="T32">
            <v>3619157489.81497</v>
          </cell>
          <cell r="V32">
            <v>3489429870.72092</v>
          </cell>
          <cell r="X32">
            <v>0.775973322138525</v>
          </cell>
          <cell r="Z32">
            <v>0.683571025177377</v>
          </cell>
        </row>
        <row r="33">
          <cell r="D33">
            <v>11334735.6920651</v>
          </cell>
          <cell r="F33">
            <v>10910899.1314798</v>
          </cell>
          <cell r="H33">
            <v>6706951.27924006</v>
          </cell>
          <cell r="J33">
            <v>6456160.15014507</v>
          </cell>
          <cell r="L33">
            <v>5858063.17597857</v>
          </cell>
          <cell r="N33">
            <v>5639014.27923753</v>
          </cell>
          <cell r="P33">
            <v>5913236.45273072</v>
          </cell>
          <cell r="R33">
            <v>5692124.47728276</v>
          </cell>
          <cell r="T33">
            <v>3529411851.00315</v>
          </cell>
          <cell r="V33">
            <v>3402901137.52315</v>
          </cell>
          <cell r="X33">
            <v>0.881657880985938</v>
          </cell>
          <cell r="Z33">
            <v>0.717235092008319</v>
          </cell>
        </row>
      </sheetData>
      <sheetData sheetId="3">
        <row r="22">
          <cell r="D22">
            <v>7903.02802854603</v>
          </cell>
          <cell r="F22">
            <v>7746.56656596173</v>
          </cell>
          <cell r="H22">
            <v>3557.9194726229</v>
          </cell>
          <cell r="J22">
            <v>3487.48099227929</v>
          </cell>
          <cell r="L22">
            <v>3015.43561258178</v>
          </cell>
          <cell r="N22">
            <v>2955.73704330312</v>
          </cell>
          <cell r="P22">
            <v>3011.64222709467</v>
          </cell>
          <cell r="R22">
            <v>2952.01875797247</v>
          </cell>
          <cell r="T22">
            <v>2352639.78628106</v>
          </cell>
          <cell r="V22">
            <v>2317727.37260826</v>
          </cell>
          <cell r="X22">
            <v>0.847527785770486</v>
          </cell>
          <cell r="Z22">
            <v>0.977071594110367</v>
          </cell>
        </row>
        <row r="23">
          <cell r="D23">
            <v>8400.20973902642</v>
          </cell>
          <cell r="F23">
            <v>8233.90524193548</v>
          </cell>
          <cell r="H23">
            <v>3747.74368871501</v>
          </cell>
          <cell r="J23">
            <v>3673.54713306452</v>
          </cell>
          <cell r="L23">
            <v>1162.64770816189</v>
          </cell>
          <cell r="N23">
            <v>1139.63000403226</v>
          </cell>
          <cell r="P23">
            <v>1194.07992805098</v>
          </cell>
          <cell r="R23">
            <v>1170.43993951613</v>
          </cell>
          <cell r="T23">
            <v>2170862.90078369</v>
          </cell>
          <cell r="V23">
            <v>2138647.99731183</v>
          </cell>
          <cell r="X23">
            <v>0.310226046584453</v>
          </cell>
          <cell r="Z23">
            <v>0.657040041174945</v>
          </cell>
        </row>
        <row r="24">
          <cell r="D24">
            <v>8004.77987104203</v>
          </cell>
          <cell r="F24">
            <v>7846.30396006656</v>
          </cell>
          <cell r="H24">
            <v>3561.47747147705</v>
          </cell>
          <cell r="J24">
            <v>3490.96855108153</v>
          </cell>
          <cell r="L24">
            <v>3321.39513713822</v>
          </cell>
          <cell r="N24">
            <v>3255.63928519135</v>
          </cell>
          <cell r="P24">
            <v>3094.24526931908</v>
          </cell>
          <cell r="R24">
            <v>3032.98645324459</v>
          </cell>
          <cell r="T24">
            <v>1923994.10055416</v>
          </cell>
          <cell r="V24">
            <v>1895442.65024958</v>
          </cell>
          <cell r="X24">
            <v>0.932589118908769</v>
          </cell>
          <cell r="Z24">
            <v>0.884215148688168</v>
          </cell>
        </row>
        <row r="25">
          <cell r="D25">
            <v>7894.79594876317</v>
          </cell>
          <cell r="F25">
            <v>7738.49746209624</v>
          </cell>
          <cell r="H25">
            <v>5536.80737017526</v>
          </cell>
          <cell r="J25">
            <v>5427.19153988135</v>
          </cell>
          <cell r="L25">
            <v>4893.87048699274</v>
          </cell>
          <cell r="N25">
            <v>4796.98330257086</v>
          </cell>
          <cell r="P25">
            <v>3889.22342287547</v>
          </cell>
          <cell r="R25">
            <v>3812.22589953856</v>
          </cell>
          <cell r="T25">
            <v>2798351.40284319</v>
          </cell>
          <cell r="V25">
            <v>2756824.77290705</v>
          </cell>
          <cell r="X25">
            <v>0.883879492242085</v>
          </cell>
          <cell r="Z25">
            <v>0.692510667849524</v>
          </cell>
        </row>
        <row r="26">
          <cell r="D26">
            <v>7641.23052372334</v>
          </cell>
          <cell r="F26">
            <v>7489.95203915171</v>
          </cell>
          <cell r="H26">
            <v>3423.69240417738</v>
          </cell>
          <cell r="J26">
            <v>3355.91130570963</v>
          </cell>
          <cell r="L26">
            <v>3128.58793684595</v>
          </cell>
          <cell r="N26">
            <v>3066.64921631321</v>
          </cell>
          <cell r="P26">
            <v>3128.58793684595</v>
          </cell>
          <cell r="R26">
            <v>3066.64921631321</v>
          </cell>
          <cell r="T26">
            <v>2412587.49727506</v>
          </cell>
          <cell r="V26">
            <v>2376785.47895595</v>
          </cell>
          <cell r="X26">
            <v>0.913805204295992</v>
          </cell>
          <cell r="Z26">
            <v>0.877527725479905</v>
          </cell>
        </row>
        <row r="27">
          <cell r="D27">
            <v>7824.03741827822</v>
          </cell>
          <cell r="F27">
            <v>7669.13978494624</v>
          </cell>
          <cell r="H27">
            <v>3571.21229821265</v>
          </cell>
          <cell r="J27">
            <v>3500.51065102639</v>
          </cell>
          <cell r="L27">
            <v>3297.33594018395</v>
          </cell>
          <cell r="N27">
            <v>3232.0564040404</v>
          </cell>
          <cell r="P27">
            <v>3403.90365932777</v>
          </cell>
          <cell r="R27">
            <v>3336.51433170414</v>
          </cell>
          <cell r="T27">
            <v>2450280.2023021</v>
          </cell>
          <cell r="V27">
            <v>2413918.8364288</v>
          </cell>
          <cell r="X27">
            <v>0.923309975672471</v>
          </cell>
          <cell r="Z27">
            <v>0.856768454566226</v>
          </cell>
        </row>
        <row r="28">
          <cell r="D28">
            <v>7635.84449251009</v>
          </cell>
          <cell r="F28">
            <v>7484.67263875365</v>
          </cell>
          <cell r="H28">
            <v>3447.20324886412</v>
          </cell>
          <cell r="J28">
            <v>3378.95669068484</v>
          </cell>
          <cell r="L28">
            <v>3377.36305750774</v>
          </cell>
          <cell r="N28">
            <v>3310.4991716975</v>
          </cell>
          <cell r="P28">
            <v>3240.01150262956</v>
          </cell>
          <cell r="R28">
            <v>3175.86685621551</v>
          </cell>
          <cell r="T28">
            <v>2277557.41319817</v>
          </cell>
          <cell r="V28">
            <v>2243759.1976631</v>
          </cell>
          <cell r="X28">
            <v>0.979740042488243</v>
          </cell>
          <cell r="Z28">
            <v>0.884030118890158</v>
          </cell>
        </row>
        <row r="29">
          <cell r="D29">
            <v>8504.88341889463</v>
          </cell>
          <cell r="F29">
            <v>8336.50662786938</v>
          </cell>
          <cell r="H29">
            <v>4044.92050835379</v>
          </cell>
          <cell r="J29">
            <v>3964.84054704171</v>
          </cell>
          <cell r="L29">
            <v>3279.49941170577</v>
          </cell>
          <cell r="N29">
            <v>3214.5729970902</v>
          </cell>
          <cell r="P29">
            <v>3256.58378836038</v>
          </cell>
          <cell r="R29">
            <v>3192.11104946654</v>
          </cell>
          <cell r="T29">
            <v>2329492.38708053</v>
          </cell>
          <cell r="V29">
            <v>2294923.47332687</v>
          </cell>
          <cell r="X29">
            <v>0.810769804977075</v>
          </cell>
          <cell r="Z29">
            <v>0.791245686511838</v>
          </cell>
        </row>
        <row r="30">
          <cell r="D30">
            <v>7479.90634881906</v>
          </cell>
          <cell r="F30">
            <v>7331.82170542636</v>
          </cell>
          <cell r="H30">
            <v>4336.84152628426</v>
          </cell>
          <cell r="J30">
            <v>4250.9822118863</v>
          </cell>
          <cell r="L30">
            <v>3636.24406851413</v>
          </cell>
          <cell r="N30">
            <v>3564.25494444444</v>
          </cell>
          <cell r="P30">
            <v>3673.71717310756</v>
          </cell>
          <cell r="R30">
            <v>3600.98616925065</v>
          </cell>
          <cell r="T30">
            <v>2480656.55455485</v>
          </cell>
          <cell r="V30">
            <v>2443844.41343669</v>
          </cell>
          <cell r="X30">
            <v>0.838454448122206</v>
          </cell>
          <cell r="Z30">
            <v>0.790268011670083</v>
          </cell>
        </row>
        <row r="31">
          <cell r="D31">
            <v>7657.29235685165</v>
          </cell>
          <cell r="F31">
            <v>7505.69588556734</v>
          </cell>
          <cell r="H31">
            <v>3594.87092101906</v>
          </cell>
          <cell r="J31">
            <v>3523.7008884603</v>
          </cell>
          <cell r="L31">
            <v>3069.50657267896</v>
          </cell>
          <cell r="N31">
            <v>3008.7375249116</v>
          </cell>
          <cell r="P31">
            <v>3069.50657267896</v>
          </cell>
          <cell r="R31">
            <v>3008.7375249116</v>
          </cell>
          <cell r="T31">
            <v>2294607.46747849</v>
          </cell>
          <cell r="V31">
            <v>2260556.23465124</v>
          </cell>
          <cell r="X31">
            <v>0.853857242754304</v>
          </cell>
          <cell r="Z31">
            <v>0.88471304333916</v>
          </cell>
        </row>
        <row r="32">
          <cell r="D32">
            <v>7627.99413402861</v>
          </cell>
          <cell r="F32">
            <v>7476.97769900097</v>
          </cell>
          <cell r="H32">
            <v>3614.93800546437</v>
          </cell>
          <cell r="J32">
            <v>3543.37069158879</v>
          </cell>
          <cell r="L32">
            <v>3197.45677928858</v>
          </cell>
          <cell r="N32">
            <v>3134.15461682243</v>
          </cell>
          <cell r="P32">
            <v>3295.22250591857</v>
          </cell>
          <cell r="R32">
            <v>3229.98481082823</v>
          </cell>
          <cell r="T32">
            <v>2298325.08590368</v>
          </cell>
          <cell r="V32">
            <v>2264218.68482114</v>
          </cell>
          <cell r="X32">
            <v>0.884512203101485</v>
          </cell>
          <cell r="Z32">
            <v>0.904811615007983</v>
          </cell>
        </row>
        <row r="33">
          <cell r="D33">
            <v>8672.08703130952</v>
          </cell>
          <cell r="F33">
            <v>8500.4</v>
          </cell>
          <cell r="H33">
            <v>4234.48081176542</v>
          </cell>
          <cell r="J33">
            <v>4150.648</v>
          </cell>
          <cell r="L33">
            <v>3404.77456960936</v>
          </cell>
          <cell r="N33">
            <v>3337.368</v>
          </cell>
          <cell r="P33">
            <v>3078.75616811374</v>
          </cell>
          <cell r="R33">
            <v>3017.804</v>
          </cell>
          <cell r="T33">
            <v>2455051.16542327</v>
          </cell>
          <cell r="V33">
            <v>2418619</v>
          </cell>
          <cell r="X33">
            <v>0.804059510707726</v>
          </cell>
          <cell r="Z33">
            <v>0.772935897891047</v>
          </cell>
        </row>
      </sheetData>
      <sheetData sheetId="4">
        <row r="22">
          <cell r="D22">
            <v>2863334.0234512</v>
          </cell>
          <cell r="F22">
            <v>2806646.70973317</v>
          </cell>
          <cell r="H22">
            <v>2042661.29872893</v>
          </cell>
          <cell r="J22">
            <v>2002221.3846594</v>
          </cell>
          <cell r="L22">
            <v>1945595.45699969</v>
          </cell>
          <cell r="N22">
            <v>1907077.21947098</v>
          </cell>
          <cell r="P22">
            <v>1943377.67396294</v>
          </cell>
          <cell r="R22">
            <v>1904903.34334895</v>
          </cell>
          <cell r="T22">
            <v>1417751471.4815</v>
          </cell>
          <cell r="V22">
            <v>1396712498.09245</v>
          </cell>
          <cell r="X22">
            <v>0.952480696731443</v>
          </cell>
          <cell r="Z22">
            <v>0.931899812764754</v>
          </cell>
        </row>
        <row r="23">
          <cell r="D23">
            <v>2960583.10564126</v>
          </cell>
          <cell r="F23">
            <v>2901970.48765005</v>
          </cell>
          <cell r="H23">
            <v>2067073.96804418</v>
          </cell>
          <cell r="J23">
            <v>2026150.74024568</v>
          </cell>
          <cell r="L23">
            <v>1160486.40053004</v>
          </cell>
          <cell r="N23">
            <v>1137511.48523425</v>
          </cell>
          <cell r="P23">
            <v>1154333.00883841</v>
          </cell>
          <cell r="R23">
            <v>1131479.91629972</v>
          </cell>
          <cell r="T23">
            <v>1360260148.91854</v>
          </cell>
          <cell r="V23">
            <v>1340074328.16578</v>
          </cell>
          <cell r="X23">
            <v>0.561415033264664</v>
          </cell>
          <cell r="Z23">
            <v>0.773156252215512</v>
          </cell>
        </row>
        <row r="24">
          <cell r="D24">
            <v>2917941.18649378</v>
          </cell>
          <cell r="F24">
            <v>2860172.7787234</v>
          </cell>
          <cell r="H24">
            <v>2076501.16663666</v>
          </cell>
          <cell r="J24">
            <v>2035391.30236483</v>
          </cell>
          <cell r="L24">
            <v>1930622.13354402</v>
          </cell>
          <cell r="N24">
            <v>1892400.3327835</v>
          </cell>
          <cell r="P24">
            <v>1966473.69922238</v>
          </cell>
          <cell r="R24">
            <v>1927542.12135089</v>
          </cell>
          <cell r="T24">
            <v>1207900592.02285</v>
          </cell>
          <cell r="V24">
            <v>1189975737.82705</v>
          </cell>
          <cell r="X24">
            <v>0.929747675832554</v>
          </cell>
          <cell r="Z24">
            <v>0.928025835780965</v>
          </cell>
        </row>
        <row r="25">
          <cell r="D25">
            <v>2982836.5384952</v>
          </cell>
          <cell r="F25">
            <v>2923783.35460453</v>
          </cell>
          <cell r="H25">
            <v>2176403.14758944</v>
          </cell>
          <cell r="J25">
            <v>2133315.45785647</v>
          </cell>
          <cell r="L25">
            <v>2060093.06727522</v>
          </cell>
          <cell r="N25">
            <v>2019308.04497726</v>
          </cell>
          <cell r="P25">
            <v>2126563.77240091</v>
          </cell>
          <cell r="R25">
            <v>2084462.78567699</v>
          </cell>
          <cell r="T25">
            <v>1411139967.78626</v>
          </cell>
          <cell r="V25">
            <v>1390199106.97413</v>
          </cell>
          <cell r="X25">
            <v>0.946558577420255</v>
          </cell>
          <cell r="Z25">
            <v>0.910821639489446</v>
          </cell>
        </row>
        <row r="26">
          <cell r="D26">
            <v>3169902.21006739</v>
          </cell>
          <cell r="F26">
            <v>3107145.56359658</v>
          </cell>
          <cell r="H26">
            <v>2246691.10811684</v>
          </cell>
          <cell r="J26">
            <v>2202211.88123299</v>
          </cell>
          <cell r="L26">
            <v>2226075.2525184</v>
          </cell>
          <cell r="N26">
            <v>2182004.17133614</v>
          </cell>
          <cell r="P26">
            <v>2226075.2525184</v>
          </cell>
          <cell r="R26">
            <v>2182004.17133614</v>
          </cell>
          <cell r="T26">
            <v>1504955606.4216</v>
          </cell>
          <cell r="V26">
            <v>1482622551.86859</v>
          </cell>
          <cell r="X26">
            <v>0.990823902972706</v>
          </cell>
          <cell r="Z26">
            <v>0.90713650311014</v>
          </cell>
        </row>
        <row r="27">
          <cell r="D27">
            <v>3358532.0772625</v>
          </cell>
          <cell r="F27">
            <v>3292041.0007983</v>
          </cell>
          <cell r="H27">
            <v>2282776.87514348</v>
          </cell>
          <cell r="J27">
            <v>2237583.23450998</v>
          </cell>
          <cell r="L27">
            <v>2197739.60116792</v>
          </cell>
          <cell r="N27">
            <v>2154229.4995795</v>
          </cell>
          <cell r="P27">
            <v>2174891.97614077</v>
          </cell>
          <cell r="R27">
            <v>2131834.20406648</v>
          </cell>
          <cell r="T27">
            <v>1529125929.07961</v>
          </cell>
          <cell r="V27">
            <v>1506434194.75414</v>
          </cell>
          <cell r="X27">
            <v>0.962748319863625</v>
          </cell>
          <cell r="Z27">
            <v>0.907290468550009</v>
          </cell>
        </row>
        <row r="28">
          <cell r="D28">
            <v>3276975.76059684</v>
          </cell>
          <cell r="F28">
            <v>3212099.30836811</v>
          </cell>
          <cell r="H28">
            <v>2290333.59361228</v>
          </cell>
          <cell r="J28">
            <v>2244990.34763514</v>
          </cell>
          <cell r="L28">
            <v>2228372.65501573</v>
          </cell>
          <cell r="N28">
            <v>2184256.09063974</v>
          </cell>
          <cell r="P28">
            <v>2168649.48428873</v>
          </cell>
          <cell r="R28">
            <v>2125715.29894624</v>
          </cell>
          <cell r="T28">
            <v>1590275904.56999</v>
          </cell>
          <cell r="V28">
            <v>1566676724.38185</v>
          </cell>
          <cell r="X28">
            <v>0.972946762528674</v>
          </cell>
          <cell r="Z28">
            <v>0.922499848925371</v>
          </cell>
        </row>
        <row r="29">
          <cell r="D29">
            <v>3337241.42416259</v>
          </cell>
          <cell r="F29">
            <v>3271171.85281154</v>
          </cell>
          <cell r="H29">
            <v>2343455.63212824</v>
          </cell>
          <cell r="J29">
            <v>2297060.69408933</v>
          </cell>
          <cell r="L29">
            <v>2273794.80896692</v>
          </cell>
          <cell r="N29">
            <v>2228778.99222649</v>
          </cell>
          <cell r="P29">
            <v>2229119.65633368</v>
          </cell>
          <cell r="R29">
            <v>2184988.30307951</v>
          </cell>
          <cell r="T29">
            <v>1435600910.8881</v>
          </cell>
          <cell r="V29">
            <v>1414297057.5901</v>
          </cell>
          <cell r="X29">
            <v>0.970274315328916</v>
          </cell>
          <cell r="Z29">
            <v>0.925471687609194</v>
          </cell>
        </row>
        <row r="30">
          <cell r="D30">
            <v>3287883.11177209</v>
          </cell>
          <cell r="F30">
            <v>3222790.71951232</v>
          </cell>
          <cell r="H30">
            <v>2335945.12185167</v>
          </cell>
          <cell r="J30">
            <v>2289698.87434231</v>
          </cell>
          <cell r="L30">
            <v>2225245.04352227</v>
          </cell>
          <cell r="N30">
            <v>2181190.39853552</v>
          </cell>
          <cell r="P30">
            <v>2219263.4429982</v>
          </cell>
          <cell r="R30">
            <v>2175327.21970541</v>
          </cell>
          <cell r="T30">
            <v>1537902476.40547</v>
          </cell>
          <cell r="V30">
            <v>1515080500.95568</v>
          </cell>
          <cell r="X30">
            <v>0.952610154539227</v>
          </cell>
          <cell r="Z30">
            <v>0.914318509795949</v>
          </cell>
        </row>
        <row r="31">
          <cell r="D31">
            <v>3331724.59748335</v>
          </cell>
          <cell r="F31">
            <v>3265764.24639167</v>
          </cell>
          <cell r="H31">
            <v>2229063.33430268</v>
          </cell>
          <cell r="J31">
            <v>2184933.09609294</v>
          </cell>
          <cell r="L31">
            <v>2162279.14228949</v>
          </cell>
          <cell r="N31">
            <v>2119471.07481255</v>
          </cell>
          <cell r="P31">
            <v>2162279.14228949</v>
          </cell>
          <cell r="R31">
            <v>2119471.07481255</v>
          </cell>
          <cell r="T31">
            <v>1531942791.261</v>
          </cell>
          <cell r="V31">
            <v>1509209255.61162</v>
          </cell>
          <cell r="X31">
            <v>0.97003934747593</v>
          </cell>
          <cell r="Z31">
            <v>0.909127118588794</v>
          </cell>
        </row>
        <row r="32">
          <cell r="D32">
            <v>3179864.67885357</v>
          </cell>
          <cell r="F32">
            <v>3116910.79881209</v>
          </cell>
          <cell r="H32">
            <v>2170687.80617019</v>
          </cell>
          <cell r="J32">
            <v>2127713.26682393</v>
          </cell>
          <cell r="L32">
            <v>1995406.55070353</v>
          </cell>
          <cell r="N32">
            <v>1955902.170073</v>
          </cell>
          <cell r="P32">
            <v>2136976.09705655</v>
          </cell>
          <cell r="R32">
            <v>2094668.97066836</v>
          </cell>
          <cell r="T32">
            <v>1430920838.4021</v>
          </cell>
          <cell r="V32">
            <v>1409686435.86643</v>
          </cell>
          <cell r="X32">
            <v>0.919250822265449</v>
          </cell>
          <cell r="Z32">
            <v>0.919256463416601</v>
          </cell>
        </row>
        <row r="33">
          <cell r="D33">
            <v>3307553.35786782</v>
          </cell>
          <cell r="F33">
            <v>3242071.54076198</v>
          </cell>
          <cell r="H33">
            <v>2167904.01270752</v>
          </cell>
          <cell r="J33">
            <v>2124984.585958</v>
          </cell>
          <cell r="L33">
            <v>2052896.36494086</v>
          </cell>
          <cell r="N33">
            <v>2012253.82050948</v>
          </cell>
          <cell r="P33">
            <v>2095091.26440844</v>
          </cell>
          <cell r="R33">
            <v>2053613.3596999</v>
          </cell>
          <cell r="T33">
            <v>1526226673.35792</v>
          </cell>
          <cell r="V33">
            <v>1503577963.04984</v>
          </cell>
          <cell r="X33">
            <v>0.946949843216062</v>
          </cell>
          <cell r="Z33">
            <v>0.923999676058845</v>
          </cell>
        </row>
      </sheetData>
      <sheetData sheetId="5">
        <row r="22">
          <cell r="D22">
            <v>903229.598126782</v>
          </cell>
          <cell r="F22">
            <v>897512.443859398</v>
          </cell>
          <cell r="H22">
            <v>711074.353135793</v>
          </cell>
          <cell r="J22">
            <v>706573.480067762</v>
          </cell>
          <cell r="L22">
            <v>653778.948554582</v>
          </cell>
          <cell r="N22">
            <v>649640.737059513</v>
          </cell>
          <cell r="P22">
            <v>657016.687279679</v>
          </cell>
          <cell r="R22">
            <v>652857.981934754</v>
          </cell>
          <cell r="T22">
            <v>492548007.177827</v>
          </cell>
          <cell r="V22">
            <v>489736917.272681</v>
          </cell>
          <cell r="X22">
            <v>0.919424172270394</v>
          </cell>
          <cell r="Z22">
            <v>0.9354577</v>
          </cell>
        </row>
        <row r="23">
          <cell r="D23">
            <v>940471.720946058</v>
          </cell>
          <cell r="F23">
            <v>934518.835960987</v>
          </cell>
          <cell r="H23">
            <v>750572.301620074</v>
          </cell>
          <cell r="J23">
            <v>745821.419179898</v>
          </cell>
          <cell r="L23">
            <v>337978.315011157</v>
          </cell>
          <cell r="N23">
            <v>335839.020450885</v>
          </cell>
          <cell r="P23">
            <v>339877.748295931</v>
          </cell>
          <cell r="R23">
            <v>337726.430930902</v>
          </cell>
          <cell r="T23">
            <v>476323524.628258</v>
          </cell>
          <cell r="V23">
            <v>473605031.746036</v>
          </cell>
          <cell r="X23">
            <v>0.450294147921056</v>
          </cell>
          <cell r="Z23">
            <v>0.741156</v>
          </cell>
        </row>
        <row r="24">
          <cell r="D24">
            <v>939516.749484182</v>
          </cell>
          <cell r="F24">
            <v>933569.909162815</v>
          </cell>
          <cell r="H24">
            <v>771721.449913401</v>
          </cell>
          <cell r="J24">
            <v>766836.70013355</v>
          </cell>
          <cell r="L24">
            <v>697052.316395106</v>
          </cell>
          <cell r="N24">
            <v>692640.198331733</v>
          </cell>
          <cell r="P24">
            <v>711819.729917192</v>
          </cell>
          <cell r="R24">
            <v>707314.1388527</v>
          </cell>
          <cell r="T24">
            <v>397962390.073706</v>
          </cell>
          <cell r="V24">
            <v>395691123.027528</v>
          </cell>
          <cell r="X24">
            <v>0.903243413116644</v>
          </cell>
          <cell r="Z24">
            <v>0.929648</v>
          </cell>
        </row>
        <row r="25">
          <cell r="D25">
            <v>957261.419418634</v>
          </cell>
          <cell r="F25">
            <v>951202.261015962</v>
          </cell>
          <cell r="H25">
            <v>763613.529693125</v>
          </cell>
          <cell r="J25">
            <v>758780.100453238</v>
          </cell>
          <cell r="L25">
            <v>738271.548816411</v>
          </cell>
          <cell r="N25">
            <v>733598.526204489</v>
          </cell>
          <cell r="P25">
            <v>737006.89392367</v>
          </cell>
          <cell r="R25">
            <v>732341.876172451</v>
          </cell>
          <cell r="T25">
            <v>510846500.841398</v>
          </cell>
          <cell r="V25">
            <v>507930977.033227</v>
          </cell>
          <cell r="X25">
            <v>0.966813080319703</v>
          </cell>
          <cell r="Z25">
            <v>0.9352621</v>
          </cell>
        </row>
        <row r="26">
          <cell r="D26">
            <v>992664.67401415</v>
          </cell>
          <cell r="F26">
            <v>986381.424341097</v>
          </cell>
          <cell r="H26">
            <v>802187.574482683</v>
          </cell>
          <cell r="J26">
            <v>797109.983885334</v>
          </cell>
          <cell r="L26">
            <v>799762.307429286</v>
          </cell>
          <cell r="N26">
            <v>794700.067996151</v>
          </cell>
          <cell r="P26">
            <v>799762.307429286</v>
          </cell>
          <cell r="R26">
            <v>794700.067996151</v>
          </cell>
          <cell r="T26">
            <v>541404710.759993</v>
          </cell>
          <cell r="V26">
            <v>538314783.900405</v>
          </cell>
          <cell r="X26">
            <v>0.99697668334621</v>
          </cell>
          <cell r="Z26">
            <v>0.9241756</v>
          </cell>
        </row>
        <row r="27">
          <cell r="D27">
            <v>999935.160986392</v>
          </cell>
          <cell r="F27">
            <v>993605.891457806</v>
          </cell>
          <cell r="H27">
            <v>830093.385768623</v>
          </cell>
          <cell r="J27">
            <v>824839.160317401</v>
          </cell>
          <cell r="L27">
            <v>732948.164589542</v>
          </cell>
          <cell r="N27">
            <v>728308.837295967</v>
          </cell>
          <cell r="P27">
            <v>747159.647749137</v>
          </cell>
          <cell r="R27">
            <v>742430.366315706</v>
          </cell>
          <cell r="T27">
            <v>525716779.704865</v>
          </cell>
          <cell r="V27">
            <v>522716387.639813</v>
          </cell>
          <cell r="X27">
            <v>0.88297073215548</v>
          </cell>
          <cell r="Z27">
            <v>0.925591</v>
          </cell>
        </row>
        <row r="28">
          <cell r="D28">
            <v>1000364.26743244</v>
          </cell>
          <cell r="F28">
            <v>994032.281797388</v>
          </cell>
          <cell r="H28">
            <v>823224.675612693</v>
          </cell>
          <cell r="J28">
            <v>818013.92689835</v>
          </cell>
          <cell r="L28">
            <v>793699.728540328</v>
          </cell>
          <cell r="N28">
            <v>788675.863291163</v>
          </cell>
          <cell r="P28">
            <v>695184.911338343</v>
          </cell>
          <cell r="R28">
            <v>690784.613351295</v>
          </cell>
          <cell r="T28">
            <v>559709988.618273</v>
          </cell>
          <cell r="V28">
            <v>556515589.136629</v>
          </cell>
          <cell r="X28">
            <v>0.964135007189392</v>
          </cell>
          <cell r="Z28">
            <v>0.937457</v>
          </cell>
        </row>
        <row r="29">
          <cell r="D29">
            <v>1020280.95409935</v>
          </cell>
          <cell r="F29">
            <v>1013822.90221226</v>
          </cell>
          <cell r="H29">
            <v>847474.94215963</v>
          </cell>
          <cell r="J29">
            <v>842110.697019615</v>
          </cell>
          <cell r="L29">
            <v>734809.586486362</v>
          </cell>
          <cell r="N29">
            <v>730158.476987949</v>
          </cell>
          <cell r="P29">
            <v>712841.167234311</v>
          </cell>
          <cell r="R29">
            <v>708329.110798525</v>
          </cell>
          <cell r="T29">
            <v>644869257.991972</v>
          </cell>
          <cell r="V29">
            <v>641188834.084328</v>
          </cell>
          <cell r="X29">
            <v>0.867057596551278</v>
          </cell>
          <cell r="Z29">
            <v>0.918837</v>
          </cell>
        </row>
        <row r="30">
          <cell r="D30">
            <v>990179.024563121</v>
          </cell>
          <cell r="F30">
            <v>983911.508255533</v>
          </cell>
          <cell r="H30">
            <v>828808.833775346</v>
          </cell>
          <cell r="J30">
            <v>823562.739127106</v>
          </cell>
          <cell r="L30">
            <v>741400.476726544</v>
          </cell>
          <cell r="N30">
            <v>736707.649002399</v>
          </cell>
          <cell r="P30">
            <v>736260.915985039</v>
          </cell>
          <cell r="R30">
            <v>731600.620035414</v>
          </cell>
          <cell r="T30">
            <v>568623607.112427</v>
          </cell>
          <cell r="V30">
            <v>565378335.466848</v>
          </cell>
          <cell r="X30">
            <v>0.894537372809308</v>
          </cell>
          <cell r="Z30">
            <v>0.92612</v>
          </cell>
        </row>
        <row r="31">
          <cell r="D31">
            <v>986138.154527029</v>
          </cell>
          <cell r="F31">
            <v>979896.215633444</v>
          </cell>
          <cell r="H31">
            <v>813329.358972587</v>
          </cell>
          <cell r="J31">
            <v>808181.24444547</v>
          </cell>
          <cell r="L31">
            <v>751380.366747311</v>
          </cell>
          <cell r="N31">
            <v>746624.36951351</v>
          </cell>
          <cell r="P31">
            <v>751380.366747311</v>
          </cell>
          <cell r="R31">
            <v>746624.36951351</v>
          </cell>
          <cell r="T31">
            <v>548125346.886013</v>
          </cell>
          <cell r="V31">
            <v>544997063.740145</v>
          </cell>
          <cell r="X31">
            <v>0.923832834088847</v>
          </cell>
          <cell r="Z31">
            <v>0.9213362</v>
          </cell>
        </row>
        <row r="32">
          <cell r="D32">
            <v>952080.682768503</v>
          </cell>
          <cell r="F32">
            <v>946054.316770674</v>
          </cell>
          <cell r="H32">
            <v>787656.790021827</v>
          </cell>
          <cell r="J32">
            <v>782671.174639374</v>
          </cell>
          <cell r="L32">
            <v>735911.517371356</v>
          </cell>
          <cell r="N32">
            <v>731253.433003127</v>
          </cell>
          <cell r="P32">
            <v>760463.784635672</v>
          </cell>
          <cell r="R32">
            <v>755650.292273888</v>
          </cell>
          <cell r="T32">
            <v>548656614.471652</v>
          </cell>
          <cell r="V32">
            <v>545525299.253934</v>
          </cell>
          <cell r="X32">
            <v>0.934304797081687</v>
          </cell>
          <cell r="Z32">
            <v>0.9418378</v>
          </cell>
        </row>
        <row r="33">
          <cell r="D33">
            <v>966228.83699747</v>
          </cell>
          <cell r="F33">
            <v>960112.917711647</v>
          </cell>
          <cell r="H33">
            <v>804600.200920205</v>
          </cell>
          <cell r="J33">
            <v>799507.339169694</v>
          </cell>
          <cell r="L33">
            <v>736788.104874095</v>
          </cell>
          <cell r="N33">
            <v>732124.471987535</v>
          </cell>
          <cell r="P33">
            <v>788962.252037961</v>
          </cell>
          <cell r="R33">
            <v>783968.373498774</v>
          </cell>
          <cell r="T33">
            <v>552440597.355844</v>
          </cell>
          <cell r="V33">
            <v>549287686.037986</v>
          </cell>
          <cell r="X33">
            <v>0.915719513904478</v>
          </cell>
          <cell r="Z33">
            <v>0.920578</v>
          </cell>
        </row>
      </sheetData>
      <sheetData sheetId="6">
        <row r="22">
          <cell r="D22">
            <v>3224365.4313806</v>
          </cell>
          <cell r="F22">
            <v>3224365.4313806</v>
          </cell>
          <cell r="H22">
            <v>2541926.90820896</v>
          </cell>
          <cell r="J22">
            <v>2541926.90820896</v>
          </cell>
          <cell r="L22">
            <v>2321670.32078358</v>
          </cell>
          <cell r="N22">
            <v>2321670.32078358</v>
          </cell>
          <cell r="P22">
            <v>2321670.32078358</v>
          </cell>
          <cell r="R22">
            <v>2321670.32078358</v>
          </cell>
          <cell r="T22">
            <v>1724477528.57463</v>
          </cell>
          <cell r="V22">
            <v>1724477528.57463</v>
          </cell>
          <cell r="X22">
            <v>0.913350542569076</v>
          </cell>
          <cell r="Z22">
            <v>0.9218687</v>
          </cell>
        </row>
        <row r="23">
          <cell r="D23">
            <v>3416023.49141264</v>
          </cell>
          <cell r="F23">
            <v>3416023.49141264</v>
          </cell>
          <cell r="H23">
            <v>2555962.97821561</v>
          </cell>
          <cell r="J23">
            <v>2555962.97821561</v>
          </cell>
          <cell r="L23">
            <v>1400581.44457249</v>
          </cell>
          <cell r="N23">
            <v>1400581.44457249</v>
          </cell>
          <cell r="P23">
            <v>1407656.19208178</v>
          </cell>
          <cell r="R23">
            <v>1407656.19208178</v>
          </cell>
          <cell r="T23">
            <v>1615907083.31227</v>
          </cell>
          <cell r="V23">
            <v>1615907083.31227</v>
          </cell>
          <cell r="X23">
            <v>0.547966248537087</v>
          </cell>
          <cell r="Z23">
            <v>0.782194</v>
          </cell>
        </row>
        <row r="24">
          <cell r="D24">
            <v>3366480.1022963</v>
          </cell>
          <cell r="F24">
            <v>3366480.1022963</v>
          </cell>
          <cell r="H24">
            <v>2588208.32177778</v>
          </cell>
          <cell r="J24">
            <v>2588208.32177778</v>
          </cell>
          <cell r="L24">
            <v>2296292.36485185</v>
          </cell>
          <cell r="N24">
            <v>2296292.36485185</v>
          </cell>
          <cell r="P24">
            <v>2528497.23988889</v>
          </cell>
          <cell r="R24">
            <v>2528497.23988889</v>
          </cell>
          <cell r="T24">
            <v>1490832002.8963</v>
          </cell>
          <cell r="V24">
            <v>1490832002.8963</v>
          </cell>
          <cell r="X24">
            <v>0.887213114002579</v>
          </cell>
          <cell r="Z24">
            <v>0.917783</v>
          </cell>
        </row>
        <row r="25">
          <cell r="D25">
            <v>3290244.40247273</v>
          </cell>
          <cell r="F25">
            <v>3290244.40247273</v>
          </cell>
          <cell r="H25">
            <v>2652306.20381818</v>
          </cell>
          <cell r="J25">
            <v>2652306.20381818</v>
          </cell>
          <cell r="L25">
            <v>2495619.55938182</v>
          </cell>
          <cell r="N25">
            <v>2495619.55938182</v>
          </cell>
          <cell r="P25">
            <v>2405989.05487273</v>
          </cell>
          <cell r="R25">
            <v>2405989.05487273</v>
          </cell>
          <cell r="T25">
            <v>1698240669.37455</v>
          </cell>
          <cell r="V25">
            <v>1698240669.37455</v>
          </cell>
          <cell r="X25">
            <v>0.940924375846649</v>
          </cell>
          <cell r="Z25">
            <v>0.90986</v>
          </cell>
        </row>
        <row r="26">
          <cell r="D26">
            <v>3348531.76635379</v>
          </cell>
          <cell r="F26">
            <v>3348531.76635379</v>
          </cell>
          <cell r="H26">
            <v>2651789.37281588</v>
          </cell>
          <cell r="J26">
            <v>2651789.37281588</v>
          </cell>
          <cell r="L26">
            <v>2539994.48314079</v>
          </cell>
          <cell r="N26">
            <v>2539994.48314079</v>
          </cell>
          <cell r="P26">
            <v>2539994.48314079</v>
          </cell>
          <cell r="R26">
            <v>2539994.48314079</v>
          </cell>
          <cell r="T26">
            <v>1777885673.18412</v>
          </cell>
          <cell r="V26">
            <v>1777885673.18412</v>
          </cell>
          <cell r="X26">
            <v>0.957841715929204</v>
          </cell>
          <cell r="Z26">
            <v>0.916235</v>
          </cell>
        </row>
        <row r="27">
          <cell r="D27">
            <v>3507029.74629496</v>
          </cell>
          <cell r="F27">
            <v>3507029.74629496</v>
          </cell>
          <cell r="H27">
            <v>2700196.02352518</v>
          </cell>
          <cell r="J27">
            <v>2700196.02352518</v>
          </cell>
          <cell r="L27">
            <v>2286194.18338129</v>
          </cell>
          <cell r="N27">
            <v>2286194.18338129</v>
          </cell>
          <cell r="P27">
            <v>2190276.17899281</v>
          </cell>
          <cell r="R27">
            <v>2190276.17899281</v>
          </cell>
          <cell r="T27">
            <v>1770496395.03597</v>
          </cell>
          <cell r="V27">
            <v>1770496395.03597</v>
          </cell>
          <cell r="X27">
            <v>0.846677116573413</v>
          </cell>
          <cell r="Z27">
            <v>0.910221</v>
          </cell>
        </row>
        <row r="28">
          <cell r="D28">
            <v>3408354.25460993</v>
          </cell>
          <cell r="F28">
            <v>3408354.25460993</v>
          </cell>
          <cell r="H28">
            <v>2650262.62560284</v>
          </cell>
          <cell r="J28">
            <v>2650262.62560284</v>
          </cell>
          <cell r="L28">
            <v>2533598.3543617</v>
          </cell>
          <cell r="N28">
            <v>2533598.3543617</v>
          </cell>
          <cell r="P28">
            <v>2076674.23148936</v>
          </cell>
          <cell r="R28">
            <v>2076674.23148936</v>
          </cell>
          <cell r="T28">
            <v>1783500558.11348</v>
          </cell>
          <cell r="V28">
            <v>1783500558.11348</v>
          </cell>
          <cell r="X28">
            <v>0.955980109248759</v>
          </cell>
          <cell r="Z28">
            <v>0.91840178</v>
          </cell>
        </row>
        <row r="29">
          <cell r="D29">
            <v>3463499.95574468</v>
          </cell>
          <cell r="F29">
            <v>3463499.95574468</v>
          </cell>
          <cell r="H29">
            <v>2727072.0770922</v>
          </cell>
          <cell r="J29">
            <v>2727072.0770922</v>
          </cell>
          <cell r="L29">
            <v>2304789.03085106</v>
          </cell>
          <cell r="N29">
            <v>2304789.03085106</v>
          </cell>
          <cell r="P29">
            <v>2130799.32624113</v>
          </cell>
          <cell r="R29">
            <v>2130799.32624113</v>
          </cell>
          <cell r="T29">
            <v>1800215255.64894</v>
          </cell>
          <cell r="V29">
            <v>1800215255.64894</v>
          </cell>
          <cell r="X29">
            <v>0.845151490571748</v>
          </cell>
          <cell r="Z29">
            <v>0.901684</v>
          </cell>
        </row>
        <row r="30">
          <cell r="D30">
            <v>3498327.06</v>
          </cell>
          <cell r="F30">
            <v>3498327.06</v>
          </cell>
          <cell r="H30">
            <v>2754518.93</v>
          </cell>
          <cell r="J30">
            <v>2754518.93</v>
          </cell>
          <cell r="L30">
            <v>2146634.34</v>
          </cell>
          <cell r="N30">
            <v>2146634.34</v>
          </cell>
          <cell r="P30">
            <v>2144658.59</v>
          </cell>
          <cell r="R30">
            <v>2144658.59</v>
          </cell>
          <cell r="T30">
            <v>1815185444</v>
          </cell>
          <cell r="V30">
            <v>1815185444</v>
          </cell>
          <cell r="X30">
            <v>0.77931370034186</v>
          </cell>
          <cell r="Z30">
            <v>0.9243155</v>
          </cell>
        </row>
        <row r="31">
          <cell r="D31">
            <v>3523826.94</v>
          </cell>
          <cell r="F31">
            <v>3523826.94</v>
          </cell>
          <cell r="H31">
            <v>2790485.87</v>
          </cell>
          <cell r="J31">
            <v>2790485.87</v>
          </cell>
          <cell r="L31">
            <v>2707700.736</v>
          </cell>
          <cell r="N31">
            <v>2707700.736</v>
          </cell>
          <cell r="P31">
            <v>2707700.73</v>
          </cell>
          <cell r="R31">
            <v>2707700.73</v>
          </cell>
          <cell r="T31">
            <v>1846716296</v>
          </cell>
          <cell r="V31">
            <v>1846716296</v>
          </cell>
          <cell r="X31">
            <v>0.970333075365115</v>
          </cell>
          <cell r="Z31">
            <v>0.93083</v>
          </cell>
        </row>
        <row r="32">
          <cell r="D32">
            <v>3436296.26</v>
          </cell>
          <cell r="F32">
            <v>3436296.26</v>
          </cell>
          <cell r="H32">
            <v>2757659.26</v>
          </cell>
          <cell r="J32">
            <v>2757659.26</v>
          </cell>
          <cell r="L32">
            <v>2684351.71</v>
          </cell>
          <cell r="N32">
            <v>2684351.71</v>
          </cell>
          <cell r="P32">
            <v>2644715.61</v>
          </cell>
          <cell r="R32">
            <v>2644715.61</v>
          </cell>
          <cell r="T32">
            <v>1877484630</v>
          </cell>
          <cell r="V32">
            <v>1877484630</v>
          </cell>
          <cell r="X32">
            <v>0.973416748376665</v>
          </cell>
          <cell r="Z32">
            <v>0.9211965</v>
          </cell>
        </row>
        <row r="33">
          <cell r="D33">
            <v>3441027.09</v>
          </cell>
          <cell r="F33">
            <v>3441027.09</v>
          </cell>
          <cell r="H33">
            <v>2789934.55</v>
          </cell>
          <cell r="J33">
            <v>2789934.55</v>
          </cell>
          <cell r="L33">
            <v>2583642.02</v>
          </cell>
          <cell r="N33">
            <v>2583642.02</v>
          </cell>
          <cell r="P33">
            <v>2522047.27</v>
          </cell>
          <cell r="R33">
            <v>2522047.27</v>
          </cell>
          <cell r="T33">
            <v>1875813062</v>
          </cell>
          <cell r="V33">
            <v>1875813062</v>
          </cell>
          <cell r="X33">
            <v>0.926058290507209</v>
          </cell>
          <cell r="Z33">
            <v>0.9239598</v>
          </cell>
        </row>
      </sheetData>
      <sheetData sheetId="7">
        <row r="22">
          <cell r="D22">
            <v>98783.9610868276</v>
          </cell>
          <cell r="F22">
            <v>95090.1604155562</v>
          </cell>
          <cell r="H22">
            <v>98783.9610868276</v>
          </cell>
          <cell r="J22">
            <v>95090.1604155562</v>
          </cell>
          <cell r="L22">
            <v>0</v>
          </cell>
          <cell r="N22">
            <v>0</v>
          </cell>
          <cell r="P22">
            <v>98783.9610868276</v>
          </cell>
          <cell r="R22">
            <v>95090.1604155562</v>
          </cell>
          <cell r="T22">
            <v>33067992.9283201</v>
          </cell>
          <cell r="V22">
            <v>31882680.6</v>
          </cell>
          <cell r="X22">
            <v>0</v>
          </cell>
          <cell r="Z22">
            <v>0.4561644</v>
          </cell>
        </row>
        <row r="23">
          <cell r="D23">
            <v>98783.9610868276</v>
          </cell>
          <cell r="F23">
            <v>95090.1604155562</v>
          </cell>
          <cell r="H23">
            <v>98783.9610868276</v>
          </cell>
          <cell r="J23">
            <v>95090.1604155562</v>
          </cell>
          <cell r="L23">
            <v>98783.9610868276</v>
          </cell>
          <cell r="N23">
            <v>95090.1604155562</v>
          </cell>
          <cell r="P23">
            <v>98783.9610868276</v>
          </cell>
          <cell r="R23">
            <v>95090.1604155562</v>
          </cell>
          <cell r="T23">
            <v>32975144.5926897</v>
          </cell>
          <cell r="V23">
            <v>31793160.3852243</v>
          </cell>
          <cell r="X23">
            <v>1</v>
          </cell>
          <cell r="Z23">
            <v>0.4561644</v>
          </cell>
        </row>
        <row r="24">
          <cell r="D24">
            <v>98783.9610868276</v>
          </cell>
          <cell r="F24">
            <v>95090.1604155562</v>
          </cell>
          <cell r="H24">
            <v>98783.9610868276</v>
          </cell>
          <cell r="J24">
            <v>95090.1604155562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32919910.6591313</v>
          </cell>
          <cell r="V24">
            <v>31739906.2955145</v>
          </cell>
          <cell r="X24">
            <v>0</v>
          </cell>
          <cell r="Z24">
            <v>0.4561644</v>
          </cell>
        </row>
        <row r="25">
          <cell r="D25">
            <v>98783.9610868276</v>
          </cell>
          <cell r="F25">
            <v>95090.1604155562</v>
          </cell>
          <cell r="H25">
            <v>98783.9610868276</v>
          </cell>
          <cell r="J25">
            <v>95090.1604155562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32829596.9956093</v>
          </cell>
          <cell r="V25">
            <v>31652829.8982827</v>
          </cell>
          <cell r="X25">
            <v>0</v>
          </cell>
          <cell r="Z25">
            <v>0.4561644</v>
          </cell>
        </row>
        <row r="26">
          <cell r="D26">
            <v>98783.9610868276</v>
          </cell>
          <cell r="F26">
            <v>95090.1604155562</v>
          </cell>
          <cell r="H26">
            <v>98783.9610868276</v>
          </cell>
          <cell r="J26">
            <v>95090.1604155562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  <cell r="T26">
            <v>32802177.2363198</v>
          </cell>
          <cell r="V26">
            <v>31626392.992074</v>
          </cell>
          <cell r="X26">
            <v>0</v>
          </cell>
          <cell r="Z26">
            <v>0.4561644</v>
          </cell>
        </row>
        <row r="27">
          <cell r="D27">
            <v>98783.9610868276</v>
          </cell>
          <cell r="F27">
            <v>95090.1604155562</v>
          </cell>
          <cell r="H27">
            <v>98783.9610868276</v>
          </cell>
          <cell r="J27">
            <v>95090.1604155562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32745401.8786698</v>
          </cell>
          <cell r="V27">
            <v>31571652.7301587</v>
          </cell>
          <cell r="X27">
            <v>0</v>
          </cell>
          <cell r="Z27">
            <v>0.4561644</v>
          </cell>
        </row>
        <row r="28">
          <cell r="D28">
            <v>98783.9610868276</v>
          </cell>
          <cell r="F28">
            <v>95090.1604155562</v>
          </cell>
          <cell r="H28">
            <v>98783.9610868276</v>
          </cell>
          <cell r="J28">
            <v>95090.1604155562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  <cell r="T28">
            <v>32711572.3950821</v>
          </cell>
          <cell r="V28">
            <v>31539035.8543046</v>
          </cell>
          <cell r="X28">
            <v>0</v>
          </cell>
          <cell r="Z28">
            <v>0.4561644</v>
          </cell>
        </row>
        <row r="29">
          <cell r="D29">
            <v>98783.9610868276</v>
          </cell>
          <cell r="F29">
            <v>95090.1604155562</v>
          </cell>
          <cell r="H29">
            <v>98783.9610868276</v>
          </cell>
          <cell r="J29">
            <v>95090.1604155562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32711902.6982777</v>
          </cell>
          <cell r="V29">
            <v>31539354.3178808</v>
          </cell>
          <cell r="X29">
            <v>0</v>
          </cell>
          <cell r="Z29">
            <v>0.4561644</v>
          </cell>
        </row>
        <row r="30">
          <cell r="D30">
            <v>98783.9610868276</v>
          </cell>
          <cell r="F30">
            <v>95090.1604155562</v>
          </cell>
          <cell r="H30">
            <v>98783.9610868276</v>
          </cell>
          <cell r="J30">
            <v>95090.1604155562</v>
          </cell>
          <cell r="L30">
            <v>0</v>
          </cell>
          <cell r="N30">
            <v>0</v>
          </cell>
          <cell r="P30">
            <v>0</v>
          </cell>
          <cell r="R30">
            <v>0</v>
          </cell>
          <cell r="T30">
            <v>32753804.8222905</v>
          </cell>
          <cell r="V30">
            <v>31579754.4727756</v>
          </cell>
          <cell r="X30">
            <v>0</v>
          </cell>
          <cell r="Z30">
            <v>0.4561644</v>
          </cell>
        </row>
        <row r="31">
          <cell r="D31">
            <v>98783.9610868276</v>
          </cell>
          <cell r="F31">
            <v>95090.1604155562</v>
          </cell>
          <cell r="H31">
            <v>98783.9610868276</v>
          </cell>
          <cell r="J31">
            <v>95090.1604155562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32804240.5001254</v>
          </cell>
          <cell r="V31">
            <v>31628382.2988048</v>
          </cell>
          <cell r="X31">
            <v>0</v>
          </cell>
          <cell r="Z31">
            <v>0.4561644</v>
          </cell>
        </row>
        <row r="32">
          <cell r="D32">
            <v>98783.9610868276</v>
          </cell>
          <cell r="F32">
            <v>95090.1604155562</v>
          </cell>
          <cell r="H32">
            <v>98783.9610868276</v>
          </cell>
          <cell r="J32">
            <v>95090.1604155562</v>
          </cell>
          <cell r="L32">
            <v>98783.9610868276</v>
          </cell>
          <cell r="N32">
            <v>95090.1604155562</v>
          </cell>
          <cell r="P32">
            <v>0</v>
          </cell>
          <cell r="R32">
            <v>0</v>
          </cell>
          <cell r="T32">
            <v>32845010.4567632</v>
          </cell>
          <cell r="V32">
            <v>31667690.8685259</v>
          </cell>
          <cell r="X32">
            <v>1</v>
          </cell>
          <cell r="Z32">
            <v>0.4561644</v>
          </cell>
        </row>
        <row r="33">
          <cell r="D33">
            <v>98783.9610868276</v>
          </cell>
          <cell r="F33">
            <v>95090.1604155562</v>
          </cell>
          <cell r="H33">
            <v>98783.9610868276</v>
          </cell>
          <cell r="J33">
            <v>95090.1604155562</v>
          </cell>
          <cell r="L33">
            <v>0</v>
          </cell>
          <cell r="N33">
            <v>0</v>
          </cell>
          <cell r="P33">
            <v>98783.9610868276</v>
          </cell>
          <cell r="R33">
            <v>95090.1604155562</v>
          </cell>
          <cell r="T33">
            <v>32940185.0947034</v>
          </cell>
          <cell r="V33">
            <v>31759454</v>
          </cell>
          <cell r="X33">
            <v>0</v>
          </cell>
          <cell r="Z33">
            <v>0.4561644</v>
          </cell>
        </row>
      </sheetData>
      <sheetData sheetId="8">
        <row r="22">
          <cell r="D22">
            <v>72897.0206197243</v>
          </cell>
          <cell r="F22">
            <v>72435.60581071</v>
          </cell>
          <cell r="H22">
            <v>69840.4392387055</v>
          </cell>
          <cell r="J22">
            <v>69398.37161154</v>
          </cell>
          <cell r="L22">
            <v>69382.1503005451</v>
          </cell>
          <cell r="N22">
            <v>68942.9834956776</v>
          </cell>
          <cell r="P22">
            <v>69840.4392387055</v>
          </cell>
          <cell r="R22">
            <v>69398.37161154</v>
          </cell>
          <cell r="T22">
            <v>30801103.2009665</v>
          </cell>
          <cell r="V22">
            <v>30625313.8991852</v>
          </cell>
        </row>
        <row r="23">
          <cell r="D23">
            <v>112808.25883979</v>
          </cell>
          <cell r="F23">
            <v>112094.218666882</v>
          </cell>
          <cell r="H23">
            <v>101575.176062048</v>
          </cell>
          <cell r="J23">
            <v>100932.237707849</v>
          </cell>
          <cell r="L23">
            <v>101575.176062048</v>
          </cell>
          <cell r="N23">
            <v>100932.237707849</v>
          </cell>
          <cell r="P23">
            <v>101260.066516705</v>
          </cell>
          <cell r="R23">
            <v>100619.122705074</v>
          </cell>
          <cell r="T23">
            <v>32891542.404102</v>
          </cell>
          <cell r="V23">
            <v>32703822.4631634</v>
          </cell>
        </row>
        <row r="24">
          <cell r="D24">
            <v>53116.8894490395</v>
          </cell>
          <cell r="F24">
            <v>52780.676539483</v>
          </cell>
          <cell r="H24">
            <v>49737.5284317544</v>
          </cell>
          <cell r="J24">
            <v>49422.7057958349</v>
          </cell>
          <cell r="L24">
            <v>49737.5284317544</v>
          </cell>
          <cell r="N24">
            <v>49422.7057958349</v>
          </cell>
          <cell r="P24">
            <v>32009.1925538837</v>
          </cell>
          <cell r="R24">
            <v>31806.5846099185</v>
          </cell>
          <cell r="T24">
            <v>21163367.1765848</v>
          </cell>
          <cell r="V24">
            <v>21042582.7515907</v>
          </cell>
        </row>
        <row r="25">
          <cell r="D25">
            <v>49911.0181388892</v>
          </cell>
          <cell r="F25">
            <v>49595.0973686509</v>
          </cell>
          <cell r="H25">
            <v>44554.5859872443</v>
          </cell>
          <cell r="J25">
            <v>44272.5697181397</v>
          </cell>
          <cell r="L25">
            <v>39886.0887594822</v>
          </cell>
          <cell r="N25">
            <v>39633.6225836245</v>
          </cell>
          <cell r="P25">
            <v>35661.7041054162</v>
          </cell>
          <cell r="R25">
            <v>35435.9769323571</v>
          </cell>
          <cell r="T25">
            <v>19685594.389498</v>
          </cell>
          <cell r="V25">
            <v>19573243.9691153</v>
          </cell>
        </row>
        <row r="26">
          <cell r="D26">
            <v>56747.3961406946</v>
          </cell>
          <cell r="F26">
            <v>56388.2032857642</v>
          </cell>
          <cell r="H26">
            <v>54740.3853175966</v>
          </cell>
          <cell r="J26">
            <v>54393.8961988102</v>
          </cell>
          <cell r="L26">
            <v>53551.5693479322</v>
          </cell>
          <cell r="N26">
            <v>53212.6050537398</v>
          </cell>
          <cell r="P26">
            <v>53551.5693479322</v>
          </cell>
          <cell r="R26">
            <v>53212.6050537398</v>
          </cell>
          <cell r="T26">
            <v>21520332.6921356</v>
          </cell>
          <cell r="V26">
            <v>21397510.9791155</v>
          </cell>
        </row>
        <row r="27">
          <cell r="D27">
            <v>76419.7642475075</v>
          </cell>
          <cell r="F27">
            <v>75936.0515988229</v>
          </cell>
          <cell r="H27">
            <v>71375.8815853765</v>
          </cell>
          <cell r="J27">
            <v>70924.0950995921</v>
          </cell>
          <cell r="L27">
            <v>69683.4102419097</v>
          </cell>
          <cell r="N27">
            <v>69242.336558035</v>
          </cell>
          <cell r="P27">
            <v>67577.9773436967</v>
          </cell>
          <cell r="R27">
            <v>67150.2303762003</v>
          </cell>
          <cell r="T27">
            <v>30042445.2621322</v>
          </cell>
          <cell r="V27">
            <v>29870985.8036194</v>
          </cell>
        </row>
        <row r="28">
          <cell r="D28">
            <v>78287.6960592</v>
          </cell>
          <cell r="F28">
            <v>77792.16</v>
          </cell>
          <cell r="H28">
            <v>76121.73823944</v>
          </cell>
          <cell r="J28">
            <v>75639.912</v>
          </cell>
          <cell r="L28">
            <v>71436.2183985</v>
          </cell>
          <cell r="N28">
            <v>70984.05</v>
          </cell>
          <cell r="P28">
            <v>75139.6197437</v>
          </cell>
          <cell r="R28">
            <v>74664.01</v>
          </cell>
          <cell r="T28">
            <v>33597268.3844708</v>
          </cell>
          <cell r="V28">
            <v>33405520.6956776</v>
          </cell>
        </row>
        <row r="29">
          <cell r="D29">
            <v>95626.0925597</v>
          </cell>
          <cell r="F29">
            <v>95020.81</v>
          </cell>
          <cell r="H29">
            <v>82588.5692097</v>
          </cell>
          <cell r="J29">
            <v>82065.81</v>
          </cell>
          <cell r="L29">
            <v>74715.1932599</v>
          </cell>
          <cell r="N29">
            <v>74242.27</v>
          </cell>
          <cell r="P29">
            <v>73315.8860934</v>
          </cell>
          <cell r="R29">
            <v>72851.82</v>
          </cell>
          <cell r="T29">
            <v>35581342.7996344</v>
          </cell>
          <cell r="V29">
            <v>35378271.5211033</v>
          </cell>
        </row>
        <row r="30">
          <cell r="D30">
            <v>87682.200264</v>
          </cell>
          <cell r="F30">
            <v>87127.2</v>
          </cell>
          <cell r="H30">
            <v>79395.3169449</v>
          </cell>
          <cell r="J30">
            <v>78892.77</v>
          </cell>
          <cell r="L30">
            <v>75928.1106387</v>
          </cell>
          <cell r="N30">
            <v>75447.51</v>
          </cell>
          <cell r="P30">
            <v>76401.0642839</v>
          </cell>
          <cell r="R30">
            <v>75917.47</v>
          </cell>
          <cell r="T30">
            <v>29444621.1942186</v>
          </cell>
          <cell r="V30">
            <v>29276573.6614021</v>
          </cell>
        </row>
        <row r="31">
          <cell r="D31">
            <v>67667.7753602</v>
          </cell>
          <cell r="F31">
            <v>67239.46</v>
          </cell>
          <cell r="H31">
            <v>56011.8671921</v>
          </cell>
          <cell r="J31">
            <v>55657.33</v>
          </cell>
          <cell r="L31">
            <v>55605.3943491</v>
          </cell>
          <cell r="N31">
            <v>55253.43</v>
          </cell>
          <cell r="P31">
            <v>55605.3943491</v>
          </cell>
          <cell r="R31">
            <v>55253.43</v>
          </cell>
          <cell r="T31">
            <v>22928738.125413</v>
          </cell>
          <cell r="V31">
            <v>22797878.3039483</v>
          </cell>
        </row>
        <row r="32">
          <cell r="D32">
            <v>59101.0104804</v>
          </cell>
          <cell r="F32">
            <v>58726.92</v>
          </cell>
          <cell r="H32">
            <v>46784.7726368</v>
          </cell>
          <cell r="J32">
            <v>46488.64</v>
          </cell>
          <cell r="L32">
            <v>46423.5260616</v>
          </cell>
          <cell r="N32">
            <v>46129.68</v>
          </cell>
          <cell r="P32">
            <v>32355.9226344</v>
          </cell>
          <cell r="R32">
            <v>32151.12</v>
          </cell>
          <cell r="T32">
            <v>21705358.3329984</v>
          </cell>
          <cell r="V32">
            <v>21581480.6341583</v>
          </cell>
        </row>
        <row r="33">
          <cell r="D33">
            <v>69396.5781284</v>
          </cell>
          <cell r="F33">
            <v>68957.32</v>
          </cell>
          <cell r="H33">
            <v>57640.1939795</v>
          </cell>
          <cell r="J33">
            <v>57275.35</v>
          </cell>
          <cell r="L33">
            <v>54485.4353672</v>
          </cell>
          <cell r="N33">
            <v>54140.56</v>
          </cell>
          <cell r="P33">
            <v>36685.2257374</v>
          </cell>
          <cell r="R33">
            <v>36453.02</v>
          </cell>
          <cell r="T33">
            <v>23306432.0315127</v>
          </cell>
          <cell r="V33">
            <v>23173416.6201132</v>
          </cell>
        </row>
      </sheetData>
      <sheetData sheetId="9">
        <row r="22">
          <cell r="D22">
            <v>106943.265451756</v>
          </cell>
          <cell r="F22">
            <v>104826.039033517</v>
          </cell>
          <cell r="H22">
            <v>84908.0469588192</v>
          </cell>
          <cell r="J22">
            <v>83227.0663062937</v>
          </cell>
          <cell r="L22">
            <v>81353.8116307007</v>
          </cell>
          <cell r="N22">
            <v>79743.1965210782</v>
          </cell>
          <cell r="P22">
            <v>81738.1968990759</v>
          </cell>
          <cell r="R22">
            <v>80119.9718605668</v>
          </cell>
          <cell r="T22">
            <v>38825084.4109672</v>
          </cell>
          <cell r="V22">
            <v>38248932.712887</v>
          </cell>
          <cell r="X22">
            <v>0.958140182757445</v>
          </cell>
          <cell r="Z22">
            <v>0.61771</v>
          </cell>
        </row>
        <row r="23">
          <cell r="D23">
            <v>182670.901536955</v>
          </cell>
          <cell r="F23">
            <v>179054.445120145</v>
          </cell>
          <cell r="H23">
            <v>127209.271910018</v>
          </cell>
          <cell r="J23">
            <v>124690.825984554</v>
          </cell>
          <cell r="L23">
            <v>121426.538871038</v>
          </cell>
          <cell r="N23">
            <v>119022.577528666</v>
          </cell>
          <cell r="P23">
            <v>121886.058239478</v>
          </cell>
          <cell r="R23">
            <v>119472.999488845</v>
          </cell>
          <cell r="T23">
            <v>42248809.7128775</v>
          </cell>
          <cell r="V23">
            <v>41621851.0384214</v>
          </cell>
          <cell r="X23">
            <v>0.95454157584464</v>
          </cell>
          <cell r="Z23">
            <v>0.4967267</v>
          </cell>
        </row>
        <row r="24">
          <cell r="D24">
            <v>81794.1590231212</v>
          </cell>
          <cell r="F24">
            <v>80174.8260655023</v>
          </cell>
          <cell r="H24">
            <v>65877.2708198183</v>
          </cell>
          <cell r="J24">
            <v>64573.0550045257</v>
          </cell>
          <cell r="L24">
            <v>65614.2773799326</v>
          </cell>
          <cell r="N24">
            <v>64315.2682193685</v>
          </cell>
          <cell r="P24">
            <v>40307.015029426</v>
          </cell>
          <cell r="R24">
            <v>39509.0304466646</v>
          </cell>
          <cell r="T24">
            <v>27090294.8137594</v>
          </cell>
          <cell r="V24">
            <v>26688283.5987101</v>
          </cell>
          <cell r="X24">
            <v>0.996007827333877</v>
          </cell>
          <cell r="Z24">
            <v>0.55626</v>
          </cell>
        </row>
        <row r="25">
          <cell r="D25">
            <v>77785.1692218939</v>
          </cell>
          <cell r="F25">
            <v>76245.2048816607</v>
          </cell>
          <cell r="H25">
            <v>55369.7596707661</v>
          </cell>
          <cell r="J25">
            <v>54273.5679895856</v>
          </cell>
          <cell r="L25">
            <v>46950.8879816949</v>
          </cell>
          <cell r="N25">
            <v>46021.3702605488</v>
          </cell>
          <cell r="P25">
            <v>41445.0565401557</v>
          </cell>
          <cell r="R25">
            <v>40624.5413983975</v>
          </cell>
          <cell r="T25">
            <v>24769626.6507275</v>
          </cell>
          <cell r="V25">
            <v>24402053.4008004</v>
          </cell>
          <cell r="X25">
            <v>0.847951810895863</v>
          </cell>
          <cell r="Z25">
            <v>0.62446</v>
          </cell>
        </row>
        <row r="26">
          <cell r="D26">
            <v>80408.3314705471</v>
          </cell>
          <cell r="F26">
            <v>78816.4346557563</v>
          </cell>
          <cell r="H26">
            <v>68309.0959395592</v>
          </cell>
          <cell r="J26">
            <v>66956.7356771497</v>
          </cell>
          <cell r="L26">
            <v>62873.2054838319</v>
          </cell>
          <cell r="N26">
            <v>61628.4631329468</v>
          </cell>
          <cell r="P26">
            <v>62873.2054838319</v>
          </cell>
          <cell r="R26">
            <v>61628.4631329468</v>
          </cell>
          <cell r="T26">
            <v>27451810.7128462</v>
          </cell>
          <cell r="V26">
            <v>27044434.7187552</v>
          </cell>
          <cell r="X26">
            <v>0.920422157825993</v>
          </cell>
          <cell r="Z26">
            <v>0.542889</v>
          </cell>
        </row>
        <row r="27">
          <cell r="D27">
            <v>97500.0518492545</v>
          </cell>
          <cell r="F27">
            <v>95569.778964067</v>
          </cell>
          <cell r="H27">
            <v>84144.7193426044</v>
          </cell>
          <cell r="J27">
            <v>82478.8507907614</v>
          </cell>
          <cell r="L27">
            <v>77777.3721295601</v>
          </cell>
          <cell r="N27">
            <v>76237.5621535106</v>
          </cell>
          <cell r="P27">
            <v>75438.3223506491</v>
          </cell>
          <cell r="R27">
            <v>73944.8200870541</v>
          </cell>
          <cell r="T27">
            <v>36447206.5183882</v>
          </cell>
          <cell r="V27">
            <v>35906341.7593171</v>
          </cell>
          <cell r="X27">
            <v>0.924328617852785</v>
          </cell>
          <cell r="Z27">
            <v>0.604639</v>
          </cell>
        </row>
        <row r="28">
          <cell r="D28">
            <v>119753.539876958</v>
          </cell>
          <cell r="F28">
            <v>117382.7</v>
          </cell>
          <cell r="H28">
            <v>92044.7608890703</v>
          </cell>
          <cell r="J28">
            <v>90222.49</v>
          </cell>
          <cell r="L28">
            <v>83756.5537820162</v>
          </cell>
          <cell r="N28">
            <v>82098.37</v>
          </cell>
          <cell r="P28">
            <v>87837.976399681</v>
          </cell>
          <cell r="R28">
            <v>86098.99</v>
          </cell>
          <cell r="T28">
            <v>40977245.1643592</v>
          </cell>
          <cell r="V28">
            <v>40369156.0966268</v>
          </cell>
          <cell r="X28">
            <v>0.909954602228336</v>
          </cell>
          <cell r="Z28">
            <v>0.601397</v>
          </cell>
        </row>
        <row r="29">
          <cell r="D29">
            <v>128360.528104274</v>
          </cell>
          <cell r="F29">
            <v>125819.29</v>
          </cell>
          <cell r="H29">
            <v>93752.0920510753</v>
          </cell>
          <cell r="J29">
            <v>91896.02</v>
          </cell>
          <cell r="L29">
            <v>87714.7773467069</v>
          </cell>
          <cell r="N29">
            <v>85978.23</v>
          </cell>
          <cell r="P29">
            <v>86326.7884136017</v>
          </cell>
          <cell r="R29">
            <v>84617.72</v>
          </cell>
          <cell r="T29">
            <v>43473102.3901169</v>
          </cell>
          <cell r="V29">
            <v>42827975.608221</v>
          </cell>
          <cell r="X29">
            <v>0.935603413510182</v>
          </cell>
          <cell r="Z29">
            <v>0.626409</v>
          </cell>
        </row>
        <row r="30">
          <cell r="D30">
            <v>122036.813349049</v>
          </cell>
          <cell r="F30">
            <v>119620.77</v>
          </cell>
          <cell r="H30">
            <v>96152.5250067995</v>
          </cell>
          <cell r="J30">
            <v>94248.93</v>
          </cell>
          <cell r="L30">
            <v>91072.8697180222</v>
          </cell>
          <cell r="N30">
            <v>89269.84</v>
          </cell>
          <cell r="P30">
            <v>93379.6995509378</v>
          </cell>
          <cell r="R30">
            <v>91531</v>
          </cell>
          <cell r="T30">
            <v>37179855.1638844</v>
          </cell>
          <cell r="V30">
            <v>36628118.1358253</v>
          </cell>
          <cell r="X30">
            <v>0.947170859128056</v>
          </cell>
          <cell r="Z30">
            <v>0.539766</v>
          </cell>
        </row>
        <row r="31">
          <cell r="D31">
            <v>103290.816474902</v>
          </cell>
          <cell r="F31">
            <v>101245.9</v>
          </cell>
          <cell r="H31">
            <v>79809.1749170035</v>
          </cell>
          <cell r="J31">
            <v>78229.14</v>
          </cell>
          <cell r="L31">
            <v>74371.4404993476</v>
          </cell>
          <cell r="N31">
            <v>72899.06</v>
          </cell>
          <cell r="P31">
            <v>74371.4404993476</v>
          </cell>
          <cell r="R31">
            <v>72899.06</v>
          </cell>
          <cell r="T31">
            <v>31570926.2572004</v>
          </cell>
          <cell r="V31">
            <v>31102423.9203989</v>
          </cell>
          <cell r="X31">
            <v>0.931865798345731</v>
          </cell>
          <cell r="Z31">
            <v>0.53438</v>
          </cell>
        </row>
        <row r="32">
          <cell r="D32">
            <v>99986.4579071657</v>
          </cell>
          <cell r="F32">
            <v>98006.96</v>
          </cell>
          <cell r="H32">
            <v>67759.0506527884</v>
          </cell>
          <cell r="J32">
            <v>66417.58</v>
          </cell>
          <cell r="L32">
            <v>67361.4286678874</v>
          </cell>
          <cell r="N32">
            <v>66027.83</v>
          </cell>
          <cell r="P32">
            <v>44230.0311218842</v>
          </cell>
          <cell r="R32">
            <v>43354.38</v>
          </cell>
          <cell r="T32">
            <v>30991569.9293214</v>
          </cell>
          <cell r="V32">
            <v>30531665.0530835</v>
          </cell>
          <cell r="X32">
            <v>0.994131824736764</v>
          </cell>
          <cell r="Z32">
            <v>0.637576</v>
          </cell>
        </row>
        <row r="33">
          <cell r="D33">
            <v>76314.5699150285</v>
          </cell>
          <cell r="F33">
            <v>74803.72</v>
          </cell>
          <cell r="H33">
            <v>76314.5699150285</v>
          </cell>
          <cell r="J33">
            <v>74803.72</v>
          </cell>
          <cell r="L33">
            <v>72808.0286020251</v>
          </cell>
          <cell r="N33">
            <v>71366.6</v>
          </cell>
          <cell r="P33">
            <v>46706.3259654783</v>
          </cell>
          <cell r="R33">
            <v>45781.65</v>
          </cell>
          <cell r="T33">
            <v>30634958.4049604</v>
          </cell>
          <cell r="V33">
            <v>30180345.5284292</v>
          </cell>
          <cell r="X33">
            <v>0.954051483001113</v>
          </cell>
          <cell r="Z33">
            <v>0.542285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"/>
      <sheetName val="WHOLESALE DLS"/>
      <sheetName val="36-MO LF-RES"/>
      <sheetName val="36 MO LF-SGS"/>
      <sheetName val="36 MO LF - LGS"/>
      <sheetName val="36 MO LF - SGP "/>
      <sheetName val="36 MO LF - LGP_SUBST"/>
      <sheetName val="36 MO LF - LGP_DLS"/>
      <sheetName val="36 MO LF -  HV"/>
      <sheetName val="36 MO LF -  WHLS SUB"/>
      <sheetName val="36 MO LF -  WHLS DLS"/>
    </sheetNames>
    <sheetDataSet>
      <sheetData sheetId="0">
        <row r="22">
          <cell r="D22">
            <v>34014382.1556182</v>
          </cell>
          <cell r="F22">
            <v>32742492</v>
          </cell>
          <cell r="H22">
            <v>9689978.32221687</v>
          </cell>
          <cell r="J22">
            <v>9327643.708</v>
          </cell>
          <cell r="L22">
            <v>9415346.04321178</v>
          </cell>
          <cell r="N22">
            <v>9063280.676</v>
          </cell>
          <cell r="P22">
            <v>9413484.42837561</v>
          </cell>
          <cell r="R22">
            <v>9061488.672</v>
          </cell>
          <cell r="T22">
            <v>4036335266.89247</v>
          </cell>
          <cell r="V22">
            <v>3891654035</v>
          </cell>
          <cell r="X22">
            <v>0.971658112136802</v>
          </cell>
          <cell r="Z22">
            <v>0.57005942451255</v>
          </cell>
        </row>
        <row r="23">
          <cell r="D23">
            <v>38067568.8161411</v>
          </cell>
          <cell r="F23">
            <v>36644119</v>
          </cell>
          <cell r="H23">
            <v>15323220.8314587</v>
          </cell>
          <cell r="J23">
            <v>14750243.976</v>
          </cell>
          <cell r="L23">
            <v>15282316.1170616</v>
          </cell>
          <cell r="N23">
            <v>14710868.8</v>
          </cell>
          <cell r="P23">
            <v>15295621.5763306</v>
          </cell>
          <cell r="R23">
            <v>14723676.732</v>
          </cell>
          <cell r="T23">
            <v>3977683061.09653</v>
          </cell>
          <cell r="V23">
            <v>3835104200</v>
          </cell>
          <cell r="X23">
            <v>0.997330540697221</v>
          </cell>
          <cell r="Z23">
            <v>0.449106902291227</v>
          </cell>
        </row>
        <row r="24">
          <cell r="D24">
            <v>30724527.554541</v>
          </cell>
          <cell r="F24">
            <v>29575654</v>
          </cell>
          <cell r="H24">
            <v>6499678.54652112</v>
          </cell>
          <cell r="J24">
            <v>6256637.908</v>
          </cell>
          <cell r="L24">
            <v>6499678.54652112</v>
          </cell>
          <cell r="N24">
            <v>6256637.908</v>
          </cell>
          <cell r="P24">
            <v>4853393.71210274</v>
          </cell>
          <cell r="R24">
            <v>4671912.136</v>
          </cell>
          <cell r="T24">
            <v>4457639451.5375</v>
          </cell>
          <cell r="V24">
            <v>4297856697</v>
          </cell>
          <cell r="X24">
            <v>1</v>
          </cell>
          <cell r="Z24">
            <v>0.547473993479445</v>
          </cell>
        </row>
        <row r="25">
          <cell r="D25">
            <v>29783836.5627854</v>
          </cell>
          <cell r="F25">
            <v>28670138</v>
          </cell>
          <cell r="H25">
            <v>6425623.10019673</v>
          </cell>
          <cell r="J25">
            <v>6185351.596</v>
          </cell>
          <cell r="L25">
            <v>6345153.1002874</v>
          </cell>
          <cell r="N25">
            <v>6107890.588</v>
          </cell>
          <cell r="P25">
            <v>5914306.42875844</v>
          </cell>
          <cell r="R25">
            <v>5693154.444</v>
          </cell>
          <cell r="T25">
            <v>2555291060.74627</v>
          </cell>
          <cell r="V25">
            <v>2463697416</v>
          </cell>
          <cell r="X25">
            <v>0.987476700912185</v>
          </cell>
          <cell r="Z25">
            <v>0.552323507518215</v>
          </cell>
        </row>
        <row r="26">
          <cell r="D26">
            <v>28647806.3052028</v>
          </cell>
          <cell r="F26">
            <v>27576587</v>
          </cell>
          <cell r="H26">
            <v>9086243.59250784</v>
          </cell>
          <cell r="J26">
            <v>8746484.26</v>
          </cell>
          <cell r="L26">
            <v>8794566.62634463</v>
          </cell>
          <cell r="N26">
            <v>8465713.888</v>
          </cell>
          <cell r="P26">
            <v>8794566.62634463</v>
          </cell>
          <cell r="R26">
            <v>8465713.888</v>
          </cell>
          <cell r="T26">
            <v>2721303420.17827</v>
          </cell>
          <cell r="V26">
            <v>2623759112</v>
          </cell>
          <cell r="X26">
            <v>0.967899059364454</v>
          </cell>
          <cell r="Z26">
            <v>0.459580723456454</v>
          </cell>
        </row>
        <row r="27">
          <cell r="D27">
            <v>30048625.7498419</v>
          </cell>
          <cell r="F27">
            <v>28925026</v>
          </cell>
          <cell r="H27">
            <v>11853884.2806839</v>
          </cell>
          <cell r="J27">
            <v>11410635.344</v>
          </cell>
          <cell r="L27">
            <v>10950002.4473616</v>
          </cell>
          <cell r="N27">
            <v>10540552.108</v>
          </cell>
          <cell r="P27">
            <v>10604321.1318632</v>
          </cell>
          <cell r="R27">
            <v>10207796.756</v>
          </cell>
          <cell r="T27">
            <v>3421701737.64214</v>
          </cell>
          <cell r="V27">
            <v>3299051861</v>
          </cell>
          <cell r="X27">
            <v>0.923748046469865</v>
          </cell>
          <cell r="Z27">
            <v>0.545104470602975</v>
          </cell>
        </row>
        <row r="28">
          <cell r="D28">
            <v>30140552.1268131</v>
          </cell>
          <cell r="F28">
            <v>29013515</v>
          </cell>
          <cell r="H28">
            <v>12486168.0152434</v>
          </cell>
          <cell r="J28">
            <v>12019276.272</v>
          </cell>
          <cell r="L28">
            <v>11415133.9207745</v>
          </cell>
          <cell r="N28">
            <v>10988291.052</v>
          </cell>
          <cell r="P28">
            <v>12242893.3547849</v>
          </cell>
          <cell r="R28">
            <v>11785098.312</v>
          </cell>
          <cell r="T28">
            <v>5050115118.84559</v>
          </cell>
          <cell r="V28">
            <v>4869095251</v>
          </cell>
          <cell r="X28">
            <v>0.914222354435618</v>
          </cell>
          <cell r="Z28">
            <v>0.56409166357695</v>
          </cell>
        </row>
        <row r="29">
          <cell r="D29">
            <v>30160941.5424558</v>
          </cell>
          <cell r="F29">
            <v>29033142</v>
          </cell>
          <cell r="H29">
            <v>12250472.0425079</v>
          </cell>
          <cell r="J29">
            <v>11792393.612</v>
          </cell>
          <cell r="L29">
            <v>11658806.9409863</v>
          </cell>
          <cell r="N29">
            <v>11222852.476</v>
          </cell>
          <cell r="P29">
            <v>11811515.143542</v>
          </cell>
          <cell r="R29">
            <v>11369850.504</v>
          </cell>
          <cell r="T29">
            <v>5208420080.92176</v>
          </cell>
          <cell r="V29">
            <v>5021725819</v>
          </cell>
          <cell r="X29">
            <v>0.951702669132378</v>
          </cell>
          <cell r="Z29">
            <v>0.593498157881356</v>
          </cell>
        </row>
        <row r="30">
          <cell r="D30">
            <v>29463434.8731762</v>
          </cell>
          <cell r="F30">
            <v>28361717</v>
          </cell>
          <cell r="H30">
            <v>12224284.2207063</v>
          </cell>
          <cell r="J30">
            <v>11767185.024</v>
          </cell>
          <cell r="L30">
            <v>11864491.4225341</v>
          </cell>
          <cell r="N30">
            <v>11420845.856</v>
          </cell>
          <cell r="P30">
            <v>12050483.1671487</v>
          </cell>
          <cell r="R30">
            <v>11599882.864</v>
          </cell>
          <cell r="T30">
            <v>5219922129.41403</v>
          </cell>
          <cell r="V30">
            <v>5032815580</v>
          </cell>
          <cell r="X30">
            <v>0.970567372970373</v>
          </cell>
          <cell r="Z30">
            <v>0.505621969567377</v>
          </cell>
        </row>
        <row r="31">
          <cell r="D31">
            <v>28826149.0239605</v>
          </cell>
          <cell r="F31">
            <v>27748261</v>
          </cell>
          <cell r="H31">
            <v>9176456.33607046</v>
          </cell>
          <cell r="J31">
            <v>8833323.704</v>
          </cell>
          <cell r="L31">
            <v>8653751.58125678</v>
          </cell>
          <cell r="N31">
            <v>8330164.3</v>
          </cell>
          <cell r="P31">
            <v>8653751.58125678</v>
          </cell>
          <cell r="R31">
            <v>8330164.3</v>
          </cell>
          <cell r="T31">
            <v>4019321623.94334</v>
          </cell>
          <cell r="V31">
            <v>3875250241</v>
          </cell>
          <cell r="X31">
            <v>0.943038495943248</v>
          </cell>
          <cell r="Z31">
            <v>0.472227024861562</v>
          </cell>
        </row>
        <row r="32">
          <cell r="D32">
            <v>31249333.4735938</v>
          </cell>
          <cell r="F32">
            <v>30080836</v>
          </cell>
          <cell r="H32">
            <v>6004799.33226238</v>
          </cell>
          <cell r="J32">
            <v>5780263.572</v>
          </cell>
          <cell r="L32">
            <v>6003731.27468809</v>
          </cell>
          <cell r="N32">
            <v>5779235.452</v>
          </cell>
          <cell r="P32">
            <v>4169789.89628384</v>
          </cell>
          <cell r="R32">
            <v>4013870.124</v>
          </cell>
          <cell r="T32">
            <v>2901506472.7674</v>
          </cell>
          <cell r="V32">
            <v>2797502840</v>
          </cell>
          <cell r="X32">
            <v>0.999822132678347</v>
          </cell>
          <cell r="Z32">
            <v>0.627735119973065</v>
          </cell>
        </row>
        <row r="33">
          <cell r="D33">
            <v>32683380.3834254</v>
          </cell>
          <cell r="F33">
            <v>31461260</v>
          </cell>
          <cell r="H33">
            <v>7361239.29137183</v>
          </cell>
          <cell r="J33">
            <v>7085982.556</v>
          </cell>
          <cell r="L33">
            <v>6937832.93753446</v>
          </cell>
          <cell r="N33">
            <v>6678408.516</v>
          </cell>
          <cell r="P33">
            <v>5035636.17696164</v>
          </cell>
          <cell r="R33">
            <v>4847340.06</v>
          </cell>
          <cell r="T33">
            <v>2869219033.13894</v>
          </cell>
          <cell r="V33">
            <v>2766372734</v>
          </cell>
          <cell r="X33">
            <v>0.94248164784785</v>
          </cell>
          <cell r="Z33">
            <v>0.556000843772812</v>
          </cell>
        </row>
      </sheetData>
      <sheetData sheetId="1">
        <row r="22">
          <cell r="D22">
            <v>848093.105217307</v>
          </cell>
          <cell r="F22">
            <v>816380.6</v>
          </cell>
          <cell r="H22">
            <v>290826.214237467</v>
          </cell>
          <cell r="J22">
            <v>279951.432</v>
          </cell>
          <cell r="L22">
            <v>273749.152506104</v>
          </cell>
          <cell r="N22">
            <v>263512.928</v>
          </cell>
          <cell r="P22">
            <v>286480.159441734</v>
          </cell>
          <cell r="R22">
            <v>275767.888</v>
          </cell>
          <cell r="T22">
            <v>164905534.627521</v>
          </cell>
          <cell r="V22">
            <v>158994545</v>
          </cell>
          <cell r="X22">
            <v>0.941280871890664</v>
          </cell>
          <cell r="Z22">
            <v>0.777422246878373</v>
          </cell>
        </row>
        <row r="23">
          <cell r="D23">
            <v>945629.869823927</v>
          </cell>
          <cell r="F23">
            <v>910270.2</v>
          </cell>
          <cell r="H23">
            <v>364823.36472203</v>
          </cell>
          <cell r="J23">
            <v>351181.628</v>
          </cell>
          <cell r="L23">
            <v>358411.969226628</v>
          </cell>
          <cell r="N23">
            <v>345009.972</v>
          </cell>
          <cell r="P23">
            <v>360537.363492276</v>
          </cell>
          <cell r="R23">
            <v>347055.892</v>
          </cell>
          <cell r="T23">
            <v>160682275.153253</v>
          </cell>
          <cell r="V23">
            <v>154922667</v>
          </cell>
          <cell r="X23">
            <v>0.982426028277311</v>
          </cell>
          <cell r="Z23">
            <v>0.665079473440287</v>
          </cell>
        </row>
        <row r="24">
          <cell r="D24">
            <v>798657.99203513</v>
          </cell>
          <cell r="F24">
            <v>768794</v>
          </cell>
          <cell r="H24">
            <v>246171.571845223</v>
          </cell>
          <cell r="J24">
            <v>236966.548</v>
          </cell>
          <cell r="L24">
            <v>216349.765488697</v>
          </cell>
          <cell r="N24">
            <v>208259.86</v>
          </cell>
          <cell r="P24">
            <v>170360.460433613</v>
          </cell>
          <cell r="R24">
            <v>163990.22</v>
          </cell>
          <cell r="T24">
            <v>168345280.283008</v>
          </cell>
          <cell r="V24">
            <v>162310994</v>
          </cell>
          <cell r="X24">
            <v>0.878857635213558</v>
          </cell>
          <cell r="Z24">
            <v>0.776485688680559</v>
          </cell>
        </row>
        <row r="25">
          <cell r="D25">
            <v>768579.162898607</v>
          </cell>
          <cell r="F25">
            <v>739839.9</v>
          </cell>
          <cell r="H25">
            <v>228003.440039678</v>
          </cell>
          <cell r="J25">
            <v>219477.772</v>
          </cell>
          <cell r="L25">
            <v>202360.679561761</v>
          </cell>
          <cell r="N25">
            <v>194793.864</v>
          </cell>
          <cell r="P25">
            <v>219561.929009209</v>
          </cell>
          <cell r="R25">
            <v>211351.912</v>
          </cell>
          <cell r="T25">
            <v>137680158.1402</v>
          </cell>
          <cell r="V25">
            <v>132745054</v>
          </cell>
          <cell r="X25">
            <v>0.887533449173158</v>
          </cell>
          <cell r="Z25">
            <v>0.822123956956132</v>
          </cell>
        </row>
        <row r="26">
          <cell r="D26">
            <v>745617.047004169</v>
          </cell>
          <cell r="F26">
            <v>717736.4</v>
          </cell>
          <cell r="H26">
            <v>277945.060920745</v>
          </cell>
          <cell r="J26">
            <v>267551.94</v>
          </cell>
          <cell r="L26">
            <v>268232.472867252</v>
          </cell>
          <cell r="N26">
            <v>258202.532</v>
          </cell>
          <cell r="P26">
            <v>268232.472867252</v>
          </cell>
          <cell r="R26">
            <v>258202.532</v>
          </cell>
          <cell r="T26">
            <v>139266775.982807</v>
          </cell>
          <cell r="V26">
            <v>134274800</v>
          </cell>
          <cell r="X26">
            <v>0.965055727123489</v>
          </cell>
          <cell r="Z26">
            <v>0.694008553198852</v>
          </cell>
        </row>
        <row r="27">
          <cell r="D27">
            <v>789385.155485021</v>
          </cell>
          <cell r="F27">
            <v>759867.9</v>
          </cell>
          <cell r="H27">
            <v>332241.429654564</v>
          </cell>
          <cell r="J27">
            <v>319818.02</v>
          </cell>
          <cell r="L27">
            <v>324196.707643486</v>
          </cell>
          <cell r="N27">
            <v>312074.112</v>
          </cell>
          <cell r="P27">
            <v>312995.666276939</v>
          </cell>
          <cell r="R27">
            <v>301291.908</v>
          </cell>
          <cell r="T27">
            <v>148333607.863077</v>
          </cell>
          <cell r="V27">
            <v>143016634</v>
          </cell>
          <cell r="X27">
            <v>0.975786517595225</v>
          </cell>
          <cell r="Z27">
            <v>0.7031551</v>
          </cell>
        </row>
        <row r="28">
          <cell r="D28">
            <v>790821.670691157</v>
          </cell>
          <cell r="F28">
            <v>761250.7</v>
          </cell>
          <cell r="H28">
            <v>348216.953907047</v>
          </cell>
          <cell r="J28">
            <v>335196.176</v>
          </cell>
          <cell r="L28">
            <v>347914.28011156</v>
          </cell>
          <cell r="N28">
            <v>334904.82</v>
          </cell>
          <cell r="P28">
            <v>330716.180442898</v>
          </cell>
          <cell r="R28">
            <v>318349.804</v>
          </cell>
          <cell r="T28">
            <v>179357692.924471</v>
          </cell>
          <cell r="V28">
            <v>172928670</v>
          </cell>
          <cell r="X28">
            <v>0.999130789606621</v>
          </cell>
          <cell r="Z28">
            <v>0.702596113262855</v>
          </cell>
        </row>
        <row r="29">
          <cell r="D29">
            <v>792955.147172818</v>
          </cell>
          <cell r="F29">
            <v>763304.4</v>
          </cell>
          <cell r="H29">
            <v>341090.409033553</v>
          </cell>
          <cell r="J29">
            <v>328336.112</v>
          </cell>
          <cell r="L29">
            <v>335344.726348678</v>
          </cell>
          <cell r="N29">
            <v>322805.276</v>
          </cell>
          <cell r="P29">
            <v>326156.044574255</v>
          </cell>
          <cell r="R29">
            <v>313960.184</v>
          </cell>
          <cell r="T29">
            <v>179569603.806744</v>
          </cell>
          <cell r="V29">
            <v>173132985</v>
          </cell>
          <cell r="X29">
            <v>0.983154956771858</v>
          </cell>
          <cell r="Z29">
            <v>0.733890368867248</v>
          </cell>
        </row>
        <row r="30">
          <cell r="D30">
            <v>785705.461739248</v>
          </cell>
          <cell r="F30">
            <v>756325.8</v>
          </cell>
          <cell r="H30">
            <v>349526.480670315</v>
          </cell>
          <cell r="J30">
            <v>336456.736</v>
          </cell>
          <cell r="L30">
            <v>343472.859322247</v>
          </cell>
          <cell r="N30">
            <v>330629.476</v>
          </cell>
          <cell r="P30">
            <v>335732.024477902</v>
          </cell>
          <cell r="R30">
            <v>323178.092</v>
          </cell>
          <cell r="T30">
            <v>180448277.60662</v>
          </cell>
          <cell r="V30">
            <v>173980163</v>
          </cell>
          <cell r="X30">
            <v>0.982680507249527</v>
          </cell>
          <cell r="Z30">
            <v>0.674947024578222</v>
          </cell>
        </row>
        <row r="31">
          <cell r="D31">
            <v>761311.920980379</v>
          </cell>
          <cell r="F31">
            <v>732844.4</v>
          </cell>
          <cell r="H31">
            <v>283482.592261374</v>
          </cell>
          <cell r="J31">
            <v>272882.408</v>
          </cell>
          <cell r="L31">
            <v>278910.459807831</v>
          </cell>
          <cell r="N31">
            <v>268481.24</v>
          </cell>
          <cell r="P31">
            <v>278910.459807831</v>
          </cell>
          <cell r="R31">
            <v>268481.24</v>
          </cell>
          <cell r="T31">
            <v>161881951.182137</v>
          </cell>
          <cell r="V31">
            <v>156079341</v>
          </cell>
          <cell r="X31">
            <v>0.983871558330722</v>
          </cell>
          <cell r="Z31">
            <v>0.714644651819979</v>
          </cell>
        </row>
        <row r="32">
          <cell r="D32">
            <v>789120.76936992</v>
          </cell>
          <cell r="F32">
            <v>759613.4</v>
          </cell>
          <cell r="H32">
            <v>231856.213714192</v>
          </cell>
          <cell r="J32">
            <v>223186.48</v>
          </cell>
          <cell r="L32">
            <v>199966.910015267</v>
          </cell>
          <cell r="N32">
            <v>192489.604</v>
          </cell>
          <cell r="P32">
            <v>214849.394542981</v>
          </cell>
          <cell r="R32">
            <v>206815.592</v>
          </cell>
          <cell r="T32">
            <v>140611571.786675</v>
          </cell>
          <cell r="V32">
            <v>135571392</v>
          </cell>
          <cell r="X32">
            <v>0.862460862324635</v>
          </cell>
          <cell r="Z32">
            <v>0.821482852849804</v>
          </cell>
        </row>
        <row r="33">
          <cell r="D33">
            <v>814710.852083104</v>
          </cell>
          <cell r="F33">
            <v>784246.6</v>
          </cell>
          <cell r="H33">
            <v>245323.446120265</v>
          </cell>
          <cell r="J33">
            <v>236150.136</v>
          </cell>
          <cell r="L33">
            <v>219329.821893591</v>
          </cell>
          <cell r="N33">
            <v>211128.484</v>
          </cell>
          <cell r="P33">
            <v>234624.694740909</v>
          </cell>
          <cell r="R33">
            <v>225851.44</v>
          </cell>
          <cell r="T33">
            <v>143104439.8995</v>
          </cell>
          <cell r="V33">
            <v>137974904</v>
          </cell>
          <cell r="X33">
            <v>0.894043457167435</v>
          </cell>
          <cell r="Z33">
            <v>0.794985041510622</v>
          </cell>
        </row>
      </sheetData>
      <sheetData sheetId="2">
        <row r="22">
          <cell r="D22">
            <v>10668889.4611063</v>
          </cell>
          <cell r="F22">
            <v>10269950.7</v>
          </cell>
          <cell r="H22">
            <v>6472920.01638445</v>
          </cell>
          <cell r="J22">
            <v>6230879.952</v>
          </cell>
          <cell r="L22">
            <v>6395339.91773418</v>
          </cell>
          <cell r="N22">
            <v>6156200.784</v>
          </cell>
          <cell r="P22">
            <v>6349542.16743169</v>
          </cell>
          <cell r="R22">
            <v>6112115.536</v>
          </cell>
          <cell r="T22">
            <v>3475490196.89621</v>
          </cell>
          <cell r="V22">
            <v>3350912289</v>
          </cell>
          <cell r="X22">
            <v>0.988014667498765</v>
          </cell>
          <cell r="Z22">
            <v>0.739711796337806</v>
          </cell>
        </row>
        <row r="23">
          <cell r="D23">
            <v>12207908.5665081</v>
          </cell>
          <cell r="F23">
            <v>11751421.7</v>
          </cell>
          <cell r="H23">
            <v>7177470.83764345</v>
          </cell>
          <cell r="J23">
            <v>6909085.704</v>
          </cell>
          <cell r="L23">
            <v>6054127.0787107</v>
          </cell>
          <cell r="N23">
            <v>5827746.82</v>
          </cell>
          <cell r="P23">
            <v>6062766.59364505</v>
          </cell>
          <cell r="R23">
            <v>5836063.28</v>
          </cell>
          <cell r="T23">
            <v>3426704297.92095</v>
          </cell>
          <cell r="V23">
            <v>3303875106</v>
          </cell>
          <cell r="X23">
            <v>0.84349030677475</v>
          </cell>
          <cell r="Z23">
            <v>0.699838343799901</v>
          </cell>
        </row>
        <row r="24">
          <cell r="D24">
            <v>10633018.8619544</v>
          </cell>
          <cell r="F24">
            <v>10235421.4</v>
          </cell>
          <cell r="H24">
            <v>6069318.05456728</v>
          </cell>
          <cell r="J24">
            <v>5842369.764</v>
          </cell>
          <cell r="L24">
            <v>5471338.52336557</v>
          </cell>
          <cell r="N24">
            <v>5266750.312</v>
          </cell>
          <cell r="P24">
            <v>4850135.06649054</v>
          </cell>
          <cell r="R24">
            <v>4668775.34</v>
          </cell>
          <cell r="T24">
            <v>3672376950.77421</v>
          </cell>
          <cell r="V24">
            <v>3540741696</v>
          </cell>
          <cell r="X24">
            <v>0.901475004963414</v>
          </cell>
          <cell r="Z24">
            <v>0.763568952334674</v>
          </cell>
        </row>
        <row r="25">
          <cell r="D25">
            <v>10782152.2650465</v>
          </cell>
          <cell r="F25">
            <v>10378978.3</v>
          </cell>
          <cell r="H25">
            <v>6818672.21852704</v>
          </cell>
          <cell r="J25">
            <v>6563703.54</v>
          </cell>
          <cell r="L25">
            <v>5946472.79663985</v>
          </cell>
          <cell r="N25">
            <v>5724118.024</v>
          </cell>
          <cell r="P25">
            <v>6338138.97509104</v>
          </cell>
          <cell r="R25">
            <v>6101138.74</v>
          </cell>
          <cell r="T25">
            <v>3264617904.57036</v>
          </cell>
          <cell r="V25">
            <v>3147598651</v>
          </cell>
          <cell r="X25">
            <v>0.872086618342303</v>
          </cell>
          <cell r="Z25">
            <v>0.693619761942357</v>
          </cell>
        </row>
        <row r="26">
          <cell r="D26">
            <v>11451491.5804423</v>
          </cell>
          <cell r="F26">
            <v>11023289.2</v>
          </cell>
          <cell r="H26">
            <v>7818203.36761621</v>
          </cell>
          <cell r="J26">
            <v>7525859.504</v>
          </cell>
          <cell r="L26">
            <v>7416688.47914125</v>
          </cell>
          <cell r="N26">
            <v>7139358.348</v>
          </cell>
          <cell r="P26">
            <v>7416688.47914125</v>
          </cell>
          <cell r="R26">
            <v>7139358.348</v>
          </cell>
          <cell r="T26">
            <v>3563241334.1995</v>
          </cell>
          <cell r="V26">
            <v>3435518013</v>
          </cell>
          <cell r="X26">
            <v>0.948643586052254</v>
          </cell>
          <cell r="Z26">
            <v>0.643912795978797</v>
          </cell>
        </row>
        <row r="27">
          <cell r="D27">
            <v>12680541.5996175</v>
          </cell>
          <cell r="F27">
            <v>12206381.7</v>
          </cell>
          <cell r="H27">
            <v>8681555.29359542</v>
          </cell>
          <cell r="J27">
            <v>8356928.356</v>
          </cell>
          <cell r="L27">
            <v>8285426.11961685</v>
          </cell>
          <cell r="N27">
            <v>7975611.528</v>
          </cell>
          <cell r="P27">
            <v>8138709.16614065</v>
          </cell>
          <cell r="R27">
            <v>7834380.72</v>
          </cell>
          <cell r="T27">
            <v>3882809967.39359</v>
          </cell>
          <cell r="V27">
            <v>3743631804</v>
          </cell>
          <cell r="X27">
            <v>0.95437117422142</v>
          </cell>
          <cell r="Z27">
            <v>0.700639261682732</v>
          </cell>
        </row>
        <row r="28">
          <cell r="D28">
            <v>12636076.7376302</v>
          </cell>
          <cell r="F28">
            <v>12163579.5</v>
          </cell>
          <cell r="H28">
            <v>9085662.45832185</v>
          </cell>
          <cell r="J28">
            <v>8745924.856</v>
          </cell>
          <cell r="L28">
            <v>9055822.26855986</v>
          </cell>
          <cell r="N28">
            <v>8717200.472</v>
          </cell>
          <cell r="P28">
            <v>8479979.77742595</v>
          </cell>
          <cell r="R28">
            <v>8162890.296</v>
          </cell>
          <cell r="T28">
            <v>4635430716.3129</v>
          </cell>
          <cell r="V28">
            <v>4469275087</v>
          </cell>
          <cell r="X28">
            <v>0.996715683650049</v>
          </cell>
          <cell r="Z28">
            <v>0.695886570075524</v>
          </cell>
        </row>
        <row r="29">
          <cell r="D29">
            <v>13236572.5057667</v>
          </cell>
          <cell r="F29">
            <v>12741621.1</v>
          </cell>
          <cell r="H29">
            <v>9456269.07037286</v>
          </cell>
          <cell r="J29">
            <v>9102673.48</v>
          </cell>
          <cell r="L29">
            <v>8895397.51936167</v>
          </cell>
          <cell r="N29">
            <v>8562774.44</v>
          </cell>
          <cell r="P29">
            <v>8584121.9107123</v>
          </cell>
          <cell r="R29">
            <v>8263138.272</v>
          </cell>
          <cell r="T29">
            <v>4678725379.58473</v>
          </cell>
          <cell r="V29">
            <v>4511017866</v>
          </cell>
          <cell r="X29">
            <v>0.940687860419662</v>
          </cell>
          <cell r="Z29">
            <v>0.701932919218224</v>
          </cell>
        </row>
        <row r="30">
          <cell r="D30">
            <v>12918164.2563</v>
          </cell>
          <cell r="F30">
            <v>12435119</v>
          </cell>
          <cell r="H30">
            <v>9411543.44991802</v>
          </cell>
          <cell r="J30">
            <v>9059620.272</v>
          </cell>
          <cell r="L30">
            <v>8981470.76796189</v>
          </cell>
          <cell r="N30">
            <v>8645629.176</v>
          </cell>
          <cell r="P30">
            <v>8753100.873184</v>
          </cell>
          <cell r="R30">
            <v>8425798.652</v>
          </cell>
          <cell r="T30">
            <v>4722932137.62093</v>
          </cell>
          <cell r="V30">
            <v>4553640046</v>
          </cell>
          <cell r="X30">
            <v>0.954303703293228</v>
          </cell>
          <cell r="Z30">
            <v>0.64960088447283</v>
          </cell>
        </row>
        <row r="31">
          <cell r="D31">
            <v>12007218.5204725</v>
          </cell>
          <cell r="F31">
            <v>11558236</v>
          </cell>
          <cell r="H31">
            <v>7847433.44356525</v>
          </cell>
          <cell r="J31">
            <v>7553996.588</v>
          </cell>
          <cell r="L31">
            <v>7499398.22940091</v>
          </cell>
          <cell r="N31">
            <v>7218975.356</v>
          </cell>
          <cell r="P31">
            <v>7499398.22940091</v>
          </cell>
          <cell r="R31">
            <v>7218975.356</v>
          </cell>
          <cell r="T31">
            <v>4154433965.46388</v>
          </cell>
          <cell r="V31">
            <v>4005519521</v>
          </cell>
          <cell r="X31">
            <v>0.955649803637428</v>
          </cell>
          <cell r="Z31">
            <v>0.675164184898869</v>
          </cell>
        </row>
        <row r="32">
          <cell r="D32">
            <v>11060146.6295627</v>
          </cell>
          <cell r="F32">
            <v>10646577.7</v>
          </cell>
          <cell r="H32">
            <v>6837762.10940857</v>
          </cell>
          <cell r="J32">
            <v>6582079.608</v>
          </cell>
          <cell r="L32">
            <v>5305920.9800307</v>
          </cell>
          <cell r="N32">
            <v>5107518.18</v>
          </cell>
          <cell r="P32">
            <v>6662309.11322852</v>
          </cell>
          <cell r="R32">
            <v>6413187.276</v>
          </cell>
          <cell r="T32">
            <v>3660818935.15707</v>
          </cell>
          <cell r="V32">
            <v>3529597974</v>
          </cell>
          <cell r="X32">
            <v>0.775973322138525</v>
          </cell>
          <cell r="Z32">
            <v>0.683571025177377</v>
          </cell>
        </row>
        <row r="33">
          <cell r="D33">
            <v>11121714.7280262</v>
          </cell>
          <cell r="F33">
            <v>10705843.6</v>
          </cell>
          <cell r="H33">
            <v>6580903.23841399</v>
          </cell>
          <cell r="J33">
            <v>6334825.388</v>
          </cell>
          <cell r="L33">
            <v>5747968.83420916</v>
          </cell>
          <cell r="N33">
            <v>5533036.664</v>
          </cell>
          <cell r="P33">
            <v>5802105.20415357</v>
          </cell>
          <cell r="R33">
            <v>5585148.728</v>
          </cell>
          <cell r="T33">
            <v>3463081348.42975</v>
          </cell>
          <cell r="V33">
            <v>3338948232</v>
          </cell>
          <cell r="X33">
            <v>0.881657880985938</v>
          </cell>
          <cell r="Z33">
            <v>0.717235092008319</v>
          </cell>
        </row>
      </sheetData>
      <sheetData sheetId="3">
        <row r="22">
          <cell r="D22">
            <v>7592.10593261484</v>
          </cell>
          <cell r="F22">
            <v>7441.8</v>
          </cell>
          <cell r="H22">
            <v>3417.94327924657</v>
          </cell>
          <cell r="J22">
            <v>3350.276</v>
          </cell>
          <cell r="L22">
            <v>2896.80189934896</v>
          </cell>
          <cell r="N22">
            <v>2839.452</v>
          </cell>
          <cell r="P22">
            <v>2893.15775379394</v>
          </cell>
          <cell r="R22">
            <v>2835.88</v>
          </cell>
          <cell r="T22">
            <v>2260081.88433772</v>
          </cell>
          <cell r="V22">
            <v>2226543</v>
          </cell>
          <cell r="X22">
            <v>0.847527785770486</v>
          </cell>
          <cell r="Z22">
            <v>0.977071594110367</v>
          </cell>
        </row>
        <row r="23">
          <cell r="D23">
            <v>8061.6008330676</v>
          </cell>
          <cell r="F23">
            <v>7902</v>
          </cell>
          <cell r="H23">
            <v>3596.67372383614</v>
          </cell>
          <cell r="J23">
            <v>3525.468</v>
          </cell>
          <cell r="L23">
            <v>1115.78187019987</v>
          </cell>
          <cell r="N23">
            <v>1093.692</v>
          </cell>
          <cell r="P23">
            <v>1145.94707058359</v>
          </cell>
          <cell r="R23">
            <v>1123.26</v>
          </cell>
          <cell r="T23">
            <v>2083356.33432191</v>
          </cell>
          <cell r="V23">
            <v>2052440</v>
          </cell>
          <cell r="X23">
            <v>0.310226046584453</v>
          </cell>
          <cell r="Z23">
            <v>0.657040041174945</v>
          </cell>
        </row>
        <row r="24">
          <cell r="D24">
            <v>7756.96985246092</v>
          </cell>
          <cell r="F24">
            <v>7603.4</v>
          </cell>
          <cell r="H24">
            <v>3451.22212247293</v>
          </cell>
          <cell r="J24">
            <v>3382.896</v>
          </cell>
          <cell r="L24">
            <v>3218.57219835548</v>
          </cell>
          <cell r="N24">
            <v>3154.852</v>
          </cell>
          <cell r="P24">
            <v>2998.45438062039</v>
          </cell>
          <cell r="R24">
            <v>2939.092</v>
          </cell>
          <cell r="T24">
            <v>1864431.56148509</v>
          </cell>
          <cell r="V24">
            <v>1836764</v>
          </cell>
          <cell r="X24">
            <v>0.932589118908769</v>
          </cell>
          <cell r="Z24">
            <v>0.884215148688168</v>
          </cell>
        </row>
        <row r="25">
          <cell r="D25">
            <v>7724.22151194694</v>
          </cell>
          <cell r="F25">
            <v>7571.3</v>
          </cell>
          <cell r="H25">
            <v>5417.17947794638</v>
          </cell>
          <cell r="J25">
            <v>5309.932</v>
          </cell>
          <cell r="L25">
            <v>4788.13384635149</v>
          </cell>
          <cell r="N25">
            <v>4693.34</v>
          </cell>
          <cell r="P25">
            <v>3805.19311996265</v>
          </cell>
          <cell r="R25">
            <v>3729.8592</v>
          </cell>
          <cell r="T25">
            <v>2737890.40832836</v>
          </cell>
          <cell r="V25">
            <v>2697261</v>
          </cell>
          <cell r="X25">
            <v>0.883879492242085</v>
          </cell>
          <cell r="Z25">
            <v>0.692510667849524</v>
          </cell>
        </row>
        <row r="26">
          <cell r="D26">
            <v>7552.5222686914</v>
          </cell>
          <cell r="F26">
            <v>7403</v>
          </cell>
          <cell r="H26">
            <v>3383.94621696346</v>
          </cell>
          <cell r="J26">
            <v>3316.952</v>
          </cell>
          <cell r="L26">
            <v>3092.26766411894</v>
          </cell>
          <cell r="N26">
            <v>3031.048</v>
          </cell>
          <cell r="P26">
            <v>3092.26766411894</v>
          </cell>
          <cell r="R26">
            <v>3031.048</v>
          </cell>
          <cell r="T26">
            <v>2384579.38701969</v>
          </cell>
          <cell r="V26">
            <v>2349193</v>
          </cell>
          <cell r="X26">
            <v>0.913805204295992</v>
          </cell>
          <cell r="Z26">
            <v>0.877527725479905</v>
          </cell>
        </row>
        <row r="27">
          <cell r="D27">
            <v>7743.299205642</v>
          </cell>
          <cell r="F27">
            <v>7590</v>
          </cell>
          <cell r="H27">
            <v>3534.36005908243</v>
          </cell>
          <cell r="J27">
            <v>3464.388</v>
          </cell>
          <cell r="L27">
            <v>3263.30990016916</v>
          </cell>
          <cell r="N27">
            <v>3198.704</v>
          </cell>
          <cell r="P27">
            <v>3368.7779201796</v>
          </cell>
          <cell r="R27">
            <v>3302.084</v>
          </cell>
          <cell r="T27">
            <v>2424995.14378109</v>
          </cell>
          <cell r="V27">
            <v>2389009</v>
          </cell>
          <cell r="X27">
            <v>0.923309975672471</v>
          </cell>
          <cell r="Z27">
            <v>0.856768454566226</v>
          </cell>
        </row>
        <row r="28">
          <cell r="D28">
            <v>7586.59686598632</v>
          </cell>
          <cell r="F28">
            <v>7436.4</v>
          </cell>
          <cell r="H28">
            <v>3424.9703997905</v>
          </cell>
          <cell r="J28">
            <v>3357.164</v>
          </cell>
          <cell r="L28">
            <v>3355.58064501172</v>
          </cell>
          <cell r="N28">
            <v>3289.148</v>
          </cell>
          <cell r="P28">
            <v>3219.11494343814</v>
          </cell>
          <cell r="R28">
            <v>3155.384</v>
          </cell>
          <cell r="T28">
            <v>2262868.23284862</v>
          </cell>
          <cell r="V28">
            <v>2229288</v>
          </cell>
          <cell r="X28">
            <v>0.979740042488243</v>
          </cell>
          <cell r="Z28">
            <v>0.884030118890158</v>
          </cell>
        </row>
        <row r="29">
          <cell r="D29">
            <v>8482.942410397</v>
          </cell>
          <cell r="F29">
            <v>8315</v>
          </cell>
          <cell r="H29">
            <v>4034.48536998977</v>
          </cell>
          <cell r="J29">
            <v>3954.612</v>
          </cell>
          <cell r="L29">
            <v>3271.03891660946</v>
          </cell>
          <cell r="N29">
            <v>3206.28</v>
          </cell>
          <cell r="P29">
            <v>3248.18241128625</v>
          </cell>
          <cell r="R29">
            <v>3183.876</v>
          </cell>
          <cell r="T29">
            <v>2323482.73242183</v>
          </cell>
          <cell r="V29">
            <v>2289003</v>
          </cell>
          <cell r="X29">
            <v>0.810769804977075</v>
          </cell>
          <cell r="Z29">
            <v>0.791245686511838</v>
          </cell>
        </row>
        <row r="30">
          <cell r="D30">
            <v>7467.845874216</v>
          </cell>
          <cell r="F30">
            <v>7320</v>
          </cell>
          <cell r="H30">
            <v>4329.84887629025</v>
          </cell>
          <cell r="J30">
            <v>4244.128</v>
          </cell>
          <cell r="L30">
            <v>3630.38105002249</v>
          </cell>
          <cell r="N30">
            <v>3558.508</v>
          </cell>
          <cell r="P30">
            <v>3667.79373361528</v>
          </cell>
          <cell r="R30">
            <v>3595.18</v>
          </cell>
          <cell r="T30">
            <v>2476656.78584386</v>
          </cell>
          <cell r="V30">
            <v>2439904</v>
          </cell>
          <cell r="X30">
            <v>0.838454448122206</v>
          </cell>
          <cell r="Z30">
            <v>0.790268011670083</v>
          </cell>
        </row>
        <row r="31">
          <cell r="D31">
            <v>7681.98533446162</v>
          </cell>
          <cell r="F31">
            <v>7529.9</v>
          </cell>
          <cell r="H31">
            <v>3606.46353927452</v>
          </cell>
          <cell r="J31">
            <v>3535.064</v>
          </cell>
          <cell r="L31">
            <v>3079.40501373887</v>
          </cell>
          <cell r="N31">
            <v>3018.44</v>
          </cell>
          <cell r="P31">
            <v>3079.40501373887</v>
          </cell>
          <cell r="R31">
            <v>3018.44</v>
          </cell>
          <cell r="T31">
            <v>2302007.04009209</v>
          </cell>
          <cell r="V31">
            <v>2267846</v>
          </cell>
          <cell r="X31">
            <v>0.853857242754304</v>
          </cell>
          <cell r="Z31">
            <v>0.88471304333916</v>
          </cell>
        </row>
        <row r="32">
          <cell r="D32">
            <v>7632.91383356684</v>
          </cell>
          <cell r="F32">
            <v>7481.8</v>
          </cell>
          <cell r="H32">
            <v>3617.26947144661</v>
          </cell>
          <cell r="J32">
            <v>3545.656</v>
          </cell>
          <cell r="L32">
            <v>3199.51898940099</v>
          </cell>
          <cell r="N32">
            <v>3136.176</v>
          </cell>
          <cell r="P32">
            <v>3297.34777035322</v>
          </cell>
          <cell r="R32">
            <v>3232.068</v>
          </cell>
          <cell r="T32">
            <v>2299807.39811645</v>
          </cell>
          <cell r="V32">
            <v>2265679</v>
          </cell>
          <cell r="X32">
            <v>0.884512203101485</v>
          </cell>
          <cell r="Z32">
            <v>0.904811615007983</v>
          </cell>
        </row>
        <row r="33">
          <cell r="D33">
            <v>8672.08703130952</v>
          </cell>
          <cell r="F33">
            <v>8500.4</v>
          </cell>
          <cell r="H33">
            <v>4234.48081176542</v>
          </cell>
          <cell r="J33">
            <v>4150.648</v>
          </cell>
          <cell r="L33">
            <v>3404.77456960936</v>
          </cell>
          <cell r="N33">
            <v>3337.368</v>
          </cell>
          <cell r="P33">
            <v>3078.75616811374</v>
          </cell>
          <cell r="R33">
            <v>3017.804</v>
          </cell>
          <cell r="T33">
            <v>2455051.16542327</v>
          </cell>
          <cell r="V33">
            <v>2418619</v>
          </cell>
          <cell r="X33">
            <v>0.804059510707726</v>
          </cell>
          <cell r="Z33">
            <v>0.772935897891047</v>
          </cell>
        </row>
      </sheetData>
      <sheetData sheetId="4">
        <row r="22">
          <cell r="D22">
            <v>2743978.45269852</v>
          </cell>
          <cell r="F22">
            <v>2689654.1</v>
          </cell>
          <cell r="H22">
            <v>1957514.75167315</v>
          </cell>
          <cell r="J22">
            <v>1918760.54</v>
          </cell>
          <cell r="L22">
            <v>1864495.01453572</v>
          </cell>
          <cell r="N22">
            <v>1827582.376</v>
          </cell>
          <cell r="P22">
            <v>1862369.67784229</v>
          </cell>
          <cell r="R22">
            <v>1825499.116</v>
          </cell>
          <cell r="T22">
            <v>1358653743.21151</v>
          </cell>
          <cell r="V22">
            <v>1338491761</v>
          </cell>
          <cell r="X22">
            <v>0.952480696731443</v>
          </cell>
          <cell r="Z22">
            <v>0.931899812764754</v>
          </cell>
        </row>
        <row r="23">
          <cell r="D23">
            <v>2843165.93271294</v>
          </cell>
          <cell r="F23">
            <v>2786877.9</v>
          </cell>
          <cell r="H23">
            <v>1985093.50240584</v>
          </cell>
          <cell r="J23">
            <v>1945793.296</v>
          </cell>
          <cell r="L23">
            <v>1114461.33468664</v>
          </cell>
          <cell r="N23">
            <v>1092397.608</v>
          </cell>
          <cell r="P23">
            <v>1108551.98743848</v>
          </cell>
          <cell r="R23">
            <v>1086605.252</v>
          </cell>
          <cell r="T23">
            <v>1306312026.05425</v>
          </cell>
          <cell r="V23">
            <v>1286926778</v>
          </cell>
          <cell r="X23">
            <v>0.561415033264664</v>
          </cell>
          <cell r="Z23">
            <v>0.773156252215512</v>
          </cell>
        </row>
        <row r="24">
          <cell r="D24">
            <v>2794521.99660039</v>
          </cell>
          <cell r="F24">
            <v>2739197</v>
          </cell>
          <cell r="H24">
            <v>1988672.08598718</v>
          </cell>
          <cell r="J24">
            <v>1949301.032</v>
          </cell>
          <cell r="L24">
            <v>1848963.24993966</v>
          </cell>
          <cell r="N24">
            <v>1812358.104</v>
          </cell>
          <cell r="P24">
            <v>1883298.41384374</v>
          </cell>
          <cell r="R24">
            <v>1846013.512</v>
          </cell>
          <cell r="T24">
            <v>1156810421.58718</v>
          </cell>
          <cell r="V24">
            <v>1139643729</v>
          </cell>
          <cell r="X24">
            <v>0.929747675832554</v>
          </cell>
          <cell r="Z24">
            <v>0.928025835780965</v>
          </cell>
        </row>
        <row r="25">
          <cell r="D25">
            <v>2848587.77245318</v>
          </cell>
          <cell r="F25">
            <v>2792192.4</v>
          </cell>
          <cell r="H25">
            <v>2078449.59458608</v>
          </cell>
          <cell r="J25">
            <v>2037301.156</v>
          </cell>
          <cell r="L25">
            <v>1967374.2914911</v>
          </cell>
          <cell r="N25">
            <v>1928424.884</v>
          </cell>
          <cell r="P25">
            <v>2030853.3441994</v>
          </cell>
          <cell r="R25">
            <v>1990647.2</v>
          </cell>
          <cell r="T25">
            <v>1347628676.79093</v>
          </cell>
          <cell r="V25">
            <v>1327630303</v>
          </cell>
          <cell r="X25">
            <v>0.946558577420255</v>
          </cell>
          <cell r="Z25">
            <v>0.910821639489446</v>
          </cell>
        </row>
        <row r="26">
          <cell r="D26">
            <v>3025605.9175188</v>
          </cell>
          <cell r="F26">
            <v>2965706</v>
          </cell>
          <cell r="H26">
            <v>2144420.06758646</v>
          </cell>
          <cell r="J26">
            <v>2101965.568</v>
          </cell>
          <cell r="L26">
            <v>2124742.66097901</v>
          </cell>
          <cell r="N26">
            <v>2082677.728</v>
          </cell>
          <cell r="P26">
            <v>2124742.66097901</v>
          </cell>
          <cell r="R26">
            <v>2082677.728</v>
          </cell>
          <cell r="T26">
            <v>1436448914.39584</v>
          </cell>
          <cell r="V26">
            <v>1415132477</v>
          </cell>
          <cell r="X26">
            <v>0.990823902972706</v>
          </cell>
          <cell r="Z26">
            <v>0.90713650311014</v>
          </cell>
        </row>
        <row r="27">
          <cell r="D27">
            <v>3255962.02952374</v>
          </cell>
          <cell r="F27">
            <v>3191501.6</v>
          </cell>
          <cell r="H27">
            <v>2213060.54441507</v>
          </cell>
          <cell r="J27">
            <v>2169247.124</v>
          </cell>
          <cell r="L27">
            <v>2130620.32089209</v>
          </cell>
          <cell r="N27">
            <v>2088439.024</v>
          </cell>
          <cell r="P27">
            <v>2108470.46558571</v>
          </cell>
          <cell r="R27">
            <v>2066727.684</v>
          </cell>
          <cell r="T27">
            <v>1482426205.52893</v>
          </cell>
          <cell r="V27">
            <v>1460427480</v>
          </cell>
          <cell r="X27">
            <v>0.962748319863625</v>
          </cell>
          <cell r="Z27">
            <v>0.907290468550009</v>
          </cell>
        </row>
        <row r="28">
          <cell r="D28">
            <v>3190126.23483887</v>
          </cell>
          <cell r="F28">
            <v>3126969.2</v>
          </cell>
          <cell r="H28">
            <v>2229632.996182</v>
          </cell>
          <cell r="J28">
            <v>2185491.48</v>
          </cell>
          <cell r="L28">
            <v>2169314.20526238</v>
          </cell>
          <cell r="N28">
            <v>2126366.86</v>
          </cell>
          <cell r="P28">
            <v>2111173.87476166</v>
          </cell>
          <cell r="R28">
            <v>2069377.572</v>
          </cell>
          <cell r="T28">
            <v>1548128901.2882</v>
          </cell>
          <cell r="V28">
            <v>1525155169</v>
          </cell>
          <cell r="X28">
            <v>0.972946762528674</v>
          </cell>
          <cell r="Z28">
            <v>0.922499848925371</v>
          </cell>
        </row>
        <row r="29">
          <cell r="D29">
            <v>3222855.3956394</v>
          </cell>
          <cell r="F29">
            <v>3159050.4</v>
          </cell>
          <cell r="H29">
            <v>2263132.23063902</v>
          </cell>
          <cell r="J29">
            <v>2218327.508</v>
          </cell>
          <cell r="L29">
            <v>2195859.07558208</v>
          </cell>
          <cell r="N29">
            <v>2152386.204</v>
          </cell>
          <cell r="P29">
            <v>2152715.19163273</v>
          </cell>
          <cell r="R29">
            <v>2110096.468</v>
          </cell>
          <cell r="T29">
            <v>1386394795.45641</v>
          </cell>
          <cell r="V29">
            <v>1365821145</v>
          </cell>
          <cell r="X29">
            <v>0.970274315328916</v>
          </cell>
          <cell r="Z29">
            <v>0.925471687609194</v>
          </cell>
        </row>
        <row r="30">
          <cell r="D30">
            <v>3206700.26179077</v>
          </cell>
          <cell r="F30">
            <v>3143215.1</v>
          </cell>
          <cell r="H30">
            <v>2278267.07310568</v>
          </cell>
          <cell r="J30">
            <v>2233162.716</v>
          </cell>
          <cell r="L30">
            <v>2170300.34859284</v>
          </cell>
          <cell r="N30">
            <v>2127333.48</v>
          </cell>
          <cell r="P30">
            <v>2164466.44291116</v>
          </cell>
          <cell r="R30">
            <v>2121615.072</v>
          </cell>
          <cell r="T30">
            <v>1499929318.05902</v>
          </cell>
          <cell r="V30">
            <v>1477670852</v>
          </cell>
          <cell r="X30">
            <v>0.952610154539227</v>
          </cell>
          <cell r="Z30">
            <v>0.914318509795949</v>
          </cell>
        </row>
        <row r="31">
          <cell r="D31">
            <v>3347610.45387679</v>
          </cell>
          <cell r="F31">
            <v>3281335.6</v>
          </cell>
          <cell r="H31">
            <v>2239691.63774869</v>
          </cell>
          <cell r="J31">
            <v>2195350.984</v>
          </cell>
          <cell r="L31">
            <v>2172589.01482904</v>
          </cell>
          <cell r="N31">
            <v>2129576.836</v>
          </cell>
          <cell r="P31">
            <v>2172589.01482904</v>
          </cell>
          <cell r="R31">
            <v>2129576.836</v>
          </cell>
          <cell r="T31">
            <v>1539247183.46776</v>
          </cell>
          <cell r="V31">
            <v>1516405253</v>
          </cell>
          <cell r="X31">
            <v>0.97003934747593</v>
          </cell>
          <cell r="Z31">
            <v>0.909127118588794</v>
          </cell>
        </row>
        <row r="32">
          <cell r="D32">
            <v>3190695.19899789</v>
          </cell>
          <cell r="F32">
            <v>3127526.9</v>
          </cell>
          <cell r="H32">
            <v>2178081.10128997</v>
          </cell>
          <cell r="J32">
            <v>2134960.192</v>
          </cell>
          <cell r="L32">
            <v>2002202.84332164</v>
          </cell>
          <cell r="N32">
            <v>1962563.912</v>
          </cell>
          <cell r="P32">
            <v>2144254.57114415</v>
          </cell>
          <cell r="R32">
            <v>2101803.348</v>
          </cell>
          <cell r="T32">
            <v>1435794510.24993</v>
          </cell>
          <cell r="V32">
            <v>1414487784</v>
          </cell>
          <cell r="X32">
            <v>0.919250822265449</v>
          </cell>
          <cell r="Z32">
            <v>0.919256463416601</v>
          </cell>
        </row>
        <row r="33">
          <cell r="D33">
            <v>3310686.03681888</v>
          </cell>
          <cell r="F33">
            <v>3245142.2</v>
          </cell>
          <cell r="H33">
            <v>2169957.29697348</v>
          </cell>
          <cell r="J33">
            <v>2126997.22</v>
          </cell>
          <cell r="L33">
            <v>2054840.72215459</v>
          </cell>
          <cell r="N33">
            <v>2014159.684</v>
          </cell>
          <cell r="P33">
            <v>2097075.5856255</v>
          </cell>
          <cell r="R33">
            <v>2055558.396</v>
          </cell>
          <cell r="T33">
            <v>1527672206.55326</v>
          </cell>
          <cell r="V33">
            <v>1505002045</v>
          </cell>
          <cell r="X33">
            <v>0.946949843216062</v>
          </cell>
          <cell r="Z33">
            <v>0.923999676058845</v>
          </cell>
        </row>
      </sheetData>
      <sheetData sheetId="5">
        <row r="22">
          <cell r="D22">
            <v>839866.5967487</v>
          </cell>
          <cell r="F22">
            <v>834550.51</v>
          </cell>
          <cell r="H22">
            <v>661191.3496214</v>
          </cell>
          <cell r="J22">
            <v>657006.22</v>
          </cell>
          <cell r="L22">
            <v>607915.309338</v>
          </cell>
          <cell r="N22">
            <v>604067.4</v>
          </cell>
          <cell r="P22">
            <v>610925.9155115</v>
          </cell>
          <cell r="R22">
            <v>607058.95</v>
          </cell>
          <cell r="T22">
            <v>457994976.45086</v>
          </cell>
          <cell r="V22">
            <v>455381089</v>
          </cell>
          <cell r="X22">
            <v>0.919424172270394</v>
          </cell>
          <cell r="Z22">
            <v>0.9354577</v>
          </cell>
        </row>
        <row r="23">
          <cell r="D23">
            <v>874702.6075474</v>
          </cell>
          <cell r="F23">
            <v>869166.02</v>
          </cell>
          <cell r="H23">
            <v>698083.243502</v>
          </cell>
          <cell r="J23">
            <v>693664.6</v>
          </cell>
          <cell r="L23">
            <v>314342.7993107</v>
          </cell>
          <cell r="N23">
            <v>312353.11</v>
          </cell>
          <cell r="P23">
            <v>316109.4013361</v>
          </cell>
          <cell r="R23">
            <v>314108.53</v>
          </cell>
          <cell r="T23">
            <v>443013245.10788</v>
          </cell>
          <cell r="V23">
            <v>440484862</v>
          </cell>
          <cell r="X23">
            <v>0.450294147921056</v>
          </cell>
          <cell r="Z23">
            <v>0.741156</v>
          </cell>
        </row>
        <row r="24">
          <cell r="D24">
            <v>880178.5082462</v>
          </cell>
          <cell r="F24">
            <v>874607.26</v>
          </cell>
          <cell r="H24">
            <v>722980.8674931</v>
          </cell>
          <cell r="J24">
            <v>718404.63</v>
          </cell>
          <cell r="L24">
            <v>653027.7063725</v>
          </cell>
          <cell r="N24">
            <v>648894.25</v>
          </cell>
          <cell r="P24">
            <v>666862.4357817</v>
          </cell>
          <cell r="R24">
            <v>662641.41</v>
          </cell>
          <cell r="T24">
            <v>372827778.77614</v>
          </cell>
          <cell r="V24">
            <v>370699961</v>
          </cell>
          <cell r="X24">
            <v>0.903243413116644</v>
          </cell>
          <cell r="Z24">
            <v>0.929648</v>
          </cell>
        </row>
        <row r="25">
          <cell r="D25">
            <v>897082.6259006</v>
          </cell>
          <cell r="F25">
            <v>891404.38</v>
          </cell>
          <cell r="H25">
            <v>715608.5229115</v>
          </cell>
          <cell r="J25">
            <v>711078.95</v>
          </cell>
          <cell r="L25">
            <v>691859.6803391</v>
          </cell>
          <cell r="N25">
            <v>687480.43</v>
          </cell>
          <cell r="P25">
            <v>690674.5287086</v>
          </cell>
          <cell r="R25">
            <v>686302.78</v>
          </cell>
          <cell r="T25">
            <v>478731839.71548</v>
          </cell>
          <cell r="V25">
            <v>475999602</v>
          </cell>
          <cell r="X25">
            <v>0.966813080319703</v>
          </cell>
          <cell r="Z25">
            <v>0.9352621</v>
          </cell>
        </row>
        <row r="26">
          <cell r="D26">
            <v>925150.4562835</v>
          </cell>
          <cell r="F26">
            <v>919294.55</v>
          </cell>
          <cell r="H26">
            <v>747628.2978385</v>
          </cell>
          <cell r="J26">
            <v>742896.05</v>
          </cell>
          <cell r="L26">
            <v>745367.9807548</v>
          </cell>
          <cell r="N26">
            <v>740650.04</v>
          </cell>
          <cell r="P26">
            <v>745367.9807548</v>
          </cell>
          <cell r="R26">
            <v>740650.04</v>
          </cell>
          <cell r="T26">
            <v>504582089.30532</v>
          </cell>
          <cell r="V26">
            <v>501702318</v>
          </cell>
          <cell r="X26">
            <v>0.99697668334621</v>
          </cell>
          <cell r="Z26">
            <v>0.9241756</v>
          </cell>
        </row>
        <row r="27">
          <cell r="D27">
            <v>945693.2053099</v>
          </cell>
          <cell r="F27">
            <v>939707.27</v>
          </cell>
          <cell r="H27">
            <v>785064.5775069</v>
          </cell>
          <cell r="J27">
            <v>780095.37</v>
          </cell>
          <cell r="L27">
            <v>693189.0447906</v>
          </cell>
          <cell r="N27">
            <v>688801.38</v>
          </cell>
          <cell r="P27">
            <v>706629.6193256</v>
          </cell>
          <cell r="R27">
            <v>702156.88</v>
          </cell>
          <cell r="T27">
            <v>497199024.3786</v>
          </cell>
          <cell r="V27">
            <v>494361390</v>
          </cell>
          <cell r="X27">
            <v>0.88297073215548</v>
          </cell>
          <cell r="Z27">
            <v>0.925591</v>
          </cell>
        </row>
        <row r="28">
          <cell r="D28">
            <v>949806.6118568</v>
          </cell>
          <cell r="F28">
            <v>943794.64</v>
          </cell>
          <cell r="H28">
            <v>781619.5214044</v>
          </cell>
          <cell r="J28">
            <v>776672.12</v>
          </cell>
          <cell r="L28">
            <v>753586.7428886</v>
          </cell>
          <cell r="N28">
            <v>748816.78</v>
          </cell>
          <cell r="P28">
            <v>660050.7902456</v>
          </cell>
          <cell r="R28">
            <v>655872.88</v>
          </cell>
          <cell r="T28">
            <v>531422667.94114</v>
          </cell>
          <cell r="V28">
            <v>528389711</v>
          </cell>
          <cell r="X28">
            <v>0.964135007189392</v>
          </cell>
          <cell r="Z28">
            <v>0.937457</v>
          </cell>
        </row>
        <row r="29">
          <cell r="D29">
            <v>999540.269995</v>
          </cell>
          <cell r="F29">
            <v>993213.5</v>
          </cell>
          <cell r="H29">
            <v>830247.1285941</v>
          </cell>
          <cell r="J29">
            <v>824991.93</v>
          </cell>
          <cell r="L29">
            <v>719872.0798624</v>
          </cell>
          <cell r="N29">
            <v>715315.52</v>
          </cell>
          <cell r="P29">
            <v>698350.2435267</v>
          </cell>
          <cell r="R29">
            <v>693929.91</v>
          </cell>
          <cell r="T29">
            <v>631760094.76112</v>
          </cell>
          <cell r="V29">
            <v>628154488</v>
          </cell>
          <cell r="X29">
            <v>0.867057596551278</v>
          </cell>
          <cell r="Z29">
            <v>0.918837</v>
          </cell>
        </row>
        <row r="30">
          <cell r="D30">
            <v>983011.2767581</v>
          </cell>
          <cell r="F30">
            <v>976789.13</v>
          </cell>
          <cell r="H30">
            <v>822809.219007</v>
          </cell>
          <cell r="J30">
            <v>817601.1</v>
          </cell>
          <cell r="L30">
            <v>736033.5970938</v>
          </cell>
          <cell r="N30">
            <v>731374.74</v>
          </cell>
          <cell r="P30">
            <v>730931.2408116</v>
          </cell>
          <cell r="R30">
            <v>726304.68</v>
          </cell>
          <cell r="T30">
            <v>564507431.64248</v>
          </cell>
          <cell r="V30">
            <v>561285652</v>
          </cell>
          <cell r="X30">
            <v>0.894537372809308</v>
          </cell>
          <cell r="Z30">
            <v>0.92612</v>
          </cell>
        </row>
        <row r="31">
          <cell r="D31">
            <v>981478.0318083</v>
          </cell>
          <cell r="F31">
            <v>975265.59</v>
          </cell>
          <cell r="H31">
            <v>809485.8664496</v>
          </cell>
          <cell r="J31">
            <v>804362.08</v>
          </cell>
          <cell r="L31">
            <v>747829.622157</v>
          </cell>
          <cell r="N31">
            <v>743096.1</v>
          </cell>
          <cell r="P31">
            <v>747829.622157</v>
          </cell>
          <cell r="R31">
            <v>743096.1</v>
          </cell>
          <cell r="T31">
            <v>545535110.0414</v>
          </cell>
          <cell r="V31">
            <v>542421610</v>
          </cell>
          <cell r="X31">
            <v>0.923832834088847</v>
          </cell>
          <cell r="Z31">
            <v>0.9213362</v>
          </cell>
        </row>
        <row r="32">
          <cell r="D32">
            <v>947359.1099531</v>
          </cell>
          <cell r="F32">
            <v>941362.63</v>
          </cell>
          <cell r="H32">
            <v>783750.6306438</v>
          </cell>
          <cell r="J32">
            <v>778789.74</v>
          </cell>
          <cell r="L32">
            <v>732261.9739263</v>
          </cell>
          <cell r="N32">
            <v>727626.99</v>
          </cell>
          <cell r="P32">
            <v>756692.4812182</v>
          </cell>
          <cell r="R32">
            <v>751902.86</v>
          </cell>
          <cell r="T32">
            <v>545935708.35228</v>
          </cell>
          <cell r="V32">
            <v>542819922</v>
          </cell>
          <cell r="X32">
            <v>0.934304797081687</v>
          </cell>
          <cell r="Z32">
            <v>0.9418378</v>
          </cell>
        </row>
        <row r="33">
          <cell r="D33">
            <v>967740.1051294</v>
          </cell>
          <cell r="F33">
            <v>961614.62</v>
          </cell>
          <cell r="H33">
            <v>805858.6674408</v>
          </cell>
          <cell r="J33">
            <v>800757.84</v>
          </cell>
          <cell r="L33">
            <v>737940.5072246</v>
          </cell>
          <cell r="N33">
            <v>733269.58</v>
          </cell>
          <cell r="P33">
            <v>790196.2594109</v>
          </cell>
          <cell r="R33">
            <v>785194.57</v>
          </cell>
          <cell r="T33">
            <v>553304663.75254</v>
          </cell>
          <cell r="V33">
            <v>550146821</v>
          </cell>
          <cell r="X33">
            <v>0.915719513904478</v>
          </cell>
          <cell r="Z33">
            <v>0.920578</v>
          </cell>
        </row>
      </sheetData>
      <sheetData sheetId="6">
        <row r="22">
          <cell r="D22">
            <v>3053462.67</v>
          </cell>
          <cell r="F22">
            <v>3053462.67</v>
          </cell>
          <cell r="H22">
            <v>2407195.8</v>
          </cell>
          <cell r="J22">
            <v>2407195.8</v>
          </cell>
          <cell r="L22">
            <v>2198613.59</v>
          </cell>
          <cell r="N22">
            <v>2198613.59</v>
          </cell>
          <cell r="P22">
            <v>2198613.59</v>
          </cell>
          <cell r="R22">
            <v>2198613.59</v>
          </cell>
          <cell r="T22">
            <v>1633074126</v>
          </cell>
          <cell r="V22">
            <v>1633074126</v>
          </cell>
          <cell r="X22">
            <v>0.913350542569076</v>
          </cell>
          <cell r="Z22">
            <v>0.9218687</v>
          </cell>
        </row>
        <row r="23">
          <cell r="D23">
            <v>3247032.93</v>
          </cell>
          <cell r="F23">
            <v>3247032.93</v>
          </cell>
          <cell r="H23">
            <v>2429519.58</v>
          </cell>
          <cell r="J23">
            <v>2429519.58</v>
          </cell>
          <cell r="L23">
            <v>1331294.73</v>
          </cell>
          <cell r="N23">
            <v>1331294.73</v>
          </cell>
          <cell r="P23">
            <v>1338019.49</v>
          </cell>
          <cell r="R23">
            <v>1338019.49</v>
          </cell>
          <cell r="T23">
            <v>1535968217</v>
          </cell>
          <cell r="V23">
            <v>1535968217</v>
          </cell>
          <cell r="X23">
            <v>0.547966248537087</v>
          </cell>
          <cell r="Z23">
            <v>0.782194</v>
          </cell>
        </row>
        <row r="24">
          <cell r="D24">
            <v>3211836.14</v>
          </cell>
          <cell r="F24">
            <v>3211836.14</v>
          </cell>
          <cell r="H24">
            <v>2469315.36</v>
          </cell>
          <cell r="J24">
            <v>2469315.36</v>
          </cell>
          <cell r="L24">
            <v>2190808.97</v>
          </cell>
          <cell r="N24">
            <v>2190808.97</v>
          </cell>
          <cell r="P24">
            <v>2412347.19</v>
          </cell>
          <cell r="R24">
            <v>2412347.19</v>
          </cell>
          <cell r="T24">
            <v>1422348554</v>
          </cell>
          <cell r="V24">
            <v>1422348554</v>
          </cell>
          <cell r="X24">
            <v>0.887213114002579</v>
          </cell>
          <cell r="Z24">
            <v>0.917783</v>
          </cell>
        </row>
        <row r="25">
          <cell r="D25">
            <v>3197233.96</v>
          </cell>
          <cell r="F25">
            <v>3197233.96</v>
          </cell>
          <cell r="H25">
            <v>2577329.35</v>
          </cell>
          <cell r="J25">
            <v>2577329.35</v>
          </cell>
          <cell r="L25">
            <v>2425072.01</v>
          </cell>
          <cell r="N25">
            <v>2425072.01</v>
          </cell>
          <cell r="P25">
            <v>2337975.23</v>
          </cell>
          <cell r="R25">
            <v>2337975.23</v>
          </cell>
          <cell r="T25">
            <v>1650233866</v>
          </cell>
          <cell r="V25">
            <v>1650233866</v>
          </cell>
          <cell r="X25">
            <v>0.940924375846649</v>
          </cell>
          <cell r="Z25">
            <v>0.90986</v>
          </cell>
        </row>
        <row r="26">
          <cell r="D26">
            <v>3277538.16</v>
          </cell>
          <cell r="F26">
            <v>3277538.16</v>
          </cell>
          <cell r="H26">
            <v>2595567.69</v>
          </cell>
          <cell r="J26">
            <v>2595567.69</v>
          </cell>
          <cell r="L26">
            <v>2486143.01</v>
          </cell>
          <cell r="N26">
            <v>2486143.01</v>
          </cell>
          <cell r="P26">
            <v>2486143.01</v>
          </cell>
          <cell r="R26">
            <v>2486143.01</v>
          </cell>
          <cell r="T26">
            <v>1740191984</v>
          </cell>
          <cell r="V26">
            <v>1740191984</v>
          </cell>
          <cell r="X26">
            <v>0.957841715929204</v>
          </cell>
          <cell r="Z26">
            <v>0.916235</v>
          </cell>
        </row>
        <row r="27">
          <cell r="D27">
            <v>3445068.09</v>
          </cell>
          <cell r="F27">
            <v>3445068.09</v>
          </cell>
          <cell r="H27">
            <v>2652489.38</v>
          </cell>
          <cell r="J27">
            <v>2652489.38</v>
          </cell>
          <cell r="L27">
            <v>2245802.06</v>
          </cell>
          <cell r="N27">
            <v>2245802.06</v>
          </cell>
          <cell r="P27">
            <v>2151578.72</v>
          </cell>
          <cell r="R27">
            <v>2151578.72</v>
          </cell>
          <cell r="T27">
            <v>1739215540</v>
          </cell>
          <cell r="V27">
            <v>1739215540</v>
          </cell>
          <cell r="X27">
            <v>0.846677116573413</v>
          </cell>
          <cell r="Z27">
            <v>0.910221</v>
          </cell>
        </row>
        <row r="28">
          <cell r="D28">
            <v>3396310.6</v>
          </cell>
          <cell r="F28">
            <v>3396310.6</v>
          </cell>
          <cell r="H28">
            <v>2640897.74</v>
          </cell>
          <cell r="J28">
            <v>2640897.74</v>
          </cell>
          <cell r="L28">
            <v>2524645.71</v>
          </cell>
          <cell r="N28">
            <v>2524645.71</v>
          </cell>
          <cell r="P28">
            <v>2069336.16</v>
          </cell>
          <cell r="R28">
            <v>2069336.16</v>
          </cell>
          <cell r="T28">
            <v>1777198436</v>
          </cell>
          <cell r="V28">
            <v>1777198436</v>
          </cell>
          <cell r="X28">
            <v>0.955980109248759</v>
          </cell>
          <cell r="Z28">
            <v>0.91840178</v>
          </cell>
        </row>
        <row r="29">
          <cell r="D29">
            <v>3451261.44</v>
          </cell>
          <cell r="F29">
            <v>3451261.44</v>
          </cell>
          <cell r="H29">
            <v>2717435.78</v>
          </cell>
          <cell r="J29">
            <v>2717435.78</v>
          </cell>
          <cell r="L29">
            <v>2296644.9</v>
          </cell>
          <cell r="N29">
            <v>2296644.9</v>
          </cell>
          <cell r="P29">
            <v>2123270</v>
          </cell>
          <cell r="R29">
            <v>2123270</v>
          </cell>
          <cell r="T29">
            <v>1793854071</v>
          </cell>
          <cell r="V29">
            <v>1793854071</v>
          </cell>
          <cell r="X29">
            <v>0.845151490571748</v>
          </cell>
          <cell r="Z29">
            <v>0.901684</v>
          </cell>
        </row>
        <row r="30">
          <cell r="D30">
            <v>3498327.06</v>
          </cell>
          <cell r="F30">
            <v>3498327.06</v>
          </cell>
          <cell r="H30">
            <v>2754518.93</v>
          </cell>
          <cell r="J30">
            <v>2754518.93</v>
          </cell>
          <cell r="L30">
            <v>2146634.34</v>
          </cell>
          <cell r="N30">
            <v>2146634.34</v>
          </cell>
          <cell r="P30">
            <v>2144658.59</v>
          </cell>
          <cell r="R30">
            <v>2144658.59</v>
          </cell>
          <cell r="T30">
            <v>1815185444</v>
          </cell>
          <cell r="V30">
            <v>1815185444</v>
          </cell>
          <cell r="X30">
            <v>0.77931370034186</v>
          </cell>
          <cell r="Z30">
            <v>0.9243155</v>
          </cell>
        </row>
        <row r="31">
          <cell r="D31">
            <v>3523826.94</v>
          </cell>
          <cell r="F31">
            <v>3523826.94</v>
          </cell>
          <cell r="H31">
            <v>2790485.87</v>
          </cell>
          <cell r="J31">
            <v>2790485.87</v>
          </cell>
          <cell r="L31">
            <v>2707700.736</v>
          </cell>
          <cell r="N31">
            <v>2707700.736</v>
          </cell>
          <cell r="P31">
            <v>2707700.73</v>
          </cell>
          <cell r="R31">
            <v>2707700.73</v>
          </cell>
          <cell r="T31">
            <v>1846716296</v>
          </cell>
          <cell r="V31">
            <v>1846716296</v>
          </cell>
          <cell r="X31">
            <v>0.970333075365115</v>
          </cell>
          <cell r="Z31">
            <v>0.93083</v>
          </cell>
        </row>
        <row r="32">
          <cell r="D32">
            <v>3436296.26</v>
          </cell>
          <cell r="F32">
            <v>3436296.26</v>
          </cell>
          <cell r="H32">
            <v>2757659.26</v>
          </cell>
          <cell r="J32">
            <v>2757659.26</v>
          </cell>
          <cell r="L32">
            <v>2684351.71</v>
          </cell>
          <cell r="N32">
            <v>2684351.71</v>
          </cell>
          <cell r="P32">
            <v>2644715.61</v>
          </cell>
          <cell r="R32">
            <v>2644715.61</v>
          </cell>
          <cell r="T32">
            <v>1877484630</v>
          </cell>
          <cell r="V32">
            <v>1877484630</v>
          </cell>
          <cell r="X32">
            <v>0.973416748376665</v>
          </cell>
          <cell r="Z32">
            <v>0.9211965</v>
          </cell>
        </row>
        <row r="33">
          <cell r="D33">
            <v>3441027.09</v>
          </cell>
          <cell r="F33">
            <v>3441027.09</v>
          </cell>
          <cell r="H33">
            <v>2789934.55</v>
          </cell>
          <cell r="J33">
            <v>2789934.55</v>
          </cell>
          <cell r="L33">
            <v>2583642.02</v>
          </cell>
          <cell r="N33">
            <v>2583642.02</v>
          </cell>
          <cell r="P33">
            <v>2522047.27</v>
          </cell>
          <cell r="R33">
            <v>2522047.27</v>
          </cell>
          <cell r="T33">
            <v>1875813062</v>
          </cell>
          <cell r="V33">
            <v>1875813062</v>
          </cell>
          <cell r="X33">
            <v>0.926058290507209</v>
          </cell>
          <cell r="Z33">
            <v>0.9239598</v>
          </cell>
        </row>
      </sheetData>
      <sheetData sheetId="7">
        <row r="22">
          <cell r="D22">
            <v>99544.5572961099</v>
          </cell>
          <cell r="F22">
            <v>95822.3158662629</v>
          </cell>
          <cell r="H22">
            <v>99544.5572961099</v>
          </cell>
          <cell r="J22">
            <v>95822.3158662629</v>
          </cell>
          <cell r="L22">
            <v>0</v>
          </cell>
          <cell r="N22">
            <v>0</v>
          </cell>
          <cell r="P22">
            <v>99544.5572961099</v>
          </cell>
          <cell r="R22">
            <v>95822.3158662629</v>
          </cell>
          <cell r="T22">
            <v>33922030.0332242</v>
          </cell>
          <cell r="V22">
            <v>32706105</v>
          </cell>
          <cell r="X22">
            <v>0</v>
          </cell>
          <cell r="Z22">
            <v>0.4561644</v>
          </cell>
        </row>
        <row r="23">
          <cell r="D23">
            <v>99544.5572961099</v>
          </cell>
          <cell r="F23">
            <v>95822.3158662629</v>
          </cell>
          <cell r="H23">
            <v>99544.5572961099</v>
          </cell>
          <cell r="J23">
            <v>95822.3158662629</v>
          </cell>
          <cell r="L23">
            <v>99544.5572961099</v>
          </cell>
          <cell r="N23">
            <v>95822.3158662629</v>
          </cell>
          <cell r="P23">
            <v>99544.5572961099</v>
          </cell>
          <cell r="R23">
            <v>95822.3158662629</v>
          </cell>
          <cell r="T23">
            <v>33751282.6440662</v>
          </cell>
          <cell r="V23">
            <v>32541478</v>
          </cell>
          <cell r="X23">
            <v>1</v>
          </cell>
          <cell r="Z23">
            <v>0.4561644</v>
          </cell>
        </row>
        <row r="24">
          <cell r="D24">
            <v>99544.5572961099</v>
          </cell>
          <cell r="F24">
            <v>95822.3158662629</v>
          </cell>
          <cell r="H24">
            <v>99544.5572961099</v>
          </cell>
          <cell r="J24">
            <v>95822.3158662629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33636286.6468998</v>
          </cell>
          <cell r="V24">
            <v>32430604</v>
          </cell>
          <cell r="X24">
            <v>0</v>
          </cell>
          <cell r="Z24">
            <v>0.4561644</v>
          </cell>
        </row>
        <row r="25">
          <cell r="D25">
            <v>99544.5572961099</v>
          </cell>
          <cell r="F25">
            <v>95822.3158662629</v>
          </cell>
          <cell r="H25">
            <v>99544.5572961099</v>
          </cell>
          <cell r="J25">
            <v>95822.3158662629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33500142.6043646</v>
          </cell>
          <cell r="V25">
            <v>32299340</v>
          </cell>
          <cell r="X25">
            <v>0</v>
          </cell>
          <cell r="Z25">
            <v>0.4561644</v>
          </cell>
        </row>
        <row r="26">
          <cell r="D26">
            <v>99544.5572961099</v>
          </cell>
          <cell r="F26">
            <v>95822.3158662629</v>
          </cell>
          <cell r="H26">
            <v>99544.5572961099</v>
          </cell>
          <cell r="J26">
            <v>95822.3158662629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  <cell r="T26">
            <v>33332059.7237181</v>
          </cell>
          <cell r="V26">
            <v>32137282</v>
          </cell>
          <cell r="X26">
            <v>0</v>
          </cell>
          <cell r="Z26">
            <v>0.4561644</v>
          </cell>
        </row>
        <row r="27">
          <cell r="D27">
            <v>99544.5572961099</v>
          </cell>
          <cell r="F27">
            <v>95822.3158662629</v>
          </cell>
          <cell r="H27">
            <v>99544.5572961099</v>
          </cell>
          <cell r="J27">
            <v>95822.3158662629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32834985.2372382</v>
          </cell>
          <cell r="V27">
            <v>31658025</v>
          </cell>
          <cell r="X27">
            <v>0</v>
          </cell>
          <cell r="Z27">
            <v>0.4561644</v>
          </cell>
        </row>
        <row r="28">
          <cell r="D28">
            <v>99544.5572961099</v>
          </cell>
          <cell r="F28">
            <v>95822.3158662629</v>
          </cell>
          <cell r="H28">
            <v>99544.5572961099</v>
          </cell>
          <cell r="J28">
            <v>95822.3158662629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  <cell r="T28">
            <v>32557374.3582084</v>
          </cell>
          <cell r="V28">
            <v>31390365</v>
          </cell>
          <cell r="X28">
            <v>0</v>
          </cell>
          <cell r="Z28">
            <v>0.4561644</v>
          </cell>
        </row>
        <row r="29">
          <cell r="D29">
            <v>99544.5572961099</v>
          </cell>
          <cell r="F29">
            <v>95822.3158662629</v>
          </cell>
          <cell r="H29">
            <v>99544.5572961099</v>
          </cell>
          <cell r="J29">
            <v>95822.3158662629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32442497.6364327</v>
          </cell>
          <cell r="V29">
            <v>31279606</v>
          </cell>
          <cell r="X29">
            <v>0</v>
          </cell>
          <cell r="Z29">
            <v>0.4561644</v>
          </cell>
        </row>
        <row r="30">
          <cell r="D30">
            <v>99544.5572961099</v>
          </cell>
          <cell r="F30">
            <v>95822.3158662629</v>
          </cell>
          <cell r="H30">
            <v>99544.5572961099</v>
          </cell>
          <cell r="J30">
            <v>95822.3158662629</v>
          </cell>
          <cell r="L30">
            <v>0</v>
          </cell>
          <cell r="N30">
            <v>0</v>
          </cell>
          <cell r="P30">
            <v>0</v>
          </cell>
          <cell r="R30">
            <v>0</v>
          </cell>
          <cell r="T30">
            <v>32520841.8617873</v>
          </cell>
          <cell r="V30">
            <v>31355142</v>
          </cell>
          <cell r="X30">
            <v>0</v>
          </cell>
          <cell r="Z30">
            <v>0.4561644</v>
          </cell>
        </row>
        <row r="31">
          <cell r="D31">
            <v>99544.5572961099</v>
          </cell>
          <cell r="F31">
            <v>95822.3158662629</v>
          </cell>
          <cell r="H31">
            <v>99544.5572961099</v>
          </cell>
          <cell r="J31">
            <v>95822.3158662629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32838551.052833</v>
          </cell>
          <cell r="V31">
            <v>31661463</v>
          </cell>
          <cell r="X31">
            <v>0</v>
          </cell>
          <cell r="Z31">
            <v>0.4561644</v>
          </cell>
        </row>
        <row r="32">
          <cell r="D32">
            <v>99544.5572961099</v>
          </cell>
          <cell r="F32">
            <v>95822.3158662629</v>
          </cell>
          <cell r="H32">
            <v>99544.5572961099</v>
          </cell>
          <cell r="J32">
            <v>95822.3158662629</v>
          </cell>
          <cell r="L32">
            <v>99544.5572961099</v>
          </cell>
          <cell r="N32">
            <v>95822.3158662629</v>
          </cell>
          <cell r="P32">
            <v>0</v>
          </cell>
          <cell r="R32">
            <v>0</v>
          </cell>
          <cell r="T32">
            <v>32865166.0598075</v>
          </cell>
          <cell r="V32">
            <v>31687124</v>
          </cell>
          <cell r="X32">
            <v>1</v>
          </cell>
          <cell r="Z32">
            <v>0.4561644</v>
          </cell>
        </row>
        <row r="33">
          <cell r="D33">
            <v>99544.5572961099</v>
          </cell>
          <cell r="F33">
            <v>95822.3158662629</v>
          </cell>
          <cell r="H33">
            <v>99544.5572961099</v>
          </cell>
          <cell r="J33">
            <v>95822.3158662629</v>
          </cell>
          <cell r="L33">
            <v>0</v>
          </cell>
          <cell r="N33">
            <v>0</v>
          </cell>
          <cell r="P33">
            <v>99544.5572961099</v>
          </cell>
          <cell r="R33">
            <v>95822.3158662629</v>
          </cell>
          <cell r="T33">
            <v>32940185.0947034</v>
          </cell>
          <cell r="V33">
            <v>31759454</v>
          </cell>
          <cell r="X33">
            <v>0</v>
          </cell>
          <cell r="Z33">
            <v>0.4561644</v>
          </cell>
        </row>
      </sheetData>
      <sheetData sheetId="8">
        <row r="22">
          <cell r="D22">
            <v>72706.8309694</v>
          </cell>
          <cell r="F22">
            <v>72246.62</v>
          </cell>
          <cell r="H22">
            <v>69658.2242647</v>
          </cell>
          <cell r="J22">
            <v>69217.31</v>
          </cell>
          <cell r="L22">
            <v>69201.1310107</v>
          </cell>
          <cell r="N22">
            <v>68763.11</v>
          </cell>
          <cell r="P22">
            <v>69658.2242647</v>
          </cell>
          <cell r="R22">
            <v>69217.31</v>
          </cell>
          <cell r="T22">
            <v>30720742.5634865</v>
          </cell>
          <cell r="V22">
            <v>30545411.8991852</v>
          </cell>
        </row>
        <row r="23">
          <cell r="D23">
            <v>112532.6456295</v>
          </cell>
          <cell r="F23">
            <v>111820.35</v>
          </cell>
          <cell r="H23">
            <v>101327.0075268</v>
          </cell>
          <cell r="J23">
            <v>100685.64</v>
          </cell>
          <cell r="L23">
            <v>101327.0075268</v>
          </cell>
          <cell r="N23">
            <v>100685.64</v>
          </cell>
          <cell r="P23">
            <v>101012.6678573</v>
          </cell>
          <cell r="R23">
            <v>100373.29</v>
          </cell>
          <cell r="T23">
            <v>32811181.766622</v>
          </cell>
          <cell r="V23">
            <v>32623920.4631634</v>
          </cell>
        </row>
        <row r="24">
          <cell r="D24">
            <v>52915.1962562</v>
          </cell>
          <cell r="F24">
            <v>52580.26</v>
          </cell>
          <cell r="H24">
            <v>49548.6672048</v>
          </cell>
          <cell r="J24">
            <v>49235.04</v>
          </cell>
          <cell r="L24">
            <v>49548.6672048</v>
          </cell>
          <cell r="N24">
            <v>49235.04</v>
          </cell>
          <cell r="P24">
            <v>31887.6486097</v>
          </cell>
          <cell r="R24">
            <v>31685.81</v>
          </cell>
          <cell r="T24">
            <v>21083006.5391048</v>
          </cell>
          <cell r="V24">
            <v>20962680.7515907</v>
          </cell>
        </row>
        <row r="25">
          <cell r="D25">
            <v>49707.2711168</v>
          </cell>
          <cell r="F25">
            <v>49392.64</v>
          </cell>
          <cell r="H25">
            <v>44372.7050208</v>
          </cell>
          <cell r="J25">
            <v>44091.84</v>
          </cell>
          <cell r="L25">
            <v>39723.2655571</v>
          </cell>
          <cell r="N25">
            <v>39471.83</v>
          </cell>
          <cell r="P25">
            <v>35516.1257084</v>
          </cell>
          <cell r="R25">
            <v>35291.32</v>
          </cell>
          <cell r="T25">
            <v>19605233.752018</v>
          </cell>
          <cell r="V25">
            <v>19493341.9691153</v>
          </cell>
        </row>
        <row r="26">
          <cell r="D26">
            <v>56535.4915668</v>
          </cell>
          <cell r="F26">
            <v>56177.64</v>
          </cell>
          <cell r="H26">
            <v>54535.9752686</v>
          </cell>
          <cell r="J26">
            <v>54190.78</v>
          </cell>
          <cell r="L26">
            <v>53351.598543</v>
          </cell>
          <cell r="N26">
            <v>53013.9</v>
          </cell>
          <cell r="P26">
            <v>53351.598543</v>
          </cell>
          <cell r="R26">
            <v>53013.9</v>
          </cell>
          <cell r="T26">
            <v>21439972.0546556</v>
          </cell>
          <cell r="V26">
            <v>21317608.9791155</v>
          </cell>
        </row>
        <row r="27">
          <cell r="D27">
            <v>76215.3487641</v>
          </cell>
          <cell r="F27">
            <v>75732.93</v>
          </cell>
          <cell r="H27">
            <v>71184.9580006</v>
          </cell>
          <cell r="J27">
            <v>70734.38</v>
          </cell>
          <cell r="L27">
            <v>69497.0138544</v>
          </cell>
          <cell r="N27">
            <v>69057.12</v>
          </cell>
          <cell r="P27">
            <v>67397.2127857</v>
          </cell>
          <cell r="R27">
            <v>66970.61</v>
          </cell>
          <cell r="T27">
            <v>29962084.6246522</v>
          </cell>
          <cell r="V27">
            <v>29791083.8036194</v>
          </cell>
        </row>
        <row r="28">
          <cell r="D28">
            <v>78287.6960592</v>
          </cell>
          <cell r="F28">
            <v>77792.16</v>
          </cell>
          <cell r="H28">
            <v>76121.73823944</v>
          </cell>
          <cell r="J28">
            <v>75639.912</v>
          </cell>
          <cell r="L28">
            <v>71436.2183985</v>
          </cell>
          <cell r="N28">
            <v>70984.05</v>
          </cell>
          <cell r="P28">
            <v>75139.6197437</v>
          </cell>
          <cell r="R28">
            <v>74664.01</v>
          </cell>
          <cell r="T28">
            <v>33597268.3844708</v>
          </cell>
          <cell r="V28">
            <v>33405520.6956776</v>
          </cell>
        </row>
        <row r="29">
          <cell r="D29">
            <v>95626.0925597</v>
          </cell>
          <cell r="F29">
            <v>95020.81</v>
          </cell>
          <cell r="H29">
            <v>82588.5692097</v>
          </cell>
          <cell r="J29">
            <v>82065.81</v>
          </cell>
          <cell r="L29">
            <v>74715.1932599</v>
          </cell>
          <cell r="N29">
            <v>74242.27</v>
          </cell>
          <cell r="P29">
            <v>73315.8860934</v>
          </cell>
          <cell r="R29">
            <v>72851.82</v>
          </cell>
          <cell r="T29">
            <v>35581342.7996344</v>
          </cell>
          <cell r="V29">
            <v>35378271.5211033</v>
          </cell>
        </row>
        <row r="30">
          <cell r="D30">
            <v>87682.200264</v>
          </cell>
          <cell r="F30">
            <v>87127.2</v>
          </cell>
          <cell r="H30">
            <v>79395.3169449</v>
          </cell>
          <cell r="J30">
            <v>78892.77</v>
          </cell>
          <cell r="L30">
            <v>75928.1106387</v>
          </cell>
          <cell r="N30">
            <v>75447.51</v>
          </cell>
          <cell r="P30">
            <v>76401.0642839</v>
          </cell>
          <cell r="R30">
            <v>75917.47</v>
          </cell>
          <cell r="T30">
            <v>29444621.1942186</v>
          </cell>
          <cell r="V30">
            <v>29276573.6614021</v>
          </cell>
        </row>
        <row r="31">
          <cell r="D31">
            <v>67667.7753602</v>
          </cell>
          <cell r="F31">
            <v>67239.46</v>
          </cell>
          <cell r="H31">
            <v>56011.8671921</v>
          </cell>
          <cell r="J31">
            <v>55657.33</v>
          </cell>
          <cell r="L31">
            <v>55605.3943491</v>
          </cell>
          <cell r="N31">
            <v>55253.43</v>
          </cell>
          <cell r="P31">
            <v>55605.3943491</v>
          </cell>
          <cell r="R31">
            <v>55253.43</v>
          </cell>
          <cell r="T31">
            <v>22928738.125413</v>
          </cell>
          <cell r="V31">
            <v>22797878.3039483</v>
          </cell>
        </row>
        <row r="32">
          <cell r="D32">
            <v>59101.0104804</v>
          </cell>
          <cell r="F32">
            <v>58726.92</v>
          </cell>
          <cell r="H32">
            <v>46784.7726368</v>
          </cell>
          <cell r="J32">
            <v>46488.64</v>
          </cell>
          <cell r="L32">
            <v>46423.5260616</v>
          </cell>
          <cell r="N32">
            <v>46129.68</v>
          </cell>
          <cell r="P32">
            <v>32355.9226344</v>
          </cell>
          <cell r="R32">
            <v>32151.12</v>
          </cell>
          <cell r="T32">
            <v>21705358.3329984</v>
          </cell>
          <cell r="V32">
            <v>21581480.6341583</v>
          </cell>
        </row>
        <row r="33">
          <cell r="D33">
            <v>69396.5781284</v>
          </cell>
          <cell r="F33">
            <v>68957.32</v>
          </cell>
          <cell r="H33">
            <v>57640.1939795</v>
          </cell>
          <cell r="J33">
            <v>57275.35</v>
          </cell>
          <cell r="L33">
            <v>54485.4353672</v>
          </cell>
          <cell r="N33">
            <v>54140.56</v>
          </cell>
          <cell r="P33">
            <v>36685.2257374</v>
          </cell>
          <cell r="R33">
            <v>36453.02</v>
          </cell>
          <cell r="T33">
            <v>23306432.0315127</v>
          </cell>
          <cell r="V33">
            <v>23173416.6201132</v>
          </cell>
        </row>
      </sheetData>
      <sheetData sheetId="9">
        <row r="22">
          <cell r="D22">
            <v>108207.668642832</v>
          </cell>
          <cell r="F22">
            <v>106065.41</v>
          </cell>
          <cell r="H22">
            <v>85911.9250905485</v>
          </cell>
          <cell r="J22">
            <v>84211.07</v>
          </cell>
          <cell r="L22">
            <v>82315.667607302</v>
          </cell>
          <cell r="N22">
            <v>80686.01</v>
          </cell>
          <cell r="P22">
            <v>82704.5975093003</v>
          </cell>
          <cell r="R22">
            <v>81067.24</v>
          </cell>
          <cell r="T22">
            <v>39284118.0903265</v>
          </cell>
          <cell r="V22">
            <v>38701154.4808788</v>
          </cell>
          <cell r="X22">
            <v>0.958140182757445</v>
          </cell>
          <cell r="Z22">
            <v>0.61771</v>
          </cell>
        </row>
        <row r="23">
          <cell r="D23">
            <v>184215.271324924</v>
          </cell>
          <cell r="F23">
            <v>180568.24</v>
          </cell>
          <cell r="H23">
            <v>128284.747832206</v>
          </cell>
          <cell r="J23">
            <v>125745.01</v>
          </cell>
          <cell r="L23">
            <v>122453.125352586</v>
          </cell>
          <cell r="N23">
            <v>120028.84</v>
          </cell>
          <cell r="P23">
            <v>122916.529673822</v>
          </cell>
          <cell r="R23">
            <v>120483.07</v>
          </cell>
          <cell r="T23">
            <v>42605997.336901</v>
          </cell>
          <cell r="V23">
            <v>41973738.1136055</v>
          </cell>
          <cell r="X23">
            <v>0.95454157584464</v>
          </cell>
          <cell r="Z23">
            <v>0.4967267</v>
          </cell>
        </row>
        <row r="24">
          <cell r="D24">
            <v>85031.576243311</v>
          </cell>
          <cell r="F24">
            <v>83348.15</v>
          </cell>
          <cell r="H24">
            <v>68484.6967475169</v>
          </cell>
          <cell r="J24">
            <v>67128.86</v>
          </cell>
          <cell r="L24">
            <v>68211.2940131137</v>
          </cell>
          <cell r="N24">
            <v>66860.87</v>
          </cell>
          <cell r="P24">
            <v>41902.3688555326</v>
          </cell>
          <cell r="R24">
            <v>41072.8</v>
          </cell>
          <cell r="T24">
            <v>28162530.141777</v>
          </cell>
          <cell r="V24">
            <v>27744607.3011807</v>
          </cell>
          <cell r="X24">
            <v>0.996007827333877</v>
          </cell>
          <cell r="Z24">
            <v>0.55626</v>
          </cell>
        </row>
        <row r="25">
          <cell r="D25">
            <v>81936.0215027704</v>
          </cell>
          <cell r="F25">
            <v>80313.88</v>
          </cell>
          <cell r="H25">
            <v>58324.4577902155</v>
          </cell>
          <cell r="J25">
            <v>57169.77</v>
          </cell>
          <cell r="L25">
            <v>49456.3296027326</v>
          </cell>
          <cell r="N25">
            <v>48477.21</v>
          </cell>
          <cell r="P25">
            <v>43656.6903154839</v>
          </cell>
          <cell r="R25">
            <v>42792.39</v>
          </cell>
          <cell r="T25">
            <v>26091408.968721</v>
          </cell>
          <cell r="V25">
            <v>25704220.8966098</v>
          </cell>
          <cell r="X25">
            <v>0.847951810895863</v>
          </cell>
          <cell r="Z25">
            <v>0.62446</v>
          </cell>
        </row>
        <row r="26">
          <cell r="D26">
            <v>82041.4283109294</v>
          </cell>
          <cell r="F26">
            <v>80417.2</v>
          </cell>
          <cell r="H26">
            <v>69696.4567603608</v>
          </cell>
          <cell r="J26">
            <v>68316.63</v>
          </cell>
          <cell r="L26">
            <v>64150.1631241973</v>
          </cell>
          <cell r="N26">
            <v>62880.14</v>
          </cell>
          <cell r="P26">
            <v>64150.1631241973</v>
          </cell>
          <cell r="R26">
            <v>62880.14</v>
          </cell>
          <cell r="T26">
            <v>28009358.2271152</v>
          </cell>
          <cell r="V26">
            <v>27593708.4082024</v>
          </cell>
          <cell r="X26">
            <v>0.920422157825993</v>
          </cell>
          <cell r="Z26">
            <v>0.542889</v>
          </cell>
        </row>
        <row r="27">
          <cell r="D27">
            <v>97852.500544658</v>
          </cell>
          <cell r="F27">
            <v>95915.25</v>
          </cell>
          <cell r="H27">
            <v>84448.8904275926</v>
          </cell>
          <cell r="J27">
            <v>82777</v>
          </cell>
          <cell r="L27">
            <v>78058.526168138</v>
          </cell>
          <cell r="N27">
            <v>76513.15</v>
          </cell>
          <cell r="P27">
            <v>75711.0210599485</v>
          </cell>
          <cell r="R27">
            <v>74212.12</v>
          </cell>
          <cell r="T27">
            <v>36578957.9394886</v>
          </cell>
          <cell r="V27">
            <v>36036138.0319319</v>
          </cell>
          <cell r="X27">
            <v>0.924328617852785</v>
          </cell>
          <cell r="Z27">
            <v>0.604639</v>
          </cell>
        </row>
        <row r="28">
          <cell r="D28">
            <v>119753.539876958</v>
          </cell>
          <cell r="F28">
            <v>117382.7</v>
          </cell>
          <cell r="H28">
            <v>92044.7608890703</v>
          </cell>
          <cell r="J28">
            <v>90222.49</v>
          </cell>
          <cell r="L28">
            <v>83756.5537820162</v>
          </cell>
          <cell r="N28">
            <v>82098.37</v>
          </cell>
          <cell r="P28">
            <v>87837.976399681</v>
          </cell>
          <cell r="R28">
            <v>86098.99</v>
          </cell>
          <cell r="T28">
            <v>40977245.1643592</v>
          </cell>
          <cell r="V28">
            <v>40369156.0966268</v>
          </cell>
          <cell r="X28">
            <v>0.909954602228336</v>
          </cell>
          <cell r="Z28">
            <v>0.601397</v>
          </cell>
        </row>
        <row r="29">
          <cell r="D29">
            <v>128360.528104274</v>
          </cell>
          <cell r="F29">
            <v>125819.29</v>
          </cell>
          <cell r="H29">
            <v>93752.0920510753</v>
          </cell>
          <cell r="J29">
            <v>91896.02</v>
          </cell>
          <cell r="L29">
            <v>87714.7773467069</v>
          </cell>
          <cell r="N29">
            <v>85978.23</v>
          </cell>
          <cell r="P29">
            <v>86326.7884136017</v>
          </cell>
          <cell r="R29">
            <v>84617.72</v>
          </cell>
          <cell r="T29">
            <v>43473102.3901169</v>
          </cell>
          <cell r="V29">
            <v>42827975.608221</v>
          </cell>
          <cell r="X29">
            <v>0.935603413510182</v>
          </cell>
          <cell r="Z29">
            <v>0.626409</v>
          </cell>
        </row>
        <row r="30">
          <cell r="D30">
            <v>122036.813349049</v>
          </cell>
          <cell r="F30">
            <v>119620.77</v>
          </cell>
          <cell r="H30">
            <v>96152.5250067995</v>
          </cell>
          <cell r="J30">
            <v>94248.93</v>
          </cell>
          <cell r="L30">
            <v>91072.8697180222</v>
          </cell>
          <cell r="N30">
            <v>89269.84</v>
          </cell>
          <cell r="P30">
            <v>93379.6995509378</v>
          </cell>
          <cell r="R30">
            <v>91531</v>
          </cell>
          <cell r="T30">
            <v>37179855.1638844</v>
          </cell>
          <cell r="V30">
            <v>36628118.1358253</v>
          </cell>
          <cell r="X30">
            <v>0.947170859128056</v>
          </cell>
          <cell r="Z30">
            <v>0.539766</v>
          </cell>
        </row>
        <row r="31">
          <cell r="D31">
            <v>103290.816474902</v>
          </cell>
          <cell r="F31">
            <v>101245.9</v>
          </cell>
          <cell r="H31">
            <v>79809.1749170035</v>
          </cell>
          <cell r="J31">
            <v>78229.14</v>
          </cell>
          <cell r="L31">
            <v>74371.4404993476</v>
          </cell>
          <cell r="N31">
            <v>72899.06</v>
          </cell>
          <cell r="P31">
            <v>74371.4404993476</v>
          </cell>
          <cell r="R31">
            <v>72899.06</v>
          </cell>
          <cell r="T31">
            <v>31570926.2572004</v>
          </cell>
          <cell r="V31">
            <v>31102423.9203989</v>
          </cell>
          <cell r="X31">
            <v>0.931865798345731</v>
          </cell>
          <cell r="Z31">
            <v>0.53438</v>
          </cell>
        </row>
        <row r="32">
          <cell r="D32">
            <v>99986.4579071657</v>
          </cell>
          <cell r="F32">
            <v>98006.96</v>
          </cell>
          <cell r="H32">
            <v>67759.0506527884</v>
          </cell>
          <cell r="J32">
            <v>66417.58</v>
          </cell>
          <cell r="L32">
            <v>67361.4286678874</v>
          </cell>
          <cell r="N32">
            <v>66027.83</v>
          </cell>
          <cell r="P32">
            <v>44230.0311218842</v>
          </cell>
          <cell r="R32">
            <v>43354.38</v>
          </cell>
          <cell r="T32">
            <v>30991569.9293214</v>
          </cell>
          <cell r="V32">
            <v>30531665.0530835</v>
          </cell>
          <cell r="X32">
            <v>0.994131824736764</v>
          </cell>
          <cell r="Z32">
            <v>0.637576</v>
          </cell>
        </row>
        <row r="33">
          <cell r="D33">
            <v>99701.0474479074</v>
          </cell>
          <cell r="F33">
            <v>97727.2</v>
          </cell>
          <cell r="H33">
            <v>76314.5699150285</v>
          </cell>
          <cell r="J33">
            <v>74803.72</v>
          </cell>
          <cell r="L33">
            <v>72808.0286020251</v>
          </cell>
          <cell r="N33">
            <v>71366.6</v>
          </cell>
          <cell r="P33">
            <v>46706.3259654783</v>
          </cell>
          <cell r="R33">
            <v>45781.65</v>
          </cell>
          <cell r="T33">
            <v>30634958.4049604</v>
          </cell>
          <cell r="V33">
            <v>30180345.5284292</v>
          </cell>
          <cell r="X33">
            <v>0.954051483001113</v>
          </cell>
          <cell r="Z33">
            <v>0.542285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70"/>
  <sheetViews>
    <sheetView zoomScale="75" zoomScaleNormal="75" workbookViewId="0" topLeftCell="A56">
      <selection pane="topLeft" activeCell="F73" sqref="F73"/>
    </sheetView>
  </sheetViews>
  <sheetFormatPr defaultColWidth="9.18428571428571" defaultRowHeight="18.75" customHeight="1"/>
  <cols>
    <col min="1" max="1" width="4.71428571428571" style="3" customWidth="1"/>
    <col min="2" max="2" width="3.85714285714286" style="3" customWidth="1"/>
    <col min="3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5.71428571428571" style="3" customWidth="1"/>
    <col min="8" max="8" width="13.8571428571429" style="4" customWidth="1"/>
    <col min="9" max="9" width="4.28571428571429" style="3" customWidth="1"/>
    <col min="10" max="10" width="14.8571428571429" style="4" customWidth="1"/>
    <col min="11" max="11" width="5.71428571428571" style="3" customWidth="1"/>
    <col min="12" max="12" width="12.7142857142857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2.7142857142857" style="4" customWidth="1"/>
    <col min="17" max="17" width="2.71428571428571" style="4" customWidth="1"/>
    <col min="18" max="16384" width="9.14285714285714" style="3"/>
  </cols>
  <sheetData>
    <row r="1" spans="1:17" ht="18.75" customHeight="1">
      <c r="A1" s="19"/>
      <c r="B1" s="19"/>
      <c r="C1" s="33"/>
      <c r="D1" s="20"/>
      <c r="E1" s="20"/>
      <c r="F1" s="20"/>
      <c r="G1" s="19"/>
      <c r="H1" s="20"/>
      <c r="I1" s="19"/>
      <c r="J1" s="20"/>
      <c r="K1" s="19"/>
      <c r="N1" s="19" t="s">
        <v>65</v>
      </c>
      <c r="O1" s="20"/>
      <c r="Q1" s="20"/>
    </row>
    <row r="2" spans="1:17" ht="18.75" customHeight="1">
      <c r="A2" s="19"/>
      <c r="B2" s="19"/>
      <c r="C2" s="19"/>
      <c r="D2" s="20"/>
      <c r="E2" s="20"/>
      <c r="F2" s="20"/>
      <c r="G2" s="19"/>
      <c r="H2" s="20"/>
      <c r="I2" s="19"/>
      <c r="J2" s="20"/>
      <c r="K2" s="19"/>
      <c r="N2" s="19" t="s">
        <v>119</v>
      </c>
      <c r="O2" s="20"/>
      <c r="Q2" s="20"/>
    </row>
    <row r="3" spans="1:17" ht="18.75" customHeight="1">
      <c r="A3" s="19"/>
      <c r="B3" s="19"/>
      <c r="C3" s="19"/>
      <c r="D3" s="20"/>
      <c r="E3" s="20"/>
      <c r="F3" s="20"/>
      <c r="G3" s="19"/>
      <c r="H3" s="20"/>
      <c r="I3" s="19"/>
      <c r="J3" s="20"/>
      <c r="K3" s="19"/>
      <c r="L3" s="20"/>
      <c r="M3" s="19"/>
      <c r="N3" s="20"/>
      <c r="O3" s="19"/>
      <c r="P3" s="20"/>
      <c r="Q3" s="20"/>
    </row>
    <row r="4" spans="1:17" ht="18.75" customHeight="1">
      <c r="A4" s="19"/>
      <c r="B4" s="19"/>
      <c r="C4" s="19"/>
      <c r="D4" s="20"/>
      <c r="E4" s="20"/>
      <c r="F4" s="20"/>
      <c r="G4" s="19"/>
      <c r="H4" s="20"/>
      <c r="I4" s="19"/>
      <c r="J4" s="20"/>
      <c r="K4" s="19"/>
      <c r="L4" s="20"/>
      <c r="M4" s="19"/>
      <c r="N4" s="20"/>
      <c r="O4" s="19"/>
      <c r="P4" s="20"/>
      <c r="Q4" s="20"/>
    </row>
    <row r="5" spans="1:18" ht="18.75" customHeight="1">
      <c r="A5" s="21" t="s">
        <v>103</v>
      </c>
      <c r="B5" s="22"/>
      <c r="C5" s="22"/>
      <c r="D5" s="23"/>
      <c r="E5" s="23"/>
      <c r="F5" s="23"/>
      <c r="G5" s="22"/>
      <c r="H5" s="23"/>
      <c r="I5" s="22"/>
      <c r="J5" s="23"/>
      <c r="K5" s="22"/>
      <c r="L5" s="23"/>
      <c r="M5" s="22"/>
      <c r="N5" s="23"/>
      <c r="O5" s="22"/>
      <c r="P5" s="23"/>
      <c r="Q5" s="23"/>
      <c r="R5" s="9"/>
    </row>
    <row r="6" spans="1:18" ht="18.75" customHeight="1">
      <c r="A6" s="8" t="s">
        <v>42</v>
      </c>
      <c r="B6" s="9"/>
      <c r="C6" s="9"/>
      <c r="D6" s="10"/>
      <c r="E6" s="9"/>
      <c r="F6" s="10"/>
      <c r="G6" s="9"/>
      <c r="H6" s="10"/>
      <c r="I6" s="9"/>
      <c r="J6" s="10"/>
      <c r="K6" s="9"/>
      <c r="L6" s="10"/>
      <c r="M6" s="10"/>
      <c r="N6" s="10"/>
      <c r="O6" s="9"/>
      <c r="P6" s="10"/>
      <c r="Q6" s="10"/>
      <c r="R6" s="9"/>
    </row>
    <row r="7" spans="1:18" ht="18.75" customHeight="1">
      <c r="A7" s="8" t="s">
        <v>101</v>
      </c>
      <c r="B7" s="9"/>
      <c r="C7" s="9"/>
      <c r="D7" s="10"/>
      <c r="E7" s="9"/>
      <c r="F7" s="10"/>
      <c r="G7" s="9"/>
      <c r="H7" s="10"/>
      <c r="I7" s="9"/>
      <c r="J7" s="10"/>
      <c r="K7" s="9"/>
      <c r="L7" s="10"/>
      <c r="M7" s="10"/>
      <c r="N7" s="10"/>
      <c r="O7" s="9"/>
      <c r="P7" s="10"/>
      <c r="Q7" s="10"/>
      <c r="R7" s="9"/>
    </row>
    <row r="8" spans="1:18" ht="18.75" customHeight="1">
      <c r="A8" s="8" t="s">
        <v>110</v>
      </c>
      <c r="B8" s="9"/>
      <c r="C8" s="9"/>
      <c r="D8" s="10"/>
      <c r="E8" s="9"/>
      <c r="F8" s="10"/>
      <c r="G8" s="9"/>
      <c r="H8" s="10"/>
      <c r="I8" s="9"/>
      <c r="J8" s="10"/>
      <c r="K8" s="9"/>
      <c r="L8" s="10"/>
      <c r="M8" s="10"/>
      <c r="N8" s="10"/>
      <c r="O8" s="9"/>
      <c r="P8" s="10"/>
      <c r="Q8" s="10"/>
      <c r="R8" s="9"/>
    </row>
    <row r="9" spans="1:18" ht="18.75" customHeight="1">
      <c r="A9" s="9"/>
      <c r="B9" s="9"/>
      <c r="C9" s="9"/>
      <c r="D9" s="10"/>
      <c r="E9" s="9"/>
      <c r="F9" s="10"/>
      <c r="G9" s="9"/>
      <c r="H9" s="10"/>
      <c r="I9" s="9"/>
      <c r="J9" s="10"/>
      <c r="K9" s="9"/>
      <c r="L9" s="10"/>
      <c r="M9" s="10"/>
      <c r="N9" s="10"/>
      <c r="O9" s="9"/>
      <c r="P9" s="10"/>
      <c r="Q9" s="10"/>
      <c r="R9" s="9"/>
    </row>
    <row r="10" spans="1:18" ht="18.75" customHeight="1">
      <c r="A10" s="8" t="s">
        <v>45</v>
      </c>
      <c r="B10" s="9"/>
      <c r="C10" s="9"/>
      <c r="D10" s="10"/>
      <c r="E10" s="9"/>
      <c r="F10" s="10"/>
      <c r="G10" s="9"/>
      <c r="H10" s="10"/>
      <c r="I10" s="9"/>
      <c r="J10" s="10"/>
      <c r="K10" s="9"/>
      <c r="L10" s="10"/>
      <c r="M10" s="10"/>
      <c r="N10" s="10"/>
      <c r="O10" s="9"/>
      <c r="P10" s="10"/>
      <c r="Q10" s="10"/>
      <c r="R10" s="9"/>
    </row>
    <row r="11" spans="1:18" ht="18.75" customHeight="1">
      <c r="A11" s="9"/>
      <c r="B11" s="9"/>
      <c r="C11" s="9"/>
      <c r="D11" s="10"/>
      <c r="E11" s="9"/>
      <c r="F11" s="10"/>
      <c r="G11" s="9"/>
      <c r="H11" s="10"/>
      <c r="I11" s="9"/>
      <c r="J11" s="10"/>
      <c r="K11" s="9"/>
      <c r="L11" s="10"/>
      <c r="M11" s="10"/>
      <c r="N11" s="10"/>
      <c r="O11" s="9"/>
      <c r="P11" s="10"/>
      <c r="Q11" s="10"/>
      <c r="R11" s="9"/>
    </row>
    <row r="12" spans="1:18" ht="18.75" customHeight="1">
      <c r="A12" s="9"/>
      <c r="B12" s="9"/>
      <c r="C12" s="9"/>
      <c r="D12" s="10"/>
      <c r="E12" s="9"/>
      <c r="F12" s="10"/>
      <c r="G12" s="9"/>
      <c r="H12" s="10"/>
      <c r="I12" s="9"/>
      <c r="J12" s="10"/>
      <c r="K12" s="9"/>
      <c r="L12" s="10"/>
      <c r="M12" s="10"/>
      <c r="N12" s="10"/>
      <c r="O12" s="9"/>
      <c r="P12" s="10"/>
      <c r="Q12" s="10"/>
      <c r="R12" s="9"/>
    </row>
    <row r="13" spans="1:3" ht="18.75" customHeight="1">
      <c r="A13" s="3">
        <v>1</v>
      </c>
      <c r="C13" s="24" t="s">
        <v>111</v>
      </c>
    </row>
    <row r="14" spans="1:1" ht="18.75" customHeight="1">
      <c r="A14" s="3">
        <v>2</v>
      </c>
    </row>
    <row r="15" spans="1:3" ht="18.75" customHeight="1">
      <c r="A15" s="3">
        <v>3</v>
      </c>
      <c r="C15" s="24" t="s">
        <v>66</v>
      </c>
    </row>
    <row r="16" spans="1:1" ht="18.75" customHeight="1">
      <c r="A16" s="3">
        <v>4</v>
      </c>
    </row>
    <row r="17" spans="1:17" ht="18.75" customHeight="1">
      <c r="A17" s="3">
        <v>5</v>
      </c>
      <c r="D17" s="4" t="s">
        <v>67</v>
      </c>
      <c r="L17" s="3"/>
      <c r="M17" s="3"/>
      <c r="N17" s="3"/>
      <c r="P17" s="3"/>
      <c r="Q17" s="3"/>
    </row>
    <row r="18" spans="1:17" ht="18.75" customHeight="1">
      <c r="A18" s="3">
        <v>6</v>
      </c>
      <c r="L18" s="3"/>
      <c r="M18" s="3"/>
      <c r="N18" s="3"/>
      <c r="P18" s="3"/>
      <c r="Q18" s="3"/>
    </row>
    <row r="19" spans="1:17" ht="18.75" customHeight="1">
      <c r="A19" s="3">
        <v>7</v>
      </c>
      <c r="D19" s="4" t="s">
        <v>78</v>
      </c>
      <c r="H19" s="25"/>
      <c r="L19" s="3"/>
      <c r="M19" s="3"/>
      <c r="N19" s="3"/>
      <c r="P19" s="3"/>
      <c r="Q19" s="3"/>
    </row>
    <row r="20" spans="1:17" ht="18.75" customHeight="1">
      <c r="A20" s="3">
        <v>8</v>
      </c>
      <c r="H20" s="4" t="s">
        <v>79</v>
      </c>
      <c r="L20" s="3"/>
      <c r="M20" s="3"/>
      <c r="N20" s="3"/>
      <c r="P20" s="3"/>
      <c r="Q20" s="3"/>
    </row>
    <row r="21" spans="1:17" ht="18.75" customHeight="1">
      <c r="A21" s="3">
        <v>9</v>
      </c>
      <c r="L21" s="3"/>
      <c r="M21" s="3"/>
      <c r="N21" s="3"/>
      <c r="P21" s="3"/>
      <c r="Q21" s="3"/>
    </row>
    <row r="22" spans="1:17" ht="18.75" customHeight="1">
      <c r="A22" s="3">
        <v>10</v>
      </c>
      <c r="D22" s="4" t="s">
        <v>68</v>
      </c>
      <c r="L22" s="3"/>
      <c r="M22" s="3"/>
      <c r="N22" s="3"/>
      <c r="P22" s="3"/>
      <c r="Q22" s="3"/>
    </row>
    <row r="23" spans="1:22" ht="18.75" customHeight="1">
      <c r="A23" s="3">
        <v>11</v>
      </c>
      <c r="D23" s="4" t="s">
        <v>80</v>
      </c>
      <c r="L23" s="3"/>
      <c r="M23" s="3"/>
      <c r="N23" s="3"/>
      <c r="P23" s="3"/>
      <c r="Q23" s="3"/>
      <c r="V23" s="4"/>
    </row>
    <row r="24" spans="1:17" ht="18.75" customHeight="1">
      <c r="A24" s="3">
        <v>12</v>
      </c>
      <c r="L24" s="3"/>
      <c r="M24" s="3"/>
      <c r="N24" s="3"/>
      <c r="P24" s="3"/>
      <c r="Q24" s="3"/>
    </row>
    <row r="25" spans="1:17" ht="18.75" customHeight="1">
      <c r="A25" s="3">
        <v>13</v>
      </c>
      <c r="D25" s="4" t="s">
        <v>81</v>
      </c>
      <c r="L25" s="3"/>
      <c r="M25" s="3"/>
      <c r="N25" s="3"/>
      <c r="P25" s="3"/>
      <c r="Q25" s="3"/>
    </row>
    <row r="26" spans="1:17" ht="18.75" customHeight="1">
      <c r="A26" s="3">
        <v>14</v>
      </c>
      <c r="H26" s="3"/>
      <c r="J26" s="4" t="s">
        <v>120</v>
      </c>
      <c r="L26" s="3"/>
      <c r="M26" s="3"/>
      <c r="N26" s="3"/>
      <c r="P26" s="3"/>
      <c r="Q26" s="3"/>
    </row>
    <row r="27" spans="1:17" ht="18.75" customHeight="1">
      <c r="A27" s="3">
        <v>15</v>
      </c>
      <c r="L27" s="3"/>
      <c r="M27" s="3"/>
      <c r="N27" s="3"/>
      <c r="P27" s="3"/>
      <c r="Q27" s="3"/>
    </row>
    <row r="28" spans="1:17" ht="18.75" customHeight="1">
      <c r="A28" s="3">
        <v>16</v>
      </c>
      <c r="D28" s="4" t="s">
        <v>121</v>
      </c>
      <c r="L28" s="3"/>
      <c r="M28" s="3"/>
      <c r="N28" s="3"/>
      <c r="P28" s="3"/>
      <c r="Q28" s="3"/>
    </row>
    <row r="29" spans="1:1" ht="18.75" customHeight="1">
      <c r="A29" s="3">
        <v>17</v>
      </c>
    </row>
    <row r="30" spans="1:11" ht="18.75" customHeight="1">
      <c r="A30" s="3">
        <v>18</v>
      </c>
      <c r="F30" s="27" t="s">
        <v>112</v>
      </c>
      <c r="G30" s="27" t="s">
        <v>70</v>
      </c>
      <c r="H30" s="34" t="s">
        <v>113</v>
      </c>
      <c r="I30" s="28"/>
      <c r="J30" s="27"/>
      <c r="K30" s="7"/>
    </row>
    <row r="31" spans="1:11" ht="18.75" customHeight="1">
      <c r="A31" s="3">
        <v>19</v>
      </c>
      <c r="F31" s="27"/>
      <c r="G31" s="27"/>
      <c r="H31" s="27" t="s">
        <v>114</v>
      </c>
      <c r="I31" s="27"/>
      <c r="J31" s="27"/>
      <c r="K31" s="7"/>
    </row>
    <row r="32" spans="1:1" ht="18.75" customHeight="1">
      <c r="A32" s="3">
        <v>20</v>
      </c>
    </row>
    <row r="33" spans="1:3" ht="18.75" customHeight="1">
      <c r="A33" s="3">
        <v>21</v>
      </c>
      <c r="C33" s="24" t="s">
        <v>71</v>
      </c>
    </row>
    <row r="34" spans="1:1" ht="18.75" customHeight="1">
      <c r="A34" s="3">
        <v>22</v>
      </c>
    </row>
    <row r="35" spans="1:4" ht="18.75" customHeight="1">
      <c r="A35" s="3">
        <v>23</v>
      </c>
      <c r="D35" s="4" t="s">
        <v>82</v>
      </c>
    </row>
    <row r="36" spans="1:4" ht="18.75" customHeight="1">
      <c r="A36" s="3">
        <v>24</v>
      </c>
      <c r="D36" s="4" t="s">
        <v>83</v>
      </c>
    </row>
    <row r="37" spans="1:1" ht="18.75" customHeight="1">
      <c r="A37" s="3">
        <v>25</v>
      </c>
    </row>
    <row r="38" spans="1:18" ht="18.75" customHeight="1">
      <c r="A38" s="3">
        <v>26</v>
      </c>
      <c r="D38" s="4" t="s">
        <v>84</v>
      </c>
      <c r="E38" s="1"/>
      <c r="K38" s="4"/>
      <c r="M38" s="1"/>
      <c r="N38" s="2"/>
      <c r="O38" s="1"/>
      <c r="P38" s="2"/>
      <c r="Q38" s="2"/>
      <c r="R38" s="1"/>
    </row>
    <row r="39" spans="1:12" ht="18.75" customHeight="1">
      <c r="A39" s="3">
        <v>27</v>
      </c>
      <c r="L39" s="4" t="s">
        <v>85</v>
      </c>
    </row>
    <row r="40" spans="1:4" ht="18.75" customHeight="1">
      <c r="A40" s="3">
        <v>28</v>
      </c>
      <c r="D40" s="4" t="s">
        <v>68</v>
      </c>
    </row>
    <row r="41" spans="1:4" ht="18.75" customHeight="1">
      <c r="A41" s="3">
        <v>29</v>
      </c>
      <c r="D41" s="4" t="s">
        <v>69</v>
      </c>
    </row>
    <row r="42" spans="1:4" ht="18.75" customHeight="1">
      <c r="A42" s="3">
        <v>30</v>
      </c>
      <c r="D42" s="4" t="s">
        <v>73</v>
      </c>
    </row>
    <row r="43" spans="1:1" ht="18.75" customHeight="1">
      <c r="A43" s="3">
        <v>31</v>
      </c>
    </row>
    <row r="44" spans="1:4" ht="18.75" customHeight="1">
      <c r="A44" s="3">
        <v>32</v>
      </c>
      <c r="D44" s="4" t="s">
        <v>86</v>
      </c>
    </row>
    <row r="45" spans="1:1" ht="18.75" customHeight="1">
      <c r="A45" s="3">
        <v>33</v>
      </c>
    </row>
    <row r="46" spans="1:4" ht="18.75" customHeight="1">
      <c r="A46" s="3">
        <v>34</v>
      </c>
      <c r="D46" s="26" t="s">
        <v>122</v>
      </c>
    </row>
    <row r="47" spans="1:4" ht="18.75" customHeight="1">
      <c r="A47" s="3">
        <v>35</v>
      </c>
      <c r="D47" s="26"/>
    </row>
    <row r="48" spans="1:12" ht="18.75" customHeight="1">
      <c r="A48" s="3">
        <v>36</v>
      </c>
      <c r="F48" s="4" t="s">
        <v>104</v>
      </c>
      <c r="J48" s="4" t="s">
        <v>105</v>
      </c>
      <c r="L48" s="4" t="s">
        <v>106</v>
      </c>
    </row>
    <row r="49" spans="1:12" ht="18.75" customHeight="1">
      <c r="A49" s="3">
        <v>37</v>
      </c>
      <c r="D49" s="4" t="s">
        <v>74</v>
      </c>
      <c r="F49" s="5" t="s">
        <v>115</v>
      </c>
      <c r="G49" s="5"/>
      <c r="H49" s="5"/>
      <c r="I49" s="5"/>
      <c r="J49" s="5"/>
      <c r="K49" s="5"/>
      <c r="L49" s="5"/>
    </row>
    <row r="50" spans="1:12" ht="18.75" customHeight="1">
      <c r="A50" s="3">
        <v>38</v>
      </c>
      <c r="D50" s="4" t="s">
        <v>75</v>
      </c>
      <c r="F50" s="5" t="s">
        <v>116</v>
      </c>
      <c r="G50" s="5"/>
      <c r="H50" s="5"/>
      <c r="I50" s="5"/>
      <c r="J50" s="5"/>
      <c r="K50" s="5"/>
      <c r="L50" s="5"/>
    </row>
    <row r="51" spans="1:1" ht="18.75" customHeight="1">
      <c r="A51" s="3">
        <v>39</v>
      </c>
    </row>
    <row r="52" spans="1:3" ht="18.75" customHeight="1">
      <c r="A52" s="3">
        <v>40</v>
      </c>
      <c r="C52" s="24" t="s">
        <v>76</v>
      </c>
    </row>
    <row r="53" spans="1:1" ht="18.75" customHeight="1">
      <c r="A53" s="3">
        <v>41</v>
      </c>
    </row>
    <row r="54" spans="1:4" ht="18.75" customHeight="1">
      <c r="A54" s="3">
        <v>42</v>
      </c>
      <c r="D54" s="4" t="s">
        <v>87</v>
      </c>
    </row>
    <row r="55" spans="1:4" ht="18.75" customHeight="1">
      <c r="A55" s="3">
        <v>43</v>
      </c>
      <c r="D55" s="4" t="s">
        <v>72</v>
      </c>
    </row>
    <row r="56" spans="1:1" ht="18.75" customHeight="1">
      <c r="A56" s="3">
        <v>44</v>
      </c>
    </row>
    <row r="57" spans="1:18" ht="18.75" customHeight="1">
      <c r="A57" s="3">
        <v>45</v>
      </c>
      <c r="D57" s="4" t="s">
        <v>88</v>
      </c>
      <c r="E57" s="1"/>
      <c r="F57" s="2"/>
      <c r="G57" s="1"/>
      <c r="H57" s="2"/>
      <c r="I57" s="1"/>
      <c r="J57" s="2"/>
      <c r="K57" s="1"/>
      <c r="L57" s="2"/>
      <c r="M57" s="2"/>
      <c r="N57" s="2"/>
      <c r="O57" s="1"/>
      <c r="P57" s="2"/>
      <c r="Q57" s="2"/>
      <c r="R57" s="1"/>
    </row>
    <row r="58" spans="1:13" ht="18.75" customHeight="1">
      <c r="A58" s="3">
        <v>46</v>
      </c>
      <c r="M58" s="4" t="s">
        <v>85</v>
      </c>
    </row>
    <row r="59" spans="1:4" ht="18.75" customHeight="1">
      <c r="A59" s="3">
        <v>47</v>
      </c>
      <c r="D59" s="4" t="s">
        <v>68</v>
      </c>
    </row>
    <row r="60" spans="1:4" ht="18.75" customHeight="1">
      <c r="A60" s="3">
        <v>48</v>
      </c>
      <c r="D60" s="4" t="s">
        <v>69</v>
      </c>
    </row>
    <row r="61" spans="1:4" ht="18.75" customHeight="1">
      <c r="A61" s="3">
        <v>49</v>
      </c>
      <c r="D61" s="4" t="s">
        <v>73</v>
      </c>
    </row>
    <row r="62" spans="1:1" ht="18.75" customHeight="1">
      <c r="A62" s="3">
        <v>50</v>
      </c>
    </row>
    <row r="63" spans="1:4" ht="18.75" customHeight="1">
      <c r="A63" s="3">
        <v>51</v>
      </c>
      <c r="D63" s="4" t="s">
        <v>89</v>
      </c>
    </row>
    <row r="64" spans="1:1" ht="18.75" customHeight="1">
      <c r="A64" s="3">
        <v>52</v>
      </c>
    </row>
    <row r="65" spans="1:1" ht="18.75" customHeight="1">
      <c r="A65" s="3">
        <v>53</v>
      </c>
    </row>
    <row r="66" spans="1:4" ht="18.75" customHeight="1">
      <c r="A66" s="3">
        <v>54</v>
      </c>
      <c r="D66" s="26" t="s">
        <v>123</v>
      </c>
    </row>
    <row r="67" spans="1:4" ht="18.75" customHeight="1">
      <c r="A67" s="3">
        <v>55</v>
      </c>
      <c r="D67" s="26"/>
    </row>
    <row r="68" spans="1:12" ht="18.75" customHeight="1">
      <c r="A68" s="3">
        <v>56</v>
      </c>
      <c r="F68" s="4" t="s">
        <v>107</v>
      </c>
      <c r="J68" s="4" t="s">
        <v>108</v>
      </c>
      <c r="L68" s="4" t="s">
        <v>109</v>
      </c>
    </row>
    <row r="69" spans="1:12" ht="18.75" customHeight="1">
      <c r="A69" s="3">
        <v>57</v>
      </c>
      <c r="D69" s="4" t="s">
        <v>74</v>
      </c>
      <c r="F69" s="5" t="s">
        <v>118</v>
      </c>
      <c r="G69" s="5"/>
      <c r="H69" s="5"/>
      <c r="I69" s="5"/>
      <c r="J69" s="5"/>
      <c r="K69" s="5"/>
      <c r="L69" s="5"/>
    </row>
    <row r="70" spans="1:12" ht="18.75" customHeight="1">
      <c r="A70" s="3">
        <v>58</v>
      </c>
      <c r="D70" s="4" t="s">
        <v>75</v>
      </c>
      <c r="F70" s="5" t="s">
        <v>117</v>
      </c>
      <c r="G70" s="5"/>
      <c r="H70" s="5"/>
      <c r="I70" s="5"/>
      <c r="J70" s="5"/>
      <c r="K70" s="5"/>
      <c r="L70" s="5"/>
    </row>
  </sheetData>
  <pageMargins left="1.5" right="0.5" top="1" bottom="0.5" header="0.5" footer="0.5"/>
  <pageSetup orientation="portrait" scale="5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2"/>
  <sheetViews>
    <sheetView tabSelected="1" zoomScale="75" zoomScaleNormal="75" workbookViewId="0" topLeftCell="A13">
      <selection pane="topLeft" activeCell="D23" sqref="D23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4.14285714285714" style="3" customWidth="1"/>
    <col min="8" max="8" width="14.8571428571429" style="4" customWidth="1"/>
    <col min="9" max="9" width="2.71428571428571" style="3" customWidth="1"/>
    <col min="10" max="10" width="14.7142857142857" style="4" customWidth="1"/>
    <col min="11" max="11" width="3.71428571428571" style="3" customWidth="1"/>
    <col min="12" max="12" width="15" style="4" customWidth="1"/>
    <col min="13" max="13" width="2.71428571428571" style="4" customWidth="1"/>
    <col min="14" max="14" width="14.5714285714286" style="4" customWidth="1"/>
    <col min="15" max="15" width="3.71428571428571" style="3" customWidth="1"/>
    <col min="16" max="16" width="15" style="4" customWidth="1"/>
    <col min="17" max="17" width="2.71428571428571" style="4" customWidth="1"/>
    <col min="18" max="18" width="15" style="4" customWidth="1"/>
    <col min="19" max="19" width="5.71428571428571" style="3" customWidth="1"/>
    <col min="20" max="20" width="20.4285714285714" style="4" customWidth="1"/>
    <col min="21" max="21" width="2.71428571428571" style="4" customWidth="1"/>
    <col min="22" max="22" width="20.2857142857143" style="4" customWidth="1"/>
    <col min="23" max="23" width="3.14285714285714" style="3" customWidth="1"/>
    <col min="24" max="24" width="9.71428571428571" style="3" customWidth="1"/>
    <col min="25" max="25" width="1.71428571428571" style="3" customWidth="1"/>
    <col min="26" max="26" width="9.71428571428571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91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18" s="29" customFormat="1" ht="18.75" customHeight="1">
      <c r="A14" s="32" t="s">
        <v>90</v>
      </c>
      <c r="F14" s="30"/>
      <c r="J14" s="30"/>
      <c r="M14" s="30"/>
      <c r="O14" s="31"/>
      <c r="R14" s="30"/>
    </row>
    <row r="15" spans="1:1" ht="18.75" customHeight="1">
      <c r="A15" s="3" t="s">
        <v>0</v>
      </c>
    </row>
    <row r="16" spans="1:1" ht="18.75" customHeight="1">
      <c r="A16" s="3" t="s">
        <v>1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[1]RESIDENTIAL!$D22-[2]RESIDENTIAL!$D22</f>
        <v>2155806.5437760726</v>
      </c>
      <c r="E23" s="4"/>
      <c r="F23" s="4">
        <f>[1]RESIDENTIAL!$F22-[2]RESIDENTIAL!$F22</f>
        <v>2075195.080427967</v>
      </c>
      <c r="G23" s="4"/>
      <c r="H23" s="4">
        <f>[1]RESIDENTIAL!$H22-[2]RESIDENTIAL!$H22</f>
        <v>614143.70487494022</v>
      </c>
      <c r="I23" s="4"/>
      <c r="J23" s="4">
        <f>[1]RESIDENTIAL!$J22-[2]RESIDENTIAL!$J22</f>
        <v>591179.2033064086</v>
      </c>
      <c r="K23" s="4"/>
      <c r="L23" s="4">
        <f>[1]RESIDENTIAL!$L$22-[2]RESIDENTIAL!$L$22</f>
        <v>596737.7128594853</v>
      </c>
      <c r="N23" s="4">
        <f>[1]RESIDENTIAL!$N$22-[2]RESIDENTIAL!$N$22</f>
        <v>574424.0686192438</v>
      </c>
      <c r="O23" s="4"/>
      <c r="P23" s="4">
        <f>[1]RESIDENTIAL!$P$22-[2]RESIDENTIAL!$P$22</f>
        <v>596619.72507927381</v>
      </c>
      <c r="R23" s="4">
        <f>[1]RESIDENTIAL!$R$22-[2]RESIDENTIAL!$R$22</f>
        <v>574310.49272267148</v>
      </c>
      <c r="S23" s="4"/>
      <c r="T23" s="4">
        <f>[1]RESIDENTIAL!$T$22-[2]RESIDENTIAL!$T$22</f>
        <v>255819962.90365267</v>
      </c>
      <c r="V23" s="4">
        <f>[1]RESIDENTIAL!$V$22-[2]RESIDENTIAL!$V$22</f>
        <v>246650172.75287485</v>
      </c>
      <c r="X23" s="14">
        <f>[1]RESIDENTIAL!$X22-[2]RESIDENTIAL!$X22</f>
        <v>0</v>
      </c>
      <c r="Y23" s="14"/>
      <c r="Z23" s="14">
        <f>[1]RESIDENTIAL!$Z22-[2]RESIDENTIAL!$Z22</f>
        <v>0</v>
      </c>
    </row>
    <row r="24" spans="1:26" ht="25" customHeight="1">
      <c r="A24" s="15">
        <v>2</v>
      </c>
      <c r="B24" s="15" t="s">
        <v>17</v>
      </c>
      <c r="D24" s="4">
        <f>[1]RESIDENTIAL!$D23-[2]RESIDENTIAL!$D23</f>
        <v>-279553.85682123899</v>
      </c>
      <c r="E24" s="4"/>
      <c r="F24" s="4">
        <f>[1]RESIDENTIAL!$F23-[2]RESIDENTIAL!$F23</f>
        <v>-269100.57865116</v>
      </c>
      <c r="G24" s="4"/>
      <c r="H24" s="4">
        <f>[1]RESIDENTIAL!$H23-[2]RESIDENTIAL!$H23</f>
        <v>-112527.95005236939</v>
      </c>
      <c r="I24" s="4"/>
      <c r="J24" s="4">
        <f>[1]RESIDENTIAL!$J23-[2]RESIDENTIAL!$J23</f>
        <v>-108320.22429540195</v>
      </c>
      <c r="K24" s="4"/>
      <c r="L24" s="4">
        <f>[1]RESIDENTIAL!$L$23-[2]RESIDENTIAL!$L$23</f>
        <v>-112227.56126927957</v>
      </c>
      <c r="N24" s="4">
        <f>[1]RESIDENTIAL!$N$23-[2]RESIDENTIAL!$N$23</f>
        <v>-108031.06786497869</v>
      </c>
      <c r="O24" s="4"/>
      <c r="P24" s="4">
        <f>[1]RESIDENTIAL!$P$23-[2]RESIDENTIAL!$P$23</f>
        <v>-112325.27154001966</v>
      </c>
      <c r="R24" s="4">
        <f>[1]RESIDENTIAL!$R$23-[2]RESIDENTIAL!$R$23</f>
        <v>-108125.12448324636</v>
      </c>
      <c r="S24" s="4"/>
      <c r="T24" s="4">
        <f>[1]RESIDENTIAL!$T$23-[2]RESIDENTIAL!$T$23</f>
        <v>-29210603.028333187</v>
      </c>
      <c r="V24" s="4">
        <f>[1]RESIDENTIAL!$V$23-[2]RESIDENTIAL!$V$23</f>
        <v>-28163557.688683987</v>
      </c>
      <c r="X24" s="14">
        <f>[1]RESIDENTIAL!$X23-[2]RESIDENTIAL!$X23</f>
        <v>0</v>
      </c>
      <c r="Y24" s="14"/>
      <c r="Z24" s="14">
        <f>[1]RESIDENTIAL!$Z23-[2]RESIDENTIAL!$Z23</f>
        <v>0</v>
      </c>
    </row>
    <row r="25" spans="1:26" ht="25" customHeight="1">
      <c r="A25" s="15">
        <v>3</v>
      </c>
      <c r="B25" s="15" t="s">
        <v>18</v>
      </c>
      <c r="D25" s="4">
        <f>[1]RESIDENTIAL!$D24-[2]RESIDENTIAL!$D24</f>
        <v>-7207064.1984525993</v>
      </c>
      <c r="E25" s="4"/>
      <c r="F25" s="4">
        <f>[1]RESIDENTIAL!$F24-[2]RESIDENTIAL!$F24</f>
        <v>-6937572.4886522517</v>
      </c>
      <c r="G25" s="4"/>
      <c r="H25" s="4">
        <f>[1]RESIDENTIAL!$H24-[2]RESIDENTIAL!$H24</f>
        <v>-1524632.086561067</v>
      </c>
      <c r="I25" s="4"/>
      <c r="J25" s="4">
        <f>[1]RESIDENTIAL!$J24-[2]RESIDENTIAL!$J24</f>
        <v>-1467621.9508789079</v>
      </c>
      <c r="K25" s="4"/>
      <c r="L25" s="4">
        <f>[1]RESIDENTIAL!$L$24-[2]RESIDENTIAL!$L$24</f>
        <v>-1524632.086561067</v>
      </c>
      <c r="N25" s="4">
        <f>[1]RESIDENTIAL!$N$24-[2]RESIDENTIAL!$N$24</f>
        <v>-1467621.9508789079</v>
      </c>
      <c r="O25" s="4"/>
      <c r="P25" s="4">
        <f>[1]RESIDENTIAL!$P$24-[2]RESIDENTIAL!$P$24</f>
        <v>-1138462.4222910442</v>
      </c>
      <c r="R25" s="4">
        <f>[1]RESIDENTIAL!$R$24-[2]RESIDENTIAL!$R$24</f>
        <v>-1095892.2194624734</v>
      </c>
      <c r="S25" s="4"/>
      <c r="T25" s="4">
        <f>[1]RESIDENTIAL!$T$24-[2]RESIDENTIAL!$T$24</f>
        <v>-1045630193.7843022</v>
      </c>
      <c r="V25" s="4">
        <f>[1]RESIDENTIAL!$V$24-[2]RESIDENTIAL!$V$24</f>
        <v>-1008149891.8426971</v>
      </c>
      <c r="X25" s="14">
        <f>[1]RESIDENTIAL!$X24-[2]RESIDENTIAL!$X24</f>
        <v>0</v>
      </c>
      <c r="Y25" s="14"/>
      <c r="Z25" s="14">
        <f>[1]RESIDENTIAL!$Z24-[2]RESIDENTIAL!$Z24</f>
        <v>0</v>
      </c>
    </row>
    <row r="26" spans="1:26" ht="25" customHeight="1">
      <c r="A26" s="15">
        <v>4</v>
      </c>
      <c r="B26" s="15" t="s">
        <v>19</v>
      </c>
      <c r="D26" s="4">
        <f>[1]RESIDENTIAL!$D25-[2]RESIDENTIAL!$D25</f>
        <v>3411627.3819174021</v>
      </c>
      <c r="E26" s="4"/>
      <c r="F26" s="4">
        <f>[1]RESIDENTIAL!$F25-[2]RESIDENTIAL!$F25</f>
        <v>3284057.3657446578</v>
      </c>
      <c r="G26" s="4"/>
      <c r="H26" s="4">
        <f>[1]RESIDENTIAL!$H25-[2]RESIDENTIAL!$H25</f>
        <v>736031.15798396524</v>
      </c>
      <c r="I26" s="4"/>
      <c r="J26" s="4">
        <f>[1]RESIDENTIAL!$J25-[2]RESIDENTIAL!$J25</f>
        <v>708508.95341223199</v>
      </c>
      <c r="K26" s="4"/>
      <c r="L26" s="4">
        <f>[1]RESIDENTIAL!$L$25-[2]RESIDENTIAL!$L$25</f>
        <v>726813.61965458188</v>
      </c>
      <c r="N26" s="4">
        <f>[1]RESIDENTIAL!$N$25-[2]RESIDENTIAL!$N$25</f>
        <v>699636.08388225641</v>
      </c>
      <c r="O26" s="4"/>
      <c r="P26" s="4">
        <f>[1]RESIDENTIAL!$P$25-[2]RESIDENTIAL!$P$25</f>
        <v>677461.74052720424</v>
      </c>
      <c r="R26" s="4">
        <f>[1]RESIDENTIAL!$R$25-[2]RESIDENTIAL!$R$25</f>
        <v>652129.60558962543</v>
      </c>
      <c r="S26" s="4"/>
      <c r="T26" s="4">
        <f>[1]RESIDENTIAL!$T$25-[2]RESIDENTIAL!$T$25</f>
        <v>292699059.54639196</v>
      </c>
      <c r="V26" s="4">
        <f>[1]RESIDENTIAL!$V$25-[2]RESIDENTIAL!$V$25</f>
        <v>282207349.1931181</v>
      </c>
      <c r="X26" s="14">
        <f>[1]RESIDENTIAL!$X25-[2]RESIDENTIAL!$X25</f>
        <v>0</v>
      </c>
      <c r="Y26" s="14"/>
      <c r="Z26" s="14">
        <f>[1]RESIDENTIAL!$Z25-[2]RESIDENTIAL!$Z25</f>
        <v>0</v>
      </c>
    </row>
    <row r="27" spans="1:26" ht="25" customHeight="1">
      <c r="A27" s="15">
        <v>5</v>
      </c>
      <c r="B27" s="15" t="s">
        <v>20</v>
      </c>
      <c r="D27" s="4">
        <f>[1]RESIDENTIAL!$D26-[2]RESIDENTIAL!$D26</f>
        <v>2546569.9588433728</v>
      </c>
      <c r="E27" s="4"/>
      <c r="F27" s="4">
        <f>[1]RESIDENTIAL!$F26-[2]RESIDENTIAL!$F26</f>
        <v>2451346.7898195349</v>
      </c>
      <c r="G27" s="4"/>
      <c r="H27" s="4">
        <f>[1]RESIDENTIAL!$H26-[2]RESIDENTIAL!$H26</f>
        <v>807697.27094989642</v>
      </c>
      <c r="I27" s="4"/>
      <c r="J27" s="4">
        <f>[1]RESIDENTIAL!$J26-[2]RESIDENTIAL!$J26</f>
        <v>777495.27571914904</v>
      </c>
      <c r="K27" s="4"/>
      <c r="L27" s="4">
        <f>[1]RESIDENTIAL!$L$26-[2]RESIDENTIAL!$L$26</f>
        <v>781769.42880364135</v>
      </c>
      <c r="N27" s="4">
        <f>[1]RESIDENTIAL!$N$26-[2]RESIDENTIAL!$N$26</f>
        <v>752536.9460288696</v>
      </c>
      <c r="O27" s="4"/>
      <c r="P27" s="4">
        <f>[1]RESIDENTIAL!$P$26-[2]RESIDENTIAL!$P$26</f>
        <v>781769.42880364135</v>
      </c>
      <c r="R27" s="4">
        <f>[1]RESIDENTIAL!$R$26-[2]RESIDENTIAL!$R$26</f>
        <v>752536.9460288696</v>
      </c>
      <c r="S27" s="4"/>
      <c r="T27" s="4">
        <f>[1]RESIDENTIAL!$T$26-[2]RESIDENTIAL!$T$26</f>
        <v>241902973.82264662</v>
      </c>
      <c r="V27" s="4">
        <f>[1]RESIDENTIAL!$V$26-[2]RESIDENTIAL!$V$26</f>
        <v>233232033.98814201</v>
      </c>
      <c r="X27" s="14">
        <f>[1]RESIDENTIAL!$X26-[2]RESIDENTIAL!$X26</f>
        <v>0</v>
      </c>
      <c r="Y27" s="14"/>
      <c r="Z27" s="14">
        <f>[1]RESIDENTIAL!$Z26-[2]RESIDENTIAL!$Z26</f>
        <v>0</v>
      </c>
    </row>
    <row r="28" spans="1:26" ht="25" customHeight="1">
      <c r="A28" s="15">
        <v>6</v>
      </c>
      <c r="B28" s="15" t="s">
        <v>21</v>
      </c>
      <c r="D28" s="4">
        <f>[1]RESIDENTIAL!$D27-[2]RESIDENTIAL!$D27</f>
        <v>4688453.8038530201</v>
      </c>
      <c r="E28" s="4"/>
      <c r="F28" s="4">
        <f>[1]RESIDENTIAL!$F27-[2]RESIDENTIAL!$F27</f>
        <v>4513139.7790117264</v>
      </c>
      <c r="G28" s="4"/>
      <c r="H28" s="4">
        <f>[1]RESIDENTIAL!$H27-[2]RESIDENTIAL!$H27</f>
        <v>1849548.4388832189</v>
      </c>
      <c r="I28" s="4"/>
      <c r="J28" s="4">
        <f>[1]RESIDENTIAL!$J27-[2]RESIDENTIAL!$J27</f>
        <v>1780388.7980879806</v>
      </c>
      <c r="K28" s="4"/>
      <c r="L28" s="4">
        <f>[1]RESIDENTIAL!$L$27-[2]RESIDENTIAL!$L$27</f>
        <v>1708516.7572697606</v>
      </c>
      <c r="N28" s="4">
        <f>[1]RESIDENTIAL!$N$27-[2]RESIDENTIAL!$N$27</f>
        <v>1644630.6741906032</v>
      </c>
      <c r="O28" s="4"/>
      <c r="P28" s="4">
        <f>[1]RESIDENTIAL!$P$27-[2]RESIDENTIAL!$P$27</f>
        <v>1654580.4843745586</v>
      </c>
      <c r="R28" s="4">
        <f>[1]RESIDENTIAL!$R$27-[2]RESIDENTIAL!$R$27</f>
        <v>1592711.225067541</v>
      </c>
      <c r="S28" s="4"/>
      <c r="T28" s="4">
        <f>[1]RESIDENTIAL!$T$27-[2]RESIDENTIAL!$T$27</f>
        <v>533884333.3819747</v>
      </c>
      <c r="V28" s="4">
        <f>[1]RESIDENTIAL!$V$27-[2]RESIDENTIAL!$V$27</f>
        <v>514747408.9358387</v>
      </c>
      <c r="X28" s="14">
        <f>[1]RESIDENTIAL!$X27-[2]RESIDENTIAL!$X27</f>
        <v>0</v>
      </c>
      <c r="Y28" s="14"/>
      <c r="Z28" s="14">
        <f>[1]RESIDENTIAL!$Z27-[2]RESIDENTIAL!$Z27</f>
        <v>0</v>
      </c>
    </row>
    <row r="29" spans="1:26" ht="25" customHeight="1">
      <c r="A29" s="15">
        <v>7</v>
      </c>
      <c r="B29" s="15" t="s">
        <v>22</v>
      </c>
      <c r="D29" s="4">
        <f>[1]RESIDENTIAL!$D28-[2]RESIDENTIAL!$D28</f>
        <v>1467884.7813199796</v>
      </c>
      <c r="E29" s="4"/>
      <c r="F29" s="4">
        <f>[1]RESIDENTIAL!$F28-[2]RESIDENTIAL!$F28</f>
        <v>1412996.5815461017</v>
      </c>
      <c r="G29" s="4"/>
      <c r="H29" s="4">
        <f>[1]RESIDENTIAL!$H28-[2]RESIDENTIAL!$H28</f>
        <v>608092.90849968232</v>
      </c>
      <c r="I29" s="4"/>
      <c r="J29" s="4">
        <f>[1]RESIDENTIAL!$J28-[2]RESIDENTIAL!$J28</f>
        <v>585354.66264581122</v>
      </c>
      <c r="K29" s="4"/>
      <c r="L29" s="4">
        <f>[1]RESIDENTIAL!$L$28-[2]RESIDENTIAL!$L$28</f>
        <v>555932.13052418269</v>
      </c>
      <c r="N29" s="4">
        <f>[1]RESIDENTIAL!$N$28-[2]RESIDENTIAL!$N$28</f>
        <v>535144.3178639207</v>
      </c>
      <c r="O29" s="4"/>
      <c r="P29" s="4">
        <f>[1]RESIDENTIAL!$P$28-[2]RESIDENTIAL!$P$28</f>
        <v>596245.11054743268</v>
      </c>
      <c r="R29" s="4">
        <f>[1]RESIDENTIAL!$R$28-[2]RESIDENTIAL!$R$28</f>
        <v>573949.88604589179</v>
      </c>
      <c r="S29" s="4"/>
      <c r="T29" s="4">
        <f>[1]RESIDENTIAL!$T$28-[2]RESIDENTIAL!$T$28</f>
        <v>245947290.40390682</v>
      </c>
      <c r="V29" s="4">
        <f>[1]RESIDENTIAL!$V$28-[2]RESIDENTIAL!$V$28</f>
        <v>237131383.24968052</v>
      </c>
      <c r="X29" s="14">
        <f>[1]RESIDENTIAL!$X28-[2]RESIDENTIAL!$X28</f>
        <v>0</v>
      </c>
      <c r="Y29" s="14"/>
      <c r="Z29" s="14">
        <f>[1]RESIDENTIAL!$Z28-[2]RESIDENTIAL!$Z28</f>
        <v>0</v>
      </c>
    </row>
    <row r="30" spans="1:26" ht="25" customHeight="1">
      <c r="A30" s="15">
        <v>8</v>
      </c>
      <c r="B30" s="15" t="s">
        <v>23</v>
      </c>
      <c r="D30" s="4">
        <f>[1]RESIDENTIAL!$D29-[2]RESIDENTIAL!$D29</f>
        <v>2491355.0358537175</v>
      </c>
      <c r="E30" s="4"/>
      <c r="F30" s="4">
        <f>[1]RESIDENTIAL!$F29-[2]RESIDENTIAL!$F29</f>
        <v>2398196.5028027594</v>
      </c>
      <c r="G30" s="4"/>
      <c r="H30" s="4">
        <f>[1]RESIDENTIAL!$H29-[2]RESIDENTIAL!$H29</f>
        <v>1011913.8744964413</v>
      </c>
      <c r="I30" s="4"/>
      <c r="J30" s="4">
        <f>[1]RESIDENTIAL!$J29-[2]RESIDENTIAL!$J29</f>
        <v>974075.6656641569</v>
      </c>
      <c r="K30" s="4"/>
      <c r="L30" s="4">
        <f>[1]RESIDENTIAL!$L$29-[2]RESIDENTIAL!$L$29</f>
        <v>963041.13529035076</v>
      </c>
      <c r="N30" s="4">
        <f>[1]RESIDENTIAL!$N$29-[2]RESIDENTIAL!$N$29</f>
        <v>927030.41094947606</v>
      </c>
      <c r="O30" s="4"/>
      <c r="P30" s="4">
        <f>[1]RESIDENTIAL!$P$29-[2]RESIDENTIAL!$P$29</f>
        <v>975655.14301015995</v>
      </c>
      <c r="R30" s="4">
        <f>[1]RESIDENTIAL!$R$29-[2]RESIDENTIAL!$R$29</f>
        <v>939172.74665218778</v>
      </c>
      <c r="S30" s="4"/>
      <c r="T30" s="4">
        <f>[1]RESIDENTIAL!$T$29-[2]RESIDENTIAL!$T$29</f>
        <v>430226078.29335976</v>
      </c>
      <c r="V30" s="4">
        <f>[1]RESIDENTIAL!$V$29-[2]RESIDENTIAL!$V$29</f>
        <v>414804753.03569031</v>
      </c>
      <c r="X30" s="14">
        <f>[1]RESIDENTIAL!$X29-[2]RESIDENTIAL!$X29</f>
        <v>0</v>
      </c>
      <c r="Y30" s="14"/>
      <c r="Z30" s="14">
        <f>[1]RESIDENTIAL!$Z29-[2]RESIDENTIAL!$Z29</f>
        <v>0</v>
      </c>
    </row>
    <row r="31" spans="1:26" ht="25" customHeight="1">
      <c r="A31" s="15">
        <v>9</v>
      </c>
      <c r="B31" s="15" t="s">
        <v>24</v>
      </c>
      <c r="D31" s="4">
        <f>[1]RESIDENTIAL!$D30-[2]RESIDENTIAL!$D30</f>
        <v>77766.690260257572</v>
      </c>
      <c r="E31" s="4"/>
      <c r="F31" s="4">
        <f>[1]RESIDENTIAL!$F30-[2]RESIDENTIAL!$F30</f>
        <v>74858.782442778349</v>
      </c>
      <c r="G31" s="4"/>
      <c r="H31" s="4">
        <f>[1]RESIDENTIAL!$H30-[2]RESIDENTIAL!$H30</f>
        <v>32265.149285446852</v>
      </c>
      <c r="I31" s="4"/>
      <c r="J31" s="4">
        <f>[1]RESIDENTIAL!$J30-[2]RESIDENTIAL!$J30</f>
        <v>31058.66769898124</v>
      </c>
      <c r="K31" s="4"/>
      <c r="L31" s="4">
        <f>[1]RESIDENTIAL!$L$30-[2]RESIDENTIAL!$L$30</f>
        <v>31315.501180471852</v>
      </c>
      <c r="N31" s="4">
        <f>[1]RESIDENTIAL!$N$30-[2]RESIDENTIAL!$N$30</f>
        <v>30144.529516559094</v>
      </c>
      <c r="O31" s="4"/>
      <c r="P31" s="4">
        <f>[1]RESIDENTIAL!$P$30-[2]RESIDENTIAL!$P$30</f>
        <v>31806.413474189118</v>
      </c>
      <c r="R31" s="4">
        <f>[1]RESIDENTIAL!$R$30-[2]RESIDENTIAL!$R$30</f>
        <v>30617.085265954956</v>
      </c>
      <c r="S31" s="4"/>
      <c r="T31" s="4">
        <f>[1]RESIDENTIAL!$T$30-[2]RESIDENTIAL!$T$30</f>
        <v>13777621.963227272</v>
      </c>
      <c r="V31" s="4">
        <f>[1]RESIDENTIAL!$V$30-[2]RESIDENTIAL!$V$30</f>
        <v>13283767.219658852</v>
      </c>
      <c r="X31" s="14">
        <f>[1]RESIDENTIAL!$X30-[2]RESIDENTIAL!$X30</f>
        <v>0</v>
      </c>
      <c r="Y31" s="14"/>
      <c r="Z31" s="14">
        <f>[1]RESIDENTIAL!$Z30-[2]RESIDENTIAL!$Z30</f>
        <v>0</v>
      </c>
    </row>
    <row r="32" spans="1:26" ht="25" customHeight="1">
      <c r="A32" s="15">
        <v>10</v>
      </c>
      <c r="B32" s="15" t="s">
        <v>25</v>
      </c>
      <c r="D32" s="4">
        <f>[1]RESIDENTIAL!$D31-[2]RESIDENTIAL!$D31</f>
        <v>-463346.21920311078</v>
      </c>
      <c r="E32" s="4"/>
      <c r="F32" s="4">
        <f>[1]RESIDENTIAL!$F31-[2]RESIDENTIAL!$F31</f>
        <v>-446020.4452951476</v>
      </c>
      <c r="G32" s="4"/>
      <c r="H32" s="4">
        <f>[1]RESIDENTIAL!$H31-[2]RESIDENTIAL!$H31</f>
        <v>-147500.67188879475</v>
      </c>
      <c r="I32" s="4"/>
      <c r="J32" s="4">
        <f>[1]RESIDENTIAL!$J31-[2]RESIDENTIAL!$J31</f>
        <v>-141985.22105202451</v>
      </c>
      <c r="K32" s="4"/>
      <c r="L32" s="4">
        <f>[1]RESIDENTIAL!$L$31-[2]RESIDENTIAL!$L$31</f>
        <v>-139098.81176862679</v>
      </c>
      <c r="N32" s="4">
        <f>[1]RESIDENTIAL!$N$31-[2]RESIDENTIAL!$N$31</f>
        <v>-133897.52930707019</v>
      </c>
      <c r="O32" s="4"/>
      <c r="P32" s="4">
        <f>[1]RESIDENTIAL!$P$31-[2]RESIDENTIAL!$P$31</f>
        <v>-139098.81176862679</v>
      </c>
      <c r="R32" s="4">
        <f>[1]RESIDENTIAL!$R$31-[2]RESIDENTIAL!$R$31</f>
        <v>-133897.52930707019</v>
      </c>
      <c r="S32" s="4"/>
      <c r="T32" s="4">
        <f>[1]RESIDENTIAL!$T$31-[2]RESIDENTIAL!$T$31</f>
        <v>-64605836.758405209</v>
      </c>
      <c r="V32" s="4">
        <f>[1]RESIDENTIAL!$V$31-[2]RESIDENTIAL!$V$31</f>
        <v>-62290059.839099407</v>
      </c>
      <c r="X32" s="14">
        <f>[1]RESIDENTIAL!$X31-[2]RESIDENTIAL!$X31</f>
        <v>0</v>
      </c>
      <c r="Y32" s="14"/>
      <c r="Z32" s="14">
        <f>[1]RESIDENTIAL!$Z31-[2]RESIDENTIAL!$Z31</f>
        <v>0</v>
      </c>
    </row>
    <row r="33" spans="1:26" ht="25" customHeight="1">
      <c r="A33" s="15">
        <v>11</v>
      </c>
      <c r="B33" s="15" t="s">
        <v>26</v>
      </c>
      <c r="D33" s="4">
        <f>[1]RESIDENTIAL!$D32-[2]RESIDENTIAL!$D32</f>
        <v>-91009.71596750617</v>
      </c>
      <c r="E33" s="4"/>
      <c r="F33" s="4">
        <f>[1]RESIDENTIAL!$F32-[2]RESIDENTIAL!$F32</f>
        <v>-87606.615441527218</v>
      </c>
      <c r="G33" s="4"/>
      <c r="H33" s="4">
        <f>[1]RESIDENTIAL!$H32-[2]RESIDENTIAL!$H32</f>
        <v>-17488.215616914444</v>
      </c>
      <c r="I33" s="4"/>
      <c r="J33" s="4">
        <f>[1]RESIDENTIAL!$J32-[2]RESIDENTIAL!$J32</f>
        <v>-16834.283724789508</v>
      </c>
      <c r="K33" s="4"/>
      <c r="L33" s="4">
        <f>[1]RESIDENTIAL!$L$32-[2]RESIDENTIAL!$L$32</f>
        <v>-17485.105034842156</v>
      </c>
      <c r="N33" s="4">
        <f>[1]RESIDENTIAL!$N$32-[2]RESIDENTIAL!$N$32</f>
        <v>-16831.289455831982</v>
      </c>
      <c r="O33" s="4"/>
      <c r="P33" s="4">
        <f>[1]RESIDENTIAL!$P$32-[2]RESIDENTIAL!$P$32</f>
        <v>-12143.983628503513</v>
      </c>
      <c r="R33" s="4">
        <f>[1]RESIDENTIAL!$R$32-[2]RESIDENTIAL!$R$32</f>
        <v>-11689.887089092284</v>
      </c>
      <c r="S33" s="4"/>
      <c r="T33" s="4">
        <f>[1]RESIDENTIAL!$T$32-[2]RESIDENTIAL!$T$32</f>
        <v>-8450269.1933436394</v>
      </c>
      <c r="V33" s="4">
        <f>[1]RESIDENTIAL!$V$32-[2]RESIDENTIAL!$V$32</f>
        <v>-8147371.8184046745</v>
      </c>
      <c r="X33" s="14">
        <f>[1]RESIDENTIAL!$X32-[2]RESIDENTIAL!$X32</f>
        <v>0</v>
      </c>
      <c r="Y33" s="14"/>
      <c r="Z33" s="14">
        <f>[1]RESIDENTIAL!$Z32-[2]RESIDENTIAL!$Z32</f>
        <v>0</v>
      </c>
    </row>
    <row r="34" spans="1:26" ht="25" customHeight="1" thickBot="1">
      <c r="A34" s="15">
        <v>12</v>
      </c>
      <c r="B34" s="15" t="s">
        <v>27</v>
      </c>
      <c r="D34" s="4">
        <f>[1]RESIDENTIAL!$D33-[2]RESIDENTIAL!$D33</f>
        <v>5294620.3627446853</v>
      </c>
      <c r="E34" s="4"/>
      <c r="F34" s="4">
        <f>[1]RESIDENTIAL!$F33-[2]RESIDENTIAL!$F33</f>
        <v>5096640.1234946772</v>
      </c>
      <c r="G34" s="4"/>
      <c r="H34" s="4">
        <f>[1]RESIDENTIAL!$H33-[2]RESIDENTIAL!$H33</f>
        <v>1192501.1118769944</v>
      </c>
      <c r="I34" s="4"/>
      <c r="J34" s="4">
        <f>[1]RESIDENTIAL!$J33-[2]RESIDENTIAL!$J33</f>
        <v>1147910.255637981</v>
      </c>
      <c r="K34" s="4"/>
      <c r="L34" s="4">
        <f>[1]RESIDENTIAL!$L$33-[2]RESIDENTIAL!$L$33</f>
        <v>1123910.4129822245</v>
      </c>
      <c r="N34" s="4">
        <f>[1]RESIDENTIAL!$N$33-[2]RESIDENTIAL!$N$33</f>
        <v>1081884.3493151311</v>
      </c>
      <c r="O34" s="4"/>
      <c r="P34" s="4">
        <f>[1]RESIDENTIAL!$P$33-[2]RESIDENTIAL!$P$33</f>
        <v>815759.61632890906</v>
      </c>
      <c r="R34" s="4">
        <f>[1]RESIDENTIAL!$R$33-[2]RESIDENTIAL!$R$33</f>
        <v>785256.14810147788</v>
      </c>
      <c r="S34" s="4"/>
      <c r="T34" s="17">
        <f>[1]RESIDENTIAL!$T$33-[2]RESIDENTIAL!$T$33</f>
        <v>464805823.01505184</v>
      </c>
      <c r="V34" s="17">
        <f>[1]RESIDENTIAL!$V$33-[2]RESIDENTIAL!$V$33</f>
        <v>448144997.13762522</v>
      </c>
      <c r="X34" s="14">
        <f>[1]RESIDENTIAL!$X33-[2]RESIDENTIAL!$X33</f>
        <v>0</v>
      </c>
      <c r="Y34" s="14"/>
      <c r="Z34" s="14">
        <f>[1]RESIDENTIAL!$Z33-[2]RESIDENTIAL!$Z33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1331166240.5658274</v>
      </c>
      <c r="U35" s="16"/>
      <c r="V35" s="16">
        <f>+SUM(V23:V34)</f>
        <v>1283450984.3237433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  <row r="42" spans="1:19" ht="15" customHeight="1">
      <c r="A42" s="5"/>
      <c r="E42" s="4"/>
      <c r="G42" s="4"/>
      <c r="I42" s="4"/>
      <c r="K42" s="4"/>
      <c r="O42" s="4"/>
      <c r="S42" s="4"/>
    </row>
  </sheetData>
  <pageMargins left="0.5" right="1" top="1.5" bottom="0.5" header="0.5" footer="0.5"/>
  <pageSetup orientation="landscape" scale="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A1">
      <selection pane="topLeft" activeCell="H23" sqref="H23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5.71428571428571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5.71428571428571" style="3" customWidth="1"/>
    <col min="12" max="12" width="12.7142857142857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2.7142857142857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18.7142857142857" style="4" customWidth="1"/>
    <col min="21" max="21" width="2.71428571428571" style="4" customWidth="1"/>
    <col min="22" max="22" width="18.8571428571429" style="4" customWidth="1"/>
    <col min="23" max="23" width="3.71428571428571" style="3" customWidth="1"/>
    <col min="24" max="24" width="9.71428571428571" style="3" customWidth="1"/>
    <col min="25" max="25" width="1.71428571428571" style="3" customWidth="1"/>
    <col min="26" max="26" width="9.71428571428571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92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30</v>
      </c>
    </row>
    <row r="16" spans="1:1" ht="18.75" customHeight="1">
      <c r="A16" s="3" t="s">
        <v>1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'[1]SEC &lt; 10kW'!$D22-'[2]SEC &lt; 10kW'!$D22</f>
        <v>33682.595870477264</v>
      </c>
      <c r="E23" s="4"/>
      <c r="F23" s="4">
        <f>'[1]SEC &lt; 10kW'!$F22-'[2]SEC &lt; 10kW'!$F22</f>
        <v>32423.112105423817</v>
      </c>
      <c r="G23" s="4"/>
      <c r="H23" s="4">
        <f>'[1]SEC &lt; 10kW'!$H22-'[2]SEC &lt; 10kW'!$H22</f>
        <v>11550.361372400832</v>
      </c>
      <c r="I23" s="4"/>
      <c r="J23" s="4">
        <f>'[1]SEC &lt; 10kW'!$J22-'[2]SEC &lt; 10kW'!$J22</f>
        <v>11118.461981837812</v>
      </c>
      <c r="K23" s="4"/>
      <c r="L23" s="4">
        <f>'[1]SEC &lt; 10kW'!$L22-'[2]SEC &lt; 10kW'!$L22</f>
        <v>10872.134223265632</v>
      </c>
      <c r="N23" s="4">
        <f>'[1]SEC &lt; 10kW'!$N22-'[2]SEC &lt; 10kW'!$N22</f>
        <v>10465.595588347467</v>
      </c>
      <c r="O23" s="4"/>
      <c r="P23" s="4">
        <f>'[1]SEC &lt; 10kW'!$P22-'[2]SEC &lt; 10kW'!$P22</f>
        <v>11377.754843217786</v>
      </c>
      <c r="R23" s="4">
        <f>'[1]SEC &lt; 10kW'!$R22-'[2]SEC &lt; 10kW'!$R22</f>
        <v>10952.309679700818</v>
      </c>
      <c r="S23" s="4"/>
      <c r="T23" s="4">
        <f>'[1]SEC &lt; 10kW'!$T22-'[2]SEC &lt; 10kW'!$T22</f>
        <v>6549335.7338880002</v>
      </c>
      <c r="V23" s="4">
        <f>'[1]SEC &lt; 10kW'!$V22-'[2]SEC &lt; 10kW'!$V22</f>
        <v>6314576.750949055</v>
      </c>
      <c r="X23" s="14">
        <f>'[1]SEC &lt; 10kW'!$X22-'[2]SEC &lt; 10kW'!$X22</f>
        <v>0</v>
      </c>
      <c r="Y23" s="14"/>
      <c r="Z23" s="14">
        <f>'[1]SEC &lt; 10kW'!$Z22-'[2]SEC &lt; 10kW'!$Z22</f>
        <v>0</v>
      </c>
    </row>
    <row r="24" spans="1:26" ht="25" customHeight="1">
      <c r="A24" s="15">
        <v>2</v>
      </c>
      <c r="B24" s="15" t="s">
        <v>17</v>
      </c>
      <c r="D24" s="4">
        <f>'[1]SEC &lt; 10kW'!$D23-'[2]SEC &lt; 10kW'!$D23</f>
        <v>17172.233741437783</v>
      </c>
      <c r="E24" s="4"/>
      <c r="F24" s="4">
        <f>'[1]SEC &lt; 10kW'!$F23-'[2]SEC &lt; 10kW'!$F23</f>
        <v>16530.11727006454</v>
      </c>
      <c r="G24" s="4"/>
      <c r="H24" s="4">
        <f>'[1]SEC &lt; 10kW'!$H23-'[2]SEC &lt; 10kW'!$H23</f>
        <v>6625.0361724625109</v>
      </c>
      <c r="I24" s="4"/>
      <c r="J24" s="4">
        <f>'[1]SEC &lt; 10kW'!$J23-'[2]SEC &lt; 10kW'!$J23</f>
        <v>6377.3080717485864</v>
      </c>
      <c r="K24" s="4"/>
      <c r="L24" s="4">
        <f>'[1]SEC &lt; 10kW'!$L23-'[2]SEC &lt; 10kW'!$L23</f>
        <v>6508.6079741058638</v>
      </c>
      <c r="N24" s="4">
        <f>'[1]SEC &lt; 10kW'!$N23-'[2]SEC &lt; 10kW'!$N23</f>
        <v>6265.2334400287946</v>
      </c>
      <c r="O24" s="4"/>
      <c r="P24" s="4">
        <f>'[1]SEC &lt; 10kW'!$P23-'[2]SEC &lt; 10kW'!$P23</f>
        <v>6547.2042243800242</v>
      </c>
      <c r="R24" s="4">
        <f>'[1]SEC &lt; 10kW'!$R23-'[2]SEC &lt; 10kW'!$R23</f>
        <v>6302.386471650796</v>
      </c>
      <c r="S24" s="4"/>
      <c r="T24" s="4">
        <f>'[1]SEC &lt; 10kW'!$T23-'[2]SEC &lt; 10kW'!$T23</f>
        <v>2917921.3507198691</v>
      </c>
      <c r="V24" s="4">
        <f>'[1]SEC &lt; 10kW'!$V23-'[2]SEC &lt; 10kW'!$V23</f>
        <v>2813329.3315557837</v>
      </c>
      <c r="X24" s="14">
        <f>'[1]SEC &lt; 10kW'!$X23-'[2]SEC &lt; 10kW'!$X23</f>
        <v>0</v>
      </c>
      <c r="Y24" s="14"/>
      <c r="Z24" s="14">
        <f>'[1]SEC &lt; 10kW'!$Z23-'[2]SEC &lt; 10kW'!$Z23</f>
        <v>0</v>
      </c>
    </row>
    <row r="25" spans="1:26" ht="25" customHeight="1">
      <c r="A25" s="15">
        <v>3</v>
      </c>
      <c r="B25" s="15" t="s">
        <v>18</v>
      </c>
      <c r="D25" s="4">
        <f>'[1]SEC &lt; 10kW'!$D24-'[2]SEC &lt; 10kW'!$D24</f>
        <v>-50978.503428041353</v>
      </c>
      <c r="E25" s="4"/>
      <c r="F25" s="4">
        <f>'[1]SEC &lt; 10kW'!$F24-'[2]SEC &lt; 10kW'!$F24</f>
        <v>-49072.27869164513</v>
      </c>
      <c r="G25" s="4"/>
      <c r="H25" s="4">
        <f>'[1]SEC &lt; 10kW'!$H24-'[2]SEC &lt; 10kW'!$H24</f>
        <v>-15713.181918106944</v>
      </c>
      <c r="I25" s="4"/>
      <c r="J25" s="4">
        <f>'[1]SEC &lt; 10kW'!$J24-'[2]SEC &lt; 10kW'!$J24</f>
        <v>-15125.623358211829</v>
      </c>
      <c r="K25" s="4"/>
      <c r="L25" s="4">
        <f>'[1]SEC &lt; 10kW'!$L24-'[2]SEC &lt; 10kW'!$L24</f>
        <v>-13809.649902227946</v>
      </c>
      <c r="N25" s="4">
        <f>'[1]SEC &lt; 10kW'!$N24-'[2]SEC &lt; 10kW'!$N24</f>
        <v>-13293.269575729006</v>
      </c>
      <c r="O25" s="4"/>
      <c r="P25" s="4">
        <f>'[1]SEC &lt; 10kW'!$P24-'[2]SEC &lt; 10kW'!$P24</f>
        <v>-10874.143128634256</v>
      </c>
      <c r="R25" s="4">
        <f>'[1]SEC &lt; 10kW'!$R24-'[2]SEC &lt; 10kW'!$R24</f>
        <v>-10467.529375286744</v>
      </c>
      <c r="S25" s="4"/>
      <c r="T25" s="4">
        <f>'[1]SEC &lt; 10kW'!$T24-'[2]SEC &lt; 10kW'!$T24</f>
        <v>-10745513.766328663</v>
      </c>
      <c r="V25" s="4">
        <f>'[1]SEC &lt; 10kW'!$V24-'[2]SEC &lt; 10kW'!$V24</f>
        <v>-10360344.035314977</v>
      </c>
      <c r="X25" s="14">
        <f>'[1]SEC &lt; 10kW'!$X24-'[2]SEC &lt; 10kW'!$X24</f>
        <v>0</v>
      </c>
      <c r="Y25" s="14"/>
      <c r="Z25" s="14">
        <f>'[1]SEC &lt; 10kW'!$Z24-'[2]SEC &lt; 10kW'!$Z24</f>
        <v>0</v>
      </c>
    </row>
    <row r="26" spans="1:26" ht="25" customHeight="1">
      <c r="A26" s="15">
        <v>4</v>
      </c>
      <c r="B26" s="15" t="s">
        <v>19</v>
      </c>
      <c r="D26" s="4">
        <f>'[1]SEC &lt; 10kW'!$D25-'[2]SEC &lt; 10kW'!$D25</f>
        <v>35110.9368836137</v>
      </c>
      <c r="E26" s="4"/>
      <c r="F26" s="4">
        <f>'[1]SEC &lt; 10kW'!$F25-'[2]SEC &lt; 10kW'!$F25</f>
        <v>33798.04356770718</v>
      </c>
      <c r="G26" s="4"/>
      <c r="H26" s="4">
        <f>'[1]SEC &lt; 10kW'!$H25-'[2]SEC &lt; 10kW'!$H25</f>
        <v>10415.861864233215</v>
      </c>
      <c r="I26" s="4"/>
      <c r="J26" s="4">
        <f>'[1]SEC &lt; 10kW'!$J25-'[2]SEC &lt; 10kW'!$J25</f>
        <v>10026.384492373676</v>
      </c>
      <c r="K26" s="4"/>
      <c r="L26" s="4">
        <f>'[1]SEC &lt; 10kW'!$L25-'[2]SEC &lt; 10kW'!$L25</f>
        <v>9244.4258064741152</v>
      </c>
      <c r="N26" s="4">
        <f>'[1]SEC &lt; 10kW'!$N25-'[2]SEC &lt; 10kW'!$N25</f>
        <v>8898.7516112526937</v>
      </c>
      <c r="O26" s="4"/>
      <c r="P26" s="4">
        <f>'[1]SEC &lt; 10kW'!$P25-'[2]SEC &lt; 10kW'!$P25</f>
        <v>10030.229029906448</v>
      </c>
      <c r="R26" s="4">
        <f>'[1]SEC &lt; 10kW'!$R25-'[2]SEC &lt; 10kW'!$R25</f>
        <v>9655.1715173704724</v>
      </c>
      <c r="S26" s="4"/>
      <c r="T26" s="4">
        <f>'[1]SEC &lt; 10kW'!$T25-'[2]SEC &lt; 10kW'!$T25</f>
        <v>6289631.0177800357</v>
      </c>
      <c r="V26" s="4">
        <f>'[1]SEC &lt; 10kW'!$V25-'[2]SEC &lt; 10kW'!$V25</f>
        <v>6064181.0728099942</v>
      </c>
      <c r="X26" s="14">
        <f>'[1]SEC &lt; 10kW'!$X25-'[2]SEC &lt; 10kW'!$X25</f>
        <v>0</v>
      </c>
      <c r="Y26" s="14"/>
      <c r="Z26" s="14">
        <f>'[1]SEC &lt; 10kW'!$Z25-'[2]SEC &lt; 10kW'!$Z25</f>
        <v>0</v>
      </c>
    </row>
    <row r="27" spans="1:26" ht="25" customHeight="1">
      <c r="A27" s="15">
        <v>5</v>
      </c>
      <c r="B27" s="15" t="s">
        <v>20</v>
      </c>
      <c r="D27" s="4">
        <f>'[1]SEC &lt; 10kW'!$D26-'[2]SEC &lt; 10kW'!$D26</f>
        <v>29658.526128663565</v>
      </c>
      <c r="E27" s="4"/>
      <c r="F27" s="4">
        <f>'[1]SEC &lt; 10kW'!$F26-'[2]SEC &lt; 10kW'!$F26</f>
        <v>28549.513263440575</v>
      </c>
      <c r="G27" s="4"/>
      <c r="H27" s="4">
        <f>'[1]SEC &lt; 10kW'!$H26-'[2]SEC &lt; 10kW'!$H26</f>
        <v>11055.864246629528</v>
      </c>
      <c r="I27" s="4"/>
      <c r="J27" s="4">
        <f>'[1]SEC &lt; 10kW'!$J26-'[2]SEC &lt; 10kW'!$J26</f>
        <v>10642.455446998705</v>
      </c>
      <c r="K27" s="4"/>
      <c r="L27" s="4">
        <f>'[1]SEC &lt; 10kW'!$L26-'[2]SEC &lt; 10kW'!$L26</f>
        <v>10669.525109509705</v>
      </c>
      <c r="N27" s="4">
        <f>'[1]SEC &lt; 10kW'!$N26-'[2]SEC &lt; 10kW'!$N26</f>
        <v>10270.56257978268</v>
      </c>
      <c r="O27" s="4"/>
      <c r="P27" s="4">
        <f>'[1]SEC &lt; 10kW'!$P26-'[2]SEC &lt; 10kW'!$P26</f>
        <v>10669.525109509705</v>
      </c>
      <c r="R27" s="4">
        <f>'[1]SEC &lt; 10kW'!$R26-'[2]SEC &lt; 10kW'!$R26</f>
        <v>10270.56257978268</v>
      </c>
      <c r="S27" s="4"/>
      <c r="T27" s="4">
        <f>'[1]SEC &lt; 10kW'!$T26-'[2]SEC &lt; 10kW'!$T26</f>
        <v>5539636.3735736012</v>
      </c>
      <c r="V27" s="4">
        <f>'[1]SEC &lt; 10kW'!$V26-'[2]SEC &lt; 10kW'!$V26</f>
        <v>5341069.7625839114</v>
      </c>
      <c r="X27" s="14">
        <f>'[1]SEC &lt; 10kW'!$X26-'[2]SEC &lt; 10kW'!$X26</f>
        <v>0</v>
      </c>
      <c r="Y27" s="14"/>
      <c r="Z27" s="14">
        <f>'[1]SEC &lt; 10kW'!$Z26-'[2]SEC &lt; 10kW'!$Z26</f>
        <v>0</v>
      </c>
    </row>
    <row r="28" spans="1:26" ht="25" customHeight="1">
      <c r="A28" s="15">
        <v>6</v>
      </c>
      <c r="B28" s="15" t="s">
        <v>21</v>
      </c>
      <c r="D28" s="4">
        <f>'[1]SEC &lt; 10kW'!$D27-'[2]SEC &lt; 10kW'!$D27</f>
        <v>54946.216989415814</v>
      </c>
      <c r="E28" s="4"/>
      <c r="F28" s="4">
        <f>'[1]SEC &lt; 10kW'!$F27-'[2]SEC &lt; 10kW'!$F27</f>
        <v>52891.628663878539</v>
      </c>
      <c r="G28" s="4"/>
      <c r="H28" s="4">
        <f>'[1]SEC &lt; 10kW'!$H27-'[2]SEC &lt; 10kW'!$H27</f>
        <v>23126.112215090718</v>
      </c>
      <c r="I28" s="4"/>
      <c r="J28" s="4">
        <f>'[1]SEC &lt; 10kW'!$J27-'[2]SEC &lt; 10kW'!$J27</f>
        <v>22261.364052695048</v>
      </c>
      <c r="K28" s="4"/>
      <c r="L28" s="4">
        <f>'[1]SEC &lt; 10kW'!$L27-'[2]SEC &lt; 10kW'!$L27</f>
        <v>22566.148503879725</v>
      </c>
      <c r="N28" s="4">
        <f>'[1]SEC &lt; 10kW'!$N27-'[2]SEC &lt; 10kW'!$N27</f>
        <v>21722.338905898796</v>
      </c>
      <c r="O28" s="4"/>
      <c r="P28" s="4">
        <f>'[1]SEC &lt; 10kW'!$P27-'[2]SEC &lt; 10kW'!$P27</f>
        <v>21786.484932608844</v>
      </c>
      <c r="R28" s="4">
        <f>'[1]SEC &lt; 10kW'!$R27-'[2]SEC &lt; 10kW'!$R27</f>
        <v>20971.829073668516</v>
      </c>
      <c r="S28" s="4"/>
      <c r="T28" s="4">
        <f>'[1]SEC &lt; 10kW'!$T27-'[2]SEC &lt; 10kW'!$T27</f>
        <v>10324960.569419086</v>
      </c>
      <c r="V28" s="4">
        <f>'[1]SEC &lt; 10kW'!$V27-'[2]SEC &lt; 10kW'!$V27</f>
        <v>9954865.4421193898</v>
      </c>
      <c r="X28" s="14">
        <f>'[1]SEC &lt; 10kW'!$X27-'[2]SEC &lt; 10kW'!$X27</f>
        <v>0</v>
      </c>
      <c r="Y28" s="14"/>
      <c r="Z28" s="14">
        <f>'[1]SEC &lt; 10kW'!$Z27-'[2]SEC &lt; 10kW'!$Z27</f>
        <v>0</v>
      </c>
    </row>
    <row r="29" spans="1:26" ht="25" customHeight="1">
      <c r="A29" s="15">
        <v>7</v>
      </c>
      <c r="B29" s="15" t="s">
        <v>22</v>
      </c>
      <c r="D29" s="4">
        <f>'[1]SEC &lt; 10kW'!$D28-'[2]SEC &lt; 10kW'!$D28</f>
        <v>27859.978510445566</v>
      </c>
      <c r="E29" s="4"/>
      <c r="F29" s="4">
        <f>'[1]SEC &lt; 10kW'!$F28-'[2]SEC &lt; 10kW'!$F28</f>
        <v>26818.218226779252</v>
      </c>
      <c r="G29" s="4"/>
      <c r="H29" s="4">
        <f>'[1]SEC &lt; 10kW'!$H28-'[2]SEC &lt; 10kW'!$H28</f>
        <v>12267.388732967374</v>
      </c>
      <c r="I29" s="4"/>
      <c r="J29" s="4">
        <f>'[1]SEC &lt; 10kW'!$J28-'[2]SEC &lt; 10kW'!$J28</f>
        <v>11808.677741445659</v>
      </c>
      <c r="K29" s="4"/>
      <c r="L29" s="4">
        <f>'[1]SEC &lt; 10kW'!$L28-'[2]SEC &lt; 10kW'!$L28</f>
        <v>12256.725791181088</v>
      </c>
      <c r="N29" s="4">
        <f>'[1]SEC &lt; 10kW'!$N28-'[2]SEC &lt; 10kW'!$N28</f>
        <v>11798.413516020752</v>
      </c>
      <c r="O29" s="4"/>
      <c r="P29" s="4">
        <f>'[1]SEC &lt; 10kW'!$P28-'[2]SEC &lt; 10kW'!$P28</f>
        <v>11650.851287551632</v>
      </c>
      <c r="R29" s="4">
        <f>'[1]SEC &lt; 10kW'!$R28-'[2]SEC &lt; 10kW'!$R28</f>
        <v>11215.194306060323</v>
      </c>
      <c r="S29" s="4"/>
      <c r="T29" s="4">
        <f>'[1]SEC &lt; 10kW'!$T28-'[2]SEC &lt; 10kW'!$T28</f>
        <v>6318619.8048818111</v>
      </c>
      <c r="V29" s="4">
        <f>'[1]SEC &lt; 10kW'!$V28-'[2]SEC &lt; 10kW'!$V28</f>
        <v>6092130.7654977441</v>
      </c>
      <c r="X29" s="14">
        <f>'[1]SEC &lt; 10kW'!$X28-'[2]SEC &lt; 10kW'!$X28</f>
        <v>0</v>
      </c>
      <c r="Y29" s="14"/>
      <c r="Z29" s="14">
        <f>'[1]SEC &lt; 10kW'!$Z28-'[2]SEC &lt; 10kW'!$Z28</f>
        <v>0</v>
      </c>
    </row>
    <row r="30" spans="1:26" ht="25" customHeight="1">
      <c r="A30" s="15">
        <v>8</v>
      </c>
      <c r="B30" s="15" t="s">
        <v>23</v>
      </c>
      <c r="D30" s="4">
        <f>'[1]SEC &lt; 10kW'!$D29-'[2]SEC &lt; 10kW'!$D29</f>
        <v>43627.124080666807</v>
      </c>
      <c r="E30" s="4"/>
      <c r="F30" s="4">
        <f>'[1]SEC &lt; 10kW'!$F29-'[2]SEC &lt; 10kW'!$F29</f>
        <v>41995.787389549892</v>
      </c>
      <c r="G30" s="4"/>
      <c r="H30" s="4">
        <f>'[1]SEC &lt; 10kW'!$H29-'[2]SEC &lt; 10kW'!$H29</f>
        <v>18766.248823389004</v>
      </c>
      <c r="I30" s="4"/>
      <c r="J30" s="4">
        <f>'[1]SEC &lt; 10kW'!$J29-'[2]SEC &lt; 10kW'!$J29</f>
        <v>18064.52779764327</v>
      </c>
      <c r="K30" s="4"/>
      <c r="L30" s="4">
        <f>'[1]SEC &lt; 10kW'!$L29-'[2]SEC &lt; 10kW'!$L29</f>
        <v>18450.130550728994</v>
      </c>
      <c r="N30" s="4">
        <f>'[1]SEC &lt; 10kW'!$N29-'[2]SEC &lt; 10kW'!$N29</f>
        <v>17760.230045996024</v>
      </c>
      <c r="O30" s="4"/>
      <c r="P30" s="4">
        <f>'[1]SEC &lt; 10kW'!$P29-'[2]SEC &lt; 10kW'!$P29</f>
        <v>17944.583974305599</v>
      </c>
      <c r="R30" s="4">
        <f>'[1]SEC &lt; 10kW'!$R29-'[2]SEC &lt; 10kW'!$R29</f>
        <v>17273.587229482713</v>
      </c>
      <c r="S30" s="4"/>
      <c r="T30" s="4">
        <f>'[1]SEC &lt; 10kW'!$T29-'[2]SEC &lt; 10kW'!$T29</f>
        <v>9879632.4285484552</v>
      </c>
      <c r="V30" s="4">
        <f>'[1]SEC &lt; 10kW'!$V29-'[2]SEC &lt; 10kW'!$V29</f>
        <v>9525499.9554281831</v>
      </c>
      <c r="X30" s="14">
        <f>'[1]SEC &lt; 10kW'!$X29-'[2]SEC &lt; 10kW'!$X29</f>
        <v>0</v>
      </c>
      <c r="Y30" s="14"/>
      <c r="Z30" s="14">
        <f>'[1]SEC &lt; 10kW'!$Z29-'[2]SEC &lt; 10kW'!$Z29</f>
        <v>0</v>
      </c>
    </row>
    <row r="31" spans="1:26" ht="25" customHeight="1">
      <c r="A31" s="15">
        <v>9</v>
      </c>
      <c r="B31" s="15" t="s">
        <v>24</v>
      </c>
      <c r="D31" s="4">
        <f>'[1]SEC &lt; 10kW'!$D30-'[2]SEC &lt; 10kW'!$D30</f>
        <v>7746.889950608369</v>
      </c>
      <c r="E31" s="4"/>
      <c r="F31" s="4">
        <f>'[1]SEC &lt; 10kW'!$F30-'[2]SEC &lt; 10kW'!$F30</f>
        <v>7457.2126893911045</v>
      </c>
      <c r="G31" s="4"/>
      <c r="H31" s="4">
        <f>'[1]SEC &lt; 10kW'!$H30-'[2]SEC &lt; 10kW'!$H30</f>
        <v>3446.2572967005544</v>
      </c>
      <c r="I31" s="4"/>
      <c r="J31" s="4">
        <f>'[1]SEC &lt; 10kW'!$J30-'[2]SEC &lt; 10kW'!$J30</f>
        <v>3317.3923739350284</v>
      </c>
      <c r="K31" s="4"/>
      <c r="L31" s="4">
        <f>'[1]SEC &lt; 10kW'!$L30-'[2]SEC &lt; 10kW'!$L30</f>
        <v>3386.5698684340459</v>
      </c>
      <c r="N31" s="4">
        <f>'[1]SEC &lt; 10kW'!$N30-'[2]SEC &lt; 10kW'!$N30</f>
        <v>3259.9368207641528</v>
      </c>
      <c r="O31" s="4"/>
      <c r="P31" s="4">
        <f>'[1]SEC &lt; 10kW'!$P30-'[2]SEC &lt; 10kW'!$P30</f>
        <v>3310.2468713503331</v>
      </c>
      <c r="R31" s="4">
        <f>'[1]SEC &lt; 10kW'!$R30-'[2]SEC &lt; 10kW'!$R30</f>
        <v>3186.4677478880039</v>
      </c>
      <c r="S31" s="4"/>
      <c r="T31" s="4">
        <f>'[1]SEC &lt; 10kW'!$T30-'[2]SEC &lt; 10kW'!$T30</f>
        <v>1779181.9154481292</v>
      </c>
      <c r="V31" s="4">
        <f>'[1]SEC &lt; 10kW'!$V30-'[2]SEC &lt; 10kW'!$V30</f>
        <v>1715407.6711728275</v>
      </c>
      <c r="X31" s="14">
        <f>'[1]SEC &lt; 10kW'!$X30-'[2]SEC &lt; 10kW'!$X30</f>
        <v>0</v>
      </c>
      <c r="Y31" s="14"/>
      <c r="Z31" s="14">
        <f>'[1]SEC &lt; 10kW'!$Z30-'[2]SEC &lt; 10kW'!$Z30</f>
        <v>0</v>
      </c>
    </row>
    <row r="32" spans="1:26" ht="25" customHeight="1">
      <c r="A32" s="15">
        <v>10</v>
      </c>
      <c r="B32" s="15" t="s">
        <v>25</v>
      </c>
      <c r="D32" s="4">
        <f>'[1]SEC &lt; 10kW'!$D31-'[2]SEC &lt; 10kW'!$D31</f>
        <v>-2499.8819818102056</v>
      </c>
      <c r="E32" s="4"/>
      <c r="F32" s="4">
        <f>'[1]SEC &lt; 10kW'!$F31-'[2]SEC &lt; 10kW'!$F31</f>
        <v>-2406.4046030847821</v>
      </c>
      <c r="G32" s="4"/>
      <c r="H32" s="4">
        <f>'[1]SEC &lt; 10kW'!$H31-'[2]SEC &lt; 10kW'!$H31</f>
        <v>-930.85764851607382</v>
      </c>
      <c r="I32" s="4"/>
      <c r="J32" s="4">
        <f>'[1]SEC &lt; 10kW'!$J31-'[2]SEC &lt; 10kW'!$J31</f>
        <v>-896.050352178514</v>
      </c>
      <c r="K32" s="4"/>
      <c r="L32" s="4">
        <f>'[1]SEC &lt; 10kW'!$L31-'[2]SEC &lt; 10kW'!$L31</f>
        <v>-915.84436522959732</v>
      </c>
      <c r="N32" s="4">
        <f>'[1]SEC &lt; 10kW'!$N31-'[2]SEC &lt; 10kW'!$N31</f>
        <v>-881.59845634066733</v>
      </c>
      <c r="O32" s="4"/>
      <c r="P32" s="4">
        <f>'[1]SEC &lt; 10kW'!$P31-'[2]SEC &lt; 10kW'!$P31</f>
        <v>-915.84436522959732</v>
      </c>
      <c r="R32" s="4">
        <f>'[1]SEC &lt; 10kW'!$R31-'[2]SEC &lt; 10kW'!$R31</f>
        <v>-881.59845634066733</v>
      </c>
      <c r="S32" s="4"/>
      <c r="T32" s="4">
        <f>'[1]SEC &lt; 10kW'!$T31-'[2]SEC &lt; 10kW'!$T31</f>
        <v>-531563.68866440654</v>
      </c>
      <c r="V32" s="4">
        <f>'[1]SEC &lt; 10kW'!$V31-'[2]SEC &lt; 10kW'!$V31</f>
        <v>-512509.94703492522</v>
      </c>
      <c r="X32" s="14">
        <f>'[1]SEC &lt; 10kW'!$X31-'[2]SEC &lt; 10kW'!$X31</f>
        <v>0</v>
      </c>
      <c r="Y32" s="14"/>
      <c r="Z32" s="14">
        <f>'[1]SEC &lt; 10kW'!$Z31-'[2]SEC &lt; 10kW'!$Z31</f>
        <v>0</v>
      </c>
    </row>
    <row r="33" spans="1:26" ht="25" customHeight="1">
      <c r="A33" s="15">
        <v>11</v>
      </c>
      <c r="B33" s="15" t="s">
        <v>26</v>
      </c>
      <c r="D33" s="4">
        <f>'[1]SEC &lt; 10kW'!$D32-'[2]SEC &lt; 10kW'!$D32</f>
        <v>227.84519350307528</v>
      </c>
      <c r="E33" s="4"/>
      <c r="F33" s="4">
        <f>'[1]SEC &lt; 10kW'!$F32-'[2]SEC &lt; 10kW'!$F32</f>
        <v>219.32544273126405</v>
      </c>
      <c r="G33" s="4"/>
      <c r="H33" s="4">
        <f>'[1]SEC &lt; 10kW'!$H32-'[2]SEC &lt; 10kW'!$H32</f>
        <v>66.944536158611299</v>
      </c>
      <c r="I33" s="4"/>
      <c r="J33" s="4">
        <f>'[1]SEC &lt; 10kW'!$J32-'[2]SEC &lt; 10kW'!$J32</f>
        <v>64.441298083518632</v>
      </c>
      <c r="K33" s="4"/>
      <c r="L33" s="4">
        <f>'[1]SEC &lt; 10kW'!$L32-'[2]SEC &lt; 10kW'!$L32</f>
        <v>57.737042383290827</v>
      </c>
      <c r="N33" s="4">
        <f>'[1]SEC &lt; 10kW'!$N32-'[2]SEC &lt; 10kW'!$N32</f>
        <v>55.578097514429828</v>
      </c>
      <c r="O33" s="4"/>
      <c r="P33" s="4">
        <f>'[1]SEC &lt; 10kW'!$P32-'[2]SEC &lt; 10kW'!$P32</f>
        <v>62.034106531966245</v>
      </c>
      <c r="R33" s="4">
        <f>'[1]SEC &lt; 10kW'!$R32-'[2]SEC &lt; 10kW'!$R32</f>
        <v>59.714482760755345</v>
      </c>
      <c r="S33" s="4"/>
      <c r="T33" s="4">
        <f>'[1]SEC &lt; 10kW'!$T32-'[2]SEC &lt; 10kW'!$T32</f>
        <v>40599.198533445597</v>
      </c>
      <c r="V33" s="4">
        <f>'[1]SEC &lt; 10kW'!$V32-'[2]SEC &lt; 10kW'!$V32</f>
        <v>39143.932389944792</v>
      </c>
      <c r="X33" s="14">
        <f>'[1]SEC &lt; 10kW'!$X32-'[2]SEC &lt; 10kW'!$X32</f>
        <v>0</v>
      </c>
      <c r="Y33" s="14"/>
      <c r="Z33" s="14">
        <f>'[1]SEC &lt; 10kW'!$Z32-'[2]SEC &lt; 10kW'!$Z32</f>
        <v>0</v>
      </c>
    </row>
    <row r="34" spans="1:26" ht="25" customHeight="1" thickBot="1">
      <c r="A34" s="15">
        <v>12</v>
      </c>
      <c r="B34" s="15" t="s">
        <v>27</v>
      </c>
      <c r="D34" s="4">
        <f>'[1]SEC &lt; 10kW'!$D33-'[2]SEC &lt; 10kW'!$D33</f>
        <v>38814.169359076302</v>
      </c>
      <c r="E34" s="4"/>
      <c r="F34" s="4">
        <f>'[1]SEC &lt; 10kW'!$F33-'[2]SEC &lt; 10kW'!$F33</f>
        <v>37362.802120346343</v>
      </c>
      <c r="G34" s="4"/>
      <c r="H34" s="4">
        <f>'[1]SEC &lt; 10kW'!$H33-'[2]SEC &lt; 10kW'!$H33</f>
        <v>11687.61378483873</v>
      </c>
      <c r="I34" s="4"/>
      <c r="J34" s="4">
        <f>'[1]SEC &lt; 10kW'!$J33-'[2]SEC &lt; 10kW'!$J33</f>
        <v>11250.582153701253</v>
      </c>
      <c r="K34" s="4"/>
      <c r="L34" s="4">
        <f>'[1]SEC &lt; 10kW'!$L33-'[2]SEC &lt; 10kW'!$L33</f>
        <v>10449.234634235007</v>
      </c>
      <c r="N34" s="4">
        <f>'[1]SEC &lt; 10kW'!$N33-'[2]SEC &lt; 10kW'!$N33</f>
        <v>10058.509363841324</v>
      </c>
      <c r="O34" s="4"/>
      <c r="P34" s="4">
        <f>'[1]SEC &lt; 10kW'!$P33-'[2]SEC &lt; 10kW'!$P33</f>
        <v>11177.907614966098</v>
      </c>
      <c r="R34" s="4">
        <f>'[1]SEC &lt; 10kW'!$R33-'[2]SEC &lt; 10kW'!$R33</f>
        <v>10759.935282238119</v>
      </c>
      <c r="S34" s="4"/>
      <c r="T34" s="17">
        <f>'[1]SEC &lt; 10kW'!$T33-'[2]SEC &lt; 10kW'!$T33</f>
        <v>6817731.6554614305</v>
      </c>
      <c r="V34" s="17">
        <f>'[1]SEC &lt; 10kW'!$V33-'[2]SEC &lt; 10kW'!$V33</f>
        <v>6573352.1008899212</v>
      </c>
      <c r="X34" s="14">
        <f>'[1]SEC &lt; 10kW'!$X33-'[2]SEC &lt; 10kW'!$X33</f>
        <v>0</v>
      </c>
      <c r="Y34" s="14"/>
      <c r="Z34" s="14">
        <f>'[1]SEC &lt; 10kW'!$Z33-'[2]SEC &lt; 10kW'!$Z33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45180172.593260795</v>
      </c>
      <c r="U35" s="16"/>
      <c r="V35" s="16">
        <f>+SUM(V23:V34)</f>
        <v>43560702.803046852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</sheetData>
  <pageMargins left="0.5" right="1" top="1.5" bottom="0.5" header="0.5" footer="0.5"/>
  <pageSetup orientation="landscape" scale="5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2"/>
  <sheetViews>
    <sheetView zoomScale="75" zoomScaleNormal="75" workbookViewId="0" topLeftCell="A1">
      <selection pane="topLeft" activeCell="A11" sqref="A11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4.14285714285714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4.42857142857143" style="3" customWidth="1"/>
    <col min="12" max="12" width="13.7142857142857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4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21.1428571428571" style="4" customWidth="1"/>
    <col min="21" max="21" width="2.71428571428571" style="4" customWidth="1"/>
    <col min="22" max="22" width="20.5714285714286" style="4" customWidth="1"/>
    <col min="23" max="23" width="3.71428571428571" style="3" customWidth="1"/>
    <col min="24" max="24" width="9.85714285714286" style="3" customWidth="1"/>
    <col min="25" max="25" width="1.71428571428571" style="3" customWidth="1"/>
    <col min="26" max="26" width="9.71428571428571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93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31</v>
      </c>
    </row>
    <row r="16" spans="1:1" ht="18.75" customHeight="1">
      <c r="A16" s="3" t="s">
        <v>1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'[1]SEC &gt; 10kW '!$D22-'[2]SEC &gt; 10kW '!$D22</f>
        <v>376592.10058296472</v>
      </c>
      <c r="E23" s="4"/>
      <c r="F23" s="4">
        <f>'[1]SEC &gt; 10kW '!$F22-'[2]SEC &gt; 10kW '!$F22</f>
        <v>362510.29885498807</v>
      </c>
      <c r="G23" s="4"/>
      <c r="H23" s="4">
        <f>'[1]SEC &gt; 10kW '!$H22-'[2]SEC &gt; 10kW '!$H22</f>
        <v>228482.12597592641</v>
      </c>
      <c r="I23" s="4"/>
      <c r="J23" s="4">
        <f>'[1]SEC &gt; 10kW '!$J22-'[2]SEC &gt; 10kW '!$J22</f>
        <v>219938.55856864713</v>
      </c>
      <c r="K23" s="4"/>
      <c r="L23" s="4">
        <f>'[1]SEC &gt; 10kW '!$L22-'[2]SEC &gt; 10kW '!$L22</f>
        <v>225743.69172551669</v>
      </c>
      <c r="N23" s="4">
        <f>'[1]SEC &gt; 10kW '!$N22-'[2]SEC &gt; 10kW '!$N22</f>
        <v>217302.52181436028</v>
      </c>
      <c r="O23" s="4"/>
      <c r="P23" s="4">
        <f>'[1]SEC &gt; 10kW '!$P22-'[2]SEC &gt; 10kW '!$P22</f>
        <v>224127.11569374986</v>
      </c>
      <c r="R23" s="4">
        <f>'[1]SEC &gt; 10kW '!$R22-'[2]SEC &gt; 10kW '!$R22</f>
        <v>215746.39395217132</v>
      </c>
      <c r="S23" s="4"/>
      <c r="T23" s="4">
        <f>'[1]SEC &gt; 10kW '!$T22-'[2]SEC &gt; 10kW '!$T22</f>
        <v>122678387.34069347</v>
      </c>
      <c r="V23" s="4">
        <f>'[1]SEC &gt; 10kW '!$V22-'[2]SEC &gt; 10kW '!$V22</f>
        <v>118281017.1934166</v>
      </c>
      <c r="X23" s="14">
        <f>'[1]SEC &gt; 10kW '!$X22-'[2]SEC &gt; 10kW '!$X22</f>
        <v>0</v>
      </c>
      <c r="Y23" s="14"/>
      <c r="Z23" s="14">
        <f>'[1]SEC &gt; 10kW '!$Z22-'[2]SEC &gt; 10kW '!$Z22</f>
        <v>0</v>
      </c>
    </row>
    <row r="24" spans="1:26" ht="25" customHeight="1">
      <c r="A24" s="15">
        <v>2</v>
      </c>
      <c r="B24" s="15" t="s">
        <v>17</v>
      </c>
      <c r="D24" s="4">
        <f>'[1]SEC &gt; 10kW '!$D23-'[2]SEC &gt; 10kW '!$D23</f>
        <v>238933.53877206333</v>
      </c>
      <c r="E24" s="4"/>
      <c r="F24" s="4">
        <f>'[1]SEC &gt; 10kW '!$F23-'[2]SEC &gt; 10kW '!$F23</f>
        <v>229999.16464699991</v>
      </c>
      <c r="G24" s="4"/>
      <c r="H24" s="4">
        <f>'[1]SEC &gt; 10kW '!$H23-'[2]SEC &gt; 10kW '!$H23</f>
        <v>140477.66636918485</v>
      </c>
      <c r="I24" s="4"/>
      <c r="J24" s="4">
        <f>'[1]SEC &gt; 10kW '!$J23-'[2]SEC &gt; 10kW '!$J23</f>
        <v>135224.82478818111</v>
      </c>
      <c r="K24" s="4"/>
      <c r="L24" s="4">
        <f>'[1]SEC &gt; 10kW '!$L23-'[2]SEC &gt; 10kW '!$L23</f>
        <v>118491.54990074504</v>
      </c>
      <c r="N24" s="4">
        <f>'[1]SEC &gt; 10kW '!$N23-'[2]SEC &gt; 10kW '!$N23</f>
        <v>114060.82894414477</v>
      </c>
      <c r="O24" s="4"/>
      <c r="P24" s="4">
        <f>'[1]SEC &gt; 10kW '!$P23-'[2]SEC &gt; 10kW '!$P23</f>
        <v>118660.64273636788</v>
      </c>
      <c r="R24" s="4">
        <f>'[1]SEC &gt; 10kW '!$R23-'[2]SEC &gt; 10kW '!$R23</f>
        <v>114223.59893926978</v>
      </c>
      <c r="S24" s="4"/>
      <c r="T24" s="4">
        <f>'[1]SEC &gt; 10kW '!$T23-'[2]SEC &gt; 10kW '!$T23</f>
        <v>67067555.410262108</v>
      </c>
      <c r="V24" s="4">
        <f>'[1]SEC &gt; 10kW '!$V23-'[2]SEC &gt; 10kW '!$V23</f>
        <v>64663538.921254158</v>
      </c>
      <c r="X24" s="14">
        <f>'[1]SEC &gt; 10kW '!$X23-'[2]SEC &gt; 10kW '!$X23</f>
        <v>0</v>
      </c>
      <c r="Y24" s="14">
        <f>'[1]SEC &gt; 10kW '!$X23-'[2]SEC &gt; 10kW '!$X23</f>
        <v>0</v>
      </c>
      <c r="Z24" s="14">
        <f>'[1]SEC &gt; 10kW '!$Z23-'[2]SEC &gt; 10kW '!$Z23</f>
        <v>0</v>
      </c>
    </row>
    <row r="25" spans="1:26" ht="25" customHeight="1">
      <c r="A25" s="15">
        <v>3</v>
      </c>
      <c r="B25" s="15" t="s">
        <v>18</v>
      </c>
      <c r="D25" s="4">
        <f>'[1]SEC &gt; 10kW '!$D24-'[2]SEC &gt; 10kW '!$D24</f>
        <v>-352214.94783219881</v>
      </c>
      <c r="E25" s="4"/>
      <c r="F25" s="4">
        <f>'[1]SEC &gt; 10kW '!$F24-'[2]SEC &gt; 10kW '!$F24</f>
        <v>-339044.67407094687</v>
      </c>
      <c r="G25" s="4"/>
      <c r="H25" s="4">
        <f>'[1]SEC &gt; 10kW '!$H24-'[2]SEC &gt; 10kW '!$H24</f>
        <v>-201043.9903962994</v>
      </c>
      <c r="I25" s="4"/>
      <c r="J25" s="4">
        <f>'[1]SEC &gt; 10kW '!$J24-'[2]SEC &gt; 10kW '!$J24</f>
        <v>-193526.40941948257</v>
      </c>
      <c r="K25" s="4"/>
      <c r="L25" s="4">
        <f>'[1]SEC &gt; 10kW '!$L24-'[2]SEC &gt; 10kW '!$L24</f>
        <v>-181236.13224036899</v>
      </c>
      <c r="N25" s="4">
        <f>'[1]SEC &gt; 10kW '!$N24-'[2]SEC &gt; 10kW '!$N24</f>
        <v>-174459.22089198045</v>
      </c>
      <c r="O25" s="4"/>
      <c r="P25" s="4">
        <f>'[1]SEC &gt; 10kW '!$P24-'[2]SEC &gt; 10kW '!$P24</f>
        <v>-160658.98985051643</v>
      </c>
      <c r="R25" s="4">
        <f>'[1]SEC &gt; 10kW '!$R24-'[2]SEC &gt; 10kW '!$R24</f>
        <v>-154651.51375797577</v>
      </c>
      <c r="S25" s="4"/>
      <c r="T25" s="4">
        <f>'[1]SEC &gt; 10kW '!$T24-'[2]SEC &gt; 10kW '!$T24</f>
        <v>-121646173.38968563</v>
      </c>
      <c r="V25" s="4">
        <f>'[1]SEC &gt; 10kW '!$V24-'[2]SEC &gt; 10kW '!$V24</f>
        <v>-117285802.64313602</v>
      </c>
      <c r="X25" s="14">
        <f>'[1]SEC &gt; 10kW '!$X24-'[2]SEC &gt; 10kW '!$X24</f>
        <v>0</v>
      </c>
      <c r="Y25" s="14">
        <f>'[1]SEC &gt; 10kW '!$X24-'[2]SEC &gt; 10kW '!$X24</f>
        <v>0</v>
      </c>
      <c r="Z25" s="14">
        <f>'[1]SEC &gt; 10kW '!$Z24-'[2]SEC &gt; 10kW '!$Z24</f>
        <v>0</v>
      </c>
    </row>
    <row r="26" spans="1:26" ht="25" customHeight="1">
      <c r="A26" s="15">
        <v>4</v>
      </c>
      <c r="B26" s="15" t="s">
        <v>19</v>
      </c>
      <c r="D26" s="4">
        <f>'[1]SEC &gt; 10kW '!$D25-'[2]SEC &gt; 10kW '!$D25</f>
        <v>352617.28535268083</v>
      </c>
      <c r="E26" s="4"/>
      <c r="F26" s="4">
        <f>'[1]SEC &gt; 10kW '!$F25-'[2]SEC &gt; 10kW '!$F25</f>
        <v>339431.96709850803</v>
      </c>
      <c r="G26" s="4"/>
      <c r="H26" s="4">
        <f>'[1]SEC &gt; 10kW '!$H25-'[2]SEC &gt; 10kW '!$H25</f>
        <v>222996.45082932524</v>
      </c>
      <c r="I26" s="4"/>
      <c r="J26" s="4">
        <f>'[1]SEC &gt; 10kW '!$J25-'[2]SEC &gt; 10kW '!$J25</f>
        <v>214658.00771870278</v>
      </c>
      <c r="K26" s="4"/>
      <c r="L26" s="4">
        <f>'[1]SEC &gt; 10kW '!$L25-'[2]SEC &gt; 10kW '!$L25</f>
        <v>194472.22070608195</v>
      </c>
      <c r="N26" s="4">
        <f>'[1]SEC &gt; 10kW '!$N25-'[2]SEC &gt; 10kW '!$N25</f>
        <v>187200.37605149951</v>
      </c>
      <c r="O26" s="4"/>
      <c r="P26" s="4">
        <f>'[1]SEC &gt; 10kW '!$P25-'[2]SEC &gt; 10kW '!$P25</f>
        <v>207281.19067932572</v>
      </c>
      <c r="R26" s="4">
        <f>'[1]SEC &gt; 10kW '!$R25-'[2]SEC &gt; 10kW '!$R25</f>
        <v>199530.38383933436</v>
      </c>
      <c r="S26" s="4"/>
      <c r="T26" s="4">
        <f>'[1]SEC &gt; 10kW '!$T25-'[2]SEC &gt; 10kW '!$T25</f>
        <v>106765391.07643461</v>
      </c>
      <c r="V26" s="4">
        <f>'[1]SEC &gt; 10kW '!$V25-'[2]SEC &gt; 10kW '!$V25</f>
        <v>102938417.52665997</v>
      </c>
      <c r="X26" s="14">
        <f>'[1]SEC &gt; 10kW '!$X25-'[2]SEC &gt; 10kW '!$X25</f>
        <v>0</v>
      </c>
      <c r="Y26" s="14">
        <f>'[1]SEC &gt; 10kW '!$X25-'[2]SEC &gt; 10kW '!$X25</f>
        <v>0</v>
      </c>
      <c r="Z26" s="14">
        <f>'[1]SEC &gt; 10kW '!$Z25-'[2]SEC &gt; 10kW '!$Z25</f>
        <v>0</v>
      </c>
    </row>
    <row r="27" spans="1:26" ht="25" customHeight="1">
      <c r="A27" s="15">
        <v>5</v>
      </c>
      <c r="B27" s="15" t="s">
        <v>20</v>
      </c>
      <c r="D27" s="4">
        <f>'[1]SEC &gt; 10kW '!$D26-'[2]SEC &gt; 10kW '!$D26</f>
        <v>537817.7856684681</v>
      </c>
      <c r="E27" s="4"/>
      <c r="F27" s="4">
        <f>'[1]SEC &gt; 10kW '!$F26-'[2]SEC &gt; 10kW '!$F26</f>
        <v>517707.3175735753</v>
      </c>
      <c r="G27" s="4"/>
      <c r="H27" s="4">
        <f>'[1]SEC &gt; 10kW '!$H26-'[2]SEC &gt; 10kW '!$H26</f>
        <v>367180.88587327302</v>
      </c>
      <c r="I27" s="4"/>
      <c r="J27" s="4">
        <f>'[1]SEC &gt; 10kW '!$J26-'[2]SEC &gt; 10kW '!$J26</f>
        <v>353450.99503072444</v>
      </c>
      <c r="K27" s="4"/>
      <c r="L27" s="4">
        <f>'[1]SEC &gt; 10kW '!$L26-'[2]SEC &gt; 10kW '!$L26</f>
        <v>348323.79230466578</v>
      </c>
      <c r="N27" s="4">
        <f>'[1]SEC &gt; 10kW '!$N26-'[2]SEC &gt; 10kW '!$N26</f>
        <v>335299.01941968407</v>
      </c>
      <c r="O27" s="4"/>
      <c r="P27" s="4">
        <f>'[1]SEC &gt; 10kW '!$P26-'[2]SEC &gt; 10kW '!$P26</f>
        <v>348323.79230466578</v>
      </c>
      <c r="R27" s="4">
        <f>'[1]SEC &gt; 10kW '!$R26-'[2]SEC &gt; 10kW '!$R26</f>
        <v>335299.01941968407</v>
      </c>
      <c r="S27" s="4"/>
      <c r="T27" s="4">
        <f>'[1]SEC &gt; 10kW '!$T26-'[2]SEC &gt; 10kW '!$T26</f>
        <v>167347157.41611052</v>
      </c>
      <c r="V27" s="4">
        <f>'[1]SEC &gt; 10kW '!$V26-'[2]SEC &gt; 10kW '!$V26</f>
        <v>161348648.54910374</v>
      </c>
      <c r="X27" s="14">
        <f>'[1]SEC &gt; 10kW '!$X26-'[2]SEC &gt; 10kW '!$X26</f>
        <v>0</v>
      </c>
      <c r="Y27" s="14">
        <f>'[1]SEC &gt; 10kW '!$X26-'[2]SEC &gt; 10kW '!$X26</f>
        <v>0</v>
      </c>
      <c r="Z27" s="14">
        <f>'[1]SEC &gt; 10kW '!$Z26-'[2]SEC &gt; 10kW '!$Z26</f>
        <v>0</v>
      </c>
    </row>
    <row r="28" spans="1:26" ht="25" customHeight="1">
      <c r="A28" s="15">
        <v>6</v>
      </c>
      <c r="B28" s="15" t="s">
        <v>21</v>
      </c>
      <c r="D28" s="4">
        <f>'[1]SEC &gt; 10kW '!$D27-'[2]SEC &gt; 10kW '!$D27</f>
        <v>766258.68156428263</v>
      </c>
      <c r="E28" s="4"/>
      <c r="F28" s="4">
        <f>'[1]SEC &gt; 10kW '!$F27-'[2]SEC &gt; 10kW '!$F27</f>
        <v>737606.1877668146</v>
      </c>
      <c r="G28" s="4"/>
      <c r="H28" s="4">
        <f>'[1]SEC &gt; 10kW '!$H27-'[2]SEC &gt; 10kW '!$H27</f>
        <v>524608.27961784415</v>
      </c>
      <c r="I28" s="4"/>
      <c r="J28" s="4">
        <f>'[1]SEC &gt; 10kW '!$J27-'[2]SEC &gt; 10kW '!$J27</f>
        <v>504991.75084042829</v>
      </c>
      <c r="K28" s="4"/>
      <c r="L28" s="4">
        <f>'[1]SEC &gt; 10kW '!$L27-'[2]SEC &gt; 10kW '!$L27</f>
        <v>500671.01982516143</v>
      </c>
      <c r="N28" s="4">
        <f>'[1]SEC &gt; 10kW '!$N27-'[2]SEC &gt; 10kW '!$N27</f>
        <v>481949.57022171002</v>
      </c>
      <c r="O28" s="4"/>
      <c r="P28" s="4">
        <f>'[1]SEC &gt; 10kW '!$P27-'[2]SEC &gt; 10kW '!$P27</f>
        <v>491805.22032830026</v>
      </c>
      <c r="R28" s="4">
        <f>'[1]SEC &gt; 10kW '!$R27-'[2]SEC &gt; 10kW '!$R27</f>
        <v>473415.28705374151</v>
      </c>
      <c r="S28" s="4"/>
      <c r="T28" s="4">
        <f>'[1]SEC &gt; 10kW '!$T27-'[2]SEC &gt; 10kW '!$T27</f>
        <v>234630108.107481</v>
      </c>
      <c r="V28" s="4">
        <f>'[1]SEC &gt; 10kW '!$V27-'[2]SEC &gt; 10kW '!$V27</f>
        <v>226219861.97195864</v>
      </c>
      <c r="X28" s="14">
        <f>'[1]SEC &gt; 10kW '!$X27-'[2]SEC &gt; 10kW '!$X27</f>
        <v>0</v>
      </c>
      <c r="Y28" s="14">
        <f>'[1]SEC &gt; 10kW '!$X27-'[2]SEC &gt; 10kW '!$X27</f>
        <v>0</v>
      </c>
      <c r="Z28" s="14">
        <f>'[1]SEC &gt; 10kW '!$Z27-'[2]SEC &gt; 10kW '!$Z27</f>
        <v>0</v>
      </c>
    </row>
    <row r="29" spans="1:26" ht="25" customHeight="1">
      <c r="A29" s="15">
        <v>7</v>
      </c>
      <c r="B29" s="15" t="s">
        <v>22</v>
      </c>
      <c r="D29" s="4">
        <f>'[1]SEC &gt; 10kW '!$D28-'[2]SEC &gt; 10kW '!$D28</f>
        <v>289445.39648443833</v>
      </c>
      <c r="E29" s="4"/>
      <c r="F29" s="4">
        <f>'[1]SEC &gt; 10kW '!$F28-'[2]SEC &gt; 10kW '!$F28</f>
        <v>278622.24677402154</v>
      </c>
      <c r="G29" s="4"/>
      <c r="H29" s="4">
        <f>'[1]SEC &gt; 10kW '!$H28-'[2]SEC &gt; 10kW '!$H28</f>
        <v>208118.64530239813</v>
      </c>
      <c r="I29" s="4"/>
      <c r="J29" s="4">
        <f>'[1]SEC &gt; 10kW '!$J28-'[2]SEC &gt; 10kW '!$J28</f>
        <v>200336.52375893854</v>
      </c>
      <c r="K29" s="4"/>
      <c r="L29" s="4">
        <f>'[1]SEC &gt; 10kW '!$L28-'[2]SEC &gt; 10kW '!$L28</f>
        <v>207435.11783290096</v>
      </c>
      <c r="N29" s="4">
        <f>'[1]SEC &gt; 10kW '!$N28-'[2]SEC &gt; 10kW '!$N28</f>
        <v>199678.55523846485</v>
      </c>
      <c r="O29" s="4"/>
      <c r="P29" s="4">
        <f>'[1]SEC &gt; 10kW '!$P28-'[2]SEC &gt; 10kW '!$P28</f>
        <v>194244.7137526162</v>
      </c>
      <c r="R29" s="4">
        <f>'[1]SEC &gt; 10kW '!$R28-'[2]SEC &gt; 10kW '!$R28</f>
        <v>186981.37620109133</v>
      </c>
      <c r="S29" s="4"/>
      <c r="T29" s="4">
        <f>'[1]SEC &gt; 10kW '!$T28-'[2]SEC &gt; 10kW '!$T28</f>
        <v>106180431.58631134</v>
      </c>
      <c r="V29" s="4">
        <f>'[1]SEC &gt; 10kW '!$V28-'[2]SEC &gt; 10kW '!$V28</f>
        <v>102374425.73471928</v>
      </c>
      <c r="X29" s="14">
        <f>'[1]SEC &gt; 10kW '!$X28-'[2]SEC &gt; 10kW '!$X28</f>
        <v>0</v>
      </c>
      <c r="Y29" s="14">
        <f>'[1]SEC &gt; 10kW '!$X28-'[2]SEC &gt; 10kW '!$X28</f>
        <v>0</v>
      </c>
      <c r="Z29" s="14">
        <f>'[1]SEC &gt; 10kW '!$Z28-'[2]SEC &gt; 10kW '!$Z28</f>
        <v>0</v>
      </c>
    </row>
    <row r="30" spans="1:26" ht="25" customHeight="1">
      <c r="A30" s="15">
        <v>8</v>
      </c>
      <c r="B30" s="15" t="s">
        <v>23</v>
      </c>
      <c r="D30" s="4">
        <f>'[1]SEC &gt; 10kW '!$D29-'[2]SEC &gt; 10kW '!$D29</f>
        <v>472386.73486769386</v>
      </c>
      <c r="E30" s="4"/>
      <c r="F30" s="4">
        <f>'[1]SEC &gt; 10kW '!$F29-'[2]SEC &gt; 10kW '!$F29</f>
        <v>454722.91151867621</v>
      </c>
      <c r="G30" s="4"/>
      <c r="H30" s="4">
        <f>'[1]SEC &gt; 10kW '!$H29-'[2]SEC &gt; 10kW '!$H29</f>
        <v>337475.2843485456</v>
      </c>
      <c r="I30" s="4"/>
      <c r="J30" s="4">
        <f>'[1]SEC &gt; 10kW '!$J29-'[2]SEC &gt; 10kW '!$J29</f>
        <v>324856.16664816998</v>
      </c>
      <c r="K30" s="4"/>
      <c r="L30" s="4">
        <f>'[1]SEC &gt; 10kW '!$L29-'[2]SEC &gt; 10kW '!$L29</f>
        <v>317458.90317835286</v>
      </c>
      <c r="N30" s="4">
        <f>'[1]SEC &gt; 10kW '!$N29-'[2]SEC &gt; 10kW '!$N29</f>
        <v>305588.25234840065</v>
      </c>
      <c r="O30" s="4"/>
      <c r="P30" s="4">
        <f>'[1]SEC &gt; 10kW '!$P29-'[2]SEC &gt; 10kW '!$P29</f>
        <v>306350.10077880509</v>
      </c>
      <c r="R30" s="4">
        <f>'[1]SEC &gt; 10kW '!$R29-'[2]SEC &gt; 10kW '!$R29</f>
        <v>294894.83824983984</v>
      </c>
      <c r="S30" s="4"/>
      <c r="T30" s="4">
        <f>'[1]SEC &gt; 10kW '!$T29-'[2]SEC &gt; 10kW '!$T29</f>
        <v>166974328.47073841</v>
      </c>
      <c r="V30" s="4">
        <f>'[1]SEC &gt; 10kW '!$V29-'[2]SEC &gt; 10kW '!$V29</f>
        <v>160989183.54590511</v>
      </c>
      <c r="X30" s="14">
        <f>'[1]SEC &gt; 10kW '!$X29-'[2]SEC &gt; 10kW '!$X29</f>
        <v>0</v>
      </c>
      <c r="Y30" s="14">
        <f>'[1]SEC &gt; 10kW '!$X29-'[2]SEC &gt; 10kW '!$X29</f>
        <v>0</v>
      </c>
      <c r="Z30" s="14">
        <f>'[1]SEC &gt; 10kW '!$Z29-'[2]SEC &gt; 10kW '!$Z29</f>
        <v>0</v>
      </c>
    </row>
    <row r="31" spans="1:26" ht="25" customHeight="1">
      <c r="A31" s="15">
        <v>9</v>
      </c>
      <c r="B31" s="15" t="s">
        <v>24</v>
      </c>
      <c r="D31" s="4">
        <f>'[1]SEC &gt; 10kW '!$D30-'[2]SEC &gt; 10kW '!$D30</f>
        <v>461023.38281752914</v>
      </c>
      <c r="E31" s="4"/>
      <c r="F31" s="4">
        <f>'[1]SEC &gt; 10kW '!$F30-'[2]SEC &gt; 10kW '!$F30</f>
        <v>443784.46607246809</v>
      </c>
      <c r="G31" s="4"/>
      <c r="H31" s="4">
        <f>'[1]SEC &gt; 10kW '!$H30-'[2]SEC &gt; 10kW '!$H30</f>
        <v>33410.853628817946</v>
      </c>
      <c r="I31" s="4"/>
      <c r="J31" s="4">
        <f>'[1]SEC &gt; 10kW '!$J30-'[2]SEC &gt; 10kW '!$J30</f>
        <v>32161.531044421718</v>
      </c>
      <c r="K31" s="4"/>
      <c r="L31" s="4">
        <f>'[1]SEC &gt; 10kW '!$L30-'[2]SEC &gt; 10kW '!$L30</f>
        <v>31884.101348169148</v>
      </c>
      <c r="N31" s="4">
        <f>'[1]SEC &gt; 10kW '!$N30-'[2]SEC &gt; 10kW '!$N30</f>
        <v>30691.86817927286</v>
      </c>
      <c r="O31" s="4"/>
      <c r="P31" s="4">
        <f>'[1]SEC &gt; 10kW '!$P30-'[2]SEC &gt; 10kW '!$P30</f>
        <v>31073.391269819811</v>
      </c>
      <c r="R31" s="4">
        <f>'[1]SEC &gt; 10kW '!$R30-'[2]SEC &gt; 10kW '!$R30</f>
        <v>29911.472753208131</v>
      </c>
      <c r="S31" s="4"/>
      <c r="T31" s="4">
        <f>'[1]SEC &gt; 10kW '!$T30-'[2]SEC &gt; 10kW '!$T30</f>
        <v>16766346.050312996</v>
      </c>
      <c r="V31" s="4">
        <f>'[1]SEC &gt; 10kW '!$V30-'[2]SEC &gt; 10kW '!$V30</f>
        <v>16165361.384646416</v>
      </c>
      <c r="X31" s="14">
        <f>'[1]SEC &gt; 10kW '!$X30-'[2]SEC &gt; 10kW '!$X30</f>
        <v>0</v>
      </c>
      <c r="Y31" s="14">
        <f>'[1]SEC &gt; 10kW '!$X30-'[2]SEC &gt; 10kW '!$X30</f>
        <v>0</v>
      </c>
      <c r="Z31" s="14">
        <f>'[1]SEC &gt; 10kW '!$Z30-'[2]SEC &gt; 10kW '!$Z30</f>
        <v>0</v>
      </c>
    </row>
    <row r="32" spans="1:26" ht="25" customHeight="1">
      <c r="A32" s="15">
        <v>10</v>
      </c>
      <c r="B32" s="15" t="s">
        <v>25</v>
      </c>
      <c r="D32" s="4">
        <f>'[1]SEC &gt; 10kW '!$D31-'[2]SEC &gt; 10kW '!$D31</f>
        <v>-150765.51026039198</v>
      </c>
      <c r="E32" s="4"/>
      <c r="F32" s="4">
        <f>'[1]SEC &gt; 10kW '!$F31-'[2]SEC &gt; 10kW '!$F31</f>
        <v>-145127.97824732587</v>
      </c>
      <c r="G32" s="4"/>
      <c r="H32" s="4">
        <f>'[1]SEC &gt; 10kW '!$H31-'[2]SEC &gt; 10kW '!$H31</f>
        <v>-98534.252985928208</v>
      </c>
      <c r="I32" s="4"/>
      <c r="J32" s="4">
        <f>'[1]SEC &gt; 10kW '!$J31-'[2]SEC &gt; 10kW '!$J31</f>
        <v>-94849.789578931406</v>
      </c>
      <c r="K32" s="4"/>
      <c r="L32" s="4">
        <f>'[1]SEC &gt; 10kW '!$L31-'[2]SEC &gt; 10kW '!$L31</f>
        <v>-94164.239517563023</v>
      </c>
      <c r="N32" s="4">
        <f>'[1]SEC &gt; 10kW '!$N31-'[2]SEC &gt; 10kW '!$N31</f>
        <v>-90643.182786157355</v>
      </c>
      <c r="O32" s="4"/>
      <c r="P32" s="4">
        <f>'[1]SEC &gt; 10kW '!$P31-'[2]SEC &gt; 10kW '!$P31</f>
        <v>-94164.239517563023</v>
      </c>
      <c r="R32" s="4">
        <f>'[1]SEC &gt; 10kW '!$R31-'[2]SEC &gt; 10kW '!$R31</f>
        <v>-90643.182786157355</v>
      </c>
      <c r="S32" s="4"/>
      <c r="T32" s="4">
        <f>'[1]SEC &gt; 10kW '!$T31-'[2]SEC &gt; 10kW '!$T31</f>
        <v>-52164067.438127041</v>
      </c>
      <c r="V32" s="4">
        <f>'[1]SEC &gt; 10kW '!$V31-'[2]SEC &gt; 10kW '!$V31</f>
        <v>-50294262.023454666</v>
      </c>
      <c r="X32" s="14">
        <f>'[1]SEC &gt; 10kW '!$X31-'[2]SEC &gt; 10kW '!$X31</f>
        <v>0</v>
      </c>
      <c r="Y32" s="14">
        <f>'[1]SEC &gt; 10kW '!$X31-'[2]SEC &gt; 10kW '!$X31</f>
        <v>0</v>
      </c>
      <c r="Z32" s="14">
        <f>'[1]SEC &gt; 10kW '!$Z31-'[2]SEC &gt; 10kW '!$Z31</f>
        <v>0</v>
      </c>
    </row>
    <row r="33" spans="1:26" ht="25" customHeight="1">
      <c r="A33" s="15">
        <v>11</v>
      </c>
      <c r="B33" s="15" t="s">
        <v>26</v>
      </c>
      <c r="D33" s="4">
        <f>'[1]SEC &gt; 10kW '!$D32-'[2]SEC &gt; 10kW '!$D32</f>
        <v>-125868.47436184064</v>
      </c>
      <c r="E33" s="4"/>
      <c r="F33" s="4">
        <f>'[1]SEC &gt; 10kW '!$F32-'[2]SEC &gt; 10kW '!$F32</f>
        <v>-121161.91015876085</v>
      </c>
      <c r="G33" s="4"/>
      <c r="H33" s="4">
        <f>'[1]SEC &gt; 10kW '!$H32-'[2]SEC &gt; 10kW '!$H32</f>
        <v>-77816.209277009591</v>
      </c>
      <c r="I33" s="4"/>
      <c r="J33" s="4">
        <f>'[1]SEC &gt; 10kW '!$J32-'[2]SEC &gt; 10kW '!$J32</f>
        <v>-74906.449808966368</v>
      </c>
      <c r="K33" s="4"/>
      <c r="L33" s="4">
        <f>'[1]SEC &gt; 10kW '!$L32-'[2]SEC &gt; 10kW '!$L32</f>
        <v>-60383.302428907715</v>
      </c>
      <c r="N33" s="4">
        <f>'[1]SEC &gt; 10kW '!$N32-'[2]SEC &gt; 10kW '!$N32</f>
        <v>-58125.406707866117</v>
      </c>
      <c r="O33" s="4"/>
      <c r="P33" s="4">
        <f>'[1]SEC &gt; 10kW '!$P32-'[2]SEC &gt; 10kW '!$P32</f>
        <v>-75819.490635652095</v>
      </c>
      <c r="R33" s="4">
        <f>'[1]SEC &gt; 10kW '!$R32-'[2]SEC &gt; 10kW '!$R32</f>
        <v>-72984.393902091309</v>
      </c>
      <c r="S33" s="4"/>
      <c r="T33" s="4">
        <f>'[1]SEC &gt; 10kW '!$T32-'[2]SEC &gt; 10kW '!$T32</f>
        <v>-41661445.342102051</v>
      </c>
      <c r="V33" s="4">
        <f>'[1]SEC &gt; 10kW '!$V32-'[2]SEC &gt; 10kW '!$V32</f>
        <v>-40168103.279078484</v>
      </c>
      <c r="X33" s="14">
        <f>'[1]SEC &gt; 10kW '!$X32-'[2]SEC &gt; 10kW '!$X32</f>
        <v>0</v>
      </c>
      <c r="Y33" s="14">
        <f>'[1]SEC &gt; 10kW '!$X32-'[2]SEC &gt; 10kW '!$X32</f>
        <v>0</v>
      </c>
      <c r="Z33" s="14">
        <f>'[1]SEC &gt; 10kW '!$Z32-'[2]SEC &gt; 10kW '!$Z32</f>
        <v>0</v>
      </c>
    </row>
    <row r="34" spans="1:26" ht="25" customHeight="1" thickBot="1">
      <c r="A34" s="15">
        <v>12</v>
      </c>
      <c r="B34" s="15" t="s">
        <v>27</v>
      </c>
      <c r="D34" s="4">
        <f>'[1]SEC &gt; 10kW '!$D33-'[2]SEC &gt; 10kW '!$D33</f>
        <v>213020.96403898299</v>
      </c>
      <c r="E34" s="4"/>
      <c r="F34" s="4">
        <f>'[1]SEC &gt; 10kW '!$F33-'[2]SEC &gt; 10kW '!$F33</f>
        <v>205055.5314798411</v>
      </c>
      <c r="G34" s="4"/>
      <c r="H34" s="4">
        <f>'[1]SEC &gt; 10kW '!$H33-'[2]SEC &gt; 10kW '!$H33</f>
        <v>126048.04082607664</v>
      </c>
      <c r="I34" s="4"/>
      <c r="J34" s="4">
        <f>'[1]SEC &gt; 10kW '!$J33-'[2]SEC &gt; 10kW '!$J33</f>
        <v>121334.76214507129</v>
      </c>
      <c r="K34" s="4"/>
      <c r="L34" s="4">
        <f>'[1]SEC &gt; 10kW '!$L33-'[2]SEC &gt; 10kW '!$L33</f>
        <v>110094.34176941682</v>
      </c>
      <c r="N34" s="4">
        <f>'[1]SEC &gt; 10kW '!$N33-'[2]SEC &gt; 10kW '!$N33</f>
        <v>105977.61523752939</v>
      </c>
      <c r="O34" s="4"/>
      <c r="P34" s="4">
        <f>'[1]SEC &gt; 10kW '!$P33-'[2]SEC &gt; 10kW '!$P33</f>
        <v>111131.24857714679</v>
      </c>
      <c r="R34" s="4">
        <f>'[1]SEC &gt; 10kW '!$R33-'[2]SEC &gt; 10kW '!$R33</f>
        <v>106975.74928275589</v>
      </c>
      <c r="S34" s="4"/>
      <c r="T34" s="17">
        <f>'[1]SEC &gt; 10kW '!$T33-'[2]SEC &gt; 10kW '!$T33</f>
        <v>66330502.57339716</v>
      </c>
      <c r="V34" s="17">
        <f>'[1]SEC &gt; 10kW '!$V33-'[2]SEC &gt; 10kW '!$V33</f>
        <v>63952905.523151398</v>
      </c>
      <c r="X34" s="14">
        <f>'[1]SEC &gt; 10kW '!$X33-'[2]SEC &gt; 10kW '!$X33</f>
        <v>0</v>
      </c>
      <c r="Y34" s="14">
        <f>'[1]SEC &gt; 10kW '!$X33-'[2]SEC &gt; 10kW '!$X33</f>
        <v>0</v>
      </c>
      <c r="Z34" s="14">
        <f>'[1]SEC &gt; 10kW '!$Z33-'[2]SEC &gt; 10kW '!$Z33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839268521.8618269</v>
      </c>
      <c r="U35" s="16"/>
      <c r="V35" s="16">
        <f>+SUM(V23:V34)</f>
        <v>809185192.40514612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  <row r="42" spans="1:19" ht="15" customHeight="1">
      <c r="A42" s="5"/>
      <c r="E42" s="4"/>
      <c r="G42" s="4"/>
      <c r="I42" s="4"/>
      <c r="K42" s="4"/>
      <c r="O42" s="4"/>
      <c r="S42" s="4"/>
    </row>
  </sheetData>
  <pageMargins left="0.5" right="1" top="1.5" bottom="0.5" header="0.5" footer="0.5"/>
  <pageSetup orientation="landscape" scale="5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2"/>
  <sheetViews>
    <sheetView zoomScale="75" zoomScaleNormal="75" workbookViewId="0" topLeftCell="A1">
      <selection pane="topLeft" activeCell="A11" sqref="A11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5.71428571428571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5.71428571428571" style="3" customWidth="1"/>
    <col min="12" max="12" width="12.7142857142857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2.7142857142857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17.7142857142857" style="4" customWidth="1"/>
    <col min="21" max="21" width="2.71428571428571" style="4" customWidth="1"/>
    <col min="22" max="22" width="17.7142857142857" style="4" customWidth="1"/>
    <col min="23" max="23" width="3.71428571428571" style="3" customWidth="1"/>
    <col min="24" max="24" width="10.2857142857143" style="3" customWidth="1"/>
    <col min="25" max="25" width="1.71428571428571" style="3" customWidth="1"/>
    <col min="26" max="26" width="10.8571428571429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94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32</v>
      </c>
    </row>
    <row r="16" spans="1:1" ht="18.75" customHeight="1">
      <c r="A16" s="3" t="s">
        <v>33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'[1]PRIMARY  &lt; 10kW'!$D22-'[2]PRIMARY  &lt; 10kW'!$D22</f>
        <v>310.92209593118878</v>
      </c>
      <c r="E23" s="4"/>
      <c r="F23" s="4">
        <f>'[1]PRIMARY  &lt; 10kW'!$F22-'[2]PRIMARY  &lt; 10kW'!$F22</f>
        <v>304.76656596173234</v>
      </c>
      <c r="G23" s="4"/>
      <c r="H23" s="4">
        <f>'[1]PRIMARY  &lt; 10kW'!$H22-'[2]PRIMARY  &lt; 10kW'!$H22</f>
        <v>139.97619337632841</v>
      </c>
      <c r="I23" s="4"/>
      <c r="J23" s="4">
        <f>'[1]PRIMARY  &lt; 10kW'!$J22-'[2]PRIMARY  &lt; 10kW'!$J22</f>
        <v>137.20499227928849</v>
      </c>
      <c r="K23" s="4"/>
      <c r="L23" s="4">
        <f>'[1]PRIMARY  &lt; 10kW'!$L22-'[2]PRIMARY  &lt; 10kW'!$L22</f>
        <v>118.63371323282081</v>
      </c>
      <c r="N23" s="4">
        <f>'[1]PRIMARY  &lt; 10kW'!$N22-'[2]PRIMARY  &lt; 10kW'!$N22</f>
        <v>116.28504330312217</v>
      </c>
      <c r="O23" s="4"/>
      <c r="P23" s="4">
        <f>'[1]PRIMARY  &lt; 10kW'!$P22-'[2]PRIMARY  &lt; 10kW'!$P22</f>
        <v>118.48447330072577</v>
      </c>
      <c r="R23" s="4">
        <f>'[1]PRIMARY  &lt; 10kW'!$R22-'[2]PRIMARY  &lt; 10kW'!$R22</f>
        <v>116.1387579724742</v>
      </c>
      <c r="S23" s="4"/>
      <c r="T23" s="4">
        <f>'[1]PRIMARY  &lt; 10kW'!$T22-'[2]PRIMARY  &lt; 10kW'!$T22</f>
        <v>92557.901943337638</v>
      </c>
      <c r="V23" s="4">
        <f>'[1]PRIMARY  &lt; 10kW'!$V22-'[2]PRIMARY  &lt; 10kW'!$V22</f>
        <v>91184.372608257923</v>
      </c>
      <c r="X23" s="14">
        <f>'[1]PRIMARY  &lt; 10kW'!$X22-'[2]PRIMARY  &lt; 10kW'!$X22</f>
        <v>0</v>
      </c>
      <c r="Y23" s="14"/>
      <c r="Z23" s="14">
        <f>'[1]PRIMARY  &lt; 10kW'!$Z22-'[2]PRIMARY  &lt; 10kW'!$Z22</f>
        <v>0</v>
      </c>
    </row>
    <row r="24" spans="1:26" ht="25" customHeight="1">
      <c r="A24" s="15">
        <v>2</v>
      </c>
      <c r="B24" s="15" t="s">
        <v>17</v>
      </c>
      <c r="D24" s="4">
        <f>'[1]PRIMARY  &lt; 10kW'!$D23-'[2]PRIMARY  &lt; 10kW'!$D23</f>
        <v>338.60890595882029</v>
      </c>
      <c r="E24" s="4"/>
      <c r="F24" s="4">
        <f>'[1]PRIMARY  &lt; 10kW'!$F23-'[2]PRIMARY  &lt; 10kW'!$F23</f>
        <v>331.90524193548299</v>
      </c>
      <c r="G24" s="4"/>
      <c r="H24" s="4">
        <f>'[1]PRIMARY  &lt; 10kW'!$H23-'[2]PRIMARY  &lt; 10kW'!$H23</f>
        <v>151.06996487887</v>
      </c>
      <c r="I24" s="4"/>
      <c r="J24" s="4">
        <f>'[1]PRIMARY  &lt; 10kW'!$J23-'[2]PRIMARY  &lt; 10kW'!$J23</f>
        <v>148.0791330645161</v>
      </c>
      <c r="K24" s="4"/>
      <c r="L24" s="4">
        <f>'[1]PRIMARY  &lt; 10kW'!$L23-'[2]PRIMARY  &lt; 10kW'!$L23</f>
        <v>46.865837962023988</v>
      </c>
      <c r="N24" s="4">
        <f>'[1]PRIMARY  &lt; 10kW'!$N23-'[2]PRIMARY  &lt; 10kW'!$N23</f>
        <v>45.93800403225805</v>
      </c>
      <c r="O24" s="4"/>
      <c r="P24" s="4">
        <f>'[1]PRIMARY  &lt; 10kW'!$P23-'[2]PRIMARY  &lt; 10kW'!$P23</f>
        <v>48.132857467388476</v>
      </c>
      <c r="R24" s="4">
        <f>'[1]PRIMARY  &lt; 10kW'!$R23-'[2]PRIMARY  &lt; 10kW'!$R23</f>
        <v>47.179939516129025</v>
      </c>
      <c r="S24" s="4"/>
      <c r="T24" s="4">
        <f>'[1]PRIMARY  &lt; 10kW'!$T23-'[2]PRIMARY  &lt; 10kW'!$T23</f>
        <v>87506.566461773822</v>
      </c>
      <c r="V24" s="4">
        <f>'[1]PRIMARY  &lt; 10kW'!$V23-'[2]PRIMARY  &lt; 10kW'!$V23</f>
        <v>86207.997311827727</v>
      </c>
      <c r="X24" s="14">
        <f>'[1]PRIMARY  &lt; 10kW'!$X23-'[2]PRIMARY  &lt; 10kW'!$X23</f>
        <v>0</v>
      </c>
      <c r="Y24" s="14"/>
      <c r="Z24" s="14">
        <f>'[1]PRIMARY  &lt; 10kW'!$Z23-'[2]PRIMARY  &lt; 10kW'!$Z23</f>
        <v>0</v>
      </c>
    </row>
    <row r="25" spans="1:26" ht="25" customHeight="1">
      <c r="A25" s="15">
        <v>3</v>
      </c>
      <c r="B25" s="15" t="s">
        <v>18</v>
      </c>
      <c r="D25" s="4">
        <f>'[1]PRIMARY  &lt; 10kW'!$D24-'[2]PRIMARY  &lt; 10kW'!$D24</f>
        <v>247.81001858111449</v>
      </c>
      <c r="E25" s="4"/>
      <c r="F25" s="4">
        <f>'[1]PRIMARY  &lt; 10kW'!$F24-'[2]PRIMARY  &lt; 10kW'!$F24</f>
        <v>242.90396006655647</v>
      </c>
      <c r="G25" s="4"/>
      <c r="H25" s="4">
        <f>'[1]PRIMARY  &lt; 10kW'!$H24-'[2]PRIMARY  &lt; 10kW'!$H24</f>
        <v>110.25534900412686</v>
      </c>
      <c r="I25" s="4"/>
      <c r="J25" s="4">
        <f>'[1]PRIMARY  &lt; 10kW'!$J24-'[2]PRIMARY  &lt; 10kW'!$J24</f>
        <v>108.07255108153095</v>
      </c>
      <c r="K25" s="4"/>
      <c r="L25" s="4">
        <f>'[1]PRIMARY  &lt; 10kW'!$L24-'[2]PRIMARY  &lt; 10kW'!$L24</f>
        <v>102.82293878273777</v>
      </c>
      <c r="N25" s="4">
        <f>'[1]PRIMARY  &lt; 10kW'!$N24-'[2]PRIMARY  &lt; 10kW'!$N24</f>
        <v>100.78728519134802</v>
      </c>
      <c r="O25" s="4"/>
      <c r="P25" s="4">
        <f>'[1]PRIMARY  &lt; 10kW'!$P24-'[2]PRIMARY  &lt; 10kW'!$P24</f>
        <v>95.790888698688377</v>
      </c>
      <c r="R25" s="4">
        <f>'[1]PRIMARY  &lt; 10kW'!$R24-'[2]PRIMARY  &lt; 10kW'!$R24</f>
        <v>93.894453244592569</v>
      </c>
      <c r="S25" s="4"/>
      <c r="T25" s="4">
        <f>'[1]PRIMARY  &lt; 10kW'!$T24-'[2]PRIMARY  &lt; 10kW'!$T24</f>
        <v>59562.539069074439</v>
      </c>
      <c r="V25" s="4">
        <f>'[1]PRIMARY  &lt; 10kW'!$V24-'[2]PRIMARY  &lt; 10kW'!$V24</f>
        <v>58678.650249584112</v>
      </c>
      <c r="X25" s="14">
        <f>'[1]PRIMARY  &lt; 10kW'!$X24-'[2]PRIMARY  &lt; 10kW'!$X24</f>
        <v>0</v>
      </c>
      <c r="Y25" s="14"/>
      <c r="Z25" s="14">
        <f>'[1]PRIMARY  &lt; 10kW'!$Z24-'[2]PRIMARY  &lt; 10kW'!$Z24</f>
        <v>0</v>
      </c>
    </row>
    <row r="26" spans="1:26" ht="25" customHeight="1">
      <c r="A26" s="15">
        <v>4</v>
      </c>
      <c r="B26" s="15" t="s">
        <v>19</v>
      </c>
      <c r="D26" s="4">
        <f>'[1]PRIMARY  &lt; 10kW'!$D25-'[2]PRIMARY  &lt; 10kW'!$D25</f>
        <v>170.57443681623136</v>
      </c>
      <c r="E26" s="4"/>
      <c r="F26" s="4">
        <f>'[1]PRIMARY  &lt; 10kW'!$F25-'[2]PRIMARY  &lt; 10kW'!$F25</f>
        <v>167.19746209624373</v>
      </c>
      <c r="G26" s="4"/>
      <c r="H26" s="4">
        <f>'[1]PRIMARY  &lt; 10kW'!$H25-'[2]PRIMARY  &lt; 10kW'!$H25</f>
        <v>119.62789222887568</v>
      </c>
      <c r="I26" s="4"/>
      <c r="J26" s="4">
        <f>'[1]PRIMARY  &lt; 10kW'!$J25-'[2]PRIMARY  &lt; 10kW'!$J25</f>
        <v>117.25953988134552</v>
      </c>
      <c r="K26" s="4"/>
      <c r="L26" s="4">
        <f>'[1]PRIMARY  &lt; 10kW'!$L25-'[2]PRIMARY  &lt; 10kW'!$L25</f>
        <v>105.73664064125023</v>
      </c>
      <c r="N26" s="4">
        <f>'[1]PRIMARY  &lt; 10kW'!$N25-'[2]PRIMARY  &lt; 10kW'!$N25</f>
        <v>103.64330257086385</v>
      </c>
      <c r="O26" s="4"/>
      <c r="P26" s="4">
        <f>'[1]PRIMARY  &lt; 10kW'!$P25-'[2]PRIMARY  &lt; 10kW'!$P25</f>
        <v>84.030302912820844</v>
      </c>
      <c r="R26" s="4">
        <f>'[1]PRIMARY  &lt; 10kW'!$R25-'[2]PRIMARY  &lt; 10kW'!$R25</f>
        <v>82.366699538563353</v>
      </c>
      <c r="S26" s="4"/>
      <c r="T26" s="4">
        <f>'[1]PRIMARY  &lt; 10kW'!$T25-'[2]PRIMARY  &lt; 10kW'!$T25</f>
        <v>60460.994514831807</v>
      </c>
      <c r="V26" s="4">
        <f>'[1]PRIMARY  &lt; 10kW'!$V25-'[2]PRIMARY  &lt; 10kW'!$V25</f>
        <v>59563.772907053586</v>
      </c>
      <c r="X26" s="14">
        <f>'[1]PRIMARY  &lt; 10kW'!$X25-'[2]PRIMARY  &lt; 10kW'!$X25</f>
        <v>0</v>
      </c>
      <c r="Y26" s="14"/>
      <c r="Z26" s="14">
        <f>'[1]PRIMARY  &lt; 10kW'!$Z25-'[2]PRIMARY  &lt; 10kW'!$Z25</f>
        <v>0</v>
      </c>
    </row>
    <row r="27" spans="1:26" ht="25" customHeight="1">
      <c r="A27" s="15">
        <v>5</v>
      </c>
      <c r="B27" s="15" t="s">
        <v>20</v>
      </c>
      <c r="D27" s="4">
        <f>'[1]PRIMARY  &lt; 10kW'!$D26-'[2]PRIMARY  &lt; 10kW'!$D26</f>
        <v>88.708255031939188</v>
      </c>
      <c r="E27" s="4"/>
      <c r="F27" s="4">
        <f>'[1]PRIMARY  &lt; 10kW'!$F26-'[2]PRIMARY  &lt; 10kW'!$F26</f>
        <v>86.952039151713507</v>
      </c>
      <c r="G27" s="4"/>
      <c r="H27" s="4">
        <f>'[1]PRIMARY  &lt; 10kW'!$H26-'[2]PRIMARY  &lt; 10kW'!$H26</f>
        <v>39.746187213926532</v>
      </c>
      <c r="I27" s="4"/>
      <c r="J27" s="4">
        <f>'[1]PRIMARY  &lt; 10kW'!$J26-'[2]PRIMARY  &lt; 10kW'!$J26</f>
        <v>38.959305709624914</v>
      </c>
      <c r="K27" s="4"/>
      <c r="L27" s="4">
        <f>'[1]PRIMARY  &lt; 10kW'!$L26-'[2]PRIMARY  &lt; 10kW'!$L26</f>
        <v>36.320272727008614</v>
      </c>
      <c r="N27" s="4">
        <f>'[1]PRIMARY  &lt; 10kW'!$N26-'[2]PRIMARY  &lt; 10kW'!$N26</f>
        <v>35.601216313213627</v>
      </c>
      <c r="O27" s="4"/>
      <c r="P27" s="4">
        <f>'[1]PRIMARY  &lt; 10kW'!$P26-'[2]PRIMARY  &lt; 10kW'!$P26</f>
        <v>36.320272727008614</v>
      </c>
      <c r="R27" s="4">
        <f>'[1]PRIMARY  &lt; 10kW'!$R26-'[2]PRIMARY  &lt; 10kW'!$R26</f>
        <v>35.601216313213627</v>
      </c>
      <c r="S27" s="4"/>
      <c r="T27" s="4">
        <f>'[1]PRIMARY  &lt; 10kW'!$T26-'[2]PRIMARY  &lt; 10kW'!$T26</f>
        <v>28008.110255369917</v>
      </c>
      <c r="V27" s="4">
        <f>'[1]PRIMARY  &lt; 10kW'!$V26-'[2]PRIMARY  &lt; 10kW'!$V26</f>
        <v>27592.478955954313</v>
      </c>
      <c r="X27" s="14">
        <f>'[1]PRIMARY  &lt; 10kW'!$X26-'[2]PRIMARY  &lt; 10kW'!$X26</f>
        <v>0</v>
      </c>
      <c r="Y27" s="14"/>
      <c r="Z27" s="14">
        <f>'[1]PRIMARY  &lt; 10kW'!$Z26-'[2]PRIMARY  &lt; 10kW'!$Z26</f>
        <v>0</v>
      </c>
    </row>
    <row r="28" spans="1:26" ht="25" customHeight="1">
      <c r="A28" s="15">
        <v>6</v>
      </c>
      <c r="B28" s="15" t="s">
        <v>21</v>
      </c>
      <c r="D28" s="4">
        <f>'[1]PRIMARY  &lt; 10kW'!$D27-'[2]PRIMARY  &lt; 10kW'!$D27</f>
        <v>80.738212636215394</v>
      </c>
      <c r="E28" s="4"/>
      <c r="F28" s="4">
        <f>'[1]PRIMARY  &lt; 10kW'!$F27-'[2]PRIMARY  &lt; 10kW'!$F27</f>
        <v>79.139784946237342</v>
      </c>
      <c r="G28" s="4"/>
      <c r="H28" s="4">
        <f>'[1]PRIMARY  &lt; 10kW'!$H27-'[2]PRIMARY  &lt; 10kW'!$H27</f>
        <v>36.85223913021855</v>
      </c>
      <c r="I28" s="4"/>
      <c r="J28" s="4">
        <f>'[1]PRIMARY  &lt; 10kW'!$J27-'[2]PRIMARY  &lt; 10kW'!$J27</f>
        <v>36.122651026393669</v>
      </c>
      <c r="K28" s="4"/>
      <c r="L28" s="4">
        <f>'[1]PRIMARY  &lt; 10kW'!$L27-'[2]PRIMARY  &lt; 10kW'!$L27</f>
        <v>34.026040014797672</v>
      </c>
      <c r="N28" s="4">
        <f>'[1]PRIMARY  &lt; 10kW'!$N27-'[2]PRIMARY  &lt; 10kW'!$N27</f>
        <v>33.352404040404508</v>
      </c>
      <c r="O28" s="4"/>
      <c r="P28" s="4">
        <f>'[1]PRIMARY  &lt; 10kW'!$P27-'[2]PRIMARY  &lt; 10kW'!$P27</f>
        <v>35.125739148174944</v>
      </c>
      <c r="R28" s="4">
        <f>'[1]PRIMARY  &lt; 10kW'!$R27-'[2]PRIMARY  &lt; 10kW'!$R27</f>
        <v>34.430331704138553</v>
      </c>
      <c r="S28" s="4"/>
      <c r="T28" s="4">
        <f>'[1]PRIMARY  &lt; 10kW'!$T27-'[2]PRIMARY  &lt; 10kW'!$T27</f>
        <v>25285.058521015104</v>
      </c>
      <c r="V28" s="4">
        <f>'[1]PRIMARY  &lt; 10kW'!$V27-'[2]PRIMARY  &lt; 10kW'!$V27</f>
        <v>24909.836428804323</v>
      </c>
      <c r="X28" s="14">
        <f>'[1]PRIMARY  &lt; 10kW'!$X27-'[2]PRIMARY  &lt; 10kW'!$X27</f>
        <v>0</v>
      </c>
      <c r="Y28" s="14"/>
      <c r="Z28" s="14">
        <f>'[1]PRIMARY  &lt; 10kW'!$Z27-'[2]PRIMARY  &lt; 10kW'!$Z27</f>
        <v>0</v>
      </c>
    </row>
    <row r="29" spans="1:26" ht="25" customHeight="1">
      <c r="A29" s="15">
        <v>7</v>
      </c>
      <c r="B29" s="15" t="s">
        <v>22</v>
      </c>
      <c r="D29" s="4">
        <f>'[1]PRIMARY  &lt; 10kW'!$D28-'[2]PRIMARY  &lt; 10kW'!$D28</f>
        <v>49.247626523765575</v>
      </c>
      <c r="E29" s="4"/>
      <c r="F29" s="4">
        <f>'[1]PRIMARY  &lt; 10kW'!$F28-'[2]PRIMARY  &lt; 10kW'!$F28</f>
        <v>48.272638753650426</v>
      </c>
      <c r="G29" s="4"/>
      <c r="H29" s="4">
        <f>'[1]PRIMARY  &lt; 10kW'!$H28-'[2]PRIMARY  &lt; 10kW'!$H28</f>
        <v>22.232849073615853</v>
      </c>
      <c r="I29" s="4"/>
      <c r="J29" s="4">
        <f>'[1]PRIMARY  &lt; 10kW'!$J28-'[2]PRIMARY  &lt; 10kW'!$J28</f>
        <v>21.792690684842455</v>
      </c>
      <c r="K29" s="4"/>
      <c r="L29" s="4">
        <f>'[1]PRIMARY  &lt; 10kW'!$L28-'[2]PRIMARY  &lt; 10kW'!$L28</f>
        <v>21.782412496018424</v>
      </c>
      <c r="N29" s="4">
        <f>'[1]PRIMARY  &lt; 10kW'!$N28-'[2]PRIMARY  &lt; 10kW'!$N28</f>
        <v>21.351171697500376</v>
      </c>
      <c r="O29" s="4"/>
      <c r="P29" s="4">
        <f>'[1]PRIMARY  &lt; 10kW'!$P28-'[2]PRIMARY  &lt; 10kW'!$P28</f>
        <v>20.896559191418874</v>
      </c>
      <c r="R29" s="4">
        <f>'[1]PRIMARY  &lt; 10kW'!$R28-'[2]PRIMARY  &lt; 10kW'!$R28</f>
        <v>20.482856215514403</v>
      </c>
      <c r="S29" s="4"/>
      <c r="T29" s="4">
        <f>'[1]PRIMARY  &lt; 10kW'!$T28-'[2]PRIMARY  &lt; 10kW'!$T28</f>
        <v>14689.180349553004</v>
      </c>
      <c r="V29" s="4">
        <f>'[1]PRIMARY  &lt; 10kW'!$V28-'[2]PRIMARY  &lt; 10kW'!$V28</f>
        <v>14471.197663096245</v>
      </c>
      <c r="X29" s="14">
        <f>'[1]PRIMARY  &lt; 10kW'!$X28-'[2]PRIMARY  &lt; 10kW'!$X28</f>
        <v>0</v>
      </c>
      <c r="Y29" s="14"/>
      <c r="Z29" s="14">
        <f>'[1]PRIMARY  &lt; 10kW'!$Z28-'[2]PRIMARY  &lt; 10kW'!$Z28</f>
        <v>0</v>
      </c>
    </row>
    <row r="30" spans="1:26" ht="25" customHeight="1">
      <c r="A30" s="15">
        <v>8</v>
      </c>
      <c r="B30" s="15" t="s">
        <v>23</v>
      </c>
      <c r="D30" s="4">
        <f>'[1]PRIMARY  &lt; 10kW'!$D29-'[2]PRIMARY  &lt; 10kW'!$D29</f>
        <v>21.941008497631628</v>
      </c>
      <c r="E30" s="4"/>
      <c r="F30" s="4">
        <f>'[1]PRIMARY  &lt; 10kW'!$F29-'[2]PRIMARY  &lt; 10kW'!$F29</f>
        <v>21.50662786938301</v>
      </c>
      <c r="G30" s="4"/>
      <c r="H30" s="4">
        <f>'[1]PRIMARY  &lt; 10kW'!$H29-'[2]PRIMARY  &lt; 10kW'!$H29</f>
        <v>10.435138364021896</v>
      </c>
      <c r="I30" s="4"/>
      <c r="J30" s="4">
        <f>'[1]PRIMARY  &lt; 10kW'!$J29-'[2]PRIMARY  &lt; 10kW'!$J29</f>
        <v>10.228547041707316</v>
      </c>
      <c r="K30" s="4"/>
      <c r="L30" s="4">
        <f>'[1]PRIMARY  &lt; 10kW'!$L29-'[2]PRIMARY  &lt; 10kW'!$L29</f>
        <v>8.4604950963066585</v>
      </c>
      <c r="N30" s="4">
        <f>'[1]PRIMARY  &lt; 10kW'!$N29-'[2]PRIMARY  &lt; 10kW'!$N29</f>
        <v>8.2929970902036985</v>
      </c>
      <c r="O30" s="4"/>
      <c r="P30" s="4">
        <f>'[1]PRIMARY  &lt; 10kW'!$P29-'[2]PRIMARY  &lt; 10kW'!$P29</f>
        <v>8.4013770741321423</v>
      </c>
      <c r="R30" s="4">
        <f>'[1]PRIMARY  &lt; 10kW'!$R29-'[2]PRIMARY  &lt; 10kW'!$R29</f>
        <v>8.2350494665374754</v>
      </c>
      <c r="S30" s="4"/>
      <c r="T30" s="4">
        <f>'[1]PRIMARY  &lt; 10kW'!$T29-'[2]PRIMARY  &lt; 10kW'!$T29</f>
        <v>6009.6546587049961</v>
      </c>
      <c r="V30" s="4">
        <f>'[1]PRIMARY  &lt; 10kW'!$V29-'[2]PRIMARY  &lt; 10kW'!$V29</f>
        <v>5920.4733268669806</v>
      </c>
      <c r="X30" s="14">
        <f>'[1]PRIMARY  &lt; 10kW'!$X29-'[2]PRIMARY  &lt; 10kW'!$X29</f>
        <v>0</v>
      </c>
      <c r="Y30" s="14"/>
      <c r="Z30" s="14">
        <f>'[1]PRIMARY  &lt; 10kW'!$Z29-'[2]PRIMARY  &lt; 10kW'!$Z29</f>
        <v>0</v>
      </c>
    </row>
    <row r="31" spans="1:26" ht="25" customHeight="1">
      <c r="A31" s="15">
        <v>9</v>
      </c>
      <c r="B31" s="15" t="s">
        <v>24</v>
      </c>
      <c r="D31" s="4">
        <f>'[1]PRIMARY  &lt; 10kW'!$D30-'[2]PRIMARY  &lt; 10kW'!$D30</f>
        <v>12.060474603063085</v>
      </c>
      <c r="E31" s="4"/>
      <c r="F31" s="4">
        <f>'[1]PRIMARY  &lt; 10kW'!$F30-'[2]PRIMARY  &lt; 10kW'!$F30</f>
        <v>11.821705426356857</v>
      </c>
      <c r="G31" s="4"/>
      <c r="H31" s="4">
        <f>'[1]PRIMARY  &lt; 10kW'!$H30-'[2]PRIMARY  &lt; 10kW'!$H30</f>
        <v>6.9926499940092981</v>
      </c>
      <c r="I31" s="4"/>
      <c r="J31" s="4">
        <f>'[1]PRIMARY  &lt; 10kW'!$J30-'[2]PRIMARY  &lt; 10kW'!$J30</f>
        <v>6.8542118863051655</v>
      </c>
      <c r="K31" s="4"/>
      <c r="L31" s="4">
        <f>'[1]PRIMARY  &lt; 10kW'!$L30-'[2]PRIMARY  &lt; 10kW'!$L30</f>
        <v>5.8630184916387407</v>
      </c>
      <c r="N31" s="4">
        <f>'[1]PRIMARY  &lt; 10kW'!$N30-'[2]PRIMARY  &lt; 10kW'!$N30</f>
        <v>5.7469444444445799</v>
      </c>
      <c r="O31" s="4"/>
      <c r="P31" s="4">
        <f>'[1]PRIMARY  &lt; 10kW'!$P30-'[2]PRIMARY  &lt; 10kW'!$P30</f>
        <v>5.9234394922727915</v>
      </c>
      <c r="R31" s="4">
        <f>'[1]PRIMARY  &lt; 10kW'!$R30-'[2]PRIMARY  &lt; 10kW'!$R30</f>
        <v>5.806169250646235</v>
      </c>
      <c r="S31" s="4"/>
      <c r="T31" s="4">
        <f>'[1]PRIMARY  &lt; 10kW'!$T30-'[2]PRIMARY  &lt; 10kW'!$T30</f>
        <v>3999.7687109881081</v>
      </c>
      <c r="V31" s="4">
        <f>'[1]PRIMARY  &lt; 10kW'!$V30-'[2]PRIMARY  &lt; 10kW'!$V30</f>
        <v>3940.4134366926737</v>
      </c>
      <c r="X31" s="14">
        <f>'[1]PRIMARY  &lt; 10kW'!$X30-'[2]PRIMARY  &lt; 10kW'!$X30</f>
        <v>0</v>
      </c>
      <c r="Y31" s="14"/>
      <c r="Z31" s="14">
        <f>'[1]PRIMARY  &lt; 10kW'!$Z30-'[2]PRIMARY  &lt; 10kW'!$Z30</f>
        <v>0</v>
      </c>
    </row>
    <row r="32" spans="1:26" ht="25" customHeight="1">
      <c r="A32" s="15">
        <v>10</v>
      </c>
      <c r="B32" s="15" t="s">
        <v>25</v>
      </c>
      <c r="D32" s="4">
        <f>'[1]PRIMARY  &lt; 10kW'!$D31-'[2]PRIMARY  &lt; 10kW'!$D31</f>
        <v>-24.692977609969603</v>
      </c>
      <c r="E32" s="4"/>
      <c r="F32" s="4">
        <f>'[1]PRIMARY  &lt; 10kW'!$F31-'[2]PRIMARY  &lt; 10kW'!$F31</f>
        <v>-24.204114432657661</v>
      </c>
      <c r="G32" s="4"/>
      <c r="H32" s="4">
        <f>'[1]PRIMARY  &lt; 10kW'!$H31-'[2]PRIMARY  &lt; 10kW'!$H31</f>
        <v>-11.592618255462185</v>
      </c>
      <c r="I32" s="4"/>
      <c r="J32" s="4">
        <f>'[1]PRIMARY  &lt; 10kW'!$J31-'[2]PRIMARY  &lt; 10kW'!$J31</f>
        <v>-11.363111539697457</v>
      </c>
      <c r="K32" s="4"/>
      <c r="L32" s="4">
        <f>'[1]PRIMARY  &lt; 10kW'!$L31-'[2]PRIMARY  &lt; 10kW'!$L31</f>
        <v>-9.8984410599123294</v>
      </c>
      <c r="N32" s="4">
        <f>'[1]PRIMARY  &lt; 10kW'!$N31-'[2]PRIMARY  &lt; 10kW'!$N31</f>
        <v>-9.7024750883956585</v>
      </c>
      <c r="O32" s="4"/>
      <c r="P32" s="4">
        <f>'[1]PRIMARY  &lt; 10kW'!$P31-'[2]PRIMARY  &lt; 10kW'!$P31</f>
        <v>-9.8984410599123294</v>
      </c>
      <c r="R32" s="4">
        <f>'[1]PRIMARY  &lt; 10kW'!$R31-'[2]PRIMARY  &lt; 10kW'!$R31</f>
        <v>-9.7024750883956585</v>
      </c>
      <c r="S32" s="4"/>
      <c r="T32" s="4">
        <f>'[1]PRIMARY  &lt; 10kW'!$T31-'[2]PRIMARY  &lt; 10kW'!$T31</f>
        <v>-7399.5726136034355</v>
      </c>
      <c r="V32" s="4">
        <f>'[1]PRIMARY  &lt; 10kW'!$V31-'[2]PRIMARY  &lt; 10kW'!$V31</f>
        <v>-7289.7653487622738</v>
      </c>
      <c r="X32" s="14">
        <f>'[1]PRIMARY  &lt; 10kW'!$X31-'[2]PRIMARY  &lt; 10kW'!$X31</f>
        <v>0</v>
      </c>
      <c r="Y32" s="14"/>
      <c r="Z32" s="14">
        <f>'[1]PRIMARY  &lt; 10kW'!$Z31-'[2]PRIMARY  &lt; 10kW'!$Z31</f>
        <v>0</v>
      </c>
    </row>
    <row r="33" spans="1:26" ht="25" customHeight="1">
      <c r="A33" s="15">
        <v>11</v>
      </c>
      <c r="B33" s="15" t="s">
        <v>26</v>
      </c>
      <c r="D33" s="4">
        <f>'[1]PRIMARY  &lt; 10kW'!$D32-'[2]PRIMARY  &lt; 10kW'!$D32</f>
        <v>-4.9196995382317255</v>
      </c>
      <c r="E33" s="4"/>
      <c r="F33" s="4">
        <f>'[1]PRIMARY  &lt; 10kW'!$F32-'[2]PRIMARY  &lt; 10kW'!$F32</f>
        <v>-4.8223009990333594</v>
      </c>
      <c r="G33" s="4"/>
      <c r="H33" s="4">
        <f>'[1]PRIMARY  &lt; 10kW'!$H32-'[2]PRIMARY  &lt; 10kW'!$H32</f>
        <v>-2.3314659822403883</v>
      </c>
      <c r="I33" s="4"/>
      <c r="J33" s="4">
        <f>'[1]PRIMARY  &lt; 10kW'!$J32-'[2]PRIMARY  &lt; 10kW'!$J32</f>
        <v>-2.2853084112148281</v>
      </c>
      <c r="K33" s="4"/>
      <c r="L33" s="4">
        <f>'[1]PRIMARY  &lt; 10kW'!$L32-'[2]PRIMARY  &lt; 10kW'!$L32</f>
        <v>-2.0622101124081382</v>
      </c>
      <c r="N33" s="4">
        <f>'[1]PRIMARY  &lt; 10kW'!$N32-'[2]PRIMARY  &lt; 10kW'!$N32</f>
        <v>-2.0213831775699873</v>
      </c>
      <c r="O33" s="4"/>
      <c r="P33" s="4">
        <f>'[1]PRIMARY  &lt; 10kW'!$P32-'[2]PRIMARY  &lt; 10kW'!$P32</f>
        <v>-2.1252644346463967</v>
      </c>
      <c r="R33" s="4">
        <f>'[1]PRIMARY  &lt; 10kW'!$R32-'[2]PRIMARY  &lt; 10kW'!$R32</f>
        <v>-2.0831891717693907</v>
      </c>
      <c r="S33" s="4"/>
      <c r="T33" s="4">
        <f>'[1]PRIMARY  &lt; 10kW'!$T32-'[2]PRIMARY  &lt; 10kW'!$T32</f>
        <v>-1482.3122127726674</v>
      </c>
      <c r="V33" s="4">
        <f>'[1]PRIMARY  &lt; 10kW'!$V32-'[2]PRIMARY  &lt; 10kW'!$V32</f>
        <v>-1460.3151788590476</v>
      </c>
      <c r="X33" s="14">
        <f>'[1]PRIMARY  &lt; 10kW'!$X32-'[2]PRIMARY  &lt; 10kW'!$X32</f>
        <v>0</v>
      </c>
      <c r="Y33" s="14"/>
      <c r="Z33" s="14">
        <f>'[1]PRIMARY  &lt; 10kW'!$Z32-'[2]PRIMARY  &lt; 10kW'!$Z32</f>
        <v>0</v>
      </c>
    </row>
    <row r="34" spans="1:26" ht="25" customHeight="1" thickBot="1">
      <c r="A34" s="15">
        <v>12</v>
      </c>
      <c r="B34" s="15" t="s">
        <v>27</v>
      </c>
      <c r="D34" s="4">
        <f>'[1]PRIMARY  &lt; 10kW'!$D33-'[2]PRIMARY  &lt; 10kW'!$D33</f>
        <v>0</v>
      </c>
      <c r="E34" s="4"/>
      <c r="F34" s="4">
        <f>'[1]PRIMARY  &lt; 10kW'!$F33-'[2]PRIMARY  &lt; 10kW'!$F33</f>
        <v>0</v>
      </c>
      <c r="G34" s="4"/>
      <c r="H34" s="4">
        <f>'[1]PRIMARY  &lt; 10kW'!$H33-'[2]PRIMARY  &lt; 10kW'!$H33</f>
        <v>0</v>
      </c>
      <c r="I34" s="4"/>
      <c r="J34" s="4">
        <f>'[1]PRIMARY  &lt; 10kW'!$J33-'[2]PRIMARY  &lt; 10kW'!$J33</f>
        <v>0</v>
      </c>
      <c r="K34" s="4"/>
      <c r="L34" s="4">
        <f>'[1]PRIMARY  &lt; 10kW'!$L33-'[2]PRIMARY  &lt; 10kW'!$L33</f>
        <v>0</v>
      </c>
      <c r="N34" s="4">
        <f>'[1]PRIMARY  &lt; 10kW'!$N33-'[2]PRIMARY  &lt; 10kW'!$N33</f>
        <v>0</v>
      </c>
      <c r="O34" s="4"/>
      <c r="P34" s="4">
        <f>'[1]PRIMARY  &lt; 10kW'!$P33-'[2]PRIMARY  &lt; 10kW'!$P33</f>
        <v>0</v>
      </c>
      <c r="R34" s="4">
        <f>'[1]PRIMARY  &lt; 10kW'!$R33-'[2]PRIMARY  &lt; 10kW'!$R33</f>
        <v>0</v>
      </c>
      <c r="S34" s="4"/>
      <c r="T34" s="17">
        <f>'[1]PRIMARY  &lt; 10kW'!$T33-'[2]PRIMARY  &lt; 10kW'!$T33</f>
        <v>0</v>
      </c>
      <c r="U34" s="16"/>
      <c r="V34" s="17">
        <f>'[1]PRIMARY  &lt; 10kW'!$V33-'[2]PRIMARY  &lt; 10kW'!$V33</f>
        <v>0</v>
      </c>
      <c r="X34" s="14">
        <f>'[1]PRIMARY  &lt; 10kW'!$X33-'[2]PRIMARY  &lt; 10kW'!$X33</f>
        <v>0</v>
      </c>
      <c r="Y34" s="14"/>
      <c r="Z34" s="14">
        <f>'[1]PRIMARY  &lt; 10kW'!$Z33-'[2]PRIMARY  &lt; 10kW'!$Z33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369197.88965827273</v>
      </c>
      <c r="U35" s="16"/>
      <c r="V35" s="16">
        <f>+SUM(V23:V34)</f>
        <v>363719.11236051656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  <row r="42" spans="1:19" ht="15" customHeight="1">
      <c r="A42" s="5"/>
      <c r="E42" s="4"/>
      <c r="G42" s="4"/>
      <c r="I42" s="4"/>
      <c r="K42" s="4"/>
      <c r="O42" s="4"/>
      <c r="S42" s="4"/>
    </row>
  </sheetData>
  <pageMargins left="0.5" right="1" top="1.5" bottom="0.5" header="0.5" footer="0.5"/>
  <pageSetup orientation="landscape" scale="5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A1">
      <selection pane="topLeft" activeCell="A11" sqref="A11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5.71428571428571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5.71428571428571" style="3" customWidth="1"/>
    <col min="12" max="12" width="14.4285714285714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3.1428571428571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20.5714285714286" style="4" customWidth="1"/>
    <col min="21" max="21" width="2.71428571428571" style="4" customWidth="1"/>
    <col min="22" max="22" width="20.1428571428571" style="4" customWidth="1"/>
    <col min="23" max="23" width="3.71428571428571" style="3" customWidth="1"/>
    <col min="24" max="24" width="9.28571428571429" style="3" customWidth="1"/>
    <col min="25" max="25" width="1.71428571428571" style="3" customWidth="1"/>
    <col min="26" max="26" width="9.71428571428571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95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44</v>
      </c>
    </row>
    <row r="16" spans="1:1" ht="18.75" customHeight="1">
      <c r="A16" s="3" t="s">
        <v>33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'[1]PRIMARY  &gt; 10kW DLS'!$D22-'[2]PRIMARY  &gt; 10kW DLS'!$D22</f>
        <v>119355.57075267797</v>
      </c>
      <c r="E23" s="4"/>
      <c r="F23" s="4">
        <f>'[1]PRIMARY  &gt; 10kW DLS'!$F22-'[2]PRIMARY  &gt; 10kW DLS'!$F22</f>
        <v>116992.6097331685</v>
      </c>
      <c r="G23" s="4"/>
      <c r="H23" s="4">
        <f>'[1]PRIMARY  &gt; 10kW DLS'!$H22-'[2]PRIMARY  &gt; 10kW DLS'!$H22</f>
        <v>85146.547055778326</v>
      </c>
      <c r="I23" s="4"/>
      <c r="J23" s="4">
        <f>'[1]PRIMARY  &gt; 10kW DLS'!$J22-'[2]PRIMARY  &gt; 10kW DLS'!$J22</f>
        <v>83460.844659402035</v>
      </c>
      <c r="K23" s="4"/>
      <c r="L23" s="4">
        <f>'[1]PRIMARY  &gt; 10kW DLS'!$L22-'[2]PRIMARY  &gt; 10kW DLS'!$L22</f>
        <v>81100.442463964457</v>
      </c>
      <c r="N23" s="4">
        <f>'[1]PRIMARY  &gt; 10kW DLS'!$N22-'[2]PRIMARY  &gt; 10kW DLS'!$N22</f>
        <v>79494.843470982043</v>
      </c>
      <c r="O23" s="4"/>
      <c r="P23" s="4">
        <f>'[1]PRIMARY  &gt; 10kW DLS'!$P22-'[2]PRIMARY  &gt; 10kW DLS'!$P22</f>
        <v>81007.996120649856</v>
      </c>
      <c r="R23" s="4">
        <f>'[1]PRIMARY  &gt; 10kW DLS'!$R22-'[2]PRIMARY  &gt; 10kW DLS'!$R22</f>
        <v>79404.227348948829</v>
      </c>
      <c r="S23" s="4"/>
      <c r="T23" s="4">
        <f>'[1]PRIMARY  &gt; 10kW DLS'!$T22-'[2]PRIMARY  &gt; 10kW DLS'!$T22</f>
        <v>59097728.269985914</v>
      </c>
      <c r="V23" s="4">
        <f>'[1]PRIMARY  &gt; 10kW DLS'!$V22-'[2]PRIMARY  &gt; 10kW DLS'!$V22</f>
        <v>58220737.092451572</v>
      </c>
      <c r="X23" s="14">
        <f>'[1]PRIMARY  &gt; 10kW DLS'!$X22-'[2]PRIMARY  &gt; 10kW DLS'!$X22</f>
        <v>0</v>
      </c>
      <c r="Y23" s="14"/>
      <c r="Z23" s="14">
        <f>'[1]PRIMARY  &gt; 10kW DLS'!$Z22-'[2]PRIMARY  &gt; 10kW DLS'!$Z22</f>
        <v>0</v>
      </c>
    </row>
    <row r="24" spans="1:26" ht="25" customHeight="1">
      <c r="A24" s="15">
        <v>2</v>
      </c>
      <c r="B24" s="15" t="s">
        <v>17</v>
      </c>
      <c r="D24" s="4">
        <f>'[1]PRIMARY  &gt; 10kW DLS'!$D23-'[2]PRIMARY  &gt; 10kW DLS'!$D23</f>
        <v>117417.17292831512</v>
      </c>
      <c r="E24" s="4"/>
      <c r="F24" s="4">
        <f>'[1]PRIMARY  &gt; 10kW DLS'!$F23-'[2]PRIMARY  &gt; 10kW DLS'!$F23</f>
        <v>115092.58765004994</v>
      </c>
      <c r="G24" s="4"/>
      <c r="H24" s="4">
        <f>'[1]PRIMARY  &gt; 10kW DLS'!$H23-'[2]PRIMARY  &gt; 10kW DLS'!$H23</f>
        <v>81980.465638336493</v>
      </c>
      <c r="I24" s="4"/>
      <c r="J24" s="4">
        <f>'[1]PRIMARY  &gt; 10kW DLS'!$J23-'[2]PRIMARY  &gt; 10kW DLS'!$J23</f>
        <v>80357.444245677209</v>
      </c>
      <c r="K24" s="4"/>
      <c r="L24" s="4">
        <f>'[1]PRIMARY  &gt; 10kW DLS'!$L23-'[2]PRIMARY  &gt; 10kW DLS'!$L23</f>
        <v>46025.065843399381</v>
      </c>
      <c r="N24" s="4">
        <f>'[1]PRIMARY  &gt; 10kW DLS'!$N23-'[2]PRIMARY  &gt; 10kW DLS'!$N23</f>
        <v>45113.877234250307</v>
      </c>
      <c r="O24" s="4"/>
      <c r="P24" s="4">
        <f>'[1]PRIMARY  &gt; 10kW DLS'!$P23-'[2]PRIMARY  &gt; 10kW DLS'!$P23</f>
        <v>45781.021399932681</v>
      </c>
      <c r="R24" s="4">
        <f>'[1]PRIMARY  &gt; 10kW DLS'!$R23-'[2]PRIMARY  &gt; 10kW DLS'!$R23</f>
        <v>44874.664299722062</v>
      </c>
      <c r="S24" s="4"/>
      <c r="T24" s="16">
        <f>'[1]PRIMARY  &gt; 10kW DLS'!$T23-'[2]PRIMARY  &gt; 10kW DLS'!$T23</f>
        <v>53948122.864285946</v>
      </c>
      <c r="V24" s="4">
        <f>'[1]PRIMARY  &gt; 10kW DLS'!$V23-'[2]PRIMARY  &gt; 10kW DLS'!$V23</f>
        <v>53147550.16578269</v>
      </c>
      <c r="X24" s="14">
        <f>'[1]PRIMARY  &gt; 10kW DLS'!$X23-'[2]PRIMARY  &gt; 10kW DLS'!$X23</f>
        <v>0</v>
      </c>
      <c r="Y24" s="14"/>
      <c r="Z24" s="14">
        <f>'[1]PRIMARY  &gt; 10kW DLS'!$Z23-'[2]PRIMARY  &gt; 10kW DLS'!$Z23</f>
        <v>0</v>
      </c>
    </row>
    <row r="25" spans="1:26" ht="25" customHeight="1">
      <c r="A25" s="15">
        <v>3</v>
      </c>
      <c r="B25" s="15" t="s">
        <v>18</v>
      </c>
      <c r="D25" s="4">
        <f>'[1]PRIMARY  &gt; 10kW DLS'!$D24-'[2]PRIMARY  &gt; 10kW DLS'!$D24</f>
        <v>123419.18989339424</v>
      </c>
      <c r="E25" s="4"/>
      <c r="F25" s="4">
        <f>'[1]PRIMARY  &gt; 10kW DLS'!$F24-'[2]PRIMARY  &gt; 10kW DLS'!$F24</f>
        <v>120975.77872340474</v>
      </c>
      <c r="G25" s="4"/>
      <c r="H25" s="4">
        <f>'[1]PRIMARY  &gt; 10kW DLS'!$H24-'[2]PRIMARY  &gt; 10kW DLS'!$H24</f>
        <v>87829.08064947417</v>
      </c>
      <c r="I25" s="4"/>
      <c r="J25" s="4">
        <f>'[1]PRIMARY  &gt; 10kW DLS'!$J24-'[2]PRIMARY  &gt; 10kW DLS'!$J24</f>
        <v>86090.270364832133</v>
      </c>
      <c r="K25" s="4"/>
      <c r="L25" s="4">
        <f>'[1]PRIMARY  &gt; 10kW DLS'!$L24-'[2]PRIMARY  &gt; 10kW DLS'!$L24</f>
        <v>81658.883604358416</v>
      </c>
      <c r="N25" s="4">
        <f>'[1]PRIMARY  &gt; 10kW DLS'!$N24-'[2]PRIMARY  &gt; 10kW DLS'!$N24</f>
        <v>80042.228783498751</v>
      </c>
      <c r="O25" s="4"/>
      <c r="P25" s="4">
        <f>'[1]PRIMARY  &gt; 10kW DLS'!$P24-'[2]PRIMARY  &gt; 10kW DLS'!$P24</f>
        <v>83175.285378634697</v>
      </c>
      <c r="R25" s="4">
        <f>'[1]PRIMARY  &gt; 10kW DLS'!$R24-'[2]PRIMARY  &gt; 10kW DLS'!$R24</f>
        <v>81528.609350889223</v>
      </c>
      <c r="S25" s="4"/>
      <c r="T25" s="16">
        <f>'[1]PRIMARY  &gt; 10kW DLS'!$T24-'[2]PRIMARY  &gt; 10kW DLS'!$T24</f>
        <v>51090170.435663939</v>
      </c>
      <c r="V25" s="4">
        <f>'[1]PRIMARY  &gt; 10kW DLS'!$V24-'[2]PRIMARY  &gt; 10kW DLS'!$V24</f>
        <v>50332008.827046633</v>
      </c>
      <c r="X25" s="14">
        <f>'[1]PRIMARY  &gt; 10kW DLS'!$X24-'[2]PRIMARY  &gt; 10kW DLS'!$X24</f>
        <v>0</v>
      </c>
      <c r="Y25" s="14"/>
      <c r="Z25" s="14">
        <f>'[1]PRIMARY  &gt; 10kW DLS'!$Z24-'[2]PRIMARY  &gt; 10kW DLS'!$Z24</f>
        <v>0</v>
      </c>
    </row>
    <row r="26" spans="1:26" ht="25" customHeight="1">
      <c r="A26" s="15">
        <v>4</v>
      </c>
      <c r="B26" s="15" t="s">
        <v>19</v>
      </c>
      <c r="D26" s="4">
        <f>'[1]PRIMARY  &gt; 10kW DLS'!$D25-'[2]PRIMARY  &gt; 10kW DLS'!$D25</f>
        <v>134248.76604201738</v>
      </c>
      <c r="E26" s="4"/>
      <c r="F26" s="4">
        <f>'[1]PRIMARY  &gt; 10kW DLS'!$F25-'[2]PRIMARY  &gt; 10kW DLS'!$F25</f>
        <v>131590.95460452745</v>
      </c>
      <c r="G26" s="4"/>
      <c r="H26" s="4">
        <f>'[1]PRIMARY  &gt; 10kW DLS'!$H25-'[2]PRIMARY  &gt; 10kW DLS'!$H25</f>
        <v>97953.553003358655</v>
      </c>
      <c r="I26" s="4"/>
      <c r="J26" s="4">
        <f>'[1]PRIMARY  &gt; 10kW DLS'!$J25-'[2]PRIMARY  &gt; 10kW DLS'!$J25</f>
        <v>96014.301856472157</v>
      </c>
      <c r="K26" s="4"/>
      <c r="L26" s="4">
        <f>'[1]PRIMARY  &gt; 10kW DLS'!$L25-'[2]PRIMARY  &gt; 10kW DLS'!$L25</f>
        <v>92718.775784118567</v>
      </c>
      <c r="N26" s="4">
        <f>'[1]PRIMARY  &gt; 10kW DLS'!$N25-'[2]PRIMARY  &gt; 10kW DLS'!$N25</f>
        <v>90883.160977261141</v>
      </c>
      <c r="O26" s="4"/>
      <c r="P26" s="4">
        <f>'[1]PRIMARY  &gt; 10kW DLS'!$P25-'[2]PRIMARY  &gt; 10kW DLS'!$P25</f>
        <v>95710.42820150801</v>
      </c>
      <c r="R26" s="4">
        <f>'[1]PRIMARY  &gt; 10kW DLS'!$R25-'[2]PRIMARY  &gt; 10kW DLS'!$R25</f>
        <v>93815.585676986258</v>
      </c>
      <c r="S26" s="4"/>
      <c r="T26" s="16">
        <f>'[1]PRIMARY  &gt; 10kW DLS'!$T25-'[2]PRIMARY  &gt; 10kW DLS'!$T25</f>
        <v>63511290.995331764</v>
      </c>
      <c r="V26" s="4">
        <f>'[1]PRIMARY  &gt; 10kW DLS'!$V25-'[2]PRIMARY  &gt; 10kW DLS'!$V25</f>
        <v>62568803.974134445</v>
      </c>
      <c r="X26" s="14">
        <f>'[1]PRIMARY  &gt; 10kW DLS'!$X25-'[2]PRIMARY  &gt; 10kW DLS'!$X25</f>
        <v>0</v>
      </c>
      <c r="Y26" s="14"/>
      <c r="Z26" s="14">
        <f>'[1]PRIMARY  &gt; 10kW DLS'!$Z25-'[2]PRIMARY  &gt; 10kW DLS'!$Z25</f>
        <v>0</v>
      </c>
    </row>
    <row r="27" spans="1:26" ht="25" customHeight="1">
      <c r="A27" s="15">
        <v>5</v>
      </c>
      <c r="B27" s="15" t="s">
        <v>20</v>
      </c>
      <c r="D27" s="4">
        <f>'[1]PRIMARY  &gt; 10kW DLS'!$D26-'[2]PRIMARY  &gt; 10kW DLS'!$D26</f>
        <v>144296.29254858429</v>
      </c>
      <c r="E27" s="4"/>
      <c r="F27" s="4">
        <f>'[1]PRIMARY  &gt; 10kW DLS'!$F26-'[2]PRIMARY  &gt; 10kW DLS'!$F26</f>
        <v>141439.56359658064</v>
      </c>
      <c r="G27" s="4"/>
      <c r="H27" s="4">
        <f>'[1]PRIMARY  &gt; 10kW DLS'!$H26-'[2]PRIMARY  &gt; 10kW DLS'!$H26</f>
        <v>102271.04053037567</v>
      </c>
      <c r="I27" s="4"/>
      <c r="J27" s="4">
        <f>'[1]PRIMARY  &gt; 10kW DLS'!$J26-'[2]PRIMARY  &gt; 10kW DLS'!$J26</f>
        <v>100246.31323298998</v>
      </c>
      <c r="K27" s="4"/>
      <c r="L27" s="4">
        <f>'[1]PRIMARY  &gt; 10kW DLS'!$L26-'[2]PRIMARY  &gt; 10kW DLS'!$L26</f>
        <v>101332.59153938666</v>
      </c>
      <c r="N27" s="4">
        <f>'[1]PRIMARY  &gt; 10kW DLS'!$N26-'[2]PRIMARY  &gt; 10kW DLS'!$N26</f>
        <v>99326.443336135708</v>
      </c>
      <c r="O27" s="4"/>
      <c r="P27" s="4">
        <f>'[1]PRIMARY  &gt; 10kW DLS'!$P26-'[2]PRIMARY  &gt; 10kW DLS'!$P26</f>
        <v>101332.59153938666</v>
      </c>
      <c r="R27" s="4">
        <f>'[1]PRIMARY  &gt; 10kW DLS'!$R26-'[2]PRIMARY  &gt; 10kW DLS'!$R26</f>
        <v>99326.443336135708</v>
      </c>
      <c r="S27" s="4"/>
      <c r="T27" s="16">
        <f>'[1]PRIMARY  &gt; 10kW DLS'!$T26-'[2]PRIMARY  &gt; 10kW DLS'!$T26</f>
        <v>68506692.025753975</v>
      </c>
      <c r="V27" s="4">
        <f>'[1]PRIMARY  &gt; 10kW DLS'!$V26-'[2]PRIMARY  &gt; 10kW DLS'!$V26</f>
        <v>67490074.868590593</v>
      </c>
      <c r="X27" s="14">
        <f>'[1]PRIMARY  &gt; 10kW DLS'!$X26-'[2]PRIMARY  &gt; 10kW DLS'!$X26</f>
        <v>0</v>
      </c>
      <c r="Y27" s="14"/>
      <c r="Z27" s="14">
        <f>'[1]PRIMARY  &gt; 10kW DLS'!$Z26-'[2]PRIMARY  &gt; 10kW DLS'!$Z26</f>
        <v>0</v>
      </c>
    </row>
    <row r="28" spans="1:26" ht="25" customHeight="1">
      <c r="A28" s="15">
        <v>6</v>
      </c>
      <c r="B28" s="15" t="s">
        <v>21</v>
      </c>
      <c r="D28" s="4">
        <f>'[1]PRIMARY  &gt; 10kW DLS'!$D27-'[2]PRIMARY  &gt; 10kW DLS'!$D27</f>
        <v>102570.04773875885</v>
      </c>
      <c r="E28" s="4"/>
      <c r="F28" s="4">
        <f>'[1]PRIMARY  &gt; 10kW DLS'!$F27-'[2]PRIMARY  &gt; 10kW DLS'!$F27</f>
        <v>100539.40079829749</v>
      </c>
      <c r="G28" s="4"/>
      <c r="H28" s="4">
        <f>'[1]PRIMARY  &gt; 10kW DLS'!$H27-'[2]PRIMARY  &gt; 10kW DLS'!$H27</f>
        <v>69716.330728408415</v>
      </c>
      <c r="I28" s="4"/>
      <c r="J28" s="4">
        <f>'[1]PRIMARY  &gt; 10kW DLS'!$J27-'[2]PRIMARY  &gt; 10kW DLS'!$J27</f>
        <v>68336.11050998373</v>
      </c>
      <c r="K28" s="4"/>
      <c r="L28" s="4">
        <f>'[1]PRIMARY  &gt; 10kW DLS'!$L27-'[2]PRIMARY  &gt; 10kW DLS'!$L27</f>
        <v>67119.28027583193</v>
      </c>
      <c r="N28" s="4">
        <f>'[1]PRIMARY  &gt; 10kW DLS'!$N27-'[2]PRIMARY  &gt; 10kW DLS'!$N27</f>
        <v>65790.475579501828</v>
      </c>
      <c r="O28" s="4"/>
      <c r="P28" s="4">
        <f>'[1]PRIMARY  &gt; 10kW DLS'!$P27-'[2]PRIMARY  &gt; 10kW DLS'!$P27</f>
        <v>66421.510555061046</v>
      </c>
      <c r="Q28" s="16"/>
      <c r="R28" s="4">
        <f>'[1]PRIMARY  &gt; 10kW DLS'!$R27-'[2]PRIMARY  &gt; 10kW DLS'!$R27</f>
        <v>65106.520066483412</v>
      </c>
      <c r="S28" s="4"/>
      <c r="T28" s="16">
        <f>'[1]PRIMARY  &gt; 10kW DLS'!$T27-'[2]PRIMARY  &gt; 10kW DLS'!$T27</f>
        <v>46699723.550685883</v>
      </c>
      <c r="V28" s="4">
        <f>'[1]PRIMARY  &gt; 10kW DLS'!$V27-'[2]PRIMARY  &gt; 10kW DLS'!$V27</f>
        <v>46006714.754135609</v>
      </c>
      <c r="X28" s="14">
        <f>'[1]PRIMARY  &gt; 10kW DLS'!$X27-'[2]PRIMARY  &gt; 10kW DLS'!$X27</f>
        <v>0</v>
      </c>
      <c r="Y28" s="14"/>
      <c r="Z28" s="14">
        <f>'[1]PRIMARY  &gt; 10kW DLS'!$Z27-'[2]PRIMARY  &gt; 10kW DLS'!$Z27</f>
        <v>0</v>
      </c>
    </row>
    <row r="29" spans="1:26" ht="25" customHeight="1">
      <c r="A29" s="15">
        <v>7</v>
      </c>
      <c r="B29" s="15" t="s">
        <v>22</v>
      </c>
      <c r="D29" s="4">
        <f>'[1]PRIMARY  &gt; 10kW DLS'!$D28-'[2]PRIMARY  &gt; 10kW DLS'!$D28</f>
        <v>86849.525757968426</v>
      </c>
      <c r="E29" s="4"/>
      <c r="F29" s="4">
        <f>'[1]PRIMARY  &gt; 10kW DLS'!$F28-'[2]PRIMARY  &gt; 10kW DLS'!$F28</f>
        <v>85130.108368107118</v>
      </c>
      <c r="G29" s="4"/>
      <c r="H29" s="4">
        <f>'[1]PRIMARY  &gt; 10kW DLS'!$H28-'[2]PRIMARY  &gt; 10kW DLS'!$H28</f>
        <v>60700.597430278547</v>
      </c>
      <c r="I29" s="4"/>
      <c r="J29" s="4">
        <f>'[1]PRIMARY  &gt; 10kW DLS'!$J28-'[2]PRIMARY  &gt; 10kW DLS'!$J28</f>
        <v>59498.867635144852</v>
      </c>
      <c r="K29" s="4"/>
      <c r="L29" s="4">
        <f>'[1]PRIMARY  &gt; 10kW DLS'!$L28-'[2]PRIMARY  &gt; 10kW DLS'!$L28</f>
        <v>59058.449753345922</v>
      </c>
      <c r="N29" s="4">
        <f>'[1]PRIMARY  &gt; 10kW DLS'!$N28-'[2]PRIMARY  &gt; 10kW DLS'!$N28</f>
        <v>57889.230639736168</v>
      </c>
      <c r="O29" s="4"/>
      <c r="P29" s="4">
        <f>'[1]PRIMARY  &gt; 10kW DLS'!$P28-'[2]PRIMARY  &gt; 10kW DLS'!$P28</f>
        <v>57475.609527070541</v>
      </c>
      <c r="R29" s="4">
        <f>'[1]PRIMARY  &gt; 10kW DLS'!$R28-'[2]PRIMARY  &gt; 10kW DLS'!$R28</f>
        <v>56337.7269462361</v>
      </c>
      <c r="S29" s="4"/>
      <c r="T29" s="16">
        <f>'[1]PRIMARY  &gt; 10kW DLS'!$T28-'[2]PRIMARY  &gt; 10kW DLS'!$T28</f>
        <v>42147003.281792164</v>
      </c>
      <c r="V29" s="4">
        <f>'[1]PRIMARY  &gt; 10kW DLS'!$V28-'[2]PRIMARY  &gt; 10kW DLS'!$V28</f>
        <v>41521555.381853104</v>
      </c>
      <c r="X29" s="14">
        <f>'[1]PRIMARY  &gt; 10kW DLS'!$X28-'[2]PRIMARY  &gt; 10kW DLS'!$X28</f>
        <v>0</v>
      </c>
      <c r="Y29" s="14"/>
      <c r="Z29" s="14">
        <f>'[1]PRIMARY  &gt; 10kW DLS'!$Z28-'[2]PRIMARY  &gt; 10kW DLS'!$Z28</f>
        <v>0</v>
      </c>
    </row>
    <row r="30" spans="1:26" ht="25" customHeight="1">
      <c r="A30" s="15">
        <v>8</v>
      </c>
      <c r="B30" s="15" t="s">
        <v>23</v>
      </c>
      <c r="D30" s="4">
        <f>'[1]PRIMARY  &gt; 10kW DLS'!$D29-'[2]PRIMARY  &gt; 10kW DLS'!$D29</f>
        <v>114386.02852319414</v>
      </c>
      <c r="E30" s="4"/>
      <c r="F30" s="4">
        <f>'[1]PRIMARY  &gt; 10kW DLS'!$F29-'[2]PRIMARY  &gt; 10kW DLS'!$F29</f>
        <v>112121.45281154243</v>
      </c>
      <c r="G30" s="4"/>
      <c r="H30" s="4">
        <f>'[1]PRIMARY  &gt; 10kW DLS'!$H29-'[2]PRIMARY  &gt; 10kW DLS'!$H29</f>
        <v>80323.401489218231</v>
      </c>
      <c r="I30" s="4"/>
      <c r="J30" s="4">
        <f>'[1]PRIMARY  &gt; 10kW DLS'!$J29-'[2]PRIMARY  &gt; 10kW DLS'!$J29</f>
        <v>78733.186089328956</v>
      </c>
      <c r="K30" s="4"/>
      <c r="L30" s="4">
        <f>'[1]PRIMARY  &gt; 10kW DLS'!$L29-'[2]PRIMARY  &gt; 10kW DLS'!$L29</f>
        <v>77935.73338484019</v>
      </c>
      <c r="N30" s="4">
        <f>'[1]PRIMARY  &gt; 10kW DLS'!$N29-'[2]PRIMARY  &gt; 10kW DLS'!$N29</f>
        <v>76392.788226487581</v>
      </c>
      <c r="O30" s="4"/>
      <c r="P30" s="4">
        <f>'[1]PRIMARY  &gt; 10kW DLS'!$P29-'[2]PRIMARY  &gt; 10kW DLS'!$P29</f>
        <v>76404.464700955898</v>
      </c>
      <c r="R30" s="4">
        <f>'[1]PRIMARY  &gt; 10kW DLS'!$R29-'[2]PRIMARY  &gt; 10kW DLS'!$R29</f>
        <v>74891.835079511628</v>
      </c>
      <c r="S30" s="4"/>
      <c r="T30" s="16">
        <f>'[1]PRIMARY  &gt; 10kW DLS'!$T29-'[2]PRIMARY  &gt; 10kW DLS'!$T29</f>
        <v>49206115.4316926</v>
      </c>
      <c r="V30" s="4">
        <f>'[1]PRIMARY  &gt; 10kW DLS'!$V29-'[2]PRIMARY  &gt; 10kW DLS'!$V29</f>
        <v>48475912.59010148</v>
      </c>
      <c r="X30" s="14">
        <f>'[1]PRIMARY  &gt; 10kW DLS'!$X29-'[2]PRIMARY  &gt; 10kW DLS'!$X29</f>
        <v>0</v>
      </c>
      <c r="Y30" s="14"/>
      <c r="Z30" s="14">
        <f>'[1]PRIMARY  &gt; 10kW DLS'!$Z29-'[2]PRIMARY  &gt; 10kW DLS'!$Z29</f>
        <v>0</v>
      </c>
    </row>
    <row r="31" spans="1:26" ht="25" customHeight="1">
      <c r="A31" s="15">
        <v>9</v>
      </c>
      <c r="B31" s="15" t="s">
        <v>24</v>
      </c>
      <c r="D31" s="4">
        <f>'[1]PRIMARY  &gt; 10kW DLS'!$D30-'[2]PRIMARY  &gt; 10kW DLS'!$D30</f>
        <v>81182.849981324747</v>
      </c>
      <c r="E31" s="4"/>
      <c r="F31" s="4">
        <f>'[1]PRIMARY  &gt; 10kW DLS'!$F30-'[2]PRIMARY  &gt; 10kW DLS'!$F30</f>
        <v>79575.619512324687</v>
      </c>
      <c r="G31" s="4"/>
      <c r="H31" s="4">
        <f>'[1]PRIMARY  &gt; 10kW DLS'!$H30-'[2]PRIMARY  &gt; 10kW DLS'!$H30</f>
        <v>57678.048745985143</v>
      </c>
      <c r="I31" s="4"/>
      <c r="J31" s="4">
        <f>'[1]PRIMARY  &gt; 10kW DLS'!$J30-'[2]PRIMARY  &gt; 10kW DLS'!$J30</f>
        <v>56536.158342305571</v>
      </c>
      <c r="K31" s="4"/>
      <c r="L31" s="4">
        <f>'[1]PRIMARY  &gt; 10kW DLS'!$L30-'[2]PRIMARY  &gt; 10kW DLS'!$L30</f>
        <v>54944.694929433987</v>
      </c>
      <c r="N31" s="4">
        <f>'[1]PRIMARY  &gt; 10kW DLS'!$N30-'[2]PRIMARY  &gt; 10kW DLS'!$N30</f>
        <v>53856.918535517994</v>
      </c>
      <c r="O31" s="4"/>
      <c r="P31" s="4">
        <f>'[1]PRIMARY  &gt; 10kW DLS'!$P30-'[2]PRIMARY  &gt; 10kW DLS'!$P30</f>
        <v>54797.000087042805</v>
      </c>
      <c r="R31" s="4">
        <f>'[1]PRIMARY  &gt; 10kW DLS'!$R30-'[2]PRIMARY  &gt; 10kW DLS'!$R30</f>
        <v>53712.147705413401</v>
      </c>
      <c r="S31" s="4"/>
      <c r="T31" s="16">
        <f>'[1]PRIMARY  &gt; 10kW DLS'!$T30-'[2]PRIMARY  &gt; 10kW DLS'!$T30</f>
        <v>37973158.346447706</v>
      </c>
      <c r="V31" s="4">
        <f>'[1]PRIMARY  &gt; 10kW DLS'!$V30-'[2]PRIMARY  &gt; 10kW DLS'!$V30</f>
        <v>37409648.955683947</v>
      </c>
      <c r="X31" s="14">
        <f>'[1]PRIMARY  &gt; 10kW DLS'!$X30-'[2]PRIMARY  &gt; 10kW DLS'!$X30</f>
        <v>0</v>
      </c>
      <c r="Y31" s="14"/>
      <c r="Z31" s="14">
        <f>'[1]PRIMARY  &gt; 10kW DLS'!$Z30-'[2]PRIMARY  &gt; 10kW DLS'!$Z30</f>
        <v>0</v>
      </c>
    </row>
    <row r="32" spans="1:26" ht="25" customHeight="1">
      <c r="A32" s="15">
        <v>10</v>
      </c>
      <c r="B32" s="15" t="s">
        <v>25</v>
      </c>
      <c r="D32" s="4">
        <f>'[1]PRIMARY  &gt; 10kW DLS'!$D31-'[2]PRIMARY  &gt; 10kW DLS'!$D31</f>
        <v>-15885.856393434107</v>
      </c>
      <c r="E32" s="4"/>
      <c r="F32" s="4">
        <f>'[1]PRIMARY  &gt; 10kW DLS'!$F31-'[2]PRIMARY  &gt; 10kW DLS'!$F31</f>
        <v>-15571.353608331177</v>
      </c>
      <c r="G32" s="4"/>
      <c r="H32" s="4">
        <f>'[1]PRIMARY  &gt; 10kW DLS'!$H31-'[2]PRIMARY  &gt; 10kW DLS'!$H31</f>
        <v>-10628.30344601348</v>
      </c>
      <c r="I32" s="4"/>
      <c r="J32" s="4">
        <f>'[1]PRIMARY  &gt; 10kW DLS'!$J31-'[2]PRIMARY  &gt; 10kW DLS'!$J31</f>
        <v>-10417.887907064986</v>
      </c>
      <c r="K32" s="4"/>
      <c r="L32" s="4">
        <f>'[1]PRIMARY  &gt; 10kW DLS'!$L31-'[2]PRIMARY  &gt; 10kW DLS'!$L31</f>
        <v>-10309.872539547272</v>
      </c>
      <c r="N32" s="4">
        <f>'[1]PRIMARY  &gt; 10kW DLS'!$N31-'[2]PRIMARY  &gt; 10kW DLS'!$N31</f>
        <v>-10105.761187446769</v>
      </c>
      <c r="O32" s="4"/>
      <c r="P32" s="4">
        <f>'[1]PRIMARY  &gt; 10kW DLS'!$P31-'[2]PRIMARY  &gt; 10kW DLS'!$P31</f>
        <v>-10309.872539547272</v>
      </c>
      <c r="R32" s="4">
        <f>'[1]PRIMARY  &gt; 10kW DLS'!$R31-'[2]PRIMARY  &gt; 10kW DLS'!$R31</f>
        <v>-10105.761187446769</v>
      </c>
      <c r="S32" s="4"/>
      <c r="T32" s="16">
        <f>'[1]PRIMARY  &gt; 10kW DLS'!$T31-'[2]PRIMARY  &gt; 10kW DLS'!$T31</f>
        <v>-7304392.2067599297</v>
      </c>
      <c r="V32" s="4">
        <f>'[1]PRIMARY  &gt; 10kW DLS'!$V31-'[2]PRIMARY  &gt; 10kW DLS'!$V31</f>
        <v>-7195997.3883786201</v>
      </c>
      <c r="X32" s="14">
        <f>'[1]PRIMARY  &gt; 10kW DLS'!$X31-'[2]PRIMARY  &gt; 10kW DLS'!$X31</f>
        <v>0</v>
      </c>
      <c r="Y32" s="14"/>
      <c r="Z32" s="14">
        <f>'[1]PRIMARY  &gt; 10kW DLS'!$Z31-'[2]PRIMARY  &gt; 10kW DLS'!$Z31</f>
        <v>0</v>
      </c>
    </row>
    <row r="33" spans="1:26" ht="25" customHeight="1">
      <c r="A33" s="15">
        <v>11</v>
      </c>
      <c r="B33" s="15" t="s">
        <v>26</v>
      </c>
      <c r="D33" s="4">
        <f>'[1]PRIMARY  &gt; 10kW DLS'!$D32-'[2]PRIMARY  &gt; 10kW DLS'!$D32</f>
        <v>-10830.520144317299</v>
      </c>
      <c r="E33" s="4"/>
      <c r="F33" s="4">
        <f>'[1]PRIMARY  &gt; 10kW DLS'!$F32-'[2]PRIMARY  &gt; 10kW DLS'!$F32</f>
        <v>-10616.10118791135</v>
      </c>
      <c r="G33" s="4"/>
      <c r="H33" s="4">
        <f>'[1]PRIMARY  &gt; 10kW DLS'!$H32-'[2]PRIMARY  &gt; 10kW DLS'!$H32</f>
        <v>-7393.2951197871007</v>
      </c>
      <c r="I33" s="4"/>
      <c r="J33" s="4">
        <f>'[1]PRIMARY  &gt; 10kW DLS'!$J32-'[2]PRIMARY  &gt; 10kW DLS'!$J32</f>
        <v>-7246.9251760663465</v>
      </c>
      <c r="K33" s="4"/>
      <c r="L33" s="4">
        <f>'[1]PRIMARY  &gt; 10kW DLS'!$L32-'[2]PRIMARY  &gt; 10kW DLS'!$L32</f>
        <v>-6796.2926181151997</v>
      </c>
      <c r="N33" s="4">
        <f>'[1]PRIMARY  &gt; 10kW DLS'!$N32-'[2]PRIMARY  &gt; 10kW DLS'!$N32</f>
        <v>-6661.7419269953389</v>
      </c>
      <c r="O33" s="4"/>
      <c r="P33" s="4">
        <f>'[1]PRIMARY  &gt; 10kW DLS'!$P32-'[2]PRIMARY  &gt; 10kW DLS'!$P32</f>
        <v>-7278.474087595474</v>
      </c>
      <c r="R33" s="4">
        <f>'[1]PRIMARY  &gt; 10kW DLS'!$R32-'[2]PRIMARY  &gt; 10kW DLS'!$R32</f>
        <v>-7134.3773316415027</v>
      </c>
      <c r="S33" s="4"/>
      <c r="T33" s="16">
        <f>'[1]PRIMARY  &gt; 10kW DLS'!$T32-'[2]PRIMARY  &gt; 10kW DLS'!$T32</f>
        <v>-4873671.8478300571</v>
      </c>
      <c r="V33" s="4">
        <f>'[1]PRIMARY  &gt; 10kW DLS'!$V32-'[2]PRIMARY  &gt; 10kW DLS'!$V32</f>
        <v>-4801348.1335711479</v>
      </c>
      <c r="X33" s="14">
        <f>'[1]PRIMARY  &gt; 10kW DLS'!$X32-'[2]PRIMARY  &gt; 10kW DLS'!$X32</f>
        <v>0</v>
      </c>
      <c r="Y33" s="14"/>
      <c r="Z33" s="14">
        <f>'[1]PRIMARY  &gt; 10kW DLS'!$Z32-'[2]PRIMARY  &gt; 10kW DLS'!$Z32</f>
        <v>0</v>
      </c>
    </row>
    <row r="34" spans="1:26" ht="25" customHeight="1" thickBot="1">
      <c r="A34" s="15">
        <v>12</v>
      </c>
      <c r="B34" s="15" t="s">
        <v>27</v>
      </c>
      <c r="D34" s="4">
        <f>'[1]PRIMARY  &gt; 10kW DLS'!$D33-'[2]PRIMARY  &gt; 10kW DLS'!$D33</f>
        <v>-3132.678951066453</v>
      </c>
      <c r="E34" s="4"/>
      <c r="F34" s="4">
        <f>'[1]PRIMARY  &gt; 10kW DLS'!$F33-'[2]PRIMARY  &gt; 10kW DLS'!$F33</f>
        <v>-3070.6592380246148</v>
      </c>
      <c r="G34" s="4"/>
      <c r="H34" s="4">
        <f>'[1]PRIMARY  &gt; 10kW DLS'!$H33-'[2]PRIMARY  &gt; 10kW DLS'!$H33</f>
        <v>-2053.2842659624293</v>
      </c>
      <c r="I34" s="4"/>
      <c r="J34" s="4">
        <f>'[1]PRIMARY  &gt; 10kW DLS'!$J33-'[2]PRIMARY  &gt; 10kW DLS'!$J33</f>
        <v>-2012.6340419985354</v>
      </c>
      <c r="K34" s="4"/>
      <c r="L34" s="4">
        <f>'[1]PRIMARY  &gt; 10kW DLS'!$L33-'[2]PRIMARY  &gt; 10kW DLS'!$L33</f>
        <v>-1944.3572137311567</v>
      </c>
      <c r="N34" s="4">
        <f>'[1]PRIMARY  &gt; 10kW DLS'!$N33-'[2]PRIMARY  &gt; 10kW DLS'!$N33</f>
        <v>-1905.863490521675</v>
      </c>
      <c r="O34" s="4"/>
      <c r="P34" s="4">
        <f>'[1]PRIMARY  &gt; 10kW DLS'!$P33-'[2]PRIMARY  &gt; 10kW DLS'!$P33</f>
        <v>-1984.3212170600891</v>
      </c>
      <c r="R34" s="4">
        <f>'[1]PRIMARY  &gt; 10kW DLS'!$R33-'[2]PRIMARY  &gt; 10kW DLS'!$R33</f>
        <v>-1945.0363000968937</v>
      </c>
      <c r="S34" s="4"/>
      <c r="T34" s="17">
        <f>'[1]PRIMARY  &gt; 10kW DLS'!$T33-'[2]PRIMARY  &gt; 10kW DLS'!$T33</f>
        <v>-1445533.1953485012</v>
      </c>
      <c r="V34" s="17">
        <f>'[1]PRIMARY  &gt; 10kW DLS'!$V33-'[2]PRIMARY  &gt; 10kW DLS'!$V33</f>
        <v>-1424081.9501607418</v>
      </c>
      <c r="X34" s="14">
        <f>'[1]PRIMARY  &gt; 10kW DLS'!$X33-'[2]PRIMARY  &gt; 10kW DLS'!$X33</f>
        <v>0</v>
      </c>
      <c r="Y34" s="14"/>
      <c r="Z34" s="14">
        <f>'[1]PRIMARY  &gt; 10kW DLS'!$Z33-'[2]PRIMARY  &gt; 10kW DLS'!$Z33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458556407.9517014</v>
      </c>
      <c r="U35" s="16"/>
      <c r="V35" s="16">
        <f>+SUM(V23:V34)</f>
        <v>451751579.13766956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</sheetData>
  <pageMargins left="0.5" right="1" top="1.5" bottom="0.5" header="0.5" footer="0.5"/>
  <pageSetup orientation="landscape" scale="5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2"/>
  <sheetViews>
    <sheetView zoomScale="75" zoomScaleNormal="75" workbookViewId="0" topLeftCell="A1">
      <selection pane="topLeft" activeCell="A11" sqref="A11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5.71428571428571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5.71428571428571" style="3" customWidth="1"/>
    <col min="12" max="12" width="12.7142857142857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2.7142857142857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19" style="4" customWidth="1"/>
    <col min="21" max="21" width="2.71428571428571" style="4" customWidth="1"/>
    <col min="22" max="22" width="18.8571428571429" style="4" customWidth="1"/>
    <col min="23" max="23" width="3.71428571428571" style="3" customWidth="1"/>
    <col min="24" max="24" width="9.85714285714286" style="3" customWidth="1"/>
    <col min="25" max="25" width="1.71428571428571" style="3" customWidth="1"/>
    <col min="26" max="26" width="9.71428571428571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96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43</v>
      </c>
    </row>
    <row r="16" spans="1:1" ht="18.75" customHeight="1">
      <c r="A16" s="3" t="s">
        <v>33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'[1]PRIMARY  SUBSTATIONS'!$D22-'[2]PRIMARY  SUBSTATIONS'!$D22</f>
        <v>63363.001378082437</v>
      </c>
      <c r="E23" s="4"/>
      <c r="F23" s="4">
        <f>'[1]PRIMARY  SUBSTATIONS'!$F22-'[2]PRIMARY  SUBSTATIONS'!$F22</f>
        <v>62961.933859398123</v>
      </c>
      <c r="G23" s="4"/>
      <c r="H23" s="4">
        <f>'[1]PRIMARY  SUBSTATIONS'!$H22-'[2]PRIMARY  SUBSTATIONS'!$H22</f>
        <v>49883.003514393233</v>
      </c>
      <c r="I23" s="4"/>
      <c r="J23" s="4">
        <f>'[1]PRIMARY  SUBSTATIONS'!$J22-'[2]PRIMARY  SUBSTATIONS'!$J22</f>
        <v>49567.260067761643</v>
      </c>
      <c r="K23" s="4"/>
      <c r="L23" s="4">
        <f>'[1]PRIMARY  SUBSTATIONS'!$L22-'[2]PRIMARY  SUBSTATIONS'!$L22</f>
        <v>45863.639216582174</v>
      </c>
      <c r="N23" s="4">
        <f>'[1]PRIMARY  SUBSTATIONS'!$N22-'[2]PRIMARY  SUBSTATIONS'!$N22</f>
        <v>45573.337059513084</v>
      </c>
      <c r="O23" s="4"/>
      <c r="P23" s="4">
        <f>'[1]PRIMARY  SUBSTATIONS'!$P22-'[2]PRIMARY  SUBSTATIONS'!$P22</f>
        <v>46090.771768178791</v>
      </c>
      <c r="R23" s="4">
        <f>'[1]PRIMARY  SUBSTATIONS'!$R22-'[2]PRIMARY  SUBSTATIONS'!$R22</f>
        <v>45799.031934754457</v>
      </c>
      <c r="S23" s="4"/>
      <c r="T23" s="4">
        <f>'[1]PRIMARY  SUBSTATIONS'!$T22-'[2]PRIMARY  SUBSTATIONS'!$T22</f>
        <v>34553030.726966619</v>
      </c>
      <c r="V23" s="4">
        <f>'[1]PRIMARY  SUBSTATIONS'!$V22-'[2]PRIMARY  SUBSTATIONS'!$V22</f>
        <v>34355828.272681415</v>
      </c>
      <c r="X23" s="14">
        <f>'[1]PRIMARY  SUBSTATIONS'!$X22-'[2]PRIMARY  SUBSTATIONS'!$X22</f>
        <v>0</v>
      </c>
      <c r="Y23" s="14"/>
      <c r="Z23" s="14">
        <f>'[1]PRIMARY  SUBSTATIONS'!$Z22-'[2]PRIMARY  SUBSTATIONS'!$Z22</f>
        <v>0</v>
      </c>
    </row>
    <row r="24" spans="1:26" ht="25" customHeight="1">
      <c r="A24" s="15">
        <v>2</v>
      </c>
      <c r="B24" s="15" t="s">
        <v>17</v>
      </c>
      <c r="D24" s="4">
        <f>'[1]PRIMARY  SUBSTATIONS'!$D23-'[2]PRIMARY  SUBSTATIONS'!$D23</f>
        <v>65769.113398658112</v>
      </c>
      <c r="E24" s="4"/>
      <c r="F24" s="4">
        <f>'[1]PRIMARY  SUBSTATIONS'!$F23-'[2]PRIMARY  SUBSTATIONS'!$F23</f>
        <v>65352.815960986656</v>
      </c>
      <c r="G24" s="4"/>
      <c r="H24" s="4">
        <f>'[1]PRIMARY  SUBSTATIONS'!$H23-'[2]PRIMARY  SUBSTATIONS'!$H23</f>
        <v>52489.058118073735</v>
      </c>
      <c r="I24" s="4"/>
      <c r="J24" s="4">
        <f>'[1]PRIMARY  SUBSTATIONS'!$J23-'[2]PRIMARY  SUBSTATIONS'!$J23</f>
        <v>52156.819179897779</v>
      </c>
      <c r="K24" s="4"/>
      <c r="L24" s="4">
        <f>'[1]PRIMARY  SUBSTATIONS'!$L23-'[2]PRIMARY  SUBSTATIONS'!$L23</f>
        <v>23635.515700456803</v>
      </c>
      <c r="N24" s="4">
        <f>'[1]PRIMARY  SUBSTATIONS'!$N23-'[2]PRIMARY  SUBSTATIONS'!$N23</f>
        <v>23485.910450884665</v>
      </c>
      <c r="O24" s="4"/>
      <c r="P24" s="4">
        <f>'[1]PRIMARY  SUBSTATIONS'!$P23-'[2]PRIMARY  SUBSTATIONS'!$P23</f>
        <v>23768.346959831484</v>
      </c>
      <c r="R24" s="4">
        <f>'[1]PRIMARY  SUBSTATIONS'!$R23-'[2]PRIMARY  SUBSTATIONS'!$R23</f>
        <v>23617.90093090164</v>
      </c>
      <c r="S24" s="4"/>
      <c r="T24" s="4">
        <f>'[1]PRIMARY  SUBSTATIONS'!$T23-'[2]PRIMARY  SUBSTATIONS'!$T23</f>
        <v>33310279.520378351</v>
      </c>
      <c r="V24" s="4">
        <f>'[1]PRIMARY  SUBSTATIONS'!$V23-'[2]PRIMARY  SUBSTATIONS'!$V23</f>
        <v>33120169.746036112</v>
      </c>
      <c r="X24" s="14">
        <f>'[1]PRIMARY  SUBSTATIONS'!$X23-'[2]PRIMARY  SUBSTATIONS'!$X23</f>
        <v>0</v>
      </c>
      <c r="Y24" s="14"/>
      <c r="Z24" s="14">
        <f>'[1]PRIMARY  SUBSTATIONS'!$Z23-'[2]PRIMARY  SUBSTATIONS'!$Z23</f>
        <v>0</v>
      </c>
    </row>
    <row r="25" spans="1:26" ht="25" customHeight="1">
      <c r="A25" s="15">
        <v>3</v>
      </c>
      <c r="B25" s="15" t="s">
        <v>18</v>
      </c>
      <c r="D25" s="4">
        <f>'[1]PRIMARY  SUBSTATIONS'!$D24-'[2]PRIMARY  SUBSTATIONS'!$D24</f>
        <v>59338.241237982409</v>
      </c>
      <c r="E25" s="4"/>
      <c r="F25" s="4">
        <f>'[1]PRIMARY  SUBSTATIONS'!$F24-'[2]PRIMARY  SUBSTATIONS'!$F24</f>
        <v>58962.649162815302</v>
      </c>
      <c r="G25" s="4"/>
      <c r="H25" s="4">
        <f>'[1]PRIMARY  SUBSTATIONS'!$H24-'[2]PRIMARY  SUBSTATIONS'!$H24</f>
        <v>48740.582420300925</v>
      </c>
      <c r="I25" s="4"/>
      <c r="J25" s="4">
        <f>'[1]PRIMARY  SUBSTATIONS'!$J24-'[2]PRIMARY  SUBSTATIONS'!$J24</f>
        <v>48432.070133550209</v>
      </c>
      <c r="K25" s="4"/>
      <c r="L25" s="4">
        <f>'[1]PRIMARY  SUBSTATIONS'!$L24-'[2]PRIMARY  SUBSTATIONS'!$L24</f>
        <v>44024.61002260563</v>
      </c>
      <c r="N25" s="4">
        <f>'[1]PRIMARY  SUBSTATIONS'!$N24-'[2]PRIMARY  SUBSTATIONS'!$N24</f>
        <v>43745.948331732536</v>
      </c>
      <c r="O25" s="4"/>
      <c r="P25" s="4">
        <f>'[1]PRIMARY  SUBSTATIONS'!$P24-'[2]PRIMARY  SUBSTATIONS'!$P24</f>
        <v>44957.294135492062</v>
      </c>
      <c r="R25" s="4">
        <f>'[1]PRIMARY  SUBSTATIONS'!$R24-'[2]PRIMARY  SUBSTATIONS'!$R24</f>
        <v>44672.728852700442</v>
      </c>
      <c r="S25" s="4"/>
      <c r="T25" s="4">
        <f>'[1]PRIMARY  SUBSTATIONS'!$T24-'[2]PRIMARY  SUBSTATIONS'!$T24</f>
        <v>25134611.297566056</v>
      </c>
      <c r="V25" s="4">
        <f>'[1]PRIMARY  SUBSTATIONS'!$V24-'[2]PRIMARY  SUBSTATIONS'!$V24</f>
        <v>24991162.027528048</v>
      </c>
      <c r="X25" s="14">
        <f>'[1]PRIMARY  SUBSTATIONS'!$X24-'[2]PRIMARY  SUBSTATIONS'!$X24</f>
        <v>0</v>
      </c>
      <c r="Y25" s="14"/>
      <c r="Z25" s="14">
        <f>'[1]PRIMARY  SUBSTATIONS'!$Z24-'[2]PRIMARY  SUBSTATIONS'!$Z24</f>
        <v>0</v>
      </c>
    </row>
    <row r="26" spans="1:26" ht="25" customHeight="1">
      <c r="A26" s="15">
        <v>4</v>
      </c>
      <c r="B26" s="15" t="s">
        <v>19</v>
      </c>
      <c r="D26" s="4">
        <f>'[1]PRIMARY  SUBSTATIONS'!$D25-'[2]PRIMARY  SUBSTATIONS'!$D25</f>
        <v>60178.793518034043</v>
      </c>
      <c r="E26" s="4"/>
      <c r="F26" s="4">
        <f>'[1]PRIMARY  SUBSTATIONS'!$F25-'[2]PRIMARY  SUBSTATIONS'!$F25</f>
        <v>59797.881015962339</v>
      </c>
      <c r="G26" s="4"/>
      <c r="H26" s="4">
        <f>'[1]PRIMARY  SUBSTATIONS'!$H25-'[2]PRIMARY  SUBSTATIONS'!$H25</f>
        <v>48005.006781625212</v>
      </c>
      <c r="I26" s="4"/>
      <c r="J26" s="4">
        <f>'[1]PRIMARY  SUBSTATIONS'!$J25-'[2]PRIMARY  SUBSTATIONS'!$J25</f>
        <v>47701.15045323805</v>
      </c>
      <c r="K26" s="4"/>
      <c r="L26" s="4">
        <f>'[1]PRIMARY  SUBSTATIONS'!$L25-'[2]PRIMARY  SUBSTATIONS'!$L25</f>
        <v>46411.868477311335</v>
      </c>
      <c r="N26" s="4">
        <f>'[1]PRIMARY  SUBSTATIONS'!$N25-'[2]PRIMARY  SUBSTATIONS'!$N25</f>
        <v>46118.096204488771</v>
      </c>
      <c r="O26" s="4"/>
      <c r="P26" s="4">
        <f>'[1]PRIMARY  SUBSTATIONS'!$P25-'[2]PRIMARY  SUBSTATIONS'!$P25</f>
        <v>46332.365215069731</v>
      </c>
      <c r="R26" s="4">
        <f>'[1]PRIMARY  SUBSTATIONS'!$R25-'[2]PRIMARY  SUBSTATIONS'!$R25</f>
        <v>46039.096172451158</v>
      </c>
      <c r="S26" s="4"/>
      <c r="T26" s="4">
        <f>'[1]PRIMARY  SUBSTATIONS'!$T25-'[2]PRIMARY  SUBSTATIONS'!$T25</f>
        <v>32114661.125917912</v>
      </c>
      <c r="V26" s="4">
        <f>'[1]PRIMARY  SUBSTATIONS'!$V25-'[2]PRIMARY  SUBSTATIONS'!$V25</f>
        <v>31931375.033227205</v>
      </c>
      <c r="X26" s="14">
        <f>'[1]PRIMARY  SUBSTATIONS'!$X25-'[2]PRIMARY  SUBSTATIONS'!$X25</f>
        <v>0</v>
      </c>
      <c r="Y26" s="14"/>
      <c r="Z26" s="14">
        <f>'[1]PRIMARY  SUBSTATIONS'!$Z25-'[2]PRIMARY  SUBSTATIONS'!$Z25</f>
        <v>0</v>
      </c>
    </row>
    <row r="27" spans="1:26" ht="25" customHeight="1">
      <c r="A27" s="15">
        <v>5</v>
      </c>
      <c r="B27" s="15" t="s">
        <v>20</v>
      </c>
      <c r="D27" s="4">
        <f>'[1]PRIMARY  SUBSTATIONS'!$D26-'[2]PRIMARY  SUBSTATIONS'!$D26</f>
        <v>67514.21773064998</v>
      </c>
      <c r="E27" s="4"/>
      <c r="F27" s="4">
        <f>'[1]PRIMARY  SUBSTATIONS'!$F26-'[2]PRIMARY  SUBSTATIONS'!$F26</f>
        <v>67086.874341097195</v>
      </c>
      <c r="G27" s="4"/>
      <c r="H27" s="4">
        <f>'[1]PRIMARY  SUBSTATIONS'!$H26-'[2]PRIMARY  SUBSTATIONS'!$H26</f>
        <v>54559.27664418309</v>
      </c>
      <c r="I27" s="4"/>
      <c r="J27" s="4">
        <f>'[1]PRIMARY  SUBSTATIONS'!$J26-'[2]PRIMARY  SUBSTATIONS'!$J26</f>
        <v>54213.933885333478</v>
      </c>
      <c r="K27" s="4"/>
      <c r="L27" s="4">
        <f>'[1]PRIMARY  SUBSTATIONS'!$L26-'[2]PRIMARY  SUBSTATIONS'!$L26</f>
        <v>54394.326674486045</v>
      </c>
      <c r="N27" s="4">
        <f>'[1]PRIMARY  SUBSTATIONS'!$N26-'[2]PRIMARY  SUBSTATIONS'!$N26</f>
        <v>54050.027996150544</v>
      </c>
      <c r="O27" s="4"/>
      <c r="P27" s="4">
        <f>'[1]PRIMARY  SUBSTATIONS'!$P26-'[2]PRIMARY  SUBSTATIONS'!$P26</f>
        <v>54394.326674486045</v>
      </c>
      <c r="R27" s="4">
        <f>'[1]PRIMARY  SUBSTATIONS'!$R26-'[2]PRIMARY  SUBSTATIONS'!$R26</f>
        <v>54050.027996150544</v>
      </c>
      <c r="S27" s="4"/>
      <c r="T27" s="4">
        <f>'[1]PRIMARY  SUBSTATIONS'!$T26-'[2]PRIMARY  SUBSTATIONS'!$T26</f>
        <v>36822621.454673409</v>
      </c>
      <c r="V27" s="4">
        <f>'[1]PRIMARY  SUBSTATIONS'!$V26-'[2]PRIMARY  SUBSTATIONS'!$V26</f>
        <v>36612465.900405049</v>
      </c>
      <c r="X27" s="14">
        <f>'[1]PRIMARY  SUBSTATIONS'!$X26-'[2]PRIMARY  SUBSTATIONS'!$X26</f>
        <v>0</v>
      </c>
      <c r="Y27" s="14"/>
      <c r="Z27" s="14">
        <f>'[1]PRIMARY  SUBSTATIONS'!$Z26-'[2]PRIMARY  SUBSTATIONS'!$Z26</f>
        <v>0</v>
      </c>
    </row>
    <row r="28" spans="1:26" ht="25" customHeight="1">
      <c r="A28" s="15">
        <v>6</v>
      </c>
      <c r="B28" s="15" t="s">
        <v>21</v>
      </c>
      <c r="D28" s="4">
        <f>'[1]PRIMARY  SUBSTATIONS'!$D27-'[2]PRIMARY  SUBSTATIONS'!$D27</f>
        <v>54241.95567649242</v>
      </c>
      <c r="E28" s="4"/>
      <c r="F28" s="4">
        <f>'[1]PRIMARY  SUBSTATIONS'!$F27-'[2]PRIMARY  SUBSTATIONS'!$F27</f>
        <v>53898.621457806206</v>
      </c>
      <c r="G28" s="4"/>
      <c r="H28" s="4">
        <f>'[1]PRIMARY  SUBSTATIONS'!$H27-'[2]PRIMARY  SUBSTATIONS'!$H27</f>
        <v>45028.808261722792</v>
      </c>
      <c r="I28" s="4"/>
      <c r="J28" s="4">
        <f>'[1]PRIMARY  SUBSTATIONS'!$J27-'[2]PRIMARY  SUBSTATIONS'!$J27</f>
        <v>44743.790317400941</v>
      </c>
      <c r="K28" s="4"/>
      <c r="L28" s="4">
        <f>'[1]PRIMARY  SUBSTATIONS'!$L27-'[2]PRIMARY  SUBSTATIONS'!$L27</f>
        <v>39759.11979894212</v>
      </c>
      <c r="N28" s="4">
        <f>'[1]PRIMARY  SUBSTATIONS'!$N27-'[2]PRIMARY  SUBSTATIONS'!$N27</f>
        <v>39507.4572959668</v>
      </c>
      <c r="O28" s="4"/>
      <c r="P28" s="4">
        <f>'[1]PRIMARY  SUBSTATIONS'!$P27-'[2]PRIMARY  SUBSTATIONS'!$P27</f>
        <v>40530.028423536918</v>
      </c>
      <c r="R28" s="4">
        <f>'[1]PRIMARY  SUBSTATIONS'!$R27-'[2]PRIMARY  SUBSTATIONS'!$R27</f>
        <v>40273.486315705813</v>
      </c>
      <c r="S28" s="4"/>
      <c r="T28" s="4">
        <f>'[1]PRIMARY  SUBSTATIONS'!$T27-'[2]PRIMARY  SUBSTATIONS'!$T27</f>
        <v>28517755.326265275</v>
      </c>
      <c r="V28" s="4">
        <f>'[1]PRIMARY  SUBSTATIONS'!$V27-'[2]PRIMARY  SUBSTATIONS'!$V27</f>
        <v>28354997.639812768</v>
      </c>
      <c r="X28" s="14">
        <f>'[1]PRIMARY  SUBSTATIONS'!$X27-'[2]PRIMARY  SUBSTATIONS'!$X27</f>
        <v>0</v>
      </c>
      <c r="Y28" s="14"/>
      <c r="Z28" s="14">
        <f>'[1]PRIMARY  SUBSTATIONS'!$Z27-'[2]PRIMARY  SUBSTATIONS'!$Z27</f>
        <v>0</v>
      </c>
    </row>
    <row r="29" spans="1:26" ht="25" customHeight="1">
      <c r="A29" s="15">
        <v>7</v>
      </c>
      <c r="B29" s="15" t="s">
        <v>22</v>
      </c>
      <c r="D29" s="4">
        <f>'[1]PRIMARY  SUBSTATIONS'!$D28-'[2]PRIMARY  SUBSTATIONS'!$D28</f>
        <v>50557.655575637356</v>
      </c>
      <c r="E29" s="4"/>
      <c r="F29" s="4">
        <f>'[1]PRIMARY  SUBSTATIONS'!$F28-'[2]PRIMARY  SUBSTATIONS'!$F28</f>
        <v>50237.641797388089</v>
      </c>
      <c r="G29" s="4"/>
      <c r="H29" s="4">
        <f>'[1]PRIMARY  SUBSTATIONS'!$H28-'[2]PRIMARY  SUBSTATIONS'!$H28</f>
        <v>41605.154208292719</v>
      </c>
      <c r="I29" s="4"/>
      <c r="J29" s="4">
        <f>'[1]PRIMARY  SUBSTATIONS'!$J28-'[2]PRIMARY  SUBSTATIONS'!$J28</f>
        <v>41341.806898350245</v>
      </c>
      <c r="K29" s="4"/>
      <c r="L29" s="4">
        <f>'[1]PRIMARY  SUBSTATIONS'!$L28-'[2]PRIMARY  SUBSTATIONS'!$L28</f>
        <v>40112.985651728231</v>
      </c>
      <c r="N29" s="4">
        <f>'[1]PRIMARY  SUBSTATIONS'!$N28-'[2]PRIMARY  SUBSTATIONS'!$N28</f>
        <v>39859.083291163435</v>
      </c>
      <c r="O29" s="4"/>
      <c r="P29" s="4">
        <f>'[1]PRIMARY  SUBSTATIONS'!$P28-'[2]PRIMARY  SUBSTATIONS'!$P28</f>
        <v>35134.121092742542</v>
      </c>
      <c r="R29" s="4">
        <f>'[1]PRIMARY  SUBSTATIONS'!$R28-'[2]PRIMARY  SUBSTATIONS'!$R28</f>
        <v>34911.733351294883</v>
      </c>
      <c r="S29" s="4"/>
      <c r="T29" s="4">
        <f>'[1]PRIMARY  SUBSTATIONS'!$T28-'[2]PRIMARY  SUBSTATIONS'!$T28</f>
        <v>28287320.677132964</v>
      </c>
      <c r="V29" s="4">
        <f>'[1]PRIMARY  SUBSTATIONS'!$V28-'[2]PRIMARY  SUBSTATIONS'!$V28</f>
        <v>28125878.136628747</v>
      </c>
      <c r="X29" s="14">
        <f>'[1]PRIMARY  SUBSTATIONS'!$X28-'[2]PRIMARY  SUBSTATIONS'!$X28</f>
        <v>0</v>
      </c>
      <c r="Y29" s="14"/>
      <c r="Z29" s="14">
        <f>'[1]PRIMARY  SUBSTATIONS'!$Z28-'[2]PRIMARY  SUBSTATIONS'!$Z28</f>
        <v>0</v>
      </c>
    </row>
    <row r="30" spans="1:26" ht="25" customHeight="1">
      <c r="A30" s="15">
        <v>8</v>
      </c>
      <c r="B30" s="15" t="s">
        <v>23</v>
      </c>
      <c r="D30" s="4">
        <f>'[1]PRIMARY  SUBSTATIONS'!$D29-'[2]PRIMARY  SUBSTATIONS'!$D29</f>
        <v>20740.684104349231</v>
      </c>
      <c r="E30" s="4"/>
      <c r="F30" s="4">
        <f>'[1]PRIMARY  SUBSTATIONS'!$F29-'[2]PRIMARY  SUBSTATIONS'!$F29</f>
        <v>20609.402212257148</v>
      </c>
      <c r="G30" s="4"/>
      <c r="H30" s="4">
        <f>'[1]PRIMARY  SUBSTATIONS'!$H29-'[2]PRIMARY  SUBSTATIONS'!$H29</f>
        <v>17227.813565529883</v>
      </c>
      <c r="I30" s="4"/>
      <c r="J30" s="4">
        <f>'[1]PRIMARY  SUBSTATIONS'!$J29-'[2]PRIMARY  SUBSTATIONS'!$J29</f>
        <v>17118.767019614927</v>
      </c>
      <c r="K30" s="4"/>
      <c r="L30" s="4">
        <f>'[1]PRIMARY  SUBSTATIONS'!$L29-'[2]PRIMARY  SUBSTATIONS'!$L29</f>
        <v>14937.506623961963</v>
      </c>
      <c r="N30" s="4">
        <f>'[1]PRIMARY  SUBSTATIONS'!$N29-'[2]PRIMARY  SUBSTATIONS'!$N29</f>
        <v>14842.956987948623</v>
      </c>
      <c r="O30" s="4"/>
      <c r="P30" s="4">
        <f>'[1]PRIMARY  SUBSTATIONS'!$P29-'[2]PRIMARY  SUBSTATIONS'!$P29</f>
        <v>14490.923707611044</v>
      </c>
      <c r="R30" s="4">
        <f>'[1]PRIMARY  SUBSTATIONS'!$R29-'[2]PRIMARY  SUBSTATIONS'!$R29</f>
        <v>14399.200798524544</v>
      </c>
      <c r="S30" s="4"/>
      <c r="T30" s="4">
        <f>'[1]PRIMARY  SUBSTATIONS'!$T29-'[2]PRIMARY  SUBSTATIONS'!$T29</f>
        <v>13109163.23085165</v>
      </c>
      <c r="V30" s="4">
        <f>'[1]PRIMARY  SUBSTATIONS'!$V29-'[2]PRIMARY  SUBSTATIONS'!$V29</f>
        <v>13034346.084327698</v>
      </c>
      <c r="X30" s="14">
        <f>'[1]PRIMARY  SUBSTATIONS'!$X29-'[2]PRIMARY  SUBSTATIONS'!$X29</f>
        <v>0</v>
      </c>
      <c r="Y30" s="14"/>
      <c r="Z30" s="14">
        <f>'[1]PRIMARY  SUBSTATIONS'!$Z29-'[2]PRIMARY  SUBSTATIONS'!$Z29</f>
        <v>0</v>
      </c>
    </row>
    <row r="31" spans="1:26" ht="25" customHeight="1">
      <c r="A31" s="15">
        <v>9</v>
      </c>
      <c r="B31" s="15" t="s">
        <v>24</v>
      </c>
      <c r="D31" s="4">
        <f>'[1]PRIMARY  SUBSTATIONS'!$D30-'[2]PRIMARY  SUBSTATIONS'!$D30</f>
        <v>7167.7478050206555</v>
      </c>
      <c r="E31" s="4"/>
      <c r="F31" s="4">
        <f>'[1]PRIMARY  SUBSTATIONS'!$F30-'[2]PRIMARY  SUBSTATIONS'!$F30</f>
        <v>7122.3782555329381</v>
      </c>
      <c r="G31" s="4"/>
      <c r="H31" s="4">
        <f>'[1]PRIMARY  SUBSTATIONS'!$H30-'[2]PRIMARY  SUBSTATIONS'!$H30</f>
        <v>5999.6147683457239</v>
      </c>
      <c r="I31" s="4"/>
      <c r="J31" s="4">
        <f>'[1]PRIMARY  SUBSTATIONS'!$J30-'[2]PRIMARY  SUBSTATIONS'!$J30</f>
        <v>5961.6391271060565</v>
      </c>
      <c r="K31" s="4"/>
      <c r="L31" s="4">
        <f>'[1]PRIMARY  SUBSTATIONS'!$L30-'[2]PRIMARY  SUBSTATIONS'!$L30</f>
        <v>5366.8796327438904</v>
      </c>
      <c r="N31" s="4">
        <f>'[1]PRIMARY  SUBSTATIONS'!$N30-'[2]PRIMARY  SUBSTATIONS'!$N30</f>
        <v>5332.9090023986064</v>
      </c>
      <c r="O31" s="4"/>
      <c r="P31" s="4">
        <f>'[1]PRIMARY  SUBSTATIONS'!$P30-'[2]PRIMARY  SUBSTATIONS'!$P30</f>
        <v>5329.6751734392019</v>
      </c>
      <c r="R31" s="4">
        <f>'[1]PRIMARY  SUBSTATIONS'!$R30-'[2]PRIMARY  SUBSTATIONS'!$R30</f>
        <v>5295.9400354136014</v>
      </c>
      <c r="S31" s="4"/>
      <c r="T31" s="4">
        <f>'[1]PRIMARY  SUBSTATIONS'!$T30-'[2]PRIMARY  SUBSTATIONS'!$T30</f>
        <v>4116175.4699473381</v>
      </c>
      <c r="V31" s="4">
        <f>'[1]PRIMARY  SUBSTATIONS'!$V30-'[2]PRIMARY  SUBSTATIONS'!$V30</f>
        <v>4092683.4668476582</v>
      </c>
      <c r="X31" s="14">
        <f>'[1]PRIMARY  SUBSTATIONS'!$X30-'[2]PRIMARY  SUBSTATIONS'!$X30</f>
        <v>0</v>
      </c>
      <c r="Y31" s="14"/>
      <c r="Z31" s="14">
        <f>'[1]PRIMARY  SUBSTATIONS'!$Z30-'[2]PRIMARY  SUBSTATIONS'!$Z30</f>
        <v>0</v>
      </c>
    </row>
    <row r="32" spans="1:26" ht="25" customHeight="1">
      <c r="A32" s="15">
        <v>10</v>
      </c>
      <c r="B32" s="15" t="s">
        <v>25</v>
      </c>
      <c r="D32" s="4">
        <f>'[1]PRIMARY  SUBSTATIONS'!$D31-'[2]PRIMARY  SUBSTATIONS'!$D31</f>
        <v>4660.1227187287295</v>
      </c>
      <c r="E32" s="4"/>
      <c r="F32" s="4">
        <f>'[1]PRIMARY  SUBSTATIONS'!$F31-'[2]PRIMARY  SUBSTATIONS'!$F31</f>
        <v>4630.6256334437057</v>
      </c>
      <c r="G32" s="4"/>
      <c r="H32" s="4">
        <f>'[1]PRIMARY  SUBSTATIONS'!$H31-'[2]PRIMARY  SUBSTATIONS'!$H31</f>
        <v>3843.4925229874207</v>
      </c>
      <c r="I32" s="4"/>
      <c r="J32" s="4">
        <f>'[1]PRIMARY  SUBSTATIONS'!$J31-'[2]PRIMARY  SUBSTATIONS'!$J31</f>
        <v>3819.1644454698544</v>
      </c>
      <c r="K32" s="4"/>
      <c r="L32" s="4">
        <f>'[1]PRIMARY  SUBSTATIONS'!$L31-'[2]PRIMARY  SUBSTATIONS'!$L31</f>
        <v>3550.7445903107291</v>
      </c>
      <c r="N32" s="4">
        <f>'[1]PRIMARY  SUBSTATIONS'!$N31-'[2]PRIMARY  SUBSTATIONS'!$N31</f>
        <v>3528.2695135097019</v>
      </c>
      <c r="O32" s="4"/>
      <c r="P32" s="4">
        <f>'[1]PRIMARY  SUBSTATIONS'!$P31-'[2]PRIMARY  SUBSTATIONS'!$P31</f>
        <v>3550.7445903107291</v>
      </c>
      <c r="R32" s="4">
        <f>'[1]PRIMARY  SUBSTATIONS'!$R31-'[2]PRIMARY  SUBSTATIONS'!$R31</f>
        <v>3528.2695135097019</v>
      </c>
      <c r="S32" s="4"/>
      <c r="T32" s="4">
        <f>'[1]PRIMARY  SUBSTATIONS'!$T31-'[2]PRIMARY  SUBSTATIONS'!$T31</f>
        <v>2590236.844612956</v>
      </c>
      <c r="V32" s="4">
        <f>'[1]PRIMARY  SUBSTATIONS'!$V31-'[2]PRIMARY  SUBSTATIONS'!$V31</f>
        <v>2575453.7401446104</v>
      </c>
      <c r="X32" s="14">
        <f>'[1]PRIMARY  SUBSTATIONS'!$X31-'[2]PRIMARY  SUBSTATIONS'!$X31</f>
        <v>0</v>
      </c>
      <c r="Y32" s="14"/>
      <c r="Z32" s="14">
        <f>'[1]PRIMARY  SUBSTATIONS'!$Z31-'[2]PRIMARY  SUBSTATIONS'!$Z31</f>
        <v>0</v>
      </c>
    </row>
    <row r="33" spans="1:26" ht="25" customHeight="1">
      <c r="A33" s="15">
        <v>11</v>
      </c>
      <c r="B33" s="15" t="s">
        <v>26</v>
      </c>
      <c r="D33" s="4">
        <f>'[1]PRIMARY  SUBSTATIONS'!$D32-'[2]PRIMARY  SUBSTATIONS'!$D32</f>
        <v>4721.5728154031094</v>
      </c>
      <c r="E33" s="4"/>
      <c r="F33" s="4">
        <f>'[1]PRIMARY  SUBSTATIONS'!$F32-'[2]PRIMARY  SUBSTATIONS'!$F32</f>
        <v>4691.6867706739577</v>
      </c>
      <c r="G33" s="4"/>
      <c r="H33" s="4">
        <f>'[1]PRIMARY  SUBSTATIONS'!$H32-'[2]PRIMARY  SUBSTATIONS'!$H32</f>
        <v>3906.1593780271942</v>
      </c>
      <c r="I33" s="4"/>
      <c r="J33" s="4">
        <f>'[1]PRIMARY  SUBSTATIONS'!$J32-'[2]PRIMARY  SUBSTATIONS'!$J32</f>
        <v>3881.4346393743763</v>
      </c>
      <c r="K33" s="4"/>
      <c r="L33" s="4">
        <f>'[1]PRIMARY  SUBSTATIONS'!$L32-'[2]PRIMARY  SUBSTATIONS'!$L32</f>
        <v>3649.5434450565372</v>
      </c>
      <c r="N33" s="4">
        <f>'[1]PRIMARY  SUBSTATIONS'!$N32-'[2]PRIMARY  SUBSTATIONS'!$N32</f>
        <v>3626.4430031265365</v>
      </c>
      <c r="O33" s="4"/>
      <c r="P33" s="4">
        <f>'[1]PRIMARY  SUBSTATIONS'!$P32-'[2]PRIMARY  SUBSTATIONS'!$P32</f>
        <v>3771.303417472518</v>
      </c>
      <c r="R33" s="4">
        <f>'[1]PRIMARY  SUBSTATIONS'!$R32-'[2]PRIMARY  SUBSTATIONS'!$R32</f>
        <v>3747.4322738877963</v>
      </c>
      <c r="S33" s="4"/>
      <c r="T33" s="4">
        <f>'[1]PRIMARY  SUBSTATIONS'!$T32-'[2]PRIMARY  SUBSTATIONS'!$T32</f>
        <v>2720906.1193717718</v>
      </c>
      <c r="V33" s="4">
        <f>'[1]PRIMARY  SUBSTATIONS'!$V32-'[2]PRIMARY  SUBSTATIONS'!$V32</f>
        <v>2705377.253934145</v>
      </c>
      <c r="X33" s="14">
        <f>'[1]PRIMARY  SUBSTATIONS'!$X32-'[2]PRIMARY  SUBSTATIONS'!$X32</f>
        <v>0</v>
      </c>
      <c r="Y33" s="14"/>
      <c r="Z33" s="14">
        <f>'[1]PRIMARY  SUBSTATIONS'!$Z32-'[2]PRIMARY  SUBSTATIONS'!$Z32</f>
        <v>0</v>
      </c>
    </row>
    <row r="34" spans="1:26" ht="25" customHeight="1" thickBot="1">
      <c r="A34" s="15">
        <v>12</v>
      </c>
      <c r="B34" s="15" t="s">
        <v>27</v>
      </c>
      <c r="D34" s="4">
        <f>'[1]PRIMARY  SUBSTATIONS'!$D33-'[2]PRIMARY  SUBSTATIONS'!$D33</f>
        <v>-1511.2681319300318</v>
      </c>
      <c r="E34" s="4"/>
      <c r="F34" s="4">
        <f>'[1]PRIMARY  SUBSTATIONS'!$F33-'[2]PRIMARY  SUBSTATIONS'!$F33</f>
        <v>-1501.7022883531172</v>
      </c>
      <c r="G34" s="4"/>
      <c r="H34" s="4">
        <f>'[1]PRIMARY  SUBSTATIONS'!$H33-'[2]PRIMARY  SUBSTATIONS'!$H33</f>
        <v>-1258.4665205953643</v>
      </c>
      <c r="I34" s="4"/>
      <c r="J34" s="4">
        <f>'[1]PRIMARY  SUBSTATIONS'!$J33-'[2]PRIMARY  SUBSTATIONS'!$J33</f>
        <v>-1250.5008303063223</v>
      </c>
      <c r="K34" s="4"/>
      <c r="L34" s="4">
        <f>'[1]PRIMARY  SUBSTATIONS'!$L33-'[2]PRIMARY  SUBSTATIONS'!$L33</f>
        <v>-1152.4023505046498</v>
      </c>
      <c r="N34" s="4">
        <f>'[1]PRIMARY  SUBSTATIONS'!$N33-'[2]PRIMARY  SUBSTATIONS'!$N33</f>
        <v>-1145.1080124652945</v>
      </c>
      <c r="O34" s="4"/>
      <c r="P34" s="4">
        <f>'[1]PRIMARY  SUBSTATIONS'!$P33-'[2]PRIMARY  SUBSTATIONS'!$P33</f>
        <v>-1234.0073729385622</v>
      </c>
      <c r="R34" s="4">
        <f>'[1]PRIMARY  SUBSTATIONS'!$R33-'[2]PRIMARY  SUBSTATIONS'!$R33</f>
        <v>-1226.1965012256987</v>
      </c>
      <c r="S34" s="4"/>
      <c r="T34" s="17">
        <f>'[1]PRIMARY  SUBSTATIONS'!$T33-'[2]PRIMARY  SUBSTATIONS'!$T33</f>
        <v>-864066.39669597149</v>
      </c>
      <c r="U34" s="16"/>
      <c r="V34" s="17">
        <f>'[1]PRIMARY  SUBSTATIONS'!$V33-'[2]PRIMARY  SUBSTATIONS'!$V33</f>
        <v>-859134.96201407909</v>
      </c>
      <c r="X34" s="14">
        <f>'[1]PRIMARY  SUBSTATIONS'!$X33-'[2]PRIMARY  SUBSTATIONS'!$X33</f>
        <v>0</v>
      </c>
      <c r="Y34" s="14"/>
      <c r="Z34" s="14">
        <f>'[1]PRIMARY  SUBSTATIONS'!$Z33-'[2]PRIMARY  SUBSTATIONS'!$Z33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240412695.39698833</v>
      </c>
      <c r="U35" s="16"/>
      <c r="V35" s="16">
        <f>+SUM(V23:V34)</f>
        <v>239040602.33955938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  <row r="42" spans="1:19" ht="15" customHeight="1">
      <c r="A42" s="5"/>
      <c r="E42" s="4"/>
      <c r="G42" s="4"/>
      <c r="I42" s="4"/>
      <c r="K42" s="4"/>
      <c r="O42" s="4"/>
      <c r="S42" s="4"/>
    </row>
  </sheetData>
  <pageMargins left="0.5" right="1" top="1.5" bottom="0.5" header="0.5" footer="0.5"/>
  <pageSetup orientation="landscape" scale="5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2"/>
  <sheetViews>
    <sheetView zoomScale="75" zoomScaleNormal="75" workbookViewId="0" topLeftCell="A1">
      <selection pane="topLeft" activeCell="A11" sqref="A11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4.57142857142857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5.71428571428571" style="3" customWidth="1"/>
    <col min="12" max="12" width="14.2857142857143" style="4" customWidth="1"/>
    <col min="13" max="13" width="2.71428571428571" style="4" customWidth="1"/>
    <col min="14" max="14" width="13.2857142857143" style="4" customWidth="1"/>
    <col min="15" max="15" width="4.14285714285714" style="3" customWidth="1"/>
    <col min="16" max="16" width="13.7142857142857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20.5714285714286" style="4" customWidth="1"/>
    <col min="21" max="21" width="2.71428571428571" style="4" customWidth="1"/>
    <col min="22" max="22" width="20.5714285714286" style="4" customWidth="1"/>
    <col min="23" max="23" width="3.71428571428571" style="3" customWidth="1"/>
    <col min="24" max="24" width="9.85714285714286" style="3" customWidth="1"/>
    <col min="25" max="25" width="1.71428571428571" style="3" customWidth="1"/>
    <col min="26" max="26" width="9.71428571428571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97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34</v>
      </c>
    </row>
    <row r="16" spans="1:1" ht="18.75" customHeight="1">
      <c r="A16" s="3" t="s">
        <v>35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[1]TRANSMISSION!$D22-[2]TRANSMISSION!$D22</f>
        <v>170902.76138059748</v>
      </c>
      <c r="E23" s="4"/>
      <c r="F23" s="4">
        <f>[1]TRANSMISSION!$F22-[2]TRANSMISSION!$F22</f>
        <v>170902.76138059748</v>
      </c>
      <c r="G23" s="4"/>
      <c r="H23" s="4">
        <f>[1]TRANSMISSION!$H22-[2]TRANSMISSION!$H22</f>
        <v>134731.10820895527</v>
      </c>
      <c r="I23" s="4"/>
      <c r="J23" s="4">
        <f>[1]TRANSMISSION!$J22-[2]TRANSMISSION!$J22</f>
        <v>134731.10820895527</v>
      </c>
      <c r="K23" s="4"/>
      <c r="L23" s="4">
        <f>[1]TRANSMISSION!$L22-[2]TRANSMISSION!$L22</f>
        <v>123056.7307835822</v>
      </c>
      <c r="N23" s="4">
        <f>[1]TRANSMISSION!$N22-[2]TRANSMISSION!$N22</f>
        <v>123056.7307835822</v>
      </c>
      <c r="O23" s="4"/>
      <c r="P23" s="4">
        <f>[1]TRANSMISSION!$P22-[2]TRANSMISSION!$P22</f>
        <v>123056.7307835822</v>
      </c>
      <c r="R23" s="4">
        <f>[1]TRANSMISSION!$R22-[2]TRANSMISSION!$R22</f>
        <v>123056.7307835822</v>
      </c>
      <c r="S23" s="4"/>
      <c r="T23" s="4">
        <f>[1]TRANSMISSION!$T22-[2]TRANSMISSION!$T22</f>
        <v>91403402.574626923</v>
      </c>
      <c r="V23" s="4">
        <f>[1]TRANSMISSION!$V22-[2]TRANSMISSION!$V22</f>
        <v>91403402.574626923</v>
      </c>
      <c r="X23" s="14">
        <f>[1]TRANSMISSION!$X22-[2]TRANSMISSION!$X22</f>
        <v>0</v>
      </c>
      <c r="Y23" s="14"/>
      <c r="Z23" s="14">
        <f>[1]TRANSMISSION!$Z22-[2]TRANSMISSION!$Z22</f>
        <v>0</v>
      </c>
    </row>
    <row r="24" spans="1:26" ht="25" customHeight="1">
      <c r="A24" s="15">
        <v>2</v>
      </c>
      <c r="B24" s="15" t="s">
        <v>17</v>
      </c>
      <c r="D24" s="4">
        <f>[1]TRANSMISSION!$D23-[2]TRANSMISSION!$D23</f>
        <v>168990.56141263992</v>
      </c>
      <c r="E24" s="4"/>
      <c r="F24" s="4">
        <f>[1]TRANSMISSION!$F23-[2]TRANSMISSION!$F23</f>
        <v>168990.56141263992</v>
      </c>
      <c r="G24" s="4"/>
      <c r="H24" s="4">
        <f>[1]TRANSMISSION!$H23-[2]TRANSMISSION!$H23</f>
        <v>126443.39821561379</v>
      </c>
      <c r="I24" s="4"/>
      <c r="J24" s="4">
        <f>[1]TRANSMISSION!$J23-[2]TRANSMISSION!$J23</f>
        <v>126443.39821561379</v>
      </c>
      <c r="K24" s="4"/>
      <c r="L24" s="4">
        <f>[1]TRANSMISSION!$L23-[2]TRANSMISSION!$L23</f>
        <v>69286.714572490891</v>
      </c>
      <c r="N24" s="4">
        <f>[1]TRANSMISSION!$N23-[2]TRANSMISSION!$N23</f>
        <v>69286.714572490891</v>
      </c>
      <c r="O24" s="4"/>
      <c r="P24" s="4">
        <f>[1]TRANSMISSION!$P23-[2]TRANSMISSION!$P23</f>
        <v>69636.702081784606</v>
      </c>
      <c r="R24" s="4">
        <f>[1]TRANSMISSION!$R23-[2]TRANSMISSION!$R23</f>
        <v>69636.702081784606</v>
      </c>
      <c r="S24" s="4"/>
      <c r="T24" s="4">
        <f>[1]TRANSMISSION!$T23-[2]TRANSMISSION!$T23</f>
        <v>79938866.31226778</v>
      </c>
      <c r="V24" s="4">
        <f>[1]TRANSMISSION!$V23-[2]TRANSMISSION!$V23</f>
        <v>79938866.31226778</v>
      </c>
      <c r="X24" s="14">
        <f>[1]TRANSMISSION!$X23-[2]TRANSMISSION!$X23</f>
        <v>0</v>
      </c>
      <c r="Y24" s="14"/>
      <c r="Z24" s="14">
        <f>[1]TRANSMISSION!$Z23-[2]TRANSMISSION!$Z23</f>
        <v>0</v>
      </c>
    </row>
    <row r="25" spans="1:26" ht="25" customHeight="1">
      <c r="A25" s="15">
        <v>3</v>
      </c>
      <c r="B25" s="15" t="s">
        <v>18</v>
      </c>
      <c r="D25" s="4">
        <f>[1]TRANSMISSION!$D24-[2]TRANSMISSION!$D24</f>
        <v>154643.96229629591</v>
      </c>
      <c r="E25" s="4"/>
      <c r="F25" s="4">
        <f>[1]TRANSMISSION!$F24-[2]TRANSMISSION!$F24</f>
        <v>154643.96229629591</v>
      </c>
      <c r="G25" s="4"/>
      <c r="H25" s="4">
        <f>[1]TRANSMISSION!$H24-[2]TRANSMISSION!$H24</f>
        <v>118892.96177777741</v>
      </c>
      <c r="I25" s="4"/>
      <c r="J25" s="4">
        <f>[1]TRANSMISSION!$J24-[2]TRANSMISSION!$J24</f>
        <v>118892.96177777741</v>
      </c>
      <c r="K25" s="4"/>
      <c r="L25" s="4">
        <f>[1]TRANSMISSION!$L24-[2]TRANSMISSION!$L24</f>
        <v>105483.39485185174</v>
      </c>
      <c r="N25" s="4">
        <f>[1]TRANSMISSION!$N24-[2]TRANSMISSION!$N24</f>
        <v>105483.39485185174</v>
      </c>
      <c r="O25" s="4"/>
      <c r="P25" s="4">
        <f>[1]TRANSMISSION!$P24-[2]TRANSMISSION!$P24</f>
        <v>116150.04988888884</v>
      </c>
      <c r="R25" s="4">
        <f>[1]TRANSMISSION!$R24-[2]TRANSMISSION!$R24</f>
        <v>116150.04988888884</v>
      </c>
      <c r="S25" s="4"/>
      <c r="T25" s="4">
        <f>[1]TRANSMISSION!$T24-[2]TRANSMISSION!$T24</f>
        <v>68483448.896296263</v>
      </c>
      <c r="V25" s="4">
        <f>[1]TRANSMISSION!$V24-[2]TRANSMISSION!$V24</f>
        <v>68483448.896296263</v>
      </c>
      <c r="X25" s="14">
        <f>[1]TRANSMISSION!$X24-[2]TRANSMISSION!$X24</f>
        <v>0</v>
      </c>
      <c r="Y25" s="14"/>
      <c r="Z25" s="14">
        <f>[1]TRANSMISSION!$Z24-[2]TRANSMISSION!$Z24</f>
        <v>0</v>
      </c>
    </row>
    <row r="26" spans="1:26" ht="25" customHeight="1">
      <c r="A26" s="15">
        <v>4</v>
      </c>
      <c r="B26" s="15" t="s">
        <v>19</v>
      </c>
      <c r="D26" s="4">
        <f>[1]TRANSMISSION!$D25-[2]TRANSMISSION!$D25</f>
        <v>93010.442472727038</v>
      </c>
      <c r="E26" s="4"/>
      <c r="F26" s="4">
        <f>[1]TRANSMISSION!$F25-[2]TRANSMISSION!$F25</f>
        <v>93010.442472727038</v>
      </c>
      <c r="G26" s="4"/>
      <c r="H26" s="4">
        <f>[1]TRANSMISSION!$H25-[2]TRANSMISSION!$H25</f>
        <v>74976.853818181902</v>
      </c>
      <c r="I26" s="4"/>
      <c r="J26" s="4">
        <f>[1]TRANSMISSION!$J25-[2]TRANSMISSION!$J25</f>
        <v>74976.853818181902</v>
      </c>
      <c r="K26" s="4"/>
      <c r="L26" s="4">
        <f>[1]TRANSMISSION!$L25-[2]TRANSMISSION!$L25</f>
        <v>70547.549381818157</v>
      </c>
      <c r="N26" s="4">
        <f>[1]TRANSMISSION!$N25-[2]TRANSMISSION!$N25</f>
        <v>70547.549381818157</v>
      </c>
      <c r="O26" s="4"/>
      <c r="P26" s="4">
        <f>[1]TRANSMISSION!$P25-[2]TRANSMISSION!$P25</f>
        <v>68013.82487272704</v>
      </c>
      <c r="R26" s="4">
        <f>[1]TRANSMISSION!$R25-[2]TRANSMISSION!$R25</f>
        <v>68013.82487272704</v>
      </c>
      <c r="S26" s="4"/>
      <c r="T26" s="4">
        <f>[1]TRANSMISSION!$T25-[2]TRANSMISSION!$T25</f>
        <v>48006803.374545574</v>
      </c>
      <c r="V26" s="4">
        <f>[1]TRANSMISSION!$V25-[2]TRANSMISSION!$V25</f>
        <v>48006803.374545574</v>
      </c>
      <c r="X26" s="14">
        <f>[1]TRANSMISSION!$X25-[2]TRANSMISSION!$X25</f>
        <v>0</v>
      </c>
      <c r="Y26" s="14"/>
      <c r="Z26" s="14">
        <f>[1]TRANSMISSION!$Z25-[2]TRANSMISSION!$Z25</f>
        <v>0</v>
      </c>
    </row>
    <row r="27" spans="1:26" ht="25" customHeight="1">
      <c r="A27" s="15">
        <v>5</v>
      </c>
      <c r="B27" s="15" t="s">
        <v>20</v>
      </c>
      <c r="D27" s="4">
        <f>[1]TRANSMISSION!$D26-[2]TRANSMISSION!$D26</f>
        <v>70993.606353790034</v>
      </c>
      <c r="E27" s="4"/>
      <c r="F27" s="4">
        <f>[1]TRANSMISSION!$F26-[2]TRANSMISSION!$F26</f>
        <v>70993.606353790034</v>
      </c>
      <c r="G27" s="4"/>
      <c r="H27" s="4">
        <f>[1]TRANSMISSION!$H26-[2]TRANSMISSION!$H26</f>
        <v>56221.68281588424</v>
      </c>
      <c r="I27" s="4"/>
      <c r="J27" s="4">
        <f>[1]TRANSMISSION!$J26-[2]TRANSMISSION!$J26</f>
        <v>56221.68281588424</v>
      </c>
      <c r="K27" s="4"/>
      <c r="L27" s="4">
        <f>[1]TRANSMISSION!$L26-[2]TRANSMISSION!$L26</f>
        <v>53851.473140793853</v>
      </c>
      <c r="N27" s="4">
        <f>[1]TRANSMISSION!$N26-[2]TRANSMISSION!$N26</f>
        <v>53851.473140793853</v>
      </c>
      <c r="O27" s="4"/>
      <c r="P27" s="4">
        <f>[1]TRANSMISSION!$P26-[2]TRANSMISSION!$P26</f>
        <v>53851.473140793853</v>
      </c>
      <c r="R27" s="4">
        <f>[1]TRANSMISSION!$R26-[2]TRANSMISSION!$R26</f>
        <v>53851.473140793853</v>
      </c>
      <c r="S27" s="4"/>
      <c r="T27" s="4">
        <f>[1]TRANSMISSION!$T26-[2]TRANSMISSION!$T26</f>
        <v>37693689.18411541</v>
      </c>
      <c r="V27" s="4">
        <f>[1]TRANSMISSION!$V26-[2]TRANSMISSION!$V26</f>
        <v>37693689.18411541</v>
      </c>
      <c r="X27" s="14">
        <f>[1]TRANSMISSION!$X26-[2]TRANSMISSION!$X26</f>
        <v>0</v>
      </c>
      <c r="Y27" s="14"/>
      <c r="Z27" s="14">
        <f>[1]TRANSMISSION!$Z26-[2]TRANSMISSION!$Z26</f>
        <v>0</v>
      </c>
    </row>
    <row r="28" spans="1:26" ht="25" customHeight="1">
      <c r="A28" s="15">
        <v>6</v>
      </c>
      <c r="B28" s="15" t="s">
        <v>21</v>
      </c>
      <c r="D28" s="4">
        <f>[1]TRANSMISSION!$D27-[2]TRANSMISSION!$D27</f>
        <v>61961.656294963788</v>
      </c>
      <c r="E28" s="4"/>
      <c r="F28" s="4">
        <f>[1]TRANSMISSION!$F27-[2]TRANSMISSION!$F27</f>
        <v>61961.656294963788</v>
      </c>
      <c r="G28" s="4"/>
      <c r="H28" s="4">
        <f>[1]TRANSMISSION!$H27-[2]TRANSMISSION!$H27</f>
        <v>47706.643525179476</v>
      </c>
      <c r="I28" s="4"/>
      <c r="J28" s="4">
        <f>[1]TRANSMISSION!$J27-[2]TRANSMISSION!$J27</f>
        <v>47706.643525179476</v>
      </c>
      <c r="K28" s="4"/>
      <c r="L28" s="4">
        <f>[1]TRANSMISSION!$L27-[2]TRANSMISSION!$L27</f>
        <v>40392.123381294776</v>
      </c>
      <c r="N28" s="4">
        <f>[1]TRANSMISSION!$N27-[2]TRANSMISSION!$N27</f>
        <v>40392.123381294776</v>
      </c>
      <c r="O28" s="4"/>
      <c r="P28" s="4">
        <f>[1]TRANSMISSION!$P27-[2]TRANSMISSION!$P27</f>
        <v>38697.458992805332</v>
      </c>
      <c r="R28" s="4">
        <f>[1]TRANSMISSION!$R27-[2]TRANSMISSION!$R27</f>
        <v>38697.458992805332</v>
      </c>
      <c r="S28" s="4"/>
      <c r="T28" s="4">
        <f>[1]TRANSMISSION!$T27-[2]TRANSMISSION!$T27</f>
        <v>31280855.035971165</v>
      </c>
      <c r="V28" s="4">
        <f>[1]TRANSMISSION!$V27-[2]TRANSMISSION!$V27</f>
        <v>31280855.035971165</v>
      </c>
      <c r="X28" s="14">
        <f>[1]TRANSMISSION!$X27-[2]TRANSMISSION!$X27</f>
        <v>0</v>
      </c>
      <c r="Y28" s="14"/>
      <c r="Z28" s="14">
        <f>[1]TRANSMISSION!$Z27-[2]TRANSMISSION!$Z27</f>
        <v>0</v>
      </c>
    </row>
    <row r="29" spans="1:26" ht="25" customHeight="1">
      <c r="A29" s="15">
        <v>7</v>
      </c>
      <c r="B29" s="15" t="s">
        <v>22</v>
      </c>
      <c r="D29" s="4">
        <f>[1]TRANSMISSION!$D28-[2]TRANSMISSION!$D28</f>
        <v>12043.654609928839</v>
      </c>
      <c r="E29" s="4"/>
      <c r="F29" s="4">
        <f>[1]TRANSMISSION!$F28-[2]TRANSMISSION!$F28</f>
        <v>12043.654609928839</v>
      </c>
      <c r="G29" s="4"/>
      <c r="H29" s="4">
        <f>[1]TRANSMISSION!$H28-[2]TRANSMISSION!$H28</f>
        <v>9364.8856028369628</v>
      </c>
      <c r="I29" s="4"/>
      <c r="J29" s="4">
        <f>[1]TRANSMISSION!$J28-[2]TRANSMISSION!$J28</f>
        <v>9364.8856028369628</v>
      </c>
      <c r="K29" s="4"/>
      <c r="L29" s="4">
        <f>[1]TRANSMISSION!$L28-[2]TRANSMISSION!$L28</f>
        <v>8952.644361701794</v>
      </c>
      <c r="N29" s="4">
        <f>[1]TRANSMISSION!$N28-[2]TRANSMISSION!$N28</f>
        <v>8952.644361701794</v>
      </c>
      <c r="O29" s="4"/>
      <c r="P29" s="4">
        <f>[1]TRANSMISSION!$P28-[2]TRANSMISSION!$P28</f>
        <v>7338.0714893615805</v>
      </c>
      <c r="R29" s="4">
        <f>[1]TRANSMISSION!$R28-[2]TRANSMISSION!$R28</f>
        <v>7338.0714893615805</v>
      </c>
      <c r="S29" s="4"/>
      <c r="T29" s="4">
        <f>[1]TRANSMISSION!$T28-[2]TRANSMISSION!$T28</f>
        <v>6302122.1134750843</v>
      </c>
      <c r="V29" s="4">
        <f>[1]TRANSMISSION!$V28-[2]TRANSMISSION!$V28</f>
        <v>6302122.1134750843</v>
      </c>
      <c r="X29" s="14">
        <f>[1]TRANSMISSION!$X28-[2]TRANSMISSION!$X28</f>
        <v>0</v>
      </c>
      <c r="Y29" s="14"/>
      <c r="Z29" s="14">
        <f>[1]TRANSMISSION!$Z28-[2]TRANSMISSION!$Z28</f>
        <v>0</v>
      </c>
    </row>
    <row r="30" spans="1:26" ht="25" customHeight="1">
      <c r="A30" s="15">
        <v>8</v>
      </c>
      <c r="B30" s="15" t="s">
        <v>23</v>
      </c>
      <c r="D30" s="4">
        <f>[1]TRANSMISSION!$D29-[2]TRANSMISSION!$D29</f>
        <v>12238.515744680539</v>
      </c>
      <c r="E30" s="4"/>
      <c r="F30" s="4">
        <f>[1]TRANSMISSION!$F29-[2]TRANSMISSION!$F29</f>
        <v>12238.515744680539</v>
      </c>
      <c r="G30" s="4"/>
      <c r="H30" s="4">
        <f>[1]TRANSMISSION!$H29-[2]TRANSMISSION!$H29</f>
        <v>9636.2970921983942</v>
      </c>
      <c r="I30" s="4"/>
      <c r="J30" s="4">
        <f>[1]TRANSMISSION!$J29-[2]TRANSMISSION!$J29</f>
        <v>9636.2970921983942</v>
      </c>
      <c r="K30" s="4"/>
      <c r="L30" s="4">
        <f>[1]TRANSMISSION!$L29-[2]TRANSMISSION!$L29</f>
        <v>8144.1308510638773</v>
      </c>
      <c r="N30" s="4">
        <f>[1]TRANSMISSION!$N29-[2]TRANSMISSION!$N29</f>
        <v>8144.1308510638773</v>
      </c>
      <c r="O30" s="4"/>
      <c r="P30" s="4">
        <f>[1]TRANSMISSION!$P29-[2]TRANSMISSION!$P29</f>
        <v>7529.3262411346659</v>
      </c>
      <c r="R30" s="4">
        <f>[1]TRANSMISSION!$R29-[2]TRANSMISSION!$R29</f>
        <v>7529.3262411346659</v>
      </c>
      <c r="S30" s="4"/>
      <c r="T30" s="4">
        <f>[1]TRANSMISSION!$T29-[2]TRANSMISSION!$T29</f>
        <v>6361184.6489362717</v>
      </c>
      <c r="V30" s="4">
        <f>[1]TRANSMISSION!$V29-[2]TRANSMISSION!$V29</f>
        <v>6361184.6489362717</v>
      </c>
      <c r="X30" s="14">
        <f>[1]TRANSMISSION!$X29-[2]TRANSMISSION!$X29</f>
        <v>0</v>
      </c>
      <c r="Y30" s="14"/>
      <c r="Z30" s="14">
        <f>[1]TRANSMISSION!$Z29-[2]TRANSMISSION!$Z29</f>
        <v>0</v>
      </c>
    </row>
    <row r="31" spans="1:26" ht="25" customHeight="1">
      <c r="A31" s="15">
        <v>9</v>
      </c>
      <c r="B31" s="15" t="s">
        <v>24</v>
      </c>
      <c r="D31" s="4">
        <f>[1]TRANSMISSION!$D30-[2]TRANSMISSION!$D30</f>
        <v>0</v>
      </c>
      <c r="E31" s="4"/>
      <c r="F31" s="4">
        <f>[1]TRANSMISSION!$F30-[2]TRANSMISSION!$F30</f>
        <v>0</v>
      </c>
      <c r="G31" s="4"/>
      <c r="H31" s="4">
        <f>[1]TRANSMISSION!$H30-[2]TRANSMISSION!$H30</f>
        <v>0</v>
      </c>
      <c r="I31" s="4"/>
      <c r="J31" s="4">
        <f>[1]TRANSMISSION!$J30-[2]TRANSMISSION!$J30</f>
        <v>0</v>
      </c>
      <c r="K31" s="4"/>
      <c r="L31" s="4">
        <f>[1]TRANSMISSION!$L30-[2]TRANSMISSION!$L30</f>
        <v>0</v>
      </c>
      <c r="N31" s="4">
        <f>[1]TRANSMISSION!$N30-[2]TRANSMISSION!$N30</f>
        <v>0</v>
      </c>
      <c r="O31" s="4"/>
      <c r="P31" s="4">
        <f>[1]TRANSMISSION!$P30-[2]TRANSMISSION!$P30</f>
        <v>0</v>
      </c>
      <c r="R31" s="4">
        <f>[1]TRANSMISSION!$R30-[2]TRANSMISSION!$R30</f>
        <v>0</v>
      </c>
      <c r="S31" s="4"/>
      <c r="T31" s="4">
        <f>[1]TRANSMISSION!$T30-[2]TRANSMISSION!$T30</f>
        <v>0</v>
      </c>
      <c r="V31" s="4">
        <f>[1]TRANSMISSION!$V30-[2]TRANSMISSION!$V30</f>
        <v>0</v>
      </c>
      <c r="X31" s="14">
        <f>[1]TRANSMISSION!$X30-[2]TRANSMISSION!$X30</f>
        <v>0</v>
      </c>
      <c r="Y31" s="14"/>
      <c r="Z31" s="14">
        <f>[1]TRANSMISSION!$Z30-[2]TRANSMISSION!$Z30</f>
        <v>0</v>
      </c>
    </row>
    <row r="32" spans="1:26" ht="25" customHeight="1">
      <c r="A32" s="15">
        <v>10</v>
      </c>
      <c r="B32" s="15" t="s">
        <v>25</v>
      </c>
      <c r="D32" s="4">
        <f>[1]TRANSMISSION!$D31-[2]TRANSMISSION!$D31</f>
        <v>0</v>
      </c>
      <c r="E32" s="4"/>
      <c r="F32" s="4">
        <f>[1]TRANSMISSION!$F31-[2]TRANSMISSION!$F31</f>
        <v>0</v>
      </c>
      <c r="G32" s="4"/>
      <c r="H32" s="4">
        <f>[1]TRANSMISSION!$H31-[2]TRANSMISSION!$H31</f>
        <v>0</v>
      </c>
      <c r="I32" s="4"/>
      <c r="J32" s="4">
        <f>[1]TRANSMISSION!$J31-[2]TRANSMISSION!$J31</f>
        <v>0</v>
      </c>
      <c r="K32" s="4"/>
      <c r="L32" s="4">
        <f>[1]TRANSMISSION!$L31-[2]TRANSMISSION!$L31</f>
        <v>0</v>
      </c>
      <c r="N32" s="4">
        <f>[1]TRANSMISSION!$N31-[2]TRANSMISSION!$N31</f>
        <v>0</v>
      </c>
      <c r="O32" s="4"/>
      <c r="P32" s="4">
        <f>[1]TRANSMISSION!$P31-[2]TRANSMISSION!$P31</f>
        <v>0</v>
      </c>
      <c r="R32" s="4">
        <f>[1]TRANSMISSION!$R31-[2]TRANSMISSION!$R31</f>
        <v>0</v>
      </c>
      <c r="S32" s="4"/>
      <c r="T32" s="4">
        <f>[1]TRANSMISSION!$T31-[2]TRANSMISSION!$T31</f>
        <v>0</v>
      </c>
      <c r="V32" s="4">
        <f>[1]TRANSMISSION!$V31-[2]TRANSMISSION!$V31</f>
        <v>0</v>
      </c>
      <c r="X32" s="14">
        <f>[1]TRANSMISSION!$X31-[2]TRANSMISSION!$X31</f>
        <v>0</v>
      </c>
      <c r="Y32" s="14"/>
      <c r="Z32" s="14">
        <f>[1]TRANSMISSION!$Z31-[2]TRANSMISSION!$Z31</f>
        <v>0</v>
      </c>
    </row>
    <row r="33" spans="1:26" ht="25" customHeight="1">
      <c r="A33" s="15">
        <v>11</v>
      </c>
      <c r="B33" s="15" t="s">
        <v>26</v>
      </c>
      <c r="D33" s="4">
        <f>[1]TRANSMISSION!$D32-[2]TRANSMISSION!$D32</f>
        <v>0</v>
      </c>
      <c r="E33" s="4"/>
      <c r="F33" s="4">
        <f>[1]TRANSMISSION!$F32-[2]TRANSMISSION!$F32</f>
        <v>0</v>
      </c>
      <c r="G33" s="4"/>
      <c r="H33" s="4">
        <f>[1]TRANSMISSION!$H32-[2]TRANSMISSION!$H32</f>
        <v>0</v>
      </c>
      <c r="I33" s="4"/>
      <c r="J33" s="4">
        <f>[1]TRANSMISSION!$J32-[2]TRANSMISSION!$J32</f>
        <v>0</v>
      </c>
      <c r="K33" s="4"/>
      <c r="L33" s="4">
        <f>[1]TRANSMISSION!$L32-[2]TRANSMISSION!$L32</f>
        <v>0</v>
      </c>
      <c r="N33" s="4">
        <f>[1]TRANSMISSION!$N32-[2]TRANSMISSION!$N32</f>
        <v>0</v>
      </c>
      <c r="O33" s="4"/>
      <c r="P33" s="4">
        <f>[1]TRANSMISSION!$P32-[2]TRANSMISSION!$P32</f>
        <v>0</v>
      </c>
      <c r="R33" s="4">
        <f>[1]TRANSMISSION!$R32-[2]TRANSMISSION!$R32</f>
        <v>0</v>
      </c>
      <c r="S33" s="4"/>
      <c r="T33" s="4">
        <f>[1]TRANSMISSION!$T32-[2]TRANSMISSION!$T32</f>
        <v>0</v>
      </c>
      <c r="V33" s="4">
        <f>[1]TRANSMISSION!$V32-[2]TRANSMISSION!$V32</f>
        <v>0</v>
      </c>
      <c r="X33" s="14">
        <f>[1]TRANSMISSION!$X32-[2]TRANSMISSION!$X32</f>
        <v>0</v>
      </c>
      <c r="Y33" s="14"/>
      <c r="Z33" s="14">
        <f>[1]TRANSMISSION!$Z32-[2]TRANSMISSION!$Z32</f>
        <v>0</v>
      </c>
    </row>
    <row r="34" spans="1:26" ht="25" customHeight="1" thickBot="1">
      <c r="A34" s="15">
        <v>12</v>
      </c>
      <c r="B34" s="15" t="s">
        <v>27</v>
      </c>
      <c r="D34" s="4">
        <f>[1]TRANSMISSION!$D33-[2]TRANSMISSION!$D33</f>
        <v>0</v>
      </c>
      <c r="E34" s="4"/>
      <c r="F34" s="4">
        <f>[1]TRANSMISSION!$F33-[2]TRANSMISSION!$F33</f>
        <v>0</v>
      </c>
      <c r="G34" s="4"/>
      <c r="H34" s="4">
        <f>[1]TRANSMISSION!$H33-[2]TRANSMISSION!$H33</f>
        <v>0</v>
      </c>
      <c r="I34" s="4"/>
      <c r="J34" s="4">
        <f>[1]TRANSMISSION!$J33-[2]TRANSMISSION!$J33</f>
        <v>0</v>
      </c>
      <c r="K34" s="4"/>
      <c r="L34" s="4">
        <f>[1]TRANSMISSION!$L33-[2]TRANSMISSION!$L33</f>
        <v>0</v>
      </c>
      <c r="N34" s="4">
        <f>[1]TRANSMISSION!$N33-[2]TRANSMISSION!$N33</f>
        <v>0</v>
      </c>
      <c r="O34" s="4"/>
      <c r="P34" s="4">
        <f>[1]TRANSMISSION!$P33-[2]TRANSMISSION!$P33</f>
        <v>0</v>
      </c>
      <c r="R34" s="4">
        <f>[1]TRANSMISSION!$R33-[2]TRANSMISSION!$R33</f>
        <v>0</v>
      </c>
      <c r="S34" s="4"/>
      <c r="T34" s="17">
        <f>[1]TRANSMISSION!$T33-[2]TRANSMISSION!$T33</f>
        <v>0</v>
      </c>
      <c r="V34" s="17">
        <f>[1]TRANSMISSION!$V33-[2]TRANSMISSION!$V33</f>
        <v>0</v>
      </c>
      <c r="X34" s="14">
        <f>[1]TRANSMISSION!$X33-[2]TRANSMISSION!$X33</f>
        <v>0</v>
      </c>
      <c r="Y34" s="14"/>
      <c r="Z34" s="14">
        <f>[1]TRANSMISSION!$Z33-[2]TRANSMISSION!$Z33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369470372.14023447</v>
      </c>
      <c r="U35" s="16"/>
      <c r="V35" s="16">
        <f>+SUM(V23:V34)</f>
        <v>369470372.14023447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  <row r="42" spans="1:19" ht="15" customHeight="1">
      <c r="A42" s="5"/>
      <c r="E42" s="4"/>
      <c r="G42" s="4"/>
      <c r="I42" s="4"/>
      <c r="K42" s="4"/>
      <c r="O42" s="4"/>
      <c r="S42" s="4"/>
    </row>
  </sheetData>
  <pageMargins left="0.5" right="1" top="1.5" bottom="0.5" header="0.5" footer="0.5"/>
  <pageSetup orientation="landscape" scale="5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A1">
      <selection pane="topLeft" activeCell="A11" sqref="A11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5.71428571428571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5.71428571428571" style="3" customWidth="1"/>
    <col min="12" max="12" width="12.7142857142857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2.7142857142857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17.7142857142857" style="4" customWidth="1"/>
    <col min="21" max="21" width="2.71428571428571" style="4" customWidth="1"/>
    <col min="22" max="22" width="17.7142857142857" style="4" customWidth="1"/>
    <col min="23" max="23" width="3.71428571428571" style="3" customWidth="1"/>
    <col min="24" max="24" width="9.85714285714286" style="3" customWidth="1"/>
    <col min="25" max="25" width="1.71428571428571" style="3" customWidth="1"/>
    <col min="26" max="26" width="10.2857142857143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98</v>
      </c>
    </row>
    <row r="3" spans="4:4" ht="18.75" customHeight="1">
      <c r="D3" s="18"/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36</v>
      </c>
    </row>
    <row r="16" spans="1:1" ht="18.75" customHeight="1">
      <c r="A16" s="3" t="s">
        <v>37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'[1]STREET LIGHTING'!$D22-'[2]STREET LIGHTING'!$D22</f>
        <v>-760.59620928225922</v>
      </c>
      <c r="E23" s="4"/>
      <c r="F23" s="4">
        <f>'[1]STREET LIGHTING'!$F22-'[2]STREET LIGHTING'!$F22</f>
        <v>-732.15545070664666</v>
      </c>
      <c r="G23" s="4"/>
      <c r="H23" s="4">
        <f>'[1]STREET LIGHTING'!$H22-'[2]STREET LIGHTING'!$H22</f>
        <v>-760.59620928225922</v>
      </c>
      <c r="I23" s="4"/>
      <c r="J23" s="4">
        <f>'[1]STREET LIGHTING'!$J22-'[2]STREET LIGHTING'!$J22</f>
        <v>-732.15545070664666</v>
      </c>
      <c r="K23" s="4"/>
      <c r="L23" s="4">
        <f>'[1]STREET LIGHTING'!$L22-'[2]STREET LIGHTING'!$L22</f>
        <v>0</v>
      </c>
      <c r="N23" s="4">
        <f>'[1]STREET LIGHTING'!$N22-'[2]STREET LIGHTING'!$N22</f>
        <v>0</v>
      </c>
      <c r="O23" s="4"/>
      <c r="P23" s="4">
        <f>'[1]STREET LIGHTING'!$P22-'[2]STREET LIGHTING'!$P22</f>
        <v>-760.59620928225922</v>
      </c>
      <c r="R23" s="4">
        <f>'[1]STREET LIGHTING'!$R22-'[2]STREET LIGHTING'!$R22</f>
        <v>-732.15545070664666</v>
      </c>
      <c r="S23" s="4"/>
      <c r="T23" s="4">
        <f>'[1]STREET LIGHTING'!$T22-'[2]STREET LIGHTING'!$T22</f>
        <v>-854037.10490410402</v>
      </c>
      <c r="V23" s="4">
        <f>'[1]STREET LIGHTING'!$V22-'[2]STREET LIGHTING'!$V22</f>
        <v>-823424.39999999851</v>
      </c>
      <c r="X23" s="14">
        <f>'[1]STREET LIGHTING'!$X22-'[2]STREET LIGHTING'!$X22</f>
        <v>0</v>
      </c>
      <c r="Y23" s="14"/>
      <c r="Z23" s="14">
        <f>'[1]STREET LIGHTING'!$Z22-'[2]STREET LIGHTING'!$Z22</f>
        <v>0</v>
      </c>
    </row>
    <row r="24" spans="1:26" ht="25" customHeight="1">
      <c r="A24" s="15">
        <v>2</v>
      </c>
      <c r="B24" s="15" t="s">
        <v>17</v>
      </c>
      <c r="D24" s="4">
        <f>'[1]STREET LIGHTING'!$D23-'[2]STREET LIGHTING'!$D23</f>
        <v>-760.59620928225922</v>
      </c>
      <c r="E24" s="4"/>
      <c r="F24" s="4">
        <f>'[1]STREET LIGHTING'!$F23-'[2]STREET LIGHTING'!$F23</f>
        <v>-732.15545070664666</v>
      </c>
      <c r="G24" s="4"/>
      <c r="H24" s="4">
        <f>'[1]STREET LIGHTING'!$H23-'[2]STREET LIGHTING'!$H23</f>
        <v>-760.59620928225922</v>
      </c>
      <c r="I24" s="4"/>
      <c r="J24" s="4">
        <f>'[1]STREET LIGHTING'!$J23-'[2]STREET LIGHTING'!$J23</f>
        <v>-732.15545070664666</v>
      </c>
      <c r="K24" s="4"/>
      <c r="L24" s="4">
        <f>'[1]STREET LIGHTING'!$L23-'[2]STREET LIGHTING'!$L23</f>
        <v>-760.59620928225922</v>
      </c>
      <c r="N24" s="4">
        <f>'[1]STREET LIGHTING'!$N23-'[2]STREET LIGHTING'!$N23</f>
        <v>-732.15545070664666</v>
      </c>
      <c r="O24" s="4"/>
      <c r="P24" s="4">
        <f>'[1]STREET LIGHTING'!$P23-'[2]STREET LIGHTING'!$P23</f>
        <v>-760.59620928225922</v>
      </c>
      <c r="R24" s="4">
        <f>'[1]STREET LIGHTING'!$R23-'[2]STREET LIGHTING'!$R23</f>
        <v>-732.15545070664666</v>
      </c>
      <c r="S24" s="4"/>
      <c r="T24" s="4">
        <f>'[1]STREET LIGHTING'!$T23-'[2]STREET LIGHTING'!$T23</f>
        <v>-776138.05137642846</v>
      </c>
      <c r="V24" s="4">
        <f>'[1]STREET LIGHTING'!$V23-'[2]STREET LIGHTING'!$V23</f>
        <v>-748317.61477572471</v>
      </c>
      <c r="X24" s="14">
        <f>'[1]STREET LIGHTING'!$X23-'[2]STREET LIGHTING'!$X23</f>
        <v>0</v>
      </c>
      <c r="Y24" s="14"/>
      <c r="Z24" s="14">
        <f>'[1]STREET LIGHTING'!$Z23-'[2]STREET LIGHTING'!$Z23</f>
        <v>0</v>
      </c>
    </row>
    <row r="25" spans="1:26" ht="25" customHeight="1">
      <c r="A25" s="15">
        <v>3</v>
      </c>
      <c r="B25" s="15" t="s">
        <v>18</v>
      </c>
      <c r="D25" s="4">
        <f>'[1]STREET LIGHTING'!$D24-'[2]STREET LIGHTING'!$D24</f>
        <v>-760.59620928225922</v>
      </c>
      <c r="E25" s="4"/>
      <c r="F25" s="4">
        <f>'[1]STREET LIGHTING'!$F24-'[2]STREET LIGHTING'!$F24</f>
        <v>-732.15545070664666</v>
      </c>
      <c r="G25" s="4"/>
      <c r="H25" s="4">
        <f>'[1]STREET LIGHTING'!$H24-'[2]STREET LIGHTING'!$H24</f>
        <v>-760.59620928225922</v>
      </c>
      <c r="I25" s="4"/>
      <c r="J25" s="4">
        <f>'[1]STREET LIGHTING'!$J24-'[2]STREET LIGHTING'!$J24</f>
        <v>-732.15545070664666</v>
      </c>
      <c r="K25" s="4"/>
      <c r="L25" s="4">
        <f>'[1]STREET LIGHTING'!$L24-'[2]STREET LIGHTING'!$L24</f>
        <v>0</v>
      </c>
      <c r="N25" s="4">
        <f>'[1]STREET LIGHTING'!$N24-'[2]STREET LIGHTING'!$N24</f>
        <v>0</v>
      </c>
      <c r="O25" s="4"/>
      <c r="P25" s="4">
        <f>'[1]STREET LIGHTING'!$P24-'[2]STREET LIGHTING'!$P24</f>
        <v>0</v>
      </c>
      <c r="R25" s="4">
        <f>'[1]STREET LIGHTING'!$R24-'[2]STREET LIGHTING'!$R24</f>
        <v>0</v>
      </c>
      <c r="S25" s="4"/>
      <c r="T25" s="4">
        <f>'[1]STREET LIGHTING'!$T24-'[2]STREET LIGHTING'!$T24</f>
        <v>-716375.98776851594</v>
      </c>
      <c r="V25" s="4">
        <f>'[1]STREET LIGHTING'!$V24-'[2]STREET LIGHTING'!$V24</f>
        <v>-690697.70448548719</v>
      </c>
      <c r="X25" s="14">
        <f>'[1]STREET LIGHTING'!$X24-'[2]STREET LIGHTING'!$X24</f>
        <v>0</v>
      </c>
      <c r="Y25" s="14"/>
      <c r="Z25" s="14">
        <f>'[1]STREET LIGHTING'!$Z24-'[2]STREET LIGHTING'!$Z24</f>
        <v>0</v>
      </c>
    </row>
    <row r="26" spans="1:26" ht="25" customHeight="1">
      <c r="A26" s="15">
        <v>4</v>
      </c>
      <c r="B26" s="15" t="s">
        <v>19</v>
      </c>
      <c r="D26" s="4">
        <f>'[1]STREET LIGHTING'!$D25-'[2]STREET LIGHTING'!$D25</f>
        <v>-760.59620928225922</v>
      </c>
      <c r="E26" s="4"/>
      <c r="F26" s="4">
        <f>'[1]STREET LIGHTING'!$F25-'[2]STREET LIGHTING'!$F25</f>
        <v>-732.15545070664666</v>
      </c>
      <c r="G26" s="4"/>
      <c r="H26" s="4">
        <f>'[1]STREET LIGHTING'!$H25-'[2]STREET LIGHTING'!$H25</f>
        <v>-760.59620928225922</v>
      </c>
      <c r="I26" s="4"/>
      <c r="J26" s="4">
        <f>'[1]STREET LIGHTING'!$J25-'[2]STREET LIGHTING'!$J25</f>
        <v>-732.15545070664666</v>
      </c>
      <c r="K26" s="4"/>
      <c r="L26" s="4">
        <f>'[1]STREET LIGHTING'!$L25-'[2]STREET LIGHTING'!$L25</f>
        <v>0</v>
      </c>
      <c r="N26" s="4">
        <f>'[1]STREET LIGHTING'!$N25-'[2]STREET LIGHTING'!$N25</f>
        <v>0</v>
      </c>
      <c r="O26" s="4"/>
      <c r="P26" s="4">
        <f>'[1]STREET LIGHTING'!$P25-'[2]STREET LIGHTING'!$P25</f>
        <v>0</v>
      </c>
      <c r="R26" s="4">
        <f>'[1]STREET LIGHTING'!$R25-'[2]STREET LIGHTING'!$R25</f>
        <v>0</v>
      </c>
      <c r="S26" s="4"/>
      <c r="T26" s="4">
        <f>'[1]STREET LIGHTING'!$T25-'[2]STREET LIGHTING'!$T25</f>
        <v>-670545.60875522345</v>
      </c>
      <c r="V26" s="4">
        <f>'[1]STREET LIGHTING'!$V25-'[2]STREET LIGHTING'!$V25</f>
        <v>-646510.10171730444</v>
      </c>
      <c r="X26" s="14">
        <f>'[1]STREET LIGHTING'!$X25-'[2]STREET LIGHTING'!$X25</f>
        <v>0</v>
      </c>
      <c r="Y26" s="14"/>
      <c r="Z26" s="14">
        <f>'[1]STREET LIGHTING'!$Z25-'[2]STREET LIGHTING'!$Z25</f>
        <v>0</v>
      </c>
    </row>
    <row r="27" spans="1:26" ht="25" customHeight="1">
      <c r="A27" s="15">
        <v>5</v>
      </c>
      <c r="B27" s="15" t="s">
        <v>20</v>
      </c>
      <c r="D27" s="4">
        <f>'[1]STREET LIGHTING'!$D26-'[2]STREET LIGHTING'!$D26</f>
        <v>-760.59620928225922</v>
      </c>
      <c r="E27" s="4"/>
      <c r="F27" s="4">
        <f>'[1]STREET LIGHTING'!$F26-'[2]STREET LIGHTING'!$F26</f>
        <v>-732.15545070664666</v>
      </c>
      <c r="G27" s="4"/>
      <c r="H27" s="4">
        <f>'[1]STREET LIGHTING'!$H26-'[2]STREET LIGHTING'!$H26</f>
        <v>-760.59620928225922</v>
      </c>
      <c r="I27" s="4"/>
      <c r="J27" s="4">
        <f>'[1]STREET LIGHTING'!$J26-'[2]STREET LIGHTING'!$J26</f>
        <v>-732.15545070664666</v>
      </c>
      <c r="K27" s="4"/>
      <c r="L27" s="4">
        <f>'[1]STREET LIGHTING'!$L26-'[2]STREET LIGHTING'!$L26</f>
        <v>0</v>
      </c>
      <c r="N27" s="4">
        <f>'[1]STREET LIGHTING'!$N26-'[2]STREET LIGHTING'!$N26</f>
        <v>0</v>
      </c>
      <c r="O27" s="4"/>
      <c r="P27" s="4">
        <f>'[1]STREET LIGHTING'!$P26-'[2]STREET LIGHTING'!$P26</f>
        <v>0</v>
      </c>
      <c r="R27" s="4">
        <f>'[1]STREET LIGHTING'!$R26-'[2]STREET LIGHTING'!$R26</f>
        <v>0</v>
      </c>
      <c r="S27" s="4"/>
      <c r="T27" s="4">
        <f>'[1]STREET LIGHTING'!$T26-'[2]STREET LIGHTING'!$T26</f>
        <v>-529882.48739832267</v>
      </c>
      <c r="V27" s="4">
        <f>'[1]STREET LIGHTING'!$V26-'[2]STREET LIGHTING'!$V26</f>
        <v>-510889.0079260245</v>
      </c>
      <c r="X27" s="14">
        <f>'[1]STREET LIGHTING'!$X26-'[2]STREET LIGHTING'!$X26</f>
        <v>0</v>
      </c>
      <c r="Y27" s="14"/>
      <c r="Z27" s="14">
        <f>'[1]STREET LIGHTING'!$Z26-'[2]STREET LIGHTING'!$Z26</f>
        <v>0</v>
      </c>
    </row>
    <row r="28" spans="1:26" ht="25" customHeight="1">
      <c r="A28" s="15">
        <v>6</v>
      </c>
      <c r="B28" s="15" t="s">
        <v>21</v>
      </c>
      <c r="D28" s="4">
        <f>'[1]STREET LIGHTING'!$D27-'[2]STREET LIGHTING'!$D27</f>
        <v>-760.59620928225922</v>
      </c>
      <c r="E28" s="4"/>
      <c r="F28" s="4">
        <f>'[1]STREET LIGHTING'!$F27-'[2]STREET LIGHTING'!$F27</f>
        <v>-732.15545070664666</v>
      </c>
      <c r="G28" s="4"/>
      <c r="H28" s="4">
        <f>'[1]STREET LIGHTING'!$H27-'[2]STREET LIGHTING'!$H27</f>
        <v>-760.59620928225922</v>
      </c>
      <c r="I28" s="4"/>
      <c r="J28" s="4">
        <f>'[1]STREET LIGHTING'!$J27-'[2]STREET LIGHTING'!$J27</f>
        <v>-732.15545070664666</v>
      </c>
      <c r="K28" s="4"/>
      <c r="L28" s="4">
        <f>'[1]STREET LIGHTING'!$L27-'[2]STREET LIGHTING'!$L27</f>
        <v>0</v>
      </c>
      <c r="N28" s="4">
        <f>'[1]STREET LIGHTING'!$N27-'[2]STREET LIGHTING'!$N27</f>
        <v>0</v>
      </c>
      <c r="O28" s="4"/>
      <c r="P28" s="4">
        <f>'[1]STREET LIGHTING'!$P27-'[2]STREET LIGHTING'!$P27</f>
        <v>0</v>
      </c>
      <c r="R28" s="4">
        <f>'[1]STREET LIGHTING'!$R27-'[2]STREET LIGHTING'!$R27</f>
        <v>0</v>
      </c>
      <c r="S28" s="4"/>
      <c r="T28" s="4">
        <f>'[1]STREET LIGHTING'!$T27-'[2]STREET LIGHTING'!$T27</f>
        <v>-89583.358568478376</v>
      </c>
      <c r="V28" s="4">
        <f>'[1]STREET LIGHTING'!$V27-'[2]STREET LIGHTING'!$V27</f>
        <v>-86372.269841268659</v>
      </c>
      <c r="X28" s="14">
        <f>'[1]STREET LIGHTING'!$X27-'[2]STREET LIGHTING'!$X27</f>
        <v>0</v>
      </c>
      <c r="Y28" s="14"/>
      <c r="Z28" s="14">
        <f>'[1]STREET LIGHTING'!$Z27-'[2]STREET LIGHTING'!$Z27</f>
        <v>0</v>
      </c>
    </row>
    <row r="29" spans="1:26" ht="25" customHeight="1">
      <c r="A29" s="15">
        <v>7</v>
      </c>
      <c r="B29" s="15" t="s">
        <v>22</v>
      </c>
      <c r="D29" s="4">
        <f>'[1]STREET LIGHTING'!$D28-'[2]STREET LIGHTING'!$D28</f>
        <v>-760.59620928225922</v>
      </c>
      <c r="E29" s="4"/>
      <c r="F29" s="4">
        <f>'[1]STREET LIGHTING'!$F28-'[2]STREET LIGHTING'!$F28</f>
        <v>-732.15545070664666</v>
      </c>
      <c r="G29" s="4"/>
      <c r="H29" s="4">
        <f>'[1]STREET LIGHTING'!$H28-'[2]STREET LIGHTING'!$H28</f>
        <v>-760.59620928225922</v>
      </c>
      <c r="I29" s="4"/>
      <c r="J29" s="4">
        <f>'[1]STREET LIGHTING'!$J28-'[2]STREET LIGHTING'!$J28</f>
        <v>-732.15545070664666</v>
      </c>
      <c r="K29" s="4"/>
      <c r="L29" s="4">
        <f>'[1]STREET LIGHTING'!$L28-'[2]STREET LIGHTING'!$L28</f>
        <v>0</v>
      </c>
      <c r="N29" s="4">
        <f>'[1]STREET LIGHTING'!$N28-'[2]STREET LIGHTING'!$N28</f>
        <v>0</v>
      </c>
      <c r="O29" s="4"/>
      <c r="P29" s="4">
        <f>'[1]STREET LIGHTING'!$P28-'[2]STREET LIGHTING'!$P28</f>
        <v>0</v>
      </c>
      <c r="R29" s="4">
        <f>'[1]STREET LIGHTING'!$R28-'[2]STREET LIGHTING'!$R28</f>
        <v>0</v>
      </c>
      <c r="S29" s="4"/>
      <c r="T29" s="4">
        <f>'[1]STREET LIGHTING'!$T28-'[2]STREET LIGHTING'!$T28</f>
        <v>154198.03687375784</v>
      </c>
      <c r="V29" s="4">
        <f>'[1]STREET LIGHTING'!$V28-'[2]STREET LIGHTING'!$V28</f>
        <v>148670.85430463404</v>
      </c>
      <c r="X29" s="14">
        <f>'[1]STREET LIGHTING'!$X28-'[2]STREET LIGHTING'!$X28</f>
        <v>0</v>
      </c>
      <c r="Y29" s="14"/>
      <c r="Z29" s="14">
        <f>'[1]STREET LIGHTING'!$Z28-'[2]STREET LIGHTING'!$Z28</f>
        <v>0</v>
      </c>
    </row>
    <row r="30" spans="1:26" ht="25" customHeight="1">
      <c r="A30" s="15">
        <v>8</v>
      </c>
      <c r="B30" s="15" t="s">
        <v>23</v>
      </c>
      <c r="D30" s="4">
        <f>'[1]STREET LIGHTING'!$D29-'[2]STREET LIGHTING'!$D29</f>
        <v>-760.59620928225922</v>
      </c>
      <c r="E30" s="4"/>
      <c r="F30" s="4">
        <f>'[1]STREET LIGHTING'!$F29-'[2]STREET LIGHTING'!$F29</f>
        <v>-732.15545070664666</v>
      </c>
      <c r="G30" s="4"/>
      <c r="H30" s="4">
        <f>'[1]STREET LIGHTING'!$H29-'[2]STREET LIGHTING'!$H29</f>
        <v>-760.59620928225922</v>
      </c>
      <c r="I30" s="4"/>
      <c r="J30" s="4">
        <f>'[1]STREET LIGHTING'!$J29-'[2]STREET LIGHTING'!$J29</f>
        <v>-732.15545070664666</v>
      </c>
      <c r="K30" s="4"/>
      <c r="L30" s="4">
        <f>'[1]STREET LIGHTING'!$L29-'[2]STREET LIGHTING'!$L29</f>
        <v>0</v>
      </c>
      <c r="N30" s="4">
        <f>'[1]STREET LIGHTING'!$N29-'[2]STREET LIGHTING'!$N29</f>
        <v>0</v>
      </c>
      <c r="O30" s="4"/>
      <c r="P30" s="4">
        <f>'[1]STREET LIGHTING'!$P29-'[2]STREET LIGHTING'!$P29</f>
        <v>0</v>
      </c>
      <c r="R30" s="4">
        <f>'[1]STREET LIGHTING'!$R29-'[2]STREET LIGHTING'!$R29</f>
        <v>0</v>
      </c>
      <c r="S30" s="4"/>
      <c r="T30" s="4">
        <f>'[1]STREET LIGHTING'!$T29-'[2]STREET LIGHTING'!$T29</f>
        <v>269405.06184493005</v>
      </c>
      <c r="V30" s="4">
        <f>'[1]STREET LIGHTING'!$V29-'[2]STREET LIGHTING'!$V29</f>
        <v>259748.31788079441</v>
      </c>
      <c r="X30" s="14">
        <f>'[1]STREET LIGHTING'!$X29-'[2]STREET LIGHTING'!$X29</f>
        <v>0</v>
      </c>
      <c r="Y30" s="14"/>
      <c r="Z30" s="14">
        <f>'[1]STREET LIGHTING'!$Z29-'[2]STREET LIGHTING'!$Z29</f>
        <v>0</v>
      </c>
    </row>
    <row r="31" spans="1:26" ht="25" customHeight="1">
      <c r="A31" s="15">
        <v>9</v>
      </c>
      <c r="B31" s="15" t="s">
        <v>24</v>
      </c>
      <c r="D31" s="4">
        <f>'[1]STREET LIGHTING'!$D30-'[2]STREET LIGHTING'!$D30</f>
        <v>-760.59620928225922</v>
      </c>
      <c r="E31" s="4"/>
      <c r="F31" s="4">
        <f>'[1]STREET LIGHTING'!$F30-'[2]STREET LIGHTING'!$F30</f>
        <v>-732.15545070664666</v>
      </c>
      <c r="G31" s="4"/>
      <c r="H31" s="4">
        <f>'[1]STREET LIGHTING'!$H30-'[2]STREET LIGHTING'!$H30</f>
        <v>-760.59620928225922</v>
      </c>
      <c r="I31" s="4"/>
      <c r="J31" s="4">
        <f>'[1]STREET LIGHTING'!$J30-'[2]STREET LIGHTING'!$J30</f>
        <v>-732.15545070664666</v>
      </c>
      <c r="K31" s="4"/>
      <c r="L31" s="4">
        <f>'[1]STREET LIGHTING'!$L30-'[2]STREET LIGHTING'!$L30</f>
        <v>0</v>
      </c>
      <c r="N31" s="4">
        <f>'[1]STREET LIGHTING'!$N30-'[2]STREET LIGHTING'!$N30</f>
        <v>0</v>
      </c>
      <c r="O31" s="4"/>
      <c r="P31" s="4">
        <f>'[1]STREET LIGHTING'!$P30-'[2]STREET LIGHTING'!$P30</f>
        <v>0</v>
      </c>
      <c r="R31" s="4">
        <f>'[1]STREET LIGHTING'!$R30-'[2]STREET LIGHTING'!$R30</f>
        <v>0</v>
      </c>
      <c r="S31" s="4"/>
      <c r="T31" s="4">
        <f>'[1]STREET LIGHTING'!$T30-'[2]STREET LIGHTING'!$T30</f>
        <v>232962.96050322801</v>
      </c>
      <c r="V31" s="4">
        <f>'[1]STREET LIGHTING'!$V30-'[2]STREET LIGHTING'!$V30</f>
        <v>224612.4727755636</v>
      </c>
      <c r="X31" s="14">
        <f>'[1]STREET LIGHTING'!$X30-'[2]STREET LIGHTING'!$X30</f>
        <v>0</v>
      </c>
      <c r="Y31" s="14"/>
      <c r="Z31" s="14">
        <f>'[1]STREET LIGHTING'!$Z30-'[2]STREET LIGHTING'!$Z30</f>
        <v>0</v>
      </c>
    </row>
    <row r="32" spans="1:26" ht="25" customHeight="1">
      <c r="A32" s="15">
        <v>10</v>
      </c>
      <c r="B32" s="15" t="s">
        <v>25</v>
      </c>
      <c r="D32" s="4">
        <f>'[1]STREET LIGHTING'!$D31-'[2]STREET LIGHTING'!$D31</f>
        <v>-760.59620928225922</v>
      </c>
      <c r="E32" s="4"/>
      <c r="F32" s="4">
        <f>'[1]STREET LIGHTING'!$F31-'[2]STREET LIGHTING'!$F31</f>
        <v>-732.15545070664666</v>
      </c>
      <c r="G32" s="4"/>
      <c r="H32" s="4">
        <f>'[1]STREET LIGHTING'!$H31-'[2]STREET LIGHTING'!$H31</f>
        <v>-760.59620928225922</v>
      </c>
      <c r="I32" s="4"/>
      <c r="J32" s="4">
        <f>'[1]STREET LIGHTING'!$J31-'[2]STREET LIGHTING'!$J31</f>
        <v>-732.15545070664666</v>
      </c>
      <c r="K32" s="4"/>
      <c r="L32" s="4">
        <f>'[1]STREET LIGHTING'!$L31-'[2]STREET LIGHTING'!$L31</f>
        <v>0</v>
      </c>
      <c r="N32" s="4">
        <f>'[1]STREET LIGHTING'!$N31-'[2]STREET LIGHTING'!$N31</f>
        <v>0</v>
      </c>
      <c r="O32" s="4"/>
      <c r="P32" s="4">
        <f>'[1]STREET LIGHTING'!$P31-'[2]STREET LIGHTING'!$P31</f>
        <v>0</v>
      </c>
      <c r="R32" s="4">
        <f>'[1]STREET LIGHTING'!$R31-'[2]STREET LIGHTING'!$R31</f>
        <v>0</v>
      </c>
      <c r="S32" s="4"/>
      <c r="T32" s="4">
        <f>'[1]STREET LIGHTING'!$T31-'[2]STREET LIGHTING'!$T31</f>
        <v>-34310.552707642317</v>
      </c>
      <c r="V32" s="4">
        <f>'[1]STREET LIGHTING'!$V31-'[2]STREET LIGHTING'!$V31</f>
        <v>-33080.701195217669</v>
      </c>
      <c r="X32" s="14">
        <f>'[1]STREET LIGHTING'!$X31-'[2]STREET LIGHTING'!$X31</f>
        <v>0</v>
      </c>
      <c r="Y32" s="14"/>
      <c r="Z32" s="14">
        <f>'[1]STREET LIGHTING'!$Z31-'[2]STREET LIGHTING'!$Z31</f>
        <v>0</v>
      </c>
    </row>
    <row r="33" spans="1:26" ht="25" customHeight="1">
      <c r="A33" s="15">
        <v>11</v>
      </c>
      <c r="B33" s="15" t="s">
        <v>26</v>
      </c>
      <c r="D33" s="4">
        <f>'[1]STREET LIGHTING'!$D32-'[2]STREET LIGHTING'!$D32</f>
        <v>-760.59620928225922</v>
      </c>
      <c r="E33" s="4"/>
      <c r="F33" s="4">
        <f>'[1]STREET LIGHTING'!$F32-'[2]STREET LIGHTING'!$F32</f>
        <v>-732.15545070664666</v>
      </c>
      <c r="G33" s="4"/>
      <c r="H33" s="4">
        <f>'[1]STREET LIGHTING'!$H32-'[2]STREET LIGHTING'!$H32</f>
        <v>-760.59620928225922</v>
      </c>
      <c r="I33" s="4"/>
      <c r="J33" s="4">
        <f>'[1]STREET LIGHTING'!$J32-'[2]STREET LIGHTING'!$J32</f>
        <v>-732.15545070664666</v>
      </c>
      <c r="K33" s="4"/>
      <c r="L33" s="4">
        <f>'[1]STREET LIGHTING'!$L32-'[2]STREET LIGHTING'!$L32</f>
        <v>-760.59620928225922</v>
      </c>
      <c r="N33" s="4">
        <f>'[1]STREET LIGHTING'!$N32-'[2]STREET LIGHTING'!$N32</f>
        <v>-732.15545070664666</v>
      </c>
      <c r="O33" s="4"/>
      <c r="P33" s="4">
        <f>'[1]STREET LIGHTING'!$P32-'[2]STREET LIGHTING'!$P32</f>
        <v>0</v>
      </c>
      <c r="R33" s="4">
        <f>'[1]STREET LIGHTING'!$R32-'[2]STREET LIGHTING'!$R32</f>
        <v>0</v>
      </c>
      <c r="S33" s="4"/>
      <c r="T33" s="4">
        <f>'[1]STREET LIGHTING'!$T32-'[2]STREET LIGHTING'!$T32</f>
        <v>-20155.603044267744</v>
      </c>
      <c r="V33" s="4">
        <f>'[1]STREET LIGHTING'!$V32-'[2]STREET LIGHTING'!$V32</f>
        <v>-19433.131474103779</v>
      </c>
      <c r="X33" s="14">
        <f>'[1]STREET LIGHTING'!$X32-'[2]STREET LIGHTING'!$X32</f>
        <v>0</v>
      </c>
      <c r="Y33" s="14"/>
      <c r="Z33" s="14">
        <f>'[1]STREET LIGHTING'!$Z32-'[2]STREET LIGHTING'!$Z32</f>
        <v>0</v>
      </c>
    </row>
    <row r="34" spans="1:26" ht="25" customHeight="1" thickBot="1">
      <c r="A34" s="15">
        <v>12</v>
      </c>
      <c r="B34" s="15" t="s">
        <v>27</v>
      </c>
      <c r="D34" s="4">
        <f>'[1]STREET LIGHTING'!$D33-'[2]STREET LIGHTING'!$D33</f>
        <v>-760.59620928225922</v>
      </c>
      <c r="E34" s="4"/>
      <c r="F34" s="4">
        <f>'[1]STREET LIGHTING'!$F33-'[2]STREET LIGHTING'!$F33</f>
        <v>-732.15545070664666</v>
      </c>
      <c r="G34" s="4"/>
      <c r="H34" s="4">
        <f>'[1]STREET LIGHTING'!$H33-'[2]STREET LIGHTING'!$H33</f>
        <v>-760.59620928225922</v>
      </c>
      <c r="I34" s="4"/>
      <c r="J34" s="4">
        <f>'[1]STREET LIGHTING'!$J33-'[2]STREET LIGHTING'!$J33</f>
        <v>-732.15545070664666</v>
      </c>
      <c r="K34" s="4"/>
      <c r="L34" s="4">
        <f>'[1]STREET LIGHTING'!$L33-'[2]STREET LIGHTING'!$L33</f>
        <v>0</v>
      </c>
      <c r="N34" s="4">
        <f>'[1]STREET LIGHTING'!$N33-'[2]STREET LIGHTING'!$N33</f>
        <v>0</v>
      </c>
      <c r="O34" s="4"/>
      <c r="P34" s="4">
        <f>'[1]STREET LIGHTING'!$P33-'[2]STREET LIGHTING'!$P33</f>
        <v>-760.59620928225922</v>
      </c>
      <c r="R34" s="4">
        <f>'[1]STREET LIGHTING'!$R33-'[2]STREET LIGHTING'!$R33</f>
        <v>-732.15545070664666</v>
      </c>
      <c r="S34" s="4"/>
      <c r="T34" s="17">
        <f>'[1]STREET LIGHTING'!$T33-'[2]STREET LIGHTING'!$T33</f>
        <v>0</v>
      </c>
      <c r="V34" s="17">
        <f>'[1]STREET LIGHTING'!$V33-'[2]STREET LIGHTING'!$V33</f>
        <v>0</v>
      </c>
      <c r="X34" s="14">
        <f>'[1]STREET LIGHTING'!$X33-'[2]STREET LIGHTING'!$X33</f>
        <v>0</v>
      </c>
      <c r="Y34" s="14"/>
      <c r="Z34" s="14">
        <f>'[1]STREET LIGHTING'!$Z33-'[2]STREET LIGHTING'!$Z33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-3034462.6953010671</v>
      </c>
      <c r="U35" s="16"/>
      <c r="V35" s="16">
        <f>+SUM(V23:V34)</f>
        <v>-2925693.2864541374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</sheetData>
  <sortState ref="L118:L128">
    <sortCondition descending="1" sortBy="value" ref="L118:L128"/>
  </sortState>
  <pageMargins left="0.5" right="1" top="1.5" bottom="0.5" header="0.5" footer="0.5"/>
  <pageSetup orientation="landscape" scale="5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2"/>
  <sheetViews>
    <sheetView zoomScale="75" zoomScaleNormal="75" workbookViewId="0" topLeftCell="A1">
      <selection pane="topLeft" activeCell="D24" sqref="D24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5.71428571428571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5.71428571428571" style="3" customWidth="1"/>
    <col min="12" max="12" width="12.7142857142857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2.7142857142857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17.7142857142857" style="4" customWidth="1"/>
    <col min="21" max="21" width="2.71428571428571" style="4" customWidth="1"/>
    <col min="22" max="22" width="17.7142857142857" style="4" customWidth="1"/>
    <col min="23" max="23" width="3.71428571428571" style="3" customWidth="1"/>
    <col min="24" max="24" width="11.5714285714286" style="3" customWidth="1"/>
    <col min="25" max="25" width="1.71428571428571" style="3" customWidth="1"/>
    <col min="26" max="26" width="11.4285714285714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99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47</v>
      </c>
    </row>
    <row r="16" spans="1:1" ht="18.75" customHeight="1">
      <c r="A16" s="3" t="s">
        <v>41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'[1]WHOLESALE SUB'!$D22-'[2]WHOLESALE SUB'!$D22</f>
        <v>190.18965032427514</v>
      </c>
      <c r="E23" s="4"/>
      <c r="F23" s="4">
        <f>'[1]WHOLESALE SUB'!$F22-'[2]WHOLESALE SUB'!$F22</f>
        <v>188.98581071004446</v>
      </c>
      <c r="G23" s="4"/>
      <c r="H23" s="4">
        <f>'[1]WHOLESALE SUB'!$H22-'[2]WHOLESALE SUB'!$H22</f>
        <v>182.21497400553199</v>
      </c>
      <c r="I23" s="4"/>
      <c r="J23" s="4">
        <f>'[1]WHOLESALE SUB'!$J22-'[2]WHOLESALE SUB'!$J22</f>
        <v>181.06161154001893</v>
      </c>
      <c r="K23" s="4"/>
      <c r="L23" s="4">
        <f>'[1]WHOLESALE SUB'!$L22-'[2]WHOLESALE SUB'!$L22</f>
        <v>181.01928984510596</v>
      </c>
      <c r="N23" s="4">
        <f>'[1]WHOLESALE SUB'!$N22-'[2]WHOLESALE SUB'!$N22</f>
        <v>179.87349567764613</v>
      </c>
      <c r="O23" s="4"/>
      <c r="P23" s="4">
        <f>'[1]WHOLESALE SUB'!$P22-'[2]WHOLESALE SUB'!$P22</f>
        <v>182.21497400553199</v>
      </c>
      <c r="R23" s="4">
        <f>'[1]WHOLESALE SUB'!$R22-'[2]WHOLESALE SUB'!$R22</f>
        <v>181.06161154001893</v>
      </c>
      <c r="S23" s="4"/>
      <c r="T23" s="4">
        <f>'[1]WHOLESALE SUB'!$T22-'[2]WHOLESALE SUB'!$T22</f>
        <v>80360.637480001897</v>
      </c>
      <c r="V23" s="4">
        <f>'[1]WHOLESALE SUB'!$V22-'[2]WHOLESALE SUB'!$V22</f>
        <v>79902</v>
      </c>
      <c r="X23" s="14">
        <v>0</v>
      </c>
      <c r="Y23" s="14"/>
      <c r="Z23" s="14">
        <v>0</v>
      </c>
    </row>
    <row r="24" spans="1:26" ht="25" customHeight="1">
      <c r="A24" s="15">
        <v>2</v>
      </c>
      <c r="B24" s="15" t="s">
        <v>17</v>
      </c>
      <c r="D24" s="4">
        <f>'[1]WHOLESALE SUB'!$D23-'[2]WHOLESALE SUB'!$D23</f>
        <v>275.61321028969542</v>
      </c>
      <c r="E24" s="4"/>
      <c r="F24" s="4">
        <f>'[1]WHOLESALE SUB'!$F23-'[2]WHOLESALE SUB'!$F23</f>
        <v>273.86866688166629</v>
      </c>
      <c r="G24" s="4"/>
      <c r="H24" s="4">
        <f>'[1]WHOLESALE SUB'!$H23-'[2]WHOLESALE SUB'!$H23</f>
        <v>248.16853524849284</v>
      </c>
      <c r="I24" s="4"/>
      <c r="J24" s="4">
        <f>'[1]WHOLESALE SUB'!$J23-'[2]WHOLESALE SUB'!$J23</f>
        <v>246.59770784949069</v>
      </c>
      <c r="K24" s="4"/>
      <c r="L24" s="4">
        <f>'[1]WHOLESALE SUB'!$L23-'[2]WHOLESALE SUB'!$L23</f>
        <v>248.16853524849284</v>
      </c>
      <c r="N24" s="4">
        <f>'[1]WHOLESALE SUB'!$N23-'[2]WHOLESALE SUB'!$N23</f>
        <v>246.59770784949069</v>
      </c>
      <c r="O24" s="4"/>
      <c r="P24" s="4">
        <f>'[1]WHOLESALE SUB'!$P23-'[2]WHOLESALE SUB'!$P23</f>
        <v>247.39865940537129</v>
      </c>
      <c r="R24" s="4">
        <f>'[1]WHOLESALE SUB'!$R23-'[2]WHOLESALE SUB'!$R23</f>
        <v>245.83270507404814</v>
      </c>
      <c r="S24" s="4"/>
      <c r="T24" s="4">
        <f>'[1]WHOLESALE SUB'!$T23-'[2]WHOLESALE SUB'!$T23</f>
        <v>80360.637480001897</v>
      </c>
      <c r="V24" s="4">
        <f>'[1]WHOLESALE SUB'!$V23-'[2]WHOLESALE SUB'!$V23</f>
        <v>79902</v>
      </c>
      <c r="X24" s="14">
        <v>0</v>
      </c>
      <c r="Y24" s="14"/>
      <c r="Z24" s="14">
        <v>0</v>
      </c>
    </row>
    <row r="25" spans="1:26" ht="25" customHeight="1">
      <c r="A25" s="15">
        <v>3</v>
      </c>
      <c r="B25" s="15" t="s">
        <v>18</v>
      </c>
      <c r="D25" s="4">
        <f>'[1]WHOLESALE SUB'!$D24-'[2]WHOLESALE SUB'!$D24</f>
        <v>201.6931928394697</v>
      </c>
      <c r="E25" s="4"/>
      <c r="F25" s="4">
        <f>'[1]WHOLESALE SUB'!$F24-'[2]WHOLESALE SUB'!$F24</f>
        <v>200.4165394829688</v>
      </c>
      <c r="G25" s="4"/>
      <c r="H25" s="4">
        <f>'[1]WHOLESALE SUB'!$H24-'[2]WHOLESALE SUB'!$H24</f>
        <v>188.86122695435188</v>
      </c>
      <c r="I25" s="4"/>
      <c r="J25" s="4">
        <f>'[1]WHOLESALE SUB'!$J24-'[2]WHOLESALE SUB'!$J24</f>
        <v>187.66579583488783</v>
      </c>
      <c r="K25" s="4"/>
      <c r="L25" s="4">
        <f>'[1]WHOLESALE SUB'!$L24-'[2]WHOLESALE SUB'!$L24</f>
        <v>188.86122695435188</v>
      </c>
      <c r="N25" s="4">
        <f>'[1]WHOLESALE SUB'!$N24-'[2]WHOLESALE SUB'!$N24</f>
        <v>187.66579583488783</v>
      </c>
      <c r="O25" s="4"/>
      <c r="P25" s="4">
        <f>'[1]WHOLESALE SUB'!$P24-'[2]WHOLESALE SUB'!$P24</f>
        <v>121.54394418370794</v>
      </c>
      <c r="R25" s="4">
        <f>'[1]WHOLESALE SUB'!$R24-'[2]WHOLESALE SUB'!$R24</f>
        <v>120.77460991852786</v>
      </c>
      <c r="S25" s="4"/>
      <c r="T25" s="4">
        <f>'[1]WHOLESALE SUB'!$T24-'[2]WHOLESALE SUB'!$T24</f>
        <v>80360.637480001897</v>
      </c>
      <c r="V25" s="4">
        <f>'[1]WHOLESALE SUB'!$V24-'[2]WHOLESALE SUB'!$V24</f>
        <v>79902</v>
      </c>
      <c r="X25" s="14">
        <v>0</v>
      </c>
      <c r="Y25" s="14"/>
      <c r="Z25" s="14">
        <v>0</v>
      </c>
    </row>
    <row r="26" spans="1:26" ht="25" customHeight="1">
      <c r="A26" s="15">
        <v>4</v>
      </c>
      <c r="B26" s="15" t="s">
        <v>19</v>
      </c>
      <c r="D26" s="4">
        <f>'[1]WHOLESALE SUB'!$D25-'[2]WHOLESALE SUB'!$D25</f>
        <v>203.74702208923554</v>
      </c>
      <c r="E26" s="4"/>
      <c r="F26" s="4">
        <f>'[1]WHOLESALE SUB'!$F25-'[2]WHOLESALE SUB'!$F25</f>
        <v>202.45736865093204</v>
      </c>
      <c r="G26" s="4"/>
      <c r="H26" s="4">
        <f>'[1]WHOLESALE SUB'!$H25-'[2]WHOLESALE SUB'!$H25</f>
        <v>181.88096644429606</v>
      </c>
      <c r="I26" s="4"/>
      <c r="J26" s="4">
        <f>'[1]WHOLESALE SUB'!$J25-'[2]WHOLESALE SUB'!$J25</f>
        <v>180.72971813974436</v>
      </c>
      <c r="K26" s="4"/>
      <c r="L26" s="4">
        <f>'[1]WHOLESALE SUB'!$L25-'[2]WHOLESALE SUB'!$L25</f>
        <v>162.82320238223474</v>
      </c>
      <c r="N26" s="4">
        <f>'[1]WHOLESALE SUB'!$N25-'[2]WHOLESALE SUB'!$N25</f>
        <v>161.79258362454129</v>
      </c>
      <c r="O26" s="4"/>
      <c r="P26" s="4">
        <f>'[1]WHOLESALE SUB'!$P25-'[2]WHOLESALE SUB'!$P25</f>
        <v>145.57839701620105</v>
      </c>
      <c r="R26" s="4">
        <f>'[1]WHOLESALE SUB'!$R25-'[2]WHOLESALE SUB'!$R25</f>
        <v>144.6569323570875</v>
      </c>
      <c r="S26" s="4"/>
      <c r="T26" s="4">
        <f>'[1]WHOLESALE SUB'!$T25-'[2]WHOLESALE SUB'!$T25</f>
        <v>80360.637479998171</v>
      </c>
      <c r="V26" s="4">
        <f>'[1]WHOLESALE SUB'!$V25-'[2]WHOLESALE SUB'!$V25</f>
        <v>79902</v>
      </c>
      <c r="X26" s="14">
        <v>0</v>
      </c>
      <c r="Y26" s="14"/>
      <c r="Z26" s="14">
        <v>0</v>
      </c>
    </row>
    <row r="27" spans="1:26" ht="25" customHeight="1">
      <c r="A27" s="15">
        <v>5</v>
      </c>
      <c r="B27" s="15" t="s">
        <v>20</v>
      </c>
      <c r="D27" s="4">
        <f>'[1]WHOLESALE SUB'!$D26-'[2]WHOLESALE SUB'!$D26</f>
        <v>211.90457389457151</v>
      </c>
      <c r="E27" s="4"/>
      <c r="F27" s="4">
        <f>'[1]WHOLESALE SUB'!$F26-'[2]WHOLESALE SUB'!$F26</f>
        <v>210.56328576424858</v>
      </c>
      <c r="G27" s="4"/>
      <c r="H27" s="4">
        <f>'[1]WHOLESALE SUB'!$H26-'[2]WHOLESALE SUB'!$H26</f>
        <v>204.41004899660766</v>
      </c>
      <c r="I27" s="4"/>
      <c r="J27" s="4">
        <f>'[1]WHOLESALE SUB'!$J26-'[2]WHOLESALE SUB'!$J26</f>
        <v>203.11619881018851</v>
      </c>
      <c r="K27" s="4"/>
      <c r="L27" s="4">
        <f>'[1]WHOLESALE SUB'!$L26-'[2]WHOLESALE SUB'!$L26</f>
        <v>199.97080493216345</v>
      </c>
      <c r="N27" s="4">
        <f>'[1]WHOLESALE SUB'!$N26-'[2]WHOLESALE SUB'!$N26</f>
        <v>198.70505373983906</v>
      </c>
      <c r="O27" s="4"/>
      <c r="P27" s="4">
        <f>'[1]WHOLESALE SUB'!$P26-'[2]WHOLESALE SUB'!$P26</f>
        <v>199.97080493216345</v>
      </c>
      <c r="R27" s="4">
        <f>'[1]WHOLESALE SUB'!$R26-'[2]WHOLESALE SUB'!$R26</f>
        <v>198.70505373983906</v>
      </c>
      <c r="S27" s="4"/>
      <c r="T27" s="4">
        <f>'[1]WHOLESALE SUB'!$T26-'[2]WHOLESALE SUB'!$T26</f>
        <v>80360.637479998171</v>
      </c>
      <c r="V27" s="4">
        <f>'[1]WHOLESALE SUB'!$V26-'[2]WHOLESALE SUB'!$V26</f>
        <v>79902</v>
      </c>
      <c r="X27" s="14">
        <v>0</v>
      </c>
      <c r="Y27" s="14"/>
      <c r="Z27" s="14">
        <v>0</v>
      </c>
    </row>
    <row r="28" spans="1:26" ht="25" customHeight="1">
      <c r="A28" s="15">
        <v>6</v>
      </c>
      <c r="B28" s="15" t="s">
        <v>21</v>
      </c>
      <c r="D28" s="4">
        <f>'[1]WHOLESALE SUB'!$D27-'[2]WHOLESALE SUB'!$D27</f>
        <v>204.41548340745794</v>
      </c>
      <c r="E28" s="4"/>
      <c r="F28" s="4">
        <f>'[1]WHOLESALE SUB'!$F27-'[2]WHOLESALE SUB'!$F27</f>
        <v>203.12159882295237</v>
      </c>
      <c r="G28" s="4"/>
      <c r="H28" s="4">
        <f>'[1]WHOLESALE SUB'!$H27-'[2]WHOLESALE SUB'!$H27</f>
        <v>190.9235847764794</v>
      </c>
      <c r="I28" s="4"/>
      <c r="J28" s="4">
        <f>'[1]WHOLESALE SUB'!$J27-'[2]WHOLESALE SUB'!$J27</f>
        <v>189.71509959208197</v>
      </c>
      <c r="K28" s="4"/>
      <c r="L28" s="4">
        <f>'[1]WHOLESALE SUB'!$L27-'[2]WHOLESALE SUB'!$L27</f>
        <v>186.39638750972517</v>
      </c>
      <c r="N28" s="4">
        <f>'[1]WHOLESALE SUB'!$N27-'[2]WHOLESALE SUB'!$N27</f>
        <v>185.21655803504109</v>
      </c>
      <c r="O28" s="4"/>
      <c r="P28" s="4">
        <f>'[1]WHOLESALE SUB'!$P27-'[2]WHOLESALE SUB'!$P27</f>
        <v>180.76455799666292</v>
      </c>
      <c r="R28" s="4">
        <f>'[1]WHOLESALE SUB'!$R27-'[2]WHOLESALE SUB'!$R27</f>
        <v>179.62037620026968</v>
      </c>
      <c r="S28" s="4"/>
      <c r="T28" s="4">
        <f>'[1]WHOLESALE SUB'!$T27-'[2]WHOLESALE SUB'!$T27</f>
        <v>80360.637480001897</v>
      </c>
      <c r="V28" s="4">
        <f>'[1]WHOLESALE SUB'!$V27-'[2]WHOLESALE SUB'!$V27</f>
        <v>79902</v>
      </c>
      <c r="X28" s="14">
        <v>0</v>
      </c>
      <c r="Y28" s="14"/>
      <c r="Z28" s="14">
        <v>0</v>
      </c>
    </row>
    <row r="29" spans="1:26" ht="25" customHeight="1">
      <c r="A29" s="15">
        <v>7</v>
      </c>
      <c r="B29" s="15" t="s">
        <v>22</v>
      </c>
      <c r="D29" s="4">
        <f>'[1]WHOLESALE SUB'!$D28-'[2]WHOLESALE SUB'!$D28</f>
        <v>0</v>
      </c>
      <c r="E29" s="4"/>
      <c r="F29" s="4">
        <f>'[1]WHOLESALE SUB'!$F28-'[2]WHOLESALE SUB'!$F28</f>
        <v>0</v>
      </c>
      <c r="G29" s="4"/>
      <c r="H29" s="4">
        <f>'[1]WHOLESALE SUB'!$H28-'[2]WHOLESALE SUB'!$H28</f>
        <v>0</v>
      </c>
      <c r="I29" s="4"/>
      <c r="J29" s="4">
        <f>'[1]WHOLESALE SUB'!$J28-'[2]WHOLESALE SUB'!$J28</f>
        <v>0</v>
      </c>
      <c r="K29" s="4"/>
      <c r="L29" s="4">
        <f>'[1]WHOLESALE SUB'!$L28-'[2]WHOLESALE SUB'!$L28</f>
        <v>0</v>
      </c>
      <c r="N29" s="4">
        <f>'[1]WHOLESALE SUB'!$N28-'[2]WHOLESALE SUB'!$N28</f>
        <v>0</v>
      </c>
      <c r="O29" s="4"/>
      <c r="P29" s="4">
        <f>'[1]WHOLESALE SUB'!$P28-'[2]WHOLESALE SUB'!$P28</f>
        <v>0</v>
      </c>
      <c r="R29" s="4">
        <f>'[1]WHOLESALE SUB'!$R28-'[2]WHOLESALE SUB'!$R28</f>
        <v>0</v>
      </c>
      <c r="S29" s="4"/>
      <c r="T29" s="4">
        <f>'[1]WHOLESALE SUB'!$T28-'[2]WHOLESALE SUB'!$T28</f>
        <v>0</v>
      </c>
      <c r="V29" s="4">
        <f>'[1]WHOLESALE SUB'!$V28-'[2]WHOLESALE SUB'!$V28</f>
        <v>0</v>
      </c>
      <c r="X29" s="14">
        <v>0</v>
      </c>
      <c r="Y29" s="14"/>
      <c r="Z29" s="14">
        <v>0</v>
      </c>
    </row>
    <row r="30" spans="1:26" ht="25" customHeight="1">
      <c r="A30" s="15">
        <v>8</v>
      </c>
      <c r="B30" s="15" t="s">
        <v>23</v>
      </c>
      <c r="D30" s="4">
        <f>'[1]WHOLESALE SUB'!$D29-'[2]WHOLESALE SUB'!$D29</f>
        <v>0</v>
      </c>
      <c r="E30" s="4"/>
      <c r="F30" s="4">
        <f>'[1]WHOLESALE SUB'!$F29-'[2]WHOLESALE SUB'!$F29</f>
        <v>0</v>
      </c>
      <c r="G30" s="4"/>
      <c r="H30" s="4">
        <f>'[1]WHOLESALE SUB'!$H29-'[2]WHOLESALE SUB'!$H29</f>
        <v>0</v>
      </c>
      <c r="I30" s="4"/>
      <c r="J30" s="4">
        <f>'[1]WHOLESALE SUB'!$J29-'[2]WHOLESALE SUB'!$J29</f>
        <v>0</v>
      </c>
      <c r="K30" s="4"/>
      <c r="L30" s="4">
        <f>'[1]WHOLESALE SUB'!$L29-'[2]WHOLESALE SUB'!$L29</f>
        <v>0</v>
      </c>
      <c r="N30" s="4">
        <f>'[1]WHOLESALE SUB'!$N29-'[2]WHOLESALE SUB'!$N29</f>
        <v>0</v>
      </c>
      <c r="O30" s="4"/>
      <c r="P30" s="4">
        <f>'[1]WHOLESALE SUB'!$P29-'[2]WHOLESALE SUB'!$P29</f>
        <v>0</v>
      </c>
      <c r="R30" s="4">
        <f>'[1]WHOLESALE SUB'!$R29-'[2]WHOLESALE SUB'!$R29</f>
        <v>0</v>
      </c>
      <c r="S30" s="4"/>
      <c r="T30" s="4">
        <f>'[1]WHOLESALE SUB'!$T29-'[2]WHOLESALE SUB'!$T29</f>
        <v>0</v>
      </c>
      <c r="V30" s="4">
        <f>'[1]WHOLESALE SUB'!$V29-'[2]WHOLESALE SUB'!$V29</f>
        <v>0</v>
      </c>
      <c r="X30" s="14">
        <v>0</v>
      </c>
      <c r="Y30" s="14"/>
      <c r="Z30" s="14">
        <v>0</v>
      </c>
    </row>
    <row r="31" spans="1:26" ht="25" customHeight="1">
      <c r="A31" s="15">
        <v>9</v>
      </c>
      <c r="B31" s="15" t="s">
        <v>24</v>
      </c>
      <c r="D31" s="4">
        <f>'[1]WHOLESALE SUB'!$D30-'[2]WHOLESALE SUB'!$D30</f>
        <v>0</v>
      </c>
      <c r="E31" s="4"/>
      <c r="F31" s="4">
        <f>'[1]WHOLESALE SUB'!$F30-'[2]WHOLESALE SUB'!$F30</f>
        <v>0</v>
      </c>
      <c r="G31" s="4"/>
      <c r="H31" s="4">
        <f>'[1]WHOLESALE SUB'!$H30-'[2]WHOLESALE SUB'!$H30</f>
        <v>0</v>
      </c>
      <c r="I31" s="4"/>
      <c r="J31" s="4">
        <f>'[1]WHOLESALE SUB'!$J30-'[2]WHOLESALE SUB'!$J30</f>
        <v>0</v>
      </c>
      <c r="K31" s="4"/>
      <c r="L31" s="4">
        <f>'[1]WHOLESALE SUB'!$L30-'[2]WHOLESALE SUB'!$L30</f>
        <v>0</v>
      </c>
      <c r="N31" s="4">
        <f>'[1]WHOLESALE SUB'!$N30-'[2]WHOLESALE SUB'!$N30</f>
        <v>0</v>
      </c>
      <c r="O31" s="4"/>
      <c r="P31" s="4">
        <f>'[1]WHOLESALE SUB'!$P30-'[2]WHOLESALE SUB'!$P30</f>
        <v>0</v>
      </c>
      <c r="R31" s="4">
        <f>'[1]WHOLESALE SUB'!$R30-'[2]WHOLESALE SUB'!$R30</f>
        <v>0</v>
      </c>
      <c r="S31" s="4"/>
      <c r="T31" s="4">
        <f>'[1]WHOLESALE SUB'!$T30-'[2]WHOLESALE SUB'!$T30</f>
        <v>0</v>
      </c>
      <c r="V31" s="4">
        <f>'[1]WHOLESALE SUB'!$V30-'[2]WHOLESALE SUB'!$V30</f>
        <v>0</v>
      </c>
      <c r="X31" s="14">
        <v>0</v>
      </c>
      <c r="Y31" s="14"/>
      <c r="Z31" s="14">
        <v>0</v>
      </c>
    </row>
    <row r="32" spans="1:26" ht="25" customHeight="1">
      <c r="A32" s="15">
        <v>10</v>
      </c>
      <c r="B32" s="15" t="s">
        <v>25</v>
      </c>
      <c r="D32" s="4">
        <f>'[1]WHOLESALE SUB'!$D31-'[2]WHOLESALE SUB'!$D31</f>
        <v>0</v>
      </c>
      <c r="E32" s="4"/>
      <c r="F32" s="4">
        <f>'[1]WHOLESALE SUB'!$F31-'[2]WHOLESALE SUB'!$F31</f>
        <v>0</v>
      </c>
      <c r="G32" s="4"/>
      <c r="H32" s="4">
        <f>'[1]WHOLESALE SUB'!$H31-'[2]WHOLESALE SUB'!$H31</f>
        <v>0</v>
      </c>
      <c r="I32" s="4"/>
      <c r="J32" s="4">
        <f>'[1]WHOLESALE SUB'!$J31-'[2]WHOLESALE SUB'!$J31</f>
        <v>0</v>
      </c>
      <c r="K32" s="4"/>
      <c r="L32" s="4">
        <f>'[1]WHOLESALE SUB'!$L31-'[2]WHOLESALE SUB'!$L31</f>
        <v>0</v>
      </c>
      <c r="N32" s="4">
        <f>'[1]WHOLESALE SUB'!$N31-'[2]WHOLESALE SUB'!$N31</f>
        <v>0</v>
      </c>
      <c r="O32" s="4"/>
      <c r="P32" s="4">
        <f>'[1]WHOLESALE SUB'!$P31-'[2]WHOLESALE SUB'!$P31</f>
        <v>0</v>
      </c>
      <c r="R32" s="4">
        <f>'[1]WHOLESALE SUB'!$R31-'[2]WHOLESALE SUB'!$R31</f>
        <v>0</v>
      </c>
      <c r="S32" s="4"/>
      <c r="T32" s="4">
        <f>'[1]WHOLESALE SUB'!$T31-'[2]WHOLESALE SUB'!$T31</f>
        <v>0</v>
      </c>
      <c r="V32" s="4">
        <f>'[1]WHOLESALE SUB'!$V31-'[2]WHOLESALE SUB'!$V31</f>
        <v>0</v>
      </c>
      <c r="X32" s="14">
        <v>0</v>
      </c>
      <c r="Y32" s="14"/>
      <c r="Z32" s="14">
        <v>0</v>
      </c>
    </row>
    <row r="33" spans="1:26" ht="25" customHeight="1">
      <c r="A33" s="15">
        <v>11</v>
      </c>
      <c r="B33" s="15" t="s">
        <v>26</v>
      </c>
      <c r="D33" s="4">
        <f>'[1]WHOLESALE SUB'!$D32-'[2]WHOLESALE SUB'!$D32</f>
        <v>0</v>
      </c>
      <c r="E33" s="4"/>
      <c r="F33" s="4">
        <f>'[1]WHOLESALE SUB'!$F32-'[2]WHOLESALE SUB'!$F32</f>
        <v>0</v>
      </c>
      <c r="G33" s="4"/>
      <c r="H33" s="4">
        <f>'[1]WHOLESALE SUB'!$H32-'[2]WHOLESALE SUB'!$H32</f>
        <v>0</v>
      </c>
      <c r="I33" s="4"/>
      <c r="J33" s="4">
        <f>'[1]WHOLESALE SUB'!$J32-'[2]WHOLESALE SUB'!$J32</f>
        <v>0</v>
      </c>
      <c r="K33" s="4"/>
      <c r="L33" s="4">
        <f>'[1]WHOLESALE SUB'!$L32-'[2]WHOLESALE SUB'!$L32</f>
        <v>0</v>
      </c>
      <c r="N33" s="4">
        <f>'[1]WHOLESALE SUB'!$N32-'[2]WHOLESALE SUB'!$N32</f>
        <v>0</v>
      </c>
      <c r="O33" s="4"/>
      <c r="P33" s="4">
        <f>'[1]WHOLESALE SUB'!$P32-'[2]WHOLESALE SUB'!$P32</f>
        <v>0</v>
      </c>
      <c r="R33" s="4">
        <f>'[1]WHOLESALE SUB'!$R32-'[2]WHOLESALE SUB'!$R32</f>
        <v>0</v>
      </c>
      <c r="S33" s="4"/>
      <c r="T33" s="4">
        <f>'[1]WHOLESALE SUB'!$T32-'[2]WHOLESALE SUB'!$T32</f>
        <v>0</v>
      </c>
      <c r="V33" s="4">
        <f>'[1]WHOLESALE SUB'!$V32-'[2]WHOLESALE SUB'!$V32</f>
        <v>0</v>
      </c>
      <c r="X33" s="14">
        <v>0</v>
      </c>
      <c r="Y33" s="14"/>
      <c r="Z33" s="14">
        <v>0</v>
      </c>
    </row>
    <row r="34" spans="1:26" ht="25" customHeight="1" thickBot="1">
      <c r="A34" s="15">
        <v>12</v>
      </c>
      <c r="B34" s="15" t="s">
        <v>27</v>
      </c>
      <c r="D34" s="4">
        <f>'[1]WHOLESALE SUB'!$D33-'[2]WHOLESALE SUB'!$D33</f>
        <v>0</v>
      </c>
      <c r="E34" s="4"/>
      <c r="F34" s="4">
        <f>'[1]WHOLESALE SUB'!$F33-'[2]WHOLESALE SUB'!$F33</f>
        <v>0</v>
      </c>
      <c r="G34" s="4"/>
      <c r="H34" s="4">
        <f>'[1]WHOLESALE SUB'!$H33-'[2]WHOLESALE SUB'!$H33</f>
        <v>0</v>
      </c>
      <c r="I34" s="4"/>
      <c r="J34" s="4">
        <f>'[1]WHOLESALE SUB'!$J33-'[2]WHOLESALE SUB'!$J33</f>
        <v>0</v>
      </c>
      <c r="K34" s="4"/>
      <c r="L34" s="4">
        <f>'[1]WHOLESALE SUB'!$L33-'[2]WHOLESALE SUB'!$L33</f>
        <v>0</v>
      </c>
      <c r="N34" s="4">
        <f>'[1]WHOLESALE SUB'!$N33-'[2]WHOLESALE SUB'!$N33</f>
        <v>0</v>
      </c>
      <c r="O34" s="4"/>
      <c r="P34" s="4">
        <f>'[1]WHOLESALE SUB'!$P33-'[2]WHOLESALE SUB'!$P33</f>
        <v>0</v>
      </c>
      <c r="R34" s="4">
        <f>'[1]WHOLESALE SUB'!$R33-'[2]WHOLESALE SUB'!$R33</f>
        <v>0</v>
      </c>
      <c r="S34" s="4"/>
      <c r="T34" s="17">
        <f>'[1]WHOLESALE SUB'!$T33-'[2]WHOLESALE SUB'!$T33</f>
        <v>0</v>
      </c>
      <c r="V34" s="17">
        <f>'[1]WHOLESALE SUB'!$V33-'[2]WHOLESALE SUB'!$V33</f>
        <v>0</v>
      </c>
      <c r="X34" s="14">
        <v>0</v>
      </c>
      <c r="Y34" s="14"/>
      <c r="Z34" s="14"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482163.82488000393</v>
      </c>
      <c r="U35" s="16"/>
      <c r="V35" s="16">
        <f>+SUM(V23:V34)</f>
        <v>479412</v>
      </c>
    </row>
    <row r="36" spans="1:22" ht="17.5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  <row r="42" spans="1:19" ht="15" customHeight="1">
      <c r="A42" s="5"/>
      <c r="E42" s="4"/>
      <c r="G42" s="4"/>
      <c r="I42" s="4"/>
      <c r="K42" s="4"/>
      <c r="O42" s="4"/>
      <c r="S42" s="4"/>
    </row>
  </sheetData>
  <pageMargins left="0.5" right="1" top="1.5" bottom="0.5" header="0.5" footer="0.5"/>
  <pageSetup orientation="landscape" scale="5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A1">
      <selection pane="topLeft" activeCell="A11" sqref="A11"/>
    </sheetView>
  </sheetViews>
  <sheetFormatPr defaultColWidth="9.18428571428571" defaultRowHeight="18.75" customHeight="1"/>
  <cols>
    <col min="1" max="1" width="4.71428571428571" style="3" customWidth="1"/>
    <col min="2" max="3" width="7.71428571428571" style="3" customWidth="1"/>
    <col min="4" max="4" width="20.5714285714286" style="4" customWidth="1"/>
    <col min="5" max="5" width="2.71428571428571" style="3" customWidth="1"/>
    <col min="6" max="6" width="20.8571428571429" style="4" customWidth="1"/>
    <col min="7" max="7" width="5.71428571428571" style="3" customWidth="1"/>
    <col min="8" max="8" width="13.8571428571429" style="4" customWidth="1"/>
    <col min="9" max="9" width="2.71428571428571" style="3" customWidth="1"/>
    <col min="10" max="10" width="14.8571428571429" style="4" customWidth="1"/>
    <col min="11" max="11" width="5.71428571428571" style="3" customWidth="1"/>
    <col min="12" max="12" width="12.7142857142857" style="4" customWidth="1"/>
    <col min="13" max="13" width="2.71428571428571" style="4" customWidth="1"/>
    <col min="14" max="14" width="13.2857142857143" style="4" customWidth="1"/>
    <col min="15" max="15" width="5.71428571428571" style="3" customWidth="1"/>
    <col min="16" max="16" width="12.7142857142857" style="4" customWidth="1"/>
    <col min="17" max="17" width="2.71428571428571" style="4" customWidth="1"/>
    <col min="18" max="18" width="13.8571428571429" style="4" customWidth="1"/>
    <col min="19" max="19" width="5.71428571428571" style="3" customWidth="1"/>
    <col min="20" max="20" width="17.7142857142857" style="4" customWidth="1"/>
    <col min="21" max="21" width="2.71428571428571" style="4" customWidth="1"/>
    <col min="22" max="22" width="17.7142857142857" style="4" customWidth="1"/>
    <col min="23" max="23" width="3.71428571428571" style="3" customWidth="1"/>
    <col min="24" max="24" width="10.2857142857143" style="3" customWidth="1"/>
    <col min="25" max="25" width="1.71428571428571" style="3" customWidth="1"/>
    <col min="26" max="26" width="9.71428571428571" style="3" customWidth="1"/>
    <col min="27" max="16384" width="9.14285714285714" style="3"/>
  </cols>
  <sheetData>
    <row r="1" spans="1:22" ht="18.75" customHeight="1">
      <c r="A1" s="7"/>
      <c r="V1" s="3" t="s">
        <v>77</v>
      </c>
    </row>
    <row r="2" spans="22:22" ht="18.75" customHeight="1">
      <c r="V2" s="3" t="s">
        <v>100</v>
      </c>
    </row>
    <row r="7" spans="1:26" ht="18.75" customHeight="1">
      <c r="A7" s="21" t="s">
        <v>102</v>
      </c>
      <c r="B7" s="9"/>
      <c r="C7" s="9"/>
      <c r="D7" s="9"/>
      <c r="E7" s="9"/>
      <c r="F7" s="10"/>
      <c r="G7" s="9"/>
      <c r="H7" s="9"/>
      <c r="I7" s="9"/>
      <c r="J7" s="10"/>
      <c r="K7" s="9"/>
      <c r="L7" s="9"/>
      <c r="M7" s="9"/>
      <c r="N7" s="8"/>
      <c r="O7" s="10"/>
      <c r="P7" s="9"/>
      <c r="Q7" s="9"/>
      <c r="R7" s="10"/>
      <c r="S7" s="9"/>
      <c r="T7" s="9"/>
      <c r="U7" s="9"/>
      <c r="V7" s="9"/>
      <c r="W7" s="9"/>
      <c r="X7" s="9"/>
      <c r="Y7" s="9"/>
      <c r="Z7" s="9"/>
    </row>
    <row r="8" spans="1:26" ht="18" customHeight="1">
      <c r="A8" s="8" t="s">
        <v>42</v>
      </c>
      <c r="B8" s="9"/>
      <c r="C8" s="9"/>
      <c r="D8" s="9"/>
      <c r="E8" s="9"/>
      <c r="F8" s="10"/>
      <c r="G8" s="9"/>
      <c r="H8" s="9"/>
      <c r="I8" s="9"/>
      <c r="J8" s="10"/>
      <c r="K8" s="9"/>
      <c r="L8" s="10"/>
      <c r="M8" s="10"/>
      <c r="N8" s="8"/>
      <c r="O8" s="11"/>
      <c r="P8" s="9"/>
      <c r="Q8" s="9"/>
      <c r="R8" s="11"/>
      <c r="S8" s="8"/>
      <c r="T8" s="9"/>
      <c r="U8" s="9"/>
      <c r="V8" s="9"/>
      <c r="W8" s="9"/>
      <c r="X8" s="9"/>
      <c r="Y8" s="9"/>
      <c r="Z8" s="9"/>
    </row>
    <row r="9" spans="1:26" ht="18" customHeight="1">
      <c r="A9" s="8" t="s">
        <v>101</v>
      </c>
      <c r="B9" s="9"/>
      <c r="C9" s="9"/>
      <c r="D9" s="9"/>
      <c r="E9" s="9"/>
      <c r="F9" s="10"/>
      <c r="G9" s="8"/>
      <c r="H9" s="9"/>
      <c r="I9" s="9"/>
      <c r="J9" s="10"/>
      <c r="K9" s="8"/>
      <c r="L9" s="8"/>
      <c r="M9" s="10"/>
      <c r="N9" s="10"/>
      <c r="O9" s="10"/>
      <c r="P9" s="9"/>
      <c r="Q9" s="8"/>
      <c r="R9" s="11"/>
      <c r="S9" s="8"/>
      <c r="T9" s="9"/>
      <c r="U9" s="9"/>
      <c r="V9" s="9"/>
      <c r="W9" s="9"/>
      <c r="X9" s="9"/>
      <c r="Y9" s="9"/>
      <c r="Z9" s="9"/>
    </row>
    <row r="10" spans="1:26" ht="18" customHeight="1">
      <c r="A10" s="8" t="s">
        <v>110</v>
      </c>
      <c r="B10" s="9"/>
      <c r="C10" s="9"/>
      <c r="D10" s="9"/>
      <c r="E10" s="9"/>
      <c r="F10" s="9"/>
      <c r="G10" s="8"/>
      <c r="H10" s="9"/>
      <c r="I10" s="9"/>
      <c r="J10" s="9"/>
      <c r="K10" s="8"/>
      <c r="L10" s="11"/>
      <c r="M10" s="10"/>
      <c r="N10" s="10"/>
      <c r="O10" s="10"/>
      <c r="P10" s="9"/>
      <c r="Q10" s="8"/>
      <c r="R10" s="11"/>
      <c r="S10" s="8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9"/>
      <c r="C11" s="9"/>
      <c r="D11" s="9"/>
      <c r="E11" s="9"/>
      <c r="F11" s="10"/>
      <c r="G11" s="9"/>
      <c r="H11" s="9"/>
      <c r="I11" s="9"/>
      <c r="J11" s="10"/>
      <c r="K11" s="9"/>
      <c r="L11" s="10"/>
      <c r="M11" s="10"/>
      <c r="N11" s="10"/>
      <c r="O11" s="10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8" t="s">
        <v>45</v>
      </c>
      <c r="B12" s="9"/>
      <c r="C12" s="9"/>
      <c r="D12" s="9"/>
      <c r="E12" s="9"/>
      <c r="F12" s="10"/>
      <c r="G12" s="9"/>
      <c r="H12" s="9"/>
      <c r="I12" s="9"/>
      <c r="J12" s="10"/>
      <c r="K12" s="9"/>
      <c r="L12" s="11"/>
      <c r="M12" s="10"/>
      <c r="N12" s="11"/>
      <c r="O12" s="11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10"/>
      <c r="G13" s="9"/>
      <c r="H13" s="9"/>
      <c r="I13" s="9"/>
      <c r="J13" s="10"/>
      <c r="K13" s="9"/>
      <c r="L13" s="9"/>
      <c r="M13" s="10"/>
      <c r="N13" s="9"/>
      <c r="O13" s="11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32" t="s">
        <v>90</v>
      </c>
      <c r="B14" s="9"/>
      <c r="C14" s="9"/>
      <c r="D14" s="9"/>
      <c r="E14" s="9"/>
      <c r="F14" s="10"/>
      <c r="G14" s="9"/>
      <c r="H14" s="9"/>
      <c r="I14" s="9"/>
      <c r="J14" s="10"/>
      <c r="K14" s="9"/>
      <c r="L14" s="9"/>
      <c r="M14" s="10"/>
      <c r="N14" s="9"/>
      <c r="O14" s="11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</row>
    <row r="15" spans="1:1" ht="18.75" customHeight="1">
      <c r="A15" s="3" t="s">
        <v>46</v>
      </c>
    </row>
    <row r="16" spans="1:1" ht="18.75" customHeight="1">
      <c r="A16" s="3" t="s">
        <v>41</v>
      </c>
    </row>
    <row r="17" ht="15" customHeight="1"/>
    <row r="18" spans="4:26" s="5" customFormat="1" ht="18.75" customHeight="1">
      <c r="D18" s="5" t="s">
        <v>48</v>
      </c>
      <c r="F18" s="5" t="s">
        <v>49</v>
      </c>
      <c r="H18" s="5" t="s">
        <v>38</v>
      </c>
      <c r="J18" s="5" t="s">
        <v>54</v>
      </c>
      <c r="L18" s="5" t="s">
        <v>39</v>
      </c>
      <c r="N18" s="5" t="s">
        <v>40</v>
      </c>
      <c r="P18" s="5" t="s">
        <v>55</v>
      </c>
      <c r="R18" s="5" t="s">
        <v>56</v>
      </c>
      <c r="T18" s="5" t="s">
        <v>57</v>
      </c>
      <c r="V18" s="5" t="s">
        <v>58</v>
      </c>
      <c r="X18" s="5" t="s">
        <v>61</v>
      </c>
      <c r="Z18" s="5" t="s">
        <v>62</v>
      </c>
    </row>
    <row r="19" spans="4:6" s="5" customFormat="1" ht="18.75" customHeight="1">
      <c r="D19" s="5" t="s">
        <v>50</v>
      </c>
      <c r="F19" s="5" t="s">
        <v>50</v>
      </c>
    </row>
    <row r="20" spans="1:24" ht="18.75" customHeight="1">
      <c r="A20" s="3" t="s">
        <v>2</v>
      </c>
      <c r="D20" s="4" t="s">
        <v>52</v>
      </c>
      <c r="F20" s="4" t="s">
        <v>52</v>
      </c>
      <c r="H20" s="4" t="s">
        <v>6</v>
      </c>
      <c r="I20" s="4"/>
      <c r="J20" s="4" t="s">
        <v>60</v>
      </c>
      <c r="L20" s="4" t="s">
        <v>4</v>
      </c>
      <c r="M20" s="3" t="s">
        <v>5</v>
      </c>
      <c r="N20" s="4" t="s">
        <v>4</v>
      </c>
      <c r="P20" s="4" t="s">
        <v>3</v>
      </c>
      <c r="R20" s="4" t="s">
        <v>3</v>
      </c>
      <c r="T20" s="4" t="s">
        <v>7</v>
      </c>
      <c r="V20" s="4" t="s">
        <v>8</v>
      </c>
      <c r="X20" s="3" t="s">
        <v>64</v>
      </c>
    </row>
    <row r="21" spans="1:26" ht="18.75" customHeight="1">
      <c r="A21" s="12" t="s">
        <v>9</v>
      </c>
      <c r="B21" s="12" t="s">
        <v>10</v>
      </c>
      <c r="D21" s="6" t="s">
        <v>51</v>
      </c>
      <c r="F21" s="6" t="s">
        <v>53</v>
      </c>
      <c r="H21" s="6" t="s">
        <v>11</v>
      </c>
      <c r="I21" s="4"/>
      <c r="J21" s="6" t="s">
        <v>12</v>
      </c>
      <c r="L21" s="6" t="s">
        <v>11</v>
      </c>
      <c r="M21" s="3"/>
      <c r="N21" s="6" t="s">
        <v>12</v>
      </c>
      <c r="P21" s="6" t="s">
        <v>11</v>
      </c>
      <c r="R21" s="6" t="s">
        <v>12</v>
      </c>
      <c r="T21" s="6" t="s">
        <v>13</v>
      </c>
      <c r="V21" s="6" t="s">
        <v>14</v>
      </c>
      <c r="X21" s="13" t="s">
        <v>15</v>
      </c>
      <c r="Z21" s="13" t="s">
        <v>63</v>
      </c>
    </row>
    <row r="22" spans="13:26" ht="18.75" customHeight="1">
      <c r="M22" s="3"/>
      <c r="X22" s="14"/>
      <c r="Y22" s="14"/>
      <c r="Z22" s="14"/>
    </row>
    <row r="23" spans="1:26" ht="25" customHeight="1">
      <c r="A23" s="15">
        <v>1</v>
      </c>
      <c r="B23" s="15" t="s">
        <v>16</v>
      </c>
      <c r="D23" s="4">
        <f>'[1]WHOLESALE DLS'!$D22-'[2]WHOLESALE DLS'!$D22</f>
        <v>-1264.4031910757039</v>
      </c>
      <c r="E23" s="4"/>
      <c r="F23" s="4">
        <f>'[1]WHOLESALE DLS'!$F22-'[2]WHOLESALE DLS'!$F22</f>
        <v>-1239.3709664831404</v>
      </c>
      <c r="G23" s="4"/>
      <c r="H23" s="4">
        <f>'[1]WHOLESALE DLS'!$H22-'[2]WHOLESALE DLS'!$H22</f>
        <v>-1003.8781317292742</v>
      </c>
      <c r="I23" s="4"/>
      <c r="J23" s="4">
        <f>'[1]WHOLESALE DLS'!$J22-'[2]WHOLESALE DLS'!$J22</f>
        <v>-984.00369370635599</v>
      </c>
      <c r="K23" s="4"/>
      <c r="L23" s="4">
        <f>'[1]WHOLESALE DLS'!$L22-'[2]WHOLESALE DLS'!$L22</f>
        <v>-961.85597660129133</v>
      </c>
      <c r="N23" s="4">
        <f>'[1]WHOLESALE DLS'!$N22-'[2]WHOLESALE DLS'!$N22</f>
        <v>-942.81347892181657</v>
      </c>
      <c r="O23" s="4"/>
      <c r="P23" s="4">
        <f>'[1]WHOLESALE DLS'!$P22-'[2]WHOLESALE DLS'!$P22</f>
        <v>-966.40061022440204</v>
      </c>
      <c r="R23" s="4">
        <f>'[1]WHOLESALE DLS'!$R22-'[2]WHOLESALE DLS'!$R22</f>
        <v>-947.26813943321758</v>
      </c>
      <c r="S23" s="4"/>
      <c r="T23" s="4">
        <f>'[1]WHOLESALE DLS'!$T22-'[2]WHOLESALE DLS'!$T22</f>
        <v>-459033.67935923487</v>
      </c>
      <c r="V23" s="4">
        <f>'[1]WHOLESALE DLS'!$V22-'[2]WHOLESALE DLS'!$V22</f>
        <v>-452221.76799184829</v>
      </c>
      <c r="X23" s="14">
        <f>'[1]WHOLESALE DLS'!$X22-'[2]WHOLESALE DLS'!$X22</f>
        <v>0</v>
      </c>
      <c r="Y23" s="14"/>
      <c r="Z23" s="14">
        <f>'[1]WHOLESALE DLS'!$Z22-'[2]WHOLESALE DLS'!$Z22</f>
        <v>0</v>
      </c>
    </row>
    <row r="24" spans="1:26" ht="25" customHeight="1">
      <c r="A24" s="15">
        <v>2</v>
      </c>
      <c r="B24" s="15" t="s">
        <v>17</v>
      </c>
      <c r="D24" s="4">
        <f>'[1]WHOLESALE DLS'!$D23-'[2]WHOLESALE DLS'!$D23</f>
        <v>-1544.3697879687534</v>
      </c>
      <c r="E24" s="4"/>
      <c r="F24" s="4">
        <f>'[1]WHOLESALE DLS'!$F23-'[2]WHOLESALE DLS'!$F23</f>
        <v>-1513.7948798545694</v>
      </c>
      <c r="G24" s="4"/>
      <c r="H24" s="4">
        <f>'[1]WHOLESALE DLS'!$H23-'[2]WHOLESALE DLS'!$H23</f>
        <v>-1075.4759221877903</v>
      </c>
      <c r="I24" s="4"/>
      <c r="J24" s="4">
        <f>'[1]WHOLESALE DLS'!$J23-'[2]WHOLESALE DLS'!$J23</f>
        <v>-1054.1840154462407</v>
      </c>
      <c r="K24" s="4"/>
      <c r="L24" s="4">
        <f>'[1]WHOLESALE DLS'!$L23-'[2]WHOLESALE DLS'!$L23</f>
        <v>-1026.5864815481036</v>
      </c>
      <c r="N24" s="4">
        <f>'[1]WHOLESALE DLS'!$N23-'[2]WHOLESALE DLS'!$N23</f>
        <v>-1006.2624713342811</v>
      </c>
      <c r="O24" s="4"/>
      <c r="P24" s="4">
        <f>'[1]WHOLESALE DLS'!$P23-'[2]WHOLESALE DLS'!$P23</f>
        <v>-1030.4714343437372</v>
      </c>
      <c r="R24" s="4">
        <f>'[1]WHOLESALE DLS'!$R23-'[2]WHOLESALE DLS'!$R23</f>
        <v>-1010.0705111550051</v>
      </c>
      <c r="S24" s="4"/>
      <c r="T24" s="4">
        <f>'[1]WHOLESALE DLS'!$T23-'[2]WHOLESALE DLS'!$T23</f>
        <v>-357187.62402345985</v>
      </c>
      <c r="V24" s="4">
        <f>'[1]WHOLESALE DLS'!$V23-'[2]WHOLESALE DLS'!$V23</f>
        <v>-351887.07518405467</v>
      </c>
      <c r="X24" s="14">
        <f>'[1]WHOLESALE DLS'!$X23-'[2]WHOLESALE DLS'!$X23</f>
        <v>0</v>
      </c>
      <c r="Y24" s="14"/>
      <c r="Z24" s="14">
        <f>'[1]WHOLESALE DLS'!$Z23-'[2]WHOLESALE DLS'!$Z23</f>
        <v>0</v>
      </c>
    </row>
    <row r="25" spans="1:26" ht="25" customHeight="1">
      <c r="A25" s="15">
        <v>3</v>
      </c>
      <c r="B25" s="15" t="s">
        <v>18</v>
      </c>
      <c r="D25" s="4">
        <f>'[1]WHOLESALE DLS'!$D24-'[2]WHOLESALE DLS'!$D24</f>
        <v>-3237.4172201897891</v>
      </c>
      <c r="E25" s="4"/>
      <c r="F25" s="4">
        <f>'[1]WHOLESALE DLS'!$F24-'[2]WHOLESALE DLS'!$F24</f>
        <v>-3173.3239344976755</v>
      </c>
      <c r="G25" s="4"/>
      <c r="H25" s="4">
        <f>'[1]WHOLESALE DLS'!$H24-'[2]WHOLESALE DLS'!$H24</f>
        <v>-2607.4259276985831</v>
      </c>
      <c r="I25" s="4"/>
      <c r="J25" s="4">
        <f>'[1]WHOLESALE DLS'!$J24-'[2]WHOLESALE DLS'!$J24</f>
        <v>-2555.8049954743256</v>
      </c>
      <c r="K25" s="4"/>
      <c r="L25" s="4">
        <f>'[1]WHOLESALE DLS'!$L24-'[2]WHOLESALE DLS'!$L24</f>
        <v>-2597.016633181076</v>
      </c>
      <c r="N25" s="4">
        <f>'[1]WHOLESALE DLS'!$N24-'[2]WHOLESALE DLS'!$N24</f>
        <v>-2545.6017806314485</v>
      </c>
      <c r="O25" s="4"/>
      <c r="P25" s="4">
        <f>'[1]WHOLESALE DLS'!$P24-'[2]WHOLESALE DLS'!$P24</f>
        <v>-1595.3538261066569</v>
      </c>
      <c r="R25" s="4">
        <f>'[1]WHOLESALE DLS'!$R24-'[2]WHOLESALE DLS'!$R24</f>
        <v>-1563.769553335449</v>
      </c>
      <c r="S25" s="4"/>
      <c r="T25" s="4">
        <f>'[1]WHOLESALE DLS'!$T24-'[2]WHOLESALE DLS'!$T24</f>
        <v>-1072235.3280176334</v>
      </c>
      <c r="V25" s="4">
        <f>'[1]WHOLESALE DLS'!$V24-'[2]WHOLESALE DLS'!$V24</f>
        <v>-1056323.7024706081</v>
      </c>
      <c r="X25" s="14">
        <f>'[1]WHOLESALE DLS'!$X24-'[2]WHOLESALE DLS'!$X24</f>
        <v>0</v>
      </c>
      <c r="Y25" s="14"/>
      <c r="Z25" s="14">
        <f>'[1]WHOLESALE DLS'!$Z24-'[2]WHOLESALE DLS'!$Z24</f>
        <v>0</v>
      </c>
    </row>
    <row r="26" spans="1:26" ht="25" customHeight="1">
      <c r="A26" s="15">
        <v>4</v>
      </c>
      <c r="B26" s="15" t="s">
        <v>19</v>
      </c>
      <c r="D26" s="4">
        <f>'[1]WHOLESALE DLS'!$D25-'[2]WHOLESALE DLS'!$D25</f>
        <v>-4150.8522808764828</v>
      </c>
      <c r="E26" s="4"/>
      <c r="F26" s="4">
        <f>'[1]WHOLESALE DLS'!$F25-'[2]WHOLESALE DLS'!$F25</f>
        <v>-4068.6751183393499</v>
      </c>
      <c r="G26" s="4"/>
      <c r="H26" s="4">
        <f>'[1]WHOLESALE DLS'!$H25-'[2]WHOLESALE DLS'!$H25</f>
        <v>-2954.6981194493856</v>
      </c>
      <c r="I26" s="4"/>
      <c r="J26" s="4">
        <f>'[1]WHOLESALE DLS'!$J25-'[2]WHOLESALE DLS'!$J25</f>
        <v>-2896.2020104144322</v>
      </c>
      <c r="K26" s="4"/>
      <c r="L26" s="4">
        <f>'[1]WHOLESALE DLS'!$L25-'[2]WHOLESALE DLS'!$L25</f>
        <v>-2505.4416210377094</v>
      </c>
      <c r="N26" s="4">
        <f>'[1]WHOLESALE DLS'!$N25-'[2]WHOLESALE DLS'!$N25</f>
        <v>-2455.8397394511558</v>
      </c>
      <c r="O26" s="4"/>
      <c r="P26" s="4">
        <f>'[1]WHOLESALE DLS'!$P25-'[2]WHOLESALE DLS'!$P25</f>
        <v>-2211.6337753281987</v>
      </c>
      <c r="R26" s="4">
        <f>'[1]WHOLESALE DLS'!$R25-'[2]WHOLESALE DLS'!$R25</f>
        <v>-2167.8486016025345</v>
      </c>
      <c r="S26" s="4"/>
      <c r="T26" s="4">
        <f>'[1]WHOLESALE DLS'!$T25-'[2]WHOLESALE DLS'!$T25</f>
        <v>-1321782.3179934919</v>
      </c>
      <c r="V26" s="4">
        <f>'[1]WHOLESALE DLS'!$V25-'[2]WHOLESALE DLS'!$V25</f>
        <v>-1302167.4958093762</v>
      </c>
      <c r="X26" s="14">
        <f>'[1]WHOLESALE DLS'!$X25-'[2]WHOLESALE DLS'!$X25</f>
        <v>0</v>
      </c>
      <c r="Y26" s="14"/>
      <c r="Z26" s="14">
        <f>'[1]WHOLESALE DLS'!$Z25-'[2]WHOLESALE DLS'!$Z25</f>
        <v>0</v>
      </c>
    </row>
    <row r="27" spans="1:26" ht="25" customHeight="1">
      <c r="A27" s="15">
        <v>5</v>
      </c>
      <c r="B27" s="15" t="s">
        <v>20</v>
      </c>
      <c r="D27" s="4">
        <f>'[1]WHOLESALE DLS'!$D26-'[2]WHOLESALE DLS'!$D26</f>
        <v>-1633.0968403822626</v>
      </c>
      <c r="E27" s="4"/>
      <c r="F27" s="4">
        <f>'[1]WHOLESALE DLS'!$F26-'[2]WHOLESALE DLS'!$F26</f>
        <v>-1600.7653442436858</v>
      </c>
      <c r="G27" s="4"/>
      <c r="H27" s="4">
        <f>'[1]WHOLESALE DLS'!$H26-'[2]WHOLESALE DLS'!$H26</f>
        <v>-1387.3608208015648</v>
      </c>
      <c r="I27" s="4"/>
      <c r="J27" s="4">
        <f>'[1]WHOLESALE DLS'!$J26-'[2]WHOLESALE DLS'!$J26</f>
        <v>-1359.8943228503194</v>
      </c>
      <c r="K27" s="4"/>
      <c r="L27" s="4">
        <f>'[1]WHOLESALE DLS'!$L26-'[2]WHOLESALE DLS'!$L26</f>
        <v>-1276.957640365421</v>
      </c>
      <c r="N27" s="4">
        <f>'[1]WHOLESALE DLS'!$N26-'[2]WHOLESALE DLS'!$N26</f>
        <v>-1251.6768670532038</v>
      </c>
      <c r="O27" s="4"/>
      <c r="P27" s="4">
        <f>'[1]WHOLESALE DLS'!$P26-'[2]WHOLESALE DLS'!$P26</f>
        <v>-1276.957640365421</v>
      </c>
      <c r="R27" s="4">
        <f>'[1]WHOLESALE DLS'!$R26-'[2]WHOLESALE DLS'!$R26</f>
        <v>-1251.6768670532038</v>
      </c>
      <c r="S27" s="4"/>
      <c r="T27" s="4">
        <f>'[1]WHOLESALE DLS'!$T26-'[2]WHOLESALE DLS'!$T26</f>
        <v>-557547.51426899806</v>
      </c>
      <c r="V27" s="4">
        <f>'[1]WHOLESALE DLS'!$V26-'[2]WHOLESALE DLS'!$V26</f>
        <v>-549273.68944723159</v>
      </c>
      <c r="X27" s="14">
        <f>'[1]WHOLESALE DLS'!$X26-'[2]WHOLESALE DLS'!$X26</f>
        <v>0</v>
      </c>
      <c r="Y27" s="14"/>
      <c r="Z27" s="14">
        <f>'[1]WHOLESALE DLS'!$Z26-'[2]WHOLESALE DLS'!$Z26</f>
        <v>0</v>
      </c>
    </row>
    <row r="28" spans="1:26" ht="25" customHeight="1">
      <c r="A28" s="15">
        <v>6</v>
      </c>
      <c r="B28" s="15" t="s">
        <v>21</v>
      </c>
      <c r="D28" s="4">
        <f>'[1]WHOLESALE DLS'!$D27-'[2]WHOLESALE DLS'!$D27</f>
        <v>-352.44869540345098</v>
      </c>
      <c r="E28" s="4"/>
      <c r="F28" s="4">
        <f>'[1]WHOLESALE DLS'!$F27-'[2]WHOLESALE DLS'!$F27</f>
        <v>-345.47103593297652</v>
      </c>
      <c r="G28" s="4"/>
      <c r="H28" s="4">
        <f>'[1]WHOLESALE DLS'!$H27-'[2]WHOLESALE DLS'!$H27</f>
        <v>-304.17108498816378</v>
      </c>
      <c r="I28" s="4"/>
      <c r="J28" s="4">
        <f>'[1]WHOLESALE DLS'!$J27-'[2]WHOLESALE DLS'!$J27</f>
        <v>-298.14920923861791</v>
      </c>
      <c r="K28" s="4"/>
      <c r="L28" s="4">
        <f>'[1]WHOLESALE DLS'!$L27-'[2]WHOLESALE DLS'!$L27</f>
        <v>-281.15403857789352</v>
      </c>
      <c r="N28" s="4">
        <f>'[1]WHOLESALE DLS'!$N27-'[2]WHOLESALE DLS'!$N27</f>
        <v>-275.58784648943401</v>
      </c>
      <c r="O28" s="4"/>
      <c r="P28" s="4">
        <f>'[1]WHOLESALE DLS'!$P27-'[2]WHOLESALE DLS'!$P27</f>
        <v>-272.69870929933677</v>
      </c>
      <c r="R28" s="4">
        <f>'[1]WHOLESALE DLS'!$R27-'[2]WHOLESALE DLS'!$R27</f>
        <v>-267.29991294587671</v>
      </c>
      <c r="S28" s="4"/>
      <c r="T28" s="4">
        <f>'[1]WHOLESALE DLS'!$T27-'[2]WHOLESALE DLS'!$T27</f>
        <v>-131751.42110043764</v>
      </c>
      <c r="V28" s="4">
        <f>'[1]WHOLESALE DLS'!$V27-'[2]WHOLESALE DLS'!$V27</f>
        <v>-129796.27261478454</v>
      </c>
      <c r="X28" s="14">
        <f>'[1]WHOLESALE DLS'!$X27-'[2]WHOLESALE DLS'!$X27</f>
        <v>0</v>
      </c>
      <c r="Y28" s="14"/>
      <c r="Z28" s="14">
        <f>'[1]WHOLESALE DLS'!$Z27-'[2]WHOLESALE DLS'!$Z27</f>
        <v>0</v>
      </c>
    </row>
    <row r="29" spans="1:26" ht="25" customHeight="1">
      <c r="A29" s="15">
        <v>7</v>
      </c>
      <c r="B29" s="15" t="s">
        <v>22</v>
      </c>
      <c r="D29" s="4">
        <f>'[1]WHOLESALE DLS'!$D28-'[2]WHOLESALE DLS'!$D28</f>
        <v>0</v>
      </c>
      <c r="E29" s="4"/>
      <c r="F29" s="4">
        <f>'[1]WHOLESALE DLS'!$F28-'[2]WHOLESALE DLS'!$F28</f>
        <v>0</v>
      </c>
      <c r="G29" s="4"/>
      <c r="H29" s="4">
        <f>'[1]WHOLESALE DLS'!$H28-'[2]WHOLESALE DLS'!$H28</f>
        <v>0</v>
      </c>
      <c r="I29" s="4"/>
      <c r="J29" s="4">
        <f>'[1]WHOLESALE DLS'!$J28-'[2]WHOLESALE DLS'!$J28</f>
        <v>0</v>
      </c>
      <c r="K29" s="4"/>
      <c r="L29" s="4">
        <f>'[1]WHOLESALE DLS'!$L28-'[2]WHOLESALE DLS'!$L28</f>
        <v>0</v>
      </c>
      <c r="N29" s="4">
        <f>'[1]WHOLESALE DLS'!$N28-'[2]WHOLESALE DLS'!$N28</f>
        <v>0</v>
      </c>
      <c r="O29" s="4"/>
      <c r="P29" s="4">
        <f>'[1]WHOLESALE DLS'!$P28-'[2]WHOLESALE DLS'!$P28</f>
        <v>0</v>
      </c>
      <c r="R29" s="4">
        <f>'[1]WHOLESALE DLS'!$R28-'[2]WHOLESALE DLS'!$R28</f>
        <v>0</v>
      </c>
      <c r="S29" s="4"/>
      <c r="T29" s="4">
        <f>'[1]WHOLESALE DLS'!$T28-'[2]WHOLESALE DLS'!$T28</f>
        <v>0</v>
      </c>
      <c r="V29" s="4">
        <f>'[1]WHOLESALE DLS'!$V28-'[2]WHOLESALE DLS'!$V28</f>
        <v>0</v>
      </c>
      <c r="X29" s="14">
        <f>'[1]WHOLESALE DLS'!$X28-'[2]WHOLESALE DLS'!$X28</f>
        <v>0</v>
      </c>
      <c r="Y29" s="14"/>
      <c r="Z29" s="14">
        <f>'[1]WHOLESALE DLS'!$Z28-'[2]WHOLESALE DLS'!$Z28</f>
        <v>0</v>
      </c>
    </row>
    <row r="30" spans="1:26" ht="25" customHeight="1">
      <c r="A30" s="15">
        <v>8</v>
      </c>
      <c r="B30" s="15" t="s">
        <v>23</v>
      </c>
      <c r="D30" s="4">
        <f>'[1]WHOLESALE DLS'!$D29-'[2]WHOLESALE DLS'!$D29</f>
        <v>0</v>
      </c>
      <c r="E30" s="4"/>
      <c r="F30" s="4">
        <f>'[1]WHOLESALE DLS'!$F29-'[2]WHOLESALE DLS'!$F29</f>
        <v>0</v>
      </c>
      <c r="G30" s="4"/>
      <c r="H30" s="4">
        <f>'[1]WHOLESALE DLS'!$H29-'[2]WHOLESALE DLS'!$H29</f>
        <v>0</v>
      </c>
      <c r="I30" s="4"/>
      <c r="J30" s="4">
        <f>'[1]WHOLESALE DLS'!$J29-'[2]WHOLESALE DLS'!$J29</f>
        <v>0</v>
      </c>
      <c r="K30" s="4"/>
      <c r="L30" s="4">
        <f>'[1]WHOLESALE DLS'!$L29-'[2]WHOLESALE DLS'!$L29</f>
        <v>0</v>
      </c>
      <c r="N30" s="4">
        <f>'[1]WHOLESALE DLS'!$N29-'[2]WHOLESALE DLS'!$N29</f>
        <v>0</v>
      </c>
      <c r="O30" s="4"/>
      <c r="P30" s="4">
        <f>'[1]WHOLESALE DLS'!$P29-'[2]WHOLESALE DLS'!$P29</f>
        <v>0</v>
      </c>
      <c r="R30" s="4">
        <f>'[1]WHOLESALE DLS'!$R29-'[2]WHOLESALE DLS'!$R29</f>
        <v>0</v>
      </c>
      <c r="S30" s="4"/>
      <c r="T30" s="4">
        <f>'[1]WHOLESALE DLS'!$T29-'[2]WHOLESALE DLS'!$T29</f>
        <v>0</v>
      </c>
      <c r="V30" s="4">
        <f>'[1]WHOLESALE DLS'!$V29-'[2]WHOLESALE DLS'!$V29</f>
        <v>0</v>
      </c>
      <c r="X30" s="14">
        <f>'[1]WHOLESALE DLS'!$X29-'[2]WHOLESALE DLS'!$X29</f>
        <v>0</v>
      </c>
      <c r="Y30" s="14"/>
      <c r="Z30" s="14">
        <f>'[1]WHOLESALE DLS'!$Z29-'[2]WHOLESALE DLS'!$Z29</f>
        <v>0</v>
      </c>
    </row>
    <row r="31" spans="1:26" ht="25" customHeight="1">
      <c r="A31" s="15">
        <v>9</v>
      </c>
      <c r="B31" s="15" t="s">
        <v>24</v>
      </c>
      <c r="D31" s="4">
        <f>'[1]WHOLESALE DLS'!$D30-'[2]WHOLESALE DLS'!$D30</f>
        <v>0</v>
      </c>
      <c r="E31" s="4"/>
      <c r="F31" s="4">
        <f>'[1]WHOLESALE DLS'!$F30-'[2]WHOLESALE DLS'!$F30</f>
        <v>0</v>
      </c>
      <c r="G31" s="4"/>
      <c r="H31" s="4">
        <f>'[1]WHOLESALE DLS'!$H30-'[2]WHOLESALE DLS'!$H30</f>
        <v>0</v>
      </c>
      <c r="I31" s="4"/>
      <c r="J31" s="4">
        <f>'[1]WHOLESALE DLS'!$J30-'[2]WHOLESALE DLS'!$J30</f>
        <v>0</v>
      </c>
      <c r="K31" s="4"/>
      <c r="L31" s="4">
        <f>'[1]WHOLESALE DLS'!$L30-'[2]WHOLESALE DLS'!$L30</f>
        <v>0</v>
      </c>
      <c r="N31" s="4">
        <f>'[1]WHOLESALE DLS'!$N30-'[2]WHOLESALE DLS'!$N30</f>
        <v>0</v>
      </c>
      <c r="O31" s="4"/>
      <c r="P31" s="4">
        <f>'[1]WHOLESALE DLS'!$P30-'[2]WHOLESALE DLS'!$P30</f>
        <v>0</v>
      </c>
      <c r="R31" s="4">
        <f>'[1]WHOLESALE DLS'!$R30-'[2]WHOLESALE DLS'!$R30</f>
        <v>0</v>
      </c>
      <c r="S31" s="4"/>
      <c r="T31" s="4">
        <f>'[1]WHOLESALE DLS'!$T30-'[2]WHOLESALE DLS'!$T30</f>
        <v>0</v>
      </c>
      <c r="V31" s="4">
        <f>'[1]WHOLESALE DLS'!$V30-'[2]WHOLESALE DLS'!$V30</f>
        <v>0</v>
      </c>
      <c r="X31" s="14">
        <f>'[1]WHOLESALE DLS'!$X30-'[2]WHOLESALE DLS'!$X30</f>
        <v>0</v>
      </c>
      <c r="Y31" s="14"/>
      <c r="Z31" s="14">
        <f>'[1]WHOLESALE DLS'!$Z30-'[2]WHOLESALE DLS'!$Z30</f>
        <v>0</v>
      </c>
    </row>
    <row r="32" spans="1:26" ht="25" customHeight="1">
      <c r="A32" s="15">
        <v>10</v>
      </c>
      <c r="B32" s="15" t="s">
        <v>25</v>
      </c>
      <c r="D32" s="4">
        <f>'[1]WHOLESALE DLS'!$D31-'[2]WHOLESALE DLS'!$D31</f>
        <v>0</v>
      </c>
      <c r="E32" s="4"/>
      <c r="F32" s="4">
        <f>'[1]WHOLESALE DLS'!$F31-'[2]WHOLESALE DLS'!$F31</f>
        <v>0</v>
      </c>
      <c r="G32" s="4"/>
      <c r="H32" s="4">
        <f>'[1]WHOLESALE DLS'!$H31-'[2]WHOLESALE DLS'!$H31</f>
        <v>0</v>
      </c>
      <c r="I32" s="4"/>
      <c r="J32" s="4">
        <f>'[1]WHOLESALE DLS'!$J31-'[2]WHOLESALE DLS'!$J31</f>
        <v>0</v>
      </c>
      <c r="K32" s="4"/>
      <c r="L32" s="4">
        <f>'[1]WHOLESALE DLS'!$L31-'[2]WHOLESALE DLS'!$L31</f>
        <v>0</v>
      </c>
      <c r="N32" s="4">
        <f>'[1]WHOLESALE DLS'!$N31-'[2]WHOLESALE DLS'!$N31</f>
        <v>0</v>
      </c>
      <c r="O32" s="4"/>
      <c r="P32" s="4">
        <f>'[1]WHOLESALE DLS'!$P31-'[2]WHOLESALE DLS'!$P31</f>
        <v>0</v>
      </c>
      <c r="R32" s="4">
        <f>'[1]WHOLESALE DLS'!$R31-'[2]WHOLESALE DLS'!$R31</f>
        <v>0</v>
      </c>
      <c r="S32" s="4"/>
      <c r="T32" s="4">
        <f>'[1]WHOLESALE DLS'!$T31-'[2]WHOLESALE DLS'!$T31</f>
        <v>0</v>
      </c>
      <c r="V32" s="4">
        <f>'[1]WHOLESALE DLS'!$V31-'[2]WHOLESALE DLS'!$V31</f>
        <v>0</v>
      </c>
      <c r="X32" s="14">
        <f>'[1]WHOLESALE DLS'!$X31-'[2]WHOLESALE DLS'!$X31</f>
        <v>0</v>
      </c>
      <c r="Y32" s="14"/>
      <c r="Z32" s="14">
        <f>'[1]WHOLESALE DLS'!$Z31-'[2]WHOLESALE DLS'!$Z31</f>
        <v>0</v>
      </c>
    </row>
    <row r="33" spans="1:26" ht="25" customHeight="1">
      <c r="A33" s="15">
        <v>11</v>
      </c>
      <c r="B33" s="15" t="s">
        <v>26</v>
      </c>
      <c r="D33" s="4">
        <f>'[1]WHOLESALE DLS'!$D32-'[2]WHOLESALE DLS'!$D32</f>
        <v>0</v>
      </c>
      <c r="E33" s="4"/>
      <c r="F33" s="4">
        <f>'[1]WHOLESALE DLS'!$F32-'[2]WHOLESALE DLS'!$F32</f>
        <v>0</v>
      </c>
      <c r="G33" s="4"/>
      <c r="H33" s="4">
        <f>'[1]WHOLESALE DLS'!$H32-'[2]WHOLESALE DLS'!$H32</f>
        <v>0</v>
      </c>
      <c r="I33" s="4"/>
      <c r="J33" s="4">
        <f>'[1]WHOLESALE DLS'!$J32-'[2]WHOLESALE DLS'!$J32</f>
        <v>0</v>
      </c>
      <c r="K33" s="4"/>
      <c r="L33" s="4">
        <f>'[1]WHOLESALE DLS'!$L32-'[2]WHOLESALE DLS'!$L32</f>
        <v>0</v>
      </c>
      <c r="N33" s="4">
        <f>'[1]WHOLESALE DLS'!$N32-'[2]WHOLESALE DLS'!$N32</f>
        <v>0</v>
      </c>
      <c r="O33" s="4"/>
      <c r="P33" s="4">
        <f>'[1]WHOLESALE DLS'!$P32-'[2]WHOLESALE DLS'!$P32</f>
        <v>0</v>
      </c>
      <c r="R33" s="4">
        <f>'[1]WHOLESALE DLS'!$R32-'[2]WHOLESALE DLS'!$R32</f>
        <v>0</v>
      </c>
      <c r="S33" s="4"/>
      <c r="T33" s="4">
        <f>'[1]WHOLESALE DLS'!$T32-'[2]WHOLESALE DLS'!$T32</f>
        <v>0</v>
      </c>
      <c r="V33" s="4">
        <f>'[1]WHOLESALE DLS'!$V32-'[2]WHOLESALE DLS'!$V32</f>
        <v>0</v>
      </c>
      <c r="X33" s="14">
        <f>'[1]WHOLESALE DLS'!$X32-'[2]WHOLESALE DLS'!$X32</f>
        <v>0</v>
      </c>
      <c r="Y33" s="14"/>
      <c r="Z33" s="14">
        <f>'[1]WHOLESALE DLS'!$Z32-'[2]WHOLESALE DLS'!$Z32</f>
        <v>0</v>
      </c>
    </row>
    <row r="34" spans="1:26" ht="25" customHeight="1" thickBot="1">
      <c r="A34" s="15">
        <v>12</v>
      </c>
      <c r="B34" s="15" t="s">
        <v>27</v>
      </c>
      <c r="D34" s="4">
        <f>'[1]WHOLESALE DLS'!$D33-'[2]WHOLESALE DLS'!$D33</f>
        <v>-23386.477532878824</v>
      </c>
      <c r="E34" s="4"/>
      <c r="F34" s="4">
        <f>'[1]WHOLESALE DLS'!$F33-'[2]WHOLESALE DLS'!$F33</f>
        <v>-22923.479999999996</v>
      </c>
      <c r="G34" s="4"/>
      <c r="H34" s="4">
        <f>'[1]WHOLESALE DLS'!$H33-'[2]WHOLESALE DLS'!$H33</f>
        <v>0</v>
      </c>
      <c r="I34" s="4"/>
      <c r="J34" s="4">
        <f>'[1]WHOLESALE DLS'!$J33-'[2]WHOLESALE DLS'!$J33</f>
        <v>0</v>
      </c>
      <c r="K34" s="4"/>
      <c r="L34" s="4">
        <f>'[1]WHOLESALE DLS'!$L33-'[2]WHOLESALE DLS'!$L33</f>
        <v>0</v>
      </c>
      <c r="N34" s="4">
        <f>'[1]WHOLESALE DLS'!$N33-'[2]WHOLESALE DLS'!$N33</f>
        <v>0</v>
      </c>
      <c r="O34" s="4"/>
      <c r="P34" s="4">
        <f>'[1]WHOLESALE DLS'!$P33-'[2]WHOLESALE DLS'!$P33</f>
        <v>0</v>
      </c>
      <c r="R34" s="4">
        <f>'[1]WHOLESALE DLS'!$R33-'[2]WHOLESALE DLS'!$R33</f>
        <v>0</v>
      </c>
      <c r="S34" s="4"/>
      <c r="T34" s="17">
        <f>'[1]WHOLESALE DLS'!$T33-'[2]WHOLESALE DLS'!$T33</f>
        <v>0</v>
      </c>
      <c r="V34" s="17">
        <f>'[1]WHOLESALE DLS'!$V33-'[2]WHOLESALE DLS'!$V33</f>
        <v>0</v>
      </c>
      <c r="X34" s="14">
        <f>'[1]WHOLESALE DLS'!$X33-'[2]WHOLESALE DLS'!$X33</f>
        <v>0</v>
      </c>
      <c r="Y34" s="14"/>
      <c r="Z34" s="14">
        <f>'[1]WHOLESALE DLS'!$Z33-'[2]WHOLESALE DLS'!$Z33</f>
        <v>0</v>
      </c>
    </row>
    <row r="35" spans="1:22" ht="25" customHeight="1" thickTop="1">
      <c r="A35" s="15">
        <v>13</v>
      </c>
      <c r="E35" s="4"/>
      <c r="G35" s="4"/>
      <c r="I35" s="4"/>
      <c r="K35" s="4"/>
      <c r="O35" s="4"/>
      <c r="S35" s="4"/>
      <c r="T35" s="16">
        <f>+SUM(T23:T34)</f>
        <v>-3899537.8847632557</v>
      </c>
      <c r="U35" s="16"/>
      <c r="V35" s="16">
        <f>+SUM(V23:V34)</f>
        <v>-3841670.0035179034</v>
      </c>
    </row>
    <row r="36" spans="1:22" ht="25" customHeight="1">
      <c r="A36" s="15"/>
      <c r="E36" s="4"/>
      <c r="G36" s="4"/>
      <c r="I36" s="4"/>
      <c r="K36" s="4"/>
      <c r="O36" s="4"/>
      <c r="S36" s="4"/>
      <c r="T36" s="16"/>
      <c r="U36" s="16"/>
      <c r="V36" s="16"/>
    </row>
    <row r="37" spans="5:22" ht="18.75" customHeight="1">
      <c r="E37" s="4"/>
      <c r="G37" s="4"/>
      <c r="I37" s="4"/>
      <c r="K37" s="4"/>
      <c r="O37" s="4"/>
      <c r="S37" s="4"/>
      <c r="T37" s="16"/>
      <c r="U37" s="16"/>
      <c r="V37" s="16"/>
    </row>
    <row r="38" spans="1:19" ht="15" customHeight="1">
      <c r="A38" s="3" t="s">
        <v>59</v>
      </c>
      <c r="E38" s="4"/>
      <c r="G38" s="4"/>
      <c r="I38" s="4"/>
      <c r="K38" s="4"/>
      <c r="O38" s="4"/>
      <c r="S38" s="4"/>
    </row>
    <row r="39" spans="1:19" ht="15" customHeight="1">
      <c r="A39" s="3" t="s">
        <v>28</v>
      </c>
      <c r="E39" s="4"/>
      <c r="G39" s="4"/>
      <c r="I39" s="4"/>
      <c r="K39" s="4"/>
      <c r="O39" s="4"/>
      <c r="S39" s="4"/>
    </row>
    <row r="40" spans="1:19" ht="15" customHeight="1">
      <c r="A40" s="5" t="s">
        <v>29</v>
      </c>
      <c r="E40" s="4"/>
      <c r="G40" s="4"/>
      <c r="I40" s="4"/>
      <c r="K40" s="4"/>
      <c r="O40" s="4"/>
      <c r="S40" s="4"/>
    </row>
    <row r="41" spans="1:19" ht="15" customHeight="1">
      <c r="A41" s="5"/>
      <c r="E41" s="4"/>
      <c r="G41" s="4"/>
      <c r="I41" s="4"/>
      <c r="K41" s="4"/>
      <c r="O41" s="4"/>
      <c r="S41" s="4"/>
    </row>
  </sheetData>
  <pageMargins left="0.5" right="1" top="1.5" bottom="0.5" header="0.5" footer="0.5"/>
  <pageSetup orientation="landscape" scale="5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Sch II-H-1.3.1_Narrative</vt:lpstr>
      <vt:lpstr>RESIDENTIAL</vt:lpstr>
      <vt:lpstr>SEC &lt; 10kW</vt:lpstr>
      <vt:lpstr>SEC &gt; 10kW </vt:lpstr>
      <vt:lpstr>PRIMARY  &lt; 10kW</vt:lpstr>
      <vt:lpstr>PRIMARY  &gt; 10kW DLS</vt:lpstr>
      <vt:lpstr>PRIMARY  SUBSTATIONS</vt:lpstr>
      <vt:lpstr>TRANSMISSION</vt:lpstr>
      <vt:lpstr>STREET LIGHTING</vt:lpstr>
      <vt:lpstr>WHOLESALE SUB</vt:lpstr>
      <vt:lpstr>WHOLESALE DLS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