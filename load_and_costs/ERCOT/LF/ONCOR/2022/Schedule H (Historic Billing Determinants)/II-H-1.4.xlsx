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2022 Rate Case\Section II (Test Year Data)\Schedule H (Historic Billing Determinants)\"/>
    </mc:Choice>
  </mc:AlternateContent>
  <bookViews>
    <workbookView xWindow="-15" yWindow="105" windowWidth="20100" windowHeight="4470" activeTab="0"/>
  </bookViews>
  <sheets>
    <sheet name="RESIDENTIAL" sheetId="1" r:id="rId2"/>
    <sheet name="SEC &lt; 10kW" sheetId="37" r:id="rId3"/>
    <sheet name="SEC &gt; 10kW " sheetId="38" r:id="rId4"/>
    <sheet name="PRIMARY  &lt; 10kW" sheetId="39" r:id="rId5"/>
    <sheet name="PRIMARY  &gt; 10kW DLS" sheetId="40" r:id="rId6"/>
    <sheet name="PRIMARY  SUBSTATIONS" sheetId="41" r:id="rId7"/>
    <sheet name="TRANSMISSION" sheetId="42" r:id="rId8"/>
    <sheet name="STREET LIGHTING" sheetId="43" r:id="rId9"/>
    <sheet name="WHOLESALE SUB" sheetId="44" r:id="rId10"/>
    <sheet name="WHOLESALE DLS" sheetId="45" r:id="rId11"/>
  </sheets>
  <externalReferences>
    <externalReference r:id="rId14"/>
    <externalReference r:id="rId15"/>
    <externalReference r:id="rId16"/>
  </externalReferences>
  <definedNames/>
  <calcPr calcId="152511"/>
</workbook>
</file>

<file path=xl/calcChain.xml><?xml version="1.0" encoding="utf-8"?>
<calcChain xmlns="http://schemas.openxmlformats.org/spreadsheetml/2006/main">
  <c r="V34" i="1" l="1"/>
</calcChain>
</file>

<file path=xl/sharedStrings.xml><?xml version="1.0" encoding="utf-8"?>
<sst xmlns="http://schemas.openxmlformats.org/spreadsheetml/2006/main" count="650" uniqueCount="80">
  <si>
    <t>Rate Class     =  Residential Service</t>
  </si>
  <si>
    <t>Voltage Level = Secondary</t>
  </si>
  <si>
    <t>Line</t>
  </si>
  <si>
    <t xml:space="preserve">  ERCOT</t>
  </si>
  <si>
    <t xml:space="preserve"> SYSTEM</t>
  </si>
  <si>
    <t xml:space="preserve"> </t>
  </si>
  <si>
    <t xml:space="preserve">   CLASS</t>
  </si>
  <si>
    <t xml:space="preserve">         KWH</t>
  </si>
  <si>
    <t xml:space="preserve">        KWH</t>
  </si>
  <si>
    <t>No.</t>
  </si>
  <si>
    <t xml:space="preserve"> Month</t>
  </si>
  <si>
    <t>PEAK KW*</t>
  </si>
  <si>
    <t>PEAK KW#</t>
  </si>
  <si>
    <t xml:space="preserve">       SALES*</t>
  </si>
  <si>
    <t xml:space="preserve">      SALES#</t>
  </si>
  <si>
    <t xml:space="preserve"> COIN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</si>
  <si>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</si>
  <si>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</si>
  <si>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</si>
  <si>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</si>
  <si>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</si>
  <si>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</si>
  <si>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</si>
  <si>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</si>
  <si>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</si>
  <si>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</si>
  <si>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</si>
  <si>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</si>
  <si>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#    AT METER</t>
  </si>
  <si>
    <t>+    BASED ON CLASS KW</t>
  </si>
  <si>
    <t>Rate Class     =  Secondary Service Less Than or Equal to 10 kW</t>
  </si>
  <si>
    <t>Rate Class     =  Secondary Service Greater Than 10 kW</t>
  </si>
  <si>
    <t>Rate Class     =  Primary Service Less Than or Equal to 10 kW</t>
  </si>
  <si>
    <t>Voltage Level = Primary</t>
  </si>
  <si>
    <t>Rate Class     =  Transmission Service</t>
  </si>
  <si>
    <t>Voltage Level = Transmission</t>
  </si>
  <si>
    <t xml:space="preserve">Rate Class     =  Lighting Service </t>
  </si>
  <si>
    <t>Voltage Level = Secondary and Primary</t>
  </si>
  <si>
    <t xml:space="preserve">      ( d )</t>
  </si>
  <si>
    <t>Voltage Level  =  Primary</t>
  </si>
  <si>
    <t>ONCOR ELECTRIC DELIVERY COMPANY LLC</t>
  </si>
  <si>
    <t xml:space="preserve">Rate Class     =  Primary Service Greater Than 10kW - Substation </t>
  </si>
  <si>
    <t xml:space="preserve">Rate Class     =  Primary Service Greater Than 10 kW - Distribution Line </t>
  </si>
  <si>
    <t>SPONSOR:  D. E. NELSON</t>
  </si>
  <si>
    <t xml:space="preserve">     ( f )</t>
  </si>
  <si>
    <t>ADJUSTED TEST YEAR LOAD DATA</t>
  </si>
  <si>
    <t xml:space="preserve">Rate Class      =  Wholesale Service - Distribution Line </t>
  </si>
  <si>
    <t>Rate Class      =  Wholesale Service - Substation</t>
  </si>
  <si>
    <t xml:space="preserve">           ( a )</t>
  </si>
  <si>
    <t xml:space="preserve">           ( b )</t>
  </si>
  <si>
    <t xml:space="preserve">       SUM OF</t>
  </si>
  <si>
    <t>MAX DEMANDS*</t>
  </si>
  <si>
    <t xml:space="preserve">    CUSTOMER</t>
  </si>
  <si>
    <t>MAX DEMANDS#</t>
  </si>
  <si>
    <t xml:space="preserve">         ( j )</t>
  </si>
  <si>
    <t>*     AT SOURCE(BUSBAR)</t>
  </si>
  <si>
    <t xml:space="preserve">  CLASS</t>
  </si>
  <si>
    <t xml:space="preserve">   ( k )</t>
  </si>
  <si>
    <t xml:space="preserve">   ( l )</t>
  </si>
  <si>
    <t xml:space="preserve">     FACTOR</t>
  </si>
  <si>
    <t>LOAD+</t>
  </si>
  <si>
    <t xml:space="preserve">         ( i )</t>
  </si>
  <si>
    <t xml:space="preserve">      ( c )</t>
  </si>
  <si>
    <t xml:space="preserve">                    SCHEDULE  II-H-1.4</t>
  </si>
  <si>
    <t xml:space="preserve">                    PAGE   1  OF  10</t>
  </si>
  <si>
    <t xml:space="preserve">     ( g )</t>
  </si>
  <si>
    <t xml:space="preserve">     ( h )</t>
  </si>
  <si>
    <t xml:space="preserve">     ( e )</t>
  </si>
  <si>
    <t xml:space="preserve">                    PAGE   2  OF  10</t>
  </si>
  <si>
    <t xml:space="preserve">                    PAGE   3  OF  10</t>
  </si>
  <si>
    <t xml:space="preserve">                    PAGE   4  OF  10</t>
  </si>
  <si>
    <t xml:space="preserve">                    PAGE   5  OF  10</t>
  </si>
  <si>
    <t xml:space="preserve">                    PAGE   6  OF  10</t>
  </si>
  <si>
    <t xml:space="preserve">                    PAGE   7  OF  10</t>
  </si>
  <si>
    <t xml:space="preserve">                    PAGE   8  OF  10</t>
  </si>
  <si>
    <t xml:space="preserve">                    PAGE   9  OF  10</t>
  </si>
  <si>
    <t xml:space="preserve">                    PAGE   10  OF  10</t>
  </si>
  <si>
    <t>PUC DOCKET NO.</t>
  </si>
  <si>
    <t>FOR THE TEST YEAR ENDING  DECEMBER 31, 2020</t>
  </si>
  <si>
    <t>FOR THE TEST YEAR ENDING  DECEMBER 31,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</si>
</sst>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10">
    <font>
      <sz val="10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sz val="12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u val="single"/>
      <sz val="14"/>
      <name val="Arial"/>
      <family val="2"/>
    </font>
    <font>
      <b/>
      <sz val="10"/>
      <name val="Tahoma"/>
      <family val="2"/>
    </font>
    <font>
      <sz val="8"/>
      <name val="Tahoma"/>
      <family val="2"/>
    </font>
    <font>
      <b/>
      <sz val="12"/>
      <name val="Tahoma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/>
      <bottom style="double">
        <color auto="1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8">
    <xf numFmtId="0" fontId="0" fillId="0" borderId="0" xfId="0"/>
    <xf numFmtId="0" fontId="3" fillId="0" borderId="0" xfId="0" applyFont="1"/>
    <xf numFmtId="0" fontId="4" fillId="0" borderId="0" xfId="0" applyFont="1"/>
    <xf numFmtId="3" fontId="4" fillId="0" borderId="0" xfId="0" applyNumberFormat="1" applyFont="1"/>
    <xf numFmtId="49" fontId="4" fillId="0" borderId="0" xfId="0" applyNumberFormat="1" applyFont="1"/>
    <xf numFmtId="3" fontId="4" fillId="0" borderId="1" xfId="0" applyNumberFormat="1" applyFont="1" applyBorder="1"/>
    <xf numFmtId="0" fontId="5" fillId="0" borderId="0" xfId="0" applyFont="1"/>
    <xf numFmtId="0" fontId="5" fillId="0" borderId="0" xfId="0" applyFont="1" applyAlignment="1">
      <alignment horizontal="centerContinuous"/>
    </xf>
    <xf numFmtId="0" fontId="4" fillId="0" borderId="0" xfId="0" applyFont="1" applyAlignment="1">
      <alignment horizontal="centerContinuous"/>
    </xf>
    <xf numFmtId="3" fontId="4" fillId="0" borderId="0" xfId="0" applyNumberFormat="1" applyFont="1" applyAlignment="1">
      <alignment horizontal="centerContinuous"/>
    </xf>
    <xf numFmtId="3" fontId="5" fillId="0" borderId="0" xfId="0" applyNumberFormat="1" applyFont="1" applyAlignment="1">
      <alignment horizontal="centerContinuous"/>
    </xf>
    <xf numFmtId="0" fontId="6" fillId="0" borderId="0" xfId="0" applyFont="1"/>
    <xf numFmtId="0" fontId="4" fillId="0" borderId="1" xfId="0" applyFont="1" applyBorder="1"/>
    <xf numFmtId="164" fontId="4" fillId="0" borderId="0" xfId="0" applyNumberFormat="1" applyFont="1"/>
    <xf numFmtId="0" fontId="4" fillId="0" borderId="0" xfId="0" applyFont="1" applyAlignment="1">
      <alignment horizontal="center"/>
    </xf>
    <xf numFmtId="3" fontId="4" fillId="0" borderId="0" xfId="0" applyNumberFormat="1" applyFont="1" applyBorder="1"/>
    <xf numFmtId="3" fontId="4" fillId="0" borderId="2" xfId="0" applyNumberFormat="1" applyFont="1" applyBorder="1"/>
    <xf numFmtId="0" fontId="4" fillId="0" borderId="0" xfId="0" applyFont="1" applyBorder="1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2.xml" /><Relationship Id="rId5" Type="http://schemas.openxmlformats.org/officeDocument/2006/relationships/worksheet" Target="worksheets/sheet4.xml" /><Relationship Id="rId7" Type="http://schemas.openxmlformats.org/officeDocument/2006/relationships/worksheet" Target="worksheets/sheet6.xml" /><Relationship Id="rId9" Type="http://schemas.openxmlformats.org/officeDocument/2006/relationships/worksheet" Target="worksheets/sheet8.xml" /><Relationship Id="rId2" Type="http://schemas.openxmlformats.org/officeDocument/2006/relationships/worksheet" Target="worksheets/sheet1.xml" /><Relationship Id="rId14" Type="http://schemas.openxmlformats.org/officeDocument/2006/relationships/externalLink" Target="externalLinks/externalLink1.xml" /><Relationship Id="rId15" Type="http://schemas.openxmlformats.org/officeDocument/2006/relationships/externalLink" Target="externalLinks/externalLink2.xml" /><Relationship Id="rId16" Type="http://schemas.openxmlformats.org/officeDocument/2006/relationships/externalLink" Target="externalLinks/externalLink3.xml" /><Relationship Id="rId17" Type="http://schemas.openxmlformats.org/officeDocument/2006/relationships/calcChain" Target="calcChain.xml" /><Relationship Id="rId10" Type="http://schemas.openxmlformats.org/officeDocument/2006/relationships/worksheet" Target="worksheets/sheet9.xml" /><Relationship Id="rId11" Type="http://schemas.openxmlformats.org/officeDocument/2006/relationships/worksheet" Target="worksheets/sheet10.xml" /><Relationship Id="rId12" Type="http://schemas.openxmlformats.org/officeDocument/2006/relationships/styles" Target="styles.xml" /><Relationship Id="rId1" Type="http://schemas.openxmlformats.org/officeDocument/2006/relationships/theme" Target="theme/theme1.xml" /><Relationship Id="rId4" Type="http://schemas.openxmlformats.org/officeDocument/2006/relationships/worksheet" Target="worksheets/sheet3.xml" /><Relationship Id="rId6" Type="http://schemas.openxmlformats.org/officeDocument/2006/relationships/worksheet" Target="worksheets/sheet5.xml" /><Relationship Id="rId8" Type="http://schemas.openxmlformats.org/officeDocument/2006/relationships/worksheet" Target="worksheets/sheet7.xml" /><Relationship Id="rId13" Type="http://schemas.openxmlformats.org/officeDocument/2006/relationships/sharedStrings" Target="sharedStrings.xml" /></Relationships>
</file>

<file path=xl/externalLinks/_rels/externalLink1.xml.rels><?xml version="1.0" encoding="UTF-8" standalone="yes"?><Relationships xmlns="http://schemas.openxmlformats.org/package/2006/relationships"><Relationship Id="rId1" Type="http://schemas.openxmlformats.org/officeDocument/2006/relationships/externalLinkPath" Target="Schedule%20II-H%20WP/WP_II_H-1.3_1.xlsx" TargetMode="External" /></Relationships>
</file>

<file path=xl/externalLinks/_rels/externalLink2.xml.rels><?xml version="1.0" encoding="UTF-8" standalone="yes"?><Relationships xmlns="http://schemas.openxmlformats.org/package/2006/relationships"><Relationship Id="rId1" Type="http://schemas.openxmlformats.org/officeDocument/2006/relationships/externalLinkPath" Target="II-H-1.2.xls" TargetMode="External" /></Relationships>
</file>

<file path=xl/externalLinks/_rels/externalLink3.xml.rels><?xml version="1.0" encoding="UTF-8" standalone="yes"?><Relationships xmlns="http://schemas.openxmlformats.org/package/2006/relationships"><Relationship Id="rId1" Type="http://schemas.openxmlformats.org/officeDocument/2006/relationships/externalLinkPath" Target="II-H-1.3.xlsx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Energy Loss Factor"/>
      <sheetName val="Demand Loss Factor"/>
      <sheetName val="2021 Stats"/>
    </sheetNames>
    <sheetDataSet>
      <sheetData sheetId="0">
        <row r="52">
          <cell r="G52">
            <v>1.00574</v>
          </cell>
        </row>
        <row r="53">
          <cell r="G53">
            <v>1.0150632098</v>
          </cell>
        </row>
        <row r="54">
          <cell r="G54">
            <v>1.03717731087894</v>
          </cell>
        </row>
      </sheetData>
      <sheetData sheetId="1">
        <row r="52">
          <cell r="G52">
            <v>1.00637</v>
          </cell>
        </row>
        <row r="53">
          <cell r="G53">
            <v>1.0201975238</v>
          </cell>
        </row>
        <row r="54">
          <cell r="G54">
            <v>1.03884524597633</v>
          </cell>
        </row>
      </sheetData>
      <sheetData sheetId="2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RES"/>
      <sheetName val="GS SEC SMALL"/>
      <sheetName val="GS SEC LRG NONIDR"/>
      <sheetName val="GS SEC LRG IDR "/>
      <sheetName val="GS PRI SMALL"/>
      <sheetName val="GS PRI LRG NONIDR"/>
      <sheetName val="GS PRI LRG IDR "/>
      <sheetName val="GS PRI LRG SUB"/>
      <sheetName val="TRANSMISSION"/>
      <sheetName val="SL - UNMETERED"/>
      <sheetName val="SL - METERED NON CO"/>
      <sheetName val="SL - METERED CO OWNED"/>
      <sheetName val="OUTDOOR LIGHTING"/>
      <sheetName val="WHOLESALE-SUB"/>
      <sheetName val="WHOLESALE-DLS"/>
    </sheetNames>
    <sheetDataSet>
      <sheetData sheetId="0">
        <row r="16">
          <cell r="I16">
            <v>3891654035</v>
          </cell>
          <cell r="S16">
            <v>4138304207.75287</v>
          </cell>
        </row>
        <row r="18">
          <cell r="I18">
            <v>3835104200</v>
          </cell>
          <cell r="S18">
            <v>3806940642.31132</v>
          </cell>
        </row>
        <row r="20">
          <cell r="I20">
            <v>4297856697</v>
          </cell>
          <cell r="S20">
            <v>3289706805.1573</v>
          </cell>
        </row>
        <row r="22">
          <cell r="I22">
            <v>2463697416</v>
          </cell>
          <cell r="S22">
            <v>2745904765.19312</v>
          </cell>
        </row>
        <row r="24">
          <cell r="I24">
            <v>2623759112</v>
          </cell>
          <cell r="S24">
            <v>2856991145.98814</v>
          </cell>
        </row>
        <row r="26">
          <cell r="I26">
            <v>3299051861</v>
          </cell>
          <cell r="S26">
            <v>3813799269.93584</v>
          </cell>
        </row>
        <row r="28">
          <cell r="I28">
            <v>4869095251</v>
          </cell>
          <cell r="S28">
            <v>5106226634.24968</v>
          </cell>
        </row>
        <row r="30">
          <cell r="I30">
            <v>5021725819</v>
          </cell>
          <cell r="S30">
            <v>5436530572.03569</v>
          </cell>
        </row>
        <row r="32">
          <cell r="I32">
            <v>5032815580</v>
          </cell>
          <cell r="S32">
            <v>5046099347.21966</v>
          </cell>
        </row>
        <row r="34">
          <cell r="I34">
            <v>3875250241</v>
          </cell>
          <cell r="S34">
            <v>3812960181.1609</v>
          </cell>
        </row>
        <row r="36">
          <cell r="I36">
            <v>2797502840</v>
          </cell>
          <cell r="S36">
            <v>2789355468.1816</v>
          </cell>
        </row>
        <row r="38">
          <cell r="I38">
            <v>2766372734</v>
          </cell>
          <cell r="S38">
            <v>3214517731.13763</v>
          </cell>
        </row>
      </sheetData>
      <sheetData sheetId="1">
        <row r="16">
          <cell r="I16">
            <v>158994545</v>
          </cell>
          <cell r="S16">
            <v>165309121.750949</v>
          </cell>
        </row>
        <row r="18">
          <cell r="I18">
            <v>154922667</v>
          </cell>
          <cell r="S18">
            <v>157735996.331556</v>
          </cell>
        </row>
        <row r="20">
          <cell r="I20">
            <v>162310994</v>
          </cell>
          <cell r="S20">
            <v>151950649.964685</v>
          </cell>
        </row>
        <row r="22">
          <cell r="I22">
            <v>132745054</v>
          </cell>
          <cell r="S22">
            <v>138809235.07281</v>
          </cell>
        </row>
        <row r="24">
          <cell r="I24">
            <v>134274800</v>
          </cell>
          <cell r="S24">
            <v>139615869.762584</v>
          </cell>
        </row>
        <row r="26">
          <cell r="I26">
            <v>143016634</v>
          </cell>
          <cell r="S26">
            <v>152971499.442119</v>
          </cell>
        </row>
        <row r="28">
          <cell r="I28">
            <v>172928670</v>
          </cell>
          <cell r="S28">
            <v>179020800.765498</v>
          </cell>
        </row>
        <row r="30">
          <cell r="I30">
            <v>173132985</v>
          </cell>
          <cell r="S30">
            <v>182658484.955428</v>
          </cell>
        </row>
        <row r="32">
          <cell r="I32">
            <v>173980163</v>
          </cell>
          <cell r="S32">
            <v>175695570.671173</v>
          </cell>
        </row>
        <row r="34">
          <cell r="I34">
            <v>156079341</v>
          </cell>
          <cell r="S34">
            <v>155566831.052965</v>
          </cell>
        </row>
        <row r="36">
          <cell r="I36">
            <v>135571392</v>
          </cell>
          <cell r="S36">
            <v>135610535.93239</v>
          </cell>
        </row>
        <row r="38">
          <cell r="I38">
            <v>137974904</v>
          </cell>
          <cell r="S38">
            <v>144548256.10089</v>
          </cell>
        </row>
      </sheetData>
      <sheetData sheetId="2">
        <row r="16">
          <cell r="I16">
            <v>1998993921</v>
          </cell>
          <cell r="S16">
            <v>2058175042.01457</v>
          </cell>
        </row>
        <row r="18">
          <cell r="I18">
            <v>1977503676</v>
          </cell>
          <cell r="S18">
            <v>2003097182.43743</v>
          </cell>
        </row>
        <row r="20">
          <cell r="I20">
            <v>2201181387</v>
          </cell>
          <cell r="S20">
            <v>2110792110.1409</v>
          </cell>
        </row>
        <row r="22">
          <cell r="I22">
            <v>1800792498</v>
          </cell>
          <cell r="S22">
            <v>1842502769.37609</v>
          </cell>
        </row>
        <row r="24">
          <cell r="I24">
            <v>2029244473</v>
          </cell>
          <cell r="S24">
            <v>2107343208.38729</v>
          </cell>
        </row>
        <row r="26">
          <cell r="I26">
            <v>2281615721</v>
          </cell>
          <cell r="S26">
            <v>2410453059.27498</v>
          </cell>
        </row>
        <row r="28">
          <cell r="I28">
            <v>2773542025</v>
          </cell>
          <cell r="S28">
            <v>2823717479.73578</v>
          </cell>
        </row>
        <row r="30">
          <cell r="I30">
            <v>2813879859</v>
          </cell>
          <cell r="S30">
            <v>2897914077.59748</v>
          </cell>
        </row>
        <row r="32">
          <cell r="I32">
            <v>2861233955</v>
          </cell>
          <cell r="S32">
            <v>2858223818.69936</v>
          </cell>
        </row>
        <row r="34">
          <cell r="I34">
            <v>2450797322</v>
          </cell>
          <cell r="S34">
            <v>2422618270.99932</v>
          </cell>
        </row>
        <row r="36">
          <cell r="I36">
            <v>2065732092</v>
          </cell>
          <cell r="S36">
            <v>2043861560.5354</v>
          </cell>
        </row>
        <row r="38">
          <cell r="I38">
            <v>1930751950</v>
          </cell>
          <cell r="S38">
            <v>1967732815.96959</v>
          </cell>
        </row>
      </sheetData>
      <sheetData sheetId="3">
        <row r="16">
          <cell r="I16">
            <v>1351918368</v>
          </cell>
          <cell r="S16">
            <v>1411018264.17885</v>
          </cell>
        </row>
        <row r="18">
          <cell r="I18">
            <v>1326371430</v>
          </cell>
          <cell r="S18">
            <v>1365441462.48382</v>
          </cell>
        </row>
        <row r="20">
          <cell r="I20">
            <v>1339560309</v>
          </cell>
          <cell r="S20">
            <v>1312663783.21596</v>
          </cell>
        </row>
        <row r="22">
          <cell r="I22">
            <v>1346806153</v>
          </cell>
          <cell r="S22">
            <v>1408034299.15057</v>
          </cell>
        </row>
        <row r="24">
          <cell r="I24">
            <v>1406273540</v>
          </cell>
          <cell r="S24">
            <v>1489523453.16181</v>
          </cell>
        </row>
        <row r="26">
          <cell r="I26">
            <v>1462016083</v>
          </cell>
          <cell r="S26">
            <v>1559398606.69698</v>
          </cell>
        </row>
        <row r="28">
          <cell r="I28">
            <v>1695733062</v>
          </cell>
          <cell r="S28">
            <v>1747932032.99894</v>
          </cell>
        </row>
        <row r="30">
          <cell r="I30">
            <v>1697138007</v>
          </cell>
          <cell r="S30">
            <v>1774092971.94842</v>
          </cell>
        </row>
        <row r="32">
          <cell r="I32">
            <v>1692406091</v>
          </cell>
          <cell r="S32">
            <v>1711581588.68529</v>
          </cell>
        </row>
        <row r="34">
          <cell r="I34">
            <v>1554722199</v>
          </cell>
          <cell r="S34">
            <v>1532606987.97723</v>
          </cell>
        </row>
        <row r="36">
          <cell r="I36">
            <v>1463865882</v>
          </cell>
          <cell r="S36">
            <v>1445568310.18553</v>
          </cell>
        </row>
        <row r="38">
          <cell r="I38">
            <v>1408196282</v>
          </cell>
          <cell r="S38">
            <v>1435168321.55356</v>
          </cell>
        </row>
      </sheetData>
      <sheetData sheetId="4">
        <row r="16">
          <cell r="I16">
            <v>2226543</v>
          </cell>
          <cell r="S16">
            <v>2317727.37260826</v>
          </cell>
        </row>
        <row r="18">
          <cell r="I18">
            <v>2052440</v>
          </cell>
          <cell r="S18">
            <v>2138647.99731183</v>
          </cell>
        </row>
        <row r="20">
          <cell r="I20">
            <v>1836764</v>
          </cell>
          <cell r="S20">
            <v>1895442.65024958</v>
          </cell>
        </row>
        <row r="22">
          <cell r="I22">
            <v>2697261</v>
          </cell>
          <cell r="S22">
            <v>2756824.77290705</v>
          </cell>
        </row>
        <row r="24">
          <cell r="I24">
            <v>2349193</v>
          </cell>
          <cell r="S24">
            <v>2376785.47895595</v>
          </cell>
        </row>
        <row r="26">
          <cell r="I26">
            <v>2389009</v>
          </cell>
          <cell r="S26">
            <v>2413918.8364288</v>
          </cell>
        </row>
        <row r="28">
          <cell r="I28">
            <v>2229288</v>
          </cell>
          <cell r="S28">
            <v>2243759.1976631</v>
          </cell>
        </row>
        <row r="30">
          <cell r="I30">
            <v>2289003</v>
          </cell>
          <cell r="S30">
            <v>2294923.47332687</v>
          </cell>
        </row>
        <row r="32">
          <cell r="I32">
            <v>2439904</v>
          </cell>
          <cell r="S32">
            <v>2443844.41343669</v>
          </cell>
        </row>
        <row r="34">
          <cell r="I34">
            <v>2267846</v>
          </cell>
          <cell r="S34">
            <v>2260556.23465124</v>
          </cell>
        </row>
        <row r="36">
          <cell r="I36">
            <v>2265679</v>
          </cell>
          <cell r="S36">
            <v>2264218.68482114</v>
          </cell>
        </row>
        <row r="38">
          <cell r="I38">
            <v>2418619</v>
          </cell>
          <cell r="S38">
            <v>2418619</v>
          </cell>
        </row>
      </sheetData>
      <sheetData sheetId="5">
        <row r="16">
          <cell r="I16">
            <v>142162335</v>
          </cell>
          <cell r="S16">
            <v>138522127.152897</v>
          </cell>
        </row>
        <row r="18">
          <cell r="I18">
            <v>136104227</v>
          </cell>
          <cell r="S18">
            <v>133152869.838305</v>
          </cell>
        </row>
        <row r="20">
          <cell r="I20">
            <v>125450911</v>
          </cell>
          <cell r="S20">
            <v>123256448.320208</v>
          </cell>
        </row>
        <row r="22">
          <cell r="I22">
            <v>146049568</v>
          </cell>
          <cell r="S22">
            <v>144286037.778252</v>
          </cell>
        </row>
        <row r="24">
          <cell r="I24">
            <v>168470619</v>
          </cell>
          <cell r="S24">
            <v>168930954.010982</v>
          </cell>
        </row>
        <row r="26">
          <cell r="I26">
            <v>176125535</v>
          </cell>
          <cell r="S26">
            <v>178791621.628954</v>
          </cell>
        </row>
        <row r="28">
          <cell r="I28">
            <v>182621139</v>
          </cell>
          <cell r="S28">
            <v>184509806.379264</v>
          </cell>
        </row>
        <row r="30">
          <cell r="I30">
            <v>112099971</v>
          </cell>
          <cell r="S30">
            <v>114030346.442689</v>
          </cell>
        </row>
        <row r="32">
          <cell r="I32">
            <v>170101246</v>
          </cell>
          <cell r="S32">
            <v>170775260.729059</v>
          </cell>
        </row>
        <row r="34">
          <cell r="I34">
            <v>216102761</v>
          </cell>
          <cell r="S34">
            <v>215873922.896295</v>
          </cell>
        </row>
        <row r="36">
          <cell r="I36">
            <v>157504876</v>
          </cell>
          <cell r="S36">
            <v>157108953.657979</v>
          </cell>
        </row>
        <row r="38">
          <cell r="I38">
            <v>168890297</v>
          </cell>
          <cell r="S38">
            <v>168730487.500529</v>
          </cell>
        </row>
      </sheetData>
      <sheetData sheetId="6">
        <row r="16">
          <cell r="I16">
            <v>1196329426</v>
          </cell>
          <cell r="S16">
            <v>1258190370.93955</v>
          </cell>
        </row>
        <row r="18">
          <cell r="I18">
            <v>1150822551</v>
          </cell>
          <cell r="S18">
            <v>1206921458.32748</v>
          </cell>
        </row>
        <row r="20">
          <cell r="I20">
            <v>1014192818</v>
          </cell>
          <cell r="S20">
            <v>1066719289.50684</v>
          </cell>
        </row>
        <row r="22">
          <cell r="I22">
            <v>1181580735</v>
          </cell>
          <cell r="S22">
            <v>1245913069.19588</v>
          </cell>
        </row>
        <row r="24">
          <cell r="I24">
            <v>1246661858</v>
          </cell>
          <cell r="S24">
            <v>1313691597.85761</v>
          </cell>
        </row>
        <row r="26">
          <cell r="I26">
            <v>1284301945</v>
          </cell>
          <cell r="S26">
            <v>1327642573.12518</v>
          </cell>
        </row>
        <row r="28">
          <cell r="I28">
            <v>1342534030</v>
          </cell>
          <cell r="S28">
            <v>1382166918.00259</v>
          </cell>
        </row>
        <row r="30">
          <cell r="I30">
            <v>1253721174</v>
          </cell>
          <cell r="S30">
            <v>1300266711.14741</v>
          </cell>
        </row>
        <row r="32">
          <cell r="I32">
            <v>1307569606</v>
          </cell>
          <cell r="S32">
            <v>1344305240.22662</v>
          </cell>
        </row>
        <row r="34">
          <cell r="I34">
            <v>1300302492</v>
          </cell>
          <cell r="S34">
            <v>1293335332.71533</v>
          </cell>
        </row>
        <row r="36">
          <cell r="I36">
            <v>1256982908</v>
          </cell>
          <cell r="S36">
            <v>1252577482.20845</v>
          </cell>
        </row>
        <row r="38">
          <cell r="I38">
            <v>1336111748</v>
          </cell>
          <cell r="S38">
            <v>1334847475.54931</v>
          </cell>
        </row>
      </sheetData>
      <sheetData sheetId="7">
        <row r="16">
          <cell r="I16">
            <v>455381089</v>
          </cell>
          <cell r="S16">
            <v>489736917.272681</v>
          </cell>
        </row>
        <row r="18">
          <cell r="I18">
            <v>440484862</v>
          </cell>
          <cell r="S18">
            <v>473605031.746036</v>
          </cell>
        </row>
        <row r="20">
          <cell r="I20">
            <v>370699961</v>
          </cell>
          <cell r="S20">
            <v>395691123.027528</v>
          </cell>
        </row>
        <row r="22">
          <cell r="I22">
            <v>475999602</v>
          </cell>
          <cell r="S22">
            <v>507930977.033227</v>
          </cell>
        </row>
        <row r="24">
          <cell r="I24">
            <v>501702318</v>
          </cell>
          <cell r="S24">
            <v>538314783.900405</v>
          </cell>
        </row>
        <row r="26">
          <cell r="I26">
            <v>494361390</v>
          </cell>
          <cell r="S26">
            <v>522716387.639813</v>
          </cell>
        </row>
        <row r="28">
          <cell r="I28">
            <v>528389711</v>
          </cell>
          <cell r="S28">
            <v>556515589.136629</v>
          </cell>
        </row>
        <row r="30">
          <cell r="I30">
            <v>628154488</v>
          </cell>
          <cell r="S30">
            <v>641188834.084328</v>
          </cell>
        </row>
        <row r="32">
          <cell r="I32">
            <v>561285652</v>
          </cell>
          <cell r="S32">
            <v>565378335.466848</v>
          </cell>
        </row>
        <row r="34">
          <cell r="I34">
            <v>542421610</v>
          </cell>
          <cell r="S34">
            <v>544997063.740145</v>
          </cell>
        </row>
        <row r="36">
          <cell r="I36">
            <v>542819922</v>
          </cell>
          <cell r="S36">
            <v>545525299.253934</v>
          </cell>
        </row>
        <row r="38">
          <cell r="I38">
            <v>550146821</v>
          </cell>
          <cell r="S38">
            <v>549287686.037986</v>
          </cell>
        </row>
      </sheetData>
      <sheetData sheetId="8">
        <row r="16">
          <cell r="I16">
            <v>1633074126</v>
          </cell>
          <cell r="S16">
            <v>1724477528.57463</v>
          </cell>
        </row>
        <row r="18">
          <cell r="I18">
            <v>1535968217</v>
          </cell>
          <cell r="S18">
            <v>1615907083.31227</v>
          </cell>
        </row>
        <row r="20">
          <cell r="I20">
            <v>1422348554</v>
          </cell>
          <cell r="S20">
            <v>1490832002.8963</v>
          </cell>
        </row>
        <row r="22">
          <cell r="I22">
            <v>1650233866</v>
          </cell>
          <cell r="S22">
            <v>1698240669.37455</v>
          </cell>
        </row>
        <row r="24">
          <cell r="I24">
            <v>1740191984</v>
          </cell>
          <cell r="S24">
            <v>1777885673.18412</v>
          </cell>
        </row>
        <row r="26">
          <cell r="I26">
            <v>1739215540</v>
          </cell>
          <cell r="S26">
            <v>1770496395.03597</v>
          </cell>
        </row>
        <row r="28">
          <cell r="I28">
            <v>1777198436</v>
          </cell>
          <cell r="S28">
            <v>1783500558.11348</v>
          </cell>
        </row>
        <row r="30">
          <cell r="I30">
            <v>1793854071</v>
          </cell>
          <cell r="S30">
            <v>1800215255.64894</v>
          </cell>
        </row>
        <row r="32">
          <cell r="I32">
            <v>1815185444</v>
          </cell>
          <cell r="S32">
            <v>1815185444</v>
          </cell>
        </row>
        <row r="34">
          <cell r="I34">
            <v>1846716296</v>
          </cell>
          <cell r="S34">
            <v>1846716296</v>
          </cell>
        </row>
        <row r="36">
          <cell r="I36">
            <v>1877484630</v>
          </cell>
          <cell r="S36">
            <v>1877484630</v>
          </cell>
        </row>
        <row r="38">
          <cell r="I38">
            <v>1875813062</v>
          </cell>
          <cell r="S38">
            <v>1875813062</v>
          </cell>
        </row>
      </sheetData>
      <sheetData sheetId="9">
        <row r="16">
          <cell r="S16">
            <v>23485021</v>
          </cell>
        </row>
        <row r="18">
          <cell r="S18">
            <v>23485021</v>
          </cell>
        </row>
        <row r="20">
          <cell r="S20">
            <v>23485021</v>
          </cell>
        </row>
        <row r="22">
          <cell r="S22">
            <v>23485021</v>
          </cell>
        </row>
        <row r="24">
          <cell r="S24">
            <v>23485021</v>
          </cell>
        </row>
        <row r="26">
          <cell r="S26">
            <v>23485021</v>
          </cell>
        </row>
        <row r="28">
          <cell r="S28">
            <v>23485021</v>
          </cell>
        </row>
        <row r="30">
          <cell r="S30">
            <v>23485021</v>
          </cell>
        </row>
        <row r="32">
          <cell r="S32">
            <v>23485021</v>
          </cell>
        </row>
        <row r="34">
          <cell r="S34">
            <v>23485021</v>
          </cell>
        </row>
        <row r="36">
          <cell r="S36">
            <v>23485021</v>
          </cell>
        </row>
        <row r="38">
          <cell r="S38">
            <v>23485021</v>
          </cell>
        </row>
      </sheetData>
      <sheetData sheetId="10">
        <row r="16">
          <cell r="S16">
            <v>1010725.6</v>
          </cell>
        </row>
        <row r="18">
          <cell r="S18">
            <v>924410.385224274</v>
          </cell>
        </row>
        <row r="20">
          <cell r="S20">
            <v>870904.295514512</v>
          </cell>
        </row>
        <row r="22">
          <cell r="S22">
            <v>786456.898282695</v>
          </cell>
        </row>
        <row r="24">
          <cell r="S24">
            <v>761325.992073976</v>
          </cell>
        </row>
        <row r="26">
          <cell r="S26">
            <v>707870.73015873</v>
          </cell>
        </row>
        <row r="28">
          <cell r="S28">
            <v>675833.854304636</v>
          </cell>
        </row>
        <row r="30">
          <cell r="S30">
            <v>676720.317880795</v>
          </cell>
        </row>
        <row r="32">
          <cell r="S32">
            <v>715548.472775564</v>
          </cell>
        </row>
        <row r="34">
          <cell r="S34">
            <v>763807.298804781</v>
          </cell>
        </row>
        <row r="36">
          <cell r="S36">
            <v>800978.868525896</v>
          </cell>
        </row>
        <row r="38">
          <cell r="S38">
            <v>891223</v>
          </cell>
        </row>
      </sheetData>
      <sheetData sheetId="11">
        <row r="16">
          <cell r="S16">
            <v>29390</v>
          </cell>
        </row>
        <row r="18">
          <cell r="S18">
            <v>26185</v>
          </cell>
        </row>
        <row r="20">
          <cell r="S20">
            <v>26437</v>
          </cell>
        </row>
        <row r="22">
          <cell r="S22">
            <v>23808</v>
          </cell>
        </row>
        <row r="24">
          <cell r="S24">
            <v>22502</v>
          </cell>
        </row>
        <row r="26">
          <cell r="S26">
            <v>21217</v>
          </cell>
        </row>
        <row r="28">
          <cell r="S28">
            <v>20637</v>
          </cell>
        </row>
        <row r="30">
          <cell r="S30">
            <v>20069</v>
          </cell>
        </row>
        <row r="32">
          <cell r="S32">
            <v>21641</v>
          </cell>
        </row>
        <row r="34">
          <cell r="S34">
            <v>22010</v>
          </cell>
        </row>
        <row r="36">
          <cell r="S36">
            <v>24147</v>
          </cell>
        </row>
        <row r="38">
          <cell r="S38">
            <v>25666</v>
          </cell>
        </row>
      </sheetData>
      <sheetData sheetId="12">
        <row r="16">
          <cell r="S16">
            <v>7357544</v>
          </cell>
        </row>
        <row r="18">
          <cell r="S18">
            <v>7357544</v>
          </cell>
        </row>
        <row r="20">
          <cell r="S20">
            <v>7357544</v>
          </cell>
        </row>
        <row r="22">
          <cell r="S22">
            <v>7357544</v>
          </cell>
        </row>
        <row r="24">
          <cell r="S24">
            <v>7357544</v>
          </cell>
        </row>
        <row r="26">
          <cell r="S26">
            <v>7357544</v>
          </cell>
        </row>
        <row r="28">
          <cell r="S28">
            <v>7357544</v>
          </cell>
        </row>
        <row r="30">
          <cell r="S30">
            <v>7357544</v>
          </cell>
        </row>
        <row r="32">
          <cell r="S32">
            <v>7357544</v>
          </cell>
        </row>
        <row r="34">
          <cell r="S34">
            <v>7357544</v>
          </cell>
        </row>
        <row r="36">
          <cell r="S36">
            <v>7357544</v>
          </cell>
        </row>
        <row r="38">
          <cell r="S38">
            <v>7357544</v>
          </cell>
        </row>
      </sheetData>
      <sheetData sheetId="13">
        <row r="16">
          <cell r="I16">
            <v>30545411.8991852</v>
          </cell>
          <cell r="S16">
            <v>30625313.8991852</v>
          </cell>
        </row>
        <row r="18">
          <cell r="I18">
            <v>32623920.4631634</v>
          </cell>
          <cell r="S18">
            <v>32703822.4631634</v>
          </cell>
        </row>
        <row r="20">
          <cell r="I20">
            <v>20962680.7515907</v>
          </cell>
          <cell r="S20">
            <v>21042582.7515907</v>
          </cell>
        </row>
        <row r="22">
          <cell r="I22">
            <v>19493341.9691153</v>
          </cell>
          <cell r="S22">
            <v>19573243.9691153</v>
          </cell>
        </row>
        <row r="24">
          <cell r="I24">
            <v>21317608.9791155</v>
          </cell>
          <cell r="S24">
            <v>21397510.9791155</v>
          </cell>
        </row>
        <row r="26">
          <cell r="I26">
            <v>29791083.8036194</v>
          </cell>
          <cell r="S26">
            <v>29870985.8036194</v>
          </cell>
        </row>
        <row r="28">
          <cell r="I28">
            <v>33405520.6956776</v>
          </cell>
          <cell r="S28">
            <v>33405520.6956776</v>
          </cell>
        </row>
        <row r="30">
          <cell r="I30">
            <v>35378271.5211033</v>
          </cell>
          <cell r="S30">
            <v>35378271.5211033</v>
          </cell>
        </row>
        <row r="32">
          <cell r="I32">
            <v>29276573.6614021</v>
          </cell>
          <cell r="S32">
            <v>29276573.6614021</v>
          </cell>
        </row>
        <row r="34">
          <cell r="I34">
            <v>22797878.3039483</v>
          </cell>
          <cell r="S34">
            <v>22797878.3039483</v>
          </cell>
        </row>
        <row r="36">
          <cell r="I36">
            <v>21581480.6341583</v>
          </cell>
          <cell r="S36">
            <v>21581480.6341583</v>
          </cell>
        </row>
        <row r="38">
          <cell r="I38">
            <v>23173416.6201132</v>
          </cell>
          <cell r="S38">
            <v>23173416.6201132</v>
          </cell>
        </row>
      </sheetData>
      <sheetData sheetId="14">
        <row r="16">
          <cell r="I16">
            <v>38701154.4808788</v>
          </cell>
          <cell r="S16">
            <v>38248932.712887</v>
          </cell>
        </row>
        <row r="18">
          <cell r="I18">
            <v>41973738.1136055</v>
          </cell>
          <cell r="S18">
            <v>41621851.0384214</v>
          </cell>
        </row>
        <row r="20">
          <cell r="I20">
            <v>27744607.3011807</v>
          </cell>
          <cell r="S20">
            <v>26688283.5987101</v>
          </cell>
        </row>
        <row r="22">
          <cell r="I22">
            <v>25704220.8966098</v>
          </cell>
          <cell r="S22">
            <v>24402053.4008004</v>
          </cell>
        </row>
        <row r="24">
          <cell r="I24">
            <v>27593708.4082024</v>
          </cell>
          <cell r="S24">
            <v>27044434.7187552</v>
          </cell>
        </row>
        <row r="26">
          <cell r="I26">
            <v>36036138.0319319</v>
          </cell>
          <cell r="S26">
            <v>35906341.7593171</v>
          </cell>
        </row>
        <row r="28">
          <cell r="I28">
            <v>40369156.0966268</v>
          </cell>
          <cell r="S28">
            <v>40369156.0966268</v>
          </cell>
        </row>
        <row r="30">
          <cell r="I30">
            <v>42827975.608221</v>
          </cell>
          <cell r="S30">
            <v>42827975.608221</v>
          </cell>
        </row>
        <row r="32">
          <cell r="I32">
            <v>36628118.1358253</v>
          </cell>
          <cell r="S32">
            <v>36628118.1358253</v>
          </cell>
        </row>
        <row r="34">
          <cell r="I34">
            <v>31102423.9203989</v>
          </cell>
          <cell r="S34">
            <v>31102423.9203989</v>
          </cell>
        </row>
        <row r="36">
          <cell r="I36">
            <v>30531665.0530835</v>
          </cell>
          <cell r="S36">
            <v>30531665.0530835</v>
          </cell>
        </row>
        <row r="38">
          <cell r="I38">
            <v>30180345.5284292</v>
          </cell>
          <cell r="S38">
            <v>30180345.5284292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RESIDENTIAL"/>
      <sheetName val="SEC &lt; 10kW"/>
      <sheetName val="SEC &gt; 10kW "/>
      <sheetName val="PRIMARY  &lt; 10kW"/>
      <sheetName val="PRIMARY  &gt; 10kW DLS"/>
      <sheetName val="PRIMARY  SUBSTATIONS"/>
      <sheetName val="TRANSMISSION"/>
      <sheetName val="STREET LIGHTING"/>
      <sheetName val="WHOLESALE SUB"/>
      <sheetName val="WHOLESALE DLS"/>
      <sheetName val="36-MO LF-RES"/>
      <sheetName val="36 MO LF-SGS"/>
      <sheetName val="36 MO LF - LGS"/>
      <sheetName val="36 MO LF - SGP "/>
      <sheetName val="36 MO LF - LGP_SUBST"/>
      <sheetName val="36 MO LF - LGP_DLS"/>
      <sheetName val="36 MO LF -  HV"/>
      <sheetName val="36 MO LF -  WHLS SUB"/>
      <sheetName val="36 MO LF -  WHLS DLS"/>
    </sheetNames>
    <sheetDataSet>
      <sheetData sheetId="0">
        <row r="22">
          <cell r="F22">
            <v>32742492</v>
          </cell>
          <cell r="J22">
            <v>9327643.708</v>
          </cell>
          <cell r="N22">
            <v>9063280.676</v>
          </cell>
          <cell r="R22">
            <v>9061488.672</v>
          </cell>
        </row>
        <row r="23">
          <cell r="F23">
            <v>36644119</v>
          </cell>
          <cell r="J23">
            <v>14750243.976</v>
          </cell>
          <cell r="N23">
            <v>14710868.8</v>
          </cell>
          <cell r="R23">
            <v>14723676.732</v>
          </cell>
        </row>
        <row r="24">
          <cell r="F24">
            <v>29575654</v>
          </cell>
          <cell r="J24">
            <v>6256637.908</v>
          </cell>
          <cell r="N24">
            <v>6256637.908</v>
          </cell>
          <cell r="R24">
            <v>4671912.136</v>
          </cell>
        </row>
        <row r="25">
          <cell r="F25">
            <v>28670138</v>
          </cell>
          <cell r="J25">
            <v>6185351.596</v>
          </cell>
          <cell r="N25">
            <v>6107890.588</v>
          </cell>
          <cell r="R25">
            <v>5693154.444</v>
          </cell>
        </row>
        <row r="26">
          <cell r="F26">
            <v>27576587</v>
          </cell>
          <cell r="J26">
            <v>8746484.26</v>
          </cell>
          <cell r="N26">
            <v>8465713.888</v>
          </cell>
          <cell r="R26">
            <v>8465713.888</v>
          </cell>
        </row>
        <row r="27">
          <cell r="F27">
            <v>28925026</v>
          </cell>
          <cell r="J27">
            <v>11410635.344</v>
          </cell>
          <cell r="N27">
            <v>10540552.108</v>
          </cell>
          <cell r="R27">
            <v>10207796.756</v>
          </cell>
        </row>
        <row r="28">
          <cell r="F28">
            <v>29013515</v>
          </cell>
          <cell r="J28">
            <v>12019276.272</v>
          </cell>
          <cell r="N28">
            <v>10988291.052</v>
          </cell>
          <cell r="R28">
            <v>11785098.312</v>
          </cell>
        </row>
        <row r="29">
          <cell r="F29">
            <v>29033142</v>
          </cell>
          <cell r="J29">
            <v>11792393.612</v>
          </cell>
          <cell r="N29">
            <v>11222852.476</v>
          </cell>
          <cell r="R29">
            <v>11369850.504</v>
          </cell>
        </row>
        <row r="30">
          <cell r="F30">
            <v>28361717</v>
          </cell>
          <cell r="J30">
            <v>11767185.024</v>
          </cell>
          <cell r="N30">
            <v>11420845.856</v>
          </cell>
          <cell r="R30">
            <v>11599882.864</v>
          </cell>
        </row>
        <row r="31">
          <cell r="F31">
            <v>27748261</v>
          </cell>
          <cell r="J31">
            <v>8833323.704</v>
          </cell>
          <cell r="N31">
            <v>8330164.3</v>
          </cell>
          <cell r="R31">
            <v>8330164.3</v>
          </cell>
        </row>
        <row r="32">
          <cell r="F32">
            <v>30080836</v>
          </cell>
          <cell r="J32">
            <v>5780263.572</v>
          </cell>
          <cell r="N32">
            <v>5779235.452</v>
          </cell>
          <cell r="R32">
            <v>4013870.124</v>
          </cell>
        </row>
        <row r="33">
          <cell r="F33">
            <v>31461260</v>
          </cell>
          <cell r="J33">
            <v>7085982.556</v>
          </cell>
          <cell r="N33">
            <v>6678408.516</v>
          </cell>
          <cell r="R33">
            <v>4847340.06</v>
          </cell>
        </row>
      </sheetData>
      <sheetData sheetId="1">
        <row r="22">
          <cell r="F22">
            <v>816380.6</v>
          </cell>
          <cell r="J22">
            <v>279951.432</v>
          </cell>
          <cell r="N22">
            <v>263512.928</v>
          </cell>
          <cell r="R22">
            <v>275767.888</v>
          </cell>
        </row>
        <row r="23">
          <cell r="F23">
            <v>910270.2</v>
          </cell>
          <cell r="J23">
            <v>351181.628</v>
          </cell>
          <cell r="N23">
            <v>345009.972</v>
          </cell>
          <cell r="R23">
            <v>347055.892</v>
          </cell>
        </row>
        <row r="24">
          <cell r="F24">
            <v>768794</v>
          </cell>
          <cell r="J24">
            <v>236966.548</v>
          </cell>
          <cell r="N24">
            <v>208259.86</v>
          </cell>
          <cell r="R24">
            <v>163990.22</v>
          </cell>
        </row>
        <row r="25">
          <cell r="F25">
            <v>739839.9</v>
          </cell>
          <cell r="J25">
            <v>219477.772</v>
          </cell>
          <cell r="N25">
            <v>194793.864</v>
          </cell>
          <cell r="R25">
            <v>211351.912</v>
          </cell>
        </row>
        <row r="26">
          <cell r="F26">
            <v>717736.4</v>
          </cell>
          <cell r="J26">
            <v>267551.94</v>
          </cell>
          <cell r="N26">
            <v>258202.532</v>
          </cell>
          <cell r="R26">
            <v>258202.532</v>
          </cell>
        </row>
        <row r="27">
          <cell r="F27">
            <v>759867.9</v>
          </cell>
          <cell r="J27">
            <v>319818.02</v>
          </cell>
          <cell r="N27">
            <v>312074.112</v>
          </cell>
          <cell r="R27">
            <v>301291.908</v>
          </cell>
        </row>
        <row r="28">
          <cell r="F28">
            <v>761250.7</v>
          </cell>
          <cell r="J28">
            <v>335196.176</v>
          </cell>
          <cell r="N28">
            <v>334904.82</v>
          </cell>
          <cell r="R28">
            <v>318349.804</v>
          </cell>
        </row>
        <row r="29">
          <cell r="F29">
            <v>763304.4</v>
          </cell>
          <cell r="J29">
            <v>328336.112</v>
          </cell>
          <cell r="N29">
            <v>322805.276</v>
          </cell>
          <cell r="R29">
            <v>313960.184</v>
          </cell>
        </row>
        <row r="30">
          <cell r="F30">
            <v>756325.8</v>
          </cell>
          <cell r="J30">
            <v>336456.736</v>
          </cell>
          <cell r="N30">
            <v>330629.476</v>
          </cell>
          <cell r="R30">
            <v>323178.092</v>
          </cell>
        </row>
        <row r="31">
          <cell r="F31">
            <v>732844.4</v>
          </cell>
          <cell r="J31">
            <v>272882.408</v>
          </cell>
          <cell r="N31">
            <v>268481.24</v>
          </cell>
          <cell r="R31">
            <v>268481.24</v>
          </cell>
        </row>
        <row r="32">
          <cell r="F32">
            <v>759613.4</v>
          </cell>
          <cell r="J32">
            <v>223186.48</v>
          </cell>
          <cell r="N32">
            <v>192489.604</v>
          </cell>
          <cell r="R32">
            <v>206815.592</v>
          </cell>
        </row>
        <row r="33">
          <cell r="F33">
            <v>784246.6</v>
          </cell>
          <cell r="J33">
            <v>236150.136</v>
          </cell>
          <cell r="N33">
            <v>211128.484</v>
          </cell>
          <cell r="R33">
            <v>225851.44</v>
          </cell>
        </row>
      </sheetData>
      <sheetData sheetId="2">
        <row r="22">
          <cell r="F22">
            <v>10269950.7</v>
          </cell>
          <cell r="J22">
            <v>6230879.952</v>
          </cell>
          <cell r="N22">
            <v>6156200.784</v>
          </cell>
          <cell r="R22">
            <v>6112115.536</v>
          </cell>
        </row>
        <row r="23">
          <cell r="F23">
            <v>11751421.7</v>
          </cell>
          <cell r="J23">
            <v>6909085.704</v>
          </cell>
          <cell r="N23">
            <v>5827746.82</v>
          </cell>
          <cell r="R23">
            <v>5836063.28</v>
          </cell>
        </row>
        <row r="24">
          <cell r="F24">
            <v>10235421.4</v>
          </cell>
          <cell r="J24">
            <v>5842369.764</v>
          </cell>
          <cell r="N24">
            <v>5266750.312</v>
          </cell>
          <cell r="R24">
            <v>4668775.34</v>
          </cell>
        </row>
        <row r="25">
          <cell r="F25">
            <v>10378978.3</v>
          </cell>
          <cell r="J25">
            <v>6563703.54</v>
          </cell>
          <cell r="N25">
            <v>5724118.024</v>
          </cell>
          <cell r="R25">
            <v>6101138.74</v>
          </cell>
        </row>
        <row r="26">
          <cell r="F26">
            <v>11023289.2</v>
          </cell>
          <cell r="J26">
            <v>7525859.504</v>
          </cell>
          <cell r="N26">
            <v>7139358.348</v>
          </cell>
          <cell r="R26">
            <v>7139358.348</v>
          </cell>
        </row>
        <row r="27">
          <cell r="F27">
            <v>12206381.7</v>
          </cell>
          <cell r="J27">
            <v>8356928.356</v>
          </cell>
          <cell r="N27">
            <v>7975611.528</v>
          </cell>
          <cell r="R27">
            <v>7834380.72</v>
          </cell>
        </row>
        <row r="28">
          <cell r="F28">
            <v>12163579.5</v>
          </cell>
          <cell r="J28">
            <v>8745924.856</v>
          </cell>
          <cell r="N28">
            <v>8717200.472</v>
          </cell>
          <cell r="R28">
            <v>8162890.296</v>
          </cell>
        </row>
        <row r="29">
          <cell r="F29">
            <v>12741621.1</v>
          </cell>
          <cell r="J29">
            <v>9102673.48</v>
          </cell>
          <cell r="N29">
            <v>8562774.44</v>
          </cell>
          <cell r="R29">
            <v>8263138.272</v>
          </cell>
        </row>
        <row r="30">
          <cell r="F30">
            <v>12435119</v>
          </cell>
          <cell r="J30">
            <v>9059620.272</v>
          </cell>
          <cell r="N30">
            <v>8645629.176</v>
          </cell>
          <cell r="R30">
            <v>8425798.652</v>
          </cell>
        </row>
        <row r="31">
          <cell r="F31">
            <v>11558236</v>
          </cell>
          <cell r="J31">
            <v>7553996.588</v>
          </cell>
          <cell r="N31">
            <v>7218975.356</v>
          </cell>
          <cell r="R31">
            <v>7218975.356</v>
          </cell>
        </row>
        <row r="32">
          <cell r="F32">
            <v>10646577.7</v>
          </cell>
          <cell r="J32">
            <v>6582079.608</v>
          </cell>
          <cell r="N32">
            <v>5107518.18</v>
          </cell>
          <cell r="R32">
            <v>6413187.276</v>
          </cell>
        </row>
        <row r="33">
          <cell r="F33">
            <v>10705843.6</v>
          </cell>
          <cell r="J33">
            <v>6334825.388</v>
          </cell>
          <cell r="N33">
            <v>5533036.664</v>
          </cell>
          <cell r="R33">
            <v>5585148.728</v>
          </cell>
        </row>
      </sheetData>
      <sheetData sheetId="3">
        <row r="22">
          <cell r="F22">
            <v>7441.8</v>
          </cell>
          <cell r="J22">
            <v>3350.276</v>
          </cell>
          <cell r="N22">
            <v>2839.452</v>
          </cell>
          <cell r="R22">
            <v>2835.88</v>
          </cell>
        </row>
        <row r="23">
          <cell r="F23">
            <v>7902</v>
          </cell>
          <cell r="J23">
            <v>3525.468</v>
          </cell>
          <cell r="N23">
            <v>1093.692</v>
          </cell>
          <cell r="R23">
            <v>1123.26</v>
          </cell>
        </row>
        <row r="24">
          <cell r="F24">
            <v>7603.4</v>
          </cell>
          <cell r="J24">
            <v>3382.896</v>
          </cell>
          <cell r="N24">
            <v>3154.852</v>
          </cell>
          <cell r="R24">
            <v>2939.092</v>
          </cell>
        </row>
        <row r="25">
          <cell r="F25">
            <v>7571.3</v>
          </cell>
          <cell r="J25">
            <v>5309.932</v>
          </cell>
          <cell r="N25">
            <v>4693.34</v>
          </cell>
          <cell r="R25">
            <v>3729.8592</v>
          </cell>
        </row>
        <row r="26">
          <cell r="F26">
            <v>7403</v>
          </cell>
          <cell r="J26">
            <v>3316.952</v>
          </cell>
          <cell r="N26">
            <v>3031.048</v>
          </cell>
          <cell r="R26">
            <v>3031.048</v>
          </cell>
        </row>
        <row r="27">
          <cell r="F27">
            <v>7590</v>
          </cell>
          <cell r="J27">
            <v>3464.388</v>
          </cell>
          <cell r="N27">
            <v>3198.704</v>
          </cell>
          <cell r="R27">
            <v>3302.084</v>
          </cell>
        </row>
        <row r="28">
          <cell r="F28">
            <v>7436.4</v>
          </cell>
          <cell r="J28">
            <v>3357.164</v>
          </cell>
          <cell r="N28">
            <v>3289.148</v>
          </cell>
          <cell r="R28">
            <v>3155.384</v>
          </cell>
        </row>
        <row r="29">
          <cell r="F29">
            <v>8315</v>
          </cell>
          <cell r="J29">
            <v>3954.612</v>
          </cell>
          <cell r="N29">
            <v>3206.28</v>
          </cell>
          <cell r="R29">
            <v>3183.876</v>
          </cell>
        </row>
        <row r="30">
          <cell r="F30">
            <v>7320</v>
          </cell>
          <cell r="J30">
            <v>4244.128</v>
          </cell>
          <cell r="N30">
            <v>3558.508</v>
          </cell>
          <cell r="R30">
            <v>3595.18</v>
          </cell>
        </row>
        <row r="31">
          <cell r="F31">
            <v>7529.9</v>
          </cell>
          <cell r="J31">
            <v>3535.064</v>
          </cell>
          <cell r="N31">
            <v>3018.44</v>
          </cell>
          <cell r="R31">
            <v>3018.44</v>
          </cell>
        </row>
        <row r="32">
          <cell r="F32">
            <v>7481.8</v>
          </cell>
          <cell r="J32">
            <v>3545.656</v>
          </cell>
          <cell r="N32">
            <v>3136.176</v>
          </cell>
          <cell r="R32">
            <v>3232.068</v>
          </cell>
        </row>
        <row r="33">
          <cell r="F33">
            <v>8500.4</v>
          </cell>
          <cell r="J33">
            <v>4150.648</v>
          </cell>
          <cell r="N33">
            <v>3337.368</v>
          </cell>
          <cell r="R33">
            <v>3017.804</v>
          </cell>
        </row>
      </sheetData>
      <sheetData sheetId="4">
        <row r="22">
          <cell r="F22">
            <v>2689654.1</v>
          </cell>
          <cell r="J22">
            <v>1918760.54</v>
          </cell>
          <cell r="N22">
            <v>1827582.376</v>
          </cell>
          <cell r="R22">
            <v>1825499.116</v>
          </cell>
        </row>
        <row r="23">
          <cell r="F23">
            <v>2786877.9</v>
          </cell>
          <cell r="J23">
            <v>1945793.296</v>
          </cell>
          <cell r="N23">
            <v>1092397.608</v>
          </cell>
          <cell r="R23">
            <v>1086605.252</v>
          </cell>
        </row>
        <row r="24">
          <cell r="F24">
            <v>2739197</v>
          </cell>
          <cell r="J24">
            <v>1949301.032</v>
          </cell>
          <cell r="N24">
            <v>1812358.104</v>
          </cell>
          <cell r="R24">
            <v>1846013.512</v>
          </cell>
        </row>
        <row r="25">
          <cell r="F25">
            <v>2792192.4</v>
          </cell>
          <cell r="J25">
            <v>2037301.156</v>
          </cell>
          <cell r="N25">
            <v>1928424.884</v>
          </cell>
          <cell r="R25">
            <v>1990647.2</v>
          </cell>
        </row>
        <row r="26">
          <cell r="F26">
            <v>2965706</v>
          </cell>
          <cell r="J26">
            <v>2101965.568</v>
          </cell>
          <cell r="N26">
            <v>2082677.728</v>
          </cell>
          <cell r="R26">
            <v>2082677.728</v>
          </cell>
        </row>
        <row r="27">
          <cell r="F27">
            <v>3191501.6</v>
          </cell>
          <cell r="J27">
            <v>2169247.124</v>
          </cell>
          <cell r="N27">
            <v>2088439.024</v>
          </cell>
          <cell r="R27">
            <v>2066727.684</v>
          </cell>
        </row>
        <row r="28">
          <cell r="F28">
            <v>3126969.2</v>
          </cell>
          <cell r="J28">
            <v>2185491.48</v>
          </cell>
          <cell r="N28">
            <v>2126366.86</v>
          </cell>
          <cell r="R28">
            <v>2069377.572</v>
          </cell>
        </row>
        <row r="29">
          <cell r="F29">
            <v>3159050.4</v>
          </cell>
          <cell r="J29">
            <v>2218327.508</v>
          </cell>
          <cell r="N29">
            <v>2152386.204</v>
          </cell>
          <cell r="R29">
            <v>2110096.468</v>
          </cell>
        </row>
        <row r="30">
          <cell r="F30">
            <v>3143215.1</v>
          </cell>
          <cell r="J30">
            <v>2233162.716</v>
          </cell>
          <cell r="N30">
            <v>2127333.48</v>
          </cell>
          <cell r="R30">
            <v>2121615.072</v>
          </cell>
        </row>
        <row r="31">
          <cell r="F31">
            <v>3281335.6</v>
          </cell>
          <cell r="J31">
            <v>2195350.984</v>
          </cell>
          <cell r="N31">
            <v>2129576.836</v>
          </cell>
          <cell r="R31">
            <v>2129576.836</v>
          </cell>
        </row>
        <row r="32">
          <cell r="F32">
            <v>3127526.9</v>
          </cell>
          <cell r="J32">
            <v>2134960.192</v>
          </cell>
          <cell r="N32">
            <v>1962563.912</v>
          </cell>
          <cell r="R32">
            <v>2101803.348</v>
          </cell>
        </row>
        <row r="33">
          <cell r="F33">
            <v>3245142.2</v>
          </cell>
          <cell r="J33">
            <v>2126997.22</v>
          </cell>
          <cell r="N33">
            <v>2014159.684</v>
          </cell>
          <cell r="R33">
            <v>2055558.396</v>
          </cell>
        </row>
      </sheetData>
      <sheetData sheetId="5">
        <row r="22">
          <cell r="F22">
            <v>834550.51</v>
          </cell>
          <cell r="J22">
            <v>657006.22</v>
          </cell>
          <cell r="N22">
            <v>604067.4</v>
          </cell>
          <cell r="R22">
            <v>607058.95</v>
          </cell>
        </row>
        <row r="23">
          <cell r="F23">
            <v>869166.02</v>
          </cell>
          <cell r="J23">
            <v>693664.6</v>
          </cell>
          <cell r="N23">
            <v>312353.11</v>
          </cell>
          <cell r="R23">
            <v>314108.53</v>
          </cell>
        </row>
        <row r="24">
          <cell r="F24">
            <v>874607.26</v>
          </cell>
          <cell r="J24">
            <v>718404.63</v>
          </cell>
          <cell r="N24">
            <v>648894.25</v>
          </cell>
          <cell r="R24">
            <v>662641.41</v>
          </cell>
        </row>
        <row r="25">
          <cell r="F25">
            <v>891404.38</v>
          </cell>
          <cell r="J25">
            <v>711078.95</v>
          </cell>
          <cell r="N25">
            <v>687480.43</v>
          </cell>
          <cell r="R25">
            <v>686302.78</v>
          </cell>
        </row>
        <row r="26">
          <cell r="F26">
            <v>919294.55</v>
          </cell>
          <cell r="J26">
            <v>742896.05</v>
          </cell>
          <cell r="N26">
            <v>740650.04</v>
          </cell>
          <cell r="R26">
            <v>740650.04</v>
          </cell>
        </row>
        <row r="27">
          <cell r="F27">
            <v>939707.27</v>
          </cell>
          <cell r="J27">
            <v>780095.37</v>
          </cell>
          <cell r="N27">
            <v>688801.38</v>
          </cell>
          <cell r="R27">
            <v>702156.88</v>
          </cell>
        </row>
        <row r="28">
          <cell r="F28">
            <v>943794.64</v>
          </cell>
          <cell r="J28">
            <v>776672.12</v>
          </cell>
          <cell r="N28">
            <v>748816.78</v>
          </cell>
          <cell r="R28">
            <v>655872.88</v>
          </cell>
        </row>
        <row r="29">
          <cell r="F29">
            <v>993213.5</v>
          </cell>
          <cell r="J29">
            <v>824991.93</v>
          </cell>
          <cell r="N29">
            <v>715315.52</v>
          </cell>
          <cell r="R29">
            <v>693929.91</v>
          </cell>
        </row>
        <row r="30">
          <cell r="F30">
            <v>976789.13</v>
          </cell>
          <cell r="J30">
            <v>817601.1</v>
          </cell>
          <cell r="N30">
            <v>731374.74</v>
          </cell>
          <cell r="R30">
            <v>726304.68</v>
          </cell>
        </row>
        <row r="31">
          <cell r="F31">
            <v>975265.59</v>
          </cell>
          <cell r="J31">
            <v>804362.08</v>
          </cell>
          <cell r="N31">
            <v>743096.1</v>
          </cell>
          <cell r="R31">
            <v>743096.1</v>
          </cell>
        </row>
        <row r="32">
          <cell r="F32">
            <v>941362.63</v>
          </cell>
          <cell r="J32">
            <v>778789.74</v>
          </cell>
          <cell r="N32">
            <v>727626.99</v>
          </cell>
          <cell r="R32">
            <v>751902.86</v>
          </cell>
        </row>
        <row r="33">
          <cell r="F33">
            <v>961614.62</v>
          </cell>
          <cell r="J33">
            <v>800757.84</v>
          </cell>
          <cell r="N33">
            <v>733269.58</v>
          </cell>
          <cell r="R33">
            <v>785194.57</v>
          </cell>
        </row>
      </sheetData>
      <sheetData sheetId="6">
        <row r="22">
          <cell r="F22">
            <v>3053462.67</v>
          </cell>
          <cell r="J22">
            <v>2407195.8</v>
          </cell>
          <cell r="N22">
            <v>2198613.59</v>
          </cell>
          <cell r="R22">
            <v>2198613.59</v>
          </cell>
        </row>
        <row r="23">
          <cell r="F23">
            <v>3247032.93</v>
          </cell>
          <cell r="J23">
            <v>2429519.58</v>
          </cell>
          <cell r="N23">
            <v>1331294.73</v>
          </cell>
          <cell r="R23">
            <v>1338019.49</v>
          </cell>
        </row>
        <row r="24">
          <cell r="F24">
            <v>3211836.14</v>
          </cell>
          <cell r="J24">
            <v>2469315.36</v>
          </cell>
          <cell r="N24">
            <v>2190808.97</v>
          </cell>
          <cell r="R24">
            <v>2412347.19</v>
          </cell>
        </row>
        <row r="25">
          <cell r="F25">
            <v>3197233.96</v>
          </cell>
          <cell r="J25">
            <v>2577329.35</v>
          </cell>
          <cell r="N25">
            <v>2425072.01</v>
          </cell>
          <cell r="R25">
            <v>2337975.23</v>
          </cell>
        </row>
        <row r="26">
          <cell r="F26">
            <v>3277538.16</v>
          </cell>
          <cell r="J26">
            <v>2595567.69</v>
          </cell>
          <cell r="N26">
            <v>2486143.01</v>
          </cell>
          <cell r="R26">
            <v>2486143.01</v>
          </cell>
        </row>
        <row r="27">
          <cell r="F27">
            <v>3445068.09</v>
          </cell>
          <cell r="J27">
            <v>2652489.38</v>
          </cell>
          <cell r="N27">
            <v>2245802.06</v>
          </cell>
          <cell r="R27">
            <v>2151578.72</v>
          </cell>
        </row>
        <row r="28">
          <cell r="F28">
            <v>3396310.6</v>
          </cell>
          <cell r="J28">
            <v>2640897.74</v>
          </cell>
          <cell r="N28">
            <v>2524645.71</v>
          </cell>
          <cell r="R28">
            <v>2069336.16</v>
          </cell>
        </row>
        <row r="29">
          <cell r="F29">
            <v>3451261.44</v>
          </cell>
          <cell r="J29">
            <v>2717435.78</v>
          </cell>
          <cell r="N29">
            <v>2296644.9</v>
          </cell>
          <cell r="R29">
            <v>2123270</v>
          </cell>
        </row>
        <row r="30">
          <cell r="F30">
            <v>3498327.06</v>
          </cell>
          <cell r="J30">
            <v>2754518.93</v>
          </cell>
          <cell r="N30">
            <v>2146634.34</v>
          </cell>
          <cell r="R30">
            <v>2144658.59</v>
          </cell>
        </row>
        <row r="31">
          <cell r="F31">
            <v>3523826.94</v>
          </cell>
          <cell r="J31">
            <v>2790485.87</v>
          </cell>
          <cell r="N31">
            <v>2707700.736</v>
          </cell>
          <cell r="R31">
            <v>2707700.73</v>
          </cell>
        </row>
        <row r="32">
          <cell r="F32">
            <v>3436296.26</v>
          </cell>
          <cell r="J32">
            <v>2757659.26</v>
          </cell>
          <cell r="N32">
            <v>2684351.71</v>
          </cell>
          <cell r="R32">
            <v>2644715.61</v>
          </cell>
        </row>
        <row r="33">
          <cell r="F33">
            <v>3441027.09</v>
          </cell>
          <cell r="J33">
            <v>2789934.55</v>
          </cell>
          <cell r="N33">
            <v>2583642.02</v>
          </cell>
          <cell r="R33">
            <v>2522047.27</v>
          </cell>
        </row>
      </sheetData>
      <sheetData sheetId="7">
        <row r="22">
          <cell r="F22">
            <v>95822.3158662629</v>
          </cell>
          <cell r="J22">
            <v>95822.3158662629</v>
          </cell>
          <cell r="R22">
            <v>95822.3158662629</v>
          </cell>
        </row>
        <row r="23">
          <cell r="N23">
            <v>95822.3158662629</v>
          </cell>
          <cell r="R23">
            <v>95822.3158662629</v>
          </cell>
        </row>
        <row r="32">
          <cell r="N32">
            <v>95822.3158662629</v>
          </cell>
        </row>
        <row r="33">
          <cell r="R33">
            <v>95822.3158662629</v>
          </cell>
        </row>
        <row r="34">
          <cell r="V34">
            <v>382905988</v>
          </cell>
        </row>
      </sheetData>
      <sheetData sheetId="8">
        <row r="22">
          <cell r="F22">
            <v>72246.62</v>
          </cell>
          <cell r="J22">
            <v>69217.31</v>
          </cell>
          <cell r="N22">
            <v>68763.11</v>
          </cell>
          <cell r="R22">
            <v>69217.31</v>
          </cell>
        </row>
        <row r="23">
          <cell r="F23">
            <v>111820.35</v>
          </cell>
          <cell r="J23">
            <v>100685.64</v>
          </cell>
          <cell r="N23">
            <v>100685.64</v>
          </cell>
          <cell r="R23">
            <v>100373.29</v>
          </cell>
        </row>
        <row r="24">
          <cell r="F24">
            <v>52580.26</v>
          </cell>
          <cell r="J24">
            <v>49235.04</v>
          </cell>
          <cell r="N24">
            <v>49235.04</v>
          </cell>
          <cell r="R24">
            <v>31685.81</v>
          </cell>
        </row>
        <row r="25">
          <cell r="F25">
            <v>49392.64</v>
          </cell>
          <cell r="J25">
            <v>44091.84</v>
          </cell>
          <cell r="N25">
            <v>39471.83</v>
          </cell>
          <cell r="R25">
            <v>35291.32</v>
          </cell>
        </row>
        <row r="26">
          <cell r="F26">
            <v>56177.64</v>
          </cell>
          <cell r="J26">
            <v>54190.78</v>
          </cell>
          <cell r="N26">
            <v>53013.9</v>
          </cell>
          <cell r="R26">
            <v>53013.9</v>
          </cell>
        </row>
        <row r="27">
          <cell r="F27">
            <v>75732.93</v>
          </cell>
          <cell r="J27">
            <v>70734.38</v>
          </cell>
          <cell r="N27">
            <v>69057.12</v>
          </cell>
          <cell r="R27">
            <v>66970.61</v>
          </cell>
        </row>
        <row r="28">
          <cell r="F28">
            <v>77792.16</v>
          </cell>
          <cell r="J28">
            <v>75639.912</v>
          </cell>
          <cell r="N28">
            <v>70984.05</v>
          </cell>
          <cell r="R28">
            <v>74664.01</v>
          </cell>
        </row>
        <row r="29">
          <cell r="F29">
            <v>95020.81</v>
          </cell>
          <cell r="J29">
            <v>82065.81</v>
          </cell>
          <cell r="N29">
            <v>74242.27</v>
          </cell>
          <cell r="R29">
            <v>72851.82</v>
          </cell>
        </row>
        <row r="30">
          <cell r="F30">
            <v>87127.2</v>
          </cell>
          <cell r="J30">
            <v>78892.77</v>
          </cell>
          <cell r="N30">
            <v>75447.51</v>
          </cell>
          <cell r="R30">
            <v>75917.47</v>
          </cell>
        </row>
        <row r="31">
          <cell r="F31">
            <v>67239.46</v>
          </cell>
          <cell r="J31">
            <v>55657.33</v>
          </cell>
          <cell r="N31">
            <v>55253.43</v>
          </cell>
          <cell r="R31">
            <v>55253.43</v>
          </cell>
        </row>
        <row r="32">
          <cell r="F32">
            <v>58726.92</v>
          </cell>
          <cell r="J32">
            <v>46488.64</v>
          </cell>
          <cell r="N32">
            <v>46129.68</v>
          </cell>
          <cell r="R32">
            <v>32151.12</v>
          </cell>
        </row>
        <row r="33">
          <cell r="F33">
            <v>68957.32</v>
          </cell>
          <cell r="J33">
            <v>57275.35</v>
          </cell>
          <cell r="N33">
            <v>54140.56</v>
          </cell>
          <cell r="R33">
            <v>36453.02</v>
          </cell>
        </row>
      </sheetData>
      <sheetData sheetId="9">
        <row r="22">
          <cell r="F22">
            <v>106065.41</v>
          </cell>
          <cell r="J22">
            <v>84211.07</v>
          </cell>
          <cell r="N22">
            <v>80686.01</v>
          </cell>
          <cell r="R22">
            <v>81067.24</v>
          </cell>
        </row>
        <row r="23">
          <cell r="F23">
            <v>180568.24</v>
          </cell>
          <cell r="J23">
            <v>125745.01</v>
          </cell>
          <cell r="N23">
            <v>120028.84</v>
          </cell>
          <cell r="R23">
            <v>120483.07</v>
          </cell>
        </row>
        <row r="24">
          <cell r="F24">
            <v>83348.15</v>
          </cell>
          <cell r="J24">
            <v>67128.86</v>
          </cell>
          <cell r="N24">
            <v>66860.87</v>
          </cell>
          <cell r="R24">
            <v>41072.8</v>
          </cell>
        </row>
        <row r="25">
          <cell r="F25">
            <v>80313.88</v>
          </cell>
          <cell r="J25">
            <v>57169.77</v>
          </cell>
          <cell r="N25">
            <v>48477.21</v>
          </cell>
          <cell r="R25">
            <v>42792.39</v>
          </cell>
        </row>
        <row r="26">
          <cell r="F26">
            <v>80417.2</v>
          </cell>
          <cell r="J26">
            <v>68316.63</v>
          </cell>
          <cell r="N26">
            <v>62880.14</v>
          </cell>
          <cell r="R26">
            <v>62880.14</v>
          </cell>
        </row>
        <row r="27">
          <cell r="F27">
            <v>95915.25</v>
          </cell>
          <cell r="J27">
            <v>82777</v>
          </cell>
          <cell r="N27">
            <v>76513.15</v>
          </cell>
          <cell r="R27">
            <v>74212.12</v>
          </cell>
        </row>
        <row r="28">
          <cell r="F28">
            <v>117382.7</v>
          </cell>
          <cell r="J28">
            <v>90222.49</v>
          </cell>
          <cell r="N28">
            <v>82098.37</v>
          </cell>
          <cell r="R28">
            <v>86098.99</v>
          </cell>
        </row>
        <row r="29">
          <cell r="F29">
            <v>125819.29</v>
          </cell>
          <cell r="J29">
            <v>91896.02</v>
          </cell>
          <cell r="N29">
            <v>85978.23</v>
          </cell>
          <cell r="R29">
            <v>84617.72</v>
          </cell>
        </row>
        <row r="30">
          <cell r="F30">
            <v>119620.77</v>
          </cell>
          <cell r="J30">
            <v>94248.93</v>
          </cell>
          <cell r="N30">
            <v>89269.84</v>
          </cell>
          <cell r="R30">
            <v>91531</v>
          </cell>
        </row>
        <row r="31">
          <cell r="F31">
            <v>101245.9</v>
          </cell>
          <cell r="J31">
            <v>78229.14</v>
          </cell>
          <cell r="N31">
            <v>72899.06</v>
          </cell>
          <cell r="R31">
            <v>72899.06</v>
          </cell>
        </row>
        <row r="32">
          <cell r="F32">
            <v>98006.96</v>
          </cell>
          <cell r="J32">
            <v>66417.58</v>
          </cell>
          <cell r="N32">
            <v>66027.83</v>
          </cell>
          <cell r="R32">
            <v>43354.38</v>
          </cell>
        </row>
        <row r="33">
          <cell r="J33">
            <v>74803.72</v>
          </cell>
          <cell r="N33">
            <v>71366.6</v>
          </cell>
          <cell r="R33">
            <v>45781.65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.bin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.bin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6.bin" 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7.bin" 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8.bin" 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9.bin" 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0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A1:Z39"/>
  <sheetViews>
    <sheetView tabSelected="1" zoomScale="75" zoomScaleNormal="75" workbookViewId="0" topLeftCell="A1">
      <selection pane="topLeft" activeCell="V22" sqref="V22"/>
    </sheetView>
  </sheetViews>
  <sheetFormatPr defaultColWidth="9.14428571428571" defaultRowHeight="18.75" customHeight="1"/>
  <cols>
    <col min="1" max="1" width="4.71428571428571" style="2" customWidth="1"/>
    <col min="2" max="3" width="7.71428571428571" style="2" customWidth="1"/>
    <col min="4" max="4" width="20.5714285714286" style="3" customWidth="1"/>
    <col min="5" max="5" width="2.71428571428571" style="2" customWidth="1"/>
    <col min="6" max="6" width="20.8571428571429" style="3" customWidth="1"/>
    <col min="7" max="7" width="4.14285714285714" style="2" customWidth="1"/>
    <col min="8" max="8" width="14.8571428571429" style="3" customWidth="1"/>
    <col min="9" max="9" width="2.71428571428571" style="2" customWidth="1"/>
    <col min="10" max="10" width="14.7142857142857" style="3" customWidth="1"/>
    <col min="11" max="11" width="3.71428571428571" style="2" customWidth="1"/>
    <col min="12" max="12" width="15" style="3" customWidth="1"/>
    <col min="13" max="13" width="2.71428571428571" style="3" customWidth="1"/>
    <col min="14" max="14" width="14.5714285714286" style="3" customWidth="1"/>
    <col min="15" max="15" width="3.71428571428571" style="2" customWidth="1"/>
    <col min="16" max="16" width="15" style="3" customWidth="1"/>
    <col min="17" max="17" width="2.71428571428571" style="3" customWidth="1"/>
    <col min="18" max="18" width="15" style="3" customWidth="1"/>
    <col min="19" max="19" width="5.71428571428571" style="2" customWidth="1"/>
    <col min="20" max="20" width="20.4285714285714" style="3" customWidth="1"/>
    <col min="21" max="21" width="2.71428571428571" style="3" customWidth="1"/>
    <col min="22" max="22" width="20.2857142857143" style="3" customWidth="1"/>
    <col min="23" max="23" width="3.14285714285714" style="2" customWidth="1"/>
    <col min="24" max="24" width="9.71428571428571" style="2" customWidth="1"/>
    <col min="25" max="25" width="1.71428571428571" style="2" customWidth="1"/>
    <col min="26" max="26" width="9.71428571428571" style="2" customWidth="1"/>
    <col min="27" max="16384" width="9.14285714285714" style="2"/>
  </cols>
  <sheetData>
    <row r="1" spans="1:22" ht="18.75" customHeight="1">
      <c r="A1" s="6"/>
      <c r="V1" s="2" t="s">
        <v>63</v>
      </c>
    </row>
    <row r="2" spans="22:22" ht="18.75" customHeight="1">
      <c r="V2" s="2" t="s">
        <v>64</v>
      </c>
    </row>
    <row r="7" spans="1:26" ht="18.75" customHeight="1">
      <c r="A7" s="7" t="s">
        <v>77</v>
      </c>
      <c r="B7" s="8"/>
      <c r="C7" s="8"/>
      <c r="D7" s="8"/>
      <c r="E7" s="8"/>
      <c r="F7" s="9"/>
      <c r="G7" s="8"/>
      <c r="H7" s="8"/>
      <c r="I7" s="8"/>
      <c r="J7" s="10"/>
      <c r="K7" s="7"/>
      <c r="L7" s="7"/>
      <c r="M7" s="8"/>
      <c r="N7" s="7"/>
      <c r="O7" s="9"/>
      <c r="P7" s="8"/>
      <c r="Q7" s="8"/>
      <c r="R7" s="9"/>
      <c r="S7" s="8"/>
      <c r="T7" s="8"/>
      <c r="U7" s="8"/>
      <c r="V7" s="8"/>
      <c r="W7" s="8"/>
      <c r="X7" s="8"/>
      <c r="Y7" s="8"/>
      <c r="Z7" s="8"/>
    </row>
    <row r="8" spans="1:26" ht="18" customHeight="1">
      <c r="A8" s="7" t="s">
        <v>40</v>
      </c>
      <c r="B8" s="8"/>
      <c r="C8" s="8"/>
      <c r="D8" s="8"/>
      <c r="E8" s="8"/>
      <c r="F8" s="9"/>
      <c r="G8" s="8"/>
      <c r="H8" s="8"/>
      <c r="I8" s="8"/>
      <c r="J8" s="10"/>
      <c r="K8" s="7"/>
      <c r="L8" s="10"/>
      <c r="M8" s="9"/>
      <c r="N8" s="7"/>
      <c r="O8" s="10"/>
      <c r="P8" s="8"/>
      <c r="Q8" s="8"/>
      <c r="R8" s="10"/>
      <c r="S8" s="7"/>
      <c r="T8" s="8"/>
      <c r="U8" s="8"/>
      <c r="V8" s="8"/>
      <c r="W8" s="8"/>
      <c r="X8" s="8"/>
      <c r="Y8" s="8"/>
      <c r="Z8" s="8"/>
    </row>
    <row r="9" spans="1:26" ht="18" customHeight="1">
      <c r="A9" s="7" t="s">
        <v>45</v>
      </c>
      <c r="B9" s="8"/>
      <c r="C9" s="8"/>
      <c r="D9" s="8"/>
      <c r="E9" s="8"/>
      <c r="F9" s="9"/>
      <c r="G9" s="7"/>
      <c r="H9" s="8"/>
      <c r="I9" s="8"/>
      <c r="J9" s="10"/>
      <c r="K9" s="7"/>
      <c r="L9" s="7"/>
      <c r="M9" s="9"/>
      <c r="N9" s="9"/>
      <c r="O9" s="9"/>
      <c r="P9" s="8"/>
      <c r="Q9" s="7"/>
      <c r="R9" s="10"/>
      <c r="S9" s="7"/>
      <c r="T9" s="8"/>
      <c r="U9" s="8"/>
      <c r="V9" s="8"/>
      <c r="W9" s="8"/>
      <c r="X9" s="8"/>
      <c r="Y9" s="8"/>
      <c r="Z9" s="8"/>
    </row>
    <row r="10" spans="1:26" ht="18" customHeight="1">
      <c r="A10" s="7" t="s">
        <v>79</v>
      </c>
      <c r="B10" s="8"/>
      <c r="C10" s="8"/>
      <c r="D10" s="8"/>
      <c r="E10" s="8"/>
      <c r="F10" s="8"/>
      <c r="G10" s="7"/>
      <c r="H10" s="8"/>
      <c r="I10" s="8"/>
      <c r="J10" s="7"/>
      <c r="K10" s="7"/>
      <c r="L10" s="10"/>
      <c r="M10" s="9"/>
      <c r="N10" s="9"/>
      <c r="O10" s="9"/>
      <c r="P10" s="8"/>
      <c r="Q10" s="7"/>
      <c r="R10" s="10"/>
      <c r="S10" s="7"/>
      <c r="T10" s="8"/>
      <c r="U10" s="8"/>
      <c r="V10" s="8"/>
      <c r="W10" s="8"/>
      <c r="X10" s="8"/>
      <c r="Y10" s="8"/>
      <c r="Z10" s="8"/>
    </row>
    <row r="11" spans="1:26" ht="18" customHeight="1">
      <c r="A11" s="8"/>
      <c r="B11" s="8"/>
      <c r="C11" s="8"/>
      <c r="D11" s="8"/>
      <c r="E11" s="8"/>
      <c r="F11" s="9"/>
      <c r="G11" s="8"/>
      <c r="H11" s="8"/>
      <c r="I11" s="8"/>
      <c r="J11" s="10"/>
      <c r="K11" s="7"/>
      <c r="L11" s="10"/>
      <c r="M11" s="9"/>
      <c r="N11" s="9"/>
      <c r="O11" s="9"/>
      <c r="P11" s="8"/>
      <c r="Q11" s="8"/>
      <c r="R11" s="9"/>
      <c r="S11" s="8"/>
      <c r="T11" s="8"/>
      <c r="U11" s="8"/>
      <c r="V11" s="8"/>
      <c r="W11" s="8"/>
      <c r="X11" s="8"/>
      <c r="Y11" s="8"/>
      <c r="Z11" s="8"/>
    </row>
    <row r="12" spans="1:26" ht="18.75" customHeight="1">
      <c r="A12" s="7" t="s">
        <v>43</v>
      </c>
      <c r="B12" s="8"/>
      <c r="C12" s="8"/>
      <c r="D12" s="8"/>
      <c r="E12" s="8"/>
      <c r="F12" s="9"/>
      <c r="G12" s="8"/>
      <c r="H12" s="8"/>
      <c r="I12" s="8"/>
      <c r="J12" s="10"/>
      <c r="K12" s="7"/>
      <c r="L12" s="10"/>
      <c r="M12" s="9"/>
      <c r="N12" s="10"/>
      <c r="O12" s="10"/>
      <c r="P12" s="8"/>
      <c r="Q12" s="8"/>
      <c r="R12" s="9"/>
      <c r="S12" s="8"/>
      <c r="T12" s="8"/>
      <c r="U12" s="8"/>
      <c r="V12" s="8"/>
      <c r="W12" s="8"/>
      <c r="X12" s="8"/>
      <c r="Y12" s="8"/>
      <c r="Z12" s="8"/>
    </row>
    <row r="13" spans="1:26" ht="18.75" customHeight="1">
      <c r="A13" s="8"/>
      <c r="B13" s="8"/>
      <c r="C13" s="8"/>
      <c r="D13" s="8"/>
      <c r="E13" s="8"/>
      <c r="F13" s="9"/>
      <c r="G13" s="8"/>
      <c r="H13" s="8"/>
      <c r="I13" s="8"/>
      <c r="J13" s="9"/>
      <c r="K13" s="8"/>
      <c r="L13" s="8"/>
      <c r="M13" s="9"/>
      <c r="N13" s="8"/>
      <c r="O13" s="10"/>
      <c r="P13" s="8"/>
      <c r="Q13" s="8"/>
      <c r="R13" s="9"/>
      <c r="S13" s="8"/>
      <c r="T13" s="8"/>
      <c r="U13" s="8"/>
      <c r="V13" s="8"/>
      <c r="W13" s="8"/>
      <c r="X13" s="8"/>
      <c r="Y13" s="8"/>
      <c r="Z13" s="8"/>
    </row>
    <row r="14" spans="1:1" ht="18.75" customHeight="1">
      <c r="A14" s="2" t="s">
        <v>0</v>
      </c>
    </row>
    <row r="15" spans="1:1" ht="18.75" customHeight="1">
      <c r="A15" s="2" t="s">
        <v>1</v>
      </c>
    </row>
    <row r="16" ht="15" customHeight="1"/>
    <row r="17" spans="4:26" s="4" customFormat="1" ht="18.75" customHeight="1">
      <c r="D17" s="4" t="s">
        <v>48</v>
      </c>
      <c r="F17" s="4" t="s">
        <v>49</v>
      </c>
      <c r="H17" s="4" t="s">
        <v>62</v>
      </c>
      <c r="J17" s="4" t="s">
        <v>38</v>
      </c>
      <c r="L17" s="4" t="s">
        <v>67</v>
      </c>
      <c r="N17" s="4" t="s">
        <v>44</v>
      </c>
      <c r="P17" s="4" t="s">
        <v>65</v>
      </c>
      <c r="R17" s="4" t="s">
        <v>66</v>
      </c>
      <c r="T17" s="4" t="s">
        <v>61</v>
      </c>
      <c r="V17" s="4" t="s">
        <v>54</v>
      </c>
      <c r="X17" s="4" t="s">
        <v>57</v>
      </c>
      <c r="Z17" s="4" t="s">
        <v>58</v>
      </c>
    </row>
    <row r="18" spans="4:26" ht="18.75" customHeight="1">
      <c r="D18" s="4" t="s">
        <v>50</v>
      </c>
      <c r="E18" s="4"/>
      <c r="F18" s="4" t="s">
        <v>50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4" ht="18.75" customHeight="1">
      <c r="A19" s="2" t="s">
        <v>2</v>
      </c>
      <c r="D19" s="3" t="s">
        <v>52</v>
      </c>
      <c r="F19" s="3" t="s">
        <v>52</v>
      </c>
      <c r="H19" s="3" t="s">
        <v>6</v>
      </c>
      <c r="I19" s="3"/>
      <c r="J19" s="3" t="s">
        <v>56</v>
      </c>
      <c r="L19" s="3" t="s">
        <v>4</v>
      </c>
      <c r="M19" s="2" t="s">
        <v>5</v>
      </c>
      <c r="N19" s="3" t="s">
        <v>4</v>
      </c>
      <c r="P19" s="3" t="s">
        <v>3</v>
      </c>
      <c r="R19" s="3" t="s">
        <v>3</v>
      </c>
      <c r="T19" s="3" t="s">
        <v>7</v>
      </c>
      <c r="V19" s="3" t="s">
        <v>8</v>
      </c>
      <c r="X19" s="2" t="s">
        <v>59</v>
      </c>
    </row>
    <row r="20" spans="1:26" ht="18" customHeight="1">
      <c r="A20" s="11" t="s">
        <v>9</v>
      </c>
      <c r="B20" s="11" t="s">
        <v>10</v>
      </c>
      <c r="D20" s="5" t="s">
        <v>51</v>
      </c>
      <c r="F20" s="5" t="s">
        <v>53</v>
      </c>
      <c r="H20" s="5" t="s">
        <v>11</v>
      </c>
      <c r="I20" s="3"/>
      <c r="J20" s="5" t="s">
        <v>12</v>
      </c>
      <c r="L20" s="5" t="s">
        <v>11</v>
      </c>
      <c r="M20" s="2"/>
      <c r="N20" s="5" t="s">
        <v>12</v>
      </c>
      <c r="P20" s="5" t="s">
        <v>11</v>
      </c>
      <c r="R20" s="5" t="s">
        <v>12</v>
      </c>
      <c r="T20" s="5" t="s">
        <v>13</v>
      </c>
      <c r="V20" s="5" t="s">
        <v>14</v>
      </c>
      <c r="X20" s="12" t="s">
        <v>15</v>
      </c>
      <c r="Z20" s="12" t="s">
        <v>60</v>
      </c>
    </row>
    <row r="21" spans="4:26" ht="18" customHeight="1">
      <c r="D21" s="15"/>
      <c r="F21" s="15"/>
      <c r="H21" s="15"/>
      <c r="I21" s="3"/>
      <c r="J21" s="15"/>
      <c r="L21" s="15"/>
      <c r="M21" s="2"/>
      <c r="N21" s="15"/>
      <c r="P21" s="15"/>
      <c r="R21" s="15"/>
      <c r="T21" s="15"/>
      <c r="V21" s="15"/>
      <c r="X21" s="17"/>
      <c r="Z21" s="17"/>
    </row>
    <row r="22" spans="1:26" ht="24.95" customHeight="1">
      <c r="A22" s="14">
        <v>1</v>
      </c>
      <c r="B22" s="14" t="s">
        <v>16</v>
      </c>
      <c r="D22" s="3">
        <f>'[1]Demand Loss Factor'!$G$54*F22</f>
        <v>36170188.699394226</v>
      </c>
      <c r="E22" s="3"/>
      <c r="F22" s="3">
        <f>([2]RES!$S$16/[2]RES!$I$16)*[3]RESIDENTIAL!$F$22</f>
        <v>34817687.080427967</v>
      </c>
      <c r="G22" s="3"/>
      <c r="H22" s="3">
        <f>'[1]Demand Loss Factor'!$G$54*J22</f>
        <v>10304122.027091807</v>
      </c>
      <c r="I22" s="3"/>
      <c r="J22" s="3">
        <f>([2]RES!$S$16/[2]RES!$I$16)*[3]RESIDENTIAL!$J$22</f>
        <v>9918822.9113064092</v>
      </c>
      <c r="K22" s="3"/>
      <c r="L22" s="3">
        <f>'[1]Demand Loss Factor'!$G$54*N22</f>
        <v>10012083.756071262</v>
      </c>
      <c r="N22" s="3">
        <f>([2]RES!$S$16/[2]RES!$I$16)*[3]RESIDENTIAL!$N$22</f>
        <v>9637704.7446192447</v>
      </c>
      <c r="O22" s="3"/>
      <c r="P22" s="3">
        <f>'[1]Demand Loss Factor'!$G$54*R22</f>
        <v>10010104.153454879</v>
      </c>
      <c r="R22" s="3">
        <f>([2]RES!$S$16/[2]RES!$I$16)*[3]RESIDENTIAL!$R$22</f>
        <v>9635799.1647226717</v>
      </c>
      <c r="S22" s="3"/>
      <c r="T22" s="3">
        <f>'[1]Energy Loss Factor'!$G$54*V22</f>
        <v>4292155229.7961259</v>
      </c>
      <c r="V22" s="3">
        <f>[2]RES!$S$16</f>
        <v>4138304207.7528749</v>
      </c>
      <c r="X22" s="13">
        <v>0.97165811213680209</v>
      </c>
      <c r="Y22" s="13"/>
      <c r="Z22" s="13">
        <v>0.57005942451255032</v>
      </c>
    </row>
    <row r="23" spans="1:26" ht="24.95" customHeight="1">
      <c r="A23" s="14">
        <v>2</v>
      </c>
      <c r="B23" s="14" t="s">
        <v>17</v>
      </c>
      <c r="D23" s="3">
        <f>'[1]Demand Loss Factor'!$G$54*F23</f>
        <v>37788014.959319822</v>
      </c>
      <c r="E23" s="3"/>
      <c r="F23" s="3">
        <f>([2]RES!$S$18/[2]RES!$I$18)*[3]RESIDENTIAL!$F$23</f>
        <v>36375018.42134884</v>
      </c>
      <c r="G23" s="3"/>
      <c r="H23" s="3">
        <f>'[1]Demand Loss Factor'!$G$54*J23</f>
        <v>15210692.881406292</v>
      </c>
      <c r="I23" s="3"/>
      <c r="J23" s="3">
        <f>([2]RES!$S$18/[2]RES!$I$18)*[3]RESIDENTIAL!$J$23</f>
        <v>14641923.751704598</v>
      </c>
      <c r="K23" s="3"/>
      <c r="L23" s="3">
        <f>'[1]Demand Loss Factor'!$G$54*N23</f>
        <v>15170088.555792302</v>
      </c>
      <c r="N23" s="3">
        <f>([2]RES!$S$18/[2]RES!$I$18)*[3]RESIDENTIAL!$N$23</f>
        <v>14602837.732135022</v>
      </c>
      <c r="O23" s="3"/>
      <c r="P23" s="3">
        <f>'[1]Demand Loss Factor'!$G$54*R23</f>
        <v>15183296.304790549</v>
      </c>
      <c r="R23" s="3">
        <f>([2]RES!$S$18/[2]RES!$I$18)*[3]RESIDENTIAL!$R$23</f>
        <v>14615551.607516754</v>
      </c>
      <c r="S23" s="3"/>
      <c r="T23" s="3">
        <f>'[1]Energy Loss Factor'!$G$54*V23</f>
        <v>3948472458.0681925</v>
      </c>
      <c r="V23" s="3">
        <f>[2]RES!$S$18</f>
        <v>3806940642.311316</v>
      </c>
      <c r="X23" s="13">
        <v>0.9973305406972206</v>
      </c>
      <c r="Y23" s="13"/>
      <c r="Z23" s="13">
        <v>0.44910690229122746</v>
      </c>
    </row>
    <row r="24" spans="1:26" ht="24.95" customHeight="1">
      <c r="A24" s="14">
        <v>3</v>
      </c>
      <c r="B24" s="14" t="s">
        <v>18</v>
      </c>
      <c r="D24" s="3">
        <f>'[1]Demand Loss Factor'!$G$54*F24</f>
        <v>23517463.356088355</v>
      </c>
      <c r="E24" s="3"/>
      <c r="F24" s="3">
        <f>([2]RES!$S$20/[2]RES!$I$20)*[3]RESIDENTIAL!$F$24</f>
        <v>22638081.511347748</v>
      </c>
      <c r="G24" s="3"/>
      <c r="H24" s="3">
        <f>'[1]Demand Loss Factor'!$G$54*J24</f>
        <v>4975046.4599600499</v>
      </c>
      <c r="I24" s="3"/>
      <c r="J24" s="3">
        <f>([2]RES!$S$20/[2]RES!$I$20)*[3]RESIDENTIAL!$J$24</f>
        <v>4789015.9571210919</v>
      </c>
      <c r="K24" s="3"/>
      <c r="L24" s="3">
        <f>'[1]Demand Loss Factor'!$G$54*N24</f>
        <v>4975046.4599600499</v>
      </c>
      <c r="N24" s="3">
        <f>([2]RES!$S$20/[2]RES!$I$20)*[3]RESIDENTIAL!$N$24</f>
        <v>4789015.9571210919</v>
      </c>
      <c r="O24" s="3"/>
      <c r="P24" s="3">
        <f>'[1]Demand Loss Factor'!$G$54*R24</f>
        <v>3714931.2898116969</v>
      </c>
      <c r="R24" s="3">
        <f>([2]RES!$S$20/[2]RES!$I$20)*[3]RESIDENTIAL!$R$24</f>
        <v>3576019.9165375265</v>
      </c>
      <c r="S24" s="3"/>
      <c r="T24" s="3">
        <f>'[1]Energy Loss Factor'!$G$54*V24</f>
        <v>3412009257.7531981</v>
      </c>
      <c r="V24" s="3">
        <f>[2]RES!$S$20</f>
        <v>3289706805.1573029</v>
      </c>
      <c r="X24" s="13">
        <v>1</v>
      </c>
      <c r="Y24" s="13"/>
      <c r="Z24" s="13">
        <v>0.54747399347944514</v>
      </c>
    </row>
    <row r="25" spans="1:26" ht="24.95" customHeight="1">
      <c r="A25" s="14">
        <v>4</v>
      </c>
      <c r="B25" s="14" t="s">
        <v>19</v>
      </c>
      <c r="D25" s="3">
        <f>'[1]Demand Loss Factor'!$G$54*F25</f>
        <v>33195463.944702849</v>
      </c>
      <c r="E25" s="3"/>
      <c r="F25" s="3">
        <f>([2]RES!$S$22/[2]RES!$I$22)*[3]RESIDENTIAL!$F$25</f>
        <v>31954195.365744658</v>
      </c>
      <c r="G25" s="3"/>
      <c r="H25" s="3">
        <f>'[1]Demand Loss Factor'!$G$54*J25</f>
        <v>7161654.2581806965</v>
      </c>
      <c r="I25" s="3"/>
      <c r="J25" s="3">
        <f>([2]RES!$S$22/[2]RES!$I$22)*[3]RESIDENTIAL!$J$25</f>
        <v>6893860.5494122319</v>
      </c>
      <c r="K25" s="3"/>
      <c r="L25" s="3">
        <f>'[1]Demand Loss Factor'!$G$54*N25</f>
        <v>7071966.7199419793</v>
      </c>
      <c r="N25" s="3">
        <f>([2]RES!$S$22/[2]RES!$I$22)*[3]RESIDENTIAL!$N$25</f>
        <v>6807526.6718822569</v>
      </c>
      <c r="O25" s="3"/>
      <c r="P25" s="3">
        <f>'[1]Demand Loss Factor'!$G$54*R25</f>
        <v>6591768.1692856448</v>
      </c>
      <c r="R25" s="3">
        <f>([2]RES!$S$22/[2]RES!$I$22)*[3]RESIDENTIAL!$R$25</f>
        <v>6345284.0495896256</v>
      </c>
      <c r="S25" s="3"/>
      <c r="T25" s="3">
        <f>'[1]Energy Loss Factor'!$G$54*V25</f>
        <v>2847990120.2926636</v>
      </c>
      <c r="V25" s="3">
        <f>[2]RES!$S$22</f>
        <v>2745904765.1931181</v>
      </c>
      <c r="X25" s="13">
        <v>0.98747670091218542</v>
      </c>
      <c r="Y25" s="13"/>
      <c r="Z25" s="13">
        <v>0.55232350751821513</v>
      </c>
    </row>
    <row r="26" spans="1:26" ht="24.95" customHeight="1">
      <c r="A26" s="14">
        <v>5</v>
      </c>
      <c r="B26" s="14" t="s">
        <v>20</v>
      </c>
      <c r="D26" s="3">
        <f>'[1]Demand Loss Factor'!$G$54*F26</f>
        <v>31194376.264046151</v>
      </c>
      <c r="E26" s="3"/>
      <c r="F26" s="3">
        <f>([2]RES!$S$24/[2]RES!$I$24)*[3]RESIDENTIAL!$F$26</f>
        <v>30027933.789819535</v>
      </c>
      <c r="G26" s="3"/>
      <c r="H26" s="3">
        <f>'[1]Demand Loss Factor'!$G$54*J26</f>
        <v>9893940.8634577319</v>
      </c>
      <c r="I26" s="3"/>
      <c r="J26" s="3">
        <f>([2]RES!$S$24/[2]RES!$I$24)*[3]RESIDENTIAL!$J$26</f>
        <v>9523979.5357191488</v>
      </c>
      <c r="K26" s="3"/>
      <c r="L26" s="3">
        <f>'[1]Demand Loss Factor'!$G$54*N26</f>
        <v>9576336.05514827</v>
      </c>
      <c r="N26" s="3">
        <f>([2]RES!$S$24/[2]RES!$I$24)*[3]RESIDENTIAL!$N$26</f>
        <v>9218250.8340288699</v>
      </c>
      <c r="O26" s="3"/>
      <c r="P26" s="3">
        <f>'[1]Demand Loss Factor'!$G$54*R26</f>
        <v>9576336.05514827</v>
      </c>
      <c r="R26" s="3">
        <f>([2]RES!$S$24/[2]RES!$I$24)*[3]RESIDENTIAL!$R$26</f>
        <v>9218250.8340288699</v>
      </c>
      <c r="S26" s="3"/>
      <c r="T26" s="3">
        <f>'[1]Energy Loss Factor'!$G$54*V26</f>
        <v>2963206394.0009203</v>
      </c>
      <c r="V26" s="3">
        <f>[2]RES!$S$24</f>
        <v>2856991145.988142</v>
      </c>
      <c r="X26" s="13">
        <v>0.96789905936445375</v>
      </c>
      <c r="Y26" s="13"/>
      <c r="Z26" s="13">
        <v>0.45958072345645401</v>
      </c>
    </row>
    <row r="27" spans="1:26" ht="24.95" customHeight="1">
      <c r="A27" s="14">
        <v>6</v>
      </c>
      <c r="B27" s="14" t="s">
        <v>21</v>
      </c>
      <c r="D27" s="3">
        <f>'[1]Demand Loss Factor'!$G$54*F27</f>
        <v>34737079.553694881</v>
      </c>
      <c r="E27" s="3"/>
      <c r="F27" s="3">
        <f>([2]RES!$S$26/[2]RES!$I$26)*[3]RESIDENTIAL!$F$27</f>
        <v>33438165.779011726</v>
      </c>
      <c r="G27" s="3"/>
      <c r="H27" s="3">
        <f>'[1]Demand Loss Factor'!$G$54*J27</f>
        <v>13703432.719567152</v>
      </c>
      <c r="I27" s="3"/>
      <c r="J27" s="3">
        <f>([2]RES!$S$26/[2]RES!$I$26)*[3]RESIDENTIAL!$J$27</f>
        <v>13191024.142087981</v>
      </c>
      <c r="K27" s="3"/>
      <c r="L27" s="3">
        <f>'[1]Demand Loss Factor'!$G$54*N27</f>
        <v>12658519.204631388</v>
      </c>
      <c r="N27" s="3">
        <f>([2]RES!$S$26/[2]RES!$I$26)*[3]RESIDENTIAL!$N$27</f>
        <v>12185182.782190602</v>
      </c>
      <c r="O27" s="3"/>
      <c r="P27" s="3">
        <f>'[1]Demand Loss Factor'!$G$54*R27</f>
        <v>12258901.616237804</v>
      </c>
      <c r="R27" s="3">
        <f>([2]RES!$S$26/[2]RES!$I$26)*[3]RESIDENTIAL!$R$27</f>
        <v>11800507.98106754</v>
      </c>
      <c r="S27" s="3"/>
      <c r="T27" s="3">
        <f>'[1]Energy Loss Factor'!$G$54*V27</f>
        <v>3955586071.0241151</v>
      </c>
      <c r="V27" s="3">
        <f>[2]RES!$S$26</f>
        <v>3813799269.9358387</v>
      </c>
      <c r="X27" s="13">
        <v>0.92374804646986519</v>
      </c>
      <c r="Y27" s="13"/>
      <c r="Z27" s="13">
        <v>0.54510447060297507</v>
      </c>
    </row>
    <row r="28" spans="1:26" ht="24.95" customHeight="1">
      <c r="A28" s="14">
        <v>7</v>
      </c>
      <c r="B28" s="14" t="s">
        <v>22</v>
      </c>
      <c r="D28" s="3">
        <f>'[1]Demand Loss Factor'!$G$54*F28</f>
        <v>31608436.908133041</v>
      </c>
      <c r="E28" s="3"/>
      <c r="F28" s="3">
        <f>([2]RES!$S$28/[2]RES!$I$28)*[3]RESIDENTIAL!$F$28</f>
        <v>30426511.581546102</v>
      </c>
      <c r="G28" s="3"/>
      <c r="H28" s="3">
        <f>'[1]Demand Loss Factor'!$G$54*J28</f>
        <v>13094260.923743039</v>
      </c>
      <c r="I28" s="3"/>
      <c r="J28" s="3">
        <f>([2]RES!$S$28/[2]RES!$I$28)*[3]RESIDENTIAL!$J$28</f>
        <v>12604630.934645811</v>
      </c>
      <c r="K28" s="3"/>
      <c r="L28" s="3">
        <f>'[1]Demand Loss Factor'!$G$54*N28</f>
        <v>11971066.051298674</v>
      </c>
      <c r="N28" s="3">
        <f>([2]RES!$S$28/[2]RES!$I$28)*[3]RESIDENTIAL!$N$28</f>
        <v>11523435.36986392</v>
      </c>
      <c r="O28" s="3"/>
      <c r="P28" s="3">
        <f>'[1]Demand Loss Factor'!$G$54*R28</f>
        <v>12839138.465332355</v>
      </c>
      <c r="R28" s="3">
        <f>([2]RES!$S$28/[2]RES!$I$28)*[3]RESIDENTIAL!$R$28</f>
        <v>12359048.198045893</v>
      </c>
      <c r="S28" s="3"/>
      <c r="T28" s="3">
        <f>'[1]Energy Loss Factor'!$G$54*V28</f>
        <v>5296062409.2495003</v>
      </c>
      <c r="V28" s="3">
        <f>[2]RES!$S$28</f>
        <v>5106226634.2496805</v>
      </c>
      <c r="X28" s="13">
        <v>0.91422235443561817</v>
      </c>
      <c r="Y28" s="13"/>
      <c r="Z28" s="13">
        <v>0.56409166357694951</v>
      </c>
    </row>
    <row r="29" spans="1:26" ht="24.95" customHeight="1">
      <c r="A29" s="14">
        <v>8</v>
      </c>
      <c r="B29" s="14" t="s">
        <v>23</v>
      </c>
      <c r="D29" s="3">
        <f>'[1]Demand Loss Factor'!$G$54*F29</f>
        <v>32652296.578309558</v>
      </c>
      <c r="E29" s="3"/>
      <c r="F29" s="3">
        <f>([2]RES!$S$30/[2]RES!$I$30)*[3]RESIDENTIAL!$F$29</f>
        <v>31431338.502802759</v>
      </c>
      <c r="G29" s="3"/>
      <c r="H29" s="3">
        <f>'[1]Demand Loss Factor'!$G$54*J29</f>
        <v>13262385.917004334</v>
      </c>
      <c r="I29" s="3"/>
      <c r="J29" s="3">
        <f>([2]RES!$S$30/[2]RES!$I$30)*[3]RESIDENTIAL!$J$29</f>
        <v>12766469.277664157</v>
      </c>
      <c r="K29" s="3"/>
      <c r="L29" s="3">
        <f>'[1]Demand Loss Factor'!$G$54*N29</f>
        <v>12621848.076276682</v>
      </c>
      <c r="N29" s="3">
        <f>([2]RES!$S$30/[2]RES!$I$30)*[3]RESIDENTIAL!$N$29</f>
        <v>12149882.886949476</v>
      </c>
      <c r="O29" s="3"/>
      <c r="P29" s="3">
        <f>'[1]Demand Loss Factor'!$G$54*R29</f>
        <v>12787170.286552189</v>
      </c>
      <c r="R29" s="3">
        <f>([2]RES!$S$30/[2]RES!$I$30)*[3]RESIDENTIAL!$R$29</f>
        <v>12309023.250652188</v>
      </c>
      <c r="S29" s="3"/>
      <c r="T29" s="3">
        <f>'[1]Energy Loss Factor'!$G$54*V29</f>
        <v>5638646159.2151184</v>
      </c>
      <c r="V29" s="3">
        <f>[2]RES!$S$30</f>
        <v>5436530572.0356903</v>
      </c>
      <c r="X29" s="13">
        <v>0.95170266913237767</v>
      </c>
      <c r="Y29" s="13"/>
      <c r="Z29" s="13">
        <v>0.59349815788135563</v>
      </c>
    </row>
    <row r="30" spans="1:26" ht="24.95" customHeight="1">
      <c r="A30" s="14">
        <v>9</v>
      </c>
      <c r="B30" s="14" t="s">
        <v>24</v>
      </c>
      <c r="D30" s="3">
        <f>'[1]Demand Loss Factor'!$G$54*F30</f>
        <v>29541201.563436437</v>
      </c>
      <c r="E30" s="3"/>
      <c r="F30" s="3">
        <f>([2]RES!$S$32/[2]RES!$I$32)*[3]RESIDENTIAL!$F$30</f>
        <v>28436575.782442778</v>
      </c>
      <c r="G30" s="3"/>
      <c r="H30" s="3">
        <f>'[1]Demand Loss Factor'!$G$54*J30</f>
        <v>12256549.369991763</v>
      </c>
      <c r="I30" s="3"/>
      <c r="J30" s="3">
        <f>([2]RES!$S$32/[2]RES!$I$32)*[3]RESIDENTIAL!$J$30</f>
        <v>11798243.691698981</v>
      </c>
      <c r="K30" s="3"/>
      <c r="L30" s="3">
        <f>'[1]Demand Loss Factor'!$G$54*N30</f>
        <v>11895806.923714589</v>
      </c>
      <c r="N30" s="3">
        <f>([2]RES!$S$32/[2]RES!$I$32)*[3]RESIDENTIAL!$N$30</f>
        <v>11450990.38551656</v>
      </c>
      <c r="O30" s="3"/>
      <c r="P30" s="3">
        <f>'[1]Demand Loss Factor'!$G$54*R30</f>
        <v>12082289.580622934</v>
      </c>
      <c r="R30" s="3">
        <f>([2]RES!$S$32/[2]RES!$I$32)*[3]RESIDENTIAL!$R$30</f>
        <v>11630499.949265955</v>
      </c>
      <c r="S30" s="3"/>
      <c r="T30" s="3">
        <f>'[1]Energy Loss Factor'!$G$54*V30</f>
        <v>5233699751.3772564</v>
      </c>
      <c r="V30" s="3">
        <f>[2]RES!$S$32</f>
        <v>5046099347.2196589</v>
      </c>
      <c r="X30" s="13">
        <v>0.97056737297037343</v>
      </c>
      <c r="Y30" s="13"/>
      <c r="Z30" s="13">
        <v>0.50562196956737659</v>
      </c>
    </row>
    <row r="31" spans="1:26" ht="24.95" customHeight="1">
      <c r="A31" s="14">
        <v>10</v>
      </c>
      <c r="B31" s="14" t="s">
        <v>25</v>
      </c>
      <c r="D31" s="3">
        <f>'[1]Demand Loss Factor'!$G$54*F31</f>
        <v>28362802.804757409</v>
      </c>
      <c r="E31" s="3"/>
      <c r="F31" s="3">
        <f>([2]RES!$S$34/[2]RES!$I$34)*[3]RESIDENTIAL!$F$31</f>
        <v>27302240.554704852</v>
      </c>
      <c r="G31" s="3"/>
      <c r="H31" s="3">
        <f>'[1]Demand Loss Factor'!$G$54*J31</f>
        <v>9028955.6641816683</v>
      </c>
      <c r="I31" s="3"/>
      <c r="J31" s="3">
        <f>([2]RES!$S$34/[2]RES!$I$34)*[3]RESIDENTIAL!$J$31</f>
        <v>8691338.4829479754</v>
      </c>
      <c r="K31" s="3"/>
      <c r="L31" s="3">
        <f>'[1]Demand Loss Factor'!$G$54*N31</f>
        <v>8514652.7694881503</v>
      </c>
      <c r="N31" s="3">
        <f>([2]RES!$S$34/[2]RES!$I$34)*[3]RESIDENTIAL!$N$31</f>
        <v>8196266.7706929296</v>
      </c>
      <c r="O31" s="3"/>
      <c r="P31" s="3">
        <f>'[1]Demand Loss Factor'!$G$54*R31</f>
        <v>8514652.7694881503</v>
      </c>
      <c r="R31" s="3">
        <f>([2]RES!$S$34/[2]RES!$I$34)*[3]RESIDENTIAL!$R$31</f>
        <v>8196266.7706929296</v>
      </c>
      <c r="S31" s="3"/>
      <c r="T31" s="3">
        <f>'[1]Energy Loss Factor'!$G$54*V31</f>
        <v>3954715787.184936</v>
      </c>
      <c r="V31" s="3">
        <f>[2]RES!$S$34</f>
        <v>3812960181.1609006</v>
      </c>
      <c r="X31" s="13">
        <v>0.94303849594324796</v>
      </c>
      <c r="Y31" s="13"/>
      <c r="Z31" s="13">
        <v>0.47222702486156187</v>
      </c>
    </row>
    <row r="32" spans="1:26" ht="24.95" customHeight="1">
      <c r="A32" s="14">
        <v>11</v>
      </c>
      <c r="B32" s="14" t="s">
        <v>26</v>
      </c>
      <c r="D32" s="3">
        <f>'[1]Demand Loss Factor'!$G$54*F32</f>
        <v>31158323.757626262</v>
      </c>
      <c r="E32" s="3"/>
      <c r="F32" s="3">
        <f>([2]RES!$S$36/[2]RES!$I$36)*[3]RESIDENTIAL!$F$32</f>
        <v>29993229.384558473</v>
      </c>
      <c r="G32" s="3"/>
      <c r="H32" s="3">
        <f>'[1]Demand Loss Factor'!$G$54*J32</f>
        <v>5987311.1166454693</v>
      </c>
      <c r="I32" s="3"/>
      <c r="J32" s="3">
        <f>([2]RES!$S$36/[2]RES!$I$36)*[3]RESIDENTIAL!$J$32</f>
        <v>5763429.2882752102</v>
      </c>
      <c r="K32" s="3"/>
      <c r="L32" s="3">
        <f>'[1]Demand Loss Factor'!$G$54*N32</f>
        <v>5986246.169653248</v>
      </c>
      <c r="N32" s="3">
        <f>([2]RES!$S$36/[2]RES!$I$36)*[3]RESIDENTIAL!$N$32</f>
        <v>5762404.1625441676</v>
      </c>
      <c r="O32" s="3"/>
      <c r="P32" s="3">
        <f>'[1]Demand Loss Factor'!$G$54*R32</f>
        <v>4157645.9126553354</v>
      </c>
      <c r="R32" s="3">
        <f>([2]RES!$S$36/[2]RES!$I$36)*[3]RESIDENTIAL!$R$32</f>
        <v>4002180.2369109076</v>
      </c>
      <c r="S32" s="3"/>
      <c r="T32" s="3">
        <f>'[1]Energy Loss Factor'!$G$54*V32</f>
        <v>2893056203.5740519</v>
      </c>
      <c r="V32" s="3">
        <f>[2]RES!$S$36</f>
        <v>2789355468.1815953</v>
      </c>
      <c r="X32" s="13">
        <v>0.99982213267834696</v>
      </c>
      <c r="Y32" s="13"/>
      <c r="Z32" s="13">
        <v>0.62773511997306475</v>
      </c>
    </row>
    <row r="33" spans="1:26" ht="24.95" customHeight="1" thickBot="1">
      <c r="A33" s="14">
        <v>12</v>
      </c>
      <c r="B33" s="14" t="s">
        <v>27</v>
      </c>
      <c r="D33" s="3">
        <f>'[1]Demand Loss Factor'!$G$54*F33</f>
        <v>37978000.746170089</v>
      </c>
      <c r="E33" s="3"/>
      <c r="F33" s="3">
        <f>([2]RES!$S$38/[2]RES!$I$38)*[3]RESIDENTIAL!$F$33</f>
        <v>36557900.123494677</v>
      </c>
      <c r="G33" s="3"/>
      <c r="H33" s="3">
        <f>'[1]Demand Loss Factor'!$G$54*J33</f>
        <v>8553740.4032488279</v>
      </c>
      <c r="I33" s="3"/>
      <c r="J33" s="3">
        <f>([2]RES!$S$38/[2]RES!$I$38)*[3]RESIDENTIAL!$J$33</f>
        <v>8233892.8116379809</v>
      </c>
      <c r="K33" s="3"/>
      <c r="L33" s="3">
        <f>'[1]Demand Loss Factor'!$G$54*N33</f>
        <v>8061743.350516689</v>
      </c>
      <c r="N33" s="3">
        <f>([2]RES!$S$38/[2]RES!$I$38)*[3]RESIDENTIAL!$N$33</f>
        <v>7760292.8653151309</v>
      </c>
      <c r="O33" s="3"/>
      <c r="P33" s="3">
        <f>'[1]Demand Loss Factor'!$G$54*R33</f>
        <v>5851395.7932905471</v>
      </c>
      <c r="Q33" s="15"/>
      <c r="R33" s="3">
        <f>([2]RES!$S$38/[2]RES!$I$38)*[3]RESIDENTIAL!$R$33</f>
        <v>5632596.2081014775</v>
      </c>
      <c r="S33" s="3"/>
      <c r="T33" s="16">
        <f>'[1]Energy Loss Factor'!$G$54*V33</f>
        <v>3334024856.1539912</v>
      </c>
      <c r="V33" s="16">
        <f>[2]RES!$S$38</f>
        <v>3214517731.1376252</v>
      </c>
      <c r="X33" s="13">
        <v>0.94248164784784993</v>
      </c>
      <c r="Y33" s="13"/>
      <c r="Z33" s="13">
        <v>0.556000843772812</v>
      </c>
    </row>
    <row r="34" spans="1:22" ht="24.95" customHeight="1" thickTop="1">
      <c r="A34" s="14">
        <v>13</v>
      </c>
      <c r="E34" s="3"/>
      <c r="G34" s="3"/>
      <c r="I34" s="3"/>
      <c r="K34" s="3"/>
      <c r="O34" s="3"/>
      <c r="S34" s="3"/>
      <c r="T34" s="15">
        <f>+SUM(T22:T33)</f>
        <v>47769624697.690071</v>
      </c>
      <c r="U34" s="15"/>
      <c r="V34" s="15">
        <f>SUM(V22:V33)</f>
        <v>46057336770.323746</v>
      </c>
    </row>
    <row r="35" spans="1:22" ht="24.95" customHeight="1">
      <c r="A35" s="14"/>
      <c r="E35" s="3"/>
      <c r="G35" s="3"/>
      <c r="I35" s="3"/>
      <c r="K35" s="3"/>
      <c r="O35" s="3"/>
      <c r="S35" s="3"/>
      <c r="T35" s="15"/>
      <c r="U35" s="15"/>
      <c r="V35" s="15"/>
    </row>
    <row r="36" spans="1:22" ht="18.75" customHeight="1">
      <c r="A36" s="14"/>
      <c r="E36" s="3"/>
      <c r="G36" s="3"/>
      <c r="I36" s="3"/>
      <c r="K36" s="3"/>
      <c r="O36" s="3"/>
      <c r="S36" s="3"/>
      <c r="T36" s="15"/>
      <c r="U36" s="15"/>
      <c r="V36" s="15"/>
    </row>
    <row r="37" spans="1:19" ht="15" customHeight="1">
      <c r="A37" s="2" t="s">
        <v>55</v>
      </c>
      <c r="E37" s="3"/>
      <c r="G37" s="3"/>
      <c r="I37" s="3"/>
      <c r="K37" s="3"/>
      <c r="O37" s="3"/>
      <c r="S37" s="3"/>
    </row>
    <row r="38" spans="1:19" ht="15" customHeight="1">
      <c r="A38" s="2" t="s">
        <v>28</v>
      </c>
      <c r="E38" s="3"/>
      <c r="G38" s="3"/>
      <c r="I38" s="3"/>
      <c r="K38" s="3"/>
      <c r="O38" s="3"/>
      <c r="S38" s="3"/>
    </row>
    <row r="39" spans="1:19" ht="15" customHeight="1">
      <c r="A39" s="4" t="s">
        <v>29</v>
      </c>
      <c r="E39" s="3"/>
      <c r="G39" s="3"/>
      <c r="I39" s="3"/>
      <c r="K39" s="3"/>
      <c r="O39" s="3"/>
      <c r="S39" s="3"/>
    </row>
  </sheetData>
  <pageMargins left="0.5" right="1" top="1.5" bottom="0.5" header="0.5" footer="0.5"/>
  <pageSetup orientation="landscape" scale="5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A1:Z39"/>
  <sheetViews>
    <sheetView zoomScale="75" zoomScaleNormal="75" workbookViewId="0" topLeftCell="A1">
      <selection pane="topLeft" activeCell="P40" sqref="P40"/>
    </sheetView>
  </sheetViews>
  <sheetFormatPr defaultColWidth="9.14428571428571" defaultRowHeight="18.75" customHeight="1"/>
  <cols>
    <col min="1" max="1" width="4.71428571428571" style="2" customWidth="1"/>
    <col min="2" max="3" width="7.71428571428571" style="2" customWidth="1"/>
    <col min="4" max="4" width="20.5714285714286" style="3" customWidth="1"/>
    <col min="5" max="5" width="2.71428571428571" style="2" customWidth="1"/>
    <col min="6" max="6" width="20.8571428571429" style="3" customWidth="1"/>
    <col min="7" max="7" width="5.71428571428571" style="2" customWidth="1"/>
    <col min="8" max="8" width="13.8571428571429" style="3" customWidth="1"/>
    <col min="9" max="9" width="2.71428571428571" style="2" customWidth="1"/>
    <col min="10" max="10" width="14.8571428571429" style="3" customWidth="1"/>
    <col min="11" max="11" width="5.71428571428571" style="2" customWidth="1"/>
    <col min="12" max="12" width="13.4285714285714" style="3" customWidth="1"/>
    <col min="13" max="13" width="2.71428571428571" style="3" customWidth="1"/>
    <col min="14" max="14" width="13.2857142857143" style="3" customWidth="1"/>
    <col min="15" max="15" width="5.71428571428571" style="2" customWidth="1"/>
    <col min="16" max="16" width="12.7142857142857" style="3" customWidth="1"/>
    <col min="17" max="17" width="2.71428571428571" style="3" customWidth="1"/>
    <col min="18" max="18" width="13.8571428571429" style="3" customWidth="1"/>
    <col min="19" max="19" width="5.71428571428571" style="2" customWidth="1"/>
    <col min="20" max="20" width="18.7142857142857" style="3" customWidth="1"/>
    <col min="21" max="21" width="2.71428571428571" style="3" customWidth="1"/>
    <col min="22" max="22" width="18.8571428571429" style="3" customWidth="1"/>
    <col min="23" max="23" width="3.71428571428571" style="2" customWidth="1"/>
    <col min="24" max="24" width="9.71428571428571" style="2" customWidth="1"/>
    <col min="25" max="25" width="1.71428571428571" style="2" customWidth="1"/>
    <col min="26" max="26" width="9.71428571428571" style="2" customWidth="1"/>
    <col min="27" max="16384" width="9.14285714285714" style="2"/>
  </cols>
  <sheetData>
    <row r="1" spans="1:22" ht="18.75" customHeight="1">
      <c r="A1" s="6"/>
      <c r="V1" s="2" t="s">
        <v>63</v>
      </c>
    </row>
    <row r="2" spans="22:22" ht="18.75" customHeight="1">
      <c r="V2" s="2" t="s">
        <v>68</v>
      </c>
    </row>
    <row r="7" spans="1:26" ht="18.75" customHeight="1">
      <c r="A7" s="7" t="s">
        <v>77</v>
      </c>
      <c r="B7" s="8"/>
      <c r="C7" s="8"/>
      <c r="D7" s="8"/>
      <c r="E7" s="8"/>
      <c r="F7" s="9"/>
      <c r="G7" s="8"/>
      <c r="H7" s="8"/>
      <c r="I7" s="8"/>
      <c r="J7" s="10"/>
      <c r="K7" s="7"/>
      <c r="L7" s="7"/>
      <c r="M7" s="8"/>
      <c r="N7" s="7"/>
      <c r="O7" s="9"/>
      <c r="P7" s="8"/>
      <c r="Q7" s="8"/>
      <c r="R7" s="9"/>
      <c r="S7" s="8"/>
      <c r="T7" s="8"/>
      <c r="U7" s="8"/>
      <c r="V7" s="8"/>
      <c r="W7" s="8"/>
      <c r="X7" s="8"/>
      <c r="Y7" s="8"/>
      <c r="Z7" s="8"/>
    </row>
    <row r="8" spans="1:26" ht="18" customHeight="1">
      <c r="A8" s="7" t="s">
        <v>40</v>
      </c>
      <c r="B8" s="8"/>
      <c r="C8" s="8"/>
      <c r="D8" s="8"/>
      <c r="E8" s="8"/>
      <c r="F8" s="9"/>
      <c r="G8" s="8"/>
      <c r="H8" s="8"/>
      <c r="I8" s="8"/>
      <c r="J8" s="10"/>
      <c r="K8" s="7"/>
      <c r="L8" s="10"/>
      <c r="M8" s="9"/>
      <c r="N8" s="7"/>
      <c r="O8" s="10"/>
      <c r="P8" s="8"/>
      <c r="Q8" s="8"/>
      <c r="R8" s="10"/>
      <c r="S8" s="7"/>
      <c r="T8" s="8"/>
      <c r="U8" s="8"/>
      <c r="V8" s="8"/>
      <c r="W8" s="8"/>
      <c r="X8" s="8"/>
      <c r="Y8" s="8"/>
      <c r="Z8" s="8"/>
    </row>
    <row r="9" spans="1:26" ht="18" customHeight="1">
      <c r="A9" s="7" t="s">
        <v>45</v>
      </c>
      <c r="B9" s="8"/>
      <c r="C9" s="8"/>
      <c r="D9" s="8"/>
      <c r="E9" s="8"/>
      <c r="F9" s="9"/>
      <c r="G9" s="7"/>
      <c r="H9" s="8"/>
      <c r="I9" s="8"/>
      <c r="J9" s="10"/>
      <c r="K9" s="7"/>
      <c r="L9" s="7"/>
      <c r="M9" s="9"/>
      <c r="N9" s="9"/>
      <c r="O9" s="9"/>
      <c r="P9" s="8"/>
      <c r="Q9" s="7"/>
      <c r="R9" s="10"/>
      <c r="S9" s="7"/>
      <c r="T9" s="8"/>
      <c r="U9" s="8"/>
      <c r="V9" s="8"/>
      <c r="W9" s="8"/>
      <c r="X9" s="8"/>
      <c r="Y9" s="8"/>
      <c r="Z9" s="8"/>
    </row>
    <row r="10" spans="1:26" ht="18" customHeight="1">
      <c r="A10" s="7" t="s">
        <v>78</v>
      </c>
      <c r="B10" s="8"/>
      <c r="C10" s="8"/>
      <c r="D10" s="8"/>
      <c r="E10" s="8"/>
      <c r="F10" s="8"/>
      <c r="G10" s="7"/>
      <c r="H10" s="8"/>
      <c r="I10" s="8"/>
      <c r="J10" s="7"/>
      <c r="K10" s="7"/>
      <c r="L10" s="10"/>
      <c r="M10" s="9"/>
      <c r="N10" s="9"/>
      <c r="O10" s="9"/>
      <c r="P10" s="8"/>
      <c r="Q10" s="7"/>
      <c r="R10" s="10"/>
      <c r="S10" s="7"/>
      <c r="T10" s="8"/>
      <c r="U10" s="8"/>
      <c r="V10" s="8"/>
      <c r="W10" s="8"/>
      <c r="X10" s="8"/>
      <c r="Y10" s="8"/>
      <c r="Z10" s="8"/>
    </row>
    <row r="11" spans="1:26" ht="18" customHeight="1">
      <c r="A11" s="8"/>
      <c r="B11" s="8"/>
      <c r="C11" s="8"/>
      <c r="D11" s="8"/>
      <c r="E11" s="8"/>
      <c r="F11" s="9"/>
      <c r="G11" s="8"/>
      <c r="H11" s="8"/>
      <c r="I11" s="8"/>
      <c r="J11" s="10"/>
      <c r="K11" s="7"/>
      <c r="L11" s="10"/>
      <c r="M11" s="9"/>
      <c r="N11" s="9"/>
      <c r="O11" s="9"/>
      <c r="P11" s="8"/>
      <c r="Q11" s="8"/>
      <c r="R11" s="9"/>
      <c r="S11" s="8"/>
      <c r="T11" s="8"/>
      <c r="U11" s="8"/>
      <c r="V11" s="8"/>
      <c r="W11" s="8"/>
      <c r="X11" s="8"/>
      <c r="Y11" s="8"/>
      <c r="Z11" s="8"/>
    </row>
    <row r="12" spans="1:26" ht="18.75" customHeight="1">
      <c r="A12" s="7" t="s">
        <v>43</v>
      </c>
      <c r="B12" s="8"/>
      <c r="C12" s="8"/>
      <c r="D12" s="8"/>
      <c r="E12" s="8"/>
      <c r="F12" s="9"/>
      <c r="G12" s="8"/>
      <c r="H12" s="8"/>
      <c r="I12" s="8"/>
      <c r="J12" s="10"/>
      <c r="K12" s="7"/>
      <c r="L12" s="10"/>
      <c r="M12" s="9"/>
      <c r="N12" s="10"/>
      <c r="O12" s="10"/>
      <c r="P12" s="8"/>
      <c r="Q12" s="8"/>
      <c r="R12" s="9"/>
      <c r="S12" s="8"/>
      <c r="T12" s="8"/>
      <c r="U12" s="8"/>
      <c r="V12" s="8"/>
      <c r="W12" s="8"/>
      <c r="X12" s="8"/>
      <c r="Y12" s="8"/>
      <c r="Z12" s="8"/>
    </row>
    <row r="13" spans="1:26" ht="18.75" customHeight="1">
      <c r="A13" s="8"/>
      <c r="B13" s="8"/>
      <c r="C13" s="8"/>
      <c r="D13" s="8"/>
      <c r="E13" s="8"/>
      <c r="F13" s="9"/>
      <c r="G13" s="8"/>
      <c r="H13" s="8"/>
      <c r="I13" s="8"/>
      <c r="J13" s="9"/>
      <c r="K13" s="8"/>
      <c r="L13" s="8"/>
      <c r="M13" s="9"/>
      <c r="N13" s="8"/>
      <c r="O13" s="10"/>
      <c r="P13" s="8"/>
      <c r="Q13" s="8"/>
      <c r="R13" s="9"/>
      <c r="S13" s="8"/>
      <c r="T13" s="8"/>
      <c r="U13" s="8"/>
      <c r="V13" s="8"/>
      <c r="W13" s="8"/>
      <c r="X13" s="8"/>
      <c r="Y13" s="8"/>
      <c r="Z13" s="8"/>
    </row>
    <row r="14" spans="1:1" ht="18.75" customHeight="1">
      <c r="A14" s="2" t="s">
        <v>30</v>
      </c>
    </row>
    <row r="15" spans="1:1" ht="18.75" customHeight="1">
      <c r="A15" s="2" t="s">
        <v>1</v>
      </c>
    </row>
    <row r="17" spans="4:26" ht="15" customHeight="1">
      <c r="D17" s="4" t="s">
        <v>48</v>
      </c>
      <c r="E17" s="4"/>
      <c r="F17" s="4" t="s">
        <v>49</v>
      </c>
      <c r="G17" s="4"/>
      <c r="H17" s="4" t="s">
        <v>62</v>
      </c>
      <c r="I17" s="4"/>
      <c r="J17" s="4" t="s">
        <v>38</v>
      </c>
      <c r="K17" s="4"/>
      <c r="L17" s="4" t="s">
        <v>67</v>
      </c>
      <c r="M17" s="4"/>
      <c r="N17" s="4" t="s">
        <v>44</v>
      </c>
      <c r="O17" s="4"/>
      <c r="P17" s="4" t="s">
        <v>65</v>
      </c>
      <c r="Q17" s="4"/>
      <c r="R17" s="4" t="s">
        <v>66</v>
      </c>
      <c r="S17" s="4"/>
      <c r="T17" s="4" t="s">
        <v>61</v>
      </c>
      <c r="U17" s="4"/>
      <c r="V17" s="4" t="s">
        <v>54</v>
      </c>
      <c r="W17" s="4"/>
      <c r="X17" s="4" t="s">
        <v>57</v>
      </c>
      <c r="Y17" s="4"/>
      <c r="Z17" s="4" t="s">
        <v>58</v>
      </c>
    </row>
    <row r="18" spans="4:6" s="4" customFormat="1" ht="18.75" customHeight="1">
      <c r="D18" s="4" t="s">
        <v>50</v>
      </c>
      <c r="F18" s="4" t="s">
        <v>50</v>
      </c>
    </row>
    <row r="19" spans="1:24" ht="18.75" customHeight="1">
      <c r="A19" s="2" t="s">
        <v>2</v>
      </c>
      <c r="D19" s="3" t="s">
        <v>52</v>
      </c>
      <c r="F19" s="3" t="s">
        <v>52</v>
      </c>
      <c r="H19" s="3" t="s">
        <v>6</v>
      </c>
      <c r="I19" s="3"/>
      <c r="J19" s="3" t="s">
        <v>56</v>
      </c>
      <c r="L19" s="3" t="s">
        <v>4</v>
      </c>
      <c r="M19" s="2" t="s">
        <v>5</v>
      </c>
      <c r="N19" s="3" t="s">
        <v>4</v>
      </c>
      <c r="P19" s="3" t="s">
        <v>3</v>
      </c>
      <c r="R19" s="3" t="s">
        <v>3</v>
      </c>
      <c r="T19" s="3" t="s">
        <v>7</v>
      </c>
      <c r="V19" s="3" t="s">
        <v>8</v>
      </c>
      <c r="X19" s="2" t="s">
        <v>59</v>
      </c>
    </row>
    <row r="20" spans="1:26" ht="18.75" customHeight="1">
      <c r="A20" s="11" t="s">
        <v>9</v>
      </c>
      <c r="B20" s="11" t="s">
        <v>10</v>
      </c>
      <c r="D20" s="5" t="s">
        <v>51</v>
      </c>
      <c r="F20" s="5" t="s">
        <v>53</v>
      </c>
      <c r="H20" s="5" t="s">
        <v>11</v>
      </c>
      <c r="I20" s="3"/>
      <c r="J20" s="5" t="s">
        <v>12</v>
      </c>
      <c r="L20" s="5" t="s">
        <v>11</v>
      </c>
      <c r="M20" s="2"/>
      <c r="N20" s="5" t="s">
        <v>12</v>
      </c>
      <c r="P20" s="5" t="s">
        <v>11</v>
      </c>
      <c r="R20" s="5" t="s">
        <v>12</v>
      </c>
      <c r="T20" s="5" t="s">
        <v>13</v>
      </c>
      <c r="V20" s="5" t="s">
        <v>14</v>
      </c>
      <c r="X20" s="12" t="s">
        <v>15</v>
      </c>
      <c r="Z20" s="12" t="s">
        <v>60</v>
      </c>
    </row>
    <row r="21" spans="4:22" ht="18" customHeight="1">
      <c r="D21" s="2"/>
      <c r="F21" s="2"/>
      <c r="H21" s="2"/>
      <c r="J21" s="2"/>
      <c r="L21" s="2"/>
      <c r="M21" s="2"/>
      <c r="N21" s="2"/>
      <c r="P21" s="2"/>
      <c r="Q21" s="2"/>
      <c r="R21" s="2"/>
      <c r="T21" s="2"/>
      <c r="U21" s="2"/>
      <c r="V21" s="2"/>
    </row>
    <row r="22" spans="1:26" ht="24.95" customHeight="1">
      <c r="A22" s="14">
        <v>1</v>
      </c>
      <c r="B22" s="14" t="s">
        <v>16</v>
      </c>
      <c r="D22" s="3">
        <f>'[1]Demand Loss Factor'!$G$54*F22</f>
        <v>881775.7010877846</v>
      </c>
      <c r="E22" s="3"/>
      <c r="F22" s="3">
        <f>('[2]GS SEC SMALL'!$S$16/'[2]GS SEC SMALL'!$I$16)*'[3]SEC &lt; 10kW'!$F$22</f>
        <v>848803.71210542379</v>
      </c>
      <c r="G22" s="3"/>
      <c r="H22" s="3">
        <f>'[1]Demand Loss Factor'!$G$54*J22</f>
        <v>302376.57560986781</v>
      </c>
      <c r="I22" s="3"/>
      <c r="J22" s="3">
        <f>('[2]GS SEC SMALL'!$S$16/'[2]GS SEC SMALL'!$I$16)*'[3]SEC &lt; 10kW'!$J$22</f>
        <v>291069.89398183778</v>
      </c>
      <c r="K22" s="3"/>
      <c r="L22" s="3">
        <f>'[1]Demand Loss Factor'!$G$54*N22</f>
        <v>284621.28672936972</v>
      </c>
      <c r="N22" s="3">
        <f>('[2]GS SEC SMALL'!$S$16/'[2]GS SEC SMALL'!$I$16)*'[3]SEC &lt; 10kW'!$N$22</f>
        <v>273978.52358834748</v>
      </c>
      <c r="O22" s="3"/>
      <c r="P22" s="3">
        <f>'[1]Demand Loss Factor'!$G$54*R22</f>
        <v>297857.91428495193</v>
      </c>
      <c r="R22" s="3">
        <f>('[2]GS SEC SMALL'!$S$16/'[2]GS SEC SMALL'!$I$16)*'[3]SEC &lt; 10kW'!$R$22</f>
        <v>286720.1976797008</v>
      </c>
      <c r="S22" s="3"/>
      <c r="T22" s="3">
        <f>'[1]Energy Loss Factor'!$G$54*V22</f>
        <v>171454870.3614085</v>
      </c>
      <c r="V22" s="3">
        <f>'[2]GS SEC SMALL'!$S$16</f>
        <v>165309121.75094906</v>
      </c>
      <c r="X22" s="13">
        <v>0.94128087189066434</v>
      </c>
      <c r="Y22" s="13"/>
      <c r="Z22" s="13">
        <v>0.77742224687837269</v>
      </c>
    </row>
    <row r="23" spans="1:26" ht="24.95" customHeight="1">
      <c r="A23" s="14">
        <v>2</v>
      </c>
      <c r="B23" s="14" t="s">
        <v>17</v>
      </c>
      <c r="D23" s="3">
        <f>'[1]Demand Loss Factor'!$G$54*F23</f>
        <v>962802.10356536473</v>
      </c>
      <c r="E23" s="3"/>
      <c r="F23" s="3">
        <f>('[2]GS SEC SMALL'!$S$18/'[2]GS SEC SMALL'!$I$18)*'[3]SEC &lt; 10kW'!$F$23</f>
        <v>926800.31727006449</v>
      </c>
      <c r="G23" s="3"/>
      <c r="H23" s="3">
        <f>'[1]Demand Loss Factor'!$G$54*J23</f>
        <v>371448.40089449205</v>
      </c>
      <c r="I23" s="3"/>
      <c r="J23" s="3">
        <f>('[2]GS SEC SMALL'!$S$18/'[2]GS SEC SMALL'!$I$18)*'[3]SEC &lt; 10kW'!$J$23</f>
        <v>357558.93607174861</v>
      </c>
      <c r="K23" s="3"/>
      <c r="L23" s="3">
        <f>'[1]Demand Loss Factor'!$G$54*N23</f>
        <v>364920.57720073406</v>
      </c>
      <c r="N23" s="3">
        <f>('[2]GS SEC SMALL'!$S$18/'[2]GS SEC SMALL'!$I$18)*'[3]SEC &lt; 10kW'!$N$23</f>
        <v>351275.2054400288</v>
      </c>
      <c r="O23" s="3"/>
      <c r="P23" s="3">
        <f>'[1]Demand Loss Factor'!$G$54*R23</f>
        <v>367084.56771665608</v>
      </c>
      <c r="R23" s="3">
        <f>('[2]GS SEC SMALL'!$S$18/'[2]GS SEC SMALL'!$I$18)*'[3]SEC &lt; 10kW'!$R$23</f>
        <v>353358.27847165079</v>
      </c>
      <c r="S23" s="3"/>
      <c r="T23" s="3">
        <f>'[1]Energy Loss Factor'!$G$54*V23</f>
        <v>163600196.50397325</v>
      </c>
      <c r="V23" s="3">
        <f>'[2]GS SEC SMALL'!$S$18</f>
        <v>157735996.33155578</v>
      </c>
      <c r="X23" s="13">
        <v>0.98242602827731063</v>
      </c>
      <c r="Y23" s="13"/>
      <c r="Z23" s="13">
        <v>0.66507947344028717</v>
      </c>
    </row>
    <row r="24" spans="1:26" ht="24.95" customHeight="1">
      <c r="A24" s="14">
        <v>3</v>
      </c>
      <c r="B24" s="14" t="s">
        <v>18</v>
      </c>
      <c r="D24" s="3">
        <f>'[1]Demand Loss Factor'!$G$54*F24</f>
        <v>747679.48860708857</v>
      </c>
      <c r="E24" s="3"/>
      <c r="F24" s="3">
        <f>('[2]GS SEC SMALL'!$S$20/'[2]GS SEC SMALL'!$I$20)*'[3]SEC &lt; 10kW'!$F$24</f>
        <v>719721.72130835487</v>
      </c>
      <c r="G24" s="3"/>
      <c r="H24" s="3">
        <f>'[1]Demand Loss Factor'!$G$54*J24</f>
        <v>230458.38992711587</v>
      </c>
      <c r="I24" s="3"/>
      <c r="J24" s="3">
        <f>('[2]GS SEC SMALL'!$S$20/'[2]GS SEC SMALL'!$I$20)*'[3]SEC &lt; 10kW'!$J$24</f>
        <v>221840.92464178818</v>
      </c>
      <c r="K24" s="3"/>
      <c r="L24" s="3">
        <f>'[1]Demand Loss Factor'!$G$54*N24</f>
        <v>202540.11558646898</v>
      </c>
      <c r="N24" s="3">
        <f>('[2]GS SEC SMALL'!$S$20/'[2]GS SEC SMALL'!$I$20)*'[3]SEC &lt; 10kW'!$N$24</f>
        <v>194966.59042427098</v>
      </c>
      <c r="O24" s="3"/>
      <c r="P24" s="3">
        <f>'[1]Demand Loss Factor'!$G$54*R24</f>
        <v>159486.3173049789</v>
      </c>
      <c r="R24" s="3">
        <f>('[2]GS SEC SMALL'!$S$20/'[2]GS SEC SMALL'!$I$20)*'[3]SEC &lt; 10kW'!$R$24</f>
        <v>153522.69062471326</v>
      </c>
      <c r="S24" s="3"/>
      <c r="T24" s="3">
        <f>'[1]Energy Loss Factor'!$G$54*V24</f>
        <v>157599766.51667899</v>
      </c>
      <c r="V24" s="3">
        <f>'[2]GS SEC SMALL'!$S$20</f>
        <v>151950649.96468502</v>
      </c>
      <c r="X24" s="13">
        <v>0.87885763521355753</v>
      </c>
      <c r="Y24" s="13"/>
      <c r="Z24" s="13">
        <v>0.77648568868055923</v>
      </c>
    </row>
    <row r="25" spans="1:26" ht="24.95" customHeight="1">
      <c r="A25" s="14">
        <v>4</v>
      </c>
      <c r="B25" s="14" t="s">
        <v>19</v>
      </c>
      <c r="D25" s="3">
        <f>'[1]Demand Loss Factor'!$G$54*F25</f>
        <v>803690.0997822202</v>
      </c>
      <c r="E25" s="3"/>
      <c r="F25" s="3">
        <f>('[2]GS SEC SMALL'!$S$22/'[2]GS SEC SMALL'!$I$22)*'[3]SEC &lt; 10kW'!$F$25</f>
        <v>773637.9435677072</v>
      </c>
      <c r="G25" s="3"/>
      <c r="H25" s="3">
        <f>'[1]Demand Loss Factor'!$G$54*J25</f>
        <v>238419.30190391102</v>
      </c>
      <c r="I25" s="3"/>
      <c r="J25" s="3">
        <f>('[2]GS SEC SMALL'!$S$22/'[2]GS SEC SMALL'!$I$22)*'[3]SEC &lt; 10kW'!$J$25</f>
        <v>229504.15649237367</v>
      </c>
      <c r="K25" s="3"/>
      <c r="L25" s="3">
        <f>'[1]Demand Loss Factor'!$G$54*N25</f>
        <v>211605.10536823471</v>
      </c>
      <c r="N25" s="3">
        <f>('[2]GS SEC SMALL'!$S$22/'[2]GS SEC SMALL'!$I$22)*'[3]SEC &lt; 10kW'!$N$25</f>
        <v>203692.6156112527</v>
      </c>
      <c r="O25" s="3"/>
      <c r="P25" s="3">
        <f>'[1]Demand Loss Factor'!$G$54*R25</f>
        <v>229592.15803911499</v>
      </c>
      <c r="R25" s="3">
        <f>('[2]GS SEC SMALL'!$S$22/'[2]GS SEC SMALL'!$I$22)*'[3]SEC &lt; 10kW'!$R$25</f>
        <v>221007.08351737048</v>
      </c>
      <c r="S25" s="3"/>
      <c r="T25" s="3">
        <f>'[1]Energy Loss Factor'!$G$54*V25</f>
        <v>143969789.15797961</v>
      </c>
      <c r="V25" s="3">
        <f>'[2]GS SEC SMALL'!$S$22</f>
        <v>138809235.07280999</v>
      </c>
      <c r="X25" s="13">
        <v>0.88753344917315824</v>
      </c>
      <c r="Y25" s="13"/>
      <c r="Z25" s="13">
        <v>0.82212395695613183</v>
      </c>
    </row>
    <row r="26" spans="1:26" ht="24.95" customHeight="1">
      <c r="A26" s="14">
        <v>5</v>
      </c>
      <c r="B26" s="14" t="s">
        <v>20</v>
      </c>
      <c r="D26" s="3">
        <f>'[1]Demand Loss Factor'!$G$54*F26</f>
        <v>775275.57313283219</v>
      </c>
      <c r="E26" s="3"/>
      <c r="F26" s="3">
        <f>('[2]GS SEC SMALL'!$S$24/'[2]GS SEC SMALL'!$I$24)*'[3]SEC &lt; 10kW'!$F$26</f>
        <v>746285.9132634406</v>
      </c>
      <c r="G26" s="3"/>
      <c r="H26" s="3">
        <f>'[1]Demand Loss Factor'!$G$54*J26</f>
        <v>289000.92516737495</v>
      </c>
      <c r="I26" s="3"/>
      <c r="J26" s="3">
        <f>('[2]GS SEC SMALL'!$S$24/'[2]GS SEC SMALL'!$I$24)*'[3]SEC &lt; 10kW'!$J$26</f>
        <v>278194.39544699871</v>
      </c>
      <c r="K26" s="3"/>
      <c r="L26" s="3">
        <f>'[1]Demand Loss Factor'!$G$54*N26</f>
        <v>278901.99797676201</v>
      </c>
      <c r="N26" s="3">
        <f>('[2]GS SEC SMALL'!$S$24/'[2]GS SEC SMALL'!$I$24)*'[3]SEC &lt; 10kW'!$N$26</f>
        <v>268473.09457978269</v>
      </c>
      <c r="O26" s="3"/>
      <c r="P26" s="3">
        <f>'[1]Demand Loss Factor'!$G$54*R26</f>
        <v>278901.99797676201</v>
      </c>
      <c r="R26" s="3">
        <f>('[2]GS SEC SMALL'!$S$24/'[2]GS SEC SMALL'!$I$24)*'[3]SEC &lt; 10kW'!$R$26</f>
        <v>268473.09457978269</v>
      </c>
      <c r="S26" s="3"/>
      <c r="T26" s="3">
        <f>'[1]Energy Loss Factor'!$G$54*V26</f>
        <v>144806412.356381</v>
      </c>
      <c r="V26" s="3">
        <f>'[2]GS SEC SMALL'!$S$24</f>
        <v>139615869.76258391</v>
      </c>
      <c r="X26" s="13">
        <v>0.96505572712348864</v>
      </c>
      <c r="Y26" s="13"/>
      <c r="Z26" s="13">
        <v>0.69400855319885235</v>
      </c>
    </row>
    <row r="27" spans="1:26" ht="24.95" customHeight="1">
      <c r="A27" s="14">
        <v>6</v>
      </c>
      <c r="B27" s="14" t="s">
        <v>21</v>
      </c>
      <c r="D27" s="3">
        <f>'[1]Demand Loss Factor'!$G$54*F27</f>
        <v>844331.37247443642</v>
      </c>
      <c r="E27" s="3"/>
      <c r="F27" s="3">
        <f>('[2]GS SEC SMALL'!$S$26/'[2]GS SEC SMALL'!$I$26)*'[3]SEC &lt; 10kW'!$F$27</f>
        <v>812759.52866387856</v>
      </c>
      <c r="G27" s="3"/>
      <c r="H27" s="3">
        <f>'[1]Demand Loss Factor'!$G$54*J27</f>
        <v>355367.5418696549</v>
      </c>
      <c r="I27" s="3"/>
      <c r="J27" s="3">
        <f>('[2]GS SEC SMALL'!$S$26/'[2]GS SEC SMALL'!$I$26)*'[3]SEC &lt; 10kW'!$J$27</f>
        <v>342079.38405269507</v>
      </c>
      <c r="K27" s="3"/>
      <c r="L27" s="3">
        <f>'[1]Demand Loss Factor'!$G$54*N27</f>
        <v>346762.85614736582</v>
      </c>
      <c r="N27" s="3">
        <f>('[2]GS SEC SMALL'!$S$26/'[2]GS SEC SMALL'!$I$26)*'[3]SEC &lt; 10kW'!$N$27</f>
        <v>333796.45090589882</v>
      </c>
      <c r="O27" s="3"/>
      <c r="P27" s="3">
        <f>'[1]Demand Loss Factor'!$G$54*R27</f>
        <v>334782.15120954788</v>
      </c>
      <c r="R27" s="3">
        <f>('[2]GS SEC SMALL'!$S$26/'[2]GS SEC SMALL'!$I$26)*'[3]SEC &lt; 10kW'!$R$27</f>
        <v>322263.73707366851</v>
      </c>
      <c r="S27" s="3"/>
      <c r="T27" s="3">
        <f>'[1]Energy Loss Factor'!$G$54*V27</f>
        <v>158658568.43249655</v>
      </c>
      <c r="V27" s="3">
        <f>'[2]GS SEC SMALL'!$S$26</f>
        <v>152971499.44211939</v>
      </c>
      <c r="X27" s="13">
        <v>0.97578651759522494</v>
      </c>
      <c r="Y27" s="13"/>
      <c r="Z27" s="13">
        <v>0.70315510000000003</v>
      </c>
    </row>
    <row r="28" spans="1:26" ht="24.95" customHeight="1">
      <c r="A28" s="14">
        <v>7</v>
      </c>
      <c r="B28" s="14" t="s">
        <v>22</v>
      </c>
      <c r="D28" s="3">
        <f>'[1]Demand Loss Factor'!$G$54*F28</f>
        <v>818681.64920160209</v>
      </c>
      <c r="E28" s="3"/>
      <c r="F28" s="3">
        <f>('[2]GS SEC SMALL'!$S$28/'[2]GS SEC SMALL'!$I$28)*'[3]SEC &lt; 10kW'!$F$28</f>
        <v>788068.91822677921</v>
      </c>
      <c r="G28" s="3"/>
      <c r="H28" s="3">
        <f>'[1]Demand Loss Factor'!$G$54*J28</f>
        <v>360484.34264001396</v>
      </c>
      <c r="I28" s="3"/>
      <c r="J28" s="3">
        <f>('[2]GS SEC SMALL'!$S$28/'[2]GS SEC SMALL'!$I$28)*'[3]SEC &lt; 10kW'!$J$28</f>
        <v>347004.85374144564</v>
      </c>
      <c r="K28" s="3"/>
      <c r="L28" s="3">
        <f>'[1]Demand Loss Factor'!$G$54*N28</f>
        <v>360171.00590274105</v>
      </c>
      <c r="N28" s="3">
        <f>('[2]GS SEC SMALL'!$S$28/'[2]GS SEC SMALL'!$I$28)*'[3]SEC &lt; 10kW'!$N$28</f>
        <v>346703.23351602076</v>
      </c>
      <c r="O28" s="3"/>
      <c r="P28" s="3">
        <f>'[1]Demand Loss Factor'!$G$54*R28</f>
        <v>342367.03173044941</v>
      </c>
      <c r="R28" s="3">
        <f>('[2]GS SEC SMALL'!$S$28/'[2]GS SEC SMALL'!$I$28)*'[3]SEC &lt; 10kW'!$R$28</f>
        <v>329564.99830606033</v>
      </c>
      <c r="S28" s="3"/>
      <c r="T28" s="3">
        <f>'[1]Energy Loss Factor'!$G$54*V28</f>
        <v>185676312.72935331</v>
      </c>
      <c r="V28" s="3">
        <f>'[2]GS SEC SMALL'!$S$28</f>
        <v>179020800.76549774</v>
      </c>
      <c r="X28" s="13">
        <v>0.99913078960662138</v>
      </c>
      <c r="Y28" s="13"/>
      <c r="Z28" s="13">
        <v>0.70259611326285532</v>
      </c>
    </row>
    <row r="29" spans="1:26" ht="24.95" customHeight="1">
      <c r="A29" s="14">
        <v>8</v>
      </c>
      <c r="B29" s="14" t="s">
        <v>23</v>
      </c>
      <c r="D29" s="3">
        <f>'[1]Demand Loss Factor'!$G$54*F29</f>
        <v>836582.271253485</v>
      </c>
      <c r="E29" s="3"/>
      <c r="F29" s="3">
        <f>('[2]GS SEC SMALL'!$S$30/'[2]GS SEC SMALL'!$I$30)*'[3]SEC &lt; 10kW'!$F$29</f>
        <v>805300.18738954992</v>
      </c>
      <c r="G29" s="3"/>
      <c r="H29" s="3">
        <f>'[1]Demand Loss Factor'!$G$54*J29</f>
        <v>359856.65785694227</v>
      </c>
      <c r="I29" s="3"/>
      <c r="J29" s="3">
        <f>('[2]GS SEC SMALL'!$S$30/'[2]GS SEC SMALL'!$I$30)*'[3]SEC &lt; 10kW'!$J$29</f>
        <v>346400.63979764329</v>
      </c>
      <c r="K29" s="3"/>
      <c r="L29" s="3">
        <f>'[1]Demand Loss Factor'!$G$54*N29</f>
        <v>353794.85689940746</v>
      </c>
      <c r="N29" s="3">
        <f>('[2]GS SEC SMALL'!$S$30/'[2]GS SEC SMALL'!$I$30)*'[3]SEC &lt; 10kW'!$N$29</f>
        <v>340565.50604599604</v>
      </c>
      <c r="O29" s="3"/>
      <c r="P29" s="3">
        <f>'[1]Demand Loss Factor'!$G$54*R29</f>
        <v>344100.62854856078</v>
      </c>
      <c r="R29" s="3">
        <f>('[2]GS SEC SMALL'!$S$30/'[2]GS SEC SMALL'!$I$30)*'[3]SEC &lt; 10kW'!$R$29</f>
        <v>331233.77122948272</v>
      </c>
      <c r="S29" s="3"/>
      <c r="T29" s="3">
        <f>'[1]Energy Loss Factor'!$G$54*V29</f>
        <v>189449236.2352922</v>
      </c>
      <c r="V29" s="3">
        <f>'[2]GS SEC SMALL'!$S$30</f>
        <v>182658484.95542818</v>
      </c>
      <c r="X29" s="13">
        <v>0.98315495677185816</v>
      </c>
      <c r="Y29" s="13"/>
      <c r="Z29" s="13">
        <v>0.73389036886724845</v>
      </c>
    </row>
    <row r="30" spans="1:26" ht="24.95" customHeight="1">
      <c r="A30" s="14">
        <v>9</v>
      </c>
      <c r="B30" s="14" t="s">
        <v>24</v>
      </c>
      <c r="D30" s="3">
        <f>'[1]Demand Loss Factor'!$G$54*F30</f>
        <v>793452.35168985615</v>
      </c>
      <c r="E30" s="3"/>
      <c r="F30" s="3">
        <f>('[2]GS SEC SMALL'!$S$32/'[2]GS SEC SMALL'!$I$32)*'[3]SEC &lt; 10kW'!$F$30</f>
        <v>763783.01268939115</v>
      </c>
      <c r="G30" s="3"/>
      <c r="H30" s="3">
        <f>'[1]Demand Loss Factor'!$G$54*J30</f>
        <v>352972.73796701507</v>
      </c>
      <c r="I30" s="3"/>
      <c r="J30" s="3">
        <f>('[2]GS SEC SMALL'!$S$32/'[2]GS SEC SMALL'!$I$32)*'[3]SEC &lt; 10kW'!$J$30</f>
        <v>339774.128373935</v>
      </c>
      <c r="K30" s="3"/>
      <c r="L30" s="3">
        <f>'[1]Demand Loss Factor'!$G$54*N30</f>
        <v>346859.42919068056</v>
      </c>
      <c r="N30" s="3">
        <f>('[2]GS SEC SMALL'!$S$32/'[2]GS SEC SMALL'!$I$32)*'[3]SEC &lt; 10kW'!$N$30</f>
        <v>333889.41282076418</v>
      </c>
      <c r="O30" s="3"/>
      <c r="P30" s="3">
        <f>'[1]Demand Loss Factor'!$G$54*R30</f>
        <v>339042.27134925273</v>
      </c>
      <c r="R30" s="3">
        <f>('[2]GS SEC SMALL'!$S$32/'[2]GS SEC SMALL'!$I$32)*'[3]SEC &lt; 10kW'!$R$30</f>
        <v>326364.55974788801</v>
      </c>
      <c r="S30" s="3"/>
      <c r="T30" s="3">
        <f>'[1]Energy Loss Factor'!$G$54*V30</f>
        <v>182227459.52206767</v>
      </c>
      <c r="V30" s="3">
        <f>'[2]GS SEC SMALL'!$S$32</f>
        <v>175695570.67117283</v>
      </c>
      <c r="X30" s="13">
        <v>0.9826805072495266</v>
      </c>
      <c r="Y30" s="13"/>
      <c r="Z30" s="13">
        <v>0.67494702457822187</v>
      </c>
    </row>
    <row r="31" spans="1:26" ht="24.95" customHeight="1">
      <c r="A31" s="14">
        <v>10</v>
      </c>
      <c r="B31" s="14" t="s">
        <v>25</v>
      </c>
      <c r="D31" s="3">
        <f>'[1]Demand Loss Factor'!$G$54*F31</f>
        <v>758812.0389985689</v>
      </c>
      <c r="E31" s="3"/>
      <c r="F31" s="3">
        <f>('[2]GS SEC SMALL'!$S$34/'[2]GS SEC SMALL'!$I$34)*'[3]SEC &lt; 10kW'!$F$31</f>
        <v>730437.99539691524</v>
      </c>
      <c r="G31" s="3"/>
      <c r="H31" s="3">
        <f>'[1]Demand Loss Factor'!$G$54*J31</f>
        <v>282551.73461285833</v>
      </c>
      <c r="I31" s="3"/>
      <c r="J31" s="3">
        <f>('[2]GS SEC SMALL'!$S$34/'[2]GS SEC SMALL'!$I$34)*'[3]SEC &lt; 10kW'!$J$31</f>
        <v>271986.35764782148</v>
      </c>
      <c r="K31" s="3"/>
      <c r="L31" s="3">
        <f>'[1]Demand Loss Factor'!$G$54*N31</f>
        <v>277994.61544260161</v>
      </c>
      <c r="N31" s="3">
        <f>('[2]GS SEC SMALL'!$S$34/'[2]GS SEC SMALL'!$I$34)*'[3]SEC &lt; 10kW'!$N$31</f>
        <v>267599.64154365932</v>
      </c>
      <c r="O31" s="3"/>
      <c r="P31" s="3">
        <f>'[1]Demand Loss Factor'!$G$54*R31</f>
        <v>277994.61544260161</v>
      </c>
      <c r="R31" s="3">
        <f>('[2]GS SEC SMALL'!$S$34/'[2]GS SEC SMALL'!$I$34)*'[3]SEC &lt; 10kW'!$R$31</f>
        <v>267599.64154365932</v>
      </c>
      <c r="S31" s="3"/>
      <c r="T31" s="3">
        <f>'[1]Energy Loss Factor'!$G$54*V31</f>
        <v>161350387.49347258</v>
      </c>
      <c r="V31" s="3">
        <f>'[2]GS SEC SMALL'!$S$34</f>
        <v>155566831.05296508</v>
      </c>
      <c r="X31" s="13">
        <v>0.98387155833072237</v>
      </c>
      <c r="Y31" s="13"/>
      <c r="Z31" s="13">
        <v>0.71464465181997872</v>
      </c>
    </row>
    <row r="32" spans="1:26" ht="24.95" customHeight="1">
      <c r="A32" s="14">
        <v>11</v>
      </c>
      <c r="B32" s="14" t="s">
        <v>26</v>
      </c>
      <c r="D32" s="3">
        <f>'[1]Demand Loss Factor'!$G$54*F32</f>
        <v>789348.61456342263</v>
      </c>
      <c r="E32" s="3"/>
      <c r="F32" s="3">
        <f>('[2]GS SEC SMALL'!$S$36/'[2]GS SEC SMALL'!$I$36)*'[3]SEC &lt; 10kW'!$F$32</f>
        <v>759832.72544273129</v>
      </c>
      <c r="G32" s="3"/>
      <c r="H32" s="3">
        <f>'[1]Demand Loss Factor'!$G$54*J32</f>
        <v>231923.15825035083</v>
      </c>
      <c r="I32" s="3"/>
      <c r="J32" s="3">
        <f>('[2]GS SEC SMALL'!$S$36/'[2]GS SEC SMALL'!$I$36)*'[3]SEC &lt; 10kW'!$J$32</f>
        <v>223250.92129808353</v>
      </c>
      <c r="K32" s="3"/>
      <c r="L32" s="3">
        <f>'[1]Demand Loss Factor'!$G$54*N32</f>
        <v>200024.64705765044</v>
      </c>
      <c r="N32" s="3">
        <f>('[2]GS SEC SMALL'!$S$36/'[2]GS SEC SMALL'!$I$36)*'[3]SEC &lt; 10kW'!$N$32</f>
        <v>192545.18209751442</v>
      </c>
      <c r="O32" s="3"/>
      <c r="P32" s="3">
        <f>'[1]Demand Loss Factor'!$G$54*R32</f>
        <v>214911.42864951314</v>
      </c>
      <c r="R32" s="3">
        <f>('[2]GS SEC SMALL'!$S$36/'[2]GS SEC SMALL'!$I$36)*'[3]SEC &lt; 10kW'!$R$32</f>
        <v>206875.30648276076</v>
      </c>
      <c r="S32" s="3"/>
      <c r="T32" s="3">
        <f>'[1]Energy Loss Factor'!$G$54*V32</f>
        <v>140652170.98520798</v>
      </c>
      <c r="V32" s="3">
        <f>'[2]GS SEC SMALL'!$S$36</f>
        <v>135610535.93238995</v>
      </c>
      <c r="X32" s="13">
        <v>0.86246086232463537</v>
      </c>
      <c r="Y32" s="13"/>
      <c r="Z32" s="13">
        <v>0.82148285284980416</v>
      </c>
    </row>
    <row r="33" spans="1:26" ht="24.95" customHeight="1" thickBot="1">
      <c r="A33" s="14">
        <v>12</v>
      </c>
      <c r="B33" s="14" t="s">
        <v>27</v>
      </c>
      <c r="D33" s="3">
        <f>'[1]Demand Loss Factor'!$G$54*F33</f>
        <v>853525.02144218003</v>
      </c>
      <c r="E33" s="3"/>
      <c r="F33" s="3">
        <f>('[2]GS SEC SMALL'!$S$38/'[2]GS SEC SMALL'!$I$38)*'[3]SEC &lt; 10kW'!$F$33</f>
        <v>821609.40212034632</v>
      </c>
      <c r="G33" s="3"/>
      <c r="H33" s="3">
        <f>'[1]Demand Loss Factor'!$G$54*J33</f>
        <v>257011.0599051035</v>
      </c>
      <c r="I33" s="3"/>
      <c r="J33" s="3">
        <f>('[2]GS SEC SMALL'!$S$38/'[2]GS SEC SMALL'!$I$38)*'[3]SEC &lt; 10kW'!$J$33</f>
        <v>247400.71815370125</v>
      </c>
      <c r="K33" s="3"/>
      <c r="L33" s="3">
        <f>'[1]Demand Loss Factor'!$G$54*N33</f>
        <v>229779.05652782554</v>
      </c>
      <c r="N33" s="3">
        <f>('[2]GS SEC SMALL'!$S$38/'[2]GS SEC SMALL'!$I$38)*'[3]SEC &lt; 10kW'!$N$33</f>
        <v>221186.99336384132</v>
      </c>
      <c r="O33" s="3"/>
      <c r="P33" s="3">
        <f>'[1]Demand Loss Factor'!$G$54*R33</f>
        <v>245802.6023558754</v>
      </c>
      <c r="Q33" s="15"/>
      <c r="R33" s="3">
        <f>('[2]GS SEC SMALL'!$S$38/'[2]GS SEC SMALL'!$I$38)*'[3]SEC &lt; 10kW'!$R$33</f>
        <v>236611.37528223812</v>
      </c>
      <c r="S33" s="3"/>
      <c r="T33" s="16">
        <f>'[1]Energy Loss Factor'!$G$54*V33</f>
        <v>149922171.55496123</v>
      </c>
      <c r="V33" s="16">
        <f>'[2]GS SEC SMALL'!$S$38</f>
        <v>144548256.10088992</v>
      </c>
      <c r="X33" s="13">
        <v>0.89404345716743516</v>
      </c>
      <c r="Y33" s="13"/>
      <c r="Z33" s="13">
        <v>0.79498504151062155</v>
      </c>
    </row>
    <row r="34" spans="1:22" ht="24.95" customHeight="1" thickTop="1">
      <c r="A34" s="14">
        <v>13</v>
      </c>
      <c r="E34" s="3"/>
      <c r="G34" s="3"/>
      <c r="I34" s="3"/>
      <c r="K34" s="3"/>
      <c r="O34" s="3"/>
      <c r="S34" s="3"/>
      <c r="T34" s="15">
        <f>+SUM(T22:T33)</f>
        <v>1949367341.8492727</v>
      </c>
      <c r="U34" s="15"/>
      <c r="V34" s="15">
        <f>SUM(V22:V33)</f>
        <v>1879492851.8030469</v>
      </c>
    </row>
    <row r="35" spans="1:22" ht="24.95" customHeight="1">
      <c r="A35" s="14"/>
      <c r="E35" s="3"/>
      <c r="G35" s="3"/>
      <c r="I35" s="3"/>
      <c r="K35" s="3"/>
      <c r="O35" s="3"/>
      <c r="S35" s="3"/>
      <c r="T35" s="15"/>
      <c r="U35" s="15"/>
      <c r="V35" s="15"/>
    </row>
    <row r="36" spans="1:22" ht="18.75" customHeight="1">
      <c r="A36" s="14"/>
      <c r="E36" s="3"/>
      <c r="G36" s="3"/>
      <c r="I36" s="3"/>
      <c r="K36" s="3"/>
      <c r="O36" s="3"/>
      <c r="S36" s="3"/>
      <c r="T36" s="15"/>
      <c r="U36" s="15"/>
      <c r="V36" s="15"/>
    </row>
    <row r="37" spans="1:19" ht="15" customHeight="1">
      <c r="A37" s="2" t="s">
        <v>55</v>
      </c>
      <c r="E37" s="3"/>
      <c r="G37" s="3"/>
      <c r="I37" s="3"/>
      <c r="K37" s="3"/>
      <c r="O37" s="3"/>
      <c r="S37" s="3"/>
    </row>
    <row r="38" spans="1:19" ht="15" customHeight="1">
      <c r="A38" s="2" t="s">
        <v>28</v>
      </c>
      <c r="E38" s="3"/>
      <c r="G38" s="3"/>
      <c r="I38" s="3"/>
      <c r="K38" s="3"/>
      <c r="O38" s="3"/>
      <c r="S38" s="3"/>
    </row>
    <row r="39" spans="1:19" ht="15" customHeight="1">
      <c r="A39" s="4" t="s">
        <v>29</v>
      </c>
      <c r="E39" s="3"/>
      <c r="G39" s="3"/>
      <c r="I39" s="3"/>
      <c r="K39" s="3"/>
      <c r="O39" s="3"/>
      <c r="S39" s="3"/>
    </row>
  </sheetData>
  <pageMargins left="0.5" right="1" top="1.5" bottom="0.5" header="0.5" footer="0.5"/>
  <pageSetup orientation="landscape" scale="5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A1:Z39"/>
  <sheetViews>
    <sheetView zoomScale="75" zoomScaleNormal="75" workbookViewId="0" topLeftCell="A1">
      <selection pane="topLeft" activeCell="D31" sqref="D31"/>
    </sheetView>
  </sheetViews>
  <sheetFormatPr defaultColWidth="9.14428571428571" defaultRowHeight="18.75" customHeight="1"/>
  <cols>
    <col min="1" max="1" width="4.71428571428571" style="2" customWidth="1"/>
    <col min="2" max="3" width="7.71428571428571" style="2" customWidth="1"/>
    <col min="4" max="4" width="20.5714285714286" style="3" customWidth="1"/>
    <col min="5" max="5" width="2.71428571428571" style="2" customWidth="1"/>
    <col min="6" max="6" width="20.8571428571429" style="3" customWidth="1"/>
    <col min="7" max="7" width="4.14285714285714" style="2" customWidth="1"/>
    <col min="8" max="8" width="13.8571428571429" style="3" customWidth="1"/>
    <col min="9" max="9" width="2.71428571428571" style="2" customWidth="1"/>
    <col min="10" max="10" width="14.8571428571429" style="3" customWidth="1"/>
    <col min="11" max="11" width="4.42857142857143" style="2" customWidth="1"/>
    <col min="12" max="12" width="13.7142857142857" style="3" customWidth="1"/>
    <col min="13" max="13" width="2.71428571428571" style="3" customWidth="1"/>
    <col min="14" max="14" width="13.2857142857143" style="3" customWidth="1"/>
    <col min="15" max="15" width="5" style="2" customWidth="1"/>
    <col min="16" max="16" width="14" style="3" customWidth="1"/>
    <col min="17" max="17" width="2.71428571428571" style="3" customWidth="1"/>
    <col min="18" max="18" width="15.8571428571429" style="3" customWidth="1"/>
    <col min="19" max="19" width="5.71428571428571" style="2" customWidth="1"/>
    <col min="20" max="20" width="21.1428571428571" style="3" customWidth="1"/>
    <col min="21" max="21" width="2.71428571428571" style="3" customWidth="1"/>
    <col min="22" max="22" width="20.5714285714286" style="3" customWidth="1"/>
    <col min="23" max="23" width="3.71428571428571" style="2" customWidth="1"/>
    <col min="24" max="24" width="9.85714285714286" style="2" customWidth="1"/>
    <col min="25" max="25" width="1.71428571428571" style="2" customWidth="1"/>
    <col min="26" max="26" width="9.71428571428571" style="2" customWidth="1"/>
    <col min="27" max="16384" width="9.14285714285714" style="2"/>
  </cols>
  <sheetData>
    <row r="1" spans="1:22" ht="18.75" customHeight="1">
      <c r="A1" s="6"/>
      <c r="V1" s="2" t="s">
        <v>63</v>
      </c>
    </row>
    <row r="2" spans="22:22" ht="18.75" customHeight="1">
      <c r="V2" s="2" t="s">
        <v>69</v>
      </c>
    </row>
    <row r="7" spans="1:26" ht="18.75" customHeight="1">
      <c r="A7" s="7" t="s">
        <v>77</v>
      </c>
      <c r="B7" s="8"/>
      <c r="C7" s="8"/>
      <c r="D7" s="8"/>
      <c r="E7" s="8"/>
      <c r="F7" s="9"/>
      <c r="G7" s="8"/>
      <c r="H7" s="8"/>
      <c r="I7" s="8"/>
      <c r="J7" s="10"/>
      <c r="K7" s="7"/>
      <c r="L7" s="7"/>
      <c r="M7" s="8"/>
      <c r="N7" s="7"/>
      <c r="O7" s="9"/>
      <c r="P7" s="8"/>
      <c r="Q7" s="8"/>
      <c r="R7" s="9"/>
      <c r="S7" s="8"/>
      <c r="T7" s="8"/>
      <c r="U7" s="8"/>
      <c r="V7" s="8"/>
      <c r="W7" s="8"/>
      <c r="X7" s="8"/>
      <c r="Y7" s="8"/>
      <c r="Z7" s="8"/>
    </row>
    <row r="8" spans="1:26" ht="18" customHeight="1">
      <c r="A8" s="7" t="s">
        <v>40</v>
      </c>
      <c r="B8" s="8"/>
      <c r="C8" s="8"/>
      <c r="D8" s="8"/>
      <c r="E8" s="8"/>
      <c r="F8" s="9"/>
      <c r="G8" s="8"/>
      <c r="H8" s="8"/>
      <c r="I8" s="8"/>
      <c r="J8" s="10"/>
      <c r="K8" s="7"/>
      <c r="L8" s="10"/>
      <c r="M8" s="9"/>
      <c r="N8" s="7"/>
      <c r="O8" s="10"/>
      <c r="P8" s="8"/>
      <c r="Q8" s="8"/>
      <c r="R8" s="10"/>
      <c r="S8" s="7"/>
      <c r="T8" s="8"/>
      <c r="U8" s="8"/>
      <c r="V8" s="8"/>
      <c r="W8" s="8"/>
      <c r="X8" s="8"/>
      <c r="Y8" s="8"/>
      <c r="Z8" s="8"/>
    </row>
    <row r="9" spans="1:26" ht="18" customHeight="1">
      <c r="A9" s="7" t="s">
        <v>45</v>
      </c>
      <c r="B9" s="8"/>
      <c r="C9" s="8"/>
      <c r="D9" s="8"/>
      <c r="E9" s="8"/>
      <c r="F9" s="9"/>
      <c r="G9" s="7"/>
      <c r="H9" s="8"/>
      <c r="I9" s="8"/>
      <c r="J9" s="10"/>
      <c r="K9" s="7"/>
      <c r="L9" s="7"/>
      <c r="M9" s="9"/>
      <c r="N9" s="9"/>
      <c r="O9" s="9"/>
      <c r="P9" s="8"/>
      <c r="Q9" s="7"/>
      <c r="R9" s="10"/>
      <c r="S9" s="7"/>
      <c r="T9" s="8"/>
      <c r="U9" s="8"/>
      <c r="V9" s="8"/>
      <c r="W9" s="8"/>
      <c r="X9" s="8"/>
      <c r="Y9" s="8"/>
      <c r="Z9" s="8"/>
    </row>
    <row r="10" spans="1:26" ht="18" customHeight="1">
      <c r="A10" s="7" t="s">
        <v>79</v>
      </c>
      <c r="B10" s="8"/>
      <c r="C10" s="8"/>
      <c r="D10" s="8"/>
      <c r="E10" s="8"/>
      <c r="F10" s="8"/>
      <c r="G10" s="7"/>
      <c r="H10" s="8"/>
      <c r="I10" s="8"/>
      <c r="J10" s="7"/>
      <c r="K10" s="7"/>
      <c r="L10" s="10"/>
      <c r="M10" s="9"/>
      <c r="N10" s="9"/>
      <c r="O10" s="9"/>
      <c r="P10" s="8"/>
      <c r="Q10" s="7"/>
      <c r="R10" s="10"/>
      <c r="S10" s="7"/>
      <c r="T10" s="8"/>
      <c r="U10" s="8"/>
      <c r="V10" s="8"/>
      <c r="W10" s="8"/>
      <c r="X10" s="8"/>
      <c r="Y10" s="8"/>
      <c r="Z10" s="8"/>
    </row>
    <row r="11" spans="1:26" ht="18" customHeight="1">
      <c r="A11" s="8"/>
      <c r="B11" s="8"/>
      <c r="C11" s="8"/>
      <c r="D11" s="8"/>
      <c r="E11" s="8"/>
      <c r="F11" s="9"/>
      <c r="G11" s="8"/>
      <c r="H11" s="8"/>
      <c r="I11" s="8"/>
      <c r="J11" s="10"/>
      <c r="K11" s="7"/>
      <c r="L11" s="10"/>
      <c r="M11" s="9"/>
      <c r="N11" s="9"/>
      <c r="O11" s="9"/>
      <c r="P11" s="8"/>
      <c r="Q11" s="8"/>
      <c r="R11" s="9"/>
      <c r="S11" s="8"/>
      <c r="T11" s="8"/>
      <c r="U11" s="8"/>
      <c r="V11" s="8"/>
      <c r="W11" s="8"/>
      <c r="X11" s="8"/>
      <c r="Y11" s="8"/>
      <c r="Z11" s="8"/>
    </row>
    <row r="12" spans="1:26" ht="18.75" customHeight="1">
      <c r="A12" s="7" t="s">
        <v>43</v>
      </c>
      <c r="B12" s="8"/>
      <c r="C12" s="8"/>
      <c r="D12" s="8"/>
      <c r="E12" s="8"/>
      <c r="F12" s="9"/>
      <c r="G12" s="8"/>
      <c r="H12" s="8"/>
      <c r="I12" s="8"/>
      <c r="J12" s="10"/>
      <c r="K12" s="7"/>
      <c r="L12" s="10"/>
      <c r="M12" s="9"/>
      <c r="N12" s="10"/>
      <c r="O12" s="10"/>
      <c r="P12" s="8"/>
      <c r="Q12" s="8"/>
      <c r="R12" s="9"/>
      <c r="S12" s="8"/>
      <c r="T12" s="8"/>
      <c r="U12" s="8"/>
      <c r="V12" s="8"/>
      <c r="W12" s="8"/>
      <c r="X12" s="8"/>
      <c r="Y12" s="8"/>
      <c r="Z12" s="8"/>
    </row>
    <row r="13" spans="1:26" ht="18.75" customHeight="1">
      <c r="A13" s="8"/>
      <c r="B13" s="8"/>
      <c r="C13" s="8"/>
      <c r="D13" s="8"/>
      <c r="E13" s="8"/>
      <c r="F13" s="9"/>
      <c r="G13" s="8"/>
      <c r="H13" s="8"/>
      <c r="I13" s="8"/>
      <c r="J13" s="9"/>
      <c r="K13" s="8"/>
      <c r="L13" s="8"/>
      <c r="M13" s="9"/>
      <c r="N13" s="8"/>
      <c r="O13" s="10"/>
      <c r="P13" s="8"/>
      <c r="Q13" s="8"/>
      <c r="R13" s="9"/>
      <c r="S13" s="8"/>
      <c r="T13" s="8"/>
      <c r="U13" s="8"/>
      <c r="V13" s="8"/>
      <c r="W13" s="8"/>
      <c r="X13" s="8"/>
      <c r="Y13" s="8"/>
      <c r="Z13" s="8"/>
    </row>
    <row r="14" spans="1:1" ht="18.75" customHeight="1">
      <c r="A14" s="2" t="s">
        <v>31</v>
      </c>
    </row>
    <row r="15" spans="1:1" ht="18.75" customHeight="1">
      <c r="A15" s="2" t="s">
        <v>1</v>
      </c>
    </row>
    <row r="17" spans="4:26" ht="15" customHeight="1">
      <c r="D17" s="4" t="s">
        <v>48</v>
      </c>
      <c r="E17" s="4"/>
      <c r="F17" s="4" t="s">
        <v>49</v>
      </c>
      <c r="G17" s="4"/>
      <c r="H17" s="4" t="s">
        <v>62</v>
      </c>
      <c r="I17" s="4"/>
      <c r="J17" s="4" t="s">
        <v>38</v>
      </c>
      <c r="K17" s="4"/>
      <c r="L17" s="4" t="s">
        <v>67</v>
      </c>
      <c r="M17" s="4"/>
      <c r="N17" s="4" t="s">
        <v>44</v>
      </c>
      <c r="O17" s="4"/>
      <c r="P17" s="4" t="s">
        <v>65</v>
      </c>
      <c r="Q17" s="4"/>
      <c r="R17" s="4" t="s">
        <v>66</v>
      </c>
      <c r="S17" s="4"/>
      <c r="T17" s="4" t="s">
        <v>61</v>
      </c>
      <c r="U17" s="4"/>
      <c r="V17" s="4" t="s">
        <v>54</v>
      </c>
      <c r="W17" s="4"/>
      <c r="X17" s="4" t="s">
        <v>57</v>
      </c>
      <c r="Y17" s="4"/>
      <c r="Z17" s="4" t="s">
        <v>58</v>
      </c>
    </row>
    <row r="18" spans="4:6" s="4" customFormat="1" ht="18.75" customHeight="1">
      <c r="D18" s="4" t="s">
        <v>50</v>
      </c>
      <c r="F18" s="4" t="s">
        <v>50</v>
      </c>
    </row>
    <row r="19" spans="1:24" ht="18.75" customHeight="1">
      <c r="A19" s="2" t="s">
        <v>2</v>
      </c>
      <c r="D19" s="3" t="s">
        <v>52</v>
      </c>
      <c r="F19" s="3" t="s">
        <v>52</v>
      </c>
      <c r="H19" s="3" t="s">
        <v>6</v>
      </c>
      <c r="I19" s="3"/>
      <c r="J19" s="3" t="s">
        <v>56</v>
      </c>
      <c r="L19" s="3" t="s">
        <v>4</v>
      </c>
      <c r="M19" s="2" t="s">
        <v>5</v>
      </c>
      <c r="N19" s="3" t="s">
        <v>4</v>
      </c>
      <c r="P19" s="3" t="s">
        <v>3</v>
      </c>
      <c r="R19" s="3" t="s">
        <v>3</v>
      </c>
      <c r="T19" s="3" t="s">
        <v>7</v>
      </c>
      <c r="V19" s="3" t="s">
        <v>8</v>
      </c>
      <c r="X19" s="2" t="s">
        <v>59</v>
      </c>
    </row>
    <row r="20" spans="1:26" ht="18.75" customHeight="1">
      <c r="A20" s="11" t="s">
        <v>9</v>
      </c>
      <c r="B20" s="11" t="s">
        <v>10</v>
      </c>
      <c r="D20" s="5" t="s">
        <v>51</v>
      </c>
      <c r="F20" s="5" t="s">
        <v>53</v>
      </c>
      <c r="H20" s="5" t="s">
        <v>11</v>
      </c>
      <c r="I20" s="3"/>
      <c r="J20" s="5" t="s">
        <v>12</v>
      </c>
      <c r="L20" s="5" t="s">
        <v>11</v>
      </c>
      <c r="M20" s="2"/>
      <c r="N20" s="5" t="s">
        <v>12</v>
      </c>
      <c r="P20" s="5" t="s">
        <v>11</v>
      </c>
      <c r="R20" s="5" t="s">
        <v>12</v>
      </c>
      <c r="T20" s="5" t="s">
        <v>13</v>
      </c>
      <c r="V20" s="5" t="s">
        <v>14</v>
      </c>
      <c r="X20" s="12" t="s">
        <v>15</v>
      </c>
      <c r="Z20" s="12" t="s">
        <v>60</v>
      </c>
    </row>
    <row r="21" spans="4:22" ht="18" customHeight="1">
      <c r="D21" s="2"/>
      <c r="F21" s="2"/>
      <c r="H21" s="2"/>
      <c r="J21" s="2"/>
      <c r="L21" s="2"/>
      <c r="M21" s="2"/>
      <c r="N21" s="2"/>
      <c r="P21" s="2"/>
      <c r="Q21" s="2"/>
      <c r="R21" s="2"/>
      <c r="T21" s="2"/>
      <c r="U21" s="2"/>
      <c r="V21" s="2"/>
    </row>
    <row r="22" spans="1:26" ht="24.95" customHeight="1">
      <c r="A22" s="14">
        <v>1</v>
      </c>
      <c r="B22" s="14" t="s">
        <v>16</v>
      </c>
      <c r="D22" s="3">
        <f>'[1]Demand Loss Factor'!$G$54*F22</f>
        <v>11045481.561689289</v>
      </c>
      <c r="E22" s="3"/>
      <c r="F22" s="3">
        <f>(('[2]GS SEC LRG NONIDR'!$S$16+'[2]GS SEC LRG IDR '!$S$16)/('[2]GS SEC LRG NONIDR'!$I$16+'[2]GS SEC LRG IDR '!$I$16))*'[3]SEC &gt; 10kW '!$F$22</f>
        <v>10632460.998854987</v>
      </c>
      <c r="G22" s="3"/>
      <c r="H22" s="3">
        <f>'[1]Demand Loss Factor'!$G$54*J22</f>
        <v>6701402.1423603753</v>
      </c>
      <c r="I22" s="3"/>
      <c r="J22" s="3">
        <f>(('[2]GS SEC LRG NONIDR'!$S$16+'[2]GS SEC LRG IDR '!$S$16)/('[2]GS SEC LRG NONIDR'!$I$16+'[2]GS SEC LRG IDR '!$I$16))*'[3]SEC &gt; 10kW '!$J$22</f>
        <v>6450818.5105686467</v>
      </c>
      <c r="K22" s="3"/>
      <c r="L22" s="3">
        <f>'[1]Demand Loss Factor'!$G$54*N22</f>
        <v>6621083.6094596982</v>
      </c>
      <c r="N22" s="3">
        <f>(('[2]GS SEC LRG NONIDR'!$S$16+'[2]GS SEC LRG IDR '!$S$16)/('[2]GS SEC LRG NONIDR'!$I$16+'[2]GS SEC LRG IDR '!$I$16))*'[3]SEC &gt; 10kW '!$N$22</f>
        <v>6373503.3058143603</v>
      </c>
      <c r="O22" s="3"/>
      <c r="P22" s="3">
        <f>'[1]Demand Loss Factor'!$G$54*R22</f>
        <v>6573669.2831254443</v>
      </c>
      <c r="R22" s="3">
        <f>(('[2]GS SEC LRG NONIDR'!$S$16+'[2]GS SEC LRG IDR '!$S$16)/('[2]GS SEC LRG NONIDR'!$I$16+'[2]GS SEC LRG IDR '!$I$16))*'[3]SEC &gt; 10kW '!$R$22</f>
        <v>6327861.9299521716</v>
      </c>
      <c r="S22" s="3"/>
      <c r="T22" s="3">
        <f>'[1]Energy Loss Factor'!$G$54*V22</f>
        <v>3598168584.2369046</v>
      </c>
      <c r="V22" s="3">
        <f>'[2]GS SEC LRG NONIDR'!$S$16+'[2]GS SEC LRG IDR '!$S$16</f>
        <v>3469193306.1934166</v>
      </c>
      <c r="X22" s="13">
        <v>0.98801466749876499</v>
      </c>
      <c r="Y22" s="13"/>
      <c r="Z22" s="13">
        <v>0.73971179633780559</v>
      </c>
    </row>
    <row r="23" spans="1:26" ht="24.95" customHeight="1">
      <c r="A23" s="14">
        <v>2</v>
      </c>
      <c r="B23" s="14" t="s">
        <v>17</v>
      </c>
      <c r="D23" s="3">
        <f>'[1]Demand Loss Factor'!$G$54*F23</f>
        <v>12446842.105280194</v>
      </c>
      <c r="E23" s="3"/>
      <c r="F23" s="3">
        <f>(('[2]GS SEC LRG NONIDR'!$S$18+'[2]GS SEC LRG IDR '!$S$18)/('[2]GS SEC LRG NONIDR'!$I$18+'[2]GS SEC LRG IDR '!$I$18))*'[3]SEC &gt; 10kW '!$F$23</f>
        <v>11981420.864646999</v>
      </c>
      <c r="G23" s="3"/>
      <c r="H23" s="3">
        <f>'[1]Demand Loss Factor'!$G$54*J23</f>
        <v>7317948.5040126387</v>
      </c>
      <c r="I23" s="3"/>
      <c r="J23" s="3">
        <f>(('[2]GS SEC LRG NONIDR'!$S$18+'[2]GS SEC LRG IDR '!$S$18)/('[2]GS SEC LRG NONIDR'!$I$18+'[2]GS SEC LRG IDR '!$I$18))*'[3]SEC &gt; 10kW '!$J$23</f>
        <v>7044310.528788181</v>
      </c>
      <c r="K23" s="3"/>
      <c r="L23" s="3">
        <f>'[1]Demand Loss Factor'!$G$54*N23</f>
        <v>6172618.6286114445</v>
      </c>
      <c r="N23" s="3">
        <f>(('[2]GS SEC LRG NONIDR'!$S$18+'[2]GS SEC LRG IDR '!$S$18)/('[2]GS SEC LRG NONIDR'!$I$18+'[2]GS SEC LRG IDR '!$I$18))*'[3]SEC &gt; 10kW '!$N$23</f>
        <v>5941807.6489441451</v>
      </c>
      <c r="O23" s="3"/>
      <c r="P23" s="3">
        <f>'[1]Demand Loss Factor'!$G$54*R23</f>
        <v>6181427.236381419</v>
      </c>
      <c r="R23" s="3">
        <f>(('[2]GS SEC LRG NONIDR'!$S$18+'[2]GS SEC LRG IDR '!$S$18)/('[2]GS SEC LRG NONIDR'!$I$18+'[2]GS SEC LRG IDR '!$I$18))*'[3]SEC &gt; 10kW '!$R$23</f>
        <v>5950286.8789392691</v>
      </c>
      <c r="S23" s="3"/>
      <c r="T23" s="3">
        <f>'[1]Energy Loss Factor'!$G$54*V23</f>
        <v>3493771853.3312125</v>
      </c>
      <c r="V23" s="3">
        <f>'[2]GS SEC LRG NONIDR'!$S$18+'[2]GS SEC LRG IDR '!$S$18</f>
        <v>3368538644.9212542</v>
      </c>
      <c r="X23" s="13">
        <v>0.84349030677475012</v>
      </c>
      <c r="Y23" s="13"/>
      <c r="Z23" s="13">
        <v>0.69983834379990095</v>
      </c>
    </row>
    <row r="24" spans="1:26" ht="24.95" customHeight="1">
      <c r="A24" s="14">
        <v>3</v>
      </c>
      <c r="B24" s="14" t="s">
        <v>18</v>
      </c>
      <c r="D24" s="3">
        <f>'[1]Demand Loss Factor'!$G$54*F24</f>
        <v>10280803.914122237</v>
      </c>
      <c r="E24" s="3"/>
      <c r="F24" s="3">
        <f>(('[2]GS SEC LRG NONIDR'!$S$20+'[2]GS SEC LRG IDR '!$S$20)/('[2]GS SEC LRG NONIDR'!$I$20+'[2]GS SEC LRG IDR '!$I$20))*'[3]SEC &gt; 10kW '!$F$24</f>
        <v>9896376.7259290535</v>
      </c>
      <c r="G24" s="3"/>
      <c r="H24" s="3">
        <f>'[1]Demand Loss Factor'!$G$54*J24</f>
        <v>5868274.064170979</v>
      </c>
      <c r="I24" s="3"/>
      <c r="J24" s="3">
        <f>(('[2]GS SEC LRG NONIDR'!$S$20+'[2]GS SEC LRG IDR '!$S$20)/('[2]GS SEC LRG NONIDR'!$I$20+'[2]GS SEC LRG IDR '!$I$20))*'[3]SEC &gt; 10kW '!$J$24</f>
        <v>5648843.3545805179</v>
      </c>
      <c r="K24" s="3"/>
      <c r="L24" s="3">
        <f>'[1]Demand Loss Factor'!$G$54*N24</f>
        <v>5290102.3911252059</v>
      </c>
      <c r="N24" s="3">
        <f>(('[2]GS SEC LRG NONIDR'!$S$20+'[2]GS SEC LRG IDR '!$S$20)/('[2]GS SEC LRG NONIDR'!$I$20+'[2]GS SEC LRG IDR '!$I$20))*'[3]SEC &gt; 10kW '!$N$24</f>
        <v>5092291.0911080195</v>
      </c>
      <c r="O24" s="3"/>
      <c r="P24" s="3">
        <f>'[1]Demand Loss Factor'!$G$54*R24</f>
        <v>4689476.0766400266</v>
      </c>
      <c r="R24" s="3">
        <f>(('[2]GS SEC LRG NONIDR'!$S$20+'[2]GS SEC LRG IDR '!$S$20)/('[2]GS SEC LRG NONIDR'!$I$20+'[2]GS SEC LRG IDR '!$I$20))*'[3]SEC &gt; 10kW '!$R$24</f>
        <v>4514123.8262420241</v>
      </c>
      <c r="S24" s="3"/>
      <c r="T24" s="3">
        <f>'[1]Energy Loss Factor'!$G$54*V24</f>
        <v>3550730777.3845291</v>
      </c>
      <c r="V24" s="3">
        <f>'[2]GS SEC LRG NONIDR'!$S$20+'[2]GS SEC LRG IDR '!$S$20</f>
        <v>3423455893.356864</v>
      </c>
      <c r="X24" s="13">
        <v>0.90147500496341393</v>
      </c>
      <c r="Y24" s="13"/>
      <c r="Z24" s="13">
        <v>0.76356895233467414</v>
      </c>
    </row>
    <row r="25" spans="1:26" ht="24.95" customHeight="1">
      <c r="A25" s="14">
        <v>4</v>
      </c>
      <c r="B25" s="14" t="s">
        <v>19</v>
      </c>
      <c r="D25" s="3">
        <f>'[1]Demand Loss Factor'!$G$54*F25</f>
        <v>11134769.550399216</v>
      </c>
      <c r="E25" s="3"/>
      <c r="F25" s="3">
        <f>(('[2]GS SEC LRG NONIDR'!$S$22+'[2]GS SEC LRG IDR '!$S$22)/('[2]GS SEC LRG NONIDR'!$I$22+'[2]GS SEC LRG IDR '!$I$22))*'[3]SEC &gt; 10kW '!$F$25</f>
        <v>10718410.267098509</v>
      </c>
      <c r="G25" s="3"/>
      <c r="H25" s="3">
        <f>'[1]Demand Loss Factor'!$G$54*J25</f>
        <v>7041668.669356361</v>
      </c>
      <c r="I25" s="3"/>
      <c r="J25" s="3">
        <f>(('[2]GS SEC LRG NONIDR'!$S$22+'[2]GS SEC LRG IDR '!$S$22)/('[2]GS SEC LRG NONIDR'!$I$22+'[2]GS SEC LRG IDR '!$I$22))*'[3]SEC &gt; 10kW '!$J$25</f>
        <v>6778361.5477187028</v>
      </c>
      <c r="K25" s="3"/>
      <c r="L25" s="3">
        <f>'[1]Demand Loss Factor'!$G$54*N25</f>
        <v>6140945.0173459304</v>
      </c>
      <c r="N25" s="3">
        <f>(('[2]GS SEC LRG NONIDR'!$S$22+'[2]GS SEC LRG IDR '!$S$22)/('[2]GS SEC LRG NONIDR'!$I$22+'[2]GS SEC LRG IDR '!$I$22))*'[3]SEC &gt; 10kW '!$N$25</f>
        <v>5911318.4000514997</v>
      </c>
      <c r="O25" s="3"/>
      <c r="P25" s="3">
        <f>'[1]Demand Loss Factor'!$G$54*R25</f>
        <v>6545420.1657703677</v>
      </c>
      <c r="R25" s="3">
        <f>(('[2]GS SEC LRG NONIDR'!$S$22+'[2]GS SEC LRG IDR '!$S$22)/('[2]GS SEC LRG NONIDR'!$I$22+'[2]GS SEC LRG IDR '!$I$22))*'[3]SEC &gt; 10kW '!$R$25</f>
        <v>6300669.1238393346</v>
      </c>
      <c r="S25" s="3"/>
      <c r="T25" s="3">
        <f>'[1]Energy Loss Factor'!$G$54*V25</f>
        <v>3371383295.6467915</v>
      </c>
      <c r="V25" s="3">
        <f>'[2]GS SEC LRG NONIDR'!$S$22+'[2]GS SEC LRG IDR '!$S$22</f>
        <v>3250537068.52666</v>
      </c>
      <c r="X25" s="13">
        <v>0.8720866183423025</v>
      </c>
      <c r="Y25" s="13"/>
      <c r="Z25" s="13">
        <v>0.69361976194235697</v>
      </c>
    </row>
    <row r="26" spans="1:26" ht="24.95" customHeight="1">
      <c r="A26" s="14">
        <v>5</v>
      </c>
      <c r="B26" s="14" t="s">
        <v>20</v>
      </c>
      <c r="D26" s="3">
        <f>'[1]Demand Loss Factor'!$G$54*F26</f>
        <v>11989309.366110737</v>
      </c>
      <c r="E26" s="3"/>
      <c r="F26" s="3">
        <f>(('[2]GS SEC LRG NONIDR'!$S$24+'[2]GS SEC LRG IDR '!$S$24)/('[2]GS SEC LRG NONIDR'!$I$24+'[2]GS SEC LRG IDR '!$I$24))*'[3]SEC &gt; 10kW '!$F$26</f>
        <v>11540996.517573575</v>
      </c>
      <c r="G26" s="3"/>
      <c r="H26" s="3">
        <f>'[1]Demand Loss Factor'!$G$54*J26</f>
        <v>8185384.253489485</v>
      </c>
      <c r="I26" s="3"/>
      <c r="J26" s="3">
        <f>(('[2]GS SEC LRG NONIDR'!$S$24+'[2]GS SEC LRG IDR '!$S$24)/('[2]GS SEC LRG NONIDR'!$I$24+'[2]GS SEC LRG IDR '!$I$24))*'[3]SEC &gt; 10kW '!$J$26</f>
        <v>7879310.4990307242</v>
      </c>
      <c r="K26" s="3"/>
      <c r="L26" s="3">
        <f>'[1]Demand Loss Factor'!$G$54*N26</f>
        <v>7765012.2714459207</v>
      </c>
      <c r="N26" s="3">
        <f>(('[2]GS SEC LRG NONIDR'!$S$24+'[2]GS SEC LRG IDR '!$S$24)/('[2]GS SEC LRG NONIDR'!$I$24+'[2]GS SEC LRG IDR '!$I$24))*'[3]SEC &gt; 10kW '!$N$26</f>
        <v>7474657.3674196843</v>
      </c>
      <c r="O26" s="3"/>
      <c r="P26" s="3">
        <f>'[1]Demand Loss Factor'!$G$54*R26</f>
        <v>7765012.2714459207</v>
      </c>
      <c r="R26" s="3">
        <f>(('[2]GS SEC LRG NONIDR'!$S$24+'[2]GS SEC LRG IDR '!$S$24)/('[2]GS SEC LRG NONIDR'!$I$24+'[2]GS SEC LRG IDR '!$I$24))*'[3]SEC &gt; 10kW '!$R$26</f>
        <v>7474657.3674196843</v>
      </c>
      <c r="S26" s="3"/>
      <c r="T26" s="3">
        <f>'[1]Energy Loss Factor'!$G$54*V26</f>
        <v>3730588491.6156073</v>
      </c>
      <c r="V26" s="3">
        <f>'[2]GS SEC LRG NONIDR'!$S$24+'[2]GS SEC LRG IDR '!$S$24</f>
        <v>3596866661.5491037</v>
      </c>
      <c r="X26" s="13">
        <v>0.94864358605225441</v>
      </c>
      <c r="Y26" s="13"/>
      <c r="Z26" s="13">
        <v>0.64391279597879703</v>
      </c>
    </row>
    <row r="27" spans="1:26" ht="24.95" customHeight="1">
      <c r="A27" s="14">
        <v>6</v>
      </c>
      <c r="B27" s="14" t="s">
        <v>21</v>
      </c>
      <c r="D27" s="3">
        <f>'[1]Demand Loss Factor'!$G$54*F27</f>
        <v>13446800.281181807</v>
      </c>
      <c r="E27" s="3"/>
      <c r="F27" s="3">
        <f>(('[2]GS SEC LRG NONIDR'!$S$26+'[2]GS SEC LRG IDR '!$S$26)/('[2]GS SEC LRG NONIDR'!$I$26+'[2]GS SEC LRG IDR '!$I$26))*'[3]SEC &gt; 10kW '!$F$27</f>
        <v>12943987.887766814</v>
      </c>
      <c r="G27" s="3"/>
      <c r="H27" s="3">
        <f>'[1]Demand Loss Factor'!$G$54*J27</f>
        <v>9206163.5732132662</v>
      </c>
      <c r="I27" s="3"/>
      <c r="J27" s="3">
        <f>(('[2]GS SEC LRG NONIDR'!$S$26+'[2]GS SEC LRG IDR '!$S$26)/('[2]GS SEC LRG NONIDR'!$I$26+'[2]GS SEC LRG IDR '!$I$26))*'[3]SEC &gt; 10kW '!$J$27</f>
        <v>8861920.106840428</v>
      </c>
      <c r="K27" s="3"/>
      <c r="L27" s="3">
        <f>'[1]Demand Loss Factor'!$G$54*N27</f>
        <v>8786097.139442008</v>
      </c>
      <c r="N27" s="3">
        <f>(('[2]GS SEC LRG NONIDR'!$S$26+'[2]GS SEC LRG IDR '!$S$26)/('[2]GS SEC LRG NONIDR'!$I$26+'[2]GS SEC LRG IDR '!$I$26))*'[3]SEC &gt; 10kW '!$N$27</f>
        <v>8457561.09822171</v>
      </c>
      <c r="O27" s="3"/>
      <c r="P27" s="3">
        <f>'[1]Demand Loss Factor'!$G$54*R27</f>
        <v>8630514.3864689507</v>
      </c>
      <c r="R27" s="3">
        <f>(('[2]GS SEC LRG NONIDR'!$S$26+'[2]GS SEC LRG IDR '!$S$26)/('[2]GS SEC LRG NONIDR'!$I$26+'[2]GS SEC LRG IDR '!$I$26))*'[3]SEC &gt; 10kW '!$R$27</f>
        <v>8307796.0070537413</v>
      </c>
      <c r="S27" s="3"/>
      <c r="T27" s="3">
        <f>'[1]Energy Loss Factor'!$G$54*V27</f>
        <v>4117440075.5010734</v>
      </c>
      <c r="V27" s="3">
        <f>'[2]GS SEC LRG NONIDR'!$S$26+'[2]GS SEC LRG IDR '!$S$26</f>
        <v>3969851665.9719586</v>
      </c>
      <c r="X27" s="13">
        <v>0.95437117422141993</v>
      </c>
      <c r="Y27" s="13"/>
      <c r="Z27" s="13">
        <v>0.70063926168273205</v>
      </c>
    </row>
    <row r="28" spans="1:26" ht="24.95" customHeight="1">
      <c r="A28" s="14">
        <v>7</v>
      </c>
      <c r="B28" s="14" t="s">
        <v>22</v>
      </c>
      <c r="D28" s="3">
        <f>'[1]Demand Loss Factor'!$G$54*F28</f>
        <v>12925522.134114634</v>
      </c>
      <c r="E28" s="3"/>
      <c r="F28" s="3">
        <f>(('[2]GS SEC LRG NONIDR'!$S$28+'[2]GS SEC LRG IDR '!$S$28)/('[2]GS SEC LRG NONIDR'!$I$28+'[2]GS SEC LRG IDR '!$I$28))*'[3]SEC &gt; 10kW '!$F$28</f>
        <v>12442201.746774022</v>
      </c>
      <c r="G28" s="3"/>
      <c r="H28" s="3">
        <f>'[1]Demand Loss Factor'!$G$54*J28</f>
        <v>9293781.1036242526</v>
      </c>
      <c r="I28" s="3"/>
      <c r="J28" s="3">
        <f>(('[2]GS SEC LRG NONIDR'!$S$28+'[2]GS SEC LRG IDR '!$S$28)/('[2]GS SEC LRG NONIDR'!$I$28+'[2]GS SEC LRG IDR '!$I$28))*'[3]SEC &gt; 10kW '!$J$28</f>
        <v>8946261.3797589373</v>
      </c>
      <c r="K28" s="3"/>
      <c r="L28" s="3">
        <f>'[1]Demand Loss Factor'!$G$54*N28</f>
        <v>9263257.3863927573</v>
      </c>
      <c r="N28" s="3">
        <f>(('[2]GS SEC LRG NONIDR'!$S$28+'[2]GS SEC LRG IDR '!$S$28)/('[2]GS SEC LRG NONIDR'!$I$28+'[2]GS SEC LRG IDR '!$I$28))*'[3]SEC &gt; 10kW '!$N$28</f>
        <v>8916879.027238464</v>
      </c>
      <c r="O28" s="3"/>
      <c r="P28" s="3">
        <f>'[1]Demand Loss Factor'!$G$54*R28</f>
        <v>8674224.4911785685</v>
      </c>
      <c r="R28" s="3">
        <f>(('[2]GS SEC LRG NONIDR'!$S$28+'[2]GS SEC LRG IDR '!$S$28)/('[2]GS SEC LRG NONIDR'!$I$28+'[2]GS SEC LRG IDR '!$I$28))*'[3]SEC &gt; 10kW '!$R$28</f>
        <v>8349871.6722010914</v>
      </c>
      <c r="S28" s="3"/>
      <c r="T28" s="3">
        <f>'[1]Energy Loss Factor'!$G$54*V28</f>
        <v>4741611147.899209</v>
      </c>
      <c r="V28" s="3">
        <f>'[2]GS SEC LRG NONIDR'!$S$28+'[2]GS SEC LRG IDR '!$S$28</f>
        <v>4571649512.7347193</v>
      </c>
      <c r="X28" s="13">
        <v>0.99671568365004948</v>
      </c>
      <c r="Y28" s="13"/>
      <c r="Z28" s="13">
        <v>0.69588657007552424</v>
      </c>
    </row>
    <row r="29" spans="1:26" ht="24.95" customHeight="1">
      <c r="A29" s="14">
        <v>8</v>
      </c>
      <c r="B29" s="14" t="s">
        <v>23</v>
      </c>
      <c r="D29" s="3">
        <f>'[1]Demand Loss Factor'!$G$54*F29</f>
        <v>13708959.240634443</v>
      </c>
      <c r="E29" s="3"/>
      <c r="F29" s="3">
        <f>(('[2]GS SEC LRG NONIDR'!$S$30+'[2]GS SEC LRG IDR '!$S$30)/('[2]GS SEC LRG NONIDR'!$I$30+'[2]GS SEC LRG IDR '!$I$30))*'[3]SEC &gt; 10kW '!$F$29</f>
        <v>13196344.011518676</v>
      </c>
      <c r="G29" s="3"/>
      <c r="H29" s="3">
        <f>'[1]Demand Loss Factor'!$G$54*J29</f>
        <v>9793744.3547214009</v>
      </c>
      <c r="I29" s="3"/>
      <c r="J29" s="3">
        <f>(('[2]GS SEC LRG NONIDR'!$S$30+'[2]GS SEC LRG IDR '!$S$30)/('[2]GS SEC LRG NONIDR'!$I$30+'[2]GS SEC LRG IDR '!$I$30))*'[3]SEC &gt; 10kW '!$J$29</f>
        <v>9427529.6466481704</v>
      </c>
      <c r="K29" s="3"/>
      <c r="L29" s="3">
        <f>'[1]Demand Loss Factor'!$G$54*N29</f>
        <v>9212856.4225400221</v>
      </c>
      <c r="N29" s="3">
        <f>(('[2]GS SEC LRG NONIDR'!$S$30+'[2]GS SEC LRG IDR '!$S$30)/('[2]GS SEC LRG NONIDR'!$I$30+'[2]GS SEC LRG IDR '!$I$30))*'[3]SEC &gt; 10kW '!$N$29</f>
        <v>8868362.692348402</v>
      </c>
      <c r="O29" s="3"/>
      <c r="P29" s="3">
        <f>'[1]Demand Loss Factor'!$G$54*R29</f>
        <v>8890472.0114911068</v>
      </c>
      <c r="R29" s="3">
        <f>(('[2]GS SEC LRG NONIDR'!$S$30+'[2]GS SEC LRG IDR '!$S$30)/('[2]GS SEC LRG NONIDR'!$I$30+'[2]GS SEC LRG IDR '!$I$30))*'[3]SEC &gt; 10kW '!$R$29</f>
        <v>8558033.1102498397</v>
      </c>
      <c r="S29" s="3"/>
      <c r="T29" s="3">
        <f>'[1]Energy Loss Factor'!$G$54*V29</f>
        <v>4845699708.0554695</v>
      </c>
      <c r="V29" s="3">
        <f>'[2]GS SEC LRG NONIDR'!$S$30+'[2]GS SEC LRG IDR '!$S$30</f>
        <v>4672007049.5459051</v>
      </c>
      <c r="X29" s="13">
        <v>0.94068786041966224</v>
      </c>
      <c r="Y29" s="13"/>
      <c r="Z29" s="13">
        <v>0.70193291921822443</v>
      </c>
    </row>
    <row r="30" spans="1:26" ht="24.95" customHeight="1">
      <c r="A30" s="14">
        <v>9</v>
      </c>
      <c r="B30" s="14" t="s">
        <v>24</v>
      </c>
      <c r="D30" s="3">
        <f>'[1]Demand Loss Factor'!$G$54*F30</f>
        <v>13379187.639117517</v>
      </c>
      <c r="E30" s="3"/>
      <c r="F30" s="3">
        <f>(('[2]GS SEC LRG NONIDR'!$S$30+'[2]GS SEC LRG IDR '!$S$30)/('[2]GS SEC LRG NONIDR'!$I$30+'[2]GS SEC LRG IDR '!$I$30))*'[3]SEC &gt; 10kW '!$F$30</f>
        <v>12878903.466072468</v>
      </c>
      <c r="G30" s="3"/>
      <c r="H30" s="3">
        <f>'[1]Demand Loss Factor'!$G$54*J30</f>
        <v>9444954.3035468422</v>
      </c>
      <c r="I30" s="3"/>
      <c r="J30" s="3">
        <f>(('[2]GS SEC LRG NONIDR'!$S$32+'[2]GS SEC LRG IDR '!$S$32)/('[2]GS SEC LRG NONIDR'!$I$32+'[2]GS SEC LRG IDR '!$I$32))*'[3]SEC &gt; 10kW '!$J$30</f>
        <v>9091781.8030444216</v>
      </c>
      <c r="K30" s="3"/>
      <c r="L30" s="3">
        <f>'[1]Demand Loss Factor'!$G$54*N30</f>
        <v>9013354.8693100605</v>
      </c>
      <c r="N30" s="3">
        <f>(('[2]GS SEC LRG NONIDR'!$S$32+'[2]GS SEC LRG IDR '!$S$32)/('[2]GS SEC LRG NONIDR'!$I$32+'[2]GS SEC LRG IDR '!$I$32))*'[3]SEC &gt; 10kW '!$N$30</f>
        <v>8676321.0441792719</v>
      </c>
      <c r="O30" s="3"/>
      <c r="P30" s="3">
        <f>'[1]Demand Loss Factor'!$G$54*R30</f>
        <v>8784174.2644538246</v>
      </c>
      <c r="R30" s="3">
        <f>(('[2]GS SEC LRG NONIDR'!$S$32+'[2]GS SEC LRG IDR '!$S$32)/('[2]GS SEC LRG NONIDR'!$I$32+'[2]GS SEC LRG IDR '!$I$32))*'[3]SEC &gt; 10kW '!$R$30</f>
        <v>8455710.124753207</v>
      </c>
      <c r="S30" s="3"/>
      <c r="T30" s="3">
        <f>'[1]Energy Loss Factor'!$G$54*V30</f>
        <v>4739698483.6712427</v>
      </c>
      <c r="V30" s="3">
        <f>'[2]GS SEC LRG NONIDR'!$S$32+'[2]GS SEC LRG IDR '!$S$32</f>
        <v>4569805407.3846464</v>
      </c>
      <c r="X30" s="13">
        <v>0.95430370329322778</v>
      </c>
      <c r="Y30" s="13"/>
      <c r="Z30" s="13">
        <v>0.64960088447282982</v>
      </c>
    </row>
    <row r="31" spans="1:26" ht="24.95" customHeight="1">
      <c r="A31" s="14">
        <v>10</v>
      </c>
      <c r="B31" s="14" t="s">
        <v>25</v>
      </c>
      <c r="D31" s="3">
        <f>'[1]Demand Loss Factor'!$G$54*F31</f>
        <v>11856453.010212129</v>
      </c>
      <c r="E31" s="3"/>
      <c r="F31" s="3">
        <f>(('[2]GS SEC LRG NONIDR'!$S$34+'[2]GS SEC LRG IDR '!$S$34)/('[2]GS SEC LRG NONIDR'!$I$34+'[2]GS SEC LRG IDR '!$I$34))*'[3]SEC &gt; 10kW '!$F$31</f>
        <v>11413108.021752674</v>
      </c>
      <c r="G31" s="3"/>
      <c r="H31" s="3">
        <f>'[1]Demand Loss Factor'!$G$54*J31</f>
        <v>7748899.1905793212</v>
      </c>
      <c r="I31" s="3"/>
      <c r="J31" s="3">
        <f>(('[2]GS SEC LRG NONIDR'!$S$34+'[2]GS SEC LRG IDR '!$S$34)/('[2]GS SEC LRG NONIDR'!$I$34+'[2]GS SEC LRG IDR '!$I$34))*'[3]SEC &gt; 10kW '!$J$31</f>
        <v>7459146.798421069</v>
      </c>
      <c r="K31" s="3"/>
      <c r="L31" s="3">
        <f>'[1]Demand Loss Factor'!$G$54*N31</f>
        <v>7405233.9898833511</v>
      </c>
      <c r="N31" s="3">
        <f>(('[2]GS SEC LRG NONIDR'!$S$34+'[2]GS SEC LRG IDR '!$S$34)/('[2]GS SEC LRG NONIDR'!$I$34+'[2]GS SEC LRG IDR '!$I$34))*'[3]SEC &gt; 10kW '!$N$31</f>
        <v>7128332.1732138423</v>
      </c>
      <c r="O31" s="3"/>
      <c r="P31" s="3">
        <f>'[1]Demand Loss Factor'!$G$54*R31</f>
        <v>7405233.9898833511</v>
      </c>
      <c r="R31" s="3">
        <f>(('[2]GS SEC LRG NONIDR'!$S$34+'[2]GS SEC LRG IDR '!$S$34)/('[2]GS SEC LRG NONIDR'!$I$34+'[2]GS SEC LRG IDR '!$I$34))*'[3]SEC &gt; 10kW '!$R$31</f>
        <v>7128332.1732138423</v>
      </c>
      <c r="S31" s="3"/>
      <c r="T31" s="3">
        <f>'[1]Energy Loss Factor'!$G$54*V31</f>
        <v>4102269898.0257497</v>
      </c>
      <c r="V31" s="3">
        <f>'[2]GS SEC LRG NONIDR'!$S$34+'[2]GS SEC LRG IDR '!$S$34</f>
        <v>3955225258.9765453</v>
      </c>
      <c r="X31" s="13">
        <v>0.9556498036374278</v>
      </c>
      <c r="Y31" s="13"/>
      <c r="Z31" s="13">
        <v>0.6751641848988692</v>
      </c>
    </row>
    <row r="32" spans="1:26" ht="24.95" customHeight="1">
      <c r="A32" s="14">
        <v>11</v>
      </c>
      <c r="B32" s="14" t="s">
        <v>26</v>
      </c>
      <c r="D32" s="3">
        <f>'[1]Demand Loss Factor'!$G$54*F32</f>
        <v>10934278.155200813</v>
      </c>
      <c r="E32" s="3"/>
      <c r="F32" s="3">
        <f>(('[2]GS SEC LRG NONIDR'!$S$36+'[2]GS SEC LRG IDR '!$S$36)/('[2]GS SEC LRG NONIDR'!$I$36+'[2]GS SEC LRG IDR '!$I$36))*'[3]SEC &gt; 10kW '!$F$32</f>
        <v>10525415.789841238</v>
      </c>
      <c r="G32" s="3"/>
      <c r="H32" s="3">
        <f>'[1]Demand Loss Factor'!$G$54*J32</f>
        <v>6759945.9001315637</v>
      </c>
      <c r="I32" s="3"/>
      <c r="J32" s="3">
        <f>(('[2]GS SEC LRG NONIDR'!$S$36+'[2]GS SEC LRG IDR '!$S$36)/('[2]GS SEC LRG NONIDR'!$I$36+'[2]GS SEC LRG IDR '!$I$36))*'[3]SEC &gt; 10kW '!$J$32</f>
        <v>6507173.1581910336</v>
      </c>
      <c r="K32" s="3"/>
      <c r="L32" s="3">
        <f>'[1]Demand Loss Factor'!$G$54*N32</f>
        <v>5245537.677601791</v>
      </c>
      <c r="N32" s="3">
        <f>(('[2]GS SEC LRG NONIDR'!$S$36+'[2]GS SEC LRG IDR '!$S$36)/('[2]GS SEC LRG NONIDR'!$I$36+'[2]GS SEC LRG IDR '!$I$36))*'[3]SEC &gt; 10kW '!$N$32</f>
        <v>5049392.7732921336</v>
      </c>
      <c r="O32" s="3"/>
      <c r="P32" s="3">
        <f>'[1]Demand Loss Factor'!$G$54*R32</f>
        <v>6586489.6225928646</v>
      </c>
      <c r="R32" s="3">
        <f>(('[2]GS SEC LRG NONIDR'!$S$36+'[2]GS SEC LRG IDR '!$S$36)/('[2]GS SEC LRG NONIDR'!$I$36+'[2]GS SEC LRG IDR '!$I$36))*'[3]SEC &gt; 10kW '!$R$32</f>
        <v>6340202.8820979083</v>
      </c>
      <c r="S32" s="3"/>
      <c r="T32" s="3">
        <f>'[1]Energy Loss Factor'!$G$54*V32</f>
        <v>3619157489.81497</v>
      </c>
      <c r="V32" s="3">
        <f>'[2]GS SEC LRG NONIDR'!$S$36+'[2]GS SEC LRG IDR '!$S$36</f>
        <v>3489429870.7209215</v>
      </c>
      <c r="X32" s="13">
        <v>0.77597332213852488</v>
      </c>
      <c r="Y32" s="13"/>
      <c r="Z32" s="13">
        <v>0.68357102517737733</v>
      </c>
    </row>
    <row r="33" spans="1:26" ht="24.95" customHeight="1" thickBot="1">
      <c r="A33" s="14">
        <v>12</v>
      </c>
      <c r="B33" s="14" t="s">
        <v>27</v>
      </c>
      <c r="D33" s="3">
        <f>'[1]Demand Loss Factor'!$G$54*F33</f>
        <v>11334735.692065146</v>
      </c>
      <c r="E33" s="3"/>
      <c r="F33" s="3">
        <f>(('[2]GS SEC LRG NONIDR'!$S$38+'[2]GS SEC LRG IDR '!$S$38)/('[2]GS SEC LRG NONIDR'!$I$38+'[2]GS SEC LRG IDR '!$I$38))*'[3]SEC &gt; 10kW '!$F$33</f>
        <v>10910899.131479841</v>
      </c>
      <c r="G33" s="3"/>
      <c r="H33" s="3">
        <f>'[1]Demand Loss Factor'!$G$54*J33</f>
        <v>6706951.2792400634</v>
      </c>
      <c r="I33" s="3"/>
      <c r="J33" s="3">
        <f>(('[2]GS SEC LRG NONIDR'!$S$38+'[2]GS SEC LRG IDR '!$S$38)/('[2]GS SEC LRG NONIDR'!$I$38+'[2]GS SEC LRG IDR '!$I$38))*'[3]SEC &gt; 10kW '!$J$33</f>
        <v>6456160.1501450716</v>
      </c>
      <c r="K33" s="3"/>
      <c r="L33" s="3">
        <f>'[1]Demand Loss Factor'!$G$54*N33</f>
        <v>5858063.1759785721</v>
      </c>
      <c r="N33" s="3">
        <f>(('[2]GS SEC LRG NONIDR'!$S$38+'[2]GS SEC LRG IDR '!$S$38)/('[2]GS SEC LRG NONIDR'!$I$38+'[2]GS SEC LRG IDR '!$I$38))*'[3]SEC &gt; 10kW '!$N$33</f>
        <v>5639014.2792375293</v>
      </c>
      <c r="O33" s="3"/>
      <c r="P33" s="3">
        <f>'[1]Demand Loss Factor'!$G$54*R33</f>
        <v>5913236.4527307171</v>
      </c>
      <c r="Q33" s="15"/>
      <c r="R33" s="3">
        <f>(('[2]GS SEC LRG NONIDR'!$S$38+'[2]GS SEC LRG IDR '!$S$38)/('[2]GS SEC LRG NONIDR'!$I$38+'[2]GS SEC LRG IDR '!$I$38))*'[3]SEC &gt; 10kW '!$R$33</f>
        <v>5692124.477282756</v>
      </c>
      <c r="S33" s="3"/>
      <c r="T33" s="16">
        <f>'[1]Energy Loss Factor'!$G$54*V33</f>
        <v>3529411851.0031457</v>
      </c>
      <c r="V33" s="16">
        <f>'[2]GS SEC LRG NONIDR'!$S$38+'[2]GS SEC LRG IDR '!$S$38</f>
        <v>3402901137.5231514</v>
      </c>
      <c r="X33" s="13">
        <v>0.88165788098593756</v>
      </c>
      <c r="Y33" s="13"/>
      <c r="Z33" s="13">
        <v>0.71723509200831903</v>
      </c>
    </row>
    <row r="34" spans="1:22" ht="24.95" customHeight="1" thickTop="1">
      <c r="A34" s="14">
        <v>13</v>
      </c>
      <c r="E34" s="3"/>
      <c r="G34" s="3"/>
      <c r="I34" s="3"/>
      <c r="K34" s="3"/>
      <c r="O34" s="3"/>
      <c r="S34" s="3"/>
      <c r="T34" s="15">
        <f>+SUM(T22:T33)</f>
        <v>47439931656.185905</v>
      </c>
      <c r="U34" s="15"/>
      <c r="V34" s="15">
        <f>SUM(V22:V33)</f>
        <v>45739461477.405151</v>
      </c>
    </row>
    <row r="35" spans="1:22" ht="24.95" customHeight="1">
      <c r="A35" s="14"/>
      <c r="E35" s="3"/>
      <c r="G35" s="3"/>
      <c r="I35" s="3"/>
      <c r="K35" s="3"/>
      <c r="O35" s="3"/>
      <c r="S35" s="3"/>
      <c r="T35" s="15"/>
      <c r="U35" s="15"/>
      <c r="V35" s="15"/>
    </row>
    <row r="36" spans="1:22" ht="18.75" customHeight="1">
      <c r="A36" s="14"/>
      <c r="E36" s="3"/>
      <c r="G36" s="3"/>
      <c r="I36" s="3"/>
      <c r="K36" s="3"/>
      <c r="O36" s="3"/>
      <c r="S36" s="3"/>
      <c r="T36" s="15"/>
      <c r="U36" s="15"/>
      <c r="V36" s="15"/>
    </row>
    <row r="37" spans="1:19" ht="15" customHeight="1">
      <c r="A37" s="2" t="s">
        <v>55</v>
      </c>
      <c r="E37" s="3"/>
      <c r="G37" s="3"/>
      <c r="I37" s="3"/>
      <c r="K37" s="3"/>
      <c r="O37" s="3"/>
      <c r="S37" s="3"/>
    </row>
    <row r="38" spans="1:19" ht="15" customHeight="1">
      <c r="A38" s="2" t="s">
        <v>28</v>
      </c>
      <c r="E38" s="3"/>
      <c r="G38" s="3"/>
      <c r="I38" s="3"/>
      <c r="K38" s="3"/>
      <c r="O38" s="3"/>
      <c r="S38" s="3"/>
    </row>
    <row r="39" spans="1:19" ht="15" customHeight="1">
      <c r="A39" s="4" t="s">
        <v>29</v>
      </c>
      <c r="E39" s="3"/>
      <c r="G39" s="3"/>
      <c r="I39" s="3"/>
      <c r="K39" s="3"/>
      <c r="O39" s="3"/>
      <c r="S39" s="3"/>
    </row>
  </sheetData>
  <pageMargins left="0.5" right="1" top="1.5" bottom="0.5" header="0.5" footer="0.5"/>
  <pageSetup orientation="landscape" scale="5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A1:Z39"/>
  <sheetViews>
    <sheetView zoomScale="75" zoomScaleNormal="75" workbookViewId="0" topLeftCell="A1">
      <selection pane="topLeft" activeCell="N27" sqref="N27"/>
    </sheetView>
  </sheetViews>
  <sheetFormatPr defaultColWidth="9.14428571428571" defaultRowHeight="18.75" customHeight="1"/>
  <cols>
    <col min="1" max="1" width="4.71428571428571" style="2" customWidth="1"/>
    <col min="2" max="3" width="7.71428571428571" style="2" customWidth="1"/>
    <col min="4" max="4" width="20.5714285714286" style="3" customWidth="1"/>
    <col min="5" max="5" width="2.71428571428571" style="2" customWidth="1"/>
    <col min="6" max="6" width="20.8571428571429" style="3" customWidth="1"/>
    <col min="7" max="7" width="5.71428571428571" style="2" customWidth="1"/>
    <col min="8" max="8" width="13.8571428571429" style="3" customWidth="1"/>
    <col min="9" max="9" width="2.71428571428571" style="2" customWidth="1"/>
    <col min="10" max="10" width="14.8571428571429" style="3" customWidth="1"/>
    <col min="11" max="11" width="5.71428571428571" style="2" customWidth="1"/>
    <col min="12" max="12" width="12.7142857142857" style="3" customWidth="1"/>
    <col min="13" max="13" width="2.71428571428571" style="3" customWidth="1"/>
    <col min="14" max="14" width="13.2857142857143" style="3" customWidth="1"/>
    <col min="15" max="15" width="5.71428571428571" style="2" customWidth="1"/>
    <col min="16" max="16" width="12.7142857142857" style="3" customWidth="1"/>
    <col min="17" max="17" width="2.71428571428571" style="3" customWidth="1"/>
    <col min="18" max="18" width="13.8571428571429" style="3" customWidth="1"/>
    <col min="19" max="19" width="5.71428571428571" style="2" customWidth="1"/>
    <col min="20" max="20" width="17.7142857142857" style="3" customWidth="1"/>
    <col min="21" max="21" width="2.71428571428571" style="3" customWidth="1"/>
    <col min="22" max="22" width="17.7142857142857" style="3" customWidth="1"/>
    <col min="23" max="23" width="3.71428571428571" style="2" customWidth="1"/>
    <col min="24" max="24" width="10.2857142857143" style="2" customWidth="1"/>
    <col min="25" max="25" width="1.71428571428571" style="2" customWidth="1"/>
    <col min="26" max="26" width="9.71428571428571" style="2" customWidth="1"/>
    <col min="27" max="16384" width="9.14285714285714" style="2"/>
  </cols>
  <sheetData>
    <row r="1" spans="1:22" ht="18.75" customHeight="1">
      <c r="A1" s="6"/>
      <c r="V1" s="2" t="s">
        <v>63</v>
      </c>
    </row>
    <row r="2" spans="22:22" ht="18.75" customHeight="1">
      <c r="V2" s="2" t="s">
        <v>70</v>
      </c>
    </row>
    <row r="7" spans="1:26" ht="18.75" customHeight="1">
      <c r="A7" s="7" t="s">
        <v>77</v>
      </c>
      <c r="B7" s="8"/>
      <c r="C7" s="8"/>
      <c r="D7" s="8"/>
      <c r="E7" s="8"/>
      <c r="F7" s="9"/>
      <c r="G7" s="8"/>
      <c r="H7" s="8"/>
      <c r="I7" s="8"/>
      <c r="J7" s="10"/>
      <c r="K7" s="7"/>
      <c r="L7" s="7"/>
      <c r="M7" s="8"/>
      <c r="N7" s="7"/>
      <c r="O7" s="9"/>
      <c r="P7" s="8"/>
      <c r="Q7" s="8"/>
      <c r="R7" s="9"/>
      <c r="S7" s="8"/>
      <c r="T7" s="8"/>
      <c r="U7" s="8"/>
      <c r="V7" s="8"/>
      <c r="W7" s="8"/>
      <c r="X7" s="8"/>
      <c r="Y7" s="8"/>
      <c r="Z7" s="8"/>
    </row>
    <row r="8" spans="1:26" ht="18" customHeight="1">
      <c r="A8" s="7" t="s">
        <v>40</v>
      </c>
      <c r="B8" s="8"/>
      <c r="C8" s="8"/>
      <c r="D8" s="8"/>
      <c r="E8" s="8"/>
      <c r="F8" s="9"/>
      <c r="G8" s="8"/>
      <c r="H8" s="8"/>
      <c r="I8" s="8"/>
      <c r="J8" s="10"/>
      <c r="K8" s="7"/>
      <c r="L8" s="10"/>
      <c r="M8" s="9"/>
      <c r="N8" s="7"/>
      <c r="O8" s="10"/>
      <c r="P8" s="8"/>
      <c r="Q8" s="8"/>
      <c r="R8" s="10"/>
      <c r="S8" s="7"/>
      <c r="T8" s="8"/>
      <c r="U8" s="8"/>
      <c r="V8" s="8"/>
      <c r="W8" s="8"/>
      <c r="X8" s="8"/>
      <c r="Y8" s="8"/>
      <c r="Z8" s="8"/>
    </row>
    <row r="9" spans="1:26" ht="18" customHeight="1">
      <c r="A9" s="7" t="s">
        <v>45</v>
      </c>
      <c r="B9" s="8"/>
      <c r="C9" s="8"/>
      <c r="D9" s="8"/>
      <c r="E9" s="8"/>
      <c r="F9" s="9"/>
      <c r="G9" s="7"/>
      <c r="H9" s="8"/>
      <c r="I9" s="8"/>
      <c r="J9" s="10"/>
      <c r="K9" s="7"/>
      <c r="L9" s="7"/>
      <c r="M9" s="9"/>
      <c r="N9" s="9"/>
      <c r="O9" s="9"/>
      <c r="P9" s="8"/>
      <c r="Q9" s="7"/>
      <c r="R9" s="10"/>
      <c r="S9" s="7"/>
      <c r="T9" s="8"/>
      <c r="U9" s="8"/>
      <c r="V9" s="8"/>
      <c r="W9" s="8"/>
      <c r="X9" s="8"/>
      <c r="Y9" s="8"/>
      <c r="Z9" s="8"/>
    </row>
    <row r="10" spans="1:26" ht="18" customHeight="1">
      <c r="A10" s="7" t="s">
        <v>79</v>
      </c>
      <c r="B10" s="8"/>
      <c r="C10" s="8"/>
      <c r="D10" s="8"/>
      <c r="E10" s="8"/>
      <c r="F10" s="8"/>
      <c r="G10" s="7"/>
      <c r="H10" s="8"/>
      <c r="I10" s="8"/>
      <c r="J10" s="7"/>
      <c r="K10" s="7"/>
      <c r="L10" s="10"/>
      <c r="M10" s="9"/>
      <c r="N10" s="9"/>
      <c r="O10" s="9"/>
      <c r="P10" s="8"/>
      <c r="Q10" s="7"/>
      <c r="R10" s="10"/>
      <c r="S10" s="7"/>
      <c r="T10" s="8"/>
      <c r="U10" s="8"/>
      <c r="V10" s="8"/>
      <c r="W10" s="8"/>
      <c r="X10" s="8"/>
      <c r="Y10" s="8"/>
      <c r="Z10" s="8"/>
    </row>
    <row r="11" spans="1:26" ht="18" customHeight="1">
      <c r="A11" s="8"/>
      <c r="B11" s="8"/>
      <c r="C11" s="8"/>
      <c r="D11" s="8"/>
      <c r="E11" s="8"/>
      <c r="F11" s="9"/>
      <c r="G11" s="8"/>
      <c r="H11" s="8"/>
      <c r="I11" s="8"/>
      <c r="J11" s="10"/>
      <c r="K11" s="7"/>
      <c r="L11" s="10"/>
      <c r="M11" s="9"/>
      <c r="N11" s="9"/>
      <c r="O11" s="9"/>
      <c r="P11" s="8"/>
      <c r="Q11" s="8"/>
      <c r="R11" s="9"/>
      <c r="S11" s="8"/>
      <c r="T11" s="8"/>
      <c r="U11" s="8"/>
      <c r="V11" s="8"/>
      <c r="W11" s="8"/>
      <c r="X11" s="8"/>
      <c r="Y11" s="8"/>
      <c r="Z11" s="8"/>
    </row>
    <row r="12" spans="1:26" ht="18.75" customHeight="1">
      <c r="A12" s="7" t="s">
        <v>43</v>
      </c>
      <c r="B12" s="8"/>
      <c r="C12" s="8"/>
      <c r="D12" s="8"/>
      <c r="E12" s="8"/>
      <c r="F12" s="9"/>
      <c r="G12" s="8"/>
      <c r="H12" s="8"/>
      <c r="I12" s="8"/>
      <c r="J12" s="10"/>
      <c r="K12" s="7"/>
      <c r="L12" s="10"/>
      <c r="M12" s="9"/>
      <c r="N12" s="10"/>
      <c r="O12" s="10"/>
      <c r="P12" s="8"/>
      <c r="Q12" s="8"/>
      <c r="R12" s="9"/>
      <c r="S12" s="8"/>
      <c r="T12" s="8"/>
      <c r="U12" s="8"/>
      <c r="V12" s="8"/>
      <c r="W12" s="8"/>
      <c r="X12" s="8"/>
      <c r="Y12" s="8"/>
      <c r="Z12" s="8"/>
    </row>
    <row r="13" spans="1:26" ht="18.75" customHeight="1">
      <c r="A13" s="8"/>
      <c r="B13" s="8"/>
      <c r="C13" s="8"/>
      <c r="D13" s="8"/>
      <c r="E13" s="8"/>
      <c r="F13" s="9"/>
      <c r="G13" s="8"/>
      <c r="H13" s="8"/>
      <c r="I13" s="8"/>
      <c r="J13" s="9"/>
      <c r="K13" s="8"/>
      <c r="L13" s="8"/>
      <c r="M13" s="9"/>
      <c r="N13" s="8"/>
      <c r="O13" s="10"/>
      <c r="P13" s="8"/>
      <c r="Q13" s="8"/>
      <c r="R13" s="9"/>
      <c r="S13" s="8"/>
      <c r="T13" s="8"/>
      <c r="U13" s="8"/>
      <c r="V13" s="8"/>
      <c r="W13" s="8"/>
      <c r="X13" s="8"/>
      <c r="Y13" s="8"/>
      <c r="Z13" s="8"/>
    </row>
    <row r="14" spans="1:1" ht="18.75" customHeight="1">
      <c r="A14" s="2" t="s">
        <v>32</v>
      </c>
    </row>
    <row r="15" spans="1:1" ht="18.75" customHeight="1">
      <c r="A15" s="2" t="s">
        <v>33</v>
      </c>
    </row>
    <row r="16" spans="1:1" ht="18.75" customHeight="1">
      <c r="A16" s="1"/>
    </row>
    <row r="17" spans="4:26" ht="15" customHeight="1">
      <c r="D17" s="4" t="s">
        <v>48</v>
      </c>
      <c r="E17" s="4"/>
      <c r="F17" s="4" t="s">
        <v>49</v>
      </c>
      <c r="G17" s="4"/>
      <c r="H17" s="4" t="s">
        <v>62</v>
      </c>
      <c r="I17" s="4"/>
      <c r="J17" s="4" t="s">
        <v>38</v>
      </c>
      <c r="K17" s="4"/>
      <c r="L17" s="4" t="s">
        <v>67</v>
      </c>
      <c r="M17" s="4"/>
      <c r="N17" s="4" t="s">
        <v>44</v>
      </c>
      <c r="O17" s="4"/>
      <c r="P17" s="4" t="s">
        <v>65</v>
      </c>
      <c r="Q17" s="4"/>
      <c r="R17" s="4" t="s">
        <v>66</v>
      </c>
      <c r="S17" s="4"/>
      <c r="T17" s="4" t="s">
        <v>61</v>
      </c>
      <c r="U17" s="4"/>
      <c r="V17" s="4" t="s">
        <v>54</v>
      </c>
      <c r="W17" s="4"/>
      <c r="X17" s="4" t="s">
        <v>57</v>
      </c>
      <c r="Y17" s="4"/>
      <c r="Z17" s="4" t="s">
        <v>58</v>
      </c>
    </row>
    <row r="18" spans="4:6" s="4" customFormat="1" ht="18.75" customHeight="1">
      <c r="D18" s="4" t="s">
        <v>50</v>
      </c>
      <c r="F18" s="4" t="s">
        <v>50</v>
      </c>
    </row>
    <row r="19" spans="1:24" ht="18.75" customHeight="1">
      <c r="A19" s="2" t="s">
        <v>2</v>
      </c>
      <c r="D19" s="3" t="s">
        <v>52</v>
      </c>
      <c r="F19" s="3" t="s">
        <v>52</v>
      </c>
      <c r="H19" s="3" t="s">
        <v>6</v>
      </c>
      <c r="I19" s="3"/>
      <c r="J19" s="3" t="s">
        <v>56</v>
      </c>
      <c r="L19" s="3" t="s">
        <v>4</v>
      </c>
      <c r="M19" s="2" t="s">
        <v>5</v>
      </c>
      <c r="N19" s="3" t="s">
        <v>4</v>
      </c>
      <c r="P19" s="3" t="s">
        <v>3</v>
      </c>
      <c r="R19" s="3" t="s">
        <v>3</v>
      </c>
      <c r="T19" s="3" t="s">
        <v>7</v>
      </c>
      <c r="V19" s="3" t="s">
        <v>8</v>
      </c>
      <c r="X19" s="2" t="s">
        <v>59</v>
      </c>
    </row>
    <row r="20" spans="1:26" ht="18.75" customHeight="1">
      <c r="A20" s="11" t="s">
        <v>9</v>
      </c>
      <c r="B20" s="11" t="s">
        <v>10</v>
      </c>
      <c r="D20" s="5" t="s">
        <v>51</v>
      </c>
      <c r="F20" s="5" t="s">
        <v>53</v>
      </c>
      <c r="H20" s="5" t="s">
        <v>11</v>
      </c>
      <c r="I20" s="3"/>
      <c r="J20" s="5" t="s">
        <v>12</v>
      </c>
      <c r="L20" s="5" t="s">
        <v>11</v>
      </c>
      <c r="M20" s="2"/>
      <c r="N20" s="5" t="s">
        <v>12</v>
      </c>
      <c r="P20" s="5" t="s">
        <v>11</v>
      </c>
      <c r="R20" s="5" t="s">
        <v>12</v>
      </c>
      <c r="T20" s="5" t="s">
        <v>13</v>
      </c>
      <c r="V20" s="5" t="s">
        <v>14</v>
      </c>
      <c r="X20" s="12" t="s">
        <v>15</v>
      </c>
      <c r="Z20" s="12" t="s">
        <v>60</v>
      </c>
    </row>
    <row r="21" spans="4:22" ht="18" customHeight="1">
      <c r="D21" s="2"/>
      <c r="F21" s="2"/>
      <c r="H21" s="2"/>
      <c r="J21" s="2"/>
      <c r="L21" s="2"/>
      <c r="M21" s="2"/>
      <c r="N21" s="2"/>
      <c r="P21" s="2"/>
      <c r="Q21" s="2"/>
      <c r="R21" s="2"/>
      <c r="T21" s="2"/>
      <c r="U21" s="2"/>
      <c r="V21" s="2"/>
    </row>
    <row r="22" spans="1:26" ht="24.95" customHeight="1">
      <c r="A22" s="14">
        <v>1</v>
      </c>
      <c r="B22" s="14" t="s">
        <v>16</v>
      </c>
      <c r="D22" s="3">
        <f>'[1]Demand Loss Factor'!$G$53*F22</f>
        <v>7903.0280285460294</v>
      </c>
      <c r="E22" s="3"/>
      <c r="F22" s="3">
        <f>'[2]GS PRI SMALL'!$S$16/'[2]GS PRI SMALL'!$I$16*'[3]PRIMARY  &lt; 10kW'!$F$22</f>
        <v>7746.5665659617325</v>
      </c>
      <c r="G22" s="3"/>
      <c r="H22" s="3">
        <f>'[1]Demand Loss Factor'!$G$53*J22</f>
        <v>3557.919472622897</v>
      </c>
      <c r="I22" s="3"/>
      <c r="J22" s="3">
        <f>'[2]GS PRI SMALL'!$S$16/'[2]GS PRI SMALL'!$I$16*'[3]PRIMARY  &lt; 10kW'!$J$22</f>
        <v>3487.4809922792883</v>
      </c>
      <c r="K22" s="3"/>
      <c r="L22" s="3">
        <f>'[1]Demand Loss Factor'!$G$53*N22</f>
        <v>3015.435612581779</v>
      </c>
      <c r="N22" s="3">
        <f>'[2]GS PRI SMALL'!$S$16/'[2]GS PRI SMALL'!$I$16*'[3]PRIMARY  &lt; 10kW'!$N$22</f>
        <v>2955.7370433031224</v>
      </c>
      <c r="O22" s="3"/>
      <c r="P22" s="3">
        <f>'[1]Demand Loss Factor'!$G$53*R22</f>
        <v>3011.64222709467</v>
      </c>
      <c r="R22" s="3">
        <f>'[2]GS PRI SMALL'!$S$16/'[2]GS PRI SMALL'!$I$16*'[3]PRIMARY  &lt; 10kW'!$R$22</f>
        <v>2952.0187579724743</v>
      </c>
      <c r="S22" s="3"/>
      <c r="T22" s="3">
        <f>'[1]Energy Loss Factor'!$G$53*V22</f>
        <v>2352639.7862810586</v>
      </c>
      <c r="V22" s="3">
        <f>'[2]GS PRI SMALL'!$S$16</f>
        <v>2317727.3726082579</v>
      </c>
      <c r="X22" s="13">
        <v>0.84752778577048593</v>
      </c>
      <c r="Y22" s="13"/>
      <c r="Z22" s="13">
        <v>0.97707159411036726</v>
      </c>
    </row>
    <row r="23" spans="1:26" ht="24.95" customHeight="1">
      <c r="A23" s="14">
        <v>2</v>
      </c>
      <c r="B23" s="14" t="s">
        <v>17</v>
      </c>
      <c r="D23" s="3">
        <f>'[1]Demand Loss Factor'!$G$53*F23</f>
        <v>8400.2097390264207</v>
      </c>
      <c r="E23" s="3"/>
      <c r="F23" s="3">
        <f>'[2]GS PRI SMALL'!$S$18/'[2]GS PRI SMALL'!$I$18*'[3]PRIMARY  &lt; 10kW'!$F$23</f>
        <v>8233.905241935483</v>
      </c>
      <c r="G23" s="3"/>
      <c r="H23" s="3">
        <f>'[1]Demand Loss Factor'!$G$53*J23</f>
        <v>3747.7436887150084</v>
      </c>
      <c r="I23" s="3"/>
      <c r="J23" s="3">
        <f>'[2]GS PRI SMALL'!$S$18/'[2]GS PRI SMALL'!$I$18*'[3]PRIMARY  &lt; 10kW'!$J$23</f>
        <v>3673.5471330645159</v>
      </c>
      <c r="K23" s="3"/>
      <c r="L23" s="3">
        <f>'[1]Demand Loss Factor'!$G$53*N23</f>
        <v>1162.6477081618937</v>
      </c>
      <c r="N23" s="3">
        <f>'[2]GS PRI SMALL'!$S$18/'[2]GS PRI SMALL'!$I$18*'[3]PRIMARY  &lt; 10kW'!$N$23</f>
        <v>1139.6300040322581</v>
      </c>
      <c r="O23" s="3"/>
      <c r="P23" s="3">
        <f>'[1]Demand Loss Factor'!$G$53*R23</f>
        <v>1194.0799280509766</v>
      </c>
      <c r="R23" s="3">
        <f>'[2]GS PRI SMALL'!$S$18/'[2]GS PRI SMALL'!$I$18*'[3]PRIMARY  &lt; 10kW'!$R$23</f>
        <v>1170.439939516129</v>
      </c>
      <c r="S23" s="3"/>
      <c r="T23" s="3">
        <f>'[1]Energy Loss Factor'!$G$53*V23</f>
        <v>2170862.9007836855</v>
      </c>
      <c r="V23" s="3">
        <f>'[2]GS PRI SMALL'!$S$18</f>
        <v>2138647.9973118277</v>
      </c>
      <c r="X23" s="13">
        <v>0.31022604658445346</v>
      </c>
      <c r="Y23" s="13"/>
      <c r="Z23" s="13">
        <v>0.65704004117494519</v>
      </c>
    </row>
    <row r="24" spans="1:26" ht="24.95" customHeight="1">
      <c r="A24" s="14">
        <v>3</v>
      </c>
      <c r="B24" s="14" t="s">
        <v>18</v>
      </c>
      <c r="D24" s="3">
        <f>'[1]Demand Loss Factor'!$G$53*F24</f>
        <v>8004.7798710420348</v>
      </c>
      <c r="E24" s="3"/>
      <c r="F24" s="3">
        <f>'[2]GS PRI SMALL'!$S$20/'[2]GS PRI SMALL'!$I$20*'[3]PRIMARY  &lt; 10kW'!$F$24</f>
        <v>7846.3039600665561</v>
      </c>
      <c r="G24" s="3"/>
      <c r="H24" s="3">
        <f>'[1]Demand Loss Factor'!$G$53*J24</f>
        <v>3561.4774714770519</v>
      </c>
      <c r="I24" s="3"/>
      <c r="J24" s="3">
        <f>'[2]GS PRI SMALL'!$S$20/'[2]GS PRI SMALL'!$I$20*'[3]PRIMARY  &lt; 10kW'!$J$24</f>
        <v>3490.9685510815311</v>
      </c>
      <c r="K24" s="3"/>
      <c r="L24" s="3">
        <f>'[1]Demand Loss Factor'!$G$53*N24</f>
        <v>3321.3951371382154</v>
      </c>
      <c r="N24" s="3">
        <f>'[2]GS PRI SMALL'!$S$20/'[2]GS PRI SMALL'!$I$20*'[3]PRIMARY  &lt; 10kW'!$N$24</f>
        <v>3255.6392851913479</v>
      </c>
      <c r="O24" s="3"/>
      <c r="P24" s="3">
        <f>'[1]Demand Loss Factor'!$G$53*R24</f>
        <v>3094.245269319078</v>
      </c>
      <c r="R24" s="3">
        <f>'[2]GS PRI SMALL'!$S$20/'[2]GS PRI SMALL'!$I$20*'[3]PRIMARY  &lt; 10kW'!$R$24</f>
        <v>3032.9864532445927</v>
      </c>
      <c r="S24" s="3"/>
      <c r="T24" s="3">
        <f>'[1]Energy Loss Factor'!$G$53*V24</f>
        <v>1923994.1005541615</v>
      </c>
      <c r="V24" s="3">
        <f>'[2]GS PRI SMALL'!$S$20</f>
        <v>1895442.6502495841</v>
      </c>
      <c r="X24" s="13">
        <v>0.93258911890876917</v>
      </c>
      <c r="Y24" s="13"/>
      <c r="Z24" s="13">
        <v>0.88421514868816831</v>
      </c>
    </row>
    <row r="25" spans="1:26" ht="24.95" customHeight="1">
      <c r="A25" s="14">
        <v>4</v>
      </c>
      <c r="B25" s="14" t="s">
        <v>19</v>
      </c>
      <c r="D25" s="3">
        <f>'[1]Demand Loss Factor'!$G$53*F25</f>
        <v>7894.7959487631724</v>
      </c>
      <c r="E25" s="3"/>
      <c r="F25" s="3">
        <f>'[2]GS PRI SMALL'!$S$22/'[2]GS PRI SMALL'!$I$22*'[3]PRIMARY  &lt; 10kW'!$F$25</f>
        <v>7738.4974620962439</v>
      </c>
      <c r="G25" s="3"/>
      <c r="H25" s="3">
        <f>'[1]Demand Loss Factor'!$G$53*J25</f>
        <v>5536.8073701752573</v>
      </c>
      <c r="I25" s="3"/>
      <c r="J25" s="3">
        <f>'[2]GS PRI SMALL'!$S$22/'[2]GS PRI SMALL'!$I$22*'[3]PRIMARY  &lt; 10kW'!$J$25</f>
        <v>5427.1915398813453</v>
      </c>
      <c r="K25" s="3"/>
      <c r="L25" s="3">
        <f>'[1]Demand Loss Factor'!$G$53*N25</f>
        <v>4893.8704869927424</v>
      </c>
      <c r="N25" s="3">
        <f>'[2]GS PRI SMALL'!$S$22/'[2]GS PRI SMALL'!$I$22*'[3]PRIMARY  &lt; 10kW'!$N$25</f>
        <v>4796.983302570864</v>
      </c>
      <c r="O25" s="3"/>
      <c r="P25" s="3">
        <f>'[1]Demand Loss Factor'!$G$53*R25</f>
        <v>3889.2234228754701</v>
      </c>
      <c r="R25" s="3">
        <f>'[2]GS PRI SMALL'!$S$22/'[2]GS PRI SMALL'!$I$22*'[3]PRIMARY  &lt; 10kW'!$R$25</f>
        <v>3812.2258995385632</v>
      </c>
      <c r="S25" s="3"/>
      <c r="T25" s="3">
        <f>'[1]Energy Loss Factor'!$G$53*V25</f>
        <v>2798351.4028431894</v>
      </c>
      <c r="V25" s="3">
        <f>'[2]GS PRI SMALL'!$S$22</f>
        <v>2756824.7729070536</v>
      </c>
      <c r="X25" s="13">
        <v>0.88387949224208529</v>
      </c>
      <c r="Y25" s="13"/>
      <c r="Z25" s="13">
        <v>0.69251066784952375</v>
      </c>
    </row>
    <row r="26" spans="1:26" ht="24.95" customHeight="1">
      <c r="A26" s="14">
        <v>5</v>
      </c>
      <c r="B26" s="14" t="s">
        <v>20</v>
      </c>
      <c r="D26" s="3">
        <f>'[1]Demand Loss Factor'!$G$53*F26</f>
        <v>7641.2305237233395</v>
      </c>
      <c r="E26" s="3"/>
      <c r="F26" s="3">
        <f>'[2]GS PRI SMALL'!$S$24/'[2]GS PRI SMALL'!$I$24*'[3]PRIMARY  &lt; 10kW'!$F$26</f>
        <v>7489.9520391517135</v>
      </c>
      <c r="G26" s="3"/>
      <c r="H26" s="3">
        <f>'[1]Demand Loss Factor'!$G$53*J26</f>
        <v>3423.6924041773846</v>
      </c>
      <c r="I26" s="3"/>
      <c r="J26" s="3">
        <f>'[2]GS PRI SMALL'!$S$24/'[2]GS PRI SMALL'!$I$24*'[3]PRIMARY  &lt; 10kW'!$J$26</f>
        <v>3355.9113057096251</v>
      </c>
      <c r="K26" s="3"/>
      <c r="L26" s="3">
        <f>'[1]Demand Loss Factor'!$G$53*N26</f>
        <v>3128.5879368459509</v>
      </c>
      <c r="N26" s="3">
        <f>'[2]GS PRI SMALL'!$S$24/'[2]GS PRI SMALL'!$I$24*'[3]PRIMARY  &lt; 10kW'!$N$26</f>
        <v>3066.6492163132134</v>
      </c>
      <c r="O26" s="3"/>
      <c r="P26" s="3">
        <f>'[1]Demand Loss Factor'!$G$53*R26</f>
        <v>3128.5879368459509</v>
      </c>
      <c r="R26" s="3">
        <f>'[2]GS PRI SMALL'!$S$24/'[2]GS PRI SMALL'!$I$24*'[3]PRIMARY  &lt; 10kW'!$R$26</f>
        <v>3066.6492163132134</v>
      </c>
      <c r="S26" s="3"/>
      <c r="T26" s="3">
        <f>'[1]Energy Loss Factor'!$G$53*V26</f>
        <v>2412587.497275061</v>
      </c>
      <c r="V26" s="3">
        <f>'[2]GS PRI SMALL'!$S$24</f>
        <v>2376785.4789559543</v>
      </c>
      <c r="X26" s="13">
        <v>0.9138052042959921</v>
      </c>
      <c r="Y26" s="13"/>
      <c r="Z26" s="13">
        <v>0.87752772547990521</v>
      </c>
    </row>
    <row r="27" spans="1:26" ht="24.95" customHeight="1">
      <c r="A27" s="14">
        <v>6</v>
      </c>
      <c r="B27" s="14" t="s">
        <v>21</v>
      </c>
      <c r="D27" s="3">
        <f>'[1]Demand Loss Factor'!$G$53*F27</f>
        <v>7824.0374182782161</v>
      </c>
      <c r="E27" s="3"/>
      <c r="F27" s="3">
        <f>'[2]GS PRI SMALL'!$S$26/'[2]GS PRI SMALL'!$I$26*'[3]PRIMARY  &lt; 10kW'!$F$27</f>
        <v>7669.1397849462373</v>
      </c>
      <c r="G27" s="3"/>
      <c r="H27" s="3">
        <f>'[1]Demand Loss Factor'!$G$53*J27</f>
        <v>3571.212298212653</v>
      </c>
      <c r="I27" s="3"/>
      <c r="J27" s="3">
        <f>'[2]GS PRI SMALL'!$S$26/'[2]GS PRI SMALL'!$I$26*'[3]PRIMARY  &lt; 10kW'!$J$27</f>
        <v>3500.5106510263936</v>
      </c>
      <c r="K27" s="3"/>
      <c r="L27" s="3">
        <f>'[1]Demand Loss Factor'!$G$53*N27</f>
        <v>3297.3359401839534</v>
      </c>
      <c r="N27" s="3">
        <f>'[2]GS PRI SMALL'!$S$26/'[2]GS PRI SMALL'!$I$26*'[3]PRIMARY  &lt; 10kW'!$N$27</f>
        <v>3232.0564040404047</v>
      </c>
      <c r="O27" s="3"/>
      <c r="P27" s="3">
        <f>'[1]Demand Loss Factor'!$G$53*R27</f>
        <v>3403.9036593277742</v>
      </c>
      <c r="R27" s="3">
        <f>'[2]GS PRI SMALL'!$S$26/'[2]GS PRI SMALL'!$I$26*'[3]PRIMARY  &lt; 10kW'!$R$27</f>
        <v>3336.5143317041384</v>
      </c>
      <c r="S27" s="3"/>
      <c r="T27" s="3">
        <f>'[1]Energy Loss Factor'!$G$53*V27</f>
        <v>2450280.2023021029</v>
      </c>
      <c r="V27" s="3">
        <f>'[2]GS PRI SMALL'!$S$26</f>
        <v>2413918.8364288043</v>
      </c>
      <c r="X27" s="13">
        <v>0.92330997567247097</v>
      </c>
      <c r="Y27" s="13"/>
      <c r="Z27" s="13">
        <v>0.8567684545662263</v>
      </c>
    </row>
    <row r="28" spans="1:26" ht="24.95" customHeight="1">
      <c r="A28" s="14">
        <v>7</v>
      </c>
      <c r="B28" s="14" t="s">
        <v>22</v>
      </c>
      <c r="D28" s="3">
        <f>'[1]Demand Loss Factor'!$G$53*F28</f>
        <v>7635.8444925100857</v>
      </c>
      <c r="E28" s="3"/>
      <c r="F28" s="3">
        <f>'[2]GS PRI SMALL'!$S$28/'[2]GS PRI SMALL'!$I$28*'[3]PRIMARY  &lt; 10kW'!$F$28</f>
        <v>7484.6726387536501</v>
      </c>
      <c r="G28" s="3"/>
      <c r="H28" s="3">
        <f>'[1]Demand Loss Factor'!$G$53*J28</f>
        <v>3447.2032488641194</v>
      </c>
      <c r="I28" s="3"/>
      <c r="J28" s="3">
        <f>'[2]GS PRI SMALL'!$S$28/'[2]GS PRI SMALL'!$I$28*'[3]PRIMARY  &lt; 10kW'!$J$28</f>
        <v>3378.9566906848427</v>
      </c>
      <c r="K28" s="3"/>
      <c r="L28" s="3">
        <f>'[1]Demand Loss Factor'!$G$53*N28</f>
        <v>3377.3630575077414</v>
      </c>
      <c r="N28" s="3">
        <f>'[2]GS PRI SMALL'!$S$28/'[2]GS PRI SMALL'!$I$28*'[3]PRIMARY  &lt; 10kW'!$N$28</f>
        <v>3310.4991716975005</v>
      </c>
      <c r="O28" s="3"/>
      <c r="P28" s="3">
        <f>'[1]Demand Loss Factor'!$G$53*R28</f>
        <v>3240.0115026295584</v>
      </c>
      <c r="R28" s="3">
        <f>'[2]GS PRI SMALL'!$S$28/'[2]GS PRI SMALL'!$I$28*'[3]PRIMARY  &lt; 10kW'!$R$28</f>
        <v>3175.8668562155144</v>
      </c>
      <c r="S28" s="3"/>
      <c r="T28" s="3">
        <f>'[1]Energy Loss Factor'!$G$53*V28</f>
        <v>2277557.4131981749</v>
      </c>
      <c r="V28" s="3">
        <f>'[2]GS PRI SMALL'!$S$28</f>
        <v>2243759.1976630962</v>
      </c>
      <c r="X28" s="13">
        <v>0.97974004248824298</v>
      </c>
      <c r="Y28" s="13"/>
      <c r="Z28" s="13">
        <v>0.8840301188901577</v>
      </c>
    </row>
    <row r="29" spans="1:26" ht="24.95" customHeight="1">
      <c r="A29" s="14">
        <v>8</v>
      </c>
      <c r="B29" s="14" t="s">
        <v>23</v>
      </c>
      <c r="D29" s="3">
        <f>'[1]Demand Loss Factor'!$G$53*F29</f>
        <v>8504.883418894633</v>
      </c>
      <c r="E29" s="3"/>
      <c r="F29" s="3">
        <f>'[2]GS PRI SMALL'!$S$30/'[2]GS PRI SMALL'!$I$30*'[3]PRIMARY  &lt; 10kW'!$F$29</f>
        <v>8336.506627869383</v>
      </c>
      <c r="G29" s="3"/>
      <c r="H29" s="3">
        <f>'[1]Demand Loss Factor'!$G$53*J29</f>
        <v>4044.9205083537877</v>
      </c>
      <c r="I29" s="3"/>
      <c r="J29" s="3">
        <f>'[2]GS PRI SMALL'!$S$30/'[2]GS PRI SMALL'!$I$30*'[3]PRIMARY  &lt; 10kW'!$J$29</f>
        <v>3964.8405470417074</v>
      </c>
      <c r="K29" s="3"/>
      <c r="L29" s="3">
        <f>'[1]Demand Loss Factor'!$G$53*N29</f>
        <v>3279.4994117057709</v>
      </c>
      <c r="N29" s="3">
        <f>'[2]GS PRI SMALL'!$S$30/'[2]GS PRI SMALL'!$I$30*'[3]PRIMARY  &lt; 10kW'!$N$29</f>
        <v>3214.5729970902039</v>
      </c>
      <c r="O29" s="3"/>
      <c r="P29" s="3">
        <f>'[1]Demand Loss Factor'!$G$53*R29</f>
        <v>3256.5837883603813</v>
      </c>
      <c r="R29" s="3">
        <f>'[2]GS PRI SMALL'!$S$30/'[2]GS PRI SMALL'!$I$30*'[3]PRIMARY  &lt; 10kW'!$R$29</f>
        <v>3192.1110494665377</v>
      </c>
      <c r="S29" s="3"/>
      <c r="T29" s="3">
        <f>'[1]Energy Loss Factor'!$G$53*V29</f>
        <v>2329492.3870805339</v>
      </c>
      <c r="V29" s="3">
        <f>'[2]GS PRI SMALL'!$S$30</f>
        <v>2294923.473326867</v>
      </c>
      <c r="X29" s="13">
        <v>0.81076980497707485</v>
      </c>
      <c r="Y29" s="13"/>
      <c r="Z29" s="13">
        <v>0.79124568651183846</v>
      </c>
    </row>
    <row r="30" spans="1:26" ht="24.95" customHeight="1">
      <c r="A30" s="14">
        <v>9</v>
      </c>
      <c r="B30" s="14" t="s">
        <v>24</v>
      </c>
      <c r="D30" s="3">
        <f>'[1]Demand Loss Factor'!$G$53*F30</f>
        <v>7479.9063488190632</v>
      </c>
      <c r="E30" s="3"/>
      <c r="F30" s="3">
        <f>'[2]GS PRI SMALL'!$S$32/'[2]GS PRI SMALL'!$I$32*'[3]PRIMARY  &lt; 10kW'!$F$30</f>
        <v>7331.8217054263569</v>
      </c>
      <c r="G30" s="3"/>
      <c r="H30" s="3">
        <f>'[1]Demand Loss Factor'!$G$53*J30</f>
        <v>4336.8415262842555</v>
      </c>
      <c r="I30" s="3"/>
      <c r="J30" s="3">
        <f>'[2]GS PRI SMALL'!$S$32/'[2]GS PRI SMALL'!$I$32*'[3]PRIMARY  &lt; 10kW'!$J$30</f>
        <v>4250.9822118863049</v>
      </c>
      <c r="K30" s="3"/>
      <c r="L30" s="3">
        <f>'[1]Demand Loss Factor'!$G$53*N30</f>
        <v>3636.2440685141291</v>
      </c>
      <c r="N30" s="3">
        <f>'[2]GS PRI SMALL'!$S$32/'[2]GS PRI SMALL'!$I$32*'[3]PRIMARY  &lt; 10kW'!$N$30</f>
        <v>3564.2549444444444</v>
      </c>
      <c r="O30" s="3"/>
      <c r="P30" s="3">
        <f>'[1]Demand Loss Factor'!$G$53*R30</f>
        <v>3673.7171731075568</v>
      </c>
      <c r="R30" s="3">
        <f>'[2]GS PRI SMALL'!$S$32/'[2]GS PRI SMALL'!$I$32*'[3]PRIMARY  &lt; 10kW'!$R$30</f>
        <v>3600.9861692506461</v>
      </c>
      <c r="S30" s="3"/>
      <c r="T30" s="3">
        <f>'[1]Energy Loss Factor'!$G$53*V30</f>
        <v>2480656.5545548471</v>
      </c>
      <c r="V30" s="3">
        <f>'[2]GS PRI SMALL'!$S$32</f>
        <v>2443844.4134366927</v>
      </c>
      <c r="X30" s="13">
        <v>0.8384544481222056</v>
      </c>
      <c r="Y30" s="13"/>
      <c r="Z30" s="13">
        <v>0.79026801167008265</v>
      </c>
    </row>
    <row r="31" spans="1:26" ht="24.95" customHeight="1">
      <c r="A31" s="14">
        <v>10</v>
      </c>
      <c r="B31" s="14" t="s">
        <v>25</v>
      </c>
      <c r="D31" s="3">
        <f>'[1]Demand Loss Factor'!$G$53*F31</f>
        <v>7657.2923568516508</v>
      </c>
      <c r="E31" s="3"/>
      <c r="F31" s="3">
        <f>'[2]GS PRI SMALL'!$S$34/'[2]GS PRI SMALL'!$I$34*'[3]PRIMARY  &lt; 10kW'!$F$31</f>
        <v>7505.695885567342</v>
      </c>
      <c r="G31" s="3"/>
      <c r="H31" s="3">
        <f>'[1]Demand Loss Factor'!$G$53*J31</f>
        <v>3594.8709210190609</v>
      </c>
      <c r="I31" s="3"/>
      <c r="J31" s="3">
        <f>'[2]GS PRI SMALL'!$S$34/'[2]GS PRI SMALL'!$I$34*'[3]PRIMARY  &lt; 10kW'!$J$31</f>
        <v>3523.7008884603024</v>
      </c>
      <c r="K31" s="3"/>
      <c r="L31" s="3">
        <f>'[1]Demand Loss Factor'!$G$53*N31</f>
        <v>3069.5065726789599</v>
      </c>
      <c r="N31" s="3">
        <f>'[2]GS PRI SMALL'!$S$34/'[2]GS PRI SMALL'!$I$34*'[3]PRIMARY  &lt; 10kW'!$N$31</f>
        <v>3008.7375249116044</v>
      </c>
      <c r="O31" s="3"/>
      <c r="P31" s="3">
        <f>'[1]Demand Loss Factor'!$G$53*R31</f>
        <v>3069.5065726789599</v>
      </c>
      <c r="R31" s="3">
        <f>'[2]GS PRI SMALL'!$S$34/'[2]GS PRI SMALL'!$I$34*'[3]PRIMARY  &lt; 10kW'!$R$31</f>
        <v>3008.7375249116044</v>
      </c>
      <c r="S31" s="3"/>
      <c r="T31" s="3">
        <f>'[1]Energy Loss Factor'!$G$53*V31</f>
        <v>2294607.4674784872</v>
      </c>
      <c r="V31" s="3">
        <f>'[2]GS PRI SMALL'!$S$34</f>
        <v>2260556.2346512377</v>
      </c>
      <c r="X31" s="13">
        <v>0.85385724275430375</v>
      </c>
      <c r="Y31" s="13"/>
      <c r="Z31" s="13">
        <v>0.88471304333916023</v>
      </c>
    </row>
    <row r="32" spans="1:26" ht="24.95" customHeight="1">
      <c r="A32" s="14">
        <v>11</v>
      </c>
      <c r="B32" s="14" t="s">
        <v>26</v>
      </c>
      <c r="D32" s="3">
        <f>'[1]Demand Loss Factor'!$G$53*F32</f>
        <v>7627.9941340286086</v>
      </c>
      <c r="E32" s="3"/>
      <c r="F32" s="3">
        <f>'[2]GS PRI SMALL'!$S$36/'[2]GS PRI SMALL'!$I$36*'[3]PRIMARY  &lt; 10kW'!$F$32</f>
        <v>7476.9776990009668</v>
      </c>
      <c r="G32" s="3"/>
      <c r="H32" s="3">
        <f>'[1]Demand Loss Factor'!$G$53*J32</f>
        <v>3614.9380054643725</v>
      </c>
      <c r="I32" s="3"/>
      <c r="J32" s="3">
        <f>'[2]GS PRI SMALL'!$S$36/'[2]GS PRI SMALL'!$I$36*'[3]PRIMARY  &lt; 10kW'!$J$32</f>
        <v>3543.3706915887851</v>
      </c>
      <c r="K32" s="3"/>
      <c r="L32" s="3">
        <f>'[1]Demand Loss Factor'!$G$53*N32</f>
        <v>3197.4567792885809</v>
      </c>
      <c r="N32" s="3">
        <f>'[2]GS PRI SMALL'!$S$36/'[2]GS PRI SMALL'!$I$36*'[3]PRIMARY  &lt; 10kW'!$N$32</f>
        <v>3134.1546168224299</v>
      </c>
      <c r="O32" s="3"/>
      <c r="P32" s="3">
        <f>'[1]Demand Loss Factor'!$G$53*R32</f>
        <v>3295.2225059185726</v>
      </c>
      <c r="R32" s="3">
        <f>'[2]GS PRI SMALL'!$S$36/'[2]GS PRI SMALL'!$I$36*'[3]PRIMARY  &lt; 10kW'!$R$32</f>
        <v>3229.9848108282308</v>
      </c>
      <c r="S32" s="3"/>
      <c r="T32" s="3">
        <f>'[1]Energy Loss Factor'!$G$53*V32</f>
        <v>2298325.0859036813</v>
      </c>
      <c r="V32" s="3">
        <f>'[2]GS PRI SMALL'!$S$36</f>
        <v>2264218.684821141</v>
      </c>
      <c r="X32" s="13">
        <v>0.88451220310148526</v>
      </c>
      <c r="Y32" s="13"/>
      <c r="Z32" s="13">
        <v>0.90481161500798279</v>
      </c>
    </row>
    <row r="33" spans="1:26" ht="24.95" customHeight="1" thickBot="1">
      <c r="A33" s="14">
        <v>12</v>
      </c>
      <c r="B33" s="14" t="s">
        <v>27</v>
      </c>
      <c r="D33" s="3">
        <f>'[1]Demand Loss Factor'!$G$53*F33</f>
        <v>8672.0870313095202</v>
      </c>
      <c r="E33" s="3"/>
      <c r="F33" s="3">
        <f>'[2]GS PRI SMALL'!$S$38/'[2]GS PRI SMALL'!$I$38*'[3]PRIMARY  &lt; 10kW'!$F$33</f>
        <v>8500.3999999999996</v>
      </c>
      <c r="G33" s="3"/>
      <c r="H33" s="3">
        <f>'[1]Demand Loss Factor'!$G$53*J33</f>
        <v>4234.4808117654229</v>
      </c>
      <c r="I33" s="3"/>
      <c r="J33" s="3">
        <f>'[2]GS PRI SMALL'!$S$38/'[2]GS PRI SMALL'!$I$38*'[3]PRIMARY  &lt; 10kW'!$J$33</f>
        <v>4150.6480000000001</v>
      </c>
      <c r="K33" s="3"/>
      <c r="L33" s="3">
        <f>'[1]Demand Loss Factor'!$G$53*N33</f>
        <v>3404.7745696093584</v>
      </c>
      <c r="N33" s="3">
        <f>'[2]GS PRI SMALL'!$S$38/'[2]GS PRI SMALL'!$I$38*'[3]PRIMARY  &lt; 10kW'!$N$33</f>
        <v>3337.3679999999999</v>
      </c>
      <c r="O33" s="3"/>
      <c r="P33" s="3">
        <f>'[1]Demand Loss Factor'!$G$53*R33</f>
        <v>3078.7561681137354</v>
      </c>
      <c r="Q33" s="15"/>
      <c r="R33" s="3">
        <f>'[2]GS PRI SMALL'!$S$38/'[2]GS PRI SMALL'!$I$38*'[3]PRIMARY  &lt; 10kW'!$R$33</f>
        <v>3017.8040000000001</v>
      </c>
      <c r="S33" s="3"/>
      <c r="T33" s="16">
        <f>'[1]Energy Loss Factor'!$G$53*V33</f>
        <v>2455051.1654232657</v>
      </c>
      <c r="V33" s="16">
        <f>'[2]GS PRI SMALL'!$S$38</f>
        <v>2418619</v>
      </c>
      <c r="X33" s="13">
        <v>0.80405951070772563</v>
      </c>
      <c r="Y33" s="13"/>
      <c r="Z33" s="13">
        <v>0.77293589789104733</v>
      </c>
    </row>
    <row r="34" spans="1:22" ht="24.95" customHeight="1" thickTop="1">
      <c r="A34" s="14">
        <v>13</v>
      </c>
      <c r="E34" s="3"/>
      <c r="G34" s="3"/>
      <c r="I34" s="3"/>
      <c r="K34" s="3"/>
      <c r="O34" s="3"/>
      <c r="S34" s="3"/>
      <c r="T34" s="15">
        <f>+SUM(T22:T33)</f>
        <v>28244405.963678248</v>
      </c>
      <c r="U34" s="15"/>
      <c r="V34" s="15">
        <f>SUM(V22:V33)</f>
        <v>27825268.112360515</v>
      </c>
    </row>
    <row r="35" spans="1:22" ht="24.95" customHeight="1">
      <c r="A35" s="14"/>
      <c r="E35" s="3"/>
      <c r="G35" s="3"/>
      <c r="I35" s="3"/>
      <c r="K35" s="3"/>
      <c r="O35" s="3"/>
      <c r="S35" s="3"/>
      <c r="T35" s="15"/>
      <c r="U35" s="15"/>
      <c r="V35" s="15"/>
    </row>
    <row r="36" spans="1:22" ht="18.75" customHeight="1">
      <c r="A36" s="14"/>
      <c r="E36" s="3"/>
      <c r="G36" s="3"/>
      <c r="I36" s="3"/>
      <c r="K36" s="3"/>
      <c r="O36" s="3"/>
      <c r="S36" s="3"/>
      <c r="T36" s="15"/>
      <c r="U36" s="15"/>
      <c r="V36" s="15"/>
    </row>
    <row r="37" spans="1:19" ht="15" customHeight="1">
      <c r="A37" s="2" t="s">
        <v>55</v>
      </c>
      <c r="E37" s="3"/>
      <c r="G37" s="3"/>
      <c r="I37" s="3"/>
      <c r="K37" s="3"/>
      <c r="O37" s="3"/>
      <c r="S37" s="3"/>
    </row>
    <row r="38" spans="1:19" ht="15" customHeight="1">
      <c r="A38" s="2" t="s">
        <v>28</v>
      </c>
      <c r="E38" s="3"/>
      <c r="G38" s="3"/>
      <c r="I38" s="3"/>
      <c r="K38" s="3"/>
      <c r="O38" s="3"/>
      <c r="S38" s="3"/>
    </row>
    <row r="39" spans="1:19" ht="15" customHeight="1">
      <c r="A39" s="4" t="s">
        <v>29</v>
      </c>
      <c r="E39" s="3"/>
      <c r="G39" s="3"/>
      <c r="I39" s="3"/>
      <c r="K39" s="3"/>
      <c r="O39" s="3"/>
      <c r="S39" s="3"/>
    </row>
  </sheetData>
  <pageMargins left="0.5" right="1" top="1.5" bottom="0.5" header="0.5" footer="0.5"/>
  <pageSetup orientation="landscape" scale="5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A1:Z39"/>
  <sheetViews>
    <sheetView zoomScale="75" zoomScaleNormal="75" workbookViewId="0" topLeftCell="A1">
      <selection pane="topLeft" activeCell="D30" sqref="D30"/>
    </sheetView>
  </sheetViews>
  <sheetFormatPr defaultColWidth="9.14428571428571" defaultRowHeight="18.75" customHeight="1"/>
  <cols>
    <col min="1" max="1" width="4.71428571428571" style="2" customWidth="1"/>
    <col min="2" max="3" width="7.71428571428571" style="2" customWidth="1"/>
    <col min="4" max="4" width="20.5714285714286" style="3" customWidth="1"/>
    <col min="5" max="5" width="2.71428571428571" style="2" customWidth="1"/>
    <col min="6" max="6" width="20.8571428571429" style="3" customWidth="1"/>
    <col min="7" max="7" width="5.71428571428571" style="2" customWidth="1"/>
    <col min="8" max="8" width="13.8571428571429" style="3" customWidth="1"/>
    <col min="9" max="9" width="2.71428571428571" style="2" customWidth="1"/>
    <col min="10" max="10" width="14.8571428571429" style="3" customWidth="1"/>
    <col min="11" max="11" width="5.71428571428571" style="2" customWidth="1"/>
    <col min="12" max="12" width="14.4285714285714" style="3" customWidth="1"/>
    <col min="13" max="13" width="2.71428571428571" style="3" customWidth="1"/>
    <col min="14" max="14" width="13.2857142857143" style="3" customWidth="1"/>
    <col min="15" max="15" width="5.71428571428571" style="2" customWidth="1"/>
    <col min="16" max="16" width="13.1428571428571" style="3" customWidth="1"/>
    <col min="17" max="17" width="2.71428571428571" style="3" customWidth="1"/>
    <col min="18" max="18" width="13.8571428571429" style="3" customWidth="1"/>
    <col min="19" max="19" width="5.71428571428571" style="2" customWidth="1"/>
    <col min="20" max="20" width="20.5714285714286" style="3" customWidth="1"/>
    <col min="21" max="21" width="2.71428571428571" style="3" customWidth="1"/>
    <col min="22" max="22" width="20.1428571428571" style="3" customWidth="1"/>
    <col min="23" max="23" width="3.71428571428571" style="2" customWidth="1"/>
    <col min="24" max="24" width="9.28571428571429" style="2" customWidth="1"/>
    <col min="25" max="25" width="1.71428571428571" style="2" customWidth="1"/>
    <col min="26" max="26" width="9.71428571428571" style="2" customWidth="1"/>
    <col min="27" max="16384" width="9.14285714285714" style="2"/>
  </cols>
  <sheetData>
    <row r="1" spans="1:22" ht="18.75" customHeight="1">
      <c r="A1" s="6"/>
      <c r="V1" s="2" t="s">
        <v>63</v>
      </c>
    </row>
    <row r="2" spans="22:22" ht="18.75" customHeight="1">
      <c r="V2" s="2" t="s">
        <v>71</v>
      </c>
    </row>
    <row r="7" spans="1:26" ht="18.75" customHeight="1">
      <c r="A7" s="7" t="s">
        <v>77</v>
      </c>
      <c r="B7" s="8"/>
      <c r="C7" s="8"/>
      <c r="D7" s="8"/>
      <c r="E7" s="8"/>
      <c r="F7" s="9"/>
      <c r="G7" s="8"/>
      <c r="H7" s="8"/>
      <c r="I7" s="8"/>
      <c r="J7" s="10"/>
      <c r="K7" s="7"/>
      <c r="L7" s="7"/>
      <c r="M7" s="8"/>
      <c r="N7" s="7"/>
      <c r="O7" s="9"/>
      <c r="P7" s="8"/>
      <c r="Q7" s="8"/>
      <c r="R7" s="9"/>
      <c r="S7" s="8"/>
      <c r="T7" s="8"/>
      <c r="U7" s="8"/>
      <c r="V7" s="8"/>
      <c r="W7" s="8"/>
      <c r="X7" s="8"/>
      <c r="Y7" s="8"/>
      <c r="Z7" s="8"/>
    </row>
    <row r="8" spans="1:26" ht="18" customHeight="1">
      <c r="A8" s="7" t="s">
        <v>40</v>
      </c>
      <c r="B8" s="8"/>
      <c r="C8" s="8"/>
      <c r="D8" s="8"/>
      <c r="E8" s="8"/>
      <c r="F8" s="9"/>
      <c r="G8" s="8"/>
      <c r="H8" s="8"/>
      <c r="I8" s="8"/>
      <c r="J8" s="10"/>
      <c r="K8" s="7"/>
      <c r="L8" s="10"/>
      <c r="M8" s="9"/>
      <c r="N8" s="7"/>
      <c r="O8" s="10"/>
      <c r="P8" s="8"/>
      <c r="Q8" s="8"/>
      <c r="R8" s="10"/>
      <c r="S8" s="7"/>
      <c r="T8" s="8"/>
      <c r="U8" s="8"/>
      <c r="V8" s="8"/>
      <c r="W8" s="8"/>
      <c r="X8" s="8"/>
      <c r="Y8" s="8"/>
      <c r="Z8" s="8"/>
    </row>
    <row r="9" spans="1:26" ht="18" customHeight="1">
      <c r="A9" s="7" t="s">
        <v>45</v>
      </c>
      <c r="B9" s="8"/>
      <c r="C9" s="8"/>
      <c r="D9" s="8"/>
      <c r="E9" s="8"/>
      <c r="F9" s="9"/>
      <c r="G9" s="7"/>
      <c r="H9" s="8"/>
      <c r="I9" s="8"/>
      <c r="J9" s="10"/>
      <c r="K9" s="7"/>
      <c r="L9" s="7"/>
      <c r="M9" s="9"/>
      <c r="N9" s="9"/>
      <c r="O9" s="9"/>
      <c r="P9" s="8"/>
      <c r="Q9" s="7"/>
      <c r="R9" s="10"/>
      <c r="S9" s="7"/>
      <c r="T9" s="8"/>
      <c r="U9" s="8"/>
      <c r="V9" s="8"/>
      <c r="W9" s="8"/>
      <c r="X9" s="8"/>
      <c r="Y9" s="8"/>
      <c r="Z9" s="8"/>
    </row>
    <row r="10" spans="1:26" ht="18" customHeight="1">
      <c r="A10" s="7" t="s">
        <v>79</v>
      </c>
      <c r="B10" s="8"/>
      <c r="C10" s="8"/>
      <c r="D10" s="8"/>
      <c r="E10" s="8"/>
      <c r="F10" s="8"/>
      <c r="G10" s="7"/>
      <c r="H10" s="8"/>
      <c r="I10" s="8"/>
      <c r="J10" s="7"/>
      <c r="K10" s="7"/>
      <c r="L10" s="10"/>
      <c r="M10" s="9"/>
      <c r="N10" s="9"/>
      <c r="O10" s="9"/>
      <c r="P10" s="8"/>
      <c r="Q10" s="7"/>
      <c r="R10" s="10"/>
      <c r="S10" s="7"/>
      <c r="T10" s="8"/>
      <c r="U10" s="8"/>
      <c r="V10" s="8"/>
      <c r="W10" s="8"/>
      <c r="X10" s="8"/>
      <c r="Y10" s="8"/>
      <c r="Z10" s="8"/>
    </row>
    <row r="11" spans="1:26" ht="18" customHeight="1">
      <c r="A11" s="8"/>
      <c r="B11" s="8"/>
      <c r="C11" s="8"/>
      <c r="D11" s="8"/>
      <c r="E11" s="8"/>
      <c r="F11" s="9"/>
      <c r="G11" s="8"/>
      <c r="H11" s="8"/>
      <c r="I11" s="8"/>
      <c r="J11" s="10"/>
      <c r="K11" s="7"/>
      <c r="L11" s="10"/>
      <c r="M11" s="9"/>
      <c r="N11" s="9"/>
      <c r="O11" s="9"/>
      <c r="P11" s="8"/>
      <c r="Q11" s="8"/>
      <c r="R11" s="9"/>
      <c r="S11" s="8"/>
      <c r="T11" s="8"/>
      <c r="U11" s="8"/>
      <c r="V11" s="8"/>
      <c r="W11" s="8"/>
      <c r="X11" s="8"/>
      <c r="Y11" s="8"/>
      <c r="Z11" s="8"/>
    </row>
    <row r="12" spans="1:26" ht="18.75" customHeight="1">
      <c r="A12" s="7" t="s">
        <v>43</v>
      </c>
      <c r="B12" s="8"/>
      <c r="C12" s="8"/>
      <c r="D12" s="8"/>
      <c r="E12" s="8"/>
      <c r="F12" s="9"/>
      <c r="G12" s="8"/>
      <c r="H12" s="8"/>
      <c r="I12" s="8"/>
      <c r="J12" s="10"/>
      <c r="K12" s="7"/>
      <c r="L12" s="10"/>
      <c r="M12" s="9"/>
      <c r="N12" s="10"/>
      <c r="O12" s="10"/>
      <c r="P12" s="8"/>
      <c r="Q12" s="8"/>
      <c r="R12" s="9"/>
      <c r="S12" s="8"/>
      <c r="T12" s="8"/>
      <c r="U12" s="8"/>
      <c r="V12" s="8"/>
      <c r="W12" s="8"/>
      <c r="X12" s="8"/>
      <c r="Y12" s="8"/>
      <c r="Z12" s="8"/>
    </row>
    <row r="13" spans="1:26" ht="18.75" customHeight="1">
      <c r="A13" s="8"/>
      <c r="B13" s="8"/>
      <c r="C13" s="8"/>
      <c r="D13" s="8"/>
      <c r="E13" s="8"/>
      <c r="F13" s="9"/>
      <c r="G13" s="8"/>
      <c r="H13" s="8"/>
      <c r="I13" s="8"/>
      <c r="J13" s="9"/>
      <c r="K13" s="8"/>
      <c r="L13" s="8"/>
      <c r="M13" s="9"/>
      <c r="N13" s="8"/>
      <c r="O13" s="10"/>
      <c r="P13" s="8"/>
      <c r="Q13" s="8"/>
      <c r="R13" s="9"/>
      <c r="S13" s="8"/>
      <c r="T13" s="8"/>
      <c r="U13" s="8"/>
      <c r="V13" s="8"/>
      <c r="W13" s="8"/>
      <c r="X13" s="8"/>
      <c r="Y13" s="8"/>
      <c r="Z13" s="8"/>
    </row>
    <row r="14" spans="1:1" ht="18.75" customHeight="1">
      <c r="A14" s="2" t="s">
        <v>42</v>
      </c>
    </row>
    <row r="15" spans="1:1" ht="18.75" customHeight="1">
      <c r="A15" s="2" t="s">
        <v>33</v>
      </c>
    </row>
    <row r="16" spans="1:1" ht="18.75" customHeight="1">
      <c r="A16" s="1"/>
    </row>
    <row r="17" spans="4:26" ht="15" customHeight="1">
      <c r="D17" s="4" t="s">
        <v>48</v>
      </c>
      <c r="E17" s="4"/>
      <c r="F17" s="4" t="s">
        <v>49</v>
      </c>
      <c r="G17" s="4"/>
      <c r="H17" s="4" t="s">
        <v>62</v>
      </c>
      <c r="I17" s="4"/>
      <c r="J17" s="4" t="s">
        <v>38</v>
      </c>
      <c r="K17" s="4"/>
      <c r="L17" s="4" t="s">
        <v>67</v>
      </c>
      <c r="M17" s="4"/>
      <c r="N17" s="4" t="s">
        <v>44</v>
      </c>
      <c r="O17" s="4"/>
      <c r="P17" s="4" t="s">
        <v>65</v>
      </c>
      <c r="Q17" s="4"/>
      <c r="R17" s="4" t="s">
        <v>66</v>
      </c>
      <c r="S17" s="4"/>
      <c r="T17" s="4" t="s">
        <v>61</v>
      </c>
      <c r="U17" s="4"/>
      <c r="V17" s="4" t="s">
        <v>54</v>
      </c>
      <c r="W17" s="4"/>
      <c r="X17" s="4" t="s">
        <v>57</v>
      </c>
      <c r="Y17" s="4"/>
      <c r="Z17" s="4" t="s">
        <v>58</v>
      </c>
    </row>
    <row r="18" spans="4:6" s="4" customFormat="1" ht="18.75" customHeight="1">
      <c r="D18" s="4" t="s">
        <v>50</v>
      </c>
      <c r="F18" s="4" t="s">
        <v>50</v>
      </c>
    </row>
    <row r="19" spans="1:24" ht="18.75" customHeight="1">
      <c r="A19" s="2" t="s">
        <v>2</v>
      </c>
      <c r="D19" s="3" t="s">
        <v>52</v>
      </c>
      <c r="F19" s="3" t="s">
        <v>52</v>
      </c>
      <c r="H19" s="3" t="s">
        <v>6</v>
      </c>
      <c r="I19" s="3"/>
      <c r="J19" s="3" t="s">
        <v>56</v>
      </c>
      <c r="L19" s="3" t="s">
        <v>4</v>
      </c>
      <c r="M19" s="2" t="s">
        <v>5</v>
      </c>
      <c r="N19" s="3" t="s">
        <v>4</v>
      </c>
      <c r="P19" s="3" t="s">
        <v>3</v>
      </c>
      <c r="R19" s="3" t="s">
        <v>3</v>
      </c>
      <c r="T19" s="3" t="s">
        <v>7</v>
      </c>
      <c r="V19" s="3" t="s">
        <v>8</v>
      </c>
      <c r="X19" s="2" t="s">
        <v>59</v>
      </c>
    </row>
    <row r="20" spans="1:26" ht="18.75" customHeight="1">
      <c r="A20" s="11" t="s">
        <v>9</v>
      </c>
      <c r="B20" s="11" t="s">
        <v>10</v>
      </c>
      <c r="D20" s="5" t="s">
        <v>51</v>
      </c>
      <c r="F20" s="5" t="s">
        <v>53</v>
      </c>
      <c r="H20" s="5" t="s">
        <v>11</v>
      </c>
      <c r="I20" s="3"/>
      <c r="J20" s="5" t="s">
        <v>12</v>
      </c>
      <c r="L20" s="5" t="s">
        <v>11</v>
      </c>
      <c r="M20" s="2"/>
      <c r="N20" s="5" t="s">
        <v>12</v>
      </c>
      <c r="P20" s="5" t="s">
        <v>11</v>
      </c>
      <c r="R20" s="5" t="s">
        <v>12</v>
      </c>
      <c r="T20" s="5" t="s">
        <v>13</v>
      </c>
      <c r="V20" s="5" t="s">
        <v>14</v>
      </c>
      <c r="X20" s="12" t="s">
        <v>15</v>
      </c>
      <c r="Z20" s="12" t="s">
        <v>60</v>
      </c>
    </row>
    <row r="21" spans="4:22" ht="18" customHeight="1">
      <c r="D21" s="2"/>
      <c r="F21" s="2"/>
      <c r="H21" s="2"/>
      <c r="J21" s="2"/>
      <c r="L21" s="2"/>
      <c r="M21" s="2"/>
      <c r="N21" s="2"/>
      <c r="P21" s="2"/>
      <c r="Q21" s="2"/>
      <c r="R21" s="2"/>
      <c r="T21" s="2"/>
      <c r="U21" s="2"/>
      <c r="V21" s="2"/>
    </row>
    <row r="22" spans="1:26" ht="24.95" customHeight="1">
      <c r="A22" s="14">
        <v>1</v>
      </c>
      <c r="B22" s="14" t="s">
        <v>16</v>
      </c>
      <c r="D22" s="3">
        <f>'[1]Demand Loss Factor'!$G$53*F22</f>
        <v>2863334.023451196</v>
      </c>
      <c r="E22" s="3"/>
      <c r="F22" s="3">
        <f>('[2]GS PRI LRG IDR '!$S$16+'[2]GS PRI LRG NONIDR'!$S$16)/('[2]GS PRI LRG NONIDR'!$I$16+'[2]GS PRI LRG IDR '!$I$16)*'[3]PRIMARY  &gt; 10kW DLS'!$F$22</f>
        <v>2806646.7097331686</v>
      </c>
      <c r="G22" s="3"/>
      <c r="H22" s="3">
        <f>'[1]Demand Loss Factor'!$G$53*J22</f>
        <v>2042661.2987289294</v>
      </c>
      <c r="I22" s="3"/>
      <c r="J22" s="3">
        <f>('[2]GS PRI LRG IDR '!$S$16+'[2]GS PRI LRG NONIDR'!$S$16)/('[2]GS PRI LRG NONIDR'!$I$16+'[2]GS PRI LRG IDR '!$I$16)*'[3]PRIMARY  &gt; 10kW DLS'!$J$22</f>
        <v>2002221.3846594021</v>
      </c>
      <c r="K22" s="3"/>
      <c r="L22" s="3">
        <f>'[1]Demand Loss Factor'!$G$53*N22</f>
        <v>1945595.4569996852</v>
      </c>
      <c r="N22" s="3">
        <f>('[2]GS PRI LRG IDR '!$S$16+'[2]GS PRI LRG NONIDR'!$S$16)/('[2]GS PRI LRG NONIDR'!$I$16+'[2]GS PRI LRG IDR '!$I$16)*'[3]PRIMARY  &gt; 10kW DLS'!$N$22</f>
        <v>1907077.219470982</v>
      </c>
      <c r="O22" s="3"/>
      <c r="P22" s="3">
        <f>'[1]Demand Loss Factor'!$G$53*R22</f>
        <v>1943377.6739629388</v>
      </c>
      <c r="R22" s="3">
        <f>('[2]GS PRI LRG IDR '!$S$16+'[2]GS PRI LRG NONIDR'!$S$16)/('[2]GS PRI LRG NONIDR'!$I$16+'[2]GS PRI LRG IDR '!$I$16)*'[3]PRIMARY  &gt; 10kW DLS'!$R$22</f>
        <v>1904903.3433489488</v>
      </c>
      <c r="S22" s="3"/>
      <c r="T22" s="3">
        <f>'[1]Energy Loss Factor'!$G$53*V22</f>
        <v>1417751471.4815002</v>
      </c>
      <c r="V22" s="3">
        <f>'[2]GS PRI LRG NONIDR'!$S$16+'[2]GS PRI LRG IDR '!$S$16</f>
        <v>1396712498.0924516</v>
      </c>
      <c r="X22" s="13">
        <v>0.95248069673144309</v>
      </c>
      <c r="Y22" s="13"/>
      <c r="Z22" s="13">
        <v>0.93189981276475398</v>
      </c>
    </row>
    <row r="23" spans="1:26" ht="24.95" customHeight="1">
      <c r="A23" s="14">
        <v>2</v>
      </c>
      <c r="B23" s="14" t="s">
        <v>17</v>
      </c>
      <c r="D23" s="3">
        <f>'[1]Demand Loss Factor'!$G$53*F23</f>
        <v>2960583.1056412593</v>
      </c>
      <c r="E23" s="3"/>
      <c r="F23" s="3">
        <f>('[2]GS PRI LRG IDR '!$S$18+'[2]GS PRI LRG NONIDR'!$S$18)/('[2]GS PRI LRG NONIDR'!$I$18+'[2]GS PRI LRG IDR '!$I$18)*'[3]PRIMARY  &gt; 10kW DLS'!$F$23</f>
        <v>2901970.4876500499</v>
      </c>
      <c r="G23" s="3"/>
      <c r="H23" s="3">
        <f>'[1]Demand Loss Factor'!$G$53*J23</f>
        <v>2067073.9680441772</v>
      </c>
      <c r="I23" s="3"/>
      <c r="J23" s="3">
        <f>('[2]GS PRI LRG IDR '!$S$18+'[2]GS PRI LRG NONIDR'!$S$18)/('[2]GS PRI LRG NONIDR'!$I$18+'[2]GS PRI LRG IDR '!$I$18)*'[3]PRIMARY  &gt; 10kW DLS'!$J$23</f>
        <v>2026150.7402456773</v>
      </c>
      <c r="K23" s="3"/>
      <c r="L23" s="3">
        <f>'[1]Demand Loss Factor'!$G$53*N23</f>
        <v>1160486.4005300426</v>
      </c>
      <c r="N23" s="3">
        <f>('[2]GS PRI LRG IDR '!$S$18+'[2]GS PRI LRG NONIDR'!$S$18)/('[2]GS PRI LRG NONIDR'!$I$18+'[2]GS PRI LRG IDR '!$I$18)*'[3]PRIMARY  &gt; 10kW DLS'!$N$23</f>
        <v>1137511.4852342503</v>
      </c>
      <c r="O23" s="3"/>
      <c r="P23" s="3">
        <f>'[1]Demand Loss Factor'!$G$53*R23</f>
        <v>1154333.0088384079</v>
      </c>
      <c r="R23" s="3">
        <f>('[2]GS PRI LRG IDR '!$S$18+'[2]GS PRI LRG NONIDR'!$S$18)/('[2]GS PRI LRG NONIDR'!$I$18+'[2]GS PRI LRG IDR '!$I$18)*'[3]PRIMARY  &gt; 10kW DLS'!$R$23</f>
        <v>1131479.9162997222</v>
      </c>
      <c r="S23" s="3"/>
      <c r="T23" s="3">
        <f>'[1]Energy Loss Factor'!$G$53*V23</f>
        <v>1360260148.9185379</v>
      </c>
      <c r="V23" s="3">
        <f>'[2]GS PRI LRG NONIDR'!$S$18+'[2]GS PRI LRG IDR '!$S$18</f>
        <v>1340074328.1657827</v>
      </c>
      <c r="X23" s="13">
        <v>0.56141503326466391</v>
      </c>
      <c r="Y23" s="13"/>
      <c r="Z23" s="13">
        <v>0.77315625221551199</v>
      </c>
    </row>
    <row r="24" spans="1:26" ht="24.95" customHeight="1">
      <c r="A24" s="14">
        <v>3</v>
      </c>
      <c r="B24" s="14" t="s">
        <v>18</v>
      </c>
      <c r="D24" s="3">
        <f>'[1]Demand Loss Factor'!$G$53*F24</f>
        <v>2917941.1864937828</v>
      </c>
      <c r="E24" s="3"/>
      <c r="F24" s="3">
        <f>('[2]GS PRI LRG IDR '!$S$20+'[2]GS PRI LRG NONIDR'!$S$20)/('[2]GS PRI LRG NONIDR'!$I$20+'[2]GS PRI LRG IDR '!$I$20)*'[3]PRIMARY  &gt; 10kW DLS'!$F$24</f>
        <v>2860172.7787234047</v>
      </c>
      <c r="G24" s="3"/>
      <c r="H24" s="3">
        <f>'[1]Demand Loss Factor'!$G$53*J24</f>
        <v>2076501.1666366591</v>
      </c>
      <c r="I24" s="3"/>
      <c r="J24" s="3">
        <f>('[2]GS PRI LRG IDR '!$S$20+'[2]GS PRI LRG NONIDR'!$S$20)/('[2]GS PRI LRG NONIDR'!$I$20+'[2]GS PRI LRG IDR '!$I$20)*'[3]PRIMARY  &gt; 10kW DLS'!$J$24</f>
        <v>2035391.3023648323</v>
      </c>
      <c r="K24" s="3"/>
      <c r="L24" s="3">
        <f>'[1]Demand Loss Factor'!$G$53*N24</f>
        <v>1930622.1335440215</v>
      </c>
      <c r="N24" s="3">
        <f>('[2]GS PRI LRG IDR '!$S$20+'[2]GS PRI LRG NONIDR'!$S$20)/('[2]GS PRI LRG NONIDR'!$I$20+'[2]GS PRI LRG IDR '!$I$20)*'[3]PRIMARY  &gt; 10kW DLS'!$N$24</f>
        <v>1892400.3327834988</v>
      </c>
      <c r="O24" s="3"/>
      <c r="P24" s="3">
        <f>'[1]Demand Loss Factor'!$G$53*R24</f>
        <v>1966473.6992223766</v>
      </c>
      <c r="R24" s="3">
        <f>('[2]GS PRI LRG IDR '!$S$20+'[2]GS PRI LRG NONIDR'!$S$20)/('[2]GS PRI LRG NONIDR'!$I$20+'[2]GS PRI LRG IDR '!$I$20)*'[3]PRIMARY  &gt; 10kW DLS'!$R$24</f>
        <v>1927542.1213508893</v>
      </c>
      <c r="S24" s="3"/>
      <c r="T24" s="3">
        <f>'[1]Energy Loss Factor'!$G$53*V24</f>
        <v>1207900592.022845</v>
      </c>
      <c r="V24" s="3">
        <f>'[2]GS PRI LRG NONIDR'!$S$20+'[2]GS PRI LRG IDR '!$S$20</f>
        <v>1189975737.8270466</v>
      </c>
      <c r="X24" s="13">
        <v>0.92974767583255447</v>
      </c>
      <c r="Y24" s="13"/>
      <c r="Z24" s="13">
        <v>0.92802583578096542</v>
      </c>
    </row>
    <row r="25" spans="1:26" ht="24.95" customHeight="1">
      <c r="A25" s="14">
        <v>4</v>
      </c>
      <c r="B25" s="14" t="s">
        <v>19</v>
      </c>
      <c r="D25" s="3">
        <f>'[1]Demand Loss Factor'!$G$53*F25</f>
        <v>2982836.5384951965</v>
      </c>
      <c r="E25" s="3"/>
      <c r="F25" s="3">
        <f>('[2]GS PRI LRG IDR '!$S$22+'[2]GS PRI LRG NONIDR'!$S$22)/('[2]GS PRI LRG NONIDR'!$I$22+'[2]GS PRI LRG IDR '!$I$22)*'[3]PRIMARY  &gt; 10kW DLS'!$F$25</f>
        <v>2923783.3546045274</v>
      </c>
      <c r="G25" s="3"/>
      <c r="H25" s="3">
        <f>'[1]Demand Loss Factor'!$G$53*J25</f>
        <v>2176403.1475894363</v>
      </c>
      <c r="I25" s="3"/>
      <c r="J25" s="3">
        <f>('[2]GS PRI LRG IDR '!$S$22+'[2]GS PRI LRG NONIDR'!$S$22)/('[2]GS PRI LRG NONIDR'!$I$22+'[2]GS PRI LRG IDR '!$I$22)*'[3]PRIMARY  &gt; 10kW DLS'!$J$25</f>
        <v>2133315.4578564721</v>
      </c>
      <c r="K25" s="3"/>
      <c r="L25" s="3">
        <f>'[1]Demand Loss Factor'!$G$53*N25</f>
        <v>2060093.067275221</v>
      </c>
      <c r="N25" s="3">
        <f>('[2]GS PRI LRG IDR '!$S$22+'[2]GS PRI LRG NONIDR'!$S$22)/('[2]GS PRI LRG NONIDR'!$I$22+'[2]GS PRI LRG IDR '!$I$22)*'[3]PRIMARY  &gt; 10kW DLS'!$N$25</f>
        <v>2019308.0449772612</v>
      </c>
      <c r="O25" s="3"/>
      <c r="P25" s="3">
        <f>'[1]Demand Loss Factor'!$G$53*R25</f>
        <v>2126563.7724009114</v>
      </c>
      <c r="R25" s="3">
        <f>('[2]GS PRI LRG IDR '!$S$22+'[2]GS PRI LRG NONIDR'!$S$22)/('[2]GS PRI LRG NONIDR'!$I$22+'[2]GS PRI LRG IDR '!$I$22)*'[3]PRIMARY  &gt; 10kW DLS'!$R$25</f>
        <v>2084462.7856769862</v>
      </c>
      <c r="S25" s="3"/>
      <c r="T25" s="3">
        <f>'[1]Energy Loss Factor'!$G$53*V25</f>
        <v>1411139967.7862582</v>
      </c>
      <c r="V25" s="3">
        <f>'[2]GS PRI LRG NONIDR'!$S$22+'[2]GS PRI LRG IDR '!$S$22</f>
        <v>1390199106.9741345</v>
      </c>
      <c r="X25" s="13">
        <v>0.94655857742025451</v>
      </c>
      <c r="Y25" s="13"/>
      <c r="Z25" s="13">
        <v>0.9108216394894455</v>
      </c>
    </row>
    <row r="26" spans="1:26" ht="24.95" customHeight="1">
      <c r="A26" s="14">
        <v>5</v>
      </c>
      <c r="B26" s="14" t="s">
        <v>20</v>
      </c>
      <c r="D26" s="3">
        <f>'[1]Demand Loss Factor'!$G$53*F26</f>
        <v>3169902.2100673872</v>
      </c>
      <c r="E26" s="3"/>
      <c r="F26" s="3">
        <f>('[2]GS PRI LRG IDR '!$S$24+'[2]GS PRI LRG NONIDR'!$S$24)/('[2]GS PRI LRG NONIDR'!$I$24+'[2]GS PRI LRG IDR '!$I$24)*'[3]PRIMARY  &gt; 10kW DLS'!$F$26</f>
        <v>3107145.5635965806</v>
      </c>
      <c r="G26" s="3"/>
      <c r="H26" s="3">
        <f>'[1]Demand Loss Factor'!$G$53*J26</f>
        <v>2246691.1081168363</v>
      </c>
      <c r="I26" s="3"/>
      <c r="J26" s="3">
        <f>('[2]GS PRI LRG IDR '!$S$24+'[2]GS PRI LRG NONIDR'!$S$24)/('[2]GS PRI LRG NONIDR'!$I$24+'[2]GS PRI LRG IDR '!$I$24)*'[3]PRIMARY  &gt; 10kW DLS'!$J$26</f>
        <v>2202211.88123299</v>
      </c>
      <c r="K26" s="3"/>
      <c r="L26" s="3">
        <f>'[1]Demand Loss Factor'!$G$53*N26</f>
        <v>2226075.2525183968</v>
      </c>
      <c r="N26" s="3">
        <f>('[2]GS PRI LRG IDR '!$S$24+'[2]GS PRI LRG NONIDR'!$S$24)/('[2]GS PRI LRG NONIDR'!$I$24+'[2]GS PRI LRG IDR '!$I$24)*'[3]PRIMARY  &gt; 10kW DLS'!$N$26</f>
        <v>2182004.1713361358</v>
      </c>
      <c r="O26" s="3"/>
      <c r="P26" s="3">
        <f>'[1]Demand Loss Factor'!$G$53*R26</f>
        <v>2226075.2525183968</v>
      </c>
      <c r="R26" s="3">
        <f>('[2]GS PRI LRG IDR '!$S$24+'[2]GS PRI LRG NONIDR'!$S$24)/('[2]GS PRI LRG NONIDR'!$I$24+'[2]GS PRI LRG IDR '!$I$24)*'[3]PRIMARY  &gt; 10kW DLS'!$R$26</f>
        <v>2182004.1713361358</v>
      </c>
      <c r="S26" s="3"/>
      <c r="T26" s="3">
        <f>'[1]Energy Loss Factor'!$G$53*V26</f>
        <v>1504955606.4215984</v>
      </c>
      <c r="V26" s="3">
        <f>'[2]GS PRI LRG NONIDR'!$S$24+'[2]GS PRI LRG IDR '!$S$24</f>
        <v>1482622551.8685906</v>
      </c>
      <c r="X26" s="13">
        <v>0.99082390297270562</v>
      </c>
      <c r="Y26" s="13"/>
      <c r="Z26" s="13">
        <v>0.90713650311013982</v>
      </c>
    </row>
    <row r="27" spans="1:26" ht="24.95" customHeight="1">
      <c r="A27" s="14">
        <v>6</v>
      </c>
      <c r="B27" s="14" t="s">
        <v>21</v>
      </c>
      <c r="D27" s="3">
        <f>'[1]Demand Loss Factor'!$G$53*F27</f>
        <v>3358532.077262497</v>
      </c>
      <c r="E27" s="3"/>
      <c r="F27" s="3">
        <f>('[2]GS PRI LRG IDR '!$S$26+'[2]GS PRI LRG NONIDR'!$S$26)/('[2]GS PRI LRG NONIDR'!$I$26+'[2]GS PRI LRG IDR '!$I$26)*'[3]PRIMARY  &gt; 10kW DLS'!$F$27</f>
        <v>3292041.0007982976</v>
      </c>
      <c r="G27" s="3"/>
      <c r="H27" s="3">
        <f>'[1]Demand Loss Factor'!$G$53*J27</f>
        <v>2282776.87514348</v>
      </c>
      <c r="I27" s="3"/>
      <c r="J27" s="3">
        <f>('[2]GS PRI LRG IDR '!$S$26+'[2]GS PRI LRG NONIDR'!$S$26)/('[2]GS PRI LRG NONIDR'!$I$26+'[2]GS PRI LRG IDR '!$I$26)*'[3]PRIMARY  &gt; 10kW DLS'!$J$27</f>
        <v>2237583.2345099836</v>
      </c>
      <c r="K27" s="3"/>
      <c r="L27" s="3">
        <f>'[1]Demand Loss Factor'!$G$53*N27</f>
        <v>2197739.601167921</v>
      </c>
      <c r="N27" s="3">
        <f>('[2]GS PRI LRG IDR '!$S$26+'[2]GS PRI LRG NONIDR'!$S$26)/('[2]GS PRI LRG NONIDR'!$I$26+'[2]GS PRI LRG IDR '!$I$26)*'[3]PRIMARY  &gt; 10kW DLS'!$N$27</f>
        <v>2154229.4995795018</v>
      </c>
      <c r="O27" s="3"/>
      <c r="P27" s="3">
        <f>'[1]Demand Loss Factor'!$G$53*R27</f>
        <v>2174891.9761407701</v>
      </c>
      <c r="R27" s="3">
        <f>('[2]GS PRI LRG IDR '!$S$26+'[2]GS PRI LRG NONIDR'!$S$26)/('[2]GS PRI LRG NONIDR'!$I$26+'[2]GS PRI LRG IDR '!$I$26)*'[3]PRIMARY  &gt; 10kW DLS'!$R$27</f>
        <v>2131834.2040664833</v>
      </c>
      <c r="S27" s="3"/>
      <c r="T27" s="3">
        <f>'[1]Energy Loss Factor'!$G$53*V27</f>
        <v>1529125929.0796111</v>
      </c>
      <c r="V27" s="3">
        <f>'[2]GS PRI LRG NONIDR'!$S$26+'[2]GS PRI LRG IDR '!$S$26</f>
        <v>1506434194.7541356</v>
      </c>
      <c r="X27" s="13">
        <v>0.96274831986362475</v>
      </c>
      <c r="Y27" s="13"/>
      <c r="Z27" s="13">
        <v>0.90729046855000928</v>
      </c>
    </row>
    <row r="28" spans="1:26" ht="24.95" customHeight="1">
      <c r="A28" s="14">
        <v>7</v>
      </c>
      <c r="B28" s="14" t="s">
        <v>22</v>
      </c>
      <c r="D28" s="3">
        <f>'[1]Demand Loss Factor'!$G$53*F28</f>
        <v>3276975.760596836</v>
      </c>
      <c r="E28" s="3"/>
      <c r="F28" s="3">
        <f>('[2]GS PRI LRG IDR '!$S$28+'[2]GS PRI LRG NONIDR'!$S$28)/('[2]GS PRI LRG NONIDR'!$I$28+'[2]GS PRI LRG IDR '!$I$28)*'[3]PRIMARY  &gt; 10kW DLS'!$F$28</f>
        <v>3212099.3083681073</v>
      </c>
      <c r="G28" s="3"/>
      <c r="H28" s="3">
        <f>'[1]Demand Loss Factor'!$G$53*J28</f>
        <v>2290333.593612276</v>
      </c>
      <c r="I28" s="3"/>
      <c r="J28" s="3">
        <f>('[2]GS PRI LRG IDR '!$S$28+'[2]GS PRI LRG NONIDR'!$S$28)/('[2]GS PRI LRG NONIDR'!$I$28+'[2]GS PRI LRG IDR '!$I$28)*'[3]PRIMARY  &gt; 10kW DLS'!$J$28</f>
        <v>2244990.3476351448</v>
      </c>
      <c r="K28" s="3"/>
      <c r="L28" s="3">
        <f>'[1]Demand Loss Factor'!$G$53*N28</f>
        <v>2228372.655015727</v>
      </c>
      <c r="N28" s="3">
        <f>('[2]GS PRI LRG IDR '!$S$28+'[2]GS PRI LRG NONIDR'!$S$28)/('[2]GS PRI LRG NONIDR'!$I$28+'[2]GS PRI LRG IDR '!$I$28)*'[3]PRIMARY  &gt; 10kW DLS'!$N$28</f>
        <v>2184256.090639736</v>
      </c>
      <c r="O28" s="3"/>
      <c r="P28" s="3">
        <f>'[1]Demand Loss Factor'!$G$53*R28</f>
        <v>2168649.4842887269</v>
      </c>
      <c r="R28" s="3">
        <f>('[2]GS PRI LRG IDR '!$S$28+'[2]GS PRI LRG NONIDR'!$S$28)/('[2]GS PRI LRG NONIDR'!$I$28+'[2]GS PRI LRG IDR '!$I$28)*'[3]PRIMARY  &gt; 10kW DLS'!$R$28</f>
        <v>2125715.2989462363</v>
      </c>
      <c r="S28" s="3"/>
      <c r="T28" s="3">
        <f>'[1]Energy Loss Factor'!$G$53*V28</f>
        <v>1590275904.5699935</v>
      </c>
      <c r="V28" s="3">
        <f>'[2]GS PRI LRG NONIDR'!$S$28+'[2]GS PRI LRG IDR '!$S$28</f>
        <v>1566676724.3818531</v>
      </c>
      <c r="X28" s="13">
        <v>0.97294676252867385</v>
      </c>
      <c r="Y28" s="13"/>
      <c r="Z28" s="13">
        <v>0.92249984892537118</v>
      </c>
    </row>
    <row r="29" spans="1:26" ht="24.95" customHeight="1">
      <c r="A29" s="14">
        <v>8</v>
      </c>
      <c r="B29" s="14" t="s">
        <v>23</v>
      </c>
      <c r="D29" s="3">
        <f>'[1]Demand Loss Factor'!$G$53*F29</f>
        <v>3337241.4241625937</v>
      </c>
      <c r="E29" s="3"/>
      <c r="F29" s="3">
        <f>('[2]GS PRI LRG IDR '!$S$30+'[2]GS PRI LRG NONIDR'!$S$30)/('[2]GS PRI LRG NONIDR'!$I$30+'[2]GS PRI LRG IDR '!$I$30)*'[3]PRIMARY  &gt; 10kW DLS'!$F$29</f>
        <v>3271171.8528115423</v>
      </c>
      <c r="G29" s="3"/>
      <c r="H29" s="3">
        <f>'[1]Demand Loss Factor'!$G$53*J29</f>
        <v>2343455.6321282429</v>
      </c>
      <c r="I29" s="3"/>
      <c r="J29" s="3">
        <f>('[2]GS PRI LRG IDR '!$S$30+'[2]GS PRI LRG NONIDR'!$S$30)/('[2]GS PRI LRG NONIDR'!$I$30+'[2]GS PRI LRG IDR '!$I$30)*'[3]PRIMARY  &gt; 10kW DLS'!$J$29</f>
        <v>2297060.6940893289</v>
      </c>
      <c r="K29" s="3"/>
      <c r="L29" s="3">
        <f>'[1]Demand Loss Factor'!$G$53*N29</f>
        <v>2273794.8089669221</v>
      </c>
      <c r="N29" s="3">
        <f>('[2]GS PRI LRG IDR '!$S$30+'[2]GS PRI LRG NONIDR'!$S$30)/('[2]GS PRI LRG NONIDR'!$I$30+'[2]GS PRI LRG IDR '!$I$30)*'[3]PRIMARY  &gt; 10kW DLS'!$N$29</f>
        <v>2228778.9922264875</v>
      </c>
      <c r="O29" s="3"/>
      <c r="P29" s="3">
        <f>'[1]Demand Loss Factor'!$G$53*R29</f>
        <v>2229119.6563336817</v>
      </c>
      <c r="R29" s="3">
        <f>('[2]GS PRI LRG IDR '!$S$30+'[2]GS PRI LRG NONIDR'!$S$30)/('[2]GS PRI LRG NONIDR'!$I$30+'[2]GS PRI LRG IDR '!$I$30)*'[3]PRIMARY  &gt; 10kW DLS'!$R$29</f>
        <v>2184988.3030795115</v>
      </c>
      <c r="S29" s="3"/>
      <c r="T29" s="3">
        <f>'[1]Energy Loss Factor'!$G$53*V29</f>
        <v>1435600910.8881037</v>
      </c>
      <c r="V29" s="3">
        <f>'[2]GS PRI LRG NONIDR'!$S$30+'[2]GS PRI LRG IDR '!$S$30</f>
        <v>1414297057.5901015</v>
      </c>
      <c r="X29" s="13">
        <v>0.97027431532891584</v>
      </c>
      <c r="Y29" s="13"/>
      <c r="Z29" s="13">
        <v>0.92547168760919396</v>
      </c>
    </row>
    <row r="30" spans="1:26" ht="24.95" customHeight="1">
      <c r="A30" s="14">
        <v>9</v>
      </c>
      <c r="B30" s="14" t="s">
        <v>24</v>
      </c>
      <c r="D30" s="3">
        <f>'[1]Demand Loss Factor'!$G$53*F30</f>
        <v>3287883.1117720944</v>
      </c>
      <c r="E30" s="3"/>
      <c r="F30" s="3">
        <f>('[2]GS PRI LRG IDR '!$S$32+'[2]GS PRI LRG NONIDR'!$S$32)/('[2]GS PRI LRG NONIDR'!$I$32+'[2]GS PRI LRG IDR '!$I$32)*'[3]PRIMARY  &gt; 10kW DLS'!$F$30</f>
        <v>3222790.7195123248</v>
      </c>
      <c r="G30" s="3"/>
      <c r="H30" s="3">
        <f>'[1]Demand Loss Factor'!$G$53*J30</f>
        <v>2335945.1218516678</v>
      </c>
      <c r="I30" s="3"/>
      <c r="J30" s="3">
        <f>('[2]GS PRI LRG IDR '!$S$32+'[2]GS PRI LRG NONIDR'!$S$32)/('[2]GS PRI LRG NONIDR'!$I$32+'[2]GS PRI LRG IDR '!$I$32)*'[3]PRIMARY  &gt; 10kW DLS'!$J$30</f>
        <v>2289698.8743423056</v>
      </c>
      <c r="K30" s="3"/>
      <c r="L30" s="3">
        <f>'[1]Demand Loss Factor'!$G$53*N30</f>
        <v>2225245.0435222709</v>
      </c>
      <c r="N30" s="3">
        <f>('[2]GS PRI LRG IDR '!$S$32+'[2]GS PRI LRG NONIDR'!$S$32)/('[2]GS PRI LRG NONIDR'!$I$32+'[2]GS PRI LRG IDR '!$I$32)*'[3]PRIMARY  &gt; 10kW DLS'!$N$30</f>
        <v>2181190.398535518</v>
      </c>
      <c r="O30" s="3"/>
      <c r="P30" s="3">
        <f>'[1]Demand Loss Factor'!$G$53*R30</f>
        <v>2219263.4429982016</v>
      </c>
      <c r="R30" s="3">
        <f>('[2]GS PRI LRG IDR '!$S$32+'[2]GS PRI LRG NONIDR'!$S$32)/('[2]GS PRI LRG NONIDR'!$I$32+'[2]GS PRI LRG IDR '!$I$32)*'[3]PRIMARY  &gt; 10kW DLS'!$R$30</f>
        <v>2175327.2197054136</v>
      </c>
      <c r="S30" s="3"/>
      <c r="T30" s="3">
        <f>'[1]Energy Loss Factor'!$G$53*V30</f>
        <v>1537902476.4054682</v>
      </c>
      <c r="V30" s="3">
        <f>'[2]GS PRI LRG NONIDR'!$S$32+'[2]GS PRI LRG IDR '!$S$32</f>
        <v>1515080500.955684</v>
      </c>
      <c r="X30" s="13">
        <v>0.95261015453922704</v>
      </c>
      <c r="Y30" s="13"/>
      <c r="Z30" s="13">
        <v>0.91431850979594942</v>
      </c>
    </row>
    <row r="31" spans="1:26" ht="24.95" customHeight="1">
      <c r="A31" s="14">
        <v>10</v>
      </c>
      <c r="B31" s="14" t="s">
        <v>25</v>
      </c>
      <c r="D31" s="3">
        <f>'[1]Demand Loss Factor'!$G$53*F31</f>
        <v>3331724.5974833537</v>
      </c>
      <c r="E31" s="3"/>
      <c r="F31" s="3">
        <f>('[2]GS PRI LRG IDR '!$S$34+'[2]GS PRI LRG NONIDR'!$S$34)/('[2]GS PRI LRG NONIDR'!$I$34+'[2]GS PRI LRG IDR '!$I$34)*'[3]PRIMARY  &gt; 10kW DLS'!$F$31</f>
        <v>3265764.2463916689</v>
      </c>
      <c r="G31" s="3"/>
      <c r="H31" s="3">
        <f>'[1]Demand Loss Factor'!$G$53*J31</f>
        <v>2229063.3343026801</v>
      </c>
      <c r="I31" s="3"/>
      <c r="J31" s="3">
        <f>('[2]GS PRI LRG IDR '!$S$34+'[2]GS PRI LRG NONIDR'!$S$34)/('[2]GS PRI LRG NONIDR'!$I$34+'[2]GS PRI LRG IDR '!$I$34)*'[3]PRIMARY  &gt; 10kW DLS'!$J$31</f>
        <v>2184933.0960929352</v>
      </c>
      <c r="K31" s="3"/>
      <c r="L31" s="3">
        <f>'[1]Demand Loss Factor'!$G$53*N31</f>
        <v>2162279.1422894918</v>
      </c>
      <c r="N31" s="3">
        <f>('[2]GS PRI LRG IDR '!$S$34+'[2]GS PRI LRG NONIDR'!$S$34)/('[2]GS PRI LRG NONIDR'!$I$34+'[2]GS PRI LRG IDR '!$I$34)*'[3]PRIMARY  &gt; 10kW DLS'!$N$31</f>
        <v>2119471.0748125534</v>
      </c>
      <c r="O31" s="3"/>
      <c r="P31" s="3">
        <f>'[1]Demand Loss Factor'!$G$53*R31</f>
        <v>2162279.1422894918</v>
      </c>
      <c r="R31" s="3">
        <f>('[2]GS PRI LRG IDR '!$S$34+'[2]GS PRI LRG NONIDR'!$S$34)/('[2]GS PRI LRG NONIDR'!$I$34+'[2]GS PRI LRG IDR '!$I$34)*'[3]PRIMARY  &gt; 10kW DLS'!$R$31</f>
        <v>2119471.0748125534</v>
      </c>
      <c r="S31" s="3"/>
      <c r="T31" s="3">
        <f>'[1]Energy Loss Factor'!$G$53*V31</f>
        <v>1531942791.2610009</v>
      </c>
      <c r="V31" s="3">
        <f>'[2]GS PRI LRG NONIDR'!$S$34+'[2]GS PRI LRG IDR '!$S$34</f>
        <v>1509209255.6116214</v>
      </c>
      <c r="X31" s="13">
        <v>0.97003934747592957</v>
      </c>
      <c r="Y31" s="13"/>
      <c r="Z31" s="13">
        <v>0.90912711858879436</v>
      </c>
    </row>
    <row r="32" spans="1:26" ht="24.95" customHeight="1">
      <c r="A32" s="14">
        <v>11</v>
      </c>
      <c r="B32" s="14" t="s">
        <v>26</v>
      </c>
      <c r="D32" s="3">
        <f>'[1]Demand Loss Factor'!$G$53*F32</f>
        <v>3179864.6788535728</v>
      </c>
      <c r="E32" s="3"/>
      <c r="F32" s="3">
        <f>('[2]GS PRI LRG IDR '!$S$36+'[2]GS PRI LRG NONIDR'!$S$36)/('[2]GS PRI LRG NONIDR'!$I$36+'[2]GS PRI LRG IDR '!$I$36)*'[3]PRIMARY  &gt; 10kW DLS'!$F$32</f>
        <v>3116910.7988120886</v>
      </c>
      <c r="G32" s="3"/>
      <c r="H32" s="3">
        <f>'[1]Demand Loss Factor'!$G$53*J32</f>
        <v>2170687.8061701856</v>
      </c>
      <c r="I32" s="3"/>
      <c r="J32" s="3">
        <f>('[2]GS PRI LRG IDR '!$S$36+'[2]GS PRI LRG NONIDR'!$S$36)/('[2]GS PRI LRG NONIDR'!$I$36+'[2]GS PRI LRG IDR '!$I$36)*'[3]PRIMARY  &gt; 10kW DLS'!$J$32</f>
        <v>2127713.2668239335</v>
      </c>
      <c r="K32" s="3"/>
      <c r="L32" s="3">
        <f>'[1]Demand Loss Factor'!$G$53*N32</f>
        <v>1995406.550703526</v>
      </c>
      <c r="N32" s="3">
        <f>('[2]GS PRI LRG IDR '!$S$36+'[2]GS PRI LRG NONIDR'!$S$36)/('[2]GS PRI LRG NONIDR'!$I$36+'[2]GS PRI LRG IDR '!$I$36)*'[3]PRIMARY  &gt; 10kW DLS'!$N$32</f>
        <v>1955902.1700730047</v>
      </c>
      <c r="O32" s="3"/>
      <c r="P32" s="3">
        <f>'[1]Demand Loss Factor'!$G$53*R32</f>
        <v>2136976.0970565546</v>
      </c>
      <c r="R32" s="3">
        <f>('[2]GS PRI LRG IDR '!$S$36+'[2]GS PRI LRG NONIDR'!$S$36)/('[2]GS PRI LRG NONIDR'!$I$36+'[2]GS PRI LRG IDR '!$I$36)*'[3]PRIMARY  &gt; 10kW DLS'!$R$32</f>
        <v>2094668.9706683587</v>
      </c>
      <c r="S32" s="3"/>
      <c r="T32" s="3">
        <f>'[1]Energy Loss Factor'!$G$53*V32</f>
        <v>1430920838.4020989</v>
      </c>
      <c r="V32" s="3">
        <f>'[2]GS PRI LRG NONIDR'!$S$36+'[2]GS PRI LRG IDR '!$S$36</f>
        <v>1409686435.8664289</v>
      </c>
      <c r="X32" s="13">
        <v>0.91925082226544863</v>
      </c>
      <c r="Y32" s="13"/>
      <c r="Z32" s="13">
        <v>0.91925646341660094</v>
      </c>
    </row>
    <row r="33" spans="1:26" ht="24.95" customHeight="1" thickBot="1">
      <c r="A33" s="14">
        <v>12</v>
      </c>
      <c r="B33" s="14" t="s">
        <v>27</v>
      </c>
      <c r="D33" s="3">
        <f>'[1]Demand Loss Factor'!$G$53*F33</f>
        <v>3307553.3578678183</v>
      </c>
      <c r="E33" s="3"/>
      <c r="F33" s="3">
        <f>('[2]GS PRI LRG IDR '!$S$38+'[2]GS PRI LRG NONIDR'!$S$38)/('[2]GS PRI LRG NONIDR'!$I$38+'[2]GS PRI LRG IDR '!$I$38)*'[3]PRIMARY  &gt; 10kW DLS'!$F$33</f>
        <v>3242071.5407619756</v>
      </c>
      <c r="G33" s="3"/>
      <c r="H33" s="3">
        <f>'[1]Demand Loss Factor'!$G$53*J33</f>
        <v>2167904.0127075212</v>
      </c>
      <c r="I33" s="3"/>
      <c r="J33" s="3">
        <f>('[2]GS PRI LRG IDR '!$S$38+'[2]GS PRI LRG NONIDR'!$S$38)/('[2]GS PRI LRG NONIDR'!$I$38+'[2]GS PRI LRG IDR '!$I$38)*'[3]PRIMARY  &gt; 10kW DLS'!$J$33</f>
        <v>2124984.5859580012</v>
      </c>
      <c r="K33" s="3"/>
      <c r="L33" s="3">
        <f>'[1]Demand Loss Factor'!$G$53*N33</f>
        <v>2052896.3649408594</v>
      </c>
      <c r="N33" s="3">
        <f>('[2]GS PRI LRG IDR '!$S$38+'[2]GS PRI LRG NONIDR'!$S$38)/('[2]GS PRI LRG NONIDR'!$I$38+'[2]GS PRI LRG IDR '!$I$38)*'[3]PRIMARY  &gt; 10kW DLS'!$N$33</f>
        <v>2012253.8205094782</v>
      </c>
      <c r="O33" s="3"/>
      <c r="P33" s="3">
        <f>'[1]Demand Loss Factor'!$G$53*R33</f>
        <v>2095091.2644084399</v>
      </c>
      <c r="Q33" s="15"/>
      <c r="R33" s="3">
        <f>('[2]GS PRI LRG IDR '!$S$38+'[2]GS PRI LRG NONIDR'!$S$38)/('[2]GS PRI LRG NONIDR'!$I$38+'[2]GS PRI LRG IDR '!$I$38)*'[3]PRIMARY  &gt; 10kW DLS'!$R$33</f>
        <v>2053613.3596999031</v>
      </c>
      <c r="S33" s="3"/>
      <c r="T33" s="16">
        <f>'[1]Energy Loss Factor'!$G$53*V33</f>
        <v>1526226673.3579154</v>
      </c>
      <c r="V33" s="16">
        <f>'[2]GS PRI LRG NONIDR'!$S$38+'[2]GS PRI LRG IDR '!$S$38</f>
        <v>1503577963.0498393</v>
      </c>
      <c r="X33" s="13">
        <v>0.94694984321606224</v>
      </c>
      <c r="Y33" s="13"/>
      <c r="Z33" s="13">
        <v>0.92399967605884536</v>
      </c>
    </row>
    <row r="34" spans="1:22" ht="24.95" customHeight="1" thickTop="1">
      <c r="A34" s="14">
        <v>13</v>
      </c>
      <c r="E34" s="3"/>
      <c r="G34" s="3"/>
      <c r="I34" s="3"/>
      <c r="K34" s="3"/>
      <c r="O34" s="3"/>
      <c r="S34" s="3"/>
      <c r="T34" s="15">
        <f>+SUM(T22:T33)</f>
        <v>17484003310.594933</v>
      </c>
      <c r="U34" s="15"/>
      <c r="V34" s="15">
        <f>SUM(V22:V33)</f>
        <v>17224546355.137669</v>
      </c>
    </row>
    <row r="35" spans="1:22" ht="24.95" customHeight="1">
      <c r="A35" s="14"/>
      <c r="E35" s="3"/>
      <c r="G35" s="3"/>
      <c r="I35" s="3"/>
      <c r="K35" s="3"/>
      <c r="O35" s="3"/>
      <c r="S35" s="3"/>
      <c r="T35" s="15"/>
      <c r="U35" s="15"/>
      <c r="V35" s="15"/>
    </row>
    <row r="36" spans="1:22" ht="18.75" customHeight="1">
      <c r="A36" s="14"/>
      <c r="E36" s="3"/>
      <c r="G36" s="3"/>
      <c r="I36" s="3"/>
      <c r="K36" s="3"/>
      <c r="O36" s="3"/>
      <c r="S36" s="3"/>
      <c r="T36" s="15"/>
      <c r="U36" s="15"/>
      <c r="V36" s="15"/>
    </row>
    <row r="37" spans="1:19" ht="15" customHeight="1">
      <c r="A37" s="2" t="s">
        <v>55</v>
      </c>
      <c r="E37" s="3"/>
      <c r="G37" s="3"/>
      <c r="I37" s="3"/>
      <c r="K37" s="3"/>
      <c r="O37" s="3"/>
      <c r="S37" s="3"/>
    </row>
    <row r="38" spans="1:19" ht="15" customHeight="1">
      <c r="A38" s="2" t="s">
        <v>28</v>
      </c>
      <c r="E38" s="3"/>
      <c r="G38" s="3"/>
      <c r="I38" s="3"/>
      <c r="K38" s="3"/>
      <c r="O38" s="3"/>
      <c r="S38" s="3"/>
    </row>
    <row r="39" spans="1:19" ht="15" customHeight="1">
      <c r="A39" s="4" t="s">
        <v>29</v>
      </c>
      <c r="E39" s="3"/>
      <c r="G39" s="3"/>
      <c r="I39" s="3"/>
      <c r="K39" s="3"/>
      <c r="O39" s="3"/>
      <c r="S39" s="3"/>
    </row>
  </sheetData>
  <pageMargins left="0.5" right="1" top="1.5" bottom="0.5" header="0.5" footer="0.5"/>
  <pageSetup orientation="landscape" scale="5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A1:Z39"/>
  <sheetViews>
    <sheetView zoomScale="75" zoomScaleNormal="75" workbookViewId="0" topLeftCell="A1">
      <selection pane="topLeft" activeCell="D24" sqref="D24"/>
    </sheetView>
  </sheetViews>
  <sheetFormatPr defaultColWidth="9.14428571428571" defaultRowHeight="18.75" customHeight="1"/>
  <cols>
    <col min="1" max="1" width="4.71428571428571" style="2" customWidth="1"/>
    <col min="2" max="3" width="7.71428571428571" style="2" customWidth="1"/>
    <col min="4" max="4" width="20.5714285714286" style="3" customWidth="1"/>
    <col min="5" max="5" width="2.71428571428571" style="2" customWidth="1"/>
    <col min="6" max="6" width="20.8571428571429" style="3" customWidth="1"/>
    <col min="7" max="7" width="5.71428571428571" style="2" customWidth="1"/>
    <col min="8" max="8" width="13.8571428571429" style="3" customWidth="1"/>
    <col min="9" max="9" width="2.71428571428571" style="2" customWidth="1"/>
    <col min="10" max="10" width="14.8571428571429" style="3" customWidth="1"/>
    <col min="11" max="11" width="5.71428571428571" style="2" customWidth="1"/>
    <col min="12" max="12" width="12.7142857142857" style="3" customWidth="1"/>
    <col min="13" max="13" width="2.71428571428571" style="3" customWidth="1"/>
    <col min="14" max="14" width="13.2857142857143" style="3" customWidth="1"/>
    <col min="15" max="15" width="5.71428571428571" style="2" customWidth="1"/>
    <col min="16" max="16" width="12.7142857142857" style="3" customWidth="1"/>
    <col min="17" max="17" width="2.71428571428571" style="3" customWidth="1"/>
    <col min="18" max="18" width="13.8571428571429" style="3" customWidth="1"/>
    <col min="19" max="19" width="5.71428571428571" style="2" customWidth="1"/>
    <col min="20" max="20" width="19" style="3" customWidth="1"/>
    <col min="21" max="21" width="2.71428571428571" style="3" customWidth="1"/>
    <col min="22" max="22" width="18.8571428571429" style="3" customWidth="1"/>
    <col min="23" max="23" width="3.71428571428571" style="2" customWidth="1"/>
    <col min="24" max="24" width="9.85714285714286" style="2" customWidth="1"/>
    <col min="25" max="25" width="1.71428571428571" style="2" customWidth="1"/>
    <col min="26" max="26" width="9.71428571428571" style="2" customWidth="1"/>
    <col min="27" max="16384" width="9.14285714285714" style="2"/>
  </cols>
  <sheetData>
    <row r="1" spans="1:22" ht="18.75" customHeight="1">
      <c r="A1" s="6"/>
      <c r="V1" s="2" t="s">
        <v>63</v>
      </c>
    </row>
    <row r="2" spans="22:22" ht="18.75" customHeight="1">
      <c r="V2" s="2" t="s">
        <v>72</v>
      </c>
    </row>
    <row r="7" spans="1:26" ht="18.75" customHeight="1">
      <c r="A7" s="7" t="s">
        <v>77</v>
      </c>
      <c r="B7" s="8"/>
      <c r="C7" s="8"/>
      <c r="D7" s="8"/>
      <c r="E7" s="8"/>
      <c r="F7" s="9"/>
      <c r="G7" s="8"/>
      <c r="H7" s="8"/>
      <c r="I7" s="8"/>
      <c r="J7" s="10"/>
      <c r="K7" s="7"/>
      <c r="L7" s="7"/>
      <c r="M7" s="8"/>
      <c r="N7" s="7"/>
      <c r="O7" s="9"/>
      <c r="P7" s="8"/>
      <c r="Q7" s="8"/>
      <c r="R7" s="9"/>
      <c r="S7" s="8"/>
      <c r="T7" s="8"/>
      <c r="U7" s="8"/>
      <c r="V7" s="8"/>
      <c r="W7" s="8"/>
      <c r="X7" s="8"/>
      <c r="Y7" s="8"/>
      <c r="Z7" s="8"/>
    </row>
    <row r="8" spans="1:26" ht="18" customHeight="1">
      <c r="A8" s="7" t="s">
        <v>40</v>
      </c>
      <c r="B8" s="8"/>
      <c r="C8" s="8"/>
      <c r="D8" s="8"/>
      <c r="E8" s="8"/>
      <c r="F8" s="9"/>
      <c r="G8" s="8"/>
      <c r="H8" s="8"/>
      <c r="I8" s="8"/>
      <c r="J8" s="10"/>
      <c r="K8" s="7"/>
      <c r="L8" s="10"/>
      <c r="M8" s="9"/>
      <c r="N8" s="7"/>
      <c r="O8" s="10"/>
      <c r="P8" s="8"/>
      <c r="Q8" s="8"/>
      <c r="R8" s="10"/>
      <c r="S8" s="7"/>
      <c r="T8" s="8"/>
      <c r="U8" s="8"/>
      <c r="V8" s="8"/>
      <c r="W8" s="8"/>
      <c r="X8" s="8"/>
      <c r="Y8" s="8"/>
      <c r="Z8" s="8"/>
    </row>
    <row r="9" spans="1:26" ht="18" customHeight="1">
      <c r="A9" s="7" t="s">
        <v>45</v>
      </c>
      <c r="B9" s="8"/>
      <c r="C9" s="8"/>
      <c r="D9" s="8"/>
      <c r="E9" s="8"/>
      <c r="F9" s="9"/>
      <c r="G9" s="7"/>
      <c r="H9" s="8"/>
      <c r="I9" s="8"/>
      <c r="J9" s="10"/>
      <c r="K9" s="7"/>
      <c r="L9" s="7"/>
      <c r="M9" s="9"/>
      <c r="N9" s="9"/>
      <c r="O9" s="9"/>
      <c r="P9" s="8"/>
      <c r="Q9" s="7"/>
      <c r="R9" s="10"/>
      <c r="S9" s="7"/>
      <c r="T9" s="8"/>
      <c r="U9" s="8"/>
      <c r="V9" s="8"/>
      <c r="W9" s="8"/>
      <c r="X9" s="8"/>
      <c r="Y9" s="8"/>
      <c r="Z9" s="8"/>
    </row>
    <row r="10" spans="1:26" ht="18" customHeight="1">
      <c r="A10" s="7" t="s">
        <v>79</v>
      </c>
      <c r="B10" s="8"/>
      <c r="C10" s="8"/>
      <c r="D10" s="8"/>
      <c r="E10" s="8"/>
      <c r="F10" s="8"/>
      <c r="G10" s="7"/>
      <c r="H10" s="8"/>
      <c r="I10" s="8"/>
      <c r="J10" s="7"/>
      <c r="K10" s="7"/>
      <c r="L10" s="10"/>
      <c r="M10" s="9"/>
      <c r="N10" s="9"/>
      <c r="O10" s="9"/>
      <c r="P10" s="8"/>
      <c r="Q10" s="7"/>
      <c r="R10" s="10"/>
      <c r="S10" s="7"/>
      <c r="T10" s="8"/>
      <c r="U10" s="8"/>
      <c r="V10" s="8"/>
      <c r="W10" s="8"/>
      <c r="X10" s="8"/>
      <c r="Y10" s="8"/>
      <c r="Z10" s="8"/>
    </row>
    <row r="11" spans="1:26" ht="18" customHeight="1">
      <c r="A11" s="8"/>
      <c r="B11" s="8"/>
      <c r="C11" s="8"/>
      <c r="D11" s="8"/>
      <c r="E11" s="8"/>
      <c r="F11" s="9"/>
      <c r="G11" s="8"/>
      <c r="H11" s="8"/>
      <c r="I11" s="8"/>
      <c r="J11" s="10"/>
      <c r="K11" s="7"/>
      <c r="L11" s="10"/>
      <c r="M11" s="9"/>
      <c r="N11" s="9"/>
      <c r="O11" s="9"/>
      <c r="P11" s="8"/>
      <c r="Q11" s="8"/>
      <c r="R11" s="9"/>
      <c r="S11" s="8"/>
      <c r="T11" s="8"/>
      <c r="U11" s="8"/>
      <c r="V11" s="8"/>
      <c r="W11" s="8"/>
      <c r="X11" s="8"/>
      <c r="Y11" s="8"/>
      <c r="Z11" s="8"/>
    </row>
    <row r="12" spans="1:26" ht="18.75" customHeight="1">
      <c r="A12" s="7" t="s">
        <v>43</v>
      </c>
      <c r="B12" s="8"/>
      <c r="C12" s="8"/>
      <c r="D12" s="8"/>
      <c r="E12" s="8"/>
      <c r="F12" s="9"/>
      <c r="G12" s="8"/>
      <c r="H12" s="8"/>
      <c r="I12" s="8"/>
      <c r="J12" s="10"/>
      <c r="K12" s="7"/>
      <c r="L12" s="10"/>
      <c r="M12" s="9"/>
      <c r="N12" s="10"/>
      <c r="O12" s="10"/>
      <c r="P12" s="8"/>
      <c r="Q12" s="8"/>
      <c r="R12" s="9"/>
      <c r="S12" s="8"/>
      <c r="T12" s="8"/>
      <c r="U12" s="8"/>
      <c r="V12" s="8"/>
      <c r="W12" s="8"/>
      <c r="X12" s="8"/>
      <c r="Y12" s="8"/>
      <c r="Z12" s="8"/>
    </row>
    <row r="13" spans="1:26" ht="18.75" customHeight="1">
      <c r="A13" s="8"/>
      <c r="B13" s="8"/>
      <c r="C13" s="8"/>
      <c r="D13" s="8"/>
      <c r="E13" s="8"/>
      <c r="F13" s="9"/>
      <c r="G13" s="8"/>
      <c r="H13" s="8"/>
      <c r="I13" s="8"/>
      <c r="J13" s="9"/>
      <c r="K13" s="8"/>
      <c r="L13" s="8"/>
      <c r="M13" s="9"/>
      <c r="N13" s="8"/>
      <c r="O13" s="10"/>
      <c r="P13" s="8"/>
      <c r="Q13" s="8"/>
      <c r="R13" s="9"/>
      <c r="S13" s="8"/>
      <c r="T13" s="8"/>
      <c r="U13" s="8"/>
      <c r="V13" s="8"/>
      <c r="W13" s="8"/>
      <c r="X13" s="8"/>
      <c r="Y13" s="8"/>
      <c r="Z13" s="8"/>
    </row>
    <row r="14" spans="1:1" ht="18.75" customHeight="1">
      <c r="A14" s="2" t="s">
        <v>41</v>
      </c>
    </row>
    <row r="15" spans="1:1" ht="18.75" customHeight="1">
      <c r="A15" s="2" t="s">
        <v>33</v>
      </c>
    </row>
    <row r="16" spans="1:1" ht="18.75" customHeight="1">
      <c r="A16" s="1"/>
    </row>
    <row r="17" spans="4:26" ht="15" customHeight="1">
      <c r="D17" s="4" t="s">
        <v>48</v>
      </c>
      <c r="E17" s="4"/>
      <c r="F17" s="4" t="s">
        <v>49</v>
      </c>
      <c r="G17" s="4"/>
      <c r="H17" s="4" t="s">
        <v>62</v>
      </c>
      <c r="I17" s="4"/>
      <c r="J17" s="4" t="s">
        <v>38</v>
      </c>
      <c r="K17" s="4"/>
      <c r="L17" s="4" t="s">
        <v>67</v>
      </c>
      <c r="M17" s="4"/>
      <c r="N17" s="4" t="s">
        <v>44</v>
      </c>
      <c r="O17" s="4"/>
      <c r="P17" s="4" t="s">
        <v>65</v>
      </c>
      <c r="Q17" s="4"/>
      <c r="R17" s="4" t="s">
        <v>66</v>
      </c>
      <c r="S17" s="4"/>
      <c r="T17" s="4" t="s">
        <v>61</v>
      </c>
      <c r="U17" s="4"/>
      <c r="V17" s="4" t="s">
        <v>54</v>
      </c>
      <c r="W17" s="4"/>
      <c r="X17" s="4" t="s">
        <v>57</v>
      </c>
      <c r="Y17" s="4"/>
      <c r="Z17" s="4" t="s">
        <v>58</v>
      </c>
    </row>
    <row r="18" spans="4:6" s="4" customFormat="1" ht="18.75" customHeight="1">
      <c r="D18" s="4" t="s">
        <v>50</v>
      </c>
      <c r="F18" s="4" t="s">
        <v>50</v>
      </c>
    </row>
    <row r="19" spans="1:24" ht="18.75" customHeight="1">
      <c r="A19" s="2" t="s">
        <v>2</v>
      </c>
      <c r="D19" s="3" t="s">
        <v>52</v>
      </c>
      <c r="F19" s="3" t="s">
        <v>52</v>
      </c>
      <c r="H19" s="3" t="s">
        <v>6</v>
      </c>
      <c r="I19" s="3"/>
      <c r="J19" s="3" t="s">
        <v>56</v>
      </c>
      <c r="L19" s="3" t="s">
        <v>4</v>
      </c>
      <c r="M19" s="2" t="s">
        <v>5</v>
      </c>
      <c r="N19" s="3" t="s">
        <v>4</v>
      </c>
      <c r="P19" s="3" t="s">
        <v>3</v>
      </c>
      <c r="R19" s="3" t="s">
        <v>3</v>
      </c>
      <c r="T19" s="3" t="s">
        <v>7</v>
      </c>
      <c r="V19" s="3" t="s">
        <v>8</v>
      </c>
      <c r="X19" s="2" t="s">
        <v>59</v>
      </c>
    </row>
    <row r="20" spans="1:26" ht="18.75" customHeight="1">
      <c r="A20" s="11" t="s">
        <v>9</v>
      </c>
      <c r="B20" s="11" t="s">
        <v>10</v>
      </c>
      <c r="D20" s="5" t="s">
        <v>51</v>
      </c>
      <c r="F20" s="5" t="s">
        <v>53</v>
      </c>
      <c r="H20" s="5" t="s">
        <v>11</v>
      </c>
      <c r="I20" s="3"/>
      <c r="J20" s="5" t="s">
        <v>12</v>
      </c>
      <c r="L20" s="5" t="s">
        <v>11</v>
      </c>
      <c r="M20" s="2"/>
      <c r="N20" s="5" t="s">
        <v>12</v>
      </c>
      <c r="P20" s="5" t="s">
        <v>11</v>
      </c>
      <c r="R20" s="5" t="s">
        <v>12</v>
      </c>
      <c r="T20" s="5" t="s">
        <v>13</v>
      </c>
      <c r="V20" s="5" t="s">
        <v>14</v>
      </c>
      <c r="X20" s="12" t="s">
        <v>15</v>
      </c>
      <c r="Z20" s="12" t="s">
        <v>60</v>
      </c>
    </row>
    <row r="21" spans="4:22" ht="18" customHeight="1">
      <c r="D21" s="2"/>
      <c r="F21" s="2"/>
      <c r="H21" s="2"/>
      <c r="J21" s="2"/>
      <c r="L21" s="2"/>
      <c r="M21" s="2"/>
      <c r="N21" s="2"/>
      <c r="P21" s="2"/>
      <c r="Q21" s="2"/>
      <c r="R21" s="2"/>
      <c r="T21" s="2"/>
      <c r="U21" s="2"/>
      <c r="V21" s="2"/>
    </row>
    <row r="22" spans="1:26" ht="24.95" customHeight="1">
      <c r="A22" s="14">
        <v>1</v>
      </c>
      <c r="B22" s="14" t="s">
        <v>16</v>
      </c>
      <c r="D22" s="3">
        <f>'[1]Demand Loss Factor'!$G$52*F22</f>
        <v>903229.59812678245</v>
      </c>
      <c r="E22" s="3"/>
      <c r="F22" s="3">
        <f>'[2]GS PRI LRG SUB'!$S$16/'[2]GS PRI LRG SUB'!$I$16*'[3]PRIMARY  SUBSTATIONS'!$F$22</f>
        <v>897512.44385939813</v>
      </c>
      <c r="G22" s="3"/>
      <c r="H22" s="3">
        <f>'[1]Demand Loss Factor'!$G$52*J22</f>
        <v>711074.35313579324</v>
      </c>
      <c r="I22" s="3"/>
      <c r="J22" s="3">
        <f>'[2]GS PRI LRG SUB'!$S$16/'[2]GS PRI LRG SUB'!$I$16*'[3]PRIMARY  SUBSTATIONS'!$J$22</f>
        <v>706573.48006776161</v>
      </c>
      <c r="K22" s="3"/>
      <c r="L22" s="3">
        <f>'[1]Demand Loss Factor'!$G$52*N22</f>
        <v>653778.9485545822</v>
      </c>
      <c r="N22" s="3">
        <f>'[2]GS PRI LRG SUB'!$S$16/'[2]GS PRI LRG SUB'!$I$16*'[3]PRIMARY  SUBSTATIONS'!$N$22</f>
        <v>649640.73705951311</v>
      </c>
      <c r="O22" s="3"/>
      <c r="P22" s="3">
        <f>'[1]Demand Loss Factor'!$G$52*R22</f>
        <v>657016.68727967876</v>
      </c>
      <c r="R22" s="3">
        <f>'[2]GS PRI LRG SUB'!$S$16/'[2]GS PRI LRG SUB'!$I$16*'[3]PRIMARY  SUBSTATIONS'!$R$22</f>
        <v>652857.98193475441</v>
      </c>
      <c r="S22" s="3"/>
      <c r="T22" s="3">
        <f>'[1]Energy Loss Factor'!$G$52*V22</f>
        <v>492548007.17782664</v>
      </c>
      <c r="V22" s="3">
        <f>'[2]GS PRI LRG SUB'!$S$16</f>
        <v>489736917.27268142</v>
      </c>
      <c r="X22" s="13">
        <v>0.91942417227039352</v>
      </c>
      <c r="Y22" s="13"/>
      <c r="Z22" s="13">
        <v>0.93545769999999995</v>
      </c>
    </row>
    <row r="23" spans="1:26" ht="24.95" customHeight="1">
      <c r="A23" s="14">
        <v>2</v>
      </c>
      <c r="B23" s="14" t="s">
        <v>17</v>
      </c>
      <c r="D23" s="3">
        <f>'[1]Demand Loss Factor'!$G$52*F23</f>
        <v>940471.72094605817</v>
      </c>
      <c r="E23" s="3"/>
      <c r="F23" s="3">
        <f>'[2]GS PRI LRG SUB'!$S$18/'[2]GS PRI LRG SUB'!$I$18*'[3]PRIMARY  SUBSTATIONS'!$F$23</f>
        <v>934518.83596098667</v>
      </c>
      <c r="G23" s="3"/>
      <c r="H23" s="3">
        <f>'[1]Demand Loss Factor'!$G$52*J23</f>
        <v>750572.30162007373</v>
      </c>
      <c r="I23" s="3"/>
      <c r="J23" s="3">
        <f>'[2]GS PRI LRG SUB'!$S$18/'[2]GS PRI LRG SUB'!$I$18*'[3]PRIMARY  SUBSTATIONS'!$J$23</f>
        <v>745821.41917989776</v>
      </c>
      <c r="K23" s="3"/>
      <c r="L23" s="3">
        <f>'[1]Demand Loss Factor'!$G$52*N23</f>
        <v>337978.31501115678</v>
      </c>
      <c r="N23" s="3">
        <f>'[2]GS PRI LRG SUB'!$S$18/'[2]GS PRI LRG SUB'!$I$18*'[3]PRIMARY  SUBSTATIONS'!$N$23</f>
        <v>335839.02045088465</v>
      </c>
      <c r="O23" s="3"/>
      <c r="P23" s="3">
        <f>'[1]Demand Loss Factor'!$G$52*R23</f>
        <v>339877.74829593149</v>
      </c>
      <c r="R23" s="3">
        <f>'[2]GS PRI LRG SUB'!$S$18/'[2]GS PRI LRG SUB'!$I$18*'[3]PRIMARY  SUBSTATIONS'!$R$23</f>
        <v>337726.43093090167</v>
      </c>
      <c r="S23" s="3"/>
      <c r="T23" s="3">
        <f>'[1]Energy Loss Factor'!$G$52*V23</f>
        <v>476323524.62825841</v>
      </c>
      <c r="V23" s="3">
        <f>'[2]GS PRI LRG SUB'!$S$18</f>
        <v>473605031.74603611</v>
      </c>
      <c r="X23" s="13">
        <v>0.45029414792105577</v>
      </c>
      <c r="Y23" s="13"/>
      <c r="Z23" s="13">
        <v>0.74115600000000004</v>
      </c>
    </row>
    <row r="24" spans="1:26" ht="24.95" customHeight="1">
      <c r="A24" s="14">
        <v>3</v>
      </c>
      <c r="B24" s="14" t="s">
        <v>18</v>
      </c>
      <c r="D24" s="3">
        <f>'[1]Demand Loss Factor'!$G$52*F24</f>
        <v>939516.74948418245</v>
      </c>
      <c r="E24" s="3"/>
      <c r="F24" s="3">
        <f>'[2]GS PRI LRG SUB'!$S$20/'[2]GS PRI LRG SUB'!$I$20*'[3]PRIMARY  SUBSTATIONS'!$F$24</f>
        <v>933569.90916281531</v>
      </c>
      <c r="G24" s="3"/>
      <c r="H24" s="3">
        <f>'[1]Demand Loss Factor'!$G$52*J24</f>
        <v>771721.44991340092</v>
      </c>
      <c r="I24" s="3"/>
      <c r="J24" s="3">
        <f>'[2]GS PRI LRG SUB'!$S$20/'[2]GS PRI LRG SUB'!$I$20*'[3]PRIMARY  SUBSTATIONS'!$J$24</f>
        <v>766836.70013355021</v>
      </c>
      <c r="K24" s="3"/>
      <c r="L24" s="3">
        <f>'[1]Demand Loss Factor'!$G$52*N24</f>
        <v>697052.31639510568</v>
      </c>
      <c r="N24" s="3">
        <f>'[2]GS PRI LRG SUB'!$S$20/'[2]GS PRI LRG SUB'!$I$20*'[3]PRIMARY  SUBSTATIONS'!$N$24</f>
        <v>692640.19833173254</v>
      </c>
      <c r="O24" s="3"/>
      <c r="P24" s="3">
        <f>'[1]Demand Loss Factor'!$G$52*R24</f>
        <v>711819.72991719213</v>
      </c>
      <c r="R24" s="3">
        <f>'[2]GS PRI LRG SUB'!$S$20/'[2]GS PRI LRG SUB'!$I$20*'[3]PRIMARY  SUBSTATIONS'!$R$24</f>
        <v>707314.13885270047</v>
      </c>
      <c r="S24" s="3"/>
      <c r="T24" s="3">
        <f>'[1]Energy Loss Factor'!$G$52*V24</f>
        <v>397962390.07370609</v>
      </c>
      <c r="V24" s="3">
        <f>'[2]GS PRI LRG SUB'!$S$20</f>
        <v>395691123.02752805</v>
      </c>
      <c r="X24" s="13">
        <v>0.90324341311664436</v>
      </c>
      <c r="Y24" s="13"/>
      <c r="Z24" s="13">
        <v>0.92964800000000003</v>
      </c>
    </row>
    <row r="25" spans="1:26" ht="24.95" customHeight="1">
      <c r="A25" s="14">
        <v>4</v>
      </c>
      <c r="B25" s="14" t="s">
        <v>19</v>
      </c>
      <c r="D25" s="3">
        <f>'[1]Demand Loss Factor'!$G$52*F25</f>
        <v>957261.41941863403</v>
      </c>
      <c r="E25" s="3"/>
      <c r="F25" s="3">
        <f>'[2]GS PRI LRG SUB'!$S$22/'[2]GS PRI LRG SUB'!$I$22*'[3]PRIMARY  SUBSTATIONS'!$F$25</f>
        <v>951202.26101596234</v>
      </c>
      <c r="G25" s="3"/>
      <c r="H25" s="3">
        <f>'[1]Demand Loss Factor'!$G$52*J25</f>
        <v>763613.52969312517</v>
      </c>
      <c r="I25" s="3"/>
      <c r="J25" s="3">
        <f>'[2]GS PRI LRG SUB'!$S$22/'[2]GS PRI LRG SUB'!$I$22*'[3]PRIMARY  SUBSTATIONS'!$J$25</f>
        <v>758780.100453238</v>
      </c>
      <c r="K25" s="3"/>
      <c r="L25" s="3">
        <f>'[1]Demand Loss Factor'!$G$52*N25</f>
        <v>738271.54881641141</v>
      </c>
      <c r="N25" s="3">
        <f>'[2]GS PRI LRG SUB'!$S$22/'[2]GS PRI LRG SUB'!$I$22*'[3]PRIMARY  SUBSTATIONS'!$N$25</f>
        <v>733598.52620448882</v>
      </c>
      <c r="O25" s="3"/>
      <c r="P25" s="3">
        <f>'[1]Demand Loss Factor'!$G$52*R25</f>
        <v>737006.8939236697</v>
      </c>
      <c r="R25" s="3">
        <f>'[2]GS PRI LRG SUB'!$S$22/'[2]GS PRI LRG SUB'!$I$22*'[3]PRIMARY  SUBSTATIONS'!$R$25</f>
        <v>732341.87617245119</v>
      </c>
      <c r="S25" s="3"/>
      <c r="T25" s="3">
        <f>'[1]Energy Loss Factor'!$G$52*V25</f>
        <v>510846500.84139794</v>
      </c>
      <c r="V25" s="3">
        <f>'[2]GS PRI LRG SUB'!$S$22</f>
        <v>507930977.03322721</v>
      </c>
      <c r="X25" s="13">
        <v>0.96681308031970303</v>
      </c>
      <c r="Y25" s="13"/>
      <c r="Z25" s="13">
        <v>0.93526209999999999</v>
      </c>
    </row>
    <row r="26" spans="1:26" ht="24.95" customHeight="1">
      <c r="A26" s="14">
        <v>5</v>
      </c>
      <c r="B26" s="14" t="s">
        <v>20</v>
      </c>
      <c r="D26" s="3">
        <f>'[1]Demand Loss Factor'!$G$52*F26</f>
        <v>992664.67401415005</v>
      </c>
      <c r="E26" s="3"/>
      <c r="F26" s="3">
        <f>'[2]GS PRI LRG SUB'!$S$24/'[2]GS PRI LRG SUB'!$I$24*'[3]PRIMARY  SUBSTATIONS'!$F$26</f>
        <v>986381.42434109724</v>
      </c>
      <c r="G26" s="3"/>
      <c r="H26" s="3">
        <f>'[1]Demand Loss Factor'!$G$52*J26</f>
        <v>802187.57448268309</v>
      </c>
      <c r="I26" s="3"/>
      <c r="J26" s="3">
        <f>'[2]GS PRI LRG SUB'!$S$24/'[2]GS PRI LRG SUB'!$I$24*'[3]PRIMARY  SUBSTATIONS'!$J$26</f>
        <v>797109.98388533352</v>
      </c>
      <c r="K26" s="3"/>
      <c r="L26" s="3">
        <f>'[1]Demand Loss Factor'!$G$52*N26</f>
        <v>799762.30742928607</v>
      </c>
      <c r="N26" s="3">
        <f>'[2]GS PRI LRG SUB'!$S$24/'[2]GS PRI LRG SUB'!$I$24*'[3]PRIMARY  SUBSTATIONS'!$N$26</f>
        <v>794700.06799615058</v>
      </c>
      <c r="O26" s="3"/>
      <c r="P26" s="3">
        <f>'[1]Demand Loss Factor'!$G$52*R26</f>
        <v>799762.30742928607</v>
      </c>
      <c r="R26" s="3">
        <f>'[2]GS PRI LRG SUB'!$S$24/'[2]GS PRI LRG SUB'!$I$24*'[3]PRIMARY  SUBSTATIONS'!$R$26</f>
        <v>794700.06799615058</v>
      </c>
      <c r="S26" s="3"/>
      <c r="T26" s="3">
        <f>'[1]Energy Loss Factor'!$G$52*V26</f>
        <v>541404710.75999343</v>
      </c>
      <c r="V26" s="3">
        <f>'[2]GS PRI LRG SUB'!$S$24</f>
        <v>538314783.90040505</v>
      </c>
      <c r="X26" s="13">
        <v>0.9969766833462097</v>
      </c>
      <c r="Y26" s="13"/>
      <c r="Z26" s="13">
        <v>0.92417559999999999</v>
      </c>
    </row>
    <row r="27" spans="1:26" ht="24.95" customHeight="1">
      <c r="A27" s="14">
        <v>6</v>
      </c>
      <c r="B27" s="14" t="s">
        <v>21</v>
      </c>
      <c r="D27" s="3">
        <f>'[1]Demand Loss Factor'!$G$52*F27</f>
        <v>999935.16098639241</v>
      </c>
      <c r="E27" s="3"/>
      <c r="F27" s="3">
        <f>'[2]GS PRI LRG SUB'!$S$26/'[2]GS PRI LRG SUB'!$I$26*'[3]PRIMARY  SUBSTATIONS'!$F$27</f>
        <v>993605.89145780622</v>
      </c>
      <c r="G27" s="3"/>
      <c r="H27" s="3">
        <f>'[1]Demand Loss Factor'!$G$52*J27</f>
        <v>830093.38576862274</v>
      </c>
      <c r="I27" s="3"/>
      <c r="J27" s="3">
        <f>'[2]GS PRI LRG SUB'!$S$26/'[2]GS PRI LRG SUB'!$I$26*'[3]PRIMARY  SUBSTATIONS'!$J$27</f>
        <v>824839.16031740094</v>
      </c>
      <c r="K27" s="3"/>
      <c r="L27" s="3">
        <f>'[1]Demand Loss Factor'!$G$52*N27</f>
        <v>732948.16458954208</v>
      </c>
      <c r="N27" s="3">
        <f>'[2]GS PRI LRG SUB'!$S$26/'[2]GS PRI LRG SUB'!$I$26*'[3]PRIMARY  SUBSTATIONS'!$N$27</f>
        <v>728308.8372959668</v>
      </c>
      <c r="O27" s="3"/>
      <c r="P27" s="3">
        <f>'[1]Demand Loss Factor'!$G$52*R27</f>
        <v>747159.6477491369</v>
      </c>
      <c r="R27" s="3">
        <f>'[2]GS PRI LRG SUB'!$S$26/'[2]GS PRI LRG SUB'!$I$26*'[3]PRIMARY  SUBSTATIONS'!$R$27</f>
        <v>742430.36631570582</v>
      </c>
      <c r="S27" s="3"/>
      <c r="T27" s="3">
        <f>'[1]Energy Loss Factor'!$G$52*V27</f>
        <v>525716779.70486534</v>
      </c>
      <c r="V27" s="3">
        <f>'[2]GS PRI LRG SUB'!$S$26</f>
        <v>522716387.63981277</v>
      </c>
      <c r="X27" s="13">
        <v>0.88297073215547994</v>
      </c>
      <c r="Y27" s="13">
        <v>0.92559100000000005</v>
      </c>
      <c r="Z27" s="13">
        <v>0.92559100000000005</v>
      </c>
    </row>
    <row r="28" spans="1:26" ht="24.95" customHeight="1">
      <c r="A28" s="14">
        <v>7</v>
      </c>
      <c r="B28" s="14" t="s">
        <v>22</v>
      </c>
      <c r="D28" s="3">
        <f>'[1]Demand Loss Factor'!$G$52*F28</f>
        <v>1000364.2674324374</v>
      </c>
      <c r="E28" s="3"/>
      <c r="F28" s="3">
        <f>'[2]GS PRI LRG SUB'!$S$28/'[2]GS PRI LRG SUB'!$I$28*'[3]PRIMARY  SUBSTATIONS'!$F$28</f>
        <v>994032.2817973881</v>
      </c>
      <c r="G28" s="3"/>
      <c r="H28" s="3">
        <f>'[1]Demand Loss Factor'!$G$52*J28</f>
        <v>823224.67561269272</v>
      </c>
      <c r="I28" s="3"/>
      <c r="J28" s="3">
        <f>'[2]GS PRI LRG SUB'!$S$28/'[2]GS PRI LRG SUB'!$I$28*'[3]PRIMARY  SUBSTATIONS'!$J$28</f>
        <v>818013.92689835024</v>
      </c>
      <c r="K28" s="3"/>
      <c r="L28" s="3">
        <f>'[1]Demand Loss Factor'!$G$52*N28</f>
        <v>793699.72854032821</v>
      </c>
      <c r="N28" s="3">
        <f>'[2]GS PRI LRG SUB'!$S$28/'[2]GS PRI LRG SUB'!$I$28*'[3]PRIMARY  SUBSTATIONS'!$N$28</f>
        <v>788675.86329116346</v>
      </c>
      <c r="O28" s="3"/>
      <c r="P28" s="3">
        <f>'[1]Demand Loss Factor'!$G$52*R28</f>
        <v>695184.91133834259</v>
      </c>
      <c r="R28" s="3">
        <f>'[2]GS PRI LRG SUB'!$S$28/'[2]GS PRI LRG SUB'!$I$28*'[3]PRIMARY  SUBSTATIONS'!$R$28</f>
        <v>690784.61335129489</v>
      </c>
      <c r="S28" s="3"/>
      <c r="T28" s="3">
        <f>'[1]Energy Loss Factor'!$G$52*V28</f>
        <v>559709988.61827302</v>
      </c>
      <c r="V28" s="3">
        <f>'[2]GS PRI LRG SUB'!$S$28</f>
        <v>556515589.13662875</v>
      </c>
      <c r="X28" s="13">
        <v>0.9641350071893916</v>
      </c>
      <c r="Y28" s="13"/>
      <c r="Z28" s="13">
        <v>0.93745699999999998</v>
      </c>
    </row>
    <row r="29" spans="1:26" ht="24.95" customHeight="1">
      <c r="A29" s="14">
        <v>8</v>
      </c>
      <c r="B29" s="14" t="s">
        <v>23</v>
      </c>
      <c r="D29" s="3">
        <f>'[1]Demand Loss Factor'!$G$52*F29</f>
        <v>1020280.9540993492</v>
      </c>
      <c r="E29" s="3"/>
      <c r="F29" s="3">
        <f>'[2]GS PRI LRG SUB'!$S$30/'[2]GS PRI LRG SUB'!$I$30*'[3]PRIMARY  SUBSTATIONS'!$F$29</f>
        <v>1013822.9022122572</v>
      </c>
      <c r="G29" s="3"/>
      <c r="H29" s="3">
        <f>'[1]Demand Loss Factor'!$G$52*J29</f>
        <v>847474.94215962989</v>
      </c>
      <c r="I29" s="3"/>
      <c r="J29" s="3">
        <f>'[2]GS PRI LRG SUB'!$S$30/'[2]GS PRI LRG SUB'!$I$30*'[3]PRIMARY  SUBSTATIONS'!$J$29</f>
        <v>842110.69701961498</v>
      </c>
      <c r="K29" s="3"/>
      <c r="L29" s="3">
        <f>'[1]Demand Loss Factor'!$G$52*N29</f>
        <v>734809.58648636192</v>
      </c>
      <c r="N29" s="3">
        <f>'[2]GS PRI LRG SUB'!$S$30/'[2]GS PRI LRG SUB'!$I$30*'[3]PRIMARY  SUBSTATIONS'!$N$29</f>
        <v>730158.47698794864</v>
      </c>
      <c r="O29" s="3"/>
      <c r="P29" s="3">
        <f>'[1]Demand Loss Factor'!$G$52*R29</f>
        <v>712841.16723431111</v>
      </c>
      <c r="R29" s="3">
        <f>'[2]GS PRI LRG SUB'!$S$30/'[2]GS PRI LRG SUB'!$I$30*'[3]PRIMARY  SUBSTATIONS'!$R$29</f>
        <v>708329.11079852458</v>
      </c>
      <c r="S29" s="3"/>
      <c r="T29" s="3">
        <f>'[1]Energy Loss Factor'!$G$52*V29</f>
        <v>644869257.99197173</v>
      </c>
      <c r="V29" s="3">
        <f>'[2]GS PRI LRG SUB'!$S$30</f>
        <v>641188834.0843277</v>
      </c>
      <c r="X29" s="13">
        <v>0.86705759655127779</v>
      </c>
      <c r="Y29" s="13"/>
      <c r="Z29" s="13">
        <v>0.91883700000000001</v>
      </c>
    </row>
    <row r="30" spans="1:26" ht="24.95" customHeight="1">
      <c r="A30" s="14">
        <v>9</v>
      </c>
      <c r="B30" s="14" t="s">
        <v>24</v>
      </c>
      <c r="D30" s="3">
        <f>'[1]Demand Loss Factor'!$G$52*F30</f>
        <v>990179.02456312068</v>
      </c>
      <c r="E30" s="3"/>
      <c r="F30" s="3">
        <f>'[2]GS PRI LRG SUB'!$S$32/'[2]GS PRI LRG SUB'!$I$32*'[3]PRIMARY  SUBSTATIONS'!$F$30</f>
        <v>983911.50825553294</v>
      </c>
      <c r="G30" s="3"/>
      <c r="H30" s="3">
        <f>'[1]Demand Loss Factor'!$G$52*J30</f>
        <v>828808.8337753457</v>
      </c>
      <c r="I30" s="3"/>
      <c r="J30" s="3">
        <f>'[2]GS PRI LRG SUB'!$S$32/'[2]GS PRI LRG SUB'!$I$32*'[3]PRIMARY  SUBSTATIONS'!$J$30</f>
        <v>823562.73912710603</v>
      </c>
      <c r="K30" s="3"/>
      <c r="L30" s="3">
        <f>'[1]Demand Loss Factor'!$G$52*N30</f>
        <v>741400.47672654386</v>
      </c>
      <c r="N30" s="3">
        <f>'[2]GS PRI LRG SUB'!$S$32/'[2]GS PRI LRG SUB'!$I$32*'[3]PRIMARY  SUBSTATIONS'!$N$30</f>
        <v>736707.6490023986</v>
      </c>
      <c r="O30" s="3"/>
      <c r="P30" s="3">
        <f>'[1]Demand Loss Factor'!$G$52*R30</f>
        <v>736260.9159850392</v>
      </c>
      <c r="R30" s="3">
        <f>'[2]GS PRI LRG SUB'!$S$32/'[2]GS PRI LRG SUB'!$I$32*'[3]PRIMARY  SUBSTATIONS'!$R$30</f>
        <v>731600.62003541365</v>
      </c>
      <c r="S30" s="3"/>
      <c r="T30" s="3">
        <f>'[1]Energy Loss Factor'!$G$52*V30</f>
        <v>568623607.11242735</v>
      </c>
      <c r="V30" s="3">
        <f>'[2]GS PRI LRG SUB'!$S$32</f>
        <v>565378335.46684766</v>
      </c>
      <c r="X30" s="13">
        <v>0.89453737280930767</v>
      </c>
      <c r="Y30" s="13"/>
      <c r="Z30" s="13">
        <v>0.92612000000000005</v>
      </c>
    </row>
    <row r="31" spans="1:26" ht="24.95" customHeight="1">
      <c r="A31" s="14">
        <v>10</v>
      </c>
      <c r="B31" s="14" t="s">
        <v>25</v>
      </c>
      <c r="D31" s="3">
        <f>'[1]Demand Loss Factor'!$G$52*F31</f>
        <v>986138.15452702867</v>
      </c>
      <c r="E31" s="3"/>
      <c r="F31" s="3">
        <f>'[2]GS PRI LRG SUB'!$S$34/'[2]GS PRI LRG SUB'!$I$34*'[3]PRIMARY  SUBSTATIONS'!$F$31</f>
        <v>979896.21563344367</v>
      </c>
      <c r="G31" s="3"/>
      <c r="H31" s="3">
        <f>'[1]Demand Loss Factor'!$G$52*J31</f>
        <v>813329.35897258739</v>
      </c>
      <c r="I31" s="3"/>
      <c r="J31" s="3">
        <f>'[2]GS PRI LRG SUB'!$S$34/'[2]GS PRI LRG SUB'!$I$34*'[3]PRIMARY  SUBSTATIONS'!$J$31</f>
        <v>808181.24444546981</v>
      </c>
      <c r="K31" s="3"/>
      <c r="L31" s="3">
        <f>'[1]Demand Loss Factor'!$G$52*N31</f>
        <v>751380.36674731073</v>
      </c>
      <c r="N31" s="3">
        <f>'[2]GS PRI LRG SUB'!$S$34/'[2]GS PRI LRG SUB'!$I$34*'[3]PRIMARY  SUBSTATIONS'!$N$31</f>
        <v>746624.36951350968</v>
      </c>
      <c r="O31" s="3"/>
      <c r="P31" s="3">
        <f>'[1]Demand Loss Factor'!$G$52*R31</f>
        <v>751380.36674731073</v>
      </c>
      <c r="R31" s="3">
        <f>'[2]GS PRI LRG SUB'!$S$34/'[2]GS PRI LRG SUB'!$I$34*'[3]PRIMARY  SUBSTATIONS'!$R$31</f>
        <v>746624.36951350968</v>
      </c>
      <c r="S31" s="3"/>
      <c r="T31" s="3">
        <f>'[1]Energy Loss Factor'!$G$52*V31</f>
        <v>548125346.88601303</v>
      </c>
      <c r="V31" s="3">
        <f>'[2]GS PRI LRG SUB'!$S$34</f>
        <v>544997063.74014461</v>
      </c>
      <c r="X31" s="13">
        <v>0.9238328340888472</v>
      </c>
      <c r="Y31" s="13"/>
      <c r="Z31" s="13">
        <v>0.92133620000000005</v>
      </c>
    </row>
    <row r="32" spans="1:26" ht="24.95" customHeight="1">
      <c r="A32" s="14">
        <v>11</v>
      </c>
      <c r="B32" s="14" t="s">
        <v>26</v>
      </c>
      <c r="D32" s="3">
        <f>'[1]Demand Loss Factor'!$G$52*F32</f>
        <v>952080.68276850309</v>
      </c>
      <c r="E32" s="3"/>
      <c r="F32" s="3">
        <f>'[2]GS PRI LRG SUB'!$S$36/'[2]GS PRI LRG SUB'!$I$36*'[3]PRIMARY  SUBSTATIONS'!$F$32</f>
        <v>946054.31677067396</v>
      </c>
      <c r="G32" s="3"/>
      <c r="H32" s="3">
        <f>'[1]Demand Loss Factor'!$G$52*J32</f>
        <v>787656.79002182721</v>
      </c>
      <c r="I32" s="3"/>
      <c r="J32" s="3">
        <f>'[2]GS PRI LRG SUB'!$S$36/'[2]GS PRI LRG SUB'!$I$36*'[3]PRIMARY  SUBSTATIONS'!$J$32</f>
        <v>782671.17463937437</v>
      </c>
      <c r="K32" s="3"/>
      <c r="L32" s="3">
        <f>'[1]Demand Loss Factor'!$G$52*N32</f>
        <v>735911.51737135649</v>
      </c>
      <c r="N32" s="3">
        <f>'[2]GS PRI LRG SUB'!$S$36/'[2]GS PRI LRG SUB'!$I$36*'[3]PRIMARY  SUBSTATIONS'!$N$32</f>
        <v>731253.43300312653</v>
      </c>
      <c r="O32" s="3"/>
      <c r="P32" s="3">
        <f>'[1]Demand Loss Factor'!$G$52*R32</f>
        <v>760463.78463567246</v>
      </c>
      <c r="R32" s="3">
        <f>'[2]GS PRI LRG SUB'!$S$36/'[2]GS PRI LRG SUB'!$I$36*'[3]PRIMARY  SUBSTATIONS'!$R$32</f>
        <v>755650.29227388778</v>
      </c>
      <c r="S32" s="3"/>
      <c r="T32" s="3">
        <f>'[1]Energy Loss Factor'!$G$52*V32</f>
        <v>548656614.47165179</v>
      </c>
      <c r="V32" s="3">
        <f>'[2]GS PRI LRG SUB'!$S$36</f>
        <v>545525299.25393414</v>
      </c>
      <c r="X32" s="13">
        <v>0.93430479708168723</v>
      </c>
      <c r="Y32" s="13"/>
      <c r="Z32" s="13">
        <v>0.94183779999999995</v>
      </c>
    </row>
    <row r="33" spans="1:26" ht="24.95" customHeight="1" thickBot="1">
      <c r="A33" s="14">
        <v>12</v>
      </c>
      <c r="B33" s="14" t="s">
        <v>27</v>
      </c>
      <c r="D33" s="3">
        <f>'[1]Demand Loss Factor'!$G$52*F33</f>
        <v>966228.83699747</v>
      </c>
      <c r="E33" s="3"/>
      <c r="F33" s="3">
        <f>'[2]GS PRI LRG SUB'!$S$38/'[2]GS PRI LRG SUB'!$I$38*'[3]PRIMARY  SUBSTATIONS'!$F$33</f>
        <v>960112.91771164688</v>
      </c>
      <c r="G33" s="3"/>
      <c r="H33" s="3">
        <f>'[1]Demand Loss Factor'!$G$52*J33</f>
        <v>804600.20092020463</v>
      </c>
      <c r="I33" s="3"/>
      <c r="J33" s="3">
        <f>'[2]GS PRI LRG SUB'!$S$38/'[2]GS PRI LRG SUB'!$I$38*'[3]PRIMARY  SUBSTATIONS'!$J$33</f>
        <v>799507.33916969365</v>
      </c>
      <c r="K33" s="3"/>
      <c r="L33" s="3">
        <f>'[1]Demand Loss Factor'!$G$52*N33</f>
        <v>736788.1048740953</v>
      </c>
      <c r="N33" s="3">
        <f>'[2]GS PRI LRG SUB'!$S$38/'[2]GS PRI LRG SUB'!$I$38*'[3]PRIMARY  SUBSTATIONS'!$N$33</f>
        <v>732124.47198753466</v>
      </c>
      <c r="O33" s="3"/>
      <c r="P33" s="3">
        <f>'[1]Demand Loss Factor'!$G$52*R33</f>
        <v>788962.25203796139</v>
      </c>
      <c r="Q33" s="15"/>
      <c r="R33" s="3">
        <f>'[2]GS PRI LRG SUB'!$S$38/'[2]GS PRI LRG SUB'!$I$38*'[3]PRIMARY  SUBSTATIONS'!$R$33</f>
        <v>783968.37349877425</v>
      </c>
      <c r="S33" s="3"/>
      <c r="T33" s="16">
        <f>'[1]Energy Loss Factor'!$G$52*V33</f>
        <v>552440597.35584402</v>
      </c>
      <c r="V33" s="16">
        <f>'[2]GS PRI LRG SUB'!$S$38</f>
        <v>549287686.03798592</v>
      </c>
      <c r="X33" s="13">
        <v>0.91571951390447826</v>
      </c>
      <c r="Y33" s="13"/>
      <c r="Z33" s="13">
        <v>0.92057800000000001</v>
      </c>
    </row>
    <row r="34" spans="1:22" ht="24.95" customHeight="1" thickTop="1">
      <c r="A34" s="14">
        <v>13</v>
      </c>
      <c r="E34" s="3"/>
      <c r="G34" s="3"/>
      <c r="I34" s="3"/>
      <c r="K34" s="3"/>
      <c r="O34" s="3"/>
      <c r="S34" s="3"/>
      <c r="T34" s="15">
        <f>+SUM(T22:T33)</f>
        <v>6367227325.6222305</v>
      </c>
      <c r="U34" s="15"/>
      <c r="V34" s="15">
        <f>SUM(V22:V33)</f>
        <v>6330888028.3395596</v>
      </c>
    </row>
    <row r="35" spans="1:22" ht="24.95" customHeight="1">
      <c r="A35" s="14"/>
      <c r="E35" s="3"/>
      <c r="G35" s="3"/>
      <c r="I35" s="3"/>
      <c r="K35" s="3"/>
      <c r="O35" s="3"/>
      <c r="S35" s="3"/>
      <c r="T35" s="15"/>
      <c r="U35" s="15"/>
      <c r="V35" s="15"/>
    </row>
    <row r="36" spans="1:22" ht="18.75" customHeight="1">
      <c r="A36" s="14"/>
      <c r="E36" s="3"/>
      <c r="G36" s="3"/>
      <c r="I36" s="3"/>
      <c r="K36" s="3"/>
      <c r="O36" s="3"/>
      <c r="S36" s="3"/>
      <c r="T36" s="15"/>
      <c r="U36" s="15"/>
      <c r="V36" s="15"/>
    </row>
    <row r="37" spans="1:19" ht="15" customHeight="1">
      <c r="A37" s="2" t="s">
        <v>55</v>
      </c>
      <c r="E37" s="3"/>
      <c r="G37" s="3"/>
      <c r="I37" s="3"/>
      <c r="K37" s="3"/>
      <c r="O37" s="3"/>
      <c r="S37" s="3"/>
    </row>
    <row r="38" spans="1:19" ht="15" customHeight="1">
      <c r="A38" s="2" t="s">
        <v>28</v>
      </c>
      <c r="E38" s="3"/>
      <c r="G38" s="3"/>
      <c r="I38" s="3"/>
      <c r="K38" s="3"/>
      <c r="O38" s="3"/>
      <c r="S38" s="3"/>
    </row>
    <row r="39" spans="1:19" ht="15" customHeight="1">
      <c r="A39" s="4" t="s">
        <v>29</v>
      </c>
      <c r="E39" s="3"/>
      <c r="G39" s="3"/>
      <c r="I39" s="3"/>
      <c r="K39" s="3"/>
      <c r="O39" s="3"/>
      <c r="S39" s="3"/>
    </row>
  </sheetData>
  <pageMargins left="0.5" right="1" top="1.5" bottom="0.5" header="0.5" footer="0.5"/>
  <pageSetup orientation="landscape" scale="5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A1:Z39"/>
  <sheetViews>
    <sheetView zoomScale="75" zoomScaleNormal="75" workbookViewId="0" topLeftCell="A1">
      <selection pane="topLeft" activeCell="A11" sqref="A11"/>
    </sheetView>
  </sheetViews>
  <sheetFormatPr defaultColWidth="9.14428571428571" defaultRowHeight="18.75" customHeight="1"/>
  <cols>
    <col min="1" max="1" width="4.71428571428571" style="2" customWidth="1"/>
    <col min="2" max="3" width="7.71428571428571" style="2" customWidth="1"/>
    <col min="4" max="4" width="20.5714285714286" style="3" customWidth="1"/>
    <col min="5" max="5" width="2.71428571428571" style="2" customWidth="1"/>
    <col min="6" max="6" width="20.8571428571429" style="3" customWidth="1"/>
    <col min="7" max="7" width="4.57142857142857" style="2" customWidth="1"/>
    <col min="8" max="8" width="13.8571428571429" style="3" customWidth="1"/>
    <col min="9" max="9" width="2.71428571428571" style="2" customWidth="1"/>
    <col min="10" max="10" width="14.8571428571429" style="3" customWidth="1"/>
    <col min="11" max="11" width="5.71428571428571" style="2" customWidth="1"/>
    <col min="12" max="12" width="14.2857142857143" style="3" customWidth="1"/>
    <col min="13" max="13" width="2.71428571428571" style="3" customWidth="1"/>
    <col min="14" max="14" width="13.2857142857143" style="3" customWidth="1"/>
    <col min="15" max="15" width="4.14285714285714" style="2" customWidth="1"/>
    <col min="16" max="16" width="13.7142857142857" style="3" customWidth="1"/>
    <col min="17" max="17" width="2.71428571428571" style="3" customWidth="1"/>
    <col min="18" max="18" width="13.8571428571429" style="3" customWidth="1"/>
    <col min="19" max="19" width="5.71428571428571" style="2" customWidth="1"/>
    <col min="20" max="20" width="20.5714285714286" style="3" customWidth="1"/>
    <col min="21" max="21" width="2.71428571428571" style="3" customWidth="1"/>
    <col min="22" max="22" width="20.5714285714286" style="3" customWidth="1"/>
    <col min="23" max="23" width="3.71428571428571" style="2" customWidth="1"/>
    <col min="24" max="24" width="9.85714285714286" style="2" customWidth="1"/>
    <col min="25" max="25" width="1.71428571428571" style="2" customWidth="1"/>
    <col min="26" max="26" width="9.71428571428571" style="2" customWidth="1"/>
    <col min="27" max="16384" width="9.14285714285714" style="2"/>
  </cols>
  <sheetData>
    <row r="1" spans="1:22" ht="18.75" customHeight="1">
      <c r="A1" s="6"/>
      <c r="V1" s="2" t="s">
        <v>63</v>
      </c>
    </row>
    <row r="2" spans="22:22" ht="18.75" customHeight="1">
      <c r="V2" s="2" t="s">
        <v>73</v>
      </c>
    </row>
    <row r="7" spans="1:26" ht="18.75" customHeight="1">
      <c r="A7" s="7" t="s">
        <v>77</v>
      </c>
      <c r="B7" s="8"/>
      <c r="C7" s="8"/>
      <c r="D7" s="8"/>
      <c r="E7" s="8"/>
      <c r="F7" s="9"/>
      <c r="G7" s="8"/>
      <c r="H7" s="8"/>
      <c r="I7" s="8"/>
      <c r="J7" s="10"/>
      <c r="K7" s="7"/>
      <c r="L7" s="7"/>
      <c r="M7" s="8"/>
      <c r="N7" s="7"/>
      <c r="O7" s="9"/>
      <c r="P7" s="8"/>
      <c r="Q7" s="8"/>
      <c r="R7" s="9"/>
      <c r="S7" s="8"/>
      <c r="T7" s="8"/>
      <c r="U7" s="8"/>
      <c r="V7" s="8"/>
      <c r="W7" s="8"/>
      <c r="X7" s="8"/>
      <c r="Y7" s="8"/>
      <c r="Z7" s="8"/>
    </row>
    <row r="8" spans="1:26" ht="18" customHeight="1">
      <c r="A8" s="7" t="s">
        <v>40</v>
      </c>
      <c r="B8" s="8"/>
      <c r="C8" s="8"/>
      <c r="D8" s="8"/>
      <c r="E8" s="8"/>
      <c r="F8" s="9"/>
      <c r="G8" s="8"/>
      <c r="H8" s="8"/>
      <c r="I8" s="8"/>
      <c r="J8" s="10"/>
      <c r="K8" s="7"/>
      <c r="L8" s="10"/>
      <c r="M8" s="9"/>
      <c r="N8" s="7"/>
      <c r="O8" s="10"/>
      <c r="P8" s="8"/>
      <c r="Q8" s="8"/>
      <c r="R8" s="10"/>
      <c r="S8" s="7"/>
      <c r="T8" s="8"/>
      <c r="U8" s="8"/>
      <c r="V8" s="8"/>
      <c r="W8" s="8"/>
      <c r="X8" s="8"/>
      <c r="Y8" s="8"/>
      <c r="Z8" s="8"/>
    </row>
    <row r="9" spans="1:26" ht="18" customHeight="1">
      <c r="A9" s="7" t="s">
        <v>45</v>
      </c>
      <c r="B9" s="8"/>
      <c r="C9" s="8"/>
      <c r="D9" s="8"/>
      <c r="E9" s="8"/>
      <c r="F9" s="9"/>
      <c r="G9" s="7"/>
      <c r="H9" s="8"/>
      <c r="I9" s="8"/>
      <c r="J9" s="10"/>
      <c r="K9" s="7"/>
      <c r="L9" s="7"/>
      <c r="M9" s="9"/>
      <c r="N9" s="9"/>
      <c r="O9" s="9"/>
      <c r="P9" s="8"/>
      <c r="Q9" s="7"/>
      <c r="R9" s="10"/>
      <c r="S9" s="7"/>
      <c r="T9" s="8"/>
      <c r="U9" s="8"/>
      <c r="V9" s="8"/>
      <c r="W9" s="8"/>
      <c r="X9" s="8"/>
      <c r="Y9" s="8"/>
      <c r="Z9" s="8"/>
    </row>
    <row r="10" spans="1:26" ht="18" customHeight="1">
      <c r="A10" s="7" t="s">
        <v>79</v>
      </c>
      <c r="B10" s="8"/>
      <c r="C10" s="8"/>
      <c r="D10" s="8"/>
      <c r="E10" s="8"/>
      <c r="F10" s="8"/>
      <c r="G10" s="7"/>
      <c r="H10" s="8"/>
      <c r="I10" s="8"/>
      <c r="J10" s="7"/>
      <c r="K10" s="7"/>
      <c r="L10" s="10"/>
      <c r="M10" s="9"/>
      <c r="N10" s="9"/>
      <c r="O10" s="9"/>
      <c r="P10" s="8"/>
      <c r="Q10" s="7"/>
      <c r="R10" s="10"/>
      <c r="S10" s="7"/>
      <c r="T10" s="8"/>
      <c r="U10" s="8"/>
      <c r="V10" s="8"/>
      <c r="W10" s="8"/>
      <c r="X10" s="8"/>
      <c r="Y10" s="8"/>
      <c r="Z10" s="8"/>
    </row>
    <row r="11" spans="1:26" ht="18" customHeight="1">
      <c r="A11" s="8"/>
      <c r="B11" s="8"/>
      <c r="C11" s="8"/>
      <c r="D11" s="8"/>
      <c r="E11" s="8"/>
      <c r="F11" s="9"/>
      <c r="G11" s="8"/>
      <c r="H11" s="8"/>
      <c r="I11" s="8"/>
      <c r="J11" s="10"/>
      <c r="K11" s="7"/>
      <c r="L11" s="10"/>
      <c r="M11" s="9"/>
      <c r="N11" s="9"/>
      <c r="O11" s="9"/>
      <c r="P11" s="8"/>
      <c r="Q11" s="8"/>
      <c r="R11" s="9"/>
      <c r="S11" s="8"/>
      <c r="T11" s="8"/>
      <c r="U11" s="8"/>
      <c r="V11" s="8"/>
      <c r="W11" s="8"/>
      <c r="X11" s="8"/>
      <c r="Y11" s="8"/>
      <c r="Z11" s="8"/>
    </row>
    <row r="12" spans="1:26" ht="18.75" customHeight="1">
      <c r="A12" s="7" t="s">
        <v>43</v>
      </c>
      <c r="B12" s="8"/>
      <c r="C12" s="8"/>
      <c r="D12" s="8"/>
      <c r="E12" s="8"/>
      <c r="F12" s="9"/>
      <c r="G12" s="8"/>
      <c r="H12" s="8"/>
      <c r="I12" s="8"/>
      <c r="J12" s="10"/>
      <c r="K12" s="7"/>
      <c r="L12" s="10"/>
      <c r="M12" s="9"/>
      <c r="N12" s="10"/>
      <c r="O12" s="10"/>
      <c r="P12" s="8"/>
      <c r="Q12" s="8"/>
      <c r="R12" s="9"/>
      <c r="S12" s="8"/>
      <c r="T12" s="8"/>
      <c r="U12" s="8"/>
      <c r="V12" s="8"/>
      <c r="W12" s="8"/>
      <c r="X12" s="8"/>
      <c r="Y12" s="8"/>
      <c r="Z12" s="8"/>
    </row>
    <row r="13" spans="1:26" ht="18.75" customHeight="1">
      <c r="A13" s="8"/>
      <c r="B13" s="8"/>
      <c r="C13" s="8"/>
      <c r="D13" s="8"/>
      <c r="E13" s="8"/>
      <c r="F13" s="9"/>
      <c r="G13" s="8"/>
      <c r="H13" s="8"/>
      <c r="I13" s="8"/>
      <c r="J13" s="9"/>
      <c r="K13" s="8"/>
      <c r="L13" s="8"/>
      <c r="M13" s="9"/>
      <c r="N13" s="8"/>
      <c r="O13" s="10"/>
      <c r="P13" s="8"/>
      <c r="Q13" s="8"/>
      <c r="R13" s="9"/>
      <c r="S13" s="8"/>
      <c r="T13" s="8"/>
      <c r="U13" s="8"/>
      <c r="V13" s="8"/>
      <c r="W13" s="8"/>
      <c r="X13" s="8"/>
      <c r="Y13" s="8"/>
      <c r="Z13" s="8"/>
    </row>
    <row r="14" spans="1:1" ht="18.75" customHeight="1">
      <c r="A14" s="2" t="s">
        <v>34</v>
      </c>
    </row>
    <row r="15" spans="1:1" ht="18.75" customHeight="1">
      <c r="A15" s="2" t="s">
        <v>35</v>
      </c>
    </row>
    <row r="16" spans="1:1" ht="18.75" customHeight="1">
      <c r="A16" s="1"/>
    </row>
    <row r="17" spans="4:26" ht="15" customHeight="1">
      <c r="D17" s="4" t="s">
        <v>48</v>
      </c>
      <c r="E17" s="4"/>
      <c r="F17" s="4" t="s">
        <v>49</v>
      </c>
      <c r="G17" s="4"/>
      <c r="H17" s="4" t="s">
        <v>62</v>
      </c>
      <c r="I17" s="4"/>
      <c r="J17" s="4" t="s">
        <v>38</v>
      </c>
      <c r="K17" s="4"/>
      <c r="L17" s="4" t="s">
        <v>67</v>
      </c>
      <c r="M17" s="4"/>
      <c r="N17" s="4" t="s">
        <v>44</v>
      </c>
      <c r="O17" s="4"/>
      <c r="P17" s="4" t="s">
        <v>65</v>
      </c>
      <c r="Q17" s="4"/>
      <c r="R17" s="4" t="s">
        <v>66</v>
      </c>
      <c r="S17" s="4"/>
      <c r="T17" s="4" t="s">
        <v>61</v>
      </c>
      <c r="U17" s="4"/>
      <c r="V17" s="4" t="s">
        <v>54</v>
      </c>
      <c r="W17" s="4"/>
      <c r="X17" s="4" t="s">
        <v>57</v>
      </c>
      <c r="Y17" s="4"/>
      <c r="Z17" s="4" t="s">
        <v>58</v>
      </c>
    </row>
    <row r="18" spans="4:6" s="4" customFormat="1" ht="18.75" customHeight="1">
      <c r="D18" s="4" t="s">
        <v>50</v>
      </c>
      <c r="F18" s="4" t="s">
        <v>50</v>
      </c>
    </row>
    <row r="19" spans="1:24" ht="18.75" customHeight="1">
      <c r="A19" s="2" t="s">
        <v>2</v>
      </c>
      <c r="D19" s="3" t="s">
        <v>52</v>
      </c>
      <c r="F19" s="3" t="s">
        <v>52</v>
      </c>
      <c r="H19" s="3" t="s">
        <v>6</v>
      </c>
      <c r="I19" s="3"/>
      <c r="J19" s="3" t="s">
        <v>56</v>
      </c>
      <c r="L19" s="3" t="s">
        <v>4</v>
      </c>
      <c r="M19" s="2" t="s">
        <v>5</v>
      </c>
      <c r="N19" s="3" t="s">
        <v>4</v>
      </c>
      <c r="P19" s="3" t="s">
        <v>3</v>
      </c>
      <c r="R19" s="3" t="s">
        <v>3</v>
      </c>
      <c r="T19" s="3" t="s">
        <v>7</v>
      </c>
      <c r="V19" s="3" t="s">
        <v>8</v>
      </c>
      <c r="X19" s="2" t="s">
        <v>59</v>
      </c>
    </row>
    <row r="20" spans="1:26" ht="18.75" customHeight="1">
      <c r="A20" s="11" t="s">
        <v>9</v>
      </c>
      <c r="B20" s="11" t="s">
        <v>10</v>
      </c>
      <c r="D20" s="5" t="s">
        <v>51</v>
      </c>
      <c r="F20" s="5" t="s">
        <v>53</v>
      </c>
      <c r="H20" s="5" t="s">
        <v>11</v>
      </c>
      <c r="I20" s="3"/>
      <c r="J20" s="5" t="s">
        <v>12</v>
      </c>
      <c r="L20" s="5" t="s">
        <v>11</v>
      </c>
      <c r="M20" s="2"/>
      <c r="N20" s="5" t="s">
        <v>12</v>
      </c>
      <c r="P20" s="5" t="s">
        <v>11</v>
      </c>
      <c r="R20" s="5" t="s">
        <v>12</v>
      </c>
      <c r="T20" s="5" t="s">
        <v>13</v>
      </c>
      <c r="V20" s="5" t="s">
        <v>14</v>
      </c>
      <c r="X20" s="12" t="s">
        <v>15</v>
      </c>
      <c r="Z20" s="12" t="s">
        <v>60</v>
      </c>
    </row>
    <row r="21" spans="4:22" ht="18" customHeight="1">
      <c r="D21" s="2"/>
      <c r="F21" s="2"/>
      <c r="H21" s="2"/>
      <c r="J21" s="2"/>
      <c r="L21" s="2"/>
      <c r="M21" s="2"/>
      <c r="N21" s="2"/>
      <c r="P21" s="2"/>
      <c r="Q21" s="2"/>
      <c r="R21" s="2"/>
      <c r="T21" s="2"/>
      <c r="U21" s="2"/>
      <c r="V21" s="2"/>
    </row>
    <row r="22" spans="1:26" ht="24.95" customHeight="1">
      <c r="A22" s="14">
        <v>1</v>
      </c>
      <c r="B22" s="14" t="s">
        <v>16</v>
      </c>
      <c r="D22" s="3">
        <f>F22*1</f>
        <v>3224365.4313805974</v>
      </c>
      <c r="E22" s="3"/>
      <c r="F22" s="3">
        <f>[2]TRANSMISSION!$S$16/[2]TRANSMISSION!$I$16*[3]TRANSMISSION!$F$22</f>
        <v>3224365.4313805974</v>
      </c>
      <c r="G22" s="3"/>
      <c r="H22" s="3">
        <f>J22*1</f>
        <v>2541926.9082089551</v>
      </c>
      <c r="I22" s="3"/>
      <c r="J22" s="3">
        <f>[2]TRANSMISSION!$S$16/[2]TRANSMISSION!$I$16*[3]TRANSMISSION!$J$22</f>
        <v>2541926.9082089551</v>
      </c>
      <c r="K22" s="3"/>
      <c r="L22" s="3">
        <f>N22*1</f>
        <v>2321670.3207835821</v>
      </c>
      <c r="N22" s="3">
        <f>[2]TRANSMISSION!$S$16/[2]TRANSMISSION!$I$16*[3]TRANSMISSION!$N$22</f>
        <v>2321670.3207835821</v>
      </c>
      <c r="O22" s="3"/>
      <c r="P22" s="3">
        <f>R22*1</f>
        <v>2321670.3207835821</v>
      </c>
      <c r="R22" s="3">
        <f>[2]TRANSMISSION!$S$16/[2]TRANSMISSION!$I$16*[3]TRANSMISSION!$R$22</f>
        <v>2321670.3207835821</v>
      </c>
      <c r="S22" s="3"/>
      <c r="T22" s="3">
        <f>V22*1</f>
        <v>1724477528.5746269</v>
      </c>
      <c r="V22" s="3">
        <f>[2]TRANSMISSION!$S$16</f>
        <v>1724477528.5746269</v>
      </c>
      <c r="X22" s="13">
        <v>0.91335054256907566</v>
      </c>
      <c r="Y22" s="13"/>
      <c r="Z22" s="13">
        <v>0.92186869999999999</v>
      </c>
    </row>
    <row r="23" spans="1:26" ht="24.95" customHeight="1">
      <c r="A23" s="14">
        <v>2</v>
      </c>
      <c r="B23" s="14" t="s">
        <v>17</v>
      </c>
      <c r="D23" s="3">
        <f t="shared" si="0" ref="D23:D33">F23*1</f>
        <v>3416023.4914126401</v>
      </c>
      <c r="E23" s="3"/>
      <c r="F23" s="3">
        <f>[2]TRANSMISSION!$S$18/[2]TRANSMISSION!$I$18*[3]TRANSMISSION!$F$23</f>
        <v>3416023.4914126401</v>
      </c>
      <c r="G23" s="3"/>
      <c r="H23" s="3">
        <f t="shared" si="1" ref="H23:H33">J23*1</f>
        <v>2555962.9782156139</v>
      </c>
      <c r="I23" s="3"/>
      <c r="J23" s="3">
        <f>[2]TRANSMISSION!$S$18/[2]TRANSMISSION!$I$18*[3]TRANSMISSION!$J$23</f>
        <v>2555962.9782156139</v>
      </c>
      <c r="K23" s="3"/>
      <c r="L23" s="3">
        <f t="shared" si="2" ref="L23:L33">N23*1</f>
        <v>1400581.4445724909</v>
      </c>
      <c r="N23" s="3">
        <f>[2]TRANSMISSION!$S$18/[2]TRANSMISSION!$I$18*[3]TRANSMISSION!$N$23</f>
        <v>1400581.4445724909</v>
      </c>
      <c r="O23" s="3"/>
      <c r="P23" s="3">
        <f t="shared" si="3" ref="P23:P33">R23*1</f>
        <v>1407656.1920817846</v>
      </c>
      <c r="R23" s="3">
        <f>[2]TRANSMISSION!$S$18/[2]TRANSMISSION!$I$18*[3]TRANSMISSION!$R$23</f>
        <v>1407656.1920817846</v>
      </c>
      <c r="S23" s="3"/>
      <c r="T23" s="3">
        <f t="shared" si="4" ref="T23:T33">V23*1</f>
        <v>1615907083.3122678</v>
      </c>
      <c r="V23" s="3">
        <f>[2]TRANSMISSION!$S$18</f>
        <v>1615907083.3122678</v>
      </c>
      <c r="X23" s="13">
        <v>0.54796624853708731</v>
      </c>
      <c r="Y23" s="13"/>
      <c r="Z23" s="13">
        <v>0.78219399999999994</v>
      </c>
    </row>
    <row r="24" spans="1:26" ht="24.95" customHeight="1">
      <c r="A24" s="14">
        <v>3</v>
      </c>
      <c r="B24" s="14" t="s">
        <v>18</v>
      </c>
      <c r="D24" s="3">
        <f t="shared" si="0"/>
        <v>3366480.102296296</v>
      </c>
      <c r="E24" s="3"/>
      <c r="F24" s="3">
        <f>[2]TRANSMISSION!$S$20/[2]TRANSMISSION!$I$20*[3]TRANSMISSION!$F$24</f>
        <v>3366480.102296296</v>
      </c>
      <c r="G24" s="3"/>
      <c r="H24" s="3">
        <f t="shared" si="1"/>
        <v>2588208.3217777773</v>
      </c>
      <c r="I24" s="3"/>
      <c r="J24" s="3">
        <f>[2]TRANSMISSION!$S$20/[2]TRANSMISSION!$I$20*[3]TRANSMISSION!$J$24</f>
        <v>2588208.3217777773</v>
      </c>
      <c r="K24" s="3"/>
      <c r="L24" s="3">
        <f t="shared" si="2"/>
        <v>2296292.3648518519</v>
      </c>
      <c r="N24" s="3">
        <f>[2]TRANSMISSION!$S$20/[2]TRANSMISSION!$I$20*[3]TRANSMISSION!$N$24</f>
        <v>2296292.3648518519</v>
      </c>
      <c r="O24" s="3"/>
      <c r="P24" s="3">
        <f t="shared" si="3"/>
        <v>2528497.2398888888</v>
      </c>
      <c r="R24" s="3">
        <f>[2]TRANSMISSION!$S$20/[2]TRANSMISSION!$I$20*[3]TRANSMISSION!$R$24</f>
        <v>2528497.2398888888</v>
      </c>
      <c r="S24" s="3"/>
      <c r="T24" s="3">
        <f t="shared" si="4"/>
        <v>1490832002.8962963</v>
      </c>
      <c r="V24" s="3">
        <f>[2]TRANSMISSION!$S$20</f>
        <v>1490832002.8962963</v>
      </c>
      <c r="X24" s="13">
        <v>0.88721311400257941</v>
      </c>
      <c r="Y24" s="13"/>
      <c r="Z24" s="13">
        <v>0.91778300000000002</v>
      </c>
    </row>
    <row r="25" spans="1:26" ht="24.95" customHeight="1">
      <c r="A25" s="14">
        <v>4</v>
      </c>
      <c r="B25" s="14" t="s">
        <v>19</v>
      </c>
      <c r="D25" s="3">
        <f t="shared" si="0"/>
        <v>3290244.402472727</v>
      </c>
      <c r="E25" s="3"/>
      <c r="F25" s="3">
        <f>[2]TRANSMISSION!$S$22/[2]TRANSMISSION!$I$22*[3]TRANSMISSION!$F$25</f>
        <v>3290244.402472727</v>
      </c>
      <c r="G25" s="3"/>
      <c r="H25" s="3">
        <f t="shared" si="1"/>
        <v>2652306.203818182</v>
      </c>
      <c r="I25" s="3"/>
      <c r="J25" s="3">
        <f>[2]TRANSMISSION!$S$22/[2]TRANSMISSION!$I$22*[3]TRANSMISSION!$J$25</f>
        <v>2652306.203818182</v>
      </c>
      <c r="K25" s="3"/>
      <c r="L25" s="3">
        <f t="shared" si="2"/>
        <v>2495619.5593818179</v>
      </c>
      <c r="N25" s="3">
        <f>[2]TRANSMISSION!$S$22/[2]TRANSMISSION!$I$22*[3]TRANSMISSION!$N$25</f>
        <v>2495619.5593818179</v>
      </c>
      <c r="O25" s="3"/>
      <c r="P25" s="3">
        <f t="shared" si="3"/>
        <v>2405989.054872727</v>
      </c>
      <c r="R25" s="3">
        <f>[2]TRANSMISSION!$S$22/[2]TRANSMISSION!$I$22*[3]TRANSMISSION!$R$25</f>
        <v>2405989.054872727</v>
      </c>
      <c r="S25" s="3"/>
      <c r="T25" s="3">
        <f t="shared" si="4"/>
        <v>1698240669.3745456</v>
      </c>
      <c r="V25" s="3">
        <f>[2]TRANSMISSION!$S$22</f>
        <v>1698240669.3745456</v>
      </c>
      <c r="X25" s="13">
        <v>0.94092437584664901</v>
      </c>
      <c r="Y25" s="13"/>
      <c r="Z25" s="13">
        <v>0.90986</v>
      </c>
    </row>
    <row r="26" spans="1:26" ht="24.95" customHeight="1">
      <c r="A26" s="14">
        <v>5</v>
      </c>
      <c r="B26" s="14" t="s">
        <v>20</v>
      </c>
      <c r="D26" s="3">
        <f t="shared" si="0"/>
        <v>3348531.7663537902</v>
      </c>
      <c r="E26" s="3"/>
      <c r="F26" s="3">
        <f>[2]TRANSMISSION!$S$24/[2]TRANSMISSION!$I$24*[3]TRANSMISSION!$F$26</f>
        <v>3348531.7663537902</v>
      </c>
      <c r="G26" s="3"/>
      <c r="H26" s="3">
        <f t="shared" si="1"/>
        <v>2651789.3728158842</v>
      </c>
      <c r="I26" s="3"/>
      <c r="J26" s="3">
        <f>[2]TRANSMISSION!$S$24/[2]TRANSMISSION!$I$24*[3]TRANSMISSION!$J$26</f>
        <v>2651789.3728158842</v>
      </c>
      <c r="K26" s="3"/>
      <c r="L26" s="3">
        <f t="shared" si="2"/>
        <v>2539994.4831407936</v>
      </c>
      <c r="N26" s="3">
        <f>[2]TRANSMISSION!$S$24/[2]TRANSMISSION!$I$24*[3]TRANSMISSION!$N$26</f>
        <v>2539994.4831407936</v>
      </c>
      <c r="O26" s="3"/>
      <c r="P26" s="3">
        <f t="shared" si="3"/>
        <v>2539994.4831407936</v>
      </c>
      <c r="R26" s="3">
        <f>[2]TRANSMISSION!$S$24/[2]TRANSMISSION!$I$24*[3]TRANSMISSION!$R$26</f>
        <v>2539994.4831407936</v>
      </c>
      <c r="S26" s="3"/>
      <c r="T26" s="3">
        <f t="shared" si="4"/>
        <v>1777885673.1841154</v>
      </c>
      <c r="V26" s="3">
        <f>[2]TRANSMISSION!$S$24</f>
        <v>1777885673.1841154</v>
      </c>
      <c r="X26" s="13">
        <v>0.95784171592920386</v>
      </c>
      <c r="Y26" s="13"/>
      <c r="Z26" s="13">
        <v>0.91623500000000002</v>
      </c>
    </row>
    <row r="27" spans="1:26" ht="24.95" customHeight="1">
      <c r="A27" s="14">
        <v>6</v>
      </c>
      <c r="B27" s="14" t="s">
        <v>21</v>
      </c>
      <c r="D27" s="3">
        <f t="shared" si="0"/>
        <v>3507029.7462949636</v>
      </c>
      <c r="E27" s="3"/>
      <c r="F27" s="3">
        <f>[2]TRANSMISSION!$S$26/[2]TRANSMISSION!$I$26*[3]TRANSMISSION!$F$27</f>
        <v>3507029.7462949636</v>
      </c>
      <c r="G27" s="3"/>
      <c r="H27" s="3">
        <f t="shared" si="1"/>
        <v>2700196.0235251794</v>
      </c>
      <c r="I27" s="3"/>
      <c r="J27" s="3">
        <f>[2]TRANSMISSION!$S$26/[2]TRANSMISSION!$I$26*[3]TRANSMISSION!$J$27</f>
        <v>2700196.0235251794</v>
      </c>
      <c r="K27" s="3"/>
      <c r="L27" s="3">
        <f t="shared" si="2"/>
        <v>2286194.1833812948</v>
      </c>
      <c r="N27" s="3">
        <f>[2]TRANSMISSION!$S$26/[2]TRANSMISSION!$I$26*[3]TRANSMISSION!$N$27</f>
        <v>2286194.1833812948</v>
      </c>
      <c r="O27" s="3"/>
      <c r="P27" s="3">
        <f t="shared" si="3"/>
        <v>2190276.1789928055</v>
      </c>
      <c r="R27" s="3">
        <f>[2]TRANSMISSION!$S$26/[2]TRANSMISSION!$I$26*[3]TRANSMISSION!$R$27</f>
        <v>2190276.1789928055</v>
      </c>
      <c r="S27" s="3"/>
      <c r="T27" s="3">
        <f t="shared" si="4"/>
        <v>1770496395.0359712</v>
      </c>
      <c r="V27" s="3">
        <f>[2]TRANSMISSION!$S$26</f>
        <v>1770496395.0359712</v>
      </c>
      <c r="X27" s="13">
        <v>0.84667711657341305</v>
      </c>
      <c r="Y27" s="13"/>
      <c r="Z27" s="13">
        <v>0.91022099999999995</v>
      </c>
    </row>
    <row r="28" spans="1:26" ht="24.95" customHeight="1">
      <c r="A28" s="14">
        <v>7</v>
      </c>
      <c r="B28" s="14" t="s">
        <v>22</v>
      </c>
      <c r="D28" s="3">
        <f t="shared" si="0"/>
        <v>3408354.2546099289</v>
      </c>
      <c r="E28" s="3"/>
      <c r="F28" s="3">
        <f>[2]TRANSMISSION!$S$28/[2]TRANSMISSION!$I$28*[3]TRANSMISSION!$F$28</f>
        <v>3408354.2546099289</v>
      </c>
      <c r="G28" s="3"/>
      <c r="H28" s="3">
        <f t="shared" si="1"/>
        <v>2650262.6256028372</v>
      </c>
      <c r="I28" s="3"/>
      <c r="J28" s="3">
        <f>[2]TRANSMISSION!$S$28/[2]TRANSMISSION!$I$28*[3]TRANSMISSION!$J$28</f>
        <v>2650262.6256028372</v>
      </c>
      <c r="K28" s="3"/>
      <c r="L28" s="3">
        <f t="shared" si="2"/>
        <v>2533598.3543617018</v>
      </c>
      <c r="N28" s="3">
        <f>[2]TRANSMISSION!$S$28/[2]TRANSMISSION!$I$28*[3]TRANSMISSION!$N$28</f>
        <v>2533598.3543617018</v>
      </c>
      <c r="O28" s="3"/>
      <c r="P28" s="3">
        <f t="shared" si="3"/>
        <v>2076674.2314893615</v>
      </c>
      <c r="R28" s="3">
        <f>[2]TRANSMISSION!$S$28/[2]TRANSMISSION!$I$28*[3]TRANSMISSION!$R$28</f>
        <v>2076674.2314893615</v>
      </c>
      <c r="S28" s="3"/>
      <c r="T28" s="3">
        <f t="shared" si="4"/>
        <v>1783500558.1134751</v>
      </c>
      <c r="V28" s="3">
        <f>[2]TRANSMISSION!$S$28</f>
        <v>1783500558.1134751</v>
      </c>
      <c r="X28" s="13">
        <v>0.95598010924875865</v>
      </c>
      <c r="Y28" s="13"/>
      <c r="Z28" s="13">
        <v>0.91840177999999995</v>
      </c>
    </row>
    <row r="29" spans="1:26" ht="24.95" customHeight="1">
      <c r="A29" s="14">
        <v>8</v>
      </c>
      <c r="B29" s="14" t="s">
        <v>23</v>
      </c>
      <c r="D29" s="3">
        <f t="shared" si="0"/>
        <v>3463499.9557446805</v>
      </c>
      <c r="E29" s="3"/>
      <c r="F29" s="3">
        <f>[2]TRANSMISSION!$S$30/[2]TRANSMISSION!$I$30*[3]TRANSMISSION!$F$29</f>
        <v>3463499.9557446805</v>
      </c>
      <c r="G29" s="3"/>
      <c r="H29" s="3">
        <f t="shared" si="1"/>
        <v>2727072.0770921982</v>
      </c>
      <c r="I29" s="3"/>
      <c r="J29" s="3">
        <f>[2]TRANSMISSION!$S$30/[2]TRANSMISSION!$I$30*[3]TRANSMISSION!$J$29</f>
        <v>2727072.0770921982</v>
      </c>
      <c r="K29" s="3"/>
      <c r="L29" s="3">
        <f t="shared" si="2"/>
        <v>2304789.0308510638</v>
      </c>
      <c r="N29" s="3">
        <f>[2]TRANSMISSION!$S$30/[2]TRANSMISSION!$I$30*[3]TRANSMISSION!$N$29</f>
        <v>2304789.0308510638</v>
      </c>
      <c r="O29" s="3"/>
      <c r="P29" s="3">
        <f t="shared" si="3"/>
        <v>2130799.3262411347</v>
      </c>
      <c r="R29" s="3">
        <f>[2]TRANSMISSION!$S$30/[2]TRANSMISSION!$I$30*[3]TRANSMISSION!$R$29</f>
        <v>2130799.3262411347</v>
      </c>
      <c r="S29" s="3"/>
      <c r="T29" s="3">
        <f t="shared" si="4"/>
        <v>1800215255.6489363</v>
      </c>
      <c r="V29" s="3">
        <f>[2]TRANSMISSION!$S$30</f>
        <v>1800215255.6489363</v>
      </c>
      <c r="X29" s="13">
        <v>0.84515149057174777</v>
      </c>
      <c r="Y29" s="13"/>
      <c r="Z29" s="13">
        <v>0.90168400000000004</v>
      </c>
    </row>
    <row r="30" spans="1:26" ht="24.95" customHeight="1">
      <c r="A30" s="14">
        <v>9</v>
      </c>
      <c r="B30" s="14" t="s">
        <v>24</v>
      </c>
      <c r="D30" s="3">
        <f t="shared" si="0"/>
        <v>3498327.0600000001</v>
      </c>
      <c r="E30" s="3"/>
      <c r="F30" s="3">
        <f>[2]TRANSMISSION!$S$32/[2]TRANSMISSION!$I$32*[3]TRANSMISSION!$F$30</f>
        <v>3498327.0600000001</v>
      </c>
      <c r="G30" s="3"/>
      <c r="H30" s="3">
        <f t="shared" si="1"/>
        <v>2754518.9300000002</v>
      </c>
      <c r="I30" s="3"/>
      <c r="J30" s="3">
        <f>[2]TRANSMISSION!$S$32/[2]TRANSMISSION!$I$32*[3]TRANSMISSION!$J$30</f>
        <v>2754518.9300000002</v>
      </c>
      <c r="K30" s="3"/>
      <c r="L30" s="3">
        <f t="shared" si="2"/>
        <v>2146634.3399999999</v>
      </c>
      <c r="N30" s="3">
        <f>[2]TRANSMISSION!$S$32/[2]TRANSMISSION!$I$32*[3]TRANSMISSION!$N$30</f>
        <v>2146634.3399999999</v>
      </c>
      <c r="O30" s="3"/>
      <c r="P30" s="3">
        <f t="shared" si="3"/>
        <v>2144658.5899999999</v>
      </c>
      <c r="R30" s="3">
        <f>[2]TRANSMISSION!$S$32/[2]TRANSMISSION!$I$32*[3]TRANSMISSION!$R$30</f>
        <v>2144658.5899999999</v>
      </c>
      <c r="S30" s="3"/>
      <c r="T30" s="3">
        <f t="shared" si="4"/>
        <v>1815185444</v>
      </c>
      <c r="V30" s="3">
        <f>[2]TRANSMISSION!$S$32</f>
        <v>1815185444</v>
      </c>
      <c r="X30" s="13">
        <v>0.77931370034185954</v>
      </c>
      <c r="Y30" s="13"/>
      <c r="Z30" s="13">
        <v>0.92431549999999996</v>
      </c>
    </row>
    <row r="31" spans="1:26" ht="24.95" customHeight="1">
      <c r="A31" s="14">
        <v>10</v>
      </c>
      <c r="B31" s="14" t="s">
        <v>25</v>
      </c>
      <c r="D31" s="3">
        <f t="shared" si="0"/>
        <v>3523826.9399999999</v>
      </c>
      <c r="E31" s="3"/>
      <c r="F31" s="3">
        <f>[2]TRANSMISSION!$S$34/[2]TRANSMISSION!$I$34*[3]TRANSMISSION!$F$31</f>
        <v>3523826.9399999999</v>
      </c>
      <c r="G31" s="3"/>
      <c r="H31" s="3">
        <f t="shared" si="1"/>
        <v>2790485.8700000001</v>
      </c>
      <c r="I31" s="3"/>
      <c r="J31" s="3">
        <f>[2]TRANSMISSION!$S$34/[2]TRANSMISSION!$I$34*[3]TRANSMISSION!$J$31</f>
        <v>2790485.8700000001</v>
      </c>
      <c r="K31" s="3"/>
      <c r="L31" s="3">
        <f t="shared" si="2"/>
        <v>2707700.736</v>
      </c>
      <c r="N31" s="3">
        <f>[2]TRANSMISSION!$S$34/[2]TRANSMISSION!$I$34*[3]TRANSMISSION!$N$31</f>
        <v>2707700.736</v>
      </c>
      <c r="O31" s="3"/>
      <c r="P31" s="3">
        <f t="shared" si="3"/>
        <v>2707700.73</v>
      </c>
      <c r="R31" s="3">
        <f>[2]TRANSMISSION!$S$34/[2]TRANSMISSION!$I$34*[3]TRANSMISSION!$R$31</f>
        <v>2707700.73</v>
      </c>
      <c r="S31" s="3"/>
      <c r="T31" s="3">
        <f t="shared" si="4"/>
        <v>1846716296</v>
      </c>
      <c r="V31" s="3">
        <f>[2]TRANSMISSION!$S$34</f>
        <v>1846716296</v>
      </c>
      <c r="X31" s="13">
        <v>0.97033307536511548</v>
      </c>
      <c r="Y31" s="13"/>
      <c r="Z31" s="13">
        <v>0.93083000000000005</v>
      </c>
    </row>
    <row r="32" spans="1:26" ht="24.95" customHeight="1">
      <c r="A32" s="14">
        <v>11</v>
      </c>
      <c r="B32" s="14" t="s">
        <v>26</v>
      </c>
      <c r="D32" s="3">
        <f t="shared" si="0"/>
        <v>3436296.2599999998</v>
      </c>
      <c r="E32" s="3"/>
      <c r="F32" s="3">
        <f>[2]TRANSMISSION!$S$36/[2]TRANSMISSION!$I$36*[3]TRANSMISSION!$F$32</f>
        <v>3436296.2599999998</v>
      </c>
      <c r="G32" s="3"/>
      <c r="H32" s="3">
        <f t="shared" si="1"/>
        <v>2757659.2599999998</v>
      </c>
      <c r="I32" s="3"/>
      <c r="J32" s="3">
        <f>[2]TRANSMISSION!$S$36/[2]TRANSMISSION!$I$36*[3]TRANSMISSION!$J$32</f>
        <v>2757659.2599999998</v>
      </c>
      <c r="K32" s="3"/>
      <c r="L32" s="3">
        <f t="shared" si="2"/>
        <v>2684351.71</v>
      </c>
      <c r="N32" s="3">
        <f>[2]TRANSMISSION!$S$36/[2]TRANSMISSION!$I$36*[3]TRANSMISSION!$N$32</f>
        <v>2684351.71</v>
      </c>
      <c r="O32" s="3"/>
      <c r="P32" s="3">
        <f t="shared" si="3"/>
        <v>2644715.6099999999</v>
      </c>
      <c r="R32" s="3">
        <f>[2]TRANSMISSION!$S$36/[2]TRANSMISSION!$I$36*[3]TRANSMISSION!$R$32</f>
        <v>2644715.6099999999</v>
      </c>
      <c r="S32" s="3"/>
      <c r="T32" s="3">
        <f t="shared" si="4"/>
        <v>1877484630</v>
      </c>
      <c r="V32" s="3">
        <f>[2]TRANSMISSION!$S$36</f>
        <v>1877484630</v>
      </c>
      <c r="X32" s="13">
        <v>0.97341674837666503</v>
      </c>
      <c r="Y32" s="13"/>
      <c r="Z32" s="13">
        <v>0.92119649999999997</v>
      </c>
    </row>
    <row r="33" spans="1:26" ht="24.95" customHeight="1" thickBot="1">
      <c r="A33" s="14">
        <v>12</v>
      </c>
      <c r="B33" s="14" t="s">
        <v>27</v>
      </c>
      <c r="D33" s="15">
        <f t="shared" si="0"/>
        <v>3441027.0899999999</v>
      </c>
      <c r="E33" s="15"/>
      <c r="F33" s="15">
        <f>[2]TRANSMISSION!$S$38/[2]TRANSMISSION!$I$38*[3]TRANSMISSION!$F$33</f>
        <v>3441027.0899999999</v>
      </c>
      <c r="G33" s="15"/>
      <c r="H33" s="15">
        <f t="shared" si="1"/>
        <v>2789934.5499999998</v>
      </c>
      <c r="I33" s="3"/>
      <c r="J33" s="3">
        <f>[2]TRANSMISSION!$S$38/[2]TRANSMISSION!$I$38*[3]TRANSMISSION!$J$33</f>
        <v>2789934.5499999998</v>
      </c>
      <c r="K33" s="3"/>
      <c r="L33" s="15">
        <f t="shared" si="2"/>
        <v>2583642.02</v>
      </c>
      <c r="N33" s="3">
        <f>[2]TRANSMISSION!$S$38/[2]TRANSMISSION!$I$38*[3]TRANSMISSION!$N$33</f>
        <v>2583642.02</v>
      </c>
      <c r="O33" s="3"/>
      <c r="P33" s="3">
        <f t="shared" si="3"/>
        <v>2522047.27</v>
      </c>
      <c r="Q33" s="15"/>
      <c r="R33" s="3">
        <f>[2]TRANSMISSION!$S$38/[2]TRANSMISSION!$I$38*[3]TRANSMISSION!$R$33</f>
        <v>2522047.27</v>
      </c>
      <c r="S33" s="3"/>
      <c r="T33" s="16">
        <f t="shared" si="4"/>
        <v>1875813062</v>
      </c>
      <c r="V33" s="16">
        <f>[2]TRANSMISSION!$S$38</f>
        <v>1875813062</v>
      </c>
      <c r="X33" s="13">
        <v>0.92605829050720923</v>
      </c>
      <c r="Y33" s="13"/>
      <c r="Z33" s="13">
        <v>0.9239598</v>
      </c>
    </row>
    <row r="34" spans="1:22" ht="24.95" customHeight="1" thickTop="1">
      <c r="A34" s="14">
        <v>13</v>
      </c>
      <c r="E34" s="3"/>
      <c r="G34" s="3"/>
      <c r="I34" s="3"/>
      <c r="K34" s="3"/>
      <c r="O34" s="3"/>
      <c r="S34" s="3"/>
      <c r="T34" s="15">
        <f>+SUM(T22:T33)</f>
        <v>21076754598.140236</v>
      </c>
      <c r="U34" s="15"/>
      <c r="V34" s="15">
        <f>SUM(V22:V33)</f>
        <v>21076754598.140236</v>
      </c>
    </row>
    <row r="35" spans="1:22" ht="24.95" customHeight="1">
      <c r="A35" s="14"/>
      <c r="E35" s="3"/>
      <c r="G35" s="3"/>
      <c r="I35" s="3"/>
      <c r="K35" s="3"/>
      <c r="O35" s="3"/>
      <c r="S35" s="3"/>
      <c r="T35" s="15"/>
      <c r="U35" s="15"/>
      <c r="V35" s="15"/>
    </row>
    <row r="36" spans="1:22" ht="18.75" customHeight="1">
      <c r="A36" s="14"/>
      <c r="E36" s="3"/>
      <c r="G36" s="3"/>
      <c r="I36" s="3"/>
      <c r="K36" s="3"/>
      <c r="O36" s="3"/>
      <c r="S36" s="3"/>
      <c r="T36" s="15"/>
      <c r="U36" s="15"/>
      <c r="V36" s="15"/>
    </row>
    <row r="37" spans="1:19" ht="15" customHeight="1">
      <c r="A37" s="2" t="s">
        <v>55</v>
      </c>
      <c r="E37" s="3"/>
      <c r="G37" s="3"/>
      <c r="I37" s="3"/>
      <c r="K37" s="3"/>
      <c r="O37" s="3"/>
      <c r="S37" s="3"/>
    </row>
    <row r="38" spans="1:19" ht="15" customHeight="1">
      <c r="A38" s="2" t="s">
        <v>28</v>
      </c>
      <c r="E38" s="3"/>
      <c r="G38" s="3"/>
      <c r="I38" s="3"/>
      <c r="K38" s="3"/>
      <c r="O38" s="3"/>
      <c r="S38" s="3"/>
    </row>
    <row r="39" spans="1:19" ht="15" customHeight="1">
      <c r="A39" s="4" t="s">
        <v>29</v>
      </c>
      <c r="E39" s="3"/>
      <c r="G39" s="3"/>
      <c r="I39" s="3"/>
      <c r="K39" s="3"/>
      <c r="O39" s="3"/>
      <c r="S39" s="3"/>
    </row>
  </sheetData>
  <pageMargins left="0.5" right="1" top="1.5" bottom="0.5" header="0.5" footer="0.5"/>
  <pageSetup orientation="landscape" scale="5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A1:Z39"/>
  <sheetViews>
    <sheetView zoomScale="75" zoomScaleNormal="75" workbookViewId="0" topLeftCell="A1">
      <selection pane="topLeft" activeCell="T30" sqref="T30"/>
    </sheetView>
  </sheetViews>
  <sheetFormatPr defaultColWidth="9.14428571428571" defaultRowHeight="18.75" customHeight="1"/>
  <cols>
    <col min="1" max="1" width="4.71428571428571" style="2" customWidth="1"/>
    <col min="2" max="3" width="7.71428571428571" style="2" customWidth="1"/>
    <col min="4" max="4" width="20.5714285714286" style="3" customWidth="1"/>
    <col min="5" max="5" width="2.71428571428571" style="2" customWidth="1"/>
    <col min="6" max="6" width="20.8571428571429" style="3" customWidth="1"/>
    <col min="7" max="7" width="5.71428571428571" style="2" customWidth="1"/>
    <col min="8" max="8" width="13.8571428571429" style="3" customWidth="1"/>
    <col min="9" max="9" width="2.71428571428571" style="2" customWidth="1"/>
    <col min="10" max="10" width="14.8571428571429" style="3" customWidth="1"/>
    <col min="11" max="11" width="5.71428571428571" style="2" customWidth="1"/>
    <col min="12" max="12" width="12.7142857142857" style="3" customWidth="1"/>
    <col min="13" max="13" width="2.71428571428571" style="3" customWidth="1"/>
    <col min="14" max="14" width="13.2857142857143" style="3" customWidth="1"/>
    <col min="15" max="15" width="5.71428571428571" style="2" customWidth="1"/>
    <col min="16" max="16" width="12.7142857142857" style="3" customWidth="1"/>
    <col min="17" max="17" width="2.71428571428571" style="3" customWidth="1"/>
    <col min="18" max="18" width="13.8571428571429" style="3" customWidth="1"/>
    <col min="19" max="19" width="5.71428571428571" style="2" customWidth="1"/>
    <col min="20" max="20" width="17.7142857142857" style="3" customWidth="1"/>
    <col min="21" max="21" width="2.71428571428571" style="3" customWidth="1"/>
    <col min="22" max="22" width="17.7142857142857" style="3" customWidth="1"/>
    <col min="23" max="23" width="3.71428571428571" style="2" customWidth="1"/>
    <col min="24" max="24" width="9.85714285714286" style="2" customWidth="1"/>
    <col min="25" max="25" width="1.71428571428571" style="2" customWidth="1"/>
    <col min="26" max="26" width="10.2857142857143" style="2" customWidth="1"/>
    <col min="27" max="16384" width="9.14285714285714" style="2"/>
  </cols>
  <sheetData>
    <row r="1" spans="1:22" ht="18.75" customHeight="1">
      <c r="A1" s="6"/>
      <c r="V1" s="2" t="s">
        <v>63</v>
      </c>
    </row>
    <row r="2" spans="22:22" ht="18.75" customHeight="1">
      <c r="V2" s="2" t="s">
        <v>74</v>
      </c>
    </row>
    <row r="7" spans="1:26" ht="18.75" customHeight="1">
      <c r="A7" s="7" t="s">
        <v>77</v>
      </c>
      <c r="B7" s="8"/>
      <c r="C7" s="8"/>
      <c r="D7" s="8"/>
      <c r="E7" s="8"/>
      <c r="F7" s="9"/>
      <c r="G7" s="8"/>
      <c r="H7" s="8"/>
      <c r="I7" s="8"/>
      <c r="J7" s="10"/>
      <c r="K7" s="7"/>
      <c r="L7" s="7"/>
      <c r="M7" s="8"/>
      <c r="N7" s="7"/>
      <c r="O7" s="9"/>
      <c r="P7" s="8"/>
      <c r="Q7" s="8"/>
      <c r="R7" s="9"/>
      <c r="S7" s="8"/>
      <c r="T7" s="8"/>
      <c r="U7" s="8"/>
      <c r="V7" s="8"/>
      <c r="W7" s="8"/>
      <c r="X7" s="8"/>
      <c r="Y7" s="8"/>
      <c r="Z7" s="8"/>
    </row>
    <row r="8" spans="1:26" ht="18" customHeight="1">
      <c r="A8" s="7" t="s">
        <v>40</v>
      </c>
      <c r="B8" s="8"/>
      <c r="C8" s="8"/>
      <c r="D8" s="8"/>
      <c r="E8" s="8"/>
      <c r="F8" s="9"/>
      <c r="G8" s="8"/>
      <c r="H8" s="8"/>
      <c r="I8" s="8"/>
      <c r="J8" s="10"/>
      <c r="K8" s="7"/>
      <c r="L8" s="10"/>
      <c r="M8" s="9"/>
      <c r="N8" s="7"/>
      <c r="O8" s="10"/>
      <c r="P8" s="8"/>
      <c r="Q8" s="8"/>
      <c r="R8" s="10"/>
      <c r="S8" s="7"/>
      <c r="T8" s="8"/>
      <c r="U8" s="8"/>
      <c r="V8" s="8"/>
      <c r="W8" s="8"/>
      <c r="X8" s="8"/>
      <c r="Y8" s="8"/>
      <c r="Z8" s="8"/>
    </row>
    <row r="9" spans="1:26" ht="18" customHeight="1">
      <c r="A9" s="7" t="s">
        <v>45</v>
      </c>
      <c r="B9" s="8"/>
      <c r="C9" s="8"/>
      <c r="D9" s="8"/>
      <c r="E9" s="8"/>
      <c r="F9" s="9"/>
      <c r="G9" s="7"/>
      <c r="H9" s="8"/>
      <c r="I9" s="8"/>
      <c r="J9" s="10"/>
      <c r="K9" s="7"/>
      <c r="L9" s="7"/>
      <c r="M9" s="9"/>
      <c r="N9" s="9"/>
      <c r="O9" s="9"/>
      <c r="P9" s="8"/>
      <c r="Q9" s="7"/>
      <c r="R9" s="10"/>
      <c r="S9" s="7"/>
      <c r="T9" s="8"/>
      <c r="U9" s="8"/>
      <c r="V9" s="8"/>
      <c r="W9" s="8"/>
      <c r="X9" s="8"/>
      <c r="Y9" s="8"/>
      <c r="Z9" s="8"/>
    </row>
    <row r="10" spans="1:26" ht="18" customHeight="1">
      <c r="A10" s="7" t="s">
        <v>79</v>
      </c>
      <c r="B10" s="8"/>
      <c r="C10" s="8"/>
      <c r="D10" s="8"/>
      <c r="E10" s="8"/>
      <c r="F10" s="8"/>
      <c r="G10" s="7"/>
      <c r="H10" s="8"/>
      <c r="I10" s="8"/>
      <c r="J10" s="7"/>
      <c r="K10" s="7"/>
      <c r="L10" s="10"/>
      <c r="M10" s="9"/>
      <c r="N10" s="9"/>
      <c r="O10" s="9"/>
      <c r="P10" s="8"/>
      <c r="Q10" s="7"/>
      <c r="R10" s="10"/>
      <c r="S10" s="7"/>
      <c r="T10" s="8"/>
      <c r="U10" s="8"/>
      <c r="V10" s="8"/>
      <c r="W10" s="8"/>
      <c r="X10" s="8"/>
      <c r="Y10" s="8"/>
      <c r="Z10" s="8"/>
    </row>
    <row r="11" spans="1:26" ht="18" customHeight="1">
      <c r="A11" s="8"/>
      <c r="B11" s="8"/>
      <c r="C11" s="8"/>
      <c r="D11" s="8"/>
      <c r="E11" s="8"/>
      <c r="F11" s="9"/>
      <c r="G11" s="8"/>
      <c r="H11" s="8"/>
      <c r="I11" s="8"/>
      <c r="J11" s="10"/>
      <c r="K11" s="7"/>
      <c r="L11" s="10"/>
      <c r="M11" s="9"/>
      <c r="N11" s="9"/>
      <c r="O11" s="9"/>
      <c r="P11" s="8"/>
      <c r="Q11" s="8"/>
      <c r="R11" s="9"/>
      <c r="S11" s="8"/>
      <c r="T11" s="8"/>
      <c r="U11" s="8"/>
      <c r="V11" s="8"/>
      <c r="W11" s="8"/>
      <c r="X11" s="8"/>
      <c r="Y11" s="8"/>
      <c r="Z11" s="8"/>
    </row>
    <row r="12" spans="1:26" ht="18.75" customHeight="1">
      <c r="A12" s="7" t="s">
        <v>43</v>
      </c>
      <c r="B12" s="8"/>
      <c r="C12" s="8"/>
      <c r="D12" s="8"/>
      <c r="E12" s="8"/>
      <c r="F12" s="9"/>
      <c r="G12" s="8"/>
      <c r="H12" s="8"/>
      <c r="I12" s="8"/>
      <c r="J12" s="10"/>
      <c r="K12" s="7"/>
      <c r="L12" s="10"/>
      <c r="M12" s="9"/>
      <c r="N12" s="10"/>
      <c r="O12" s="10"/>
      <c r="P12" s="8"/>
      <c r="Q12" s="8"/>
      <c r="R12" s="9"/>
      <c r="S12" s="8"/>
      <c r="T12" s="8"/>
      <c r="U12" s="8"/>
      <c r="V12" s="8"/>
      <c r="W12" s="8"/>
      <c r="X12" s="8"/>
      <c r="Y12" s="8"/>
      <c r="Z12" s="8"/>
    </row>
    <row r="13" spans="1:26" ht="18.75" customHeight="1">
      <c r="A13" s="8"/>
      <c r="B13" s="8"/>
      <c r="C13" s="8"/>
      <c r="D13" s="8"/>
      <c r="E13" s="8"/>
      <c r="F13" s="9"/>
      <c r="G13" s="8"/>
      <c r="H13" s="8"/>
      <c r="I13" s="8"/>
      <c r="J13" s="9"/>
      <c r="K13" s="8"/>
      <c r="L13" s="8"/>
      <c r="M13" s="9"/>
      <c r="N13" s="8"/>
      <c r="O13" s="10"/>
      <c r="P13" s="8"/>
      <c r="Q13" s="8"/>
      <c r="R13" s="9"/>
      <c r="S13" s="8"/>
      <c r="T13" s="8"/>
      <c r="U13" s="8"/>
      <c r="V13" s="8"/>
      <c r="W13" s="8"/>
      <c r="X13" s="8"/>
      <c r="Y13" s="8"/>
      <c r="Z13" s="8"/>
    </row>
    <row r="14" spans="1:1" ht="18.75" customHeight="1">
      <c r="A14" s="2" t="s">
        <v>36</v>
      </c>
    </row>
    <row r="15" spans="1:1" ht="18.75" customHeight="1">
      <c r="A15" s="2" t="s">
        <v>37</v>
      </c>
    </row>
    <row r="17" spans="4:26" ht="15" customHeight="1">
      <c r="D17" s="4" t="s">
        <v>48</v>
      </c>
      <c r="E17" s="4"/>
      <c r="F17" s="4" t="s">
        <v>49</v>
      </c>
      <c r="G17" s="4"/>
      <c r="H17" s="4" t="s">
        <v>62</v>
      </c>
      <c r="I17" s="4"/>
      <c r="J17" s="4" t="s">
        <v>38</v>
      </c>
      <c r="K17" s="4"/>
      <c r="L17" s="4" t="s">
        <v>67</v>
      </c>
      <c r="M17" s="4"/>
      <c r="N17" s="4" t="s">
        <v>44</v>
      </c>
      <c r="O17" s="4"/>
      <c r="P17" s="4" t="s">
        <v>65</v>
      </c>
      <c r="Q17" s="4"/>
      <c r="R17" s="4" t="s">
        <v>66</v>
      </c>
      <c r="S17" s="4"/>
      <c r="T17" s="4" t="s">
        <v>61</v>
      </c>
      <c r="U17" s="4"/>
      <c r="V17" s="4" t="s">
        <v>54</v>
      </c>
      <c r="W17" s="4"/>
      <c r="X17" s="4" t="s">
        <v>57</v>
      </c>
      <c r="Y17" s="4"/>
      <c r="Z17" s="4" t="s">
        <v>58</v>
      </c>
    </row>
    <row r="18" spans="4:6" s="4" customFormat="1" ht="18.75" customHeight="1">
      <c r="D18" s="4" t="s">
        <v>50</v>
      </c>
      <c r="F18" s="4" t="s">
        <v>50</v>
      </c>
    </row>
    <row r="19" spans="1:24" ht="18.75" customHeight="1">
      <c r="A19" s="2" t="s">
        <v>2</v>
      </c>
      <c r="D19" s="3" t="s">
        <v>52</v>
      </c>
      <c r="F19" s="3" t="s">
        <v>52</v>
      </c>
      <c r="H19" s="3" t="s">
        <v>6</v>
      </c>
      <c r="I19" s="3"/>
      <c r="J19" s="3" t="s">
        <v>56</v>
      </c>
      <c r="L19" s="3" t="s">
        <v>4</v>
      </c>
      <c r="M19" s="2" t="s">
        <v>5</v>
      </c>
      <c r="N19" s="3" t="s">
        <v>4</v>
      </c>
      <c r="P19" s="3" t="s">
        <v>3</v>
      </c>
      <c r="R19" s="3" t="s">
        <v>3</v>
      </c>
      <c r="T19" s="3" t="s">
        <v>7</v>
      </c>
      <c r="V19" s="3" t="s">
        <v>8</v>
      </c>
      <c r="X19" s="2" t="s">
        <v>59</v>
      </c>
    </row>
    <row r="20" spans="1:26" ht="18.75" customHeight="1">
      <c r="A20" s="11" t="s">
        <v>9</v>
      </c>
      <c r="B20" s="11" t="s">
        <v>10</v>
      </c>
      <c r="D20" s="5" t="s">
        <v>51</v>
      </c>
      <c r="F20" s="5" t="s">
        <v>53</v>
      </c>
      <c r="H20" s="5" t="s">
        <v>11</v>
      </c>
      <c r="I20" s="3"/>
      <c r="J20" s="5" t="s">
        <v>12</v>
      </c>
      <c r="L20" s="5" t="s">
        <v>11</v>
      </c>
      <c r="M20" s="2"/>
      <c r="N20" s="5" t="s">
        <v>12</v>
      </c>
      <c r="P20" s="5" t="s">
        <v>11</v>
      </c>
      <c r="R20" s="5" t="s">
        <v>12</v>
      </c>
      <c r="T20" s="5" t="s">
        <v>13</v>
      </c>
      <c r="V20" s="5" t="s">
        <v>8</v>
      </c>
      <c r="X20" s="12" t="s">
        <v>15</v>
      </c>
      <c r="Z20" s="12" t="s">
        <v>60</v>
      </c>
    </row>
    <row r="21" spans="4:22" ht="18" customHeight="1">
      <c r="D21" s="2"/>
      <c r="F21" s="2"/>
      <c r="H21" s="2"/>
      <c r="J21" s="2"/>
      <c r="L21" s="2"/>
      <c r="M21" s="2"/>
      <c r="N21" s="2"/>
      <c r="P21" s="2"/>
      <c r="Q21" s="2"/>
      <c r="R21" s="2"/>
      <c r="T21" s="2"/>
      <c r="U21" s="2"/>
      <c r="V21" s="2"/>
    </row>
    <row r="22" spans="1:26" ht="24.95" customHeight="1">
      <c r="A22" s="14">
        <v>1</v>
      </c>
      <c r="B22" s="14" t="s">
        <v>16</v>
      </c>
      <c r="D22" s="3">
        <f>'[1]Demand Loss Factor'!$G$54*F22</f>
        <v>98783.961086827592</v>
      </c>
      <c r="E22" s="3"/>
      <c r="F22" s="3">
        <f>(V34/'[3]STREET LIGHTING'!$V$34)*'[3]STREET LIGHTING'!$F$22</f>
        <v>95090.160415556238</v>
      </c>
      <c r="G22" s="3"/>
      <c r="H22" s="3">
        <f>'[1]Demand Loss Factor'!$G$54*J22</f>
        <v>98783.961086827592</v>
      </c>
      <c r="I22" s="3"/>
      <c r="J22" s="3">
        <f>(V34/'[3]STREET LIGHTING'!$V$34)*'[3]STREET LIGHTING'!$J$22</f>
        <v>95090.160415556238</v>
      </c>
      <c r="K22" s="3"/>
      <c r="L22" s="3">
        <v>0</v>
      </c>
      <c r="N22" s="3">
        <v>0</v>
      </c>
      <c r="O22" s="3"/>
      <c r="P22" s="3">
        <f>'[1]Demand Loss Factor'!$G$54*R22</f>
        <v>98783.961086827592</v>
      </c>
      <c r="R22" s="3">
        <f>(V34/'[3]STREET LIGHTING'!$V$34)*'[3]STREET LIGHTING'!$R$22</f>
        <v>95090.160415556238</v>
      </c>
      <c r="S22" s="3"/>
      <c r="T22" s="3">
        <f>'[1]Energy Loss Factor'!$G$54*V22</f>
        <v>33067992.928320128</v>
      </c>
      <c r="V22" s="3">
        <f>'[2]SL - UNMETERED'!$S$16+'[2]SL - METERED NON CO'!$S$16+'[2]SL - METERED CO OWNED'!$S$16+'[2]OUTDOOR LIGHTING'!$S$16</f>
        <v>31882680.600000001</v>
      </c>
      <c r="X22" s="13">
        <v>0</v>
      </c>
      <c r="Y22" s="13"/>
      <c r="Z22" s="13">
        <v>0.45616440000000003</v>
      </c>
    </row>
    <row r="23" spans="1:26" ht="24.95" customHeight="1">
      <c r="A23" s="14">
        <v>2</v>
      </c>
      <c r="B23" s="14" t="s">
        <v>17</v>
      </c>
      <c r="D23" s="3">
        <f>'[1]Demand Loss Factor'!$G$54*F23</f>
        <v>98783.961086827592</v>
      </c>
      <c r="E23" s="3"/>
      <c r="F23" s="3">
        <v>95090.160415556238</v>
      </c>
      <c r="G23" s="3"/>
      <c r="H23" s="3">
        <f>'[1]Demand Loss Factor'!$G$54*J23</f>
        <v>98783.961086827592</v>
      </c>
      <c r="I23" s="3"/>
      <c r="J23" s="3">
        <v>95090.160415556238</v>
      </c>
      <c r="K23" s="3"/>
      <c r="L23" s="3">
        <f>'[1]Demand Loss Factor'!$G$54*N23</f>
        <v>98783.961086827592</v>
      </c>
      <c r="N23" s="3">
        <f>(V34/'[3]STREET LIGHTING'!$V$34)*'[3]STREET LIGHTING'!$N$23</f>
        <v>95090.160415556238</v>
      </c>
      <c r="O23" s="3"/>
      <c r="P23" s="3">
        <f>'[1]Demand Loss Factor'!$G$54*R23</f>
        <v>98783.961086827592</v>
      </c>
      <c r="R23" s="3">
        <f>(V34/'[3]STREET LIGHTING'!$V$34)*'[3]STREET LIGHTING'!$R$23</f>
        <v>95090.160415556238</v>
      </c>
      <c r="S23" s="3"/>
      <c r="T23" s="3">
        <f>'[1]Energy Loss Factor'!$G$54*V23</f>
        <v>32975144.592689734</v>
      </c>
      <c r="V23" s="3">
        <f>'[2]SL - UNMETERED'!$S$18+'[2]SL - METERED NON CO'!$S$18+'[2]SL - METERED CO OWNED'!$S$18+'[2]OUTDOOR LIGHTING'!$S$18</f>
        <v>31793160.385224275</v>
      </c>
      <c r="X23" s="13">
        <v>1</v>
      </c>
      <c r="Y23" s="13"/>
      <c r="Z23" s="13">
        <v>0.45616440000000003</v>
      </c>
    </row>
    <row r="24" spans="1:26" ht="24.95" customHeight="1">
      <c r="A24" s="14">
        <v>3</v>
      </c>
      <c r="B24" s="14" t="s">
        <v>18</v>
      </c>
      <c r="D24" s="3">
        <f>'[1]Demand Loss Factor'!$G$54*F24</f>
        <v>98783.961086827592</v>
      </c>
      <c r="E24" s="3"/>
      <c r="F24" s="3">
        <v>95090.160415556238</v>
      </c>
      <c r="G24" s="3"/>
      <c r="H24" s="3">
        <f>'[1]Demand Loss Factor'!$G$54*J24</f>
        <v>98783.961086827592</v>
      </c>
      <c r="I24" s="3"/>
      <c r="J24" s="3">
        <v>95090.160415556238</v>
      </c>
      <c r="K24" s="3"/>
      <c r="L24" s="3">
        <v>0</v>
      </c>
      <c r="N24" s="3">
        <v>0</v>
      </c>
      <c r="O24" s="3"/>
      <c r="P24" s="3">
        <v>0</v>
      </c>
      <c r="R24" s="3">
        <v>0</v>
      </c>
      <c r="S24" s="3"/>
      <c r="T24" s="3">
        <f>'[1]Energy Loss Factor'!$G$54*V24</f>
        <v>32919910.659131259</v>
      </c>
      <c r="V24" s="3">
        <f>'[2]SL - UNMETERED'!$S$20+'[2]SL - METERED NON CO'!$S$20+'[2]SL - METERED CO OWNED'!$S$20+'[2]OUTDOOR LIGHTING'!$S$20</f>
        <v>31739906.295514513</v>
      </c>
      <c r="X24" s="13">
        <v>0</v>
      </c>
      <c r="Y24" s="13"/>
      <c r="Z24" s="13">
        <v>0.45616440000000003</v>
      </c>
    </row>
    <row r="25" spans="1:26" ht="24.95" customHeight="1">
      <c r="A25" s="14">
        <v>4</v>
      </c>
      <c r="B25" s="14" t="s">
        <v>19</v>
      </c>
      <c r="D25" s="3">
        <f>'[1]Demand Loss Factor'!$G$54*F25</f>
        <v>98783.961086827592</v>
      </c>
      <c r="E25" s="3"/>
      <c r="F25" s="3">
        <v>95090.160415556238</v>
      </c>
      <c r="G25" s="3"/>
      <c r="H25" s="3">
        <f>'[1]Demand Loss Factor'!$G$54*J25</f>
        <v>98783.961086827592</v>
      </c>
      <c r="I25" s="3"/>
      <c r="J25" s="3">
        <v>95090.160415556238</v>
      </c>
      <c r="K25" s="3"/>
      <c r="L25" s="3">
        <v>0</v>
      </c>
      <c r="N25" s="3">
        <v>0</v>
      </c>
      <c r="O25" s="3"/>
      <c r="P25" s="3">
        <v>0</v>
      </c>
      <c r="R25" s="3">
        <v>0</v>
      </c>
      <c r="S25" s="3"/>
      <c r="T25" s="3">
        <f>'[1]Energy Loss Factor'!$G$54*V25</f>
        <v>32829596.995609336</v>
      </c>
      <c r="V25" s="3">
        <f>'[2]SL - UNMETERED'!$S$22+'[2]SL - METERED NON CO'!$S$22+'[2]SL - METERED CO OWNED'!$S$22+'[2]OUTDOOR LIGHTING'!$S$22</f>
        <v>31652829.898282696</v>
      </c>
      <c r="X25" s="13">
        <v>0</v>
      </c>
      <c r="Y25" s="13"/>
      <c r="Z25" s="13">
        <v>0.45616440000000003</v>
      </c>
    </row>
    <row r="26" spans="1:26" ht="24.95" customHeight="1">
      <c r="A26" s="14">
        <v>5</v>
      </c>
      <c r="B26" s="14" t="s">
        <v>20</v>
      </c>
      <c r="D26" s="3">
        <f>'[1]Demand Loss Factor'!$G$54*F26</f>
        <v>98783.961086827592</v>
      </c>
      <c r="E26" s="3"/>
      <c r="F26" s="3">
        <v>95090.160415556238</v>
      </c>
      <c r="G26" s="3"/>
      <c r="H26" s="3">
        <f>'[1]Demand Loss Factor'!$G$54*J26</f>
        <v>98783.961086827592</v>
      </c>
      <c r="I26" s="3"/>
      <c r="J26" s="3">
        <v>95090.160415556238</v>
      </c>
      <c r="K26" s="3"/>
      <c r="L26" s="3">
        <v>0</v>
      </c>
      <c r="N26" s="3">
        <v>0</v>
      </c>
      <c r="O26" s="3"/>
      <c r="P26" s="3">
        <v>0</v>
      </c>
      <c r="R26" s="3">
        <v>0</v>
      </c>
      <c r="S26" s="3"/>
      <c r="T26" s="3">
        <f>'[1]Energy Loss Factor'!$G$54*V26</f>
        <v>32802177.236319818</v>
      </c>
      <c r="V26" s="3">
        <f>'[2]SL - UNMETERED'!$S$24+'[2]SL - METERED NON CO'!$S$24+'[2]SL - METERED CO OWNED'!$S$24+'[2]OUTDOOR LIGHTING'!$S$24</f>
        <v>31626392.992073976</v>
      </c>
      <c r="X26" s="13">
        <v>0</v>
      </c>
      <c r="Y26" s="13"/>
      <c r="Z26" s="13">
        <v>0.45616440000000003</v>
      </c>
    </row>
    <row r="27" spans="1:26" ht="24.95" customHeight="1">
      <c r="A27" s="14">
        <v>6</v>
      </c>
      <c r="B27" s="14" t="s">
        <v>21</v>
      </c>
      <c r="D27" s="3">
        <f>'[1]Demand Loss Factor'!$G$54*F27</f>
        <v>98783.961086827592</v>
      </c>
      <c r="E27" s="3"/>
      <c r="F27" s="3">
        <v>95090.160415556238</v>
      </c>
      <c r="G27" s="3"/>
      <c r="H27" s="3">
        <f>'[1]Demand Loss Factor'!$G$54*J27</f>
        <v>98783.961086827592</v>
      </c>
      <c r="I27" s="3"/>
      <c r="J27" s="3">
        <v>95090.160415556238</v>
      </c>
      <c r="K27" s="3"/>
      <c r="L27" s="3">
        <v>0</v>
      </c>
      <c r="N27" s="3">
        <v>0</v>
      </c>
      <c r="O27" s="3"/>
      <c r="P27" s="3">
        <v>0</v>
      </c>
      <c r="R27" s="3">
        <v>0</v>
      </c>
      <c r="S27" s="3"/>
      <c r="T27" s="3">
        <f>'[1]Energy Loss Factor'!$G$54*V27</f>
        <v>32745401.878669754</v>
      </c>
      <c r="V27" s="3">
        <f>'[2]SL - UNMETERED'!$S$26+'[2]SL - METERED NON CO'!$S$26+'[2]SL - METERED CO OWNED'!$S$26+'[2]OUTDOOR LIGHTING'!$S$26</f>
        <v>31571652.730158731</v>
      </c>
      <c r="X27" s="13">
        <v>0</v>
      </c>
      <c r="Y27" s="13"/>
      <c r="Z27" s="13">
        <v>0.45616440000000003</v>
      </c>
    </row>
    <row r="28" spans="1:26" ht="24.95" customHeight="1">
      <c r="A28" s="14">
        <v>7</v>
      </c>
      <c r="B28" s="14" t="s">
        <v>22</v>
      </c>
      <c r="D28" s="3">
        <f>'[1]Demand Loss Factor'!$G$54*F28</f>
        <v>98783.961086827592</v>
      </c>
      <c r="E28" s="3"/>
      <c r="F28" s="3">
        <v>95090.160415556238</v>
      </c>
      <c r="G28" s="3"/>
      <c r="H28" s="3">
        <f>'[1]Demand Loss Factor'!$G$54*J28</f>
        <v>98783.961086827592</v>
      </c>
      <c r="I28" s="3"/>
      <c r="J28" s="3">
        <v>95090.160415556238</v>
      </c>
      <c r="K28" s="3"/>
      <c r="L28" s="3">
        <v>0</v>
      </c>
      <c r="N28" s="3">
        <v>0</v>
      </c>
      <c r="O28" s="3"/>
      <c r="P28" s="3">
        <v>0</v>
      </c>
      <c r="R28" s="3">
        <v>0</v>
      </c>
      <c r="S28" s="3"/>
      <c r="T28" s="3">
        <f>'[1]Energy Loss Factor'!$G$54*V28</f>
        <v>32711572.395082131</v>
      </c>
      <c r="V28" s="3">
        <f>'[2]SL - UNMETERED'!$S$28+'[2]SL - METERED NON CO'!$S$28+'[2]SL - METERED CO OWNED'!$S$28+'[2]OUTDOOR LIGHTING'!$S$28</f>
        <v>31539035.854304634</v>
      </c>
      <c r="X28" s="13">
        <v>0</v>
      </c>
      <c r="Y28" s="13"/>
      <c r="Z28" s="13">
        <v>0.45616440000000003</v>
      </c>
    </row>
    <row r="29" spans="1:26" ht="24.95" customHeight="1">
      <c r="A29" s="14">
        <v>8</v>
      </c>
      <c r="B29" s="14" t="s">
        <v>23</v>
      </c>
      <c r="D29" s="3">
        <f>'[1]Demand Loss Factor'!$G$54*F29</f>
        <v>98783.961086827592</v>
      </c>
      <c r="E29" s="3"/>
      <c r="F29" s="3">
        <v>95090.160415556238</v>
      </c>
      <c r="G29" s="3"/>
      <c r="H29" s="3">
        <f>'[1]Demand Loss Factor'!$G$54*J29</f>
        <v>98783.961086827592</v>
      </c>
      <c r="I29" s="3"/>
      <c r="J29" s="3">
        <v>95090.160415556238</v>
      </c>
      <c r="K29" s="3"/>
      <c r="L29" s="3">
        <v>0</v>
      </c>
      <c r="N29" s="3">
        <v>0</v>
      </c>
      <c r="O29" s="3"/>
      <c r="P29" s="3">
        <v>0</v>
      </c>
      <c r="R29" s="3">
        <v>0</v>
      </c>
      <c r="S29" s="3"/>
      <c r="T29" s="3">
        <f>'[1]Energy Loss Factor'!$G$54*V29</f>
        <v>32711902.698277663</v>
      </c>
      <c r="V29" s="3">
        <f>'[2]SL - UNMETERED'!$S$30+'[2]SL - METERED NON CO'!$S$30+'[2]SL - METERED CO OWNED'!$S$30+'[2]OUTDOOR LIGHTING'!$S$30</f>
        <v>31539354.317880794</v>
      </c>
      <c r="X29" s="13">
        <v>0</v>
      </c>
      <c r="Y29" s="13"/>
      <c r="Z29" s="13">
        <v>0.45616440000000003</v>
      </c>
    </row>
    <row r="30" spans="1:26" ht="24.95" customHeight="1">
      <c r="A30" s="14">
        <v>9</v>
      </c>
      <c r="B30" s="14" t="s">
        <v>24</v>
      </c>
      <c r="D30" s="3">
        <f>'[1]Demand Loss Factor'!$G$54*F30</f>
        <v>98783.961086827592</v>
      </c>
      <c r="E30" s="3"/>
      <c r="F30" s="3">
        <v>95090.160415556238</v>
      </c>
      <c r="G30" s="3"/>
      <c r="H30" s="3">
        <f>'[1]Demand Loss Factor'!$G$54*J30</f>
        <v>98783.961086827592</v>
      </c>
      <c r="I30" s="3"/>
      <c r="J30" s="3">
        <v>95090.160415556238</v>
      </c>
      <c r="K30" s="3"/>
      <c r="L30" s="3">
        <v>0</v>
      </c>
      <c r="N30" s="3">
        <v>0</v>
      </c>
      <c r="O30" s="3"/>
      <c r="P30" s="3">
        <v>0</v>
      </c>
      <c r="R30" s="3">
        <v>0</v>
      </c>
      <c r="S30" s="3"/>
      <c r="T30" s="3">
        <f>'[1]Energy Loss Factor'!$G$54*V30</f>
        <v>32753804.822290514</v>
      </c>
      <c r="V30" s="3">
        <f>'[2]SL - UNMETERED'!$S$32+'[2]SL - METERED NON CO'!$S$32+'[2]SL - METERED CO OWNED'!$S$32+'[2]OUTDOOR LIGHTING'!$S$32</f>
        <v>31579754.472775564</v>
      </c>
      <c r="X30" s="13">
        <v>0</v>
      </c>
      <c r="Y30" s="13"/>
      <c r="Z30" s="13">
        <v>0.45616440000000003</v>
      </c>
    </row>
    <row r="31" spans="1:26" ht="24.95" customHeight="1">
      <c r="A31" s="14">
        <v>10</v>
      </c>
      <c r="B31" s="14" t="s">
        <v>25</v>
      </c>
      <c r="D31" s="3">
        <f>'[1]Demand Loss Factor'!$G$54*F31</f>
        <v>98783.961086827592</v>
      </c>
      <c r="E31" s="3"/>
      <c r="F31" s="3">
        <v>95090.160415556238</v>
      </c>
      <c r="G31" s="3"/>
      <c r="H31" s="3">
        <f>'[1]Demand Loss Factor'!$G$54*J31</f>
        <v>98783.961086827592</v>
      </c>
      <c r="I31" s="3"/>
      <c r="J31" s="3">
        <v>95090.160415556238</v>
      </c>
      <c r="K31" s="3"/>
      <c r="L31" s="3">
        <v>0</v>
      </c>
      <c r="N31" s="3">
        <v>0</v>
      </c>
      <c r="O31" s="3"/>
      <c r="P31" s="3">
        <v>0</v>
      </c>
      <c r="R31" s="3">
        <v>0</v>
      </c>
      <c r="S31" s="3"/>
      <c r="T31" s="3">
        <f>'[1]Energy Loss Factor'!$G$54*V31</f>
        <v>32804240.50012539</v>
      </c>
      <c r="V31" s="3">
        <f>'[2]SL - UNMETERED'!$S$34+'[2]SL - METERED NON CO'!$S$34+'[2]SL - METERED CO OWNED'!$S$34+'[2]OUTDOOR LIGHTING'!$S$34</f>
        <v>31628382.298804782</v>
      </c>
      <c r="X31" s="13">
        <v>0</v>
      </c>
      <c r="Y31" s="13"/>
      <c r="Z31" s="13">
        <v>0.45616440000000003</v>
      </c>
    </row>
    <row r="32" spans="1:26" ht="24.95" customHeight="1">
      <c r="A32" s="14">
        <v>11</v>
      </c>
      <c r="B32" s="14" t="s">
        <v>26</v>
      </c>
      <c r="D32" s="3">
        <f>'[1]Demand Loss Factor'!$G$54*F32</f>
        <v>98783.961086827592</v>
      </c>
      <c r="E32" s="3"/>
      <c r="F32" s="3">
        <v>95090.160415556238</v>
      </c>
      <c r="G32" s="3"/>
      <c r="H32" s="3">
        <f>'[1]Demand Loss Factor'!$G$54*J32</f>
        <v>98783.961086827592</v>
      </c>
      <c r="I32" s="3"/>
      <c r="J32" s="3">
        <v>95090.160415556238</v>
      </c>
      <c r="K32" s="3"/>
      <c r="L32" s="3">
        <f>'[1]Demand Loss Factor'!$G$54*N32</f>
        <v>98783.961086827592</v>
      </c>
      <c r="N32" s="3">
        <f>(V34/'[3]STREET LIGHTING'!$V$34)*'[3]STREET LIGHTING'!$N$32</f>
        <v>95090.160415556238</v>
      </c>
      <c r="O32" s="3"/>
      <c r="P32" s="3">
        <v>0</v>
      </c>
      <c r="R32" s="3">
        <v>0</v>
      </c>
      <c r="S32" s="3"/>
      <c r="T32" s="3">
        <f>'[1]Energy Loss Factor'!$G$54*V32</f>
        <v>32845010.45676323</v>
      </c>
      <c r="V32" s="3">
        <f>'[2]SL - UNMETERED'!$S$36+'[2]SL - METERED NON CO'!$S$36+'[2]SL - METERED CO OWNED'!$S$36+'[2]OUTDOOR LIGHTING'!$S$36</f>
        <v>31667690.868525896</v>
      </c>
      <c r="X32" s="13">
        <v>1</v>
      </c>
      <c r="Y32" s="13"/>
      <c r="Z32" s="13">
        <v>0.45616440000000003</v>
      </c>
    </row>
    <row r="33" spans="1:26" ht="24.95" customHeight="1" thickBot="1">
      <c r="A33" s="14">
        <v>12</v>
      </c>
      <c r="B33" s="14" t="s">
        <v>27</v>
      </c>
      <c r="D33" s="3">
        <f>'[1]Demand Loss Factor'!$G$54*F33</f>
        <v>98783.961086827592</v>
      </c>
      <c r="E33" s="3"/>
      <c r="F33" s="3">
        <v>95090.160415556238</v>
      </c>
      <c r="G33" s="3"/>
      <c r="H33" s="3">
        <f>'[1]Demand Loss Factor'!$G$54*J33</f>
        <v>98783.961086827592</v>
      </c>
      <c r="I33" s="3"/>
      <c r="J33" s="3">
        <v>95090.160415556238</v>
      </c>
      <c r="K33" s="3"/>
      <c r="L33" s="3">
        <v>0</v>
      </c>
      <c r="N33" s="3">
        <v>0</v>
      </c>
      <c r="O33" s="3"/>
      <c r="P33" s="3">
        <f>'[1]Demand Loss Factor'!$G$54*R33</f>
        <v>98783.961086827592</v>
      </c>
      <c r="Q33" s="15"/>
      <c r="R33" s="3">
        <f>(V34/'[3]STREET LIGHTING'!$V$34)*'[3]STREET LIGHTING'!$R$33</f>
        <v>95090.160415556238</v>
      </c>
      <c r="S33" s="3"/>
      <c r="T33" s="16">
        <f>'[1]Energy Loss Factor'!$G$54*V33</f>
        <v>32940185.094703373</v>
      </c>
      <c r="V33" s="16">
        <f>'[2]SL - UNMETERED'!$S$38+'[2]SL - METERED NON CO'!$S$38+'[2]SL - METERED CO OWNED'!$S$38+'[2]OUTDOOR LIGHTING'!$S$38</f>
        <v>31759454</v>
      </c>
      <c r="X33" s="13">
        <v>0</v>
      </c>
      <c r="Y33" s="13"/>
      <c r="Z33" s="13">
        <v>0.45616440000000003</v>
      </c>
    </row>
    <row r="34" spans="1:22" ht="24.95" customHeight="1" thickTop="1">
      <c r="A34" s="14">
        <v>13</v>
      </c>
      <c r="E34" s="3"/>
      <c r="G34" s="3"/>
      <c r="I34" s="3"/>
      <c r="K34" s="3"/>
      <c r="O34" s="3"/>
      <c r="S34" s="3"/>
      <c r="T34" s="15">
        <f>+SUM(T22:T33)</f>
        <v>394106940.25798231</v>
      </c>
      <c r="U34" s="15"/>
      <c r="V34" s="15">
        <f>SUM(V22:V33)</f>
        <v>379980294.71354586</v>
      </c>
    </row>
    <row r="35" spans="1:22" ht="24.95" customHeight="1">
      <c r="A35" s="14"/>
      <c r="E35" s="3"/>
      <c r="G35" s="3"/>
      <c r="I35" s="3"/>
      <c r="K35" s="3"/>
      <c r="O35" s="3"/>
      <c r="S35" s="3"/>
      <c r="T35" s="15"/>
      <c r="U35" s="15"/>
      <c r="V35" s="15"/>
    </row>
    <row r="36" spans="1:22" ht="18.75" customHeight="1">
      <c r="A36" s="14"/>
      <c r="E36" s="3"/>
      <c r="G36" s="3"/>
      <c r="I36" s="3"/>
      <c r="K36" s="3"/>
      <c r="O36" s="3"/>
      <c r="S36" s="3"/>
      <c r="T36" s="15"/>
      <c r="U36" s="15"/>
      <c r="V36" s="15"/>
    </row>
    <row r="37" spans="1:19" ht="15" customHeight="1">
      <c r="A37" s="2" t="s">
        <v>55</v>
      </c>
      <c r="E37" s="3"/>
      <c r="G37" s="3"/>
      <c r="I37" s="3"/>
      <c r="K37" s="3"/>
      <c r="O37" s="3"/>
      <c r="S37" s="3"/>
    </row>
    <row r="38" spans="1:19" ht="15" customHeight="1">
      <c r="A38" s="2" t="s">
        <v>28</v>
      </c>
      <c r="E38" s="3"/>
      <c r="G38" s="3"/>
      <c r="I38" s="3"/>
      <c r="K38" s="3"/>
      <c r="O38" s="3"/>
      <c r="S38" s="3"/>
    </row>
    <row r="39" spans="1:19" ht="15" customHeight="1">
      <c r="A39" s="4" t="s">
        <v>29</v>
      </c>
      <c r="E39" s="3"/>
      <c r="G39" s="3"/>
      <c r="I39" s="3"/>
      <c r="K39" s="3"/>
      <c r="O39" s="3"/>
      <c r="S39" s="3"/>
    </row>
  </sheetData>
  <sortState ref="L118:L128">
    <sortCondition descending="1" sortBy="value" ref="L118:L128"/>
  </sortState>
  <pageMargins left="0.5" right="1" top="1.5" bottom="0.5" header="0.5" footer="0.5"/>
  <pageSetup orientation="landscape" scale="5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A1:Z39"/>
  <sheetViews>
    <sheetView zoomScale="75" zoomScaleNormal="75" workbookViewId="0" topLeftCell="A1">
      <selection pane="topLeft" activeCell="V22" sqref="V22"/>
    </sheetView>
  </sheetViews>
  <sheetFormatPr defaultColWidth="9.14428571428571" defaultRowHeight="18.75" customHeight="1"/>
  <cols>
    <col min="1" max="1" width="4.71428571428571" style="2" customWidth="1"/>
    <col min="2" max="3" width="7.71428571428571" style="2" customWidth="1"/>
    <col min="4" max="4" width="20.5714285714286" style="3" customWidth="1"/>
    <col min="5" max="5" width="2.71428571428571" style="2" customWidth="1"/>
    <col min="6" max="6" width="20.8571428571429" style="3" customWidth="1"/>
    <col min="7" max="7" width="5.71428571428571" style="2" customWidth="1"/>
    <col min="8" max="8" width="13.8571428571429" style="3" customWidth="1"/>
    <col min="9" max="9" width="2.71428571428571" style="2" customWidth="1"/>
    <col min="10" max="10" width="14.8571428571429" style="3" customWidth="1"/>
    <col min="11" max="11" width="5.71428571428571" style="2" customWidth="1"/>
    <col min="12" max="12" width="12.7142857142857" style="3" customWidth="1"/>
    <col min="13" max="13" width="2.71428571428571" style="3" customWidth="1"/>
    <col min="14" max="14" width="13.2857142857143" style="3" customWidth="1"/>
    <col min="15" max="15" width="5.71428571428571" style="2" customWidth="1"/>
    <col min="16" max="16" width="12.7142857142857" style="3" customWidth="1"/>
    <col min="17" max="17" width="2.71428571428571" style="3" customWidth="1"/>
    <col min="18" max="18" width="13.8571428571429" style="3" customWidth="1"/>
    <col min="19" max="19" width="5.71428571428571" style="2" customWidth="1"/>
    <col min="20" max="20" width="17.7142857142857" style="3" customWidth="1"/>
    <col min="21" max="21" width="2.71428571428571" style="3" customWidth="1"/>
    <col min="22" max="22" width="17.7142857142857" style="3" customWidth="1"/>
    <col min="23" max="23" width="3.71428571428571" style="2" customWidth="1"/>
    <col min="24" max="24" width="9.71428571428571" style="2" customWidth="1"/>
    <col min="25" max="25" width="1.71428571428571" style="2" customWidth="1"/>
    <col min="26" max="26" width="9.71428571428571" style="2" customWidth="1"/>
    <col min="27" max="16384" width="9.14285714285714" style="2"/>
  </cols>
  <sheetData>
    <row r="1" spans="1:22" ht="18.75" customHeight="1">
      <c r="A1" s="6"/>
      <c r="V1" s="2" t="s">
        <v>63</v>
      </c>
    </row>
    <row r="2" spans="22:22" ht="18.75" customHeight="1">
      <c r="V2" s="2" t="s">
        <v>75</v>
      </c>
    </row>
    <row r="7" spans="1:26" ht="18.75" customHeight="1">
      <c r="A7" s="7" t="s">
        <v>77</v>
      </c>
      <c r="B7" s="8"/>
      <c r="C7" s="8"/>
      <c r="D7" s="8"/>
      <c r="E7" s="8"/>
      <c r="F7" s="9"/>
      <c r="G7" s="8"/>
      <c r="H7" s="8"/>
      <c r="I7" s="8"/>
      <c r="J7" s="10"/>
      <c r="K7" s="7"/>
      <c r="L7" s="7"/>
      <c r="M7" s="8"/>
      <c r="N7" s="7"/>
      <c r="O7" s="9"/>
      <c r="P7" s="8"/>
      <c r="Q7" s="8"/>
      <c r="R7" s="9"/>
      <c r="S7" s="8"/>
      <c r="T7" s="8"/>
      <c r="U7" s="8"/>
      <c r="V7" s="8"/>
      <c r="W7" s="8"/>
      <c r="X7" s="8"/>
      <c r="Y7" s="8"/>
      <c r="Z7" s="8"/>
    </row>
    <row r="8" spans="1:26" ht="18" customHeight="1">
      <c r="A8" s="7" t="s">
        <v>40</v>
      </c>
      <c r="B8" s="8"/>
      <c r="C8" s="8"/>
      <c r="D8" s="8"/>
      <c r="E8" s="8"/>
      <c r="F8" s="9"/>
      <c r="G8" s="8"/>
      <c r="H8" s="8"/>
      <c r="I8" s="8"/>
      <c r="J8" s="10"/>
      <c r="K8" s="7"/>
      <c r="L8" s="10"/>
      <c r="M8" s="9"/>
      <c r="N8" s="7"/>
      <c r="O8" s="10"/>
      <c r="P8" s="8"/>
      <c r="Q8" s="8"/>
      <c r="R8" s="10"/>
      <c r="S8" s="7"/>
      <c r="T8" s="8"/>
      <c r="U8" s="8"/>
      <c r="V8" s="8"/>
      <c r="W8" s="8"/>
      <c r="X8" s="8"/>
      <c r="Y8" s="8"/>
      <c r="Z8" s="8"/>
    </row>
    <row r="9" spans="1:26" ht="18" customHeight="1">
      <c r="A9" s="7" t="s">
        <v>45</v>
      </c>
      <c r="B9" s="8"/>
      <c r="C9" s="8"/>
      <c r="D9" s="8"/>
      <c r="E9" s="8"/>
      <c r="F9" s="9"/>
      <c r="G9" s="7"/>
      <c r="H9" s="8"/>
      <c r="I9" s="8"/>
      <c r="J9" s="10"/>
      <c r="K9" s="7"/>
      <c r="L9" s="7"/>
      <c r="M9" s="9"/>
      <c r="N9" s="9"/>
      <c r="O9" s="9"/>
      <c r="P9" s="8"/>
      <c r="Q9" s="7"/>
      <c r="R9" s="10"/>
      <c r="S9" s="7"/>
      <c r="T9" s="8"/>
      <c r="U9" s="8"/>
      <c r="V9" s="8"/>
      <c r="W9" s="8"/>
      <c r="X9" s="8"/>
      <c r="Y9" s="8"/>
      <c r="Z9" s="8"/>
    </row>
    <row r="10" spans="1:26" ht="18" customHeight="1">
      <c r="A10" s="7" t="s">
        <v>79</v>
      </c>
      <c r="B10" s="8"/>
      <c r="C10" s="8"/>
      <c r="D10" s="8"/>
      <c r="E10" s="8"/>
      <c r="F10" s="8"/>
      <c r="G10" s="7"/>
      <c r="H10" s="8"/>
      <c r="I10" s="8"/>
      <c r="J10" s="7"/>
      <c r="K10" s="7"/>
      <c r="L10" s="10"/>
      <c r="M10" s="9"/>
      <c r="N10" s="9"/>
      <c r="O10" s="9"/>
      <c r="P10" s="8"/>
      <c r="Q10" s="7"/>
      <c r="R10" s="10"/>
      <c r="S10" s="7"/>
      <c r="T10" s="8"/>
      <c r="U10" s="8"/>
      <c r="V10" s="8"/>
      <c r="W10" s="8"/>
      <c r="X10" s="8"/>
      <c r="Y10" s="8"/>
      <c r="Z10" s="8"/>
    </row>
    <row r="11" spans="1:26" ht="18" customHeight="1">
      <c r="A11" s="8"/>
      <c r="B11" s="8"/>
      <c r="C11" s="8"/>
      <c r="D11" s="8"/>
      <c r="E11" s="8"/>
      <c r="F11" s="9"/>
      <c r="G11" s="8"/>
      <c r="H11" s="8"/>
      <c r="I11" s="8"/>
      <c r="J11" s="10"/>
      <c r="K11" s="7"/>
      <c r="L11" s="10"/>
      <c r="M11" s="9"/>
      <c r="N11" s="9"/>
      <c r="O11" s="9"/>
      <c r="P11" s="8"/>
      <c r="Q11" s="8"/>
      <c r="R11" s="9"/>
      <c r="S11" s="8"/>
      <c r="T11" s="8"/>
      <c r="U11" s="8"/>
      <c r="V11" s="8"/>
      <c r="W11" s="8"/>
      <c r="X11" s="8"/>
      <c r="Y11" s="8"/>
      <c r="Z11" s="8"/>
    </row>
    <row r="12" spans="1:26" ht="18.75" customHeight="1">
      <c r="A12" s="7" t="s">
        <v>43</v>
      </c>
      <c r="B12" s="8"/>
      <c r="C12" s="8"/>
      <c r="D12" s="8"/>
      <c r="E12" s="8"/>
      <c r="F12" s="9"/>
      <c r="G12" s="8"/>
      <c r="H12" s="8"/>
      <c r="I12" s="8"/>
      <c r="J12" s="10"/>
      <c r="K12" s="7"/>
      <c r="L12" s="10"/>
      <c r="M12" s="9"/>
      <c r="N12" s="10"/>
      <c r="O12" s="10"/>
      <c r="P12" s="8"/>
      <c r="Q12" s="8"/>
      <c r="R12" s="9"/>
      <c r="S12" s="8"/>
      <c r="T12" s="8"/>
      <c r="U12" s="8"/>
      <c r="V12" s="8"/>
      <c r="W12" s="8"/>
      <c r="X12" s="8"/>
      <c r="Y12" s="8"/>
      <c r="Z12" s="8"/>
    </row>
    <row r="13" spans="1:26" ht="18.75" customHeight="1">
      <c r="A13" s="8"/>
      <c r="B13" s="8"/>
      <c r="C13" s="8"/>
      <c r="D13" s="8"/>
      <c r="E13" s="8"/>
      <c r="F13" s="9"/>
      <c r="G13" s="8"/>
      <c r="H13" s="8"/>
      <c r="I13" s="8"/>
      <c r="J13" s="9"/>
      <c r="K13" s="8"/>
      <c r="L13" s="8"/>
      <c r="M13" s="9"/>
      <c r="N13" s="8"/>
      <c r="O13" s="10"/>
      <c r="P13" s="8"/>
      <c r="Q13" s="8"/>
      <c r="R13" s="9"/>
      <c r="S13" s="8"/>
      <c r="T13" s="8"/>
      <c r="U13" s="8"/>
      <c r="V13" s="8"/>
      <c r="W13" s="8"/>
      <c r="X13" s="8"/>
      <c r="Y13" s="8"/>
      <c r="Z13" s="8"/>
    </row>
    <row r="14" spans="1:1" ht="18.75" customHeight="1">
      <c r="A14" s="2" t="s">
        <v>47</v>
      </c>
    </row>
    <row r="15" spans="1:1" ht="18.75" customHeight="1">
      <c r="A15" s="2" t="s">
        <v>39</v>
      </c>
    </row>
    <row r="17" spans="4:26" ht="15" customHeight="1">
      <c r="D17" s="4" t="s">
        <v>48</v>
      </c>
      <c r="E17" s="4"/>
      <c r="F17" s="4" t="s">
        <v>49</v>
      </c>
      <c r="G17" s="4"/>
      <c r="H17" s="4" t="s">
        <v>62</v>
      </c>
      <c r="I17" s="4"/>
      <c r="J17" s="4" t="s">
        <v>38</v>
      </c>
      <c r="K17" s="4"/>
      <c r="L17" s="4" t="s">
        <v>67</v>
      </c>
      <c r="M17" s="4"/>
      <c r="N17" s="4" t="s">
        <v>44</v>
      </c>
      <c r="O17" s="4"/>
      <c r="P17" s="4" t="s">
        <v>65</v>
      </c>
      <c r="Q17" s="4"/>
      <c r="R17" s="4" t="s">
        <v>66</v>
      </c>
      <c r="S17" s="4"/>
      <c r="T17" s="4" t="s">
        <v>61</v>
      </c>
      <c r="U17" s="4"/>
      <c r="V17" s="4" t="s">
        <v>54</v>
      </c>
      <c r="W17" s="4"/>
      <c r="X17" s="4" t="s">
        <v>57</v>
      </c>
      <c r="Y17" s="4"/>
      <c r="Z17" s="4" t="s">
        <v>58</v>
      </c>
    </row>
    <row r="18" spans="4:6" s="4" customFormat="1" ht="18.75" customHeight="1">
      <c r="D18" s="4" t="s">
        <v>50</v>
      </c>
      <c r="F18" s="4" t="s">
        <v>50</v>
      </c>
    </row>
    <row r="19" spans="1:24" ht="18.75" customHeight="1">
      <c r="A19" s="2" t="s">
        <v>2</v>
      </c>
      <c r="D19" s="3" t="s">
        <v>52</v>
      </c>
      <c r="F19" s="3" t="s">
        <v>52</v>
      </c>
      <c r="H19" s="3" t="s">
        <v>6</v>
      </c>
      <c r="I19" s="3"/>
      <c r="J19" s="3" t="s">
        <v>56</v>
      </c>
      <c r="L19" s="3" t="s">
        <v>4</v>
      </c>
      <c r="M19" s="2" t="s">
        <v>5</v>
      </c>
      <c r="N19" s="3" t="s">
        <v>4</v>
      </c>
      <c r="P19" s="3" t="s">
        <v>3</v>
      </c>
      <c r="R19" s="3" t="s">
        <v>3</v>
      </c>
      <c r="T19" s="3" t="s">
        <v>7</v>
      </c>
      <c r="V19" s="3" t="s">
        <v>8</v>
      </c>
      <c r="X19" s="2" t="s">
        <v>59</v>
      </c>
    </row>
    <row r="20" spans="1:26" ht="18.75" customHeight="1">
      <c r="A20" s="11" t="s">
        <v>9</v>
      </c>
      <c r="B20" s="11" t="s">
        <v>10</v>
      </c>
      <c r="D20" s="5" t="s">
        <v>51</v>
      </c>
      <c r="F20" s="5" t="s">
        <v>53</v>
      </c>
      <c r="H20" s="5" t="s">
        <v>11</v>
      </c>
      <c r="I20" s="3"/>
      <c r="J20" s="5" t="s">
        <v>12</v>
      </c>
      <c r="L20" s="5" t="s">
        <v>11</v>
      </c>
      <c r="M20" s="2"/>
      <c r="N20" s="5" t="s">
        <v>12</v>
      </c>
      <c r="P20" s="5" t="s">
        <v>11</v>
      </c>
      <c r="R20" s="5" t="s">
        <v>12</v>
      </c>
      <c r="T20" s="5" t="s">
        <v>13</v>
      </c>
      <c r="V20" s="5" t="s">
        <v>14</v>
      </c>
      <c r="X20" s="12" t="s">
        <v>15</v>
      </c>
      <c r="Z20" s="12" t="s">
        <v>60</v>
      </c>
    </row>
    <row r="21" spans="4:22" ht="18" customHeight="1">
      <c r="D21" s="2"/>
      <c r="F21" s="2"/>
      <c r="H21" s="2"/>
      <c r="J21" s="2"/>
      <c r="L21" s="2"/>
      <c r="M21" s="2"/>
      <c r="N21" s="2"/>
      <c r="P21" s="2"/>
      <c r="Q21" s="2"/>
      <c r="R21" s="2"/>
      <c r="T21" s="2"/>
      <c r="U21" s="2"/>
      <c r="V21" s="2"/>
    </row>
    <row r="22" spans="1:26" ht="24.95" customHeight="1">
      <c r="A22" s="14">
        <v>1</v>
      </c>
      <c r="B22" s="14" t="s">
        <v>16</v>
      </c>
      <c r="D22" s="3">
        <f>'[1]Demand Loss Factor'!$G$52*F22</f>
        <v>72897.020619724266</v>
      </c>
      <c r="E22" s="3"/>
      <c r="F22" s="3">
        <f>'[2]WHOLESALE-SUB'!$S$16/'[2]WHOLESALE-SUB'!$I$16*'[3]WHOLESALE SUB'!$F$22</f>
        <v>72435.60581071004</v>
      </c>
      <c r="G22" s="3"/>
      <c r="H22" s="3">
        <f>'[1]Demand Loss Factor'!$G$52*J22</f>
        <v>69840.439238705527</v>
      </c>
      <c r="I22" s="3"/>
      <c r="J22" s="3">
        <f>'[2]WHOLESALE-SUB'!$S$16/'[2]WHOLESALE-SUB'!$I$16*'[3]WHOLESALE SUB'!$J$22</f>
        <v>69398.371611540017</v>
      </c>
      <c r="K22" s="3"/>
      <c r="L22" s="3">
        <f>'[1]Demand Loss Factor'!$G$52*N22</f>
        <v>69382.150300545109</v>
      </c>
      <c r="N22" s="3">
        <f>'[2]WHOLESALE-SUB'!$S$16/'[2]WHOLESALE-SUB'!$I$16*'[3]WHOLESALE SUB'!$N$22</f>
        <v>68942.983495677647</v>
      </c>
      <c r="O22" s="3"/>
      <c r="P22" s="3">
        <f>'[1]Demand Loss Factor'!$G$52*R22</f>
        <v>69840.439238705527</v>
      </c>
      <c r="R22" s="3">
        <f>'[2]WHOLESALE-SUB'!$S$16/'[2]WHOLESALE-SUB'!$I$16*'[3]WHOLESALE SUB'!$R$22</f>
        <v>69398.371611540017</v>
      </c>
      <c r="S22" s="3"/>
      <c r="T22" s="3">
        <f>'[1]Energy Loss Factor'!$G$52*V22</f>
        <v>30801103.200966526</v>
      </c>
      <c r="V22" s="3">
        <f>'[2]WHOLESALE-SUB'!$S$16</f>
        <v>30625313.899185199</v>
      </c>
      <c r="X22" s="13">
        <f>(N22/J22)</f>
        <v>0.99343805761882398</v>
      </c>
      <c r="Y22" s="13"/>
      <c r="Z22" s="13">
        <v>0.59314160000000005</v>
      </c>
    </row>
    <row r="23" spans="1:26" ht="24.95" customHeight="1">
      <c r="A23" s="14">
        <v>2</v>
      </c>
      <c r="B23" s="14" t="s">
        <v>17</v>
      </c>
      <c r="D23" s="3">
        <f>'[1]Demand Loss Factor'!$G$52*F23</f>
        <v>112808.25883978971</v>
      </c>
      <c r="E23" s="3"/>
      <c r="F23" s="3">
        <f>'[2]WHOLESALE-SUB'!$S$18/'[2]WHOLESALE-SUB'!$I$18*'[3]WHOLESALE SUB'!$F$23</f>
        <v>112094.21866688167</v>
      </c>
      <c r="G23" s="3"/>
      <c r="H23" s="3">
        <f>'[1]Demand Loss Factor'!$G$52*J23</f>
        <v>101575.17606204849</v>
      </c>
      <c r="I23" s="3"/>
      <c r="J23" s="3">
        <f>'[2]WHOLESALE-SUB'!$S$18/'[2]WHOLESALE-SUB'!$I$18*'[3]WHOLESALE SUB'!$J$23</f>
        <v>100932.23770784949</v>
      </c>
      <c r="K23" s="3"/>
      <c r="L23" s="3">
        <f>'[1]Demand Loss Factor'!$G$52*N23</f>
        <v>101575.17606204849</v>
      </c>
      <c r="N23" s="3">
        <f>'[2]WHOLESALE-SUB'!$S$18/'[2]WHOLESALE-SUB'!$I$18*'[3]WHOLESALE SUB'!$N$23</f>
        <v>100932.23770784949</v>
      </c>
      <c r="O23" s="3"/>
      <c r="P23" s="3">
        <f>'[1]Demand Loss Factor'!$G$52*R23</f>
        <v>101260.06651670537</v>
      </c>
      <c r="R23" s="3">
        <f>'[2]WHOLESALE-SUB'!$S$18/'[2]WHOLESALE-SUB'!$I$18*'[3]WHOLESALE SUB'!$R$23</f>
        <v>100619.12270507404</v>
      </c>
      <c r="S23" s="3"/>
      <c r="T23" s="3">
        <f>'[1]Energy Loss Factor'!$G$52*V23</f>
        <v>32891542.40410196</v>
      </c>
      <c r="V23" s="3">
        <f>'[2]WHOLESALE-SUB'!$S$18</f>
        <v>32703822.463163398</v>
      </c>
      <c r="X23" s="13">
        <f t="shared" si="0" ref="X23:X33">(N23/J23)</f>
        <v>1</v>
      </c>
      <c r="Y23" s="13"/>
      <c r="Z23" s="13">
        <v>0.48216910000000002</v>
      </c>
    </row>
    <row r="24" spans="1:26" ht="24.95" customHeight="1">
      <c r="A24" s="14">
        <v>3</v>
      </c>
      <c r="B24" s="14" t="s">
        <v>18</v>
      </c>
      <c r="D24" s="3">
        <f>'[1]Demand Loss Factor'!$G$52*F24</f>
        <v>53116.889449039474</v>
      </c>
      <c r="E24" s="3"/>
      <c r="F24" s="3">
        <f>'[2]WHOLESALE-SUB'!$S$20/'[2]WHOLESALE-SUB'!$I$20*'[3]WHOLESALE SUB'!$F$24</f>
        <v>52780.676539482971</v>
      </c>
      <c r="G24" s="3"/>
      <c r="H24" s="3">
        <f>'[1]Demand Loss Factor'!$G$52*J24</f>
        <v>49737.528431754356</v>
      </c>
      <c r="I24" s="3"/>
      <c r="J24" s="3">
        <f>'[2]WHOLESALE-SUB'!$S$20/'[2]WHOLESALE-SUB'!$I$20*'[3]WHOLESALE SUB'!$J$24</f>
        <v>49422.705795834889</v>
      </c>
      <c r="K24" s="3"/>
      <c r="L24" s="3">
        <f>'[1]Demand Loss Factor'!$G$52*N24</f>
        <v>49737.528431754356</v>
      </c>
      <c r="N24" s="3">
        <f>'[2]WHOLESALE-SUB'!$S$20/'[2]WHOLESALE-SUB'!$I$20*'[3]WHOLESALE SUB'!$N$24</f>
        <v>49422.705795834889</v>
      </c>
      <c r="O24" s="3"/>
      <c r="P24" s="3">
        <f>'[1]Demand Loss Factor'!$G$52*R24</f>
        <v>32009.192553883709</v>
      </c>
      <c r="R24" s="3">
        <f>'[2]WHOLESALE-SUB'!$S$20/'[2]WHOLESALE-SUB'!$I$20*'[3]WHOLESALE SUB'!$R$24</f>
        <v>31806.584609918529</v>
      </c>
      <c r="S24" s="3"/>
      <c r="T24" s="3">
        <f>'[1]Energy Loss Factor'!$G$52*V24</f>
        <v>21163367.176584832</v>
      </c>
      <c r="V24" s="3">
        <f>'[2]WHOLESALE-SUB'!$S$20</f>
        <v>21042582.751590699</v>
      </c>
      <c r="X24" s="13">
        <f t="shared" si="0"/>
        <v>1</v>
      </c>
      <c r="Y24" s="13"/>
      <c r="Z24" s="13">
        <v>0.57303800000000005</v>
      </c>
    </row>
    <row r="25" spans="1:26" ht="24.95" customHeight="1">
      <c r="A25" s="14">
        <v>4</v>
      </c>
      <c r="B25" s="14" t="s">
        <v>19</v>
      </c>
      <c r="D25" s="3">
        <f>'[1]Demand Loss Factor'!$G$52*F25</f>
        <v>49911.018138889238</v>
      </c>
      <c r="E25" s="3"/>
      <c r="F25" s="3">
        <f>'[2]WHOLESALE-SUB'!$S$22/'[2]WHOLESALE-SUB'!$I$22*'[3]WHOLESALE SUB'!$F$25</f>
        <v>49595.097368650931</v>
      </c>
      <c r="G25" s="3"/>
      <c r="H25" s="3">
        <f>'[1]Demand Loss Factor'!$G$52*J25</f>
        <v>44554.585987244289</v>
      </c>
      <c r="I25" s="3"/>
      <c r="J25" s="3">
        <f>'[2]WHOLESALE-SUB'!$S$22/'[2]WHOLESALE-SUB'!$I$22*'[3]WHOLESALE SUB'!$J$25</f>
        <v>44272.569718139741</v>
      </c>
      <c r="K25" s="3"/>
      <c r="L25" s="3">
        <f>'[1]Demand Loss Factor'!$G$52*N25</f>
        <v>39886.088759482234</v>
      </c>
      <c r="N25" s="3">
        <f>'[2]WHOLESALE-SUB'!$S$22/'[2]WHOLESALE-SUB'!$I$22*'[3]WHOLESALE SUB'!$N$25</f>
        <v>39633.622583624543</v>
      </c>
      <c r="O25" s="3"/>
      <c r="P25" s="3">
        <f>'[1]Demand Loss Factor'!$G$52*R25</f>
        <v>35661.704105416204</v>
      </c>
      <c r="R25" s="3">
        <f>'[2]WHOLESALE-SUB'!$S$22/'[2]WHOLESALE-SUB'!$I$22*'[3]WHOLESALE SUB'!$R$25</f>
        <v>35435.976932357087</v>
      </c>
      <c r="S25" s="3"/>
      <c r="T25" s="3">
        <f>'[1]Energy Loss Factor'!$G$52*V25</f>
        <v>19685594.389498021</v>
      </c>
      <c r="V25" s="3">
        <f>'[2]WHOLESALE-SUB'!$S$22</f>
        <v>19573243.969115298</v>
      </c>
      <c r="X25" s="13">
        <f t="shared" si="0"/>
        <v>0.89521848033559059</v>
      </c>
      <c r="Y25" s="13"/>
      <c r="Z25" s="13">
        <v>0.61403850000000004</v>
      </c>
    </row>
    <row r="26" spans="1:26" ht="24.95" customHeight="1">
      <c r="A26" s="14">
        <v>5</v>
      </c>
      <c r="B26" s="14" t="s">
        <v>20</v>
      </c>
      <c r="D26" s="3">
        <f>'[1]Demand Loss Factor'!$G$52*F26</f>
        <v>56747.396140694567</v>
      </c>
      <c r="E26" s="3"/>
      <c r="F26" s="3">
        <f>'[2]WHOLESALE-SUB'!$S$24/'[2]WHOLESALE-SUB'!$I$24*'[3]WHOLESALE SUB'!$F$26</f>
        <v>56388.203285764248</v>
      </c>
      <c r="G26" s="3"/>
      <c r="H26" s="3">
        <f>'[1]Demand Loss Factor'!$G$52*J26</f>
        <v>54740.385317596607</v>
      </c>
      <c r="I26" s="3"/>
      <c r="J26" s="3">
        <f>'[2]WHOLESALE-SUB'!$S$24/'[2]WHOLESALE-SUB'!$I$24*'[3]WHOLESALE SUB'!$J$26</f>
        <v>54393.896198810187</v>
      </c>
      <c r="K26" s="3"/>
      <c r="L26" s="3">
        <f>'[1]Demand Loss Factor'!$G$52*N26</f>
        <v>53551.569347932164</v>
      </c>
      <c r="N26" s="3">
        <f>'[2]WHOLESALE-SUB'!$S$24/'[2]WHOLESALE-SUB'!$I$24*'[3]WHOLESALE SUB'!$N$26</f>
        <v>53212.605053739841</v>
      </c>
      <c r="O26" s="3"/>
      <c r="P26" s="3">
        <f>'[1]Demand Loss Factor'!$G$52*R26</f>
        <v>53551.569347932164</v>
      </c>
      <c r="R26" s="3">
        <f>'[2]WHOLESALE-SUB'!$S$24/'[2]WHOLESALE-SUB'!$I$24*'[3]WHOLESALE SUB'!$R$26</f>
        <v>53212.605053739841</v>
      </c>
      <c r="S26" s="3"/>
      <c r="T26" s="3">
        <f>'[1]Energy Loss Factor'!$G$52*V26</f>
        <v>21520332.692135625</v>
      </c>
      <c r="V26" s="3">
        <f>'[2]WHOLESALE-SUB'!$S$24</f>
        <v>21397510.979115501</v>
      </c>
      <c r="X26" s="13">
        <f t="shared" si="0"/>
        <v>0.97828265251026114</v>
      </c>
      <c r="Y26" s="13"/>
      <c r="Z26" s="13">
        <v>0.52873800000000004</v>
      </c>
    </row>
    <row r="27" spans="1:26" ht="24.95" customHeight="1">
      <c r="A27" s="14">
        <v>6</v>
      </c>
      <c r="B27" s="14" t="s">
        <v>21</v>
      </c>
      <c r="D27" s="3">
        <f>'[1]Demand Loss Factor'!$G$52*F27</f>
        <v>76419.764247507454</v>
      </c>
      <c r="E27" s="3"/>
      <c r="F27" s="3">
        <f>'[2]WHOLESALE-SUB'!$S$26/'[2]WHOLESALE-SUB'!$I$26*'[3]WHOLESALE SUB'!$F$27</f>
        <v>75936.051598822945</v>
      </c>
      <c r="G27" s="3"/>
      <c r="H27" s="3">
        <f>'[1]Demand Loss Factor'!$G$52*J27</f>
        <v>71375.881585376483</v>
      </c>
      <c r="I27" s="3"/>
      <c r="J27" s="3">
        <f>'[2]WHOLESALE-SUB'!$S$26/'[2]WHOLESALE-SUB'!$I$26*'[3]WHOLESALE SUB'!$J$27</f>
        <v>70924.095099592087</v>
      </c>
      <c r="K27" s="3"/>
      <c r="L27" s="3">
        <f>'[1]Demand Loss Factor'!$G$52*N27</f>
        <v>69683.410241909718</v>
      </c>
      <c r="N27" s="3">
        <f>'[2]WHOLESALE-SUB'!$S$26/'[2]WHOLESALE-SUB'!$I$26*'[3]WHOLESALE SUB'!$N$27</f>
        <v>69242.336558035036</v>
      </c>
      <c r="O27" s="3"/>
      <c r="P27" s="3">
        <f>'[1]Demand Loss Factor'!$G$52*R27</f>
        <v>67577.977343696664</v>
      </c>
      <c r="R27" s="3">
        <f>'[2]WHOLESALE-SUB'!$S$26/'[2]WHOLESALE-SUB'!$I$26*'[3]WHOLESALE SUB'!$R$27</f>
        <v>67150.23037620027</v>
      </c>
      <c r="S27" s="3"/>
      <c r="T27" s="3">
        <f>'[1]Energy Loss Factor'!$G$52*V27</f>
        <v>30042445.262132179</v>
      </c>
      <c r="V27" s="3">
        <f>'[2]WHOLESALE-SUB'!$S$26</f>
        <v>29870985.8036194</v>
      </c>
      <c r="X27" s="13">
        <f t="shared" si="0"/>
        <v>0.97628790978305025</v>
      </c>
      <c r="Y27" s="13"/>
      <c r="Z27" s="13">
        <v>0.58495600000000003</v>
      </c>
    </row>
    <row r="28" spans="1:26" ht="24.95" customHeight="1">
      <c r="A28" s="14">
        <v>7</v>
      </c>
      <c r="B28" s="14" t="s">
        <v>22</v>
      </c>
      <c r="D28" s="3">
        <f>'[1]Demand Loss Factor'!$G$52*F28</f>
        <v>78287.696059199996</v>
      </c>
      <c r="E28" s="3"/>
      <c r="F28" s="3">
        <f>'[2]WHOLESALE-SUB'!$S$28/'[2]WHOLESALE-SUB'!$I$28*'[3]WHOLESALE SUB'!$F$28</f>
        <v>77792.160000000003</v>
      </c>
      <c r="G28" s="3"/>
      <c r="H28" s="3">
        <f>'[1]Demand Loss Factor'!$G$52*J28</f>
        <v>76121.73823943999</v>
      </c>
      <c r="I28" s="3"/>
      <c r="J28" s="3">
        <f>'[2]WHOLESALE-SUB'!$S$28/'[2]WHOLESALE-SUB'!$I$28*'[3]WHOLESALE SUB'!$J$28</f>
        <v>75639.911999999997</v>
      </c>
      <c r="K28" s="3"/>
      <c r="L28" s="3">
        <f>'[1]Demand Loss Factor'!$G$52*N28</f>
        <v>71436.218398500001</v>
      </c>
      <c r="N28" s="3">
        <f>'[2]WHOLESALE-SUB'!$S$28/'[2]WHOLESALE-SUB'!$I$28*'[3]WHOLESALE SUB'!$N$28</f>
        <v>70984.050000000003</v>
      </c>
      <c r="O28" s="3"/>
      <c r="P28" s="3">
        <f>'[1]Demand Loss Factor'!$G$52*R28</f>
        <v>75139.619743699994</v>
      </c>
      <c r="R28" s="3">
        <f>'[2]WHOLESALE-SUB'!$S$28/'[2]WHOLESALE-SUB'!$I$28*'[3]WHOLESALE SUB'!$R$28</f>
        <v>74664.009999999995</v>
      </c>
      <c r="S28" s="3"/>
      <c r="T28" s="3">
        <f>'[1]Energy Loss Factor'!$G$52*V28</f>
        <v>33597268.384470791</v>
      </c>
      <c r="V28" s="3">
        <f>'[2]WHOLESALE-SUB'!$S$28</f>
        <v>33405520.695677601</v>
      </c>
      <c r="X28" s="13">
        <f t="shared" si="0"/>
        <v>0.9384470198749042</v>
      </c>
      <c r="Y28" s="13"/>
      <c r="Z28" s="13">
        <v>0.59360049999999998</v>
      </c>
    </row>
    <row r="29" spans="1:26" ht="24.95" customHeight="1">
      <c r="A29" s="14">
        <v>8</v>
      </c>
      <c r="B29" s="14" t="s">
        <v>23</v>
      </c>
      <c r="D29" s="3">
        <f>'[1]Demand Loss Factor'!$G$52*F29</f>
        <v>95626.092559700002</v>
      </c>
      <c r="E29" s="3"/>
      <c r="F29" s="3">
        <f>'[2]WHOLESALE-SUB'!$S$30/'[2]WHOLESALE-SUB'!$I$30*'[3]WHOLESALE SUB'!$F$29</f>
        <v>95020.809999999998</v>
      </c>
      <c r="G29" s="3"/>
      <c r="H29" s="3">
        <f>'[1]Demand Loss Factor'!$G$52*J29</f>
        <v>82588.569209699999</v>
      </c>
      <c r="I29" s="3"/>
      <c r="J29" s="3">
        <f>'[2]WHOLESALE-SUB'!$S$30/'[2]WHOLESALE-SUB'!$I$30*'[3]WHOLESALE SUB'!$J$29</f>
        <v>82065.809999999998</v>
      </c>
      <c r="K29" s="3"/>
      <c r="L29" s="3">
        <f>'[1]Demand Loss Factor'!$G$52*N29</f>
        <v>74715.193259899999</v>
      </c>
      <c r="N29" s="3">
        <f>'[2]WHOLESALE-SUB'!$S$30/'[2]WHOLESALE-SUB'!$I$30*'[3]WHOLESALE SUB'!$N$29</f>
        <v>74242.270000000004</v>
      </c>
      <c r="O29" s="3"/>
      <c r="P29" s="3">
        <f>'[1]Demand Loss Factor'!$G$52*R29</f>
        <v>73315.886093400011</v>
      </c>
      <c r="R29" s="3">
        <f>'[2]WHOLESALE-SUB'!$S$30/'[2]WHOLESALE-SUB'!$I$30*'[3]WHOLESALE SUB'!$R$29</f>
        <v>72851.820000000007</v>
      </c>
      <c r="S29" s="3"/>
      <c r="T29" s="3">
        <f>'[1]Energy Loss Factor'!$G$52*V29</f>
        <v>35581342.799634434</v>
      </c>
      <c r="V29" s="3">
        <f>'[2]WHOLESALE-SUB'!$S$30</f>
        <v>35378271.5211033</v>
      </c>
      <c r="X29" s="13">
        <f t="shared" si="0"/>
        <v>0.90466748576538758</v>
      </c>
      <c r="Y29" s="13"/>
      <c r="Z29" s="13">
        <v>0.57943100000000003</v>
      </c>
    </row>
    <row r="30" spans="1:26" ht="24.95" customHeight="1">
      <c r="A30" s="14">
        <v>9</v>
      </c>
      <c r="B30" s="14" t="s">
        <v>24</v>
      </c>
      <c r="D30" s="3">
        <f>'[1]Demand Loss Factor'!$G$52*F30</f>
        <v>87682.200263999999</v>
      </c>
      <c r="E30" s="3"/>
      <c r="F30" s="3">
        <f>'[2]WHOLESALE-SUB'!$S$32/'[2]WHOLESALE-SUB'!$I$32*'[3]WHOLESALE SUB'!$F$30</f>
        <v>87127.199999999997</v>
      </c>
      <c r="G30" s="3"/>
      <c r="H30" s="3">
        <f>'[1]Demand Loss Factor'!$G$52*J30</f>
        <v>79395.316944899998</v>
      </c>
      <c r="I30" s="3"/>
      <c r="J30" s="3">
        <f>'[2]WHOLESALE-SUB'!$S$32/'[2]WHOLESALE-SUB'!$I$32*'[3]WHOLESALE SUB'!$J$30</f>
        <v>78892.770000000004</v>
      </c>
      <c r="K30" s="3"/>
      <c r="L30" s="3">
        <f>'[1]Demand Loss Factor'!$G$52*N30</f>
        <v>75928.110638699989</v>
      </c>
      <c r="N30" s="3">
        <f>'[2]WHOLESALE-SUB'!$S$32/'[2]WHOLESALE-SUB'!$I$32*'[3]WHOLESALE SUB'!$N$30</f>
        <v>75447.509999999995</v>
      </c>
      <c r="O30" s="3"/>
      <c r="P30" s="3">
        <f>'[1]Demand Loss Factor'!$G$52*R30</f>
        <v>76401.064283900007</v>
      </c>
      <c r="R30" s="3">
        <f>'[2]WHOLESALE-SUB'!$S$32/'[2]WHOLESALE-SUB'!$I$32*'[3]WHOLESALE SUB'!$R$30</f>
        <v>75917.470000000001</v>
      </c>
      <c r="S30" s="3"/>
      <c r="T30" s="3">
        <f>'[1]Energy Loss Factor'!$G$52*V30</f>
        <v>29444621.19421855</v>
      </c>
      <c r="V30" s="3">
        <f>'[2]WHOLESALE-SUB'!$S$32</f>
        <v>29276573.661402099</v>
      </c>
      <c r="X30" s="13">
        <f t="shared" si="0"/>
        <v>0.95632983858977183</v>
      </c>
      <c r="Y30" s="13"/>
      <c r="Z30" s="13">
        <v>0.51540699999999995</v>
      </c>
    </row>
    <row r="31" spans="1:26" ht="24.95" customHeight="1">
      <c r="A31" s="14">
        <v>10</v>
      </c>
      <c r="B31" s="14" t="s">
        <v>25</v>
      </c>
      <c r="D31" s="3">
        <f>'[1]Demand Loss Factor'!$G$52*F31</f>
        <v>67667.775360200001</v>
      </c>
      <c r="E31" s="3"/>
      <c r="F31" s="3">
        <f>'[2]WHOLESALE-SUB'!$S$34/'[2]WHOLESALE-SUB'!$I$34*'[3]WHOLESALE SUB'!$F$31</f>
        <v>67239.460000000006</v>
      </c>
      <c r="G31" s="3"/>
      <c r="H31" s="3">
        <f>'[1]Demand Loss Factor'!$G$52*J31</f>
        <v>56011.867192099999</v>
      </c>
      <c r="I31" s="3"/>
      <c r="J31" s="3">
        <f>'[2]WHOLESALE-SUB'!$S$34/'[2]WHOLESALE-SUB'!$I$34*'[3]WHOLESALE SUB'!$J$31</f>
        <v>55657.330000000002</v>
      </c>
      <c r="K31" s="3"/>
      <c r="L31" s="3">
        <f>'[1]Demand Loss Factor'!$G$52*N31</f>
        <v>55605.394349100003</v>
      </c>
      <c r="N31" s="3">
        <f>'[2]WHOLESALE-SUB'!$S$34/'[2]WHOLESALE-SUB'!$I$34*'[3]WHOLESALE SUB'!$N$31</f>
        <v>55253.43</v>
      </c>
      <c r="O31" s="3"/>
      <c r="P31" s="3">
        <f>'[1]Demand Loss Factor'!$G$52*R31</f>
        <v>55605.394349100003</v>
      </c>
      <c r="R31" s="3">
        <f>'[2]WHOLESALE-SUB'!$S$34/'[2]WHOLESALE-SUB'!$I$34*'[3]WHOLESALE SUB'!$R$31</f>
        <v>55253.43</v>
      </c>
      <c r="S31" s="3"/>
      <c r="T31" s="3">
        <f>'[1]Energy Loss Factor'!$G$52*V31</f>
        <v>22928738.125412967</v>
      </c>
      <c r="V31" s="3">
        <f>'[2]WHOLESALE-SUB'!$S$34</f>
        <v>22797878.303948302</v>
      </c>
      <c r="X31" s="13">
        <f t="shared" si="0"/>
        <v>0.99274309421598195</v>
      </c>
      <c r="Y31" s="13"/>
      <c r="Z31" s="13">
        <v>0.55055299999999996</v>
      </c>
    </row>
    <row r="32" spans="1:26" ht="24.95" customHeight="1">
      <c r="A32" s="14">
        <v>11</v>
      </c>
      <c r="B32" s="14" t="s">
        <v>26</v>
      </c>
      <c r="D32" s="3">
        <f>'[1]Demand Loss Factor'!$G$52*F32</f>
        <v>59101.0104804</v>
      </c>
      <c r="E32" s="3"/>
      <c r="F32" s="3">
        <f>'[2]WHOLESALE-SUB'!$S$36/'[2]WHOLESALE-SUB'!$I$36*'[3]WHOLESALE SUB'!$F$32</f>
        <v>58726.919999999998</v>
      </c>
      <c r="G32" s="3"/>
      <c r="H32" s="3">
        <f>'[1]Demand Loss Factor'!$G$52*J32</f>
        <v>46784.7726368</v>
      </c>
      <c r="I32" s="3"/>
      <c r="J32" s="3">
        <f>'[2]WHOLESALE-SUB'!$S$36/'[2]WHOLESALE-SUB'!$I$36*'[3]WHOLESALE SUB'!$J$32</f>
        <v>46488.639999999999</v>
      </c>
      <c r="K32" s="3"/>
      <c r="L32" s="3">
        <f>'[1]Demand Loss Factor'!$G$52*N32</f>
        <v>46423.526061600001</v>
      </c>
      <c r="N32" s="3">
        <f>'[2]WHOLESALE-SUB'!$S$36/'[2]WHOLESALE-SUB'!$I$36*'[3]WHOLESALE SUB'!$N$32</f>
        <v>46129.68</v>
      </c>
      <c r="O32" s="3"/>
      <c r="P32" s="3">
        <f>'[1]Demand Loss Factor'!$G$52*R32</f>
        <v>32355.922634399998</v>
      </c>
      <c r="R32" s="3">
        <f>'[2]WHOLESALE-SUB'!$S$36/'[2]WHOLESALE-SUB'!$I$36*'[3]WHOLESALE SUB'!$R$32</f>
        <v>32151.119999999999</v>
      </c>
      <c r="S32" s="3"/>
      <c r="T32" s="3">
        <f>'[1]Energy Loss Factor'!$G$52*V32</f>
        <v>21705358.332998369</v>
      </c>
      <c r="V32" s="3">
        <f>'[2]WHOLESALE-SUB'!$S$36</f>
        <v>21581480.634158298</v>
      </c>
      <c r="X32" s="13">
        <f t="shared" si="0"/>
        <v>0.99227854374746172</v>
      </c>
      <c r="Y32" s="13"/>
      <c r="Z32" s="13">
        <v>0.64387000000000005</v>
      </c>
    </row>
    <row r="33" spans="1:26" ht="24.95" customHeight="1" thickBot="1">
      <c r="A33" s="14">
        <v>12</v>
      </c>
      <c r="B33" s="14" t="s">
        <v>27</v>
      </c>
      <c r="D33" s="3">
        <f>'[1]Demand Loss Factor'!$G$52*F33</f>
        <v>69396.578128400011</v>
      </c>
      <c r="E33" s="3"/>
      <c r="F33" s="3">
        <f>'[2]WHOLESALE-SUB'!$S$38/'[2]WHOLESALE-SUB'!$I$38*'[3]WHOLESALE SUB'!$F$33</f>
        <v>68957.320000000007</v>
      </c>
      <c r="G33" s="3"/>
      <c r="H33" s="3">
        <f>'[1]Demand Loss Factor'!$G$52*J33</f>
        <v>57640.1939795</v>
      </c>
      <c r="I33" s="3"/>
      <c r="J33" s="3">
        <f>'[2]WHOLESALE-SUB'!$S$38/'[2]WHOLESALE-SUB'!$I$38*'[3]WHOLESALE SUB'!$J$33</f>
        <v>57275.349999999999</v>
      </c>
      <c r="K33" s="3"/>
      <c r="L33" s="3">
        <f>'[1]Demand Loss Factor'!$G$52*N33</f>
        <v>54485.4353672</v>
      </c>
      <c r="N33" s="3">
        <f>'[2]WHOLESALE-SUB'!$S$38/'[2]WHOLESALE-SUB'!$I$38*'[3]WHOLESALE SUB'!$N$33</f>
        <v>54140.559999999998</v>
      </c>
      <c r="O33" s="3"/>
      <c r="P33" s="3">
        <f>'[1]Demand Loss Factor'!$G$52*R33</f>
        <v>36685.225737399996</v>
      </c>
      <c r="Q33" s="15"/>
      <c r="R33" s="3">
        <f>'[2]WHOLESALE-SUB'!$S$38/'[2]WHOLESALE-SUB'!$I$38*'[3]WHOLESALE SUB'!$R$33</f>
        <v>36453.019999999997</v>
      </c>
      <c r="S33" s="3"/>
      <c r="T33" s="16">
        <f>'[1]Energy Loss Factor'!$G$52*V33</f>
        <v>23306432.031512652</v>
      </c>
      <c r="V33" s="16">
        <f>'[2]WHOLESALE-SUB'!$S$38</f>
        <v>23173416.620113201</v>
      </c>
      <c r="X33" s="13">
        <f t="shared" si="0"/>
        <v>0.94526807780310373</v>
      </c>
      <c r="Y33" s="13"/>
      <c r="Z33" s="13">
        <v>0.54381299999999999</v>
      </c>
    </row>
    <row r="34" spans="1:22" ht="24.95" customHeight="1" thickTop="1">
      <c r="A34" s="14">
        <v>13</v>
      </c>
      <c r="E34" s="3"/>
      <c r="G34" s="3"/>
      <c r="I34" s="3"/>
      <c r="K34" s="3"/>
      <c r="O34" s="3"/>
      <c r="S34" s="3"/>
      <c r="T34" s="15">
        <f>+SUM(T22:T33)</f>
        <v>322668145.99366695</v>
      </c>
      <c r="U34" s="15"/>
      <c r="V34" s="15">
        <f>SUM(V22:V33)</f>
        <v>320826601.30219233</v>
      </c>
    </row>
    <row r="35" spans="1:22" ht="24.95" customHeight="1">
      <c r="A35" s="14"/>
      <c r="E35" s="3"/>
      <c r="G35" s="3"/>
      <c r="I35" s="3"/>
      <c r="K35" s="3"/>
      <c r="O35" s="3"/>
      <c r="S35" s="3"/>
      <c r="T35" s="15"/>
      <c r="U35" s="15"/>
      <c r="V35" s="15"/>
    </row>
    <row r="36" spans="1:22" ht="18.75" customHeight="1">
      <c r="A36" s="14"/>
      <c r="E36" s="3"/>
      <c r="G36" s="3"/>
      <c r="I36" s="3"/>
      <c r="K36" s="3"/>
      <c r="O36" s="3"/>
      <c r="S36" s="3"/>
      <c r="T36" s="15"/>
      <c r="U36" s="15"/>
      <c r="V36" s="15"/>
    </row>
    <row r="37" spans="1:19" ht="15" customHeight="1">
      <c r="A37" s="2" t="s">
        <v>55</v>
      </c>
      <c r="E37" s="3"/>
      <c r="G37" s="3"/>
      <c r="I37" s="3"/>
      <c r="K37" s="3"/>
      <c r="O37" s="3"/>
      <c r="S37" s="3"/>
    </row>
    <row r="38" spans="1:19" ht="15" customHeight="1">
      <c r="A38" s="2" t="s">
        <v>28</v>
      </c>
      <c r="E38" s="3"/>
      <c r="G38" s="3"/>
      <c r="I38" s="3"/>
      <c r="K38" s="3"/>
      <c r="O38" s="3"/>
      <c r="S38" s="3"/>
    </row>
    <row r="39" spans="1:19" ht="15" customHeight="1">
      <c r="A39" s="4" t="s">
        <v>29</v>
      </c>
      <c r="E39" s="3"/>
      <c r="G39" s="3"/>
      <c r="I39" s="3"/>
      <c r="K39" s="3"/>
      <c r="O39" s="3"/>
      <c r="S39" s="3"/>
    </row>
  </sheetData>
  <pageMargins left="0.5" right="1" top="1.5" bottom="0.5" header="0.5" footer="0.5"/>
  <pageSetup orientation="landscape" scale="5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A1:Z39"/>
  <sheetViews>
    <sheetView zoomScale="75" zoomScaleNormal="75" workbookViewId="0" topLeftCell="A1">
      <selection pane="topLeft" activeCell="J37" sqref="J37"/>
    </sheetView>
  </sheetViews>
  <sheetFormatPr defaultColWidth="9.14428571428571" defaultRowHeight="18.75" customHeight="1"/>
  <cols>
    <col min="1" max="1" width="4.71428571428571" style="2" customWidth="1"/>
    <col min="2" max="3" width="7.71428571428571" style="2" customWidth="1"/>
    <col min="4" max="4" width="20.5714285714286" style="3" customWidth="1"/>
    <col min="5" max="5" width="2.71428571428571" style="2" customWidth="1"/>
    <col min="6" max="6" width="20.8571428571429" style="3" customWidth="1"/>
    <col min="7" max="7" width="5.71428571428571" style="2" customWidth="1"/>
    <col min="8" max="8" width="13.8571428571429" style="3" customWidth="1"/>
    <col min="9" max="9" width="2.71428571428571" style="2" customWidth="1"/>
    <col min="10" max="10" width="14.8571428571429" style="3" customWidth="1"/>
    <col min="11" max="11" width="5.71428571428571" style="2" customWidth="1"/>
    <col min="12" max="12" width="12.7142857142857" style="3" customWidth="1"/>
    <col min="13" max="13" width="2.71428571428571" style="3" customWidth="1"/>
    <col min="14" max="14" width="13.2857142857143" style="3" customWidth="1"/>
    <col min="15" max="15" width="5.71428571428571" style="2" customWidth="1"/>
    <col min="16" max="16" width="12.7142857142857" style="3" customWidth="1"/>
    <col min="17" max="17" width="2.71428571428571" style="3" customWidth="1"/>
    <col min="18" max="18" width="13.8571428571429" style="3" customWidth="1"/>
    <col min="19" max="19" width="5.71428571428571" style="2" customWidth="1"/>
    <col min="20" max="20" width="17.7142857142857" style="3" customWidth="1"/>
    <col min="21" max="21" width="2.71428571428571" style="3" customWidth="1"/>
    <col min="22" max="22" width="17.7142857142857" style="3" customWidth="1"/>
    <col min="23" max="23" width="3.71428571428571" style="2" customWidth="1"/>
    <col min="24" max="24" width="10.2857142857143" style="2" customWidth="1"/>
    <col min="25" max="25" width="1.71428571428571" style="2" customWidth="1"/>
    <col min="26" max="26" width="9.71428571428571" style="2" customWidth="1"/>
    <col min="27" max="16384" width="9.14285714285714" style="2"/>
  </cols>
  <sheetData>
    <row r="1" spans="1:22" ht="18.75" customHeight="1">
      <c r="A1" s="6"/>
      <c r="V1" s="2" t="s">
        <v>63</v>
      </c>
    </row>
    <row r="2" spans="22:22" ht="18.75" customHeight="1">
      <c r="V2" s="2" t="s">
        <v>76</v>
      </c>
    </row>
    <row r="7" spans="1:26" ht="18.75" customHeight="1">
      <c r="A7" s="7" t="s">
        <v>77</v>
      </c>
      <c r="B7" s="8"/>
      <c r="C7" s="8"/>
      <c r="D7" s="8"/>
      <c r="E7" s="8"/>
      <c r="F7" s="9"/>
      <c r="G7" s="8"/>
      <c r="H7" s="8"/>
      <c r="I7" s="8"/>
      <c r="J7" s="10"/>
      <c r="K7" s="7"/>
      <c r="L7" s="7"/>
      <c r="M7" s="8"/>
      <c r="N7" s="7"/>
      <c r="O7" s="9"/>
      <c r="P7" s="8"/>
      <c r="Q7" s="8"/>
      <c r="R7" s="9"/>
      <c r="S7" s="8"/>
      <c r="T7" s="8"/>
      <c r="U7" s="8"/>
      <c r="V7" s="8"/>
      <c r="W7" s="8"/>
      <c r="X7" s="8"/>
      <c r="Y7" s="8"/>
      <c r="Z7" s="8"/>
    </row>
    <row r="8" spans="1:26" ht="18" customHeight="1">
      <c r="A8" s="7" t="s">
        <v>40</v>
      </c>
      <c r="B8" s="8"/>
      <c r="C8" s="8"/>
      <c r="D8" s="8"/>
      <c r="E8" s="8"/>
      <c r="F8" s="9"/>
      <c r="G8" s="8"/>
      <c r="H8" s="8"/>
      <c r="I8" s="8"/>
      <c r="J8" s="10"/>
      <c r="K8" s="7"/>
      <c r="L8" s="10"/>
      <c r="M8" s="9"/>
      <c r="N8" s="7"/>
      <c r="O8" s="10"/>
      <c r="P8" s="8"/>
      <c r="Q8" s="8"/>
      <c r="R8" s="10"/>
      <c r="S8" s="7"/>
      <c r="T8" s="8"/>
      <c r="U8" s="8"/>
      <c r="V8" s="8"/>
      <c r="W8" s="8"/>
      <c r="X8" s="8"/>
      <c r="Y8" s="8"/>
      <c r="Z8" s="8"/>
    </row>
    <row r="9" spans="1:26" ht="18" customHeight="1">
      <c r="A9" s="7" t="s">
        <v>45</v>
      </c>
      <c r="B9" s="8"/>
      <c r="C9" s="8"/>
      <c r="D9" s="8"/>
      <c r="E9" s="8"/>
      <c r="F9" s="9"/>
      <c r="G9" s="7"/>
      <c r="H9" s="8"/>
      <c r="I9" s="8"/>
      <c r="J9" s="10"/>
      <c r="K9" s="7"/>
      <c r="L9" s="7"/>
      <c r="M9" s="9"/>
      <c r="N9" s="9"/>
      <c r="O9" s="9"/>
      <c r="P9" s="8"/>
      <c r="Q9" s="7"/>
      <c r="R9" s="10"/>
      <c r="S9" s="7"/>
      <c r="T9" s="8"/>
      <c r="U9" s="8"/>
      <c r="V9" s="8"/>
      <c r="W9" s="8"/>
      <c r="X9" s="8"/>
      <c r="Y9" s="8"/>
      <c r="Z9" s="8"/>
    </row>
    <row r="10" spans="1:26" ht="18" customHeight="1">
      <c r="A10" s="7" t="s">
        <v>79</v>
      </c>
      <c r="B10" s="8"/>
      <c r="C10" s="8"/>
      <c r="D10" s="8"/>
      <c r="E10" s="8"/>
      <c r="F10" s="8"/>
      <c r="G10" s="7"/>
      <c r="H10" s="8"/>
      <c r="I10" s="8"/>
      <c r="J10" s="7"/>
      <c r="K10" s="7"/>
      <c r="L10" s="10"/>
      <c r="M10" s="9"/>
      <c r="N10" s="9"/>
      <c r="O10" s="9"/>
      <c r="P10" s="8"/>
      <c r="Q10" s="7"/>
      <c r="R10" s="10"/>
      <c r="S10" s="7"/>
      <c r="T10" s="8"/>
      <c r="U10" s="8"/>
      <c r="V10" s="8"/>
      <c r="W10" s="8"/>
      <c r="X10" s="8"/>
      <c r="Y10" s="8"/>
      <c r="Z10" s="8"/>
    </row>
    <row r="11" spans="1:26" ht="18" customHeight="1">
      <c r="A11" s="8"/>
      <c r="B11" s="8"/>
      <c r="C11" s="8"/>
      <c r="D11" s="8"/>
      <c r="E11" s="8"/>
      <c r="F11" s="9"/>
      <c r="G11" s="8"/>
      <c r="H11" s="8"/>
      <c r="I11" s="8"/>
      <c r="J11" s="10"/>
      <c r="K11" s="7"/>
      <c r="L11" s="10"/>
      <c r="M11" s="9"/>
      <c r="N11" s="9"/>
      <c r="O11" s="9"/>
      <c r="P11" s="8"/>
      <c r="Q11" s="8"/>
      <c r="R11" s="9"/>
      <c r="S11" s="8"/>
      <c r="T11" s="8"/>
      <c r="U11" s="8"/>
      <c r="V11" s="8"/>
      <c r="W11" s="8"/>
      <c r="X11" s="8"/>
      <c r="Y11" s="8"/>
      <c r="Z11" s="8"/>
    </row>
    <row r="12" spans="1:26" ht="18.75" customHeight="1">
      <c r="A12" s="7" t="s">
        <v>43</v>
      </c>
      <c r="B12" s="8"/>
      <c r="C12" s="8"/>
      <c r="D12" s="8"/>
      <c r="E12" s="8"/>
      <c r="F12" s="9"/>
      <c r="G12" s="8"/>
      <c r="H12" s="8"/>
      <c r="I12" s="8"/>
      <c r="J12" s="10"/>
      <c r="K12" s="7"/>
      <c r="L12" s="10"/>
      <c r="M12" s="9"/>
      <c r="N12" s="10"/>
      <c r="O12" s="10"/>
      <c r="P12" s="8"/>
      <c r="Q12" s="8"/>
      <c r="R12" s="9"/>
      <c r="S12" s="8"/>
      <c r="T12" s="8"/>
      <c r="U12" s="8"/>
      <c r="V12" s="8"/>
      <c r="W12" s="8"/>
      <c r="X12" s="8"/>
      <c r="Y12" s="8"/>
      <c r="Z12" s="8"/>
    </row>
    <row r="13" spans="1:26" ht="18.75" customHeight="1">
      <c r="A13" s="8"/>
      <c r="B13" s="8"/>
      <c r="C13" s="8"/>
      <c r="D13" s="8"/>
      <c r="E13" s="8"/>
      <c r="F13" s="9"/>
      <c r="G13" s="8"/>
      <c r="H13" s="8"/>
      <c r="I13" s="8"/>
      <c r="J13" s="9"/>
      <c r="K13" s="8"/>
      <c r="L13" s="8"/>
      <c r="M13" s="9"/>
      <c r="N13" s="8"/>
      <c r="O13" s="10"/>
      <c r="P13" s="8"/>
      <c r="Q13" s="8"/>
      <c r="R13" s="9"/>
      <c r="S13" s="8"/>
      <c r="T13" s="8"/>
      <c r="U13" s="8"/>
      <c r="V13" s="8"/>
      <c r="W13" s="8"/>
      <c r="X13" s="8"/>
      <c r="Y13" s="8"/>
      <c r="Z13" s="8"/>
    </row>
    <row r="14" spans="1:1" ht="18.75" customHeight="1">
      <c r="A14" s="2" t="s">
        <v>46</v>
      </c>
    </row>
    <row r="15" spans="1:1" ht="18.75" customHeight="1">
      <c r="A15" s="2" t="s">
        <v>39</v>
      </c>
    </row>
    <row r="17" spans="4:26" ht="15" customHeight="1">
      <c r="D17" s="4" t="s">
        <v>48</v>
      </c>
      <c r="E17" s="4"/>
      <c r="F17" s="4" t="s">
        <v>49</v>
      </c>
      <c r="G17" s="4"/>
      <c r="H17" s="4" t="s">
        <v>62</v>
      </c>
      <c r="I17" s="4"/>
      <c r="J17" s="4" t="s">
        <v>38</v>
      </c>
      <c r="K17" s="4"/>
      <c r="L17" s="4" t="s">
        <v>67</v>
      </c>
      <c r="M17" s="4"/>
      <c r="N17" s="4" t="s">
        <v>44</v>
      </c>
      <c r="O17" s="4"/>
      <c r="P17" s="4" t="s">
        <v>65</v>
      </c>
      <c r="Q17" s="4"/>
      <c r="R17" s="4" t="s">
        <v>66</v>
      </c>
      <c r="S17" s="4"/>
      <c r="T17" s="4" t="s">
        <v>61</v>
      </c>
      <c r="U17" s="4"/>
      <c r="V17" s="4" t="s">
        <v>54</v>
      </c>
      <c r="W17" s="4"/>
      <c r="X17" s="4" t="s">
        <v>57</v>
      </c>
      <c r="Y17" s="4"/>
      <c r="Z17" s="4" t="s">
        <v>58</v>
      </c>
    </row>
    <row r="18" spans="4:6" s="4" customFormat="1" ht="18.75" customHeight="1">
      <c r="D18" s="4" t="s">
        <v>50</v>
      </c>
      <c r="F18" s="4" t="s">
        <v>50</v>
      </c>
    </row>
    <row r="19" spans="1:24" ht="18.75" customHeight="1">
      <c r="A19" s="2" t="s">
        <v>2</v>
      </c>
      <c r="D19" s="3" t="s">
        <v>52</v>
      </c>
      <c r="F19" s="3" t="s">
        <v>52</v>
      </c>
      <c r="H19" s="3" t="s">
        <v>6</v>
      </c>
      <c r="I19" s="3"/>
      <c r="J19" s="3" t="s">
        <v>56</v>
      </c>
      <c r="L19" s="3" t="s">
        <v>4</v>
      </c>
      <c r="M19" s="2" t="s">
        <v>5</v>
      </c>
      <c r="N19" s="3" t="s">
        <v>4</v>
      </c>
      <c r="P19" s="3" t="s">
        <v>3</v>
      </c>
      <c r="R19" s="3" t="s">
        <v>3</v>
      </c>
      <c r="T19" s="3" t="s">
        <v>7</v>
      </c>
      <c r="V19" s="3" t="s">
        <v>8</v>
      </c>
      <c r="X19" s="2" t="s">
        <v>59</v>
      </c>
    </row>
    <row r="20" spans="1:26" ht="18.75" customHeight="1">
      <c r="A20" s="11" t="s">
        <v>9</v>
      </c>
      <c r="B20" s="11" t="s">
        <v>10</v>
      </c>
      <c r="D20" s="5" t="s">
        <v>51</v>
      </c>
      <c r="F20" s="5" t="s">
        <v>53</v>
      </c>
      <c r="H20" s="5" t="s">
        <v>11</v>
      </c>
      <c r="I20" s="3"/>
      <c r="J20" s="5" t="s">
        <v>12</v>
      </c>
      <c r="L20" s="5" t="s">
        <v>11</v>
      </c>
      <c r="M20" s="2"/>
      <c r="N20" s="5" t="s">
        <v>12</v>
      </c>
      <c r="P20" s="5" t="s">
        <v>11</v>
      </c>
      <c r="R20" s="5" t="s">
        <v>12</v>
      </c>
      <c r="T20" s="5" t="s">
        <v>13</v>
      </c>
      <c r="V20" s="5" t="s">
        <v>14</v>
      </c>
      <c r="X20" s="12" t="s">
        <v>15</v>
      </c>
      <c r="Z20" s="12" t="s">
        <v>60</v>
      </c>
    </row>
    <row r="21" spans="4:22" ht="18" customHeight="1">
      <c r="D21" s="2"/>
      <c r="F21" s="2"/>
      <c r="H21" s="2"/>
      <c r="J21" s="2"/>
      <c r="L21" s="2"/>
      <c r="M21" s="2"/>
      <c r="N21" s="2"/>
      <c r="P21" s="2"/>
      <c r="Q21" s="2"/>
      <c r="R21" s="2"/>
      <c r="T21" s="2"/>
      <c r="U21" s="2"/>
      <c r="V21" s="2"/>
    </row>
    <row r="22" spans="1:26" ht="24.95" customHeight="1">
      <c r="A22" s="14">
        <v>1</v>
      </c>
      <c r="B22" s="14" t="s">
        <v>16</v>
      </c>
      <c r="D22" s="3">
        <f>'[1]Demand Loss Factor'!$G$53*F22</f>
        <v>106943.26545175606</v>
      </c>
      <c r="E22" s="3"/>
      <c r="F22" s="3">
        <f>'[2]WHOLESALE-DLS'!$S$16/'[2]WHOLESALE-DLS'!$I$16*'[3]WHOLESALE DLS'!$F$22</f>
        <v>104826.03903351686</v>
      </c>
      <c r="G22" s="3"/>
      <c r="H22" s="3">
        <f>'[1]Demand Loss Factor'!$G$53*J22</f>
        <v>84908.046958819206</v>
      </c>
      <c r="I22" s="3"/>
      <c r="J22" s="3">
        <f>'[2]WHOLESALE-DLS'!$S$16/'[2]WHOLESALE-DLS'!$I$16*'[3]WHOLESALE DLS'!$J$22</f>
        <v>83227.066306293651</v>
      </c>
      <c r="K22" s="3"/>
      <c r="L22" s="3">
        <f>'[1]Demand Loss Factor'!$G$53*N22</f>
        <v>81353.811630700744</v>
      </c>
      <c r="N22" s="3">
        <f>'[2]WHOLESALE-DLS'!$S$16/'[2]WHOLESALE-DLS'!$I$16*'[3]WHOLESALE DLS'!$N$22</f>
        <v>79743.196521078178</v>
      </c>
      <c r="O22" s="3"/>
      <c r="P22" s="3">
        <f>'[1]Demand Loss Factor'!$G$53*R22</f>
        <v>81738.19689907592</v>
      </c>
      <c r="R22" s="3">
        <f>'[2]WHOLESALE-DLS'!$S$16/'[2]WHOLESALE-DLS'!$I$16*'[3]WHOLESALE DLS'!$R$22</f>
        <v>80119.971860566788</v>
      </c>
      <c r="S22" s="3"/>
      <c r="T22" s="3">
        <f>'[1]Energy Loss Factor'!$G$53*V22</f>
        <v>38825084.410967246</v>
      </c>
      <c r="V22" s="3">
        <f>'[2]WHOLESALE-DLS'!$S$16</f>
        <v>38248932.712886952</v>
      </c>
      <c r="X22" s="13">
        <v>0.95814018275744495</v>
      </c>
      <c r="Y22" s="13"/>
      <c r="Z22" s="13">
        <v>0.61770999999999998</v>
      </c>
    </row>
    <row r="23" spans="1:26" ht="24.95" customHeight="1">
      <c r="A23" s="14">
        <v>2</v>
      </c>
      <c r="B23" s="14" t="s">
        <v>17</v>
      </c>
      <c r="D23" s="3">
        <f>'[1]Demand Loss Factor'!$G$53*F23</f>
        <v>182670.90153695535</v>
      </c>
      <c r="E23" s="3"/>
      <c r="F23" s="3">
        <f>'[2]WHOLESALE-DLS'!$S$18/'[2]WHOLESALE-DLS'!$I$18*'[3]WHOLESALE DLS'!$F$23</f>
        <v>179054.44512014542</v>
      </c>
      <c r="G23" s="3"/>
      <c r="H23" s="3">
        <f>'[1]Demand Loss Factor'!$G$53*J23</f>
        <v>127209.27191001845</v>
      </c>
      <c r="I23" s="3"/>
      <c r="J23" s="3">
        <f>'[2]WHOLESALE-DLS'!$S$18/'[2]WHOLESALE-DLS'!$I$18*'[3]WHOLESALE DLS'!$J$23</f>
        <v>124690.82598455375</v>
      </c>
      <c r="K23" s="3"/>
      <c r="L23" s="3">
        <f>'[1]Demand Loss Factor'!$G$53*N23</f>
        <v>121426.5388710383</v>
      </c>
      <c r="N23" s="3">
        <f>'[2]WHOLESALE-DLS'!$S$18/'[2]WHOLESALE-DLS'!$I$18*'[3]WHOLESALE DLS'!$N$23</f>
        <v>119022.57752866572</v>
      </c>
      <c r="O23" s="3"/>
      <c r="P23" s="3">
        <f>'[1]Demand Loss Factor'!$G$53*R23</f>
        <v>121886.05823947834</v>
      </c>
      <c r="R23" s="3">
        <f>'[2]WHOLESALE-DLS'!$S$18/'[2]WHOLESALE-DLS'!$I$18*'[3]WHOLESALE DLS'!$R$23</f>
        <v>119472.999488845</v>
      </c>
      <c r="S23" s="3"/>
      <c r="T23" s="3">
        <f>'[1]Energy Loss Factor'!$G$53*V23</f>
        <v>42248809.712877527</v>
      </c>
      <c r="V23" s="3">
        <f>'[2]WHOLESALE-DLS'!$S$18</f>
        <v>41621851.038421445</v>
      </c>
      <c r="X23" s="13">
        <v>0.95454157584463994</v>
      </c>
      <c r="Y23" s="13"/>
      <c r="Z23" s="13">
        <v>0.49672670000000002</v>
      </c>
    </row>
    <row r="24" spans="1:26" ht="24.95" customHeight="1">
      <c r="A24" s="14">
        <v>3</v>
      </c>
      <c r="B24" s="14" t="s">
        <v>18</v>
      </c>
      <c r="D24" s="3">
        <f>'[1]Demand Loss Factor'!$G$53*F24</f>
        <v>81794.159023121174</v>
      </c>
      <c r="E24" s="3"/>
      <c r="F24" s="3">
        <f>'[2]WHOLESALE-DLS'!$S$20/'[2]WHOLESALE-DLS'!$I$20*'[3]WHOLESALE DLS'!$F$24</f>
        <v>80174.826065502319</v>
      </c>
      <c r="G24" s="3"/>
      <c r="H24" s="3">
        <f>'[1]Demand Loss Factor'!$G$53*J24</f>
        <v>65877.270819818295</v>
      </c>
      <c r="I24" s="3"/>
      <c r="J24" s="3">
        <f>'[2]WHOLESALE-DLS'!$S$20/'[2]WHOLESALE-DLS'!$I$20*'[3]WHOLESALE DLS'!$J$24</f>
        <v>64573.055004525675</v>
      </c>
      <c r="K24" s="3"/>
      <c r="L24" s="3">
        <f>'[1]Demand Loss Factor'!$G$53*N24</f>
        <v>65614.277379932624</v>
      </c>
      <c r="N24" s="3">
        <f>'[2]WHOLESALE-DLS'!$S$20/'[2]WHOLESALE-DLS'!$I$20*'[3]WHOLESALE DLS'!$N$24</f>
        <v>64315.268219368547</v>
      </c>
      <c r="O24" s="3"/>
      <c r="P24" s="3">
        <f>'[1]Demand Loss Factor'!$G$53*R24</f>
        <v>40307.015029425987</v>
      </c>
      <c r="R24" s="3">
        <f>'[2]WHOLESALE-DLS'!$S$20/'[2]WHOLESALE-DLS'!$I$20*'[3]WHOLESALE DLS'!$R$24</f>
        <v>39509.030446664554</v>
      </c>
      <c r="S24" s="3"/>
      <c r="T24" s="3">
        <f>'[1]Energy Loss Factor'!$G$53*V24</f>
        <v>27090294.81375936</v>
      </c>
      <c r="V24" s="3">
        <f>'[2]WHOLESALE-DLS'!$S$20</f>
        <v>26688283.598710094</v>
      </c>
      <c r="X24" s="13">
        <v>0.99600782733387694</v>
      </c>
      <c r="Y24" s="13"/>
      <c r="Z24" s="13">
        <v>0.55625999999999998</v>
      </c>
    </row>
    <row r="25" spans="1:26" ht="24.95" customHeight="1">
      <c r="A25" s="14">
        <v>4</v>
      </c>
      <c r="B25" s="14" t="s">
        <v>19</v>
      </c>
      <c r="D25" s="3">
        <f>'[1]Demand Loss Factor'!$G$53*F25</f>
        <v>77785.16922189387</v>
      </c>
      <c r="E25" s="3"/>
      <c r="F25" s="3">
        <f>'[2]WHOLESALE-DLS'!$S$22/'[2]WHOLESALE-DLS'!$I$22*'[3]WHOLESALE DLS'!$F$25</f>
        <v>76245.204881660655</v>
      </c>
      <c r="G25" s="3"/>
      <c r="H25" s="3">
        <f>'[1]Demand Loss Factor'!$G$53*J25</f>
        <v>55369.759670766143</v>
      </c>
      <c r="I25" s="3"/>
      <c r="J25" s="3">
        <f>'[2]WHOLESALE-DLS'!$S$22/'[2]WHOLESALE-DLS'!$I$22*'[3]WHOLESALE DLS'!$J$25</f>
        <v>54273.567989585565</v>
      </c>
      <c r="K25" s="3"/>
      <c r="L25" s="3">
        <f>'[1]Demand Loss Factor'!$G$53*N25</f>
        <v>46950.88798169489</v>
      </c>
      <c r="N25" s="3">
        <f>'[2]WHOLESALE-DLS'!$S$22/'[2]WHOLESALE-DLS'!$I$22*'[3]WHOLESALE DLS'!$N$25</f>
        <v>46021.370260548843</v>
      </c>
      <c r="O25" s="3"/>
      <c r="P25" s="3">
        <f>'[1]Demand Loss Factor'!$G$53*R25</f>
        <v>41445.056540155689</v>
      </c>
      <c r="R25" s="3">
        <f>'[2]WHOLESALE-DLS'!$S$22/'[2]WHOLESALE-DLS'!$I$22*'[3]WHOLESALE DLS'!$R$25</f>
        <v>40624.541398397465</v>
      </c>
      <c r="S25" s="3"/>
      <c r="T25" s="3">
        <f>'[1]Energy Loss Factor'!$G$53*V25</f>
        <v>24769626.650727484</v>
      </c>
      <c r="V25" s="3">
        <f>'[2]WHOLESALE-DLS'!$S$22</f>
        <v>24402053.400800426</v>
      </c>
      <c r="X25" s="13">
        <v>0.84795181089586336</v>
      </c>
      <c r="Y25" s="13"/>
      <c r="Z25" s="13">
        <v>0.62446000000000002</v>
      </c>
    </row>
    <row r="26" spans="1:26" ht="24.95" customHeight="1">
      <c r="A26" s="14">
        <v>5</v>
      </c>
      <c r="B26" s="14" t="s">
        <v>20</v>
      </c>
      <c r="D26" s="3">
        <f>'[1]Demand Loss Factor'!$G$53*F26</f>
        <v>80408.331470547098</v>
      </c>
      <c r="E26" s="3"/>
      <c r="F26" s="3">
        <f>'[2]WHOLESALE-DLS'!$S$24/'[2]WHOLESALE-DLS'!$I$24*'[3]WHOLESALE DLS'!$F$26</f>
        <v>78816.434655756311</v>
      </c>
      <c r="G26" s="3"/>
      <c r="H26" s="3">
        <f>'[1]Demand Loss Factor'!$G$53*J26</f>
        <v>68309.095939559236</v>
      </c>
      <c r="I26" s="3"/>
      <c r="J26" s="3">
        <f>'[2]WHOLESALE-DLS'!$S$24/'[2]WHOLESALE-DLS'!$I$24*'[3]WHOLESALE DLS'!$J$26</f>
        <v>66956.735677149685</v>
      </c>
      <c r="K26" s="3"/>
      <c r="L26" s="3">
        <f>'[1]Demand Loss Factor'!$G$53*N26</f>
        <v>62873.205483831916</v>
      </c>
      <c r="N26" s="3">
        <f>'[2]WHOLESALE-DLS'!$S$24/'[2]WHOLESALE-DLS'!$I$24*'[3]WHOLESALE DLS'!$N$26</f>
        <v>61628.463132946796</v>
      </c>
      <c r="O26" s="3"/>
      <c r="P26" s="3">
        <f>'[1]Demand Loss Factor'!$G$53*R26</f>
        <v>62873.205483831916</v>
      </c>
      <c r="R26" s="3">
        <f>'[2]WHOLESALE-DLS'!$S$24/'[2]WHOLESALE-DLS'!$I$24*'[3]WHOLESALE DLS'!$R$26</f>
        <v>61628.463132946796</v>
      </c>
      <c r="S26" s="3"/>
      <c r="T26" s="3">
        <f>'[1]Energy Loss Factor'!$G$53*V26</f>
        <v>27451810.712846175</v>
      </c>
      <c r="V26" s="3">
        <f>'[2]WHOLESALE-DLS'!$S$24</f>
        <v>27044434.718755167</v>
      </c>
      <c r="X26" s="13">
        <v>0.92042215782599335</v>
      </c>
      <c r="Y26" s="13"/>
      <c r="Z26" s="13">
        <v>0.54288899999999995</v>
      </c>
    </row>
    <row r="27" spans="1:26" ht="24.95" customHeight="1">
      <c r="A27" s="14">
        <v>6</v>
      </c>
      <c r="B27" s="14" t="s">
        <v>21</v>
      </c>
      <c r="D27" s="3">
        <f>'[1]Demand Loss Factor'!$G$53*F27</f>
        <v>97500.051849254509</v>
      </c>
      <c r="E27" s="3"/>
      <c r="F27" s="3">
        <f>'[2]WHOLESALE-DLS'!$S$26/'[2]WHOLESALE-DLS'!$I$26*'[3]WHOLESALE DLS'!$F$27</f>
        <v>95569.778964067023</v>
      </c>
      <c r="G27" s="3"/>
      <c r="H27" s="3">
        <f>'[1]Demand Loss Factor'!$G$53*J27</f>
        <v>84144.71934260444</v>
      </c>
      <c r="I27" s="3"/>
      <c r="J27" s="3">
        <f>'[2]WHOLESALE-DLS'!$S$26/'[2]WHOLESALE-DLS'!$I$26*'[3]WHOLESALE DLS'!$J$27</f>
        <v>82478.850790761382</v>
      </c>
      <c r="K27" s="3"/>
      <c r="L27" s="3">
        <f>'[1]Demand Loss Factor'!$G$53*N27</f>
        <v>77777.37212956007</v>
      </c>
      <c r="N27" s="3">
        <f>'[2]WHOLESALE-DLS'!$S$26/'[2]WHOLESALE-DLS'!$I$26*'[3]WHOLESALE DLS'!$N$27</f>
        <v>76237.56215351056</v>
      </c>
      <c r="O27" s="3"/>
      <c r="P27" s="3">
        <f>'[1]Demand Loss Factor'!$G$53*R27</f>
        <v>75438.322350649119</v>
      </c>
      <c r="R27" s="3">
        <f>'[2]WHOLESALE-DLS'!$S$26/'[2]WHOLESALE-DLS'!$I$26*'[3]WHOLESALE DLS'!$R$27</f>
        <v>73944.820087054119</v>
      </c>
      <c r="S27" s="3"/>
      <c r="T27" s="3">
        <f>'[1]Energy Loss Factor'!$G$53*V27</f>
        <v>36447206.518388204</v>
      </c>
      <c r="V27" s="3">
        <f>'[2]WHOLESALE-DLS'!$S$26</f>
        <v>35906341.759317115</v>
      </c>
      <c r="X27" s="13">
        <v>0.92432861785278508</v>
      </c>
      <c r="Y27" s="13"/>
      <c r="Z27" s="13">
        <v>0.60463900000000004</v>
      </c>
    </row>
    <row r="28" spans="1:26" ht="24.95" customHeight="1">
      <c r="A28" s="14">
        <v>7</v>
      </c>
      <c r="B28" s="14" t="s">
        <v>22</v>
      </c>
      <c r="D28" s="3">
        <f>'[1]Demand Loss Factor'!$G$53*F28</f>
        <v>119753.53987695827</v>
      </c>
      <c r="E28" s="3"/>
      <c r="F28" s="3">
        <f>'[2]WHOLESALE-DLS'!$S$28/'[2]WHOLESALE-DLS'!$I$28*'[3]WHOLESALE DLS'!$F$28</f>
        <v>117382.7</v>
      </c>
      <c r="G28" s="3"/>
      <c r="H28" s="3">
        <f>'[1]Demand Loss Factor'!$G$53*J28</f>
        <v>92044.760889070269</v>
      </c>
      <c r="I28" s="3"/>
      <c r="J28" s="3">
        <f>'[2]WHOLESALE-DLS'!$S$28/'[2]WHOLESALE-DLS'!$I$28*'[3]WHOLESALE DLS'!$J$28</f>
        <v>90222.490000000005</v>
      </c>
      <c r="K28" s="3"/>
      <c r="L28" s="3">
        <f>'[1]Demand Loss Factor'!$G$53*N28</f>
        <v>83756.553782016214</v>
      </c>
      <c r="N28" s="3">
        <f>'[2]WHOLESALE-DLS'!$S$28/'[2]WHOLESALE-DLS'!$I$28*'[3]WHOLESALE DLS'!$N$28</f>
        <v>82098.369999999995</v>
      </c>
      <c r="O28" s="3"/>
      <c r="P28" s="3">
        <f>'[1]Demand Loss Factor'!$G$53*R28</f>
        <v>87837.976399680978</v>
      </c>
      <c r="R28" s="3">
        <f>'[2]WHOLESALE-DLS'!$S$28/'[2]WHOLESALE-DLS'!$I$28*'[3]WHOLESALE DLS'!$R$28</f>
        <v>86098.990000000005</v>
      </c>
      <c r="S28" s="3"/>
      <c r="T28" s="3">
        <f>'[1]Energy Loss Factor'!$G$53*V28</f>
        <v>40977245.164359234</v>
      </c>
      <c r="V28" s="3">
        <f>'[2]WHOLESALE-DLS'!$S$28</f>
        <v>40369156.096626803</v>
      </c>
      <c r="X28" s="13">
        <v>0.90995460222833568</v>
      </c>
      <c r="Y28" s="13"/>
      <c r="Z28" s="13">
        <v>0.60139699999999996</v>
      </c>
    </row>
    <row r="29" spans="1:26" ht="24.95" customHeight="1">
      <c r="A29" s="14">
        <v>8</v>
      </c>
      <c r="B29" s="14" t="s">
        <v>23</v>
      </c>
      <c r="D29" s="3">
        <f>'[1]Demand Loss Factor'!$G$53*F29</f>
        <v>128360.5281042741</v>
      </c>
      <c r="E29" s="3"/>
      <c r="F29" s="3">
        <f>'[2]WHOLESALE-DLS'!$S$30/'[2]WHOLESALE-DLS'!$I$30*'[3]WHOLESALE DLS'!$F$29</f>
        <v>125819.28999999999</v>
      </c>
      <c r="G29" s="3"/>
      <c r="H29" s="3">
        <f>'[1]Demand Loss Factor'!$G$53*J29</f>
        <v>93752.092051075291</v>
      </c>
      <c r="I29" s="3"/>
      <c r="J29" s="3">
        <f>'[2]WHOLESALE-DLS'!$S$30/'[2]WHOLESALE-DLS'!$I$30*'[3]WHOLESALE DLS'!$J$29</f>
        <v>91896.020000000004</v>
      </c>
      <c r="K29" s="3"/>
      <c r="L29" s="3">
        <f>'[1]Demand Loss Factor'!$G$53*N29</f>
        <v>87714.777346706876</v>
      </c>
      <c r="N29" s="3">
        <f>'[2]WHOLESALE-DLS'!$S$30/'[2]WHOLESALE-DLS'!$I$30*'[3]WHOLESALE DLS'!$N$29</f>
        <v>85978.229999999996</v>
      </c>
      <c r="O29" s="3"/>
      <c r="P29" s="3">
        <f>'[1]Demand Loss Factor'!$G$53*R29</f>
        <v>86326.788413601738</v>
      </c>
      <c r="R29" s="3">
        <f>'[2]WHOLESALE-DLS'!$S$30/'[2]WHOLESALE-DLS'!$I$30*'[3]WHOLESALE DLS'!$R$29</f>
        <v>84617.720000000001</v>
      </c>
      <c r="S29" s="3"/>
      <c r="T29" s="3">
        <f>'[1]Energy Loss Factor'!$G$53*V29</f>
        <v>43473102.390116915</v>
      </c>
      <c r="V29" s="3">
        <f>'[2]WHOLESALE-DLS'!$S$30</f>
        <v>42827975.608221002</v>
      </c>
      <c r="X29" s="13">
        <v>0.93560341351018239</v>
      </c>
      <c r="Y29" s="13"/>
      <c r="Z29" s="13">
        <v>0.62640899999999999</v>
      </c>
    </row>
    <row r="30" spans="1:26" ht="24.95" customHeight="1">
      <c r="A30" s="14">
        <v>9</v>
      </c>
      <c r="B30" s="14" t="s">
        <v>24</v>
      </c>
      <c r="D30" s="3">
        <f>'[1]Demand Loss Factor'!$G$53*F30</f>
        <v>122036.81334904934</v>
      </c>
      <c r="E30" s="3"/>
      <c r="F30" s="3">
        <f>'[2]WHOLESALE-DLS'!$S$32/'[2]WHOLESALE-DLS'!$I$32*'[3]WHOLESALE DLS'!$F$30</f>
        <v>119620.77</v>
      </c>
      <c r="G30" s="3"/>
      <c r="H30" s="3">
        <f>'[1]Demand Loss Factor'!$G$53*J30</f>
        <v>96152.525006799537</v>
      </c>
      <c r="I30" s="3"/>
      <c r="J30" s="3">
        <f>'[2]WHOLESALE-DLS'!$S$32/'[2]WHOLESALE-DLS'!$I$32*'[3]WHOLESALE DLS'!$J$30</f>
        <v>94248.929999999993</v>
      </c>
      <c r="K30" s="3"/>
      <c r="L30" s="3">
        <f>'[1]Demand Loss Factor'!$G$53*N30</f>
        <v>91072.869718022193</v>
      </c>
      <c r="N30" s="3">
        <f>'[2]WHOLESALE-DLS'!$S$32/'[2]WHOLESALE-DLS'!$I$32*'[3]WHOLESALE DLS'!$N$30</f>
        <v>89269.839999999997</v>
      </c>
      <c r="O30" s="3"/>
      <c r="P30" s="3">
        <f>'[1]Demand Loss Factor'!$G$53*R30</f>
        <v>93379.699550937803</v>
      </c>
      <c r="R30" s="3">
        <f>'[2]WHOLESALE-DLS'!$S$32/'[2]WHOLESALE-DLS'!$I$32*'[3]WHOLESALE DLS'!$R$30</f>
        <v>91531</v>
      </c>
      <c r="S30" s="3"/>
      <c r="T30" s="3">
        <f>'[1]Energy Loss Factor'!$G$53*V30</f>
        <v>37179855.163884416</v>
      </c>
      <c r="V30" s="3">
        <f>'[2]WHOLESALE-DLS'!$S$32</f>
        <v>36628118.135825299</v>
      </c>
      <c r="X30" s="13">
        <v>0.94717085912805588</v>
      </c>
      <c r="Y30" s="13"/>
      <c r="Z30" s="13">
        <v>0.53976599999999997</v>
      </c>
    </row>
    <row r="31" spans="1:26" ht="24.95" customHeight="1">
      <c r="A31" s="14">
        <v>10</v>
      </c>
      <c r="B31" s="14" t="s">
        <v>25</v>
      </c>
      <c r="D31" s="3">
        <f>'[1]Demand Loss Factor'!$G$53*F31</f>
        <v>103290.81647490241</v>
      </c>
      <c r="E31" s="3"/>
      <c r="F31" s="3">
        <f>'[2]WHOLESALE-DLS'!$S$32/'[2]WHOLESALE-DLS'!$I$32*'[3]WHOLESALE DLS'!$F$31</f>
        <v>101245.89999999999</v>
      </c>
      <c r="G31" s="3"/>
      <c r="H31" s="3">
        <f>'[1]Demand Loss Factor'!$G$53*J31</f>
        <v>79809.174917003533</v>
      </c>
      <c r="I31" s="3"/>
      <c r="J31" s="3">
        <f>'[2]WHOLESALE-DLS'!$S$34/'[2]WHOLESALE-DLS'!$I$34*'[3]WHOLESALE DLS'!$J$31</f>
        <v>78229.139999999999</v>
      </c>
      <c r="K31" s="3"/>
      <c r="L31" s="3">
        <f>'[1]Demand Loss Factor'!$G$53*N31</f>
        <v>74371.440499347635</v>
      </c>
      <c r="N31" s="3">
        <f>'[2]WHOLESALE-DLS'!$S$34/'[2]WHOLESALE-DLS'!$I$34*'[3]WHOLESALE DLS'!$N$31</f>
        <v>72899.059999999998</v>
      </c>
      <c r="O31" s="3"/>
      <c r="P31" s="3">
        <f>'[1]Demand Loss Factor'!$G$53*R31</f>
        <v>74371.440499347635</v>
      </c>
      <c r="R31" s="3">
        <f>'[2]WHOLESALE-DLS'!$S$34/'[2]WHOLESALE-DLS'!$I$34*'[3]WHOLESALE DLS'!$R$31</f>
        <v>72899.059999999998</v>
      </c>
      <c r="S31" s="3"/>
      <c r="T31" s="3">
        <f>'[1]Energy Loss Factor'!$G$53*V31</f>
        <v>31570926.257200401</v>
      </c>
      <c r="V31" s="3">
        <f>'[2]WHOLESALE-DLS'!$S$34</f>
        <v>31102423.920398898</v>
      </c>
      <c r="X31" s="13">
        <v>0.93186579834573147</v>
      </c>
      <c r="Y31" s="13"/>
      <c r="Z31" s="13">
        <v>0.53437999999999997</v>
      </c>
    </row>
    <row r="32" spans="1:26" ht="24.95" customHeight="1">
      <c r="A32" s="14">
        <v>11</v>
      </c>
      <c r="B32" s="14" t="s">
        <v>26</v>
      </c>
      <c r="D32" s="3">
        <f>'[1]Demand Loss Factor'!$G$53*F32</f>
        <v>99986.457907165663</v>
      </c>
      <c r="E32" s="3"/>
      <c r="F32" s="3">
        <f>'[2]WHOLESALE-DLS'!$S$36/'[2]WHOLESALE-DLS'!$I$36*'[3]WHOLESALE DLS'!$F$32</f>
        <v>98006.960000000006</v>
      </c>
      <c r="G32" s="3"/>
      <c r="H32" s="3">
        <f>'[1]Demand Loss Factor'!$G$53*J32</f>
        <v>67759.050652788414</v>
      </c>
      <c r="I32" s="3"/>
      <c r="J32" s="3">
        <f>'[2]WHOLESALE-DLS'!$S$36/'[2]WHOLESALE-DLS'!$I$36*'[3]WHOLESALE DLS'!$J$32</f>
        <v>66417.580000000002</v>
      </c>
      <c r="K32" s="3"/>
      <c r="L32" s="3">
        <f>'[1]Demand Loss Factor'!$G$53*N32</f>
        <v>67361.428667887361</v>
      </c>
      <c r="N32" s="3">
        <f>'[2]WHOLESALE-DLS'!$S$36/'[2]WHOLESALE-DLS'!$I$36*'[3]WHOLESALE DLS'!$N$32</f>
        <v>66027.830000000002</v>
      </c>
      <c r="O32" s="3"/>
      <c r="P32" s="3">
        <f>'[1]Demand Loss Factor'!$G$53*R32</f>
        <v>44230.031121884247</v>
      </c>
      <c r="R32" s="3">
        <f>'[2]WHOLESALE-DLS'!$S$36/'[2]WHOLESALE-DLS'!$I$36*'[3]WHOLESALE DLS'!$R$32</f>
        <v>43354.379999999997</v>
      </c>
      <c r="S32" s="3"/>
      <c r="T32" s="3">
        <f>'[1]Energy Loss Factor'!$G$53*V32</f>
        <v>30991569.929321423</v>
      </c>
      <c r="V32" s="3">
        <f>'[2]WHOLESALE-DLS'!$S$36</f>
        <v>30531665.053083502</v>
      </c>
      <c r="X32" s="13">
        <v>0.99413182473676398</v>
      </c>
      <c r="Y32" s="13"/>
      <c r="Z32" s="13">
        <v>0.63757600000000003</v>
      </c>
    </row>
    <row r="33" spans="1:26" ht="24.95" customHeight="1" thickBot="1">
      <c r="A33" s="14">
        <v>12</v>
      </c>
      <c r="B33" s="14" t="s">
        <v>27</v>
      </c>
      <c r="D33" s="3">
        <f>'[1]Demand Loss Factor'!$G$53*F33</f>
        <v>76314.569915028536</v>
      </c>
      <c r="E33" s="3"/>
      <c r="F33" s="3">
        <f>'[2]WHOLESALE-DLS'!$S$38/'[2]WHOLESALE-DLS'!$I$38*'[3]WHOLESALE DLS'!$J$33</f>
        <v>74803.720000000001</v>
      </c>
      <c r="G33" s="3"/>
      <c r="H33" s="3">
        <f>'[1]Demand Loss Factor'!$G$53*J33</f>
        <v>76314.569915028536</v>
      </c>
      <c r="I33" s="3"/>
      <c r="J33" s="3">
        <f>'[2]WHOLESALE-DLS'!$S$38/'[2]WHOLESALE-DLS'!$I$38*'[3]WHOLESALE DLS'!$J$33</f>
        <v>74803.720000000001</v>
      </c>
      <c r="K33" s="3"/>
      <c r="L33" s="3">
        <f>'[1]Demand Loss Factor'!$G$53*N33</f>
        <v>72808.028602025093</v>
      </c>
      <c r="N33" s="3">
        <f>'[2]WHOLESALE-DLS'!$S$38/'[2]WHOLESALE-DLS'!$I$38*'[3]WHOLESALE DLS'!$N$33</f>
        <v>71366.600000000006</v>
      </c>
      <c r="O33" s="3"/>
      <c r="P33" s="3">
        <f>'[1]Demand Loss Factor'!$G$53*R33</f>
        <v>46706.325965478274</v>
      </c>
      <c r="Q33" s="15"/>
      <c r="R33" s="3">
        <f>'[2]WHOLESALE-DLS'!$S$38/'[2]WHOLESALE-DLS'!$I$38*'[3]WHOLESALE DLS'!$R$33</f>
        <v>45781.650000000001</v>
      </c>
      <c r="S33" s="3"/>
      <c r="T33" s="16">
        <f>'[1]Energy Loss Factor'!$G$53*V33</f>
        <v>30634958.404960416</v>
      </c>
      <c r="V33" s="16">
        <f>'[2]WHOLESALE-DLS'!$S$38</f>
        <v>30180345.528429199</v>
      </c>
      <c r="X33" s="13">
        <v>0.95405148300111287</v>
      </c>
      <c r="Y33" s="13"/>
      <c r="Z33" s="13">
        <v>0.54228500000000002</v>
      </c>
    </row>
    <row r="34" spans="1:22" ht="24.95" customHeight="1" thickTop="1">
      <c r="A34" s="14">
        <v>13</v>
      </c>
      <c r="E34" s="3"/>
      <c r="G34" s="3"/>
      <c r="I34" s="3"/>
      <c r="K34" s="3"/>
      <c r="O34" s="3"/>
      <c r="S34" s="3"/>
      <c r="T34" s="15">
        <f>+SUM(T22:T33)</f>
        <v>411660490.12940878</v>
      </c>
      <c r="U34" s="15"/>
      <c r="V34" s="15">
        <f>SUM(V22:V33)</f>
        <v>405551581.57147586</v>
      </c>
    </row>
    <row r="35" spans="1:22" ht="24.95" customHeight="1">
      <c r="A35" s="14"/>
      <c r="E35" s="3"/>
      <c r="G35" s="3"/>
      <c r="I35" s="3"/>
      <c r="K35" s="3"/>
      <c r="O35" s="3"/>
      <c r="S35" s="3"/>
      <c r="T35" s="15"/>
      <c r="U35" s="15"/>
      <c r="V35" s="15"/>
    </row>
    <row r="36" spans="1:22" ht="18.75" customHeight="1">
      <c r="A36" s="14"/>
      <c r="E36" s="3"/>
      <c r="G36" s="3"/>
      <c r="I36" s="3"/>
      <c r="K36" s="3"/>
      <c r="O36" s="3"/>
      <c r="S36" s="3"/>
      <c r="T36" s="15"/>
      <c r="U36" s="15"/>
      <c r="V36" s="15"/>
    </row>
    <row r="37" spans="1:19" ht="15" customHeight="1">
      <c r="A37" s="2" t="s">
        <v>55</v>
      </c>
      <c r="E37" s="3"/>
      <c r="G37" s="3"/>
      <c r="I37" s="3"/>
      <c r="K37" s="3"/>
      <c r="O37" s="3"/>
      <c r="S37" s="3"/>
    </row>
    <row r="38" spans="1:19" ht="15" customHeight="1">
      <c r="A38" s="2" t="s">
        <v>28</v>
      </c>
      <c r="E38" s="3"/>
      <c r="G38" s="3"/>
      <c r="I38" s="3"/>
      <c r="K38" s="3"/>
      <c r="O38" s="3"/>
      <c r="S38" s="3"/>
    </row>
    <row r="39" spans="1:19" ht="15" customHeight="1">
      <c r="A39" s="4" t="s">
        <v>29</v>
      </c>
      <c r="E39" s="3"/>
      <c r="G39" s="3"/>
      <c r="I39" s="3"/>
      <c r="K39" s="3"/>
      <c r="O39" s="3"/>
      <c r="S39" s="3"/>
    </row>
  </sheetData>
  <pageMargins left="0.5" right="1" top="1.5" bottom="0.5" header="0.5" footer="0.5"/>
  <pageSetup orientation="landscape" scale="5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15.0300</AppVers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RESIDENTIAL</vt:lpstr>
      <vt:lpstr>SEC &lt; 10kW</vt:lpstr>
      <vt:lpstr>SEC &gt; 10kW </vt:lpstr>
      <vt:lpstr>PRIMARY  &lt; 10kW</vt:lpstr>
      <vt:lpstr>PRIMARY  &gt; 10kW DLS</vt:lpstr>
      <vt:lpstr>PRIMARY  SUBSTATIONS</vt:lpstr>
      <vt:lpstr>TRANSMISSION</vt:lpstr>
      <vt:lpstr>STREET LIGHTING</vt:lpstr>
      <vt:lpstr>WHOLESALE SUB</vt:lpstr>
      <vt:lpstr>WHOLESALE DLS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