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5.xml" ContentType="application/vnd.openxmlformats-officedocument.drawing+xml"/>
  <Override PartName="/xl/worksheets/sheet27.xml" ContentType="application/vnd.openxmlformats-officedocument.spreadsheetml.worksheet+xml"/>
  <Override PartName="/xl/drawings/drawing6.xml" ContentType="application/vnd.openxmlformats-officedocument.drawing+xml"/>
  <Override PartName="/xl/worksheets/sheet28.xml" ContentType="application/vnd.openxmlformats-officedocument.spreadsheetml.worksheet+xml"/>
  <Override PartName="/xl/drawings/drawing7.xml" ContentType="application/vnd.openxmlformats-officedocument.drawing+xml"/>
  <Override PartName="/xl/worksheets/sheet29.xml" ContentType="application/vnd.openxmlformats-officedocument.spreadsheetml.worksheet+xml"/>
  <Override PartName="/xl/drawings/drawing8.xml" ContentType="application/vnd.openxmlformats-officedocument.drawing+xml"/>
  <Override PartName="/xl/worksheets/sheet30.xml" ContentType="application/vnd.openxmlformats-officedocument.spreadsheetml.worksheet+xml"/>
  <Override PartName="/xl/drawings/drawing9.xml" ContentType="application/vnd.openxmlformats-officedocument.drawing+xml"/>
  <Override PartName="/xl/worksheets/sheet31.xml" ContentType="application/vnd.openxmlformats-officedocument.spreadsheetml.worksheet+xml"/>
  <Override PartName="/xl/drawings/drawing10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0" yWindow="288" windowWidth="12120" windowHeight="7752" tabRatio="696" activeTab="0"/>
  </bookViews>
  <sheets>
    <sheet name="RES" sheetId="1" r:id="rId2"/>
    <sheet name="SECLE10KW" sheetId="58" r:id="rId3"/>
    <sheet name="SECGT10KW" sheetId="60" r:id="rId4"/>
    <sheet name="PRMGT10KWD" sheetId="61" r:id="rId5"/>
    <sheet name="SUBSTATION" sheetId="87" r:id="rId6"/>
    <sheet name="COOLING Weighting" sheetId="36" r:id="rId7"/>
    <sheet name="COOLING Weighting (2)" sheetId="91" r:id="rId8"/>
    <sheet name="HEATING Weighting" sheetId="37" r:id="rId9"/>
    <sheet name="HEATING Weighting (2)" sheetId="92" r:id="rId10"/>
    <sheet name="Simple Averages_0121" sheetId="74" r:id="rId11"/>
    <sheet name="Simple Averages_0720" sheetId="95" r:id="rId12"/>
    <sheet name="Simple Averages_0114" sheetId="93" r:id="rId13"/>
    <sheet name="Simple Averages_0714" sheetId="96" r:id="rId14"/>
    <sheet name="Smoothed Normal for 0121" sheetId="77" r:id="rId15"/>
    <sheet name="Smoothed Normal for 0720" sheetId="52" r:id="rId16"/>
    <sheet name="Smoothed Normal for 0114" sheetId="63" r:id="rId17"/>
    <sheet name="Smoothed Normal for 0714" sheetId="76" r:id="rId18"/>
    <sheet name="Cycle 18 HDD Feb 20" sheetId="64" r:id="rId19"/>
    <sheet name="Cycle 17 CDD Aug 20" sheetId="50" r:id="rId20"/>
    <sheet name="Cycle 16 HDD Feb 21" sheetId="97" r:id="rId21"/>
    <sheet name="Cycle 13 CDD Aug 21" sheetId="98" r:id="rId22"/>
    <sheet name="Billed Feb 20 HDD" sheetId="65" r:id="rId23"/>
    <sheet name="Billed Aug 20 CDD" sheetId="48" r:id="rId24"/>
    <sheet name="Billed Feb 21 HDD" sheetId="80" r:id="rId25"/>
    <sheet name="Billed Aug 21 CDD" sheetId="81" r:id="rId26"/>
    <sheet name="Spline Degree Days 2020" sheetId="99" r:id="rId27"/>
    <sheet name="Spline Degree Days 2021" sheetId="82" r:id="rId28"/>
    <sheet name="Res Seasonal Weights" sheetId="45" r:id="rId29"/>
    <sheet name="SECTE10KW Seasonal Weights" sheetId="67" r:id="rId30"/>
    <sheet name="SECGT10KW Seasonal Weights" sheetId="68" r:id="rId31"/>
    <sheet name="PRMGT10KWD Seasonal Weights" sheetId="69" r:id="rId32"/>
    <sheet name="Substation Seasonal Weights" sheetId="90" r:id="rId33"/>
    <sheet name="Class Spline Weights" sheetId="44" r:id="rId34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Database" localSheetId="6">#REF!</definedName>
    <definedName name="_xlnm.Database" localSheetId="20">#REF!</definedName>
    <definedName name="_xlnm.Database" localSheetId="19">#REF!</definedName>
    <definedName name="_xlnm.Database" localSheetId="8">#REF!</definedName>
    <definedName name="_xlnm.Database" localSheetId="11">#REF!</definedName>
    <definedName name="_xlnm.Database" localSheetId="12">#REF!</definedName>
    <definedName name="_xlnm.Database" localSheetId="10">#REF!</definedName>
    <definedName name="_xlnm.Database" localSheetId="25">#REF!</definedName>
    <definedName name="_xlnm.Database" localSheetId="4">#REF!</definedName>
    <definedName name="_xlnm.Database" localSheetId="31">#REF!</definedName>
    <definedName name="_xlnm.Database">#REF!</definedName>
    <definedName name="HOURLY">[1]HOURLY!$A$1:$G$745</definedName>
    <definedName name="OLE_LINK2" localSheetId="30">'PRMGT10KWD Seasonal Weights'!$B$25</definedName>
    <definedName name="OLE_LINK2" localSheetId="27">'Res Seasonal Weights'!$B$25</definedName>
    <definedName name="OLE_LINK2" localSheetId="29">'SECGT10KW Seasonal Weights'!$B$25</definedName>
    <definedName name="OLE_LINK2" localSheetId="28">'SECTE10KW Seasonal Weights'!$B$25</definedName>
    <definedName name="OLE_LINK2" localSheetId="31">'Substation Seasonal Weights'!$B$25</definedName>
    <definedName name="_xlnm.Print_Area" localSheetId="22">'Billed Aug 20 CDD'!$A$1:$M$38</definedName>
    <definedName name="_xlnm.Print_Area" localSheetId="24">'Billed Aug 21 CDD'!$A$1:$M$38</definedName>
    <definedName name="_xlnm.Print_Area" localSheetId="21">'Billed Feb 20 HDD'!$A$1:$O$38</definedName>
    <definedName name="_xlnm.Print_Area" localSheetId="23">'Billed Feb 21 HDD'!$A$1:$O$38</definedName>
    <definedName name="_xlnm.Print_Area" localSheetId="5">'COOLING Weighting'!$A$1:$O$28</definedName>
    <definedName name="_xlnm.Print_Area" localSheetId="6">'COOLING Weighting (2)'!$A$1:$O$28</definedName>
    <definedName name="_xlnm.Print_Area" localSheetId="20">'Cycle 13 CDD Aug 21'!$A$1:$K$47</definedName>
    <definedName name="_xlnm.Print_Area" localSheetId="19">'Cycle 16 HDD Feb 21'!$A$1:$M$47</definedName>
    <definedName name="_xlnm.Print_Area" localSheetId="18">'Cycle 17 CDD Aug 20'!$A$1:$K$47</definedName>
    <definedName name="_xlnm.Print_Area" localSheetId="17">'Cycle 18 HDD Feb 20'!$A$1:$M$47</definedName>
    <definedName name="_xlnm.Print_Area" localSheetId="7">'HEATING Weighting'!$A$1:$O$30</definedName>
    <definedName name="_xlnm.Print_Area" localSheetId="8">'HEATING Weighting (2)'!$A$1:$O$30</definedName>
    <definedName name="_xlnm.Print_Area" localSheetId="30">'PRMGT10KWD Seasonal Weights'!$A$1:$P$37</definedName>
    <definedName name="_xlnm.Print_Area" localSheetId="27">'Res Seasonal Weights'!$A$1:$P$37</definedName>
    <definedName name="_xlnm.Print_Area" localSheetId="29">'SECGT10KW Seasonal Weights'!$A$1:$P$37</definedName>
    <definedName name="_xlnm.Print_Area" localSheetId="28">'SECTE10KW Seasonal Weights'!$A$1:$P$37</definedName>
    <definedName name="_xlnm.Print_Area" localSheetId="11">'Simple Averages_0114'!$A$1:$M$31</definedName>
    <definedName name="_xlnm.Print_Area" localSheetId="9">'Simple Averages_0121'!$A$1:$M$31</definedName>
    <definedName name="_xlnm.Print_Area" localSheetId="12">'Simple Averages_0714'!$A$1:$M$31</definedName>
    <definedName name="_xlnm.Print_Area" localSheetId="10">'Simple Averages_0720'!$A$1:$M$31</definedName>
    <definedName name="_xlnm.Print_Area" localSheetId="15">'Smoothed Normal for 0114'!$A$1:$N$44</definedName>
    <definedName name="_xlnm.Print_Area" localSheetId="13">'Smoothed Normal for 0121'!$A$1:$N$44</definedName>
    <definedName name="_xlnm.Print_Area" localSheetId="16">'Smoothed Normal for 0714'!$A$1:$J$44</definedName>
    <definedName name="_xlnm.Print_Area" localSheetId="14">'Smoothed Normal for 0720'!$A$1:$J$44</definedName>
    <definedName name="_xlnm.Print_Area" localSheetId="25">'Spline Degree Days 2020'!$A$1:$G$28</definedName>
    <definedName name="_xlnm.Print_Area" localSheetId="26">'Spline Degree Days 2021'!$A$1:$G$28</definedName>
    <definedName name="_xlnm.Print_Area" localSheetId="31">'Substation Seasonal Weights'!$A$1:$P$37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<sst xmlns="http://schemas.openxmlformats.org/spreadsheetml/2006/main" count="889" uniqueCount="180">
  <si>
    <t>CDD</t>
  </si>
  <si>
    <t>HDD</t>
  </si>
  <si>
    <t>Actual</t>
  </si>
  <si>
    <t>Normal</t>
  </si>
  <si>
    <t>Annual</t>
  </si>
  <si>
    <t>SYSTEM WEIGHTED BILLING CYCLE ADJUSTED</t>
  </si>
  <si>
    <t>Line</t>
  </si>
  <si>
    <t>ADJUSTED WEATHER STATION DATA</t>
  </si>
  <si>
    <t>No.</t>
  </si>
  <si>
    <t>(a)</t>
  </si>
  <si>
    <t>(b)</t>
  </si>
  <si>
    <t>(d)</t>
  </si>
  <si>
    <t>(c)</t>
  </si>
  <si>
    <t>Date</t>
  </si>
  <si>
    <t>Base65</t>
  </si>
  <si>
    <t>a1</t>
  </si>
  <si>
    <t>Base70</t>
  </si>
  <si>
    <t>a2</t>
  </si>
  <si>
    <t>Base75</t>
  </si>
  <si>
    <t>a3</t>
  </si>
  <si>
    <t>Weather Weights (b)</t>
  </si>
  <si>
    <t>b</t>
  </si>
  <si>
    <t>c1 = a1*b</t>
  </si>
  <si>
    <t>c2 = a2*b</t>
  </si>
  <si>
    <t>c3 = a3*b</t>
  </si>
  <si>
    <t>Billing</t>
  </si>
  <si>
    <t>Read</t>
  </si>
  <si>
    <t>Cycle</t>
  </si>
  <si>
    <t>Start</t>
  </si>
  <si>
    <t>c1</t>
  </si>
  <si>
    <t>c2</t>
  </si>
  <si>
    <t>c3</t>
  </si>
  <si>
    <t>Residential Cooling</t>
  </si>
  <si>
    <t>Dallas-Fort Worth</t>
  </si>
  <si>
    <t>Midland-Odessa</t>
  </si>
  <si>
    <t>Lufkin</t>
  </si>
  <si>
    <t>Abilene</t>
  </si>
  <si>
    <t>Sherman-Dennison</t>
  </si>
  <si>
    <t>Killeen-Temple</t>
  </si>
  <si>
    <t>Waco</t>
  </si>
  <si>
    <t>Wichita Falls.</t>
  </si>
  <si>
    <t>Longview</t>
  </si>
  <si>
    <t>Austin</t>
  </si>
  <si>
    <t xml:space="preserve">Weather Weights by Station (b) </t>
  </si>
  <si>
    <t>Base55</t>
  </si>
  <si>
    <t>Base60</t>
  </si>
  <si>
    <t>Heating Degree Days by Station (a)</t>
  </si>
  <si>
    <t xml:space="preserve">PUC DOCKET NO. </t>
  </si>
  <si>
    <t>Residential Heating</t>
  </si>
  <si>
    <t>Base</t>
  </si>
  <si>
    <t>Coefficient</t>
  </si>
  <si>
    <t>Total</t>
  </si>
  <si>
    <t>Weight</t>
  </si>
  <si>
    <t>(e)</t>
  </si>
  <si>
    <t>(f)</t>
  </si>
  <si>
    <t>SPLINE WEIGHTS BY CLASS</t>
  </si>
  <si>
    <t>Nov to Mar</t>
  </si>
  <si>
    <t>May to Sep</t>
  </si>
  <si>
    <t>Winter</t>
  </si>
  <si>
    <t>Summer</t>
  </si>
  <si>
    <t>(g)</t>
  </si>
  <si>
    <t>(h)</t>
  </si>
  <si>
    <t>(i)</t>
  </si>
  <si>
    <t>(j)</t>
  </si>
  <si>
    <t>(k)</t>
  </si>
  <si>
    <t>(l)</t>
  </si>
  <si>
    <t>(m)</t>
  </si>
  <si>
    <t>(n)</t>
  </si>
  <si>
    <t>Weather Station</t>
  </si>
  <si>
    <t>SECONDARY SERVICE LESS THAN OR EQUAL TO 10 KW</t>
  </si>
  <si>
    <t>ONCOR ELECTRIC DELIVERY COMPANY LLC</t>
  </si>
  <si>
    <t>RESIDENTIAL</t>
  </si>
  <si>
    <t>SECONDARY SERVICE GREATER THAN 10 KW</t>
  </si>
  <si>
    <t>PRIMARY SERVICE GREATER THAN 10 KW</t>
  </si>
  <si>
    <t>Spline Weight</t>
  </si>
  <si>
    <t>Actual Contribution</t>
  </si>
  <si>
    <t>Normal Contribution</t>
  </si>
  <si>
    <t>Normal Heating Degree Days</t>
  </si>
  <si>
    <t>Base 60</t>
  </si>
  <si>
    <t>Actual Heating Degree Days</t>
  </si>
  <si>
    <t>Normal Cooling Degree Days</t>
  </si>
  <si>
    <t>Base 65</t>
  </si>
  <si>
    <t>Base 70</t>
  </si>
  <si>
    <t>Base 75</t>
  </si>
  <si>
    <t>Actual Cooling Degree Days</t>
  </si>
  <si>
    <t>Day</t>
  </si>
  <si>
    <t>Line              No.</t>
  </si>
  <si>
    <t>Year</t>
  </si>
  <si>
    <t>Month</t>
  </si>
  <si>
    <t>HDD60</t>
  </si>
  <si>
    <t>CDD65</t>
  </si>
  <si>
    <t>CDD70</t>
  </si>
  <si>
    <t>CDD75</t>
  </si>
  <si>
    <t>SPONSOR: D. E. NELSON</t>
  </si>
  <si>
    <t>Prior Month</t>
  </si>
  <si>
    <t>Read Day</t>
  </si>
  <si>
    <t>Billed Month Degree Days</t>
  </si>
  <si>
    <t>SEASONAL WEIGHTS</t>
  </si>
  <si>
    <t>WEATHER WEIGHTS</t>
  </si>
  <si>
    <t xml:space="preserve">Cooling Degree Days by Station (a)  </t>
  </si>
  <si>
    <t>Residential Class</t>
  </si>
  <si>
    <t xml:space="preserve">Residential Cooling Degree Days Contribution by Station (c = a*b) </t>
  </si>
  <si>
    <t xml:space="preserve">Residential Heating Degree Days Contribution by Station (c = a*b) </t>
  </si>
  <si>
    <t>RESIDENTIAL SPLINE WEIGHTING</t>
  </si>
  <si>
    <t>RESIDENTIAL MONTHLY WEIGHTS</t>
  </si>
  <si>
    <t>SECONDARY SERVICE LESS THAN OR EQUAL TO 10 KW MONTHLY WEIGHTS</t>
  </si>
  <si>
    <t>SECONDARY SERVICE GREATER THAN 10 KW MONTHLY WEIGHTS</t>
  </si>
  <si>
    <t>Temperature Base</t>
  </si>
  <si>
    <t>a4</t>
  </si>
  <si>
    <t>c4 = a4*b</t>
  </si>
  <si>
    <t>Base40</t>
  </si>
  <si>
    <t>Base50</t>
  </si>
  <si>
    <t>HDD40</t>
  </si>
  <si>
    <t>Residential Raw Normal Cooling Degree Days</t>
  </si>
  <si>
    <t>c4</t>
  </si>
  <si>
    <t>Residential Smoothed Normal cooling Degree Days</t>
  </si>
  <si>
    <t>Base 40</t>
  </si>
  <si>
    <t>Residential Heating Degree Days</t>
  </si>
  <si>
    <t>Residential Cooling Degree Days</t>
  </si>
  <si>
    <t>PRIMARY SERVICE GREATER THAN 10 KW DISTRIBUTION MONTHLY WEIGHTS</t>
  </si>
  <si>
    <t>Secondary Service Less Than or Equal to 10 kW Heating</t>
  </si>
  <si>
    <t>Secondary Service Less Than or Equal to 10 kW Cooling</t>
  </si>
  <si>
    <t>Secondary Service Greater Than 10 kW Cooling</t>
  </si>
  <si>
    <t>Secondary Service Greater Than 10 kW Heating</t>
  </si>
  <si>
    <t>Primary Service Greater Than 10 kW Distribution Heating</t>
  </si>
  <si>
    <t>Primary Service Greater Than 10 kW Distribution Cooling</t>
  </si>
  <si>
    <t>Substation Heating</t>
  </si>
  <si>
    <t>Substation Cooling</t>
  </si>
  <si>
    <t>HDD55</t>
  </si>
  <si>
    <t>Base 55</t>
  </si>
  <si>
    <t>SUBSTATION</t>
  </si>
  <si>
    <t>SUBSTATION MONTHLY WEIGHTS</t>
  </si>
  <si>
    <t>Base80</t>
  </si>
  <si>
    <t>c2 = a3*b</t>
  </si>
  <si>
    <t>RESIDENTIAL CLASS WEIGHTING FOR DAILY COOLING DEGREE DAYS FOR JULY 20, 2020</t>
  </si>
  <si>
    <t>RESIDENTIAL CLASS WEIGHTING FOR DAILY COOLING DEGREE DAYS FOR JULY 14, 2021</t>
  </si>
  <si>
    <t>FOR THE TEST YEAR ENDING DECEMBER 31, 2021</t>
  </si>
  <si>
    <t>Base45</t>
  </si>
  <si>
    <t>RESIDENTIAL CLASS WEIGHTING FOR DAILY HEATING DEGREE DAYS FOR JANUARY 21, 2020</t>
  </si>
  <si>
    <t>a5</t>
  </si>
  <si>
    <t>c3 = a4*b</t>
  </si>
  <si>
    <t>c4 = a5*b</t>
  </si>
  <si>
    <t>HDD45</t>
  </si>
  <si>
    <t>HDD65</t>
  </si>
  <si>
    <t>RESIDENTIAL SIMPLE TWENTY YEAR AVERAGE CALCULATION FOR JANUARY 21ST</t>
  </si>
  <si>
    <t>1/21</t>
  </si>
  <si>
    <t>RESIDENTIAL SIMPLE TWENTY YEAR AVERAGE CALCULATION FOR JULY 20TH</t>
  </si>
  <si>
    <t>CDD80</t>
  </si>
  <si>
    <t>7/20</t>
  </si>
  <si>
    <t>RESIDENTIAL SIMPLE TWENTY YEAR AVERAGE CALCULATION FOR JULY 14TH</t>
  </si>
  <si>
    <t>7/14</t>
  </si>
  <si>
    <t>RESIDENTIAL SMOOTHED NORMAL CALCULATION FOR JULY 14TH</t>
  </si>
  <si>
    <t>RESIDENTIAL SMOOTHED NORMAL CALCULATION FOR JULY 20TH</t>
  </si>
  <si>
    <t>Residential Raw Normal Heating Degree Days</t>
  </si>
  <si>
    <t>Residential Smoothed Normal Heating Degree Days</t>
  </si>
  <si>
    <t>Base61</t>
  </si>
  <si>
    <t>c5</t>
  </si>
  <si>
    <t>RESIDENTIAL SMOOTHED NORMAL CALCULATION FOR JANUARY 20TH</t>
  </si>
  <si>
    <t>RESIDENTIAL SMOOTHED NORMAL CALCULATION FOR JANUARY 21ST</t>
  </si>
  <si>
    <t>RESIDENTIAL FEBRUARY 2020 CYCLE 18 HEATING DEGREE DAYS</t>
  </si>
  <si>
    <t>RESIDENTIAL AUGUST 2020 CYCLE 17 COOLING DEGREE DAYS</t>
  </si>
  <si>
    <t>RESIDENTIAL AUGUST 2021 CYCLE 13 COOLING DEGREE DAYS</t>
  </si>
  <si>
    <t>RESIDENTIAL FEBRUARY 2020 BILLING MONTH HEATINGING DEGREE DAYS</t>
  </si>
  <si>
    <t>RESIDENTIAL AUGUST 2020 BILLING MONTH COOLING DEGREE DAYS</t>
  </si>
  <si>
    <t>RESIDENTIAL FEBRUARY 2021 BILLING MONTH HEATINGING DEGREE DAYS</t>
  </si>
  <si>
    <t>RESIDENTIAL AUGUST 2021 BILLING MONTH COOLING DEGREE DAYS</t>
  </si>
  <si>
    <t>Base 45</t>
  </si>
  <si>
    <t>Base 80</t>
  </si>
  <si>
    <t>Residential February 2021 Heating Degree Days</t>
  </si>
  <si>
    <t>Residential August 2021 Cooling Degree Days</t>
  </si>
  <si>
    <t>Residential February 2020 Heating Degree Days</t>
  </si>
  <si>
    <t>RESIDENTIAL CLASS WEIGHTING FOR DAILY HEATING DEGREE DAYS FOR JANUARY 14, 2021</t>
  </si>
  <si>
    <t>RESIDENTIAL SIMPLE TWENTY YEAR AVERAGE CALCULATION FOR JANUARY 14TH</t>
  </si>
  <si>
    <t>1/14</t>
  </si>
  <si>
    <t>RESIDENTIAL FEBRUARY 2021 CYCLE 16 HEATING DEGREE DAYS</t>
  </si>
  <si>
    <t>Residential August 2020 Cooling Degree Days</t>
  </si>
  <si>
    <t>Cycle 18</t>
  </si>
  <si>
    <t>Cycle 17</t>
  </si>
  <si>
    <t>Cycle 16</t>
  </si>
  <si>
    <t>Cycle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</si>
</sst>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%"/>
    <numFmt numFmtId="165" formatCode="mmmm\-yy"/>
    <numFmt numFmtId="166" formatCode="0.000"/>
    <numFmt numFmtId="167" formatCode="0.0"/>
    <numFmt numFmtId="168" formatCode="mmm"/>
    <numFmt numFmtId="169" formatCode="0.0000"/>
    <numFmt numFmtId="170" formatCode="#,##0.00;\-#,##0.00"/>
    <numFmt numFmtId="171" formatCode="0.000%"/>
  </numFmts>
  <fonts count="10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 val="single"/>
      <sz val="10"/>
      <name val="Arial"/>
      <family val="2"/>
    </font>
    <font>
      <sz val="8"/>
      <name val="Helvetica"/>
      <family val="2"/>
    </font>
    <font>
      <b/>
      <u val="single"/>
      <sz val="8"/>
      <name val="Arial Narrow"/>
      <family val="2"/>
    </font>
    <font>
      <b/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/>
      <top style="medium">
        <color auto="1"/>
      </top>
      <bottom/>
    </border>
  </borders>
  <cellStyleXfs count="2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13" fontId="0" fillId="0" borderId="0" applyFont="0" applyFill="0" applyProtection="0">
      <alignment/>
    </xf>
    <xf numFmtId="0" fontId="0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 applyNumberForma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 quotePrefix="1">
      <alignment horizontal="center"/>
    </xf>
    <xf numFmtId="0" fontId="0" fillId="2" borderId="0" xfId="0" applyFill="1" applyAlignment="1">
      <alignment horizontal="center"/>
    </xf>
    <xf numFmtId="10" fontId="2" fillId="2" borderId="0" xfId="22" applyNumberFormat="1" applyFont="1" applyFill="1">
      <alignment/>
    </xf>
    <xf numFmtId="0" fontId="0" fillId="2" borderId="0" xfId="0" applyFill="1"/>
    <xf numFmtId="0" fontId="6" fillId="0" borderId="0" xfId="0" applyFont="1"/>
    <xf numFmtId="0" fontId="2" fillId="2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vertical="center"/>
    </xf>
    <xf numFmtId="14" fontId="2" fillId="2" borderId="0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right"/>
    </xf>
    <xf numFmtId="14" fontId="2" fillId="2" borderId="4" xfId="0" applyNumberFormat="1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horizontal="center" vertical="center"/>
    </xf>
    <xf numFmtId="167" fontId="2" fillId="2" borderId="5" xfId="0" applyNumberFormat="1" applyFont="1" applyFill="1" applyBorder="1" applyAlignment="1">
      <alignment vertical="center"/>
    </xf>
    <xf numFmtId="0" fontId="0" fillId="2" borderId="4" xfId="0" applyFill="1" applyBorder="1"/>
    <xf numFmtId="0" fontId="2" fillId="2" borderId="5" xfId="0" applyFont="1" applyFill="1" applyBorder="1" applyAlignment="1">
      <alignment horizontal="center"/>
    </xf>
    <xf numFmtId="10" fontId="2" fillId="2" borderId="5" xfId="22" applyNumberFormat="1" applyFont="1" applyFill="1" applyBorder="1" applyAlignment="1">
      <alignment horizontal="right"/>
    </xf>
    <xf numFmtId="10" fontId="2" fillId="2" borderId="7" xfId="22" applyNumberFormat="1" applyFont="1" applyFill="1" applyBorder="1" applyAlignment="1">
      <alignment horizontal="right"/>
    </xf>
    <xf numFmtId="0" fontId="0" fillId="2" borderId="6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8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2" borderId="0" xfId="0" applyNumberFormat="1" applyFont="1" applyFill="1"/>
    <xf numFmtId="167" fontId="2" fillId="2" borderId="0" xfId="0" applyNumberFormat="1" applyFont="1" applyFill="1" applyAlignment="1">
      <alignment horizontal="center"/>
    </xf>
    <xf numFmtId="0" fontId="2" fillId="2" borderId="0" xfId="0" applyFont="1" applyFill="1" applyBorder="1"/>
    <xf numFmtId="165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0" fontId="0" fillId="0" borderId="0" xfId="0" applyAlignment="1">
      <alignment/>
    </xf>
    <xf numFmtId="164" fontId="0" fillId="0" borderId="0" xfId="15" applyNumberFormat="1" applyFont="1"/>
    <xf numFmtId="164" fontId="0" fillId="0" borderId="10" xfId="15" applyNumberFormat="1" applyFont="1" applyBorder="1"/>
    <xf numFmtId="0" fontId="0" fillId="0" borderId="0" xfId="0" applyAlignment="1">
      <alignment horizontal="right"/>
    </xf>
    <xf numFmtId="0" fontId="0" fillId="0" borderId="0" xfId="0" applyFont="1" applyProtection="1">
      <protection locked="0"/>
    </xf>
    <xf numFmtId="0" fontId="2" fillId="0" borderId="0" xfId="21" applyFont="1" applyBorder="1" applyAlignment="1" applyProtection="1">
      <alignment horizontal="right"/>
      <protection locked="0"/>
    </xf>
    <xf numFmtId="168" fontId="2" fillId="0" borderId="11" xfId="21" applyNumberFormat="1" applyFont="1" applyBorder="1" applyAlignment="1" applyProtection="1">
      <alignment horizontal="right" vertical="center" wrapText="1"/>
      <protection locked="0"/>
    </xf>
    <xf numFmtId="168" fontId="2" fillId="0" borderId="9" xfId="21" applyNumberFormat="1" applyFont="1" applyBorder="1" applyAlignment="1" applyProtection="1">
      <alignment horizontal="right" vertical="center" wrapText="1"/>
      <protection locked="0"/>
    </xf>
    <xf numFmtId="0" fontId="2" fillId="0" borderId="12" xfId="21" applyFont="1" applyBorder="1" applyAlignment="1" applyProtection="1">
      <alignment horizontal="right" vertical="center" wrapText="1"/>
      <protection locked="0"/>
    </xf>
    <xf numFmtId="0" fontId="0" fillId="0" borderId="0" xfId="0" applyFont="1" applyAlignment="1" applyProtection="1">
      <alignment horizontal="right"/>
      <protection locked="0"/>
    </xf>
    <xf numFmtId="0" fontId="2" fillId="0" borderId="0" xfId="21" applyFont="1" applyFill="1" applyBorder="1" applyAlignment="1" applyProtection="1">
      <alignment horizontal="center"/>
      <protection locked="0"/>
    </xf>
    <xf numFmtId="164" fontId="2" fillId="0" borderId="0" xfId="21" applyNumberFormat="1" applyFont="1" applyFill="1" applyProtection="1">
      <alignment/>
      <protection locked="0"/>
    </xf>
    <xf numFmtId="164" fontId="2" fillId="0" borderId="5" xfId="21" applyNumberFormat="1" applyFont="1" applyFill="1" applyBorder="1" applyProtection="1">
      <alignment/>
      <protection locked="0"/>
    </xf>
    <xf numFmtId="164" fontId="2" fillId="0" borderId="0" xfId="23" applyNumberFormat="1" applyFont="1" applyFill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0" fontId="0" fillId="0" borderId="0" xfId="0" applyFont="1" applyAlignment="1" applyProtection="1">
      <alignment/>
      <protection locked="0"/>
    </xf>
    <xf numFmtId="0" fontId="0" fillId="0" borderId="0" xfId="0" applyFont="1" applyAlignment="1" applyProtection="1">
      <alignment horizontal="center"/>
      <protection locked="0"/>
    </xf>
    <xf numFmtId="168" fontId="2" fillId="0" borderId="13" xfId="21" applyNumberFormat="1" applyFont="1" applyBorder="1" applyAlignment="1" applyProtection="1">
      <alignment horizontal="right" vertical="center" wrapText="1"/>
      <protection locked="0"/>
    </xf>
    <xf numFmtId="3" fontId="7" fillId="2" borderId="5" xfId="0" applyNumberFormat="1" applyFont="1" applyFill="1" applyBorder="1" applyAlignment="1">
      <alignment horizontal="center" vertical="center"/>
    </xf>
    <xf numFmtId="164" fontId="2" fillId="2" borderId="2" xfId="22" applyNumberFormat="1" applyFont="1" applyFill="1" applyBorder="1" applyAlignment="1">
      <alignment horizontal="right"/>
    </xf>
    <xf numFmtId="164" fontId="2" fillId="2" borderId="0" xfId="22" applyNumberFormat="1" applyFont="1" applyFill="1" applyBorder="1" applyAlignment="1">
      <alignment horizontal="right"/>
    </xf>
    <xf numFmtId="2" fontId="0" fillId="2" borderId="0" xfId="0" applyNumberFormat="1" applyFill="1"/>
    <xf numFmtId="2" fontId="2" fillId="2" borderId="7" xfId="0" applyNumberFormat="1" applyFont="1" applyFill="1" applyBorder="1" applyAlignment="1">
      <alignment vertical="center"/>
    </xf>
    <xf numFmtId="166" fontId="0" fillId="2" borderId="0" xfId="0" applyNumberFormat="1" applyFill="1"/>
    <xf numFmtId="17" fontId="4" fillId="2" borderId="0" xfId="0" applyNumberFormat="1" applyFont="1" applyFill="1" applyAlignment="1">
      <alignment horizontal="left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/>
    </xf>
    <xf numFmtId="0" fontId="9" fillId="0" borderId="10" xfId="0" applyFont="1" applyBorder="1" applyAlignment="1">
      <alignment horizontal="center" wrapText="1"/>
    </xf>
    <xf numFmtId="0" fontId="4" fillId="0" borderId="0" xfId="0" applyFont="1"/>
    <xf numFmtId="0" fontId="0" fillId="3" borderId="1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0" fontId="0" fillId="0" borderId="0" xfId="0" applyNumberFormat="1"/>
    <xf numFmtId="49" fontId="4" fillId="0" borderId="0" xfId="0" applyNumberFormat="1" applyFont="1" applyAlignment="1">
      <alignment horizontal="center"/>
    </xf>
    <xf numFmtId="2" fontId="2" fillId="2" borderId="8" xfId="0" applyNumberFormat="1" applyFont="1" applyFill="1" applyBorder="1" applyAlignment="1">
      <alignment vertical="center"/>
    </xf>
    <xf numFmtId="169" fontId="2" fillId="2" borderId="0" xfId="0" applyNumberFormat="1" applyFont="1" applyFill="1" applyBorder="1" applyAlignment="1">
      <alignment vertical="center"/>
    </xf>
    <xf numFmtId="169" fontId="2" fillId="2" borderId="5" xfId="0" applyNumberFormat="1" applyFont="1" applyFill="1" applyBorder="1" applyAlignment="1">
      <alignment vertical="center"/>
    </xf>
    <xf numFmtId="167" fontId="2" fillId="2" borderId="0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Border="1" applyAlignment="1">
      <alignment horizontal="right" vertical="center"/>
    </xf>
    <xf numFmtId="169" fontId="2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14" fontId="2" fillId="2" borderId="5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/>
    </xf>
    <xf numFmtId="0" fontId="0" fillId="0" borderId="5" xfId="0" applyFont="1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70" fontId="0" fillId="3" borderId="14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4" fillId="0" borderId="5" xfId="20" applyFont="1" applyBorder="1" applyAlignment="1">
      <alignment horizontal="center"/>
      <protection/>
    </xf>
    <xf numFmtId="0" fontId="0" fillId="0" borderId="0" xfId="20" applyAlignment="1">
      <alignment horizontal="center"/>
      <protection/>
    </xf>
    <xf numFmtId="0" fontId="0" fillId="0" borderId="0" xfId="20" applyAlignment="1">
      <alignment horizontal="right"/>
      <protection/>
    </xf>
    <xf numFmtId="1" fontId="0" fillId="0" borderId="0" xfId="20" applyNumberFormat="1" applyBorder="1" applyAlignment="1">
      <alignment horizontal="center"/>
      <protection/>
    </xf>
    <xf numFmtId="10" fontId="0" fillId="0" borderId="0" xfId="15" applyNumberFormat="1" applyFont="1"/>
    <xf numFmtId="0" fontId="0" fillId="0" borderId="0" xfId="20">
      <alignment/>
      <protection/>
    </xf>
    <xf numFmtId="3" fontId="0" fillId="0" borderId="0" xfId="20" applyNumberFormat="1" applyAlignment="1">
      <alignment horizontal="center"/>
      <protection/>
    </xf>
    <xf numFmtId="1" fontId="0" fillId="0" borderId="10" xfId="20" applyNumberFormat="1" applyBorder="1" applyAlignment="1">
      <alignment horizontal="center"/>
      <protection/>
    </xf>
    <xf numFmtId="0" fontId="0" fillId="0" borderId="0" xfId="20" applyAlignment="1">
      <alignment horizontal="center" vertical="center"/>
      <protection/>
    </xf>
    <xf numFmtId="17" fontId="0" fillId="0" borderId="15" xfId="20" applyNumberFormat="1" applyBorder="1" applyAlignment="1">
      <alignment horizontal="center"/>
      <protection/>
    </xf>
    <xf numFmtId="166" fontId="0" fillId="0" borderId="15" xfId="20" applyNumberFormat="1" applyBorder="1">
      <alignment/>
      <protection/>
    </xf>
    <xf numFmtId="17" fontId="0" fillId="0" borderId="0" xfId="20" applyNumberFormat="1" applyBorder="1" applyAlignment="1">
      <alignment horizontal="center"/>
      <protection/>
    </xf>
    <xf numFmtId="166" fontId="0" fillId="0" borderId="0" xfId="20" applyNumberFormat="1" applyAlignment="1">
      <alignment horizontal="right"/>
      <protection/>
    </xf>
    <xf numFmtId="0" fontId="0" fillId="0" borderId="15" xfId="20" applyBorder="1">
      <alignment/>
      <protection/>
    </xf>
    <xf numFmtId="0" fontId="0" fillId="0" borderId="0" xfId="20" applyBorder="1">
      <alignment/>
      <protection/>
    </xf>
    <xf numFmtId="3" fontId="0" fillId="0" borderId="0" xfId="20" applyNumberFormat="1" applyBorder="1" applyAlignment="1">
      <alignment horizontal="center"/>
      <protection/>
    </xf>
    <xf numFmtId="0" fontId="0" fillId="0" borderId="10" xfId="20" applyBorder="1">
      <alignment/>
      <protection/>
    </xf>
    <xf numFmtId="164" fontId="2" fillId="0" borderId="2" xfId="23" applyNumberFormat="1" applyFont="1" applyFill="1" applyBorder="1" applyAlignment="1" applyProtection="1">
      <alignment horizontal="right"/>
      <protection locked="0"/>
    </xf>
    <xf numFmtId="164" fontId="0" fillId="0" borderId="2" xfId="0" applyNumberFormat="1" applyFont="1" applyBorder="1" applyProtection="1">
      <protection locked="0"/>
    </xf>
    <xf numFmtId="0" fontId="0" fillId="0" borderId="0" xfId="0" applyFont="1" applyBorder="1" applyProtection="1">
      <protection locked="0"/>
    </xf>
    <xf numFmtId="164" fontId="0" fillId="0" borderId="0" xfId="20" applyNumberFormat="1" applyFont="1" applyProtection="1">
      <alignment/>
      <protection locked="0"/>
    </xf>
    <xf numFmtId="0" fontId="0" fillId="0" borderId="0" xfId="20" applyFont="1" applyProtection="1">
      <alignment/>
      <protection locked="0"/>
    </xf>
    <xf numFmtId="0" fontId="0" fillId="0" borderId="5" xfId="20" applyFont="1" applyBorder="1" applyProtection="1">
      <alignment/>
      <protection locked="0"/>
    </xf>
    <xf numFmtId="0" fontId="0" fillId="0" borderId="0" xfId="20" applyFont="1" applyBorder="1" applyProtection="1">
      <alignment/>
      <protection locked="0"/>
    </xf>
    <xf numFmtId="164" fontId="0" fillId="0" borderId="9" xfId="0" applyNumberFormat="1" applyFont="1" applyBorder="1" applyProtection="1">
      <protection locked="0"/>
    </xf>
    <xf numFmtId="171" fontId="0" fillId="0" borderId="0" xfId="15" applyNumberFormat="1" applyFont="1"/>
    <xf numFmtId="171" fontId="0" fillId="0" borderId="15" xfId="15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right"/>
    </xf>
    <xf numFmtId="170" fontId="0" fillId="3" borderId="14" xfId="0" applyNumberFormat="1" applyFont="1" applyFill="1" applyBorder="1" applyAlignment="1">
      <alignment horizontal="center" vertical="center" wrapText="1"/>
    </xf>
    <xf numFmtId="170" fontId="4" fillId="0" borderId="2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/>
    </xf>
    <xf numFmtId="0" fontId="4" fillId="2" borderId="5" xfId="0" applyFont="1" applyFill="1" applyBorder="1" applyAlignment="1">
      <alignment horizontal="center"/>
    </xf>
    <xf numFmtId="4" fontId="0" fillId="2" borderId="0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3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0" borderId="0" xfId="0" applyFont="1" applyProtection="1">
      <protection locked="0"/>
    </xf>
    <xf numFmtId="164" fontId="0" fillId="0" borderId="2" xfId="0" applyNumberFormat="1" applyFont="1" applyBorder="1" applyProtection="1">
      <protection locked="0"/>
    </xf>
    <xf numFmtId="0" fontId="0" fillId="0" borderId="0" xfId="0" applyFont="1" applyAlignment="1" applyProtection="1">
      <alignment horizontal="center"/>
      <protection locked="0"/>
    </xf>
    <xf numFmtId="164" fontId="0" fillId="0" borderId="0" xfId="24" applyNumberFormat="1" applyFont="1" applyProtection="1">
      <alignment/>
      <protection locked="0"/>
    </xf>
    <xf numFmtId="0" fontId="0" fillId="0" borderId="0" xfId="24" applyFont="1" applyBorder="1" applyProtection="1">
      <alignment/>
      <protection locked="0"/>
    </xf>
    <xf numFmtId="0" fontId="0" fillId="0" borderId="0" xfId="24" applyFont="1" applyProtection="1">
      <alignment/>
      <protection locked="0"/>
    </xf>
    <xf numFmtId="0" fontId="0" fillId="0" borderId="5" xfId="0" applyFont="1" applyBorder="1" applyProtection="1">
      <protection locked="0"/>
    </xf>
    <xf numFmtId="168" fontId="2" fillId="0" borderId="13" xfId="25" applyNumberFormat="1" applyFont="1" applyBorder="1" applyAlignment="1" applyProtection="1">
      <alignment horizontal="right" vertical="center" wrapText="1"/>
      <protection locked="0"/>
    </xf>
    <xf numFmtId="164" fontId="2" fillId="0" borderId="2" xfId="26" applyNumberFormat="1" applyFont="1" applyFill="1" applyBorder="1" applyAlignment="1" applyProtection="1">
      <alignment horizontal="right"/>
      <protection locked="0"/>
    </xf>
    <xf numFmtId="0" fontId="2" fillId="0" borderId="0" xfId="25" applyFont="1" applyFill="1" applyBorder="1" applyAlignment="1" applyProtection="1">
      <alignment horizontal="center"/>
      <protection locked="0"/>
    </xf>
    <xf numFmtId="164" fontId="2" fillId="0" borderId="0" xfId="25" applyNumberFormat="1" applyFont="1" applyFill="1" applyProtection="1">
      <alignment/>
      <protection locked="0"/>
    </xf>
    <xf numFmtId="0" fontId="0" fillId="0" borderId="0" xfId="0" applyFont="1" applyAlignment="1" applyProtection="1">
      <alignment horizontal="right"/>
      <protection locked="0"/>
    </xf>
    <xf numFmtId="0" fontId="2" fillId="0" borderId="12" xfId="25" applyFont="1" applyBorder="1" applyAlignment="1" applyProtection="1">
      <alignment horizontal="right" vertical="center" wrapText="1"/>
      <protection locked="0"/>
    </xf>
    <xf numFmtId="168" fontId="2" fillId="0" borderId="9" xfId="25" applyNumberFormat="1" applyFont="1" applyBorder="1" applyAlignment="1" applyProtection="1">
      <alignment horizontal="right" vertical="center" wrapText="1"/>
      <protection locked="0"/>
    </xf>
    <xf numFmtId="168" fontId="2" fillId="0" borderId="11" xfId="25" applyNumberFormat="1" applyFont="1" applyBorder="1" applyAlignment="1" applyProtection="1">
      <alignment horizontal="right" vertical="center" wrapText="1"/>
      <protection locked="0"/>
    </xf>
    <xf numFmtId="0" fontId="2" fillId="0" borderId="0" xfId="25" applyFont="1" applyBorder="1" applyAlignment="1" applyProtection="1">
      <alignment horizontal="right"/>
      <protection locked="0"/>
    </xf>
    <xf numFmtId="0" fontId="0" fillId="0" borderId="0" xfId="0" applyFont="1" applyAlignment="1" applyProtection="1">
      <alignment/>
      <protection locked="0"/>
    </xf>
    <xf numFmtId="0" fontId="0" fillId="0" borderId="0" xfId="20" applyBorder="1" applyAlignment="1">
      <alignment horizontal="center" vertical="center"/>
      <protection/>
    </xf>
    <xf numFmtId="0" fontId="2" fillId="2" borderId="6" xfId="0" applyFont="1" applyFill="1" applyBorder="1" applyAlignment="1">
      <alignment horizontal="right"/>
    </xf>
    <xf numFmtId="170" fontId="0" fillId="0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3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2" fontId="2" fillId="2" borderId="3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0" fillId="2" borderId="0" xfId="0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0" fillId="2" borderId="0" xfId="0" applyNumberFormat="1" applyFill="1"/>
    <xf numFmtId="167" fontId="2" fillId="0" borderId="0" xfId="0" applyNumberFormat="1" applyFont="1" applyFill="1" applyAlignment="1">
      <alignment horizontal="right"/>
    </xf>
    <xf numFmtId="2" fontId="0" fillId="0" borderId="2" xfId="0" applyNumberFormat="1" applyFill="1" applyBorder="1"/>
    <xf numFmtId="169" fontId="0" fillId="2" borderId="0" xfId="0" applyNumberFormat="1" applyFill="1"/>
    <xf numFmtId="14" fontId="0" fillId="0" borderId="0" xfId="0" applyNumberFormat="1"/>
    <xf numFmtId="17" fontId="0" fillId="0" borderId="15" xfId="20" applyNumberFormat="1" applyFont="1" applyBorder="1" applyAlignment="1">
      <alignment horizontal="center"/>
      <protection/>
    </xf>
    <xf numFmtId="167" fontId="2" fillId="0" borderId="0" xfId="0" applyNumberFormat="1" applyFont="1" applyFill="1" applyAlignment="1">
      <alignment horizontal="center"/>
    </xf>
    <xf numFmtId="167" fontId="2" fillId="0" borderId="2" xfId="0" applyNumberFormat="1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3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9" fontId="8" fillId="2" borderId="0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5" xfId="0" applyFon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3" fillId="0" borderId="11" xfId="20" applyFont="1" applyBorder="1" applyAlignment="1">
      <alignment horizontal="center" wrapText="1"/>
      <protection/>
    </xf>
    <xf numFmtId="0" fontId="3" fillId="0" borderId="9" xfId="20" applyFont="1" applyBorder="1" applyAlignment="1">
      <alignment horizontal="center" wrapText="1"/>
      <protection/>
    </xf>
    <xf numFmtId="0" fontId="0" fillId="0" borderId="12" xfId="20" applyBorder="1" applyAlignment="1">
      <alignment horizontal="center"/>
      <protection/>
    </xf>
    <xf numFmtId="0" fontId="3" fillId="0" borderId="0" xfId="20" applyFont="1" applyAlignment="1">
      <alignment horizontal="center"/>
      <protection/>
    </xf>
    <xf numFmtId="0" fontId="0" fillId="0" borderId="0" xfId="20" applyAlignment="1">
      <alignment/>
      <protection/>
    </xf>
    <xf numFmtId="0" fontId="0" fillId="0" borderId="0" xfId="0" applyAlignment="1" applyProtection="1">
      <alignment/>
      <protection locked="0"/>
    </xf>
    <xf numFmtId="0" fontId="3" fillId="0" borderId="0" xfId="24" applyFont="1" applyAlignment="1">
      <alignment horizontal="center"/>
      <protection/>
    </xf>
    <xf numFmtId="0" fontId="0" fillId="0" borderId="0" xfId="24" applyAlignment="1">
      <alignment/>
      <protection/>
    </xf>
    <xf numFmtId="0" fontId="3" fillId="0" borderId="11" xfId="24" applyFont="1" applyBorder="1" applyAlignment="1">
      <alignment horizontal="center" wrapText="1"/>
      <protection/>
    </xf>
    <xf numFmtId="0" fontId="3" fillId="0" borderId="9" xfId="24" applyFont="1" applyBorder="1" applyAlignment="1">
      <alignment horizontal="center" wrapText="1"/>
      <protection/>
    </xf>
    <xf numFmtId="0" fontId="0" fillId="0" borderId="12" xfId="24" applyBorder="1" applyAlignment="1">
      <alignment horizontal="center"/>
      <protection/>
    </xf>
    <xf numFmtId="0" fontId="4" fillId="0" borderId="10" xfId="20" applyFont="1" applyBorder="1" applyAlignment="1">
      <alignment horizontal="center"/>
      <protection/>
    </xf>
    <xf numFmtId="0" fontId="0" fillId="0" borderId="10" xfId="20" applyBorder="1" applyAlignment="1">
      <alignment/>
      <protection/>
    </xf>
    <xf numFmtId="0" fontId="4" fillId="0" borderId="10" xfId="20" applyFont="1" applyBorder="1" applyAlignment="1">
      <alignment horizontal="center" wrapText="1"/>
      <protection/>
    </xf>
    <xf numFmtId="0" fontId="0" fillId="0" borderId="10" xfId="20" applyBorder="1" applyAlignment="1">
      <alignment wrapText="1"/>
      <protection/>
    </xf>
    <xf numFmtId="0" fontId="4" fillId="0" borderId="10" xfId="20" applyFont="1" applyBorder="1" applyAlignment="1">
      <alignment horizontal="center" vertical="center"/>
      <protection/>
    </xf>
    <xf numFmtId="0" fontId="0" fillId="0" borderId="10" xfId="0" applyBorder="1" applyAlignment="1">
      <alignment/>
    </xf>
  </cellXfs>
  <cellStyles count="1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Percent_5.2 Example" xfId="22"/>
    <cellStyle name="Percent_System Weather Weights WF" xfId="23"/>
    <cellStyle name="Normal 2 2" xfId="24"/>
    <cellStyle name="Normal_System Weather Weights WF 2" xfId="25"/>
    <cellStyle name="Percent_System Weather Weights WF 2" xf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worksheet" Target="worksheets/sheet33.xml" /><Relationship Id="rId35" Type="http://schemas.openxmlformats.org/officeDocument/2006/relationships/styles" Target="styles.xml" /><Relationship Id="rId36" Type="http://schemas.openxmlformats.org/officeDocument/2006/relationships/sharedStrings" Target="sharedStrings.xml" /><Relationship Id="rId37" Type="http://schemas.openxmlformats.org/officeDocument/2006/relationships/externalLink" Target="externalLinks/externalLink1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worksheet" Target="worksheets/sheet31.xml" /><Relationship Id="rId33" Type="http://schemas.openxmlformats.org/officeDocument/2006/relationships/worksheet" Target="worksheets/sheet32.xml" /><Relationship Id="rId5" Type="http://schemas.openxmlformats.org/officeDocument/2006/relationships/worksheet" Target="worksheets/sheet4.xml" /><Relationship Id="rId38" Type="http://schemas.openxmlformats.org/officeDocument/2006/relationships/externalLink" Target="externalLinks/externalLink2.xml" /><Relationship Id="rId39" Type="http://schemas.openxmlformats.org/officeDocument/2006/relationships/externalLink" Target="externalLinks/externalLink3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Relationship Id="rId44" Type="http://schemas.openxmlformats.org/officeDocument/2006/relationships/externalLink" Target="externalLinks/externalLink8.xml" /><Relationship Id="rId45" Type="http://schemas.openxmlformats.org/officeDocument/2006/relationships/externalLink" Target="externalLinks/externalLink9.xml" /><Relationship Id="rId46" Type="http://schemas.openxmlformats.org/officeDocument/2006/relationships/externalLink" Target="externalLinks/externalLink10.xml" /><Relationship Id="rId47" Type="http://schemas.openxmlformats.org/officeDocument/2006/relationships/calcChain" Target="calcChain.xml" /><Relationship Id="rId40" Type="http://schemas.openxmlformats.org/officeDocument/2006/relationships/externalLink" Target="externalLinks/externalLink4.xml" /><Relationship Id="rId41" Type="http://schemas.openxmlformats.org/officeDocument/2006/relationships/externalLink" Target="externalLinks/externalLink5.xml" /><Relationship Id="rId42" Type="http://schemas.openxmlformats.org/officeDocument/2006/relationships/externalLink" Target="externalLinks/externalLink6.xml" /><Relationship Id="rId43" Type="http://schemas.openxmlformats.org/officeDocument/2006/relationships/externalLink" Target="externalLinks/externalLink7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>
      <xdr:nvSpPr>
        <xdr:cNvPr id="1185" name="AutoShape 1"/>
        <xdr:cNvSpPr>
          <a:spLocks noChangeArrowheads="1"/>
        </xdr:cNvSpPr>
      </xdr:nvSpPr>
      <xdr:spPr bwMode="auto">
        <a:xfrm>
          <a:off x="7496175" y="5219700"/>
          <a:ext cx="125730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106680</xdr:colOff>
      <xdr:row>28</xdr:row>
      <xdr:rowOff>0</xdr:rowOff>
    </xdr:from>
    <xdr:to>
      <xdr:col>15</xdr:col>
      <xdr:colOff>76200</xdr:colOff>
      <xdr:row>28</xdr:row>
      <xdr:rowOff>0</xdr:rowOff>
    </xdr:to>
    <xdr:sp macro="">
      <xdr:nvSpPr>
        <xdr:cNvPr id="2" name="AutoShape 1"/>
        <xdr:cNvSpPr>
          <a:spLocks noChangeArrowheads="1"/>
        </xdr:cNvSpPr>
      </xdr:nvSpPr>
      <xdr:spPr bwMode="auto">
        <a:xfrm>
          <a:off x="7496175" y="5219700"/>
          <a:ext cx="125730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106680</xdr:colOff>
      <xdr:row>30</xdr:row>
      <xdr:rowOff>0</xdr:rowOff>
    </xdr:from>
    <xdr:to>
      <xdr:col>15</xdr:col>
      <xdr:colOff>76200</xdr:colOff>
      <xdr:row>30</xdr:row>
      <xdr:rowOff>0</xdr:rowOff>
    </xdr:to>
    <xdr:sp macro="">
      <xdr:nvSpPr>
        <xdr:cNvPr id="2209" name="AutoShape 1"/>
        <xdr:cNvSpPr>
          <a:spLocks noChangeArrowheads="1"/>
        </xdr:cNvSpPr>
      </xdr:nvSpPr>
      <xdr:spPr bwMode="auto">
        <a:xfrm>
          <a:off x="7686675" y="5553075"/>
          <a:ext cx="1323975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106680</xdr:colOff>
      <xdr:row>30</xdr:row>
      <xdr:rowOff>0</xdr:rowOff>
    </xdr:from>
    <xdr:to>
      <xdr:col>15</xdr:col>
      <xdr:colOff>76200</xdr:colOff>
      <xdr:row>30</xdr:row>
      <xdr:rowOff>0</xdr:rowOff>
    </xdr:to>
    <xdr:sp macro="">
      <xdr:nvSpPr>
        <xdr:cNvPr id="2" name="AutoShape 1"/>
        <xdr:cNvSpPr>
          <a:spLocks noChangeArrowheads="1"/>
        </xdr:cNvSpPr>
      </xdr:nvSpPr>
      <xdr:spPr bwMode="auto">
        <a:xfrm>
          <a:off x="7686675" y="5553075"/>
          <a:ext cx="1323975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27</xdr:row>
      <xdr:rowOff>0</xdr:rowOff>
    </xdr:from>
    <xdr:to>
      <xdr:col>7</xdr:col>
      <xdr:colOff>0</xdr:colOff>
      <xdr:row>27</xdr:row>
      <xdr:rowOff>0</xdr:rowOff>
    </xdr:to>
    <xdr:sp macro="">
      <xdr:nvSpPr>
        <xdr:cNvPr id="37929" name="AutoShape 1"/>
        <xdr:cNvSpPr>
          <a:spLocks noChangeArrowheads="1"/>
        </xdr:cNvSpPr>
      </xdr:nvSpPr>
      <xdr:spPr bwMode="auto">
        <a:xfrm>
          <a:off x="4772025" y="4876800"/>
          <a:ext cx="0" cy="0"/>
        </a:xfrm>
        <a:prstGeom prst="curvedLeftArrow">
          <a:avLst>
            <a:gd name="adj1" fmla="val -2147483648"/>
            <a:gd name="adj2" fmla="val -2147483648"/>
            <a:gd name="adj3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>
      <xdr:nvSpPr>
        <xdr:cNvPr id="9377" name="Text Box 1"/>
        <xdr:cNvSpPr txBox="1">
          <a:spLocks noChangeArrowheads="1"/>
        </xdr:cNvSpPr>
      </xdr:nvSpPr>
      <xdr:spPr bwMode="auto">
        <a:xfrm>
          <a:off x="13392150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>
      <xdr:nvSpPr>
        <xdr:cNvPr id="23677" name="Text Box 1"/>
        <xdr:cNvSpPr txBox="1">
          <a:spLocks noChangeArrowheads="1"/>
        </xdr:cNvSpPr>
      </xdr:nvSpPr>
      <xdr:spPr bwMode="auto">
        <a:xfrm>
          <a:off x="13392150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>
      <xdr:nvSpPr>
        <xdr:cNvPr id="24701" name="Text Box 1"/>
        <xdr:cNvSpPr txBox="1">
          <a:spLocks noChangeArrowheads="1"/>
        </xdr:cNvSpPr>
      </xdr:nvSpPr>
      <xdr:spPr bwMode="auto">
        <a:xfrm>
          <a:off x="13392150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21</xdr:col>
      <xdr:colOff>342900</xdr:colOff>
      <xdr:row>2</xdr:row>
      <xdr:rowOff>68580</xdr:rowOff>
    </xdr:from>
    <xdr:to>
      <xdr:col>21</xdr:col>
      <xdr:colOff>411480</xdr:colOff>
      <xdr:row>5</xdr:row>
      <xdr:rowOff>0</xdr:rowOff>
    </xdr:to>
    <xdr:sp macro="">
      <xdr:nvSpPr>
        <xdr:cNvPr id="25725" name="Text Box 1"/>
        <xdr:cNvSpPr txBox="1">
          <a:spLocks noChangeArrowheads="1"/>
        </xdr:cNvSpPr>
      </xdr:nvSpPr>
      <xdr:spPr bwMode="auto">
        <a:xfrm>
          <a:off x="13392150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21</xdr:col>
      <xdr:colOff>342900</xdr:colOff>
      <xdr:row>2</xdr:row>
      <xdr:rowOff>66675</xdr:rowOff>
    </xdr:from>
    <xdr:ext cx="66675" cy="523875"/>
    <xdr:sp macro="">
      <xdr:nvSpPr>
        <xdr:cNvPr id="2" name="Text Box 1"/>
        <xdr:cNvSpPr txBox="1">
          <a:spLocks noChangeArrowheads="1"/>
        </xdr:cNvSpPr>
      </xdr:nvSpPr>
      <xdr:spPr bwMode="auto">
        <a:xfrm>
          <a:off x="13392150" y="447675"/>
          <a:ext cx="66675" cy="5238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one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II-H-5.1%20Pages%203-28.xlsx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1.xlsx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2.xlsx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3.xlsx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4.xlsx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5.xlsx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-H-5.2_6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se35"/>
      <sheetName val="Base40h"/>
      <sheetName val="Base45h"/>
      <sheetName val="Base50h"/>
      <sheetName val="Base55h"/>
      <sheetName val="Base60h"/>
      <sheetName val="Base65h"/>
      <sheetName val="Base50c"/>
      <sheetName val="Base55c"/>
      <sheetName val="Base60c"/>
      <sheetName val="Base65c"/>
      <sheetName val="Base70c"/>
      <sheetName val="Base75c"/>
      <sheetName val="Base80c"/>
      <sheetName val="Base85c"/>
      <sheetName val="Abilene (AE) Jan 2020"/>
      <sheetName val="Abilene (AE) Jul 2020"/>
      <sheetName val="Abilene (AE) Jan 2021"/>
      <sheetName val="Abilene (AE) Jul 2021"/>
      <sheetName val="January 21 20 bySite"/>
      <sheetName val="July 20 20 bySite"/>
      <sheetName val="January 14 21 bySite"/>
      <sheetName val="July 14 21 bySite"/>
      <sheetName val="Abilene Simple Averages"/>
      <sheetName val="Abilene Simple Averages2"/>
      <sheetName val="Abilene January Normal"/>
      <sheetName val="Abilene July Norm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H24">
            <v>0</v>
          </cell>
          <cell r="I24">
            <v>0</v>
          </cell>
          <cell r="K24">
            <v>6.9</v>
          </cell>
          <cell r="L24">
            <v>11.9</v>
          </cell>
          <cell r="M24">
            <v>16.9</v>
          </cell>
        </row>
        <row r="25">
          <cell r="H25">
            <v>0</v>
          </cell>
          <cell r="I25">
            <v>0</v>
          </cell>
          <cell r="K25">
            <v>4.2</v>
          </cell>
          <cell r="L25">
            <v>9.2</v>
          </cell>
          <cell r="M25">
            <v>14.2</v>
          </cell>
        </row>
        <row r="26">
          <cell r="H26">
            <v>0</v>
          </cell>
          <cell r="I26">
            <v>1.3</v>
          </cell>
          <cell r="K26">
            <v>11.3</v>
          </cell>
          <cell r="L26">
            <v>16.3</v>
          </cell>
          <cell r="M26">
            <v>21.3</v>
          </cell>
        </row>
        <row r="27">
          <cell r="H27">
            <v>0</v>
          </cell>
          <cell r="I27">
            <v>0</v>
          </cell>
          <cell r="K27">
            <v>6.6</v>
          </cell>
          <cell r="L27">
            <v>11.6</v>
          </cell>
          <cell r="M27">
            <v>16.6</v>
          </cell>
        </row>
        <row r="28">
          <cell r="H28">
            <v>1.2</v>
          </cell>
          <cell r="I28">
            <v>6.2</v>
          </cell>
          <cell r="K28">
            <v>16.2</v>
          </cell>
          <cell r="L28">
            <v>21.2</v>
          </cell>
          <cell r="M28">
            <v>26.2</v>
          </cell>
        </row>
        <row r="29">
          <cell r="H29">
            <v>0</v>
          </cell>
          <cell r="I29">
            <v>3.5</v>
          </cell>
          <cell r="K29">
            <v>13.5</v>
          </cell>
          <cell r="L29">
            <v>18.5</v>
          </cell>
          <cell r="M29">
            <v>23.5</v>
          </cell>
        </row>
        <row r="30">
          <cell r="H30">
            <v>0</v>
          </cell>
          <cell r="I30">
            <v>0</v>
          </cell>
          <cell r="K30">
            <v>9.2</v>
          </cell>
          <cell r="L30">
            <v>14.2</v>
          </cell>
          <cell r="M30">
            <v>19.2</v>
          </cell>
        </row>
        <row r="31">
          <cell r="H31">
            <v>2</v>
          </cell>
          <cell r="I31">
            <v>7</v>
          </cell>
          <cell r="K31">
            <v>17</v>
          </cell>
          <cell r="L31">
            <v>22</v>
          </cell>
          <cell r="M31">
            <v>27</v>
          </cell>
        </row>
        <row r="32">
          <cell r="H32">
            <v>0</v>
          </cell>
          <cell r="I32">
            <v>0</v>
          </cell>
          <cell r="K32">
            <v>9.7</v>
          </cell>
          <cell r="L32">
            <v>14.7</v>
          </cell>
          <cell r="M32">
            <v>19.7</v>
          </cell>
        </row>
        <row r="33">
          <cell r="H33">
            <v>0</v>
          </cell>
          <cell r="I33">
            <v>4</v>
          </cell>
          <cell r="K33">
            <v>14</v>
          </cell>
          <cell r="L33">
            <v>19</v>
          </cell>
          <cell r="M33">
            <v>24</v>
          </cell>
        </row>
      </sheetData>
      <sheetData sheetId="20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Q24">
            <v>20.8</v>
          </cell>
          <cell r="R24">
            <v>15.8</v>
          </cell>
          <cell r="S24">
            <v>10.8</v>
          </cell>
          <cell r="T24">
            <v>5.8</v>
          </cell>
        </row>
        <row r="25">
          <cell r="Q25">
            <v>20.1</v>
          </cell>
          <cell r="R25">
            <v>15.1</v>
          </cell>
          <cell r="S25">
            <v>10.1</v>
          </cell>
          <cell r="T25">
            <v>5.09999999999999</v>
          </cell>
        </row>
        <row r="26">
          <cell r="Q26">
            <v>21.7</v>
          </cell>
          <cell r="R26">
            <v>16.7</v>
          </cell>
          <cell r="S26">
            <v>11.7</v>
          </cell>
          <cell r="T26">
            <v>6.7</v>
          </cell>
        </row>
        <row r="27">
          <cell r="Q27">
            <v>21.2</v>
          </cell>
          <cell r="R27">
            <v>16.2</v>
          </cell>
          <cell r="S27">
            <v>11.2</v>
          </cell>
          <cell r="T27">
            <v>6.2</v>
          </cell>
        </row>
        <row r="28">
          <cell r="Q28">
            <v>16.3</v>
          </cell>
          <cell r="R28">
            <v>11.3</v>
          </cell>
          <cell r="S28">
            <v>6.3</v>
          </cell>
          <cell r="T28">
            <v>1.3</v>
          </cell>
        </row>
        <row r="29">
          <cell r="Q29">
            <v>15.4</v>
          </cell>
          <cell r="R29">
            <v>10.4</v>
          </cell>
          <cell r="S29">
            <v>5.40000000000001</v>
          </cell>
          <cell r="T29">
            <v>0.400000000000006</v>
          </cell>
        </row>
        <row r="30">
          <cell r="Q30">
            <v>19.9</v>
          </cell>
          <cell r="R30">
            <v>14.9</v>
          </cell>
          <cell r="S30">
            <v>9.90000000000001</v>
          </cell>
          <cell r="T30">
            <v>4.90000000000001</v>
          </cell>
        </row>
        <row r="31">
          <cell r="Q31">
            <v>21.2</v>
          </cell>
          <cell r="R31">
            <v>16.2</v>
          </cell>
          <cell r="S31">
            <v>11.2</v>
          </cell>
          <cell r="T31">
            <v>6.2</v>
          </cell>
        </row>
        <row r="32">
          <cell r="Q32">
            <v>21</v>
          </cell>
          <cell r="R32">
            <v>16</v>
          </cell>
          <cell r="S32">
            <v>11</v>
          </cell>
          <cell r="T32">
            <v>6</v>
          </cell>
        </row>
        <row r="33">
          <cell r="Q33">
            <v>20.3</v>
          </cell>
          <cell r="R33">
            <v>15.3</v>
          </cell>
          <cell r="S33">
            <v>10.3</v>
          </cell>
          <cell r="T33">
            <v>5.3</v>
          </cell>
        </row>
      </sheetData>
      <sheetData sheetId="21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H24">
            <v>0</v>
          </cell>
          <cell r="I24">
            <v>0</v>
          </cell>
          <cell r="K24">
            <v>6.9</v>
          </cell>
          <cell r="L24">
            <v>11.9</v>
          </cell>
          <cell r="M24">
            <v>16.9</v>
          </cell>
        </row>
        <row r="25">
          <cell r="H25">
            <v>0</v>
          </cell>
          <cell r="I25">
            <v>0</v>
          </cell>
          <cell r="K25">
            <v>1.5</v>
          </cell>
          <cell r="L25">
            <v>6.5</v>
          </cell>
          <cell r="M25">
            <v>11.5</v>
          </cell>
        </row>
        <row r="26">
          <cell r="H26">
            <v>0</v>
          </cell>
          <cell r="I26">
            <v>0</v>
          </cell>
          <cell r="K26">
            <v>4.9</v>
          </cell>
          <cell r="L26">
            <v>9.9</v>
          </cell>
          <cell r="M26">
            <v>14.9</v>
          </cell>
        </row>
        <row r="27">
          <cell r="H27">
            <v>0</v>
          </cell>
          <cell r="I27">
            <v>0</v>
          </cell>
          <cell r="K27">
            <v>3.1</v>
          </cell>
          <cell r="L27">
            <v>8.1</v>
          </cell>
          <cell r="M27">
            <v>13.1</v>
          </cell>
        </row>
        <row r="28">
          <cell r="H28">
            <v>0</v>
          </cell>
          <cell r="I28">
            <v>0</v>
          </cell>
          <cell r="K28">
            <v>4.9</v>
          </cell>
          <cell r="L28">
            <v>9.9</v>
          </cell>
          <cell r="M28">
            <v>14.9</v>
          </cell>
        </row>
        <row r="29">
          <cell r="H29">
            <v>0</v>
          </cell>
          <cell r="I29">
            <v>0</v>
          </cell>
          <cell r="K29">
            <v>3.9</v>
          </cell>
          <cell r="L29">
            <v>8.9</v>
          </cell>
          <cell r="M29">
            <v>13.9</v>
          </cell>
        </row>
        <row r="30">
          <cell r="H30">
            <v>0</v>
          </cell>
          <cell r="I30">
            <v>0</v>
          </cell>
          <cell r="K30">
            <v>9.2</v>
          </cell>
          <cell r="L30">
            <v>14.2</v>
          </cell>
          <cell r="M30">
            <v>19.2</v>
          </cell>
        </row>
        <row r="31">
          <cell r="H31">
            <v>0</v>
          </cell>
          <cell r="I31">
            <v>0</v>
          </cell>
          <cell r="K31">
            <v>7.4</v>
          </cell>
          <cell r="L31">
            <v>12.4</v>
          </cell>
          <cell r="M31">
            <v>17.4</v>
          </cell>
        </row>
        <row r="32">
          <cell r="H32">
            <v>0</v>
          </cell>
          <cell r="I32">
            <v>0</v>
          </cell>
          <cell r="K32">
            <v>3.9</v>
          </cell>
          <cell r="L32">
            <v>8.9</v>
          </cell>
          <cell r="M32">
            <v>13.9</v>
          </cell>
        </row>
        <row r="33">
          <cell r="H33">
            <v>0</v>
          </cell>
          <cell r="I33">
            <v>0</v>
          </cell>
          <cell r="K33">
            <v>8.8</v>
          </cell>
          <cell r="L33">
            <v>13.8</v>
          </cell>
          <cell r="M33">
            <v>18.8</v>
          </cell>
        </row>
      </sheetData>
      <sheetData sheetId="22">
        <row r="11">
          <cell r="B11" t="str">
            <v>Abilene</v>
          </cell>
        </row>
        <row r="12">
          <cell r="B12" t="str">
            <v>Austin</v>
          </cell>
        </row>
        <row r="13">
          <cell r="B13" t="str">
            <v>Dallas-Ft. Worth</v>
          </cell>
        </row>
        <row r="14">
          <cell r="B14" t="str">
            <v>Kileen-Temple</v>
          </cell>
        </row>
        <row r="15">
          <cell r="B15" t="str">
            <v>Longview</v>
          </cell>
        </row>
        <row r="16">
          <cell r="B16" t="str">
            <v>Lufkin</v>
          </cell>
        </row>
        <row r="17">
          <cell r="B17" t="str">
            <v>Midland-Odessa</v>
          </cell>
        </row>
        <row r="18">
          <cell r="B18" t="str">
            <v>Sherman-Denison</v>
          </cell>
        </row>
        <row r="19">
          <cell r="B19" t="str">
            <v>Waco</v>
          </cell>
        </row>
        <row r="20">
          <cell r="B20" t="str">
            <v>Wichita Falls</v>
          </cell>
        </row>
        <row r="24">
          <cell r="Q24">
            <v>15</v>
          </cell>
          <cell r="R24">
            <v>10</v>
          </cell>
          <cell r="S24">
            <v>5</v>
          </cell>
          <cell r="T24">
            <v>0</v>
          </cell>
        </row>
        <row r="25">
          <cell r="Q25">
            <v>11.1</v>
          </cell>
          <cell r="R25">
            <v>6.09999999999999</v>
          </cell>
          <cell r="S25">
            <v>1.09999999999999</v>
          </cell>
          <cell r="T25">
            <v>0</v>
          </cell>
        </row>
        <row r="26">
          <cell r="Q26">
            <v>16.2</v>
          </cell>
          <cell r="R26">
            <v>11.2</v>
          </cell>
          <cell r="S26">
            <v>6.2</v>
          </cell>
          <cell r="T26">
            <v>1.2</v>
          </cell>
        </row>
        <row r="27">
          <cell r="Q27">
            <v>12.2</v>
          </cell>
          <cell r="R27">
            <v>7.2</v>
          </cell>
          <cell r="S27">
            <v>2.2</v>
          </cell>
          <cell r="T27">
            <v>0</v>
          </cell>
        </row>
        <row r="28">
          <cell r="Q28">
            <v>13.7</v>
          </cell>
          <cell r="R28">
            <v>8.7</v>
          </cell>
          <cell r="S28">
            <v>3.7</v>
          </cell>
          <cell r="T28">
            <v>0</v>
          </cell>
        </row>
        <row r="29">
          <cell r="Q29">
            <v>13.6</v>
          </cell>
          <cell r="R29">
            <v>8.59999999999999</v>
          </cell>
          <cell r="S29">
            <v>3.59999999999999</v>
          </cell>
          <cell r="T29">
            <v>0</v>
          </cell>
        </row>
        <row r="30">
          <cell r="Q30">
            <v>12.3</v>
          </cell>
          <cell r="R30">
            <v>7.3</v>
          </cell>
          <cell r="S30">
            <v>2.3</v>
          </cell>
          <cell r="T30">
            <v>0</v>
          </cell>
        </row>
        <row r="31">
          <cell r="Q31">
            <v>16.4</v>
          </cell>
          <cell r="R31">
            <v>11.4</v>
          </cell>
          <cell r="S31">
            <v>6.40000000000001</v>
          </cell>
          <cell r="T31">
            <v>1.40000000000001</v>
          </cell>
        </row>
        <row r="32">
          <cell r="Q32">
            <v>13.8</v>
          </cell>
          <cell r="R32">
            <v>8.8</v>
          </cell>
          <cell r="S32">
            <v>3.8</v>
          </cell>
          <cell r="T32">
            <v>0</v>
          </cell>
        </row>
        <row r="33">
          <cell r="Q33">
            <v>16.1</v>
          </cell>
          <cell r="R33">
            <v>11.1</v>
          </cell>
          <cell r="S33">
            <v>6.09999999999999</v>
          </cell>
          <cell r="T33">
            <v>1.09999999999999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s Seasonal Weights"/>
      <sheetName val="Res Monthly Weather Weights"/>
      <sheetName val="Res Weights by Year (18-20)"/>
      <sheetName val="Res Sales by Year (18-20)"/>
    </sheetNames>
    <sheetDataSet>
      <sheetData sheetId="0">
        <row r="11">
          <cell r="D11">
            <v>0.687099557458304</v>
          </cell>
          <cell r="E11">
            <v>0.688793176627724</v>
          </cell>
          <cell r="F11">
            <v>0.692435742708675</v>
          </cell>
          <cell r="G11">
            <v>0.692098961240846</v>
          </cell>
          <cell r="H11">
            <v>0.696285091074105</v>
          </cell>
          <cell r="I11">
            <v>0.702669900384517</v>
          </cell>
          <cell r="J11">
            <v>0.709503113206106</v>
          </cell>
          <cell r="K11">
            <v>0.708468599243794</v>
          </cell>
          <cell r="L11">
            <v>0.706365757557657</v>
          </cell>
          <cell r="M11">
            <v>0.707183780727558</v>
          </cell>
          <cell r="N11">
            <v>0.690843191548264</v>
          </cell>
          <cell r="O11">
            <v>0.684478545959535</v>
          </cell>
          <cell r="P11">
            <v>0.698721080604454</v>
          </cell>
        </row>
        <row r="12">
          <cell r="D12">
            <v>0.0565600979830633</v>
          </cell>
          <cell r="E12">
            <v>0.0556462880405136</v>
          </cell>
          <cell r="F12">
            <v>0.0548143803285368</v>
          </cell>
          <cell r="G12">
            <v>0.0560319919691609</v>
          </cell>
          <cell r="H12">
            <v>0.058727011311667</v>
          </cell>
          <cell r="I12">
            <v>0.0568966748004981</v>
          </cell>
          <cell r="J12">
            <v>0.0563190887129165</v>
          </cell>
          <cell r="K12">
            <v>0.05463410668854</v>
          </cell>
          <cell r="L12">
            <v>0.0537090307992286</v>
          </cell>
          <cell r="M12">
            <v>0.0521621725671318</v>
          </cell>
          <cell r="N12">
            <v>0.0576597613912975</v>
          </cell>
          <cell r="O12">
            <v>0.0581502747424515</v>
          </cell>
          <cell r="P12">
            <v>0.055724564885332</v>
          </cell>
        </row>
        <row r="13">
          <cell r="D13">
            <v>0.0296886353807293</v>
          </cell>
          <cell r="E13">
            <v>0.0297425592565115</v>
          </cell>
          <cell r="F13">
            <v>0.0272670642911533</v>
          </cell>
          <cell r="G13">
            <v>0.0280308425573141</v>
          </cell>
          <cell r="H13">
            <v>0.0269483491171557</v>
          </cell>
          <cell r="I13">
            <v>0.0265130104005843</v>
          </cell>
          <cell r="J13">
            <v>0.0251766961341283</v>
          </cell>
          <cell r="K13">
            <v>0.0247588605129164</v>
          </cell>
          <cell r="L13">
            <v>0.0255135590418713</v>
          </cell>
          <cell r="M13">
            <v>0.0257891616150026</v>
          </cell>
          <cell r="N13">
            <v>0.0275943371159678</v>
          </cell>
          <cell r="O13">
            <v>0.0298243120977268</v>
          </cell>
          <cell r="P13">
            <v>0.026984669814764</v>
          </cell>
        </row>
        <row r="14">
          <cell r="D14">
            <v>0.0146528297600317</v>
          </cell>
          <cell r="E14">
            <v>0.0142530489549992</v>
          </cell>
          <cell r="F14">
            <v>0.0136438214603402</v>
          </cell>
          <cell r="G14">
            <v>0.0132416112648233</v>
          </cell>
          <cell r="H14">
            <v>0.012815129120119</v>
          </cell>
          <cell r="I14">
            <v>0.0125182415832096</v>
          </cell>
          <cell r="J14">
            <v>0.0125263634630248</v>
          </cell>
          <cell r="K14">
            <v>0.0122983063763</v>
          </cell>
          <cell r="L14">
            <v>0.0117659338880383</v>
          </cell>
          <cell r="M14">
            <v>0.0114655638287692</v>
          </cell>
          <cell r="N14">
            <v>0.0136448341089437</v>
          </cell>
          <cell r="O14">
            <v>0.0146080586844586</v>
          </cell>
          <cell r="P14">
            <v>0.0130012388062152</v>
          </cell>
        </row>
        <row r="15">
          <cell r="D15">
            <v>0.0268425434531573</v>
          </cell>
          <cell r="E15">
            <v>0.0281765250314136</v>
          </cell>
          <cell r="F15">
            <v>0.0278975997237766</v>
          </cell>
          <cell r="G15">
            <v>0.0259852954789128</v>
          </cell>
          <cell r="H15">
            <v>0.0234971776609188</v>
          </cell>
          <cell r="I15">
            <v>0.0219893293201519</v>
          </cell>
          <cell r="J15">
            <v>0.0228779519897659</v>
          </cell>
          <cell r="K15">
            <v>0.0235087196376396</v>
          </cell>
          <cell r="L15">
            <v>0.0233431744062353</v>
          </cell>
          <cell r="M15">
            <v>0.0235126857376385</v>
          </cell>
          <cell r="N15">
            <v>0.0248092733237972</v>
          </cell>
          <cell r="O15">
            <v>0.0268646413233399</v>
          </cell>
          <cell r="P15">
            <v>0.0247260410425343</v>
          </cell>
        </row>
        <row r="16">
          <cell r="D16">
            <v>0.0526624258911116</v>
          </cell>
          <cell r="E16">
            <v>0.0513892271994181</v>
          </cell>
          <cell r="F16">
            <v>0.0511507493598033</v>
          </cell>
          <cell r="G16">
            <v>0.0485800069416317</v>
          </cell>
          <cell r="H16">
            <v>0.0468023781889193</v>
          </cell>
          <cell r="I16">
            <v>0.0451860523219325</v>
          </cell>
          <cell r="J16">
            <v>0.0428798556197653</v>
          </cell>
          <cell r="K16">
            <v>0.0434883359336793</v>
          </cell>
          <cell r="L16">
            <v>0.0442179132485648</v>
          </cell>
          <cell r="M16">
            <v>0.0448324685770953</v>
          </cell>
          <cell r="N16">
            <v>0.049311388648392</v>
          </cell>
          <cell r="O16">
            <v>0.0512203399194203</v>
          </cell>
          <cell r="P16">
            <v>0.0471339362470136</v>
          </cell>
        </row>
        <row r="17">
          <cell r="D17">
            <v>0.0392967159905922</v>
          </cell>
          <cell r="E17">
            <v>0.0398222233315</v>
          </cell>
          <cell r="F17">
            <v>0.0402582226907107</v>
          </cell>
          <cell r="G17">
            <v>0.0375744058474863</v>
          </cell>
          <cell r="H17">
            <v>0.0362581871743341</v>
          </cell>
          <cell r="I17">
            <v>0.0353676605945548</v>
          </cell>
          <cell r="J17">
            <v>0.0346720133491652</v>
          </cell>
          <cell r="K17">
            <v>0.0360650700847382</v>
          </cell>
          <cell r="L17">
            <v>0.0369448848408551</v>
          </cell>
          <cell r="M17">
            <v>0.0376159970655332</v>
          </cell>
          <cell r="N17">
            <v>0.0385452539730084</v>
          </cell>
          <cell r="O17">
            <v>0.03861166311002</v>
          </cell>
          <cell r="P17">
            <v>0.0373925413378762</v>
          </cell>
        </row>
        <row r="18">
          <cell r="D18">
            <v>0.0200463876817054</v>
          </cell>
          <cell r="E18">
            <v>0.0200503195296892</v>
          </cell>
          <cell r="F18">
            <v>0.0200385616907652</v>
          </cell>
          <cell r="G18">
            <v>0.0193085876468721</v>
          </cell>
          <cell r="H18">
            <v>0.0185589014209922</v>
          </cell>
          <cell r="I18">
            <v>0.0181288720677485</v>
          </cell>
          <cell r="J18">
            <v>0.0189640834454592</v>
          </cell>
          <cell r="K18">
            <v>0.0193295419099962</v>
          </cell>
          <cell r="L18">
            <v>0.0187317979134415</v>
          </cell>
          <cell r="M18">
            <v>0.0182457105197492</v>
          </cell>
          <cell r="N18">
            <v>0.0190076364718666</v>
          </cell>
          <cell r="O18">
            <v>0.0197333589743291</v>
          </cell>
          <cell r="P18">
            <v>0.0191603497246768</v>
          </cell>
        </row>
        <row r="19">
          <cell r="D19">
            <v>0.0389669027427066</v>
          </cell>
          <cell r="E19">
            <v>0.0393252445348368</v>
          </cell>
          <cell r="F19">
            <v>0.0381647619183765</v>
          </cell>
          <cell r="G19">
            <v>0.0376151107869579</v>
          </cell>
          <cell r="H19">
            <v>0.0362920260168263</v>
          </cell>
          <cell r="I19">
            <v>0.035532291909624</v>
          </cell>
          <cell r="J19">
            <v>0.0344805609306559</v>
          </cell>
          <cell r="K19">
            <v>0.0345711416657778</v>
          </cell>
          <cell r="L19">
            <v>0.0352260070937699</v>
          </cell>
          <cell r="M19">
            <v>0.0351428950896248</v>
          </cell>
          <cell r="N19">
            <v>0.0363733174102109</v>
          </cell>
          <cell r="O19">
            <v>0.0390221703349721</v>
          </cell>
          <cell r="P19">
            <v>0.0364882136197878</v>
          </cell>
        </row>
        <row r="20">
          <cell r="D20">
            <v>0.0341839036585987</v>
          </cell>
          <cell r="E20">
            <v>0.0328013874933935</v>
          </cell>
          <cell r="F20">
            <v>0.0343290958278623</v>
          </cell>
          <cell r="G20">
            <v>0.0415331862659949</v>
          </cell>
          <cell r="H20">
            <v>0.0438157489149633</v>
          </cell>
          <cell r="I20">
            <v>0.0451979666171791</v>
          </cell>
          <cell r="J20">
            <v>0.042600273149013</v>
          </cell>
          <cell r="K20">
            <v>0.0428773179466186</v>
          </cell>
          <cell r="L20">
            <v>0.0441819412103386</v>
          </cell>
          <cell r="M20">
            <v>0.0440495642718978</v>
          </cell>
          <cell r="N20">
            <v>0.0422110060082516</v>
          </cell>
          <cell r="O20">
            <v>0.0374866348537469</v>
          </cell>
          <cell r="P20">
            <v>0.0406673639173462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ECLE10 Seasonal Weights"/>
      <sheetName val="SECLE10 Monthly Weather Weights"/>
      <sheetName val="SECLE10 Weights by Year (18-20)"/>
      <sheetName val="SECLE10 Sales by Year (18-20)"/>
    </sheetNames>
    <sheetDataSet>
      <sheetData sheetId="0">
        <row r="11">
          <cell r="D11">
            <v>0.609539406037904</v>
          </cell>
          <cell r="E11">
            <v>0.594231420233463</v>
          </cell>
          <cell r="F11">
            <v>0.599328525933517</v>
          </cell>
          <cell r="G11">
            <v>0.60208914630404</v>
          </cell>
          <cell r="H11">
            <v>0.599986783398077</v>
          </cell>
          <cell r="I11">
            <v>0.600379321126968</v>
          </cell>
          <cell r="J11">
            <v>0.591087459731682</v>
          </cell>
          <cell r="K11">
            <v>0.592231902350814</v>
          </cell>
          <cell r="L11">
            <v>0.595900938340379</v>
          </cell>
          <cell r="M11">
            <v>0.606992553465591</v>
          </cell>
          <cell r="N11">
            <v>0.608985745797419</v>
          </cell>
          <cell r="O11">
            <v>0.608411370607726</v>
          </cell>
          <cell r="P11">
            <v>0.600373591060636</v>
          </cell>
        </row>
        <row r="12">
          <cell r="D12">
            <v>0.114581382930998</v>
          </cell>
          <cell r="E12">
            <v>0.131971332283285</v>
          </cell>
          <cell r="F12">
            <v>0.132938480779853</v>
          </cell>
          <cell r="G12">
            <v>0.132001337928937</v>
          </cell>
          <cell r="H12">
            <v>0.132290456201777</v>
          </cell>
          <cell r="I12">
            <v>0.122143203112274</v>
          </cell>
          <cell r="J12">
            <v>0.129203412264716</v>
          </cell>
          <cell r="K12">
            <v>0.123875077435209</v>
          </cell>
          <cell r="L12">
            <v>0.118083700520257</v>
          </cell>
          <cell r="M12">
            <v>0.113826303892892</v>
          </cell>
          <cell r="N12">
            <v>0.117265277624736</v>
          </cell>
          <cell r="O12">
            <v>0.117203586743745</v>
          </cell>
          <cell r="P12">
            <v>0.123629361883111</v>
          </cell>
        </row>
        <row r="13">
          <cell r="D13">
            <v>0.0367133466641892</v>
          </cell>
          <cell r="E13">
            <v>0.036716391534347</v>
          </cell>
          <cell r="F13">
            <v>0.0346171921917077</v>
          </cell>
          <cell r="G13">
            <v>0.0353031554132748</v>
          </cell>
          <cell r="H13">
            <v>0.0359669621508581</v>
          </cell>
          <cell r="I13">
            <v>0.0387264618866167</v>
          </cell>
          <cell r="J13">
            <v>0.0385509324954233</v>
          </cell>
          <cell r="K13">
            <v>0.0386559740165417</v>
          </cell>
          <cell r="L13">
            <v>0.0390515330607376</v>
          </cell>
          <cell r="M13">
            <v>0.0380543303764462</v>
          </cell>
          <cell r="N13">
            <v>0.0359906476749659</v>
          </cell>
          <cell r="O13">
            <v>0.0363176932944382</v>
          </cell>
          <cell r="P13">
            <v>0.0371700304307806</v>
          </cell>
        </row>
        <row r="14">
          <cell r="D14">
            <v>0.0299574574175389</v>
          </cell>
          <cell r="E14">
            <v>0.0292596078034654</v>
          </cell>
          <cell r="F14">
            <v>0.0284727313438822</v>
          </cell>
          <cell r="G14">
            <v>0.0286388808330994</v>
          </cell>
          <cell r="H14">
            <v>0.0293522587093194</v>
          </cell>
          <cell r="I14">
            <v>0.0294718079298925</v>
          </cell>
          <cell r="J14">
            <v>0.0307578330050093</v>
          </cell>
          <cell r="K14">
            <v>0.0311167514631742</v>
          </cell>
          <cell r="L14">
            <v>0.0299707189063428</v>
          </cell>
          <cell r="M14">
            <v>0.0285237923532696</v>
          </cell>
          <cell r="N14">
            <v>0.0296313965148479</v>
          </cell>
          <cell r="O14">
            <v>0.0299733606291202</v>
          </cell>
          <cell r="P14">
            <v>0.0296504744245991</v>
          </cell>
        </row>
        <row r="15">
          <cell r="D15">
            <v>0.0332188017264966</v>
          </cell>
          <cell r="E15">
            <v>0.0335479865134584</v>
          </cell>
          <cell r="F15">
            <v>0.0326224869799542</v>
          </cell>
          <cell r="G15">
            <v>0.031188479585157</v>
          </cell>
          <cell r="H15">
            <v>0.0308261252650725</v>
          </cell>
          <cell r="I15">
            <v>0.032127343837749</v>
          </cell>
          <cell r="J15">
            <v>0.0334476456863538</v>
          </cell>
          <cell r="K15">
            <v>0.0341469385985931</v>
          </cell>
          <cell r="L15">
            <v>0.0338408700963311</v>
          </cell>
          <cell r="M15">
            <v>0.032450688754278</v>
          </cell>
          <cell r="N15">
            <v>0.0316367984248818</v>
          </cell>
          <cell r="O15">
            <v>0.0323295669580507</v>
          </cell>
          <cell r="P15">
            <v>0.0327160909630229</v>
          </cell>
        </row>
        <row r="16">
          <cell r="D16">
            <v>0.0338406659649398</v>
          </cell>
          <cell r="E16">
            <v>0.0331225692038144</v>
          </cell>
          <cell r="F16">
            <v>0.0329119854607539</v>
          </cell>
          <cell r="G16">
            <v>0.0329953591127919</v>
          </cell>
          <cell r="H16">
            <v>0.0333000368938787</v>
          </cell>
          <cell r="I16">
            <v>0.03412120945094</v>
          </cell>
          <cell r="J16">
            <v>0.0333845021745152</v>
          </cell>
          <cell r="K16">
            <v>0.0339275065843369</v>
          </cell>
          <cell r="L16">
            <v>0.0346414014422475</v>
          </cell>
          <cell r="M16">
            <v>0.0344399733824426</v>
          </cell>
          <cell r="N16">
            <v>0.0344720082057463</v>
          </cell>
          <cell r="O16">
            <v>0.0341264227923388</v>
          </cell>
          <cell r="P16">
            <v>0.033789270682595</v>
          </cell>
        </row>
        <row r="17">
          <cell r="D17">
            <v>0.0374859307295247</v>
          </cell>
          <cell r="E17">
            <v>0.0372413564902346</v>
          </cell>
          <cell r="F17">
            <v>0.037928951175392</v>
          </cell>
          <cell r="G17">
            <v>0.0370196025051269</v>
          </cell>
          <cell r="H17">
            <v>0.0373911531591759</v>
          </cell>
          <cell r="I17">
            <v>0.038489287571784</v>
          </cell>
          <cell r="J17">
            <v>0.0382565668119309</v>
          </cell>
          <cell r="K17">
            <v>0.03929767861489</v>
          </cell>
          <cell r="L17">
            <v>0.0401349198936048</v>
          </cell>
          <cell r="M17">
            <v>0.0397140868121643</v>
          </cell>
          <cell r="N17">
            <v>0.0385510698100654</v>
          </cell>
          <cell r="O17">
            <v>0.0378756442631318</v>
          </cell>
          <cell r="P17">
            <v>0.0383382977077658</v>
          </cell>
        </row>
        <row r="18">
          <cell r="D18">
            <v>0.026890516748309</v>
          </cell>
          <cell r="E18">
            <v>0.0263485095496878</v>
          </cell>
          <cell r="F18">
            <v>0.0261375236068677</v>
          </cell>
          <cell r="G18">
            <v>0.0257269332479345</v>
          </cell>
          <cell r="H18">
            <v>0.0255615653297144</v>
          </cell>
          <cell r="I18">
            <v>0.0257718138821411</v>
          </cell>
          <cell r="J18">
            <v>0.026368460146407</v>
          </cell>
          <cell r="K18">
            <v>0.0267014854201943</v>
          </cell>
          <cell r="L18">
            <v>0.026380912952055</v>
          </cell>
          <cell r="M18">
            <v>0.0256497806874007</v>
          </cell>
          <cell r="N18">
            <v>0.0256116055091813</v>
          </cell>
          <cell r="O18">
            <v>0.0261765477666184</v>
          </cell>
          <cell r="P18">
            <v>0.0261452691503332</v>
          </cell>
        </row>
        <row r="19">
          <cell r="D19">
            <v>0.043330200539241</v>
          </cell>
          <cell r="E19">
            <v>0.0437114858494275</v>
          </cell>
          <cell r="F19">
            <v>0.0420541323598181</v>
          </cell>
          <cell r="G19">
            <v>0.0414489194888007</v>
          </cell>
          <cell r="H19">
            <v>0.0415573827407715</v>
          </cell>
          <cell r="I19">
            <v>0.0444537190861288</v>
          </cell>
          <cell r="J19">
            <v>0.0454764047149192</v>
          </cell>
          <cell r="K19">
            <v>0.0462035347869101</v>
          </cell>
          <cell r="L19">
            <v>0.0469555169845997</v>
          </cell>
          <cell r="M19">
            <v>0.0451204424176327</v>
          </cell>
          <cell r="N19">
            <v>0.0422936296494586</v>
          </cell>
          <cell r="O19">
            <v>0.0426547056264737</v>
          </cell>
          <cell r="P19">
            <v>0.0439400150387507</v>
          </cell>
        </row>
        <row r="20">
          <cell r="D20">
            <v>0.0344422912408586</v>
          </cell>
          <cell r="E20">
            <v>0.033849340538816</v>
          </cell>
          <cell r="F20">
            <v>0.0329879901682543</v>
          </cell>
          <cell r="G20">
            <v>0.0335881855808373</v>
          </cell>
          <cell r="H20">
            <v>0.0337672761513555</v>
          </cell>
          <cell r="I20">
            <v>0.0343158321155058</v>
          </cell>
          <cell r="J20">
            <v>0.0334667829690432</v>
          </cell>
          <cell r="K20">
            <v>0.0338431507293372</v>
          </cell>
          <cell r="L20">
            <v>0.035039487803446</v>
          </cell>
          <cell r="M20">
            <v>0.0352280478578832</v>
          </cell>
          <cell r="N20">
            <v>0.0355618207886978</v>
          </cell>
          <cell r="O20">
            <v>0.0349311013183574</v>
          </cell>
          <cell r="P20">
            <v>0.0342475986584055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ECGT10 Seasonal Weights"/>
      <sheetName val="SECGT10 Monthly Weather Weights"/>
      <sheetName val="SECGT10 Weights by Year (18-20)"/>
      <sheetName val="SECGT10 Sales by Year (18-20)"/>
    </sheetNames>
    <sheetDataSet>
      <sheetData sheetId="0">
        <row r="11">
          <cell r="D11">
            <v>0.745526905739319</v>
          </cell>
          <cell r="E11">
            <v>0.741533447984416</v>
          </cell>
          <cell r="F11">
            <v>0.740964181326498</v>
          </cell>
          <cell r="G11">
            <v>0.743025559782018</v>
          </cell>
          <cell r="H11">
            <v>0.739153967560812</v>
          </cell>
          <cell r="I11">
            <v>0.739988010035091</v>
          </cell>
          <cell r="J11">
            <v>0.742198279998175</v>
          </cell>
          <cell r="K11">
            <v>0.741063692957429</v>
          </cell>
          <cell r="L11">
            <v>0.739736849264606</v>
          </cell>
          <cell r="M11">
            <v>0.743866419601265</v>
          </cell>
          <cell r="N11">
            <v>0.740052545138141</v>
          </cell>
          <cell r="O11">
            <v>0.739307776753502</v>
          </cell>
          <cell r="P11">
            <v>0.741364239681855</v>
          </cell>
        </row>
        <row r="12">
          <cell r="D12">
            <v>0.0660437507478318</v>
          </cell>
          <cell r="E12">
            <v>0.0667934497925458</v>
          </cell>
          <cell r="F12">
            <v>0.068866566913887</v>
          </cell>
          <cell r="G12">
            <v>0.0662983827999797</v>
          </cell>
          <cell r="H12">
            <v>0.0685854980554696</v>
          </cell>
          <cell r="I12">
            <v>0.0643451967456224</v>
          </cell>
          <cell r="J12">
            <v>0.0640178339976888</v>
          </cell>
          <cell r="K12">
            <v>0.064223838554646</v>
          </cell>
          <cell r="L12">
            <v>0.0625851875142075</v>
          </cell>
          <cell r="M12">
            <v>0.0615055535318037</v>
          </cell>
          <cell r="N12">
            <v>0.0667441801208714</v>
          </cell>
          <cell r="O12">
            <v>0.0702509318698018</v>
          </cell>
          <cell r="P12">
            <v>0.0655946317621059</v>
          </cell>
        </row>
        <row r="13">
          <cell r="D13">
            <v>0.0239530336013916</v>
          </cell>
          <cell r="E13">
            <v>0.0246624873989982</v>
          </cell>
          <cell r="F13">
            <v>0.024329971722723</v>
          </cell>
          <cell r="G13">
            <v>0.025018733142726</v>
          </cell>
          <cell r="H13">
            <v>0.02528266923046</v>
          </cell>
          <cell r="I13">
            <v>0.0260012714599167</v>
          </cell>
          <cell r="J13">
            <v>0.025020173333092</v>
          </cell>
          <cell r="K13">
            <v>0.0248993286542579</v>
          </cell>
          <cell r="L13">
            <v>0.025422048973714</v>
          </cell>
          <cell r="M13">
            <v>0.025148066914882</v>
          </cell>
          <cell r="N13">
            <v>0.0249140131892442</v>
          </cell>
          <cell r="O13">
            <v>0.0241784508450739</v>
          </cell>
          <cell r="P13">
            <v>0.024933129624648</v>
          </cell>
        </row>
        <row r="14">
          <cell r="D14">
            <v>0.0121014259291975</v>
          </cell>
          <cell r="E14">
            <v>0.0120529039477893</v>
          </cell>
          <cell r="F14">
            <v>0.0114553094002759</v>
          </cell>
          <cell r="G14">
            <v>0.0113378747084994</v>
          </cell>
          <cell r="H14">
            <v>0.0113097525430689</v>
          </cell>
          <cell r="I14">
            <v>0.011395411290296</v>
          </cell>
          <cell r="J14">
            <v>0.0117116662539679</v>
          </cell>
          <cell r="K14">
            <v>0.0119236866848383</v>
          </cell>
          <cell r="L14">
            <v>0.0116979518201308</v>
          </cell>
          <cell r="M14">
            <v>0.0108290641099764</v>
          </cell>
          <cell r="N14">
            <v>0.0113989737757379</v>
          </cell>
          <cell r="O14">
            <v>0.0115052338709694</v>
          </cell>
          <cell r="P14">
            <v>0.0115684198464698</v>
          </cell>
        </row>
        <row r="15">
          <cell r="D15">
            <v>0.0240126277235803</v>
          </cell>
          <cell r="E15">
            <v>0.0245539241709767</v>
          </cell>
          <cell r="F15">
            <v>0.0241237479157879</v>
          </cell>
          <cell r="G15">
            <v>0.0239951237721344</v>
          </cell>
          <cell r="H15">
            <v>0.0236721156220317</v>
          </cell>
          <cell r="I15">
            <v>0.0235562441573468</v>
          </cell>
          <cell r="J15">
            <v>0.0236934156416119</v>
          </cell>
          <cell r="K15">
            <v>0.0240928462889548</v>
          </cell>
          <cell r="L15">
            <v>0.024105341464889</v>
          </cell>
          <cell r="M15">
            <v>0.023809813900458</v>
          </cell>
          <cell r="N15">
            <v>0.0237998700346835</v>
          </cell>
          <cell r="O15">
            <v>0.0240291801627277</v>
          </cell>
          <cell r="P15">
            <v>0.0239493242406797</v>
          </cell>
        </row>
        <row r="16">
          <cell r="D16">
            <v>0.0260531938147032</v>
          </cell>
          <cell r="E16">
            <v>0.0262802491960062</v>
          </cell>
          <cell r="F16">
            <v>0.0262168496943869</v>
          </cell>
          <cell r="G16">
            <v>0.0261400887438767</v>
          </cell>
          <cell r="H16">
            <v>0.0264544993750972</v>
          </cell>
          <cell r="I16">
            <v>0.0271861274593846</v>
          </cell>
          <cell r="J16">
            <v>0.0268900498076796</v>
          </cell>
          <cell r="K16">
            <v>0.026900894459351</v>
          </cell>
          <cell r="L16">
            <v>0.0276654370116368</v>
          </cell>
          <cell r="M16">
            <v>0.027287705116441</v>
          </cell>
          <cell r="N16">
            <v>0.0269261757775087</v>
          </cell>
          <cell r="O16">
            <v>0.0266515866656262</v>
          </cell>
          <cell r="P16">
            <v>0.0267687233055461</v>
          </cell>
        </row>
        <row r="17">
          <cell r="D17">
            <v>0.0320131229977158</v>
          </cell>
          <cell r="E17">
            <v>0.0325443745493296</v>
          </cell>
          <cell r="F17">
            <v>0.0328283730901076</v>
          </cell>
          <cell r="G17">
            <v>0.0326791630244541</v>
          </cell>
          <cell r="H17">
            <v>0.0330363547218235</v>
          </cell>
          <cell r="I17">
            <v>0.0338379137561443</v>
          </cell>
          <cell r="J17">
            <v>0.0334214666375545</v>
          </cell>
          <cell r="K17">
            <v>0.0338034540023967</v>
          </cell>
          <cell r="L17">
            <v>0.0346091993377955</v>
          </cell>
          <cell r="M17">
            <v>0.0340001927848412</v>
          </cell>
          <cell r="N17">
            <v>0.0334795659293615</v>
          </cell>
          <cell r="O17">
            <v>0.0323511668925801</v>
          </cell>
          <cell r="P17">
            <v>0.0332916016525647</v>
          </cell>
        </row>
        <row r="18">
          <cell r="D18">
            <v>0.014676124209649</v>
          </cell>
          <cell r="E18">
            <v>0.015001919467032</v>
          </cell>
          <cell r="F18">
            <v>0.014789394997024</v>
          </cell>
          <cell r="G18">
            <v>0.0145815897824909</v>
          </cell>
          <cell r="H18">
            <v>0.0145543727518204</v>
          </cell>
          <cell r="I18">
            <v>0.014841545191615</v>
          </cell>
          <cell r="J18">
            <v>0.0152162271998269</v>
          </cell>
          <cell r="K18">
            <v>0.0153315131762864</v>
          </cell>
          <cell r="L18">
            <v>0.0153274784753541</v>
          </cell>
          <cell r="M18">
            <v>0.0148653577606213</v>
          </cell>
          <cell r="N18">
            <v>0.0145719490779974</v>
          </cell>
          <cell r="O18">
            <v>0.0143652258741912</v>
          </cell>
          <cell r="P18">
            <v>0.0148795423534458</v>
          </cell>
        </row>
        <row r="19">
          <cell r="D19">
            <v>0.030281909925481</v>
          </cell>
          <cell r="E19">
            <v>0.0307724716158812</v>
          </cell>
          <cell r="F19">
            <v>0.030429795253138</v>
          </cell>
          <cell r="G19">
            <v>0.0305062798307193</v>
          </cell>
          <cell r="H19">
            <v>0.0311588345113815</v>
          </cell>
          <cell r="I19">
            <v>0.0315390960169916</v>
          </cell>
          <cell r="J19">
            <v>0.0315440311455753</v>
          </cell>
          <cell r="K19">
            <v>0.0313622289692437</v>
          </cell>
          <cell r="L19">
            <v>0.0317271016086424</v>
          </cell>
          <cell r="M19">
            <v>0.0314732346107093</v>
          </cell>
          <cell r="N19">
            <v>0.0307869460979823</v>
          </cell>
          <cell r="O19">
            <v>0.0305197693160085</v>
          </cell>
          <cell r="P19">
            <v>0.0310621644536234</v>
          </cell>
        </row>
        <row r="20">
          <cell r="D20">
            <v>0.0253379053111309</v>
          </cell>
          <cell r="E20">
            <v>0.0258047718770248</v>
          </cell>
          <cell r="F20">
            <v>0.0259958096861717</v>
          </cell>
          <cell r="G20">
            <v>0.0264172044131015</v>
          </cell>
          <cell r="H20">
            <v>0.0267919356280354</v>
          </cell>
          <cell r="I20">
            <v>0.0273091838875915</v>
          </cell>
          <cell r="J20">
            <v>0.0262868559848285</v>
          </cell>
          <cell r="K20">
            <v>0.0263985162525959</v>
          </cell>
          <cell r="L20">
            <v>0.027123404529024</v>
          </cell>
          <cell r="M20">
            <v>0.0272145916690026</v>
          </cell>
          <cell r="N20">
            <v>0.0273257808584721</v>
          </cell>
          <cell r="O20">
            <v>0.0268406777495188</v>
          </cell>
          <cell r="P20">
            <v>0.0265882230790621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MDIST Seasonal Weights"/>
      <sheetName val="PRMDIST Monthly Weather Weights"/>
      <sheetName val="PRMDIST Weights by Year (18-20)"/>
      <sheetName val="PRMDIST Sales by Year (18-20)"/>
    </sheetNames>
    <sheetDataSet>
      <sheetData sheetId="0">
        <row r="11">
          <cell r="D11">
            <v>0.328225999135667</v>
          </cell>
          <cell r="E11">
            <v>0.322661905907713</v>
          </cell>
          <cell r="F11">
            <v>0.327329315908609</v>
          </cell>
          <cell r="G11">
            <v>0.317149738353529</v>
          </cell>
          <cell r="H11">
            <v>0.323219046659968</v>
          </cell>
          <cell r="I11">
            <v>0.345081304500611</v>
          </cell>
          <cell r="J11">
            <v>0.339358856529509</v>
          </cell>
          <cell r="K11">
            <v>0.341287480896443</v>
          </cell>
          <cell r="L11">
            <v>0.341886853618266</v>
          </cell>
          <cell r="M11">
            <v>0.328168627768397</v>
          </cell>
          <cell r="N11">
            <v>0.319252533689401</v>
          </cell>
          <cell r="O11">
            <v>0.304912006178543</v>
          </cell>
          <cell r="P11">
            <v>0.328488838916323</v>
          </cell>
        </row>
        <row r="12">
          <cell r="D12">
            <v>0.486683986940921</v>
          </cell>
          <cell r="E12">
            <v>0.501871238198148</v>
          </cell>
          <cell r="F12">
            <v>0.489725729773803</v>
          </cell>
          <cell r="G12">
            <v>0.505001248141675</v>
          </cell>
          <cell r="H12">
            <v>0.500465871966327</v>
          </cell>
          <cell r="I12">
            <v>0.468011402820376</v>
          </cell>
          <cell r="J12">
            <v>0.477958344571352</v>
          </cell>
          <cell r="K12">
            <v>0.47488034275823</v>
          </cell>
          <cell r="L12">
            <v>0.481111709917873</v>
          </cell>
          <cell r="M12">
            <v>0.493506400751987</v>
          </cell>
          <cell r="N12">
            <v>0.509519556709886</v>
          </cell>
          <cell r="O12">
            <v>0.531203024687713</v>
          </cell>
          <cell r="P12">
            <v>0.493061631003475</v>
          </cell>
        </row>
        <row r="13">
          <cell r="D13">
            <v>0.0272542157559352</v>
          </cell>
          <cell r="E13">
            <v>0.024839491327864</v>
          </cell>
          <cell r="F13">
            <v>0.0274070583241628</v>
          </cell>
          <cell r="G13">
            <v>0.0261481788756406</v>
          </cell>
          <cell r="H13">
            <v>0.0256560841253199</v>
          </cell>
          <cell r="I13">
            <v>0.0258775072315308</v>
          </cell>
          <cell r="J13">
            <v>0.0258266483981195</v>
          </cell>
          <cell r="K13">
            <v>0.0254266184509018</v>
          </cell>
          <cell r="L13">
            <v>0.025392800594945</v>
          </cell>
          <cell r="M13">
            <v>0.025088026482304</v>
          </cell>
          <cell r="N13">
            <v>0.0248364284751809</v>
          </cell>
          <cell r="O13">
            <v>0.0250054066185065</v>
          </cell>
          <cell r="P13">
            <v>0.0257091031995345</v>
          </cell>
        </row>
        <row r="14">
          <cell r="D14">
            <v>0.0610710931606436</v>
          </cell>
          <cell r="E14">
            <v>0.0549920269020189</v>
          </cell>
          <cell r="F14">
            <v>0.0602476278413196</v>
          </cell>
          <cell r="G14">
            <v>0.0567543608285636</v>
          </cell>
          <cell r="H14">
            <v>0.0526625384946962</v>
          </cell>
          <cell r="I14">
            <v>0.0577393604610066</v>
          </cell>
          <cell r="J14">
            <v>0.0538609319253052</v>
          </cell>
          <cell r="K14">
            <v>0.0521311990495248</v>
          </cell>
          <cell r="L14">
            <v>0.0481309463232677</v>
          </cell>
          <cell r="M14">
            <v>0.0518872212340788</v>
          </cell>
          <cell r="N14">
            <v>0.0512455927439455</v>
          </cell>
          <cell r="O14">
            <v>0.0473076106015209</v>
          </cell>
          <cell r="P14">
            <v>0.0538568135649241</v>
          </cell>
        </row>
        <row r="15">
          <cell r="D15">
            <v>0.0193989252077186</v>
          </cell>
          <cell r="E15">
            <v>0.019138918272276</v>
          </cell>
          <cell r="F15">
            <v>0.0191082582561613</v>
          </cell>
          <cell r="G15">
            <v>0.0186490976892522</v>
          </cell>
          <cell r="H15">
            <v>0.0195455098386548</v>
          </cell>
          <cell r="I15">
            <v>0.0209494926275706</v>
          </cell>
          <cell r="J15">
            <v>0.0209715357725816</v>
          </cell>
          <cell r="K15">
            <v>0.0227327101142748</v>
          </cell>
          <cell r="L15">
            <v>0.0224351108624506</v>
          </cell>
          <cell r="M15">
            <v>0.0211298433217794</v>
          </cell>
          <cell r="N15">
            <v>0.0194585801543091</v>
          </cell>
          <cell r="O15">
            <v>0.0185210828838919</v>
          </cell>
          <cell r="P15">
            <v>0.0202279172025496</v>
          </cell>
        </row>
        <row r="16">
          <cell r="D16">
            <v>0.0125771322623693</v>
          </cell>
          <cell r="E16">
            <v>0.0123738418474447</v>
          </cell>
          <cell r="F16">
            <v>0.0126836245281715</v>
          </cell>
          <cell r="G16">
            <v>0.0129751321175033</v>
          </cell>
          <cell r="H16">
            <v>0.0130033481221576</v>
          </cell>
          <cell r="I16">
            <v>0.0140230582376616</v>
          </cell>
          <cell r="J16">
            <v>0.014092221147349</v>
          </cell>
          <cell r="K16">
            <v>0.0146533017758982</v>
          </cell>
          <cell r="L16">
            <v>0.0143121724276396</v>
          </cell>
          <cell r="M16">
            <v>0.0140373761333177</v>
          </cell>
          <cell r="N16">
            <v>0.0126893730550947</v>
          </cell>
          <cell r="O16">
            <v>0.0123793600152381</v>
          </cell>
          <cell r="P16">
            <v>0.0133502986458621</v>
          </cell>
        </row>
        <row r="17">
          <cell r="D17">
            <v>0.0288086752334933</v>
          </cell>
          <cell r="E17">
            <v>0.0294603544839019</v>
          </cell>
          <cell r="F17">
            <v>0.0290889408549849</v>
          </cell>
          <cell r="G17">
            <v>0.0307349655942571</v>
          </cell>
          <cell r="H17">
            <v>0.0311971554786451</v>
          </cell>
          <cell r="I17">
            <v>0.0332017411637712</v>
          </cell>
          <cell r="J17">
            <v>0.0329842622972024</v>
          </cell>
          <cell r="K17">
            <v>0.0337982445061754</v>
          </cell>
          <cell r="L17">
            <v>0.0329580499982364</v>
          </cell>
          <cell r="M17">
            <v>0.0330871298539167</v>
          </cell>
          <cell r="N17">
            <v>0.0312297094177116</v>
          </cell>
          <cell r="O17">
            <v>0.0289787812375059</v>
          </cell>
          <cell r="P17">
            <v>0.0313676025325419</v>
          </cell>
        </row>
        <row r="18">
          <cell r="D18">
            <v>0.0127133291519108</v>
          </cell>
          <cell r="E18">
            <v>0.0114367206869426</v>
          </cell>
          <cell r="F18">
            <v>0.01157100596012</v>
          </cell>
          <cell r="G18">
            <v>0.0115742095098147</v>
          </cell>
          <cell r="H18">
            <v>0.0110729836352273</v>
          </cell>
          <cell r="I18">
            <v>0.0109755019105001</v>
          </cell>
          <cell r="J18">
            <v>0.011263685890335</v>
          </cell>
          <cell r="K18">
            <v>0.0113659392654148</v>
          </cell>
          <cell r="L18">
            <v>0.0117265452845929</v>
          </cell>
          <cell r="M18">
            <v>0.0110431181244494</v>
          </cell>
          <cell r="N18">
            <v>0.0109744406509126</v>
          </cell>
          <cell r="O18">
            <v>0.0110163100362994</v>
          </cell>
          <cell r="P18">
            <v>0.01138723876544</v>
          </cell>
        </row>
        <row r="19">
          <cell r="D19">
            <v>0.0158933516837944</v>
          </cell>
          <cell r="E19">
            <v>0.0162969419397995</v>
          </cell>
          <cell r="F19">
            <v>0.0161374194512995</v>
          </cell>
          <cell r="G19">
            <v>0.0143013410226759</v>
          </cell>
          <cell r="H19">
            <v>0.0163925243593455</v>
          </cell>
          <cell r="I19">
            <v>0.0172974056939041</v>
          </cell>
          <cell r="J19">
            <v>0.0174620345104605</v>
          </cell>
          <cell r="K19">
            <v>0.017903039311049</v>
          </cell>
          <cell r="L19">
            <v>0.0179446212759585</v>
          </cell>
          <cell r="M19">
            <v>0.0170447343776391</v>
          </cell>
          <cell r="N19">
            <v>0.0155745963669557</v>
          </cell>
          <cell r="O19">
            <v>0.0153910646753065</v>
          </cell>
          <cell r="P19">
            <v>0.0165067737416263</v>
          </cell>
        </row>
        <row r="20">
          <cell r="D20">
            <v>0.00737329146754748</v>
          </cell>
          <cell r="E20">
            <v>0.0069285604338914</v>
          </cell>
          <cell r="F20">
            <v>0.00670101910136799</v>
          </cell>
          <cell r="G20">
            <v>0.00671172786708843</v>
          </cell>
          <cell r="H20">
            <v>0.0067849373196582</v>
          </cell>
          <cell r="I20">
            <v>0.00684322535306842</v>
          </cell>
          <cell r="J20">
            <v>0.0062214789577861</v>
          </cell>
          <cell r="K20">
            <v>0.00582112387208776</v>
          </cell>
          <cell r="L20">
            <v>0.00410118969676966</v>
          </cell>
          <cell r="M20">
            <v>0.00500752195213074</v>
          </cell>
          <cell r="N20">
            <v>0.00521918873660247</v>
          </cell>
          <cell r="O20">
            <v>0.0052853530654755</v>
          </cell>
          <cell r="P20">
            <v>0.00604378242772316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UBS Seasonal Weights"/>
      <sheetName val="SUBS Monthly Weather Weights"/>
      <sheetName val="SUBS Weights by Year (18-20)"/>
      <sheetName val="SUBS Sales by Year (18-20)"/>
    </sheetNames>
    <sheetDataSet>
      <sheetData sheetId="0">
        <row r="11">
          <cell r="D11">
            <v>0.217654277767372</v>
          </cell>
          <cell r="E11">
            <v>0.187485846567054</v>
          </cell>
          <cell r="F11">
            <v>0.174314323312052</v>
          </cell>
          <cell r="G11">
            <v>0.212321505437881</v>
          </cell>
          <cell r="H11">
            <v>0.214398313515025</v>
          </cell>
          <cell r="I11">
            <v>0.203429457200853</v>
          </cell>
          <cell r="J11">
            <v>0.205708312102146</v>
          </cell>
          <cell r="K11">
            <v>0.208267555294138</v>
          </cell>
          <cell r="L11">
            <v>0.204805352462716</v>
          </cell>
          <cell r="M11">
            <v>0.192546481857456</v>
          </cell>
          <cell r="N11">
            <v>0.195777709084822</v>
          </cell>
          <cell r="O11">
            <v>0.179631895152151</v>
          </cell>
          <cell r="P11">
            <v>0.199385546948409</v>
          </cell>
        </row>
        <row r="12">
          <cell r="D12">
            <v>0.500961464625126</v>
          </cell>
          <cell r="E12">
            <v>0.561438744850192</v>
          </cell>
          <cell r="F12">
            <v>0.609113253418774</v>
          </cell>
          <cell r="G12">
            <v>0.539441960489437</v>
          </cell>
          <cell r="H12">
            <v>0.535707117152112</v>
          </cell>
          <cell r="I12">
            <v>0.552668826538159</v>
          </cell>
          <cell r="J12">
            <v>0.548967869942936</v>
          </cell>
          <cell r="K12">
            <v>0.543029735937405</v>
          </cell>
          <cell r="L12">
            <v>0.545660200150784</v>
          </cell>
          <cell r="M12">
            <v>0.56676884832272</v>
          </cell>
          <cell r="N12">
            <v>0.569914833452417</v>
          </cell>
          <cell r="O12">
            <v>0.583767600541098</v>
          </cell>
          <cell r="P12">
            <v>0.555657185948493</v>
          </cell>
        </row>
        <row r="13">
          <cell r="D13">
            <v>0.0275852559848883</v>
          </cell>
          <cell r="E13">
            <v>0.0254436448851765</v>
          </cell>
          <cell r="F13">
            <v>0.0229914305696687</v>
          </cell>
          <cell r="G13">
            <v>0.0252464170940626</v>
          </cell>
          <cell r="H13">
            <v>0.0252001470019474</v>
          </cell>
          <cell r="I13">
            <v>0.0267573660254464</v>
          </cell>
          <cell r="J13">
            <v>0.029754612342569</v>
          </cell>
          <cell r="K13">
            <v>0.0277813338667286</v>
          </cell>
          <cell r="L13">
            <v>0.0283871713431291</v>
          </cell>
          <cell r="M13">
            <v>0.0272476303963729</v>
          </cell>
          <cell r="N13">
            <v>0.0259098848921928</v>
          </cell>
          <cell r="O13">
            <v>0.0174210871970972</v>
          </cell>
          <cell r="P13">
            <v>0.0257908386028047</v>
          </cell>
        </row>
        <row r="14">
          <cell r="D14">
            <v>0.105378622002089</v>
          </cell>
          <cell r="E14">
            <v>0.103097274082395</v>
          </cell>
          <cell r="F14">
            <v>0.0836162911607228</v>
          </cell>
          <cell r="G14">
            <v>0.0902552144486136</v>
          </cell>
          <cell r="H14">
            <v>0.0960310016918284</v>
          </cell>
          <cell r="I14">
            <v>0.0845363386727902</v>
          </cell>
          <cell r="J14">
            <v>0.0798382194289428</v>
          </cell>
          <cell r="K14">
            <v>0.0751453890274811</v>
          </cell>
          <cell r="L14">
            <v>0.0768236085330253</v>
          </cell>
          <cell r="M14">
            <v>0.0723041794150558</v>
          </cell>
          <cell r="N14">
            <v>0.0735104520737316</v>
          </cell>
          <cell r="O14">
            <v>0.0957521634284452</v>
          </cell>
          <cell r="P14">
            <v>0.0857253597262462</v>
          </cell>
        </row>
        <row r="15">
          <cell r="D15">
            <v>0.00838439019635629</v>
          </cell>
          <cell r="E15">
            <v>0.00851812575913015</v>
          </cell>
          <cell r="F15">
            <v>0.00735630611408812</v>
          </cell>
          <cell r="G15">
            <v>0.00801198759162293</v>
          </cell>
          <cell r="H15">
            <v>0.00723247926300376</v>
          </cell>
          <cell r="I15">
            <v>0.0111383400717682</v>
          </cell>
          <cell r="J15">
            <v>0.0126273499739817</v>
          </cell>
          <cell r="K15">
            <v>0.0123275520864463</v>
          </cell>
          <cell r="L15">
            <v>0.0138757967076712</v>
          </cell>
          <cell r="M15">
            <v>0.0114313634973475</v>
          </cell>
          <cell r="N15">
            <v>0.0106749236527693</v>
          </cell>
          <cell r="O15">
            <v>0.00533288036432864</v>
          </cell>
          <cell r="P15">
            <v>0.0098316421372455</v>
          </cell>
        </row>
        <row r="16">
          <cell r="D16">
            <v>0.0756931215251809</v>
          </cell>
          <cell r="E16">
            <v>0.047624335821386</v>
          </cell>
          <cell r="F16">
            <v>0.0508634299716405</v>
          </cell>
          <cell r="G16">
            <v>0.056338141665272</v>
          </cell>
          <cell r="H16">
            <v>0.0568251282261204</v>
          </cell>
          <cell r="I16">
            <v>0.0621775601105744</v>
          </cell>
          <cell r="J16">
            <v>0.0619421084556504</v>
          </cell>
          <cell r="K16">
            <v>0.0699501154685129</v>
          </cell>
          <cell r="L16">
            <v>0.067068932077803</v>
          </cell>
          <cell r="M16">
            <v>0.064543202381465</v>
          </cell>
          <cell r="N16">
            <v>0.065253255074163</v>
          </cell>
          <cell r="O16">
            <v>0.0622879883137732</v>
          </cell>
          <cell r="P16">
            <v>0.0618602273013288</v>
          </cell>
        </row>
        <row r="17">
          <cell r="D17">
            <v>0.0178784238621019</v>
          </cell>
          <cell r="E17">
            <v>0.0177260374435395</v>
          </cell>
          <cell r="F17">
            <v>0.0124940080279169</v>
          </cell>
          <cell r="G17">
            <v>0.0200311018084355</v>
          </cell>
          <cell r="H17">
            <v>0.0142164659103002</v>
          </cell>
          <cell r="I17">
            <v>0.0131433844370331</v>
          </cell>
          <cell r="J17">
            <v>0.0136804824076145</v>
          </cell>
          <cell r="K17">
            <v>0.0138676711643098</v>
          </cell>
          <cell r="L17">
            <v>0.0115827642378479</v>
          </cell>
          <cell r="M17">
            <v>0.0135450362479053</v>
          </cell>
          <cell r="N17">
            <v>0.0106508228458763</v>
          </cell>
          <cell r="O17">
            <v>0.0125013613141167</v>
          </cell>
          <cell r="P17">
            <v>0.0141179031456017</v>
          </cell>
        </row>
        <row r="18">
          <cell r="D18">
            <v>0.0354812821300207</v>
          </cell>
          <cell r="E18">
            <v>0.0376993509482719</v>
          </cell>
          <cell r="F18">
            <v>0.0314382457740075</v>
          </cell>
          <cell r="G18">
            <v>0.0374940059021598</v>
          </cell>
          <cell r="H18">
            <v>0.038494161190445</v>
          </cell>
          <cell r="I18">
            <v>0.0352786563947215</v>
          </cell>
          <cell r="J18">
            <v>0.0348189280377402</v>
          </cell>
          <cell r="K18">
            <v>0.0347296043699537</v>
          </cell>
          <cell r="L18">
            <v>0.0327090884381271</v>
          </cell>
          <cell r="M18">
            <v>0.034845786455937</v>
          </cell>
          <cell r="N18">
            <v>0.0330514534588262</v>
          </cell>
          <cell r="O18">
            <v>0.0299699086149805</v>
          </cell>
          <cell r="P18">
            <v>0.034534564375782</v>
          </cell>
        </row>
        <row r="19">
          <cell r="D19">
            <v>0.0109831619068642</v>
          </cell>
          <cell r="E19">
            <v>0.0109666396428553</v>
          </cell>
          <cell r="F19">
            <v>0.00781271165112962</v>
          </cell>
          <cell r="G19">
            <v>0.010859665562515</v>
          </cell>
          <cell r="H19">
            <v>0.0118951860492173</v>
          </cell>
          <cell r="I19">
            <v>0.0108700705486542</v>
          </cell>
          <cell r="J19">
            <v>0.0126621173084197</v>
          </cell>
          <cell r="K19">
            <v>0.0149010427850254</v>
          </cell>
          <cell r="L19">
            <v>0.0190870860488964</v>
          </cell>
          <cell r="M19">
            <v>0.01676747142574</v>
          </cell>
          <cell r="N19">
            <v>0.0152566654652018</v>
          </cell>
          <cell r="O19">
            <v>0.0133351150740091</v>
          </cell>
          <cell r="P19">
            <v>0.0130967318140895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S Spline Model"/>
      <sheetName val="RES Spline Graph"/>
      <sheetName val="GSS Spline Model"/>
      <sheetName val="GSS Spline Graph"/>
      <sheetName val="GSL Spline Model"/>
      <sheetName val="GSL Spline Graph"/>
      <sheetName val="GPLD Spline Model"/>
      <sheetName val="GPLD Spline Graph"/>
      <sheetName val="SUBS Spline Model"/>
      <sheetName val="SUBS Spline Graph"/>
      <sheetName val="RES B Spline Model"/>
      <sheetName val="RES B Spline Graph"/>
      <sheetName val="GSS B Spline Model"/>
      <sheetName val="GSS B Spline Graph"/>
      <sheetName val="GSL B Spline Model"/>
      <sheetName val="GSL B Spline Graph"/>
      <sheetName val="GPLD B Spline Model"/>
      <sheetName val="GPLD B Spline Graph"/>
      <sheetName val="SUBS B Spline Model"/>
      <sheetName val="SUBS B Spline Graph"/>
    </sheetNames>
    <sheetDataSet>
      <sheetData sheetId="0">
        <row r="47">
          <cell r="C47">
            <v>1234.77</v>
          </cell>
        </row>
        <row r="48">
          <cell r="C48">
            <v>880.419</v>
          </cell>
        </row>
        <row r="49">
          <cell r="C49">
            <v>1896.28</v>
          </cell>
        </row>
        <row r="50">
          <cell r="C50">
            <v>988.327</v>
          </cell>
        </row>
        <row r="51">
          <cell r="C51">
            <v>408.43</v>
          </cell>
        </row>
        <row r="52">
          <cell r="C52">
            <v>1462.072</v>
          </cell>
        </row>
        <row r="53">
          <cell r="C53">
            <v>2075.154</v>
          </cell>
        </row>
        <row r="54">
          <cell r="C54">
            <v>1562.961</v>
          </cell>
        </row>
        <row r="55">
          <cell r="C55">
            <v>486.469</v>
          </cell>
        </row>
      </sheetData>
      <sheetData sheetId="1"/>
      <sheetData sheetId="2">
        <row r="46">
          <cell r="C46">
            <v>17.353</v>
          </cell>
        </row>
        <row r="47">
          <cell r="C47">
            <v>13.441</v>
          </cell>
        </row>
        <row r="48">
          <cell r="C48">
            <v>18.439</v>
          </cell>
        </row>
        <row r="49">
          <cell r="C49">
            <v>15.156</v>
          </cell>
        </row>
        <row r="50">
          <cell r="C50">
            <v>22.432</v>
          </cell>
        </row>
        <row r="51">
          <cell r="C51">
            <v>25.371</v>
          </cell>
        </row>
        <row r="52">
          <cell r="C52">
            <v>20.015</v>
          </cell>
        </row>
      </sheetData>
      <sheetData sheetId="3"/>
      <sheetData sheetId="4">
        <row r="47">
          <cell r="C47">
            <v>632.775</v>
          </cell>
        </row>
        <row r="48">
          <cell r="C48">
            <v>530.556</v>
          </cell>
        </row>
        <row r="49">
          <cell r="C49">
            <v>523.01</v>
          </cell>
        </row>
        <row r="50">
          <cell r="C50">
            <v>346.225</v>
          </cell>
        </row>
        <row r="51">
          <cell r="C51">
            <v>676.207</v>
          </cell>
        </row>
        <row r="52">
          <cell r="C52">
            <v>476.746</v>
          </cell>
        </row>
      </sheetData>
      <sheetData sheetId="5"/>
      <sheetData sheetId="6">
        <row r="49">
          <cell r="C49">
            <v>58.096</v>
          </cell>
        </row>
        <row r="50">
          <cell r="C50">
            <v>78.014</v>
          </cell>
        </row>
      </sheetData>
      <sheetData sheetId="7"/>
      <sheetData sheetId="8">
        <row r="33">
          <cell r="C33">
            <v>14.089</v>
          </cell>
        </row>
        <row r="34">
          <cell r="C34">
            <v>21.438</v>
          </cell>
        </row>
        <row r="35">
          <cell r="C35">
            <v>-28.896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31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32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F29"/>
  <sheetViews>
    <sheetView tabSelected="1" workbookViewId="0" topLeftCell="A1"/>
  </sheetViews>
  <sheetFormatPr defaultRowHeight="13.5"/>
  <cols>
    <col min="1" max="1" width="9.14285714285714" style="1" customWidth="1"/>
    <col min="2" max="2" width="11.7142857142857" customWidth="1"/>
    <col min="3" max="3" width="12.5714285714286" customWidth="1"/>
    <col min="4" max="4" width="12" customWidth="1"/>
    <col min="5" max="5" width="12.7142857142857" customWidth="1"/>
    <col min="6" max="6" width="14.2857142857143" customWidth="1"/>
  </cols>
  <sheetData>
    <row r="1" spans="2:6" ht="15.6">
      <c r="B1" s="200" t="s">
        <v>47</v>
      </c>
      <c r="C1" s="200"/>
      <c r="D1" s="200"/>
      <c r="E1" s="200"/>
      <c r="F1" s="200"/>
    </row>
    <row r="2" spans="2:6" ht="15.6">
      <c r="B2" s="200" t="s">
        <v>70</v>
      </c>
      <c r="C2" s="200"/>
      <c r="D2" s="200"/>
      <c r="E2" s="200"/>
      <c r="F2" s="200"/>
    </row>
    <row r="3" spans="2:6" ht="15.6">
      <c r="B3" s="200" t="s">
        <v>7</v>
      </c>
      <c r="C3" s="200"/>
      <c r="D3" s="200"/>
      <c r="E3" s="200"/>
      <c r="F3" s="200"/>
    </row>
    <row r="4" spans="2:6" ht="15.6">
      <c r="B4" s="200" t="s">
        <v>136</v>
      </c>
      <c r="C4" s="200"/>
      <c r="D4" s="200"/>
      <c r="E4" s="200"/>
      <c r="F4" s="200"/>
    </row>
    <row r="5" spans="2:6" ht="15.6">
      <c r="B5" s="200"/>
      <c r="C5" s="200"/>
      <c r="D5" s="200"/>
      <c r="E5" s="200"/>
      <c r="F5" s="200"/>
    </row>
    <row r="6" spans="2:6" ht="15.6">
      <c r="B6" s="200" t="s">
        <v>93</v>
      </c>
      <c r="C6" s="200"/>
      <c r="D6" s="200"/>
      <c r="E6" s="200"/>
      <c r="F6" s="200"/>
    </row>
    <row r="7" spans="2:6" ht="15.6">
      <c r="B7" s="4"/>
      <c r="C7" s="4"/>
      <c r="D7" s="4"/>
      <c r="E7" s="4"/>
      <c r="F7" s="4"/>
    </row>
    <row r="8" spans="2:6" ht="15.6">
      <c r="B8" s="200" t="s">
        <v>71</v>
      </c>
      <c r="C8" s="200"/>
      <c r="D8" s="201"/>
      <c r="E8" s="200"/>
      <c r="F8" s="200"/>
    </row>
    <row r="9" spans="2:6" ht="15.6">
      <c r="B9" s="200" t="s">
        <v>5</v>
      </c>
      <c r="C9" s="200"/>
      <c r="D9" s="200"/>
      <c r="E9" s="200"/>
      <c r="F9" s="200"/>
    </row>
    <row r="10" spans="1:6" ht="13.2">
      <c r="A10" s="1" t="s">
        <v>6</v>
      </c>
      <c r="C10" s="1" t="s">
        <v>9</v>
      </c>
      <c r="D10" s="1" t="s">
        <v>10</v>
      </c>
      <c r="E10" s="6" t="s">
        <v>12</v>
      </c>
      <c r="F10" s="6" t="s">
        <v>11</v>
      </c>
    </row>
    <row r="11" spans="1:6" ht="13.2">
      <c r="A11" s="5" t="s">
        <v>8</v>
      </c>
      <c r="C11" s="199" t="s">
        <v>2</v>
      </c>
      <c r="D11" s="199"/>
      <c r="E11" s="199" t="s">
        <v>3</v>
      </c>
      <c r="F11" s="199"/>
    </row>
    <row r="12" spans="1:6" ht="13.2">
      <c r="A12" s="1">
        <v>1</v>
      </c>
      <c r="C12" s="101" t="s">
        <v>1</v>
      </c>
      <c r="D12" s="101" t="s">
        <v>0</v>
      </c>
      <c r="E12" s="101" t="s">
        <v>1</v>
      </c>
      <c r="F12" s="101" t="s">
        <v>0</v>
      </c>
    </row>
    <row r="13" spans="1:6" ht="13.2">
      <c r="A13" s="1">
        <v>2</v>
      </c>
      <c r="B13" s="2">
        <v>44197</v>
      </c>
      <c r="C13" s="3">
        <v>198.48035980704759</v>
      </c>
      <c r="D13" s="3">
        <v>0.053063947428571394</v>
      </c>
      <c r="E13" s="3">
        <v>222.13870208110564</v>
      </c>
      <c r="F13" s="3">
        <v>1.8172962428219546</v>
      </c>
    </row>
    <row r="14" spans="1:6" ht="13.2">
      <c r="A14" s="1">
        <v>3</v>
      </c>
      <c r="B14" s="2">
        <v>44228</v>
      </c>
      <c r="C14" s="157">
        <v>234.8178069335714</v>
      </c>
      <c r="D14" s="157">
        <v>0.072720485333333321</v>
      </c>
      <c r="E14" s="157">
        <v>221.20776441574549</v>
      </c>
      <c r="F14" s="157">
        <v>1.3466460189594285</v>
      </c>
    </row>
    <row r="15" spans="1:6" ht="13.2">
      <c r="A15" s="1">
        <v>4</v>
      </c>
      <c r="B15" s="2">
        <v>44256</v>
      </c>
      <c r="C15" s="157">
        <v>311.73518808533333</v>
      </c>
      <c r="D15" s="157">
        <v>3.3796201715714322</v>
      </c>
      <c r="E15" s="157">
        <v>159.63419211683535</v>
      </c>
      <c r="F15" s="157">
        <v>5.1496533917164751</v>
      </c>
    </row>
    <row r="16" spans="1:6" ht="13.2">
      <c r="A16" s="1">
        <v>5</v>
      </c>
      <c r="B16" s="2">
        <v>44287</v>
      </c>
      <c r="C16" s="157">
        <v>25.418094148333328</v>
      </c>
      <c r="D16" s="157">
        <v>15.688377601952391</v>
      </c>
      <c r="E16" s="157">
        <v>54.518172947714568</v>
      </c>
      <c r="F16" s="157">
        <v>22.956111914861474</v>
      </c>
    </row>
    <row r="17" spans="1:6" ht="13.2">
      <c r="A17" s="1">
        <v>6</v>
      </c>
      <c r="B17" s="2">
        <v>44317</v>
      </c>
      <c r="C17" s="157">
        <v>15.068166275333333</v>
      </c>
      <c r="D17" s="157">
        <v>41.607224415238122</v>
      </c>
      <c r="E17" s="157">
        <v>12.330437270565616</v>
      </c>
      <c r="F17" s="157">
        <v>76.128551251277941</v>
      </c>
    </row>
    <row r="18" spans="1:6" ht="13.2">
      <c r="A18" s="1">
        <v>7</v>
      </c>
      <c r="B18" s="2">
        <v>44348</v>
      </c>
      <c r="C18" s="157">
        <v>1.105097107095238</v>
      </c>
      <c r="D18" s="157">
        <v>140.65520935976198</v>
      </c>
      <c r="E18" s="157">
        <v>1.0484188923085442</v>
      </c>
      <c r="F18" s="157">
        <v>214.7485165503328</v>
      </c>
    </row>
    <row r="19" spans="1:6" ht="13.2">
      <c r="A19" s="1">
        <v>8</v>
      </c>
      <c r="B19" s="2">
        <v>44378</v>
      </c>
      <c r="C19" s="157">
        <v>0.00057395200000000235</v>
      </c>
      <c r="D19" s="157">
        <v>352.36393584504765</v>
      </c>
      <c r="E19" s="157">
        <v>0.010685070086738331</v>
      </c>
      <c r="F19" s="157">
        <v>383.15429250557219</v>
      </c>
    </row>
    <row r="20" spans="1:6" ht="13.2">
      <c r="A20" s="1">
        <v>9</v>
      </c>
      <c r="B20" s="2">
        <v>44409</v>
      </c>
      <c r="C20" s="157">
        <v>0</v>
      </c>
      <c r="D20" s="157">
        <v>386.1788306347143</v>
      </c>
      <c r="E20" s="157">
        <v>0.00028478565898617511</v>
      </c>
      <c r="F20" s="157">
        <v>444.56857039068149</v>
      </c>
    </row>
    <row r="21" spans="1:6" ht="13.2">
      <c r="A21" s="1">
        <v>10</v>
      </c>
      <c r="B21" s="2">
        <v>44440</v>
      </c>
      <c r="C21" s="3">
        <v>0</v>
      </c>
      <c r="D21" s="157">
        <v>385.15064930433334</v>
      </c>
      <c r="E21" s="157">
        <v>0.04085273373139401</v>
      </c>
      <c r="F21" s="157">
        <v>383.93920369189999</v>
      </c>
    </row>
    <row r="22" spans="1:6" ht="13.2">
      <c r="A22" s="1">
        <v>11</v>
      </c>
      <c r="B22" s="2">
        <v>44470</v>
      </c>
      <c r="C22" s="3">
        <v>0.23066282252380935</v>
      </c>
      <c r="D22" s="3">
        <v>218.24743160795239</v>
      </c>
      <c r="E22" s="157">
        <v>2.2969844741544736</v>
      </c>
      <c r="F22" s="157">
        <v>204.88059998055311</v>
      </c>
    </row>
    <row r="23" spans="1:6" ht="13.2">
      <c r="A23" s="1">
        <v>12</v>
      </c>
      <c r="B23" s="2">
        <v>44501</v>
      </c>
      <c r="C23" s="3">
        <v>16.472715238095237</v>
      </c>
      <c r="D23" s="3">
        <v>70.423550459761913</v>
      </c>
      <c r="E23" s="157">
        <v>26.819669648017243</v>
      </c>
      <c r="F23" s="157">
        <v>57.3989064994622</v>
      </c>
    </row>
    <row r="24" spans="1:6" ht="13.2">
      <c r="A24" s="1">
        <v>13</v>
      </c>
      <c r="B24" s="2">
        <v>44531</v>
      </c>
      <c r="C24" s="3">
        <v>59.033664176952364</v>
      </c>
      <c r="D24" s="3">
        <v>7.7544569558095278</v>
      </c>
      <c r="E24" s="157">
        <v>119.80531540572459</v>
      </c>
      <c r="F24" s="157">
        <v>9.7282243154113779</v>
      </c>
    </row>
    <row r="25" spans="1:6" ht="13.2">
      <c r="A25" s="1">
        <v>14</v>
      </c>
      <c r="B25" s="100" t="s">
        <v>4</v>
      </c>
      <c r="C25" s="50">
        <f>SUM(C13:C24)</f>
        <v>862.36232854628554</v>
      </c>
      <c r="D25" s="50">
        <f>SUM(D13:D24)</f>
        <v>1621.5750707889047</v>
      </c>
      <c r="E25" s="50">
        <f>SUM(E13:E24)</f>
        <v>819.85147984164871</v>
      </c>
      <c r="F25" s="50">
        <f>SUM(F13:F24)</f>
        <v>1805.8165727535504</v>
      </c>
    </row>
    <row r="28" spans="2:5" ht="13.2">
      <c r="B28" s="193"/>
      <c r="C28" s="146"/>
      <c r="E28" s="146"/>
    </row>
    <row r="29" spans="2:6" ht="13.2">
      <c r="B29" s="193"/>
      <c r="D29" s="146"/>
      <c r="E29" s="146"/>
      <c r="F29" s="146"/>
    </row>
  </sheetData>
  <mergeCells count="10">
    <mergeCell ref="B1:F1"/>
    <mergeCell ref="B9:F9"/>
    <mergeCell ref="B6:F6"/>
    <mergeCell ref="B2:F2"/>
    <mergeCell ref="B3:F3"/>
    <mergeCell ref="C11:D11"/>
    <mergeCell ref="E11:F11"/>
    <mergeCell ref="B4:F4"/>
    <mergeCell ref="B5:F5"/>
    <mergeCell ref="B8:F8"/>
  </mergeCells>
  <printOptions horizontalCentered="1"/>
  <pageMargins left="1.5" right="0.5" top="1.5" bottom="1" header="1" footer="0.5"/>
  <pageSetup firstPageNumber="3" useFirstPageNumber="1" orientation="portrait" r:id="rId1"/>
  <headerFooter alignWithMargins="0">
    <oddHeader>&amp;RSchedule II-H-5.2
Page &amp;P of 37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>
    <pageSetUpPr fitToPage="1"/>
  </sheetPr>
  <dimension ref="A1:F25"/>
  <sheetViews>
    <sheetView workbookViewId="0" topLeftCell="A1"/>
  </sheetViews>
  <sheetFormatPr defaultRowHeight="13.5"/>
  <cols>
    <col min="1" max="1" width="9.14285714285714" style="1" customWidth="1"/>
    <col min="2" max="2" width="11.7142857142857" customWidth="1"/>
    <col min="3" max="3" width="12.5714285714286" customWidth="1"/>
    <col min="4" max="4" width="12" customWidth="1"/>
    <col min="5" max="5" width="12.7142857142857" customWidth="1"/>
    <col min="6" max="6" width="15.2857142857143" customWidth="1"/>
  </cols>
  <sheetData>
    <row r="1" spans="2:6" ht="15.6">
      <c r="B1" s="200" t="str">
        <f>+RES!B1</f>
        <v xml:space="preserve">PUC DOCKET NO. </v>
      </c>
      <c r="C1" s="200"/>
      <c r="D1" s="200"/>
      <c r="E1" s="200"/>
      <c r="F1" s="200"/>
    </row>
    <row r="2" spans="2:6" ht="15.6">
      <c r="B2" s="200" t="str">
        <f>+RES!B2</f>
        <v>ONCOR ELECTRIC DELIVERY COMPANY LLC</v>
      </c>
      <c r="C2" s="200"/>
      <c r="D2" s="200"/>
      <c r="E2" s="200"/>
      <c r="F2" s="200"/>
    </row>
    <row r="3" spans="2:6" ht="15.6">
      <c r="B3" s="200" t="str">
        <f>+RES!B3</f>
        <v>ADJUSTED WEATHER STATION DATA</v>
      </c>
      <c r="C3" s="200"/>
      <c r="D3" s="200"/>
      <c r="E3" s="200"/>
      <c r="F3" s="200"/>
    </row>
    <row r="4" spans="2:6" ht="15.6">
      <c r="B4" s="200" t="str">
        <f>+RES!B4</f>
        <v>FOR THE TEST YEAR ENDING DECEMBER 31, 2021</v>
      </c>
      <c r="C4" s="200"/>
      <c r="D4" s="200"/>
      <c r="E4" s="200"/>
      <c r="F4" s="200"/>
    </row>
    <row r="5" spans="2:6" ht="15.6">
      <c r="B5" s="200"/>
      <c r="C5" s="200"/>
      <c r="D5" s="200"/>
      <c r="E5" s="200"/>
      <c r="F5" s="200"/>
    </row>
    <row r="6" spans="2:6" ht="15.6">
      <c r="B6" s="200" t="str">
        <f>+RES!B6</f>
        <v>SPONSOR: D. E. NELSON</v>
      </c>
      <c r="C6" s="200"/>
      <c r="D6" s="200"/>
      <c r="E6" s="200"/>
      <c r="F6" s="200"/>
    </row>
    <row r="7" spans="2:6" ht="15.6">
      <c r="B7" s="4"/>
      <c r="C7" s="4"/>
      <c r="D7" s="4"/>
      <c r="E7" s="4"/>
      <c r="F7" s="4"/>
    </row>
    <row r="8" spans="2:6" ht="15.6">
      <c r="B8" s="200" t="s">
        <v>69</v>
      </c>
      <c r="C8" s="200"/>
      <c r="D8" s="201"/>
      <c r="E8" s="200"/>
      <c r="F8" s="200"/>
    </row>
    <row r="9" spans="2:6" ht="15.6">
      <c r="B9" s="200" t="s">
        <v>5</v>
      </c>
      <c r="C9" s="200"/>
      <c r="D9" s="200"/>
      <c r="E9" s="200"/>
      <c r="F9" s="200"/>
    </row>
    <row r="10" spans="1:6" ht="13.2">
      <c r="A10" s="1" t="s">
        <v>6</v>
      </c>
      <c r="C10" s="1" t="s">
        <v>9</v>
      </c>
      <c r="D10" s="1" t="s">
        <v>10</v>
      </c>
      <c r="E10" s="6" t="s">
        <v>12</v>
      </c>
      <c r="F10" s="6" t="s">
        <v>11</v>
      </c>
    </row>
    <row r="11" spans="1:6" ht="13.2">
      <c r="A11" s="5" t="s">
        <v>8</v>
      </c>
      <c r="C11" s="199" t="s">
        <v>2</v>
      </c>
      <c r="D11" s="199"/>
      <c r="E11" s="199" t="s">
        <v>3</v>
      </c>
      <c r="F11" s="199"/>
    </row>
    <row r="12" spans="1:6" ht="13.2">
      <c r="A12" s="1">
        <v>1</v>
      </c>
      <c r="C12" s="101" t="s">
        <v>1</v>
      </c>
      <c r="D12" s="101" t="s">
        <v>0</v>
      </c>
      <c r="E12" s="101" t="s">
        <v>1</v>
      </c>
      <c r="F12" s="101" t="s">
        <v>0</v>
      </c>
    </row>
    <row r="13" spans="1:6" ht="13.2">
      <c r="A13" s="1">
        <v>2</v>
      </c>
      <c r="B13" s="2">
        <f>+RES!B13</f>
        <v>44197</v>
      </c>
      <c r="C13" s="3">
        <v>227.6077802675714</v>
      </c>
      <c r="D13" s="3">
        <v>0.030233677523809521</v>
      </c>
      <c r="E13" s="3">
        <v>249.97400826503153</v>
      </c>
      <c r="F13" s="3">
        <v>1.157229522669861</v>
      </c>
    </row>
    <row r="14" spans="1:6" ht="13.2">
      <c r="A14" s="1">
        <v>3</v>
      </c>
      <c r="B14" s="2">
        <f>+RES!B14</f>
        <v>44228</v>
      </c>
      <c r="C14" s="3">
        <v>260.63813507633336</v>
      </c>
      <c r="D14" s="3">
        <v>0.048966796952380938</v>
      </c>
      <c r="E14" s="3">
        <v>247.18634984067961</v>
      </c>
      <c r="F14" s="3">
        <v>0.85820085596663509</v>
      </c>
    </row>
    <row r="15" spans="1:6" ht="13.2">
      <c r="A15" s="1">
        <v>4</v>
      </c>
      <c r="B15" s="2">
        <f>+RES!B15</f>
        <v>44256</v>
      </c>
      <c r="C15" s="3">
        <v>335.05091215614283</v>
      </c>
      <c r="D15" s="3">
        <v>2.2314074383809546</v>
      </c>
      <c r="E15" s="3">
        <v>176.70009991972592</v>
      </c>
      <c r="F15" s="3">
        <v>3.3974681234249107</v>
      </c>
    </row>
    <row r="16" spans="1:6" ht="13.2">
      <c r="A16" s="1">
        <v>5</v>
      </c>
      <c r="B16" s="2">
        <f>+RES!B16</f>
        <v>44287</v>
      </c>
      <c r="C16" s="3">
        <v>27.542776889666658</v>
      </c>
      <c r="D16" s="3">
        <v>10.407034137714291</v>
      </c>
      <c r="E16" s="3">
        <v>59.318212636485967</v>
      </c>
      <c r="F16" s="3">
        <v>16.036376197723911</v>
      </c>
    </row>
    <row r="17" spans="1:6" ht="13.2">
      <c r="A17" s="1">
        <v>6</v>
      </c>
      <c r="B17" s="2">
        <f>+RES!B17</f>
        <v>44317</v>
      </c>
      <c r="C17" s="3">
        <v>17.076907584857143</v>
      </c>
      <c r="D17" s="3">
        <v>29.707023443142873</v>
      </c>
      <c r="E17" s="3">
        <v>12.705528414639035</v>
      </c>
      <c r="F17" s="3">
        <v>55.888986202958485</v>
      </c>
    </row>
    <row r="18" spans="1:6" ht="13.2">
      <c r="A18" s="1">
        <v>7</v>
      </c>
      <c r="B18" s="2">
        <f>+RES!B18</f>
        <v>44348</v>
      </c>
      <c r="C18" s="3">
        <v>0.76411785857142855</v>
      </c>
      <c r="D18" s="3">
        <v>104.49325504500003</v>
      </c>
      <c r="E18" s="3">
        <v>0.9380025767432153</v>
      </c>
      <c r="F18" s="3">
        <v>162.5954578962168</v>
      </c>
    </row>
    <row r="19" spans="1:6" ht="13.2">
      <c r="A19" s="1">
        <v>8</v>
      </c>
      <c r="B19" s="2">
        <f>+RES!B19</f>
        <v>44378</v>
      </c>
      <c r="C19" s="3">
        <v>0</v>
      </c>
      <c r="D19" s="3">
        <v>264.9267010074762</v>
      </c>
      <c r="E19" s="3">
        <v>0.0056579716405017796</v>
      </c>
      <c r="F19" s="3">
        <v>295.55718514099311</v>
      </c>
    </row>
    <row r="20" spans="1:6" ht="13.2">
      <c r="A20" s="1">
        <v>9</v>
      </c>
      <c r="B20" s="2">
        <f>+RES!B20</f>
        <v>44409</v>
      </c>
      <c r="C20" s="3">
        <v>0</v>
      </c>
      <c r="D20" s="3">
        <v>291.07937667557138</v>
      </c>
      <c r="E20" s="3">
        <v>0</v>
      </c>
      <c r="F20" s="3">
        <v>347.28639631088697</v>
      </c>
    </row>
    <row r="21" spans="1:6" ht="13.2">
      <c r="A21" s="1">
        <v>10</v>
      </c>
      <c r="B21" s="2">
        <f>+RES!B21</f>
        <v>44440</v>
      </c>
      <c r="C21" s="3">
        <v>0</v>
      </c>
      <c r="D21" s="3">
        <v>290.82403547895234</v>
      </c>
      <c r="E21" s="3">
        <v>0.053763678665136955</v>
      </c>
      <c r="F21" s="3">
        <v>295.00142639870694</v>
      </c>
    </row>
    <row r="22" spans="1:6" ht="13.2">
      <c r="A22" s="1">
        <v>11</v>
      </c>
      <c r="B22" s="2">
        <f>+RES!B22</f>
        <v>44470</v>
      </c>
      <c r="C22" s="3">
        <v>0.14014840642857127</v>
      </c>
      <c r="D22" s="3">
        <v>160.55565371876196</v>
      </c>
      <c r="E22" s="3">
        <v>2.3127375759131463</v>
      </c>
      <c r="F22" s="3">
        <v>150.60567017021072</v>
      </c>
    </row>
    <row r="23" spans="1:6" ht="13.2">
      <c r="A23" s="1">
        <v>12</v>
      </c>
      <c r="B23" s="2">
        <f>+RES!B23</f>
        <v>44501</v>
      </c>
      <c r="C23" s="3">
        <v>17.173434384809518</v>
      </c>
      <c r="D23" s="3">
        <v>49.788204899523819</v>
      </c>
      <c r="E23" s="3">
        <v>29.299255290824508</v>
      </c>
      <c r="F23" s="3">
        <v>40.273432211570338</v>
      </c>
    </row>
    <row r="24" spans="1:6" ht="13.2">
      <c r="A24" s="1">
        <v>13</v>
      </c>
      <c r="B24" s="2">
        <f>+RES!B24</f>
        <v>44531</v>
      </c>
      <c r="C24" s="3">
        <v>64.302668515190447</v>
      </c>
      <c r="D24" s="3">
        <v>5.0759948575714313</v>
      </c>
      <c r="E24" s="3">
        <v>134.72214663083312</v>
      </c>
      <c r="F24" s="3">
        <v>6.399137550772581</v>
      </c>
    </row>
    <row r="25" spans="1:6" ht="13.2">
      <c r="A25" s="1">
        <v>14</v>
      </c>
      <c r="B25" s="100" t="s">
        <v>4</v>
      </c>
      <c r="C25" s="50">
        <f>SUM(C13:C24)</f>
        <v>950.2968811395715</v>
      </c>
      <c r="D25" s="50">
        <f>SUM(D13:D24)</f>
        <v>1209.1678871765714</v>
      </c>
      <c r="E25" s="50">
        <f>SUM(E13:E24)</f>
        <v>913.21576280118177</v>
      </c>
      <c r="F25" s="50">
        <f>SUM(F13:F24)</f>
        <v>1375.056966582101</v>
      </c>
    </row>
  </sheetData>
  <mergeCells count="10">
    <mergeCell ref="B8:F8"/>
    <mergeCell ref="B9:F9"/>
    <mergeCell ref="C11:D11"/>
    <mergeCell ref="E11:F11"/>
    <mergeCell ref="B1:F1"/>
    <mergeCell ref="B2:F2"/>
    <mergeCell ref="B3:F3"/>
    <mergeCell ref="B4:F4"/>
    <mergeCell ref="B5:F5"/>
    <mergeCell ref="B6:F6"/>
  </mergeCells>
  <printOptions horizontalCentered="1"/>
  <pageMargins left="1.5" right="0.5" top="1.5" bottom="1" header="1" footer="0.5"/>
  <pageSetup orientation="portrait" r:id="rId1"/>
  <headerFooter alignWithMargins="0">
    <oddHeader>&amp;RSchedule II-H-5.2
Page &amp;P of 37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pageSetUpPr fitToPage="1"/>
  </sheetPr>
  <dimension ref="A1:F25"/>
  <sheetViews>
    <sheetView workbookViewId="0" topLeftCell="A1"/>
  </sheetViews>
  <sheetFormatPr defaultRowHeight="13.5"/>
  <cols>
    <col min="1" max="1" width="9.14285714285714" style="1" customWidth="1"/>
    <col min="2" max="2" width="11.7142857142857" customWidth="1"/>
    <col min="3" max="3" width="12.5714285714286" customWidth="1"/>
    <col min="4" max="4" width="12" customWidth="1"/>
    <col min="5" max="5" width="12.7142857142857" customWidth="1"/>
    <col min="6" max="6" width="15.2857142857143" customWidth="1"/>
  </cols>
  <sheetData>
    <row r="1" spans="2:6" ht="15.6">
      <c r="B1" s="200" t="str">
        <f>+RES!B1</f>
        <v xml:space="preserve">PUC DOCKET NO. </v>
      </c>
      <c r="C1" s="200"/>
      <c r="D1" s="200"/>
      <c r="E1" s="200"/>
      <c r="F1" s="200"/>
    </row>
    <row r="2" spans="2:6" ht="15.6">
      <c r="B2" s="200" t="str">
        <f>+RES!B2</f>
        <v>ONCOR ELECTRIC DELIVERY COMPANY LLC</v>
      </c>
      <c r="C2" s="200"/>
      <c r="D2" s="200"/>
      <c r="E2" s="200"/>
      <c r="F2" s="200"/>
    </row>
    <row r="3" spans="2:6" ht="15.6">
      <c r="B3" s="200" t="str">
        <f>+RES!B3</f>
        <v>ADJUSTED WEATHER STATION DATA</v>
      </c>
      <c r="C3" s="200"/>
      <c r="D3" s="200"/>
      <c r="E3" s="200"/>
      <c r="F3" s="200"/>
    </row>
    <row r="4" spans="2:6" ht="15.6">
      <c r="B4" s="200" t="str">
        <f>+RES!B4</f>
        <v>FOR THE TEST YEAR ENDING DECEMBER 31, 2021</v>
      </c>
      <c r="C4" s="200"/>
      <c r="D4" s="200"/>
      <c r="E4" s="200"/>
      <c r="F4" s="200"/>
    </row>
    <row r="5" spans="2:6" ht="15.6">
      <c r="B5" s="200"/>
      <c r="C5" s="200"/>
      <c r="D5" s="200"/>
      <c r="E5" s="200"/>
      <c r="F5" s="200"/>
    </row>
    <row r="6" spans="2:6" ht="15.6">
      <c r="B6" s="200" t="str">
        <f>+RES!B6</f>
        <v>SPONSOR: D. E. NELSON</v>
      </c>
      <c r="C6" s="200"/>
      <c r="D6" s="200"/>
      <c r="E6" s="200"/>
      <c r="F6" s="200"/>
    </row>
    <row r="7" spans="2:6" ht="15.6">
      <c r="B7" s="4"/>
      <c r="C7" s="4"/>
      <c r="D7" s="4"/>
      <c r="E7" s="4"/>
      <c r="F7" s="4"/>
    </row>
    <row r="8" spans="2:6" ht="15.6">
      <c r="B8" s="200" t="s">
        <v>72</v>
      </c>
      <c r="C8" s="200"/>
      <c r="D8" s="201"/>
      <c r="E8" s="200"/>
      <c r="F8" s="200"/>
    </row>
    <row r="9" spans="2:6" ht="15.6">
      <c r="B9" s="200" t="s">
        <v>5</v>
      </c>
      <c r="C9" s="200"/>
      <c r="D9" s="200"/>
      <c r="E9" s="200"/>
      <c r="F9" s="200"/>
    </row>
    <row r="10" spans="1:6" ht="13.2">
      <c r="A10" s="1" t="s">
        <v>6</v>
      </c>
      <c r="C10" s="1" t="s">
        <v>9</v>
      </c>
      <c r="D10" s="1" t="s">
        <v>10</v>
      </c>
      <c r="E10" s="6" t="s">
        <v>12</v>
      </c>
      <c r="F10" s="6" t="s">
        <v>11</v>
      </c>
    </row>
    <row r="11" spans="1:6" ht="13.2">
      <c r="A11" s="5" t="s">
        <v>8</v>
      </c>
      <c r="C11" s="199" t="s">
        <v>2</v>
      </c>
      <c r="D11" s="199"/>
      <c r="E11" s="199" t="s">
        <v>3</v>
      </c>
      <c r="F11" s="199"/>
    </row>
    <row r="12" spans="1:6" ht="13.2">
      <c r="A12" s="1">
        <v>1</v>
      </c>
      <c r="C12" s="101" t="s">
        <v>1</v>
      </c>
      <c r="D12" s="101" t="s">
        <v>0</v>
      </c>
      <c r="E12" s="101" t="s">
        <v>1</v>
      </c>
      <c r="F12" s="101" t="s">
        <v>0</v>
      </c>
    </row>
    <row r="13" spans="1:6" ht="13.2">
      <c r="A13" s="1">
        <v>2</v>
      </c>
      <c r="B13" s="2">
        <f>+RES!B13</f>
        <v>44197</v>
      </c>
      <c r="C13" s="3">
        <v>134.51538670542857</v>
      </c>
      <c r="D13" s="3">
        <v>0.62717039985714285</v>
      </c>
      <c r="E13" s="3">
        <v>162.21444055013828</v>
      </c>
      <c r="F13" s="3">
        <v>6.1106059377273247</v>
      </c>
    </row>
    <row r="14" spans="1:6" ht="13.2">
      <c r="A14" s="1">
        <v>3</v>
      </c>
      <c r="B14" s="2">
        <f>+RES!B14</f>
        <v>44228</v>
      </c>
      <c r="C14" s="3">
        <v>171.54456409971425</v>
      </c>
      <c r="D14" s="3">
        <v>0.92251588133333429</v>
      </c>
      <c r="E14" s="3">
        <v>164.21034193689701</v>
      </c>
      <c r="F14" s="3">
        <v>4.9269095466875461</v>
      </c>
    </row>
    <row r="15" spans="1:6" ht="13.2">
      <c r="A15" s="1">
        <v>4</v>
      </c>
      <c r="B15" s="2">
        <f>+RES!B15</f>
        <v>44256</v>
      </c>
      <c r="C15" s="3">
        <v>264.56695605719045</v>
      </c>
      <c r="D15" s="3">
        <v>10.113474018142863</v>
      </c>
      <c r="E15" s="3">
        <v>112.33559304426294</v>
      </c>
      <c r="F15" s="3">
        <v>15.108542634985824</v>
      </c>
    </row>
    <row r="16" spans="1:6" ht="13.2">
      <c r="A16" s="1">
        <v>5</v>
      </c>
      <c r="B16" s="2">
        <f>+RES!B16</f>
        <v>44287</v>
      </c>
      <c r="C16" s="3">
        <v>6.9179139733333299</v>
      </c>
      <c r="D16" s="3">
        <v>41.906623656761916</v>
      </c>
      <c r="E16" s="3">
        <v>30.226601307074571</v>
      </c>
      <c r="F16" s="3">
        <v>50.859093226085733</v>
      </c>
    </row>
    <row r="17" spans="1:6" ht="13.2">
      <c r="A17" s="1">
        <v>6</v>
      </c>
      <c r="B17" s="2">
        <f>+RES!B17</f>
        <v>44317</v>
      </c>
      <c r="C17" s="3">
        <v>3.5402954673333324</v>
      </c>
      <c r="D17" s="3">
        <v>83.825440862904784</v>
      </c>
      <c r="E17" s="3">
        <v>4.6883674619424456</v>
      </c>
      <c r="F17" s="3">
        <v>131.16835996719144</v>
      </c>
    </row>
    <row r="18" spans="1:6" ht="13.2">
      <c r="A18" s="1">
        <v>7</v>
      </c>
      <c r="B18" s="2">
        <f>+RES!B18</f>
        <v>44348</v>
      </c>
      <c r="C18" s="3">
        <v>0.0073839904761904768</v>
      </c>
      <c r="D18" s="3">
        <v>215.24177629095243</v>
      </c>
      <c r="E18" s="3">
        <v>0.19474971839825905</v>
      </c>
      <c r="F18" s="3">
        <v>298.31217459941638</v>
      </c>
    </row>
    <row r="19" spans="1:6" ht="13.2">
      <c r="A19" s="1">
        <v>8</v>
      </c>
      <c r="B19" s="2">
        <f>+RES!B19</f>
        <v>44378</v>
      </c>
      <c r="C19" s="3">
        <v>0</v>
      </c>
      <c r="D19" s="3">
        <v>453.60494366147623</v>
      </c>
      <c r="E19" s="3">
        <v>0.00027694167695852494</v>
      </c>
      <c r="F19" s="3">
        <v>483.81602278461241</v>
      </c>
    </row>
    <row r="20" spans="1:6" ht="13.2">
      <c r="A20" s="1">
        <v>9</v>
      </c>
      <c r="B20" s="2">
        <f>+RES!B20</f>
        <v>44409</v>
      </c>
      <c r="C20" s="3">
        <v>0</v>
      </c>
      <c r="D20" s="3">
        <v>485.78195821171437</v>
      </c>
      <c r="E20" s="3">
        <v>0</v>
      </c>
      <c r="F20" s="3">
        <v>542.70056012177042</v>
      </c>
    </row>
    <row r="21" spans="1:6" ht="13.2">
      <c r="A21" s="1">
        <v>10</v>
      </c>
      <c r="B21" s="2">
        <f>+RES!B21</f>
        <v>44440</v>
      </c>
      <c r="C21" s="3">
        <v>0</v>
      </c>
      <c r="D21" s="3">
        <v>482.78489408857149</v>
      </c>
      <c r="E21" s="3">
        <v>0.01116731034570532</v>
      </c>
      <c r="F21" s="3">
        <v>478.81686202801251</v>
      </c>
    </row>
    <row r="22" spans="1:6" ht="13.2">
      <c r="A22" s="1">
        <v>11</v>
      </c>
      <c r="B22" s="2">
        <f>+RES!B22</f>
        <v>44470</v>
      </c>
      <c r="C22" s="3">
        <v>0.0014767980952380641</v>
      </c>
      <c r="D22" s="3">
        <v>304.88490241280965</v>
      </c>
      <c r="E22" s="3">
        <v>0.68109829997618421</v>
      </c>
      <c r="F22" s="3">
        <v>283.02325430174176</v>
      </c>
    </row>
    <row r="23" spans="1:6" ht="13.2">
      <c r="A23" s="1">
        <v>12</v>
      </c>
      <c r="B23" s="2">
        <f>+RES!B23</f>
        <v>44501</v>
      </c>
      <c r="C23" s="3">
        <v>5.8355129382380939</v>
      </c>
      <c r="D23" s="3">
        <v>119.77917800828574</v>
      </c>
      <c r="E23" s="3">
        <v>12.540238348863445</v>
      </c>
      <c r="F23" s="3">
        <v>98.325128248285907</v>
      </c>
    </row>
    <row r="24" spans="1:6" ht="13.2">
      <c r="A24" s="1">
        <v>13</v>
      </c>
      <c r="B24" s="2">
        <f>+RES!B24</f>
        <v>44531</v>
      </c>
      <c r="C24" s="3">
        <v>23.978954379238083</v>
      </c>
      <c r="D24" s="3">
        <v>23.960053975428579</v>
      </c>
      <c r="E24" s="3">
        <v>77.27153362311148</v>
      </c>
      <c r="F24" s="3">
        <v>23.72632771897673</v>
      </c>
    </row>
    <row r="25" spans="1:6" ht="13.2">
      <c r="A25" s="1">
        <v>14</v>
      </c>
      <c r="B25" s="100" t="s">
        <v>4</v>
      </c>
      <c r="C25" s="50">
        <f>SUM(C13:C24)</f>
        <v>610.90844440904766</v>
      </c>
      <c r="D25" s="50">
        <f>SUM(D13:D24)</f>
        <v>2223.4329314682391</v>
      </c>
      <c r="E25" s="50">
        <f>SUM(E13:E24)</f>
        <v>564.37440854268732</v>
      </c>
      <c r="F25" s="50">
        <f>SUM(F13:F24)</f>
        <v>2416.8938411154945</v>
      </c>
    </row>
  </sheetData>
  <mergeCells count="10">
    <mergeCell ref="B8:F8"/>
    <mergeCell ref="B9:F9"/>
    <mergeCell ref="C11:D11"/>
    <mergeCell ref="E11:F11"/>
    <mergeCell ref="B1:F1"/>
    <mergeCell ref="B2:F2"/>
    <mergeCell ref="B3:F3"/>
    <mergeCell ref="B4:F4"/>
    <mergeCell ref="B5:F5"/>
    <mergeCell ref="B6:F6"/>
  </mergeCells>
  <printOptions horizontalCentered="1"/>
  <pageMargins left="1.5" right="0.5" top="1.5" bottom="1" header="1" footer="0.5"/>
  <pageSetup orientation="portrait" r:id="rId1"/>
  <headerFooter alignWithMargins="0">
    <oddHeader>&amp;RSchedule II-H-5.2
Page &amp;P of 37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pageSetUpPr fitToPage="1"/>
  </sheetPr>
  <dimension ref="A1:F25"/>
  <sheetViews>
    <sheetView workbookViewId="0" topLeftCell="A1"/>
  </sheetViews>
  <sheetFormatPr defaultRowHeight="13.5"/>
  <cols>
    <col min="1" max="1" width="9.14285714285714" style="1" customWidth="1"/>
    <col min="2" max="2" width="11.7142857142857" customWidth="1"/>
    <col min="3" max="3" width="12.5714285714286" customWidth="1"/>
    <col min="4" max="4" width="12" customWidth="1"/>
    <col min="5" max="5" width="12.7142857142857" customWidth="1"/>
    <col min="6" max="6" width="15.2857142857143" customWidth="1"/>
  </cols>
  <sheetData>
    <row r="1" spans="2:6" ht="15.6">
      <c r="B1" s="200" t="str">
        <f>+RES!B1</f>
        <v xml:space="preserve">PUC DOCKET NO. </v>
      </c>
      <c r="C1" s="200"/>
      <c r="D1" s="200"/>
      <c r="E1" s="200"/>
      <c r="F1" s="200"/>
    </row>
    <row r="2" spans="2:6" ht="15.6">
      <c r="B2" s="200" t="str">
        <f>+RES!B2</f>
        <v>ONCOR ELECTRIC DELIVERY COMPANY LLC</v>
      </c>
      <c r="C2" s="200"/>
      <c r="D2" s="200"/>
      <c r="E2" s="200"/>
      <c r="F2" s="200"/>
    </row>
    <row r="3" spans="2:6" ht="15.6">
      <c r="B3" s="200" t="str">
        <f>+RES!B3</f>
        <v>ADJUSTED WEATHER STATION DATA</v>
      </c>
      <c r="C3" s="200"/>
      <c r="D3" s="200"/>
      <c r="E3" s="200"/>
      <c r="F3" s="200"/>
    </row>
    <row r="4" spans="2:6" ht="15.6">
      <c r="B4" s="200" t="str">
        <f>+RES!B4</f>
        <v>FOR THE TEST YEAR ENDING DECEMBER 31, 2021</v>
      </c>
      <c r="C4" s="200"/>
      <c r="D4" s="200"/>
      <c r="E4" s="200"/>
      <c r="F4" s="200"/>
    </row>
    <row r="5" spans="2:6" ht="15.6">
      <c r="B5" s="200"/>
      <c r="C5" s="200"/>
      <c r="D5" s="200"/>
      <c r="E5" s="200"/>
      <c r="F5" s="200"/>
    </row>
    <row r="6" spans="2:6" ht="15.6">
      <c r="B6" s="200" t="str">
        <f>+RES!B6</f>
        <v>SPONSOR: D. E. NELSON</v>
      </c>
      <c r="C6" s="200"/>
      <c r="D6" s="200"/>
      <c r="E6" s="200"/>
      <c r="F6" s="200"/>
    </row>
    <row r="7" spans="2:6" ht="15.6">
      <c r="B7" s="4"/>
      <c r="C7" s="4"/>
      <c r="D7" s="4"/>
      <c r="E7" s="4"/>
      <c r="F7" s="4"/>
    </row>
    <row r="8" spans="2:6" ht="15.6">
      <c r="B8" s="200" t="s">
        <v>73</v>
      </c>
      <c r="C8" s="201"/>
      <c r="D8" s="200"/>
      <c r="E8" s="201"/>
      <c r="F8" s="201"/>
    </row>
    <row r="9" spans="2:6" ht="15.6">
      <c r="B9" s="200" t="s">
        <v>5</v>
      </c>
      <c r="C9" s="200"/>
      <c r="D9" s="200"/>
      <c r="E9" s="200"/>
      <c r="F9" s="200"/>
    </row>
    <row r="10" spans="1:6" ht="13.2">
      <c r="A10" s="1" t="s">
        <v>6</v>
      </c>
      <c r="C10" s="1" t="s">
        <v>9</v>
      </c>
      <c r="D10" s="1" t="s">
        <v>10</v>
      </c>
      <c r="E10" s="6" t="s">
        <v>12</v>
      </c>
      <c r="F10" s="6" t="s">
        <v>11</v>
      </c>
    </row>
    <row r="11" spans="1:6" ht="13.2">
      <c r="A11" s="5" t="s">
        <v>8</v>
      </c>
      <c r="C11" s="199" t="s">
        <v>2</v>
      </c>
      <c r="D11" s="199"/>
      <c r="E11" s="199" t="s">
        <v>3</v>
      </c>
      <c r="F11" s="199"/>
    </row>
    <row r="12" spans="1:6" ht="13.2">
      <c r="A12" s="1">
        <v>1</v>
      </c>
      <c r="C12" s="101" t="s">
        <v>1</v>
      </c>
      <c r="D12" s="101" t="s">
        <v>0</v>
      </c>
      <c r="E12" s="101" t="s">
        <v>1</v>
      </c>
      <c r="F12" s="101" t="s">
        <v>0</v>
      </c>
    </row>
    <row r="13" spans="1:6" ht="13.2">
      <c r="A13" s="1">
        <v>2</v>
      </c>
      <c r="B13" s="2">
        <f>+RES!B13</f>
        <v>44197</v>
      </c>
      <c r="C13" s="3">
        <v>0</v>
      </c>
      <c r="D13" s="3">
        <v>6.512224460619052</v>
      </c>
      <c r="E13" s="3">
        <v>0</v>
      </c>
      <c r="F13" s="3">
        <v>13.627013554083854</v>
      </c>
    </row>
    <row r="14" spans="1:6" ht="13.2">
      <c r="A14" s="1">
        <v>3</v>
      </c>
      <c r="B14" s="2">
        <f>+RES!B14</f>
        <v>44228</v>
      </c>
      <c r="C14" s="3">
        <v>0</v>
      </c>
      <c r="D14" s="3">
        <v>6.8640991653809573</v>
      </c>
      <c r="E14" s="3">
        <v>0</v>
      </c>
      <c r="F14" s="3">
        <v>12.417119979173117</v>
      </c>
    </row>
    <row r="15" spans="1:6" ht="13.2">
      <c r="A15" s="1">
        <v>4</v>
      </c>
      <c r="B15" s="2">
        <f>+RES!B15</f>
        <v>44256</v>
      </c>
      <c r="C15" s="3">
        <v>0</v>
      </c>
      <c r="D15" s="3">
        <v>25.659031912190486</v>
      </c>
      <c r="E15" s="3">
        <v>0</v>
      </c>
      <c r="F15" s="3">
        <v>36.040580438209311</v>
      </c>
    </row>
    <row r="16" spans="1:6" ht="13.2">
      <c r="A16" s="1">
        <v>5</v>
      </c>
      <c r="B16" s="2">
        <f>+RES!B16</f>
        <v>44287</v>
      </c>
      <c r="C16" s="3">
        <v>0</v>
      </c>
      <c r="D16" s="3">
        <v>87.529099664904805</v>
      </c>
      <c r="E16" s="3">
        <v>0</v>
      </c>
      <c r="F16" s="3">
        <v>103.37533012557869</v>
      </c>
    </row>
    <row r="17" spans="1:6" ht="13.2">
      <c r="A17" s="1">
        <v>6</v>
      </c>
      <c r="B17" s="2">
        <f>+RES!B17</f>
        <v>44317</v>
      </c>
      <c r="C17" s="3">
        <v>0</v>
      </c>
      <c r="D17" s="3">
        <v>154.03261704819047</v>
      </c>
      <c r="E17" s="3">
        <v>0</v>
      </c>
      <c r="F17" s="3">
        <v>223.89384007901654</v>
      </c>
    </row>
    <row r="18" spans="1:6" ht="13.2">
      <c r="A18" s="1">
        <v>7</v>
      </c>
      <c r="B18" s="2">
        <f>+RES!B18</f>
        <v>44348</v>
      </c>
      <c r="C18" s="3">
        <v>0</v>
      </c>
      <c r="D18" s="3">
        <v>323.06792951395238</v>
      </c>
      <c r="E18" s="3">
        <v>0</v>
      </c>
      <c r="F18" s="3">
        <v>416.32365419971791</v>
      </c>
    </row>
    <row r="19" spans="1:6" ht="13.2">
      <c r="A19" s="1">
        <v>8</v>
      </c>
      <c r="B19" s="2">
        <f>+RES!B19</f>
        <v>44378</v>
      </c>
      <c r="C19" s="3">
        <v>0</v>
      </c>
      <c r="D19" s="3">
        <v>539.67149808766681</v>
      </c>
      <c r="E19" s="3">
        <v>0</v>
      </c>
      <c r="F19" s="3">
        <v>599.49521112892035</v>
      </c>
    </row>
    <row r="20" spans="1:6" ht="13.2">
      <c r="A20" s="1">
        <v>9</v>
      </c>
      <c r="B20" s="2">
        <f>+RES!B20</f>
        <v>44409</v>
      </c>
      <c r="C20" s="3">
        <v>0</v>
      </c>
      <c r="D20" s="3">
        <v>544.17114772619038</v>
      </c>
      <c r="E20" s="3">
        <v>0</v>
      </c>
      <c r="F20" s="3">
        <v>631.84016346952069</v>
      </c>
    </row>
    <row r="21" spans="1:6" ht="13.2">
      <c r="A21" s="1">
        <v>10</v>
      </c>
      <c r="B21" s="2">
        <f>+RES!B21</f>
        <v>44440</v>
      </c>
      <c r="C21" s="3">
        <v>0</v>
      </c>
      <c r="D21" s="3">
        <v>548.0556074307143</v>
      </c>
      <c r="E21" s="3">
        <v>0</v>
      </c>
      <c r="F21" s="3">
        <v>556.22387018135623</v>
      </c>
    </row>
    <row r="22" spans="1:6" ht="13.2">
      <c r="A22" s="1">
        <v>11</v>
      </c>
      <c r="B22" s="2">
        <f>+RES!B22</f>
        <v>44470</v>
      </c>
      <c r="C22" s="3">
        <v>0</v>
      </c>
      <c r="D22" s="3">
        <v>386.99919450390479</v>
      </c>
      <c r="E22" s="3">
        <v>0</v>
      </c>
      <c r="F22" s="3">
        <v>354.87604971352096</v>
      </c>
    </row>
    <row r="23" spans="1:6" ht="13.2">
      <c r="A23" s="1">
        <v>12</v>
      </c>
      <c r="B23" s="2">
        <f>+RES!B23</f>
        <v>44501</v>
      </c>
      <c r="C23" s="3">
        <v>0</v>
      </c>
      <c r="D23" s="3">
        <v>181.66234373980956</v>
      </c>
      <c r="E23" s="3">
        <v>0</v>
      </c>
      <c r="F23" s="3">
        <v>151.58817205858733</v>
      </c>
    </row>
    <row r="24" spans="1:6" ht="13.2">
      <c r="A24" s="1">
        <v>13</v>
      </c>
      <c r="B24" s="2">
        <f>+RES!B24</f>
        <v>44531</v>
      </c>
      <c r="C24" s="3">
        <v>0</v>
      </c>
      <c r="D24" s="3">
        <v>53.942641506523827</v>
      </c>
      <c r="E24" s="3">
        <v>0</v>
      </c>
      <c r="F24" s="3">
        <v>46.608439775253643</v>
      </c>
    </row>
    <row r="25" spans="1:6" ht="13.2">
      <c r="A25" s="1">
        <v>14</v>
      </c>
      <c r="B25" s="100" t="s">
        <v>4</v>
      </c>
      <c r="C25" s="50">
        <f>SUM(C13:C24)</f>
        <v>0</v>
      </c>
      <c r="D25" s="50">
        <f>SUM(D13:D24)</f>
        <v>2858.1674347600474</v>
      </c>
      <c r="E25" s="50">
        <f>SUM(E13:E24)</f>
        <v>0</v>
      </c>
      <c r="F25" s="50">
        <f>SUM(F13:F24)</f>
        <v>3146.3094447029384</v>
      </c>
    </row>
  </sheetData>
  <mergeCells count="10">
    <mergeCell ref="B8:F8"/>
    <mergeCell ref="B9:F9"/>
    <mergeCell ref="C11:D11"/>
    <mergeCell ref="E11:F11"/>
    <mergeCell ref="B1:F1"/>
    <mergeCell ref="B2:F2"/>
    <mergeCell ref="B3:F3"/>
    <mergeCell ref="B4:F4"/>
    <mergeCell ref="B5:F5"/>
    <mergeCell ref="B6:F6"/>
  </mergeCells>
  <printOptions horizontalCentered="1"/>
  <pageMargins left="1.5" right="0.5" top="1.5" bottom="1" header="1" footer="0.5"/>
  <pageSetup orientation="portrait" r:id="rId1"/>
  <headerFooter alignWithMargins="0">
    <oddHeader>&amp;RSchedule II-H-5.2
Page &amp;P of 37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">
    <pageSetUpPr fitToPage="1"/>
  </sheetPr>
  <dimension ref="A1:F25"/>
  <sheetViews>
    <sheetView workbookViewId="0" topLeftCell="A1"/>
  </sheetViews>
  <sheetFormatPr defaultRowHeight="13.5"/>
  <cols>
    <col min="1" max="1" width="9.14285714285714" style="149" customWidth="1"/>
    <col min="2" max="2" width="11.7142857142857" customWidth="1"/>
    <col min="3" max="3" width="12.5714285714286" customWidth="1"/>
    <col min="4" max="4" width="12" customWidth="1"/>
    <col min="5" max="5" width="12.7142857142857" customWidth="1"/>
    <col min="6" max="6" width="15.2857142857143" customWidth="1"/>
  </cols>
  <sheetData>
    <row r="1" spans="2:6" ht="15.6">
      <c r="B1" s="200" t="str">
        <f>+RES!B1</f>
        <v xml:space="preserve">PUC DOCKET NO. </v>
      </c>
      <c r="C1" s="200"/>
      <c r="D1" s="200"/>
      <c r="E1" s="200"/>
      <c r="F1" s="200"/>
    </row>
    <row r="2" spans="2:6" ht="15.6">
      <c r="B2" s="200" t="str">
        <f>+RES!B2</f>
        <v>ONCOR ELECTRIC DELIVERY COMPANY LLC</v>
      </c>
      <c r="C2" s="200"/>
      <c r="D2" s="200"/>
      <c r="E2" s="200"/>
      <c r="F2" s="200"/>
    </row>
    <row r="3" spans="2:6" ht="15.6">
      <c r="B3" s="200" t="str">
        <f>+RES!B3</f>
        <v>ADJUSTED WEATHER STATION DATA</v>
      </c>
      <c r="C3" s="200"/>
      <c r="D3" s="200"/>
      <c r="E3" s="200"/>
      <c r="F3" s="200"/>
    </row>
    <row r="4" spans="2:6" ht="15.6">
      <c r="B4" s="200" t="str">
        <f>+RES!B4</f>
        <v>FOR THE TEST YEAR ENDING DECEMBER 31, 2021</v>
      </c>
      <c r="C4" s="200"/>
      <c r="D4" s="200"/>
      <c r="E4" s="200"/>
      <c r="F4" s="200"/>
    </row>
    <row r="5" spans="2:6" ht="15.6">
      <c r="B5" s="200"/>
      <c r="C5" s="200"/>
      <c r="D5" s="200"/>
      <c r="E5" s="200"/>
      <c r="F5" s="200"/>
    </row>
    <row r="6" spans="2:6" ht="15.6">
      <c r="B6" s="200" t="str">
        <f>+RES!B6</f>
        <v>SPONSOR: D. E. NELSON</v>
      </c>
      <c r="C6" s="200"/>
      <c r="D6" s="200"/>
      <c r="E6" s="200"/>
      <c r="F6" s="200"/>
    </row>
    <row r="7" spans="2:6" ht="15.6">
      <c r="B7" s="148"/>
      <c r="C7" s="148"/>
      <c r="D7" s="148"/>
      <c r="E7" s="148"/>
      <c r="F7" s="148"/>
    </row>
    <row r="8" spans="2:6" ht="15.6">
      <c r="B8" s="200" t="s">
        <v>130</v>
      </c>
      <c r="C8" s="201"/>
      <c r="D8" s="200"/>
      <c r="E8" s="201"/>
      <c r="F8" s="201"/>
    </row>
    <row r="9" spans="2:6" ht="15.6">
      <c r="B9" s="200" t="s">
        <v>5</v>
      </c>
      <c r="C9" s="200"/>
      <c r="D9" s="200"/>
      <c r="E9" s="200"/>
      <c r="F9" s="200"/>
    </row>
    <row r="10" spans="1:6" ht="13.2">
      <c r="A10" s="149" t="s">
        <v>6</v>
      </c>
      <c r="C10" s="149" t="s">
        <v>9</v>
      </c>
      <c r="D10" s="149" t="s">
        <v>10</v>
      </c>
      <c r="E10" s="6" t="s">
        <v>12</v>
      </c>
      <c r="F10" s="6" t="s">
        <v>11</v>
      </c>
    </row>
    <row r="11" spans="1:6" ht="13.2">
      <c r="A11" s="5" t="s">
        <v>8</v>
      </c>
      <c r="C11" s="199" t="s">
        <v>2</v>
      </c>
      <c r="D11" s="199"/>
      <c r="E11" s="199" t="s">
        <v>3</v>
      </c>
      <c r="F11" s="199"/>
    </row>
    <row r="12" spans="1:6" ht="13.2">
      <c r="A12" s="149">
        <v>1</v>
      </c>
      <c r="C12" s="101" t="s">
        <v>1</v>
      </c>
      <c r="D12" s="101" t="s">
        <v>0</v>
      </c>
      <c r="E12" s="101" t="s">
        <v>1</v>
      </c>
      <c r="F12" s="101" t="s">
        <v>0</v>
      </c>
    </row>
    <row r="13" spans="1:6" ht="13.2">
      <c r="A13" s="149">
        <v>2</v>
      </c>
      <c r="B13" s="2">
        <f>+RES!B13</f>
        <v>44197</v>
      </c>
      <c r="C13" s="3">
        <v>0</v>
      </c>
      <c r="D13" s="3">
        <v>94.536927442285716</v>
      </c>
      <c r="E13" s="3">
        <v>0</v>
      </c>
      <c r="F13" s="3">
        <v>145.63196134077899</v>
      </c>
    </row>
    <row r="14" spans="1:6" ht="13.2">
      <c r="A14" s="149">
        <v>3</v>
      </c>
      <c r="B14" s="2">
        <f>+RES!B14</f>
        <v>44228</v>
      </c>
      <c r="C14" s="3">
        <v>0</v>
      </c>
      <c r="D14" s="3">
        <v>99.827905186285733</v>
      </c>
      <c r="E14" s="3">
        <v>0</v>
      </c>
      <c r="F14" s="3">
        <v>137.45866506563866</v>
      </c>
    </row>
    <row r="15" spans="1:6" ht="13.2">
      <c r="A15" s="149">
        <v>4</v>
      </c>
      <c r="B15" s="2">
        <f>+RES!B15</f>
        <v>44256</v>
      </c>
      <c r="C15" s="3">
        <v>0</v>
      </c>
      <c r="D15" s="3">
        <v>252.4883935674286</v>
      </c>
      <c r="E15" s="3">
        <v>0</v>
      </c>
      <c r="F15" s="3">
        <v>325.10782161953244</v>
      </c>
    </row>
    <row r="16" spans="1:6" ht="13.2">
      <c r="A16" s="149">
        <v>5</v>
      </c>
      <c r="B16" s="2">
        <f>+RES!B16</f>
        <v>44287</v>
      </c>
      <c r="C16" s="3">
        <v>0</v>
      </c>
      <c r="D16" s="3">
        <v>689.61252210876216</v>
      </c>
      <c r="E16" s="3">
        <v>0</v>
      </c>
      <c r="F16" s="3">
        <v>765.9873395656806</v>
      </c>
    </row>
    <row r="17" spans="1:6" ht="13.2">
      <c r="A17" s="149">
        <v>6</v>
      </c>
      <c r="B17" s="2">
        <f>+RES!B17</f>
        <v>44317</v>
      </c>
      <c r="C17" s="3">
        <v>0</v>
      </c>
      <c r="D17" s="3">
        <v>1056.072119503619</v>
      </c>
      <c r="E17" s="3">
        <v>0</v>
      </c>
      <c r="F17" s="3">
        <v>1450.9738049516993</v>
      </c>
    </row>
    <row r="18" spans="1:6" ht="13.2">
      <c r="A18" s="149">
        <v>7</v>
      </c>
      <c r="B18" s="2">
        <f>+RES!B18</f>
        <v>44348</v>
      </c>
      <c r="C18" s="3">
        <v>0</v>
      </c>
      <c r="D18" s="3">
        <v>1964.4827309542864</v>
      </c>
      <c r="E18" s="3">
        <v>0</v>
      </c>
      <c r="F18" s="3">
        <v>2443.7061506903669</v>
      </c>
    </row>
    <row r="19" spans="1:6" ht="13.2">
      <c r="A19" s="149">
        <v>8</v>
      </c>
      <c r="B19" s="2">
        <f>+RES!B19</f>
        <v>44378</v>
      </c>
      <c r="C19" s="3">
        <v>0</v>
      </c>
      <c r="D19" s="3">
        <v>3047.9861047832387</v>
      </c>
      <c r="E19" s="3">
        <v>0</v>
      </c>
      <c r="F19" s="3">
        <v>3324.5035819416066</v>
      </c>
    </row>
    <row r="20" spans="1:6" ht="13.2">
      <c r="A20" s="149">
        <v>9</v>
      </c>
      <c r="B20" s="2">
        <f>+RES!B20</f>
        <v>44409</v>
      </c>
      <c r="C20" s="3">
        <v>0</v>
      </c>
      <c r="D20" s="3">
        <v>3026.7057820098103</v>
      </c>
      <c r="E20" s="3">
        <v>0</v>
      </c>
      <c r="F20" s="3">
        <v>3385.8608333388793</v>
      </c>
    </row>
    <row r="21" spans="1:6" ht="13.2">
      <c r="A21" s="149">
        <v>10</v>
      </c>
      <c r="B21" s="2">
        <f>+RES!B21</f>
        <v>44440</v>
      </c>
      <c r="C21" s="3">
        <v>0</v>
      </c>
      <c r="D21" s="3">
        <v>3069.8193439891907</v>
      </c>
      <c r="E21" s="3">
        <v>0</v>
      </c>
      <c r="F21" s="3">
        <v>3040.7710036166477</v>
      </c>
    </row>
    <row r="22" spans="1:6" ht="13.2">
      <c r="A22" s="149">
        <v>11</v>
      </c>
      <c r="B22" s="2">
        <f>+RES!B22</f>
        <v>44470</v>
      </c>
      <c r="C22" s="3">
        <v>0</v>
      </c>
      <c r="D22" s="3">
        <v>2261.9473026408577</v>
      </c>
      <c r="E22" s="3">
        <v>0</v>
      </c>
      <c r="F22" s="3">
        <v>2078.7577076319308</v>
      </c>
    </row>
    <row r="23" spans="1:6" ht="13.2">
      <c r="A23" s="149">
        <v>12</v>
      </c>
      <c r="B23" s="2">
        <f>+RES!B23</f>
        <v>44501</v>
      </c>
      <c r="C23" s="3">
        <v>0</v>
      </c>
      <c r="D23" s="3">
        <v>1184.5389559788573</v>
      </c>
      <c r="E23" s="3">
        <v>0</v>
      </c>
      <c r="F23" s="3">
        <v>1015.6095200095283</v>
      </c>
    </row>
    <row r="24" spans="1:6" ht="13.2">
      <c r="A24" s="149">
        <v>13</v>
      </c>
      <c r="B24" s="2">
        <f>+RES!B24</f>
        <v>44531</v>
      </c>
      <c r="C24" s="3">
        <v>0</v>
      </c>
      <c r="D24" s="3">
        <v>492.34084233161906</v>
      </c>
      <c r="E24" s="3">
        <v>0</v>
      </c>
      <c r="F24" s="3">
        <v>394.99946888792755</v>
      </c>
    </row>
    <row r="25" spans="1:6" ht="13.2">
      <c r="A25" s="149">
        <v>14</v>
      </c>
      <c r="B25" s="100" t="s">
        <v>4</v>
      </c>
      <c r="C25" s="50">
        <f>SUM(C13:C24)</f>
        <v>0</v>
      </c>
      <c r="D25" s="50">
        <f>SUM(D13:D24)</f>
        <v>17240.358930496241</v>
      </c>
      <c r="E25" s="50">
        <f>SUM(E13:E24)</f>
        <v>0</v>
      </c>
      <c r="F25" s="50">
        <f>SUM(F13:F24)</f>
        <v>18509.367858660218</v>
      </c>
    </row>
  </sheetData>
  <mergeCells count="10">
    <mergeCell ref="B8:F8"/>
    <mergeCell ref="B9:F9"/>
    <mergeCell ref="C11:D11"/>
    <mergeCell ref="E11:F11"/>
    <mergeCell ref="B1:F1"/>
    <mergeCell ref="B2:F2"/>
    <mergeCell ref="B3:F3"/>
    <mergeCell ref="B4:F4"/>
    <mergeCell ref="B5:F5"/>
    <mergeCell ref="B6:F6"/>
  </mergeCells>
  <printOptions horizontalCentered="1"/>
  <pageMargins left="1.5" right="0.5" top="1.5" bottom="1" header="1" footer="0.5"/>
  <pageSetup orientation="portrait" r:id="rId1"/>
  <headerFooter alignWithMargins="0">
    <oddHeader>&amp;RSchedule II-H-5.2
Page &amp;P of 37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">
    <pageSetUpPr fitToPage="1"/>
  </sheetPr>
  <dimension ref="A1:P29"/>
  <sheetViews>
    <sheetView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" style="9" customWidth="1"/>
    <col min="5" max="5" width="6.71428571428571" style="9" customWidth="1"/>
    <col min="6" max="6" width="6.57142857142857" style="9" customWidth="1"/>
    <col min="7" max="7" width="10.1428571428571" style="9" customWidth="1"/>
    <col min="8" max="8" width="8.42857142857143" style="9" customWidth="1"/>
    <col min="9" max="10" width="8.71428571428571" style="9" bestFit="1" customWidth="1"/>
    <col min="11" max="11" width="8.42857142857143" style="9" customWidth="1"/>
    <col min="12" max="12" width="7.42857142857143" style="9" customWidth="1"/>
    <col min="13" max="13" width="10.2857142857143" style="9" customWidth="1"/>
    <col min="14" max="14" width="10.1428571428571" style="9" customWidth="1"/>
    <col min="15" max="16384" width="9.14285714285714" style="9"/>
  </cols>
  <sheetData>
    <row r="1" spans="1:15" s="0" customFormat="1" ht="15.6">
      <c r="A1" s="1"/>
      <c r="B1" s="200" t="str">
        <f>+RES!B1</f>
        <v xml:space="preserve">PUC DOCKET NO. </v>
      </c>
      <c r="C1" s="200"/>
      <c r="D1" s="200"/>
      <c r="E1" s="200"/>
      <c r="F1" s="200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"/>
      <c r="B3" s="200" t="str">
        <f>+RES!B3</f>
        <v>ADJUSTED WEATHER STATION DATA</v>
      </c>
      <c r="C3" s="200"/>
      <c r="D3" s="200"/>
      <c r="E3" s="200"/>
      <c r="F3" s="200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"/>
      <c r="B5" s="200"/>
      <c r="C5" s="200"/>
      <c r="D5" s="200"/>
      <c r="E5" s="200"/>
      <c r="F5" s="200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</row>
    <row r="7" spans="2:15" ht="15.6">
      <c r="B7" s="9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15.6">
      <c r="B8" s="200" t="s">
        <v>134</v>
      </c>
      <c r="C8" s="200"/>
      <c r="D8" s="200"/>
      <c r="E8" s="200"/>
      <c r="F8" s="200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" t="s">
        <v>6</v>
      </c>
      <c r="B9" s="9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" ht="13.2">
      <c r="A10" s="5" t="s">
        <v>8</v>
      </c>
    </row>
    <row r="11" spans="1:13" ht="13.2">
      <c r="A11" s="7">
        <v>1</v>
      </c>
      <c r="B11" s="11" t="s">
        <v>99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29.4" customHeight="1">
      <c r="A12" s="7">
        <f t="shared" si="0" ref="A12:A19">+A11+1</f>
        <v>2</v>
      </c>
      <c r="B12" s="15" t="s">
        <v>13</v>
      </c>
      <c r="C12" s="69" t="s">
        <v>0</v>
      </c>
      <c r="D12" s="102" t="str">
        <f t="array" ref="D12:M12">TRANSPOSE('[4]July 20 20 bySite'!$B$11:$B$20)</f>
        <v>Abilene</v>
      </c>
      <c r="E12" s="102" t="str">
        <v>Austin</v>
      </c>
      <c r="F12" s="102" t="str">
        <v>Dallas-Ft. Worth</v>
      </c>
      <c r="G12" s="102" t="str">
        <v>Kileen-Temple</v>
      </c>
      <c r="H12" s="102" t="str">
        <v>Longview</v>
      </c>
      <c r="I12" s="102" t="str">
        <v>Lufkin</v>
      </c>
      <c r="J12" s="102" t="str">
        <v>Midland-Odessa</v>
      </c>
      <c r="K12" s="102" t="str">
        <v>Sherman-Denison</v>
      </c>
      <c r="L12" s="102" t="str">
        <v>Waco</v>
      </c>
      <c r="M12" s="103" t="str">
        <v>Wichita Falls</v>
      </c>
    </row>
    <row r="13" spans="1:15" ht="13.2">
      <c r="A13" s="7">
        <f t="shared" si="0"/>
        <v>3</v>
      </c>
      <c r="B13" s="17">
        <v>44032</v>
      </c>
      <c r="C13" s="18" t="s">
        <v>14</v>
      </c>
      <c r="D13" s="79">
        <f t="array" ref="D13:M13">TRANSPOSE('[4]July 20 20 bySite'!$Q$24:$Q$33)</f>
        <v>20.799999999999997</v>
      </c>
      <c r="E13" s="79">
        <v>20.099999999999994</v>
      </c>
      <c r="F13" s="79">
        <v>21.700000000000003</v>
      </c>
      <c r="G13" s="79">
        <v>21.200000000000003</v>
      </c>
      <c r="H13" s="79">
        <v>16.299999999999997</v>
      </c>
      <c r="I13" s="79">
        <v>15.400000000000006</v>
      </c>
      <c r="J13" s="79">
        <v>19.900000000000006</v>
      </c>
      <c r="K13" s="79">
        <v>21.200000000000003</v>
      </c>
      <c r="L13" s="79">
        <v>21</v>
      </c>
      <c r="M13" s="90">
        <v>20.299999999999997</v>
      </c>
      <c r="O13" s="20" t="s">
        <v>15</v>
      </c>
    </row>
    <row r="14" spans="1:15" ht="13.2">
      <c r="A14" s="7">
        <f t="shared" si="0"/>
        <v>4</v>
      </c>
      <c r="B14" s="17">
        <f>+B13</f>
        <v>44032</v>
      </c>
      <c r="C14" s="18" t="s">
        <v>16</v>
      </c>
      <c r="D14" s="79">
        <f t="array" ref="D14:M14">TRANSPOSE('[4]July 20 20 bySite'!$R$24:$R$33)</f>
        <v>15.799999999999997</v>
      </c>
      <c r="E14" s="79">
        <v>15.099999999999994</v>
      </c>
      <c r="F14" s="79">
        <v>16.700000000000003</v>
      </c>
      <c r="G14" s="79">
        <v>16.200000000000003</v>
      </c>
      <c r="H14" s="79">
        <v>11.299999999999997</v>
      </c>
      <c r="I14" s="79">
        <v>10.400000000000006</v>
      </c>
      <c r="J14" s="79">
        <v>14.900000000000006</v>
      </c>
      <c r="K14" s="79">
        <v>16.200000000000003</v>
      </c>
      <c r="L14" s="79">
        <v>16</v>
      </c>
      <c r="M14" s="90">
        <v>15.299999999999997</v>
      </c>
      <c r="O14" s="20" t="s">
        <v>17</v>
      </c>
    </row>
    <row r="15" spans="1:15" ht="13.2">
      <c r="A15" s="7">
        <f t="shared" si="0"/>
        <v>5</v>
      </c>
      <c r="B15" s="17">
        <f>+B14</f>
        <v>44032</v>
      </c>
      <c r="C15" s="18" t="s">
        <v>18</v>
      </c>
      <c r="D15" s="79">
        <f t="array" ref="D15:M15">TRANSPOSE('[4]July 20 20 bySite'!$S$24:$S$33)</f>
        <v>10.799999999999997</v>
      </c>
      <c r="E15" s="79">
        <v>10.099999999999994</v>
      </c>
      <c r="F15" s="79">
        <v>11.700000000000003</v>
      </c>
      <c r="G15" s="79">
        <v>11.200000000000003</v>
      </c>
      <c r="H15" s="79">
        <v>6.2999999999999972</v>
      </c>
      <c r="I15" s="79">
        <v>5.4000000000000057</v>
      </c>
      <c r="J15" s="79">
        <v>9.9000000000000057</v>
      </c>
      <c r="K15" s="79">
        <v>11.200000000000003</v>
      </c>
      <c r="L15" s="79">
        <v>11</v>
      </c>
      <c r="M15" s="90">
        <v>10.299999999999997</v>
      </c>
      <c r="O15" s="20" t="s">
        <v>19</v>
      </c>
    </row>
    <row r="16" spans="1:15" ht="13.2">
      <c r="A16" s="7">
        <f t="shared" si="0"/>
        <v>6</v>
      </c>
      <c r="B16" s="21">
        <f>+B14</f>
        <v>44032</v>
      </c>
      <c r="C16" s="22" t="s">
        <v>132</v>
      </c>
      <c r="D16" s="80">
        <f t="array" ref="D16:M16">TRANSPOSE('[4]July 20 20 bySite'!$T$24:$T$33)</f>
        <v>5.7999999999999972</v>
      </c>
      <c r="E16" s="80">
        <v>5.0999999999999943</v>
      </c>
      <c r="F16" s="80">
        <v>6.7000000000000028</v>
      </c>
      <c r="G16" s="80">
        <v>6.2000000000000028</v>
      </c>
      <c r="H16" s="80">
        <v>1.2999999999999972</v>
      </c>
      <c r="I16" s="80">
        <v>0.40000000000000568</v>
      </c>
      <c r="J16" s="80">
        <v>4.9000000000000057</v>
      </c>
      <c r="K16" s="80">
        <v>6.2000000000000028</v>
      </c>
      <c r="L16" s="80">
        <v>6</v>
      </c>
      <c r="M16" s="73">
        <v>5.2999999999999972</v>
      </c>
      <c r="O16" s="20" t="s">
        <v>108</v>
      </c>
    </row>
    <row r="17" spans="1:1" ht="13.2">
      <c r="A17" s="7">
        <f t="shared" si="0"/>
        <v>7</v>
      </c>
    </row>
    <row r="18" spans="1:13" ht="13.2">
      <c r="A18" s="7">
        <f t="shared" si="0"/>
        <v>8</v>
      </c>
      <c r="B18" s="11" t="s">
        <v>43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5" ht="13.2">
      <c r="A19" s="7">
        <f t="shared" si="0"/>
        <v>9</v>
      </c>
      <c r="B19" s="24"/>
      <c r="C19" s="25" t="s">
        <v>0</v>
      </c>
      <c r="D19" s="26">
        <f>+'Res Seasonal Weights'!F30</f>
        <v>0.012</v>
      </c>
      <c r="E19" s="26">
        <f>+'Res Seasonal Weights'!F36</f>
        <v>0.043999999999999997</v>
      </c>
      <c r="F19" s="26">
        <f>+'Res Seasonal Weights'!F27</f>
        <v>0.70499999999999996</v>
      </c>
      <c r="G19" s="26">
        <f>+'Res Seasonal Weights'!F32</f>
        <v>0.044999999999999998</v>
      </c>
      <c r="H19" s="26">
        <f>+'Res Seasonal Weights'!F35</f>
        <v>0.035000000000000003</v>
      </c>
      <c r="I19" s="26">
        <f>+'Res Seasonal Weights'!F29</f>
        <v>0.025999999999999999</v>
      </c>
      <c r="J19" s="26">
        <f>+'Res Seasonal Weights'!F28</f>
        <v>0.056000000000000001</v>
      </c>
      <c r="K19" s="26">
        <f>+'Res Seasonal Weights'!F31</f>
        <v>0.023</v>
      </c>
      <c r="L19" s="26">
        <f>+'Res Seasonal Weights'!F33</f>
        <v>0.035999999999999997</v>
      </c>
      <c r="M19" s="27">
        <f>+'Res Seasonal Weights'!F34</f>
        <v>0.019</v>
      </c>
      <c r="O19" s="20" t="s">
        <v>21</v>
      </c>
    </row>
    <row r="20" spans="1:1" ht="13.2">
      <c r="A20" s="7"/>
    </row>
    <row r="21" spans="1:7" ht="13.2">
      <c r="A21" s="7"/>
      <c r="B21" s="10"/>
      <c r="G21" s="8"/>
    </row>
    <row r="22" spans="1:14" ht="13.2">
      <c r="A22" s="7">
        <f>+A19+1</f>
        <v>10</v>
      </c>
      <c r="B22" s="11" t="s">
        <v>101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ht="13.2">
      <c r="A23" s="7">
        <f>+A22+1</f>
        <v>11</v>
      </c>
      <c r="B23" s="28"/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</row>
    <row r="24" spans="1:14" ht="30.6">
      <c r="A24" s="7">
        <f>+A23+1</f>
        <v>12</v>
      </c>
      <c r="B24" s="15" t="s">
        <v>13</v>
      </c>
      <c r="C24" s="16" t="s">
        <v>0</v>
      </c>
      <c r="D24" s="102" t="str">
        <f t="array" ref="D24:M24">TRANSPOSE('[4]July 20 20 bySite'!$B$11:$B$20)</f>
        <v>Abilene</v>
      </c>
      <c r="E24" s="102" t="str">
        <v>Austin</v>
      </c>
      <c r="F24" s="102" t="str">
        <v>Dallas-Ft. Worth</v>
      </c>
      <c r="G24" s="102" t="str">
        <v>Kileen-Temple</v>
      </c>
      <c r="H24" s="102" t="str">
        <v>Longview</v>
      </c>
      <c r="I24" s="102" t="str">
        <v>Lufkin</v>
      </c>
      <c r="J24" s="102" t="str">
        <v>Midland-Odessa</v>
      </c>
      <c r="K24" s="102" t="str">
        <v>Sherman-Denison</v>
      </c>
      <c r="L24" s="102" t="str">
        <v>Waco</v>
      </c>
      <c r="M24" s="103" t="str">
        <v>Wichita Falls</v>
      </c>
      <c r="N24" s="49" t="s">
        <v>100</v>
      </c>
    </row>
    <row r="25" spans="1:15" ht="13.2">
      <c r="A25" s="7">
        <f t="shared" si="1" ref="A25:A28">+A24+1</f>
        <v>13</v>
      </c>
      <c r="B25" s="17">
        <f>+B13</f>
        <v>44032</v>
      </c>
      <c r="C25" s="18" t="str">
        <f>+C13</f>
        <v>Base65</v>
      </c>
      <c r="D25" s="19">
        <f>+D13*D$19</f>
        <v>0.24959999999999996</v>
      </c>
      <c r="E25" s="19">
        <f t="shared" si="2" ref="E25:M25">+E13*E$19</f>
        <v>0.88439999999999974</v>
      </c>
      <c r="F25" s="19">
        <f t="shared" si="2"/>
        <v>15.298500000000001</v>
      </c>
      <c r="G25" s="19">
        <f t="shared" si="2"/>
        <v>0.95400000000000007</v>
      </c>
      <c r="H25" s="19">
        <f t="shared" si="2"/>
        <v>0.57050000000000001</v>
      </c>
      <c r="I25" s="19">
        <f t="shared" si="2"/>
        <v>0.40040000000000014</v>
      </c>
      <c r="J25" s="19">
        <f t="shared" si="2"/>
        <v>1.1144000000000003</v>
      </c>
      <c r="K25" s="19">
        <f t="shared" si="2"/>
        <v>0.48760000000000003</v>
      </c>
      <c r="L25" s="19">
        <f t="shared" si="2"/>
        <v>0.75599999999999989</v>
      </c>
      <c r="M25" s="19">
        <f t="shared" si="2"/>
        <v>0.38569999999999993</v>
      </c>
      <c r="N25" s="19">
        <f>SUM(D25:M25)</f>
        <v>21.101100000000002</v>
      </c>
      <c r="O25" s="32" t="s">
        <v>22</v>
      </c>
    </row>
    <row r="26" spans="1:15" ht="13.2">
      <c r="A26" s="7">
        <f t="shared" si="1"/>
        <v>14</v>
      </c>
      <c r="B26" s="17">
        <f>+B14</f>
        <v>44032</v>
      </c>
      <c r="C26" s="18" t="str">
        <f t="shared" si="3" ref="C26:C28">+C14</f>
        <v>Base70</v>
      </c>
      <c r="D26" s="19">
        <f>+D14*D$19</f>
        <v>0.18959999999999996</v>
      </c>
      <c r="E26" s="19">
        <f t="shared" si="4" ref="E26:M27">+E14*E$19</f>
        <v>0.66439999999999966</v>
      </c>
      <c r="F26" s="19">
        <f t="shared" si="4"/>
        <v>11.773500000000002</v>
      </c>
      <c r="G26" s="19">
        <f t="shared" si="4"/>
        <v>0.72900000000000009</v>
      </c>
      <c r="H26" s="19">
        <f t="shared" si="4"/>
        <v>0.39549999999999996</v>
      </c>
      <c r="I26" s="19">
        <f>+I14*I$19</f>
        <v>0.27040000000000014</v>
      </c>
      <c r="J26" s="19">
        <f t="shared" si="4"/>
        <v>0.83440000000000036</v>
      </c>
      <c r="K26" s="19">
        <f t="shared" si="4"/>
        <v>0.37260000000000004</v>
      </c>
      <c r="L26" s="19">
        <f t="shared" si="4"/>
        <v>0.57599999999999996</v>
      </c>
      <c r="M26" s="19">
        <f t="shared" si="4"/>
        <v>0.29069999999999996</v>
      </c>
      <c r="N26" s="19">
        <f>SUM(D26:M26)</f>
        <v>16.096100000000003</v>
      </c>
      <c r="O26" s="32" t="s">
        <v>23</v>
      </c>
    </row>
    <row r="27" spans="1:15" ht="13.2">
      <c r="A27" s="7">
        <f t="shared" si="1"/>
        <v>15</v>
      </c>
      <c r="B27" s="17">
        <f>+B15</f>
        <v>44032</v>
      </c>
      <c r="C27" s="18" t="str">
        <f t="shared" si="3"/>
        <v>Base75</v>
      </c>
      <c r="D27" s="19">
        <f>+D15*D$19</f>
        <v>0.12959999999999997</v>
      </c>
      <c r="E27" s="19">
        <f t="shared" si="4"/>
        <v>0.44439999999999974</v>
      </c>
      <c r="F27" s="19">
        <f t="shared" si="4"/>
        <v>8.2485000000000017</v>
      </c>
      <c r="G27" s="19">
        <f t="shared" si="4"/>
        <v>0.50400000000000011</v>
      </c>
      <c r="H27" s="19">
        <f t="shared" si="4"/>
        <v>0.22049999999999992</v>
      </c>
      <c r="I27" s="19">
        <f t="shared" si="4"/>
        <v>0.14040000000000014</v>
      </c>
      <c r="J27" s="19">
        <f t="shared" si="4"/>
        <v>0.55440000000000034</v>
      </c>
      <c r="K27" s="19">
        <f t="shared" si="4"/>
        <v>0.25760000000000005</v>
      </c>
      <c r="L27" s="19">
        <f t="shared" si="4"/>
        <v>0.39599999999999996</v>
      </c>
      <c r="M27" s="19">
        <f>+M15*M$19</f>
        <v>0.19569999999999993</v>
      </c>
      <c r="N27" s="19">
        <f>SUM(D27:M27)</f>
        <v>11.091100000000003</v>
      </c>
      <c r="O27" s="32" t="s">
        <v>24</v>
      </c>
    </row>
    <row r="28" spans="1:16" ht="13.2">
      <c r="A28" s="7">
        <f t="shared" si="1"/>
        <v>16</v>
      </c>
      <c r="B28" s="21">
        <f>+B16</f>
        <v>44032</v>
      </c>
      <c r="C28" s="22" t="str">
        <f t="shared" si="3"/>
        <v>Base80</v>
      </c>
      <c r="D28" s="23">
        <f>+D16*D$19</f>
        <v>0.069599999999999967</v>
      </c>
      <c r="E28" s="23">
        <f t="shared" si="5" ref="E28:M28">+E16*E$19</f>
        <v>0.22439999999999974</v>
      </c>
      <c r="F28" s="23">
        <f t="shared" si="5"/>
        <v>4.7235000000000014</v>
      </c>
      <c r="G28" s="23">
        <f t="shared" si="5"/>
        <v>0.27900000000000014</v>
      </c>
      <c r="H28" s="23">
        <f t="shared" si="5"/>
        <v>0.045499999999999902</v>
      </c>
      <c r="I28" s="23">
        <f t="shared" si="5"/>
        <v>0.010400000000000147</v>
      </c>
      <c r="J28" s="23">
        <f t="shared" si="5"/>
        <v>0.27440000000000031</v>
      </c>
      <c r="K28" s="23">
        <f t="shared" si="5"/>
        <v>0.14260000000000006</v>
      </c>
      <c r="L28" s="23">
        <f>+L16*L$19</f>
        <v>0.21599999999999997</v>
      </c>
      <c r="M28" s="23">
        <f t="shared" si="5"/>
        <v>0.10069999999999994</v>
      </c>
      <c r="N28" s="23">
        <f>SUM(D28:M28)</f>
        <v>6.0861000000000001</v>
      </c>
      <c r="O28" s="32" t="s">
        <v>109</v>
      </c>
      <c r="P28" s="136"/>
    </row>
    <row r="29" spans="15:15" ht="13.2">
      <c r="O29" s="30"/>
    </row>
  </sheetData>
  <mergeCells count="7">
    <mergeCell ref="B8:O8"/>
    <mergeCell ref="B5:O5"/>
    <mergeCell ref="B1:O1"/>
    <mergeCell ref="B2:O2"/>
    <mergeCell ref="B3:O3"/>
    <mergeCell ref="B4:O4"/>
    <mergeCell ref="B6:O6"/>
  </mergeCells>
  <printOptions horizontalCentered="1"/>
  <pageMargins left="1.5" right="0.5" top="1.5" bottom="1" header="1" footer="0.5"/>
  <pageSetup orientation="portrait" scale="65" r:id="rId2"/>
  <headerFooter alignWithMargins="0">
    <oddHeader>&amp;RSchedule II-H-5.2
Page &amp;P of 37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7">
    <pageSetUpPr fitToPage="1"/>
  </sheetPr>
  <dimension ref="A1:P29"/>
  <sheetViews>
    <sheetView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" style="9" customWidth="1"/>
    <col min="5" max="5" width="6.71428571428571" style="9" customWidth="1"/>
    <col min="6" max="6" width="6.57142857142857" style="9" customWidth="1"/>
    <col min="7" max="7" width="10.1428571428571" style="9" customWidth="1"/>
    <col min="8" max="8" width="8.42857142857143" style="9" customWidth="1"/>
    <col min="9" max="10" width="8.71428571428571" style="9" bestFit="1" customWidth="1"/>
    <col min="11" max="11" width="8.42857142857143" style="9" customWidth="1"/>
    <col min="12" max="12" width="7.42857142857143" style="9" customWidth="1"/>
    <col min="13" max="13" width="10.2857142857143" style="9" customWidth="1"/>
    <col min="14" max="14" width="10.1428571428571" style="9" customWidth="1"/>
    <col min="15" max="16384" width="9.14285714285714" style="9"/>
  </cols>
  <sheetData>
    <row r="1" spans="1:15" s="0" customFormat="1" ht="15.6">
      <c r="A1" s="152"/>
      <c r="B1" s="200" t="str">
        <f>+RES!B1</f>
        <v xml:space="preserve">PUC DOCKET NO. </v>
      </c>
      <c r="C1" s="200"/>
      <c r="D1" s="200"/>
      <c r="E1" s="200"/>
      <c r="F1" s="200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52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52"/>
      <c r="B3" s="200" t="str">
        <f>+RES!B3</f>
        <v>ADJUSTED WEATHER STATION DATA</v>
      </c>
      <c r="C3" s="200"/>
      <c r="D3" s="200"/>
      <c r="E3" s="200"/>
      <c r="F3" s="200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52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52"/>
      <c r="B5" s="200"/>
      <c r="C5" s="200"/>
      <c r="D5" s="200"/>
      <c r="E5" s="200"/>
      <c r="F5" s="200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</row>
    <row r="7" spans="2:15" ht="15.6">
      <c r="B7" s="154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</row>
    <row r="8" spans="2:15" ht="15.6">
      <c r="B8" s="200" t="s">
        <v>135</v>
      </c>
      <c r="C8" s="200"/>
      <c r="D8" s="200"/>
      <c r="E8" s="200"/>
      <c r="F8" s="200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52" t="s">
        <v>6</v>
      </c>
      <c r="B9" s="154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</row>
    <row r="10" spans="1:1" ht="13.2">
      <c r="A10" s="5" t="s">
        <v>8</v>
      </c>
    </row>
    <row r="11" spans="1:13" ht="13.2">
      <c r="A11" s="7">
        <v>1</v>
      </c>
      <c r="B11" s="11" t="s">
        <v>99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29.4" customHeight="1">
      <c r="A12" s="7">
        <f t="shared" si="0" ref="A12:A19">+A11+1</f>
        <v>2</v>
      </c>
      <c r="B12" s="15" t="s">
        <v>13</v>
      </c>
      <c r="C12" s="69" t="s">
        <v>0</v>
      </c>
      <c r="D12" s="102" t="str">
        <f t="array" ref="D12:M12">TRANSPOSE('[4]July 14 21 bySite'!$B$11:$B$20)</f>
        <v>Abilene</v>
      </c>
      <c r="E12" s="102" t="str">
        <v>Austin</v>
      </c>
      <c r="F12" s="102" t="str">
        <v>Dallas-Ft. Worth</v>
      </c>
      <c r="G12" s="102" t="str">
        <v>Kileen-Temple</v>
      </c>
      <c r="H12" s="102" t="str">
        <v>Longview</v>
      </c>
      <c r="I12" s="102" t="str">
        <v>Lufkin</v>
      </c>
      <c r="J12" s="102" t="str">
        <v>Midland-Odessa</v>
      </c>
      <c r="K12" s="102" t="str">
        <v>Sherman-Denison</v>
      </c>
      <c r="L12" s="102" t="str">
        <v>Waco</v>
      </c>
      <c r="M12" s="103" t="str">
        <v>Wichita Falls</v>
      </c>
    </row>
    <row r="13" spans="1:15" ht="13.2">
      <c r="A13" s="7">
        <f t="shared" si="0"/>
        <v>3</v>
      </c>
      <c r="B13" s="17">
        <v>44391</v>
      </c>
      <c r="C13" s="18" t="s">
        <v>14</v>
      </c>
      <c r="D13" s="79">
        <f t="array" ref="D13:M13">TRANSPOSE('[4]July 14 21 bySite'!$Q$24:$Q$33)</f>
        <v>15</v>
      </c>
      <c r="E13" s="79">
        <v>11.099999999999994</v>
      </c>
      <c r="F13" s="79">
        <v>16.200000000000003</v>
      </c>
      <c r="G13" s="79">
        <v>12.200000000000003</v>
      </c>
      <c r="H13" s="79">
        <v>13.700000000000003</v>
      </c>
      <c r="I13" s="79">
        <v>13.599999999999994</v>
      </c>
      <c r="J13" s="79">
        <v>12.299999999999997</v>
      </c>
      <c r="K13" s="79">
        <v>16.400000000000006</v>
      </c>
      <c r="L13" s="79">
        <v>13.799999999999997</v>
      </c>
      <c r="M13" s="90">
        <v>16.099999999999994</v>
      </c>
      <c r="O13" s="20" t="s">
        <v>15</v>
      </c>
    </row>
    <row r="14" spans="1:15" ht="13.2">
      <c r="A14" s="7">
        <f t="shared" si="0"/>
        <v>4</v>
      </c>
      <c r="B14" s="17">
        <f>+B13</f>
        <v>44391</v>
      </c>
      <c r="C14" s="18" t="s">
        <v>16</v>
      </c>
      <c r="D14" s="79">
        <f t="array" ref="D14:M14">TRANSPOSE('[4]July 14 21 bySite'!$R$24:$R$33)</f>
        <v>10</v>
      </c>
      <c r="E14" s="79">
        <v>6.0999999999999943</v>
      </c>
      <c r="F14" s="79">
        <v>11.200000000000003</v>
      </c>
      <c r="G14" s="79">
        <v>7.2000000000000028</v>
      </c>
      <c r="H14" s="79">
        <v>8.7000000000000028</v>
      </c>
      <c r="I14" s="79">
        <v>8.5999999999999943</v>
      </c>
      <c r="J14" s="79">
        <v>7.2999999999999972</v>
      </c>
      <c r="K14" s="79">
        <v>11.400000000000006</v>
      </c>
      <c r="L14" s="79">
        <v>8.7999999999999972</v>
      </c>
      <c r="M14" s="90">
        <v>11.099999999999994</v>
      </c>
      <c r="O14" s="20" t="s">
        <v>17</v>
      </c>
    </row>
    <row r="15" spans="1:15" ht="13.2">
      <c r="A15" s="7">
        <f t="shared" si="0"/>
        <v>5</v>
      </c>
      <c r="B15" s="17">
        <f>+B14</f>
        <v>44391</v>
      </c>
      <c r="C15" s="18" t="s">
        <v>18</v>
      </c>
      <c r="D15" s="79">
        <f t="array" ref="D15:M15">TRANSPOSE('[4]July 14 21 bySite'!$S$24:$S$33)</f>
        <v>5</v>
      </c>
      <c r="E15" s="79">
        <v>1.0999999999999943</v>
      </c>
      <c r="F15" s="79">
        <v>6.2000000000000028</v>
      </c>
      <c r="G15" s="79">
        <v>2.2000000000000028</v>
      </c>
      <c r="H15" s="79">
        <v>3.7000000000000028</v>
      </c>
      <c r="I15" s="79">
        <v>3.5999999999999943</v>
      </c>
      <c r="J15" s="79">
        <v>2.2999999999999972</v>
      </c>
      <c r="K15" s="79">
        <v>6.4000000000000057</v>
      </c>
      <c r="L15" s="79">
        <v>3.7999999999999972</v>
      </c>
      <c r="M15" s="90">
        <v>6.0999999999999943</v>
      </c>
      <c r="O15" s="20" t="s">
        <v>19</v>
      </c>
    </row>
    <row r="16" spans="1:15" ht="13.2">
      <c r="A16" s="7">
        <f t="shared" si="0"/>
        <v>6</v>
      </c>
      <c r="B16" s="21">
        <f>+B14</f>
        <v>44391</v>
      </c>
      <c r="C16" s="22" t="s">
        <v>132</v>
      </c>
      <c r="D16" s="80">
        <f t="array" ref="D16:M16">TRANSPOSE('[4]July 14 21 bySite'!$T$24:$T$33)</f>
        <v>0</v>
      </c>
      <c r="E16" s="80">
        <v>0</v>
      </c>
      <c r="F16" s="80">
        <v>1.2000000000000028</v>
      </c>
      <c r="G16" s="80">
        <v>0</v>
      </c>
      <c r="H16" s="80">
        <v>0</v>
      </c>
      <c r="I16" s="80">
        <v>0</v>
      </c>
      <c r="J16" s="80">
        <v>0</v>
      </c>
      <c r="K16" s="80">
        <v>1.4000000000000057</v>
      </c>
      <c r="L16" s="80">
        <v>0</v>
      </c>
      <c r="M16" s="73">
        <v>1.0999999999999943</v>
      </c>
      <c r="O16" s="20" t="s">
        <v>108</v>
      </c>
    </row>
    <row r="17" spans="1:1" ht="13.2">
      <c r="A17" s="7">
        <f t="shared" si="0"/>
        <v>7</v>
      </c>
    </row>
    <row r="18" spans="1:13" ht="13.2">
      <c r="A18" s="7">
        <f t="shared" si="0"/>
        <v>8</v>
      </c>
      <c r="B18" s="11" t="s">
        <v>43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5" ht="13.2">
      <c r="A19" s="7">
        <f t="shared" si="0"/>
        <v>9</v>
      </c>
      <c r="B19" s="24"/>
      <c r="C19" s="155" t="s">
        <v>0</v>
      </c>
      <c r="D19" s="26">
        <f>+'Res Seasonal Weights'!F30</f>
        <v>0.012</v>
      </c>
      <c r="E19" s="26">
        <f>+'Res Seasonal Weights'!F36</f>
        <v>0.043999999999999997</v>
      </c>
      <c r="F19" s="26">
        <f>+'Res Seasonal Weights'!F27</f>
        <v>0.70499999999999996</v>
      </c>
      <c r="G19" s="26">
        <f>+'Res Seasonal Weights'!F32</f>
        <v>0.044999999999999998</v>
      </c>
      <c r="H19" s="26">
        <f>+'Res Seasonal Weights'!F35</f>
        <v>0.035000000000000003</v>
      </c>
      <c r="I19" s="26">
        <f>+'Res Seasonal Weights'!F29</f>
        <v>0.025999999999999999</v>
      </c>
      <c r="J19" s="26">
        <f>+'Res Seasonal Weights'!F28</f>
        <v>0.056000000000000001</v>
      </c>
      <c r="K19" s="26">
        <f>+'Res Seasonal Weights'!F31</f>
        <v>0.023</v>
      </c>
      <c r="L19" s="26">
        <f>+'Res Seasonal Weights'!F33</f>
        <v>0.035999999999999997</v>
      </c>
      <c r="M19" s="27">
        <f>+'Res Seasonal Weights'!F34</f>
        <v>0.019</v>
      </c>
      <c r="O19" s="20" t="s">
        <v>21</v>
      </c>
    </row>
    <row r="20" spans="1:1" ht="13.2">
      <c r="A20" s="7"/>
    </row>
    <row r="21" spans="1:7" ht="13.2">
      <c r="A21" s="7"/>
      <c r="B21" s="10"/>
      <c r="G21" s="8"/>
    </row>
    <row r="22" spans="1:14" ht="13.2">
      <c r="A22" s="7">
        <f>+A19+1</f>
        <v>10</v>
      </c>
      <c r="B22" s="11" t="s">
        <v>101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1:14" ht="13.2">
      <c r="A23" s="7">
        <f>+A22+1</f>
        <v>11</v>
      </c>
      <c r="B23" s="28"/>
      <c r="C23" s="156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</row>
    <row r="24" spans="1:14" ht="30.6">
      <c r="A24" s="7">
        <f>+A23+1</f>
        <v>12</v>
      </c>
      <c r="B24" s="15" t="s">
        <v>13</v>
      </c>
      <c r="C24" s="16" t="s">
        <v>0</v>
      </c>
      <c r="D24" s="102" t="str">
        <f t="array" ref="D24:M24">TRANSPOSE('[4]July 14 21 bySite'!$B$11:$B$20)</f>
        <v>Abilene</v>
      </c>
      <c r="E24" s="102" t="str">
        <v>Austin</v>
      </c>
      <c r="F24" s="102" t="str">
        <v>Dallas-Ft. Worth</v>
      </c>
      <c r="G24" s="102" t="str">
        <v>Kileen-Temple</v>
      </c>
      <c r="H24" s="102" t="str">
        <v>Longview</v>
      </c>
      <c r="I24" s="102" t="str">
        <v>Lufkin</v>
      </c>
      <c r="J24" s="102" t="str">
        <v>Midland-Odessa</v>
      </c>
      <c r="K24" s="102" t="str">
        <v>Sherman-Denison</v>
      </c>
      <c r="L24" s="102" t="str">
        <v>Waco</v>
      </c>
      <c r="M24" s="103" t="str">
        <v>Wichita Falls</v>
      </c>
      <c r="N24" s="49" t="s">
        <v>100</v>
      </c>
    </row>
    <row r="25" spans="1:15" ht="13.2">
      <c r="A25" s="7">
        <f t="shared" si="1" ref="A25:A28">+A24+1</f>
        <v>13</v>
      </c>
      <c r="B25" s="17">
        <f>+B13</f>
        <v>44391</v>
      </c>
      <c r="C25" s="18" t="str">
        <f>+C13</f>
        <v>Base65</v>
      </c>
      <c r="D25" s="19">
        <f>+D13*D$19</f>
        <v>0.17999999999999999</v>
      </c>
      <c r="E25" s="19">
        <f t="shared" si="2" ref="E25:M28">+E13*E$19</f>
        <v>0.48839999999999972</v>
      </c>
      <c r="F25" s="19">
        <f t="shared" si="2"/>
        <v>11.421000000000001</v>
      </c>
      <c r="G25" s="19">
        <f t="shared" si="2"/>
        <v>0.54900000000000015</v>
      </c>
      <c r="H25" s="19">
        <f t="shared" si="2"/>
        <v>0.47950000000000015</v>
      </c>
      <c r="I25" s="19">
        <f t="shared" si="2"/>
        <v>0.35359999999999986</v>
      </c>
      <c r="J25" s="19">
        <f t="shared" si="2"/>
        <v>0.68879999999999986</v>
      </c>
      <c r="K25" s="19">
        <f t="shared" si="2"/>
        <v>0.37720000000000015</v>
      </c>
      <c r="L25" s="19">
        <f t="shared" si="2"/>
        <v>0.49679999999999985</v>
      </c>
      <c r="M25" s="19">
        <f t="shared" si="2"/>
        <v>0.30589999999999989</v>
      </c>
      <c r="N25" s="19">
        <f>SUM(D25:M25)</f>
        <v>15.340200000000001</v>
      </c>
      <c r="O25" s="32" t="s">
        <v>22</v>
      </c>
    </row>
    <row r="26" spans="1:15" ht="13.2">
      <c r="A26" s="7">
        <f t="shared" si="1"/>
        <v>14</v>
      </c>
      <c r="B26" s="17">
        <f>+B14</f>
        <v>44391</v>
      </c>
      <c r="C26" s="18" t="str">
        <f t="shared" si="3" ref="C26:C28">+C14</f>
        <v>Base70</v>
      </c>
      <c r="D26" s="19">
        <f>+D14*D$19</f>
        <v>0.12</v>
      </c>
      <c r="E26" s="19">
        <f t="shared" si="2"/>
        <v>0.26839999999999975</v>
      </c>
      <c r="F26" s="19">
        <f t="shared" si="2"/>
        <v>7.8960000000000017</v>
      </c>
      <c r="G26" s="19">
        <f t="shared" si="2"/>
        <v>0.32400000000000012</v>
      </c>
      <c r="H26" s="19">
        <f t="shared" si="2"/>
        <v>0.3045000000000001</v>
      </c>
      <c r="I26" s="19">
        <f>+I14*I$19</f>
        <v>0.22359999999999985</v>
      </c>
      <c r="J26" s="19">
        <f t="shared" si="2"/>
        <v>0.40879999999999983</v>
      </c>
      <c r="K26" s="19">
        <f t="shared" si="2"/>
        <v>0.2622000000000001</v>
      </c>
      <c r="L26" s="19">
        <f t="shared" si="2"/>
        <v>0.31679999999999986</v>
      </c>
      <c r="M26" s="19">
        <f t="shared" si="2"/>
        <v>0.21089999999999989</v>
      </c>
      <c r="N26" s="19">
        <f>SUM(D26:M26)</f>
        <v>10.335200000000002</v>
      </c>
      <c r="O26" s="32" t="s">
        <v>23</v>
      </c>
    </row>
    <row r="27" spans="1:15" ht="13.2">
      <c r="A27" s="7">
        <f t="shared" si="1"/>
        <v>15</v>
      </c>
      <c r="B27" s="17">
        <f>+B15</f>
        <v>44391</v>
      </c>
      <c r="C27" s="18" t="str">
        <f t="shared" si="3"/>
        <v>Base75</v>
      </c>
      <c r="D27" s="19">
        <f>+D15*D$19</f>
        <v>0.059999999999999998</v>
      </c>
      <c r="E27" s="19">
        <f t="shared" si="2"/>
        <v>0.048399999999999749</v>
      </c>
      <c r="F27" s="19">
        <f t="shared" si="2"/>
        <v>4.3710000000000013</v>
      </c>
      <c r="G27" s="19">
        <f t="shared" si="2"/>
        <v>0.09900000000000013</v>
      </c>
      <c r="H27" s="19">
        <f t="shared" si="2"/>
        <v>0.12950000000000012</v>
      </c>
      <c r="I27" s="19">
        <f t="shared" si="2"/>
        <v>0.09359999999999985</v>
      </c>
      <c r="J27" s="19">
        <f t="shared" si="2"/>
        <v>0.12879999999999983</v>
      </c>
      <c r="K27" s="19">
        <f t="shared" si="2"/>
        <v>0.14720000000000014</v>
      </c>
      <c r="L27" s="19">
        <f t="shared" si="2"/>
        <v>0.13679999999999989</v>
      </c>
      <c r="M27" s="19">
        <f>+M15*M$19</f>
        <v>0.11589999999999989</v>
      </c>
      <c r="N27" s="19">
        <f>SUM(D27:M27)</f>
        <v>5.3302000000000005</v>
      </c>
      <c r="O27" s="32" t="s">
        <v>24</v>
      </c>
    </row>
    <row r="28" spans="1:16" ht="13.2">
      <c r="A28" s="7">
        <f t="shared" si="1"/>
        <v>16</v>
      </c>
      <c r="B28" s="21">
        <f>+B16</f>
        <v>44391</v>
      </c>
      <c r="C28" s="22" t="str">
        <f t="shared" si="3"/>
        <v>Base80</v>
      </c>
      <c r="D28" s="23">
        <f>+D16*D$19</f>
        <v>0</v>
      </c>
      <c r="E28" s="23">
        <f t="shared" si="2"/>
        <v>0</v>
      </c>
      <c r="F28" s="23">
        <f t="shared" si="2"/>
        <v>0.84600000000000197</v>
      </c>
      <c r="G28" s="23">
        <f t="shared" si="2"/>
        <v>0</v>
      </c>
      <c r="H28" s="23">
        <f t="shared" si="2"/>
        <v>0</v>
      </c>
      <c r="I28" s="23">
        <f t="shared" si="2"/>
        <v>0</v>
      </c>
      <c r="J28" s="23">
        <f t="shared" si="2"/>
        <v>0</v>
      </c>
      <c r="K28" s="23">
        <f t="shared" si="2"/>
        <v>0.032200000000000131</v>
      </c>
      <c r="L28" s="23">
        <f>+L16*L$19</f>
        <v>0</v>
      </c>
      <c r="M28" s="23">
        <f t="shared" si="2"/>
        <v>0.020899999999999891</v>
      </c>
      <c r="N28" s="23">
        <f>SUM(D28:M28)</f>
        <v>0.89910000000000201</v>
      </c>
      <c r="O28" s="32" t="s">
        <v>109</v>
      </c>
      <c r="P28" s="136"/>
    </row>
    <row r="29" spans="15:15" ht="13.2">
      <c r="O29" s="30"/>
    </row>
  </sheetData>
  <mergeCells count="7">
    <mergeCell ref="B8:O8"/>
    <mergeCell ref="B1:O1"/>
    <mergeCell ref="B2:O2"/>
    <mergeCell ref="B3:O3"/>
    <mergeCell ref="B4:O4"/>
    <mergeCell ref="B5:O5"/>
    <mergeCell ref="B6:O6"/>
  </mergeCells>
  <printOptions horizontalCentered="1"/>
  <pageMargins left="1.5" right="0.5" top="1.5" bottom="1" header="1" footer="0.5"/>
  <pageSetup orientation="portrait" scale="65" r:id="rId2"/>
  <headerFooter alignWithMargins="0">
    <oddHeader>&amp;RSchedule II-H-5.2
Page &amp;P of 37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8">
    <pageSetUpPr fitToPage="1"/>
  </sheetPr>
  <dimension ref="A1:O31"/>
  <sheetViews>
    <sheetView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.71428571428571" style="9" customWidth="1"/>
    <col min="5" max="6" width="6.71428571428571" style="9" customWidth="1"/>
    <col min="7" max="7" width="9.71428571428571" style="9" customWidth="1"/>
    <col min="8" max="8" width="9.14285714285714" style="9"/>
    <col min="9" max="10" width="8.71428571428571" style="9" bestFit="1" customWidth="1"/>
    <col min="11" max="11" width="10.5714285714286" style="9" customWidth="1"/>
    <col min="12" max="12" width="7.28571428571429" style="9" customWidth="1"/>
    <col min="13" max="13" width="10" style="9" customWidth="1"/>
    <col min="14" max="14" width="11.1428571428571" style="9" customWidth="1"/>
    <col min="15" max="16384" width="9.14285714285714" style="9"/>
  </cols>
  <sheetData>
    <row r="1" spans="1:15" s="0" customFormat="1" ht="15.6">
      <c r="A1" s="1"/>
      <c r="B1" s="200" t="str">
        <f>+RES!B1</f>
        <v xml:space="preserve">PUC DOCKET NO. </v>
      </c>
      <c r="C1" s="200"/>
      <c r="D1" s="200"/>
      <c r="E1" s="200"/>
      <c r="F1" s="200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"/>
      <c r="B3" s="200" t="str">
        <f>+RES!B3</f>
        <v>ADJUSTED WEATHER STATION DATA</v>
      </c>
      <c r="C3" s="200"/>
      <c r="D3" s="200"/>
      <c r="E3" s="200"/>
      <c r="F3" s="200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"/>
      <c r="B5" s="200"/>
      <c r="C5" s="200"/>
      <c r="D5" s="200"/>
      <c r="E5" s="200"/>
      <c r="F5" s="200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</row>
    <row r="7" spans="2:15" ht="15.6">
      <c r="B7" s="9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15" ht="15.6">
      <c r="B8" s="200" t="s">
        <v>138</v>
      </c>
      <c r="C8" s="200"/>
      <c r="D8" s="200"/>
      <c r="E8" s="200"/>
      <c r="F8" s="200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" t="s">
        <v>6</v>
      </c>
      <c r="B9" s="9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" ht="13.2">
      <c r="A10" s="5" t="s">
        <v>8</v>
      </c>
    </row>
    <row r="11" spans="1:13" ht="13.2">
      <c r="A11" s="7">
        <v>1</v>
      </c>
      <c r="B11" s="11" t="s">
        <v>46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30.6">
      <c r="A12" s="7">
        <f t="shared" si="0" ref="A12:A20">+A11+1</f>
        <v>2</v>
      </c>
      <c r="B12" s="15" t="s">
        <v>13</v>
      </c>
      <c r="C12" s="69" t="s">
        <v>1</v>
      </c>
      <c r="D12" s="102" t="str">
        <f t="array" ref="D12:M12">TRANSPOSE('[4]January 21 20 bySite'!$B$11:$B$20)</f>
        <v>Abilene</v>
      </c>
      <c r="E12" s="102" t="str">
        <v>Austin</v>
      </c>
      <c r="F12" s="102" t="str">
        <v>Dallas-Ft. Worth</v>
      </c>
      <c r="G12" s="102" t="str">
        <v>Kileen-Temple</v>
      </c>
      <c r="H12" s="102" t="str">
        <v>Longview</v>
      </c>
      <c r="I12" s="102" t="str">
        <v>Lufkin</v>
      </c>
      <c r="J12" s="102" t="str">
        <v>Midland-Odessa</v>
      </c>
      <c r="K12" s="102" t="str">
        <v>Sherman-Denison</v>
      </c>
      <c r="L12" s="102" t="str">
        <v>Waco</v>
      </c>
      <c r="M12" s="103" t="str">
        <v>Wichita Falls</v>
      </c>
    </row>
    <row r="13" spans="1:15" ht="13.2">
      <c r="A13" s="7">
        <f t="shared" si="0"/>
        <v>3</v>
      </c>
      <c r="B13" s="17">
        <v>43851</v>
      </c>
      <c r="C13" s="18" t="s">
        <v>110</v>
      </c>
      <c r="D13" s="79">
        <f t="array" ref="D13:M13">TRANSPOSE('[4]January 21 20 bySite'!$H$24:$H$33)</f>
        <v>0</v>
      </c>
      <c r="E13" s="79">
        <v>0</v>
      </c>
      <c r="F13" s="79">
        <v>0</v>
      </c>
      <c r="G13" s="79">
        <v>0</v>
      </c>
      <c r="H13" s="79">
        <v>1.2000000000000028</v>
      </c>
      <c r="I13" s="79">
        <v>0</v>
      </c>
      <c r="J13" s="79">
        <v>0</v>
      </c>
      <c r="K13" s="79">
        <v>2</v>
      </c>
      <c r="L13" s="79">
        <v>0</v>
      </c>
      <c r="M13" s="90">
        <v>0</v>
      </c>
      <c r="O13" s="20" t="s">
        <v>15</v>
      </c>
    </row>
    <row r="14" spans="1:15" ht="13.2">
      <c r="A14" s="7">
        <f t="shared" si="0"/>
        <v>4</v>
      </c>
      <c r="B14" s="17">
        <f>+B13</f>
        <v>43851</v>
      </c>
      <c r="C14" s="18" t="s">
        <v>137</v>
      </c>
      <c r="D14" s="79">
        <f t="array" ref="D14:M14">TRANSPOSE('[4]January 21 20 bySite'!$I$24:$I$33)</f>
        <v>0</v>
      </c>
      <c r="E14" s="79">
        <v>0</v>
      </c>
      <c r="F14" s="79">
        <v>1.2999999999999972</v>
      </c>
      <c r="G14" s="79">
        <v>0</v>
      </c>
      <c r="H14" s="79">
        <v>6.2000000000000028</v>
      </c>
      <c r="I14" s="79">
        <v>3.5</v>
      </c>
      <c r="J14" s="79">
        <v>0</v>
      </c>
      <c r="K14" s="79">
        <v>7</v>
      </c>
      <c r="L14" s="79">
        <v>0</v>
      </c>
      <c r="M14" s="90">
        <v>4</v>
      </c>
      <c r="O14" s="20" t="s">
        <v>17</v>
      </c>
    </row>
    <row r="15" spans="1:15" ht="13.2">
      <c r="A15" s="7">
        <f t="shared" si="0"/>
        <v>5</v>
      </c>
      <c r="B15" s="17">
        <f>+B14</f>
        <v>43851</v>
      </c>
      <c r="C15" s="18" t="s">
        <v>44</v>
      </c>
      <c r="D15" s="79">
        <f t="array" ref="D15:M15">TRANSPOSE('[4]January 21 20 bySite'!$K$24:$K$33)</f>
        <v>6.8999999999999986</v>
      </c>
      <c r="E15" s="79">
        <v>4.2000000000000028</v>
      </c>
      <c r="F15" s="79">
        <v>11.299999999999997</v>
      </c>
      <c r="G15" s="79">
        <v>6.6000000000000014</v>
      </c>
      <c r="H15" s="79">
        <v>16.200000000000003</v>
      </c>
      <c r="I15" s="79">
        <v>13.5</v>
      </c>
      <c r="J15" s="79">
        <v>9.2000000000000028</v>
      </c>
      <c r="K15" s="79">
        <v>17</v>
      </c>
      <c r="L15" s="79">
        <v>9.7000000000000028</v>
      </c>
      <c r="M15" s="90">
        <v>14</v>
      </c>
      <c r="O15" s="20" t="s">
        <v>19</v>
      </c>
    </row>
    <row r="16" spans="1:15" ht="13.2">
      <c r="A16" s="7">
        <f>+A14+1</f>
        <v>5</v>
      </c>
      <c r="B16" s="17">
        <f>+B14</f>
        <v>43851</v>
      </c>
      <c r="C16" s="18" t="s">
        <v>45</v>
      </c>
      <c r="D16" s="79">
        <f t="array" ref="D16:M16">TRANSPOSE('[4]January 21 20 bySite'!$L$24:$L$33)</f>
        <v>11.899999999999999</v>
      </c>
      <c r="E16" s="79">
        <v>9.2000000000000028</v>
      </c>
      <c r="F16" s="79">
        <v>16.299999999999997</v>
      </c>
      <c r="G16" s="79">
        <v>11.600000000000001</v>
      </c>
      <c r="H16" s="79">
        <v>21.200000000000003</v>
      </c>
      <c r="I16" s="79">
        <v>18.5</v>
      </c>
      <c r="J16" s="79">
        <v>14.200000000000003</v>
      </c>
      <c r="K16" s="79">
        <v>22</v>
      </c>
      <c r="L16" s="79">
        <v>14.700000000000003</v>
      </c>
      <c r="M16" s="90">
        <v>19</v>
      </c>
      <c r="O16" s="137" t="s">
        <v>108</v>
      </c>
    </row>
    <row r="17" spans="1:15" ht="13.2">
      <c r="A17" s="7">
        <f>+A14+1</f>
        <v>5</v>
      </c>
      <c r="B17" s="21">
        <f>+B14</f>
        <v>43851</v>
      </c>
      <c r="C17" s="22" t="s">
        <v>14</v>
      </c>
      <c r="D17" s="80">
        <f t="array" ref="D17:M17">TRANSPOSE('[4]January 21 20 bySite'!$M$24:$M$33)</f>
        <v>16.899999999999999</v>
      </c>
      <c r="E17" s="80">
        <v>14.200000000000003</v>
      </c>
      <c r="F17" s="80">
        <v>21.299999999999997</v>
      </c>
      <c r="G17" s="80">
        <v>16.600000000000001</v>
      </c>
      <c r="H17" s="80">
        <v>26.200000000000003</v>
      </c>
      <c r="I17" s="80">
        <v>23.5</v>
      </c>
      <c r="J17" s="80">
        <v>19.200000000000003</v>
      </c>
      <c r="K17" s="80">
        <v>27</v>
      </c>
      <c r="L17" s="80">
        <v>19.700000000000003</v>
      </c>
      <c r="M17" s="73">
        <v>24</v>
      </c>
      <c r="O17" s="137" t="s">
        <v>139</v>
      </c>
    </row>
    <row r="18" spans="1:1" ht="13.2">
      <c r="A18" s="7">
        <f t="shared" si="0"/>
        <v>6</v>
      </c>
    </row>
    <row r="19" spans="1:13" ht="13.2">
      <c r="A19" s="7">
        <f t="shared" si="0"/>
        <v>7</v>
      </c>
      <c r="B19" s="11" t="s">
        <v>20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 spans="1:15" ht="13.2">
      <c r="A20" s="7">
        <f t="shared" si="0"/>
        <v>8</v>
      </c>
      <c r="B20" s="24"/>
      <c r="C20" s="25" t="s">
        <v>1</v>
      </c>
      <c r="D20" s="26">
        <f>+'Res Seasonal Weights'!D30</f>
        <v>0.014</v>
      </c>
      <c r="E20" s="26">
        <f>+'Res Seasonal Weights'!D36</f>
        <v>0.035999999999999997</v>
      </c>
      <c r="F20" s="26">
        <f>+'Res Seasonal Weights'!D27</f>
        <v>0.68899999999999995</v>
      </c>
      <c r="G20" s="26">
        <f>+'Res Seasonal Weights'!D32</f>
        <v>0.050999999999999997</v>
      </c>
      <c r="H20" s="26">
        <f>+'Res Seasonal Weights'!D35</f>
        <v>0.037999999999999999</v>
      </c>
      <c r="I20" s="26">
        <f>+'Res Seasonal Weights'!D29</f>
        <v>0.029000000000000001</v>
      </c>
      <c r="J20" s="26">
        <f>+'Res Seasonal Weights'!D28</f>
        <v>0.057000000000000002</v>
      </c>
      <c r="K20" s="26">
        <f>+'Res Seasonal Weights'!D31</f>
        <v>0.027</v>
      </c>
      <c r="L20" s="26">
        <f>+'Res Seasonal Weights'!D33</f>
        <v>0.039</v>
      </c>
      <c r="M20" s="27">
        <f>+'Res Seasonal Weights'!D34</f>
        <v>0.02</v>
      </c>
      <c r="O20" s="20" t="s">
        <v>21</v>
      </c>
    </row>
    <row r="21" spans="1:1" ht="13.2">
      <c r="A21" s="7"/>
    </row>
    <row r="22" spans="1:7" ht="13.2">
      <c r="A22" s="7"/>
      <c r="B22" s="10"/>
      <c r="G22" s="8"/>
    </row>
    <row r="23" spans="1:14" ht="13.2">
      <c r="A23" s="7">
        <f>+A20+1</f>
        <v>9</v>
      </c>
      <c r="B23" s="11" t="s">
        <v>102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13.2">
      <c r="A24" s="7">
        <f t="shared" si="1" ref="A24:A30">+A23+1</f>
        <v>10</v>
      </c>
      <c r="B24" s="28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</row>
    <row r="25" spans="1:14" ht="30.6">
      <c r="A25" s="7">
        <f t="shared" si="1"/>
        <v>11</v>
      </c>
      <c r="B25" s="15" t="s">
        <v>13</v>
      </c>
      <c r="C25" s="16" t="s">
        <v>1</v>
      </c>
      <c r="D25" s="102" t="str">
        <f t="array" ref="D25:M25">TRANSPOSE('[4]January 21 20 bySite'!$B$11:$B$20)</f>
        <v>Abilene</v>
      </c>
      <c r="E25" s="102" t="str">
        <v>Austin</v>
      </c>
      <c r="F25" s="102" t="str">
        <v>Dallas-Ft. Worth</v>
      </c>
      <c r="G25" s="102" t="str">
        <v>Kileen-Temple</v>
      </c>
      <c r="H25" s="102" t="str">
        <v>Longview</v>
      </c>
      <c r="I25" s="102" t="str">
        <v>Lufkin</v>
      </c>
      <c r="J25" s="102" t="str">
        <v>Midland-Odessa</v>
      </c>
      <c r="K25" s="102" t="str">
        <v>Sherman-Denison</v>
      </c>
      <c r="L25" s="102" t="str">
        <v>Waco</v>
      </c>
      <c r="M25" s="103" t="str">
        <v>Wichita Falls</v>
      </c>
      <c r="N25" s="49" t="s">
        <v>100</v>
      </c>
    </row>
    <row r="26" spans="1:15" ht="13.2">
      <c r="A26" s="7">
        <f t="shared" si="1"/>
        <v>12</v>
      </c>
      <c r="B26" s="17">
        <f t="shared" si="2" ref="B26:C28">+B13</f>
        <v>43851</v>
      </c>
      <c r="C26" s="18" t="str">
        <f t="shared" si="2"/>
        <v>Base40</v>
      </c>
      <c r="D26" s="19">
        <f>+D13*D$20</f>
        <v>0</v>
      </c>
      <c r="E26" s="19">
        <f t="shared" si="3" ref="E26:M26">+E13*E$20</f>
        <v>0</v>
      </c>
      <c r="F26" s="19">
        <f t="shared" si="3"/>
        <v>0</v>
      </c>
      <c r="G26" s="19">
        <f t="shared" si="3"/>
        <v>0</v>
      </c>
      <c r="H26" s="19">
        <f t="shared" si="3"/>
        <v>0.045600000000000106</v>
      </c>
      <c r="I26" s="19">
        <f t="shared" si="3"/>
        <v>0</v>
      </c>
      <c r="J26" s="19">
        <f t="shared" si="3"/>
        <v>0</v>
      </c>
      <c r="K26" s="19">
        <f t="shared" si="3"/>
        <v>0.053999999999999999</v>
      </c>
      <c r="L26" s="19">
        <f t="shared" si="3"/>
        <v>0</v>
      </c>
      <c r="M26" s="19">
        <f t="shared" si="3"/>
        <v>0</v>
      </c>
      <c r="N26" s="19">
        <f>SUM(D26:M26)</f>
        <v>0.099600000000000105</v>
      </c>
      <c r="O26" s="32" t="s">
        <v>22</v>
      </c>
    </row>
    <row r="27" spans="1:15" ht="13.2">
      <c r="A27" s="7">
        <f t="shared" si="1"/>
        <v>13</v>
      </c>
      <c r="B27" s="17">
        <f t="shared" si="2"/>
        <v>43851</v>
      </c>
      <c r="C27" s="18" t="str">
        <f t="shared" si="2"/>
        <v>Base45</v>
      </c>
      <c r="D27" s="19">
        <f>+D14*D$20</f>
        <v>0</v>
      </c>
      <c r="E27" s="19">
        <f t="shared" si="4" ref="E27:M27">+E14*E$20</f>
        <v>0</v>
      </c>
      <c r="F27" s="19">
        <f>+F14*F$20</f>
        <v>0.89569999999999794</v>
      </c>
      <c r="G27" s="19">
        <f t="shared" si="4"/>
        <v>0</v>
      </c>
      <c r="H27" s="19">
        <f t="shared" si="4"/>
        <v>0.23560000000000012</v>
      </c>
      <c r="I27" s="19">
        <f t="shared" si="4"/>
        <v>0.10150000000000001</v>
      </c>
      <c r="J27" s="19">
        <f t="shared" si="4"/>
        <v>0</v>
      </c>
      <c r="K27" s="19">
        <f t="shared" si="4"/>
        <v>0.189</v>
      </c>
      <c r="L27" s="19">
        <f t="shared" si="4"/>
        <v>0</v>
      </c>
      <c r="M27" s="19">
        <f t="shared" si="4"/>
        <v>0.080000000000000002</v>
      </c>
      <c r="N27" s="19">
        <f>SUM(D27:M27)</f>
        <v>1.501799999999998</v>
      </c>
      <c r="O27" s="32" t="s">
        <v>23</v>
      </c>
    </row>
    <row r="28" spans="1:15" ht="13.2">
      <c r="A28" s="7">
        <f t="shared" si="1"/>
        <v>14</v>
      </c>
      <c r="B28" s="17">
        <f t="shared" si="2"/>
        <v>43851</v>
      </c>
      <c r="C28" s="18" t="str">
        <f t="shared" si="2"/>
        <v>Base55</v>
      </c>
      <c r="D28" s="19">
        <f t="shared" si="5" ref="D28:M28">+D15*D$20</f>
        <v>0.096599999999999978</v>
      </c>
      <c r="E28" s="19">
        <f>+E15*E$20</f>
        <v>0.15120000000000008</v>
      </c>
      <c r="F28" s="19">
        <f>+F15*F$20</f>
        <v>7.7856999999999976</v>
      </c>
      <c r="G28" s="19">
        <f t="shared" si="6" ref="G28:L28">+G15*G$20</f>
        <v>0.33660000000000007</v>
      </c>
      <c r="H28" s="19">
        <f t="shared" si="6"/>
        <v>0.61560000000000015</v>
      </c>
      <c r="I28" s="19">
        <f t="shared" si="6"/>
        <v>0.39150000000000001</v>
      </c>
      <c r="J28" s="19">
        <f t="shared" si="6"/>
        <v>0.5244000000000002</v>
      </c>
      <c r="K28" s="19">
        <f t="shared" si="6"/>
        <v>0.45900000000000002</v>
      </c>
      <c r="L28" s="19">
        <f t="shared" si="6"/>
        <v>0.37830000000000014</v>
      </c>
      <c r="M28" s="19">
        <f t="shared" si="5"/>
        <v>0.28000000000000003</v>
      </c>
      <c r="N28" s="19">
        <f>SUM(D28:M28)</f>
        <v>11.018899999999999</v>
      </c>
      <c r="O28" s="32" t="s">
        <v>133</v>
      </c>
    </row>
    <row r="29" spans="1:15" ht="13.2">
      <c r="A29" s="7">
        <f>+A27+1</f>
        <v>14</v>
      </c>
      <c r="B29" s="17">
        <f>+B16</f>
        <v>43851</v>
      </c>
      <c r="C29" s="18" t="str">
        <f t="shared" si="7" ref="C29:C30">+C16</f>
        <v>Base60</v>
      </c>
      <c r="D29" s="19">
        <f t="shared" si="8" ref="D29:L29">+D16*D$20</f>
        <v>0.16659999999999997</v>
      </c>
      <c r="E29" s="19">
        <f t="shared" si="8"/>
        <v>0.33120000000000005</v>
      </c>
      <c r="F29" s="19">
        <f t="shared" si="8"/>
        <v>11.230699999999997</v>
      </c>
      <c r="G29" s="19">
        <f t="shared" si="8"/>
        <v>0.59160000000000001</v>
      </c>
      <c r="H29" s="19">
        <f t="shared" si="8"/>
        <v>0.80560000000000009</v>
      </c>
      <c r="I29" s="19">
        <f t="shared" si="8"/>
        <v>0.53649999999999998</v>
      </c>
      <c r="J29" s="19">
        <f t="shared" si="8"/>
        <v>0.80940000000000023</v>
      </c>
      <c r="K29" s="19">
        <f t="shared" si="8"/>
        <v>0.59399999999999997</v>
      </c>
      <c r="L29" s="19">
        <f t="shared" si="8"/>
        <v>0.57330000000000014</v>
      </c>
      <c r="M29" s="19">
        <f>+M16*M$20</f>
        <v>0.38</v>
      </c>
      <c r="N29" s="19">
        <f>SUM(D29:M29)</f>
        <v>16.018899999999995</v>
      </c>
      <c r="O29" s="32" t="s">
        <v>140</v>
      </c>
    </row>
    <row r="30" spans="1:15" ht="13.2">
      <c r="A30" s="7">
        <f t="shared" si="1"/>
        <v>15</v>
      </c>
      <c r="B30" s="21">
        <f>+B17</f>
        <v>43851</v>
      </c>
      <c r="C30" s="22" t="str">
        <f t="shared" si="7"/>
        <v>Base65</v>
      </c>
      <c r="D30" s="23">
        <f t="shared" si="9" ref="D30:M30">+D17*D$20</f>
        <v>0.23659999999999998</v>
      </c>
      <c r="E30" s="23">
        <f t="shared" si="9"/>
        <v>0.5112000000000001</v>
      </c>
      <c r="F30" s="23">
        <f t="shared" si="9"/>
        <v>14.675699999999997</v>
      </c>
      <c r="G30" s="23">
        <f t="shared" si="9"/>
        <v>0.84660000000000002</v>
      </c>
      <c r="H30" s="23">
        <f t="shared" si="9"/>
        <v>0.99560000000000004</v>
      </c>
      <c r="I30" s="23">
        <f t="shared" si="9"/>
        <v>0.68149999999999999</v>
      </c>
      <c r="J30" s="23">
        <f t="shared" si="9"/>
        <v>1.0944000000000003</v>
      </c>
      <c r="K30" s="23">
        <f t="shared" si="9"/>
        <v>0.72899999999999998</v>
      </c>
      <c r="L30" s="23">
        <f t="shared" si="9"/>
        <v>0.76830000000000009</v>
      </c>
      <c r="M30" s="23">
        <f t="shared" si="9"/>
        <v>0.47999999999999998</v>
      </c>
      <c r="N30" s="23">
        <f>SUM(D30:M30)</f>
        <v>21.018899999999995</v>
      </c>
      <c r="O30" s="176" t="s">
        <v>141</v>
      </c>
    </row>
    <row r="31" spans="1:15" ht="13.2">
      <c r="A31" s="7"/>
      <c r="O31" s="30"/>
    </row>
  </sheetData>
  <mergeCells count="7">
    <mergeCell ref="B8:O8"/>
    <mergeCell ref="B5:O5"/>
    <mergeCell ref="B1:O1"/>
    <mergeCell ref="B2:O2"/>
    <mergeCell ref="B3:O3"/>
    <mergeCell ref="B4:O4"/>
    <mergeCell ref="B6:O6"/>
  </mergeCells>
  <printOptions horizontalCentered="1"/>
  <pageMargins left="1.5" right="0.5" top="1.5" bottom="1" header="1" footer="0.5"/>
  <pageSetup orientation="portrait" scale="63" r:id="rId2"/>
  <headerFooter alignWithMargins="0">
    <oddHeader>&amp;RSchedule II-H-5.2
Page &amp;P of 37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9">
    <pageSetUpPr fitToPage="1"/>
  </sheetPr>
  <dimension ref="A1:O35"/>
  <sheetViews>
    <sheetView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.71428571428571" style="9" customWidth="1"/>
    <col min="5" max="6" width="6.71428571428571" style="9" customWidth="1"/>
    <col min="7" max="7" width="9.71428571428571" style="9" customWidth="1"/>
    <col min="8" max="8" width="9.14285714285714" style="9"/>
    <col min="9" max="10" width="8.71428571428571" style="9" bestFit="1" customWidth="1"/>
    <col min="11" max="11" width="10.5714285714286" style="9" customWidth="1"/>
    <col min="12" max="12" width="7.28571428571429" style="9" customWidth="1"/>
    <col min="13" max="13" width="10" style="9" customWidth="1"/>
    <col min="14" max="14" width="11.1428571428571" style="9" customWidth="1"/>
    <col min="15" max="16384" width="9.14285714285714" style="9"/>
  </cols>
  <sheetData>
    <row r="1" spans="1:15" s="0" customFormat="1" ht="15.6">
      <c r="A1" s="152"/>
      <c r="B1" s="200" t="str">
        <f>+RES!B1</f>
        <v xml:space="preserve">PUC DOCKET NO. </v>
      </c>
      <c r="C1" s="200"/>
      <c r="D1" s="200"/>
      <c r="E1" s="200"/>
      <c r="F1" s="200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52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52"/>
      <c r="B3" s="200" t="str">
        <f>+RES!B3</f>
        <v>ADJUSTED WEATHER STATION DATA</v>
      </c>
      <c r="C3" s="200"/>
      <c r="D3" s="200"/>
      <c r="E3" s="200"/>
      <c r="F3" s="200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52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52"/>
      <c r="B5" s="200"/>
      <c r="C5" s="200"/>
      <c r="D5" s="200"/>
      <c r="E5" s="200"/>
      <c r="F5" s="200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</row>
    <row r="7" spans="2:15" ht="15.6">
      <c r="B7" s="154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</row>
    <row r="8" spans="2:15" ht="15.6">
      <c r="B8" s="200" t="s">
        <v>171</v>
      </c>
      <c r="C8" s="200"/>
      <c r="D8" s="200"/>
      <c r="E8" s="200"/>
      <c r="F8" s="200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52" t="s">
        <v>6</v>
      </c>
      <c r="B9" s="154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</row>
    <row r="10" spans="1:1" ht="13.2">
      <c r="A10" s="5" t="s">
        <v>8</v>
      </c>
    </row>
    <row r="11" spans="1:13" ht="13.2">
      <c r="A11" s="7">
        <v>1</v>
      </c>
      <c r="B11" s="11" t="s">
        <v>46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3" ht="30.6">
      <c r="A12" s="7">
        <f t="shared" si="0" ref="A12:A15">+A11+1</f>
        <v>2</v>
      </c>
      <c r="B12" s="15" t="s">
        <v>13</v>
      </c>
      <c r="C12" s="69" t="s">
        <v>1</v>
      </c>
      <c r="D12" s="102" t="str">
        <f t="array" ref="D12:M12">TRANSPOSE('[4]January 14 21 bySite'!$B$11:$B$20)</f>
        <v>Abilene</v>
      </c>
      <c r="E12" s="102" t="str">
        <v>Austin</v>
      </c>
      <c r="F12" s="102" t="str">
        <v>Dallas-Ft. Worth</v>
      </c>
      <c r="G12" s="102" t="str">
        <v>Kileen-Temple</v>
      </c>
      <c r="H12" s="102" t="str">
        <v>Longview</v>
      </c>
      <c r="I12" s="102" t="str">
        <v>Lufkin</v>
      </c>
      <c r="J12" s="102" t="str">
        <v>Midland-Odessa</v>
      </c>
      <c r="K12" s="102" t="str">
        <v>Sherman-Denison</v>
      </c>
      <c r="L12" s="102" t="str">
        <v>Waco</v>
      </c>
      <c r="M12" s="103" t="str">
        <v>Wichita Falls</v>
      </c>
    </row>
    <row r="13" spans="1:15" ht="13.2">
      <c r="A13" s="7">
        <f t="shared" si="0"/>
        <v>3</v>
      </c>
      <c r="B13" s="17">
        <v>44210</v>
      </c>
      <c r="C13" s="18" t="s">
        <v>110</v>
      </c>
      <c r="D13" s="79">
        <f t="array" ref="D13:M13">TRANSPOSE('[4]January 14 21 bySite'!$H$24:$H$33)</f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90">
        <v>0</v>
      </c>
      <c r="O13" s="20" t="s">
        <v>15</v>
      </c>
    </row>
    <row r="14" spans="1:15" ht="13.2">
      <c r="A14" s="7">
        <f t="shared" si="0"/>
        <v>4</v>
      </c>
      <c r="B14" s="17">
        <f>+B13</f>
        <v>44210</v>
      </c>
      <c r="C14" s="18" t="s">
        <v>137</v>
      </c>
      <c r="D14" s="79">
        <f t="array" ref="D14:M14">TRANSPOSE('[4]January 14 21 bySite'!$I$24:$I$33)</f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90">
        <v>0</v>
      </c>
      <c r="O14" s="20" t="s">
        <v>17</v>
      </c>
    </row>
    <row r="15" spans="1:15" ht="13.2">
      <c r="A15" s="7">
        <f t="shared" si="0"/>
        <v>5</v>
      </c>
      <c r="B15" s="17">
        <f>+B14</f>
        <v>44210</v>
      </c>
      <c r="C15" s="18" t="s">
        <v>44</v>
      </c>
      <c r="D15" s="79">
        <f t="array" ref="D15:M15">TRANSPOSE('[4]January 14 21 bySite'!$K$24:$K$33)</f>
        <v>6.8999999999999986</v>
      </c>
      <c r="E15" s="79">
        <v>1.5</v>
      </c>
      <c r="F15" s="79">
        <v>4.8999999999999986</v>
      </c>
      <c r="G15" s="79">
        <v>3.1000000000000014</v>
      </c>
      <c r="H15" s="79">
        <v>4.8999999999999986</v>
      </c>
      <c r="I15" s="79">
        <v>3.8999999999999986</v>
      </c>
      <c r="J15" s="79">
        <v>9.2000000000000028</v>
      </c>
      <c r="K15" s="79">
        <v>7.3999999999999986</v>
      </c>
      <c r="L15" s="79">
        <v>3.8999999999999986</v>
      </c>
      <c r="M15" s="90">
        <v>8.7999999999999972</v>
      </c>
      <c r="O15" s="20" t="s">
        <v>19</v>
      </c>
    </row>
    <row r="16" spans="1:15" ht="13.2">
      <c r="A16" s="7">
        <f>+A14+1</f>
        <v>5</v>
      </c>
      <c r="B16" s="17">
        <f>+B14</f>
        <v>44210</v>
      </c>
      <c r="C16" s="18" t="s">
        <v>45</v>
      </c>
      <c r="D16" s="79">
        <f t="array" ref="D16:M16">TRANSPOSE('[4]January 14 21 bySite'!$L$24:$L$33)</f>
        <v>11.899999999999999</v>
      </c>
      <c r="E16" s="79">
        <v>6.5</v>
      </c>
      <c r="F16" s="79">
        <v>9.8999999999999986</v>
      </c>
      <c r="G16" s="79">
        <v>8.1000000000000014</v>
      </c>
      <c r="H16" s="79">
        <v>9.8999999999999986</v>
      </c>
      <c r="I16" s="79">
        <v>8.8999999999999986</v>
      </c>
      <c r="J16" s="79">
        <v>14.200000000000003</v>
      </c>
      <c r="K16" s="79">
        <v>12.399999999999999</v>
      </c>
      <c r="L16" s="79">
        <v>8.8999999999999986</v>
      </c>
      <c r="M16" s="90">
        <v>13.799999999999997</v>
      </c>
      <c r="O16" s="137" t="s">
        <v>108</v>
      </c>
    </row>
    <row r="17" spans="1:15" ht="13.2">
      <c r="A17" s="7">
        <f>+A14+1</f>
        <v>5</v>
      </c>
      <c r="B17" s="21">
        <f>+B14</f>
        <v>44210</v>
      </c>
      <c r="C17" s="22" t="s">
        <v>14</v>
      </c>
      <c r="D17" s="80">
        <f t="array" ref="D17:M17">TRANSPOSE('[4]January 14 21 bySite'!$M$24:$M$33)</f>
        <v>16.899999999999999</v>
      </c>
      <c r="E17" s="80">
        <v>11.5</v>
      </c>
      <c r="F17" s="80">
        <v>14.899999999999999</v>
      </c>
      <c r="G17" s="80">
        <v>13.100000000000001</v>
      </c>
      <c r="H17" s="80">
        <v>14.899999999999999</v>
      </c>
      <c r="I17" s="80">
        <v>13.899999999999999</v>
      </c>
      <c r="J17" s="80">
        <v>19.200000000000003</v>
      </c>
      <c r="K17" s="80">
        <v>17.399999999999999</v>
      </c>
      <c r="L17" s="80">
        <v>13.899999999999999</v>
      </c>
      <c r="M17" s="73">
        <v>18.799999999999997</v>
      </c>
      <c r="O17" s="137" t="s">
        <v>139</v>
      </c>
    </row>
    <row r="18" spans="1:1" ht="13.2">
      <c r="A18" s="7">
        <f t="shared" si="1" ref="A18:A20">+A17+1</f>
        <v>6</v>
      </c>
    </row>
    <row r="19" spans="1:13" ht="13.2">
      <c r="A19" s="7">
        <f t="shared" si="1"/>
        <v>7</v>
      </c>
      <c r="B19" s="11" t="s">
        <v>20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 spans="1:15" ht="13.2">
      <c r="A20" s="7">
        <f t="shared" si="1"/>
        <v>8</v>
      </c>
      <c r="B20" s="24"/>
      <c r="C20" s="155" t="s">
        <v>1</v>
      </c>
      <c r="D20" s="26">
        <f>+'Res Seasonal Weights'!D30</f>
        <v>0.014</v>
      </c>
      <c r="E20" s="26">
        <f>+'Res Seasonal Weights'!D36</f>
        <v>0.035999999999999997</v>
      </c>
      <c r="F20" s="26">
        <f>+'Res Seasonal Weights'!D27</f>
        <v>0.68899999999999995</v>
      </c>
      <c r="G20" s="26">
        <f>+'Res Seasonal Weights'!D32</f>
        <v>0.050999999999999997</v>
      </c>
      <c r="H20" s="26">
        <f>+'Res Seasonal Weights'!D35</f>
        <v>0.037999999999999999</v>
      </c>
      <c r="I20" s="26">
        <f>+'Res Seasonal Weights'!D29</f>
        <v>0.029000000000000001</v>
      </c>
      <c r="J20" s="26">
        <f>+'Res Seasonal Weights'!D28</f>
        <v>0.057000000000000002</v>
      </c>
      <c r="K20" s="26">
        <f>+'Res Seasonal Weights'!D31</f>
        <v>0.027</v>
      </c>
      <c r="L20" s="26">
        <f>+'Res Seasonal Weights'!D33</f>
        <v>0.039</v>
      </c>
      <c r="M20" s="27">
        <f>+'Res Seasonal Weights'!D34</f>
        <v>0.02</v>
      </c>
      <c r="O20" s="20" t="s">
        <v>21</v>
      </c>
    </row>
    <row r="21" spans="1:1" ht="13.2">
      <c r="A21" s="7"/>
    </row>
    <row r="22" spans="1:7" ht="13.2">
      <c r="A22" s="7"/>
      <c r="B22" s="10"/>
      <c r="G22" s="8"/>
    </row>
    <row r="23" spans="1:14" ht="13.2">
      <c r="A23" s="7">
        <f>+A20+1</f>
        <v>9</v>
      </c>
      <c r="B23" s="11" t="s">
        <v>102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ht="13.2">
      <c r="A24" s="7">
        <f t="shared" si="2" ref="A24:A30">+A23+1</f>
        <v>10</v>
      </c>
      <c r="B24" s="28"/>
      <c r="C24" s="156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</row>
    <row r="25" spans="1:14" ht="30.6">
      <c r="A25" s="7">
        <f t="shared" si="2"/>
        <v>11</v>
      </c>
      <c r="B25" s="15" t="s">
        <v>13</v>
      </c>
      <c r="C25" s="16" t="s">
        <v>1</v>
      </c>
      <c r="D25" s="102" t="str">
        <f t="array" ref="D25:M25">TRANSPOSE('[4]January 14 21 bySite'!$B$11:$B$20)</f>
        <v>Abilene</v>
      </c>
      <c r="E25" s="102" t="str">
        <v>Austin</v>
      </c>
      <c r="F25" s="102" t="str">
        <v>Dallas-Ft. Worth</v>
      </c>
      <c r="G25" s="102" t="str">
        <v>Kileen-Temple</v>
      </c>
      <c r="H25" s="102" t="str">
        <v>Longview</v>
      </c>
      <c r="I25" s="102" t="str">
        <v>Lufkin</v>
      </c>
      <c r="J25" s="102" t="str">
        <v>Midland-Odessa</v>
      </c>
      <c r="K25" s="102" t="str">
        <v>Sherman-Denison</v>
      </c>
      <c r="L25" s="102" t="str">
        <v>Waco</v>
      </c>
      <c r="M25" s="103" t="str">
        <v>Wichita Falls</v>
      </c>
      <c r="N25" s="49" t="s">
        <v>100</v>
      </c>
    </row>
    <row r="26" spans="1:15" ht="13.2">
      <c r="A26" s="7">
        <f t="shared" si="2"/>
        <v>12</v>
      </c>
      <c r="B26" s="17">
        <f t="shared" si="3" ref="B26:C28">+B13</f>
        <v>44210</v>
      </c>
      <c r="C26" s="18" t="str">
        <f t="shared" si="3"/>
        <v>Base40</v>
      </c>
      <c r="D26" s="19">
        <f>+D13*D$20</f>
        <v>0</v>
      </c>
      <c r="E26" s="19">
        <f t="shared" si="4" ref="E26:M27">+E13*E$20</f>
        <v>0</v>
      </c>
      <c r="F26" s="19">
        <f t="shared" si="4"/>
        <v>0</v>
      </c>
      <c r="G26" s="19">
        <f t="shared" si="4"/>
        <v>0</v>
      </c>
      <c r="H26" s="19">
        <f t="shared" si="4"/>
        <v>0</v>
      </c>
      <c r="I26" s="19">
        <f t="shared" si="4"/>
        <v>0</v>
      </c>
      <c r="J26" s="19">
        <f t="shared" si="4"/>
        <v>0</v>
      </c>
      <c r="K26" s="19">
        <f t="shared" si="4"/>
        <v>0</v>
      </c>
      <c r="L26" s="19">
        <f t="shared" si="4"/>
        <v>0</v>
      </c>
      <c r="M26" s="19">
        <f t="shared" si="4"/>
        <v>0</v>
      </c>
      <c r="N26" s="183">
        <f>SUM(D26:M26)</f>
        <v>0</v>
      </c>
      <c r="O26" s="32" t="s">
        <v>22</v>
      </c>
    </row>
    <row r="27" spans="1:15" ht="13.2">
      <c r="A27" s="7">
        <f t="shared" si="2"/>
        <v>13</v>
      </c>
      <c r="B27" s="17">
        <f t="shared" si="3"/>
        <v>44210</v>
      </c>
      <c r="C27" s="18" t="str">
        <f t="shared" si="3"/>
        <v>Base45</v>
      </c>
      <c r="D27" s="19">
        <f>+D14*D$20</f>
        <v>0</v>
      </c>
      <c r="E27" s="19">
        <f t="shared" si="4"/>
        <v>0</v>
      </c>
      <c r="F27" s="19">
        <f>+F14*F$20</f>
        <v>0</v>
      </c>
      <c r="G27" s="19">
        <f t="shared" si="4"/>
        <v>0</v>
      </c>
      <c r="H27" s="19">
        <f t="shared" si="4"/>
        <v>0</v>
      </c>
      <c r="I27" s="19">
        <f t="shared" si="4"/>
        <v>0</v>
      </c>
      <c r="J27" s="19">
        <f t="shared" si="4"/>
        <v>0</v>
      </c>
      <c r="K27" s="19">
        <f t="shared" si="4"/>
        <v>0</v>
      </c>
      <c r="L27" s="19">
        <f t="shared" si="4"/>
        <v>0</v>
      </c>
      <c r="M27" s="19">
        <f t="shared" si="4"/>
        <v>0</v>
      </c>
      <c r="N27" s="90">
        <f>SUM(D27:M27)</f>
        <v>0</v>
      </c>
      <c r="O27" s="32" t="s">
        <v>23</v>
      </c>
    </row>
    <row r="28" spans="1:15" ht="13.2">
      <c r="A28" s="7">
        <f t="shared" si="2"/>
        <v>14</v>
      </c>
      <c r="B28" s="17">
        <f t="shared" si="3"/>
        <v>44210</v>
      </c>
      <c r="C28" s="18" t="str">
        <f t="shared" si="3"/>
        <v>Base55</v>
      </c>
      <c r="D28" s="19">
        <f t="shared" si="5" ref="D28:M30">+D15*D$20</f>
        <v>0.096599999999999978</v>
      </c>
      <c r="E28" s="19">
        <f>+E15*E$20</f>
        <v>0.053999999999999992</v>
      </c>
      <c r="F28" s="19">
        <f>+F15*F$20</f>
        <v>3.3760999999999988</v>
      </c>
      <c r="G28" s="19">
        <f t="shared" si="6" ref="G28:L28">+G15*G$20</f>
        <v>0.15810000000000007</v>
      </c>
      <c r="H28" s="19">
        <f t="shared" si="6"/>
        <v>0.18619999999999995</v>
      </c>
      <c r="I28" s="19">
        <f t="shared" si="6"/>
        <v>0.11309999999999996</v>
      </c>
      <c r="J28" s="19">
        <f t="shared" si="6"/>
        <v>0.5244000000000002</v>
      </c>
      <c r="K28" s="19">
        <f t="shared" si="6"/>
        <v>0.19979999999999995</v>
      </c>
      <c r="L28" s="19">
        <f t="shared" si="6"/>
        <v>0.15209999999999996</v>
      </c>
      <c r="M28" s="19">
        <f t="shared" si="5"/>
        <v>0.17599999999999993</v>
      </c>
      <c r="N28" s="90">
        <f>SUM(D28:M28)</f>
        <v>5.0363999999999987</v>
      </c>
      <c r="O28" s="32" t="s">
        <v>133</v>
      </c>
    </row>
    <row r="29" spans="1:15" ht="13.2">
      <c r="A29" s="7">
        <f t="shared" si="2"/>
        <v>15</v>
      </c>
      <c r="B29" s="17">
        <f>+B16</f>
        <v>44210</v>
      </c>
      <c r="C29" s="18" t="str">
        <f t="shared" si="7" ref="C29:C30">+C16</f>
        <v>Base60</v>
      </c>
      <c r="D29" s="19">
        <f t="shared" si="5"/>
        <v>0.16659999999999997</v>
      </c>
      <c r="E29" s="19">
        <f t="shared" si="5"/>
        <v>0.23399999999999999</v>
      </c>
      <c r="F29" s="19">
        <f t="shared" si="5"/>
        <v>6.8210999999999986</v>
      </c>
      <c r="G29" s="19">
        <f>+G16*G$20</f>
        <v>0.41310000000000002</v>
      </c>
      <c r="H29" s="19">
        <f>+H16*H$20</f>
        <v>0.37619999999999992</v>
      </c>
      <c r="I29" s="19">
        <f>+I16*I$20</f>
        <v>0.2581</v>
      </c>
      <c r="J29" s="19">
        <f t="shared" si="5"/>
        <v>0.80940000000000023</v>
      </c>
      <c r="K29" s="19">
        <f t="shared" si="5"/>
        <v>0.33479999999999993</v>
      </c>
      <c r="L29" s="19">
        <f t="shared" si="5"/>
        <v>0.34709999999999996</v>
      </c>
      <c r="M29" s="19">
        <f>+M16*M$20</f>
        <v>0.27599999999999997</v>
      </c>
      <c r="N29" s="90">
        <f>SUM(D29:M29)</f>
        <v>10.036399999999999</v>
      </c>
      <c r="O29" s="32" t="s">
        <v>140</v>
      </c>
    </row>
    <row r="30" spans="1:15" ht="13.2">
      <c r="A30" s="7">
        <f t="shared" si="2"/>
        <v>16</v>
      </c>
      <c r="B30" s="21">
        <f>+B17</f>
        <v>44210</v>
      </c>
      <c r="C30" s="22" t="str">
        <f t="shared" si="7"/>
        <v>Base65</v>
      </c>
      <c r="D30" s="23">
        <f t="shared" si="5"/>
        <v>0.23659999999999998</v>
      </c>
      <c r="E30" s="23">
        <f t="shared" si="5"/>
        <v>0.41399999999999998</v>
      </c>
      <c r="F30" s="23">
        <f t="shared" si="5"/>
        <v>10.266099999999998</v>
      </c>
      <c r="G30" s="23">
        <f t="shared" si="5"/>
        <v>0.66810000000000003</v>
      </c>
      <c r="H30" s="23">
        <f t="shared" si="5"/>
        <v>0.56619999999999993</v>
      </c>
      <c r="I30" s="23">
        <f t="shared" si="5"/>
        <v>0.40309999999999996</v>
      </c>
      <c r="J30" s="23">
        <f>+J17*J$20</f>
        <v>1.0944000000000003</v>
      </c>
      <c r="K30" s="23">
        <f>+K17*K$20</f>
        <v>0.46979999999999994</v>
      </c>
      <c r="L30" s="23">
        <f>+L17*L$20</f>
        <v>0.54209999999999992</v>
      </c>
      <c r="M30" s="23">
        <f>+M17*M$20</f>
        <v>0.37599999999999995</v>
      </c>
      <c r="N30" s="73">
        <f>SUM(D30:M30)</f>
        <v>15.036399999999999</v>
      </c>
      <c r="O30" s="176" t="s">
        <v>141</v>
      </c>
    </row>
    <row r="31" spans="1:15" ht="13.2">
      <c r="A31" s="7"/>
      <c r="O31" s="30"/>
    </row>
    <row r="32" spans="6:14" ht="13.2">
      <c r="F32" s="136"/>
      <c r="N32" s="189"/>
    </row>
    <row r="33" spans="14:14" ht="13.2">
      <c r="N33" s="189"/>
    </row>
    <row r="34" spans="14:14" ht="13.2">
      <c r="N34" s="189"/>
    </row>
    <row r="35" spans="14:14" ht="13.2">
      <c r="N35" s="189"/>
    </row>
  </sheetData>
  <mergeCells count="7">
    <mergeCell ref="B8:O8"/>
    <mergeCell ref="B1:O1"/>
    <mergeCell ref="B2:O2"/>
    <mergeCell ref="B3:O3"/>
    <mergeCell ref="B4:O4"/>
    <mergeCell ref="B5:O5"/>
    <mergeCell ref="B6:O6"/>
  </mergeCells>
  <printOptions horizontalCentered="1"/>
  <pageMargins left="1.5" right="0.5" top="1.5" bottom="1" header="1" footer="0.5"/>
  <pageSetup orientation="portrait" scale="63" r:id="rId2"/>
  <headerFooter alignWithMargins="0">
    <oddHeader>&amp;RSchedule II-H-5.2
Page &amp;P of 37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0">
    <pageSetUpPr fitToPage="1"/>
  </sheetPr>
  <dimension ref="A1:T31"/>
  <sheetViews>
    <sheetView view="pageBreakPreview" zoomScaleNormal="100" zoomScaleSheetLayoutView="100" workbookViewId="0" topLeftCell="A1"/>
  </sheetViews>
  <sheetFormatPr defaultRowHeight="13.5"/>
  <cols>
    <col min="2" max="2" width="9.85714285714286" customWidth="1"/>
    <col min="3" max="3" width="9" customWidth="1"/>
    <col min="4" max="4" width="6.85714285714286" customWidth="1"/>
    <col min="5" max="5" width="11" customWidth="1"/>
    <col min="6" max="6" width="10.2857142857143" customWidth="1"/>
    <col min="7" max="7" width="10.4285714285714" customWidth="1"/>
    <col min="8" max="9" width="10.7142857142857" customWidth="1"/>
    <col min="10" max="10" width="10.8571428571429" customWidth="1"/>
    <col min="11" max="12" width="12.7142857142857" customWidth="1"/>
  </cols>
  <sheetData>
    <row r="1" spans="1:13" ht="15.6">
      <c r="A1" s="8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15.6">
      <c r="A2" s="8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ht="15.6">
      <c r="A3" s="8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ht="15.6">
      <c r="A4" s="8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4" ht="13.2">
      <c r="A5" s="81"/>
      <c r="B5" s="83"/>
      <c r="C5" s="82"/>
      <c r="D5" s="82"/>
    </row>
    <row r="6" spans="1:13" ht="15.6">
      <c r="A6" s="81"/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8" spans="2:13" ht="15.6">
      <c r="B8" s="200" t="s">
        <v>144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2" ht="24" thickBot="1">
      <c r="A9" s="84" t="s">
        <v>86</v>
      </c>
      <c r="B9" s="85"/>
    </row>
    <row r="10" spans="1:13" ht="13.8" thickBot="1">
      <c r="A10">
        <v>1</v>
      </c>
      <c r="B10" s="86" t="s">
        <v>87</v>
      </c>
      <c r="C10" s="86" t="s">
        <v>88</v>
      </c>
      <c r="D10" s="86" t="s">
        <v>85</v>
      </c>
      <c r="E10" s="104" t="s">
        <v>112</v>
      </c>
      <c r="F10" s="138" t="s">
        <v>142</v>
      </c>
      <c r="G10" s="138" t="s">
        <v>128</v>
      </c>
      <c r="H10" s="138" t="s">
        <v>89</v>
      </c>
      <c r="I10" s="138" t="s">
        <v>143</v>
      </c>
      <c r="J10" s="138" t="s">
        <v>90</v>
      </c>
      <c r="K10" s="138" t="s">
        <v>91</v>
      </c>
      <c r="L10" s="138" t="s">
        <v>92</v>
      </c>
      <c r="M10" s="138" t="s">
        <v>147</v>
      </c>
    </row>
    <row r="11" spans="1:13" ht="13.2">
      <c r="A11">
        <f t="shared" si="0" ref="A11:B26">+A10+1</f>
        <v>2</v>
      </c>
      <c r="B11" s="87">
        <v>2001</v>
      </c>
      <c r="C11" s="87">
        <v>1</v>
      </c>
      <c r="D11" s="87">
        <v>21</v>
      </c>
      <c r="E11" s="88">
        <v>1.5058750000000192</v>
      </c>
      <c r="F11" s="88">
        <v>6.415250000000019</v>
      </c>
      <c r="G11" s="88">
        <v>16.415250000000018</v>
      </c>
      <c r="H11" s="88">
        <v>21.415250000000022</v>
      </c>
      <c r="I11" s="88">
        <v>26.415250000000018</v>
      </c>
      <c r="J11" s="88">
        <v>0</v>
      </c>
      <c r="K11" s="88">
        <v>0</v>
      </c>
      <c r="L11" s="88">
        <v>0</v>
      </c>
      <c r="M11" s="88">
        <v>0</v>
      </c>
    </row>
    <row r="12" spans="1:13" ht="13.2">
      <c r="A12">
        <f t="shared" si="0"/>
        <v>3</v>
      </c>
      <c r="B12" s="87">
        <f>+B11+1</f>
        <v>2002</v>
      </c>
      <c r="C12" s="87">
        <f>+C11</f>
        <v>1</v>
      </c>
      <c r="D12" s="87">
        <f>+D11</f>
        <v>21</v>
      </c>
      <c r="E12" s="88">
        <v>0</v>
      </c>
      <c r="F12" s="88">
        <v>0</v>
      </c>
      <c r="G12" s="88">
        <v>6.3614583333333359</v>
      </c>
      <c r="H12" s="88">
        <v>11.361458333333333</v>
      </c>
      <c r="I12" s="88">
        <v>16.361458333333335</v>
      </c>
      <c r="J12" s="88">
        <v>0</v>
      </c>
      <c r="K12" s="88">
        <v>0</v>
      </c>
      <c r="L12" s="88">
        <v>0</v>
      </c>
      <c r="M12" s="88">
        <v>0</v>
      </c>
    </row>
    <row r="13" spans="1:13" ht="13.2">
      <c r="A13">
        <f t="shared" si="0"/>
        <v>4</v>
      </c>
      <c r="B13" s="87">
        <f t="shared" si="0"/>
        <v>2003</v>
      </c>
      <c r="C13" s="87">
        <f t="shared" si="1" ref="C13:D28">+C12</f>
        <v>1</v>
      </c>
      <c r="D13" s="87">
        <f t="shared" si="1"/>
        <v>21</v>
      </c>
      <c r="E13" s="88">
        <v>0</v>
      </c>
      <c r="F13" s="88">
        <v>0.084166666666666001</v>
      </c>
      <c r="G13" s="88">
        <v>3.0657083333333111</v>
      </c>
      <c r="H13" s="88">
        <v>6.9415833333333081</v>
      </c>
      <c r="I13" s="88">
        <v>11.387374999999976</v>
      </c>
      <c r="J13" s="88">
        <v>0.068249999999999991</v>
      </c>
      <c r="K13" s="88">
        <v>0</v>
      </c>
      <c r="L13" s="88">
        <v>0</v>
      </c>
      <c r="M13" s="88">
        <v>0</v>
      </c>
    </row>
    <row r="14" spans="1:13" ht="13.2">
      <c r="A14">
        <f t="shared" si="0"/>
        <v>5</v>
      </c>
      <c r="B14" s="87">
        <f t="shared" si="0"/>
        <v>2004</v>
      </c>
      <c r="C14" s="87">
        <f t="shared" si="1"/>
        <v>1</v>
      </c>
      <c r="D14" s="87">
        <f t="shared" si="1"/>
        <v>21</v>
      </c>
      <c r="E14" s="88">
        <v>0.22341666666666679</v>
      </c>
      <c r="F14" s="88">
        <v>3.1399583333333352</v>
      </c>
      <c r="G14" s="88">
        <v>12.995958333333332</v>
      </c>
      <c r="H14" s="88">
        <v>17.995958333333334</v>
      </c>
      <c r="I14" s="88">
        <v>22.995958333333338</v>
      </c>
      <c r="J14" s="88">
        <v>0</v>
      </c>
      <c r="K14" s="88">
        <v>0</v>
      </c>
      <c r="L14" s="88">
        <v>0</v>
      </c>
      <c r="M14" s="88">
        <v>0</v>
      </c>
    </row>
    <row r="15" spans="1:13" ht="13.2">
      <c r="A15">
        <f t="shared" si="0"/>
        <v>6</v>
      </c>
      <c r="B15" s="87">
        <f t="shared" si="0"/>
        <v>2005</v>
      </c>
      <c r="C15" s="87">
        <f t="shared" si="1"/>
        <v>1</v>
      </c>
      <c r="D15" s="87">
        <f t="shared" si="1"/>
        <v>21</v>
      </c>
      <c r="E15" s="88">
        <v>0</v>
      </c>
      <c r="F15" s="88">
        <v>0</v>
      </c>
      <c r="G15" s="88">
        <v>0.28025000000000189</v>
      </c>
      <c r="H15" s="88">
        <v>1.1318750000000049</v>
      </c>
      <c r="I15" s="88">
        <v>6.101666666666671</v>
      </c>
      <c r="J15" s="88">
        <v>0</v>
      </c>
      <c r="K15" s="88">
        <v>0</v>
      </c>
      <c r="L15" s="88">
        <v>0</v>
      </c>
      <c r="M15" s="88">
        <v>0</v>
      </c>
    </row>
    <row r="16" spans="1:13" ht="13.2">
      <c r="A16">
        <f t="shared" si="0"/>
        <v>7</v>
      </c>
      <c r="B16" s="87">
        <f t="shared" si="0"/>
        <v>2006</v>
      </c>
      <c r="C16" s="87">
        <f t="shared" si="1"/>
        <v>1</v>
      </c>
      <c r="D16" s="87">
        <f t="shared" si="1"/>
        <v>21</v>
      </c>
      <c r="E16" s="88">
        <v>0</v>
      </c>
      <c r="F16" s="88">
        <v>0.40412500000000096</v>
      </c>
      <c r="G16" s="88">
        <v>7.980625000000023</v>
      </c>
      <c r="H16" s="88">
        <v>12.980625000000023</v>
      </c>
      <c r="I16" s="88">
        <v>17.980625000000021</v>
      </c>
      <c r="J16" s="88">
        <v>0</v>
      </c>
      <c r="K16" s="88">
        <v>0</v>
      </c>
      <c r="L16" s="88">
        <v>0</v>
      </c>
      <c r="M16" s="88">
        <v>0</v>
      </c>
    </row>
    <row r="17" spans="1:13" ht="13.2">
      <c r="A17">
        <f t="shared" si="0"/>
        <v>8</v>
      </c>
      <c r="B17" s="87">
        <f t="shared" si="0"/>
        <v>2007</v>
      </c>
      <c r="C17" s="87">
        <f t="shared" si="1"/>
        <v>1</v>
      </c>
      <c r="D17" s="87">
        <f t="shared" si="1"/>
        <v>21</v>
      </c>
      <c r="E17" s="88">
        <v>0.011666666666666005</v>
      </c>
      <c r="F17" s="88">
        <v>0.70029166666664555</v>
      </c>
      <c r="G17" s="88">
        <v>10.395874999999977</v>
      </c>
      <c r="H17" s="88">
        <v>15.395874999999979</v>
      </c>
      <c r="I17" s="88">
        <v>20.395874999999982</v>
      </c>
      <c r="J17" s="88">
        <v>0</v>
      </c>
      <c r="K17" s="88">
        <v>0</v>
      </c>
      <c r="L17" s="88">
        <v>0</v>
      </c>
      <c r="M17" s="88">
        <v>0</v>
      </c>
    </row>
    <row r="18" spans="1:13" ht="13.2">
      <c r="A18">
        <f t="shared" si="0"/>
        <v>9</v>
      </c>
      <c r="B18" s="87">
        <f t="shared" si="0"/>
        <v>2008</v>
      </c>
      <c r="C18" s="87">
        <f t="shared" si="1"/>
        <v>1</v>
      </c>
      <c r="D18" s="87">
        <f t="shared" si="1"/>
        <v>21</v>
      </c>
      <c r="E18" s="88">
        <v>0.1898999999999999</v>
      </c>
      <c r="F18" s="88">
        <v>2.3235999999999999</v>
      </c>
      <c r="G18" s="88">
        <v>11.930099999999998</v>
      </c>
      <c r="H18" s="88">
        <v>16.930099999999999</v>
      </c>
      <c r="I18" s="88">
        <v>21.930099999999999</v>
      </c>
      <c r="J18" s="88">
        <v>0</v>
      </c>
      <c r="K18" s="88">
        <v>0</v>
      </c>
      <c r="L18" s="88">
        <v>0</v>
      </c>
      <c r="M18" s="88">
        <v>0</v>
      </c>
    </row>
    <row r="19" spans="1:13" ht="13.2">
      <c r="A19">
        <f t="shared" si="0"/>
        <v>10</v>
      </c>
      <c r="B19" s="87">
        <f t="shared" si="0"/>
        <v>2009</v>
      </c>
      <c r="C19" s="87">
        <f t="shared" si="1"/>
        <v>1</v>
      </c>
      <c r="D19" s="87">
        <f t="shared" si="1"/>
        <v>21</v>
      </c>
      <c r="E19" s="88">
        <v>0</v>
      </c>
      <c r="F19" s="88">
        <v>0.17199999999999999</v>
      </c>
      <c r="G19" s="88">
        <v>5.0640999999999989</v>
      </c>
      <c r="H19" s="88">
        <v>10.0641</v>
      </c>
      <c r="I19" s="88">
        <v>15.064099999999998</v>
      </c>
      <c r="J19" s="88">
        <v>0</v>
      </c>
      <c r="K19" s="88">
        <v>0</v>
      </c>
      <c r="L19" s="88">
        <v>0</v>
      </c>
      <c r="M19" s="88">
        <v>0</v>
      </c>
    </row>
    <row r="20" spans="1:13" ht="13.2">
      <c r="A20">
        <f t="shared" si="0"/>
        <v>11</v>
      </c>
      <c r="B20" s="87">
        <f t="shared" si="0"/>
        <v>2010</v>
      </c>
      <c r="C20" s="87">
        <f t="shared" si="1"/>
        <v>1</v>
      </c>
      <c r="D20" s="87">
        <f t="shared" si="1"/>
        <v>21</v>
      </c>
      <c r="E20" s="88">
        <v>0</v>
      </c>
      <c r="F20" s="88">
        <v>0</v>
      </c>
      <c r="G20" s="88">
        <v>0.37259999999999988</v>
      </c>
      <c r="H20" s="88">
        <v>3.1907999999999985</v>
      </c>
      <c r="I20" s="88">
        <v>8.1318999999999981</v>
      </c>
      <c r="J20" s="88">
        <v>0</v>
      </c>
      <c r="K20" s="88">
        <v>0</v>
      </c>
      <c r="L20" s="88">
        <v>0</v>
      </c>
      <c r="M20" s="88">
        <v>0</v>
      </c>
    </row>
    <row r="21" spans="1:13" ht="13.2">
      <c r="A21">
        <f t="shared" si="0"/>
        <v>12</v>
      </c>
      <c r="B21" s="87">
        <f t="shared" si="0"/>
        <v>2011</v>
      </c>
      <c r="C21" s="87">
        <f t="shared" si="1"/>
        <v>1</v>
      </c>
      <c r="D21" s="87">
        <f t="shared" si="1"/>
        <v>21</v>
      </c>
      <c r="E21" s="88">
        <v>7.7108999999999996</v>
      </c>
      <c r="F21" s="88">
        <v>12.710899999999997</v>
      </c>
      <c r="G21" s="88">
        <v>22.710899999999999</v>
      </c>
      <c r="H21" s="88">
        <v>27.710899999999999</v>
      </c>
      <c r="I21" s="88">
        <v>32.710899999999995</v>
      </c>
      <c r="J21" s="88">
        <v>0</v>
      </c>
      <c r="K21" s="88">
        <v>0</v>
      </c>
      <c r="L21" s="88">
        <v>0</v>
      </c>
      <c r="M21" s="88">
        <v>0</v>
      </c>
    </row>
    <row r="22" spans="1:13" ht="13.2">
      <c r="A22">
        <f t="shared" si="0"/>
        <v>13</v>
      </c>
      <c r="B22" s="87">
        <f t="shared" si="0"/>
        <v>2012</v>
      </c>
      <c r="C22" s="87">
        <f t="shared" si="1"/>
        <v>1</v>
      </c>
      <c r="D22" s="87">
        <f t="shared" si="1"/>
        <v>21</v>
      </c>
      <c r="E22" s="88">
        <v>0.14219999999999999</v>
      </c>
      <c r="F22" s="88">
        <v>1.5286000000000009</v>
      </c>
      <c r="G22" s="88">
        <v>10.217900000000002</v>
      </c>
      <c r="H22" s="88">
        <v>15.072900000000001</v>
      </c>
      <c r="I22" s="88">
        <v>20.058400000000002</v>
      </c>
      <c r="J22" s="88">
        <v>0</v>
      </c>
      <c r="K22" s="88">
        <v>0</v>
      </c>
      <c r="L22" s="88">
        <v>0</v>
      </c>
      <c r="M22" s="88">
        <v>0</v>
      </c>
    </row>
    <row r="23" spans="1:13" ht="13.2">
      <c r="A23">
        <f t="shared" si="0"/>
        <v>14</v>
      </c>
      <c r="B23" s="87">
        <f t="shared" si="0"/>
        <v>2013</v>
      </c>
      <c r="C23" s="87">
        <f t="shared" si="1"/>
        <v>1</v>
      </c>
      <c r="D23" s="87">
        <f t="shared" si="1"/>
        <v>21</v>
      </c>
      <c r="E23" s="88">
        <v>0.083900000000000224</v>
      </c>
      <c r="F23" s="88">
        <v>0.64150000000000018</v>
      </c>
      <c r="G23" s="88">
        <v>8.5184000000000015</v>
      </c>
      <c r="H23" s="88">
        <v>13.500999999999999</v>
      </c>
      <c r="I23" s="88">
        <v>18.501000000000005</v>
      </c>
      <c r="J23" s="88">
        <v>0</v>
      </c>
      <c r="K23" s="88">
        <v>0</v>
      </c>
      <c r="L23" s="88">
        <v>0</v>
      </c>
      <c r="M23" s="88">
        <v>0</v>
      </c>
    </row>
    <row r="24" spans="1:13" ht="13.2">
      <c r="A24">
        <f t="shared" si="0"/>
        <v>15</v>
      </c>
      <c r="B24" s="87">
        <f t="shared" si="0"/>
        <v>2014</v>
      </c>
      <c r="C24" s="87">
        <f t="shared" si="1"/>
        <v>1</v>
      </c>
      <c r="D24" s="87">
        <f t="shared" si="1"/>
        <v>21</v>
      </c>
      <c r="E24" s="88">
        <v>0.1030999999999999</v>
      </c>
      <c r="F24" s="88">
        <v>1.2201999999999966</v>
      </c>
      <c r="G24" s="88">
        <v>10.663999999999996</v>
      </c>
      <c r="H24" s="88">
        <v>15.663999999999994</v>
      </c>
      <c r="I24" s="88">
        <v>20.664000000000001</v>
      </c>
      <c r="J24" s="88">
        <v>0</v>
      </c>
      <c r="K24" s="88">
        <v>0</v>
      </c>
      <c r="L24" s="88">
        <v>0</v>
      </c>
      <c r="M24" s="88">
        <v>0</v>
      </c>
    </row>
    <row r="25" spans="1:13" ht="13.2">
      <c r="A25">
        <f t="shared" si="0"/>
        <v>16</v>
      </c>
      <c r="B25" s="87">
        <f t="shared" si="0"/>
        <v>2015</v>
      </c>
      <c r="C25" s="87">
        <f t="shared" si="1"/>
        <v>1</v>
      </c>
      <c r="D25" s="87">
        <f t="shared" si="1"/>
        <v>21</v>
      </c>
      <c r="E25" s="88">
        <v>0</v>
      </c>
      <c r="F25" s="88">
        <v>0.22999999999999993</v>
      </c>
      <c r="G25" s="88">
        <v>5.5769999999999964</v>
      </c>
      <c r="H25" s="88">
        <v>10.495799999999997</v>
      </c>
      <c r="I25" s="88">
        <v>15.495799999999992</v>
      </c>
      <c r="J25" s="88">
        <v>0</v>
      </c>
      <c r="K25" s="88">
        <v>0</v>
      </c>
      <c r="L25" s="88">
        <v>0</v>
      </c>
      <c r="M25" s="88">
        <v>0</v>
      </c>
    </row>
    <row r="26" spans="1:13" ht="13.2">
      <c r="A26">
        <f t="shared" si="0"/>
        <v>17</v>
      </c>
      <c r="B26" s="87">
        <f t="shared" si="0"/>
        <v>2016</v>
      </c>
      <c r="C26" s="87">
        <f t="shared" si="1"/>
        <v>1</v>
      </c>
      <c r="D26" s="87">
        <f t="shared" si="1"/>
        <v>21</v>
      </c>
      <c r="E26" s="88">
        <v>0.04200000000000003</v>
      </c>
      <c r="F26" s="88">
        <v>0.375</v>
      </c>
      <c r="G26" s="88">
        <v>9.1431999999999984</v>
      </c>
      <c r="H26" s="88">
        <v>14.143199999999997</v>
      </c>
      <c r="I26" s="88">
        <v>19.1432</v>
      </c>
      <c r="J26" s="88">
        <v>0</v>
      </c>
      <c r="K26" s="88">
        <v>0</v>
      </c>
      <c r="L26" s="88">
        <v>0</v>
      </c>
      <c r="M26" s="88">
        <v>0</v>
      </c>
    </row>
    <row r="27" spans="1:13" ht="13.2">
      <c r="A27">
        <f t="shared" si="2" ref="A27:B31">+A26+1</f>
        <v>18</v>
      </c>
      <c r="B27" s="87">
        <f t="shared" si="2"/>
        <v>2017</v>
      </c>
      <c r="C27" s="87">
        <f t="shared" si="1"/>
        <v>1</v>
      </c>
      <c r="D27" s="87">
        <f t="shared" si="1"/>
        <v>21</v>
      </c>
      <c r="E27" s="88">
        <v>0</v>
      </c>
      <c r="F27" s="88">
        <v>0</v>
      </c>
      <c r="G27" s="88">
        <v>0.14799999999999999</v>
      </c>
      <c r="H27" s="88">
        <v>2.045599999999999</v>
      </c>
      <c r="I27" s="88">
        <v>6.8421999999999983</v>
      </c>
      <c r="J27" s="88">
        <v>0</v>
      </c>
      <c r="K27" s="88">
        <v>0</v>
      </c>
      <c r="L27" s="88">
        <v>0</v>
      </c>
      <c r="M27" s="88">
        <v>0</v>
      </c>
    </row>
    <row r="28" spans="1:13" ht="13.2">
      <c r="A28">
        <f t="shared" si="2"/>
        <v>19</v>
      </c>
      <c r="B28" s="87">
        <f t="shared" si="2"/>
        <v>2018</v>
      </c>
      <c r="C28" s="87">
        <f t="shared" si="1"/>
        <v>1</v>
      </c>
      <c r="D28" s="87">
        <f t="shared" si="1"/>
        <v>21</v>
      </c>
      <c r="E28" s="88">
        <v>0</v>
      </c>
      <c r="F28" s="88">
        <v>0</v>
      </c>
      <c r="G28" s="88">
        <v>0.21089999999999975</v>
      </c>
      <c r="H28" s="88">
        <v>0.52469999999999972</v>
      </c>
      <c r="I28" s="88">
        <v>1.0837999999999997</v>
      </c>
      <c r="J28" s="88">
        <v>1.9627999999999959</v>
      </c>
      <c r="K28" s="88">
        <v>0</v>
      </c>
      <c r="L28" s="88">
        <v>0</v>
      </c>
      <c r="M28" s="88">
        <v>0</v>
      </c>
    </row>
    <row r="29" spans="1:13" ht="13.2">
      <c r="A29">
        <f t="shared" si="2"/>
        <v>20</v>
      </c>
      <c r="B29" s="87">
        <f t="shared" si="2"/>
        <v>2019</v>
      </c>
      <c r="C29" s="87">
        <f>+C28</f>
        <v>1</v>
      </c>
      <c r="D29" s="87">
        <f>+D28</f>
        <v>21</v>
      </c>
      <c r="E29" s="88">
        <v>0</v>
      </c>
      <c r="F29" s="88">
        <v>0.16409999999999986</v>
      </c>
      <c r="G29" s="88">
        <v>8.0702999999999996</v>
      </c>
      <c r="H29" s="88">
        <v>13.070300000000001</v>
      </c>
      <c r="I29" s="88">
        <v>18.0703</v>
      </c>
      <c r="J29" s="88">
        <v>0</v>
      </c>
      <c r="K29" s="88">
        <v>0</v>
      </c>
      <c r="L29" s="88">
        <v>0</v>
      </c>
      <c r="M29" s="88">
        <v>0</v>
      </c>
    </row>
    <row r="30" spans="1:20" ht="13.2">
      <c r="A30">
        <f t="shared" si="2"/>
        <v>21</v>
      </c>
      <c r="B30" s="87">
        <f t="shared" si="2"/>
        <v>2020</v>
      </c>
      <c r="C30" s="87">
        <f>+C29</f>
        <v>1</v>
      </c>
      <c r="D30" s="87">
        <f>+D29</f>
        <v>21</v>
      </c>
      <c r="E30" s="177">
        <v>0.099599999999999828</v>
      </c>
      <c r="F30" s="177">
        <v>1.5017999999999978</v>
      </c>
      <c r="G30" s="177">
        <v>11.018899999999997</v>
      </c>
      <c r="H30" s="177">
        <v>16.018899999999999</v>
      </c>
      <c r="I30" s="177">
        <v>21.018899999999995</v>
      </c>
      <c r="J30" s="88">
        <v>0</v>
      </c>
      <c r="K30" s="88">
        <v>0</v>
      </c>
      <c r="L30" s="88">
        <v>0</v>
      </c>
      <c r="M30" s="88">
        <v>0</v>
      </c>
      <c r="P30" s="147"/>
      <c r="Q30" s="147"/>
      <c r="R30" s="147"/>
      <c r="S30" s="147"/>
      <c r="T30" s="147"/>
    </row>
    <row r="31" spans="1:13" ht="13.2">
      <c r="A31">
        <f t="shared" si="2"/>
        <v>22</v>
      </c>
      <c r="B31" s="89" t="s">
        <v>145</v>
      </c>
      <c r="C31" s="87"/>
      <c r="D31" s="87"/>
      <c r="E31" s="139">
        <f>AVERAGE(E11:E30)</f>
        <v>0.50562791666666762</v>
      </c>
      <c r="F31" s="139">
        <f t="shared" si="3" ref="F31:M31">AVERAGE(F11:F30)</f>
        <v>1.5805745833333331</v>
      </c>
      <c r="G31" s="139">
        <f t="shared" si="3"/>
        <v>8.0570712499999999</v>
      </c>
      <c r="H31" s="139">
        <f t="shared" si="3"/>
        <v>12.282746249999999</v>
      </c>
      <c r="I31" s="139">
        <f t="shared" si="4" ref="I31">AVERAGE(I11:I30)</f>
        <v>17.017640416666662</v>
      </c>
      <c r="J31" s="139">
        <f t="shared" si="3"/>
        <v>0.1015524999999998</v>
      </c>
      <c r="K31" s="139">
        <f t="shared" si="3"/>
        <v>0</v>
      </c>
      <c r="L31" s="139">
        <f t="shared" si="5" ref="L31">AVERAGE(L11:L30)</f>
        <v>0</v>
      </c>
      <c r="M31" s="139">
        <f t="shared" si="3"/>
        <v>0</v>
      </c>
    </row>
  </sheetData>
  <mergeCells count="6">
    <mergeCell ref="B8:M8"/>
    <mergeCell ref="B1:M1"/>
    <mergeCell ref="B2:M2"/>
    <mergeCell ref="B3:M3"/>
    <mergeCell ref="B4:M4"/>
    <mergeCell ref="B6:M6"/>
  </mergeCells>
  <printOptions horizontalCentered="1"/>
  <pageMargins left="1.5" right="0.5" top="1.5" bottom="1" header="1" footer="0.5"/>
  <pageSetup orientation="portrait" scale="63" r:id="rId1"/>
  <headerFooter alignWithMargins="0">
    <oddHeader>&amp;RSchedule II-H-5.2
Page &amp;P of 37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1">
    <pageSetUpPr fitToPage="1"/>
  </sheetPr>
  <dimension ref="A1:S31"/>
  <sheetViews>
    <sheetView view="pageBreakPreview" zoomScaleNormal="100" zoomScaleSheetLayoutView="100" workbookViewId="0" topLeftCell="A1"/>
  </sheetViews>
  <sheetFormatPr defaultRowHeight="13.5"/>
  <cols>
    <col min="2" max="2" width="9.85714285714286" customWidth="1"/>
    <col min="3" max="3" width="9" customWidth="1"/>
    <col min="4" max="4" width="6.85714285714286" customWidth="1"/>
    <col min="5" max="5" width="11" customWidth="1"/>
    <col min="6" max="6" width="10.2857142857143" customWidth="1"/>
    <col min="7" max="7" width="10.4285714285714" customWidth="1"/>
    <col min="8" max="9" width="10.7142857142857" customWidth="1"/>
    <col min="10" max="10" width="10.8571428571429" customWidth="1"/>
    <col min="11" max="12" width="12.7142857142857" customWidth="1"/>
  </cols>
  <sheetData>
    <row r="1" spans="1:13" ht="15.6">
      <c r="A1" s="8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15.6">
      <c r="A2" s="8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ht="15.6">
      <c r="A3" s="8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ht="15.6">
      <c r="A4" s="8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4" ht="13.2">
      <c r="A5" s="81"/>
      <c r="B5" s="83"/>
      <c r="C5" s="82"/>
      <c r="D5" s="82"/>
    </row>
    <row r="6" spans="1:13" ht="15.6">
      <c r="A6" s="81"/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8" spans="2:13" ht="15.6">
      <c r="B8" s="200" t="s">
        <v>146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2" ht="24" thickBot="1">
      <c r="A9" s="84" t="s">
        <v>86</v>
      </c>
      <c r="B9" s="85"/>
    </row>
    <row r="10" spans="1:13" ht="13.8" thickBot="1">
      <c r="A10">
        <v>1</v>
      </c>
      <c r="B10" s="86" t="s">
        <v>87</v>
      </c>
      <c r="C10" s="86" t="s">
        <v>88</v>
      </c>
      <c r="D10" s="86" t="s">
        <v>85</v>
      </c>
      <c r="E10" s="104" t="s">
        <v>112</v>
      </c>
      <c r="F10" s="138" t="s">
        <v>142</v>
      </c>
      <c r="G10" s="138" t="s">
        <v>128</v>
      </c>
      <c r="H10" s="138" t="s">
        <v>89</v>
      </c>
      <c r="I10" s="138" t="s">
        <v>143</v>
      </c>
      <c r="J10" s="138" t="s">
        <v>90</v>
      </c>
      <c r="K10" s="138" t="s">
        <v>91</v>
      </c>
      <c r="L10" s="138" t="s">
        <v>92</v>
      </c>
      <c r="M10" s="138" t="s">
        <v>147</v>
      </c>
    </row>
    <row r="11" spans="1:13" ht="13.2">
      <c r="A11">
        <f t="shared" si="0" ref="A11:B26">+A10+1</f>
        <v>2</v>
      </c>
      <c r="B11" s="87">
        <v>2001</v>
      </c>
      <c r="C11" s="87">
        <v>7</v>
      </c>
      <c r="D11" s="87">
        <v>20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22.284708333333327</v>
      </c>
      <c r="K11" s="88">
        <v>17.279708333333332</v>
      </c>
      <c r="L11" s="88">
        <v>12.274708333333331</v>
      </c>
      <c r="M11" s="88">
        <v>7.2697083333333312</v>
      </c>
    </row>
    <row r="12" spans="1:13" ht="13.2">
      <c r="A12">
        <f t="shared" si="0"/>
        <v>3</v>
      </c>
      <c r="B12" s="87">
        <f>+B11+1</f>
        <v>2002</v>
      </c>
      <c r="C12" s="87">
        <f>+C11</f>
        <v>7</v>
      </c>
      <c r="D12" s="87">
        <f>+D11</f>
        <v>20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18.917958333333313</v>
      </c>
      <c r="K12" s="88">
        <v>13.912958333333313</v>
      </c>
      <c r="L12" s="88">
        <v>8.9079583333333137</v>
      </c>
      <c r="M12" s="88">
        <v>3.9029583333333138</v>
      </c>
    </row>
    <row r="13" spans="1:13" ht="13.2">
      <c r="A13">
        <f t="shared" si="0"/>
        <v>4</v>
      </c>
      <c r="B13" s="87">
        <f t="shared" si="0"/>
        <v>2003</v>
      </c>
      <c r="C13" s="87">
        <f t="shared" si="1" ref="C13:D28">+C12</f>
        <v>7</v>
      </c>
      <c r="D13" s="87">
        <f t="shared" si="1"/>
        <v>20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23.660208333333358</v>
      </c>
      <c r="K13" s="88">
        <v>18.655208333333359</v>
      </c>
      <c r="L13" s="88">
        <v>13.650208333333358</v>
      </c>
      <c r="M13" s="88">
        <v>8.6452083333333594</v>
      </c>
    </row>
    <row r="14" spans="1:13" ht="13.2">
      <c r="A14">
        <f t="shared" si="0"/>
        <v>5</v>
      </c>
      <c r="B14" s="87">
        <f t="shared" si="0"/>
        <v>2004</v>
      </c>
      <c r="C14" s="87">
        <f t="shared" si="1"/>
        <v>7</v>
      </c>
      <c r="D14" s="87">
        <f t="shared" si="1"/>
        <v>20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18.96891666666664</v>
      </c>
      <c r="K14" s="88">
        <v>13.963916666666645</v>
      </c>
      <c r="L14" s="88">
        <v>8.958916666666644</v>
      </c>
      <c r="M14" s="88">
        <v>4.0101666666666418</v>
      </c>
    </row>
    <row r="15" spans="1:13" ht="13.2">
      <c r="A15">
        <f t="shared" si="0"/>
        <v>6</v>
      </c>
      <c r="B15" s="87">
        <f t="shared" si="0"/>
        <v>2005</v>
      </c>
      <c r="C15" s="87">
        <f t="shared" si="1"/>
        <v>7</v>
      </c>
      <c r="D15" s="87">
        <f t="shared" si="1"/>
        <v>20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19.848166666666692</v>
      </c>
      <c r="K15" s="88">
        <v>14.84316666666669</v>
      </c>
      <c r="L15" s="88">
        <v>9.8381666666666927</v>
      </c>
      <c r="M15" s="88">
        <v>4.8669166666666914</v>
      </c>
    </row>
    <row r="16" spans="1:13" ht="13.2">
      <c r="A16">
        <f t="shared" si="0"/>
        <v>7</v>
      </c>
      <c r="B16" s="87">
        <f t="shared" si="0"/>
        <v>2006</v>
      </c>
      <c r="C16" s="87">
        <f t="shared" si="1"/>
        <v>7</v>
      </c>
      <c r="D16" s="87">
        <f t="shared" si="1"/>
        <v>20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25.7417916666667</v>
      </c>
      <c r="K16" s="88">
        <v>20.736791666666683</v>
      </c>
      <c r="L16" s="88">
        <v>15.731791666666693</v>
      </c>
      <c r="M16" s="88">
        <v>10.726791666666692</v>
      </c>
    </row>
    <row r="17" spans="1:13" ht="13.2">
      <c r="A17">
        <f t="shared" si="0"/>
        <v>8</v>
      </c>
      <c r="B17" s="87">
        <f t="shared" si="0"/>
        <v>2007</v>
      </c>
      <c r="C17" s="87">
        <f t="shared" si="1"/>
        <v>7</v>
      </c>
      <c r="D17" s="87">
        <f t="shared" si="1"/>
        <v>20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14.491374999999973</v>
      </c>
      <c r="K17" s="88">
        <v>9.4863749999999722</v>
      </c>
      <c r="L17" s="88">
        <v>4.549208333333306</v>
      </c>
      <c r="M17" s="88">
        <v>0.53104166666664387</v>
      </c>
    </row>
    <row r="18" spans="1:13" ht="13.2">
      <c r="A18">
        <f t="shared" si="0"/>
        <v>9</v>
      </c>
      <c r="B18" s="87">
        <f t="shared" si="0"/>
        <v>2008</v>
      </c>
      <c r="C18" s="87">
        <f t="shared" si="1"/>
        <v>7</v>
      </c>
      <c r="D18" s="87">
        <f t="shared" si="1"/>
        <v>20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23.822399999999998</v>
      </c>
      <c r="K18" s="88">
        <v>18.817399999999996</v>
      </c>
      <c r="L18" s="88">
        <v>13.812399999999995</v>
      </c>
      <c r="M18" s="88">
        <v>8.8073999999999977</v>
      </c>
    </row>
    <row r="19" spans="1:13" ht="13.2">
      <c r="A19">
        <f t="shared" si="0"/>
        <v>10</v>
      </c>
      <c r="B19" s="87">
        <f t="shared" si="0"/>
        <v>2009</v>
      </c>
      <c r="C19" s="87">
        <f t="shared" si="1"/>
        <v>7</v>
      </c>
      <c r="D19" s="87">
        <f t="shared" si="1"/>
        <v>20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16.104800000000001</v>
      </c>
      <c r="K19" s="88">
        <v>11.099800000000002</v>
      </c>
      <c r="L19" s="88">
        <v>6.0948000000000029</v>
      </c>
      <c r="M19" s="88">
        <v>1.1446000000000021</v>
      </c>
    </row>
    <row r="20" spans="1:13" ht="13.2">
      <c r="A20">
        <f t="shared" si="0"/>
        <v>11</v>
      </c>
      <c r="B20" s="87">
        <f t="shared" si="0"/>
        <v>2010</v>
      </c>
      <c r="C20" s="87">
        <f t="shared" si="1"/>
        <v>7</v>
      </c>
      <c r="D20" s="87">
        <f t="shared" si="1"/>
        <v>20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21.201999999999998</v>
      </c>
      <c r="K20" s="88">
        <v>16.196999999999992</v>
      </c>
      <c r="L20" s="88">
        <v>11.191999999999995</v>
      </c>
      <c r="M20" s="88">
        <v>6.1869999999999958</v>
      </c>
    </row>
    <row r="21" spans="1:13" ht="13.2">
      <c r="A21">
        <f t="shared" si="0"/>
        <v>12</v>
      </c>
      <c r="B21" s="87">
        <f t="shared" si="0"/>
        <v>2011</v>
      </c>
      <c r="C21" s="87">
        <f t="shared" si="1"/>
        <v>7</v>
      </c>
      <c r="D21" s="87">
        <f t="shared" si="1"/>
        <v>20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24.074199999999998</v>
      </c>
      <c r="K21" s="88">
        <v>19.069199999999999</v>
      </c>
      <c r="L21" s="88">
        <v>14.064199999999998</v>
      </c>
      <c r="M21" s="88">
        <v>9.0591999999999953</v>
      </c>
    </row>
    <row r="22" spans="1:13" ht="13.2">
      <c r="A22">
        <f t="shared" si="0"/>
        <v>13</v>
      </c>
      <c r="B22" s="87">
        <f t="shared" si="0"/>
        <v>2012</v>
      </c>
      <c r="C22" s="87">
        <f t="shared" si="1"/>
        <v>7</v>
      </c>
      <c r="D22" s="87">
        <f t="shared" si="1"/>
        <v>20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23.216199999999994</v>
      </c>
      <c r="K22" s="88">
        <v>18.211199999999995</v>
      </c>
      <c r="L22" s="88">
        <v>13.206199999999996</v>
      </c>
      <c r="M22" s="88">
        <v>8.2011999999999947</v>
      </c>
    </row>
    <row r="23" spans="1:13" ht="13.2">
      <c r="A23">
        <f t="shared" si="0"/>
        <v>14</v>
      </c>
      <c r="B23" s="87">
        <f t="shared" si="0"/>
        <v>2013</v>
      </c>
      <c r="C23" s="87">
        <f t="shared" si="1"/>
        <v>7</v>
      </c>
      <c r="D23" s="87">
        <f t="shared" si="1"/>
        <v>20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16.658800000000003</v>
      </c>
      <c r="K23" s="88">
        <v>11.653800000000006</v>
      </c>
      <c r="L23" s="88">
        <v>6.6488000000000032</v>
      </c>
      <c r="M23" s="88">
        <v>1.7222000000000035</v>
      </c>
    </row>
    <row r="24" spans="1:13" ht="13.2">
      <c r="A24">
        <f t="shared" si="0"/>
        <v>15</v>
      </c>
      <c r="B24" s="87">
        <f t="shared" si="0"/>
        <v>2014</v>
      </c>
      <c r="C24" s="87">
        <f t="shared" si="1"/>
        <v>7</v>
      </c>
      <c r="D24" s="87">
        <f t="shared" si="1"/>
        <v>20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14.4414</v>
      </c>
      <c r="K24" s="88">
        <v>9.4364000000000008</v>
      </c>
      <c r="L24" s="88">
        <v>4.4313999999999991</v>
      </c>
      <c r="M24" s="88">
        <v>0.54800000000000004</v>
      </c>
    </row>
    <row r="25" spans="1:13" ht="13.2">
      <c r="A25">
        <f t="shared" si="0"/>
        <v>16</v>
      </c>
      <c r="B25" s="87">
        <f t="shared" si="0"/>
        <v>2015</v>
      </c>
      <c r="C25" s="87">
        <f t="shared" si="1"/>
        <v>7</v>
      </c>
      <c r="D25" s="87">
        <f t="shared" si="1"/>
        <v>20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23.920000000000002</v>
      </c>
      <c r="K25" s="88">
        <v>18.914999999999999</v>
      </c>
      <c r="L25" s="88">
        <v>13.91</v>
      </c>
      <c r="M25" s="88">
        <v>8.9049999999999994</v>
      </c>
    </row>
    <row r="26" spans="1:13" ht="13.2">
      <c r="A26">
        <f t="shared" si="0"/>
        <v>17</v>
      </c>
      <c r="B26" s="87">
        <f t="shared" si="0"/>
        <v>2016</v>
      </c>
      <c r="C26" s="87">
        <f t="shared" si="1"/>
        <v>7</v>
      </c>
      <c r="D26" s="87">
        <f t="shared" si="1"/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23.174699999999998</v>
      </c>
      <c r="K26" s="88">
        <v>18.169700000000002</v>
      </c>
      <c r="L26" s="88">
        <v>13.164699999999998</v>
      </c>
      <c r="M26" s="88">
        <v>8.1596999999999973</v>
      </c>
    </row>
    <row r="27" spans="1:13" ht="13.2">
      <c r="A27">
        <f t="shared" si="2" ref="A27:B31">+A26+1</f>
        <v>18</v>
      </c>
      <c r="B27" s="87">
        <f t="shared" si="2"/>
        <v>2017</v>
      </c>
      <c r="C27" s="87">
        <f t="shared" si="1"/>
        <v>7</v>
      </c>
      <c r="D27" s="87">
        <f t="shared" si="1"/>
        <v>20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24.219300000000004</v>
      </c>
      <c r="K27" s="88">
        <v>19.214300000000001</v>
      </c>
      <c r="L27" s="88">
        <v>14.209299999999999</v>
      </c>
      <c r="M27" s="88">
        <v>9.2043000000000017</v>
      </c>
    </row>
    <row r="28" spans="1:13" ht="13.2">
      <c r="A28">
        <f t="shared" si="2"/>
        <v>19</v>
      </c>
      <c r="B28" s="87">
        <f t="shared" si="2"/>
        <v>2018</v>
      </c>
      <c r="C28" s="87">
        <f t="shared" si="1"/>
        <v>7</v>
      </c>
      <c r="D28" s="87">
        <f t="shared" si="1"/>
        <v>20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29.096900000000002</v>
      </c>
      <c r="K28" s="88">
        <v>24.091900000000003</v>
      </c>
      <c r="L28" s="88">
        <v>19.0869</v>
      </c>
      <c r="M28" s="88">
        <v>14.081900000000003</v>
      </c>
    </row>
    <row r="29" spans="1:13" ht="13.2">
      <c r="A29">
        <f t="shared" si="2"/>
        <v>20</v>
      </c>
      <c r="B29" s="87">
        <f t="shared" si="2"/>
        <v>2019</v>
      </c>
      <c r="C29" s="87">
        <f>+C28</f>
        <v>7</v>
      </c>
      <c r="D29" s="87">
        <f>+D28</f>
        <v>20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22.122900000000005</v>
      </c>
      <c r="K29" s="88">
        <v>17.117899999999999</v>
      </c>
      <c r="L29" s="88">
        <v>12.112899999999998</v>
      </c>
      <c r="M29" s="88">
        <v>7.1078999999999981</v>
      </c>
    </row>
    <row r="30" spans="1:19" ht="13.2">
      <c r="A30">
        <f t="shared" si="2"/>
        <v>21</v>
      </c>
      <c r="B30" s="87">
        <f t="shared" si="2"/>
        <v>2020</v>
      </c>
      <c r="C30" s="87">
        <f>+C29</f>
        <v>7</v>
      </c>
      <c r="D30" s="87">
        <f>+D29</f>
        <v>20</v>
      </c>
      <c r="E30" s="177">
        <v>0</v>
      </c>
      <c r="F30" s="177">
        <v>0</v>
      </c>
      <c r="G30" s="177">
        <v>0</v>
      </c>
      <c r="H30" s="177">
        <v>0</v>
      </c>
      <c r="I30" s="177">
        <v>0</v>
      </c>
      <c r="J30" s="177">
        <v>21.101100000000002</v>
      </c>
      <c r="K30" s="177">
        <v>16.096100000000003</v>
      </c>
      <c r="L30" s="177">
        <v>11.091100000000003</v>
      </c>
      <c r="M30" s="177">
        <v>6.086100000000001</v>
      </c>
      <c r="P30" s="147"/>
      <c r="Q30" s="147"/>
      <c r="R30" s="147"/>
      <c r="S30" s="147"/>
    </row>
    <row r="31" spans="1:13" ht="13.2">
      <c r="A31">
        <f t="shared" si="2"/>
        <v>22</v>
      </c>
      <c r="B31" s="89" t="s">
        <v>148</v>
      </c>
      <c r="C31" s="87"/>
      <c r="D31" s="87"/>
      <c r="E31" s="139">
        <f t="shared" si="3" ref="E31:M31">AVERAGE(E11:E30)</f>
        <v>0</v>
      </c>
      <c r="F31" s="139">
        <f t="shared" si="3"/>
        <v>0</v>
      </c>
      <c r="G31" s="139">
        <f t="shared" si="3"/>
        <v>0</v>
      </c>
      <c r="H31" s="139">
        <f t="shared" si="3"/>
        <v>0</v>
      </c>
      <c r="I31" s="139">
        <f t="shared" si="3"/>
        <v>0</v>
      </c>
      <c r="J31" s="139">
        <f t="shared" si="3"/>
        <v>21.353391249999998</v>
      </c>
      <c r="K31" s="139">
        <f t="shared" si="3"/>
        <v>16.348391249999999</v>
      </c>
      <c r="L31" s="139">
        <f t="shared" si="3"/>
        <v>11.346782916666665</v>
      </c>
      <c r="M31" s="139">
        <f t="shared" si="3"/>
        <v>6.4583645833333332</v>
      </c>
    </row>
  </sheetData>
  <mergeCells count="6">
    <mergeCell ref="B8:M8"/>
    <mergeCell ref="B1:M1"/>
    <mergeCell ref="B2:M2"/>
    <mergeCell ref="B3:M3"/>
    <mergeCell ref="B4:M4"/>
    <mergeCell ref="B6:M6"/>
  </mergeCells>
  <printOptions horizontalCentered="1"/>
  <pageMargins left="1.5" right="0.5" top="1.5" bottom="1" header="1" footer="0.5"/>
  <pageSetup orientation="portrait" scale="63" r:id="rId1"/>
  <headerFooter alignWithMargins="0">
    <oddHeader>&amp;RSchedule II-H-5.2
Page &amp;P of 37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2">
    <pageSetUpPr fitToPage="1"/>
  </sheetPr>
  <dimension ref="A1:T35"/>
  <sheetViews>
    <sheetView view="pageBreakPreview" zoomScaleNormal="100" zoomScaleSheetLayoutView="100" workbookViewId="0" topLeftCell="A1"/>
  </sheetViews>
  <sheetFormatPr defaultRowHeight="13.5"/>
  <cols>
    <col min="2" max="2" width="9.85714285714286" customWidth="1"/>
    <col min="3" max="3" width="9" customWidth="1"/>
    <col min="4" max="4" width="6.85714285714286" customWidth="1"/>
    <col min="5" max="5" width="11" customWidth="1"/>
    <col min="6" max="6" width="10.2857142857143" customWidth="1"/>
    <col min="7" max="7" width="10.4285714285714" customWidth="1"/>
    <col min="8" max="9" width="10.7142857142857" customWidth="1"/>
    <col min="10" max="10" width="10.8571428571429" customWidth="1"/>
    <col min="11" max="12" width="12.7142857142857" customWidth="1"/>
  </cols>
  <sheetData>
    <row r="1" spans="1:13" ht="15.6">
      <c r="A1" s="8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15.6">
      <c r="A2" s="8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ht="15.6">
      <c r="A3" s="8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ht="15.6">
      <c r="A4" s="8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4" ht="13.2">
      <c r="A5" s="81"/>
      <c r="B5" s="83"/>
      <c r="C5" s="82"/>
      <c r="D5" s="82"/>
    </row>
    <row r="6" spans="1:13" ht="15.6">
      <c r="A6" s="81"/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8" spans="2:13" ht="15.6">
      <c r="B8" s="200" t="s">
        <v>172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2" ht="24" thickBot="1">
      <c r="A9" s="84" t="s">
        <v>86</v>
      </c>
      <c r="B9" s="85"/>
    </row>
    <row r="10" spans="1:13" ht="13.8" thickBot="1">
      <c r="A10">
        <v>1</v>
      </c>
      <c r="B10" s="86" t="s">
        <v>87</v>
      </c>
      <c r="C10" s="86" t="s">
        <v>88</v>
      </c>
      <c r="D10" s="86" t="s">
        <v>85</v>
      </c>
      <c r="E10" s="104" t="s">
        <v>112</v>
      </c>
      <c r="F10" s="138" t="s">
        <v>142</v>
      </c>
      <c r="G10" s="138" t="s">
        <v>128</v>
      </c>
      <c r="H10" s="138" t="s">
        <v>89</v>
      </c>
      <c r="I10" s="138" t="s">
        <v>143</v>
      </c>
      <c r="J10" s="138" t="s">
        <v>90</v>
      </c>
      <c r="K10" s="138" t="s">
        <v>91</v>
      </c>
      <c r="L10" s="138" t="s">
        <v>92</v>
      </c>
      <c r="M10" s="138" t="s">
        <v>147</v>
      </c>
    </row>
    <row r="11" spans="1:13" ht="13.2">
      <c r="A11">
        <f t="shared" si="0" ref="A11:B26">+A10+1</f>
        <v>2</v>
      </c>
      <c r="B11" s="87">
        <v>2001</v>
      </c>
      <c r="C11" s="87">
        <v>1</v>
      </c>
      <c r="D11" s="87">
        <v>14</v>
      </c>
      <c r="E11" s="88">
        <v>0</v>
      </c>
      <c r="F11" s="88">
        <v>0.2591250000000021</v>
      </c>
      <c r="G11" s="88">
        <v>9.4281666666666908</v>
      </c>
      <c r="H11" s="88">
        <v>14.428166666666693</v>
      </c>
      <c r="I11" s="88">
        <v>19.428166666666691</v>
      </c>
      <c r="J11" s="88">
        <v>0</v>
      </c>
      <c r="K11" s="88">
        <v>0</v>
      </c>
      <c r="L11" s="88">
        <v>0</v>
      </c>
      <c r="M11" s="88">
        <v>0</v>
      </c>
    </row>
    <row r="12" spans="1:13" ht="13.2">
      <c r="A12">
        <f t="shared" si="0"/>
        <v>3</v>
      </c>
      <c r="B12" s="87">
        <f>+B11+1</f>
        <v>2002</v>
      </c>
      <c r="C12" s="87">
        <f>+C11</f>
        <v>1</v>
      </c>
      <c r="D12" s="87">
        <f>+D11</f>
        <v>14</v>
      </c>
      <c r="E12" s="88">
        <v>0</v>
      </c>
      <c r="F12" s="88">
        <v>0.16645833333333568</v>
      </c>
      <c r="G12" s="88">
        <v>6.1536250000000017</v>
      </c>
      <c r="H12" s="88">
        <v>11.153625</v>
      </c>
      <c r="I12" s="88">
        <v>16.153625000000002</v>
      </c>
      <c r="J12" s="88">
        <v>0</v>
      </c>
      <c r="K12" s="88">
        <v>0</v>
      </c>
      <c r="L12" s="88">
        <v>0</v>
      </c>
      <c r="M12" s="88">
        <v>0</v>
      </c>
    </row>
    <row r="13" spans="1:13" ht="13.2">
      <c r="A13">
        <f t="shared" si="0"/>
        <v>4</v>
      </c>
      <c r="B13" s="87">
        <f t="shared" si="0"/>
        <v>2003</v>
      </c>
      <c r="C13" s="87">
        <f t="shared" si="1" ref="C13:D28">+C12</f>
        <v>1</v>
      </c>
      <c r="D13" s="87">
        <f t="shared" si="1"/>
        <v>14</v>
      </c>
      <c r="E13" s="88">
        <v>0.053333333333333996</v>
      </c>
      <c r="F13" s="88">
        <v>1.2822500000000281</v>
      </c>
      <c r="G13" s="88">
        <v>11.262750000000027</v>
      </c>
      <c r="H13" s="88">
        <v>16.262750000000025</v>
      </c>
      <c r="I13" s="88">
        <v>21.262750000000025</v>
      </c>
      <c r="J13" s="88">
        <v>0</v>
      </c>
      <c r="K13" s="88">
        <v>0</v>
      </c>
      <c r="L13" s="88">
        <v>0</v>
      </c>
      <c r="M13" s="88">
        <v>0</v>
      </c>
    </row>
    <row r="14" spans="1:13" ht="13.2">
      <c r="A14">
        <f t="shared" si="0"/>
        <v>5</v>
      </c>
      <c r="B14" s="87">
        <f t="shared" si="0"/>
        <v>2004</v>
      </c>
      <c r="C14" s="87">
        <f t="shared" si="1"/>
        <v>1</v>
      </c>
      <c r="D14" s="87">
        <f t="shared" si="1"/>
        <v>14</v>
      </c>
      <c r="E14" s="88">
        <v>0</v>
      </c>
      <c r="F14" s="88">
        <v>0</v>
      </c>
      <c r="G14" s="88">
        <v>0.52387499999999798</v>
      </c>
      <c r="H14" s="88">
        <v>3.1921666666666897</v>
      </c>
      <c r="I14" s="88">
        <v>8.0774166666666893</v>
      </c>
      <c r="J14" s="88">
        <v>0</v>
      </c>
      <c r="K14" s="88">
        <v>0</v>
      </c>
      <c r="L14" s="88">
        <v>0</v>
      </c>
      <c r="M14" s="88">
        <v>0</v>
      </c>
    </row>
    <row r="15" spans="1:13" ht="13.2">
      <c r="A15">
        <f t="shared" si="0"/>
        <v>6</v>
      </c>
      <c r="B15" s="87">
        <f t="shared" si="0"/>
        <v>2005</v>
      </c>
      <c r="C15" s="87">
        <f t="shared" si="1"/>
        <v>1</v>
      </c>
      <c r="D15" s="87">
        <f t="shared" si="1"/>
        <v>14</v>
      </c>
      <c r="E15" s="88">
        <v>0.075833333333334002</v>
      </c>
      <c r="F15" s="88">
        <v>3.4368333333333103</v>
      </c>
      <c r="G15" s="88">
        <v>13.415083333333309</v>
      </c>
      <c r="H15" s="88">
        <v>18.415083333333307</v>
      </c>
      <c r="I15" s="88">
        <v>23.41508333333331</v>
      </c>
      <c r="J15" s="88">
        <v>0</v>
      </c>
      <c r="K15" s="88">
        <v>0</v>
      </c>
      <c r="L15" s="88">
        <v>0</v>
      </c>
      <c r="M15" s="88">
        <v>0</v>
      </c>
    </row>
    <row r="16" spans="1:13" ht="13.2">
      <c r="A16">
        <f t="shared" si="0"/>
        <v>7</v>
      </c>
      <c r="B16" s="87">
        <f t="shared" si="0"/>
        <v>2006</v>
      </c>
      <c r="C16" s="87">
        <f t="shared" si="1"/>
        <v>1</v>
      </c>
      <c r="D16" s="87">
        <f t="shared" si="1"/>
        <v>14</v>
      </c>
      <c r="E16" s="88">
        <v>0</v>
      </c>
      <c r="F16" s="88">
        <v>0</v>
      </c>
      <c r="G16" s="88">
        <v>5.4265416666666457</v>
      </c>
      <c r="H16" s="88">
        <v>10.426541666666646</v>
      </c>
      <c r="I16" s="88">
        <v>15.426541666666648</v>
      </c>
      <c r="J16" s="88">
        <v>0</v>
      </c>
      <c r="K16" s="88">
        <v>0</v>
      </c>
      <c r="L16" s="88">
        <v>0</v>
      </c>
      <c r="M16" s="88">
        <v>0</v>
      </c>
    </row>
    <row r="17" spans="1:13" ht="13.2">
      <c r="A17">
        <f t="shared" si="0"/>
        <v>8</v>
      </c>
      <c r="B17" s="87">
        <f t="shared" si="0"/>
        <v>2007</v>
      </c>
      <c r="C17" s="87">
        <f t="shared" si="1"/>
        <v>1</v>
      </c>
      <c r="D17" s="87">
        <f t="shared" si="1"/>
        <v>14</v>
      </c>
      <c r="E17" s="88">
        <v>7.1078333333333115</v>
      </c>
      <c r="F17" s="88">
        <v>11.901083333333311</v>
      </c>
      <c r="G17" s="88">
        <v>21.736749999999979</v>
      </c>
      <c r="H17" s="88">
        <v>26.736749999999979</v>
      </c>
      <c r="I17" s="88">
        <v>31.736749999999976</v>
      </c>
      <c r="J17" s="88">
        <v>0</v>
      </c>
      <c r="K17" s="88">
        <v>0</v>
      </c>
      <c r="L17" s="88">
        <v>0</v>
      </c>
      <c r="M17" s="88">
        <v>0</v>
      </c>
    </row>
    <row r="18" spans="1:13" ht="13.2">
      <c r="A18">
        <f t="shared" si="0"/>
        <v>9</v>
      </c>
      <c r="B18" s="87">
        <f t="shared" si="0"/>
        <v>2008</v>
      </c>
      <c r="C18" s="87">
        <f t="shared" si="1"/>
        <v>1</v>
      </c>
      <c r="D18" s="87">
        <f t="shared" si="1"/>
        <v>14</v>
      </c>
      <c r="E18" s="88">
        <v>0.091200000000000087</v>
      </c>
      <c r="F18" s="88">
        <v>0.46570000000000017</v>
      </c>
      <c r="G18" s="88">
        <v>6.5522999999999998</v>
      </c>
      <c r="H18" s="88">
        <v>11.552299999999999</v>
      </c>
      <c r="I18" s="88">
        <v>16.552299999999999</v>
      </c>
      <c r="J18" s="88">
        <v>0</v>
      </c>
      <c r="K18" s="88">
        <v>0</v>
      </c>
      <c r="L18" s="88">
        <v>0</v>
      </c>
      <c r="M18" s="88">
        <v>0</v>
      </c>
    </row>
    <row r="19" spans="1:13" ht="13.2">
      <c r="A19">
        <f t="shared" si="0"/>
        <v>10</v>
      </c>
      <c r="B19" s="87">
        <f t="shared" si="0"/>
        <v>2009</v>
      </c>
      <c r="C19" s="87">
        <f t="shared" si="1"/>
        <v>1</v>
      </c>
      <c r="D19" s="87">
        <f t="shared" si="1"/>
        <v>14</v>
      </c>
      <c r="E19" s="88">
        <v>0</v>
      </c>
      <c r="F19" s="88">
        <v>1.0527999999999989</v>
      </c>
      <c r="G19" s="88">
        <v>11.052799999999998</v>
      </c>
      <c r="H19" s="88">
        <v>16.052799999999998</v>
      </c>
      <c r="I19" s="88">
        <v>21.052799999999994</v>
      </c>
      <c r="J19" s="88">
        <v>0</v>
      </c>
      <c r="K19" s="88">
        <v>0</v>
      </c>
      <c r="L19" s="88">
        <v>0</v>
      </c>
      <c r="M19" s="88">
        <v>0</v>
      </c>
    </row>
    <row r="20" spans="1:13" ht="13.2">
      <c r="A20">
        <f t="shared" si="0"/>
        <v>11</v>
      </c>
      <c r="B20" s="87">
        <f t="shared" si="0"/>
        <v>2010</v>
      </c>
      <c r="C20" s="87">
        <f t="shared" si="1"/>
        <v>1</v>
      </c>
      <c r="D20" s="87">
        <f t="shared" si="1"/>
        <v>14</v>
      </c>
      <c r="E20" s="88">
        <v>0</v>
      </c>
      <c r="F20" s="88">
        <v>0</v>
      </c>
      <c r="G20" s="88">
        <v>3.3614000000000019</v>
      </c>
      <c r="H20" s="88">
        <v>8.3614000000000015</v>
      </c>
      <c r="I20" s="88">
        <v>13.361400000000002</v>
      </c>
      <c r="J20" s="88">
        <v>0</v>
      </c>
      <c r="K20" s="88">
        <v>0</v>
      </c>
      <c r="L20" s="88">
        <v>0</v>
      </c>
      <c r="M20" s="88">
        <v>0</v>
      </c>
    </row>
    <row r="21" spans="1:13" ht="13.2">
      <c r="A21">
        <f t="shared" si="0"/>
        <v>12</v>
      </c>
      <c r="B21" s="87">
        <f t="shared" si="0"/>
        <v>2011</v>
      </c>
      <c r="C21" s="87">
        <f t="shared" si="1"/>
        <v>1</v>
      </c>
      <c r="D21" s="87">
        <f t="shared" si="1"/>
        <v>14</v>
      </c>
      <c r="E21" s="88">
        <v>0.18070000000000003</v>
      </c>
      <c r="F21" s="88">
        <v>4.5951999999999984</v>
      </c>
      <c r="G21" s="88">
        <v>14.595199999999997</v>
      </c>
      <c r="H21" s="88">
        <v>19.595199999999998</v>
      </c>
      <c r="I21" s="88">
        <v>24.595199999999995</v>
      </c>
      <c r="J21" s="88">
        <v>0</v>
      </c>
      <c r="K21" s="88">
        <v>0</v>
      </c>
      <c r="L21" s="88">
        <v>0</v>
      </c>
      <c r="M21" s="88">
        <v>0</v>
      </c>
    </row>
    <row r="22" spans="1:13" ht="13.2">
      <c r="A22">
        <f t="shared" si="0"/>
        <v>13</v>
      </c>
      <c r="B22" s="87">
        <f t="shared" si="0"/>
        <v>2012</v>
      </c>
      <c r="C22" s="87">
        <f t="shared" si="1"/>
        <v>1</v>
      </c>
      <c r="D22" s="87">
        <f t="shared" si="1"/>
        <v>14</v>
      </c>
      <c r="E22" s="88">
        <v>0</v>
      </c>
      <c r="F22" s="88">
        <v>0.11499999999999988</v>
      </c>
      <c r="G22" s="88">
        <v>6.5631999999999993</v>
      </c>
      <c r="H22" s="88">
        <v>11.5632</v>
      </c>
      <c r="I22" s="88">
        <v>16.563200000000002</v>
      </c>
      <c r="J22" s="88">
        <v>0</v>
      </c>
      <c r="K22" s="88">
        <v>0</v>
      </c>
      <c r="L22" s="88">
        <v>0</v>
      </c>
      <c r="M22" s="88">
        <v>0</v>
      </c>
    </row>
    <row r="23" spans="1:13" ht="13.2">
      <c r="A23">
        <f t="shared" si="0"/>
        <v>14</v>
      </c>
      <c r="B23" s="87">
        <f t="shared" si="0"/>
        <v>2013</v>
      </c>
      <c r="C23" s="87">
        <f t="shared" si="1"/>
        <v>1</v>
      </c>
      <c r="D23" s="87">
        <f t="shared" si="1"/>
        <v>14</v>
      </c>
      <c r="E23" s="88">
        <v>4.9532000000000025</v>
      </c>
      <c r="F23" s="88">
        <v>9.9316000000000031</v>
      </c>
      <c r="G23" s="88">
        <v>19.931600000000003</v>
      </c>
      <c r="H23" s="88">
        <v>24.9316</v>
      </c>
      <c r="I23" s="88">
        <v>29.9316</v>
      </c>
      <c r="J23" s="88">
        <v>0</v>
      </c>
      <c r="K23" s="88">
        <v>0</v>
      </c>
      <c r="L23" s="88">
        <v>0</v>
      </c>
      <c r="M23" s="88">
        <v>0</v>
      </c>
    </row>
    <row r="24" spans="1:13" ht="13.2">
      <c r="A24">
        <f t="shared" si="0"/>
        <v>15</v>
      </c>
      <c r="B24" s="87">
        <f t="shared" si="0"/>
        <v>2014</v>
      </c>
      <c r="C24" s="87">
        <f t="shared" si="1"/>
        <v>1</v>
      </c>
      <c r="D24" s="87">
        <f t="shared" si="1"/>
        <v>14</v>
      </c>
      <c r="E24" s="88">
        <v>0</v>
      </c>
      <c r="F24" s="88">
        <v>0.015999999999999945</v>
      </c>
      <c r="G24" s="88">
        <v>6.2423999999999999</v>
      </c>
      <c r="H24" s="88">
        <v>11.2424</v>
      </c>
      <c r="I24" s="88">
        <v>16.2424</v>
      </c>
      <c r="J24" s="88">
        <v>0</v>
      </c>
      <c r="K24" s="88">
        <v>0</v>
      </c>
      <c r="L24" s="88">
        <v>0</v>
      </c>
      <c r="M24" s="88">
        <v>0</v>
      </c>
    </row>
    <row r="25" spans="1:13" ht="13.2">
      <c r="A25">
        <f t="shared" si="0"/>
        <v>16</v>
      </c>
      <c r="B25" s="87">
        <f t="shared" si="0"/>
        <v>2015</v>
      </c>
      <c r="C25" s="87">
        <f t="shared" si="1"/>
        <v>1</v>
      </c>
      <c r="D25" s="87">
        <f t="shared" si="1"/>
        <v>14</v>
      </c>
      <c r="E25" s="88">
        <v>2.4216999999999995</v>
      </c>
      <c r="F25" s="88">
        <v>7.4158999999999979</v>
      </c>
      <c r="G25" s="88">
        <v>17.415900000000001</v>
      </c>
      <c r="H25" s="88">
        <v>22.415899999999997</v>
      </c>
      <c r="I25" s="88">
        <v>27.415899999999997</v>
      </c>
      <c r="J25" s="88">
        <v>0</v>
      </c>
      <c r="K25" s="88">
        <v>0</v>
      </c>
      <c r="L25" s="88">
        <v>0</v>
      </c>
      <c r="M25" s="88">
        <v>0</v>
      </c>
    </row>
    <row r="26" spans="1:13" ht="13.2">
      <c r="A26">
        <f t="shared" si="0"/>
        <v>17</v>
      </c>
      <c r="B26" s="87">
        <f t="shared" si="0"/>
        <v>2016</v>
      </c>
      <c r="C26" s="87">
        <f t="shared" si="1"/>
        <v>1</v>
      </c>
      <c r="D26" s="87">
        <f t="shared" si="1"/>
        <v>14</v>
      </c>
      <c r="E26" s="88">
        <v>0</v>
      </c>
      <c r="F26" s="88">
        <v>0</v>
      </c>
      <c r="G26" s="88">
        <v>1.0697999999999979</v>
      </c>
      <c r="H26" s="88">
        <v>6.0445999999999982</v>
      </c>
      <c r="I26" s="88">
        <v>11.044599999999997</v>
      </c>
      <c r="J26" s="88">
        <v>0</v>
      </c>
      <c r="K26" s="88">
        <v>0</v>
      </c>
      <c r="L26" s="88">
        <v>0</v>
      </c>
      <c r="M26" s="88">
        <v>0</v>
      </c>
    </row>
    <row r="27" spans="1:13" ht="13.2">
      <c r="A27">
        <f t="shared" si="2" ref="A27:B31">+A26+1</f>
        <v>18</v>
      </c>
      <c r="B27" s="87">
        <f t="shared" si="2"/>
        <v>2017</v>
      </c>
      <c r="C27" s="87">
        <f t="shared" si="1"/>
        <v>1</v>
      </c>
      <c r="D27" s="87">
        <f t="shared" si="1"/>
        <v>14</v>
      </c>
      <c r="E27" s="88">
        <v>0.47599999999999998</v>
      </c>
      <c r="F27" s="88">
        <v>3.6085999999999996</v>
      </c>
      <c r="G27" s="88">
        <v>12.682999999999998</v>
      </c>
      <c r="H27" s="88">
        <v>17.348000000000003</v>
      </c>
      <c r="I27" s="88">
        <v>22.012999999999998</v>
      </c>
      <c r="J27" s="88">
        <v>0.066900000000000154</v>
      </c>
      <c r="K27" s="88">
        <v>0</v>
      </c>
      <c r="L27" s="88">
        <v>0</v>
      </c>
      <c r="M27" s="88">
        <v>0</v>
      </c>
    </row>
    <row r="28" spans="1:13" ht="13.2">
      <c r="A28">
        <f t="shared" si="2"/>
        <v>19</v>
      </c>
      <c r="B28" s="87">
        <f t="shared" si="2"/>
        <v>2018</v>
      </c>
      <c r="C28" s="87">
        <f t="shared" si="1"/>
        <v>1</v>
      </c>
      <c r="D28" s="87">
        <f t="shared" si="1"/>
        <v>14</v>
      </c>
      <c r="E28" s="88">
        <v>0.46499999999999969</v>
      </c>
      <c r="F28" s="88">
        <v>3.9947999999999979</v>
      </c>
      <c r="G28" s="88">
        <v>13.994799999999998</v>
      </c>
      <c r="H28" s="88">
        <v>18.994800000000001</v>
      </c>
      <c r="I28" s="88">
        <v>23.994799999999991</v>
      </c>
      <c r="J28" s="88">
        <v>0</v>
      </c>
      <c r="K28" s="88">
        <v>0</v>
      </c>
      <c r="L28" s="88">
        <v>0</v>
      </c>
      <c r="M28" s="88">
        <v>0</v>
      </c>
    </row>
    <row r="29" spans="1:13" ht="13.2">
      <c r="A29">
        <f t="shared" si="2"/>
        <v>20</v>
      </c>
      <c r="B29" s="87">
        <f t="shared" si="2"/>
        <v>2019</v>
      </c>
      <c r="C29" s="87">
        <f>+C28</f>
        <v>1</v>
      </c>
      <c r="D29" s="87">
        <f>+D28</f>
        <v>14</v>
      </c>
      <c r="E29" s="88">
        <v>1.5757999999999968</v>
      </c>
      <c r="F29" s="88">
        <v>6.4137999999999948</v>
      </c>
      <c r="G29" s="88">
        <v>16.413799999999998</v>
      </c>
      <c r="H29" s="88">
        <v>21.413799999999991</v>
      </c>
      <c r="I29" s="88">
        <v>26.413799999999995</v>
      </c>
      <c r="J29" s="88">
        <v>0</v>
      </c>
      <c r="K29" s="88">
        <v>0</v>
      </c>
      <c r="L29" s="88">
        <v>0</v>
      </c>
      <c r="M29" s="88">
        <v>0</v>
      </c>
    </row>
    <row r="30" spans="1:13" ht="13.2">
      <c r="A30">
        <f t="shared" si="2"/>
        <v>21</v>
      </c>
      <c r="B30" s="87">
        <f t="shared" si="2"/>
        <v>2020</v>
      </c>
      <c r="C30" s="87">
        <f>+C29</f>
        <v>1</v>
      </c>
      <c r="D30" s="87">
        <f>+D29</f>
        <v>14</v>
      </c>
      <c r="E30" s="177">
        <v>0</v>
      </c>
      <c r="F30" s="177">
        <v>0</v>
      </c>
      <c r="G30" s="177">
        <v>0.12089999999999967</v>
      </c>
      <c r="H30" s="177">
        <v>0.59539999999999971</v>
      </c>
      <c r="I30" s="177">
        <v>3.4367999999999972</v>
      </c>
      <c r="J30" s="88">
        <v>0.0088000000000001237</v>
      </c>
      <c r="K30" s="88">
        <v>0</v>
      </c>
      <c r="L30" s="88">
        <v>0</v>
      </c>
      <c r="M30" s="88">
        <v>0</v>
      </c>
    </row>
    <row r="31" spans="1:13" ht="13.2">
      <c r="A31">
        <f t="shared" si="2"/>
        <v>22</v>
      </c>
      <c r="B31" s="89" t="s">
        <v>173</v>
      </c>
      <c r="C31" s="87"/>
      <c r="D31" s="87"/>
      <c r="E31" s="139">
        <f>AVERAGE(E11:E30)</f>
        <v>0.87002999999999897</v>
      </c>
      <c r="F31" s="139">
        <f t="shared" si="3" ref="F31:M31">AVERAGE(F11:F30)</f>
        <v>2.7327574999999991</v>
      </c>
      <c r="G31" s="139">
        <f t="shared" si="3"/>
        <v>9.8971945833333326</v>
      </c>
      <c r="H31" s="139">
        <f t="shared" si="3"/>
        <v>14.536324166666665</v>
      </c>
      <c r="I31" s="139">
        <f t="shared" si="3"/>
        <v>19.405906666666663</v>
      </c>
      <c r="J31" s="139">
        <f t="shared" si="3"/>
        <v>0.003785000000000014</v>
      </c>
      <c r="K31" s="139">
        <f t="shared" si="3"/>
        <v>0</v>
      </c>
      <c r="L31" s="139">
        <f t="shared" si="4" ref="L31">AVERAGE(L11:L30)</f>
        <v>0</v>
      </c>
      <c r="M31" s="139">
        <f t="shared" si="3"/>
        <v>0</v>
      </c>
    </row>
    <row r="35" spans="5:20" ht="13.2">
      <c r="E35" s="177"/>
      <c r="F35" s="177"/>
      <c r="G35" s="177"/>
      <c r="H35" s="177"/>
      <c r="I35" s="177"/>
      <c r="J35" s="88"/>
      <c r="K35" s="88"/>
      <c r="L35" s="88"/>
      <c r="M35" s="88"/>
      <c r="P35" s="147"/>
      <c r="Q35" s="147"/>
      <c r="R35" s="147"/>
      <c r="S35" s="147"/>
      <c r="T35" s="147"/>
    </row>
  </sheetData>
  <mergeCells count="6">
    <mergeCell ref="B8:M8"/>
    <mergeCell ref="B1:M1"/>
    <mergeCell ref="B2:M2"/>
    <mergeCell ref="B3:M3"/>
    <mergeCell ref="B4:M4"/>
    <mergeCell ref="B6:M6"/>
  </mergeCells>
  <printOptions horizontalCentered="1"/>
  <pageMargins left="1.5" right="0.5" top="1.5" bottom="1" header="1" footer="0.5"/>
  <pageSetup orientation="portrait" scale="63" r:id="rId1"/>
  <headerFooter alignWithMargins="0">
    <oddHeader>&amp;RSchedule II-H-5.2
Page &amp;P of 37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3">
    <pageSetUpPr fitToPage="1"/>
  </sheetPr>
  <dimension ref="A1:S35"/>
  <sheetViews>
    <sheetView view="pageBreakPreview" zoomScaleNormal="100" zoomScaleSheetLayoutView="100" workbookViewId="0" topLeftCell="A1"/>
  </sheetViews>
  <sheetFormatPr defaultRowHeight="13.5"/>
  <cols>
    <col min="2" max="2" width="9.85714285714286" customWidth="1"/>
    <col min="3" max="3" width="9" customWidth="1"/>
    <col min="4" max="4" width="6.85714285714286" customWidth="1"/>
    <col min="5" max="5" width="11" customWidth="1"/>
    <col min="6" max="6" width="10.2857142857143" customWidth="1"/>
    <col min="7" max="7" width="10.4285714285714" customWidth="1"/>
    <col min="8" max="9" width="10.7142857142857" customWidth="1"/>
    <col min="10" max="10" width="10.8571428571429" customWidth="1"/>
    <col min="11" max="12" width="12.7142857142857" customWidth="1"/>
  </cols>
  <sheetData>
    <row r="1" spans="1:13" ht="15.6">
      <c r="A1" s="8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15.6">
      <c r="A2" s="8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ht="15.6">
      <c r="A3" s="8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ht="15.6">
      <c r="A4" s="8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4" ht="13.2">
      <c r="A5" s="81"/>
      <c r="B5" s="83"/>
      <c r="C5" s="82"/>
      <c r="D5" s="82"/>
    </row>
    <row r="6" spans="1:13" ht="15.6">
      <c r="A6" s="81"/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8" spans="2:13" ht="15.6">
      <c r="B8" s="200" t="s">
        <v>149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2" ht="24" thickBot="1">
      <c r="A9" s="84" t="s">
        <v>86</v>
      </c>
      <c r="B9" s="85"/>
    </row>
    <row r="10" spans="1:13" ht="13.8" thickBot="1">
      <c r="A10">
        <v>1</v>
      </c>
      <c r="B10" s="86" t="s">
        <v>87</v>
      </c>
      <c r="C10" s="86" t="s">
        <v>88</v>
      </c>
      <c r="D10" s="86" t="s">
        <v>85</v>
      </c>
      <c r="E10" s="104" t="s">
        <v>112</v>
      </c>
      <c r="F10" s="138" t="s">
        <v>142</v>
      </c>
      <c r="G10" s="138" t="s">
        <v>128</v>
      </c>
      <c r="H10" s="138" t="s">
        <v>89</v>
      </c>
      <c r="I10" s="138" t="s">
        <v>143</v>
      </c>
      <c r="J10" s="138" t="s">
        <v>90</v>
      </c>
      <c r="K10" s="138" t="s">
        <v>91</v>
      </c>
      <c r="L10" s="138" t="s">
        <v>92</v>
      </c>
      <c r="M10" s="138" t="s">
        <v>147</v>
      </c>
    </row>
    <row r="11" spans="1:13" ht="13.2">
      <c r="A11">
        <f t="shared" si="0" ref="A11:B26">+A10+1</f>
        <v>2</v>
      </c>
      <c r="B11" s="87">
        <v>2001</v>
      </c>
      <c r="C11" s="87">
        <v>7</v>
      </c>
      <c r="D11" s="87">
        <v>14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20.575791666666639</v>
      </c>
      <c r="K11" s="88">
        <v>15.570791666666642</v>
      </c>
      <c r="L11" s="88">
        <v>10.565791666666643</v>
      </c>
      <c r="M11" s="88">
        <v>5.6450833333333055</v>
      </c>
    </row>
    <row r="12" spans="1:13" ht="13.2">
      <c r="A12">
        <f t="shared" si="0"/>
        <v>3</v>
      </c>
      <c r="B12" s="87">
        <f>+B11+1</f>
        <v>2002</v>
      </c>
      <c r="C12" s="87">
        <f>+C11</f>
        <v>7</v>
      </c>
      <c r="D12" s="87">
        <f>+D11</f>
        <v>14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15.983416666666672</v>
      </c>
      <c r="K12" s="88">
        <v>10.978416666666673</v>
      </c>
      <c r="L12" s="88">
        <v>6.0037500000000081</v>
      </c>
      <c r="M12" s="88">
        <v>1.6222500000000024</v>
      </c>
    </row>
    <row r="13" spans="1:13" ht="13.2">
      <c r="A13">
        <f t="shared" si="0"/>
        <v>4</v>
      </c>
      <c r="B13" s="87">
        <f t="shared" si="0"/>
        <v>2003</v>
      </c>
      <c r="C13" s="87">
        <f t="shared" si="1" ref="C13:D28">+C12</f>
        <v>7</v>
      </c>
      <c r="D13" s="87">
        <f t="shared" si="1"/>
        <v>14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22.290791666666667</v>
      </c>
      <c r="K13" s="88">
        <v>17.285791666666668</v>
      </c>
      <c r="L13" s="88">
        <v>12.280791666666666</v>
      </c>
      <c r="M13" s="88">
        <v>7.2757916666666675</v>
      </c>
    </row>
    <row r="14" spans="1:13" ht="13.2">
      <c r="A14">
        <f t="shared" si="0"/>
        <v>5</v>
      </c>
      <c r="B14" s="87">
        <f t="shared" si="0"/>
        <v>2004</v>
      </c>
      <c r="C14" s="87">
        <f t="shared" si="1"/>
        <v>7</v>
      </c>
      <c r="D14" s="87">
        <f t="shared" si="1"/>
        <v>14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21.090875000000008</v>
      </c>
      <c r="K14" s="88">
        <v>16.085875000000005</v>
      </c>
      <c r="L14" s="88">
        <v>11.080875000000001</v>
      </c>
      <c r="M14" s="88">
        <v>6.0758750000000026</v>
      </c>
    </row>
    <row r="15" spans="1:13" ht="13.2">
      <c r="A15">
        <f t="shared" si="0"/>
        <v>6</v>
      </c>
      <c r="B15" s="87">
        <f t="shared" si="0"/>
        <v>2005</v>
      </c>
      <c r="C15" s="87">
        <f t="shared" si="1"/>
        <v>7</v>
      </c>
      <c r="D15" s="87">
        <f t="shared" si="1"/>
        <v>14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18.440583333333308</v>
      </c>
      <c r="K15" s="88">
        <v>13.435583333333309</v>
      </c>
      <c r="L15" s="88">
        <v>8.430583333333308</v>
      </c>
      <c r="M15" s="88">
        <v>3.548416666666641</v>
      </c>
    </row>
    <row r="16" spans="1:13" ht="13.2">
      <c r="A16">
        <f t="shared" si="0"/>
        <v>7</v>
      </c>
      <c r="B16" s="87">
        <f t="shared" si="0"/>
        <v>2006</v>
      </c>
      <c r="C16" s="87">
        <f t="shared" si="1"/>
        <v>7</v>
      </c>
      <c r="D16" s="87">
        <f t="shared" si="1"/>
        <v>14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24.224666666666653</v>
      </c>
      <c r="K16" s="88">
        <v>19.219666666666658</v>
      </c>
      <c r="L16" s="88">
        <v>14.214666666666664</v>
      </c>
      <c r="M16" s="88">
        <v>9.2096666666666636</v>
      </c>
    </row>
    <row r="17" spans="1:13" ht="13.2">
      <c r="A17">
        <f t="shared" si="0"/>
        <v>8</v>
      </c>
      <c r="B17" s="87">
        <f t="shared" si="0"/>
        <v>2007</v>
      </c>
      <c r="C17" s="87">
        <f t="shared" si="1"/>
        <v>7</v>
      </c>
      <c r="D17" s="87">
        <f t="shared" si="1"/>
        <v>14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15.384875000000024</v>
      </c>
      <c r="K17" s="88">
        <v>10.379875000000023</v>
      </c>
      <c r="L17" s="88">
        <v>5.3807083333333576</v>
      </c>
      <c r="M17" s="88">
        <v>1.0868750000000234</v>
      </c>
    </row>
    <row r="18" spans="1:13" ht="13.2">
      <c r="A18">
        <f t="shared" si="0"/>
        <v>9</v>
      </c>
      <c r="B18" s="87">
        <f t="shared" si="0"/>
        <v>2008</v>
      </c>
      <c r="C18" s="87">
        <f t="shared" si="1"/>
        <v>7</v>
      </c>
      <c r="D18" s="87">
        <f t="shared" si="1"/>
        <v>14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20.721600000000006</v>
      </c>
      <c r="K18" s="88">
        <v>15.716600000000005</v>
      </c>
      <c r="L18" s="88">
        <v>10.711600000000003</v>
      </c>
      <c r="M18" s="88">
        <v>5.763900000000004</v>
      </c>
    </row>
    <row r="19" spans="1:13" ht="13.2">
      <c r="A19">
        <f t="shared" si="0"/>
        <v>10</v>
      </c>
      <c r="B19" s="87">
        <f t="shared" si="0"/>
        <v>2009</v>
      </c>
      <c r="C19" s="87">
        <f t="shared" si="1"/>
        <v>7</v>
      </c>
      <c r="D19" s="87">
        <f t="shared" si="1"/>
        <v>14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26.9771</v>
      </c>
      <c r="K19" s="88">
        <v>21.972100000000005</v>
      </c>
      <c r="L19" s="88">
        <v>16.967100000000002</v>
      </c>
      <c r="M19" s="88">
        <v>11.962100000000003</v>
      </c>
    </row>
    <row r="20" spans="1:13" ht="13.2">
      <c r="A20">
        <f t="shared" si="0"/>
        <v>11</v>
      </c>
      <c r="B20" s="87">
        <f t="shared" si="0"/>
        <v>2010</v>
      </c>
      <c r="C20" s="87">
        <f t="shared" si="1"/>
        <v>7</v>
      </c>
      <c r="D20" s="87">
        <f t="shared" si="1"/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22.269600000000004</v>
      </c>
      <c r="K20" s="88">
        <v>17.264600000000002</v>
      </c>
      <c r="L20" s="88">
        <v>12.259600000000001</v>
      </c>
      <c r="M20" s="88">
        <v>7.254599999999999</v>
      </c>
    </row>
    <row r="21" spans="1:13" ht="13.2">
      <c r="A21">
        <f t="shared" si="0"/>
        <v>12</v>
      </c>
      <c r="B21" s="87">
        <f t="shared" si="0"/>
        <v>2011</v>
      </c>
      <c r="C21" s="87">
        <f t="shared" si="1"/>
        <v>7</v>
      </c>
      <c r="D21" s="87">
        <f t="shared" si="1"/>
        <v>14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27.327699999999989</v>
      </c>
      <c r="K21" s="88">
        <v>22.322699999999994</v>
      </c>
      <c r="L21" s="88">
        <v>17.317699999999995</v>
      </c>
      <c r="M21" s="88">
        <v>12.312699999999992</v>
      </c>
    </row>
    <row r="22" spans="1:13" ht="13.2">
      <c r="A22">
        <f t="shared" si="0"/>
        <v>13</v>
      </c>
      <c r="B22" s="87">
        <f t="shared" si="0"/>
        <v>2012</v>
      </c>
      <c r="C22" s="87">
        <f t="shared" si="1"/>
        <v>7</v>
      </c>
      <c r="D22" s="87">
        <f t="shared" si="1"/>
        <v>14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18.609999999999999</v>
      </c>
      <c r="K22" s="88">
        <v>13.604999999999999</v>
      </c>
      <c r="L22" s="88">
        <v>8.6000000000000014</v>
      </c>
      <c r="M22" s="88">
        <v>3.7404000000000011</v>
      </c>
    </row>
    <row r="23" spans="1:13" ht="13.2">
      <c r="A23">
        <f t="shared" si="0"/>
        <v>14</v>
      </c>
      <c r="B23" s="87">
        <f t="shared" si="0"/>
        <v>2013</v>
      </c>
      <c r="C23" s="87">
        <f t="shared" si="1"/>
        <v>7</v>
      </c>
      <c r="D23" s="87">
        <f t="shared" si="1"/>
        <v>14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10.164899999999994</v>
      </c>
      <c r="K23" s="88">
        <v>5.159899999999995</v>
      </c>
      <c r="L23" s="88">
        <v>1.3244</v>
      </c>
      <c r="M23" s="88">
        <v>0.57040000000000002</v>
      </c>
    </row>
    <row r="24" spans="1:13" ht="13.2">
      <c r="A24">
        <f t="shared" si="0"/>
        <v>15</v>
      </c>
      <c r="B24" s="87">
        <f t="shared" si="0"/>
        <v>2014</v>
      </c>
      <c r="C24" s="87">
        <f t="shared" si="1"/>
        <v>7</v>
      </c>
      <c r="D24" s="87">
        <f t="shared" si="1"/>
        <v>14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21.177800000000001</v>
      </c>
      <c r="K24" s="88">
        <v>16.172800000000002</v>
      </c>
      <c r="L24" s="88">
        <v>11.167800000000003</v>
      </c>
      <c r="M24" s="88">
        <v>6.1628000000000025</v>
      </c>
    </row>
    <row r="25" spans="1:13" ht="13.2">
      <c r="A25">
        <f t="shared" si="0"/>
        <v>16</v>
      </c>
      <c r="B25" s="87">
        <f t="shared" si="0"/>
        <v>2015</v>
      </c>
      <c r="C25" s="87">
        <f t="shared" si="1"/>
        <v>7</v>
      </c>
      <c r="D25" s="87">
        <f t="shared" si="1"/>
        <v>14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22.508100000000002</v>
      </c>
      <c r="K25" s="88">
        <v>17.503100000000007</v>
      </c>
      <c r="L25" s="88">
        <v>12.498100000000004</v>
      </c>
      <c r="M25" s="88">
        <v>7.4931000000000081</v>
      </c>
    </row>
    <row r="26" spans="1:13" ht="13.2">
      <c r="A26">
        <f t="shared" si="0"/>
        <v>17</v>
      </c>
      <c r="B26" s="87">
        <f t="shared" si="0"/>
        <v>2016</v>
      </c>
      <c r="C26" s="87">
        <f t="shared" si="1"/>
        <v>7</v>
      </c>
      <c r="D26" s="87">
        <f t="shared" si="1"/>
        <v>14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23.161000000000001</v>
      </c>
      <c r="K26" s="88">
        <v>18.156000000000009</v>
      </c>
      <c r="L26" s="88">
        <v>13.151000000000005</v>
      </c>
      <c r="M26" s="88">
        <v>8.1460000000000061</v>
      </c>
    </row>
    <row r="27" spans="1:13" ht="13.2">
      <c r="A27">
        <f t="shared" si="2" ref="A27:B31">+A26+1</f>
        <v>18</v>
      </c>
      <c r="B27" s="87">
        <f t="shared" si="2"/>
        <v>2017</v>
      </c>
      <c r="C27" s="87">
        <f t="shared" si="1"/>
        <v>7</v>
      </c>
      <c r="D27" s="87">
        <f t="shared" si="1"/>
        <v>14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22.5398</v>
      </c>
      <c r="K27" s="88">
        <v>17.534800000000004</v>
      </c>
      <c r="L27" s="88">
        <v>12.529800000000002</v>
      </c>
      <c r="M27" s="88">
        <v>7.5808</v>
      </c>
    </row>
    <row r="28" spans="1:13" ht="13.2">
      <c r="A28">
        <f t="shared" si="2"/>
        <v>19</v>
      </c>
      <c r="B28" s="87">
        <f t="shared" si="2"/>
        <v>2018</v>
      </c>
      <c r="C28" s="87">
        <f t="shared" si="1"/>
        <v>7</v>
      </c>
      <c r="D28" s="87">
        <f t="shared" si="1"/>
        <v>14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23.465299999999992</v>
      </c>
      <c r="K28" s="88">
        <v>18.460299999999997</v>
      </c>
      <c r="L28" s="88">
        <v>13.455299999999998</v>
      </c>
      <c r="M28" s="88">
        <v>8.4502999999999986</v>
      </c>
    </row>
    <row r="29" spans="1:13" ht="13.2">
      <c r="A29">
        <f t="shared" si="2"/>
        <v>20</v>
      </c>
      <c r="B29" s="87">
        <f t="shared" si="2"/>
        <v>2019</v>
      </c>
      <c r="C29" s="87">
        <f>+C28</f>
        <v>7</v>
      </c>
      <c r="D29" s="87">
        <f>+D28</f>
        <v>14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15.528600000000003</v>
      </c>
      <c r="K29" s="88">
        <v>10.523600000000002</v>
      </c>
      <c r="L29" s="88">
        <v>5.5238000000000014</v>
      </c>
      <c r="M29" s="88">
        <v>0.80730000000000213</v>
      </c>
    </row>
    <row r="30" spans="1:13" ht="13.2">
      <c r="A30">
        <f t="shared" si="2"/>
        <v>21</v>
      </c>
      <c r="B30" s="87">
        <f t="shared" si="2"/>
        <v>2020</v>
      </c>
      <c r="C30" s="87">
        <f>+C29</f>
        <v>7</v>
      </c>
      <c r="D30" s="87">
        <f>+D29</f>
        <v>14</v>
      </c>
      <c r="E30" s="177">
        <v>0</v>
      </c>
      <c r="F30" s="177">
        <v>0</v>
      </c>
      <c r="G30" s="177">
        <v>0</v>
      </c>
      <c r="H30" s="177">
        <v>0</v>
      </c>
      <c r="I30" s="177">
        <v>0</v>
      </c>
      <c r="J30" s="177">
        <v>24.358000000000004</v>
      </c>
      <c r="K30" s="177">
        <v>19.353000000000002</v>
      </c>
      <c r="L30" s="177">
        <v>14.347999999999999</v>
      </c>
      <c r="M30" s="177">
        <v>9.343</v>
      </c>
    </row>
    <row r="31" spans="1:13" ht="13.2">
      <c r="A31">
        <f t="shared" si="2"/>
        <v>22</v>
      </c>
      <c r="B31" s="89" t="s">
        <v>150</v>
      </c>
      <c r="C31" s="87"/>
      <c r="D31" s="87"/>
      <c r="E31" s="139">
        <f t="shared" si="3" ref="E31:M31">AVERAGE(E11:E30)</f>
        <v>0</v>
      </c>
      <c r="F31" s="139">
        <f t="shared" si="3"/>
        <v>0</v>
      </c>
      <c r="G31" s="139">
        <f t="shared" si="3"/>
        <v>0</v>
      </c>
      <c r="H31" s="139">
        <f t="shared" si="3"/>
        <v>0</v>
      </c>
      <c r="I31" s="139">
        <f t="shared" si="3"/>
        <v>0</v>
      </c>
      <c r="J31" s="139">
        <f>AVERAGE(J11:J30)</f>
        <v>20.840025000000001</v>
      </c>
      <c r="K31" s="139">
        <f t="shared" si="3"/>
        <v>15.835024999999998</v>
      </c>
      <c r="L31" s="139">
        <f t="shared" si="3"/>
        <v>10.890568333333331</v>
      </c>
      <c r="M31" s="139">
        <f t="shared" si="3"/>
        <v>6.2025679166666663</v>
      </c>
    </row>
    <row r="35" spans="5:19" ht="13.2">
      <c r="E35" s="177"/>
      <c r="F35" s="177"/>
      <c r="G35" s="177"/>
      <c r="H35" s="177"/>
      <c r="I35" s="177"/>
      <c r="J35" s="177"/>
      <c r="K35" s="177"/>
      <c r="L35" s="177"/>
      <c r="M35" s="177"/>
      <c r="P35" s="147"/>
      <c r="Q35" s="147"/>
      <c r="R35" s="147"/>
      <c r="S35" s="147"/>
    </row>
  </sheetData>
  <mergeCells count="6">
    <mergeCell ref="B8:M8"/>
    <mergeCell ref="B1:M1"/>
    <mergeCell ref="B2:M2"/>
    <mergeCell ref="B3:M3"/>
    <mergeCell ref="B4:M4"/>
    <mergeCell ref="B6:M6"/>
  </mergeCells>
  <printOptions horizontalCentered="1"/>
  <pageMargins left="1.5" right="0.5" top="1.5" bottom="1" header="1" footer="0.5"/>
  <pageSetup orientation="portrait" scale="63" r:id="rId1"/>
  <headerFooter alignWithMargins="0">
    <oddHeader>&amp;RSchedule II-H-5.2
Page &amp;P of 37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4">
    <pageSetUpPr fitToPage="1"/>
  </sheetPr>
  <dimension ref="A1:S45"/>
  <sheetViews>
    <sheetView zoomScaleSheetLayoutView="100" workbookViewId="0" topLeftCell="A1"/>
  </sheetViews>
  <sheetFormatPr defaultColWidth="9.11428571428571" defaultRowHeight="13.5"/>
  <cols>
    <col min="1" max="1" width="9.14285714285714" style="9"/>
    <col min="2" max="2" width="9.71428571428571" style="9" customWidth="1"/>
    <col min="3" max="3" width="9.14285714285714" style="7" customWidth="1"/>
    <col min="4" max="4" width="7.71428571428571" style="9" customWidth="1"/>
    <col min="5" max="5" width="5.71428571428571" style="9" bestFit="1" customWidth="1"/>
    <col min="6" max="7" width="9" style="9" customWidth="1"/>
    <col min="8" max="8" width="11.7142857142857" style="9" customWidth="1"/>
    <col min="9" max="9" width="9.14285714285714" style="9" customWidth="1"/>
    <col min="10" max="10" width="8.71428571428571" style="9" customWidth="1"/>
    <col min="11" max="11" width="5.71428571428571" style="9" bestFit="1" customWidth="1"/>
    <col min="12" max="12" width="11.5714285714286" style="9" customWidth="1"/>
    <col min="13" max="13" width="9.28571428571429" style="9" bestFit="1" customWidth="1"/>
    <col min="14" max="16384" width="9.14285714285714" style="9"/>
  </cols>
  <sheetData>
    <row r="1" spans="1:14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51"/>
    </row>
    <row r="2" spans="1:14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51"/>
    </row>
    <row r="3" spans="1:14" s="0" customFormat="1" ht="15.6">
      <c r="A3" s="1"/>
      <c r="B3" s="200" t="str">
        <f>+RES!B3</f>
        <v>ADJUSTED WEATHER STATION DATA</v>
      </c>
      <c r="C3" s="200"/>
      <c r="D3" s="200"/>
      <c r="E3" s="200"/>
      <c r="F3" s="202"/>
      <c r="G3" s="202"/>
      <c r="H3" s="202"/>
      <c r="I3" s="202"/>
      <c r="J3" s="202"/>
      <c r="K3" s="202"/>
      <c r="L3" s="202"/>
      <c r="M3" s="202"/>
      <c r="N3" s="51"/>
    </row>
    <row r="4" spans="1:14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51"/>
    </row>
    <row r="5" spans="1:14" s="0" customFormat="1" ht="15.6">
      <c r="A5" s="1"/>
      <c r="B5" s="200"/>
      <c r="C5" s="200"/>
      <c r="D5" s="200"/>
      <c r="E5" s="200"/>
      <c r="F5" s="200"/>
      <c r="G5" s="200"/>
      <c r="H5" s="200"/>
      <c r="I5" s="200"/>
      <c r="J5" s="202"/>
      <c r="K5" s="202"/>
      <c r="L5" s="202"/>
      <c r="M5" s="202"/>
      <c r="N5" s="202"/>
    </row>
    <row r="6" spans="2:14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1"/>
    </row>
    <row r="7" spans="2:14" ht="15.6">
      <c r="B7" s="96"/>
      <c r="C7" s="1"/>
      <c r="D7" s="1"/>
      <c r="E7" s="134"/>
      <c r="F7" s="1"/>
      <c r="G7" s="179"/>
      <c r="H7" s="1"/>
      <c r="I7" s="1"/>
      <c r="J7" s="1"/>
      <c r="K7" s="134"/>
      <c r="L7" s="1"/>
      <c r="M7" s="1"/>
      <c r="N7" s="1"/>
    </row>
    <row r="8" spans="2:14" ht="15.6">
      <c r="B8" s="200" t="s">
        <v>158</v>
      </c>
      <c r="C8" s="200"/>
      <c r="D8" s="200"/>
      <c r="E8" s="200"/>
      <c r="F8" s="202"/>
      <c r="G8" s="202"/>
      <c r="H8" s="202"/>
      <c r="I8" s="202"/>
      <c r="J8" s="202"/>
      <c r="K8" s="202"/>
      <c r="L8" s="202"/>
      <c r="M8" s="202"/>
      <c r="N8" s="1"/>
    </row>
    <row r="9" spans="1:14" ht="13.2">
      <c r="A9" s="1" t="s">
        <v>6</v>
      </c>
      <c r="C9" s="9"/>
      <c r="M9" s="1"/>
      <c r="N9" s="1"/>
    </row>
    <row r="10" spans="1:1" ht="13.2">
      <c r="A10" s="5" t="s">
        <v>8</v>
      </c>
    </row>
    <row r="11" spans="1:13" ht="12.75" customHeight="1">
      <c r="A11" s="7">
        <v>1</v>
      </c>
      <c r="B11" s="37"/>
      <c r="C11" s="204" t="s">
        <v>153</v>
      </c>
      <c r="D11" s="205"/>
      <c r="E11" s="205"/>
      <c r="F11" s="205"/>
      <c r="G11" s="206"/>
      <c r="H11" s="29"/>
      <c r="I11" s="204" t="s">
        <v>154</v>
      </c>
      <c r="J11" s="205"/>
      <c r="K11" s="205"/>
      <c r="L11" s="205"/>
      <c r="M11" s="207"/>
    </row>
    <row r="12" spans="1:13" ht="13.2">
      <c r="A12" s="7">
        <f t="shared" si="0" ref="A12:A27">+A11+1</f>
        <v>2</v>
      </c>
      <c r="B12" s="37"/>
      <c r="C12" s="18" t="s">
        <v>110</v>
      </c>
      <c r="D12" s="18" t="s">
        <v>137</v>
      </c>
      <c r="E12" s="18" t="s">
        <v>44</v>
      </c>
      <c r="F12" s="22" t="s">
        <v>45</v>
      </c>
      <c r="G12" s="22" t="s">
        <v>14</v>
      </c>
      <c r="H12" s="18"/>
      <c r="I12" s="18" t="s">
        <v>110</v>
      </c>
      <c r="J12" s="18" t="s">
        <v>111</v>
      </c>
      <c r="K12" s="18" t="s">
        <v>44</v>
      </c>
      <c r="L12" s="22" t="s">
        <v>45</v>
      </c>
      <c r="M12" s="22" t="s">
        <v>155</v>
      </c>
    </row>
    <row r="13" spans="1:13" ht="13.2">
      <c r="A13" s="7">
        <f t="shared" si="0"/>
        <v>3</v>
      </c>
      <c r="B13" s="37"/>
      <c r="C13" s="38" t="s">
        <v>29</v>
      </c>
      <c r="D13" s="38" t="s">
        <v>30</v>
      </c>
      <c r="E13" s="38" t="s">
        <v>31</v>
      </c>
      <c r="F13" s="38" t="s">
        <v>114</v>
      </c>
      <c r="G13" s="38" t="s">
        <v>156</v>
      </c>
      <c r="H13" s="38"/>
      <c r="I13" s="38" t="s">
        <v>29</v>
      </c>
      <c r="J13" s="38" t="s">
        <v>30</v>
      </c>
      <c r="K13" s="38" t="s">
        <v>31</v>
      </c>
      <c r="L13" s="38" t="s">
        <v>114</v>
      </c>
      <c r="M13" s="38" t="s">
        <v>156</v>
      </c>
    </row>
    <row r="14" spans="1:13" ht="13.2">
      <c r="A14" s="7">
        <f t="shared" si="0"/>
        <v>4</v>
      </c>
      <c r="B14" s="39">
        <v>43836</v>
      </c>
      <c r="C14" s="40">
        <v>2.7376816666666666</v>
      </c>
      <c r="D14" s="40">
        <v>4.2694679166666649</v>
      </c>
      <c r="E14" s="40">
        <v>11.330455416666663</v>
      </c>
      <c r="F14" s="40">
        <v>15.876882916666663</v>
      </c>
      <c r="G14" s="40">
        <v>20.628217916666664</v>
      </c>
      <c r="H14" s="18"/>
      <c r="I14" s="18"/>
      <c r="J14" s="18"/>
      <c r="K14" s="18"/>
      <c r="L14" s="18"/>
      <c r="M14" s="18"/>
    </row>
    <row r="15" spans="1:13" ht="13.2">
      <c r="A15" s="7">
        <f t="shared" si="0"/>
        <v>5</v>
      </c>
      <c r="B15" s="39">
        <v>43837</v>
      </c>
      <c r="C15" s="40">
        <v>2.204597499999998</v>
      </c>
      <c r="D15" s="40">
        <v>4.2459112499999971</v>
      </c>
      <c r="E15" s="40">
        <v>10.454895416666664</v>
      </c>
      <c r="F15" s="40">
        <v>14.713920833333333</v>
      </c>
      <c r="G15" s="40">
        <v>19.288955833333326</v>
      </c>
      <c r="H15" s="18"/>
      <c r="I15" s="18"/>
      <c r="J15" s="18"/>
      <c r="K15" s="18"/>
      <c r="L15" s="18"/>
      <c r="M15" s="18"/>
    </row>
    <row r="16" spans="1:13" ht="13.2">
      <c r="A16" s="7">
        <f t="shared" si="0"/>
        <v>6</v>
      </c>
      <c r="B16" s="39">
        <v>43838</v>
      </c>
      <c r="C16" s="40">
        <v>1.7599808333333331</v>
      </c>
      <c r="D16" s="40">
        <v>2.8745458333333338</v>
      </c>
      <c r="E16" s="40">
        <v>8.8068354166666634</v>
      </c>
      <c r="F16" s="40">
        <v>13.251879583333329</v>
      </c>
      <c r="G16" s="40">
        <v>18.046887916666662</v>
      </c>
      <c r="H16" s="40"/>
      <c r="I16" s="40"/>
      <c r="J16" s="40"/>
      <c r="K16" s="40"/>
      <c r="L16" s="40"/>
      <c r="M16" s="40"/>
    </row>
    <row r="17" spans="1:13" ht="13.2">
      <c r="A17" s="7">
        <f t="shared" si="0"/>
        <v>7</v>
      </c>
      <c r="B17" s="39">
        <v>43839</v>
      </c>
      <c r="C17" s="40">
        <v>1.2740812500000001</v>
      </c>
      <c r="D17" s="40">
        <v>2.3929087500000001</v>
      </c>
      <c r="E17" s="40">
        <v>8.0467974999999985</v>
      </c>
      <c r="F17" s="40">
        <v>12.147235833333333</v>
      </c>
      <c r="G17" s="40">
        <v>16.721200833333334</v>
      </c>
      <c r="H17" s="40"/>
      <c r="I17" s="40"/>
      <c r="J17" s="40"/>
      <c r="K17" s="40"/>
      <c r="L17" s="40"/>
      <c r="M17" s="40"/>
    </row>
    <row r="18" spans="1:13" ht="13.2">
      <c r="A18" s="7">
        <f t="shared" si="0"/>
        <v>8</v>
      </c>
      <c r="B18" s="39">
        <v>43840</v>
      </c>
      <c r="C18" s="40">
        <v>1.5745908333333329</v>
      </c>
      <c r="D18" s="40">
        <v>3.2886224999999998</v>
      </c>
      <c r="E18" s="40">
        <v>9.1320195833333315</v>
      </c>
      <c r="F18" s="40">
        <v>13.190074166666662</v>
      </c>
      <c r="G18" s="40">
        <v>17.450200833333326</v>
      </c>
      <c r="H18" s="40"/>
      <c r="I18" s="40"/>
      <c r="J18" s="40"/>
      <c r="K18" s="40"/>
      <c r="L18" s="40"/>
      <c r="M18" s="40"/>
    </row>
    <row r="19" spans="1:13" ht="13.2">
      <c r="A19" s="7">
        <f t="shared" si="0"/>
        <v>9</v>
      </c>
      <c r="B19" s="39">
        <v>43841</v>
      </c>
      <c r="C19" s="40">
        <v>1.0507579166666654</v>
      </c>
      <c r="D19" s="40">
        <v>2.7592649999999992</v>
      </c>
      <c r="E19" s="40">
        <v>8.8208508333333331</v>
      </c>
      <c r="F19" s="40">
        <v>12.923607083333334</v>
      </c>
      <c r="G19" s="40">
        <v>17.427534166666668</v>
      </c>
      <c r="H19" s="40"/>
      <c r="I19" s="40"/>
      <c r="J19" s="40"/>
      <c r="K19" s="40"/>
      <c r="L19" s="40"/>
      <c r="M19" s="40"/>
    </row>
    <row r="20" spans="1:13" ht="13.2">
      <c r="A20" s="7">
        <f t="shared" si="0"/>
        <v>10</v>
      </c>
      <c r="B20" s="39">
        <v>43842</v>
      </c>
      <c r="C20" s="40">
        <v>1.3119499999999997</v>
      </c>
      <c r="D20" s="40">
        <v>3.0319883333333317</v>
      </c>
      <c r="E20" s="40">
        <v>9.1228420833333281</v>
      </c>
      <c r="F20" s="40">
        <v>13.094367916666666</v>
      </c>
      <c r="G20" s="40">
        <v>17.434079583333329</v>
      </c>
      <c r="H20" s="40"/>
      <c r="I20" s="40"/>
      <c r="J20" s="40"/>
      <c r="K20" s="40"/>
      <c r="L20" s="40"/>
      <c r="M20" s="40"/>
    </row>
    <row r="21" spans="1:13" ht="13.2">
      <c r="A21" s="7">
        <f t="shared" si="0"/>
        <v>11</v>
      </c>
      <c r="B21" s="39">
        <v>43843</v>
      </c>
      <c r="C21" s="40">
        <v>1.6392845833333329</v>
      </c>
      <c r="D21" s="40">
        <v>3.8540508333333334</v>
      </c>
      <c r="E21" s="40">
        <v>11.32771</v>
      </c>
      <c r="F21" s="40">
        <v>16.108993333333334</v>
      </c>
      <c r="G21" s="40">
        <v>21.074737083333332</v>
      </c>
      <c r="H21" s="40"/>
      <c r="I21" s="40"/>
      <c r="J21" s="40"/>
      <c r="K21" s="40"/>
      <c r="L21" s="40"/>
      <c r="M21" s="40"/>
    </row>
    <row r="22" spans="1:13" ht="13.2">
      <c r="A22" s="7">
        <f t="shared" si="0"/>
        <v>12</v>
      </c>
      <c r="B22" s="39">
        <v>43844</v>
      </c>
      <c r="C22" s="40">
        <v>0.87002999999999897</v>
      </c>
      <c r="D22" s="40">
        <v>2.7327574999999991</v>
      </c>
      <c r="E22" s="40">
        <v>9.8971945833333326</v>
      </c>
      <c r="F22" s="40">
        <v>14.536324166666665</v>
      </c>
      <c r="G22" s="40">
        <v>19.405906666666663</v>
      </c>
      <c r="H22" s="40"/>
      <c r="I22" s="40"/>
      <c r="J22" s="40"/>
      <c r="K22" s="40"/>
      <c r="L22" s="40"/>
      <c r="M22" s="40"/>
    </row>
    <row r="23" spans="1:13" ht="13.2">
      <c r="A23" s="7">
        <f t="shared" si="0"/>
        <v>13</v>
      </c>
      <c r="B23" s="39">
        <v>43845</v>
      </c>
      <c r="C23" s="40">
        <v>1.1505904166666661</v>
      </c>
      <c r="D23" s="40">
        <v>2.5924008333333286</v>
      </c>
      <c r="E23" s="40">
        <v>9.2810166666666642</v>
      </c>
      <c r="F23" s="40">
        <v>13.70412541666666</v>
      </c>
      <c r="G23" s="40">
        <v>18.459319999999998</v>
      </c>
      <c r="H23" s="40"/>
      <c r="I23" s="40"/>
      <c r="J23" s="40"/>
      <c r="K23" s="40"/>
      <c r="L23" s="40"/>
      <c r="M23" s="40"/>
    </row>
    <row r="24" spans="1:13" ht="13.2">
      <c r="A24" s="7">
        <f t="shared" si="0"/>
        <v>14</v>
      </c>
      <c r="B24" s="39">
        <v>43846</v>
      </c>
      <c r="C24" s="40">
        <v>2.267360416666663</v>
      </c>
      <c r="D24" s="40">
        <v>3.9788612499999951</v>
      </c>
      <c r="E24" s="40">
        <v>10.125539166666659</v>
      </c>
      <c r="F24" s="40">
        <v>14.37152541666666</v>
      </c>
      <c r="G24" s="40">
        <v>18.996144999999991</v>
      </c>
      <c r="H24" s="40"/>
      <c r="I24" s="40"/>
      <c r="J24" s="40"/>
      <c r="K24" s="40"/>
      <c r="L24" s="40"/>
      <c r="M24" s="40"/>
    </row>
    <row r="25" spans="1:13" ht="13.2">
      <c r="A25" s="7">
        <f t="shared" si="0"/>
        <v>15</v>
      </c>
      <c r="B25" s="39">
        <v>43847</v>
      </c>
      <c r="C25" s="40">
        <v>2.5203066666666669</v>
      </c>
      <c r="D25" s="40">
        <v>4.3869774999999986</v>
      </c>
      <c r="E25" s="40">
        <v>11.252776249999997</v>
      </c>
      <c r="F25" s="40">
        <v>15.942891249999999</v>
      </c>
      <c r="G25" s="40">
        <v>20.89835708333333</v>
      </c>
      <c r="H25" s="40"/>
      <c r="I25" s="40"/>
      <c r="J25" s="40"/>
      <c r="K25" s="40"/>
      <c r="L25" s="40"/>
      <c r="M25" s="40"/>
    </row>
    <row r="26" spans="1:13" ht="13.2">
      <c r="A26" s="7">
        <f t="shared" si="0"/>
        <v>16</v>
      </c>
      <c r="B26" s="39">
        <v>43848</v>
      </c>
      <c r="C26" s="40">
        <v>1.3406079166666665</v>
      </c>
      <c r="D26" s="40">
        <v>3.5168945833333312</v>
      </c>
      <c r="E26" s="40">
        <v>10.088042083333331</v>
      </c>
      <c r="F26" s="40">
        <v>14.978547083333334</v>
      </c>
      <c r="G26" s="40">
        <v>19.968282083333332</v>
      </c>
      <c r="H26" s="40"/>
      <c r="I26" s="40"/>
      <c r="J26" s="40"/>
      <c r="K26" s="40"/>
      <c r="L26" s="40"/>
      <c r="M26" s="40"/>
    </row>
    <row r="27" spans="1:13" ht="13.2">
      <c r="A27" s="7">
        <f t="shared" si="0"/>
        <v>17</v>
      </c>
      <c r="B27" s="39">
        <v>43849</v>
      </c>
      <c r="C27" s="40">
        <v>0.87699333333333107</v>
      </c>
      <c r="D27" s="40">
        <v>2.371712499999997</v>
      </c>
      <c r="E27" s="40">
        <v>8.3859458333333272</v>
      </c>
      <c r="F27" s="40">
        <v>12.834860833333327</v>
      </c>
      <c r="G27" s="40">
        <v>17.59657666666666</v>
      </c>
      <c r="H27" s="40"/>
      <c r="I27" s="40"/>
      <c r="J27" s="40"/>
      <c r="K27" s="40"/>
      <c r="L27" s="40"/>
      <c r="M27" s="40"/>
    </row>
    <row r="28" spans="1:13" ht="13.2">
      <c r="A28" s="7">
        <f t="shared" si="1" ref="A28:A43">+A27+1</f>
        <v>18</v>
      </c>
      <c r="B28" s="39">
        <v>43850</v>
      </c>
      <c r="C28" s="40">
        <v>1.0907349999999998</v>
      </c>
      <c r="D28" s="40">
        <v>2.722858749999999</v>
      </c>
      <c r="E28" s="40">
        <v>7.82651583333333</v>
      </c>
      <c r="F28" s="40">
        <v>11.364988749999998</v>
      </c>
      <c r="G28" s="40">
        <v>16.012054583333331</v>
      </c>
      <c r="H28" s="40"/>
      <c r="I28" s="40"/>
      <c r="J28" s="40"/>
      <c r="K28" s="40"/>
      <c r="L28" s="40"/>
      <c r="M28" s="40"/>
    </row>
    <row r="29" spans="1:19" ht="13.2">
      <c r="A29" s="7">
        <f t="shared" si="1"/>
        <v>19</v>
      </c>
      <c r="B29" s="39">
        <v>43851</v>
      </c>
      <c r="C29" s="40">
        <v>0.50562791666666762</v>
      </c>
      <c r="D29" s="40">
        <v>1.5805745833333331</v>
      </c>
      <c r="E29" s="40">
        <v>8.0570712499999999</v>
      </c>
      <c r="F29" s="40">
        <v>12.282746249999999</v>
      </c>
      <c r="G29" s="40">
        <v>17.017640416666662</v>
      </c>
      <c r="H29" s="40"/>
      <c r="I29" s="40">
        <f>AVERAGE(C14:C44)</f>
        <v>1.2913980241935479</v>
      </c>
      <c r="J29" s="40">
        <f t="shared" si="2" ref="J29:M29">AVERAGE(D14:D44)</f>
        <v>2.8323715322580636</v>
      </c>
      <c r="K29" s="40">
        <f t="shared" si="2"/>
        <v>8.964346169354835</v>
      </c>
      <c r="L29" s="40">
        <f t="shared" si="2"/>
        <v>13.192346021505376</v>
      </c>
      <c r="M29" s="40">
        <f t="shared" si="2"/>
        <v>17.872529637096772</v>
      </c>
      <c r="O29" s="74"/>
      <c r="P29" s="74"/>
      <c r="Q29" s="74"/>
      <c r="R29" s="74"/>
      <c r="S29" s="74"/>
    </row>
    <row r="30" spans="1:12" ht="13.2">
      <c r="A30" s="7">
        <f t="shared" si="1"/>
        <v>20</v>
      </c>
      <c r="B30" s="39">
        <v>43852</v>
      </c>
      <c r="C30" s="40">
        <v>0.39942041666666639</v>
      </c>
      <c r="D30" s="40">
        <v>2.0066958333333322</v>
      </c>
      <c r="E30" s="40">
        <v>7.9411725000000004</v>
      </c>
      <c r="F30" s="40">
        <v>12.22226</v>
      </c>
      <c r="G30" s="40">
        <v>17.179060833333331</v>
      </c>
      <c r="H30" s="40"/>
      <c r="I30" s="40"/>
      <c r="J30" s="40"/>
      <c r="K30" s="40"/>
      <c r="L30" s="40"/>
    </row>
    <row r="31" spans="1:12" ht="13.2">
      <c r="A31" s="7">
        <f t="shared" si="1"/>
        <v>21</v>
      </c>
      <c r="B31" s="39">
        <v>43853</v>
      </c>
      <c r="C31" s="40">
        <v>1.8199158333333318</v>
      </c>
      <c r="D31" s="40">
        <v>3.7236770833333317</v>
      </c>
      <c r="E31" s="40">
        <v>10.273204999999999</v>
      </c>
      <c r="F31" s="40">
        <v>14.459267499999999</v>
      </c>
      <c r="G31" s="40">
        <v>19.059586249999995</v>
      </c>
      <c r="H31" s="40"/>
      <c r="I31" s="40"/>
      <c r="J31" s="40"/>
      <c r="K31" s="40"/>
      <c r="L31" s="40"/>
    </row>
    <row r="32" spans="1:12" ht="13.2">
      <c r="A32" s="7">
        <f t="shared" si="1"/>
        <v>22</v>
      </c>
      <c r="B32" s="39">
        <v>43854</v>
      </c>
      <c r="C32" s="40">
        <v>1.3769591666666654</v>
      </c>
      <c r="D32" s="40">
        <v>2.9617333333333318</v>
      </c>
      <c r="E32" s="40">
        <v>9.8430504166666637</v>
      </c>
      <c r="F32" s="40">
        <v>14.236816666666659</v>
      </c>
      <c r="G32" s="40">
        <v>18.957397499999992</v>
      </c>
      <c r="H32" s="40"/>
      <c r="I32" s="40"/>
      <c r="J32" s="40"/>
      <c r="K32" s="40"/>
      <c r="L32" s="40"/>
    </row>
    <row r="33" spans="1:12" ht="13.2">
      <c r="A33" s="7">
        <f t="shared" si="1"/>
        <v>23</v>
      </c>
      <c r="B33" s="39">
        <v>43855</v>
      </c>
      <c r="C33" s="40">
        <v>0.32308583333333318</v>
      </c>
      <c r="D33" s="40">
        <v>1.3864395833333316</v>
      </c>
      <c r="E33" s="40">
        <v>7.4994962499999982</v>
      </c>
      <c r="F33" s="40">
        <v>11.848882499999995</v>
      </c>
      <c r="G33" s="40">
        <v>16.772509999999997</v>
      </c>
      <c r="H33" s="40"/>
      <c r="I33" s="40"/>
      <c r="J33" s="40"/>
      <c r="K33" s="40"/>
      <c r="L33" s="40"/>
    </row>
    <row r="34" spans="1:12" ht="13.2">
      <c r="A34" s="7">
        <f t="shared" si="1"/>
        <v>24</v>
      </c>
      <c r="B34" s="39">
        <v>43856</v>
      </c>
      <c r="C34" s="40">
        <v>0.18302833333333438</v>
      </c>
      <c r="D34" s="40">
        <v>0.93456666666666788</v>
      </c>
      <c r="E34" s="40">
        <v>6.711019166666671</v>
      </c>
      <c r="F34" s="40">
        <v>11.248135416666672</v>
      </c>
      <c r="G34" s="40">
        <v>16.223185416666674</v>
      </c>
      <c r="H34" s="40"/>
      <c r="I34" s="40"/>
      <c r="J34" s="40"/>
      <c r="K34" s="40"/>
      <c r="L34" s="40"/>
    </row>
    <row r="35" spans="1:12" ht="13.2">
      <c r="A35" s="7">
        <f t="shared" si="1"/>
        <v>25</v>
      </c>
      <c r="B35" s="39">
        <v>43857</v>
      </c>
      <c r="C35" s="40">
        <v>1.0102337499999989</v>
      </c>
      <c r="D35" s="40">
        <v>2.3051129166666651</v>
      </c>
      <c r="E35" s="40">
        <v>8.1609154166666649</v>
      </c>
      <c r="F35" s="40">
        <v>12.455232083333332</v>
      </c>
      <c r="G35" s="40">
        <v>17.314682083333331</v>
      </c>
      <c r="H35" s="40"/>
      <c r="I35" s="40"/>
      <c r="J35" s="40"/>
      <c r="K35" s="40"/>
      <c r="L35" s="40"/>
    </row>
    <row r="36" spans="1:12" ht="13.2">
      <c r="A36" s="7">
        <f t="shared" si="1"/>
        <v>26</v>
      </c>
      <c r="B36" s="39">
        <v>43858</v>
      </c>
      <c r="C36" s="40">
        <v>1.3617066666666653</v>
      </c>
      <c r="D36" s="40">
        <v>2.5127933333333292</v>
      </c>
      <c r="E36" s="40">
        <v>7.2209129166666601</v>
      </c>
      <c r="F36" s="40">
        <v>10.935456249999994</v>
      </c>
      <c r="G36" s="40">
        <v>15.450559583333327</v>
      </c>
      <c r="H36" s="40"/>
      <c r="I36" s="40"/>
      <c r="J36" s="40"/>
      <c r="K36" s="40"/>
      <c r="L36" s="40"/>
    </row>
    <row r="37" spans="1:12" ht="13.2">
      <c r="A37" s="7">
        <f t="shared" si="1"/>
        <v>27</v>
      </c>
      <c r="B37" s="39">
        <v>43859</v>
      </c>
      <c r="C37" s="40">
        <v>0.83407208333333427</v>
      </c>
      <c r="D37" s="40">
        <v>2.3328891666666687</v>
      </c>
      <c r="E37" s="40">
        <v>7.7769462499999999</v>
      </c>
      <c r="F37" s="40">
        <v>11.566196250000006</v>
      </c>
      <c r="G37" s="40">
        <v>16.081313333333338</v>
      </c>
      <c r="H37" s="40"/>
      <c r="I37" s="40"/>
      <c r="J37" s="40"/>
      <c r="K37" s="40"/>
      <c r="L37" s="40"/>
    </row>
    <row r="38" spans="1:12" ht="13.2">
      <c r="A38" s="7">
        <f t="shared" si="1"/>
        <v>28</v>
      </c>
      <c r="B38" s="39">
        <v>43860</v>
      </c>
      <c r="C38" s="40">
        <v>0.70785208333333327</v>
      </c>
      <c r="D38" s="40">
        <v>2.0097266666666673</v>
      </c>
      <c r="E38" s="40">
        <v>8.3383970833333301</v>
      </c>
      <c r="F38" s="40">
        <v>12.71635583333333</v>
      </c>
      <c r="G38" s="40">
        <v>17.549025833333328</v>
      </c>
      <c r="H38" s="40"/>
      <c r="I38" s="40"/>
      <c r="J38" s="40"/>
      <c r="K38" s="40"/>
      <c r="L38" s="40"/>
    </row>
    <row r="39" spans="1:12" ht="13.2">
      <c r="A39" s="7">
        <f t="shared" si="1"/>
        <v>29</v>
      </c>
      <c r="B39" s="39">
        <v>43861</v>
      </c>
      <c r="C39" s="40">
        <v>0.59451374999999851</v>
      </c>
      <c r="D39" s="40">
        <v>1.6963850000000005</v>
      </c>
      <c r="E39" s="40">
        <v>7.0351891666666644</v>
      </c>
      <c r="F39" s="40">
        <v>10.879263333333331</v>
      </c>
      <c r="G39" s="40">
        <v>15.339313333333331</v>
      </c>
      <c r="H39" s="40"/>
      <c r="I39" s="40"/>
      <c r="J39" s="40"/>
      <c r="K39" s="40"/>
      <c r="L39" s="40"/>
    </row>
    <row r="40" spans="1:12" ht="13.2">
      <c r="A40" s="7">
        <f t="shared" si="1"/>
        <v>30</v>
      </c>
      <c r="B40" s="39">
        <v>43862</v>
      </c>
      <c r="C40" s="40">
        <v>1.1564512499999995</v>
      </c>
      <c r="D40" s="40">
        <v>2.5468208333333338</v>
      </c>
      <c r="E40" s="40">
        <v>7.5359041666666657</v>
      </c>
      <c r="F40" s="40">
        <v>11.530691666666664</v>
      </c>
      <c r="G40" s="40">
        <v>16.190901666666669</v>
      </c>
      <c r="H40" s="40"/>
      <c r="I40" s="40"/>
      <c r="J40" s="40"/>
      <c r="K40" s="40"/>
      <c r="L40" s="40"/>
    </row>
    <row r="41" spans="1:12" ht="13.2">
      <c r="A41" s="7">
        <f t="shared" si="1"/>
        <v>31</v>
      </c>
      <c r="B41" s="39">
        <v>43863</v>
      </c>
      <c r="C41" s="40">
        <v>2.1501754166666678</v>
      </c>
      <c r="D41" s="40">
        <v>4.1920545833333298</v>
      </c>
      <c r="E41" s="40">
        <v>10.006214166666663</v>
      </c>
      <c r="F41" s="40">
        <v>13.742272083333329</v>
      </c>
      <c r="G41" s="40">
        <v>18.528570416666664</v>
      </c>
      <c r="H41" s="40"/>
      <c r="I41" s="40"/>
      <c r="J41" s="40"/>
      <c r="K41" s="40"/>
      <c r="L41" s="40"/>
    </row>
    <row r="42" spans="1:12" ht="13.2">
      <c r="A42" s="7">
        <f t="shared" si="1"/>
        <v>32</v>
      </c>
      <c r="B42" s="39">
        <v>43864</v>
      </c>
      <c r="C42" s="40">
        <v>1.4153329166666668</v>
      </c>
      <c r="D42" s="40">
        <v>2.8933820833333312</v>
      </c>
      <c r="E42" s="40">
        <v>8.8607333333333322</v>
      </c>
      <c r="F42" s="40">
        <v>12.780257500000001</v>
      </c>
      <c r="G42" s="40">
        <v>17.017132083333333</v>
      </c>
      <c r="H42" s="40"/>
      <c r="I42" s="40"/>
      <c r="J42" s="40"/>
      <c r="K42" s="40"/>
      <c r="L42" s="40"/>
    </row>
    <row r="43" spans="1:12" ht="13.2">
      <c r="A43" s="7">
        <f t="shared" si="1"/>
        <v>33</v>
      </c>
      <c r="B43" s="39">
        <v>43865</v>
      </c>
      <c r="C43" s="40">
        <v>0.89182291666666669</v>
      </c>
      <c r="D43" s="40">
        <v>2.2446620833333331</v>
      </c>
      <c r="E43" s="40">
        <v>8.9543624999999984</v>
      </c>
      <c r="F43" s="40">
        <v>13.182287499999998</v>
      </c>
      <c r="G43" s="40">
        <v>17.598197499999994</v>
      </c>
      <c r="H43" s="40"/>
      <c r="I43" s="40"/>
      <c r="J43" s="40"/>
      <c r="K43" s="40"/>
      <c r="L43" s="40"/>
    </row>
    <row r="44" spans="1:12" ht="13.2">
      <c r="A44" s="7">
        <f>+A43+1</f>
        <v>34</v>
      </c>
      <c r="B44" s="39">
        <v>43866</v>
      </c>
      <c r="C44" s="40">
        <v>1.6335920833333315</v>
      </c>
      <c r="D44" s="40">
        <v>3.4567804166666649</v>
      </c>
      <c r="E44" s="40">
        <v>9.7807049999999993</v>
      </c>
      <c r="F44" s="40">
        <v>13.836381249999993</v>
      </c>
      <c r="G44" s="40">
        <v>18.360886249999997</v>
      </c>
      <c r="H44" s="40"/>
      <c r="I44" s="40"/>
      <c r="J44" s="40"/>
      <c r="K44" s="40"/>
      <c r="L44" s="40"/>
    </row>
    <row r="45" spans="1:1" ht="13.2">
      <c r="A45" s="7"/>
    </row>
  </sheetData>
  <mergeCells count="9">
    <mergeCell ref="B1:M1"/>
    <mergeCell ref="B5:N5"/>
    <mergeCell ref="C11:G11"/>
    <mergeCell ref="I11:M11"/>
    <mergeCell ref="B8:M8"/>
    <mergeCell ref="B6:M6"/>
    <mergeCell ref="B4:M4"/>
    <mergeCell ref="B3:M3"/>
    <mergeCell ref="B2:M2"/>
  </mergeCells>
  <printOptions horizontalCentered="1"/>
  <pageMargins left="1.5" right="0.5" top="1.5" bottom="1" header="1" footer="0.5"/>
  <pageSetup orientation="portrait" scale="67" r:id="rId1"/>
  <headerFooter alignWithMargins="0">
    <oddHeader>&amp;RSchedule II-H-5.2
Page &amp;P of 37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5">
    <pageSetUpPr fitToPage="1"/>
  </sheetPr>
  <dimension ref="A1:P45"/>
  <sheetViews>
    <sheetView zoomScaleSheetLayoutView="100" workbookViewId="0" topLeftCell="A1"/>
  </sheetViews>
  <sheetFormatPr defaultColWidth="9.11428571428571" defaultRowHeight="13.5"/>
  <cols>
    <col min="1" max="2" width="9.14285714285714" style="9"/>
    <col min="3" max="3" width="10.4285714285714" style="7" customWidth="1"/>
    <col min="4" max="6" width="9.71428571428571" style="9" customWidth="1"/>
    <col min="7" max="7" width="8.42857142857143" style="9" customWidth="1"/>
    <col min="8" max="8" width="10.8571428571429" style="9" customWidth="1"/>
    <col min="9" max="9" width="11" style="9" customWidth="1"/>
    <col min="10" max="10" width="11.1428571428571" style="9" customWidth="1"/>
    <col min="11" max="16384" width="9.14285714285714" style="9"/>
  </cols>
  <sheetData>
    <row r="1" spans="1:11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</row>
    <row r="2" spans="1:11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</row>
    <row r="4" spans="1:11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</row>
    <row r="5" spans="1:10" s="0" customFormat="1" ht="15.6">
      <c r="A5" s="1"/>
      <c r="B5" s="200"/>
      <c r="C5" s="200"/>
      <c r="D5" s="200"/>
      <c r="E5" s="200"/>
      <c r="F5" s="200"/>
      <c r="G5" s="200"/>
      <c r="H5" s="200"/>
      <c r="I5" s="202"/>
      <c r="J5" s="202"/>
    </row>
    <row r="6" spans="2:11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2"/>
    </row>
    <row r="7" spans="2:10" ht="15.6">
      <c r="B7" s="96"/>
      <c r="C7" s="1"/>
      <c r="D7" s="1"/>
      <c r="E7" s="1"/>
      <c r="F7" s="179"/>
      <c r="G7" s="1"/>
      <c r="H7" s="1"/>
      <c r="I7" s="1"/>
      <c r="J7" s="1"/>
    </row>
    <row r="8" spans="2:11" ht="15.6">
      <c r="B8" s="200" t="s">
        <v>152</v>
      </c>
      <c r="C8" s="202"/>
      <c r="D8" s="202"/>
      <c r="E8" s="202"/>
      <c r="F8" s="202"/>
      <c r="G8" s="202"/>
      <c r="H8" s="202"/>
      <c r="I8" s="202"/>
      <c r="J8" s="202"/>
      <c r="K8" s="202"/>
    </row>
    <row r="9" spans="1:3" ht="13.2">
      <c r="A9" s="1" t="s">
        <v>6</v>
      </c>
      <c r="C9" s="9"/>
    </row>
    <row r="10" spans="1:1" ht="13.2">
      <c r="A10" s="5" t="s">
        <v>8</v>
      </c>
    </row>
    <row r="11" spans="1:11" ht="12.75" customHeight="1">
      <c r="A11" s="7">
        <v>1</v>
      </c>
      <c r="B11" s="37"/>
      <c r="C11" s="204" t="s">
        <v>113</v>
      </c>
      <c r="D11" s="206"/>
      <c r="E11" s="206"/>
      <c r="F11" s="206"/>
      <c r="G11" s="29"/>
      <c r="H11" s="204" t="s">
        <v>115</v>
      </c>
      <c r="I11" s="207"/>
      <c r="J11" s="207"/>
      <c r="K11" s="207"/>
    </row>
    <row r="12" spans="1:11" ht="13.2">
      <c r="A12" s="7">
        <f t="shared" si="0" ref="A12:A44">+A11+1</f>
        <v>2</v>
      </c>
      <c r="B12" s="37"/>
      <c r="C12" s="18" t="s">
        <v>14</v>
      </c>
      <c r="D12" s="18" t="s">
        <v>16</v>
      </c>
      <c r="E12" s="22" t="s">
        <v>18</v>
      </c>
      <c r="F12" s="22" t="s">
        <v>132</v>
      </c>
      <c r="G12" s="18"/>
      <c r="H12" s="18" t="s">
        <v>14</v>
      </c>
      <c r="I12" s="18" t="s">
        <v>16</v>
      </c>
      <c r="J12" s="22" t="s">
        <v>18</v>
      </c>
      <c r="K12" s="22" t="s">
        <v>132</v>
      </c>
    </row>
    <row r="13" spans="1:11" ht="13.2">
      <c r="A13" s="7">
        <f t="shared" si="0"/>
        <v>3</v>
      </c>
      <c r="B13" s="37"/>
      <c r="C13" s="38" t="s">
        <v>29</v>
      </c>
      <c r="D13" s="38" t="s">
        <v>30</v>
      </c>
      <c r="E13" s="38" t="s">
        <v>31</v>
      </c>
      <c r="F13" s="38" t="s">
        <v>114</v>
      </c>
      <c r="G13" s="38"/>
      <c r="H13" s="38" t="s">
        <v>29</v>
      </c>
      <c r="I13" s="38" t="s">
        <v>30</v>
      </c>
      <c r="J13" s="38" t="s">
        <v>31</v>
      </c>
      <c r="K13" s="38" t="s">
        <v>114</v>
      </c>
    </row>
    <row r="14" spans="1:11" ht="13.2">
      <c r="A14" s="7">
        <f t="shared" si="0"/>
        <v>4</v>
      </c>
      <c r="B14" s="39">
        <v>44017</v>
      </c>
      <c r="C14" s="40">
        <v>18.519245416666671</v>
      </c>
      <c r="D14" s="40">
        <v>13.514245416666665</v>
      </c>
      <c r="E14" s="40">
        <v>8.5171849999999996</v>
      </c>
      <c r="F14" s="40">
        <v>3.834591666666666</v>
      </c>
      <c r="G14" s="18"/>
      <c r="H14" s="18"/>
      <c r="I14" s="18"/>
      <c r="J14" s="18"/>
      <c r="K14" s="18"/>
    </row>
    <row r="15" spans="1:11" ht="13.2">
      <c r="A15" s="7">
        <f t="shared" si="0"/>
        <v>5</v>
      </c>
      <c r="B15" s="39">
        <v>44018</v>
      </c>
      <c r="C15" s="40">
        <v>18.789139583333331</v>
      </c>
      <c r="D15" s="40">
        <v>13.784139583333333</v>
      </c>
      <c r="E15" s="40">
        <v>8.784341666666668</v>
      </c>
      <c r="F15" s="40">
        <v>3.9405995833333352</v>
      </c>
      <c r="G15" s="18"/>
      <c r="H15" s="18"/>
      <c r="I15" s="18"/>
      <c r="J15" s="18"/>
      <c r="K15" s="18"/>
    </row>
    <row r="16" spans="1:11" ht="13.2">
      <c r="A16" s="7">
        <f t="shared" si="0"/>
        <v>6</v>
      </c>
      <c r="B16" s="39">
        <v>44019</v>
      </c>
      <c r="C16" s="40">
        <v>19.029333749999999</v>
      </c>
      <c r="D16" s="40">
        <v>14.024333750000002</v>
      </c>
      <c r="E16" s="40">
        <v>9.0265362500000013</v>
      </c>
      <c r="F16" s="40">
        <v>4.2523316666666684</v>
      </c>
      <c r="G16" s="40"/>
      <c r="H16" s="40"/>
      <c r="I16" s="40"/>
      <c r="J16" s="40"/>
      <c r="K16" s="40"/>
    </row>
    <row r="17" spans="1:11" ht="13.2">
      <c r="A17" s="7">
        <f t="shared" si="0"/>
        <v>7</v>
      </c>
      <c r="B17" s="39">
        <v>44020</v>
      </c>
      <c r="C17" s="40">
        <v>19.228613750000001</v>
      </c>
      <c r="D17" s="40">
        <v>14.223613750000004</v>
      </c>
      <c r="E17" s="40">
        <v>9.2235487500000009</v>
      </c>
      <c r="F17" s="40">
        <v>4.3628604166666651</v>
      </c>
      <c r="G17" s="40"/>
      <c r="H17" s="40"/>
      <c r="I17" s="40"/>
      <c r="J17" s="40"/>
      <c r="K17" s="40"/>
    </row>
    <row r="18" spans="1:11" ht="13.2">
      <c r="A18" s="7">
        <f t="shared" si="0"/>
        <v>8</v>
      </c>
      <c r="B18" s="39">
        <v>44021</v>
      </c>
      <c r="C18" s="40">
        <v>19.809483750000005</v>
      </c>
      <c r="D18" s="40">
        <v>14.804483749999999</v>
      </c>
      <c r="E18" s="40">
        <v>9.8049987499999993</v>
      </c>
      <c r="F18" s="40">
        <v>4.9610333333333356</v>
      </c>
      <c r="G18" s="40"/>
      <c r="H18" s="40"/>
      <c r="I18" s="40"/>
      <c r="J18" s="40"/>
      <c r="K18" s="40"/>
    </row>
    <row r="19" spans="1:11" ht="13.2">
      <c r="A19" s="7">
        <f t="shared" si="0"/>
        <v>9</v>
      </c>
      <c r="B19" s="39">
        <v>44022</v>
      </c>
      <c r="C19" s="40">
        <v>20.167239583333341</v>
      </c>
      <c r="D19" s="40">
        <v>15.16223958333334</v>
      </c>
      <c r="E19" s="40">
        <v>10.157239583333341</v>
      </c>
      <c r="F19" s="40">
        <v>5.2248466666666733</v>
      </c>
      <c r="G19" s="40"/>
      <c r="H19" s="40"/>
      <c r="I19" s="40"/>
      <c r="J19" s="40"/>
      <c r="K19" s="40"/>
    </row>
    <row r="20" spans="1:11" ht="13.2">
      <c r="A20" s="7">
        <f t="shared" si="0"/>
        <v>10</v>
      </c>
      <c r="B20" s="39">
        <v>44023</v>
      </c>
      <c r="C20" s="40">
        <v>21.111847499999989</v>
      </c>
      <c r="D20" s="40">
        <v>16.106847499999994</v>
      </c>
      <c r="E20" s="40">
        <v>11.10195583333333</v>
      </c>
      <c r="F20" s="40">
        <v>6.1504737499999962</v>
      </c>
      <c r="G20" s="40"/>
      <c r="H20" s="40"/>
      <c r="I20" s="40"/>
      <c r="J20" s="40"/>
      <c r="K20" s="40"/>
    </row>
    <row r="21" spans="1:11" ht="13.2">
      <c r="A21" s="7">
        <f t="shared" si="0"/>
        <v>11</v>
      </c>
      <c r="B21" s="39">
        <v>44024</v>
      </c>
      <c r="C21" s="40">
        <v>21.222944583333334</v>
      </c>
      <c r="D21" s="40">
        <v>16.217944583333335</v>
      </c>
      <c r="E21" s="40">
        <v>11.213204583333333</v>
      </c>
      <c r="F21" s="40">
        <v>6.2357312500000024</v>
      </c>
      <c r="G21" s="40"/>
      <c r="H21" s="40"/>
      <c r="I21" s="40"/>
      <c r="J21" s="40"/>
      <c r="K21" s="40"/>
    </row>
    <row r="22" spans="1:11" ht="13.2">
      <c r="A22" s="7">
        <f t="shared" si="0"/>
        <v>12</v>
      </c>
      <c r="B22" s="39">
        <v>44025</v>
      </c>
      <c r="C22" s="40">
        <v>21.772275</v>
      </c>
      <c r="D22" s="40">
        <v>16.767275000000005</v>
      </c>
      <c r="E22" s="40">
        <v>11.764287500000004</v>
      </c>
      <c r="F22" s="40">
        <v>6.8203204166666698</v>
      </c>
      <c r="G22" s="40"/>
      <c r="H22" s="40"/>
      <c r="I22" s="40"/>
      <c r="J22" s="40"/>
      <c r="K22" s="40"/>
    </row>
    <row r="23" spans="1:11" ht="13.2">
      <c r="A23" s="7">
        <f t="shared" si="0"/>
        <v>13</v>
      </c>
      <c r="B23" s="39">
        <v>44026</v>
      </c>
      <c r="C23" s="40">
        <v>20.840025000000001</v>
      </c>
      <c r="D23" s="40">
        <v>15.835024999999998</v>
      </c>
      <c r="E23" s="40">
        <v>10.890568333333331</v>
      </c>
      <c r="F23" s="40">
        <v>6.2025679166666663</v>
      </c>
      <c r="G23" s="40"/>
      <c r="H23" s="40"/>
      <c r="I23" s="40"/>
      <c r="J23" s="40"/>
      <c r="K23" s="40"/>
    </row>
    <row r="24" spans="1:11" ht="13.2">
      <c r="A24" s="7">
        <f t="shared" si="0"/>
        <v>14</v>
      </c>
      <c r="B24" s="39">
        <v>44027</v>
      </c>
      <c r="C24" s="40">
        <v>19.47825416666667</v>
      </c>
      <c r="D24" s="40">
        <v>14.490704166666671</v>
      </c>
      <c r="E24" s="40">
        <v>9.6740558333333375</v>
      </c>
      <c r="F24" s="40">
        <v>5.0767708333333355</v>
      </c>
      <c r="G24" s="40"/>
      <c r="H24" s="40"/>
      <c r="I24" s="40"/>
      <c r="J24" s="40"/>
      <c r="K24" s="40"/>
    </row>
    <row r="25" spans="1:11" ht="13.2">
      <c r="A25" s="7">
        <f t="shared" si="0"/>
        <v>15</v>
      </c>
      <c r="B25" s="39">
        <v>44028</v>
      </c>
      <c r="C25" s="40">
        <v>20.320134166666673</v>
      </c>
      <c r="D25" s="40">
        <v>15.325494166666669</v>
      </c>
      <c r="E25" s="40">
        <v>10.339611666666668</v>
      </c>
      <c r="F25" s="40">
        <v>5.7648312500000003</v>
      </c>
      <c r="G25" s="40"/>
      <c r="H25" s="40"/>
      <c r="I25" s="40"/>
      <c r="J25" s="40"/>
      <c r="K25" s="40"/>
    </row>
    <row r="26" spans="1:11" ht="13.2">
      <c r="A26" s="7">
        <f t="shared" si="0"/>
        <v>16</v>
      </c>
      <c r="B26" s="39">
        <v>44029</v>
      </c>
      <c r="C26" s="40">
        <v>20.40939375</v>
      </c>
      <c r="D26" s="40">
        <v>15.412473750000004</v>
      </c>
      <c r="E26" s="40">
        <v>10.508498749999999</v>
      </c>
      <c r="F26" s="40">
        <v>5.9411679166666689</v>
      </c>
      <c r="G26" s="40"/>
      <c r="H26" s="40"/>
      <c r="I26" s="40"/>
      <c r="J26" s="40"/>
      <c r="K26" s="40"/>
    </row>
    <row r="27" spans="1:11" ht="13.2">
      <c r="A27" s="7">
        <f t="shared" si="0"/>
        <v>17</v>
      </c>
      <c r="B27" s="39">
        <v>44030</v>
      </c>
      <c r="C27" s="40">
        <v>20.814248333333335</v>
      </c>
      <c r="D27" s="40">
        <v>15.818048333333337</v>
      </c>
      <c r="E27" s="40">
        <v>11.016878333333334</v>
      </c>
      <c r="F27" s="40">
        <v>6.3212008333333367</v>
      </c>
      <c r="G27" s="40"/>
      <c r="H27" s="40"/>
      <c r="I27" s="40"/>
      <c r="J27" s="40"/>
      <c r="K27" s="40"/>
    </row>
    <row r="28" spans="1:11" ht="13.2">
      <c r="A28" s="7">
        <f t="shared" si="0"/>
        <v>18</v>
      </c>
      <c r="B28" s="39">
        <v>44031</v>
      </c>
      <c r="C28" s="40">
        <v>21.264559166666668</v>
      </c>
      <c r="D28" s="40">
        <v>16.260434166666666</v>
      </c>
      <c r="E28" s="40">
        <v>11.357879166666667</v>
      </c>
      <c r="F28" s="40">
        <v>6.6477950000000039</v>
      </c>
      <c r="G28" s="40"/>
      <c r="H28" s="40"/>
      <c r="I28" s="40"/>
      <c r="J28" s="40"/>
      <c r="K28" s="40"/>
    </row>
    <row r="29" spans="1:16" ht="13.2">
      <c r="A29" s="7">
        <f t="shared" si="0"/>
        <v>19</v>
      </c>
      <c r="B29" s="39">
        <v>44032</v>
      </c>
      <c r="C29" s="40">
        <v>21.353391249999998</v>
      </c>
      <c r="D29" s="40">
        <v>16.348391249999999</v>
      </c>
      <c r="E29" s="40">
        <v>11.346782916666665</v>
      </c>
      <c r="F29" s="40">
        <v>6.4583645833333332</v>
      </c>
      <c r="G29" s="40"/>
      <c r="H29" s="40">
        <f>AVERAGE(C14:C44)</f>
        <v>20.723995698924732</v>
      </c>
      <c r="I29" s="40">
        <f>AVERAGE(D14:D44)</f>
        <v>15.722227970430106</v>
      </c>
      <c r="J29" s="40">
        <f>AVERAGE(E14:E44)</f>
        <v>10.748524623655912</v>
      </c>
      <c r="K29" s="40">
        <f>AVERAGE(F14:F44)</f>
        <v>5.9633742069892488</v>
      </c>
      <c r="M29" s="74"/>
      <c r="N29" s="74"/>
      <c r="O29" s="74"/>
      <c r="P29" s="74"/>
    </row>
    <row r="30" spans="1:10" ht="13.2">
      <c r="A30" s="7">
        <f t="shared" si="0"/>
        <v>20</v>
      </c>
      <c r="B30" s="39">
        <v>44033</v>
      </c>
      <c r="C30" s="40">
        <v>22.120597916666675</v>
      </c>
      <c r="D30" s="40">
        <v>17.115597916666665</v>
      </c>
      <c r="E30" s="40">
        <v>12.118414583333337</v>
      </c>
      <c r="F30" s="40">
        <v>7.1517862500000051</v>
      </c>
      <c r="G30" s="40"/>
      <c r="H30" s="40"/>
      <c r="I30" s="40"/>
      <c r="J30" s="40"/>
    </row>
    <row r="31" spans="1:10" ht="13.2">
      <c r="A31" s="7">
        <f t="shared" si="0"/>
        <v>21</v>
      </c>
      <c r="B31" s="39">
        <v>44034</v>
      </c>
      <c r="C31" s="40">
        <v>22.273468333333334</v>
      </c>
      <c r="D31" s="40">
        <v>17.268468333333328</v>
      </c>
      <c r="E31" s="40">
        <v>12.271728333333334</v>
      </c>
      <c r="F31" s="40">
        <v>7.311624583333332</v>
      </c>
      <c r="G31" s="40"/>
      <c r="H31" s="40"/>
      <c r="I31" s="40"/>
      <c r="J31" s="40"/>
    </row>
    <row r="32" spans="1:10" ht="13.2">
      <c r="A32" s="7">
        <f t="shared" si="0"/>
        <v>22</v>
      </c>
      <c r="B32" s="39">
        <v>44035</v>
      </c>
      <c r="C32" s="40">
        <v>21.303435</v>
      </c>
      <c r="D32" s="40">
        <v>16.298435000000001</v>
      </c>
      <c r="E32" s="40">
        <v>11.309621666666667</v>
      </c>
      <c r="F32" s="40">
        <v>6.3770729166666662</v>
      </c>
      <c r="G32" s="40"/>
      <c r="H32" s="40"/>
      <c r="I32" s="40"/>
      <c r="J32" s="40"/>
    </row>
    <row r="33" spans="1:10" ht="13.2">
      <c r="A33" s="7">
        <f t="shared" si="0"/>
        <v>23</v>
      </c>
      <c r="B33" s="39">
        <v>44036</v>
      </c>
      <c r="C33" s="40">
        <v>20.684162499999999</v>
      </c>
      <c r="D33" s="40">
        <v>15.679162499999999</v>
      </c>
      <c r="E33" s="40">
        <v>10.676732499999998</v>
      </c>
      <c r="F33" s="40">
        <v>5.8190191666666653</v>
      </c>
      <c r="G33" s="40"/>
      <c r="H33" s="40"/>
      <c r="I33" s="40"/>
      <c r="J33" s="40"/>
    </row>
    <row r="34" spans="1:10" ht="13.2">
      <c r="A34" s="7">
        <f t="shared" si="0"/>
        <v>24</v>
      </c>
      <c r="B34" s="39">
        <v>44037</v>
      </c>
      <c r="C34" s="40">
        <v>20.81124791666667</v>
      </c>
      <c r="D34" s="40">
        <v>15.824066666666671</v>
      </c>
      <c r="E34" s="40">
        <v>10.870791250000005</v>
      </c>
      <c r="F34" s="40">
        <v>6.2494116666666688</v>
      </c>
      <c r="G34" s="40"/>
      <c r="H34" s="40"/>
      <c r="I34" s="40"/>
      <c r="J34" s="40"/>
    </row>
    <row r="35" spans="1:10" ht="13.2">
      <c r="A35" s="7">
        <f t="shared" si="0"/>
        <v>25</v>
      </c>
      <c r="B35" s="39">
        <v>44038</v>
      </c>
      <c r="C35" s="40">
        <v>20.589457500000005</v>
      </c>
      <c r="D35" s="40">
        <v>15.598707500000003</v>
      </c>
      <c r="E35" s="40">
        <v>10.627100000000004</v>
      </c>
      <c r="F35" s="40">
        <v>6.0008554166666688</v>
      </c>
      <c r="G35" s="40"/>
      <c r="H35" s="40"/>
      <c r="I35" s="40"/>
      <c r="J35" s="40"/>
    </row>
    <row r="36" spans="1:10" ht="13.2">
      <c r="A36" s="7">
        <f t="shared" si="0"/>
        <v>26</v>
      </c>
      <c r="B36" s="39">
        <v>44039</v>
      </c>
      <c r="C36" s="40">
        <v>19.862822916666666</v>
      </c>
      <c r="D36" s="40">
        <v>14.874989583333335</v>
      </c>
      <c r="E36" s="40">
        <v>9.9176704166666685</v>
      </c>
      <c r="F36" s="40">
        <v>5.4272358333333379</v>
      </c>
      <c r="G36" s="40"/>
      <c r="H36" s="40"/>
      <c r="I36" s="40"/>
      <c r="J36" s="40"/>
    </row>
    <row r="37" spans="1:10" ht="13.2">
      <c r="A37" s="7">
        <f t="shared" si="0"/>
        <v>27</v>
      </c>
      <c r="B37" s="39">
        <v>44040</v>
      </c>
      <c r="C37" s="40">
        <v>20.34324625</v>
      </c>
      <c r="D37" s="40">
        <v>15.343646250000001</v>
      </c>
      <c r="E37" s="40">
        <v>10.362869166666663</v>
      </c>
      <c r="F37" s="40">
        <v>5.699220416666666</v>
      </c>
      <c r="G37" s="40"/>
      <c r="H37" s="40"/>
      <c r="I37" s="40"/>
      <c r="J37" s="40"/>
    </row>
    <row r="38" spans="1:10" ht="13.2">
      <c r="A38" s="7">
        <f t="shared" si="0"/>
        <v>28</v>
      </c>
      <c r="B38" s="39">
        <v>44041</v>
      </c>
      <c r="C38" s="40">
        <v>20.741252083333332</v>
      </c>
      <c r="D38" s="40">
        <v>15.736252083333335</v>
      </c>
      <c r="E38" s="40">
        <v>10.739630416666666</v>
      </c>
      <c r="F38" s="40">
        <v>5.9625450000000004</v>
      </c>
      <c r="G38" s="40"/>
      <c r="H38" s="40"/>
      <c r="I38" s="40"/>
      <c r="J38" s="40"/>
    </row>
    <row r="39" spans="1:10" ht="13.2">
      <c r="A39" s="7">
        <f t="shared" si="0"/>
        <v>29</v>
      </c>
      <c r="B39" s="39">
        <v>44042</v>
      </c>
      <c r="C39" s="40">
        <v>20.895485000000008</v>
      </c>
      <c r="D39" s="40">
        <v>15.890485000000002</v>
      </c>
      <c r="E39" s="40">
        <v>10.888441250000003</v>
      </c>
      <c r="F39" s="40">
        <v>6.0344050000000031</v>
      </c>
      <c r="G39" s="40"/>
      <c r="H39" s="40"/>
      <c r="I39" s="40"/>
      <c r="J39" s="40"/>
    </row>
    <row r="40" spans="1:10" ht="13.2">
      <c r="A40" s="7">
        <f t="shared" si="0"/>
        <v>30</v>
      </c>
      <c r="B40" s="39">
        <v>44043</v>
      </c>
      <c r="C40" s="40">
        <v>20.824738333333329</v>
      </c>
      <c r="D40" s="40">
        <v>15.81973833333333</v>
      </c>
      <c r="E40" s="40">
        <v>10.827143333333336</v>
      </c>
      <c r="F40" s="40">
        <v>6.0833541666666671</v>
      </c>
      <c r="G40" s="40"/>
      <c r="H40" s="40"/>
      <c r="I40" s="40"/>
      <c r="J40" s="40"/>
    </row>
    <row r="41" spans="1:10" ht="13.2">
      <c r="A41" s="7">
        <f t="shared" si="0"/>
        <v>31</v>
      </c>
      <c r="B41" s="39">
        <v>44044</v>
      </c>
      <c r="C41" s="40">
        <v>21.431187083333334</v>
      </c>
      <c r="D41" s="40">
        <v>16.426187083333339</v>
      </c>
      <c r="E41" s="40">
        <v>11.454372083333336</v>
      </c>
      <c r="F41" s="40">
        <v>6.75091791666667</v>
      </c>
      <c r="G41" s="40"/>
      <c r="H41" s="40"/>
      <c r="I41" s="40"/>
      <c r="J41" s="40"/>
    </row>
    <row r="42" spans="1:10" ht="13.2">
      <c r="A42" s="7">
        <f t="shared" si="0"/>
        <v>32</v>
      </c>
      <c r="B42" s="39">
        <v>44045</v>
      </c>
      <c r="C42" s="40">
        <v>21.778357083333333</v>
      </c>
      <c r="D42" s="40">
        <v>16.77335708333333</v>
      </c>
      <c r="E42" s="40">
        <v>11.777662083333333</v>
      </c>
      <c r="F42" s="40">
        <v>7.0746208333333298</v>
      </c>
      <c r="G42" s="40"/>
      <c r="H42" s="40"/>
      <c r="I42" s="40"/>
      <c r="J42" s="40"/>
    </row>
    <row r="43" spans="1:10" ht="13.2">
      <c r="A43" s="7">
        <f t="shared" si="0"/>
        <v>33</v>
      </c>
      <c r="B43" s="39">
        <v>44046</v>
      </c>
      <c r="C43" s="40">
        <v>22.156028333333335</v>
      </c>
      <c r="D43" s="40">
        <v>17.151028333333336</v>
      </c>
      <c r="E43" s="40">
        <v>12.146261666666664</v>
      </c>
      <c r="F43" s="40">
        <v>7.1935404166666661</v>
      </c>
      <c r="G43" s="40"/>
      <c r="H43" s="40"/>
      <c r="I43" s="40"/>
      <c r="J43" s="40"/>
    </row>
    <row r="44" spans="1:10" ht="13.2">
      <c r="A44" s="7">
        <f t="shared" si="0"/>
        <v>34</v>
      </c>
      <c r="B44" s="39">
        <v>44047</v>
      </c>
      <c r="C44" s="40">
        <v>22.498251666666668</v>
      </c>
      <c r="D44" s="40">
        <v>17.493251666666662</v>
      </c>
      <c r="E44" s="40">
        <v>12.488251666666669</v>
      </c>
      <c r="F44" s="40">
        <v>7.5335037499999995</v>
      </c>
      <c r="G44" s="40"/>
      <c r="H44" s="40"/>
      <c r="I44" s="40"/>
      <c r="J44" s="40"/>
    </row>
    <row r="45" spans="1:1" ht="13.2">
      <c r="A45" s="7"/>
    </row>
  </sheetData>
  <mergeCells count="9">
    <mergeCell ref="B1:K1"/>
    <mergeCell ref="B5:J5"/>
    <mergeCell ref="C11:F11"/>
    <mergeCell ref="H11:K11"/>
    <mergeCell ref="B8:K8"/>
    <mergeCell ref="B6:K6"/>
    <mergeCell ref="B4:K4"/>
    <mergeCell ref="B3:K3"/>
    <mergeCell ref="B2:K2"/>
  </mergeCells>
  <printOptions horizontalCentered="1"/>
  <pageMargins left="1.5" right="0.5" top="1.5" bottom="1" header="1" footer="0.5"/>
  <pageSetup orientation="portrait" scale="85" r:id="rId1"/>
  <headerFooter alignWithMargins="0">
    <oddHeader>&amp;RSchedule II-H-5.2
Page &amp;P of 37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6">
    <pageSetUpPr fitToPage="1"/>
  </sheetPr>
  <dimension ref="A1:S45"/>
  <sheetViews>
    <sheetView zoomScaleSheetLayoutView="100" workbookViewId="0" topLeftCell="A1"/>
  </sheetViews>
  <sheetFormatPr defaultColWidth="9.11428571428571" defaultRowHeight="13.5"/>
  <cols>
    <col min="1" max="1" width="9.14285714285714" style="9"/>
    <col min="2" max="2" width="9.42857142857143" style="9" customWidth="1"/>
    <col min="3" max="3" width="9.85714285714286" style="7" customWidth="1"/>
    <col min="4" max="5" width="10.5714285714286" style="9" customWidth="1"/>
    <col min="6" max="7" width="10" style="9" customWidth="1"/>
    <col min="8" max="9" width="10.2857142857143" style="9" customWidth="1"/>
    <col min="10" max="11" width="10.8571428571429" style="9" customWidth="1"/>
    <col min="12" max="12" width="11.5714285714286" style="9" customWidth="1"/>
    <col min="13" max="13" width="9.28571428571429" style="9" bestFit="1" customWidth="1"/>
    <col min="14" max="16384" width="9.14285714285714" style="9"/>
  </cols>
  <sheetData>
    <row r="1" spans="1:14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51"/>
    </row>
    <row r="2" spans="1:14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51"/>
    </row>
    <row r="3" spans="1:14" s="0" customFormat="1" ht="15.6">
      <c r="A3" s="1"/>
      <c r="B3" s="200" t="str">
        <f>+RES!B3</f>
        <v>ADJUSTED WEATHER STATION DATA</v>
      </c>
      <c r="C3" s="200"/>
      <c r="D3" s="200"/>
      <c r="E3" s="200"/>
      <c r="F3" s="202"/>
      <c r="G3" s="202"/>
      <c r="H3" s="202"/>
      <c r="I3" s="202"/>
      <c r="J3" s="202"/>
      <c r="K3" s="202"/>
      <c r="L3" s="202"/>
      <c r="M3" s="202"/>
      <c r="N3" s="51"/>
    </row>
    <row r="4" spans="1:14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51"/>
    </row>
    <row r="5" spans="1:14" s="0" customFormat="1" ht="15.6">
      <c r="A5" s="1"/>
      <c r="B5" s="200"/>
      <c r="C5" s="200"/>
      <c r="D5" s="200"/>
      <c r="E5" s="200"/>
      <c r="F5" s="200"/>
      <c r="G5" s="200"/>
      <c r="H5" s="200"/>
      <c r="I5" s="200"/>
      <c r="J5" s="202"/>
      <c r="K5" s="202"/>
      <c r="L5" s="202"/>
      <c r="M5" s="202"/>
      <c r="N5" s="202"/>
    </row>
    <row r="6" spans="2:14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1"/>
    </row>
    <row r="7" spans="2:14" ht="15.6">
      <c r="B7" s="96"/>
      <c r="C7" s="1"/>
      <c r="D7" s="1"/>
      <c r="E7" s="134"/>
      <c r="F7" s="1"/>
      <c r="G7" s="179"/>
      <c r="H7" s="1"/>
      <c r="I7" s="1"/>
      <c r="J7" s="1"/>
      <c r="K7" s="134"/>
      <c r="L7" s="1"/>
      <c r="M7" s="1"/>
      <c r="N7" s="1"/>
    </row>
    <row r="8" spans="2:14" ht="15.6">
      <c r="B8" s="200" t="s">
        <v>157</v>
      </c>
      <c r="C8" s="200"/>
      <c r="D8" s="200"/>
      <c r="E8" s="200"/>
      <c r="F8" s="202"/>
      <c r="G8" s="202"/>
      <c r="H8" s="202"/>
      <c r="I8" s="202"/>
      <c r="J8" s="202"/>
      <c r="K8" s="202"/>
      <c r="L8" s="202"/>
      <c r="M8" s="202"/>
      <c r="N8" s="1"/>
    </row>
    <row r="9" spans="1:14" ht="13.2">
      <c r="A9" s="1" t="s">
        <v>6</v>
      </c>
      <c r="C9" s="9"/>
      <c r="M9" s="1"/>
      <c r="N9" s="1"/>
    </row>
    <row r="10" spans="1:1" ht="13.2">
      <c r="A10" s="5" t="s">
        <v>8</v>
      </c>
    </row>
    <row r="11" spans="1:13" ht="12.75" customHeight="1">
      <c r="A11" s="7">
        <v>1</v>
      </c>
      <c r="B11" s="37"/>
      <c r="C11" s="204" t="s">
        <v>113</v>
      </c>
      <c r="D11" s="205"/>
      <c r="E11" s="205"/>
      <c r="F11" s="205"/>
      <c r="G11" s="206"/>
      <c r="H11" s="29"/>
      <c r="I11" s="204" t="s">
        <v>115</v>
      </c>
      <c r="J11" s="205"/>
      <c r="K11" s="205"/>
      <c r="L11" s="205"/>
      <c r="M11" s="207"/>
    </row>
    <row r="12" spans="1:13" ht="13.2">
      <c r="A12" s="7">
        <f t="shared" si="0" ref="A12:A27">+A11+1</f>
        <v>2</v>
      </c>
      <c r="B12" s="37"/>
      <c r="C12" s="18" t="s">
        <v>110</v>
      </c>
      <c r="D12" s="18" t="s">
        <v>137</v>
      </c>
      <c r="E12" s="18" t="s">
        <v>44</v>
      </c>
      <c r="F12" s="22" t="s">
        <v>45</v>
      </c>
      <c r="G12" s="22" t="s">
        <v>14</v>
      </c>
      <c r="H12" s="18"/>
      <c r="I12" s="18" t="s">
        <v>110</v>
      </c>
      <c r="J12" s="18" t="s">
        <v>137</v>
      </c>
      <c r="K12" s="18" t="s">
        <v>44</v>
      </c>
      <c r="L12" s="22" t="s">
        <v>45</v>
      </c>
      <c r="M12" s="22" t="s">
        <v>14</v>
      </c>
    </row>
    <row r="13" spans="1:13" ht="13.2">
      <c r="A13" s="7">
        <f t="shared" si="0"/>
        <v>3</v>
      </c>
      <c r="B13" s="37"/>
      <c r="C13" s="38" t="s">
        <v>29</v>
      </c>
      <c r="D13" s="38" t="s">
        <v>30</v>
      </c>
      <c r="E13" s="38" t="s">
        <v>31</v>
      </c>
      <c r="F13" s="38" t="s">
        <v>114</v>
      </c>
      <c r="G13" s="38" t="s">
        <v>156</v>
      </c>
      <c r="H13" s="38"/>
      <c r="I13" s="38" t="s">
        <v>29</v>
      </c>
      <c r="J13" s="38" t="s">
        <v>30</v>
      </c>
      <c r="K13" s="38" t="s">
        <v>31</v>
      </c>
      <c r="L13" s="38" t="s">
        <v>114</v>
      </c>
      <c r="M13" s="38" t="s">
        <v>156</v>
      </c>
    </row>
    <row r="14" spans="1:13" ht="13.2">
      <c r="A14" s="7">
        <f t="shared" si="0"/>
        <v>4</v>
      </c>
      <c r="B14" s="39">
        <v>44195</v>
      </c>
      <c r="C14" s="40">
        <v>0.85487708333333468</v>
      </c>
      <c r="D14" s="40">
        <v>2.3651383333333342</v>
      </c>
      <c r="E14" s="40">
        <v>8.5820358333333324</v>
      </c>
      <c r="F14" s="40">
        <v>12.704921666666662</v>
      </c>
      <c r="G14" s="40">
        <v>17.30240083333333</v>
      </c>
      <c r="H14" s="18"/>
      <c r="I14" s="18"/>
      <c r="J14" s="18"/>
      <c r="K14" s="18"/>
      <c r="L14" s="18"/>
      <c r="M14" s="18"/>
    </row>
    <row r="15" spans="1:13" ht="13.2">
      <c r="A15" s="7">
        <f t="shared" si="0"/>
        <v>5</v>
      </c>
      <c r="B15" s="39">
        <v>44196</v>
      </c>
      <c r="C15" s="40">
        <v>1.3957200000000003</v>
      </c>
      <c r="D15" s="40">
        <v>3.0935762499999995</v>
      </c>
      <c r="E15" s="40">
        <v>9.6284224999999992</v>
      </c>
      <c r="F15" s="40">
        <v>14.057381250000001</v>
      </c>
      <c r="G15" s="40">
        <v>18.80396125</v>
      </c>
      <c r="H15" s="18"/>
      <c r="I15" s="18"/>
      <c r="J15" s="18"/>
      <c r="K15" s="18"/>
      <c r="L15" s="18"/>
      <c r="M15" s="18"/>
    </row>
    <row r="16" spans="1:13" ht="13.2">
      <c r="A16" s="7">
        <f t="shared" si="0"/>
        <v>6</v>
      </c>
      <c r="B16" s="39">
        <v>44197</v>
      </c>
      <c r="C16" s="40">
        <v>2.5101691666666666</v>
      </c>
      <c r="D16" s="40">
        <v>4.9909895833333326</v>
      </c>
      <c r="E16" s="40">
        <v>12.018463749999997</v>
      </c>
      <c r="F16" s="40">
        <v>16.249842499999996</v>
      </c>
      <c r="G16" s="40">
        <v>20.583749166666667</v>
      </c>
      <c r="H16" s="40"/>
      <c r="I16" s="40"/>
      <c r="J16" s="40"/>
      <c r="K16" s="40"/>
      <c r="L16" s="40"/>
      <c r="M16" s="40"/>
    </row>
    <row r="17" spans="1:13" ht="13.2">
      <c r="A17" s="7">
        <f t="shared" si="0"/>
        <v>7</v>
      </c>
      <c r="B17" s="39">
        <v>44198</v>
      </c>
      <c r="C17" s="40">
        <v>3.322701666666668</v>
      </c>
      <c r="D17" s="40">
        <v>6.255605000000001</v>
      </c>
      <c r="E17" s="40">
        <v>13.305823749999998</v>
      </c>
      <c r="F17" s="40">
        <v>17.163715833333335</v>
      </c>
      <c r="G17" s="40">
        <v>21.364635416666669</v>
      </c>
      <c r="H17" s="40"/>
      <c r="I17" s="40"/>
      <c r="J17" s="40"/>
      <c r="K17" s="40"/>
      <c r="L17" s="40"/>
      <c r="M17" s="40"/>
    </row>
    <row r="18" spans="1:13" ht="13.2">
      <c r="A18" s="7">
        <f t="shared" si="0"/>
        <v>8</v>
      </c>
      <c r="B18" s="39">
        <v>44199</v>
      </c>
      <c r="C18" s="40">
        <v>1.891092083333334</v>
      </c>
      <c r="D18" s="40">
        <v>4.0868166666666657</v>
      </c>
      <c r="E18" s="40">
        <v>11.372382083333331</v>
      </c>
      <c r="F18" s="40">
        <v>15.404926666666665</v>
      </c>
      <c r="G18" s="40">
        <v>19.606928750000002</v>
      </c>
      <c r="H18" s="40"/>
      <c r="I18" s="40"/>
      <c r="J18" s="40"/>
      <c r="K18" s="40"/>
      <c r="L18" s="40"/>
      <c r="M18" s="40"/>
    </row>
    <row r="19" spans="1:13" ht="13.2">
      <c r="A19" s="7">
        <f t="shared" si="0"/>
        <v>9</v>
      </c>
      <c r="B19" s="39">
        <v>44200</v>
      </c>
      <c r="C19" s="40">
        <v>1.1237100000000004</v>
      </c>
      <c r="D19" s="40">
        <v>2.7394041666666671</v>
      </c>
      <c r="E19" s="40">
        <v>9.686351249999996</v>
      </c>
      <c r="F19" s="40">
        <v>14.163644166666666</v>
      </c>
      <c r="G19" s="40">
        <v>18.927675416666666</v>
      </c>
      <c r="H19" s="40"/>
      <c r="I19" s="40"/>
      <c r="J19" s="40"/>
      <c r="K19" s="40"/>
      <c r="L19" s="40"/>
      <c r="M19" s="40"/>
    </row>
    <row r="20" spans="1:13" ht="13.2">
      <c r="A20" s="7">
        <f t="shared" si="0"/>
        <v>10</v>
      </c>
      <c r="B20" s="39">
        <v>44201</v>
      </c>
      <c r="C20" s="40">
        <v>1.8994870833333333</v>
      </c>
      <c r="D20" s="40">
        <v>3.8078958333333324</v>
      </c>
      <c r="E20" s="40">
        <v>11.038282499999998</v>
      </c>
      <c r="F20" s="40">
        <v>15.721922916666665</v>
      </c>
      <c r="G20" s="40">
        <v>20.487987916666668</v>
      </c>
      <c r="H20" s="40"/>
      <c r="I20" s="40"/>
      <c r="J20" s="40"/>
      <c r="K20" s="40"/>
      <c r="L20" s="40"/>
      <c r="M20" s="40"/>
    </row>
    <row r="21" spans="1:13" ht="13.2">
      <c r="A21" s="7">
        <f t="shared" si="0"/>
        <v>11</v>
      </c>
      <c r="B21" s="39">
        <v>44202</v>
      </c>
      <c r="C21" s="40">
        <v>2.7376816666666666</v>
      </c>
      <c r="D21" s="40">
        <v>4.2694679166666649</v>
      </c>
      <c r="E21" s="40">
        <v>11.330455416666663</v>
      </c>
      <c r="F21" s="40">
        <v>15.876882916666663</v>
      </c>
      <c r="G21" s="40">
        <v>20.628217916666664</v>
      </c>
      <c r="H21" s="40"/>
      <c r="I21" s="40"/>
      <c r="J21" s="40"/>
      <c r="K21" s="40"/>
      <c r="L21" s="40"/>
      <c r="M21" s="40"/>
    </row>
    <row r="22" spans="1:13" ht="13.2">
      <c r="A22" s="7">
        <f t="shared" si="0"/>
        <v>12</v>
      </c>
      <c r="B22" s="39">
        <v>44203</v>
      </c>
      <c r="C22" s="40">
        <v>2.204597499999998</v>
      </c>
      <c r="D22" s="40">
        <v>4.2459112499999971</v>
      </c>
      <c r="E22" s="40">
        <v>10.454895416666664</v>
      </c>
      <c r="F22" s="40">
        <v>14.713920833333333</v>
      </c>
      <c r="G22" s="40">
        <v>19.288955833333326</v>
      </c>
      <c r="H22" s="40"/>
      <c r="I22" s="40"/>
      <c r="J22" s="40"/>
      <c r="K22" s="40"/>
      <c r="L22" s="40"/>
      <c r="M22" s="40"/>
    </row>
    <row r="23" spans="1:13" ht="13.2">
      <c r="A23" s="7">
        <f t="shared" si="0"/>
        <v>13</v>
      </c>
      <c r="B23" s="39">
        <v>44204</v>
      </c>
      <c r="C23" s="40">
        <v>1.7599808333333331</v>
      </c>
      <c r="D23" s="40">
        <v>2.8745458333333338</v>
      </c>
      <c r="E23" s="40">
        <v>8.8068354166666634</v>
      </c>
      <c r="F23" s="40">
        <v>13.251879583333329</v>
      </c>
      <c r="G23" s="40">
        <v>18.046887916666662</v>
      </c>
      <c r="H23" s="40"/>
      <c r="I23" s="40"/>
      <c r="J23" s="40"/>
      <c r="K23" s="40"/>
      <c r="L23" s="40"/>
      <c r="M23" s="40"/>
    </row>
    <row r="24" spans="1:13" ht="13.2">
      <c r="A24" s="7">
        <f t="shared" si="0"/>
        <v>14</v>
      </c>
      <c r="B24" s="39">
        <v>44205</v>
      </c>
      <c r="C24" s="40">
        <v>1.2740812500000001</v>
      </c>
      <c r="D24" s="40">
        <v>2.3929087500000001</v>
      </c>
      <c r="E24" s="40">
        <v>8.0467974999999985</v>
      </c>
      <c r="F24" s="40">
        <v>12.147235833333333</v>
      </c>
      <c r="G24" s="40">
        <v>16.721200833333334</v>
      </c>
      <c r="H24" s="40"/>
      <c r="I24" s="40"/>
      <c r="J24" s="40"/>
      <c r="K24" s="40"/>
      <c r="L24" s="40"/>
      <c r="M24" s="40"/>
    </row>
    <row r="25" spans="1:13" ht="13.2">
      <c r="A25" s="7">
        <f t="shared" si="0"/>
        <v>15</v>
      </c>
      <c r="B25" s="39">
        <v>44206</v>
      </c>
      <c r="C25" s="40">
        <v>1.5745908333333329</v>
      </c>
      <c r="D25" s="40">
        <v>3.2886224999999998</v>
      </c>
      <c r="E25" s="40">
        <v>9.1320195833333315</v>
      </c>
      <c r="F25" s="40">
        <v>13.190074166666662</v>
      </c>
      <c r="G25" s="40">
        <v>17.450200833333326</v>
      </c>
      <c r="H25" s="40"/>
      <c r="I25" s="40"/>
      <c r="J25" s="40"/>
      <c r="K25" s="40"/>
      <c r="L25" s="40"/>
      <c r="M25" s="40"/>
    </row>
    <row r="26" spans="1:13" ht="13.2">
      <c r="A26" s="7">
        <f t="shared" si="0"/>
        <v>16</v>
      </c>
      <c r="B26" s="39">
        <v>44207</v>
      </c>
      <c r="C26" s="40">
        <v>1.0507579166666654</v>
      </c>
      <c r="D26" s="40">
        <v>2.7592649999999992</v>
      </c>
      <c r="E26" s="40">
        <v>8.8208508333333331</v>
      </c>
      <c r="F26" s="40">
        <v>12.923607083333334</v>
      </c>
      <c r="G26" s="40">
        <v>17.427534166666668</v>
      </c>
      <c r="H26" s="40"/>
      <c r="I26" s="40"/>
      <c r="J26" s="40"/>
      <c r="K26" s="40"/>
      <c r="L26" s="40"/>
      <c r="M26" s="40"/>
    </row>
    <row r="27" spans="1:13" ht="13.2">
      <c r="A27" s="7">
        <f t="shared" si="0"/>
        <v>17</v>
      </c>
      <c r="B27" s="39">
        <v>44208</v>
      </c>
      <c r="C27" s="40">
        <v>1.3119499999999997</v>
      </c>
      <c r="D27" s="40">
        <v>3.0319883333333317</v>
      </c>
      <c r="E27" s="40">
        <v>9.1228420833333281</v>
      </c>
      <c r="F27" s="40">
        <v>13.094367916666666</v>
      </c>
      <c r="G27" s="40">
        <v>17.434079583333329</v>
      </c>
      <c r="H27" s="40"/>
      <c r="I27" s="40"/>
      <c r="J27" s="40"/>
      <c r="K27" s="40"/>
      <c r="L27" s="40"/>
      <c r="M27" s="40"/>
    </row>
    <row r="28" spans="1:13" ht="13.2">
      <c r="A28" s="7">
        <f t="shared" si="1" ref="A28:A43">+A27+1</f>
        <v>18</v>
      </c>
      <c r="B28" s="39">
        <v>44209</v>
      </c>
      <c r="C28" s="40">
        <v>1.6392845833333329</v>
      </c>
      <c r="D28" s="40">
        <v>3.8540508333333334</v>
      </c>
      <c r="E28" s="40">
        <v>11.32771</v>
      </c>
      <c r="F28" s="40">
        <v>16.108993333333334</v>
      </c>
      <c r="G28" s="40">
        <v>21.074737083333332</v>
      </c>
      <c r="H28" s="40"/>
      <c r="I28" s="40"/>
      <c r="J28" s="40"/>
      <c r="K28" s="40"/>
      <c r="L28" s="40"/>
      <c r="M28" s="40"/>
    </row>
    <row r="29" spans="1:19" ht="13.2">
      <c r="A29" s="7">
        <f t="shared" si="1"/>
        <v>19</v>
      </c>
      <c r="B29" s="39">
        <v>44210</v>
      </c>
      <c r="C29" s="40">
        <v>0.87002999999999897</v>
      </c>
      <c r="D29" s="40">
        <v>2.7327574999999991</v>
      </c>
      <c r="E29" s="40">
        <v>9.8971945833333326</v>
      </c>
      <c r="F29" s="40">
        <v>14.536324166666665</v>
      </c>
      <c r="G29" s="40">
        <v>19.405906666666663</v>
      </c>
      <c r="H29" s="40"/>
      <c r="I29" s="40">
        <f>AVERAGE(C14:C44)</f>
        <v>1.4348824327956982</v>
      </c>
      <c r="J29" s="40">
        <f t="shared" si="2" ref="J29:M29">AVERAGE(D14:D44)</f>
        <v>3.1001010215053753</v>
      </c>
      <c r="K29" s="40">
        <f t="shared" si="2"/>
        <v>9.4520963709677392</v>
      </c>
      <c r="L29" s="40">
        <f t="shared" si="2"/>
        <v>13.73424427419355</v>
      </c>
      <c r="M29" s="40">
        <f t="shared" si="2"/>
        <v>18.40457194892473</v>
      </c>
      <c r="O29" s="74"/>
      <c r="P29" s="74"/>
      <c r="Q29" s="74"/>
      <c r="R29" s="74"/>
      <c r="S29" s="74"/>
    </row>
    <row r="30" spans="1:12" ht="13.2">
      <c r="A30" s="7">
        <f t="shared" si="1"/>
        <v>20</v>
      </c>
      <c r="B30" s="39">
        <v>44211</v>
      </c>
      <c r="C30" s="40">
        <v>1.1505904166666661</v>
      </c>
      <c r="D30" s="40">
        <v>2.5924008333333286</v>
      </c>
      <c r="E30" s="40">
        <v>9.2810166666666642</v>
      </c>
      <c r="F30" s="40">
        <v>13.70412541666666</v>
      </c>
      <c r="G30" s="40">
        <v>18.459319999999998</v>
      </c>
      <c r="H30" s="40"/>
      <c r="I30" s="40"/>
      <c r="J30" s="40"/>
      <c r="K30" s="40"/>
      <c r="L30" s="40"/>
    </row>
    <row r="31" spans="1:12" ht="13.2">
      <c r="A31" s="7">
        <f t="shared" si="1"/>
        <v>21</v>
      </c>
      <c r="B31" s="39">
        <v>44212</v>
      </c>
      <c r="C31" s="40">
        <v>2.267360416666663</v>
      </c>
      <c r="D31" s="40">
        <v>3.9788612499999951</v>
      </c>
      <c r="E31" s="40">
        <v>10.125539166666659</v>
      </c>
      <c r="F31" s="40">
        <v>14.37152541666666</v>
      </c>
      <c r="G31" s="40">
        <v>18.996144999999991</v>
      </c>
      <c r="H31" s="40"/>
      <c r="I31" s="40"/>
      <c r="J31" s="40"/>
      <c r="K31" s="40"/>
      <c r="L31" s="40"/>
    </row>
    <row r="32" spans="1:12" ht="13.2">
      <c r="A32" s="7">
        <f t="shared" si="1"/>
        <v>22</v>
      </c>
      <c r="B32" s="39">
        <v>44213</v>
      </c>
      <c r="C32" s="40">
        <v>2.5203066666666669</v>
      </c>
      <c r="D32" s="40">
        <v>4.3869774999999986</v>
      </c>
      <c r="E32" s="40">
        <v>11.252776249999997</v>
      </c>
      <c r="F32" s="40">
        <v>15.942891249999999</v>
      </c>
      <c r="G32" s="40">
        <v>20.89835708333333</v>
      </c>
      <c r="H32" s="40"/>
      <c r="I32" s="40"/>
      <c r="J32" s="40"/>
      <c r="K32" s="40"/>
      <c r="L32" s="40"/>
    </row>
    <row r="33" spans="1:12" ht="13.2">
      <c r="A33" s="7">
        <f t="shared" si="1"/>
        <v>23</v>
      </c>
      <c r="B33" s="39">
        <v>44214</v>
      </c>
      <c r="C33" s="40">
        <v>1.3406079166666665</v>
      </c>
      <c r="D33" s="40">
        <v>3.5168945833333312</v>
      </c>
      <c r="E33" s="40">
        <v>10.088042083333331</v>
      </c>
      <c r="F33" s="40">
        <v>14.978547083333334</v>
      </c>
      <c r="G33" s="40">
        <v>19.968282083333332</v>
      </c>
      <c r="H33" s="40"/>
      <c r="I33" s="40"/>
      <c r="J33" s="40"/>
      <c r="K33" s="40"/>
      <c r="L33" s="40"/>
    </row>
    <row r="34" spans="1:12" ht="13.2">
      <c r="A34" s="7">
        <f t="shared" si="1"/>
        <v>24</v>
      </c>
      <c r="B34" s="39">
        <v>44215</v>
      </c>
      <c r="C34" s="40">
        <v>0.87699333333333107</v>
      </c>
      <c r="D34" s="40">
        <v>2.371712499999997</v>
      </c>
      <c r="E34" s="40">
        <v>8.3859458333333272</v>
      </c>
      <c r="F34" s="40">
        <v>12.834860833333327</v>
      </c>
      <c r="G34" s="40">
        <v>17.59657666666666</v>
      </c>
      <c r="H34" s="40"/>
      <c r="I34" s="40"/>
      <c r="J34" s="40"/>
      <c r="K34" s="40"/>
      <c r="L34" s="40"/>
    </row>
    <row r="35" spans="1:12" ht="13.2">
      <c r="A35" s="7">
        <f t="shared" si="1"/>
        <v>25</v>
      </c>
      <c r="B35" s="39">
        <v>44216</v>
      </c>
      <c r="C35" s="40">
        <v>1.0907349999999998</v>
      </c>
      <c r="D35" s="40">
        <v>2.722858749999999</v>
      </c>
      <c r="E35" s="40">
        <v>7.82651583333333</v>
      </c>
      <c r="F35" s="40">
        <v>11.364988749999998</v>
      </c>
      <c r="G35" s="40">
        <v>16.012054583333331</v>
      </c>
      <c r="H35" s="40"/>
      <c r="I35" s="40"/>
      <c r="J35" s="40"/>
      <c r="K35" s="40"/>
      <c r="L35" s="40"/>
    </row>
    <row r="36" spans="1:12" ht="13.2">
      <c r="A36" s="7">
        <f t="shared" si="1"/>
        <v>26</v>
      </c>
      <c r="B36" s="39">
        <v>44217</v>
      </c>
      <c r="C36" s="40">
        <v>0.50562791666666762</v>
      </c>
      <c r="D36" s="40">
        <v>1.5805745833333331</v>
      </c>
      <c r="E36" s="40">
        <v>8.0570712499999999</v>
      </c>
      <c r="F36" s="40">
        <v>12.282746249999999</v>
      </c>
      <c r="G36" s="40">
        <v>17.017640416666662</v>
      </c>
      <c r="H36" s="40"/>
      <c r="I36" s="40"/>
      <c r="J36" s="40"/>
      <c r="K36" s="40"/>
      <c r="L36" s="40"/>
    </row>
    <row r="37" spans="1:12" ht="13.2">
      <c r="A37" s="7">
        <f t="shared" si="1"/>
        <v>27</v>
      </c>
      <c r="B37" s="39">
        <v>44218</v>
      </c>
      <c r="C37" s="40">
        <v>0.39942041666666639</v>
      </c>
      <c r="D37" s="40">
        <v>2.0066958333333322</v>
      </c>
      <c r="E37" s="40">
        <v>7.9411725000000004</v>
      </c>
      <c r="F37" s="40">
        <v>12.22226</v>
      </c>
      <c r="G37" s="40">
        <v>17.179060833333331</v>
      </c>
      <c r="H37" s="40"/>
      <c r="I37" s="40"/>
      <c r="J37" s="40"/>
      <c r="K37" s="40"/>
      <c r="L37" s="40"/>
    </row>
    <row r="38" spans="1:12" ht="13.2">
      <c r="A38" s="7">
        <f t="shared" si="1"/>
        <v>28</v>
      </c>
      <c r="B38" s="39">
        <v>44219</v>
      </c>
      <c r="C38" s="40">
        <v>1.8199158333333318</v>
      </c>
      <c r="D38" s="40">
        <v>3.7236770833333317</v>
      </c>
      <c r="E38" s="40">
        <v>10.273204999999999</v>
      </c>
      <c r="F38" s="40">
        <v>14.459267499999999</v>
      </c>
      <c r="G38" s="40">
        <v>19.059586249999995</v>
      </c>
      <c r="H38" s="40"/>
      <c r="I38" s="40"/>
      <c r="J38" s="40"/>
      <c r="K38" s="40"/>
      <c r="L38" s="40"/>
    </row>
    <row r="39" spans="1:12" ht="13.2">
      <c r="A39" s="7">
        <f t="shared" si="1"/>
        <v>29</v>
      </c>
      <c r="B39" s="39">
        <v>44220</v>
      </c>
      <c r="C39" s="40">
        <v>1.3769591666666654</v>
      </c>
      <c r="D39" s="40">
        <v>2.9617333333333318</v>
      </c>
      <c r="E39" s="40">
        <v>9.8430504166666637</v>
      </c>
      <c r="F39" s="40">
        <v>14.236816666666659</v>
      </c>
      <c r="G39" s="40">
        <v>18.957397499999992</v>
      </c>
      <c r="H39" s="40"/>
      <c r="I39" s="40"/>
      <c r="J39" s="40"/>
      <c r="K39" s="40"/>
      <c r="L39" s="40"/>
    </row>
    <row r="40" spans="1:12" ht="13.2">
      <c r="A40" s="7">
        <f t="shared" si="1"/>
        <v>30</v>
      </c>
      <c r="B40" s="39">
        <v>44221</v>
      </c>
      <c r="C40" s="40">
        <v>0.32308583333333318</v>
      </c>
      <c r="D40" s="40">
        <v>1.3864395833333316</v>
      </c>
      <c r="E40" s="40">
        <v>7.4994962499999982</v>
      </c>
      <c r="F40" s="40">
        <v>11.848882499999995</v>
      </c>
      <c r="G40" s="40">
        <v>16.772509999999997</v>
      </c>
      <c r="H40" s="40"/>
      <c r="I40" s="40"/>
      <c r="J40" s="40"/>
      <c r="K40" s="40"/>
      <c r="L40" s="40"/>
    </row>
    <row r="41" spans="1:12" ht="13.2">
      <c r="A41" s="7">
        <f t="shared" si="1"/>
        <v>31</v>
      </c>
      <c r="B41" s="39">
        <v>44222</v>
      </c>
      <c r="C41" s="40">
        <v>0.18302833333333438</v>
      </c>
      <c r="D41" s="40">
        <v>0.93456666666666788</v>
      </c>
      <c r="E41" s="40">
        <v>6.711019166666671</v>
      </c>
      <c r="F41" s="40">
        <v>11.248135416666672</v>
      </c>
      <c r="G41" s="40">
        <v>16.223185416666674</v>
      </c>
      <c r="H41" s="40"/>
      <c r="I41" s="40"/>
      <c r="J41" s="40"/>
      <c r="K41" s="40"/>
      <c r="L41" s="40"/>
    </row>
    <row r="42" spans="1:12" ht="13.2">
      <c r="A42" s="7">
        <f t="shared" si="1"/>
        <v>32</v>
      </c>
      <c r="B42" s="39">
        <v>44223</v>
      </c>
      <c r="C42" s="40">
        <v>1.0102337499999989</v>
      </c>
      <c r="D42" s="40">
        <v>2.3051129166666651</v>
      </c>
      <c r="E42" s="40">
        <v>8.1609154166666649</v>
      </c>
      <c r="F42" s="40">
        <v>12.455232083333332</v>
      </c>
      <c r="G42" s="40">
        <v>17.314682083333331</v>
      </c>
      <c r="H42" s="40"/>
      <c r="I42" s="40"/>
      <c r="J42" s="40"/>
      <c r="K42" s="40"/>
      <c r="L42" s="40"/>
    </row>
    <row r="43" spans="1:12" ht="13.2">
      <c r="A43" s="7">
        <f t="shared" si="1"/>
        <v>33</v>
      </c>
      <c r="B43" s="39">
        <v>44224</v>
      </c>
      <c r="C43" s="40">
        <v>1.3617066666666653</v>
      </c>
      <c r="D43" s="40">
        <v>2.5127933333333292</v>
      </c>
      <c r="E43" s="40">
        <v>7.2209129166666601</v>
      </c>
      <c r="F43" s="40">
        <v>10.935456249999994</v>
      </c>
      <c r="G43" s="40">
        <v>15.450559583333327</v>
      </c>
      <c r="H43" s="40"/>
      <c r="I43" s="40"/>
      <c r="J43" s="40"/>
      <c r="K43" s="40"/>
      <c r="L43" s="40"/>
    </row>
    <row r="44" spans="1:12" ht="13.2">
      <c r="A44" s="7">
        <f>+A43+1</f>
        <v>34</v>
      </c>
      <c r="B44" s="39">
        <v>44225</v>
      </c>
      <c r="C44" s="40">
        <v>0.83407208333333427</v>
      </c>
      <c r="D44" s="40">
        <v>2.3328891666666687</v>
      </c>
      <c r="E44" s="40">
        <v>7.7769462499999999</v>
      </c>
      <c r="F44" s="40">
        <v>11.566196250000006</v>
      </c>
      <c r="G44" s="40">
        <v>16.081313333333338</v>
      </c>
      <c r="H44" s="40"/>
      <c r="I44" s="40"/>
      <c r="J44" s="40"/>
      <c r="K44" s="40"/>
      <c r="L44" s="40"/>
    </row>
    <row r="45" spans="1:1" ht="13.2">
      <c r="A45" s="7"/>
    </row>
  </sheetData>
  <mergeCells count="9">
    <mergeCell ref="B8:M8"/>
    <mergeCell ref="B5:N5"/>
    <mergeCell ref="C11:G11"/>
    <mergeCell ref="I11:M11"/>
    <mergeCell ref="B1:M1"/>
    <mergeCell ref="B2:M2"/>
    <mergeCell ref="B3:M3"/>
    <mergeCell ref="B4:M4"/>
    <mergeCell ref="B6:M6"/>
  </mergeCells>
  <printOptions horizontalCentered="1"/>
  <pageMargins left="1.5" right="0.5" top="1.5" bottom="1" header="1" footer="0.5"/>
  <pageSetup orientation="portrait" scale="59" r:id="rId1"/>
  <headerFooter alignWithMargins="0">
    <oddHeader>&amp;RSchedule II-H-5.2
Page &amp;P of 37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7">
    <pageSetUpPr fitToPage="1"/>
  </sheetPr>
  <dimension ref="A1:P45"/>
  <sheetViews>
    <sheetView zoomScaleSheetLayoutView="100" workbookViewId="0" topLeftCell="A1"/>
  </sheetViews>
  <sheetFormatPr defaultColWidth="9.11428571428571" defaultRowHeight="13.5"/>
  <cols>
    <col min="1" max="2" width="9.14285714285714" style="9"/>
    <col min="3" max="3" width="10.4285714285714" style="7" customWidth="1"/>
    <col min="4" max="6" width="9.71428571428571" style="9" customWidth="1"/>
    <col min="7" max="7" width="8.42857142857143" style="9" customWidth="1"/>
    <col min="8" max="8" width="10.8571428571429" style="9" customWidth="1"/>
    <col min="9" max="9" width="11" style="9" customWidth="1"/>
    <col min="10" max="10" width="11.1428571428571" style="9" customWidth="1"/>
    <col min="11" max="16384" width="9.14285714285714" style="9"/>
  </cols>
  <sheetData>
    <row r="1" spans="1:11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</row>
    <row r="2" spans="1:11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</row>
    <row r="4" spans="1:11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</row>
    <row r="5" spans="1:10" s="0" customFormat="1" ht="15.6">
      <c r="A5" s="1"/>
      <c r="B5" s="200"/>
      <c r="C5" s="200"/>
      <c r="D5" s="200"/>
      <c r="E5" s="200"/>
      <c r="F5" s="200"/>
      <c r="G5" s="200"/>
      <c r="H5" s="200"/>
      <c r="I5" s="202"/>
      <c r="J5" s="202"/>
    </row>
    <row r="6" spans="2:11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2"/>
    </row>
    <row r="7" spans="2:10" ht="15.6">
      <c r="B7" s="96"/>
      <c r="C7" s="1"/>
      <c r="D7" s="1"/>
      <c r="E7" s="1"/>
      <c r="F7" s="179"/>
      <c r="G7" s="1"/>
      <c r="H7" s="1"/>
      <c r="I7" s="1"/>
      <c r="J7" s="1"/>
    </row>
    <row r="8" spans="2:11" ht="15.6">
      <c r="B8" s="200" t="s">
        <v>151</v>
      </c>
      <c r="C8" s="202"/>
      <c r="D8" s="202"/>
      <c r="E8" s="202"/>
      <c r="F8" s="202"/>
      <c r="G8" s="202"/>
      <c r="H8" s="202"/>
      <c r="I8" s="202"/>
      <c r="J8" s="202"/>
      <c r="K8" s="202"/>
    </row>
    <row r="9" spans="1:3" ht="13.2">
      <c r="A9" s="1" t="s">
        <v>6</v>
      </c>
      <c r="C9" s="9"/>
    </row>
    <row r="10" spans="1:1" ht="13.2">
      <c r="A10" s="5" t="s">
        <v>8</v>
      </c>
    </row>
    <row r="11" spans="1:11" ht="12.75" customHeight="1">
      <c r="A11" s="7">
        <v>1</v>
      </c>
      <c r="B11" s="37"/>
      <c r="C11" s="204" t="s">
        <v>113</v>
      </c>
      <c r="D11" s="206"/>
      <c r="E11" s="206"/>
      <c r="F11" s="206"/>
      <c r="G11" s="29"/>
      <c r="H11" s="204" t="s">
        <v>115</v>
      </c>
      <c r="I11" s="207"/>
      <c r="J11" s="207"/>
      <c r="K11" s="207"/>
    </row>
    <row r="12" spans="1:11" ht="13.2">
      <c r="A12" s="7">
        <f t="shared" si="0" ref="A12:A44">+A11+1</f>
        <v>2</v>
      </c>
      <c r="B12" s="37"/>
      <c r="C12" s="18" t="s">
        <v>14</v>
      </c>
      <c r="D12" s="18" t="s">
        <v>16</v>
      </c>
      <c r="E12" s="22" t="s">
        <v>18</v>
      </c>
      <c r="F12" s="22" t="s">
        <v>132</v>
      </c>
      <c r="G12" s="18"/>
      <c r="H12" s="18" t="s">
        <v>14</v>
      </c>
      <c r="I12" s="18" t="s">
        <v>16</v>
      </c>
      <c r="J12" s="22" t="s">
        <v>18</v>
      </c>
      <c r="K12" s="22" t="s">
        <v>132</v>
      </c>
    </row>
    <row r="13" spans="1:11" ht="13.2">
      <c r="A13" s="7">
        <f t="shared" si="0"/>
        <v>3</v>
      </c>
      <c r="B13" s="37"/>
      <c r="C13" s="38" t="s">
        <v>29</v>
      </c>
      <c r="D13" s="38" t="s">
        <v>30</v>
      </c>
      <c r="E13" s="38" t="s">
        <v>31</v>
      </c>
      <c r="F13" s="38" t="s">
        <v>114</v>
      </c>
      <c r="G13" s="38"/>
      <c r="H13" s="38" t="s">
        <v>29</v>
      </c>
      <c r="I13" s="38" t="s">
        <v>30</v>
      </c>
      <c r="J13" s="38" t="s">
        <v>31</v>
      </c>
      <c r="K13" s="38" t="s">
        <v>114</v>
      </c>
    </row>
    <row r="14" spans="1:11" ht="13.2">
      <c r="A14" s="7">
        <f t="shared" si="0"/>
        <v>4</v>
      </c>
      <c r="B14" s="39">
        <v>44376</v>
      </c>
      <c r="C14" s="40">
        <v>18.300136250000001</v>
      </c>
      <c r="D14" s="40">
        <v>13.295136249999999</v>
      </c>
      <c r="E14" s="40">
        <v>8.3645691666666657</v>
      </c>
      <c r="F14" s="40">
        <v>3.8778833333333345</v>
      </c>
      <c r="G14" s="18"/>
      <c r="H14" s="18"/>
      <c r="I14" s="18"/>
      <c r="J14" s="18"/>
      <c r="K14" s="18"/>
    </row>
    <row r="15" spans="1:11" ht="13.2">
      <c r="A15" s="7">
        <f t="shared" si="0"/>
        <v>5</v>
      </c>
      <c r="B15" s="39">
        <v>44377</v>
      </c>
      <c r="C15" s="40">
        <v>17.849633750000002</v>
      </c>
      <c r="D15" s="40">
        <v>12.844633749999996</v>
      </c>
      <c r="E15" s="40">
        <v>7.9022829166666666</v>
      </c>
      <c r="F15" s="40">
        <v>3.6315624999999998</v>
      </c>
      <c r="G15" s="18"/>
      <c r="H15" s="18"/>
      <c r="I15" s="18"/>
      <c r="J15" s="18"/>
      <c r="K15" s="18"/>
    </row>
    <row r="16" spans="1:11" ht="13.2">
      <c r="A16" s="7">
        <f t="shared" si="0"/>
        <v>6</v>
      </c>
      <c r="B16" s="39">
        <v>44378</v>
      </c>
      <c r="C16" s="40">
        <v>17.071832499999999</v>
      </c>
      <c r="D16" s="40">
        <v>12.066832499999999</v>
      </c>
      <c r="E16" s="40">
        <v>7.1181083333333337</v>
      </c>
      <c r="F16" s="40">
        <v>2.9004441666666678</v>
      </c>
      <c r="G16" s="40"/>
      <c r="H16" s="40"/>
      <c r="I16" s="40"/>
      <c r="J16" s="40"/>
      <c r="K16" s="40"/>
    </row>
    <row r="17" spans="1:11" ht="13.2">
      <c r="A17" s="7">
        <f t="shared" si="0"/>
        <v>7</v>
      </c>
      <c r="B17" s="39">
        <v>44379</v>
      </c>
      <c r="C17" s="40">
        <v>18.013681666666663</v>
      </c>
      <c r="D17" s="40">
        <v>13.00868166666667</v>
      </c>
      <c r="E17" s="40">
        <v>8.0262379166666626</v>
      </c>
      <c r="F17" s="40">
        <v>3.7118458333333324</v>
      </c>
      <c r="G17" s="40"/>
      <c r="H17" s="40"/>
      <c r="I17" s="40"/>
      <c r="J17" s="40"/>
      <c r="K17" s="40"/>
    </row>
    <row r="18" spans="1:11" ht="13.2">
      <c r="A18" s="7">
        <f t="shared" si="0"/>
        <v>8</v>
      </c>
      <c r="B18" s="39">
        <v>44380</v>
      </c>
      <c r="C18" s="40">
        <v>18.819170416666672</v>
      </c>
      <c r="D18" s="40">
        <v>13.81417041666667</v>
      </c>
      <c r="E18" s="40">
        <v>8.8231004166666711</v>
      </c>
      <c r="F18" s="40">
        <v>4.2687716666666677</v>
      </c>
      <c r="G18" s="40"/>
      <c r="H18" s="40"/>
      <c r="I18" s="40"/>
      <c r="J18" s="40"/>
      <c r="K18" s="40"/>
    </row>
    <row r="19" spans="1:11" ht="13.2">
      <c r="A19" s="7">
        <f t="shared" si="0"/>
        <v>9</v>
      </c>
      <c r="B19" s="39">
        <v>44381</v>
      </c>
      <c r="C19" s="40">
        <v>18.977142916666665</v>
      </c>
      <c r="D19" s="40">
        <v>13.972142916666666</v>
      </c>
      <c r="E19" s="40">
        <v>8.9723116666666662</v>
      </c>
      <c r="F19" s="40">
        <v>4.2034212499999999</v>
      </c>
      <c r="G19" s="40"/>
      <c r="H19" s="40"/>
      <c r="I19" s="40"/>
      <c r="J19" s="40"/>
      <c r="K19" s="40"/>
    </row>
    <row r="20" spans="1:11" ht="13.2">
      <c r="A20" s="7">
        <f t="shared" si="0"/>
        <v>10</v>
      </c>
      <c r="B20" s="39">
        <v>44382</v>
      </c>
      <c r="C20" s="40">
        <v>18.519245416666671</v>
      </c>
      <c r="D20" s="40">
        <v>13.514245416666665</v>
      </c>
      <c r="E20" s="40">
        <v>8.5171849999999996</v>
      </c>
      <c r="F20" s="40">
        <v>3.834591666666666</v>
      </c>
      <c r="G20" s="40"/>
      <c r="H20" s="40"/>
      <c r="I20" s="40"/>
      <c r="J20" s="40"/>
      <c r="K20" s="40"/>
    </row>
    <row r="21" spans="1:11" ht="13.2">
      <c r="A21" s="7">
        <f t="shared" si="0"/>
        <v>11</v>
      </c>
      <c r="B21" s="39">
        <v>44383</v>
      </c>
      <c r="C21" s="40">
        <v>18.789139583333331</v>
      </c>
      <c r="D21" s="40">
        <v>13.784139583333333</v>
      </c>
      <c r="E21" s="40">
        <v>8.784341666666668</v>
      </c>
      <c r="F21" s="40">
        <v>3.9405995833333352</v>
      </c>
      <c r="G21" s="40"/>
      <c r="H21" s="40"/>
      <c r="I21" s="40"/>
      <c r="J21" s="40"/>
      <c r="K21" s="40"/>
    </row>
    <row r="22" spans="1:11" ht="13.2">
      <c r="A22" s="7">
        <f t="shared" si="0"/>
        <v>12</v>
      </c>
      <c r="B22" s="39">
        <v>44384</v>
      </c>
      <c r="C22" s="40">
        <v>19.029333749999999</v>
      </c>
      <c r="D22" s="40">
        <v>14.024333750000002</v>
      </c>
      <c r="E22" s="40">
        <v>9.0265362500000013</v>
      </c>
      <c r="F22" s="40">
        <v>4.2523316666666684</v>
      </c>
      <c r="G22" s="40"/>
      <c r="H22" s="40"/>
      <c r="I22" s="40"/>
      <c r="J22" s="40"/>
      <c r="K22" s="40"/>
    </row>
    <row r="23" spans="1:11" ht="13.2">
      <c r="A23" s="7">
        <f t="shared" si="0"/>
        <v>13</v>
      </c>
      <c r="B23" s="39">
        <v>44385</v>
      </c>
      <c r="C23" s="40">
        <v>19.228613750000001</v>
      </c>
      <c r="D23" s="40">
        <v>14.223613750000004</v>
      </c>
      <c r="E23" s="40">
        <v>9.2235487500000009</v>
      </c>
      <c r="F23" s="40">
        <v>4.3628604166666651</v>
      </c>
      <c r="G23" s="40"/>
      <c r="H23" s="40"/>
      <c r="I23" s="40"/>
      <c r="J23" s="40"/>
      <c r="K23" s="40"/>
    </row>
    <row r="24" spans="1:11" ht="13.2">
      <c r="A24" s="7">
        <f t="shared" si="0"/>
        <v>14</v>
      </c>
      <c r="B24" s="39">
        <v>44386</v>
      </c>
      <c r="C24" s="40">
        <v>19.809483750000005</v>
      </c>
      <c r="D24" s="40">
        <v>14.804483749999999</v>
      </c>
      <c r="E24" s="40">
        <v>9.8049987499999993</v>
      </c>
      <c r="F24" s="40">
        <v>4.9610333333333356</v>
      </c>
      <c r="G24" s="40"/>
      <c r="H24" s="40"/>
      <c r="I24" s="40"/>
      <c r="J24" s="40"/>
      <c r="K24" s="40"/>
    </row>
    <row r="25" spans="1:11" ht="13.2">
      <c r="A25" s="7">
        <f t="shared" si="0"/>
        <v>15</v>
      </c>
      <c r="B25" s="39">
        <v>44387</v>
      </c>
      <c r="C25" s="40">
        <v>20.167239583333341</v>
      </c>
      <c r="D25" s="40">
        <v>15.16223958333334</v>
      </c>
      <c r="E25" s="40">
        <v>10.157239583333341</v>
      </c>
      <c r="F25" s="40">
        <v>5.2248466666666733</v>
      </c>
      <c r="G25" s="40"/>
      <c r="H25" s="40"/>
      <c r="I25" s="40"/>
      <c r="J25" s="40"/>
      <c r="K25" s="40"/>
    </row>
    <row r="26" spans="1:11" ht="13.2">
      <c r="A26" s="7">
        <f t="shared" si="0"/>
        <v>16</v>
      </c>
      <c r="B26" s="39">
        <v>44388</v>
      </c>
      <c r="C26" s="40">
        <v>21.111847499999989</v>
      </c>
      <c r="D26" s="40">
        <v>16.106847499999994</v>
      </c>
      <c r="E26" s="40">
        <v>11.10195583333333</v>
      </c>
      <c r="F26" s="40">
        <v>6.1504737499999962</v>
      </c>
      <c r="G26" s="40"/>
      <c r="H26" s="40"/>
      <c r="I26" s="40"/>
      <c r="J26" s="40"/>
      <c r="K26" s="40"/>
    </row>
    <row r="27" spans="1:11" ht="13.2">
      <c r="A27" s="7">
        <f t="shared" si="0"/>
        <v>17</v>
      </c>
      <c r="B27" s="39">
        <v>44389</v>
      </c>
      <c r="C27" s="40">
        <v>21.222944583333334</v>
      </c>
      <c r="D27" s="40">
        <v>16.217944583333335</v>
      </c>
      <c r="E27" s="40">
        <v>11.213204583333333</v>
      </c>
      <c r="F27" s="40">
        <v>6.2357312500000024</v>
      </c>
      <c r="G27" s="40"/>
      <c r="H27" s="40"/>
      <c r="I27" s="40"/>
      <c r="J27" s="40"/>
      <c r="K27" s="40"/>
    </row>
    <row r="28" spans="1:11" ht="13.2">
      <c r="A28" s="7">
        <f t="shared" si="0"/>
        <v>18</v>
      </c>
      <c r="B28" s="39">
        <v>44390</v>
      </c>
      <c r="C28" s="40">
        <v>21.772275</v>
      </c>
      <c r="D28" s="40">
        <v>16.767275000000005</v>
      </c>
      <c r="E28" s="40">
        <v>11.764287500000004</v>
      </c>
      <c r="F28" s="40">
        <v>6.8203204166666698</v>
      </c>
      <c r="G28" s="40"/>
      <c r="H28" s="40"/>
      <c r="I28" s="40"/>
      <c r="J28" s="40"/>
      <c r="K28" s="40"/>
    </row>
    <row r="29" spans="1:16" ht="13.2">
      <c r="A29" s="7">
        <f t="shared" si="0"/>
        <v>19</v>
      </c>
      <c r="B29" s="39">
        <v>44391</v>
      </c>
      <c r="C29" s="40">
        <v>20.840025000000001</v>
      </c>
      <c r="D29" s="40">
        <v>15.835024999999998</v>
      </c>
      <c r="E29" s="40">
        <v>10.890568333333331</v>
      </c>
      <c r="F29" s="40">
        <v>6.2025679166666663</v>
      </c>
      <c r="G29" s="40"/>
      <c r="H29" s="40">
        <f>AVERAGE(C14:C44)</f>
        <v>20.061013440860208</v>
      </c>
      <c r="I29" s="40">
        <f>AVERAGE(D14:D44)</f>
        <v>15.059245712365589</v>
      </c>
      <c r="J29" s="40">
        <f>AVERAGE(E14:E44)</f>
        <v>10.091249731182796</v>
      </c>
      <c r="K29" s="40">
        <f>AVERAGE(F14:F44)</f>
        <v>5.3802640994623667</v>
      </c>
      <c r="M29" s="74"/>
      <c r="N29" s="74"/>
      <c r="O29" s="74"/>
      <c r="P29" s="74"/>
    </row>
    <row r="30" spans="1:10" ht="13.2">
      <c r="A30" s="7">
        <f t="shared" si="0"/>
        <v>20</v>
      </c>
      <c r="B30" s="39">
        <v>44392</v>
      </c>
      <c r="C30" s="40">
        <v>19.47825416666667</v>
      </c>
      <c r="D30" s="40">
        <v>14.490704166666671</v>
      </c>
      <c r="E30" s="40">
        <v>9.6740558333333375</v>
      </c>
      <c r="F30" s="40">
        <v>5.0767708333333355</v>
      </c>
      <c r="G30" s="40"/>
      <c r="H30" s="40"/>
      <c r="I30" s="40"/>
      <c r="J30" s="40"/>
    </row>
    <row r="31" spans="1:10" ht="13.2">
      <c r="A31" s="7">
        <f t="shared" si="0"/>
        <v>21</v>
      </c>
      <c r="B31" s="39">
        <v>44393</v>
      </c>
      <c r="C31" s="40">
        <v>20.320134166666673</v>
      </c>
      <c r="D31" s="40">
        <v>15.325494166666669</v>
      </c>
      <c r="E31" s="40">
        <v>10.339611666666668</v>
      </c>
      <c r="F31" s="40">
        <v>5.7648312500000003</v>
      </c>
      <c r="G31" s="40"/>
      <c r="H31" s="40"/>
      <c r="I31" s="40"/>
      <c r="J31" s="40"/>
    </row>
    <row r="32" spans="1:10" ht="13.2">
      <c r="A32" s="7">
        <f t="shared" si="0"/>
        <v>22</v>
      </c>
      <c r="B32" s="39">
        <v>44394</v>
      </c>
      <c r="C32" s="40">
        <v>20.40939375</v>
      </c>
      <c r="D32" s="40">
        <v>15.412473750000004</v>
      </c>
      <c r="E32" s="40">
        <v>10.508498749999999</v>
      </c>
      <c r="F32" s="40">
        <v>5.9411679166666689</v>
      </c>
      <c r="G32" s="40"/>
      <c r="H32" s="40"/>
      <c r="I32" s="40"/>
      <c r="J32" s="40"/>
    </row>
    <row r="33" spans="1:10" ht="13.2">
      <c r="A33" s="7">
        <f t="shared" si="0"/>
        <v>23</v>
      </c>
      <c r="B33" s="39">
        <v>44395</v>
      </c>
      <c r="C33" s="40">
        <v>20.814248333333335</v>
      </c>
      <c r="D33" s="40">
        <v>15.818048333333337</v>
      </c>
      <c r="E33" s="40">
        <v>11.016878333333334</v>
      </c>
      <c r="F33" s="40">
        <v>6.3212008333333367</v>
      </c>
      <c r="G33" s="40"/>
      <c r="H33" s="40"/>
      <c r="I33" s="40"/>
      <c r="J33" s="40"/>
    </row>
    <row r="34" spans="1:10" ht="13.2">
      <c r="A34" s="7">
        <f t="shared" si="0"/>
        <v>24</v>
      </c>
      <c r="B34" s="39">
        <v>44396</v>
      </c>
      <c r="C34" s="40">
        <v>21.264559166666668</v>
      </c>
      <c r="D34" s="40">
        <v>16.260434166666666</v>
      </c>
      <c r="E34" s="40">
        <v>11.357879166666667</v>
      </c>
      <c r="F34" s="40">
        <v>6.6477950000000039</v>
      </c>
      <c r="G34" s="40"/>
      <c r="H34" s="40"/>
      <c r="I34" s="40"/>
      <c r="J34" s="40"/>
    </row>
    <row r="35" spans="1:10" ht="13.2">
      <c r="A35" s="7">
        <f t="shared" si="0"/>
        <v>25</v>
      </c>
      <c r="B35" s="39">
        <v>44397</v>
      </c>
      <c r="C35" s="40">
        <v>21.353391249999998</v>
      </c>
      <c r="D35" s="40">
        <v>16.348391249999999</v>
      </c>
      <c r="E35" s="40">
        <v>11.346782916666665</v>
      </c>
      <c r="F35" s="40">
        <v>6.4583645833333332</v>
      </c>
      <c r="G35" s="40"/>
      <c r="H35" s="40"/>
      <c r="I35" s="40"/>
      <c r="J35" s="40"/>
    </row>
    <row r="36" spans="1:10" ht="13.2">
      <c r="A36" s="7">
        <f t="shared" si="0"/>
        <v>26</v>
      </c>
      <c r="B36" s="39">
        <v>44398</v>
      </c>
      <c r="C36" s="40">
        <v>22.120597916666675</v>
      </c>
      <c r="D36" s="40">
        <v>17.115597916666665</v>
      </c>
      <c r="E36" s="40">
        <v>12.118414583333337</v>
      </c>
      <c r="F36" s="40">
        <v>7.1517862500000051</v>
      </c>
      <c r="G36" s="40"/>
      <c r="H36" s="40"/>
      <c r="I36" s="40"/>
      <c r="J36" s="40"/>
    </row>
    <row r="37" spans="1:10" ht="13.2">
      <c r="A37" s="7">
        <f t="shared" si="0"/>
        <v>27</v>
      </c>
      <c r="B37" s="39">
        <v>44399</v>
      </c>
      <c r="C37" s="40">
        <v>22.273468333333334</v>
      </c>
      <c r="D37" s="40">
        <v>17.268468333333328</v>
      </c>
      <c r="E37" s="40">
        <v>12.271728333333334</v>
      </c>
      <c r="F37" s="40">
        <v>7.311624583333332</v>
      </c>
      <c r="G37" s="40"/>
      <c r="H37" s="40"/>
      <c r="I37" s="40"/>
      <c r="J37" s="40"/>
    </row>
    <row r="38" spans="1:10" ht="13.2">
      <c r="A38" s="7">
        <f t="shared" si="0"/>
        <v>28</v>
      </c>
      <c r="B38" s="39">
        <v>44400</v>
      </c>
      <c r="C38" s="40">
        <v>21.303435</v>
      </c>
      <c r="D38" s="40">
        <v>16.298435000000001</v>
      </c>
      <c r="E38" s="40">
        <v>11.309621666666667</v>
      </c>
      <c r="F38" s="40">
        <v>6.3770729166666662</v>
      </c>
      <c r="G38" s="40"/>
      <c r="H38" s="40"/>
      <c r="I38" s="40"/>
      <c r="J38" s="40"/>
    </row>
    <row r="39" spans="1:10" ht="13.2">
      <c r="A39" s="7">
        <f t="shared" si="0"/>
        <v>29</v>
      </c>
      <c r="B39" s="39">
        <v>44401</v>
      </c>
      <c r="C39" s="40">
        <v>20.684162499999999</v>
      </c>
      <c r="D39" s="40">
        <v>15.679162499999999</v>
      </c>
      <c r="E39" s="40">
        <v>10.676732499999998</v>
      </c>
      <c r="F39" s="40">
        <v>5.8190191666666653</v>
      </c>
      <c r="G39" s="40"/>
      <c r="H39" s="40"/>
      <c r="I39" s="40"/>
      <c r="J39" s="40"/>
    </row>
    <row r="40" spans="1:10" ht="13.2">
      <c r="A40" s="7">
        <f t="shared" si="0"/>
        <v>30</v>
      </c>
      <c r="B40" s="39">
        <v>44402</v>
      </c>
      <c r="C40" s="40">
        <v>20.81124791666667</v>
      </c>
      <c r="D40" s="40">
        <v>15.824066666666671</v>
      </c>
      <c r="E40" s="40">
        <v>10.870791250000005</v>
      </c>
      <c r="F40" s="40">
        <v>6.2494116666666688</v>
      </c>
      <c r="G40" s="40"/>
      <c r="H40" s="40"/>
      <c r="I40" s="40"/>
      <c r="J40" s="40"/>
    </row>
    <row r="41" spans="1:10" ht="13.2">
      <c r="A41" s="7">
        <f t="shared" si="0"/>
        <v>31</v>
      </c>
      <c r="B41" s="39">
        <v>44403</v>
      </c>
      <c r="C41" s="40">
        <v>20.589457500000005</v>
      </c>
      <c r="D41" s="40">
        <v>15.598707500000003</v>
      </c>
      <c r="E41" s="40">
        <v>10.627100000000004</v>
      </c>
      <c r="F41" s="40">
        <v>6.0008554166666688</v>
      </c>
      <c r="G41" s="40"/>
      <c r="H41" s="40"/>
      <c r="I41" s="40"/>
      <c r="J41" s="40"/>
    </row>
    <row r="42" spans="1:10" ht="13.2">
      <c r="A42" s="7">
        <f t="shared" si="0"/>
        <v>32</v>
      </c>
      <c r="B42" s="39">
        <v>44404</v>
      </c>
      <c r="C42" s="40">
        <v>19.862822916666666</v>
      </c>
      <c r="D42" s="40">
        <v>14.874989583333335</v>
      </c>
      <c r="E42" s="40">
        <v>9.9176704166666685</v>
      </c>
      <c r="F42" s="40">
        <v>5.4272358333333379</v>
      </c>
      <c r="G42" s="40"/>
      <c r="H42" s="40"/>
      <c r="I42" s="40"/>
      <c r="J42" s="40"/>
    </row>
    <row r="43" spans="1:10" ht="13.2">
      <c r="A43" s="7">
        <f t="shared" si="0"/>
        <v>33</v>
      </c>
      <c r="B43" s="39">
        <v>44405</v>
      </c>
      <c r="C43" s="40">
        <v>20.34324625</v>
      </c>
      <c r="D43" s="40">
        <v>15.343646250000001</v>
      </c>
      <c r="E43" s="40">
        <v>10.362869166666663</v>
      </c>
      <c r="F43" s="40">
        <v>5.699220416666666</v>
      </c>
      <c r="G43" s="40"/>
      <c r="H43" s="40"/>
      <c r="I43" s="40"/>
      <c r="J43" s="40"/>
    </row>
    <row r="44" spans="1:10" ht="13.2">
      <c r="A44" s="7">
        <f t="shared" si="0"/>
        <v>34</v>
      </c>
      <c r="B44" s="39">
        <v>44406</v>
      </c>
      <c r="C44" s="40">
        <v>20.741252083333332</v>
      </c>
      <c r="D44" s="40">
        <v>15.736252083333335</v>
      </c>
      <c r="E44" s="40">
        <v>10.739630416666666</v>
      </c>
      <c r="F44" s="40">
        <v>5.9625450000000004</v>
      </c>
      <c r="G44" s="40"/>
      <c r="H44" s="40"/>
      <c r="I44" s="40"/>
      <c r="J44" s="40"/>
    </row>
    <row r="45" spans="1:1" ht="13.2">
      <c r="A45" s="7"/>
    </row>
  </sheetData>
  <mergeCells count="9">
    <mergeCell ref="B1:K1"/>
    <mergeCell ref="B5:J5"/>
    <mergeCell ref="C11:F11"/>
    <mergeCell ref="H11:K11"/>
    <mergeCell ref="B8:K8"/>
    <mergeCell ref="B6:K6"/>
    <mergeCell ref="B4:K4"/>
    <mergeCell ref="B3:K3"/>
    <mergeCell ref="B2:K2"/>
  </mergeCells>
  <printOptions horizontalCentered="1"/>
  <pageMargins left="1.5" right="0.5" top="1.5" bottom="1" header="1" footer="0.5"/>
  <pageSetup orientation="portrait" scale="85" r:id="rId1"/>
  <headerFooter alignWithMargins="0">
    <oddHeader>&amp;RSchedule II-H-5.2
Page &amp;P of 37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8">
    <pageSetUpPr fitToPage="1"/>
  </sheetPr>
  <dimension ref="A1:Y48"/>
  <sheetViews>
    <sheetView view="pageBreakPreview" zoomScaleNormal="100"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10.2857142857143" style="9" bestFit="1" customWidth="1"/>
    <col min="5" max="5" width="10.2857142857143" style="9" customWidth="1"/>
    <col min="6" max="7" width="9.28571428571429" style="9" customWidth="1"/>
    <col min="8" max="8" width="9.14285714285714" style="9" customWidth="1"/>
    <col min="9" max="9" width="9.85714285714286" style="9" customWidth="1"/>
    <col min="10" max="12" width="9.71428571428571" style="9" customWidth="1"/>
    <col min="13" max="13" width="8.71428571428571" style="9" customWidth="1"/>
    <col min="14" max="14" width="9.28571428571429" style="9" bestFit="1" customWidth="1"/>
    <col min="15" max="16384" width="9.14285714285714" style="9"/>
  </cols>
  <sheetData>
    <row r="1" spans="1:15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51"/>
      <c r="O1" s="51"/>
    </row>
    <row r="2" spans="1:15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51"/>
      <c r="O2" s="51"/>
    </row>
    <row r="3" spans="1:15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51"/>
      <c r="O3" s="51"/>
    </row>
    <row r="4" spans="1:15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51"/>
      <c r="O4" s="51"/>
    </row>
    <row r="5" spans="1:15" s="0" customFormat="1" ht="15.6">
      <c r="A5" s="1"/>
      <c r="B5" s="200"/>
      <c r="C5" s="200"/>
      <c r="D5" s="200"/>
      <c r="E5" s="200"/>
      <c r="F5" s="200"/>
      <c r="G5" s="200"/>
      <c r="H5" s="200"/>
      <c r="I5" s="200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4"/>
      <c r="O6" s="4"/>
    </row>
    <row r="7" spans="2:15" ht="15.6">
      <c r="B7" s="96"/>
      <c r="C7" s="4"/>
      <c r="D7" s="4"/>
      <c r="E7" s="135"/>
      <c r="F7" s="4"/>
      <c r="G7" s="178"/>
      <c r="H7" s="4"/>
      <c r="I7" s="4"/>
      <c r="J7" s="4"/>
      <c r="K7" s="135"/>
      <c r="L7" s="178"/>
      <c r="M7" s="4"/>
      <c r="N7" s="4"/>
      <c r="O7" s="4"/>
    </row>
    <row r="8" spans="2:15" ht="15.6">
      <c r="B8" s="200" t="s">
        <v>159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4"/>
      <c r="O8" s="4"/>
    </row>
    <row r="9" spans="1:15" ht="15.6">
      <c r="A9" s="1" t="s">
        <v>6</v>
      </c>
      <c r="B9" s="96"/>
      <c r="C9" s="4"/>
      <c r="D9" s="4"/>
      <c r="E9" s="135"/>
      <c r="F9" s="4"/>
      <c r="G9" s="178"/>
      <c r="H9" s="4"/>
      <c r="I9" s="4"/>
      <c r="J9" s="4"/>
      <c r="K9" s="135"/>
      <c r="L9" s="178"/>
      <c r="M9" s="4"/>
      <c r="N9" s="4"/>
      <c r="O9" s="4"/>
    </row>
    <row r="10" spans="1:1" ht="13.2">
      <c r="A10" s="5" t="s">
        <v>8</v>
      </c>
    </row>
    <row r="11" spans="1:5" ht="13.2">
      <c r="A11" s="7">
        <v>1</v>
      </c>
      <c r="B11" s="34" t="s">
        <v>25</v>
      </c>
      <c r="C11" s="35" t="s">
        <v>26</v>
      </c>
      <c r="D11" s="35" t="s">
        <v>94</v>
      </c>
      <c r="E11" s="35"/>
    </row>
    <row r="12" spans="1:5" ht="13.2">
      <c r="A12" s="7">
        <f>+A11+1</f>
        <v>2</v>
      </c>
      <c r="B12" s="36" t="s">
        <v>27</v>
      </c>
      <c r="C12" s="36" t="s">
        <v>85</v>
      </c>
      <c r="D12" s="36" t="s">
        <v>95</v>
      </c>
      <c r="E12" s="35"/>
    </row>
    <row r="13" spans="1:5" ht="13.2">
      <c r="A13" s="7">
        <f>+A12+1</f>
        <v>3</v>
      </c>
      <c r="B13" s="37" t="s">
        <v>176</v>
      </c>
      <c r="C13" s="33">
        <v>43880</v>
      </c>
      <c r="D13" s="33">
        <v>43851</v>
      </c>
      <c r="E13" s="33"/>
    </row>
    <row r="14" spans="1:13" ht="13.2">
      <c r="A14" s="7"/>
      <c r="B14" s="37"/>
      <c r="C14" s="208"/>
      <c r="D14" s="209"/>
      <c r="E14" s="209"/>
      <c r="F14" s="209"/>
      <c r="G14" s="182"/>
      <c r="H14" s="29"/>
      <c r="I14" s="208"/>
      <c r="J14" s="209"/>
      <c r="K14" s="209"/>
      <c r="L14" s="209"/>
      <c r="M14" s="209"/>
    </row>
    <row r="15" spans="1:13" ht="12.75" customHeight="1">
      <c r="A15" s="7">
        <f>+A13+1</f>
        <v>4</v>
      </c>
      <c r="B15" s="37"/>
      <c r="C15" s="211" t="s">
        <v>77</v>
      </c>
      <c r="D15" s="209"/>
      <c r="E15" s="209"/>
      <c r="F15" s="209"/>
      <c r="G15" s="201"/>
      <c r="H15" s="29"/>
      <c r="I15" s="210" t="s">
        <v>79</v>
      </c>
      <c r="J15" s="205"/>
      <c r="K15" s="205"/>
      <c r="L15" s="205"/>
      <c r="M15" s="205"/>
    </row>
    <row r="16" spans="1:13" ht="13.2">
      <c r="A16" s="7">
        <f t="shared" si="0" ref="A16:B31">+A15+1</f>
        <v>5</v>
      </c>
      <c r="B16" s="37"/>
      <c r="C16" s="18" t="s">
        <v>110</v>
      </c>
      <c r="D16" s="18" t="s">
        <v>137</v>
      </c>
      <c r="E16" s="18" t="s">
        <v>44</v>
      </c>
      <c r="F16" s="97" t="s">
        <v>45</v>
      </c>
      <c r="G16" s="22" t="s">
        <v>14</v>
      </c>
      <c r="H16" s="18"/>
      <c r="I16" s="18" t="s">
        <v>110</v>
      </c>
      <c r="J16" s="18" t="s">
        <v>137</v>
      </c>
      <c r="K16" s="18" t="s">
        <v>44</v>
      </c>
      <c r="L16" s="97" t="s">
        <v>45</v>
      </c>
      <c r="M16" s="22" t="s">
        <v>14</v>
      </c>
    </row>
    <row r="17" spans="1:13" ht="13.2">
      <c r="A17" s="7">
        <f t="shared" si="0"/>
        <v>6</v>
      </c>
      <c r="B17" s="37"/>
      <c r="C17" s="38" t="s">
        <v>29</v>
      </c>
      <c r="D17" s="38" t="s">
        <v>30</v>
      </c>
      <c r="E17" s="38" t="s">
        <v>31</v>
      </c>
      <c r="F17" s="38" t="s">
        <v>114</v>
      </c>
      <c r="G17" s="38" t="s">
        <v>156</v>
      </c>
      <c r="H17" s="38"/>
      <c r="I17" s="38" t="s">
        <v>29</v>
      </c>
      <c r="J17" s="38" t="s">
        <v>30</v>
      </c>
      <c r="K17" s="38" t="s">
        <v>31</v>
      </c>
      <c r="L17" s="38" t="s">
        <v>114</v>
      </c>
      <c r="M17" s="38" t="s">
        <v>156</v>
      </c>
    </row>
    <row r="18" spans="1:25" ht="13.2">
      <c r="A18" s="7">
        <f t="shared" si="0"/>
        <v>7</v>
      </c>
      <c r="B18" s="39">
        <f>+D13</f>
        <v>43851</v>
      </c>
      <c r="C18" s="40">
        <v>1.2913980241935479</v>
      </c>
      <c r="D18" s="40">
        <v>2.8323715322580636</v>
      </c>
      <c r="E18" s="40">
        <v>8.964346169354835</v>
      </c>
      <c r="F18" s="40">
        <v>13.192346021505376</v>
      </c>
      <c r="G18" s="40">
        <v>17.872529637096772</v>
      </c>
      <c r="H18" s="40"/>
      <c r="I18" s="40">
        <v>0.099599999999999828</v>
      </c>
      <c r="J18" s="40">
        <v>1.5017999999999978</v>
      </c>
      <c r="K18" s="40">
        <v>11.018899999999997</v>
      </c>
      <c r="L18" s="40">
        <v>16.018899999999999</v>
      </c>
      <c r="M18" s="40">
        <v>21.018899999999995</v>
      </c>
      <c r="O18" s="189"/>
      <c r="P18" s="189"/>
      <c r="Q18" s="189"/>
      <c r="R18" s="189"/>
      <c r="S18" s="189"/>
      <c r="U18" s="74"/>
      <c r="V18" s="74"/>
      <c r="W18" s="74"/>
      <c r="X18" s="74"/>
      <c r="Y18" s="74"/>
    </row>
    <row r="19" spans="1:13" ht="13.2">
      <c r="A19" s="7">
        <f t="shared" si="0"/>
        <v>8</v>
      </c>
      <c r="B19" s="39">
        <f t="shared" si="0"/>
        <v>43852</v>
      </c>
      <c r="C19" s="40">
        <v>1.2524192338709672</v>
      </c>
      <c r="D19" s="40">
        <v>2.8062482526881714</v>
      </c>
      <c r="E19" s="40">
        <v>8.9110168548387065</v>
      </c>
      <c r="F19" s="40">
        <v>13.116271048387096</v>
      </c>
      <c r="G19" s="40">
        <v>17.778673978494616</v>
      </c>
      <c r="H19" s="40"/>
      <c r="I19" s="40">
        <v>0.086700000000000027</v>
      </c>
      <c r="J19" s="40">
        <v>3.001100000000001</v>
      </c>
      <c r="K19" s="40">
        <v>11.981200000000001</v>
      </c>
      <c r="L19" s="40">
        <v>16.981199999999998</v>
      </c>
      <c r="M19" s="40">
        <v>21.981200000000001</v>
      </c>
    </row>
    <row r="20" spans="1:13" ht="13.2">
      <c r="A20" s="7">
        <f t="shared" si="0"/>
        <v>9</v>
      </c>
      <c r="B20" s="39">
        <f t="shared" si="0"/>
        <v>43853</v>
      </c>
      <c r="C20" s="40">
        <v>1.2216713575268812</v>
      </c>
      <c r="D20" s="40">
        <v>2.7623728897849449</v>
      </c>
      <c r="E20" s="40">
        <v>8.862665618279566</v>
      </c>
      <c r="F20" s="40">
        <v>13.053438225806451</v>
      </c>
      <c r="G20" s="40">
        <v>17.704846357526876</v>
      </c>
      <c r="H20" s="40"/>
      <c r="I20" s="40">
        <v>0</v>
      </c>
      <c r="J20" s="40">
        <v>0.035099999999999923</v>
      </c>
      <c r="K20" s="40">
        <v>6.250099999999998</v>
      </c>
      <c r="L20" s="40">
        <v>11.250099999999996</v>
      </c>
      <c r="M20" s="40">
        <v>16.2501</v>
      </c>
    </row>
    <row r="21" spans="1:13" ht="13.2">
      <c r="A21" s="7">
        <f t="shared" si="0"/>
        <v>10</v>
      </c>
      <c r="B21" s="39">
        <f t="shared" si="0"/>
        <v>43854</v>
      </c>
      <c r="C21" s="40">
        <v>1.1871640053763435</v>
      </c>
      <c r="D21" s="40">
        <v>2.7371312499999987</v>
      </c>
      <c r="E21" s="40">
        <v>8.8386492876344036</v>
      </c>
      <c r="F21" s="40">
        <v>13.01603065860215</v>
      </c>
      <c r="G21" s="40">
        <v>17.657783077956985</v>
      </c>
      <c r="H21" s="40"/>
      <c r="I21" s="40">
        <v>0</v>
      </c>
      <c r="J21" s="40">
        <v>0.088099999999999859</v>
      </c>
      <c r="K21" s="40">
        <v>7.3830000000000009</v>
      </c>
      <c r="L21" s="40">
        <v>12.382999999999999</v>
      </c>
      <c r="M21" s="40">
        <v>17.382999999999999</v>
      </c>
    </row>
    <row r="22" spans="1:13" ht="13.2">
      <c r="A22" s="7">
        <f t="shared" si="0"/>
        <v>11</v>
      </c>
      <c r="B22" s="39">
        <f t="shared" si="0"/>
        <v>43855</v>
      </c>
      <c r="C22" s="40">
        <v>1.1868858870967733</v>
      </c>
      <c r="D22" s="40">
        <v>2.7483743279569874</v>
      </c>
      <c r="E22" s="40">
        <v>8.857556935483867</v>
      </c>
      <c r="F22" s="40">
        <v>13.036364946236557</v>
      </c>
      <c r="G22" s="40">
        <v>17.686457688172037</v>
      </c>
      <c r="H22" s="40"/>
      <c r="I22" s="40">
        <v>0</v>
      </c>
      <c r="J22" s="40">
        <v>0</v>
      </c>
      <c r="K22" s="40">
        <v>2.8553999999999964</v>
      </c>
      <c r="L22" s="40">
        <v>7.8553999999999959</v>
      </c>
      <c r="M22" s="40">
        <v>12.855399999999998</v>
      </c>
    </row>
    <row r="23" spans="1:13" ht="13.2">
      <c r="A23" s="7">
        <f t="shared" si="0"/>
        <v>12</v>
      </c>
      <c r="B23" s="39">
        <f t="shared" si="0"/>
        <v>43856</v>
      </c>
      <c r="C23" s="40">
        <v>1.1914169354838704</v>
      </c>
      <c r="D23" s="40">
        <v>2.754994919354838</v>
      </c>
      <c r="E23" s="40">
        <v>8.8875091935483841</v>
      </c>
      <c r="F23" s="40">
        <v>13.061179637096771</v>
      </c>
      <c r="G23" s="40">
        <v>17.722996841397844</v>
      </c>
      <c r="H23" s="40"/>
      <c r="I23" s="40">
        <v>0</v>
      </c>
      <c r="J23" s="40">
        <v>0</v>
      </c>
      <c r="K23" s="40">
        <v>0.31109999999999993</v>
      </c>
      <c r="L23" s="40">
        <v>4.3856000000000002</v>
      </c>
      <c r="M23" s="40">
        <v>9.2730999999999995</v>
      </c>
    </row>
    <row r="24" spans="1:13" ht="13.2">
      <c r="A24" s="7">
        <f t="shared" si="0"/>
        <v>13</v>
      </c>
      <c r="B24" s="39">
        <f t="shared" si="0"/>
        <v>43857</v>
      </c>
      <c r="C24" s="40">
        <v>1.2133659811827953</v>
      </c>
      <c r="D24" s="40">
        <v>2.7923249193548378</v>
      </c>
      <c r="E24" s="40">
        <v>8.9325108870967718</v>
      </c>
      <c r="F24" s="40">
        <v>13.106411290322576</v>
      </c>
      <c r="G24" s="40">
        <v>17.770556975806446</v>
      </c>
      <c r="H24" s="40"/>
      <c r="I24" s="40">
        <v>0</v>
      </c>
      <c r="J24" s="40">
        <v>0</v>
      </c>
      <c r="K24" s="40">
        <v>3.6150999999999969</v>
      </c>
      <c r="L24" s="40">
        <v>8.4120999999999988</v>
      </c>
      <c r="M24" s="40">
        <v>13.412099999999995</v>
      </c>
    </row>
    <row r="25" spans="1:13" ht="13.2">
      <c r="A25" s="7">
        <f t="shared" si="0"/>
        <v>14</v>
      </c>
      <c r="B25" s="39">
        <f t="shared" si="0"/>
        <v>43858</v>
      </c>
      <c r="C25" s="40">
        <v>1.2016357258064512</v>
      </c>
      <c r="D25" s="40">
        <v>2.7747149999999987</v>
      </c>
      <c r="E25" s="40">
        <v>8.9287585887096768</v>
      </c>
      <c r="F25" s="40">
        <v>13.120043655913976</v>
      </c>
      <c r="G25" s="40">
        <v>17.798177836021502</v>
      </c>
      <c r="H25" s="40"/>
      <c r="I25" s="40">
        <v>0</v>
      </c>
      <c r="J25" s="40">
        <v>0</v>
      </c>
      <c r="K25" s="40">
        <v>3.6238999999999972</v>
      </c>
      <c r="L25" s="40">
        <v>8.4942999999999973</v>
      </c>
      <c r="M25" s="40">
        <v>13.494299999999994</v>
      </c>
    </row>
    <row r="26" spans="1:13" ht="13.2">
      <c r="A26" s="7">
        <f t="shared" si="0"/>
        <v>15</v>
      </c>
      <c r="B26" s="39">
        <f t="shared" si="0"/>
        <v>43859</v>
      </c>
      <c r="C26" s="40">
        <v>1.1681156451612897</v>
      </c>
      <c r="D26" s="40">
        <v>2.7080592876344074</v>
      </c>
      <c r="E26" s="40">
        <v>8.8111721370967739</v>
      </c>
      <c r="F26" s="40">
        <v>12.976530026881719</v>
      </c>
      <c r="G26" s="40">
        <v>17.640003360215047</v>
      </c>
      <c r="H26" s="40"/>
      <c r="I26" s="40">
        <v>0.02</v>
      </c>
      <c r="J26" s="40">
        <v>3.0495999999999976</v>
      </c>
      <c r="K26" s="40">
        <v>12.640299999999996</v>
      </c>
      <c r="L26" s="40">
        <v>17.6403</v>
      </c>
      <c r="M26" s="40">
        <v>22.640299999999993</v>
      </c>
    </row>
    <row r="27" spans="1:13" ht="13.2">
      <c r="A27" s="7">
        <f t="shared" si="0"/>
        <v>16</v>
      </c>
      <c r="B27" s="39">
        <f t="shared" si="0"/>
        <v>43860</v>
      </c>
      <c r="C27" s="40">
        <v>1.1743942069892468</v>
      </c>
      <c r="D27" s="40">
        <v>2.6879476075268802</v>
      </c>
      <c r="E27" s="40">
        <v>8.6757658602150514</v>
      </c>
      <c r="F27" s="40">
        <v>12.789091747311824</v>
      </c>
      <c r="G27" s="40">
        <v>17.433635362903221</v>
      </c>
      <c r="H27" s="40"/>
      <c r="I27" s="40">
        <v>0.10869999999999988</v>
      </c>
      <c r="J27" s="40">
        <v>2.8958999999999993</v>
      </c>
      <c r="K27" s="40">
        <v>12.692199999999996</v>
      </c>
      <c r="L27" s="40">
        <v>17.6922</v>
      </c>
      <c r="M27" s="40">
        <v>22.6922</v>
      </c>
    </row>
    <row r="28" spans="1:13" ht="13.2">
      <c r="A28" s="7">
        <f t="shared" si="0"/>
        <v>17</v>
      </c>
      <c r="B28" s="39">
        <f t="shared" si="0"/>
        <v>43861</v>
      </c>
      <c r="C28" s="40">
        <v>1.1626387365591393</v>
      </c>
      <c r="D28" s="40">
        <v>2.6576130241935472</v>
      </c>
      <c r="E28" s="40">
        <v>8.5573844892473101</v>
      </c>
      <c r="F28" s="40">
        <v>12.629684112903224</v>
      </c>
      <c r="G28" s="40">
        <v>17.244404744623655</v>
      </c>
      <c r="H28" s="40"/>
      <c r="I28" s="40">
        <v>0.01119999999999996</v>
      </c>
      <c r="J28" s="40">
        <v>0.31129999999999985</v>
      </c>
      <c r="K28" s="40">
        <v>8.4481999999999982</v>
      </c>
      <c r="L28" s="40">
        <v>13.448199999999996</v>
      </c>
      <c r="M28" s="40">
        <v>18.448199999999996</v>
      </c>
    </row>
    <row r="29" spans="1:13" ht="13.2">
      <c r="A29" s="7">
        <f t="shared" si="0"/>
        <v>18</v>
      </c>
      <c r="B29" s="39">
        <f t="shared" si="0"/>
        <v>43862</v>
      </c>
      <c r="C29" s="40">
        <v>1.1194566129032255</v>
      </c>
      <c r="D29" s="40">
        <v>2.6112078629032252</v>
      </c>
      <c r="E29" s="40">
        <v>8.4938777956989249</v>
      </c>
      <c r="F29" s="40">
        <v>12.547947997311825</v>
      </c>
      <c r="G29" s="40">
        <v>17.155157809139784</v>
      </c>
      <c r="H29" s="40"/>
      <c r="I29" s="40">
        <v>0</v>
      </c>
      <c r="J29" s="40">
        <v>0</v>
      </c>
      <c r="K29" s="40">
        <v>5.5911999999999997</v>
      </c>
      <c r="L29" s="40">
        <v>10.591199999999997</v>
      </c>
      <c r="M29" s="40">
        <v>15.591199999999995</v>
      </c>
    </row>
    <row r="30" spans="1:13" ht="13.2">
      <c r="A30" s="7">
        <f t="shared" si="0"/>
        <v>19</v>
      </c>
      <c r="B30" s="39">
        <f t="shared" si="0"/>
        <v>43863</v>
      </c>
      <c r="C30" s="40">
        <v>1.0507631989247306</v>
      </c>
      <c r="D30" s="40">
        <v>2.5164780510752682</v>
      </c>
      <c r="E30" s="40">
        <v>8.3301462365591394</v>
      </c>
      <c r="F30" s="40">
        <v>12.358040672043009</v>
      </c>
      <c r="G30" s="40">
        <v>16.944695779569891</v>
      </c>
      <c r="H30" s="40"/>
      <c r="I30" s="40">
        <v>0</v>
      </c>
      <c r="J30" s="40">
        <v>0</v>
      </c>
      <c r="K30" s="40">
        <v>0</v>
      </c>
      <c r="L30" s="40">
        <v>0.6487999999999996</v>
      </c>
      <c r="M30" s="40">
        <v>4.9036999999999997</v>
      </c>
    </row>
    <row r="31" spans="1:13" ht="13.2">
      <c r="A31" s="7">
        <f t="shared" si="0"/>
        <v>20</v>
      </c>
      <c r="B31" s="39">
        <f t="shared" si="0"/>
        <v>43864</v>
      </c>
      <c r="C31" s="40">
        <v>1.0279963306451609</v>
      </c>
      <c r="D31" s="40">
        <v>2.445081787634408</v>
      </c>
      <c r="E31" s="40">
        <v>8.1721986155913982</v>
      </c>
      <c r="F31" s="40">
        <v>12.149746505376342</v>
      </c>
      <c r="G31" s="40">
        <v>16.701733723118277</v>
      </c>
      <c r="H31" s="40"/>
      <c r="I31" s="40">
        <v>0</v>
      </c>
      <c r="J31" s="40">
        <v>0</v>
      </c>
      <c r="K31" s="40">
        <v>0</v>
      </c>
      <c r="L31" s="40">
        <v>0</v>
      </c>
      <c r="M31" s="40">
        <v>3.0548000000000011</v>
      </c>
    </row>
    <row r="32" spans="1:13" ht="13.2">
      <c r="A32" s="7">
        <f t="shared" si="1" ref="A32:B44">+A31+1</f>
        <v>21</v>
      </c>
      <c r="B32" s="39">
        <f t="shared" si="1"/>
        <v>43865</v>
      </c>
      <c r="C32" s="40">
        <v>1.0229253494623651</v>
      </c>
      <c r="D32" s="40">
        <v>2.4091500268817199</v>
      </c>
      <c r="E32" s="40">
        <v>8.051725322580646</v>
      </c>
      <c r="F32" s="40">
        <v>11.985462728494621</v>
      </c>
      <c r="G32" s="40">
        <v>16.498432029569891</v>
      </c>
      <c r="H32" s="40"/>
      <c r="I32" s="40">
        <v>0.059999999999999998</v>
      </c>
      <c r="J32" s="40">
        <v>0.39139999999999975</v>
      </c>
      <c r="K32" s="40">
        <v>4.2814999999999994</v>
      </c>
      <c r="L32" s="40">
        <v>8.5534999999999997</v>
      </c>
      <c r="M32" s="40">
        <v>13.1221</v>
      </c>
    </row>
    <row r="33" spans="1:13" ht="13.2">
      <c r="A33" s="7">
        <f t="shared" si="1"/>
        <v>22</v>
      </c>
      <c r="B33" s="39">
        <f t="shared" si="1"/>
        <v>43866</v>
      </c>
      <c r="C33" s="40">
        <v>0.99323852150537606</v>
      </c>
      <c r="D33" s="40">
        <v>2.3372154704301069</v>
      </c>
      <c r="E33" s="40">
        <v>7.896850698924732</v>
      </c>
      <c r="F33" s="40">
        <v>11.78769876344086</v>
      </c>
      <c r="G33" s="40">
        <v>16.259374274193547</v>
      </c>
      <c r="H33" s="40"/>
      <c r="I33" s="40">
        <v>4.8904999999999967</v>
      </c>
      <c r="J33" s="40">
        <v>9.6338999999999935</v>
      </c>
      <c r="K33" s="40">
        <v>19.610699999999998</v>
      </c>
      <c r="L33" s="40">
        <v>24.610699999999994</v>
      </c>
      <c r="M33" s="40">
        <v>29.610699999999994</v>
      </c>
    </row>
    <row r="34" spans="1:13" ht="13.2">
      <c r="A34" s="7">
        <f t="shared" si="1"/>
        <v>23</v>
      </c>
      <c r="B34" s="39">
        <f t="shared" si="1"/>
        <v>43867</v>
      </c>
      <c r="C34" s="40">
        <v>0.98464685483870928</v>
      </c>
      <c r="D34" s="40">
        <v>2.3157256586021497</v>
      </c>
      <c r="E34" s="40">
        <v>7.7798143817204295</v>
      </c>
      <c r="F34" s="40">
        <v>11.647706626344085</v>
      </c>
      <c r="G34" s="40">
        <v>16.099595013440858</v>
      </c>
      <c r="H34" s="40"/>
      <c r="I34" s="40">
        <v>4.1359999999999966</v>
      </c>
      <c r="J34" s="40">
        <v>9.1071999999999953</v>
      </c>
      <c r="K34" s="40">
        <v>19.107199999999995</v>
      </c>
      <c r="L34" s="40">
        <v>24.107199999999992</v>
      </c>
      <c r="M34" s="40">
        <v>29.107199999999995</v>
      </c>
    </row>
    <row r="35" spans="1:13" ht="13.2">
      <c r="A35" s="7">
        <f t="shared" si="1"/>
        <v>24</v>
      </c>
      <c r="B35" s="39">
        <f t="shared" si="1"/>
        <v>43868</v>
      </c>
      <c r="C35" s="40">
        <v>0.98110280913978454</v>
      </c>
      <c r="D35" s="40">
        <v>2.2968691263440859</v>
      </c>
      <c r="E35" s="40">
        <v>7.7285118010752685</v>
      </c>
      <c r="F35" s="40">
        <v>11.573990860215053</v>
      </c>
      <c r="G35" s="40">
        <v>15.998330080645159</v>
      </c>
      <c r="H35" s="40"/>
      <c r="I35" s="40">
        <v>0</v>
      </c>
      <c r="J35" s="40">
        <v>0.19789999999999988</v>
      </c>
      <c r="K35" s="40">
        <v>9.3817999999999948</v>
      </c>
      <c r="L35" s="40">
        <v>14.381799999999995</v>
      </c>
      <c r="M35" s="40">
        <v>19.381799999999998</v>
      </c>
    </row>
    <row r="36" spans="1:13" ht="13.2">
      <c r="A36" s="7">
        <f t="shared" si="1"/>
        <v>25</v>
      </c>
      <c r="B36" s="39">
        <f t="shared" si="1"/>
        <v>43869</v>
      </c>
      <c r="C36" s="40">
        <v>0.94873439516128988</v>
      </c>
      <c r="D36" s="40">
        <v>2.2245938306451611</v>
      </c>
      <c r="E36" s="40">
        <v>7.560569529569892</v>
      </c>
      <c r="F36" s="40">
        <v>11.375446424731182</v>
      </c>
      <c r="G36" s="40">
        <v>15.779200698924731</v>
      </c>
      <c r="H36" s="40"/>
      <c r="I36" s="40">
        <v>0</v>
      </c>
      <c r="J36" s="40">
        <v>0</v>
      </c>
      <c r="K36" s="40">
        <v>3.0648999999999962</v>
      </c>
      <c r="L36" s="40">
        <v>8.0648999999999962</v>
      </c>
      <c r="M36" s="40">
        <v>13.064899999999996</v>
      </c>
    </row>
    <row r="37" spans="1:13" ht="13.2">
      <c r="A37" s="7">
        <f t="shared" si="1"/>
        <v>26</v>
      </c>
      <c r="B37" s="39">
        <f t="shared" si="1"/>
        <v>43870</v>
      </c>
      <c r="C37" s="40">
        <v>0.94389958333333324</v>
      </c>
      <c r="D37" s="40">
        <v>2.1938292741935479</v>
      </c>
      <c r="E37" s="40">
        <v>7.4271959677419357</v>
      </c>
      <c r="F37" s="40">
        <v>11.208696760752687</v>
      </c>
      <c r="G37" s="40">
        <v>15.588738897849463</v>
      </c>
      <c r="H37" s="40"/>
      <c r="I37" s="40">
        <v>0</v>
      </c>
      <c r="J37" s="40">
        <v>0</v>
      </c>
      <c r="K37" s="40">
        <v>0</v>
      </c>
      <c r="L37" s="40">
        <v>0</v>
      </c>
      <c r="M37" s="40">
        <v>2.6269999999999967</v>
      </c>
    </row>
    <row r="38" spans="1:13" ht="13.2">
      <c r="A38" s="7">
        <f t="shared" si="1"/>
        <v>27</v>
      </c>
      <c r="B38" s="39">
        <f t="shared" si="1"/>
        <v>43871</v>
      </c>
      <c r="C38" s="40">
        <v>0.96146922043010741</v>
      </c>
      <c r="D38" s="40">
        <v>2.1989042473118272</v>
      </c>
      <c r="E38" s="40">
        <v>7.403338118279569</v>
      </c>
      <c r="F38" s="40">
        <v>11.185097446236563</v>
      </c>
      <c r="G38" s="40">
        <v>15.552316223118282</v>
      </c>
      <c r="H38" s="40"/>
      <c r="I38" s="40">
        <v>0.047</v>
      </c>
      <c r="J38" s="40">
        <v>0.32979999999999965</v>
      </c>
      <c r="K38" s="40">
        <v>8.5811999999999973</v>
      </c>
      <c r="L38" s="40">
        <v>13.151199999999998</v>
      </c>
      <c r="M38" s="40">
        <v>18.006199999999993</v>
      </c>
    </row>
    <row r="39" spans="1:13" ht="13.2">
      <c r="A39" s="7">
        <f t="shared" si="1"/>
        <v>28</v>
      </c>
      <c r="B39" s="39">
        <f t="shared" si="1"/>
        <v>43872</v>
      </c>
      <c r="C39" s="40">
        <v>0.99664936827956974</v>
      </c>
      <c r="D39" s="40">
        <v>2.250902002688171</v>
      </c>
      <c r="E39" s="40">
        <v>7.4465292607526887</v>
      </c>
      <c r="F39" s="40">
        <v>11.218374623655915</v>
      </c>
      <c r="G39" s="40">
        <v>15.576880981182798</v>
      </c>
      <c r="H39" s="40"/>
      <c r="I39" s="40">
        <v>0.32289999999999969</v>
      </c>
      <c r="J39" s="40">
        <v>3.2783000000000007</v>
      </c>
      <c r="K39" s="40">
        <v>13.079899999999999</v>
      </c>
      <c r="L39" s="40">
        <v>18.079899999999999</v>
      </c>
      <c r="M39" s="40">
        <v>23.079900000000006</v>
      </c>
    </row>
    <row r="40" spans="1:13" ht="13.2">
      <c r="A40" s="7">
        <f t="shared" si="1"/>
        <v>29</v>
      </c>
      <c r="B40" s="39">
        <f t="shared" si="1"/>
        <v>43873</v>
      </c>
      <c r="C40" s="40">
        <v>1.0023945564516128</v>
      </c>
      <c r="D40" s="40">
        <v>2.2457326478494619</v>
      </c>
      <c r="E40" s="40">
        <v>7.3985170430107523</v>
      </c>
      <c r="F40" s="40">
        <v>11.138616747311827</v>
      </c>
      <c r="G40" s="40">
        <v>15.476589462365594</v>
      </c>
      <c r="H40" s="40"/>
      <c r="I40" s="40">
        <v>0</v>
      </c>
      <c r="J40" s="40">
        <v>1.2117999999999978</v>
      </c>
      <c r="K40" s="40">
        <v>10.830399999999996</v>
      </c>
      <c r="L40" s="40">
        <v>15.830399999999997</v>
      </c>
      <c r="M40" s="40">
        <v>20.830400000000001</v>
      </c>
    </row>
    <row r="41" spans="1:13" ht="13.2">
      <c r="A41" s="7">
        <f t="shared" si="1"/>
        <v>30</v>
      </c>
      <c r="B41" s="39">
        <f t="shared" si="1"/>
        <v>43874</v>
      </c>
      <c r="C41" s="40">
        <v>0.99433814516129027</v>
      </c>
      <c r="D41" s="40">
        <v>2.2368569758064512</v>
      </c>
      <c r="E41" s="40">
        <v>7.3700396102150547</v>
      </c>
      <c r="F41" s="40">
        <v>11.087422500000001</v>
      </c>
      <c r="G41" s="40">
        <v>15.396596760752688</v>
      </c>
      <c r="H41" s="40"/>
      <c r="I41" s="40">
        <v>0.59549999999999992</v>
      </c>
      <c r="J41" s="40">
        <v>5.0883999999999991</v>
      </c>
      <c r="K41" s="40">
        <v>15.032799999999998</v>
      </c>
      <c r="L41" s="40">
        <v>20.032799999999998</v>
      </c>
      <c r="M41" s="40">
        <v>25.032799999999998</v>
      </c>
    </row>
    <row r="42" spans="1:13" ht="13.2">
      <c r="A42" s="7">
        <f t="shared" si="1"/>
        <v>31</v>
      </c>
      <c r="B42" s="39">
        <f t="shared" si="1"/>
        <v>43875</v>
      </c>
      <c r="C42" s="40">
        <v>0.96743259408602145</v>
      </c>
      <c r="D42" s="40">
        <v>2.161602486559139</v>
      </c>
      <c r="E42" s="40">
        <v>7.1229036021505374</v>
      </c>
      <c r="F42" s="40">
        <v>10.758224018817204</v>
      </c>
      <c r="G42" s="40">
        <v>15.011258373655913</v>
      </c>
      <c r="H42" s="40"/>
      <c r="I42" s="40">
        <v>2.1489999999999978</v>
      </c>
      <c r="J42" s="40">
        <v>6.8913999999999973</v>
      </c>
      <c r="K42" s="40">
        <v>16.891399999999997</v>
      </c>
      <c r="L42" s="40">
        <v>21.891399999999994</v>
      </c>
      <c r="M42" s="40">
        <v>26.891399999999997</v>
      </c>
    </row>
    <row r="43" spans="1:13" ht="13.2">
      <c r="A43" s="7">
        <f t="shared" si="1"/>
        <v>32</v>
      </c>
      <c r="B43" s="39">
        <f t="shared" si="1"/>
        <v>43876</v>
      </c>
      <c r="C43" s="40">
        <v>0.95767248655913972</v>
      </c>
      <c r="D43" s="40">
        <v>2.1414700806451608</v>
      </c>
      <c r="E43" s="40">
        <v>7.031684838709678</v>
      </c>
      <c r="F43" s="40">
        <v>10.618879018817205</v>
      </c>
      <c r="G43" s="40">
        <v>14.832888024193547</v>
      </c>
      <c r="H43" s="40"/>
      <c r="I43" s="40">
        <v>0</v>
      </c>
      <c r="J43" s="40">
        <v>0</v>
      </c>
      <c r="K43" s="40">
        <v>4.6612000000000009</v>
      </c>
      <c r="L43" s="40">
        <v>9.6611999999999991</v>
      </c>
      <c r="M43" s="40">
        <v>14.661199999999999</v>
      </c>
    </row>
    <row r="44" spans="1:13" ht="13.2">
      <c r="A44" s="7">
        <f t="shared" si="1"/>
        <v>33</v>
      </c>
      <c r="B44" s="39">
        <f t="shared" si="1"/>
        <v>43877</v>
      </c>
      <c r="C44" s="40">
        <v>0.97048193548387085</v>
      </c>
      <c r="D44" s="40">
        <v>2.1568862768817199</v>
      </c>
      <c r="E44" s="40">
        <v>7.0282930913978499</v>
      </c>
      <c r="F44" s="40">
        <v>10.603602244623655</v>
      </c>
      <c r="G44" s="40">
        <v>14.808234341397849</v>
      </c>
      <c r="H44" s="40"/>
      <c r="I44" s="40">
        <v>0</v>
      </c>
      <c r="J44" s="40">
        <v>0</v>
      </c>
      <c r="K44" s="40">
        <v>0.15399999999999992</v>
      </c>
      <c r="L44" s="40">
        <v>0.36739999999999978</v>
      </c>
      <c r="M44" s="40">
        <v>3.8058999999999985</v>
      </c>
    </row>
    <row r="45" spans="1:13" ht="13.2">
      <c r="A45" s="7">
        <f t="shared" si="2" ref="A45:B46">+A44+1</f>
        <v>34</v>
      </c>
      <c r="B45" s="39">
        <f t="shared" si="2"/>
        <v>43878</v>
      </c>
      <c r="C45" s="40">
        <v>0.98693373655913941</v>
      </c>
      <c r="D45" s="40">
        <v>2.1541947983870964</v>
      </c>
      <c r="E45" s="40">
        <v>7.0086850806451624</v>
      </c>
      <c r="F45" s="40">
        <v>10.565550295698925</v>
      </c>
      <c r="G45" s="40">
        <v>14.753960188172041</v>
      </c>
      <c r="H45" s="40"/>
      <c r="I45" s="40">
        <v>0</v>
      </c>
      <c r="J45" s="40">
        <v>0</v>
      </c>
      <c r="K45" s="40">
        <v>0.072000000000000036</v>
      </c>
      <c r="L45" s="40">
        <v>0.17200000000000004</v>
      </c>
      <c r="M45" s="40">
        <v>0.58989999999999998</v>
      </c>
    </row>
    <row r="46" spans="1:13" ht="13.2">
      <c r="A46" s="7">
        <f t="shared" si="2"/>
        <v>35</v>
      </c>
      <c r="B46" s="39">
        <f t="shared" si="2"/>
        <v>43879</v>
      </c>
      <c r="C46" s="40">
        <v>0.94586552419354797</v>
      </c>
      <c r="D46" s="40">
        <v>2.0787617741935476</v>
      </c>
      <c r="E46" s="40">
        <v>6.8589333198924729</v>
      </c>
      <c r="F46" s="40">
        <v>10.399995026881719</v>
      </c>
      <c r="G46" s="40">
        <v>14.555134059139784</v>
      </c>
      <c r="H46" s="40"/>
      <c r="I46" s="40">
        <v>0</v>
      </c>
      <c r="J46" s="40">
        <v>0</v>
      </c>
      <c r="K46" s="40">
        <v>0.96199999999999974</v>
      </c>
      <c r="L46" s="40">
        <v>5.1398000000000001</v>
      </c>
      <c r="M46" s="40">
        <v>9.8382000000000005</v>
      </c>
    </row>
    <row r="47" spans="1:13" ht="13.2">
      <c r="A47" s="7">
        <f>+A46+1</f>
        <v>36</v>
      </c>
      <c r="B47" s="39" t="s">
        <v>51</v>
      </c>
      <c r="C47" s="198">
        <f>SUM(C18:C46)</f>
        <v>31.107106962365574</v>
      </c>
      <c r="D47" s="198">
        <f>SUM(D18:D46)</f>
        <v>71.237615389784935</v>
      </c>
      <c r="E47" s="198">
        <f>SUM(E18:E46)</f>
        <v>233.33715033602149</v>
      </c>
      <c r="F47" s="198">
        <f>SUM(F18:F46)</f>
        <v>347.30789063172034</v>
      </c>
      <c r="G47" s="198">
        <f>SUM(G18:G46)</f>
        <v>477.29918258064504</v>
      </c>
      <c r="H47" s="40"/>
      <c r="I47" s="198">
        <f>SUM(I18:I46)</f>
        <v>12.52709999999999</v>
      </c>
      <c r="J47" s="198">
        <f>SUM(J18:J46)</f>
        <v>47.012999999999977</v>
      </c>
      <c r="K47" s="198">
        <f>SUM(K18:K46)</f>
        <v>212.12159999999997</v>
      </c>
      <c r="L47" s="198">
        <f>SUM(L18:L46)</f>
        <v>329.8454999999999</v>
      </c>
      <c r="M47" s="198">
        <f>SUM(M18:M46)</f>
        <v>462.64809999999989</v>
      </c>
    </row>
    <row r="48" spans="1:1" ht="13.2">
      <c r="A48" s="7"/>
    </row>
  </sheetData>
  <mergeCells count="11">
    <mergeCell ref="B6:M6"/>
    <mergeCell ref="B8:M8"/>
    <mergeCell ref="C14:F14"/>
    <mergeCell ref="I14:M14"/>
    <mergeCell ref="I15:M15"/>
    <mergeCell ref="C15:G15"/>
    <mergeCell ref="B1:M1"/>
    <mergeCell ref="B2:M2"/>
    <mergeCell ref="B3:M3"/>
    <mergeCell ref="B4:M4"/>
    <mergeCell ref="B5:O5"/>
  </mergeCells>
  <printOptions horizontalCentered="1"/>
  <pageMargins left="1.5" right="0.5" top="1.5" bottom="1" header="1" footer="0.5"/>
  <pageSetup orientation="portrait" scale="68" r:id="rId1"/>
  <headerFooter alignWithMargins="0">
    <oddHeader>&amp;RSchedule II-H-5.2
Page &amp;P of 37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9">
    <pageSetUpPr fitToPage="1"/>
  </sheetPr>
  <dimension ref="A1:U48"/>
  <sheetViews>
    <sheetView zoomScaleSheetLayoutView="100" workbookViewId="0" topLeftCell="A1"/>
  </sheetViews>
  <sheetFormatPr defaultColWidth="9.11428571428571" defaultRowHeight="13.5"/>
  <cols>
    <col min="1" max="1" width="9.14285714285714" style="9"/>
    <col min="2" max="2" width="11.4285714285714" style="9" customWidth="1"/>
    <col min="3" max="3" width="9.14285714285714" style="7"/>
    <col min="4" max="4" width="10.2857142857143" style="9" bestFit="1" customWidth="1"/>
    <col min="5" max="6" width="9.71428571428571" style="9" customWidth="1"/>
    <col min="7" max="7" width="9.57142857142857" style="9" customWidth="1"/>
    <col min="8" max="8" width="9.28571428571429" style="9" customWidth="1"/>
    <col min="9" max="10" width="9.71428571428571" style="9" customWidth="1"/>
    <col min="11" max="11" width="8.71428571428571" style="9" customWidth="1"/>
    <col min="12" max="16384" width="9.14285714285714" style="9"/>
  </cols>
  <sheetData>
    <row r="1" spans="1:12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51"/>
    </row>
    <row r="2" spans="1:12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51"/>
    </row>
    <row r="3" spans="1:12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51"/>
    </row>
    <row r="4" spans="1:12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51"/>
    </row>
    <row r="5" spans="1:12" s="0" customFormat="1" ht="15.6">
      <c r="A5" s="1"/>
      <c r="B5" s="200"/>
      <c r="C5" s="200"/>
      <c r="D5" s="200"/>
      <c r="E5" s="200"/>
      <c r="F5" s="200"/>
      <c r="G5" s="200"/>
      <c r="H5" s="200"/>
      <c r="I5" s="202"/>
      <c r="J5" s="202"/>
      <c r="K5" s="202"/>
      <c r="L5" s="202"/>
    </row>
    <row r="6" spans="2:12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4"/>
    </row>
    <row r="7" spans="2:12" ht="15.6">
      <c r="B7" s="96"/>
      <c r="C7" s="4"/>
      <c r="D7" s="4"/>
      <c r="E7" s="4"/>
      <c r="F7" s="178"/>
      <c r="G7" s="4"/>
      <c r="H7" s="4"/>
      <c r="I7" s="4"/>
      <c r="J7" s="178"/>
      <c r="K7" s="4"/>
      <c r="L7" s="4"/>
    </row>
    <row r="8" spans="2:12" ht="15.6">
      <c r="B8" s="200" t="s">
        <v>160</v>
      </c>
      <c r="C8" s="202"/>
      <c r="D8" s="202"/>
      <c r="E8" s="202"/>
      <c r="F8" s="202"/>
      <c r="G8" s="202"/>
      <c r="H8" s="202"/>
      <c r="I8" s="202"/>
      <c r="J8" s="202"/>
      <c r="K8" s="202"/>
      <c r="L8" s="4"/>
    </row>
    <row r="9" spans="1:12" ht="15.6">
      <c r="A9" s="1" t="s">
        <v>6</v>
      </c>
      <c r="B9" s="96"/>
      <c r="C9" s="4"/>
      <c r="D9" s="4"/>
      <c r="E9" s="4"/>
      <c r="F9" s="178"/>
      <c r="G9" s="4"/>
      <c r="H9" s="4"/>
      <c r="I9" s="4"/>
      <c r="J9" s="178"/>
      <c r="K9" s="4"/>
      <c r="L9" s="4"/>
    </row>
    <row r="10" spans="1:1" ht="13.2">
      <c r="A10" s="5" t="s">
        <v>8</v>
      </c>
    </row>
    <row r="11" spans="1:4" ht="13.2">
      <c r="A11" s="7">
        <v>1</v>
      </c>
      <c r="B11" s="34" t="s">
        <v>25</v>
      </c>
      <c r="C11" s="35" t="s">
        <v>26</v>
      </c>
      <c r="D11" s="35" t="s">
        <v>94</v>
      </c>
    </row>
    <row r="12" spans="1:4" ht="13.2">
      <c r="A12" s="7">
        <f>+A11+1</f>
        <v>2</v>
      </c>
      <c r="B12" s="36" t="s">
        <v>27</v>
      </c>
      <c r="C12" s="36" t="s">
        <v>85</v>
      </c>
      <c r="D12" s="36" t="s">
        <v>95</v>
      </c>
    </row>
    <row r="13" spans="1:4" ht="13.2">
      <c r="A13" s="7">
        <f>+A12+1</f>
        <v>3</v>
      </c>
      <c r="B13" s="37" t="s">
        <v>177</v>
      </c>
      <c r="C13" s="33">
        <v>44061</v>
      </c>
      <c r="D13" s="33">
        <v>44032</v>
      </c>
    </row>
    <row r="14" spans="1:11" ht="13.2">
      <c r="A14" s="7"/>
      <c r="B14" s="37"/>
      <c r="C14" s="208"/>
      <c r="D14" s="209"/>
      <c r="E14" s="209"/>
      <c r="F14" s="182"/>
      <c r="G14" s="29"/>
      <c r="H14" s="208"/>
      <c r="I14" s="209"/>
      <c r="J14" s="209"/>
      <c r="K14" s="209"/>
    </row>
    <row r="15" spans="1:11" ht="12.75" customHeight="1">
      <c r="A15" s="7">
        <f>+A13+1</f>
        <v>4</v>
      </c>
      <c r="B15" s="37"/>
      <c r="C15" s="204" t="s">
        <v>80</v>
      </c>
      <c r="D15" s="206"/>
      <c r="E15" s="206"/>
      <c r="F15" s="206"/>
      <c r="G15" s="29"/>
      <c r="H15" s="204" t="s">
        <v>84</v>
      </c>
      <c r="I15" s="207"/>
      <c r="J15" s="207"/>
      <c r="K15" s="207"/>
    </row>
    <row r="16" spans="1:11" ht="13.2">
      <c r="A16" s="7">
        <f>+A15+1</f>
        <v>5</v>
      </c>
      <c r="B16" s="37"/>
      <c r="C16" s="18" t="s">
        <v>14</v>
      </c>
      <c r="D16" s="18" t="s">
        <v>16</v>
      </c>
      <c r="E16" s="22" t="s">
        <v>18</v>
      </c>
      <c r="F16" s="22" t="s">
        <v>132</v>
      </c>
      <c r="G16" s="18"/>
      <c r="H16" s="18" t="s">
        <v>14</v>
      </c>
      <c r="I16" s="18" t="s">
        <v>16</v>
      </c>
      <c r="J16" s="22" t="s">
        <v>18</v>
      </c>
      <c r="K16" s="22" t="s">
        <v>132</v>
      </c>
    </row>
    <row r="17" spans="1:11" ht="13.2">
      <c r="A17" s="7">
        <f t="shared" si="0" ref="A17:A46">+A16+1</f>
        <v>6</v>
      </c>
      <c r="B17" s="37"/>
      <c r="C17" s="38" t="s">
        <v>29</v>
      </c>
      <c r="D17" s="38" t="s">
        <v>30</v>
      </c>
      <c r="E17" s="38" t="s">
        <v>31</v>
      </c>
      <c r="F17" s="38" t="s">
        <v>114</v>
      </c>
      <c r="G17" s="38"/>
      <c r="H17" s="38" t="s">
        <v>29</v>
      </c>
      <c r="I17" s="38" t="s">
        <v>30</v>
      </c>
      <c r="J17" s="38" t="s">
        <v>31</v>
      </c>
      <c r="K17" s="38" t="s">
        <v>114</v>
      </c>
    </row>
    <row r="18" spans="1:21" ht="13.2">
      <c r="A18" s="7">
        <f t="shared" si="0"/>
        <v>7</v>
      </c>
      <c r="B18" s="39">
        <f>+D13</f>
        <v>44032</v>
      </c>
      <c r="C18" s="40">
        <v>20.723995698924732</v>
      </c>
      <c r="D18" s="40">
        <v>15.722227970430106</v>
      </c>
      <c r="E18" s="40">
        <v>10.748524623655912</v>
      </c>
      <c r="F18" s="40">
        <v>5.9633742069892488</v>
      </c>
      <c r="G18" s="40"/>
      <c r="H18" s="40">
        <v>21.101100000000002</v>
      </c>
      <c r="I18" s="40">
        <v>16.096100000000003</v>
      </c>
      <c r="J18" s="40">
        <v>11.091100000000003</v>
      </c>
      <c r="K18" s="40">
        <v>6.086100000000001</v>
      </c>
      <c r="M18" s="189"/>
      <c r="N18" s="189"/>
      <c r="O18" s="189"/>
      <c r="P18" s="189"/>
      <c r="R18" s="192"/>
      <c r="S18" s="192"/>
      <c r="T18" s="192"/>
      <c r="U18" s="192"/>
    </row>
    <row r="19" spans="1:11" ht="13.2">
      <c r="A19" s="7">
        <f t="shared" si="0"/>
        <v>8</v>
      </c>
      <c r="B19" s="39">
        <f t="shared" si="1" ref="B19:B46">+B18+1</f>
        <v>44033</v>
      </c>
      <c r="C19" s="40">
        <v>20.869168897849462</v>
      </c>
      <c r="D19" s="40">
        <v>15.867401169354839</v>
      </c>
      <c r="E19" s="40">
        <v>10.893704556451612</v>
      </c>
      <c r="F19" s="40">
        <v>6.0996532795698943</v>
      </c>
      <c r="G19" s="40"/>
      <c r="H19" s="40">
        <v>17.657700000000006</v>
      </c>
      <c r="I19" s="40">
        <v>12.652700000000008</v>
      </c>
      <c r="J19" s="40">
        <v>7.6477000000000075</v>
      </c>
      <c r="K19" s="40">
        <v>2.6801000000000061</v>
      </c>
    </row>
    <row r="20" spans="1:11" ht="13.2">
      <c r="A20" s="7">
        <f t="shared" si="0"/>
        <v>9</v>
      </c>
      <c r="B20" s="39">
        <f t="shared" si="1"/>
        <v>44034</v>
      </c>
      <c r="C20" s="40">
        <v>21.00177556451613</v>
      </c>
      <c r="D20" s="40">
        <v>16.000007836021506</v>
      </c>
      <c r="E20" s="40">
        <v>11.026143413978492</v>
      </c>
      <c r="F20" s="40">
        <v>6.2279148252688197</v>
      </c>
      <c r="G20" s="40"/>
      <c r="H20" s="40">
        <v>19.535900000000005</v>
      </c>
      <c r="I20" s="40">
        <v>14.530900000000003</v>
      </c>
      <c r="J20" s="40">
        <v>9.5259</v>
      </c>
      <c r="K20" s="40">
        <v>4.5454000000000034</v>
      </c>
    </row>
    <row r="21" spans="1:11" ht="13.2">
      <c r="A21" s="7">
        <f t="shared" si="0"/>
        <v>10</v>
      </c>
      <c r="B21" s="39">
        <f t="shared" si="1"/>
        <v>44035</v>
      </c>
      <c r="C21" s="40">
        <v>21.115392500000002</v>
      </c>
      <c r="D21" s="40">
        <v>16.113624771505375</v>
      </c>
      <c r="E21" s="40">
        <v>11.139528010752686</v>
      </c>
      <c r="F21" s="40">
        <v>6.3373543145161308</v>
      </c>
      <c r="G21" s="40"/>
      <c r="H21" s="40">
        <v>21.403200000000005</v>
      </c>
      <c r="I21" s="40">
        <v>16.398200000000003</v>
      </c>
      <c r="J21" s="40">
        <v>11.3932</v>
      </c>
      <c r="K21" s="40">
        <v>6.3882000000000012</v>
      </c>
    </row>
    <row r="22" spans="1:11" ht="13.2">
      <c r="A22" s="7">
        <f t="shared" si="0"/>
        <v>11</v>
      </c>
      <c r="B22" s="39">
        <f t="shared" si="1"/>
        <v>44036</v>
      </c>
      <c r="C22" s="40">
        <v>21.212140497311825</v>
      </c>
      <c r="D22" s="40">
        <v>16.210372768817205</v>
      </c>
      <c r="E22" s="40">
        <v>11.236202231182793</v>
      </c>
      <c r="F22" s="40">
        <v>6.4316939112903251</v>
      </c>
      <c r="G22" s="40"/>
      <c r="H22" s="40">
        <v>21.807699999999997</v>
      </c>
      <c r="I22" s="40">
        <v>16.802700000000002</v>
      </c>
      <c r="J22" s="40">
        <v>11.797699999999999</v>
      </c>
      <c r="K22" s="40">
        <v>6.7927</v>
      </c>
    </row>
    <row r="23" spans="1:11" ht="13.2">
      <c r="A23" s="7">
        <f t="shared" si="0"/>
        <v>12</v>
      </c>
      <c r="B23" s="39">
        <f t="shared" si="1"/>
        <v>44037</v>
      </c>
      <c r="C23" s="40">
        <v>21.292581518817201</v>
      </c>
      <c r="D23" s="40">
        <v>16.290813790322581</v>
      </c>
      <c r="E23" s="40">
        <v>11.316624422043009</v>
      </c>
      <c r="F23" s="40">
        <v>6.5093397311827976</v>
      </c>
      <c r="G23" s="40"/>
      <c r="H23" s="40">
        <v>18.702699999999993</v>
      </c>
      <c r="I23" s="40">
        <v>13.697699999999996</v>
      </c>
      <c r="J23" s="40">
        <v>8.6926999999999968</v>
      </c>
      <c r="K23" s="40">
        <v>3.6876999999999978</v>
      </c>
    </row>
    <row r="24" spans="1:11" ht="13.2">
      <c r="A24" s="7">
        <f t="shared" si="0"/>
        <v>13</v>
      </c>
      <c r="B24" s="39">
        <f t="shared" si="1"/>
        <v>44038</v>
      </c>
      <c r="C24" s="40">
        <v>21.354954112903222</v>
      </c>
      <c r="D24" s="40">
        <v>16.353186384408602</v>
      </c>
      <c r="E24" s="40">
        <v>11.379166249999999</v>
      </c>
      <c r="F24" s="40">
        <v>6.5774233870967773</v>
      </c>
      <c r="G24" s="40"/>
      <c r="H24" s="40">
        <v>18.702600000000004</v>
      </c>
      <c r="I24" s="40">
        <v>13.697600000000005</v>
      </c>
      <c r="J24" s="40">
        <v>8.6926000000000059</v>
      </c>
      <c r="K24" s="40">
        <v>3.805600000000005</v>
      </c>
    </row>
    <row r="25" spans="1:11" ht="13.2">
      <c r="A25" s="7">
        <f t="shared" si="0"/>
        <v>14</v>
      </c>
      <c r="B25" s="39">
        <f t="shared" si="1"/>
        <v>44039</v>
      </c>
      <c r="C25" s="40">
        <v>21.360273346774193</v>
      </c>
      <c r="D25" s="40">
        <v>16.358505618279569</v>
      </c>
      <c r="E25" s="40">
        <v>11.385920994623655</v>
      </c>
      <c r="F25" s="40">
        <v>6.5911098790322615</v>
      </c>
      <c r="G25" s="40"/>
      <c r="H25" s="40">
        <v>18.003300000000003</v>
      </c>
      <c r="I25" s="40">
        <v>12.998300000000004</v>
      </c>
      <c r="J25" s="40">
        <v>7.9933000000000067</v>
      </c>
      <c r="K25" s="40">
        <v>2.9883000000000064</v>
      </c>
    </row>
    <row r="26" spans="1:11" ht="13.2">
      <c r="A26" s="7">
        <f t="shared" si="0"/>
        <v>15</v>
      </c>
      <c r="B26" s="39">
        <f t="shared" si="1"/>
        <v>44040</v>
      </c>
      <c r="C26" s="40">
        <v>21.34643630376344</v>
      </c>
      <c r="D26" s="40">
        <v>16.344668575268816</v>
      </c>
      <c r="E26" s="40">
        <v>11.372919072580645</v>
      </c>
      <c r="F26" s="40">
        <v>6.5937899731182821</v>
      </c>
      <c r="G26" s="40"/>
      <c r="H26" s="40">
        <v>14.463600000000001</v>
      </c>
      <c r="I26" s="40">
        <v>9.4585999999999988</v>
      </c>
      <c r="J26" s="40">
        <v>4.453599999999998</v>
      </c>
      <c r="K26" s="40">
        <v>0.68860000000000032</v>
      </c>
    </row>
    <row r="27" spans="1:11" ht="13.2">
      <c r="A27" s="7">
        <f t="shared" si="0"/>
        <v>16</v>
      </c>
      <c r="B27" s="39">
        <f t="shared" si="1"/>
        <v>44041</v>
      </c>
      <c r="C27" s="40">
        <v>21.289058951612901</v>
      </c>
      <c r="D27" s="40">
        <v>16.287291223118281</v>
      </c>
      <c r="E27" s="40">
        <v>11.316279005376346</v>
      </c>
      <c r="F27" s="40">
        <v>6.5552318682795727</v>
      </c>
      <c r="G27" s="40"/>
      <c r="H27" s="40">
        <v>18.615100000000005</v>
      </c>
      <c r="I27" s="40">
        <v>13.610100000000005</v>
      </c>
      <c r="J27" s="40">
        <v>8.6051000000000073</v>
      </c>
      <c r="K27" s="40">
        <v>3.6001000000000074</v>
      </c>
    </row>
    <row r="28" spans="1:11" ht="13.2">
      <c r="A28" s="7">
        <f t="shared" si="0"/>
        <v>17</v>
      </c>
      <c r="B28" s="39">
        <f t="shared" si="1"/>
        <v>44042</v>
      </c>
      <c r="C28" s="40">
        <v>21.248744650537635</v>
      </c>
      <c r="D28" s="40">
        <v>16.246976922043011</v>
      </c>
      <c r="E28" s="40">
        <v>11.27510860215054</v>
      </c>
      <c r="F28" s="40">
        <v>6.5175083870967763</v>
      </c>
      <c r="G28" s="40"/>
      <c r="H28" s="40">
        <v>20.993700000000004</v>
      </c>
      <c r="I28" s="40">
        <v>15.988700000000002</v>
      </c>
      <c r="J28" s="40">
        <v>10.983699999999999</v>
      </c>
      <c r="K28" s="40">
        <v>5.9786999999999999</v>
      </c>
    </row>
    <row r="29" spans="1:11" ht="13.2">
      <c r="A29" s="7">
        <f t="shared" si="0"/>
        <v>18</v>
      </c>
      <c r="B29" s="39">
        <f t="shared" si="1"/>
        <v>44043</v>
      </c>
      <c r="C29" s="40">
        <v>21.266674301075266</v>
      </c>
      <c r="D29" s="40">
        <v>16.264360268817207</v>
      </c>
      <c r="E29" s="40">
        <v>11.287857849462366</v>
      </c>
      <c r="F29" s="40">
        <v>6.530698655913981</v>
      </c>
      <c r="G29" s="40"/>
      <c r="H29" s="40">
        <v>16.628799999999998</v>
      </c>
      <c r="I29" s="40">
        <v>11.623800000000001</v>
      </c>
      <c r="J29" s="40">
        <v>6.6188000000000002</v>
      </c>
      <c r="K29" s="40">
        <v>1.7325000000000004</v>
      </c>
    </row>
    <row r="30" spans="1:11" ht="13.2">
      <c r="A30" s="7">
        <f t="shared" si="0"/>
        <v>19</v>
      </c>
      <c r="B30" s="39">
        <f t="shared" si="1"/>
        <v>44044</v>
      </c>
      <c r="C30" s="40">
        <v>21.25550452956989</v>
      </c>
      <c r="D30" s="40">
        <v>16.252919529569894</v>
      </c>
      <c r="E30" s="40">
        <v>11.277188252688173</v>
      </c>
      <c r="F30" s="40">
        <v>6.5221860215053784</v>
      </c>
      <c r="G30" s="40"/>
      <c r="H30" s="40">
        <v>16.771000000000001</v>
      </c>
      <c r="I30" s="40">
        <v>11.766000000000002</v>
      </c>
      <c r="J30" s="40">
        <v>6.761000000000001</v>
      </c>
      <c r="K30" s="40">
        <v>1.8360000000000003</v>
      </c>
    </row>
    <row r="31" spans="1:11" ht="13.2">
      <c r="A31" s="7">
        <f t="shared" si="0"/>
        <v>20</v>
      </c>
      <c r="B31" s="39">
        <f t="shared" si="1"/>
        <v>44045</v>
      </c>
      <c r="C31" s="40">
        <v>21.229551586021508</v>
      </c>
      <c r="D31" s="40">
        <v>16.226864005376346</v>
      </c>
      <c r="E31" s="40">
        <v>11.248806115591398</v>
      </c>
      <c r="F31" s="40">
        <v>6.4945301075268835</v>
      </c>
      <c r="G31" s="40"/>
      <c r="H31" s="40">
        <v>18.588899999999999</v>
      </c>
      <c r="I31" s="40">
        <v>13.5839</v>
      </c>
      <c r="J31" s="40">
        <v>8.5788999999999991</v>
      </c>
      <c r="K31" s="40">
        <v>3.6559000000000004</v>
      </c>
    </row>
    <row r="32" spans="1:11" ht="13.2">
      <c r="A32" s="7">
        <f t="shared" si="0"/>
        <v>21</v>
      </c>
      <c r="B32" s="39">
        <f t="shared" si="1"/>
        <v>44046</v>
      </c>
      <c r="C32" s="40">
        <v>21.194627688172044</v>
      </c>
      <c r="D32" s="40">
        <v>16.191656236559144</v>
      </c>
      <c r="E32" s="40">
        <v>11.207525483870969</v>
      </c>
      <c r="F32" s="40">
        <v>6.4557884005376351</v>
      </c>
      <c r="G32" s="40"/>
      <c r="H32" s="40">
        <v>17.624000000000006</v>
      </c>
      <c r="I32" s="40">
        <v>12.619000000000005</v>
      </c>
      <c r="J32" s="40">
        <v>7.6140000000000043</v>
      </c>
      <c r="K32" s="40">
        <v>2.6972000000000045</v>
      </c>
    </row>
    <row r="33" spans="1:11" ht="13.2">
      <c r="A33" s="7">
        <f t="shared" si="0"/>
        <v>22</v>
      </c>
      <c r="B33" s="39">
        <f t="shared" si="1"/>
        <v>44047</v>
      </c>
      <c r="C33" s="40">
        <v>21.140352392473119</v>
      </c>
      <c r="D33" s="40">
        <v>16.137352715053765</v>
      </c>
      <c r="E33" s="40">
        <v>11.153145927419354</v>
      </c>
      <c r="F33" s="40">
        <v>6.4121157526881731</v>
      </c>
      <c r="G33" s="40"/>
      <c r="H33" s="40">
        <v>18.064999999999994</v>
      </c>
      <c r="I33" s="40">
        <v>13.059999999999997</v>
      </c>
      <c r="J33" s="40">
        <v>8.0549999999999979</v>
      </c>
      <c r="K33" s="40">
        <v>3.1288999999999976</v>
      </c>
    </row>
    <row r="34" spans="1:11" ht="13.2">
      <c r="A34" s="7">
        <f t="shared" si="0"/>
        <v>23</v>
      </c>
      <c r="B34" s="39">
        <f t="shared" si="1"/>
        <v>44048</v>
      </c>
      <c r="C34" s="40">
        <v>21.085996451612907</v>
      </c>
      <c r="D34" s="40">
        <v>16.08299677419355</v>
      </c>
      <c r="E34" s="40">
        <v>11.105446155913977</v>
      </c>
      <c r="F34" s="40">
        <v>6.3829674327956996</v>
      </c>
      <c r="G34" s="40"/>
      <c r="H34" s="40">
        <v>17.763300000000001</v>
      </c>
      <c r="I34" s="40">
        <v>12.7583</v>
      </c>
      <c r="J34" s="40">
        <v>7.7786</v>
      </c>
      <c r="K34" s="40">
        <v>3.1055000000000001</v>
      </c>
    </row>
    <row r="35" spans="1:11" ht="13.2">
      <c r="A35" s="7">
        <f t="shared" si="0"/>
        <v>24</v>
      </c>
      <c r="B35" s="39">
        <f t="shared" si="1"/>
        <v>44049</v>
      </c>
      <c r="C35" s="40">
        <v>20.998540725806453</v>
      </c>
      <c r="D35" s="40">
        <v>15.995568467741935</v>
      </c>
      <c r="E35" s="40">
        <v>11.021568440860214</v>
      </c>
      <c r="F35" s="40">
        <v>6.316870443548388</v>
      </c>
      <c r="G35" s="40"/>
      <c r="H35" s="40">
        <v>20.560100000000006</v>
      </c>
      <c r="I35" s="40">
        <v>15.555099999999996</v>
      </c>
      <c r="J35" s="40">
        <v>10.550099999999999</v>
      </c>
      <c r="K35" s="40">
        <v>5.5450999999999979</v>
      </c>
    </row>
    <row r="36" spans="1:11" ht="13.2">
      <c r="A36" s="7">
        <f t="shared" si="0"/>
        <v>25</v>
      </c>
      <c r="B36" s="39">
        <f t="shared" si="1"/>
        <v>44050</v>
      </c>
      <c r="C36" s="40">
        <v>20.942014327956986</v>
      </c>
      <c r="D36" s="40">
        <v>15.939042069892473</v>
      </c>
      <c r="E36" s="40">
        <v>10.964880510752687</v>
      </c>
      <c r="F36" s="40">
        <v>6.2675441129032272</v>
      </c>
      <c r="G36" s="40"/>
      <c r="H36" s="40">
        <v>22.588200000000004</v>
      </c>
      <c r="I36" s="40">
        <v>17.583200000000001</v>
      </c>
      <c r="J36" s="40">
        <v>12.578199999999999</v>
      </c>
      <c r="K36" s="40">
        <v>7.5732000000000017</v>
      </c>
    </row>
    <row r="37" spans="1:11" ht="13.2">
      <c r="A37" s="7">
        <f t="shared" si="0"/>
        <v>26</v>
      </c>
      <c r="B37" s="39">
        <f t="shared" si="1"/>
        <v>44051</v>
      </c>
      <c r="C37" s="40">
        <v>20.940433870967745</v>
      </c>
      <c r="D37" s="40">
        <v>15.937461612903226</v>
      </c>
      <c r="E37" s="40">
        <v>10.962777903225806</v>
      </c>
      <c r="F37" s="40">
        <v>6.2652291397849469</v>
      </c>
      <c r="G37" s="40"/>
      <c r="H37" s="40">
        <v>22.506</v>
      </c>
      <c r="I37" s="40">
        <v>17.501000000000005</v>
      </c>
      <c r="J37" s="40">
        <v>12.496000000000004</v>
      </c>
      <c r="K37" s="40">
        <v>7.4910000000000059</v>
      </c>
    </row>
    <row r="38" spans="1:11" ht="13.2">
      <c r="A38" s="7">
        <f t="shared" si="0"/>
        <v>27</v>
      </c>
      <c r="B38" s="39">
        <f t="shared" si="1"/>
        <v>44052</v>
      </c>
      <c r="C38" s="40">
        <v>20.958750349462367</v>
      </c>
      <c r="D38" s="40">
        <v>15.955778091397852</v>
      </c>
      <c r="E38" s="40">
        <v>10.981011478494624</v>
      </c>
      <c r="F38" s="40">
        <v>6.2802571236559137</v>
      </c>
      <c r="G38" s="40"/>
      <c r="H38" s="40">
        <v>22.957099999999997</v>
      </c>
      <c r="I38" s="40">
        <v>17.952100000000002</v>
      </c>
      <c r="J38" s="40">
        <v>12.947100000000004</v>
      </c>
      <c r="K38" s="40">
        <v>7.9421000000000053</v>
      </c>
    </row>
    <row r="39" spans="1:11" ht="13.2">
      <c r="A39" s="7">
        <f t="shared" si="0"/>
        <v>28</v>
      </c>
      <c r="B39" s="39">
        <f t="shared" si="1"/>
        <v>44053</v>
      </c>
      <c r="C39" s="40">
        <v>20.956101317204304</v>
      </c>
      <c r="D39" s="40">
        <v>15.952554260752688</v>
      </c>
      <c r="E39" s="40">
        <v>10.976181532258067</v>
      </c>
      <c r="F39" s="40">
        <v>6.2697127284946239</v>
      </c>
      <c r="G39" s="40"/>
      <c r="H39" s="40">
        <v>23.342300000000009</v>
      </c>
      <c r="I39" s="40">
        <v>18.337299999999999</v>
      </c>
      <c r="J39" s="40">
        <v>13.332300000000002</v>
      </c>
      <c r="K39" s="40">
        <v>8.327300000000001</v>
      </c>
    </row>
    <row r="40" spans="1:11" ht="13.2">
      <c r="A40" s="7">
        <f t="shared" si="0"/>
        <v>29</v>
      </c>
      <c r="B40" s="39">
        <f t="shared" si="1"/>
        <v>44054</v>
      </c>
      <c r="C40" s="40">
        <v>20.931568400537639</v>
      </c>
      <c r="D40" s="40">
        <v>15.927561666666669</v>
      </c>
      <c r="E40" s="40">
        <v>10.950512688172045</v>
      </c>
      <c r="F40" s="40">
        <v>6.2391421236559133</v>
      </c>
      <c r="G40" s="40"/>
      <c r="H40" s="40">
        <v>23.979700000000001</v>
      </c>
      <c r="I40" s="40">
        <v>18.974700000000002</v>
      </c>
      <c r="J40" s="40">
        <v>13.969700000000001</v>
      </c>
      <c r="K40" s="40">
        <v>8.9647000000000041</v>
      </c>
    </row>
    <row r="41" spans="1:11" ht="13.2">
      <c r="A41" s="7">
        <f t="shared" si="0"/>
        <v>30</v>
      </c>
      <c r="B41" s="39">
        <f t="shared" si="1"/>
        <v>44055</v>
      </c>
      <c r="C41" s="40">
        <v>20.883266250000002</v>
      </c>
      <c r="D41" s="40">
        <v>15.878705752688173</v>
      </c>
      <c r="E41" s="40">
        <v>10.900840833333335</v>
      </c>
      <c r="F41" s="40">
        <v>6.1864131048387092</v>
      </c>
      <c r="G41" s="40"/>
      <c r="H41" s="40">
        <v>25.297000000000008</v>
      </c>
      <c r="I41" s="40">
        <v>20.292000000000005</v>
      </c>
      <c r="J41" s="40">
        <v>15.287000000000008</v>
      </c>
      <c r="K41" s="40">
        <v>10.282000000000009</v>
      </c>
    </row>
    <row r="42" spans="1:11" ht="13.2">
      <c r="A42" s="7">
        <f t="shared" si="0"/>
        <v>31</v>
      </c>
      <c r="B42" s="39">
        <f t="shared" si="1"/>
        <v>44056</v>
      </c>
      <c r="C42" s="40">
        <v>20.819483010752691</v>
      </c>
      <c r="D42" s="40">
        <v>15.814748319892477</v>
      </c>
      <c r="E42" s="40">
        <v>10.837021424731187</v>
      </c>
      <c r="F42" s="40">
        <v>6.1307723118279567</v>
      </c>
      <c r="G42" s="40"/>
      <c r="H42" s="40">
        <v>25.795599999999997</v>
      </c>
      <c r="I42" s="40">
        <v>20.790599999999998</v>
      </c>
      <c r="J42" s="40">
        <v>15.785599999999997</v>
      </c>
      <c r="K42" s="40">
        <v>10.780599999999998</v>
      </c>
    </row>
    <row r="43" spans="1:11" ht="13.2">
      <c r="A43" s="7">
        <f t="shared" si="0"/>
        <v>32</v>
      </c>
      <c r="B43" s="39">
        <f t="shared" si="1"/>
        <v>44057</v>
      </c>
      <c r="C43" s="40">
        <v>20.744792069892473</v>
      </c>
      <c r="D43" s="40">
        <v>15.740099314516131</v>
      </c>
      <c r="E43" s="40">
        <v>10.7635285483871</v>
      </c>
      <c r="F43" s="40">
        <v>6.0651402284946236</v>
      </c>
      <c r="G43" s="40"/>
      <c r="H43" s="40">
        <v>26.588200000000004</v>
      </c>
      <c r="I43" s="40">
        <v>21.583199999999994</v>
      </c>
      <c r="J43" s="40">
        <v>16.578200000000002</v>
      </c>
      <c r="K43" s="40">
        <v>11.5732</v>
      </c>
    </row>
    <row r="44" spans="1:11" ht="13.2">
      <c r="A44" s="7">
        <f t="shared" si="0"/>
        <v>33</v>
      </c>
      <c r="B44" s="39">
        <f t="shared" si="1"/>
        <v>44058</v>
      </c>
      <c r="C44" s="40">
        <v>20.645514838709673</v>
      </c>
      <c r="D44" s="40">
        <v>15.640822083333333</v>
      </c>
      <c r="E44" s="40">
        <v>10.667589139784949</v>
      </c>
      <c r="F44" s="40">
        <v>5.9844321370967748</v>
      </c>
      <c r="G44" s="40"/>
      <c r="H44" s="40">
        <v>25.964199999999998</v>
      </c>
      <c r="I44" s="40">
        <v>20.959200000000003</v>
      </c>
      <c r="J44" s="40">
        <v>15.9542</v>
      </c>
      <c r="K44" s="40">
        <v>10.949200000000001</v>
      </c>
    </row>
    <row r="45" spans="1:11" ht="13.2">
      <c r="A45" s="7">
        <f t="shared" si="0"/>
        <v>34</v>
      </c>
      <c r="B45" s="39">
        <f t="shared" si="1"/>
        <v>44059</v>
      </c>
      <c r="C45" s="40">
        <v>20.565861155913971</v>
      </c>
      <c r="D45" s="40">
        <v>15.561401733870968</v>
      </c>
      <c r="E45" s="40">
        <v>10.591066451612905</v>
      </c>
      <c r="F45" s="40">
        <v>5.9274663844086017</v>
      </c>
      <c r="G45" s="40"/>
      <c r="H45" s="40">
        <v>22.558699999999998</v>
      </c>
      <c r="I45" s="40">
        <v>17.553699999999999</v>
      </c>
      <c r="J45" s="40">
        <v>12.5487</v>
      </c>
      <c r="K45" s="40">
        <v>7.5436999999999994</v>
      </c>
    </row>
    <row r="46" spans="1:11" ht="13.2">
      <c r="A46" s="7">
        <f t="shared" si="0"/>
        <v>35</v>
      </c>
      <c r="B46" s="39">
        <f t="shared" si="1"/>
        <v>44060</v>
      </c>
      <c r="C46" s="40">
        <v>20.453868723118276</v>
      </c>
      <c r="D46" s="40">
        <v>15.449521397849463</v>
      </c>
      <c r="E46" s="40">
        <v>10.481549825268818</v>
      </c>
      <c r="F46" s="40">
        <v>5.8320968010752692</v>
      </c>
      <c r="G46" s="40"/>
      <c r="H46" s="40">
        <v>17.450199999999999</v>
      </c>
      <c r="I46" s="40">
        <v>12.445200000000003</v>
      </c>
      <c r="J46" s="40">
        <v>7.4402000000000008</v>
      </c>
      <c r="K46" s="40">
        <v>2.4827000000000008</v>
      </c>
    </row>
    <row r="47" spans="1:11" ht="13.2">
      <c r="A47" s="7">
        <f>+A46+1</f>
        <v>36</v>
      </c>
      <c r="B47" s="39" t="s">
        <v>51</v>
      </c>
      <c r="C47" s="198">
        <f>SUM(C18:C46)</f>
        <v>609.82742403225802</v>
      </c>
      <c r="D47" s="198">
        <f>SUM(D18:D46)</f>
        <v>464.74449133064525</v>
      </c>
      <c r="E47" s="198">
        <f>SUM(E18:E46)</f>
        <v>320.46861974462365</v>
      </c>
      <c r="F47" s="198">
        <f>SUM(F18:F46)</f>
        <v>182.96775677419356</v>
      </c>
      <c r="G47" s="40"/>
      <c r="H47" s="198">
        <f>SUM(H18:H46)</f>
        <v>596.01490000000013</v>
      </c>
      <c r="I47" s="198">
        <f>SUM(I18:I46)</f>
        <v>450.86989999999997</v>
      </c>
      <c r="J47" s="198">
        <f>SUM(J18:J46)</f>
        <v>305.75020000000006</v>
      </c>
      <c r="K47" s="198">
        <f>SUM(K18:K46)</f>
        <v>162.85230000000007</v>
      </c>
    </row>
    <row r="48" spans="1:1" ht="13.2">
      <c r="A48" s="7"/>
    </row>
  </sheetData>
  <mergeCells count="11">
    <mergeCell ref="B1:K1"/>
    <mergeCell ref="B2:K2"/>
    <mergeCell ref="B3:K3"/>
    <mergeCell ref="B4:K4"/>
    <mergeCell ref="B6:K6"/>
    <mergeCell ref="B5:L5"/>
    <mergeCell ref="C14:E14"/>
    <mergeCell ref="H14:K14"/>
    <mergeCell ref="B8:K8"/>
    <mergeCell ref="H15:K15"/>
    <mergeCell ref="C15:F15"/>
  </mergeCells>
  <printOptions horizontalCentered="1"/>
  <pageMargins left="1.5" right="0.5" top="1.5" bottom="1" header="1" footer="0.5"/>
  <pageSetup orientation="portrait" scale="79" r:id="rId1"/>
  <headerFooter alignWithMargins="0">
    <oddHeader>&amp;RSchedule II-H-5.2
Page &amp;P of 37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0">
    <pageSetUpPr fitToPage="1"/>
  </sheetPr>
  <dimension ref="A1:Y48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10.2857142857143" style="9" bestFit="1" customWidth="1"/>
    <col min="5" max="5" width="10.2857142857143" style="9" customWidth="1"/>
    <col min="6" max="7" width="9.28571428571429" style="9" customWidth="1"/>
    <col min="8" max="8" width="9.14285714285714" style="9" customWidth="1"/>
    <col min="9" max="9" width="9.85714285714286" style="9" customWidth="1"/>
    <col min="10" max="12" width="9.71428571428571" style="9" customWidth="1"/>
    <col min="13" max="13" width="8.71428571428571" style="9" customWidth="1"/>
    <col min="14" max="14" width="9.28571428571429" style="9" bestFit="1" customWidth="1"/>
    <col min="15" max="16384" width="9.14285714285714" style="9"/>
  </cols>
  <sheetData>
    <row r="1" spans="1:15" s="0" customFormat="1" ht="15.6">
      <c r="A1" s="179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180"/>
      <c r="O1" s="180"/>
    </row>
    <row r="2" spans="1:15" s="0" customFormat="1" ht="15.6">
      <c r="A2" s="179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180"/>
      <c r="O2" s="180"/>
    </row>
    <row r="3" spans="1:15" s="0" customFormat="1" ht="15.6">
      <c r="A3" s="179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180"/>
      <c r="O3" s="180"/>
    </row>
    <row r="4" spans="1:15" s="0" customFormat="1" ht="15.6">
      <c r="A4" s="179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180"/>
      <c r="O4" s="180"/>
    </row>
    <row r="5" spans="1:15" s="0" customFormat="1" ht="15.6">
      <c r="A5" s="179"/>
      <c r="B5" s="200"/>
      <c r="C5" s="200"/>
      <c r="D5" s="200"/>
      <c r="E5" s="200"/>
      <c r="F5" s="200"/>
      <c r="G5" s="200"/>
      <c r="H5" s="200"/>
      <c r="I5" s="200"/>
      <c r="J5" s="202"/>
      <c r="K5" s="202"/>
      <c r="L5" s="202"/>
      <c r="M5" s="202"/>
      <c r="N5" s="202"/>
      <c r="O5" s="202"/>
    </row>
    <row r="6" spans="2:15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178"/>
      <c r="O6" s="178"/>
    </row>
    <row r="7" spans="2:15" ht="15.6">
      <c r="B7" s="181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</row>
    <row r="8" spans="2:15" ht="15.6">
      <c r="B8" s="200" t="s">
        <v>174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178"/>
      <c r="O8" s="178"/>
    </row>
    <row r="9" spans="1:15" ht="15.6">
      <c r="A9" s="179" t="s">
        <v>6</v>
      </c>
      <c r="B9" s="181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</row>
    <row r="10" spans="1:1" ht="13.2">
      <c r="A10" s="5" t="s">
        <v>8</v>
      </c>
    </row>
    <row r="11" spans="1:5" ht="13.2">
      <c r="A11" s="7">
        <v>1</v>
      </c>
      <c r="B11" s="34" t="s">
        <v>25</v>
      </c>
      <c r="C11" s="35" t="s">
        <v>26</v>
      </c>
      <c r="D11" s="35" t="s">
        <v>94</v>
      </c>
      <c r="E11" s="35"/>
    </row>
    <row r="12" spans="1:5" ht="13.2">
      <c r="A12" s="7">
        <f>+A11+1</f>
        <v>2</v>
      </c>
      <c r="B12" s="36" t="s">
        <v>27</v>
      </c>
      <c r="C12" s="36" t="s">
        <v>85</v>
      </c>
      <c r="D12" s="36" t="s">
        <v>95</v>
      </c>
      <c r="E12" s="35"/>
    </row>
    <row r="13" spans="1:5" ht="13.2">
      <c r="A13" s="7">
        <f>+A12+1</f>
        <v>3</v>
      </c>
      <c r="B13" s="37" t="s">
        <v>178</v>
      </c>
      <c r="C13" s="33">
        <v>44239</v>
      </c>
      <c r="D13" s="33">
        <v>44210</v>
      </c>
      <c r="E13" s="33"/>
    </row>
    <row r="14" spans="1:13" ht="13.2">
      <c r="A14" s="7"/>
      <c r="B14" s="37"/>
      <c r="C14" s="208"/>
      <c r="D14" s="209"/>
      <c r="E14" s="209"/>
      <c r="F14" s="209"/>
      <c r="G14" s="182"/>
      <c r="H14" s="182"/>
      <c r="I14" s="208"/>
      <c r="J14" s="209"/>
      <c r="K14" s="209"/>
      <c r="L14" s="209"/>
      <c r="M14" s="209"/>
    </row>
    <row r="15" spans="1:13" ht="12.75" customHeight="1">
      <c r="A15" s="7">
        <f>+A13+1</f>
        <v>4</v>
      </c>
      <c r="B15" s="37"/>
      <c r="C15" s="211" t="s">
        <v>77</v>
      </c>
      <c r="D15" s="209"/>
      <c r="E15" s="209"/>
      <c r="F15" s="209"/>
      <c r="G15" s="201"/>
      <c r="H15" s="182"/>
      <c r="I15" s="210" t="s">
        <v>79</v>
      </c>
      <c r="J15" s="205"/>
      <c r="K15" s="205"/>
      <c r="L15" s="205"/>
      <c r="M15" s="205"/>
    </row>
    <row r="16" spans="1:13" ht="13.2">
      <c r="A16" s="7">
        <f t="shared" si="0" ref="A16:B31">+A15+1</f>
        <v>5</v>
      </c>
      <c r="B16" s="37"/>
      <c r="C16" s="18" t="s">
        <v>110</v>
      </c>
      <c r="D16" s="18" t="s">
        <v>137</v>
      </c>
      <c r="E16" s="18" t="s">
        <v>44</v>
      </c>
      <c r="F16" s="97" t="s">
        <v>45</v>
      </c>
      <c r="G16" s="22" t="s">
        <v>14</v>
      </c>
      <c r="H16" s="18"/>
      <c r="I16" s="18" t="s">
        <v>110</v>
      </c>
      <c r="J16" s="18" t="s">
        <v>137</v>
      </c>
      <c r="K16" s="18" t="s">
        <v>44</v>
      </c>
      <c r="L16" s="97" t="s">
        <v>45</v>
      </c>
      <c r="M16" s="22" t="s">
        <v>14</v>
      </c>
    </row>
    <row r="17" spans="1:13" ht="13.2">
      <c r="A17" s="7">
        <f t="shared" si="0"/>
        <v>6</v>
      </c>
      <c r="B17" s="37"/>
      <c r="C17" s="38" t="s">
        <v>29</v>
      </c>
      <c r="D17" s="38" t="s">
        <v>30</v>
      </c>
      <c r="E17" s="38" t="s">
        <v>31</v>
      </c>
      <c r="F17" s="38" t="s">
        <v>114</v>
      </c>
      <c r="G17" s="38" t="s">
        <v>156</v>
      </c>
      <c r="H17" s="38"/>
      <c r="I17" s="38" t="s">
        <v>29</v>
      </c>
      <c r="J17" s="38" t="s">
        <v>30</v>
      </c>
      <c r="K17" s="38" t="s">
        <v>31</v>
      </c>
      <c r="L17" s="38" t="s">
        <v>114</v>
      </c>
      <c r="M17" s="38" t="s">
        <v>156</v>
      </c>
    </row>
    <row r="18" spans="1:25" ht="13.2">
      <c r="A18" s="7">
        <f t="shared" si="0"/>
        <v>7</v>
      </c>
      <c r="B18" s="39">
        <f>+D13</f>
        <v>44210</v>
      </c>
      <c r="C18" s="40">
        <v>1.4348824327956982</v>
      </c>
      <c r="D18" s="40">
        <v>3.1001010215053753</v>
      </c>
      <c r="E18" s="40">
        <v>9.4520963709677392</v>
      </c>
      <c r="F18" s="40">
        <v>13.73424427419355</v>
      </c>
      <c r="G18" s="40">
        <v>18.40457194892473</v>
      </c>
      <c r="H18" s="40"/>
      <c r="I18" s="40">
        <v>0</v>
      </c>
      <c r="J18" s="40">
        <v>0</v>
      </c>
      <c r="K18" s="40">
        <v>5.0363999999999987</v>
      </c>
      <c r="L18" s="40">
        <v>10.036399999999999</v>
      </c>
      <c r="M18" s="40">
        <v>15.036399999999997</v>
      </c>
      <c r="O18" s="189"/>
      <c r="P18" s="189"/>
      <c r="Q18" s="189"/>
      <c r="R18" s="189"/>
      <c r="S18" s="189"/>
      <c r="U18" s="74"/>
      <c r="V18" s="74"/>
      <c r="W18" s="74"/>
      <c r="X18" s="74"/>
      <c r="Y18" s="74"/>
    </row>
    <row r="19" spans="1:13" ht="13.2">
      <c r="A19" s="7">
        <f t="shared" si="0"/>
        <v>8</v>
      </c>
      <c r="B19" s="39">
        <f t="shared" si="0"/>
        <v>44211</v>
      </c>
      <c r="C19" s="40">
        <v>1.4301396908602144</v>
      </c>
      <c r="D19" s="40">
        <v>3.0886361290322566</v>
      </c>
      <c r="E19" s="40">
        <v>9.4442370564516107</v>
      </c>
      <c r="F19" s="40">
        <v>13.734613118279572</v>
      </c>
      <c r="G19" s="40">
        <v>18.412527594086018</v>
      </c>
      <c r="H19" s="40"/>
      <c r="I19" s="40">
        <v>0.19950000000000001</v>
      </c>
      <c r="J19" s="40">
        <v>0.65489999999999993</v>
      </c>
      <c r="K19" s="40">
        <v>9.3178999999999998</v>
      </c>
      <c r="L19" s="40">
        <v>14.317899999999998</v>
      </c>
      <c r="M19" s="40">
        <v>19.317899999999998</v>
      </c>
    </row>
    <row r="20" spans="1:13" ht="13.2">
      <c r="A20" s="7">
        <f t="shared" si="0"/>
        <v>9</v>
      </c>
      <c r="B20" s="39">
        <f t="shared" si="0"/>
        <v>44212</v>
      </c>
      <c r="C20" s="40">
        <v>1.4042943279569886</v>
      </c>
      <c r="D20" s="40">
        <v>3.0435654435483865</v>
      </c>
      <c r="E20" s="40">
        <v>9.3605843682795662</v>
      </c>
      <c r="F20" s="40">
        <v>13.632093185483873</v>
      </c>
      <c r="G20" s="40">
        <v>18.300764758064513</v>
      </c>
      <c r="H20" s="40"/>
      <c r="I20" s="40">
        <v>0</v>
      </c>
      <c r="J20" s="40">
        <v>0.57219999999999949</v>
      </c>
      <c r="K20" s="40">
        <v>10.107199999999997</v>
      </c>
      <c r="L20" s="40">
        <v>15.107199999999994</v>
      </c>
      <c r="M20" s="40">
        <v>20.107199999999995</v>
      </c>
    </row>
    <row r="21" spans="1:13" ht="13.2">
      <c r="A21" s="7">
        <f t="shared" si="0"/>
        <v>10</v>
      </c>
      <c r="B21" s="39">
        <f t="shared" si="0"/>
        <v>44213</v>
      </c>
      <c r="C21" s="40">
        <v>1.3606260080645152</v>
      </c>
      <c r="D21" s="40">
        <v>2.9647212903225797</v>
      </c>
      <c r="E21" s="40">
        <v>9.2159856720430096</v>
      </c>
      <c r="F21" s="40">
        <v>13.479862513440862</v>
      </c>
      <c r="G21" s="40">
        <v>18.159059999999997</v>
      </c>
      <c r="H21" s="40"/>
      <c r="I21" s="40">
        <v>0</v>
      </c>
      <c r="J21" s="40">
        <v>0.36329999999999951</v>
      </c>
      <c r="K21" s="40">
        <v>7.5900999999999961</v>
      </c>
      <c r="L21" s="40">
        <v>12.590099999999998</v>
      </c>
      <c r="M21" s="40">
        <v>17.590099999999996</v>
      </c>
    </row>
    <row r="22" spans="1:13" ht="13.2">
      <c r="A22" s="7">
        <f t="shared" si="0"/>
        <v>11</v>
      </c>
      <c r="B22" s="39">
        <f t="shared" si="0"/>
        <v>44214</v>
      </c>
      <c r="C22" s="40">
        <v>1.3228025806451604</v>
      </c>
      <c r="D22" s="40">
        <v>2.8981551478494612</v>
      </c>
      <c r="E22" s="40">
        <v>9.109546653225804</v>
      </c>
      <c r="F22" s="40">
        <v>13.369493360215053</v>
      </c>
      <c r="G22" s="40">
        <v>18.067574032258065</v>
      </c>
      <c r="H22" s="40"/>
      <c r="I22" s="40">
        <v>0</v>
      </c>
      <c r="J22" s="40">
        <v>0</v>
      </c>
      <c r="K22" s="40">
        <v>4.1268000000000011</v>
      </c>
      <c r="L22" s="40">
        <v>8.9647999999999985</v>
      </c>
      <c r="M22" s="40">
        <v>13.964800000000002</v>
      </c>
    </row>
    <row r="23" spans="1:13" ht="13.2">
      <c r="A23" s="7">
        <f t="shared" si="0"/>
        <v>12</v>
      </c>
      <c r="B23" s="39">
        <f t="shared" si="0"/>
        <v>44215</v>
      </c>
      <c r="C23" s="40">
        <v>1.3074555107526875</v>
      </c>
      <c r="D23" s="40">
        <v>2.859657258064515</v>
      </c>
      <c r="E23" s="40">
        <v>9.028525725806448</v>
      </c>
      <c r="F23" s="40">
        <v>13.284826612903226</v>
      </c>
      <c r="G23" s="40">
        <v>17.984032204301073</v>
      </c>
      <c r="H23" s="40"/>
      <c r="I23" s="40">
        <v>0</v>
      </c>
      <c r="J23" s="40">
        <v>0.10259999999999984</v>
      </c>
      <c r="K23" s="40">
        <v>2.7540000000000004</v>
      </c>
      <c r="L23" s="40">
        <v>7.4290000000000003</v>
      </c>
      <c r="M23" s="40">
        <v>12.389399999999997</v>
      </c>
    </row>
    <row r="24" spans="1:13" ht="13.2">
      <c r="A24" s="7">
        <f t="shared" si="0"/>
        <v>13</v>
      </c>
      <c r="B24" s="39">
        <f t="shared" si="0"/>
        <v>44216</v>
      </c>
      <c r="C24" s="40">
        <v>1.2999752822580637</v>
      </c>
      <c r="D24" s="40">
        <v>2.8436978360215046</v>
      </c>
      <c r="E24" s="40">
        <v>9.0049131854838667</v>
      </c>
      <c r="F24" s="40">
        <v>13.253169946236557</v>
      </c>
      <c r="G24" s="40">
        <v>17.941145819892466</v>
      </c>
      <c r="H24" s="40"/>
      <c r="I24" s="40">
        <v>0</v>
      </c>
      <c r="J24" s="40">
        <v>0.35339999999999971</v>
      </c>
      <c r="K24" s="40">
        <v>8.9865999999999975</v>
      </c>
      <c r="L24" s="40">
        <v>13.917</v>
      </c>
      <c r="M24" s="40">
        <v>18.916999999999998</v>
      </c>
    </row>
    <row r="25" spans="1:13" ht="13.2">
      <c r="A25" s="7">
        <f t="shared" si="0"/>
        <v>14</v>
      </c>
      <c r="B25" s="39">
        <f t="shared" si="0"/>
        <v>44217</v>
      </c>
      <c r="C25" s="40">
        <v>1.2913980241935479</v>
      </c>
      <c r="D25" s="40">
        <v>2.8323715322580636</v>
      </c>
      <c r="E25" s="40">
        <v>8.964346169354835</v>
      </c>
      <c r="F25" s="40">
        <v>13.192346021505376</v>
      </c>
      <c r="G25" s="40">
        <v>17.872529637096772</v>
      </c>
      <c r="H25" s="40"/>
      <c r="I25" s="40">
        <v>0</v>
      </c>
      <c r="J25" s="40">
        <v>0</v>
      </c>
      <c r="K25" s="40">
        <v>4.3328000000000007</v>
      </c>
      <c r="L25" s="40">
        <v>9.0833999999999975</v>
      </c>
      <c r="M25" s="40">
        <v>14.068899999999998</v>
      </c>
    </row>
    <row r="26" spans="1:13" ht="13.2">
      <c r="A26" s="7">
        <f t="shared" si="0"/>
        <v>15</v>
      </c>
      <c r="B26" s="39">
        <f t="shared" si="0"/>
        <v>44218</v>
      </c>
      <c r="C26" s="40">
        <v>1.2524192338709672</v>
      </c>
      <c r="D26" s="40">
        <v>2.8062482526881714</v>
      </c>
      <c r="E26" s="40">
        <v>8.9110168548387065</v>
      </c>
      <c r="F26" s="40">
        <v>13.116271048387096</v>
      </c>
      <c r="G26" s="40">
        <v>17.778673978494616</v>
      </c>
      <c r="H26" s="40"/>
      <c r="I26" s="40">
        <v>0</v>
      </c>
      <c r="J26" s="40">
        <v>0</v>
      </c>
      <c r="K26" s="40">
        <v>4.782499999999998</v>
      </c>
      <c r="L26" s="40">
        <v>9.4428999999999981</v>
      </c>
      <c r="M26" s="40">
        <v>14.381699999999997</v>
      </c>
    </row>
    <row r="27" spans="1:13" ht="13.2">
      <c r="A27" s="7">
        <f t="shared" si="0"/>
        <v>16</v>
      </c>
      <c r="B27" s="39">
        <f t="shared" si="0"/>
        <v>44219</v>
      </c>
      <c r="C27" s="40">
        <v>1.2216713575268812</v>
      </c>
      <c r="D27" s="40">
        <v>2.7623728897849449</v>
      </c>
      <c r="E27" s="40">
        <v>8.862665618279566</v>
      </c>
      <c r="F27" s="40">
        <v>13.053438225806451</v>
      </c>
      <c r="G27" s="40">
        <v>17.704846357526876</v>
      </c>
      <c r="H27" s="40"/>
      <c r="I27" s="40">
        <v>0</v>
      </c>
      <c r="J27" s="40">
        <v>0</v>
      </c>
      <c r="K27" s="40">
        <v>4.9719000000000007</v>
      </c>
      <c r="L27" s="40">
        <v>9.8855000000000004</v>
      </c>
      <c r="M27" s="40">
        <v>14.885499999999999</v>
      </c>
    </row>
    <row r="28" spans="1:13" ht="13.2">
      <c r="A28" s="7">
        <f t="shared" si="0"/>
        <v>17</v>
      </c>
      <c r="B28" s="39">
        <f t="shared" si="0"/>
        <v>44220</v>
      </c>
      <c r="C28" s="40">
        <v>1.1871640053763435</v>
      </c>
      <c r="D28" s="40">
        <v>2.7371312499999987</v>
      </c>
      <c r="E28" s="40">
        <v>8.8386492876344036</v>
      </c>
      <c r="F28" s="40">
        <v>13.01603065860215</v>
      </c>
      <c r="G28" s="40">
        <v>17.657783077956985</v>
      </c>
      <c r="H28" s="40"/>
      <c r="I28" s="40">
        <v>0</v>
      </c>
      <c r="J28" s="40">
        <v>0</v>
      </c>
      <c r="K28" s="40">
        <v>0.36699999999999794</v>
      </c>
      <c r="L28" s="40">
        <v>4.2810999999999968</v>
      </c>
      <c r="M28" s="40">
        <v>8.8493999999999975</v>
      </c>
    </row>
    <row r="29" spans="1:13" ht="13.2">
      <c r="A29" s="7">
        <f t="shared" si="0"/>
        <v>18</v>
      </c>
      <c r="B29" s="39">
        <f t="shared" si="0"/>
        <v>44221</v>
      </c>
      <c r="C29" s="40">
        <v>1.1868858870967733</v>
      </c>
      <c r="D29" s="40">
        <v>2.7483743279569874</v>
      </c>
      <c r="E29" s="40">
        <v>8.857556935483867</v>
      </c>
      <c r="F29" s="40">
        <v>13.036364946236557</v>
      </c>
      <c r="G29" s="40">
        <v>17.686457688172037</v>
      </c>
      <c r="H29" s="40"/>
      <c r="I29" s="40">
        <v>0</v>
      </c>
      <c r="J29" s="40">
        <v>0</v>
      </c>
      <c r="K29" s="40">
        <v>0.40200000000000008</v>
      </c>
      <c r="L29" s="40">
        <v>0.95420000000000016</v>
      </c>
      <c r="M29" s="40">
        <v>4.9242999999999952</v>
      </c>
    </row>
    <row r="30" spans="1:13" ht="13.2">
      <c r="A30" s="7">
        <f t="shared" si="0"/>
        <v>19</v>
      </c>
      <c r="B30" s="39">
        <f t="shared" si="0"/>
        <v>44222</v>
      </c>
      <c r="C30" s="40">
        <v>1.1914169354838704</v>
      </c>
      <c r="D30" s="40">
        <v>2.754994919354838</v>
      </c>
      <c r="E30" s="40">
        <v>8.8875091935483841</v>
      </c>
      <c r="F30" s="40">
        <v>13.061179637096771</v>
      </c>
      <c r="G30" s="40">
        <v>17.722996841397844</v>
      </c>
      <c r="H30" s="40"/>
      <c r="I30" s="40">
        <v>0.053999999999999916</v>
      </c>
      <c r="J30" s="40">
        <v>0.30859999999999987</v>
      </c>
      <c r="K30" s="40">
        <v>7.8646999999999974</v>
      </c>
      <c r="L30" s="40">
        <v>12.786399999999997</v>
      </c>
      <c r="M30" s="40">
        <v>17.7864</v>
      </c>
    </row>
    <row r="31" spans="1:13" ht="13.2">
      <c r="A31" s="7">
        <f t="shared" si="0"/>
        <v>20</v>
      </c>
      <c r="B31" s="39">
        <f t="shared" si="0"/>
        <v>44223</v>
      </c>
      <c r="C31" s="40">
        <v>1.2133659811827953</v>
      </c>
      <c r="D31" s="40">
        <v>2.7923249193548378</v>
      </c>
      <c r="E31" s="40">
        <v>8.9325108870967718</v>
      </c>
      <c r="F31" s="40">
        <v>13.106411290322576</v>
      </c>
      <c r="G31" s="40">
        <v>17.770556975806446</v>
      </c>
      <c r="H31" s="40"/>
      <c r="I31" s="40">
        <v>0.16120000000000001</v>
      </c>
      <c r="J31" s="40">
        <v>2.2716999999999996</v>
      </c>
      <c r="K31" s="40">
        <v>11.291899999999997</v>
      </c>
      <c r="L31" s="40">
        <v>16.291899999999998</v>
      </c>
      <c r="M31" s="40">
        <v>21.291900000000002</v>
      </c>
    </row>
    <row r="32" spans="1:13" ht="13.2">
      <c r="A32" s="7">
        <f t="shared" si="1" ref="A32:B46">+A31+1</f>
        <v>21</v>
      </c>
      <c r="B32" s="39">
        <f t="shared" si="1"/>
        <v>44224</v>
      </c>
      <c r="C32" s="40">
        <v>1.2016357258064512</v>
      </c>
      <c r="D32" s="40">
        <v>2.7747149999999987</v>
      </c>
      <c r="E32" s="40">
        <v>8.9287585887096768</v>
      </c>
      <c r="F32" s="40">
        <v>13.120043655913976</v>
      </c>
      <c r="G32" s="40">
        <v>17.798177836021502</v>
      </c>
      <c r="H32" s="40"/>
      <c r="I32" s="40">
        <v>1.6409999999999996</v>
      </c>
      <c r="J32" s="40">
        <v>6.2152999999999992</v>
      </c>
      <c r="K32" s="40">
        <v>16.215299999999999</v>
      </c>
      <c r="L32" s="40">
        <v>21.215299999999996</v>
      </c>
      <c r="M32" s="40">
        <v>26.215299999999999</v>
      </c>
    </row>
    <row r="33" spans="1:13" ht="13.2">
      <c r="A33" s="7">
        <f t="shared" si="1"/>
        <v>22</v>
      </c>
      <c r="B33" s="39">
        <f t="shared" si="1"/>
        <v>44225</v>
      </c>
      <c r="C33" s="40">
        <v>1.1681156451612897</v>
      </c>
      <c r="D33" s="40">
        <v>2.7080592876344074</v>
      </c>
      <c r="E33" s="40">
        <v>8.8111721370967739</v>
      </c>
      <c r="F33" s="40">
        <v>12.976530026881719</v>
      </c>
      <c r="G33" s="40">
        <v>17.640003360215047</v>
      </c>
      <c r="H33" s="40"/>
      <c r="I33" s="40">
        <v>0</v>
      </c>
      <c r="J33" s="40">
        <v>0</v>
      </c>
      <c r="K33" s="40">
        <v>6.1515999999999975</v>
      </c>
      <c r="L33" s="40">
        <v>11.1516</v>
      </c>
      <c r="M33" s="40">
        <v>16.151599999999995</v>
      </c>
    </row>
    <row r="34" spans="1:13" ht="13.2">
      <c r="A34" s="7">
        <f t="shared" si="1"/>
        <v>23</v>
      </c>
      <c r="B34" s="39">
        <f t="shared" si="1"/>
        <v>44226</v>
      </c>
      <c r="C34" s="40">
        <v>1.1743942069892468</v>
      </c>
      <c r="D34" s="40">
        <v>2.6879476075268802</v>
      </c>
      <c r="E34" s="40">
        <v>8.6757658602150514</v>
      </c>
      <c r="F34" s="40">
        <v>12.789091747311824</v>
      </c>
      <c r="G34" s="40">
        <v>17.433635362903221</v>
      </c>
      <c r="H34" s="40"/>
      <c r="I34" s="40">
        <v>0</v>
      </c>
      <c r="J34" s="40">
        <v>0</v>
      </c>
      <c r="K34" s="40">
        <v>0</v>
      </c>
      <c r="L34" s="40">
        <v>0.40369999999999967</v>
      </c>
      <c r="M34" s="40">
        <v>3.3456999999999986</v>
      </c>
    </row>
    <row r="35" spans="1:13" ht="13.2">
      <c r="A35" s="7">
        <f t="shared" si="1"/>
        <v>24</v>
      </c>
      <c r="B35" s="39">
        <f t="shared" si="1"/>
        <v>44227</v>
      </c>
      <c r="C35" s="40">
        <v>1.1626387365591393</v>
      </c>
      <c r="D35" s="40">
        <v>2.6576130241935472</v>
      </c>
      <c r="E35" s="40">
        <v>8.5573844892473101</v>
      </c>
      <c r="F35" s="40">
        <v>12.629684112903224</v>
      </c>
      <c r="G35" s="40">
        <v>17.244404744623655</v>
      </c>
      <c r="H35" s="40"/>
      <c r="I35" s="40">
        <v>0</v>
      </c>
      <c r="J35" s="40">
        <v>0.037999999999999971</v>
      </c>
      <c r="K35" s="40">
        <v>6.1983000000000006</v>
      </c>
      <c r="L35" s="40">
        <v>11.050700000000001</v>
      </c>
      <c r="M35" s="40">
        <v>16.050700000000003</v>
      </c>
    </row>
    <row r="36" spans="1:13" ht="13.2">
      <c r="A36" s="7">
        <f t="shared" si="1"/>
        <v>25</v>
      </c>
      <c r="B36" s="39">
        <f t="shared" si="1"/>
        <v>44228</v>
      </c>
      <c r="C36" s="40">
        <v>1.1194566129032255</v>
      </c>
      <c r="D36" s="40">
        <v>2.6112078629032252</v>
      </c>
      <c r="E36" s="40">
        <v>8.4938777956989249</v>
      </c>
      <c r="F36" s="40">
        <v>12.547947997311825</v>
      </c>
      <c r="G36" s="40">
        <v>17.155157809139784</v>
      </c>
      <c r="H36" s="40"/>
      <c r="I36" s="40">
        <v>0</v>
      </c>
      <c r="J36" s="40">
        <v>0.13709999999999994</v>
      </c>
      <c r="K36" s="40">
        <v>9.3915999999999951</v>
      </c>
      <c r="L36" s="40">
        <v>14.391599999999993</v>
      </c>
      <c r="M36" s="40">
        <v>19.3916</v>
      </c>
    </row>
    <row r="37" spans="1:13" ht="13.2">
      <c r="A37" s="7">
        <f t="shared" si="1"/>
        <v>26</v>
      </c>
      <c r="B37" s="39">
        <f t="shared" si="1"/>
        <v>44229</v>
      </c>
      <c r="C37" s="40">
        <v>1.0507631989247306</v>
      </c>
      <c r="D37" s="40">
        <v>2.5164780510752682</v>
      </c>
      <c r="E37" s="40">
        <v>8.3301462365591394</v>
      </c>
      <c r="F37" s="40">
        <v>12.358040672043009</v>
      </c>
      <c r="G37" s="40">
        <v>16.944695779569891</v>
      </c>
      <c r="H37" s="40"/>
      <c r="I37" s="40">
        <v>0</v>
      </c>
      <c r="J37" s="40">
        <v>0.034199999999999946</v>
      </c>
      <c r="K37" s="40">
        <v>4.5686999999999989</v>
      </c>
      <c r="L37" s="40">
        <v>9.5132999999999974</v>
      </c>
      <c r="M37" s="40">
        <v>14.513299999999997</v>
      </c>
    </row>
    <row r="38" spans="1:13" ht="13.2">
      <c r="A38" s="7">
        <f t="shared" si="1"/>
        <v>27</v>
      </c>
      <c r="B38" s="39">
        <f t="shared" si="1"/>
        <v>44230</v>
      </c>
      <c r="C38" s="40">
        <v>1.0279963306451609</v>
      </c>
      <c r="D38" s="40">
        <v>2.445081787634408</v>
      </c>
      <c r="E38" s="40">
        <v>8.1721986155913982</v>
      </c>
      <c r="F38" s="40">
        <v>12.149746505376342</v>
      </c>
      <c r="G38" s="40">
        <v>16.701733723118277</v>
      </c>
      <c r="H38" s="40"/>
      <c r="I38" s="40">
        <v>0</v>
      </c>
      <c r="J38" s="40">
        <v>0</v>
      </c>
      <c r="K38" s="40">
        <v>0.32069999999999999</v>
      </c>
      <c r="L38" s="40">
        <v>3.9961000000000002</v>
      </c>
      <c r="M38" s="40">
        <v>8.7692999999999977</v>
      </c>
    </row>
    <row r="39" spans="1:13" ht="13.2">
      <c r="A39" s="7">
        <f t="shared" si="1"/>
        <v>28</v>
      </c>
      <c r="B39" s="39">
        <f t="shared" si="1"/>
        <v>44231</v>
      </c>
      <c r="C39" s="40">
        <v>1.0229253494623651</v>
      </c>
      <c r="D39" s="40">
        <v>2.4091500268817199</v>
      </c>
      <c r="E39" s="40">
        <v>8.051725322580646</v>
      </c>
      <c r="F39" s="40">
        <v>11.985462728494621</v>
      </c>
      <c r="G39" s="40">
        <v>16.498432029569891</v>
      </c>
      <c r="H39" s="40"/>
      <c r="I39" s="40">
        <v>0</v>
      </c>
      <c r="J39" s="40">
        <v>0</v>
      </c>
      <c r="K39" s="40">
        <v>0.07369999999999996</v>
      </c>
      <c r="L39" s="40">
        <v>2.1067999999999989</v>
      </c>
      <c r="M39" s="40">
        <v>6.5228999999999981</v>
      </c>
    </row>
    <row r="40" spans="1:13" ht="13.2">
      <c r="A40" s="7">
        <f t="shared" si="1"/>
        <v>29</v>
      </c>
      <c r="B40" s="39">
        <f t="shared" si="1"/>
        <v>44232</v>
      </c>
      <c r="C40" s="40">
        <v>0.99323852150537606</v>
      </c>
      <c r="D40" s="40">
        <v>2.3372154704301069</v>
      </c>
      <c r="E40" s="40">
        <v>7.896850698924732</v>
      </c>
      <c r="F40" s="40">
        <v>11.78769876344086</v>
      </c>
      <c r="G40" s="40">
        <v>16.259374274193547</v>
      </c>
      <c r="H40" s="40"/>
      <c r="I40" s="40">
        <v>0</v>
      </c>
      <c r="J40" s="40">
        <v>0.023999999999999914</v>
      </c>
      <c r="K40" s="40">
        <v>7.9173999999999971</v>
      </c>
      <c r="L40" s="40">
        <v>12.917399999999997</v>
      </c>
      <c r="M40" s="40">
        <v>17.917399999999997</v>
      </c>
    </row>
    <row r="41" spans="1:13" ht="13.2">
      <c r="A41" s="7">
        <f t="shared" si="1"/>
        <v>30</v>
      </c>
      <c r="B41" s="39">
        <f t="shared" si="1"/>
        <v>44233</v>
      </c>
      <c r="C41" s="40">
        <v>0.98464685483870928</v>
      </c>
      <c r="D41" s="40">
        <v>2.3157256586021497</v>
      </c>
      <c r="E41" s="40">
        <v>7.7798143817204295</v>
      </c>
      <c r="F41" s="40">
        <v>11.647706626344085</v>
      </c>
      <c r="G41" s="40">
        <v>16.099595013440858</v>
      </c>
      <c r="H41" s="40"/>
      <c r="I41" s="40">
        <v>0</v>
      </c>
      <c r="J41" s="40">
        <v>0.11899999999999997</v>
      </c>
      <c r="K41" s="40">
        <v>6.801800000000001</v>
      </c>
      <c r="L41" s="40">
        <v>11.736999999999998</v>
      </c>
      <c r="M41" s="40">
        <v>16.737000000000002</v>
      </c>
    </row>
    <row r="42" spans="1:13" ht="13.2">
      <c r="A42" s="7">
        <f t="shared" si="1"/>
        <v>31</v>
      </c>
      <c r="B42" s="39">
        <f t="shared" si="1"/>
        <v>44234</v>
      </c>
      <c r="C42" s="40">
        <v>0.98110280913978454</v>
      </c>
      <c r="D42" s="40">
        <v>2.2968691263440859</v>
      </c>
      <c r="E42" s="40">
        <v>7.7285118010752685</v>
      </c>
      <c r="F42" s="40">
        <v>11.573990860215053</v>
      </c>
      <c r="G42" s="40">
        <v>15.998330080645159</v>
      </c>
      <c r="H42" s="40"/>
      <c r="I42" s="40">
        <v>0</v>
      </c>
      <c r="J42" s="40">
        <v>0.369999999999998</v>
      </c>
      <c r="K42" s="40">
        <v>8.8319999999999972</v>
      </c>
      <c r="L42" s="40">
        <v>13.831999999999995</v>
      </c>
      <c r="M42" s="40">
        <v>18.831999999999994</v>
      </c>
    </row>
    <row r="43" spans="1:13" ht="13.2">
      <c r="A43" s="7">
        <f t="shared" si="1"/>
        <v>32</v>
      </c>
      <c r="B43" s="39">
        <f t="shared" si="1"/>
        <v>44235</v>
      </c>
      <c r="C43" s="40">
        <v>0.94873439516128988</v>
      </c>
      <c r="D43" s="40">
        <v>2.2245938306451611</v>
      </c>
      <c r="E43" s="40">
        <v>7.560569529569892</v>
      </c>
      <c r="F43" s="40">
        <v>11.375446424731182</v>
      </c>
      <c r="G43" s="40">
        <v>15.779200698924731</v>
      </c>
      <c r="H43" s="40"/>
      <c r="I43" s="40">
        <v>0.10200000000000004</v>
      </c>
      <c r="J43" s="40">
        <v>0.2263</v>
      </c>
      <c r="K43" s="40">
        <v>3.491199999999997</v>
      </c>
      <c r="L43" s="40">
        <v>7.7837999999999949</v>
      </c>
      <c r="M43" s="40">
        <v>12.778099999999993</v>
      </c>
    </row>
    <row r="44" spans="1:13" ht="13.2">
      <c r="A44" s="7">
        <f t="shared" si="1"/>
        <v>33</v>
      </c>
      <c r="B44" s="39">
        <f t="shared" si="1"/>
        <v>44236</v>
      </c>
      <c r="C44" s="40">
        <v>0.94389958333333324</v>
      </c>
      <c r="D44" s="40">
        <v>2.1938292741935479</v>
      </c>
      <c r="E44" s="40">
        <v>7.4271959677419357</v>
      </c>
      <c r="F44" s="40">
        <v>11.208696760752687</v>
      </c>
      <c r="G44" s="40">
        <v>15.588738897849463</v>
      </c>
      <c r="H44" s="40"/>
      <c r="I44" s="40">
        <v>5.6431000000000013</v>
      </c>
      <c r="J44" s="40">
        <v>9.7747000000000011</v>
      </c>
      <c r="K44" s="40">
        <v>18.999300000000002</v>
      </c>
      <c r="L44" s="40">
        <v>23.818300000000001</v>
      </c>
      <c r="M44" s="40">
        <v>28.818299999999997</v>
      </c>
    </row>
    <row r="45" spans="1:13" ht="13.2">
      <c r="A45" s="7">
        <f t="shared" si="1"/>
        <v>34</v>
      </c>
      <c r="B45" s="39">
        <f t="shared" si="1"/>
        <v>44237</v>
      </c>
      <c r="C45" s="40">
        <v>0.96146922043010741</v>
      </c>
      <c r="D45" s="40">
        <v>2.1989042473118272</v>
      </c>
      <c r="E45" s="40">
        <v>7.403338118279569</v>
      </c>
      <c r="F45" s="40">
        <v>11.185097446236563</v>
      </c>
      <c r="G45" s="40">
        <v>15.552316223118282</v>
      </c>
      <c r="H45" s="40"/>
      <c r="I45" s="40">
        <v>9.0852000000000004</v>
      </c>
      <c r="J45" s="40">
        <v>13.871199999999998</v>
      </c>
      <c r="K45" s="40">
        <v>23.694299999999995</v>
      </c>
      <c r="L45" s="40">
        <v>28.694299999999998</v>
      </c>
      <c r="M45" s="40">
        <v>33.694299999999991</v>
      </c>
    </row>
    <row r="46" spans="1:13" ht="13.2">
      <c r="A46" s="7">
        <f t="shared" si="1"/>
        <v>35</v>
      </c>
      <c r="B46" s="39">
        <f t="shared" si="1"/>
        <v>44238</v>
      </c>
      <c r="C46" s="40">
        <v>0.99664936827956974</v>
      </c>
      <c r="D46" s="40">
        <v>2.250902002688171</v>
      </c>
      <c r="E46" s="40">
        <v>7.4465292607526887</v>
      </c>
      <c r="F46" s="40">
        <v>11.218374623655915</v>
      </c>
      <c r="G46" s="40">
        <v>15.576880981182798</v>
      </c>
      <c r="H46" s="40"/>
      <c r="I46" s="40">
        <v>12.759099999999997</v>
      </c>
      <c r="J46" s="40">
        <v>17.7591</v>
      </c>
      <c r="K46" s="40">
        <v>27.759099999999997</v>
      </c>
      <c r="L46" s="40">
        <v>32.759100000000004</v>
      </c>
      <c r="M46" s="40">
        <v>37.759099999999997</v>
      </c>
    </row>
    <row r="47" spans="1:13" ht="13.2">
      <c r="A47" s="7">
        <f>+A46+1</f>
        <v>36</v>
      </c>
      <c r="B47" s="39" t="s">
        <v>51</v>
      </c>
      <c r="C47" s="196">
        <f>SUM(C18:C46)</f>
        <v>33.842163817204288</v>
      </c>
      <c r="D47" s="196">
        <f>SUM(D18:D46)</f>
        <v>76.860644475806424</v>
      </c>
      <c r="E47" s="196">
        <f>SUM(E18:E46)</f>
        <v>248.13398278225805</v>
      </c>
      <c r="F47" s="196">
        <f>SUM(F18:F46)</f>
        <v>366.62390379032252</v>
      </c>
      <c r="G47" s="196">
        <f>SUM(G18:G46)</f>
        <v>499.73419772849439</v>
      </c>
      <c r="H47" s="197"/>
      <c r="I47" s="196">
        <f>SUM(I18:I46)</f>
        <v>29.645099999999999</v>
      </c>
      <c r="J47" s="196">
        <f>SUM(J18:J46)</f>
        <v>53.195599999999999</v>
      </c>
      <c r="K47" s="196">
        <f>SUM(K18:K46)</f>
        <v>222.34679999999997</v>
      </c>
      <c r="L47" s="196">
        <f>SUM(L18:L46)</f>
        <v>350.45879999999988</v>
      </c>
      <c r="M47" s="196">
        <f>SUM(M18:M46)</f>
        <v>491.00749999999994</v>
      </c>
    </row>
    <row r="48" spans="1:1" ht="13.2">
      <c r="A48" s="7"/>
    </row>
  </sheetData>
  <mergeCells count="11">
    <mergeCell ref="B8:M8"/>
    <mergeCell ref="C14:F14"/>
    <mergeCell ref="I14:M14"/>
    <mergeCell ref="C15:G15"/>
    <mergeCell ref="I15:M15"/>
    <mergeCell ref="B6:M6"/>
    <mergeCell ref="B1:M1"/>
    <mergeCell ref="B2:M2"/>
    <mergeCell ref="B3:M3"/>
    <mergeCell ref="B4:M4"/>
    <mergeCell ref="B5:O5"/>
  </mergeCells>
  <printOptions horizontalCentered="1"/>
  <pageMargins left="1.5" right="0.5" top="1.5" bottom="1" header="1" footer="0.5"/>
  <pageSetup orientation="portrait" scale="68" r:id="rId1"/>
  <headerFooter alignWithMargins="0">
    <oddHeader>&amp;RSchedule II-H-5.2
Page &amp;P of 37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1">
    <pageSetUpPr fitToPage="1"/>
  </sheetPr>
  <dimension ref="A1:U48"/>
  <sheetViews>
    <sheetView showGridLines="0" zoomScaleSheetLayoutView="100" workbookViewId="0" topLeftCell="A1"/>
  </sheetViews>
  <sheetFormatPr defaultColWidth="9.11428571428571" defaultRowHeight="13.5"/>
  <cols>
    <col min="1" max="1" width="9.14285714285714" style="9"/>
    <col min="2" max="2" width="11.4285714285714" style="9" customWidth="1"/>
    <col min="3" max="3" width="9.14285714285714" style="7"/>
    <col min="4" max="4" width="10.2857142857143" style="9" bestFit="1" customWidth="1"/>
    <col min="5" max="6" width="9.71428571428571" style="9" customWidth="1"/>
    <col min="7" max="7" width="9.57142857142857" style="9" customWidth="1"/>
    <col min="8" max="8" width="9.28571428571429" style="9" customWidth="1"/>
    <col min="9" max="10" width="9.71428571428571" style="9" customWidth="1"/>
    <col min="11" max="11" width="8.71428571428571" style="9" customWidth="1"/>
    <col min="12" max="16384" width="9.14285714285714" style="9"/>
  </cols>
  <sheetData>
    <row r="1" spans="1:12" s="0" customFormat="1" ht="15.6">
      <c r="A1" s="179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180"/>
    </row>
    <row r="2" spans="1:12" s="0" customFormat="1" ht="15.6">
      <c r="A2" s="179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180"/>
    </row>
    <row r="3" spans="1:12" s="0" customFormat="1" ht="15.6">
      <c r="A3" s="179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180"/>
    </row>
    <row r="4" spans="1:12" s="0" customFormat="1" ht="15.6">
      <c r="A4" s="179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180"/>
    </row>
    <row r="5" spans="1:12" s="0" customFormat="1" ht="15.6">
      <c r="A5" s="179"/>
      <c r="B5" s="200"/>
      <c r="C5" s="200"/>
      <c r="D5" s="200"/>
      <c r="E5" s="200"/>
      <c r="F5" s="200"/>
      <c r="G5" s="200"/>
      <c r="H5" s="200"/>
      <c r="I5" s="202"/>
      <c r="J5" s="202"/>
      <c r="K5" s="202"/>
      <c r="L5" s="202"/>
    </row>
    <row r="6" spans="2:12" ht="15.6">
      <c r="B6" s="203" t="str">
        <f>+RES!B6</f>
        <v>SPONSOR: D. E. NELSON</v>
      </c>
      <c r="C6" s="201"/>
      <c r="D6" s="201"/>
      <c r="E6" s="201"/>
      <c r="F6" s="201"/>
      <c r="G6" s="201"/>
      <c r="H6" s="201"/>
      <c r="I6" s="201"/>
      <c r="J6" s="201"/>
      <c r="K6" s="201"/>
      <c r="L6" s="178"/>
    </row>
    <row r="7" spans="2:12" ht="15.6">
      <c r="B7" s="181"/>
      <c r="C7" s="178"/>
      <c r="D7" s="178"/>
      <c r="E7" s="178"/>
      <c r="F7" s="178"/>
      <c r="G7" s="178"/>
      <c r="H7" s="178"/>
      <c r="I7" s="178"/>
      <c r="J7" s="178"/>
      <c r="K7" s="178"/>
      <c r="L7" s="178"/>
    </row>
    <row r="8" spans="2:12" ht="15.6">
      <c r="B8" s="200" t="s">
        <v>161</v>
      </c>
      <c r="C8" s="202"/>
      <c r="D8" s="202"/>
      <c r="E8" s="202"/>
      <c r="F8" s="202"/>
      <c r="G8" s="202"/>
      <c r="H8" s="202"/>
      <c r="I8" s="202"/>
      <c r="J8" s="202"/>
      <c r="K8" s="202"/>
      <c r="L8" s="178"/>
    </row>
    <row r="9" spans="1:12" ht="15.6">
      <c r="A9" s="179" t="s">
        <v>6</v>
      </c>
      <c r="B9" s="181"/>
      <c r="C9" s="178"/>
      <c r="D9" s="178"/>
      <c r="E9" s="178"/>
      <c r="F9" s="178"/>
      <c r="G9" s="178"/>
      <c r="H9" s="178"/>
      <c r="I9" s="178"/>
      <c r="J9" s="178"/>
      <c r="K9" s="178"/>
      <c r="L9" s="178"/>
    </row>
    <row r="10" spans="1:1" ht="13.2">
      <c r="A10" s="5" t="s">
        <v>8</v>
      </c>
    </row>
    <row r="11" spans="1:4" ht="13.2">
      <c r="A11" s="7">
        <v>1</v>
      </c>
      <c r="B11" s="34" t="s">
        <v>25</v>
      </c>
      <c r="C11" s="35" t="s">
        <v>26</v>
      </c>
      <c r="D11" s="35" t="s">
        <v>94</v>
      </c>
    </row>
    <row r="12" spans="1:4" ht="13.2">
      <c r="A12" s="7">
        <f>+A11+1</f>
        <v>2</v>
      </c>
      <c r="B12" s="36" t="s">
        <v>27</v>
      </c>
      <c r="C12" s="36" t="s">
        <v>85</v>
      </c>
      <c r="D12" s="36" t="s">
        <v>95</v>
      </c>
    </row>
    <row r="13" spans="1:4" ht="13.2">
      <c r="A13" s="7">
        <f>+A12+1</f>
        <v>3</v>
      </c>
      <c r="B13" s="37" t="s">
        <v>179</v>
      </c>
      <c r="C13" s="33">
        <v>44420</v>
      </c>
      <c r="D13" s="33">
        <v>44391</v>
      </c>
    </row>
    <row r="14" spans="1:11" ht="13.2">
      <c r="A14" s="7"/>
      <c r="B14" s="37"/>
      <c r="C14" s="208"/>
      <c r="D14" s="209"/>
      <c r="E14" s="209"/>
      <c r="F14" s="182"/>
      <c r="G14" s="182"/>
      <c r="H14" s="208"/>
      <c r="I14" s="209"/>
      <c r="J14" s="209"/>
      <c r="K14" s="209"/>
    </row>
    <row r="15" spans="1:11" ht="12.75" customHeight="1">
      <c r="A15" s="7">
        <f>+A13+1</f>
        <v>4</v>
      </c>
      <c r="B15" s="37"/>
      <c r="C15" s="204" t="s">
        <v>80</v>
      </c>
      <c r="D15" s="206"/>
      <c r="E15" s="206"/>
      <c r="F15" s="206"/>
      <c r="G15" s="182"/>
      <c r="H15" s="204" t="s">
        <v>84</v>
      </c>
      <c r="I15" s="207"/>
      <c r="J15" s="207"/>
      <c r="K15" s="207"/>
    </row>
    <row r="16" spans="1:11" ht="13.2">
      <c r="A16" s="7">
        <f>+A15+1</f>
        <v>5</v>
      </c>
      <c r="B16" s="37"/>
      <c r="C16" s="18" t="s">
        <v>14</v>
      </c>
      <c r="D16" s="18" t="s">
        <v>16</v>
      </c>
      <c r="E16" s="22" t="s">
        <v>18</v>
      </c>
      <c r="F16" s="22" t="s">
        <v>132</v>
      </c>
      <c r="G16" s="18"/>
      <c r="H16" s="18" t="s">
        <v>14</v>
      </c>
      <c r="I16" s="18" t="s">
        <v>16</v>
      </c>
      <c r="J16" s="22" t="s">
        <v>18</v>
      </c>
      <c r="K16" s="22" t="s">
        <v>132</v>
      </c>
    </row>
    <row r="17" spans="1:11" ht="13.2">
      <c r="A17" s="7">
        <f t="shared" si="0" ref="A17:B32">+A16+1</f>
        <v>6</v>
      </c>
      <c r="B17" s="37"/>
      <c r="C17" s="38" t="s">
        <v>29</v>
      </c>
      <c r="D17" s="38" t="s">
        <v>30</v>
      </c>
      <c r="E17" s="38" t="s">
        <v>31</v>
      </c>
      <c r="F17" s="38" t="s">
        <v>114</v>
      </c>
      <c r="G17" s="38"/>
      <c r="H17" s="38" t="s">
        <v>29</v>
      </c>
      <c r="I17" s="38" t="s">
        <v>30</v>
      </c>
      <c r="J17" s="38" t="s">
        <v>31</v>
      </c>
      <c r="K17" s="38" t="s">
        <v>114</v>
      </c>
    </row>
    <row r="18" spans="1:21" ht="13.2">
      <c r="A18" s="7">
        <f t="shared" si="0"/>
        <v>7</v>
      </c>
      <c r="B18" s="39">
        <f>+D13</f>
        <v>44391</v>
      </c>
      <c r="C18" s="195">
        <v>20.061013440860208</v>
      </c>
      <c r="D18" s="195">
        <v>15.059245712365589</v>
      </c>
      <c r="E18" s="195">
        <v>10.091249731182796</v>
      </c>
      <c r="F18" s="195">
        <v>5.3802640994623667</v>
      </c>
      <c r="G18" s="195"/>
      <c r="H18" s="195">
        <v>15.340200000000001</v>
      </c>
      <c r="I18" s="195">
        <v>10.335200000000002</v>
      </c>
      <c r="J18" s="195">
        <v>5.3302000000000014</v>
      </c>
      <c r="K18" s="195">
        <v>0.89910000000000223</v>
      </c>
      <c r="M18" s="189"/>
      <c r="N18" s="189"/>
      <c r="O18" s="189"/>
      <c r="P18" s="189"/>
      <c r="R18" s="74"/>
      <c r="S18" s="74"/>
      <c r="T18" s="74"/>
      <c r="U18" s="74"/>
    </row>
    <row r="19" spans="1:11" ht="13.2">
      <c r="A19" s="7">
        <f t="shared" si="0"/>
        <v>8</v>
      </c>
      <c r="B19" s="39">
        <f t="shared" si="0"/>
        <v>44392</v>
      </c>
      <c r="C19" s="40">
        <v>20.144734368279572</v>
      </c>
      <c r="D19" s="40">
        <v>15.142966639784948</v>
      </c>
      <c r="E19" s="40">
        <v>10.17266495967742</v>
      </c>
      <c r="F19" s="40">
        <v>5.4498293145161298</v>
      </c>
      <c r="G19" s="40"/>
      <c r="H19" s="40">
        <v>17.599600000000002</v>
      </c>
      <c r="I19" s="40">
        <v>12.5946</v>
      </c>
      <c r="J19" s="40">
        <v>7.589599999999999</v>
      </c>
      <c r="K19" s="40">
        <v>2.7145999999999981</v>
      </c>
    </row>
    <row r="20" spans="1:11" ht="13.2">
      <c r="A20" s="7">
        <f t="shared" si="0"/>
        <v>9</v>
      </c>
      <c r="B20" s="39">
        <f t="shared" si="0"/>
        <v>44393</v>
      </c>
      <c r="C20" s="40">
        <v>20.240705483870972</v>
      </c>
      <c r="D20" s="40">
        <v>15.238937755376343</v>
      </c>
      <c r="E20" s="40">
        <v>10.267015295698924</v>
      </c>
      <c r="F20" s="40">
        <v>5.5289193682795705</v>
      </c>
      <c r="G20" s="40"/>
      <c r="H20" s="40">
        <v>19.1967</v>
      </c>
      <c r="I20" s="40">
        <v>14.191699999999997</v>
      </c>
      <c r="J20" s="40">
        <v>9.1867000000000019</v>
      </c>
      <c r="K20" s="40">
        <v>4.1817000000000002</v>
      </c>
    </row>
    <row r="21" spans="1:11" ht="13.2">
      <c r="A21" s="7">
        <f t="shared" si="0"/>
        <v>10</v>
      </c>
      <c r="B21" s="39">
        <f t="shared" si="0"/>
        <v>44394</v>
      </c>
      <c r="C21" s="40">
        <v>20.381329825268818</v>
      </c>
      <c r="D21" s="40">
        <v>15.379562096774194</v>
      </c>
      <c r="E21" s="40">
        <v>10.406894771505376</v>
      </c>
      <c r="F21" s="40">
        <v>5.6531281989247315</v>
      </c>
      <c r="G21" s="40"/>
      <c r="H21" s="40">
        <v>19.535699999999999</v>
      </c>
      <c r="I21" s="40">
        <v>14.530699999999996</v>
      </c>
      <c r="J21" s="40">
        <v>9.5256999999999969</v>
      </c>
      <c r="K21" s="40">
        <v>4.5206999999999988</v>
      </c>
    </row>
    <row r="22" spans="1:11" ht="13.2">
      <c r="A22" s="7">
        <f t="shared" si="0"/>
        <v>11</v>
      </c>
      <c r="B22" s="39">
        <f t="shared" si="0"/>
        <v>44395</v>
      </c>
      <c r="C22" s="40">
        <v>20.502770967741938</v>
      </c>
      <c r="D22" s="40">
        <v>15.501003239247313</v>
      </c>
      <c r="E22" s="40">
        <v>10.527908454301075</v>
      </c>
      <c r="F22" s="40">
        <v>5.7616048118279588</v>
      </c>
      <c r="G22" s="40"/>
      <c r="H22" s="40">
        <v>19.6568</v>
      </c>
      <c r="I22" s="40">
        <v>14.651800000000005</v>
      </c>
      <c r="J22" s="40">
        <v>9.6468000000000043</v>
      </c>
      <c r="K22" s="40">
        <v>4.6418000000000053</v>
      </c>
    </row>
    <row r="23" spans="1:11" ht="13.2">
      <c r="A23" s="7">
        <f t="shared" si="0"/>
        <v>12</v>
      </c>
      <c r="B23" s="39">
        <f t="shared" si="0"/>
        <v>44396</v>
      </c>
      <c r="C23" s="40">
        <v>20.610411545698931</v>
      </c>
      <c r="D23" s="40">
        <v>15.608643817204303</v>
      </c>
      <c r="E23" s="40">
        <v>10.635107204301074</v>
      </c>
      <c r="F23" s="40">
        <v>5.8559521908602168</v>
      </c>
      <c r="G23" s="40"/>
      <c r="H23" s="40">
        <v>14.838000000000003</v>
      </c>
      <c r="I23" s="40">
        <v>9.8330000000000002</v>
      </c>
      <c r="J23" s="40">
        <v>4.8525000000000036</v>
      </c>
      <c r="K23" s="40">
        <v>0.15900000000000214</v>
      </c>
    </row>
    <row r="24" spans="1:11" ht="13.2">
      <c r="A24" s="7">
        <f t="shared" si="0"/>
        <v>13</v>
      </c>
      <c r="B24" s="39">
        <f t="shared" si="0"/>
        <v>44397</v>
      </c>
      <c r="C24" s="40">
        <v>20.723995698924732</v>
      </c>
      <c r="D24" s="40">
        <v>15.722227970430106</v>
      </c>
      <c r="E24" s="40">
        <v>10.748524623655912</v>
      </c>
      <c r="F24" s="40">
        <v>5.9633742069892488</v>
      </c>
      <c r="G24" s="40"/>
      <c r="H24" s="40">
        <v>15.332200000000006</v>
      </c>
      <c r="I24" s="40">
        <v>10.327200000000001</v>
      </c>
      <c r="J24" s="40">
        <v>5.3222000000000049</v>
      </c>
      <c r="K24" s="40">
        <v>0.98700000000000399</v>
      </c>
    </row>
    <row r="25" spans="1:11" ht="13.2">
      <c r="A25" s="7">
        <f t="shared" si="0"/>
        <v>14</v>
      </c>
      <c r="B25" s="39">
        <f t="shared" si="0"/>
        <v>44398</v>
      </c>
      <c r="C25" s="40">
        <v>20.869168897849462</v>
      </c>
      <c r="D25" s="40">
        <v>15.867401169354839</v>
      </c>
      <c r="E25" s="40">
        <v>10.893704556451612</v>
      </c>
      <c r="F25" s="40">
        <v>6.0996532795698943</v>
      </c>
      <c r="G25" s="40"/>
      <c r="H25" s="40">
        <v>16.004300000000008</v>
      </c>
      <c r="I25" s="40">
        <v>10.999300000000005</v>
      </c>
      <c r="J25" s="40">
        <v>5.9943000000000071</v>
      </c>
      <c r="K25" s="40">
        <v>1.5169000000000061</v>
      </c>
    </row>
    <row r="26" spans="1:11" ht="13.2">
      <c r="A26" s="7">
        <f t="shared" si="0"/>
        <v>15</v>
      </c>
      <c r="B26" s="39">
        <f t="shared" si="0"/>
        <v>44399</v>
      </c>
      <c r="C26" s="40">
        <v>21.00177556451613</v>
      </c>
      <c r="D26" s="40">
        <v>16.000007836021506</v>
      </c>
      <c r="E26" s="40">
        <v>11.026143413978492</v>
      </c>
      <c r="F26" s="40">
        <v>6.2279148252688197</v>
      </c>
      <c r="G26" s="40"/>
      <c r="H26" s="40">
        <v>18.020800000000005</v>
      </c>
      <c r="I26" s="40">
        <v>13.015800000000002</v>
      </c>
      <c r="J26" s="40">
        <v>8.0108000000000033</v>
      </c>
      <c r="K26" s="40">
        <v>3.2562000000000042</v>
      </c>
    </row>
    <row r="27" spans="1:11" ht="13.2">
      <c r="A27" s="7">
        <f t="shared" si="0"/>
        <v>16</v>
      </c>
      <c r="B27" s="39">
        <f t="shared" si="0"/>
        <v>44400</v>
      </c>
      <c r="C27" s="40">
        <v>21.115392500000002</v>
      </c>
      <c r="D27" s="40">
        <v>16.113624771505375</v>
      </c>
      <c r="E27" s="40">
        <v>11.139528010752686</v>
      </c>
      <c r="F27" s="40">
        <v>6.3373543145161308</v>
      </c>
      <c r="G27" s="40"/>
      <c r="H27" s="40">
        <v>19.862099999999995</v>
      </c>
      <c r="I27" s="40">
        <v>14.857099999999999</v>
      </c>
      <c r="J27" s="40">
        <v>9.8521000000000001</v>
      </c>
      <c r="K27" s="40">
        <v>4.8470999999999993</v>
      </c>
    </row>
    <row r="28" spans="1:11" ht="13.2">
      <c r="A28" s="7">
        <f t="shared" si="0"/>
        <v>17</v>
      </c>
      <c r="B28" s="39">
        <f t="shared" si="0"/>
        <v>44401</v>
      </c>
      <c r="C28" s="40">
        <v>21.212140497311825</v>
      </c>
      <c r="D28" s="40">
        <v>16.210372768817205</v>
      </c>
      <c r="E28" s="40">
        <v>11.236202231182793</v>
      </c>
      <c r="F28" s="40">
        <v>6.4316939112903251</v>
      </c>
      <c r="G28" s="40"/>
      <c r="H28" s="40">
        <v>21.618000000000009</v>
      </c>
      <c r="I28" s="40">
        <v>16.613000000000007</v>
      </c>
      <c r="J28" s="40">
        <v>11.608000000000006</v>
      </c>
      <c r="K28" s="40">
        <v>6.6030000000000078</v>
      </c>
    </row>
    <row r="29" spans="1:11" ht="13.2">
      <c r="A29" s="7">
        <f t="shared" si="0"/>
        <v>18</v>
      </c>
      <c r="B29" s="39">
        <f t="shared" si="0"/>
        <v>44402</v>
      </c>
      <c r="C29" s="40">
        <v>21.292581518817201</v>
      </c>
      <c r="D29" s="40">
        <v>16.290813790322581</v>
      </c>
      <c r="E29" s="40">
        <v>11.316624422043009</v>
      </c>
      <c r="F29" s="40">
        <v>6.5093397311827976</v>
      </c>
      <c r="G29" s="40"/>
      <c r="H29" s="40">
        <v>22.197600000000005</v>
      </c>
      <c r="I29" s="40">
        <v>17.192600000000002</v>
      </c>
      <c r="J29" s="40">
        <v>12.187600000000002</v>
      </c>
      <c r="K29" s="40">
        <v>7.1826000000000016</v>
      </c>
    </row>
    <row r="30" spans="1:11" ht="13.2">
      <c r="A30" s="7">
        <f t="shared" si="0"/>
        <v>19</v>
      </c>
      <c r="B30" s="39">
        <f t="shared" si="0"/>
        <v>44403</v>
      </c>
      <c r="C30" s="40">
        <v>21.354954112903222</v>
      </c>
      <c r="D30" s="40">
        <v>16.353186384408602</v>
      </c>
      <c r="E30" s="40">
        <v>11.379166249999999</v>
      </c>
      <c r="F30" s="40">
        <v>6.5774233870967773</v>
      </c>
      <c r="G30" s="40"/>
      <c r="H30" s="40">
        <v>23.130500000000005</v>
      </c>
      <c r="I30" s="40">
        <v>18.125500000000006</v>
      </c>
      <c r="J30" s="40">
        <v>13.120500000000007</v>
      </c>
      <c r="K30" s="40">
        <v>8.1155000000000062</v>
      </c>
    </row>
    <row r="31" spans="1:11" ht="13.2">
      <c r="A31" s="7">
        <f t="shared" si="0"/>
        <v>20</v>
      </c>
      <c r="B31" s="39">
        <f t="shared" si="0"/>
        <v>44404</v>
      </c>
      <c r="C31" s="40">
        <v>21.360273346774193</v>
      </c>
      <c r="D31" s="40">
        <v>16.358505618279569</v>
      </c>
      <c r="E31" s="40">
        <v>11.385920994623655</v>
      </c>
      <c r="F31" s="40">
        <v>6.5911098790322615</v>
      </c>
      <c r="G31" s="40"/>
      <c r="H31" s="40">
        <v>23.502099999999995</v>
      </c>
      <c r="I31" s="40">
        <v>18.497099999999996</v>
      </c>
      <c r="J31" s="40">
        <v>13.492099999999999</v>
      </c>
      <c r="K31" s="40">
        <v>8.4871000000000016</v>
      </c>
    </row>
    <row r="32" spans="1:11" ht="13.2">
      <c r="A32" s="7">
        <f t="shared" si="0"/>
        <v>21</v>
      </c>
      <c r="B32" s="39">
        <f t="shared" si="0"/>
        <v>44405</v>
      </c>
      <c r="C32" s="40">
        <v>21.34643630376344</v>
      </c>
      <c r="D32" s="40">
        <v>16.344668575268816</v>
      </c>
      <c r="E32" s="40">
        <v>11.372919072580645</v>
      </c>
      <c r="F32" s="40">
        <v>6.5937899731182821</v>
      </c>
      <c r="G32" s="40"/>
      <c r="H32" s="40">
        <v>21.206800000000008</v>
      </c>
      <c r="I32" s="40">
        <v>16.201800000000006</v>
      </c>
      <c r="J32" s="40">
        <v>11.213600000000007</v>
      </c>
      <c r="K32" s="40">
        <v>6.4886000000000061</v>
      </c>
    </row>
    <row r="33" spans="1:11" ht="13.2">
      <c r="A33" s="7">
        <f t="shared" si="1" ref="A33:B46">+A32+1</f>
        <v>22</v>
      </c>
      <c r="B33" s="39">
        <f t="shared" si="1"/>
        <v>44406</v>
      </c>
      <c r="C33" s="40">
        <v>21.289058951612901</v>
      </c>
      <c r="D33" s="40">
        <v>16.287291223118281</v>
      </c>
      <c r="E33" s="40">
        <v>11.316279005376346</v>
      </c>
      <c r="F33" s="40">
        <v>6.5552318682795727</v>
      </c>
      <c r="G33" s="40"/>
      <c r="H33" s="40">
        <v>21.883400000000002</v>
      </c>
      <c r="I33" s="40">
        <v>16.878399999999999</v>
      </c>
      <c r="J33" s="40">
        <v>11.873399999999998</v>
      </c>
      <c r="K33" s="40">
        <v>6.9804000000000004</v>
      </c>
    </row>
    <row r="34" spans="1:11" ht="13.2">
      <c r="A34" s="7">
        <f t="shared" si="1"/>
        <v>23</v>
      </c>
      <c r="B34" s="39">
        <f t="shared" si="1"/>
        <v>44407</v>
      </c>
      <c r="C34" s="40">
        <v>21.248744650537635</v>
      </c>
      <c r="D34" s="40">
        <v>16.246976922043011</v>
      </c>
      <c r="E34" s="40">
        <v>11.27510860215054</v>
      </c>
      <c r="F34" s="40">
        <v>6.5175083870967763</v>
      </c>
      <c r="G34" s="40"/>
      <c r="H34" s="40">
        <v>22.915499999999998</v>
      </c>
      <c r="I34" s="40">
        <v>17.910499999999999</v>
      </c>
      <c r="J34" s="40">
        <v>12.905499999999998</v>
      </c>
      <c r="K34" s="40">
        <v>7.9004999999999992</v>
      </c>
    </row>
    <row r="35" spans="1:11" ht="13.2">
      <c r="A35" s="7">
        <f t="shared" si="1"/>
        <v>24</v>
      </c>
      <c r="B35" s="39">
        <f t="shared" si="1"/>
        <v>44408</v>
      </c>
      <c r="C35" s="40">
        <v>21.266674301075266</v>
      </c>
      <c r="D35" s="40">
        <v>16.264360268817207</v>
      </c>
      <c r="E35" s="40">
        <v>11.287857849462366</v>
      </c>
      <c r="F35" s="40">
        <v>6.530698655913981</v>
      </c>
      <c r="G35" s="40"/>
      <c r="H35" s="40">
        <v>23.620500000000007</v>
      </c>
      <c r="I35" s="40">
        <v>18.615500000000004</v>
      </c>
      <c r="J35" s="40">
        <v>13.610500000000002</v>
      </c>
      <c r="K35" s="40">
        <v>8.605500000000001</v>
      </c>
    </row>
    <row r="36" spans="1:11" ht="13.2">
      <c r="A36" s="7">
        <f t="shared" si="1"/>
        <v>25</v>
      </c>
      <c r="B36" s="39">
        <f t="shared" si="1"/>
        <v>44409</v>
      </c>
      <c r="C36" s="40">
        <v>21.25550452956989</v>
      </c>
      <c r="D36" s="40">
        <v>16.252919529569894</v>
      </c>
      <c r="E36" s="40">
        <v>11.277188252688173</v>
      </c>
      <c r="F36" s="40">
        <v>6.5221860215053784</v>
      </c>
      <c r="G36" s="40"/>
      <c r="H36" s="40">
        <v>18.233600000000003</v>
      </c>
      <c r="I36" s="40">
        <v>13.228600000000009</v>
      </c>
      <c r="J36" s="40">
        <v>8.2236000000000047</v>
      </c>
      <c r="K36" s="40">
        <v>3.3551000000000064</v>
      </c>
    </row>
    <row r="37" spans="1:11" ht="13.2">
      <c r="A37" s="7">
        <f t="shared" si="1"/>
        <v>26</v>
      </c>
      <c r="B37" s="39">
        <f t="shared" si="1"/>
        <v>44410</v>
      </c>
      <c r="C37" s="40">
        <v>21.229551586021508</v>
      </c>
      <c r="D37" s="40">
        <v>16.226864005376346</v>
      </c>
      <c r="E37" s="40">
        <v>11.248806115591398</v>
      </c>
      <c r="F37" s="40">
        <v>6.4945301075268835</v>
      </c>
      <c r="G37" s="40"/>
      <c r="H37" s="40">
        <v>13.851100000000006</v>
      </c>
      <c r="I37" s="40">
        <v>8.8461000000000034</v>
      </c>
      <c r="J37" s="40">
        <v>3.9351000000000025</v>
      </c>
      <c r="K37" s="40">
        <v>0</v>
      </c>
    </row>
    <row r="38" spans="1:11" ht="13.2">
      <c r="A38" s="7">
        <f t="shared" si="1"/>
        <v>27</v>
      </c>
      <c r="B38" s="39">
        <f t="shared" si="1"/>
        <v>44411</v>
      </c>
      <c r="C38" s="40">
        <v>21.194627688172044</v>
      </c>
      <c r="D38" s="40">
        <v>16.191656236559144</v>
      </c>
      <c r="E38" s="40">
        <v>11.207525483870969</v>
      </c>
      <c r="F38" s="40">
        <v>6.4557884005376351</v>
      </c>
      <c r="G38" s="40"/>
      <c r="H38" s="40">
        <v>16.003900000000005</v>
      </c>
      <c r="I38" s="40">
        <v>10.998900000000004</v>
      </c>
      <c r="J38" s="40">
        <v>6.0891000000000073</v>
      </c>
      <c r="K38" s="40">
        <v>1.5587000000000064</v>
      </c>
    </row>
    <row r="39" spans="1:11" ht="13.2">
      <c r="A39" s="7">
        <f t="shared" si="1"/>
        <v>28</v>
      </c>
      <c r="B39" s="39">
        <f t="shared" si="1"/>
        <v>44412</v>
      </c>
      <c r="C39" s="40">
        <v>21.140352392473119</v>
      </c>
      <c r="D39" s="40">
        <v>16.137352715053765</v>
      </c>
      <c r="E39" s="40">
        <v>11.153145927419354</v>
      </c>
      <c r="F39" s="40">
        <v>6.4121157526881731</v>
      </c>
      <c r="G39" s="40"/>
      <c r="H39" s="40">
        <v>16.548900000000003</v>
      </c>
      <c r="I39" s="40">
        <v>11.543900000000003</v>
      </c>
      <c r="J39" s="40">
        <v>6.5389000000000026</v>
      </c>
      <c r="K39" s="40">
        <v>1.9339000000000024</v>
      </c>
    </row>
    <row r="40" spans="1:11" ht="13.2">
      <c r="A40" s="7">
        <f t="shared" si="1"/>
        <v>29</v>
      </c>
      <c r="B40" s="39">
        <f t="shared" si="1"/>
        <v>44413</v>
      </c>
      <c r="C40" s="40">
        <v>21.085996451612907</v>
      </c>
      <c r="D40" s="40">
        <v>16.08299677419355</v>
      </c>
      <c r="E40" s="40">
        <v>11.105446155913977</v>
      </c>
      <c r="F40" s="40">
        <v>6.3829674327956996</v>
      </c>
      <c r="G40" s="40"/>
      <c r="H40" s="40">
        <v>16.364000000000004</v>
      </c>
      <c r="I40" s="40">
        <v>11.359000000000007</v>
      </c>
      <c r="J40" s="40">
        <v>6.3540000000000054</v>
      </c>
      <c r="K40" s="40">
        <v>1.869000000000006</v>
      </c>
    </row>
    <row r="41" spans="1:11" ht="13.2">
      <c r="A41" s="7">
        <f t="shared" si="1"/>
        <v>30</v>
      </c>
      <c r="B41" s="39">
        <f t="shared" si="1"/>
        <v>44414</v>
      </c>
      <c r="C41" s="40">
        <v>20.998540725806453</v>
      </c>
      <c r="D41" s="40">
        <v>15.995568467741935</v>
      </c>
      <c r="E41" s="40">
        <v>11.021568440860214</v>
      </c>
      <c r="F41" s="40">
        <v>6.316870443548388</v>
      </c>
      <c r="G41" s="40"/>
      <c r="H41" s="40">
        <v>18.279400000000006</v>
      </c>
      <c r="I41" s="40">
        <v>13.274400000000007</v>
      </c>
      <c r="J41" s="40">
        <v>8.2694000000000063</v>
      </c>
      <c r="K41" s="40">
        <v>3.280200000000006</v>
      </c>
    </row>
    <row r="42" spans="1:11" ht="13.2">
      <c r="A42" s="7">
        <f t="shared" si="1"/>
        <v>31</v>
      </c>
      <c r="B42" s="39">
        <f t="shared" si="1"/>
        <v>44415</v>
      </c>
      <c r="C42" s="40">
        <v>20.942014327956986</v>
      </c>
      <c r="D42" s="40">
        <v>15.939042069892473</v>
      </c>
      <c r="E42" s="40">
        <v>10.964880510752687</v>
      </c>
      <c r="F42" s="40">
        <v>6.2675441129032272</v>
      </c>
      <c r="G42" s="40"/>
      <c r="H42" s="40">
        <v>19.6724</v>
      </c>
      <c r="I42" s="40">
        <v>14.667399999999994</v>
      </c>
      <c r="J42" s="40">
        <v>9.6623999999999981</v>
      </c>
      <c r="K42" s="40">
        <v>4.6573999999999973</v>
      </c>
    </row>
    <row r="43" spans="1:11" ht="13.2">
      <c r="A43" s="7">
        <f t="shared" si="1"/>
        <v>32</v>
      </c>
      <c r="B43" s="39">
        <f t="shared" si="1"/>
        <v>44416</v>
      </c>
      <c r="C43" s="40">
        <v>20.940433870967745</v>
      </c>
      <c r="D43" s="40">
        <v>15.937461612903226</v>
      </c>
      <c r="E43" s="40">
        <v>10.962777903225806</v>
      </c>
      <c r="F43" s="40">
        <v>6.2652291397849469</v>
      </c>
      <c r="G43" s="40"/>
      <c r="H43" s="40">
        <v>21.762700000000002</v>
      </c>
      <c r="I43" s="40">
        <v>16.757700000000003</v>
      </c>
      <c r="J43" s="40">
        <v>11.752700000000003</v>
      </c>
      <c r="K43" s="40">
        <v>6.7477000000000036</v>
      </c>
    </row>
    <row r="44" spans="1:11" ht="13.2">
      <c r="A44" s="7">
        <f t="shared" si="1"/>
        <v>33</v>
      </c>
      <c r="B44" s="39">
        <f t="shared" si="1"/>
        <v>44417</v>
      </c>
      <c r="C44" s="40">
        <v>20.958750349462367</v>
      </c>
      <c r="D44" s="40">
        <v>15.955778091397852</v>
      </c>
      <c r="E44" s="40">
        <v>10.981011478494624</v>
      </c>
      <c r="F44" s="40">
        <v>6.2802571236559137</v>
      </c>
      <c r="G44" s="40"/>
      <c r="H44" s="40">
        <v>22.209299999999999</v>
      </c>
      <c r="I44" s="40">
        <v>17.204300000000003</v>
      </c>
      <c r="J44" s="40">
        <v>12.199300000000003</v>
      </c>
      <c r="K44" s="40">
        <v>7.1943000000000046</v>
      </c>
    </row>
    <row r="45" spans="1:11" ht="13.2">
      <c r="A45" s="7">
        <f t="shared" si="1"/>
        <v>34</v>
      </c>
      <c r="B45" s="39">
        <f t="shared" si="1"/>
        <v>44418</v>
      </c>
      <c r="C45" s="40">
        <v>20.956101317204304</v>
      </c>
      <c r="D45" s="40">
        <v>15.952554260752688</v>
      </c>
      <c r="E45" s="40">
        <v>10.976181532258067</v>
      </c>
      <c r="F45" s="40">
        <v>6.2697127284946239</v>
      </c>
      <c r="G45" s="40"/>
      <c r="H45" s="40">
        <v>21.605799999999991</v>
      </c>
      <c r="I45" s="40">
        <v>16.6008</v>
      </c>
      <c r="J45" s="40">
        <v>11.595799999999995</v>
      </c>
      <c r="K45" s="40">
        <v>6.5907999999999971</v>
      </c>
    </row>
    <row r="46" spans="1:11" ht="13.2">
      <c r="A46" s="7">
        <f t="shared" si="1"/>
        <v>35</v>
      </c>
      <c r="B46" s="39">
        <f t="shared" si="1"/>
        <v>44419</v>
      </c>
      <c r="C46" s="40">
        <v>20.931568400537639</v>
      </c>
      <c r="D46" s="40">
        <v>15.927561666666669</v>
      </c>
      <c r="E46" s="40">
        <v>10.950512688172045</v>
      </c>
      <c r="F46" s="40">
        <v>6.2391421236559133</v>
      </c>
      <c r="G46" s="40"/>
      <c r="H46" s="40">
        <v>21.702400000000001</v>
      </c>
      <c r="I46" s="40">
        <v>16.697399999999998</v>
      </c>
      <c r="J46" s="40">
        <v>11.692399999999999</v>
      </c>
      <c r="K46" s="40">
        <v>6.6873999999999985</v>
      </c>
    </row>
    <row r="47" spans="1:11" ht="13.2">
      <c r="A47" s="7">
        <f>+A46+1</f>
        <v>36</v>
      </c>
      <c r="B47" s="39" t="s">
        <v>51</v>
      </c>
      <c r="C47" s="196">
        <f>SUM(C18:C46)</f>
        <v>607.65560361559142</v>
      </c>
      <c r="D47" s="196">
        <f>SUM(D18:D46)</f>
        <v>462.5895519892473</v>
      </c>
      <c r="E47" s="196">
        <f>SUM(E18:E46)</f>
        <v>318.32786393817202</v>
      </c>
      <c r="F47" s="196">
        <f>SUM(F18:F46)</f>
        <v>180.47113379032263</v>
      </c>
      <c r="G47" s="197"/>
      <c r="H47" s="196">
        <f>SUM(H18:H46)</f>
        <v>561.69430000000011</v>
      </c>
      <c r="I47" s="196">
        <f>SUM(I18:I46)</f>
        <v>416.54930000000002</v>
      </c>
      <c r="J47" s="196">
        <f>SUM(J18:J46)</f>
        <v>271.6348000000001</v>
      </c>
      <c r="K47" s="196">
        <f>SUM(K18:K46)</f>
        <v>131.96180000000007</v>
      </c>
    </row>
    <row r="48" spans="1:1" ht="13.2">
      <c r="A48" s="7"/>
    </row>
  </sheetData>
  <mergeCells count="11">
    <mergeCell ref="B8:K8"/>
    <mergeCell ref="C14:E14"/>
    <mergeCell ref="H14:K14"/>
    <mergeCell ref="C15:F15"/>
    <mergeCell ref="H15:K15"/>
    <mergeCell ref="B6:K6"/>
    <mergeCell ref="B1:K1"/>
    <mergeCell ref="B2:K2"/>
    <mergeCell ref="B3:K3"/>
    <mergeCell ref="B4:K4"/>
    <mergeCell ref="B5:L5"/>
  </mergeCells>
  <printOptions horizontalCentered="1"/>
  <pageMargins left="1.5" right="0.5" top="1.5" bottom="1" header="1" footer="0.5"/>
  <pageSetup orientation="portrait" scale="79" r:id="rId1"/>
  <headerFooter alignWithMargins="0">
    <oddHeader>&amp;RSchedule II-H-5.2
Page &amp;P of 37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2">
    <pageSetUpPr fitToPage="1"/>
  </sheetPr>
  <dimension ref="A1:AA37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.85714285714286" style="9" bestFit="1" customWidth="1"/>
    <col min="5" max="5" width="11.1428571428571" style="9" customWidth="1"/>
    <col min="6" max="6" width="9.28571428571429" style="9" bestFit="1" customWidth="1"/>
    <col min="7" max="8" width="9.28571428571429" style="9" customWidth="1"/>
    <col min="9" max="16384" width="9.14285714285714" style="9"/>
  </cols>
  <sheetData>
    <row r="1" spans="1:15" s="0" customFormat="1" ht="15.6">
      <c r="A1" s="1"/>
      <c r="B1" s="200" t="str">
        <f>+RES!B1</f>
        <v xml:space="preserve">PUC DOCKET NO. </v>
      </c>
      <c r="C1" s="200"/>
      <c r="D1" s="200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"/>
      <c r="B2" s="200" t="str">
        <f>+RES!B2</f>
        <v>ONCOR ELECTRIC DELIVERY COMPANY LLC</v>
      </c>
      <c r="C2" s="200"/>
      <c r="D2" s="200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"/>
      <c r="B3" s="200" t="str">
        <f>+RES!B3</f>
        <v>ADJUSTED WEATHER STATION DATA</v>
      </c>
      <c r="C3" s="200"/>
      <c r="D3" s="200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"/>
      <c r="B4" s="200" t="str">
        <f>+RES!B4</f>
        <v>FOR THE TEST YEAR ENDING DECEMBER 31, 2021</v>
      </c>
      <c r="C4" s="200"/>
      <c r="D4" s="200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"/>
      <c r="B5" s="200"/>
      <c r="C5" s="200"/>
      <c r="D5" s="200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0" t="str">
        <f>+RES!B6</f>
        <v>SPONSOR: D. E. NELSON</v>
      </c>
      <c r="C6" s="200"/>
      <c r="D6" s="200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</row>
    <row r="7" spans="2:15" ht="15.6">
      <c r="B7" s="4"/>
      <c r="C7" s="4"/>
      <c r="D7" s="4"/>
      <c r="E7" s="51"/>
      <c r="F7" s="51"/>
      <c r="G7" s="141"/>
      <c r="H7" s="186"/>
      <c r="I7" s="51"/>
      <c r="J7" s="51"/>
      <c r="K7" s="51"/>
      <c r="L7" s="51"/>
      <c r="M7" s="141"/>
      <c r="N7" s="186"/>
      <c r="O7" s="51"/>
    </row>
    <row r="8" spans="2:15" ht="15.6">
      <c r="B8" s="200" t="s">
        <v>162</v>
      </c>
      <c r="C8" s="200"/>
      <c r="D8" s="200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" t="s">
        <v>6</v>
      </c>
      <c r="B9" s="4"/>
      <c r="C9" s="4"/>
      <c r="D9" s="4"/>
      <c r="E9" s="1"/>
      <c r="F9" s="1"/>
      <c r="G9" s="140"/>
      <c r="H9" s="185"/>
      <c r="I9" s="1"/>
      <c r="J9" s="1"/>
      <c r="K9" s="1"/>
      <c r="L9" s="1"/>
      <c r="M9" s="140"/>
      <c r="N9" s="185"/>
      <c r="O9" s="1"/>
    </row>
    <row r="10" spans="1:15" ht="15.6">
      <c r="A10" s="5" t="s">
        <v>8</v>
      </c>
      <c r="B10" s="4"/>
      <c r="C10" s="4"/>
      <c r="D10" s="4"/>
      <c r="E10" s="1"/>
      <c r="F10" s="1"/>
      <c r="G10" s="140"/>
      <c r="H10" s="185"/>
      <c r="I10" s="1"/>
      <c r="J10" s="1"/>
      <c r="K10" s="1"/>
      <c r="L10" s="1"/>
      <c r="M10" s="140"/>
      <c r="N10" s="185"/>
      <c r="O10" s="1"/>
    </row>
    <row r="11" spans="1:15" ht="13.2">
      <c r="A11" s="7">
        <v>1</v>
      </c>
      <c r="B11" s="42" t="s">
        <v>25</v>
      </c>
      <c r="C11" s="43" t="s">
        <v>26</v>
      </c>
      <c r="D11" s="43" t="s">
        <v>27</v>
      </c>
      <c r="E11" s="213" t="s">
        <v>77</v>
      </c>
      <c r="F11" s="206"/>
      <c r="G11" s="206"/>
      <c r="H11" s="206"/>
      <c r="I11" s="206"/>
      <c r="J11" s="54"/>
      <c r="K11" s="213" t="s">
        <v>79</v>
      </c>
      <c r="L11" s="206"/>
      <c r="M11" s="206"/>
      <c r="N11" s="206"/>
      <c r="O11" s="206"/>
    </row>
    <row r="12" spans="1:15" ht="13.2">
      <c r="A12" s="7">
        <f t="shared" si="0" ref="A12:A27">+A11+1</f>
        <v>2</v>
      </c>
      <c r="B12" s="44" t="s">
        <v>27</v>
      </c>
      <c r="C12" s="44" t="s">
        <v>85</v>
      </c>
      <c r="D12" s="44" t="s">
        <v>28</v>
      </c>
      <c r="E12" s="44" t="s">
        <v>116</v>
      </c>
      <c r="F12" s="44" t="s">
        <v>166</v>
      </c>
      <c r="G12" s="142" t="s">
        <v>129</v>
      </c>
      <c r="H12" s="188" t="s">
        <v>78</v>
      </c>
      <c r="I12" s="44" t="s">
        <v>81</v>
      </c>
      <c r="J12" s="44"/>
      <c r="K12" s="44" t="s">
        <v>116</v>
      </c>
      <c r="L12" s="44" t="s">
        <v>166</v>
      </c>
      <c r="M12" s="142" t="s">
        <v>129</v>
      </c>
      <c r="N12" s="188" t="s">
        <v>78</v>
      </c>
      <c r="O12" s="44" t="s">
        <v>81</v>
      </c>
    </row>
    <row r="13" spans="1:15" ht="13.2">
      <c r="A13" s="7">
        <f t="shared" si="0"/>
        <v>3</v>
      </c>
      <c r="B13" s="37">
        <v>1</v>
      </c>
      <c r="C13" s="33">
        <v>43857</v>
      </c>
      <c r="D13" s="33">
        <v>43825</v>
      </c>
      <c r="E13" s="45">
        <v>42.847976115591393</v>
      </c>
      <c r="F13" s="45">
        <v>94.853211115591407</v>
      </c>
      <c r="G13" s="45">
        <v>295.85348869623647</v>
      </c>
      <c r="H13" s="45">
        <v>431.30233662634407</v>
      </c>
      <c r="I13" s="45">
        <v>579.80703637096769</v>
      </c>
      <c r="J13" s="45"/>
      <c r="K13" s="45">
        <v>3.2180999999999993</v>
      </c>
      <c r="L13" s="45">
        <v>20.899699999999996</v>
      </c>
      <c r="M13" s="45">
        <v>172.48030000000003</v>
      </c>
      <c r="N13" s="45">
        <v>300.29359999999986</v>
      </c>
      <c r="O13" s="45">
        <v>443.42739999999986</v>
      </c>
    </row>
    <row r="14" spans="1:15" ht="13.2">
      <c r="A14" s="7">
        <f t="shared" si="0"/>
        <v>4</v>
      </c>
      <c r="B14" s="37">
        <v>2</v>
      </c>
      <c r="C14" s="33">
        <v>43858</v>
      </c>
      <c r="D14" s="33">
        <v>43826</v>
      </c>
      <c r="E14" s="45">
        <v>42.912519959677411</v>
      </c>
      <c r="F14" s="45">
        <v>95.017897459677428</v>
      </c>
      <c r="G14" s="45">
        <v>296.04245196236553</v>
      </c>
      <c r="H14" s="45">
        <v>431.50830478494623</v>
      </c>
      <c r="I14" s="45">
        <v>580.08744779569884</v>
      </c>
      <c r="J14" s="45"/>
      <c r="K14" s="45">
        <v>3.2180999999999993</v>
      </c>
      <c r="L14" s="45">
        <v>20.899699999999996</v>
      </c>
      <c r="M14" s="45">
        <v>175.9939</v>
      </c>
      <c r="N14" s="45">
        <v>304.66529999999989</v>
      </c>
      <c r="O14" s="45">
        <v>447.8350999999999</v>
      </c>
    </row>
    <row r="15" spans="1:15" ht="13.2">
      <c r="A15" s="7">
        <f t="shared" si="0"/>
        <v>5</v>
      </c>
      <c r="B15" s="37">
        <v>3</v>
      </c>
      <c r="C15" s="33">
        <v>43859</v>
      </c>
      <c r="D15" s="33">
        <v>43829</v>
      </c>
      <c r="E15" s="45">
        <v>40.488412459677413</v>
      </c>
      <c r="F15" s="45">
        <v>89.582366586021493</v>
      </c>
      <c r="G15" s="45">
        <v>278.26011233870963</v>
      </c>
      <c r="H15" s="45">
        <v>405.41916134408604</v>
      </c>
      <c r="I15" s="45">
        <v>544.95675247311829</v>
      </c>
      <c r="J15" s="45"/>
      <c r="K15" s="45">
        <v>3.2180999999999993</v>
      </c>
      <c r="L15" s="45">
        <v>20.593499999999995</v>
      </c>
      <c r="M15" s="45">
        <v>172.59289999999999</v>
      </c>
      <c r="N15" s="45">
        <v>300.4910999999999</v>
      </c>
      <c r="O15" s="45">
        <v>435.65479999999991</v>
      </c>
    </row>
    <row r="16" spans="1:15" ht="13.2">
      <c r="A16" s="7">
        <f t="shared" si="0"/>
        <v>6</v>
      </c>
      <c r="B16" s="37">
        <v>4</v>
      </c>
      <c r="C16" s="33">
        <v>43860</v>
      </c>
      <c r="D16" s="33">
        <v>43830</v>
      </c>
      <c r="E16" s="45">
        <v>40.382491357526874</v>
      </c>
      <c r="F16" s="45">
        <v>89.422624973118275</v>
      </c>
      <c r="G16" s="45">
        <v>277.91878198924729</v>
      </c>
      <c r="H16" s="45">
        <v>405.04663864247311</v>
      </c>
      <c r="I16" s="45">
        <v>544.65951405913972</v>
      </c>
      <c r="J16" s="45"/>
      <c r="K16" s="45">
        <v>3.0872999999999995</v>
      </c>
      <c r="L16" s="45">
        <v>22.467099999999995</v>
      </c>
      <c r="M16" s="45">
        <v>174.1292</v>
      </c>
      <c r="N16" s="45">
        <v>302.0274</v>
      </c>
      <c r="O16" s="45">
        <v>437.19109999999984</v>
      </c>
    </row>
    <row r="17" spans="1:15" ht="13.2">
      <c r="A17" s="7">
        <f t="shared" si="0"/>
        <v>7</v>
      </c>
      <c r="B17" s="37">
        <v>5</v>
      </c>
      <c r="C17" s="33">
        <v>43861</v>
      </c>
      <c r="D17" s="33">
        <v>43832</v>
      </c>
      <c r="E17" s="45">
        <v>38.942995067204293</v>
      </c>
      <c r="F17" s="45">
        <v>86.310598897849445</v>
      </c>
      <c r="G17" s="45">
        <v>268.14440772849457</v>
      </c>
      <c r="H17" s="45">
        <v>390.94123547043017</v>
      </c>
      <c r="I17" s="45">
        <v>526.01448274193547</v>
      </c>
      <c r="J17" s="45"/>
      <c r="K17" s="45">
        <v>3.1919999999999993</v>
      </c>
      <c r="L17" s="45">
        <v>23.803099999999993</v>
      </c>
      <c r="M17" s="45">
        <v>169.29329999999996</v>
      </c>
      <c r="N17" s="45">
        <v>292.19150000000002</v>
      </c>
      <c r="O17" s="45">
        <v>422.35519999999985</v>
      </c>
    </row>
    <row r="18" spans="1:15" ht="13.2">
      <c r="A18" s="7">
        <f t="shared" si="0"/>
        <v>8</v>
      </c>
      <c r="B18" s="37">
        <v>6</v>
      </c>
      <c r="C18" s="33">
        <v>43864</v>
      </c>
      <c r="D18" s="33">
        <v>43833</v>
      </c>
      <c r="E18" s="45">
        <v>40.868245833333319</v>
      </c>
      <c r="F18" s="45">
        <v>91.064396586021502</v>
      </c>
      <c r="G18" s="45">
        <v>284.18258821236554</v>
      </c>
      <c r="H18" s="45">
        <v>414.90285196236567</v>
      </c>
      <c r="I18" s="45">
        <v>559.18123559139781</v>
      </c>
      <c r="J18" s="45"/>
      <c r="K18" s="45">
        <v>3.2031999999999994</v>
      </c>
      <c r="L18" s="45">
        <v>24.114399999999993</v>
      </c>
      <c r="M18" s="45">
        <v>182.29549999999995</v>
      </c>
      <c r="N18" s="45">
        <v>310.8467</v>
      </c>
      <c r="O18" s="45">
        <v>450.26529999999991</v>
      </c>
    </row>
    <row r="19" spans="1:15" ht="13.2">
      <c r="A19" s="7">
        <f t="shared" si="0"/>
        <v>9</v>
      </c>
      <c r="B19" s="37">
        <v>7</v>
      </c>
      <c r="C19" s="33">
        <v>43865</v>
      </c>
      <c r="D19" s="33">
        <v>43836</v>
      </c>
      <c r="E19" s="45">
        <v>37.575931975806434</v>
      </c>
      <c r="F19" s="45">
        <v>84.090963064516103</v>
      </c>
      <c r="G19" s="45">
        <v>263.80494474462358</v>
      </c>
      <c r="H19" s="45">
        <v>385.74611176075274</v>
      </c>
      <c r="I19" s="45">
        <v>520.7064403897848</v>
      </c>
      <c r="J19" s="45"/>
      <c r="K19" s="45">
        <v>3.2031999999999994</v>
      </c>
      <c r="L19" s="45">
        <v>24.088299999999993</v>
      </c>
      <c r="M19" s="45">
        <v>167.66559999999993</v>
      </c>
      <c r="N19" s="45">
        <v>281.56030000000004</v>
      </c>
      <c r="O19" s="45">
        <v>409.0336999999999</v>
      </c>
    </row>
    <row r="20" spans="1:15" ht="13.2">
      <c r="A20" s="7">
        <f t="shared" si="0"/>
        <v>10</v>
      </c>
      <c r="B20" s="37">
        <v>8</v>
      </c>
      <c r="C20" s="33">
        <v>43866</v>
      </c>
      <c r="D20" s="33">
        <v>43837</v>
      </c>
      <c r="E20" s="45">
        <v>37.130839368279553</v>
      </c>
      <c r="F20" s="45">
        <v>83.282163293010726</v>
      </c>
      <c r="G20" s="45">
        <v>262.1937134139784</v>
      </c>
      <c r="H20" s="45">
        <v>383.82254069892474</v>
      </c>
      <c r="I20" s="45">
        <v>518.66530266129018</v>
      </c>
      <c r="J20" s="45"/>
      <c r="K20" s="45">
        <v>3.2631999999999994</v>
      </c>
      <c r="L20" s="45">
        <v>24.461699999999993</v>
      </c>
      <c r="M20" s="45">
        <v>167.35669999999993</v>
      </c>
      <c r="N20" s="45">
        <v>280.55020000000002</v>
      </c>
      <c r="O20" s="45">
        <v>407.59219999999993</v>
      </c>
    </row>
    <row r="21" spans="1:15" ht="13.2">
      <c r="A21" s="7">
        <f t="shared" si="0"/>
        <v>11</v>
      </c>
      <c r="B21" s="37">
        <v>9</v>
      </c>
      <c r="C21" s="33">
        <v>43867</v>
      </c>
      <c r="D21" s="33">
        <v>43838</v>
      </c>
      <c r="E21" s="45">
        <v>36.672090241935464</v>
      </c>
      <c r="F21" s="45">
        <v>82.394095940860183</v>
      </c>
      <c r="G21" s="45">
        <v>260.39718022849456</v>
      </c>
      <c r="H21" s="45">
        <v>381.66416282258064</v>
      </c>
      <c r="I21" s="45">
        <v>516.34317150537629</v>
      </c>
      <c r="J21" s="45"/>
      <c r="K21" s="45">
        <v>8.1536999999999971</v>
      </c>
      <c r="L21" s="45">
        <v>33.96759999999999</v>
      </c>
      <c r="M21" s="45">
        <v>180.61409999999995</v>
      </c>
      <c r="N21" s="45">
        <v>293.80760000000004</v>
      </c>
      <c r="O21" s="45">
        <v>420.84960000000001</v>
      </c>
    </row>
    <row r="22" spans="1:15" ht="13.2">
      <c r="A22" s="7">
        <f t="shared" si="0"/>
        <v>12</v>
      </c>
      <c r="B22" s="37">
        <v>10</v>
      </c>
      <c r="C22" s="33">
        <v>43868</v>
      </c>
      <c r="D22" s="33">
        <v>43839</v>
      </c>
      <c r="E22" s="45">
        <v>36.182374825268788</v>
      </c>
      <c r="F22" s="45">
        <v>81.451369489247284</v>
      </c>
      <c r="G22" s="45">
        <v>258.44910716397851</v>
      </c>
      <c r="H22" s="45">
        <v>379.33129489247312</v>
      </c>
      <c r="I22" s="45">
        <v>513.82331385752661</v>
      </c>
      <c r="J22" s="45"/>
      <c r="K22" s="45">
        <v>12.289699999999993</v>
      </c>
      <c r="L22" s="45">
        <v>43.074799999999982</v>
      </c>
      <c r="M22" s="45">
        <v>196.03889999999996</v>
      </c>
      <c r="N22" s="45">
        <v>309.23239999999998</v>
      </c>
      <c r="O22" s="45">
        <v>436.27439999999996</v>
      </c>
    </row>
    <row r="23" spans="1:15" ht="13.2">
      <c r="A23" s="7">
        <f t="shared" si="0"/>
        <v>13</v>
      </c>
      <c r="B23" s="37">
        <v>11</v>
      </c>
      <c r="C23" s="33">
        <v>43871</v>
      </c>
      <c r="D23" s="33">
        <v>43840</v>
      </c>
      <c r="E23" s="45">
        <v>37.578740846774174</v>
      </c>
      <c r="F23" s="45">
        <v>84.922383131720395</v>
      </c>
      <c r="G23" s="45">
        <v>271.46788013440852</v>
      </c>
      <c r="H23" s="45">
        <v>399.53915537634407</v>
      </c>
      <c r="I23" s="45">
        <v>542.60177508064498</v>
      </c>
      <c r="J23" s="45"/>
      <c r="K23" s="45">
        <v>12.289699999999993</v>
      </c>
      <c r="L23" s="45">
        <v>43.272699999999979</v>
      </c>
      <c r="M23" s="45">
        <v>208.48559999999995</v>
      </c>
      <c r="N23" s="45">
        <v>331.61070000000001</v>
      </c>
      <c r="O23" s="45">
        <v>469.37760000000003</v>
      </c>
    </row>
    <row r="24" spans="1:15" ht="13.2">
      <c r="A24" s="7">
        <f t="shared" si="0"/>
        <v>14</v>
      </c>
      <c r="B24" s="37">
        <v>12</v>
      </c>
      <c r="C24" s="33">
        <v>43872</v>
      </c>
      <c r="D24" s="33">
        <v>43841</v>
      </c>
      <c r="E24" s="45">
        <v>37.097784959677412</v>
      </c>
      <c r="F24" s="45">
        <v>83.937838373655893</v>
      </c>
      <c r="G24" s="45">
        <v>269.25259379032258</v>
      </c>
      <c r="H24" s="45">
        <v>396.85104194892472</v>
      </c>
      <c r="I24" s="45">
        <v>539.63734319892455</v>
      </c>
      <c r="J24" s="45"/>
      <c r="K24" s="45">
        <v>12.336699999999993</v>
      </c>
      <c r="L24" s="45">
        <v>43.602499999999978</v>
      </c>
      <c r="M24" s="45">
        <v>216.94139999999993</v>
      </c>
      <c r="N24" s="45">
        <v>344.30750000000006</v>
      </c>
      <c r="O24" s="45">
        <v>486.43599999999998</v>
      </c>
    </row>
    <row r="25" spans="1:15" ht="13.2">
      <c r="A25" s="7">
        <f t="shared" si="0"/>
        <v>15</v>
      </c>
      <c r="B25" s="37">
        <v>13</v>
      </c>
      <c r="C25" s="33">
        <v>43873</v>
      </c>
      <c r="D25" s="33">
        <v>43843</v>
      </c>
      <c r="E25" s="45">
        <v>35.277331344086015</v>
      </c>
      <c r="F25" s="45">
        <v>79.975280806451579</v>
      </c>
      <c r="G25" s="45">
        <v>257.62010428763438</v>
      </c>
      <c r="H25" s="45">
        <v>380.39981311827944</v>
      </c>
      <c r="I25" s="45">
        <v>518.18979551075256</v>
      </c>
      <c r="J25" s="45"/>
      <c r="K25" s="45">
        <v>9.846399999999992</v>
      </c>
      <c r="L25" s="45">
        <v>37.105099999999979</v>
      </c>
      <c r="M25" s="45">
        <v>200.99159999999998</v>
      </c>
      <c r="N25" s="45">
        <v>323.35770000000002</v>
      </c>
      <c r="O25" s="45">
        <v>460.4862</v>
      </c>
    </row>
    <row r="26" spans="1:15" ht="13.2">
      <c r="A26" s="7">
        <f t="shared" si="0"/>
        <v>16</v>
      </c>
      <c r="B26" s="37">
        <v>14</v>
      </c>
      <c r="C26" s="33">
        <v>43874</v>
      </c>
      <c r="D26" s="33">
        <v>43844</v>
      </c>
      <c r="E26" s="45">
        <v>34.8445583736559</v>
      </c>
      <c r="F26" s="45">
        <v>79.106377123655889</v>
      </c>
      <c r="G26" s="45">
        <v>255.53249982526879</v>
      </c>
      <c r="H26" s="45">
        <v>377.76252053763432</v>
      </c>
      <c r="I26" s="45">
        <v>515.21078719085995</v>
      </c>
      <c r="J26" s="45"/>
      <c r="K26" s="45">
        <v>9.846399999999992</v>
      </c>
      <c r="L26" s="45">
        <v>38.316899999999976</v>
      </c>
      <c r="M26" s="45">
        <v>207.82869999999997</v>
      </c>
      <c r="N26" s="45">
        <v>330.24759999999998</v>
      </c>
      <c r="O26" s="45">
        <v>467.37610000000001</v>
      </c>
    </row>
    <row r="27" spans="1:15" ht="13.2">
      <c r="A27" s="7">
        <f t="shared" si="0"/>
        <v>17</v>
      </c>
      <c r="B27" s="37">
        <v>15</v>
      </c>
      <c r="C27" s="33">
        <v>43875</v>
      </c>
      <c r="D27" s="33">
        <v>43845</v>
      </c>
      <c r="E27" s="45">
        <v>34.40401408602149</v>
      </c>
      <c r="F27" s="45">
        <v>78.243133077956955</v>
      </c>
      <c r="G27" s="45">
        <v>253.45044306451609</v>
      </c>
      <c r="H27" s="45">
        <v>375.11569876344078</v>
      </c>
      <c r="I27" s="45">
        <v>512.20281200268801</v>
      </c>
      <c r="J27" s="45"/>
      <c r="K27" s="45">
        <v>10.441899999999992</v>
      </c>
      <c r="L27" s="45">
        <v>43.405299999999976</v>
      </c>
      <c r="M27" s="45">
        <v>222.74059999999997</v>
      </c>
      <c r="N27" s="45">
        <v>349.685</v>
      </c>
      <c r="O27" s="45">
        <v>488.97210000000001</v>
      </c>
    </row>
    <row r="28" spans="1:15" ht="13.2">
      <c r="A28" s="7">
        <f t="shared" si="1" ref="A28:A35">+A27+1</f>
        <v>18</v>
      </c>
      <c r="B28" s="37">
        <v>16</v>
      </c>
      <c r="C28" s="33">
        <v>43878</v>
      </c>
      <c r="D28" s="33">
        <v>43846</v>
      </c>
      <c r="E28" s="45">
        <v>35.86946141129031</v>
      </c>
      <c r="F28" s="45">
        <v>81.61445579301072</v>
      </c>
      <c r="G28" s="45">
        <v>265.18908754032253</v>
      </c>
      <c r="H28" s="45">
        <v>393.36179092741929</v>
      </c>
      <c r="I28" s="45">
        <v>538.44266514784931</v>
      </c>
      <c r="J28" s="45"/>
      <c r="K28" s="45">
        <v>12.590899999999989</v>
      </c>
      <c r="L28" s="45">
        <v>50.296699999999973</v>
      </c>
      <c r="M28" s="45">
        <v>244.38719999999998</v>
      </c>
      <c r="N28" s="45">
        <v>381.21699999999993</v>
      </c>
      <c r="O28" s="45">
        <v>533.5086</v>
      </c>
    </row>
    <row r="29" spans="1:15" ht="13.2">
      <c r="A29" s="7">
        <f t="shared" si="1"/>
        <v>19</v>
      </c>
      <c r="B29" s="37">
        <v>17</v>
      </c>
      <c r="C29" s="33">
        <v>43879</v>
      </c>
      <c r="D29" s="33">
        <v>43847</v>
      </c>
      <c r="E29" s="45">
        <v>35.452100819892451</v>
      </c>
      <c r="F29" s="45">
        <v>80.725085147849427</v>
      </c>
      <c r="G29" s="45">
        <v>262.83718825268812</v>
      </c>
      <c r="H29" s="45">
        <v>390.29524803763434</v>
      </c>
      <c r="I29" s="45">
        <v>534.8958605779568</v>
      </c>
      <c r="J29" s="45"/>
      <c r="K29" s="45">
        <v>12.564899999999989</v>
      </c>
      <c r="L29" s="45">
        <v>49.903999999999968</v>
      </c>
      <c r="M29" s="45">
        <v>239.97239999999999</v>
      </c>
      <c r="N29" s="45">
        <v>372.52719999999999</v>
      </c>
      <c r="O29" s="45">
        <v>520.4274999999999</v>
      </c>
    </row>
    <row r="30" spans="1:27" ht="13.2">
      <c r="A30" s="7">
        <f t="shared" si="1"/>
        <v>20</v>
      </c>
      <c r="B30" s="37">
        <v>18</v>
      </c>
      <c r="C30" s="33">
        <v>43880</v>
      </c>
      <c r="D30" s="33">
        <v>43851</v>
      </c>
      <c r="E30" s="190">
        <v>31.107106962365574</v>
      </c>
      <c r="F30" s="190">
        <v>71.237615389784935</v>
      </c>
      <c r="G30" s="190">
        <v>233.33715033602149</v>
      </c>
      <c r="H30" s="190">
        <v>347.30789063172034</v>
      </c>
      <c r="I30" s="190">
        <v>477.29918258064504</v>
      </c>
      <c r="J30" s="190"/>
      <c r="K30" s="190">
        <v>12.52709999999999</v>
      </c>
      <c r="L30" s="190">
        <v>47.012999999999977</v>
      </c>
      <c r="M30" s="190">
        <v>212.12159999999997</v>
      </c>
      <c r="N30" s="190">
        <v>329.8454999999999</v>
      </c>
      <c r="O30" s="190">
        <v>462.64809999999989</v>
      </c>
      <c r="Q30" s="189"/>
      <c r="R30" s="189"/>
      <c r="S30" s="189"/>
      <c r="T30" s="189"/>
      <c r="U30" s="189"/>
      <c r="W30" s="189"/>
      <c r="X30" s="189"/>
      <c r="Y30" s="189"/>
      <c r="Z30" s="189"/>
      <c r="AA30" s="189"/>
    </row>
    <row r="31" spans="1:15" ht="13.2">
      <c r="A31" s="7">
        <f t="shared" si="1"/>
        <v>21</v>
      </c>
      <c r="B31" s="37">
        <v>19</v>
      </c>
      <c r="C31" s="33">
        <v>43881</v>
      </c>
      <c r="D31" s="33">
        <v>43852</v>
      </c>
      <c r="E31" s="45">
        <v>30.747059825268796</v>
      </c>
      <c r="F31" s="45">
        <v>70.446276827956979</v>
      </c>
      <c r="G31" s="45">
        <v>231.10672178763437</v>
      </c>
      <c r="H31" s="45">
        <v>344.36199280913974</v>
      </c>
      <c r="I31" s="45">
        <v>473.8213606854838</v>
      </c>
      <c r="J31" s="45"/>
      <c r="K31" s="45">
        <v>12.42749999999999</v>
      </c>
      <c r="L31" s="45">
        <v>45.928599999999975</v>
      </c>
      <c r="M31" s="45">
        <v>211.14839999999998</v>
      </c>
      <c r="N31" s="45">
        <v>328.87229999999994</v>
      </c>
      <c r="O31" s="45">
        <v>461.67489999999998</v>
      </c>
    </row>
    <row r="32" spans="1:15" ht="13.2">
      <c r="A32" s="7">
        <f t="shared" si="1"/>
        <v>22</v>
      </c>
      <c r="B32" s="37">
        <v>20</v>
      </c>
      <c r="C32" s="33">
        <v>43882</v>
      </c>
      <c r="D32" s="33">
        <v>43853</v>
      </c>
      <c r="E32" s="45">
        <v>30.401406129032242</v>
      </c>
      <c r="F32" s="45">
        <v>69.638839059139769</v>
      </c>
      <c r="G32" s="45">
        <v>228.77886694892473</v>
      </c>
      <c r="H32" s="45">
        <v>341.29907620967731</v>
      </c>
      <c r="I32" s="45">
        <v>470.22759235215045</v>
      </c>
      <c r="J32" s="45"/>
      <c r="K32" s="45">
        <v>12.340799999999989</v>
      </c>
      <c r="L32" s="45">
        <v>43.982899999999972</v>
      </c>
      <c r="M32" s="45">
        <v>210.09619999999998</v>
      </c>
      <c r="N32" s="45">
        <v>327.82009999999991</v>
      </c>
      <c r="O32" s="45">
        <v>460.62270000000001</v>
      </c>
    </row>
    <row r="33" spans="1:15" ht="13.2">
      <c r="A33" s="7">
        <f t="shared" si="1"/>
        <v>23</v>
      </c>
      <c r="B33" s="37">
        <v>21</v>
      </c>
      <c r="C33" s="33">
        <v>43885</v>
      </c>
      <c r="D33" s="33">
        <v>43854</v>
      </c>
      <c r="E33" s="45">
        <v>31.607553333333321</v>
      </c>
      <c r="F33" s="45">
        <v>72.26094182795697</v>
      </c>
      <c r="G33" s="45">
        <v>238.14071650537633</v>
      </c>
      <c r="H33" s="45">
        <v>356.54760493279565</v>
      </c>
      <c r="I33" s="45">
        <v>493.01558178763423</v>
      </c>
      <c r="J33" s="45"/>
      <c r="K33" s="45">
        <v>13.182199999999988</v>
      </c>
      <c r="L33" s="45">
        <v>49.549499999999973</v>
      </c>
      <c r="M33" s="45">
        <v>227.57179999999997</v>
      </c>
      <c r="N33" s="45">
        <v>355.06079999999986</v>
      </c>
      <c r="O33" s="45">
        <v>497.80939999999993</v>
      </c>
    </row>
    <row r="34" spans="1:1" ht="13.2">
      <c r="A34" s="7">
        <f t="shared" si="1"/>
        <v>24</v>
      </c>
    </row>
    <row r="35" spans="1:15" ht="13.2">
      <c r="A35" s="7">
        <f t="shared" si="1"/>
        <v>25</v>
      </c>
      <c r="B35" s="212" t="s">
        <v>96</v>
      </c>
      <c r="C35" s="202"/>
      <c r="D35" s="202"/>
      <c r="E35" s="98">
        <f t="shared" si="2" ref="E35:O35">AVERAGE(E13:E33)</f>
        <v>36.590047395033267</v>
      </c>
      <c r="F35" s="98">
        <f t="shared" si="2"/>
        <v>82.360853045954926</v>
      </c>
      <c r="G35" s="98">
        <f t="shared" si="2"/>
        <v>262.47428709293388</v>
      </c>
      <c r="H35" s="98">
        <f t="shared" si="3" ref="H35">AVERAGE(H13:H33)</f>
        <v>386.31078439516119</v>
      </c>
      <c r="I35" s="98">
        <f t="shared" si="2"/>
        <v>524.75187874103938</v>
      </c>
      <c r="J35" s="98"/>
      <c r="K35" s="98">
        <f t="shared" si="2"/>
        <v>8.4019571428571371</v>
      </c>
      <c r="L35" s="98">
        <f t="shared" si="2"/>
        <v>35.749861904761893</v>
      </c>
      <c r="M35" s="98">
        <f t="shared" si="2"/>
        <v>198.13075714285714</v>
      </c>
      <c r="N35" s="98">
        <f t="shared" si="4" ref="N35">AVERAGE(N13:N33)</f>
        <v>321.43892857142856</v>
      </c>
      <c r="O35" s="98">
        <f t="shared" si="2"/>
        <v>458.0865714285714</v>
      </c>
    </row>
    <row r="36" spans="2:15" ht="13.2">
      <c r="B36" s="30"/>
      <c r="C36" s="46"/>
      <c r="D36" s="30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 spans="2:15" ht="13.2">
      <c r="B37" s="30"/>
      <c r="C37" s="29"/>
      <c r="D37" s="30"/>
      <c r="E37" s="95"/>
      <c r="F37" s="94"/>
      <c r="G37" s="94"/>
      <c r="H37" s="94"/>
      <c r="I37" s="94"/>
      <c r="J37" s="94"/>
      <c r="K37" s="94"/>
      <c r="L37" s="94"/>
      <c r="M37" s="94"/>
      <c r="N37" s="94"/>
      <c r="O37" s="94"/>
    </row>
  </sheetData>
  <mergeCells count="10">
    <mergeCell ref="B6:O6"/>
    <mergeCell ref="B35:D35"/>
    <mergeCell ref="E11:I11"/>
    <mergeCell ref="K11:O11"/>
    <mergeCell ref="B1:O1"/>
    <mergeCell ref="B2:O2"/>
    <mergeCell ref="B3:O3"/>
    <mergeCell ref="B4:O4"/>
    <mergeCell ref="B5:O5"/>
    <mergeCell ref="B8:O8"/>
  </mergeCells>
  <printOptions horizontalCentered="1"/>
  <pageMargins left="1.5" right="0.5" top="1.5" bottom="1" header="1" footer="0.5"/>
  <pageSetup orientation="portrait" scale="60" r:id="rId1"/>
  <headerFooter alignWithMargins="0">
    <oddHeader>&amp;RSchedule II-H-5.2
Page &amp;P of 37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3">
    <pageSetUpPr fitToPage="1"/>
  </sheetPr>
  <dimension ref="A1:W37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1" width="9.14285714285714" style="9"/>
    <col min="2" max="2" width="10.1428571428571" style="9" customWidth="1"/>
    <col min="3" max="3" width="10.8571428571429" style="7" customWidth="1"/>
    <col min="4" max="4" width="10.4285714285714" style="9" customWidth="1"/>
    <col min="5" max="5" width="11.1428571428571" style="9" customWidth="1"/>
    <col min="6" max="6" width="9.28571428571429" style="9" bestFit="1" customWidth="1"/>
    <col min="7" max="7" width="9.28571428571429" style="9" customWidth="1"/>
    <col min="8" max="9" width="9.14285714285714" style="9"/>
    <col min="10" max="10" width="9.71428571428571" style="9" customWidth="1"/>
    <col min="11" max="16384" width="9.14285714285714" style="9"/>
  </cols>
  <sheetData>
    <row r="1" spans="1:13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s="0" customFormat="1" ht="15.6">
      <c r="A5" s="1"/>
      <c r="B5" s="200"/>
      <c r="C5" s="200"/>
      <c r="D5" s="200"/>
      <c r="E5" s="202"/>
      <c r="F5" s="202"/>
      <c r="G5" s="202"/>
      <c r="H5" s="202"/>
      <c r="I5" s="202"/>
      <c r="J5" s="202"/>
      <c r="K5" s="202"/>
      <c r="L5" s="202"/>
      <c r="M5" s="202"/>
    </row>
    <row r="6" spans="2:13" ht="15.6"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2:13" ht="15.6">
      <c r="B7" s="4"/>
      <c r="C7" s="4"/>
      <c r="D7" s="4"/>
      <c r="E7" s="51"/>
      <c r="F7" s="51"/>
      <c r="G7" s="186"/>
      <c r="H7" s="51"/>
      <c r="I7" s="51"/>
      <c r="J7" s="51"/>
      <c r="K7" s="51"/>
      <c r="L7" s="186"/>
      <c r="M7" s="51"/>
    </row>
    <row r="8" spans="2:13" ht="15.6">
      <c r="B8" s="200" t="s">
        <v>163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13" ht="15.6">
      <c r="A9" s="1" t="s">
        <v>6</v>
      </c>
      <c r="B9" s="4"/>
      <c r="C9" s="4"/>
      <c r="D9" s="4"/>
      <c r="E9" s="1"/>
      <c r="F9" s="1"/>
      <c r="G9" s="185"/>
      <c r="H9" s="1"/>
      <c r="I9" s="1"/>
      <c r="J9" s="1"/>
      <c r="K9" s="1"/>
      <c r="L9" s="185"/>
      <c r="M9" s="1"/>
    </row>
    <row r="10" spans="1:13" ht="15.6">
      <c r="A10" s="5" t="s">
        <v>8</v>
      </c>
      <c r="B10" s="4"/>
      <c r="C10" s="4"/>
      <c r="D10" s="4"/>
      <c r="E10" s="1"/>
      <c r="F10" s="1"/>
      <c r="G10" s="185"/>
      <c r="H10" s="1"/>
      <c r="I10" s="1"/>
      <c r="J10" s="1"/>
      <c r="K10" s="1"/>
      <c r="L10" s="185"/>
      <c r="M10" s="1"/>
    </row>
    <row r="11" spans="1:13" ht="13.2">
      <c r="A11" s="7">
        <v>1</v>
      </c>
      <c r="B11" s="42" t="s">
        <v>25</v>
      </c>
      <c r="C11" s="43" t="s">
        <v>26</v>
      </c>
      <c r="D11" s="43" t="s">
        <v>27</v>
      </c>
      <c r="E11" s="213" t="s">
        <v>80</v>
      </c>
      <c r="F11" s="206"/>
      <c r="G11" s="206"/>
      <c r="H11" s="206"/>
      <c r="I11" s="105"/>
      <c r="J11" s="214" t="s">
        <v>84</v>
      </c>
      <c r="K11" s="215"/>
      <c r="L11" s="215"/>
      <c r="M11" s="215"/>
    </row>
    <row r="12" spans="1:13" ht="13.2">
      <c r="A12" s="7">
        <f t="shared" si="0" ref="A12:A35">+A11+1</f>
        <v>2</v>
      </c>
      <c r="B12" s="44" t="s">
        <v>27</v>
      </c>
      <c r="C12" s="44" t="s">
        <v>85</v>
      </c>
      <c r="D12" s="44" t="s">
        <v>28</v>
      </c>
      <c r="E12" s="44" t="s">
        <v>81</v>
      </c>
      <c r="F12" s="44" t="s">
        <v>82</v>
      </c>
      <c r="G12" s="188" t="s">
        <v>83</v>
      </c>
      <c r="H12" s="44" t="s">
        <v>167</v>
      </c>
      <c r="I12" s="44"/>
      <c r="J12" s="44" t="s">
        <v>81</v>
      </c>
      <c r="K12" s="44" t="s">
        <v>82</v>
      </c>
      <c r="L12" s="188" t="s">
        <v>83</v>
      </c>
      <c r="M12" s="44" t="s">
        <v>167</v>
      </c>
    </row>
    <row r="13" spans="1:13" ht="13.2">
      <c r="A13" s="7">
        <f t="shared" si="0"/>
        <v>3</v>
      </c>
      <c r="B13" s="37">
        <v>1</v>
      </c>
      <c r="C13" s="33">
        <v>44039</v>
      </c>
      <c r="D13" s="33">
        <v>44006</v>
      </c>
      <c r="E13" s="45">
        <v>651.79198318279555</v>
      </c>
      <c r="F13" s="45">
        <v>486.69533201344086</v>
      </c>
      <c r="G13" s="45">
        <v>322.76298237903234</v>
      </c>
      <c r="H13" s="45">
        <v>168.86079130376348</v>
      </c>
      <c r="I13" s="45"/>
      <c r="J13" s="45">
        <v>661.05219999999997</v>
      </c>
      <c r="K13" s="45">
        <v>495.88720000000006</v>
      </c>
      <c r="L13" s="45">
        <v>330.72220000000004</v>
      </c>
      <c r="M13" s="45">
        <v>167.74300000000005</v>
      </c>
    </row>
    <row r="14" spans="1:13" ht="13.2">
      <c r="A14" s="7">
        <f t="shared" si="0"/>
        <v>4</v>
      </c>
      <c r="B14" s="37">
        <v>2</v>
      </c>
      <c r="C14" s="33">
        <v>44040</v>
      </c>
      <c r="D14" s="33">
        <v>44007</v>
      </c>
      <c r="E14" s="45">
        <v>655.05014429569883</v>
      </c>
      <c r="F14" s="45">
        <v>489.95625865053768</v>
      </c>
      <c r="G14" s="45">
        <v>326.00118819892475</v>
      </c>
      <c r="H14" s="45">
        <v>171.75109154569898</v>
      </c>
      <c r="I14" s="45"/>
      <c r="J14" s="45">
        <v>664.22289999999998</v>
      </c>
      <c r="K14" s="45">
        <v>499.05790000000002</v>
      </c>
      <c r="L14" s="45">
        <v>333.89290000000005</v>
      </c>
      <c r="M14" s="45">
        <v>170.32280000000006</v>
      </c>
    </row>
    <row r="15" spans="1:13" ht="13.2">
      <c r="A15" s="7">
        <f t="shared" si="0"/>
        <v>5</v>
      </c>
      <c r="B15" s="37">
        <v>3</v>
      </c>
      <c r="C15" s="33">
        <v>44041</v>
      </c>
      <c r="D15" s="33">
        <v>44008</v>
      </c>
      <c r="E15" s="45">
        <v>658.16965026075263</v>
      </c>
      <c r="F15" s="45">
        <v>493.07853013978502</v>
      </c>
      <c r="G15" s="45">
        <v>329.10510805107532</v>
      </c>
      <c r="H15" s="45">
        <v>174.55293959677425</v>
      </c>
      <c r="I15" s="190"/>
      <c r="J15" s="45">
        <v>662.95049999999992</v>
      </c>
      <c r="K15" s="45">
        <v>497.78550000000001</v>
      </c>
      <c r="L15" s="45">
        <v>332.62050000000011</v>
      </c>
      <c r="M15" s="45">
        <v>170.00620000000006</v>
      </c>
    </row>
    <row r="16" spans="1:13" ht="13.2">
      <c r="A16" s="7">
        <f t="shared" si="0"/>
        <v>6</v>
      </c>
      <c r="B16" s="37">
        <v>4</v>
      </c>
      <c r="C16" s="33">
        <v>44042</v>
      </c>
      <c r="D16" s="33">
        <v>44011</v>
      </c>
      <c r="E16" s="45">
        <v>624.01875825000002</v>
      </c>
      <c r="F16" s="45">
        <v>468.94033725537645</v>
      </c>
      <c r="G16" s="45">
        <v>314.87977120967741</v>
      </c>
      <c r="H16" s="45">
        <v>169.11285608870975</v>
      </c>
      <c r="I16" s="45"/>
      <c r="J16" s="45">
        <v>629.12890000000016</v>
      </c>
      <c r="K16" s="45">
        <v>473.97390000000001</v>
      </c>
      <c r="L16" s="45">
        <v>318.81890000000016</v>
      </c>
      <c r="M16" s="45">
        <v>166.03050000000005</v>
      </c>
    </row>
    <row r="17" spans="1:13" ht="13.2">
      <c r="A17" s="7">
        <f t="shared" si="0"/>
        <v>7</v>
      </c>
      <c r="B17" s="37">
        <v>5</v>
      </c>
      <c r="C17" s="33">
        <v>44043</v>
      </c>
      <c r="D17" s="33">
        <v>44012</v>
      </c>
      <c r="E17" s="45">
        <v>626.56250628494638</v>
      </c>
      <c r="F17" s="45">
        <v>471.48718097580655</v>
      </c>
      <c r="G17" s="45">
        <v>317.42623275537642</v>
      </c>
      <c r="H17" s="45">
        <v>171.44616034946245</v>
      </c>
      <c r="I17" s="45"/>
      <c r="J17" s="45">
        <v>629.98050000000012</v>
      </c>
      <c r="K17" s="45">
        <v>474.82550000000009</v>
      </c>
      <c r="L17" s="45">
        <v>319.67050000000017</v>
      </c>
      <c r="M17" s="45">
        <v>166.88210000000007</v>
      </c>
    </row>
    <row r="18" spans="1:13" ht="13.2">
      <c r="A18" s="7">
        <f t="shared" si="0"/>
        <v>8</v>
      </c>
      <c r="B18" s="37">
        <v>6</v>
      </c>
      <c r="C18" s="33">
        <v>44046</v>
      </c>
      <c r="D18" s="33">
        <v>44013</v>
      </c>
      <c r="E18" s="45">
        <v>671.55488265322595</v>
      </c>
      <c r="F18" s="45">
        <v>506.47627124193559</v>
      </c>
      <c r="G18" s="45">
        <v>342.45171954301077</v>
      </c>
      <c r="H18" s="45">
        <v>186.75327631720441</v>
      </c>
      <c r="I18" s="45"/>
      <c r="J18" s="45">
        <v>661.73900000000003</v>
      </c>
      <c r="K18" s="45">
        <v>496.57400000000007</v>
      </c>
      <c r="L18" s="45">
        <v>331.40900000000022</v>
      </c>
      <c r="M18" s="45">
        <v>168.89130000000006</v>
      </c>
    </row>
    <row r="19" spans="1:13" ht="13.2">
      <c r="A19" s="7">
        <f t="shared" si="0"/>
        <v>9</v>
      </c>
      <c r="B19" s="37">
        <v>7</v>
      </c>
      <c r="C19" s="33">
        <v>44047</v>
      </c>
      <c r="D19" s="33">
        <v>44014</v>
      </c>
      <c r="E19" s="45">
        <v>673.90995371236568</v>
      </c>
      <c r="F19" s="45">
        <v>508.83233716666678</v>
      </c>
      <c r="G19" s="45">
        <v>344.79067673387101</v>
      </c>
      <c r="H19" s="45">
        <v>188.90183614247323</v>
      </c>
      <c r="I19" s="45"/>
      <c r="J19" s="45">
        <v>658.43740000000003</v>
      </c>
      <c r="K19" s="45">
        <v>493.27240000000018</v>
      </c>
      <c r="L19" s="45">
        <v>328.10740000000021</v>
      </c>
      <c r="M19" s="45">
        <v>165.67790000000008</v>
      </c>
    </row>
    <row r="20" spans="1:13" ht="13.2">
      <c r="A20" s="7">
        <f t="shared" si="0"/>
        <v>10</v>
      </c>
      <c r="B20" s="37">
        <v>8</v>
      </c>
      <c r="C20" s="33">
        <v>44048</v>
      </c>
      <c r="D20" s="33">
        <v>44019</v>
      </c>
      <c r="E20" s="45">
        <v>599.26811695161291</v>
      </c>
      <c r="F20" s="45">
        <v>454.20512425000015</v>
      </c>
      <c r="G20" s="45">
        <v>310.01641275537639</v>
      </c>
      <c r="H20" s="45">
        <v>172.42486169354845</v>
      </c>
      <c r="I20" s="45"/>
      <c r="J20" s="45">
        <v>583.428</v>
      </c>
      <c r="K20" s="45">
        <v>438.28300000000019</v>
      </c>
      <c r="L20" s="45">
        <v>293.13800000000009</v>
      </c>
      <c r="M20" s="45">
        <v>150.35980000000004</v>
      </c>
    </row>
    <row r="21" spans="1:13" ht="13.2">
      <c r="A21" s="7">
        <f t="shared" si="0"/>
        <v>11</v>
      </c>
      <c r="B21" s="37">
        <v>9</v>
      </c>
      <c r="C21" s="33">
        <v>44049</v>
      </c>
      <c r="D21" s="33">
        <v>44020</v>
      </c>
      <c r="E21" s="45">
        <v>600.825442419355</v>
      </c>
      <c r="F21" s="45">
        <v>455.76290668010762</v>
      </c>
      <c r="G21" s="45">
        <v>311.56146432795703</v>
      </c>
      <c r="H21" s="45">
        <v>173.87786029569898</v>
      </c>
      <c r="I21" s="45"/>
      <c r="J21" s="45">
        <v>586.1090999999999</v>
      </c>
      <c r="K21" s="45">
        <v>440.96410000000014</v>
      </c>
      <c r="L21" s="45">
        <v>295.84440000000012</v>
      </c>
      <c r="M21" s="45">
        <v>152.89900000000003</v>
      </c>
    </row>
    <row r="22" spans="1:13" ht="13.2">
      <c r="A22" s="7">
        <f t="shared" si="0"/>
        <v>12</v>
      </c>
      <c r="B22" s="37">
        <v>10</v>
      </c>
      <c r="C22" s="33">
        <v>44050</v>
      </c>
      <c r="D22" s="33">
        <v>44021</v>
      </c>
      <c r="E22" s="45">
        <v>602.19462624731204</v>
      </c>
      <c r="F22" s="45">
        <v>457.13257488978496</v>
      </c>
      <c r="G22" s="45">
        <v>312.92198911290325</v>
      </c>
      <c r="H22" s="45">
        <v>175.17991038978502</v>
      </c>
      <c r="I22" s="45"/>
      <c r="J22" s="45">
        <v>587.14480000000015</v>
      </c>
      <c r="K22" s="45">
        <v>441.99980000000011</v>
      </c>
      <c r="L22" s="45">
        <v>296.88009999999997</v>
      </c>
      <c r="M22" s="45">
        <v>153.93470000000002</v>
      </c>
    </row>
    <row r="23" spans="1:13" ht="13.2">
      <c r="A23" s="7">
        <f t="shared" si="0"/>
        <v>13</v>
      </c>
      <c r="B23" s="37">
        <v>11</v>
      </c>
      <c r="C23" s="33">
        <v>44053</v>
      </c>
      <c r="D23" s="33">
        <v>44022</v>
      </c>
      <c r="E23" s="45">
        <v>645.34030996774186</v>
      </c>
      <c r="F23" s="45">
        <v>490.2727984758065</v>
      </c>
      <c r="G23" s="45">
        <v>336.10367189516131</v>
      </c>
      <c r="H23" s="45">
        <v>188.92642674731189</v>
      </c>
      <c r="I23" s="45"/>
      <c r="J23" s="45">
        <v>633.33860000000004</v>
      </c>
      <c r="K23" s="45">
        <v>478.18360000000007</v>
      </c>
      <c r="L23" s="45">
        <v>323.05389999999994</v>
      </c>
      <c r="M23" s="45">
        <v>170.09850000000009</v>
      </c>
    </row>
    <row r="24" spans="1:13" ht="13.2">
      <c r="A24" s="7">
        <f t="shared" si="0"/>
        <v>14</v>
      </c>
      <c r="B24" s="37">
        <v>12</v>
      </c>
      <c r="C24" s="33">
        <v>44054</v>
      </c>
      <c r="D24" s="33">
        <v>44025</v>
      </c>
      <c r="E24" s="45">
        <v>606.71520301075259</v>
      </c>
      <c r="F24" s="45">
        <v>461.65139038978492</v>
      </c>
      <c r="G24" s="45">
        <v>317.39977451612901</v>
      </c>
      <c r="H24" s="45">
        <v>179.55193326612908</v>
      </c>
      <c r="I24" s="45"/>
      <c r="J24" s="45">
        <v>589.31720000000007</v>
      </c>
      <c r="K24" s="45">
        <v>444.17219999999998</v>
      </c>
      <c r="L24" s="45">
        <v>299.05249999999995</v>
      </c>
      <c r="M24" s="45">
        <v>156.10710000000009</v>
      </c>
    </row>
    <row r="25" spans="1:13" ht="13.2">
      <c r="A25" s="7">
        <f t="shared" si="0"/>
        <v>15</v>
      </c>
      <c r="B25" s="37">
        <v>13</v>
      </c>
      <c r="C25" s="33">
        <v>44055</v>
      </c>
      <c r="D25" s="33">
        <v>44026</v>
      </c>
      <c r="E25" s="45">
        <v>607.65560361559142</v>
      </c>
      <c r="F25" s="45">
        <v>462.5895519892473</v>
      </c>
      <c r="G25" s="45">
        <v>318.32786393817202</v>
      </c>
      <c r="H25" s="45">
        <v>180.47113379032263</v>
      </c>
      <c r="I25" s="45"/>
      <c r="J25" s="45">
        <v>587.3642000000001</v>
      </c>
      <c r="K25" s="45">
        <v>442.21920000000011</v>
      </c>
      <c r="L25" s="45">
        <v>297.09949999999998</v>
      </c>
      <c r="M25" s="45">
        <v>154.15410000000006</v>
      </c>
    </row>
    <row r="26" spans="1:13" ht="13.2">
      <c r="A26" s="7">
        <f t="shared" si="0"/>
        <v>16</v>
      </c>
      <c r="B26" s="37">
        <v>14</v>
      </c>
      <c r="C26" s="33">
        <v>44056</v>
      </c>
      <c r="D26" s="33">
        <v>44027</v>
      </c>
      <c r="E26" s="45">
        <v>608.47785642473116</v>
      </c>
      <c r="F26" s="45">
        <v>463.40901202956985</v>
      </c>
      <c r="G26" s="45">
        <v>319.13745504032261</v>
      </c>
      <c r="H26" s="45">
        <v>181.27728279569897</v>
      </c>
      <c r="I26" s="45"/>
      <c r="J26" s="45">
        <v>588.30320000000006</v>
      </c>
      <c r="K26" s="45">
        <v>443.15820000000008</v>
      </c>
      <c r="L26" s="45">
        <v>298.03850000000006</v>
      </c>
      <c r="M26" s="45">
        <v>155.09310000000008</v>
      </c>
    </row>
    <row r="27" spans="1:13" ht="13.2">
      <c r="A27" s="7">
        <f t="shared" si="0"/>
        <v>17</v>
      </c>
      <c r="B27" s="37">
        <v>15</v>
      </c>
      <c r="C27" s="33">
        <v>44057</v>
      </c>
      <c r="D27" s="33">
        <v>44028</v>
      </c>
      <c r="E27" s="45">
        <v>609.15260506720449</v>
      </c>
      <c r="F27" s="45">
        <v>464.08079370967738</v>
      </c>
      <c r="G27" s="45">
        <v>319.80181150537641</v>
      </c>
      <c r="H27" s="45">
        <v>181.95822579301083</v>
      </c>
      <c r="I27" s="45"/>
      <c r="J27" s="45">
        <v>591.46800000000019</v>
      </c>
      <c r="K27" s="45">
        <v>446.32300000000004</v>
      </c>
      <c r="L27" s="45">
        <v>301.20330000000007</v>
      </c>
      <c r="M27" s="45">
        <v>158.25790000000006</v>
      </c>
    </row>
    <row r="28" spans="1:13" ht="13.2">
      <c r="A28" s="7">
        <f t="shared" si="0"/>
        <v>18</v>
      </c>
      <c r="B28" s="37">
        <v>16</v>
      </c>
      <c r="C28" s="33">
        <v>44060</v>
      </c>
      <c r="D28" s="33">
        <v>44029</v>
      </c>
      <c r="E28" s="45">
        <v>650.86806764784956</v>
      </c>
      <c r="F28" s="45">
        <v>495.7841790860216</v>
      </c>
      <c r="G28" s="45">
        <v>341.55698034946238</v>
      </c>
      <c r="H28" s="45">
        <v>194.40634517473123</v>
      </c>
      <c r="I28" s="45"/>
      <c r="J28" s="45">
        <v>643.61820000000023</v>
      </c>
      <c r="K28" s="45">
        <v>488.46319999999997</v>
      </c>
      <c r="L28" s="45">
        <v>333.33350000000007</v>
      </c>
      <c r="M28" s="45">
        <v>180.37810000000005</v>
      </c>
    </row>
    <row r="29" spans="1:23" ht="13.2">
      <c r="A29" s="7">
        <f t="shared" si="0"/>
        <v>19</v>
      </c>
      <c r="B29" s="37">
        <v>17</v>
      </c>
      <c r="C29" s="33">
        <v>44061</v>
      </c>
      <c r="D29" s="33">
        <v>44032</v>
      </c>
      <c r="E29" s="190">
        <v>609.82742403225802</v>
      </c>
      <c r="F29" s="190">
        <v>464.74449133064525</v>
      </c>
      <c r="G29" s="190">
        <v>320.46861974462365</v>
      </c>
      <c r="H29" s="190">
        <v>182.96775677419356</v>
      </c>
      <c r="I29" s="190"/>
      <c r="J29" s="190">
        <v>596.01490000000013</v>
      </c>
      <c r="K29" s="190">
        <v>450.86989999999997</v>
      </c>
      <c r="L29" s="190">
        <v>305.75020000000006</v>
      </c>
      <c r="M29" s="190">
        <v>162.85230000000007</v>
      </c>
      <c r="O29" s="189"/>
      <c r="P29" s="189"/>
      <c r="Q29" s="189"/>
      <c r="R29" s="189"/>
      <c r="T29" s="189"/>
      <c r="U29" s="189"/>
      <c r="V29" s="189"/>
      <c r="W29" s="189"/>
    </row>
    <row r="30" spans="1:13" ht="13.2">
      <c r="A30" s="7">
        <f t="shared" si="0"/>
        <v>20</v>
      </c>
      <c r="B30" s="37">
        <v>18</v>
      </c>
      <c r="C30" s="33">
        <v>44062</v>
      </c>
      <c r="D30" s="33">
        <v>44033</v>
      </c>
      <c r="E30" s="45">
        <v>609.40926487903221</v>
      </c>
      <c r="F30" s="45">
        <v>464.3237902150538</v>
      </c>
      <c r="G30" s="45">
        <v>320.05675024193545</v>
      </c>
      <c r="H30" s="45">
        <v>182.71169970430108</v>
      </c>
      <c r="I30" s="45"/>
      <c r="J30" s="45">
        <v>594.19910000000004</v>
      </c>
      <c r="K30" s="45">
        <v>449.05410000000001</v>
      </c>
      <c r="L30" s="45">
        <v>303.93440000000004</v>
      </c>
      <c r="M30" s="45">
        <v>161.03650000000002</v>
      </c>
    </row>
    <row r="31" spans="1:13" ht="13.2">
      <c r="A31" s="7">
        <f t="shared" si="0"/>
        <v>21</v>
      </c>
      <c r="B31" s="37">
        <v>19</v>
      </c>
      <c r="C31" s="33">
        <v>44063</v>
      </c>
      <c r="D31" s="33">
        <v>44034</v>
      </c>
      <c r="E31" s="45">
        <v>608.66205065860208</v>
      </c>
      <c r="F31" s="45">
        <v>463.57460896505381</v>
      </c>
      <c r="G31" s="45">
        <v>319.31932427419355</v>
      </c>
      <c r="H31" s="45">
        <v>182.17609211021508</v>
      </c>
      <c r="I31" s="45"/>
      <c r="J31" s="45">
        <v>592.5911000000001</v>
      </c>
      <c r="K31" s="45">
        <v>447.4461</v>
      </c>
      <c r="L31" s="45">
        <v>302.32640000000004</v>
      </c>
      <c r="M31" s="45">
        <v>159.50920000000002</v>
      </c>
    </row>
    <row r="32" spans="1:13" ht="13.2">
      <c r="A32" s="7">
        <f t="shared" si="0"/>
        <v>22</v>
      </c>
      <c r="B32" s="37">
        <v>20</v>
      </c>
      <c r="C32" s="33">
        <v>44064</v>
      </c>
      <c r="D32" s="33">
        <v>44035</v>
      </c>
      <c r="E32" s="45">
        <v>607.57707969086016</v>
      </c>
      <c r="F32" s="45">
        <v>462.48817708333337</v>
      </c>
      <c r="G32" s="45">
        <v>318.25336510752686</v>
      </c>
      <c r="H32" s="45">
        <v>181.35636451612908</v>
      </c>
      <c r="I32" s="45"/>
      <c r="J32" s="45">
        <v>589.34260000000006</v>
      </c>
      <c r="K32" s="45">
        <v>444.19760000000002</v>
      </c>
      <c r="L32" s="45">
        <v>299.0779</v>
      </c>
      <c r="M32" s="45">
        <v>156.42890000000003</v>
      </c>
    </row>
    <row r="33" spans="1:13" ht="13.2">
      <c r="A33" s="7">
        <f t="shared" si="0"/>
        <v>23</v>
      </c>
      <c r="B33" s="37">
        <v>21</v>
      </c>
      <c r="C33" s="33">
        <v>44067</v>
      </c>
      <c r="D33" s="33">
        <v>44036</v>
      </c>
      <c r="E33" s="45">
        <v>644.93821908602149</v>
      </c>
      <c r="F33" s="45">
        <v>489.84341774193547</v>
      </c>
      <c r="G33" s="45">
        <v>335.74963084677421</v>
      </c>
      <c r="H33" s="45">
        <v>190.21563216397854</v>
      </c>
      <c r="I33" s="45"/>
      <c r="J33" s="45">
        <v>622.51200000000006</v>
      </c>
      <c r="K33" s="45">
        <v>467.35699999999991</v>
      </c>
      <c r="L33" s="45">
        <v>312.22729999999996</v>
      </c>
      <c r="M33" s="45">
        <v>159.74800000000008</v>
      </c>
    </row>
    <row r="34" spans="1:1" ht="13.2">
      <c r="A34" s="7">
        <f t="shared" si="0"/>
        <v>24</v>
      </c>
    </row>
    <row r="35" spans="1:13" ht="13.2">
      <c r="A35" s="7">
        <f t="shared" si="0"/>
        <v>25</v>
      </c>
      <c r="B35" s="212" t="s">
        <v>96</v>
      </c>
      <c r="C35" s="202"/>
      <c r="D35" s="202"/>
      <c r="E35" s="98">
        <f>AVERAGE(E13:E33)</f>
        <v>627.23665468279557</v>
      </c>
      <c r="F35" s="98">
        <f t="shared" si="1" ref="F35:M35">AVERAGE(F13:F33)</f>
        <v>475.01566972759855</v>
      </c>
      <c r="G35" s="98">
        <f t="shared" si="2" ref="G35">AVERAGE(G13:G33)</f>
        <v>323.71870440604204</v>
      </c>
      <c r="H35" s="98">
        <f t="shared" si="1"/>
        <v>179.94668935995912</v>
      </c>
      <c r="I35" s="98"/>
      <c r="J35" s="98">
        <f t="shared" si="1"/>
        <v>616.77440000000001</v>
      </c>
      <c r="K35" s="98">
        <f t="shared" si="1"/>
        <v>464.47940000000006</v>
      </c>
      <c r="L35" s="98">
        <f t="shared" si="3" ref="L35">AVERAGE(L13:L33)</f>
        <v>312.20006190476192</v>
      </c>
      <c r="M35" s="98">
        <f t="shared" si="1"/>
        <v>162.21004761904766</v>
      </c>
    </row>
    <row r="36" spans="2:13" ht="13.2">
      <c r="B36" s="30"/>
      <c r="C36" s="46"/>
      <c r="D36" s="30"/>
      <c r="E36" s="93"/>
      <c r="F36" s="93"/>
      <c r="G36" s="93"/>
      <c r="H36" s="93"/>
      <c r="I36" s="93"/>
      <c r="J36" s="93"/>
      <c r="K36" s="93"/>
      <c r="L36" s="93"/>
      <c r="M36" s="93"/>
    </row>
    <row r="37" spans="2:13" ht="13.2">
      <c r="B37" s="30"/>
      <c r="C37" s="29"/>
      <c r="D37" s="30"/>
      <c r="E37" s="95"/>
      <c r="F37" s="94"/>
      <c r="G37" s="94"/>
      <c r="H37" s="94"/>
      <c r="I37" s="94"/>
      <c r="J37" s="94"/>
      <c r="K37" s="94"/>
      <c r="L37" s="94"/>
      <c r="M37" s="94"/>
    </row>
  </sheetData>
  <mergeCells count="10">
    <mergeCell ref="B35:D35"/>
    <mergeCell ref="B5:M5"/>
    <mergeCell ref="E11:H11"/>
    <mergeCell ref="J11:M11"/>
    <mergeCell ref="B1:M1"/>
    <mergeCell ref="B2:M2"/>
    <mergeCell ref="B3:M3"/>
    <mergeCell ref="B4:M4"/>
    <mergeCell ref="B6:M6"/>
    <mergeCell ref="B8:M8"/>
  </mergeCells>
  <printOptions horizontalCentered="1"/>
  <pageMargins left="1.5" right="0.5" top="1.5" bottom="1" header="1" footer="0.5"/>
  <pageSetup orientation="portrait" scale="67" r:id="rId1"/>
  <headerFooter alignWithMargins="0">
    <oddHeader>&amp;RSchedule II-H-5.2
Page &amp;P of 37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4">
    <pageSetUpPr fitToPage="1"/>
  </sheetPr>
  <dimension ref="A1:AA37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2" width="9.14285714285714" style="9"/>
    <col min="3" max="3" width="9.14285714285714" style="7"/>
    <col min="4" max="4" width="8.85714285714286" style="9" bestFit="1" customWidth="1"/>
    <col min="5" max="5" width="11.1428571428571" style="9" customWidth="1"/>
    <col min="6" max="6" width="9.28571428571429" style="9" bestFit="1" customWidth="1"/>
    <col min="7" max="8" width="9.28571428571429" style="9" customWidth="1"/>
    <col min="9" max="16384" width="9.14285714285714" style="9"/>
  </cols>
  <sheetData>
    <row r="1" spans="1:15" s="0" customFormat="1" ht="15.6">
      <c r="A1" s="1"/>
      <c r="B1" s="200" t="str">
        <f>+RES!B1</f>
        <v xml:space="preserve">PUC DOCKET NO. </v>
      </c>
      <c r="C1" s="200"/>
      <c r="D1" s="200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5" s="0" customFormat="1" ht="15.6">
      <c r="A2" s="1"/>
      <c r="B2" s="200" t="str">
        <f>+RES!B2</f>
        <v>ONCOR ELECTRIC DELIVERY COMPANY LLC</v>
      </c>
      <c r="C2" s="200"/>
      <c r="D2" s="200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</row>
    <row r="3" spans="1:15" s="0" customFormat="1" ht="15.6">
      <c r="A3" s="1"/>
      <c r="B3" s="200" t="str">
        <f>+RES!B3</f>
        <v>ADJUSTED WEATHER STATION DATA</v>
      </c>
      <c r="C3" s="200"/>
      <c r="D3" s="200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s="0" customFormat="1" ht="15.6">
      <c r="A4" s="1"/>
      <c r="B4" s="200" t="str">
        <f>+RES!B4</f>
        <v>FOR THE TEST YEAR ENDING DECEMBER 31, 2021</v>
      </c>
      <c r="C4" s="200"/>
      <c r="D4" s="200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</row>
    <row r="5" spans="1:15" s="0" customFormat="1" ht="15.6">
      <c r="A5" s="1"/>
      <c r="B5" s="200"/>
      <c r="C5" s="200"/>
      <c r="D5" s="200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</row>
    <row r="6" spans="2:15" ht="15.6">
      <c r="B6" s="200" t="str">
        <f>+RES!B6</f>
        <v>SPONSOR: D. E. NELSON</v>
      </c>
      <c r="C6" s="200"/>
      <c r="D6" s="200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</row>
    <row r="7" spans="2:15" ht="15.6">
      <c r="B7" s="4"/>
      <c r="C7" s="4"/>
      <c r="D7" s="4"/>
      <c r="E7" s="51"/>
      <c r="F7" s="51"/>
      <c r="G7" s="141"/>
      <c r="H7" s="186"/>
      <c r="I7" s="51"/>
      <c r="J7" s="51"/>
      <c r="K7" s="51"/>
      <c r="L7" s="51"/>
      <c r="M7" s="141"/>
      <c r="N7" s="186"/>
      <c r="O7" s="51"/>
    </row>
    <row r="8" spans="2:15" ht="15.6">
      <c r="B8" s="200" t="s">
        <v>164</v>
      </c>
      <c r="C8" s="200"/>
      <c r="D8" s="200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</row>
    <row r="9" spans="1:15" ht="15.6">
      <c r="A9" s="1" t="s">
        <v>6</v>
      </c>
      <c r="B9" s="4"/>
      <c r="C9" s="4"/>
      <c r="D9" s="4"/>
      <c r="E9" s="1"/>
      <c r="F9" s="1"/>
      <c r="G9" s="140"/>
      <c r="H9" s="185"/>
      <c r="I9" s="1"/>
      <c r="J9" s="1"/>
      <c r="K9" s="1"/>
      <c r="L9" s="1"/>
      <c r="M9" s="140"/>
      <c r="N9" s="185"/>
      <c r="O9" s="1"/>
    </row>
    <row r="10" spans="1:15" ht="15.6">
      <c r="A10" s="5" t="s">
        <v>8</v>
      </c>
      <c r="B10" s="4"/>
      <c r="C10" s="4"/>
      <c r="D10" s="4"/>
      <c r="E10" s="1"/>
      <c r="F10" s="1"/>
      <c r="G10" s="140"/>
      <c r="H10" s="185"/>
      <c r="I10" s="1"/>
      <c r="J10" s="1"/>
      <c r="K10" s="1"/>
      <c r="L10" s="1"/>
      <c r="M10" s="140"/>
      <c r="N10" s="185"/>
      <c r="O10" s="1"/>
    </row>
    <row r="11" spans="1:15" ht="13.2">
      <c r="A11" s="7">
        <v>1</v>
      </c>
      <c r="B11" s="42" t="s">
        <v>25</v>
      </c>
      <c r="C11" s="43" t="s">
        <v>26</v>
      </c>
      <c r="D11" s="43" t="s">
        <v>27</v>
      </c>
      <c r="E11" s="216" t="s">
        <v>77</v>
      </c>
      <c r="F11" s="217"/>
      <c r="G11" s="217"/>
      <c r="H11" s="217"/>
      <c r="I11" s="217"/>
      <c r="J11" s="54"/>
      <c r="K11" s="216" t="s">
        <v>79</v>
      </c>
      <c r="L11" s="217"/>
      <c r="M11" s="217"/>
      <c r="N11" s="217"/>
      <c r="O11" s="217"/>
    </row>
    <row r="12" spans="1:15" ht="13.2">
      <c r="A12" s="7">
        <f t="shared" si="0" ref="A12:A27">+A11+1</f>
        <v>2</v>
      </c>
      <c r="B12" s="44" t="s">
        <v>27</v>
      </c>
      <c r="C12" s="44" t="s">
        <v>85</v>
      </c>
      <c r="D12" s="44" t="s">
        <v>28</v>
      </c>
      <c r="E12" s="142" t="s">
        <v>116</v>
      </c>
      <c r="F12" s="142" t="s">
        <v>166</v>
      </c>
      <c r="G12" s="142" t="s">
        <v>129</v>
      </c>
      <c r="H12" s="188" t="s">
        <v>78</v>
      </c>
      <c r="I12" s="142" t="s">
        <v>81</v>
      </c>
      <c r="J12" s="44"/>
      <c r="K12" s="142" t="s">
        <v>116</v>
      </c>
      <c r="L12" s="142" t="s">
        <v>166</v>
      </c>
      <c r="M12" s="142" t="s">
        <v>129</v>
      </c>
      <c r="N12" s="188" t="s">
        <v>78</v>
      </c>
      <c r="O12" s="142" t="s">
        <v>81</v>
      </c>
    </row>
    <row r="13" spans="1:15" ht="13.2">
      <c r="A13" s="7">
        <f t="shared" si="0"/>
        <v>3</v>
      </c>
      <c r="B13" s="37">
        <v>1</v>
      </c>
      <c r="C13" s="33">
        <v>44219</v>
      </c>
      <c r="D13" s="33">
        <v>44187</v>
      </c>
      <c r="E13" s="45">
        <v>42.688970913978487</v>
      </c>
      <c r="F13" s="45">
        <v>94.53572419354839</v>
      </c>
      <c r="G13" s="45">
        <v>295.7905618951612</v>
      </c>
      <c r="H13" s="45">
        <v>431.17568073924724</v>
      </c>
      <c r="I13" s="45">
        <v>579.52853875000005</v>
      </c>
      <c r="J13" s="45"/>
      <c r="K13" s="45">
        <v>14.788299999999996</v>
      </c>
      <c r="L13" s="45">
        <v>55.277100000000004</v>
      </c>
      <c r="M13" s="45">
        <v>256.97539999999998</v>
      </c>
      <c r="N13" s="45">
        <v>402.84089999999992</v>
      </c>
      <c r="O13" s="45">
        <v>560.56270000000006</v>
      </c>
    </row>
    <row r="14" spans="1:15" ht="13.2">
      <c r="A14" s="7">
        <f t="shared" si="0"/>
        <v>4</v>
      </c>
      <c r="B14" s="37">
        <v>2</v>
      </c>
      <c r="C14" s="33">
        <v>44221</v>
      </c>
      <c r="D14" s="33">
        <v>44188</v>
      </c>
      <c r="E14" s="45">
        <v>43.943088104838701</v>
      </c>
      <c r="F14" s="45">
        <v>97.364440026881724</v>
      </c>
      <c r="G14" s="45">
        <v>304.64477569892466</v>
      </c>
      <c r="H14" s="45">
        <v>444.24207840053759</v>
      </c>
      <c r="I14" s="45">
        <v>597.27787275537639</v>
      </c>
      <c r="J14" s="45"/>
      <c r="K14" s="45">
        <v>14.788299999999996</v>
      </c>
      <c r="L14" s="45">
        <v>55.277100000000004</v>
      </c>
      <c r="M14" s="45">
        <v>261.9692</v>
      </c>
      <c r="N14" s="45">
        <v>412.86459999999988</v>
      </c>
      <c r="O14" s="45">
        <v>575.15469999999993</v>
      </c>
    </row>
    <row r="15" spans="1:15" ht="13.2">
      <c r="A15" s="7">
        <f t="shared" si="0"/>
        <v>5</v>
      </c>
      <c r="B15" s="37">
        <v>3</v>
      </c>
      <c r="C15" s="33">
        <v>44222</v>
      </c>
      <c r="D15" s="33">
        <v>44193</v>
      </c>
      <c r="E15" s="45">
        <v>39.338574811827947</v>
      </c>
      <c r="F15" s="45">
        <v>86.804250282258053</v>
      </c>
      <c r="G15" s="45">
        <v>269.42456801075264</v>
      </c>
      <c r="H15" s="45">
        <v>392.37647143817202</v>
      </c>
      <c r="I15" s="45">
        <v>527.05097314516127</v>
      </c>
      <c r="J15" s="45"/>
      <c r="K15" s="45">
        <v>14.512999999999996</v>
      </c>
      <c r="L15" s="45">
        <v>51.120100000000001</v>
      </c>
      <c r="M15" s="45">
        <v>235.22200000000001</v>
      </c>
      <c r="N15" s="45">
        <v>367.09639999999996</v>
      </c>
      <c r="O15" s="45">
        <v>508.81299999999999</v>
      </c>
    </row>
    <row r="16" spans="1:15" ht="13.2">
      <c r="A16" s="7">
        <f t="shared" si="0"/>
        <v>6</v>
      </c>
      <c r="B16" s="37">
        <v>4</v>
      </c>
      <c r="C16" s="33">
        <v>44223</v>
      </c>
      <c r="D16" s="33">
        <v>44194</v>
      </c>
      <c r="E16" s="45">
        <v>39.326006908602146</v>
      </c>
      <c r="F16" s="45">
        <v>86.831852916666662</v>
      </c>
      <c r="G16" s="45">
        <v>269.43864212365588</v>
      </c>
      <c r="H16" s="45">
        <v>392.40688145161289</v>
      </c>
      <c r="I16" s="45">
        <v>527.17414845430108</v>
      </c>
      <c r="J16" s="45"/>
      <c r="K16" s="45">
        <v>14.566999999999997</v>
      </c>
      <c r="L16" s="45">
        <v>51.428699999999999</v>
      </c>
      <c r="M16" s="45">
        <v>240.78879999999998</v>
      </c>
      <c r="N16" s="45">
        <v>373.01159999999987</v>
      </c>
      <c r="O16" s="45">
        <v>514.88099999999997</v>
      </c>
    </row>
    <row r="17" spans="1:15" ht="13.2">
      <c r="A17" s="7">
        <f t="shared" si="0"/>
        <v>7</v>
      </c>
      <c r="B17" s="37">
        <v>5</v>
      </c>
      <c r="C17" s="33">
        <v>44224</v>
      </c>
      <c r="D17" s="33">
        <v>44195</v>
      </c>
      <c r="E17" s="45">
        <v>39.286776733870958</v>
      </c>
      <c r="F17" s="45">
        <v>86.807651586021493</v>
      </c>
      <c r="G17" s="45">
        <v>269.33135374999995</v>
      </c>
      <c r="H17" s="45">
        <v>392.29911768817203</v>
      </c>
      <c r="I17" s="45">
        <v>527.15857463709676</v>
      </c>
      <c r="J17" s="45"/>
      <c r="K17" s="45">
        <v>14.728199999999998</v>
      </c>
      <c r="L17" s="45">
        <v>53.700400000000002</v>
      </c>
      <c r="M17" s="45">
        <v>252.08069999999998</v>
      </c>
      <c r="N17" s="45">
        <v>389.25179999999989</v>
      </c>
      <c r="O17" s="45">
        <v>532.43860000000006</v>
      </c>
    </row>
    <row r="18" spans="1:15" ht="13.2">
      <c r="A18" s="7">
        <f t="shared" si="0"/>
        <v>8</v>
      </c>
      <c r="B18" s="37">
        <v>6</v>
      </c>
      <c r="C18" s="33">
        <v>44225</v>
      </c>
      <c r="D18" s="33">
        <v>44196</v>
      </c>
      <c r="E18" s="45">
        <v>39.214375712365587</v>
      </c>
      <c r="F18" s="45">
        <v>86.714565685483862</v>
      </c>
      <c r="G18" s="45">
        <v>269.10760985215052</v>
      </c>
      <c r="H18" s="45">
        <v>392.07010861559138</v>
      </c>
      <c r="I18" s="45">
        <v>527.01951069892471</v>
      </c>
      <c r="J18" s="45"/>
      <c r="K18" s="45">
        <v>16.329299999999996</v>
      </c>
      <c r="L18" s="45">
        <v>59.476000000000006</v>
      </c>
      <c r="M18" s="45">
        <v>262.20049999999998</v>
      </c>
      <c r="N18" s="45">
        <v>399.86509999999993</v>
      </c>
      <c r="O18" s="45">
        <v>543.21259999999995</v>
      </c>
    </row>
    <row r="19" spans="1:15" ht="13.2">
      <c r="A19" s="7">
        <f t="shared" si="0"/>
        <v>9</v>
      </c>
      <c r="B19" s="37">
        <v>7</v>
      </c>
      <c r="C19" s="33">
        <v>44228</v>
      </c>
      <c r="D19" s="33">
        <v>44200</v>
      </c>
      <c r="E19" s="45">
        <v>37.274567526881711</v>
      </c>
      <c r="F19" s="45">
        <v>82.845138387096753</v>
      </c>
      <c r="G19" s="45">
        <v>257.91547392473115</v>
      </c>
      <c r="H19" s="45">
        <v>376.30480099462375</v>
      </c>
      <c r="I19" s="45">
        <v>506.77219112903219</v>
      </c>
      <c r="J19" s="45"/>
      <c r="K19" s="45">
        <v>11.609599999999999</v>
      </c>
      <c r="L19" s="45">
        <v>43.500799999999998</v>
      </c>
      <c r="M19" s="45">
        <v>222.58849999999995</v>
      </c>
      <c r="N19" s="45">
        <v>350.50919999999996</v>
      </c>
      <c r="O19" s="45">
        <v>486.7987</v>
      </c>
    </row>
    <row r="20" spans="1:15" ht="13.2">
      <c r="A20" s="7">
        <f t="shared" si="0"/>
        <v>10</v>
      </c>
      <c r="B20" s="37">
        <v>8</v>
      </c>
      <c r="C20" s="33">
        <v>44229</v>
      </c>
      <c r="D20" s="33">
        <v>44201</v>
      </c>
      <c r="E20" s="45">
        <v>36.962729986559125</v>
      </c>
      <c r="F20" s="45">
        <v>82.328492620967722</v>
      </c>
      <c r="G20" s="45">
        <v>256.89056642473116</v>
      </c>
      <c r="H20" s="45">
        <v>375.06908911290333</v>
      </c>
      <c r="I20" s="45">
        <v>505.51536501344077</v>
      </c>
      <c r="J20" s="45"/>
      <c r="K20" s="45">
        <v>11.609599999999999</v>
      </c>
      <c r="L20" s="45">
        <v>43.637899999999995</v>
      </c>
      <c r="M20" s="45">
        <v>227.40319999999991</v>
      </c>
      <c r="N20" s="45">
        <v>355.32389999999998</v>
      </c>
      <c r="O20" s="45">
        <v>491.61340000000001</v>
      </c>
    </row>
    <row r="21" spans="1:15" ht="13.2">
      <c r="A21" s="7">
        <f t="shared" si="0"/>
        <v>11</v>
      </c>
      <c r="B21" s="37">
        <v>9</v>
      </c>
      <c r="C21" s="33">
        <v>44230</v>
      </c>
      <c r="D21" s="33">
        <v>44202</v>
      </c>
      <c r="E21" s="45">
        <v>36.547935645161274</v>
      </c>
      <c r="F21" s="45">
        <v>81.645881276881696</v>
      </c>
      <c r="G21" s="45">
        <v>255.6327461290322</v>
      </c>
      <c r="H21" s="45">
        <v>373.59636525537638</v>
      </c>
      <c r="I21" s="45">
        <v>504.00470666666655</v>
      </c>
      <c r="J21" s="45"/>
      <c r="K21" s="45">
        <v>11.609599999999999</v>
      </c>
      <c r="L21" s="45">
        <v>43.672099999999993</v>
      </c>
      <c r="M21" s="45">
        <v>227.7221999999999</v>
      </c>
      <c r="N21" s="45">
        <v>355.70990000000006</v>
      </c>
      <c r="O21" s="45">
        <v>491.99940000000004</v>
      </c>
    </row>
    <row r="22" spans="1:15" ht="13.2">
      <c r="A22" s="7">
        <f t="shared" si="0"/>
        <v>12</v>
      </c>
      <c r="B22" s="37">
        <v>10</v>
      </c>
      <c r="C22" s="33">
        <v>44231</v>
      </c>
      <c r="D22" s="33">
        <v>44203</v>
      </c>
      <c r="E22" s="45">
        <v>36.107914018817191</v>
      </c>
      <c r="F22" s="45">
        <v>80.873013266129007</v>
      </c>
      <c r="G22" s="45">
        <v>254.14198809139776</v>
      </c>
      <c r="H22" s="45">
        <v>371.83707797043013</v>
      </c>
      <c r="I22" s="45">
        <v>502.16687063172026</v>
      </c>
      <c r="J22" s="45"/>
      <c r="K22" s="45">
        <v>11.609599999999999</v>
      </c>
      <c r="L22" s="45">
        <v>43.620799999999996</v>
      </c>
      <c r="M22" s="45">
        <v>225.86829999999989</v>
      </c>
      <c r="N22" s="45">
        <v>352.90040000000005</v>
      </c>
      <c r="O22" s="45">
        <v>489.03870000000001</v>
      </c>
    </row>
    <row r="23" spans="1:15" ht="13.2">
      <c r="A23" s="7">
        <f t="shared" si="0"/>
        <v>13</v>
      </c>
      <c r="B23" s="37">
        <v>11</v>
      </c>
      <c r="C23" s="33">
        <v>44232</v>
      </c>
      <c r="D23" s="33">
        <v>44204</v>
      </c>
      <c r="E23" s="45">
        <v>35.678851720430089</v>
      </c>
      <c r="F23" s="45">
        <v>80.056880470430073</v>
      </c>
      <c r="G23" s="45">
        <v>252.50032952956985</v>
      </c>
      <c r="H23" s="45">
        <v>369.87646405913978</v>
      </c>
      <c r="I23" s="45">
        <v>500.0837972311827</v>
      </c>
      <c r="J23" s="45"/>
      <c r="K23" s="45">
        <v>11.586799999999998</v>
      </c>
      <c r="L23" s="45">
        <v>43.122299999999996</v>
      </c>
      <c r="M23" s="45">
        <v>216.61599999999993</v>
      </c>
      <c r="N23" s="45">
        <v>340.6812000000001</v>
      </c>
      <c r="O23" s="45">
        <v>476.23559999999998</v>
      </c>
    </row>
    <row r="24" spans="1:15" ht="13.2">
      <c r="A24" s="7">
        <f t="shared" si="0"/>
        <v>14</v>
      </c>
      <c r="B24" s="37">
        <v>12</v>
      </c>
      <c r="C24" s="33">
        <v>44235</v>
      </c>
      <c r="D24" s="33">
        <v>44205</v>
      </c>
      <c r="E24" s="45">
        <v>37.163477634408572</v>
      </c>
      <c r="F24" s="45">
        <v>83.748238615591376</v>
      </c>
      <c r="G24" s="45">
        <v>266.1776189650538</v>
      </c>
      <c r="H24" s="45">
        <v>390.9052857526882</v>
      </c>
      <c r="I24" s="45">
        <v>529.82164393817175</v>
      </c>
      <c r="J24" s="45"/>
      <c r="K24" s="45">
        <v>11.141699999999998</v>
      </c>
      <c r="L24" s="45">
        <v>40.740599999999986</v>
      </c>
      <c r="M24" s="45">
        <v>227.27249999999992</v>
      </c>
      <c r="N24" s="45">
        <v>361.27290000000005</v>
      </c>
      <c r="O24" s="45">
        <v>506.82730000000004</v>
      </c>
    </row>
    <row r="25" spans="1:15" ht="13.2">
      <c r="A25" s="7">
        <f t="shared" si="0"/>
        <v>15</v>
      </c>
      <c r="B25" s="37">
        <v>13</v>
      </c>
      <c r="C25" s="33">
        <v>44236</v>
      </c>
      <c r="D25" s="33">
        <v>44207</v>
      </c>
      <c r="E25" s="45">
        <v>35.192416155913968</v>
      </c>
      <c r="F25" s="45">
        <v>79.545104852150516</v>
      </c>
      <c r="G25" s="45">
        <v>254.42205970430106</v>
      </c>
      <c r="H25" s="45">
        <v>374.45724774193548</v>
      </c>
      <c r="I25" s="45">
        <v>508.49628807795682</v>
      </c>
      <c r="J25" s="45"/>
      <c r="K25" s="45">
        <v>5.4524999999999988</v>
      </c>
      <c r="L25" s="45">
        <v>25.22969999999999</v>
      </c>
      <c r="M25" s="45">
        <v>195.02649999999994</v>
      </c>
      <c r="N25" s="45">
        <v>323.3195</v>
      </c>
      <c r="O25" s="45">
        <v>463.86819999999994</v>
      </c>
    </row>
    <row r="26" spans="1:17" ht="13.2">
      <c r="A26" s="7">
        <f t="shared" si="0"/>
        <v>16</v>
      </c>
      <c r="B26" s="37">
        <v>14</v>
      </c>
      <c r="C26" s="33">
        <v>44237</v>
      </c>
      <c r="D26" s="33">
        <v>44208</v>
      </c>
      <c r="E26" s="45">
        <v>34.73196334677418</v>
      </c>
      <c r="F26" s="45">
        <v>78.632088870967721</v>
      </c>
      <c r="G26" s="45">
        <v>252.3035435752688</v>
      </c>
      <c r="H26" s="45">
        <v>371.83467137096767</v>
      </c>
      <c r="I26" s="45">
        <v>505.58551516129012</v>
      </c>
      <c r="J26" s="45"/>
      <c r="K26" s="45">
        <v>8.722900000000001</v>
      </c>
      <c r="L26" s="45">
        <v>27.631699999999988</v>
      </c>
      <c r="M26" s="45">
        <v>196.65309999999997</v>
      </c>
      <c r="N26" s="45">
        <v>324.76509999999996</v>
      </c>
      <c r="O26" s="45">
        <v>465.31379999999996</v>
      </c>
      <c r="Q26" s="189"/>
    </row>
    <row r="27" spans="1:17" ht="13.2">
      <c r="A27" s="7">
        <f t="shared" si="0"/>
        <v>17</v>
      </c>
      <c r="B27" s="37">
        <v>15</v>
      </c>
      <c r="C27" s="33">
        <v>44238</v>
      </c>
      <c r="D27" s="33">
        <v>44209</v>
      </c>
      <c r="E27" s="45">
        <v>34.280681975806445</v>
      </c>
      <c r="F27" s="45">
        <v>77.724378803763415</v>
      </c>
      <c r="G27" s="45">
        <v>250.17357502688168</v>
      </c>
      <c r="H27" s="45">
        <v>369.18143849462354</v>
      </c>
      <c r="I27" s="45">
        <v>502.61291452956971</v>
      </c>
      <c r="J27" s="45"/>
      <c r="K27" s="45">
        <v>16.886000000000003</v>
      </c>
      <c r="L27" s="45">
        <v>35.580799999999996</v>
      </c>
      <c r="M27" s="45">
        <v>204.42529999999996</v>
      </c>
      <c r="N27" s="45">
        <v>332.5372999999999</v>
      </c>
      <c r="O27" s="45">
        <v>473.08599999999996</v>
      </c>
      <c r="Q27" s="189"/>
    </row>
    <row r="28" spans="1:27" ht="13.2">
      <c r="A28" s="7">
        <f t="shared" si="1" ref="A28:A35">+A27+1</f>
        <v>18</v>
      </c>
      <c r="B28" s="37">
        <v>16</v>
      </c>
      <c r="C28" s="33">
        <v>44239</v>
      </c>
      <c r="D28" s="33">
        <v>44210</v>
      </c>
      <c r="E28" s="190">
        <v>33.842163817204288</v>
      </c>
      <c r="F28" s="190">
        <v>76.860644475806424</v>
      </c>
      <c r="G28" s="190">
        <v>248.13398278225805</v>
      </c>
      <c r="H28" s="190">
        <v>366.62390379032252</v>
      </c>
      <c r="I28" s="190">
        <v>499.73419772849439</v>
      </c>
      <c r="J28" s="190"/>
      <c r="K28" s="190">
        <v>29.645099999999999</v>
      </c>
      <c r="L28" s="190">
        <v>53.195599999999999</v>
      </c>
      <c r="M28" s="190">
        <v>222.34679999999997</v>
      </c>
      <c r="N28" s="190">
        <v>350.45879999999988</v>
      </c>
      <c r="O28" s="190">
        <v>491.00749999999994</v>
      </c>
      <c r="Q28" s="189"/>
      <c r="R28" s="189"/>
      <c r="S28" s="189"/>
      <c r="T28" s="189"/>
      <c r="U28" s="189"/>
      <c r="W28" s="189"/>
      <c r="X28" s="189"/>
      <c r="Y28" s="189"/>
      <c r="Z28" s="189"/>
      <c r="AA28" s="189"/>
    </row>
    <row r="29" spans="1:15" ht="13.2">
      <c r="A29" s="7">
        <f t="shared" si="1"/>
        <v>19</v>
      </c>
      <c r="B29" s="37">
        <v>17</v>
      </c>
      <c r="C29" s="33">
        <v>44243</v>
      </c>
      <c r="D29" s="33">
        <v>44211</v>
      </c>
      <c r="E29" s="45">
        <v>36.374180309139767</v>
      </c>
      <c r="F29" s="45">
        <v>82.661041424731152</v>
      </c>
      <c r="G29" s="45">
        <v>267.99887668010751</v>
      </c>
      <c r="H29" s="45">
        <v>397.01151978494619</v>
      </c>
      <c r="I29" s="45">
        <v>542.63802122311813</v>
      </c>
      <c r="J29" s="45"/>
      <c r="K29" s="45">
        <v>113.8261</v>
      </c>
      <c r="L29" s="45">
        <v>157.3766</v>
      </c>
      <c r="M29" s="45">
        <v>361.49139999999989</v>
      </c>
      <c r="N29" s="45">
        <v>504.60339999999991</v>
      </c>
      <c r="O29" s="45">
        <v>660.1520999999999</v>
      </c>
    </row>
    <row r="30" spans="1:15" ht="13.2">
      <c r="A30" s="7">
        <f t="shared" si="1"/>
        <v>20</v>
      </c>
      <c r="B30" s="37">
        <v>18</v>
      </c>
      <c r="C30" s="33">
        <v>44244</v>
      </c>
      <c r="D30" s="33">
        <v>44215</v>
      </c>
      <c r="E30" s="45">
        <v>31.880556317204285</v>
      </c>
      <c r="F30" s="45">
        <v>72.902313723118255</v>
      </c>
      <c r="G30" s="45">
        <v>238.1165684677419</v>
      </c>
      <c r="H30" s="45">
        <v>353.68906107526874</v>
      </c>
      <c r="I30" s="45">
        <v>484.84092852150525</v>
      </c>
      <c r="J30" s="45"/>
      <c r="K30" s="45">
        <v>141.98910000000001</v>
      </c>
      <c r="L30" s="45">
        <v>189.14870000000002</v>
      </c>
      <c r="M30" s="45">
        <v>373.71189999999996</v>
      </c>
      <c r="N30" s="45">
        <v>501.9858999999999</v>
      </c>
      <c r="O30" s="45">
        <v>642.53459999999984</v>
      </c>
    </row>
    <row r="31" spans="1:15" ht="13.2">
      <c r="A31" s="7">
        <f t="shared" si="1"/>
        <v>21</v>
      </c>
      <c r="B31" s="37">
        <v>19</v>
      </c>
      <c r="C31" s="33">
        <v>44245</v>
      </c>
      <c r="D31" s="33">
        <v>44216</v>
      </c>
      <c r="E31" s="45">
        <v>31.588326827956973</v>
      </c>
      <c r="F31" s="45">
        <v>72.256645806451601</v>
      </c>
      <c r="G31" s="45">
        <v>236.26602393817203</v>
      </c>
      <c r="H31" s="45">
        <v>351.20362396505379</v>
      </c>
      <c r="I31" s="45">
        <v>481.87631254032249</v>
      </c>
      <c r="J31" s="45"/>
      <c r="K31" s="45">
        <v>158.5556</v>
      </c>
      <c r="L31" s="45">
        <v>210.61260000000002</v>
      </c>
      <c r="M31" s="45">
        <v>402.52439999999996</v>
      </c>
      <c r="N31" s="45">
        <v>531.12339999999995</v>
      </c>
      <c r="O31" s="45">
        <v>671.71169999999984</v>
      </c>
    </row>
    <row r="32" spans="1:15" ht="13.2">
      <c r="A32" s="7">
        <f t="shared" si="1"/>
        <v>22</v>
      </c>
      <c r="B32" s="37">
        <v>20</v>
      </c>
      <c r="C32" s="33">
        <v>44246</v>
      </c>
      <c r="D32" s="33">
        <v>44217</v>
      </c>
      <c r="E32" s="45">
        <v>31.265358333333321</v>
      </c>
      <c r="F32" s="45">
        <v>71.547315846774168</v>
      </c>
      <c r="G32" s="45">
        <v>234.27712525537632</v>
      </c>
      <c r="H32" s="45">
        <v>348.56526396505376</v>
      </c>
      <c r="I32" s="45">
        <v>478.74540055107514</v>
      </c>
      <c r="J32" s="45"/>
      <c r="K32" s="45">
        <v>173.2764</v>
      </c>
      <c r="L32" s="45">
        <v>229.97999999999999</v>
      </c>
      <c r="M32" s="45">
        <v>423.2586</v>
      </c>
      <c r="N32" s="45">
        <v>551.92719999999986</v>
      </c>
      <c r="O32" s="45">
        <v>692.51549999999975</v>
      </c>
    </row>
    <row r="33" spans="1:15" ht="13.2">
      <c r="A33" s="7">
        <f t="shared" si="1"/>
        <v>23</v>
      </c>
      <c r="B33" s="37">
        <v>21</v>
      </c>
      <c r="C33" s="33">
        <v>44249</v>
      </c>
      <c r="D33" s="33">
        <v>44218</v>
      </c>
      <c r="E33" s="45">
        <v>32.672734368279556</v>
      </c>
      <c r="F33" s="45">
        <v>74.694271142473099</v>
      </c>
      <c r="G33" s="45">
        <v>245.18734099462361</v>
      </c>
      <c r="H33" s="45">
        <v>365.75976504032263</v>
      </c>
      <c r="I33" s="45">
        <v>503.709339422043</v>
      </c>
      <c r="J33" s="45"/>
      <c r="K33" s="45">
        <v>186.94480000000002</v>
      </c>
      <c r="L33" s="45">
        <v>253.34279999999998</v>
      </c>
      <c r="M33" s="45">
        <v>463.2869</v>
      </c>
      <c r="N33" s="45">
        <v>601.96849999999995</v>
      </c>
      <c r="O33" s="45">
        <v>752.57129999999972</v>
      </c>
    </row>
    <row r="34" spans="1:1" ht="13.2">
      <c r="A34" s="7">
        <f t="shared" si="1"/>
        <v>24</v>
      </c>
    </row>
    <row r="35" spans="1:15" ht="13.2">
      <c r="A35" s="7">
        <f t="shared" si="1"/>
        <v>25</v>
      </c>
      <c r="B35" s="212" t="s">
        <v>96</v>
      </c>
      <c r="C35" s="202"/>
      <c r="D35" s="202"/>
      <c r="E35" s="98">
        <f t="shared" si="2" ref="E35:O35">AVERAGE(E13:E33)</f>
        <v>36.445792912826413</v>
      </c>
      <c r="F35" s="98">
        <f t="shared" si="2"/>
        <v>81.779996870199668</v>
      </c>
      <c r="G35" s="98">
        <f t="shared" si="2"/>
        <v>259.42263480094726</v>
      </c>
      <c r="H35" s="98">
        <f t="shared" si="3" ref="H35">AVERAGE(H13:H33)</f>
        <v>380.97551984318994</v>
      </c>
      <c r="I35" s="98">
        <f t="shared" si="2"/>
        <v>516.27681480030719</v>
      </c>
      <c r="J35" s="98"/>
      <c r="K35" s="98">
        <f t="shared" si="2"/>
        <v>47.341880952380947</v>
      </c>
      <c r="L35" s="98">
        <f t="shared" si="2"/>
        <v>84.127257142857133</v>
      </c>
      <c r="M35" s="98">
        <f t="shared" si="2"/>
        <v>271.40153333333336</v>
      </c>
      <c r="N35" s="98">
        <f t="shared" si="4" ref="N35">AVERAGE(N13:N33)</f>
        <v>404.00080952380949</v>
      </c>
      <c r="O35" s="98">
        <f t="shared" si="2"/>
        <v>547.15887619047601</v>
      </c>
    </row>
    <row r="36" spans="2:15" ht="13.2">
      <c r="B36" s="30"/>
      <c r="C36" s="46"/>
      <c r="D36" s="30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</row>
    <row r="37" spans="2:15" ht="13.2">
      <c r="B37" s="30"/>
      <c r="C37" s="29"/>
      <c r="D37" s="30"/>
      <c r="E37" s="95"/>
      <c r="F37" s="94"/>
      <c r="G37" s="94"/>
      <c r="H37" s="94"/>
      <c r="I37" s="94"/>
      <c r="J37" s="94"/>
      <c r="K37" s="94"/>
      <c r="L37" s="94"/>
      <c r="M37" s="94"/>
      <c r="N37" s="94"/>
      <c r="O37" s="94"/>
    </row>
  </sheetData>
  <mergeCells count="10">
    <mergeCell ref="E11:I11"/>
    <mergeCell ref="K11:O11"/>
    <mergeCell ref="B35:D35"/>
    <mergeCell ref="B1:O1"/>
    <mergeCell ref="B2:O2"/>
    <mergeCell ref="B3:O3"/>
    <mergeCell ref="B4:O4"/>
    <mergeCell ref="B5:O5"/>
    <mergeCell ref="B6:O6"/>
    <mergeCell ref="B8:O8"/>
  </mergeCells>
  <printOptions horizontalCentered="1"/>
  <pageMargins left="1.5" right="0.5" top="1.5" bottom="1" header="1" footer="0.5"/>
  <pageSetup orientation="portrait" scale="60" r:id="rId1"/>
  <headerFooter alignWithMargins="0">
    <oddHeader>&amp;RSchedule II-H-5.2
Page &amp;P of 37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5">
    <pageSetUpPr fitToPage="1"/>
  </sheetPr>
  <dimension ref="A1:W37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1" width="9.14285714285714" style="9"/>
    <col min="2" max="2" width="10.1428571428571" style="9" customWidth="1"/>
    <col min="3" max="3" width="10.8571428571429" style="7" customWidth="1"/>
    <col min="4" max="4" width="10.4285714285714" style="9" customWidth="1"/>
    <col min="5" max="5" width="11.1428571428571" style="9" customWidth="1"/>
    <col min="6" max="6" width="9.28571428571429" style="9" bestFit="1" customWidth="1"/>
    <col min="7" max="7" width="9.28571428571429" style="9" customWidth="1"/>
    <col min="8" max="9" width="9.14285714285714" style="9"/>
    <col min="10" max="10" width="9.71428571428571" style="9" customWidth="1"/>
    <col min="11" max="16384" width="9.14285714285714" style="9"/>
  </cols>
  <sheetData>
    <row r="1" spans="1:13" s="0" customFormat="1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s="0" customFormat="1" ht="15.6">
      <c r="A2" s="1"/>
      <c r="B2" s="200" t="str">
        <f>+RES!B2</f>
        <v>ONCOR ELECTRIC DELIVERY COMPANY LLC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s="0" customFormat="1" ht="15.6">
      <c r="A3" s="1"/>
      <c r="B3" s="200" t="str">
        <f>+RES!B3</f>
        <v>ADJUSTED WEATHER STATION DATA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s="0" customFormat="1" ht="15.6">
      <c r="A4" s="1"/>
      <c r="B4" s="200" t="str">
        <f>+RES!B4</f>
        <v>FOR THE TEST YEAR ENDING DECEMBER 31, 2021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s="0" customFormat="1" ht="15.6">
      <c r="A5" s="1"/>
      <c r="B5" s="200"/>
      <c r="C5" s="200"/>
      <c r="D5" s="200"/>
      <c r="E5" s="202"/>
      <c r="F5" s="202"/>
      <c r="G5" s="202"/>
      <c r="H5" s="202"/>
      <c r="I5" s="202"/>
      <c r="J5" s="202"/>
      <c r="K5" s="202"/>
      <c r="L5" s="202"/>
      <c r="M5" s="202"/>
    </row>
    <row r="6" spans="2:13" ht="15.6">
      <c r="B6" s="200" t="str">
        <f>+RES!B6</f>
        <v>SPONSOR: D. E. NELSON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2:13" ht="15.6">
      <c r="B7" s="4"/>
      <c r="C7" s="4"/>
      <c r="D7" s="4"/>
      <c r="E7" s="51"/>
      <c r="F7" s="51"/>
      <c r="G7" s="186"/>
      <c r="H7" s="51"/>
      <c r="I7" s="51"/>
      <c r="J7" s="51"/>
      <c r="K7" s="51"/>
      <c r="L7" s="186"/>
      <c r="M7" s="51"/>
    </row>
    <row r="8" spans="2:13" ht="15.6">
      <c r="B8" s="200" t="s">
        <v>165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1:13" ht="15.6">
      <c r="A9" s="1" t="s">
        <v>6</v>
      </c>
      <c r="B9" s="4"/>
      <c r="C9" s="4"/>
      <c r="D9" s="4"/>
      <c r="E9" s="1"/>
      <c r="F9" s="1"/>
      <c r="G9" s="185"/>
      <c r="H9" s="1"/>
      <c r="I9" s="1"/>
      <c r="J9" s="1"/>
      <c r="K9" s="1"/>
      <c r="L9" s="185"/>
      <c r="M9" s="1"/>
    </row>
    <row r="10" spans="1:13" ht="15.6">
      <c r="A10" s="5" t="s">
        <v>8</v>
      </c>
      <c r="B10" s="4"/>
      <c r="C10" s="4"/>
      <c r="D10" s="4"/>
      <c r="E10" s="1"/>
      <c r="F10" s="1"/>
      <c r="G10" s="185"/>
      <c r="H10" s="1"/>
      <c r="I10" s="1"/>
      <c r="J10" s="1"/>
      <c r="K10" s="1"/>
      <c r="L10" s="185"/>
      <c r="M10" s="1"/>
    </row>
    <row r="11" spans="1:13" ht="13.2">
      <c r="A11" s="7">
        <v>1</v>
      </c>
      <c r="B11" s="42" t="s">
        <v>25</v>
      </c>
      <c r="C11" s="43" t="s">
        <v>26</v>
      </c>
      <c r="D11" s="43" t="s">
        <v>27</v>
      </c>
      <c r="E11" s="213" t="s">
        <v>80</v>
      </c>
      <c r="F11" s="206"/>
      <c r="G11" s="206"/>
      <c r="H11" s="206"/>
      <c r="I11" s="105"/>
      <c r="J11" s="214" t="s">
        <v>84</v>
      </c>
      <c r="K11" s="215"/>
      <c r="L11" s="215"/>
      <c r="M11" s="215"/>
    </row>
    <row r="12" spans="1:13" ht="13.2">
      <c r="A12" s="7">
        <f t="shared" si="0" ref="A12:A27">+A11+1</f>
        <v>2</v>
      </c>
      <c r="B12" s="44" t="s">
        <v>27</v>
      </c>
      <c r="C12" s="44" t="s">
        <v>85</v>
      </c>
      <c r="D12" s="44" t="s">
        <v>28</v>
      </c>
      <c r="E12" s="142" t="s">
        <v>81</v>
      </c>
      <c r="F12" s="142" t="s">
        <v>82</v>
      </c>
      <c r="G12" s="188" t="s">
        <v>83</v>
      </c>
      <c r="H12" s="142" t="s">
        <v>167</v>
      </c>
      <c r="I12" s="44"/>
      <c r="J12" s="142" t="s">
        <v>81</v>
      </c>
      <c r="K12" s="142" t="s">
        <v>82</v>
      </c>
      <c r="L12" s="188" t="s">
        <v>83</v>
      </c>
      <c r="M12" s="142" t="s">
        <v>167</v>
      </c>
    </row>
    <row r="13" spans="1:13" ht="13.2">
      <c r="A13" s="7">
        <f t="shared" si="0"/>
        <v>3</v>
      </c>
      <c r="B13" s="37">
        <v>1</v>
      </c>
      <c r="C13" s="33">
        <v>44404</v>
      </c>
      <c r="D13" s="33">
        <v>44371</v>
      </c>
      <c r="E13" s="45">
        <v>651.79198318279555</v>
      </c>
      <c r="F13" s="45">
        <v>486.69533201344086</v>
      </c>
      <c r="G13" s="45">
        <v>322.76298237903234</v>
      </c>
      <c r="H13" s="45">
        <v>168.86079130376348</v>
      </c>
      <c r="I13" s="45"/>
      <c r="J13" s="45">
        <v>579.59089999999992</v>
      </c>
      <c r="K13" s="45">
        <v>414.56590000000006</v>
      </c>
      <c r="L13" s="45">
        <v>250.29670000000004</v>
      </c>
      <c r="M13" s="45">
        <v>98.431600000000074</v>
      </c>
    </row>
    <row r="14" spans="1:13" ht="13.2">
      <c r="A14" s="7">
        <f t="shared" si="0"/>
        <v>4</v>
      </c>
      <c r="B14" s="37">
        <v>2</v>
      </c>
      <c r="C14" s="33">
        <v>44405</v>
      </c>
      <c r="D14" s="33">
        <v>44372</v>
      </c>
      <c r="E14" s="45">
        <v>655.05014429569883</v>
      </c>
      <c r="F14" s="45">
        <v>489.95625865053768</v>
      </c>
      <c r="G14" s="45">
        <v>326.00118819892475</v>
      </c>
      <c r="H14" s="45">
        <v>171.75109154569898</v>
      </c>
      <c r="I14" s="45"/>
      <c r="J14" s="45">
        <v>581.25940000000003</v>
      </c>
      <c r="K14" s="45">
        <v>416.23440000000011</v>
      </c>
      <c r="L14" s="45">
        <v>251.96520000000004</v>
      </c>
      <c r="M14" s="45">
        <v>100.10010000000005</v>
      </c>
    </row>
    <row r="15" spans="1:13" ht="13.2">
      <c r="A15" s="7">
        <f t="shared" si="0"/>
        <v>5</v>
      </c>
      <c r="B15" s="37">
        <v>3</v>
      </c>
      <c r="C15" s="33">
        <v>44406</v>
      </c>
      <c r="D15" s="33">
        <v>44375</v>
      </c>
      <c r="E15" s="45">
        <v>621.33340126344092</v>
      </c>
      <c r="F15" s="45">
        <v>466.25192571236568</v>
      </c>
      <c r="G15" s="45">
        <v>312.19523559139782</v>
      </c>
      <c r="H15" s="45">
        <v>166.65707584677426</v>
      </c>
      <c r="I15" s="45"/>
      <c r="J15" s="45">
        <v>542.85110000000009</v>
      </c>
      <c r="K15" s="45">
        <v>387.6961</v>
      </c>
      <c r="L15" s="45">
        <v>233.17370000000008</v>
      </c>
      <c r="M15" s="45">
        <v>91.030200000000065</v>
      </c>
    </row>
    <row r="16" spans="1:13" ht="13.2">
      <c r="A16" s="7">
        <f t="shared" si="0"/>
        <v>6</v>
      </c>
      <c r="B16" s="37">
        <v>4</v>
      </c>
      <c r="C16" s="33">
        <v>44407</v>
      </c>
      <c r="D16" s="33">
        <v>44376</v>
      </c>
      <c r="E16" s="45">
        <v>624.01875825000002</v>
      </c>
      <c r="F16" s="45">
        <v>468.94033725537645</v>
      </c>
      <c r="G16" s="45">
        <v>314.87977120967741</v>
      </c>
      <c r="H16" s="45">
        <v>169.11285608870975</v>
      </c>
      <c r="I16" s="45"/>
      <c r="J16" s="45">
        <v>552.44580000000008</v>
      </c>
      <c r="K16" s="45">
        <v>397.29080000000005</v>
      </c>
      <c r="L16" s="45">
        <v>242.52200000000008</v>
      </c>
      <c r="M16" s="45">
        <v>98.010600000000068</v>
      </c>
    </row>
    <row r="17" spans="1:13" ht="13.2">
      <c r="A17" s="7">
        <f t="shared" si="0"/>
        <v>7</v>
      </c>
      <c r="B17" s="37">
        <v>5</v>
      </c>
      <c r="C17" s="33">
        <v>44410</v>
      </c>
      <c r="D17" s="33">
        <v>44377</v>
      </c>
      <c r="E17" s="45">
        <v>669.08468511559147</v>
      </c>
      <c r="F17" s="45">
        <v>504.00446077419366</v>
      </c>
      <c r="G17" s="45">
        <v>339.99127885752694</v>
      </c>
      <c r="H17" s="45">
        <v>184.49904502688182</v>
      </c>
      <c r="I17" s="45"/>
      <c r="J17" s="45">
        <v>603.13819999999998</v>
      </c>
      <c r="K17" s="45">
        <v>437.97320000000008</v>
      </c>
      <c r="L17" s="45">
        <v>273.07680000000005</v>
      </c>
      <c r="M17" s="45">
        <v>117.87170000000008</v>
      </c>
    </row>
    <row r="18" spans="1:13" ht="13.2">
      <c r="A18" s="7">
        <f t="shared" si="0"/>
        <v>8</v>
      </c>
      <c r="B18" s="37">
        <v>6</v>
      </c>
      <c r="C18" s="33">
        <v>44411</v>
      </c>
      <c r="D18" s="33">
        <v>44378</v>
      </c>
      <c r="E18" s="45">
        <v>671.55488265322595</v>
      </c>
      <c r="F18" s="45">
        <v>506.47627124193559</v>
      </c>
      <c r="G18" s="45">
        <v>342.45171954301077</v>
      </c>
      <c r="H18" s="45">
        <v>186.75327631720441</v>
      </c>
      <c r="I18" s="45"/>
      <c r="J18" s="45">
        <v>600.60259999999994</v>
      </c>
      <c r="K18" s="45">
        <v>435.43760000000003</v>
      </c>
      <c r="L18" s="45">
        <v>270.63520000000011</v>
      </c>
      <c r="M18" s="45">
        <v>116.19230000000006</v>
      </c>
    </row>
    <row r="19" spans="1:13" ht="13.2">
      <c r="A19" s="7">
        <f t="shared" si="0"/>
        <v>9</v>
      </c>
      <c r="B19" s="37">
        <v>7</v>
      </c>
      <c r="C19" s="33">
        <v>44412</v>
      </c>
      <c r="D19" s="33">
        <v>44383</v>
      </c>
      <c r="E19" s="45">
        <v>597.52056608064527</v>
      </c>
      <c r="F19" s="45">
        <v>452.45711641666685</v>
      </c>
      <c r="G19" s="45">
        <v>308.28768991935488</v>
      </c>
      <c r="H19" s="45">
        <v>170.81485282258072</v>
      </c>
      <c r="I19" s="45"/>
      <c r="J19" s="45">
        <v>536.40380000000005</v>
      </c>
      <c r="K19" s="45">
        <v>391.25880000000001</v>
      </c>
      <c r="L19" s="45">
        <v>246.48760000000007</v>
      </c>
      <c r="M19" s="45">
        <v>110.11510000000006</v>
      </c>
    </row>
    <row r="20" spans="1:13" ht="13.2">
      <c r="A20" s="7">
        <f t="shared" si="0"/>
        <v>10</v>
      </c>
      <c r="B20" s="37">
        <v>8</v>
      </c>
      <c r="C20" s="33">
        <v>44413</v>
      </c>
      <c r="D20" s="33">
        <v>44384</v>
      </c>
      <c r="E20" s="45">
        <v>599.26811695161291</v>
      </c>
      <c r="F20" s="45">
        <v>454.20512425000015</v>
      </c>
      <c r="G20" s="45">
        <v>310.01641275537639</v>
      </c>
      <c r="H20" s="45">
        <v>172.42486169354845</v>
      </c>
      <c r="I20" s="45"/>
      <c r="J20" s="45">
        <v>536.78380000000004</v>
      </c>
      <c r="K20" s="45">
        <v>391.63880000000006</v>
      </c>
      <c r="L20" s="45">
        <v>246.86760000000007</v>
      </c>
      <c r="M20" s="45">
        <v>110.38550000000006</v>
      </c>
    </row>
    <row r="21" spans="1:13" ht="13.2">
      <c r="A21" s="7">
        <f t="shared" si="0"/>
        <v>11</v>
      </c>
      <c r="B21" s="37">
        <v>9</v>
      </c>
      <c r="C21" s="33">
        <v>44414</v>
      </c>
      <c r="D21" s="33">
        <v>44385</v>
      </c>
      <c r="E21" s="45">
        <v>600.825442419355</v>
      </c>
      <c r="F21" s="45">
        <v>455.76290668010762</v>
      </c>
      <c r="G21" s="45">
        <v>311.56146432795703</v>
      </c>
      <c r="H21" s="45">
        <v>173.87786029569898</v>
      </c>
      <c r="I21" s="45"/>
      <c r="J21" s="45">
        <v>535.97590000000002</v>
      </c>
      <c r="K21" s="45">
        <v>390.83090000000004</v>
      </c>
      <c r="L21" s="45">
        <v>246.05970000000008</v>
      </c>
      <c r="M21" s="45">
        <v>109.54340000000008</v>
      </c>
    </row>
    <row r="22" spans="1:13" ht="13.2">
      <c r="A22" s="7">
        <f t="shared" si="0"/>
        <v>12</v>
      </c>
      <c r="B22" s="37">
        <v>10</v>
      </c>
      <c r="C22" s="33">
        <v>44417</v>
      </c>
      <c r="D22" s="33">
        <v>44386</v>
      </c>
      <c r="E22" s="45">
        <v>644.07707444623668</v>
      </c>
      <c r="F22" s="45">
        <v>489.00907857258068</v>
      </c>
      <c r="G22" s="45">
        <v>334.84964752688171</v>
      </c>
      <c r="H22" s="45">
        <v>187.7126836424732</v>
      </c>
      <c r="I22" s="45"/>
      <c r="J22" s="45">
        <v>577.15510000000006</v>
      </c>
      <c r="K22" s="45">
        <v>422.00010000000003</v>
      </c>
      <c r="L22" s="45">
        <v>267.21890000000008</v>
      </c>
      <c r="M22" s="45">
        <v>120.46090000000008</v>
      </c>
    </row>
    <row r="23" spans="1:13" ht="13.2">
      <c r="A23" s="7">
        <f t="shared" si="0"/>
        <v>13</v>
      </c>
      <c r="B23" s="37">
        <v>11</v>
      </c>
      <c r="C23" s="33">
        <v>44418</v>
      </c>
      <c r="D23" s="33">
        <v>44389</v>
      </c>
      <c r="E23" s="45">
        <v>605.68722158870958</v>
      </c>
      <c r="F23" s="45">
        <v>460.62501410215049</v>
      </c>
      <c r="G23" s="45">
        <v>316.38365095430106</v>
      </c>
      <c r="H23" s="45">
        <v>178.55383185483876</v>
      </c>
      <c r="I23" s="45"/>
      <c r="J23" s="45">
        <v>548.97090000000003</v>
      </c>
      <c r="K23" s="45">
        <v>403.82590000000005</v>
      </c>
      <c r="L23" s="45">
        <v>259.05470000000014</v>
      </c>
      <c r="M23" s="45">
        <v>121.13530000000007</v>
      </c>
    </row>
    <row r="24" spans="1:13" ht="13.2">
      <c r="A24" s="7">
        <f t="shared" si="0"/>
        <v>14</v>
      </c>
      <c r="B24" s="37">
        <v>12</v>
      </c>
      <c r="C24" s="33">
        <v>44419</v>
      </c>
      <c r="D24" s="33">
        <v>44390</v>
      </c>
      <c r="E24" s="45">
        <v>606.71520301075259</v>
      </c>
      <c r="F24" s="45">
        <v>461.65139038978492</v>
      </c>
      <c r="G24" s="45">
        <v>317.39977451612901</v>
      </c>
      <c r="H24" s="45">
        <v>179.55193326612908</v>
      </c>
      <c r="I24" s="45"/>
      <c r="J24" s="45">
        <v>556.16180000000008</v>
      </c>
      <c r="K24" s="45">
        <v>411.01679999999999</v>
      </c>
      <c r="L24" s="45">
        <v>266.11990000000009</v>
      </c>
      <c r="M24" s="45">
        <v>127.09160000000007</v>
      </c>
    </row>
    <row r="25" spans="1:23" ht="13.2">
      <c r="A25" s="7">
        <f t="shared" si="0"/>
        <v>15</v>
      </c>
      <c r="B25" s="37">
        <v>13</v>
      </c>
      <c r="C25" s="33">
        <v>44420</v>
      </c>
      <c r="D25" s="33">
        <v>44391</v>
      </c>
      <c r="E25" s="190">
        <v>607.65560361559142</v>
      </c>
      <c r="F25" s="190">
        <v>462.5895519892473</v>
      </c>
      <c r="G25" s="190">
        <v>318.32786393817202</v>
      </c>
      <c r="H25" s="190">
        <v>180.47113379032263</v>
      </c>
      <c r="I25" s="190"/>
      <c r="J25" s="190">
        <v>561.69430000000011</v>
      </c>
      <c r="K25" s="190">
        <v>416.54930000000002</v>
      </c>
      <c r="L25" s="190">
        <v>271.6348000000001</v>
      </c>
      <c r="M25" s="190">
        <v>131.96180000000007</v>
      </c>
      <c r="O25" s="189"/>
      <c r="P25" s="189"/>
      <c r="Q25" s="189"/>
      <c r="R25" s="189"/>
      <c r="T25" s="189"/>
      <c r="U25" s="189"/>
      <c r="V25" s="189"/>
      <c r="W25" s="189"/>
    </row>
    <row r="26" spans="1:13" ht="13.2">
      <c r="A26" s="7">
        <f t="shared" si="0"/>
        <v>16</v>
      </c>
      <c r="B26" s="37">
        <v>14</v>
      </c>
      <c r="C26" s="33">
        <v>44421</v>
      </c>
      <c r="D26" s="33">
        <v>44392</v>
      </c>
      <c r="E26" s="45">
        <v>608.47785642473116</v>
      </c>
      <c r="F26" s="45">
        <v>463.40901202956985</v>
      </c>
      <c r="G26" s="45">
        <v>319.13745504032261</v>
      </c>
      <c r="H26" s="45">
        <v>181.27728279569897</v>
      </c>
      <c r="I26" s="45"/>
      <c r="J26" s="45">
        <v>568.24959999999999</v>
      </c>
      <c r="K26" s="45">
        <v>423.1046</v>
      </c>
      <c r="L26" s="45">
        <v>278.19010000000003</v>
      </c>
      <c r="M26" s="45">
        <v>137.9432000000001</v>
      </c>
    </row>
    <row r="27" spans="1:13" ht="13.2">
      <c r="A27" s="7">
        <f t="shared" si="0"/>
        <v>17</v>
      </c>
      <c r="B27" s="37">
        <v>15</v>
      </c>
      <c r="C27" s="33">
        <v>44424</v>
      </c>
      <c r="D27" s="33">
        <v>44393</v>
      </c>
      <c r="E27" s="45">
        <v>650.54291197580665</v>
      </c>
      <c r="F27" s="45">
        <v>495.46171510752686</v>
      </c>
      <c r="G27" s="45">
        <v>341.23292919354844</v>
      </c>
      <c r="H27" s="45">
        <v>194.00779815860221</v>
      </c>
      <c r="I27" s="45"/>
      <c r="J27" s="45">
        <v>601.5676000000002</v>
      </c>
      <c r="K27" s="45">
        <v>446.41259999999994</v>
      </c>
      <c r="L27" s="45">
        <v>291.66170000000005</v>
      </c>
      <c r="M27" s="45">
        <v>142.6022000000001</v>
      </c>
    </row>
    <row r="28" spans="1:13" ht="13.2">
      <c r="A28" s="7">
        <f t="shared" si="1" ref="A28:A35">+A27+1</f>
        <v>18</v>
      </c>
      <c r="B28" s="37">
        <v>16</v>
      </c>
      <c r="C28" s="33">
        <v>44425</v>
      </c>
      <c r="D28" s="33">
        <v>44396</v>
      </c>
      <c r="E28" s="45">
        <v>609.98396685483863</v>
      </c>
      <c r="F28" s="45">
        <v>464.90361375000009</v>
      </c>
      <c r="G28" s="45">
        <v>320.62217712365594</v>
      </c>
      <c r="H28" s="45">
        <v>182.99161216397854</v>
      </c>
      <c r="I28" s="45"/>
      <c r="J28" s="45">
        <v>560.13690000000008</v>
      </c>
      <c r="K28" s="45">
        <v>414.99189999999999</v>
      </c>
      <c r="L28" s="45">
        <v>270.25100000000009</v>
      </c>
      <c r="M28" s="45">
        <v>131.46380000000008</v>
      </c>
    </row>
    <row r="29" spans="1:13" ht="13.2">
      <c r="A29" s="7">
        <f t="shared" si="1"/>
        <v>19</v>
      </c>
      <c r="B29" s="37">
        <v>17</v>
      </c>
      <c r="C29" s="33">
        <v>44426</v>
      </c>
      <c r="D29" s="33">
        <v>44397</v>
      </c>
      <c r="E29" s="45">
        <v>609.82742403225802</v>
      </c>
      <c r="F29" s="45">
        <v>464.74449133064525</v>
      </c>
      <c r="G29" s="45">
        <v>320.46861974462365</v>
      </c>
      <c r="H29" s="45">
        <v>182.96775677419356</v>
      </c>
      <c r="I29" s="45"/>
      <c r="J29" s="45">
        <v>558.93950000000007</v>
      </c>
      <c r="K29" s="45">
        <v>413.79450000000003</v>
      </c>
      <c r="L29" s="45">
        <v>269.20010000000008</v>
      </c>
      <c r="M29" s="45">
        <v>131.5149000000001</v>
      </c>
    </row>
    <row r="30" spans="1:13" ht="13.2">
      <c r="A30" s="7">
        <f t="shared" si="1"/>
        <v>20</v>
      </c>
      <c r="B30" s="37">
        <v>18</v>
      </c>
      <c r="C30" s="33">
        <v>44427</v>
      </c>
      <c r="D30" s="33">
        <v>44398</v>
      </c>
      <c r="E30" s="45">
        <v>609.40926487903221</v>
      </c>
      <c r="F30" s="45">
        <v>464.3237902150538</v>
      </c>
      <c r="G30" s="45">
        <v>320.05675024193545</v>
      </c>
      <c r="H30" s="45">
        <v>182.71169970430108</v>
      </c>
      <c r="I30" s="45"/>
      <c r="J30" s="45">
        <v>555.30769999999995</v>
      </c>
      <c r="K30" s="45">
        <v>410.16270000000009</v>
      </c>
      <c r="L30" s="45">
        <v>265.58670000000012</v>
      </c>
      <c r="M30" s="45">
        <v>130.69140000000007</v>
      </c>
    </row>
    <row r="31" spans="1:13" ht="13.2">
      <c r="A31" s="7">
        <f t="shared" si="1"/>
        <v>21</v>
      </c>
      <c r="B31" s="37">
        <v>19</v>
      </c>
      <c r="C31" s="33">
        <v>44428</v>
      </c>
      <c r="D31" s="33">
        <v>44399</v>
      </c>
      <c r="E31" s="45">
        <v>608.66205065860208</v>
      </c>
      <c r="F31" s="45">
        <v>463.57460896505381</v>
      </c>
      <c r="G31" s="45">
        <v>319.31932427419355</v>
      </c>
      <c r="H31" s="45">
        <v>182.17609211021508</v>
      </c>
      <c r="I31" s="45"/>
      <c r="J31" s="45">
        <v>558.24959999999987</v>
      </c>
      <c r="K31" s="45">
        <v>413.1046</v>
      </c>
      <c r="L31" s="45">
        <v>268.52860000000004</v>
      </c>
      <c r="M31" s="45">
        <v>133.25060000000005</v>
      </c>
    </row>
    <row r="32" spans="1:13" ht="13.2">
      <c r="A32" s="7">
        <f t="shared" si="1"/>
        <v>22</v>
      </c>
      <c r="B32" s="37">
        <v>20</v>
      </c>
      <c r="C32" s="33">
        <v>44431</v>
      </c>
      <c r="D32" s="33">
        <v>44400</v>
      </c>
      <c r="E32" s="45">
        <v>646.76884467741934</v>
      </c>
      <c r="F32" s="45">
        <v>491.67435010752689</v>
      </c>
      <c r="G32" s="45">
        <v>337.54321947580644</v>
      </c>
      <c r="H32" s="45">
        <v>191.64506522849467</v>
      </c>
      <c r="I32" s="45"/>
      <c r="J32" s="45">
        <v>603.00370000000009</v>
      </c>
      <c r="K32" s="45">
        <v>447.84870000000001</v>
      </c>
      <c r="L32" s="45">
        <v>293.26270000000011</v>
      </c>
      <c r="M32" s="45">
        <v>147.80830000000003</v>
      </c>
    </row>
    <row r="33" spans="1:13" ht="13.2">
      <c r="A33" s="7">
        <f t="shared" si="1"/>
        <v>23</v>
      </c>
      <c r="B33" s="37">
        <v>21</v>
      </c>
      <c r="C33" s="33">
        <v>44432</v>
      </c>
      <c r="D33" s="33">
        <v>44403</v>
      </c>
      <c r="E33" s="45">
        <v>602.4334970698925</v>
      </c>
      <c r="F33" s="45">
        <v>457.34223118279573</v>
      </c>
      <c r="G33" s="45">
        <v>313.19680419354836</v>
      </c>
      <c r="H33" s="45">
        <v>177.27459852150543</v>
      </c>
      <c r="I33" s="45"/>
      <c r="J33" s="45">
        <v>560.09640000000013</v>
      </c>
      <c r="K33" s="45">
        <v>414.95140000000004</v>
      </c>
      <c r="L33" s="45">
        <v>270.37540000000001</v>
      </c>
      <c r="M33" s="45">
        <v>134.94220000000004</v>
      </c>
    </row>
    <row r="34" spans="1:1" ht="13.2">
      <c r="A34" s="7">
        <f t="shared" si="1"/>
        <v>24</v>
      </c>
    </row>
    <row r="35" spans="1:13" ht="13.2">
      <c r="A35" s="7">
        <f t="shared" si="1"/>
        <v>25</v>
      </c>
      <c r="B35" s="212" t="s">
        <v>96</v>
      </c>
      <c r="C35" s="202"/>
      <c r="D35" s="202"/>
      <c r="E35" s="98">
        <f t="shared" si="2" ref="E35:M35">AVERAGE(E13:E33)</f>
        <v>623.84232854505899</v>
      </c>
      <c r="F35" s="98">
        <f t="shared" si="2"/>
        <v>472.57421813031232</v>
      </c>
      <c r="G35" s="98">
        <f t="shared" si="3" ref="G35">AVERAGE(G13:G33)</f>
        <v>322.22314090501794</v>
      </c>
      <c r="H35" s="98">
        <f t="shared" si="2"/>
        <v>179.33777137864834</v>
      </c>
      <c r="I35" s="98"/>
      <c r="J35" s="98">
        <f t="shared" si="2"/>
        <v>565.64688571428564</v>
      </c>
      <c r="K35" s="98">
        <f t="shared" si="2"/>
        <v>414.31855238095238</v>
      </c>
      <c r="L35" s="98">
        <f t="shared" si="4" ref="L35">AVERAGE(L13:L33)</f>
        <v>263.43662380952384</v>
      </c>
      <c r="M35" s="98">
        <f t="shared" si="2"/>
        <v>121.07365238095244</v>
      </c>
    </row>
    <row r="36" spans="2:13" ht="13.2">
      <c r="B36" s="30"/>
      <c r="C36" s="46"/>
      <c r="D36" s="30"/>
      <c r="E36" s="93"/>
      <c r="F36" s="93"/>
      <c r="G36" s="93"/>
      <c r="H36" s="93"/>
      <c r="I36" s="93"/>
      <c r="J36" s="93"/>
      <c r="K36" s="93"/>
      <c r="L36" s="93"/>
      <c r="M36" s="93"/>
    </row>
    <row r="37" spans="2:13" ht="13.2">
      <c r="B37" s="30"/>
      <c r="C37" s="29"/>
      <c r="D37" s="30"/>
      <c r="E37" s="95"/>
      <c r="F37" s="94"/>
      <c r="G37" s="94"/>
      <c r="H37" s="94"/>
      <c r="I37" s="94"/>
      <c r="J37" s="94"/>
      <c r="K37" s="94"/>
      <c r="L37" s="94"/>
      <c r="M37" s="94"/>
    </row>
  </sheetData>
  <mergeCells count="10">
    <mergeCell ref="E11:H11"/>
    <mergeCell ref="J11:M11"/>
    <mergeCell ref="B35:D35"/>
    <mergeCell ref="B1:M1"/>
    <mergeCell ref="B2:M2"/>
    <mergeCell ref="B3:M3"/>
    <mergeCell ref="B4:M4"/>
    <mergeCell ref="B5:M5"/>
    <mergeCell ref="B6:M6"/>
    <mergeCell ref="B8:M8"/>
  </mergeCells>
  <printOptions horizontalCentered="1"/>
  <pageMargins left="1.5" right="0.5" top="1.5" bottom="1" header="1" footer="0.5"/>
  <pageSetup orientation="portrait" scale="67" r:id="rId1"/>
  <headerFooter alignWithMargins="0">
    <oddHeader>&amp;RSchedule II-H-5.2
Page &amp;P of 37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6">
    <pageSetUpPr fitToPage="1"/>
  </sheetPr>
  <dimension ref="A1:I28"/>
  <sheetViews>
    <sheetView view="pageBreakPreview" zoomScaleNormal="100" zoomScaleSheetLayoutView="100" workbookViewId="0" topLeftCell="A1"/>
  </sheetViews>
  <sheetFormatPr defaultColWidth="9.11428571428571" defaultRowHeight="13.5"/>
  <cols>
    <col min="1" max="1" width="9.14285714285714" style="9"/>
    <col min="2" max="2" width="10" style="9" customWidth="1"/>
    <col min="3" max="3" width="10.4285714285714" style="7" customWidth="1"/>
    <col min="4" max="4" width="10.5714285714286" style="9" customWidth="1"/>
    <col min="5" max="5" width="10.7142857142857" style="9" customWidth="1"/>
    <col min="6" max="6" width="11.2857142857143" style="9" customWidth="1"/>
    <col min="7" max="7" width="9.42857142857143" style="9" bestFit="1" customWidth="1"/>
    <col min="8" max="9" width="20.4285714285714" style="9" bestFit="1" customWidth="1"/>
    <col min="10" max="16384" width="9.14285714285714" style="9"/>
  </cols>
  <sheetData>
    <row r="1" spans="1:7" s="0" customFormat="1" ht="15.6">
      <c r="A1" s="185"/>
      <c r="B1" s="200" t="str">
        <f>+RES!B1</f>
        <v xml:space="preserve">PUC DOCKET NO. </v>
      </c>
      <c r="C1" s="200"/>
      <c r="D1" s="200"/>
      <c r="E1" s="200"/>
      <c r="F1" s="200"/>
      <c r="G1" s="202"/>
    </row>
    <row r="2" spans="1:7" s="0" customFormat="1" ht="15.6">
      <c r="A2" s="185"/>
      <c r="B2" s="200" t="str">
        <f>+RES!B2</f>
        <v>ONCOR ELECTRIC DELIVERY COMPANY LLC</v>
      </c>
      <c r="C2" s="200"/>
      <c r="D2" s="200"/>
      <c r="E2" s="200"/>
      <c r="F2" s="200"/>
      <c r="G2" s="202"/>
    </row>
    <row r="3" spans="1:7" s="0" customFormat="1" ht="15.6">
      <c r="A3" s="185"/>
      <c r="B3" s="200" t="str">
        <f>+RES!B3</f>
        <v>ADJUSTED WEATHER STATION DATA</v>
      </c>
      <c r="C3" s="200"/>
      <c r="D3" s="200"/>
      <c r="E3" s="200"/>
      <c r="F3" s="200"/>
      <c r="G3" s="202"/>
    </row>
    <row r="4" spans="1:7" s="0" customFormat="1" ht="15.6">
      <c r="A4" s="185"/>
      <c r="B4" s="200" t="str">
        <f>+RES!B4</f>
        <v>FOR THE TEST YEAR ENDING DECEMBER 31, 2021</v>
      </c>
      <c r="C4" s="200"/>
      <c r="D4" s="200"/>
      <c r="E4" s="200"/>
      <c r="F4" s="200"/>
      <c r="G4" s="202"/>
    </row>
    <row r="5" spans="1:7" s="0" customFormat="1" ht="15.6">
      <c r="A5" s="185"/>
      <c r="B5" s="200"/>
      <c r="C5" s="200"/>
      <c r="D5" s="200"/>
      <c r="E5" s="200"/>
      <c r="F5" s="200"/>
      <c r="G5" s="202"/>
    </row>
    <row r="6" spans="2:7" ht="15.6">
      <c r="B6" s="200" t="str">
        <f>+RES!B6</f>
        <v>SPONSOR: D. E. NELSON</v>
      </c>
      <c r="C6" s="200"/>
      <c r="D6" s="200"/>
      <c r="E6" s="200"/>
      <c r="F6" s="200"/>
      <c r="G6" s="200"/>
    </row>
    <row r="7" spans="2:7" ht="15.6">
      <c r="B7" s="184"/>
      <c r="C7" s="184"/>
      <c r="D7" s="184"/>
      <c r="E7" s="184"/>
      <c r="F7" s="184"/>
      <c r="G7" s="184"/>
    </row>
    <row r="8" spans="2:7" ht="15.6">
      <c r="B8" s="200" t="s">
        <v>103</v>
      </c>
      <c r="C8" s="200"/>
      <c r="D8" s="200"/>
      <c r="E8" s="200"/>
      <c r="F8" s="200"/>
      <c r="G8" s="202"/>
    </row>
    <row r="9" spans="1:7" ht="15.6">
      <c r="A9" s="185" t="s">
        <v>6</v>
      </c>
      <c r="B9" s="184"/>
      <c r="C9" s="184"/>
      <c r="D9" s="184"/>
      <c r="E9" s="184"/>
      <c r="F9" s="184"/>
      <c r="G9" s="184"/>
    </row>
    <row r="10" spans="1:7" ht="13.2">
      <c r="A10" s="5" t="s">
        <v>8</v>
      </c>
      <c r="B10" s="186"/>
      <c r="C10" s="186"/>
      <c r="D10" s="186"/>
      <c r="E10" s="186"/>
      <c r="F10" s="186"/>
      <c r="G10" s="186"/>
    </row>
    <row r="11" spans="1:2" ht="13.2">
      <c r="A11" s="7">
        <v>1</v>
      </c>
      <c r="B11" s="75">
        <v>43862</v>
      </c>
    </row>
    <row r="12" spans="1:7" ht="13.2">
      <c r="A12" s="7">
        <f>+A11+1</f>
        <v>2</v>
      </c>
      <c r="B12" s="41" t="s">
        <v>117</v>
      </c>
      <c r="C12" s="187"/>
      <c r="D12" s="30"/>
      <c r="E12" s="30"/>
      <c r="F12" s="30"/>
      <c r="G12" s="30"/>
    </row>
    <row r="13" spans="1:7" ht="22.5" customHeight="1">
      <c r="A13" s="7">
        <f>+A12+1</f>
        <v>3</v>
      </c>
      <c r="B13" s="69" t="s">
        <v>49</v>
      </c>
      <c r="C13" s="47" t="s">
        <v>2</v>
      </c>
      <c r="D13" s="47" t="s">
        <v>3</v>
      </c>
      <c r="E13" s="47" t="s">
        <v>74</v>
      </c>
      <c r="F13" s="48" t="s">
        <v>75</v>
      </c>
      <c r="G13" s="48" t="s">
        <v>76</v>
      </c>
    </row>
    <row r="14" spans="1:7" ht="13.2">
      <c r="A14" s="7">
        <f t="shared" si="0" ref="A14:A28">+A13+1</f>
        <v>4</v>
      </c>
      <c r="B14" s="76" t="s">
        <v>110</v>
      </c>
      <c r="C14" s="91">
        <f t="array" ref="C14:C18">TRANSPOSE('Billed Feb 20 HDD'!K35:O35)</f>
        <v>8.4019571428571371</v>
      </c>
      <c r="D14" s="91">
        <f t="array" ref="D14:D18">TRANSPOSE('Billed Feb 20 HDD'!E35:I35)</f>
        <v>36.590047395033267</v>
      </c>
      <c r="E14" s="70">
        <f>+'Class Spline Weights'!D16</f>
        <v>0.22831000000000001</v>
      </c>
      <c r="F14" s="19">
        <f>+C14*$E14</f>
        <v>1.9182508352857131</v>
      </c>
      <c r="G14" s="19">
        <f>+D14*$E14</f>
        <v>8.3538737207600455</v>
      </c>
    </row>
    <row r="15" spans="1:7" ht="13.2">
      <c r="A15" s="7">
        <f t="shared" si="0"/>
        <v>5</v>
      </c>
      <c r="B15" s="77" t="s">
        <v>137</v>
      </c>
      <c r="C15" s="91">
        <v>35.749861904761893</v>
      </c>
      <c r="D15" s="91">
        <v>82.360853045954926</v>
      </c>
      <c r="E15" s="71">
        <f>+'Class Spline Weights'!D15</f>
        <v>0.16278999999999999</v>
      </c>
      <c r="F15" s="19">
        <f t="shared" si="1" ref="F15:F18">+C15*$E15</f>
        <v>5.819720019476188</v>
      </c>
      <c r="G15" s="19">
        <f t="shared" si="2" ref="G15:G18">+D15*$E15</f>
        <v>13.407523267351001</v>
      </c>
    </row>
    <row r="16" spans="1:7" ht="13.2">
      <c r="A16" s="7">
        <f t="shared" si="0"/>
        <v>6</v>
      </c>
      <c r="B16" s="77" t="s">
        <v>44</v>
      </c>
      <c r="C16" s="91">
        <v>198.13075714285714</v>
      </c>
      <c r="D16" s="91">
        <v>262.47428709293388</v>
      </c>
      <c r="E16" s="71">
        <f>+'Class Spline Weights'!D14</f>
        <v>0.35063</v>
      </c>
      <c r="F16" s="19">
        <f>+C16*$E16</f>
        <v>69.470587377000001</v>
      </c>
      <c r="G16" s="19">
        <f t="shared" si="2"/>
        <v>92.031359283395403</v>
      </c>
    </row>
    <row r="17" spans="1:7" ht="13.2">
      <c r="A17" s="7"/>
      <c r="B17" s="77" t="s">
        <v>45</v>
      </c>
      <c r="C17" s="91">
        <v>321.43892857142856</v>
      </c>
      <c r="D17" s="91">
        <v>386.31078439516119</v>
      </c>
      <c r="E17" s="71">
        <f>+'Class Spline Weights'!D13</f>
        <v>0.18275</v>
      </c>
      <c r="F17" s="19">
        <f t="shared" si="1"/>
        <v>58.742964196428566</v>
      </c>
      <c r="G17" s="19">
        <f t="shared" si="2"/>
        <v>70.598295848215713</v>
      </c>
    </row>
    <row r="18" spans="1:7" ht="13.2">
      <c r="A18" s="7">
        <f>+A16+1</f>
        <v>7</v>
      </c>
      <c r="B18" s="78" t="s">
        <v>14</v>
      </c>
      <c r="C18" s="92">
        <v>458.0865714285714</v>
      </c>
      <c r="D18" s="92">
        <v>524.75187874103938</v>
      </c>
      <c r="E18" s="71">
        <f>+'Class Spline Weights'!D12</f>
        <v>0.075520000000000004</v>
      </c>
      <c r="F18" s="19">
        <f t="shared" si="1"/>
        <v>34.594697874285714</v>
      </c>
      <c r="G18" s="19">
        <f t="shared" si="2"/>
        <v>39.629261882523295</v>
      </c>
    </row>
    <row r="19" spans="1:9" ht="13.2">
      <c r="A19" s="7">
        <f t="shared" si="0"/>
        <v>8</v>
      </c>
      <c r="B19" s="136" t="s">
        <v>170</v>
      </c>
      <c r="E19" s="13"/>
      <c r="F19" s="191">
        <f>ROUND(SUM(F14:F18),2)</f>
        <v>170.55000000000001</v>
      </c>
      <c r="G19" s="191">
        <f>ROUND(SUM(G14:G18),2)</f>
        <v>224.02000000000001</v>
      </c>
      <c r="H19" s="72"/>
      <c r="I19" s="72"/>
    </row>
    <row r="20" spans="1:7" ht="13.2">
      <c r="A20" s="7">
        <f t="shared" si="0"/>
        <v>9</v>
      </c>
      <c r="F20" s="72"/>
      <c r="G20" s="72"/>
    </row>
    <row r="21" spans="1:7" ht="13.2">
      <c r="A21" s="7">
        <f t="shared" si="0"/>
        <v>10</v>
      </c>
      <c r="B21" s="75">
        <v>44044</v>
      </c>
      <c r="F21" s="72"/>
      <c r="G21" s="72"/>
    </row>
    <row r="22" spans="1:7" ht="13.2">
      <c r="A22" s="7">
        <f t="shared" si="0"/>
        <v>11</v>
      </c>
      <c r="B22" s="41" t="s">
        <v>118</v>
      </c>
      <c r="C22" s="187"/>
      <c r="D22" s="143"/>
      <c r="E22" s="30"/>
      <c r="F22" s="143"/>
      <c r="G22" s="30"/>
    </row>
    <row r="23" spans="1:7" ht="22.5" customHeight="1">
      <c r="A23" s="7">
        <f t="shared" si="0"/>
        <v>12</v>
      </c>
      <c r="B23" s="69" t="s">
        <v>49</v>
      </c>
      <c r="C23" s="47" t="s">
        <v>2</v>
      </c>
      <c r="D23" s="47" t="s">
        <v>3</v>
      </c>
      <c r="E23" s="47" t="s">
        <v>74</v>
      </c>
      <c r="F23" s="48" t="s">
        <v>75</v>
      </c>
      <c r="G23" s="48" t="s">
        <v>76</v>
      </c>
    </row>
    <row r="24" spans="1:7" ht="13.2">
      <c r="A24" s="7">
        <f t="shared" si="0"/>
        <v>13</v>
      </c>
      <c r="B24" s="76" t="s">
        <v>14</v>
      </c>
      <c r="C24" s="79">
        <f t="array" ref="C24:C27">TRANSPOSE('Billed Aug 20 CDD'!J35:M35)</f>
        <v>616.77440000000001</v>
      </c>
      <c r="D24" s="79">
        <f t="array" ref="D24:D27">TRANSPOSE('Billed Aug 20 CDD'!E35:H35)</f>
        <v>627.23665468279557</v>
      </c>
      <c r="E24" s="70">
        <f>+'Class Spline Weights'!H13</f>
        <v>0.26171</v>
      </c>
      <c r="F24" s="19">
        <f>+C24*$E24</f>
        <v>161.416028224</v>
      </c>
      <c r="G24" s="19">
        <f>+D24*$E24</f>
        <v>164.15410489703442</v>
      </c>
    </row>
    <row r="25" spans="1:7" ht="13.2">
      <c r="A25" s="7">
        <f t="shared" si="0"/>
        <v>14</v>
      </c>
      <c r="B25" s="77" t="s">
        <v>16</v>
      </c>
      <c r="C25" s="79">
        <v>464.47940000000006</v>
      </c>
      <c r="D25" s="79">
        <v>475.01566972759855</v>
      </c>
      <c r="E25" s="71">
        <f>+'Class Spline Weights'!H14</f>
        <v>0.37145</v>
      </c>
      <c r="F25" s="19">
        <f t="shared" si="3" ref="F25:G27">+C25*$E25</f>
        <v>172.53087313000003</v>
      </c>
      <c r="G25" s="19">
        <f t="shared" si="3"/>
        <v>176.44457052031649</v>
      </c>
    </row>
    <row r="26" spans="1:7" ht="13.2">
      <c r="A26" s="7"/>
      <c r="B26" s="77" t="s">
        <v>18</v>
      </c>
      <c r="C26" s="79">
        <v>312.20006190476192</v>
      </c>
      <c r="D26" s="79">
        <v>323.71870440604204</v>
      </c>
      <c r="E26" s="71">
        <f>+'Class Spline Weights'!H15</f>
        <v>0.27977000000000002</v>
      </c>
      <c r="F26" s="19">
        <f t="shared" si="3"/>
        <v>87.344211319095251</v>
      </c>
      <c r="G26" s="19">
        <f t="shared" si="3"/>
        <v>90.566781931678392</v>
      </c>
    </row>
    <row r="27" spans="1:7" ht="13.2">
      <c r="A27" s="7">
        <f>+A25+1</f>
        <v>15</v>
      </c>
      <c r="B27" s="78" t="s">
        <v>132</v>
      </c>
      <c r="C27" s="80">
        <v>162.21004761904766</v>
      </c>
      <c r="D27" s="79">
        <v>179.94668935995912</v>
      </c>
      <c r="E27" s="71">
        <f>+'Class Spline Weights'!H16</f>
        <v>0.087080000000000005</v>
      </c>
      <c r="F27" s="19">
        <f t="shared" si="3"/>
        <v>14.125250946666672</v>
      </c>
      <c r="G27" s="19">
        <f t="shared" si="3"/>
        <v>15.669757709465241</v>
      </c>
    </row>
    <row r="28" spans="1:9" ht="13.2">
      <c r="A28" s="7">
        <f t="shared" si="0"/>
        <v>16</v>
      </c>
      <c r="B28" s="136" t="s">
        <v>175</v>
      </c>
      <c r="D28" s="13"/>
      <c r="E28" s="13"/>
      <c r="F28" s="191">
        <f>ROUND(SUM(F24:F27),2)</f>
        <v>435.42000000000002</v>
      </c>
      <c r="G28" s="191">
        <f>ROUND(SUM(G24:G27),2)</f>
        <v>446.83999999999998</v>
      </c>
      <c r="H28" s="72"/>
      <c r="I28" s="72"/>
    </row>
  </sheetData>
  <mergeCells count="7">
    <mergeCell ref="B8:G8"/>
    <mergeCell ref="B1:G1"/>
    <mergeCell ref="B2:G2"/>
    <mergeCell ref="B3:G3"/>
    <mergeCell ref="B4:G4"/>
    <mergeCell ref="B5:G5"/>
    <mergeCell ref="B6:G6"/>
  </mergeCells>
  <printOptions horizontalCentered="1"/>
  <pageMargins left="1.5" right="0.5" top="1.5" bottom="1" header="1" footer="0.5"/>
  <pageSetup orientation="portrait" r:id="rId1"/>
  <headerFooter alignWithMargins="0">
    <oddHeader>&amp;RSchedule II-H-5.2
Page &amp;P of 37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7">
    <pageSetUpPr fitToPage="1"/>
  </sheetPr>
  <dimension ref="A1:J28"/>
  <sheetViews>
    <sheetView showGridLines="0" view="pageBreakPreview" zoomScaleNormal="100" zoomScaleSheetLayoutView="100" workbookViewId="0" topLeftCell="A1"/>
  </sheetViews>
  <sheetFormatPr defaultColWidth="9.11428571428571" defaultRowHeight="13.5"/>
  <cols>
    <col min="1" max="1" width="9.14285714285714" style="9"/>
    <col min="2" max="2" width="10" style="9" customWidth="1"/>
    <col min="3" max="3" width="10.4285714285714" style="7" customWidth="1"/>
    <col min="4" max="4" width="10.5714285714286" style="9" customWidth="1"/>
    <col min="5" max="5" width="10.7142857142857" style="9" customWidth="1"/>
    <col min="6" max="6" width="11.2857142857143" style="9" customWidth="1"/>
    <col min="7" max="7" width="9.42857142857143" style="9" bestFit="1" customWidth="1"/>
    <col min="8" max="8" width="9.14285714285714" style="9"/>
    <col min="9" max="9" width="20.4285714285714" style="9" bestFit="1" customWidth="1"/>
    <col min="10" max="10" width="18.4285714285714" style="9" bestFit="1" customWidth="1"/>
    <col min="11" max="16384" width="9.14285714285714" style="9"/>
  </cols>
  <sheetData>
    <row r="1" spans="1:7" s="0" customFormat="1" ht="15.6">
      <c r="A1" s="1"/>
      <c r="B1" s="200" t="str">
        <f>+RES!B1</f>
        <v xml:space="preserve">PUC DOCKET NO. </v>
      </c>
      <c r="C1" s="200"/>
      <c r="D1" s="200"/>
      <c r="E1" s="200"/>
      <c r="F1" s="200"/>
      <c r="G1" s="202"/>
    </row>
    <row r="2" spans="1:7" s="0" customFormat="1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</row>
    <row r="3" spans="1:7" s="0" customFormat="1" ht="15.6">
      <c r="A3" s="1"/>
      <c r="B3" s="200" t="str">
        <f>+RES!B3</f>
        <v>ADJUSTED WEATHER STATION DATA</v>
      </c>
      <c r="C3" s="200"/>
      <c r="D3" s="200"/>
      <c r="E3" s="200"/>
      <c r="F3" s="200"/>
      <c r="G3" s="202"/>
    </row>
    <row r="4" spans="1:7" s="0" customFormat="1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</row>
    <row r="5" spans="1:7" s="0" customFormat="1" ht="15.6">
      <c r="A5" s="1"/>
      <c r="B5" s="200"/>
      <c r="C5" s="200"/>
      <c r="D5" s="200"/>
      <c r="E5" s="200"/>
      <c r="F5" s="200"/>
      <c r="G5" s="202"/>
    </row>
    <row r="6" spans="2:7" ht="15.6">
      <c r="B6" s="200" t="str">
        <f>+RES!B6</f>
        <v>SPONSOR: D. E. NELSON</v>
      </c>
      <c r="C6" s="200"/>
      <c r="D6" s="200"/>
      <c r="E6" s="200"/>
      <c r="F6" s="200"/>
      <c r="G6" s="200"/>
    </row>
    <row r="7" spans="2:7" ht="15.6">
      <c r="B7" s="4"/>
      <c r="C7" s="4"/>
      <c r="D7" s="4"/>
      <c r="E7" s="4"/>
      <c r="F7" s="4"/>
      <c r="G7" s="4"/>
    </row>
    <row r="8" spans="2:7" ht="15.6">
      <c r="B8" s="200" t="s">
        <v>103</v>
      </c>
      <c r="C8" s="200"/>
      <c r="D8" s="200"/>
      <c r="E8" s="200"/>
      <c r="F8" s="200"/>
      <c r="G8" s="202"/>
    </row>
    <row r="9" spans="1:7" ht="15.6">
      <c r="A9" s="1" t="s">
        <v>6</v>
      </c>
      <c r="B9" s="4"/>
      <c r="C9" s="4"/>
      <c r="D9" s="4"/>
      <c r="E9" s="4"/>
      <c r="F9" s="4"/>
      <c r="G9" s="4"/>
    </row>
    <row r="10" spans="1:7" ht="13.2">
      <c r="A10" s="5" t="s">
        <v>8</v>
      </c>
      <c r="B10" s="51"/>
      <c r="C10" s="51"/>
      <c r="D10" s="51"/>
      <c r="E10" s="51"/>
      <c r="F10" s="51"/>
      <c r="G10" s="51"/>
    </row>
    <row r="11" spans="1:2" ht="13.2">
      <c r="A11" s="7">
        <v>1</v>
      </c>
      <c r="B11" s="75">
        <v>44228</v>
      </c>
    </row>
    <row r="12" spans="1:7" ht="13.2">
      <c r="A12" s="7">
        <f>+A11+1</f>
        <v>2</v>
      </c>
      <c r="B12" s="41" t="s">
        <v>117</v>
      </c>
      <c r="C12" s="29"/>
      <c r="D12" s="30"/>
      <c r="E12" s="30"/>
      <c r="F12" s="30"/>
      <c r="G12" s="30"/>
    </row>
    <row r="13" spans="1:7" ht="22.5" customHeight="1">
      <c r="A13" s="7">
        <f>+A12+1</f>
        <v>3</v>
      </c>
      <c r="B13" s="69" t="s">
        <v>49</v>
      </c>
      <c r="C13" s="47" t="s">
        <v>2</v>
      </c>
      <c r="D13" s="47" t="s">
        <v>3</v>
      </c>
      <c r="E13" s="47" t="s">
        <v>74</v>
      </c>
      <c r="F13" s="48" t="s">
        <v>75</v>
      </c>
      <c r="G13" s="48" t="s">
        <v>76</v>
      </c>
    </row>
    <row r="14" spans="1:7" ht="13.2">
      <c r="A14" s="7">
        <f t="shared" si="0" ref="A14:A28">+A13+1</f>
        <v>4</v>
      </c>
      <c r="B14" s="76" t="s">
        <v>110</v>
      </c>
      <c r="C14" s="91">
        <f t="array" ref="C14:C18">TRANSPOSE('Billed Feb 21 HDD'!K35:O35)</f>
        <v>47.341880952380947</v>
      </c>
      <c r="D14" s="91">
        <f t="array" ref="D14:D18">TRANSPOSE('Billed Feb 21 HDD'!E35:I35)</f>
        <v>36.445792912826413</v>
      </c>
      <c r="E14" s="70">
        <f>+'Class Spline Weights'!D16</f>
        <v>0.22831000000000001</v>
      </c>
      <c r="F14" s="19">
        <f t="shared" si="1" ref="F14:G18">+C14*$E14</f>
        <v>10.808624840238094</v>
      </c>
      <c r="G14" s="19">
        <f t="shared" si="1"/>
        <v>8.3209389799273996</v>
      </c>
    </row>
    <row r="15" spans="1:7" ht="13.2">
      <c r="A15" s="7">
        <f t="shared" si="0"/>
        <v>5</v>
      </c>
      <c r="B15" s="77" t="s">
        <v>137</v>
      </c>
      <c r="C15" s="91">
        <v>84.127257142857133</v>
      </c>
      <c r="D15" s="91">
        <v>81.779996870199668</v>
      </c>
      <c r="E15" s="71">
        <f>+'Class Spline Weights'!D15</f>
        <v>0.16278999999999999</v>
      </c>
      <c r="F15" s="19">
        <f t="shared" si="1"/>
        <v>13.695076190285711</v>
      </c>
      <c r="G15" s="19">
        <f t="shared" si="1"/>
        <v>13.312965690499803</v>
      </c>
    </row>
    <row r="16" spans="1:7" ht="13.2">
      <c r="A16" s="7">
        <f t="shared" si="0"/>
        <v>6</v>
      </c>
      <c r="B16" s="77" t="s">
        <v>44</v>
      </c>
      <c r="C16" s="91">
        <v>271.40153333333336</v>
      </c>
      <c r="D16" s="91">
        <v>259.42263480094726</v>
      </c>
      <c r="E16" s="71">
        <f>+'Class Spline Weights'!D14</f>
        <v>0.35063</v>
      </c>
      <c r="F16" s="19">
        <f t="shared" si="1"/>
        <v>95.161519632666682</v>
      </c>
      <c r="G16" s="19">
        <f t="shared" si="1"/>
        <v>90.961358440256134</v>
      </c>
    </row>
    <row r="17" spans="1:7" ht="13.2">
      <c r="A17" s="7"/>
      <c r="B17" s="77" t="s">
        <v>45</v>
      </c>
      <c r="C17" s="91">
        <v>404.00080952380949</v>
      </c>
      <c r="D17" s="91">
        <v>380.97551984318994</v>
      </c>
      <c r="E17" s="71">
        <f>+'Class Spline Weights'!D13</f>
        <v>0.18275</v>
      </c>
      <c r="F17" s="19">
        <f t="shared" si="1"/>
        <v>73.831147940476185</v>
      </c>
      <c r="G17" s="19">
        <f t="shared" si="1"/>
        <v>69.623276251342958</v>
      </c>
    </row>
    <row r="18" spans="1:7" ht="13.2">
      <c r="A18" s="7">
        <f>+A16+1</f>
        <v>7</v>
      </c>
      <c r="B18" s="78" t="s">
        <v>14</v>
      </c>
      <c r="C18" s="92">
        <v>547.15887619047601</v>
      </c>
      <c r="D18" s="92">
        <v>516.27681480030719</v>
      </c>
      <c r="E18" s="71">
        <f>+'Class Spline Weights'!D12</f>
        <v>0.075520000000000004</v>
      </c>
      <c r="F18" s="19">
        <f t="shared" si="1"/>
        <v>41.321438329904751</v>
      </c>
      <c r="G18" s="19">
        <f t="shared" si="1"/>
        <v>38.989225053719203</v>
      </c>
    </row>
    <row r="19" spans="1:10" ht="13.2">
      <c r="A19" s="7">
        <f t="shared" si="0"/>
        <v>8</v>
      </c>
      <c r="B19" s="136" t="s">
        <v>168</v>
      </c>
      <c r="E19" s="13"/>
      <c r="F19" s="191">
        <f>ROUND(SUM(F14:F18),2)</f>
        <v>234.81999999999999</v>
      </c>
      <c r="G19" s="191">
        <f>ROUND(SUM(G14:G18),2)</f>
        <v>221.21000000000001</v>
      </c>
      <c r="I19" s="72"/>
      <c r="J19" s="72"/>
    </row>
    <row r="20" spans="1:7" ht="13.2">
      <c r="A20" s="7">
        <f t="shared" si="0"/>
        <v>9</v>
      </c>
      <c r="F20" s="72"/>
      <c r="G20" s="72"/>
    </row>
    <row r="21" spans="1:7" ht="13.2">
      <c r="A21" s="7">
        <f t="shared" si="0"/>
        <v>10</v>
      </c>
      <c r="B21" s="75">
        <v>44409</v>
      </c>
      <c r="F21" s="72"/>
      <c r="G21" s="72"/>
    </row>
    <row r="22" spans="1:7" ht="13.2">
      <c r="A22" s="7">
        <f t="shared" si="0"/>
        <v>11</v>
      </c>
      <c r="B22" s="41" t="s">
        <v>118</v>
      </c>
      <c r="C22" s="29"/>
      <c r="D22" s="143"/>
      <c r="E22" s="30"/>
      <c r="F22" s="143"/>
      <c r="G22" s="30"/>
    </row>
    <row r="23" spans="1:7" ht="22.5" customHeight="1">
      <c r="A23" s="7">
        <f t="shared" si="0"/>
        <v>12</v>
      </c>
      <c r="B23" s="69" t="s">
        <v>49</v>
      </c>
      <c r="C23" s="47" t="s">
        <v>2</v>
      </c>
      <c r="D23" s="47" t="s">
        <v>3</v>
      </c>
      <c r="E23" s="47" t="s">
        <v>74</v>
      </c>
      <c r="F23" s="48" t="s">
        <v>75</v>
      </c>
      <c r="G23" s="48" t="s">
        <v>76</v>
      </c>
    </row>
    <row r="24" spans="1:7" ht="13.2">
      <c r="A24" s="7">
        <f t="shared" si="0"/>
        <v>13</v>
      </c>
      <c r="B24" s="76" t="s">
        <v>14</v>
      </c>
      <c r="C24" s="79">
        <f t="array" ref="C24:C27">TRANSPOSE('Billed Aug 21 CDD'!J35:M35)</f>
        <v>565.64688571428564</v>
      </c>
      <c r="D24" s="79">
        <f t="array" ref="D24:D27">TRANSPOSE('Billed Aug 21 CDD'!E35:H35)</f>
        <v>623.84232854505899</v>
      </c>
      <c r="E24" s="70">
        <f>+'Class Spline Weights'!H13</f>
        <v>0.26171</v>
      </c>
      <c r="F24" s="19">
        <f>+C24*$E24</f>
        <v>148.0354464602857</v>
      </c>
      <c r="G24" s="19">
        <f>+D24*$E24</f>
        <v>163.26577580352739</v>
      </c>
    </row>
    <row r="25" spans="1:7" ht="13.2">
      <c r="A25" s="7">
        <f t="shared" si="0"/>
        <v>14</v>
      </c>
      <c r="B25" s="77" t="s">
        <v>16</v>
      </c>
      <c r="C25" s="79">
        <v>414.31855238095238</v>
      </c>
      <c r="D25" s="79">
        <v>472.57421813031232</v>
      </c>
      <c r="E25" s="71">
        <f>+'Class Spline Weights'!H14</f>
        <v>0.37145</v>
      </c>
      <c r="F25" s="19">
        <f t="shared" si="2" ref="F25:F27">+C25*$E25</f>
        <v>153.89862628190477</v>
      </c>
      <c r="G25" s="19">
        <f t="shared" si="3" ref="G25:G27">+D25*$E25</f>
        <v>175.53769332450452</v>
      </c>
    </row>
    <row r="26" spans="1:7" ht="13.2">
      <c r="A26" s="7"/>
      <c r="B26" s="77" t="s">
        <v>18</v>
      </c>
      <c r="C26" s="79">
        <v>263.43662380952384</v>
      </c>
      <c r="D26" s="79">
        <v>322.22314090501794</v>
      </c>
      <c r="E26" s="71">
        <f>+'Class Spline Weights'!H15</f>
        <v>0.27977000000000002</v>
      </c>
      <c r="F26" s="19">
        <f t="shared" si="2"/>
        <v>73.701664243190493</v>
      </c>
      <c r="G26" s="19">
        <f t="shared" si="3"/>
        <v>90.148368130996872</v>
      </c>
    </row>
    <row r="27" spans="1:7" ht="13.2">
      <c r="A27" s="7">
        <f>+A25+1</f>
        <v>15</v>
      </c>
      <c r="B27" s="78" t="s">
        <v>132</v>
      </c>
      <c r="C27" s="80">
        <v>121.07365238095244</v>
      </c>
      <c r="D27" s="79">
        <v>179.33777137864834</v>
      </c>
      <c r="E27" s="71">
        <f>+'Class Spline Weights'!H16</f>
        <v>0.087080000000000005</v>
      </c>
      <c r="F27" s="19">
        <f t="shared" si="2"/>
        <v>10.543093649333338</v>
      </c>
      <c r="G27" s="19">
        <f t="shared" si="3"/>
        <v>15.616733131652698</v>
      </c>
    </row>
    <row r="28" spans="1:10" ht="13.2">
      <c r="A28" s="7">
        <f t="shared" si="0"/>
        <v>16</v>
      </c>
      <c r="B28" s="136" t="s">
        <v>169</v>
      </c>
      <c r="D28" s="13"/>
      <c r="E28" s="13"/>
      <c r="F28" s="191">
        <f>ROUND(SUM(F24:F27),2)</f>
        <v>386.18000000000001</v>
      </c>
      <c r="G28" s="191">
        <f>ROUND(SUM(G24:G27),2)</f>
        <v>444.56999999999999</v>
      </c>
      <c r="I28" s="72"/>
      <c r="J28" s="72"/>
    </row>
  </sheetData>
  <mergeCells count="7">
    <mergeCell ref="B8:G8"/>
    <mergeCell ref="B1:G1"/>
    <mergeCell ref="B2:G2"/>
    <mergeCell ref="B3:G3"/>
    <mergeCell ref="B4:G4"/>
    <mergeCell ref="B5:G5"/>
    <mergeCell ref="B6:G6"/>
  </mergeCells>
  <printOptions horizontalCentered="1"/>
  <pageMargins left="1.5" right="0.5" top="1.5" bottom="1" header="1" footer="0.5"/>
  <pageSetup orientation="portrait" r:id="rId2"/>
  <headerFooter alignWithMargins="0">
    <oddHeader>&amp;RSchedule II-H-5.2
Page &amp;P of 37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8">
    <pageSetUpPr fitToPage="1"/>
  </sheetPr>
  <dimension ref="A1:P37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55" customWidth="1"/>
    <col min="2" max="2" width="16.8571428571429" style="55" customWidth="1"/>
    <col min="3" max="3" width="4.42857142857143" style="55" bestFit="1" customWidth="1"/>
    <col min="4" max="4" width="9.85714285714286" style="55" bestFit="1" customWidth="1"/>
    <col min="5" max="13" width="9.14285714285714" style="55"/>
    <col min="14" max="14" width="9.71428571428571" style="55" bestFit="1" customWidth="1"/>
    <col min="15" max="15" width="9.14285714285714" style="55"/>
    <col min="16" max="16" width="9.57142857142857" style="55" bestFit="1" customWidth="1"/>
    <col min="17" max="16384" width="9.14285714285714" style="55"/>
  </cols>
  <sheetData>
    <row r="1" spans="1:16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3" spans="1:16" ht="15.6">
      <c r="A3" s="1"/>
      <c r="B3" s="221" t="str">
        <f>+RES!B3</f>
        <v>ADJUSTED WEATHER STATION DATA</v>
      </c>
      <c r="C3" s="221"/>
      <c r="D3" s="221"/>
      <c r="E3" s="221"/>
      <c r="F3" s="221"/>
      <c r="G3" s="222"/>
      <c r="H3" s="222"/>
      <c r="I3" s="222"/>
      <c r="J3" s="222"/>
      <c r="K3" s="222"/>
      <c r="L3" s="222"/>
      <c r="M3" s="222"/>
      <c r="N3" s="222"/>
      <c r="O3" s="222"/>
      <c r="P3" s="222"/>
    </row>
    <row r="4" spans="1:16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6" ht="15.6">
      <c r="A5" s="1"/>
      <c r="B5" s="200"/>
      <c r="C5" s="200"/>
      <c r="D5" s="200"/>
      <c r="E5" s="200"/>
      <c r="F5" s="200"/>
      <c r="G5"/>
      <c r="H5"/>
      <c r="I5" s="66"/>
      <c r="J5" s="66"/>
      <c r="K5" s="66"/>
      <c r="L5" s="66"/>
      <c r="M5" s="66"/>
      <c r="N5" s="66"/>
      <c r="O5" s="66"/>
      <c r="P5" s="66"/>
    </row>
    <row r="6" spans="1:16" ht="15.6">
      <c r="A6" s="1"/>
      <c r="B6" s="200" t="str">
        <f>+RES!B6</f>
        <v>SPONSOR: D. E. NELSON</v>
      </c>
      <c r="C6" s="200"/>
      <c r="D6" s="200"/>
      <c r="E6" s="200"/>
      <c r="F6" s="200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16" ht="15.6">
      <c r="A7" s="1"/>
      <c r="B7" s="4"/>
      <c r="C7" s="4"/>
      <c r="D7" s="4"/>
      <c r="E7" s="4"/>
      <c r="F7" s="4"/>
      <c r="G7" s="51"/>
      <c r="H7" s="51"/>
      <c r="I7" s="66"/>
      <c r="J7" s="66"/>
      <c r="K7" s="66"/>
      <c r="L7" s="66"/>
      <c r="M7" s="66"/>
      <c r="N7" s="66"/>
      <c r="O7" s="66"/>
      <c r="P7" s="66"/>
    </row>
    <row r="8" spans="1:16" ht="15.6">
      <c r="A8" s="1"/>
      <c r="B8" s="221" t="s">
        <v>98</v>
      </c>
      <c r="C8" s="221"/>
      <c r="D8" s="221"/>
      <c r="E8" s="221"/>
      <c r="F8" s="221"/>
      <c r="G8" s="222"/>
      <c r="H8" s="222"/>
      <c r="I8" s="222"/>
      <c r="J8" s="222"/>
      <c r="K8" s="222"/>
      <c r="L8" s="222"/>
      <c r="M8" s="222"/>
      <c r="N8" s="222"/>
      <c r="O8" s="222"/>
      <c r="P8" s="222"/>
    </row>
    <row r="9" spans="1:16" ht="15.6">
      <c r="A9" s="1"/>
      <c r="B9" s="221" t="s">
        <v>104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6" ht="13.2">
      <c r="A10" s="1" t="s">
        <v>6</v>
      </c>
      <c r="B10" s="1" t="s">
        <v>9</v>
      </c>
      <c r="C10" s="1"/>
      <c r="D10" s="6" t="s">
        <v>10</v>
      </c>
      <c r="E10" s="6" t="s">
        <v>12</v>
      </c>
      <c r="F10" s="6" t="s">
        <v>11</v>
      </c>
      <c r="G10" s="6" t="s">
        <v>53</v>
      </c>
      <c r="H10" s="6" t="s">
        <v>54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64</v>
      </c>
      <c r="N10" s="6" t="s">
        <v>65</v>
      </c>
      <c r="O10" s="6" t="s">
        <v>66</v>
      </c>
      <c r="P10" s="6" t="s">
        <v>67</v>
      </c>
    </row>
    <row r="11" spans="1:16" s="60" customFormat="1" ht="13.2">
      <c r="A11" s="5" t="s">
        <v>8</v>
      </c>
      <c r="B11" s="68" t="s">
        <v>68</v>
      </c>
      <c r="C11" s="56"/>
      <c r="D11" s="57">
        <v>36892</v>
      </c>
      <c r="E11" s="58">
        <v>36923</v>
      </c>
      <c r="F11" s="58">
        <v>36951</v>
      </c>
      <c r="G11" s="58">
        <v>36982</v>
      </c>
      <c r="H11" s="58">
        <v>37012</v>
      </c>
      <c r="I11" s="58">
        <v>37043</v>
      </c>
      <c r="J11" s="58">
        <v>37073</v>
      </c>
      <c r="K11" s="58">
        <v>37104</v>
      </c>
      <c r="L11" s="58">
        <v>37135</v>
      </c>
      <c r="M11" s="58">
        <v>37165</v>
      </c>
      <c r="N11" s="58">
        <v>37196</v>
      </c>
      <c r="O11" s="58">
        <v>37226</v>
      </c>
      <c r="P11" s="59" t="s">
        <v>4</v>
      </c>
    </row>
    <row r="12" spans="1:16" ht="13.2">
      <c r="A12" s="67">
        <v>1</v>
      </c>
      <c r="B12" t="s">
        <v>33</v>
      </c>
      <c r="C12" s="61"/>
      <c r="D12" s="62">
        <f>+'[5]Res Seasonal Weights'!D11</f>
        <v>0.68709955745830409</v>
      </c>
      <c r="E12" s="62">
        <f>+'[5]Res Seasonal Weights'!E11</f>
        <v>0.68879317662772421</v>
      </c>
      <c r="F12" s="62">
        <f>+'[5]Res Seasonal Weights'!F11</f>
        <v>0.69243574270867503</v>
      </c>
      <c r="G12" s="62">
        <f>+'[5]Res Seasonal Weights'!G11</f>
        <v>0.69209896124084591</v>
      </c>
      <c r="H12" s="62">
        <f>+'[5]Res Seasonal Weights'!H11</f>
        <v>0.69628509107410452</v>
      </c>
      <c r="I12" s="62">
        <f>+'[5]Res Seasonal Weights'!I11</f>
        <v>0.70266990038451704</v>
      </c>
      <c r="J12" s="62">
        <f>+'[5]Res Seasonal Weights'!J11</f>
        <v>0.70950311320610593</v>
      </c>
      <c r="K12" s="62">
        <f>+'[5]Res Seasonal Weights'!K11</f>
        <v>0.70846859924379402</v>
      </c>
      <c r="L12" s="62">
        <f>+'[5]Res Seasonal Weights'!L11</f>
        <v>0.70636575755765663</v>
      </c>
      <c r="M12" s="62">
        <f>+'[5]Res Seasonal Weights'!M11</f>
        <v>0.7071837807275575</v>
      </c>
      <c r="N12" s="62">
        <f>+'[5]Res Seasonal Weights'!N11</f>
        <v>0.69084319154826446</v>
      </c>
      <c r="O12" s="62">
        <f>+'[5]Res Seasonal Weights'!O11</f>
        <v>0.68447854595953483</v>
      </c>
      <c r="P12" s="62">
        <f>+'[5]Res Seasonal Weights'!P11</f>
        <v>0.69872108060445393</v>
      </c>
    </row>
    <row r="13" spans="1:16" ht="13.2">
      <c r="A13" s="67">
        <f>+A12+1</f>
        <v>2</v>
      </c>
      <c r="B13" t="s">
        <v>34</v>
      </c>
      <c r="C13" s="61"/>
      <c r="D13" s="62">
        <f>+'[5]Res Seasonal Weights'!D12</f>
        <v>0.056560097983063336</v>
      </c>
      <c r="E13" s="62">
        <f>+'[5]Res Seasonal Weights'!E12</f>
        <v>0.055646288040513629</v>
      </c>
      <c r="F13" s="62">
        <f>+'[5]Res Seasonal Weights'!F12</f>
        <v>0.054814380328536819</v>
      </c>
      <c r="G13" s="62">
        <f>+'[5]Res Seasonal Weights'!G12</f>
        <v>0.056031991969160852</v>
      </c>
      <c r="H13" s="62">
        <f>+'[5]Res Seasonal Weights'!H12</f>
        <v>0.058727011311667035</v>
      </c>
      <c r="I13" s="62">
        <f>+'[5]Res Seasonal Weights'!I12</f>
        <v>0.056896674800498058</v>
      </c>
      <c r="J13" s="62">
        <f>+'[5]Res Seasonal Weights'!J12</f>
        <v>0.056319088712916465</v>
      </c>
      <c r="K13" s="62">
        <f>+'[5]Res Seasonal Weights'!K12</f>
        <v>0.054634106688539984</v>
      </c>
      <c r="L13" s="62">
        <f>+'[5]Res Seasonal Weights'!L12</f>
        <v>0.053709030799228584</v>
      </c>
      <c r="M13" s="62">
        <f>+'[5]Res Seasonal Weights'!M12</f>
        <v>0.052162172567131765</v>
      </c>
      <c r="N13" s="62">
        <f>+'[5]Res Seasonal Weights'!N12</f>
        <v>0.05765976139129747</v>
      </c>
      <c r="O13" s="62">
        <f>+'[5]Res Seasonal Weights'!O12</f>
        <v>0.058150274742451477</v>
      </c>
      <c r="P13" s="62">
        <f>+'[5]Res Seasonal Weights'!P12</f>
        <v>0.055724564885332048</v>
      </c>
    </row>
    <row r="14" spans="1:16" ht="13.2">
      <c r="A14" s="67">
        <f t="shared" si="0" ref="A14:A37">+A13+1</f>
        <v>3</v>
      </c>
      <c r="B14" t="s">
        <v>35</v>
      </c>
      <c r="C14" s="61"/>
      <c r="D14" s="62">
        <f>+'[5]Res Seasonal Weights'!D13</f>
        <v>0.029688635380729252</v>
      </c>
      <c r="E14" s="62">
        <f>+'[5]Res Seasonal Weights'!E13</f>
        <v>0.029742559256511526</v>
      </c>
      <c r="F14" s="62">
        <f>+'[5]Res Seasonal Weights'!F13</f>
        <v>0.027267064291153342</v>
      </c>
      <c r="G14" s="62">
        <f>+'[5]Res Seasonal Weights'!G13</f>
        <v>0.028030842557314101</v>
      </c>
      <c r="H14" s="62">
        <f>+'[5]Res Seasonal Weights'!H13</f>
        <v>0.026948349117155677</v>
      </c>
      <c r="I14" s="62">
        <f>+'[5]Res Seasonal Weights'!I13</f>
        <v>0.026513010400584291</v>
      </c>
      <c r="J14" s="62">
        <f>+'[5]Res Seasonal Weights'!J13</f>
        <v>0.025176696134128328</v>
      </c>
      <c r="K14" s="62">
        <f>+'[5]Res Seasonal Weights'!K13</f>
        <v>0.024758860512916411</v>
      </c>
      <c r="L14" s="62">
        <f>+'[5]Res Seasonal Weights'!L13</f>
        <v>0.025513559041871324</v>
      </c>
      <c r="M14" s="62">
        <f>+'[5]Res Seasonal Weights'!M13</f>
        <v>0.025789161615002582</v>
      </c>
      <c r="N14" s="62">
        <f>+'[5]Res Seasonal Weights'!N13</f>
        <v>0.027594337115967787</v>
      </c>
      <c r="O14" s="62">
        <f>+'[5]Res Seasonal Weights'!O13</f>
        <v>0.029824312097726846</v>
      </c>
      <c r="P14" s="62">
        <f>+'[5]Res Seasonal Weights'!P13</f>
        <v>0.026984669814763985</v>
      </c>
    </row>
    <row r="15" spans="1:16" ht="13.2">
      <c r="A15" s="67">
        <f t="shared" si="0"/>
        <v>4</v>
      </c>
      <c r="B15" t="s">
        <v>36</v>
      </c>
      <c r="C15" s="61"/>
      <c r="D15" s="62">
        <f>+'[5]Res Seasonal Weights'!D14</f>
        <v>0.014652829760031657</v>
      </c>
      <c r="E15" s="62">
        <f>+'[5]Res Seasonal Weights'!E14</f>
        <v>0.014253048954999167</v>
      </c>
      <c r="F15" s="62">
        <f>+'[5]Res Seasonal Weights'!F14</f>
        <v>0.01364382146034024</v>
      </c>
      <c r="G15" s="62">
        <f>+'[5]Res Seasonal Weights'!G14</f>
        <v>0.013241611264823308</v>
      </c>
      <c r="H15" s="62">
        <f>+'[5]Res Seasonal Weights'!H14</f>
        <v>0.012815129120119022</v>
      </c>
      <c r="I15" s="62">
        <f>+'[5]Res Seasonal Weights'!I14</f>
        <v>0.01251824158320964</v>
      </c>
      <c r="J15" s="62">
        <f>+'[5]Res Seasonal Weights'!J14</f>
        <v>0.012526363463024779</v>
      </c>
      <c r="K15" s="62">
        <f>+'[5]Res Seasonal Weights'!K14</f>
        <v>0.012298306376300028</v>
      </c>
      <c r="L15" s="62">
        <f>+'[5]Res Seasonal Weights'!L14</f>
        <v>0.011765933888038288</v>
      </c>
      <c r="M15" s="62">
        <f>+'[5]Res Seasonal Weights'!M14</f>
        <v>0.011465563828769211</v>
      </c>
      <c r="N15" s="62">
        <f>+'[5]Res Seasonal Weights'!N14</f>
        <v>0.01364483410894372</v>
      </c>
      <c r="O15" s="62">
        <f>+'[5]Res Seasonal Weights'!O14</f>
        <v>0.014608058684458566</v>
      </c>
      <c r="P15" s="62">
        <f>+'[5]Res Seasonal Weights'!P14</f>
        <v>0.013001238806215218</v>
      </c>
    </row>
    <row r="16" spans="1:16" ht="13.2">
      <c r="A16" s="67">
        <f t="shared" si="0"/>
        <v>5</v>
      </c>
      <c r="B16" t="s">
        <v>37</v>
      </c>
      <c r="C16" s="61"/>
      <c r="D16" s="62">
        <f>+'[5]Res Seasonal Weights'!D15</f>
        <v>0.02684254345315731</v>
      </c>
      <c r="E16" s="62">
        <f>+'[5]Res Seasonal Weights'!E15</f>
        <v>0.028176525031413636</v>
      </c>
      <c r="F16" s="62">
        <f>+'[5]Res Seasonal Weights'!F15</f>
        <v>0.027897599723776551</v>
      </c>
      <c r="G16" s="62">
        <f>+'[5]Res Seasonal Weights'!G15</f>
        <v>0.025985295478912849</v>
      </c>
      <c r="H16" s="62">
        <f>+'[5]Res Seasonal Weights'!H15</f>
        <v>0.023497177660918751</v>
      </c>
      <c r="I16" s="62">
        <f>+'[5]Res Seasonal Weights'!I15</f>
        <v>0.021989329320151883</v>
      </c>
      <c r="J16" s="62">
        <f>+'[5]Res Seasonal Weights'!J15</f>
        <v>0.022877951989765916</v>
      </c>
      <c r="K16" s="62">
        <f>+'[5]Res Seasonal Weights'!K15</f>
        <v>0.02350871963763956</v>
      </c>
      <c r="L16" s="62">
        <f>+'[5]Res Seasonal Weights'!L15</f>
        <v>0.023343174406235304</v>
      </c>
      <c r="M16" s="62">
        <f>+'[5]Res Seasonal Weights'!M15</f>
        <v>0.023512685737638546</v>
      </c>
      <c r="N16" s="62">
        <f>+'[5]Res Seasonal Weights'!N15</f>
        <v>0.024809273323797166</v>
      </c>
      <c r="O16" s="62">
        <f>+'[5]Res Seasonal Weights'!O15</f>
        <v>0.026864641323339884</v>
      </c>
      <c r="P16" s="62">
        <f>+'[5]Res Seasonal Weights'!P15</f>
        <v>0.024726041042534338</v>
      </c>
    </row>
    <row r="17" spans="1:16" ht="13.2">
      <c r="A17" s="67">
        <f t="shared" si="0"/>
        <v>6</v>
      </c>
      <c r="B17" t="s">
        <v>38</v>
      </c>
      <c r="C17" s="61"/>
      <c r="D17" s="62">
        <f>+'[5]Res Seasonal Weights'!D16</f>
        <v>0.052662425891111593</v>
      </c>
      <c r="E17" s="62">
        <f>+'[5]Res Seasonal Weights'!E16</f>
        <v>0.051389227199418144</v>
      </c>
      <c r="F17" s="62">
        <f>+'[5]Res Seasonal Weights'!F16</f>
        <v>0.051150749359803328</v>
      </c>
      <c r="G17" s="62">
        <f>+'[5]Res Seasonal Weights'!G16</f>
        <v>0.048580006941631677</v>
      </c>
      <c r="H17" s="62">
        <f>+'[5]Res Seasonal Weights'!H16</f>
        <v>0.046802378188919302</v>
      </c>
      <c r="I17" s="62">
        <f>+'[5]Res Seasonal Weights'!I16</f>
        <v>0.045186052321932492</v>
      </c>
      <c r="J17" s="62">
        <f>+'[5]Res Seasonal Weights'!J16</f>
        <v>0.042879855619765317</v>
      </c>
      <c r="K17" s="62">
        <f>+'[5]Res Seasonal Weights'!K16</f>
        <v>0.043488335933679276</v>
      </c>
      <c r="L17" s="62">
        <f>+'[5]Res Seasonal Weights'!L16</f>
        <v>0.044217913248564819</v>
      </c>
      <c r="M17" s="62">
        <f>+'[5]Res Seasonal Weights'!M16</f>
        <v>0.04483246857709533</v>
      </c>
      <c r="N17" s="62">
        <f>+'[5]Res Seasonal Weights'!N16</f>
        <v>0.049311388648391991</v>
      </c>
      <c r="O17" s="62">
        <f>+'[5]Res Seasonal Weights'!O16</f>
        <v>0.051220339919420287</v>
      </c>
      <c r="P17" s="62">
        <f>+'[5]Res Seasonal Weights'!P16</f>
        <v>0.047133936247013571</v>
      </c>
    </row>
    <row r="18" spans="1:16" ht="13.2">
      <c r="A18" s="67">
        <f t="shared" si="0"/>
        <v>7</v>
      </c>
      <c r="B18" t="s">
        <v>39</v>
      </c>
      <c r="C18" s="61"/>
      <c r="D18" s="62">
        <f>+'[5]Res Seasonal Weights'!D17</f>
        <v>0.03929671599059216</v>
      </c>
      <c r="E18" s="62">
        <f>+'[5]Res Seasonal Weights'!E17</f>
        <v>0.039822223331500047</v>
      </c>
      <c r="F18" s="62">
        <f>+'[5]Res Seasonal Weights'!F17</f>
        <v>0.040258222690710714</v>
      </c>
      <c r="G18" s="62">
        <f>+'[5]Res Seasonal Weights'!G17</f>
        <v>0.037574405847486288</v>
      </c>
      <c r="H18" s="62">
        <f>+'[5]Res Seasonal Weights'!H17</f>
        <v>0.0362581871743341</v>
      </c>
      <c r="I18" s="62">
        <f>+'[5]Res Seasonal Weights'!I17</f>
        <v>0.035367660594554845</v>
      </c>
      <c r="J18" s="62">
        <f>+'[5]Res Seasonal Weights'!J17</f>
        <v>0.034672013349165177</v>
      </c>
      <c r="K18" s="62">
        <f>+'[5]Res Seasonal Weights'!K17</f>
        <v>0.036065070084738221</v>
      </c>
      <c r="L18" s="62">
        <f>+'[5]Res Seasonal Weights'!L17</f>
        <v>0.036944884840855133</v>
      </c>
      <c r="M18" s="62">
        <f>+'[5]Res Seasonal Weights'!M17</f>
        <v>0.037615997065533244</v>
      </c>
      <c r="N18" s="62">
        <f>+'[5]Res Seasonal Weights'!N17</f>
        <v>0.038545253973008405</v>
      </c>
      <c r="O18" s="62">
        <f>+'[5]Res Seasonal Weights'!O17</f>
        <v>0.038611663110020018</v>
      </c>
      <c r="P18" s="62">
        <f>+'[5]Res Seasonal Weights'!P17</f>
        <v>0.037392541337876173</v>
      </c>
    </row>
    <row r="19" spans="1:16" ht="13.2">
      <c r="A19" s="67">
        <f t="shared" si="0"/>
        <v>8</v>
      </c>
      <c r="B19" t="s">
        <v>40</v>
      </c>
      <c r="C19" s="61"/>
      <c r="D19" s="62">
        <f>+'[5]Res Seasonal Weights'!D18</f>
        <v>0.020046387681705427</v>
      </c>
      <c r="E19" s="62">
        <f>+'[5]Res Seasonal Weights'!E18</f>
        <v>0.020050319529689199</v>
      </c>
      <c r="F19" s="62">
        <f>+'[5]Res Seasonal Weights'!F18</f>
        <v>0.020038561690765219</v>
      </c>
      <c r="G19" s="62">
        <f>+'[5]Res Seasonal Weights'!G18</f>
        <v>0.019308587646872134</v>
      </c>
      <c r="H19" s="62">
        <f>+'[5]Res Seasonal Weights'!H18</f>
        <v>0.018558901420992157</v>
      </c>
      <c r="I19" s="62">
        <f>+'[5]Res Seasonal Weights'!I18</f>
        <v>0.018128872067748478</v>
      </c>
      <c r="J19" s="62">
        <f>+'[5]Res Seasonal Weights'!J18</f>
        <v>0.018964083445459197</v>
      </c>
      <c r="K19" s="62">
        <f>+'[5]Res Seasonal Weights'!K18</f>
        <v>0.01932954190999615</v>
      </c>
      <c r="L19" s="62">
        <f>+'[5]Res Seasonal Weights'!L18</f>
        <v>0.018731797913441525</v>
      </c>
      <c r="M19" s="62">
        <f>+'[5]Res Seasonal Weights'!M18</f>
        <v>0.018245710519749218</v>
      </c>
      <c r="N19" s="62">
        <f>+'[5]Res Seasonal Weights'!N18</f>
        <v>0.019007636471866592</v>
      </c>
      <c r="O19" s="62">
        <f>+'[5]Res Seasonal Weights'!O18</f>
        <v>0.019733358974329127</v>
      </c>
      <c r="P19" s="62">
        <f>+'[5]Res Seasonal Weights'!P18</f>
        <v>0.01916034972467676</v>
      </c>
    </row>
    <row r="20" spans="1:16" ht="13.2">
      <c r="A20" s="67">
        <f t="shared" si="0"/>
        <v>9</v>
      </c>
      <c r="B20" t="s">
        <v>41</v>
      </c>
      <c r="C20" s="61"/>
      <c r="D20" s="62">
        <f>+'[5]Res Seasonal Weights'!D19</f>
        <v>0.038966902742706561</v>
      </c>
      <c r="E20" s="62">
        <f>+'[5]Res Seasonal Weights'!E19</f>
        <v>0.039325244534836837</v>
      </c>
      <c r="F20" s="62">
        <f>+'[5]Res Seasonal Weights'!F19</f>
        <v>0.038164761918376464</v>
      </c>
      <c r="G20" s="62">
        <f>+'[5]Res Seasonal Weights'!G19</f>
        <v>0.037615110786957902</v>
      </c>
      <c r="H20" s="62">
        <f>+'[5]Res Seasonal Weights'!H19</f>
        <v>0.036292026016826268</v>
      </c>
      <c r="I20" s="62">
        <f>+'[5]Res Seasonal Weights'!I19</f>
        <v>0.035532291909624036</v>
      </c>
      <c r="J20" s="62">
        <f>+'[5]Res Seasonal Weights'!J19</f>
        <v>0.034480560930655935</v>
      </c>
      <c r="K20" s="62">
        <f>+'[5]Res Seasonal Weights'!K19</f>
        <v>0.034571141665777787</v>
      </c>
      <c r="L20" s="62">
        <f>+'[5]Res Seasonal Weights'!L19</f>
        <v>0.03522600709376994</v>
      </c>
      <c r="M20" s="62">
        <f>+'[5]Res Seasonal Weights'!M19</f>
        <v>0.035142895089624822</v>
      </c>
      <c r="N20" s="62">
        <f>+'[5]Res Seasonal Weights'!N19</f>
        <v>0.036373317410210868</v>
      </c>
      <c r="O20" s="62">
        <f>+'[5]Res Seasonal Weights'!O19</f>
        <v>0.039022170334972094</v>
      </c>
      <c r="P20" s="62">
        <f>+'[5]Res Seasonal Weights'!P19</f>
        <v>0.036488213619787789</v>
      </c>
    </row>
    <row r="21" spans="1:16" ht="13.2">
      <c r="A21" s="67">
        <f t="shared" si="0"/>
        <v>10</v>
      </c>
      <c r="B21" t="s">
        <v>42</v>
      </c>
      <c r="C21" s="61"/>
      <c r="D21" s="63">
        <f>+'[5]Res Seasonal Weights'!D20</f>
        <v>0.034183903658598684</v>
      </c>
      <c r="E21" s="63">
        <f>+'[5]Res Seasonal Weights'!E20</f>
        <v>0.032801387493393494</v>
      </c>
      <c r="F21" s="63">
        <f>+'[5]Res Seasonal Weights'!F20</f>
        <v>0.03432909582786229</v>
      </c>
      <c r="G21" s="63">
        <f>+'[5]Res Seasonal Weights'!G20</f>
        <v>0.041533186265994948</v>
      </c>
      <c r="H21" s="63">
        <f>+'[5]Res Seasonal Weights'!H20</f>
        <v>0.043815748914963266</v>
      </c>
      <c r="I21" s="63">
        <f>+'[5]Res Seasonal Weights'!I20</f>
        <v>0.045197966617179106</v>
      </c>
      <c r="J21" s="63">
        <f>+'[5]Res Seasonal Weights'!J20</f>
        <v>0.04260027314901299</v>
      </c>
      <c r="K21" s="63">
        <f>+'[5]Res Seasonal Weights'!K20</f>
        <v>0.042877317946618553</v>
      </c>
      <c r="L21" s="63">
        <f>+'[5]Res Seasonal Weights'!L20</f>
        <v>0.044181941210338624</v>
      </c>
      <c r="M21" s="63">
        <f>+'[5]Res Seasonal Weights'!M20</f>
        <v>0.044049564271897837</v>
      </c>
      <c r="N21" s="63">
        <f>+'[5]Res Seasonal Weights'!N20</f>
        <v>0.042211006008251645</v>
      </c>
      <c r="O21" s="63">
        <f>+'[5]Res Seasonal Weights'!O20</f>
        <v>0.037486634853746897</v>
      </c>
      <c r="P21" s="63">
        <f>+'[5]Res Seasonal Weights'!P20</f>
        <v>0.040667363917346183</v>
      </c>
    </row>
    <row r="22" spans="1:16" ht="13.2">
      <c r="A22" s="67">
        <f t="shared" si="0"/>
        <v>11</v>
      </c>
      <c r="C22" s="61"/>
      <c r="D22" s="64">
        <f t="shared" si="1" ref="D22:P22">SUM(D12:D21)</f>
        <v>1</v>
      </c>
      <c r="E22" s="64">
        <f t="shared" si="1"/>
        <v>0.99999999999999989</v>
      </c>
      <c r="F22" s="64">
        <f t="shared" si="1"/>
        <v>1</v>
      </c>
      <c r="G22" s="64">
        <f t="shared" si="1"/>
        <v>1</v>
      </c>
      <c r="H22" s="64">
        <f t="shared" si="1"/>
        <v>1.0000000000000002</v>
      </c>
      <c r="I22" s="64">
        <f t="shared" si="1"/>
        <v>1</v>
      </c>
      <c r="J22" s="64">
        <f t="shared" si="1"/>
        <v>1</v>
      </c>
      <c r="K22" s="64">
        <f t="shared" si="1"/>
        <v>1</v>
      </c>
      <c r="L22" s="64">
        <f t="shared" si="1"/>
        <v>1.0000000000000002</v>
      </c>
      <c r="M22" s="64">
        <f t="shared" si="1"/>
        <v>1</v>
      </c>
      <c r="N22" s="64">
        <f t="shared" si="1"/>
        <v>1</v>
      </c>
      <c r="O22" s="64">
        <f t="shared" si="1"/>
        <v>1.0000000000000002</v>
      </c>
      <c r="P22" s="64">
        <f t="shared" si="1"/>
        <v>0.99999999999999989</v>
      </c>
    </row>
    <row r="23" spans="1:1" ht="13.2">
      <c r="A23" s="67">
        <f t="shared" si="0"/>
        <v>12</v>
      </c>
    </row>
    <row r="24" spans="1:10" ht="15.6">
      <c r="A24" s="67">
        <f t="shared" si="0"/>
        <v>13</v>
      </c>
      <c r="D24" s="218" t="s">
        <v>97</v>
      </c>
      <c r="E24" s="219"/>
      <c r="F24" s="220"/>
      <c r="G24" s="4"/>
      <c r="H24" s="4"/>
      <c r="I24" s="51"/>
      <c r="J24" s="51"/>
    </row>
    <row r="25" spans="1:6" ht="13.2">
      <c r="A25" s="67">
        <f t="shared" si="0"/>
        <v>14</v>
      </c>
      <c r="D25" s="55" t="s">
        <v>56</v>
      </c>
      <c r="F25" s="55" t="s">
        <v>57</v>
      </c>
    </row>
    <row r="26" spans="1:6" ht="13.2">
      <c r="A26" s="67">
        <f t="shared" si="0"/>
        <v>15</v>
      </c>
      <c r="B26" s="68" t="s">
        <v>68</v>
      </c>
      <c r="D26" s="99" t="s">
        <v>58</v>
      </c>
      <c r="F26" s="99" t="s">
        <v>59</v>
      </c>
    </row>
    <row r="27" spans="1:6" ht="13.2">
      <c r="A27" s="67">
        <f t="shared" si="0"/>
        <v>16</v>
      </c>
      <c r="B27" s="55" t="s">
        <v>33</v>
      </c>
      <c r="D27" s="126">
        <f>ROUND(AVERAGE(D12:F12,N12:O12),3)</f>
        <v>0.68899999999999995</v>
      </c>
      <c r="E27" s="127"/>
      <c r="F27" s="126">
        <f>ROUND(AVERAGE(H12:L12),3)</f>
        <v>0.70499999999999996</v>
      </c>
    </row>
    <row r="28" spans="1:6" ht="13.2">
      <c r="A28" s="67">
        <f t="shared" si="0"/>
        <v>17</v>
      </c>
      <c r="B28" s="55" t="s">
        <v>34</v>
      </c>
      <c r="D28" s="126">
        <f t="shared" si="2" ref="D28:D36">ROUND(AVERAGE(D13:F13,N13:O13),3)</f>
        <v>0.057000000000000002</v>
      </c>
      <c r="E28" s="127"/>
      <c r="F28" s="126">
        <f t="shared" si="3" ref="F28:F36">ROUND(AVERAGE(H13:L13),3)</f>
        <v>0.056000000000000001</v>
      </c>
    </row>
    <row r="29" spans="1:6" ht="13.2">
      <c r="A29" s="67">
        <f t="shared" si="0"/>
        <v>18</v>
      </c>
      <c r="B29" s="55" t="s">
        <v>35</v>
      </c>
      <c r="D29" s="126">
        <f t="shared" si="2"/>
        <v>0.029000000000000001</v>
      </c>
      <c r="E29" s="127"/>
      <c r="F29" s="126">
        <f t="shared" si="3"/>
        <v>0.025999999999999999</v>
      </c>
    </row>
    <row r="30" spans="1:6" ht="13.2">
      <c r="A30" s="67">
        <f t="shared" si="0"/>
        <v>19</v>
      </c>
      <c r="B30" s="55" t="s">
        <v>36</v>
      </c>
      <c r="D30" s="126">
        <f t="shared" si="2"/>
        <v>0.014</v>
      </c>
      <c r="E30" s="127"/>
      <c r="F30" s="126">
        <f t="shared" si="3"/>
        <v>0.012</v>
      </c>
    </row>
    <row r="31" spans="1:6" ht="13.2">
      <c r="A31" s="67">
        <f t="shared" si="0"/>
        <v>20</v>
      </c>
      <c r="B31" s="55" t="s">
        <v>37</v>
      </c>
      <c r="D31" s="126">
        <f t="shared" si="2"/>
        <v>0.027</v>
      </c>
      <c r="E31" s="127"/>
      <c r="F31" s="126">
        <f t="shared" si="3"/>
        <v>0.023</v>
      </c>
    </row>
    <row r="32" spans="1:6" ht="13.2">
      <c r="A32" s="67">
        <f t="shared" si="0"/>
        <v>21</v>
      </c>
      <c r="B32" s="55" t="s">
        <v>38</v>
      </c>
      <c r="D32" s="126">
        <f t="shared" si="2"/>
        <v>0.050999999999999997</v>
      </c>
      <c r="E32" s="127"/>
      <c r="F32" s="126">
        <f t="shared" si="3"/>
        <v>0.044999999999999998</v>
      </c>
    </row>
    <row r="33" spans="1:6" ht="13.2">
      <c r="A33" s="67">
        <f t="shared" si="0"/>
        <v>22</v>
      </c>
      <c r="B33" s="55" t="s">
        <v>39</v>
      </c>
      <c r="D33" s="126">
        <f t="shared" si="2"/>
        <v>0.039</v>
      </c>
      <c r="E33" s="127"/>
      <c r="F33" s="126">
        <f t="shared" si="3"/>
        <v>0.035999999999999997</v>
      </c>
    </row>
    <row r="34" spans="1:6" ht="13.2">
      <c r="A34" s="67">
        <f t="shared" si="0"/>
        <v>23</v>
      </c>
      <c r="B34" s="55" t="s">
        <v>40</v>
      </c>
      <c r="D34" s="126">
        <f t="shared" si="2"/>
        <v>0.02</v>
      </c>
      <c r="E34" s="127"/>
      <c r="F34" s="126">
        <f t="shared" si="3"/>
        <v>0.019</v>
      </c>
    </row>
    <row r="35" spans="1:6" ht="13.2">
      <c r="A35" s="67">
        <f t="shared" si="0"/>
        <v>24</v>
      </c>
      <c r="B35" s="55" t="s">
        <v>41</v>
      </c>
      <c r="D35" s="126">
        <f t="shared" si="2"/>
        <v>0.037999999999999999</v>
      </c>
      <c r="E35" s="127"/>
      <c r="F35" s="126">
        <f t="shared" si="3"/>
        <v>0.035000000000000003</v>
      </c>
    </row>
    <row r="36" spans="1:6" ht="13.2">
      <c r="A36" s="67">
        <f t="shared" si="0"/>
        <v>25</v>
      </c>
      <c r="B36" s="55" t="s">
        <v>42</v>
      </c>
      <c r="D36" s="126">
        <f t="shared" si="2"/>
        <v>0.035999999999999997</v>
      </c>
      <c r="E36" s="129"/>
      <c r="F36" s="126">
        <f t="shared" si="3"/>
        <v>0.043999999999999997</v>
      </c>
    </row>
    <row r="37" spans="1:6" ht="13.2">
      <c r="A37" s="67">
        <f t="shared" si="0"/>
        <v>26</v>
      </c>
      <c r="D37" s="65">
        <f>AVERAGE(D22:F22,N22:O22)</f>
        <v>1</v>
      </c>
      <c r="E37" s="125"/>
      <c r="F37" s="65">
        <f>AVERAGE(H22:L22)</f>
        <v>1</v>
      </c>
    </row>
  </sheetData>
  <mergeCells count="9">
    <mergeCell ref="B6:P6"/>
    <mergeCell ref="D24:F24"/>
    <mergeCell ref="B5:F5"/>
    <mergeCell ref="B1:P1"/>
    <mergeCell ref="B2:P2"/>
    <mergeCell ref="B3:P3"/>
    <mergeCell ref="B4:P4"/>
    <mergeCell ref="B9:P9"/>
    <mergeCell ref="B8:P8"/>
  </mergeCells>
  <printOptions horizontalCentered="1"/>
  <pageMargins left="1.5" right="0.5" top="1.5" bottom="1" header="1" footer="0.5"/>
  <pageSetup orientation="portrait" scale="56" r:id="rId2"/>
  <headerFooter alignWithMargins="0">
    <oddHeader>&amp;RSchedule II-H-5.2
Page &amp;P of 37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9">
    <pageSetUpPr fitToPage="1"/>
  </sheetPr>
  <dimension ref="A1:P37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55" customWidth="1"/>
    <col min="2" max="2" width="16.8571428571429" style="55" customWidth="1"/>
    <col min="3" max="3" width="4.42857142857143" style="55" bestFit="1" customWidth="1"/>
    <col min="4" max="4" width="9.85714285714286" style="55" bestFit="1" customWidth="1"/>
    <col min="5" max="13" width="9.14285714285714" style="55"/>
    <col min="14" max="14" width="9.71428571428571" style="55" bestFit="1" customWidth="1"/>
    <col min="15" max="15" width="9.14285714285714" style="55"/>
    <col min="16" max="16" width="9.57142857142857" style="55" bestFit="1" customWidth="1"/>
    <col min="17" max="16384" width="9.14285714285714" style="55"/>
  </cols>
  <sheetData>
    <row r="1" spans="1:16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3" spans="1:16" ht="15.6">
      <c r="A3" s="1"/>
      <c r="B3" s="221" t="str">
        <f>+RES!B3</f>
        <v>ADJUSTED WEATHER STATION DATA</v>
      </c>
      <c r="C3" s="221"/>
      <c r="D3" s="221"/>
      <c r="E3" s="221"/>
      <c r="F3" s="221"/>
      <c r="G3" s="222"/>
      <c r="H3" s="222"/>
      <c r="I3" s="222"/>
      <c r="J3" s="222"/>
      <c r="K3" s="222"/>
      <c r="L3" s="222"/>
      <c r="M3" s="222"/>
      <c r="N3" s="222"/>
      <c r="O3" s="222"/>
      <c r="P3" s="222"/>
    </row>
    <row r="4" spans="1:16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6" ht="15.6">
      <c r="A5" s="1"/>
      <c r="B5" s="200"/>
      <c r="C5" s="200"/>
      <c r="D5" s="200"/>
      <c r="E5" s="200"/>
      <c r="F5" s="200"/>
      <c r="G5"/>
      <c r="H5"/>
      <c r="I5" s="66"/>
      <c r="J5" s="66"/>
      <c r="K5" s="66"/>
      <c r="L5" s="66"/>
      <c r="M5" s="66"/>
      <c r="N5" s="66"/>
      <c r="O5" s="66"/>
      <c r="P5" s="66"/>
    </row>
    <row r="6" spans="1:16" ht="15.6">
      <c r="A6" s="1"/>
      <c r="B6" s="200" t="str">
        <f>+RES!B6</f>
        <v>SPONSOR: D. E. NELSON</v>
      </c>
      <c r="C6" s="200"/>
      <c r="D6" s="200"/>
      <c r="E6" s="200"/>
      <c r="F6" s="200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16" ht="15.6">
      <c r="A7" s="1"/>
      <c r="B7" s="4"/>
      <c r="C7" s="4"/>
      <c r="D7" s="4"/>
      <c r="E7" s="4"/>
      <c r="F7" s="4"/>
      <c r="G7" s="51"/>
      <c r="H7" s="51"/>
      <c r="I7" s="66"/>
      <c r="J7" s="66"/>
      <c r="K7" s="66"/>
      <c r="L7" s="66"/>
      <c r="M7" s="66"/>
      <c r="N7" s="66"/>
      <c r="O7" s="66"/>
      <c r="P7" s="66"/>
    </row>
    <row r="8" spans="1:16" ht="15.6">
      <c r="A8" s="1"/>
      <c r="B8" s="221" t="s">
        <v>98</v>
      </c>
      <c r="C8" s="221"/>
      <c r="D8" s="221"/>
      <c r="E8" s="221"/>
      <c r="F8" s="221"/>
      <c r="G8" s="222"/>
      <c r="H8" s="222"/>
      <c r="I8" s="222"/>
      <c r="J8" s="222"/>
      <c r="K8" s="222"/>
      <c r="L8" s="222"/>
      <c r="M8" s="222"/>
      <c r="N8" s="222"/>
      <c r="O8" s="222"/>
      <c r="P8" s="222"/>
    </row>
    <row r="9" spans="1:16" ht="15.6">
      <c r="A9" s="1"/>
      <c r="B9" s="221" t="s">
        <v>105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6" ht="13.2">
      <c r="A10" s="1" t="s">
        <v>6</v>
      </c>
      <c r="B10" s="1" t="s">
        <v>9</v>
      </c>
      <c r="C10" s="1"/>
      <c r="D10" s="6" t="s">
        <v>10</v>
      </c>
      <c r="E10" s="6" t="s">
        <v>12</v>
      </c>
      <c r="F10" s="6" t="s">
        <v>11</v>
      </c>
      <c r="G10" s="6" t="s">
        <v>53</v>
      </c>
      <c r="H10" s="6" t="s">
        <v>54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64</v>
      </c>
      <c r="N10" s="6" t="s">
        <v>65</v>
      </c>
      <c r="O10" s="6" t="s">
        <v>66</v>
      </c>
      <c r="P10" s="6" t="s">
        <v>67</v>
      </c>
    </row>
    <row r="11" spans="1:16" s="60" customFormat="1" ht="13.2">
      <c r="A11" s="5" t="s">
        <v>8</v>
      </c>
      <c r="B11" s="68" t="s">
        <v>68</v>
      </c>
      <c r="C11" s="56"/>
      <c r="D11" s="57">
        <v>36892</v>
      </c>
      <c r="E11" s="58">
        <v>36923</v>
      </c>
      <c r="F11" s="58">
        <v>36951</v>
      </c>
      <c r="G11" s="58">
        <v>36982</v>
      </c>
      <c r="H11" s="58">
        <v>37012</v>
      </c>
      <c r="I11" s="58">
        <v>37043</v>
      </c>
      <c r="J11" s="58">
        <v>37073</v>
      </c>
      <c r="K11" s="58">
        <v>37104</v>
      </c>
      <c r="L11" s="58">
        <v>37135</v>
      </c>
      <c r="M11" s="58">
        <v>37165</v>
      </c>
      <c r="N11" s="58">
        <v>37196</v>
      </c>
      <c r="O11" s="58">
        <v>37226</v>
      </c>
      <c r="P11" s="59" t="s">
        <v>4</v>
      </c>
    </row>
    <row r="12" spans="1:16" ht="13.2">
      <c r="A12" s="67">
        <v>1</v>
      </c>
      <c r="B12" t="s">
        <v>33</v>
      </c>
      <c r="C12" s="61"/>
      <c r="D12" s="62">
        <f>+'[6]SECLE10 Seasonal Weights'!D11</f>
        <v>0.60953940603790413</v>
      </c>
      <c r="E12" s="62">
        <f>+'[6]SECLE10 Seasonal Weights'!E11</f>
        <v>0.59423142023346343</v>
      </c>
      <c r="F12" s="62">
        <f>+'[6]SECLE10 Seasonal Weights'!F11</f>
        <v>0.59932852593351749</v>
      </c>
      <c r="G12" s="62">
        <f>+'[6]SECLE10 Seasonal Weights'!G11</f>
        <v>0.6020891463040402</v>
      </c>
      <c r="H12" s="62">
        <f>+'[6]SECLE10 Seasonal Weights'!H11</f>
        <v>0.59998678339807665</v>
      </c>
      <c r="I12" s="62">
        <f>+'[6]SECLE10 Seasonal Weights'!I11</f>
        <v>0.60037932112696835</v>
      </c>
      <c r="J12" s="62">
        <f>+'[6]SECLE10 Seasonal Weights'!J11</f>
        <v>0.59108745973168209</v>
      </c>
      <c r="K12" s="62">
        <f>+'[6]SECLE10 Seasonal Weights'!K11</f>
        <v>0.59223190235081369</v>
      </c>
      <c r="L12" s="62">
        <f>+'[6]SECLE10 Seasonal Weights'!L11</f>
        <v>0.59590093834037883</v>
      </c>
      <c r="M12" s="62">
        <f>+'[6]SECLE10 Seasonal Weights'!M11</f>
        <v>0.60699255346559122</v>
      </c>
      <c r="N12" s="62">
        <f>+'[6]SECLE10 Seasonal Weights'!N11</f>
        <v>0.6089857457974186</v>
      </c>
      <c r="O12" s="62">
        <f>+'[6]SECLE10 Seasonal Weights'!O11</f>
        <v>0.60841137060772621</v>
      </c>
      <c r="P12" s="62">
        <f>+'[6]SECLE10 Seasonal Weights'!P11</f>
        <v>0.60037359106063626</v>
      </c>
    </row>
    <row r="13" spans="1:16" ht="13.2">
      <c r="A13" s="67">
        <f>+A12+1</f>
        <v>2</v>
      </c>
      <c r="B13" t="s">
        <v>34</v>
      </c>
      <c r="C13" s="61"/>
      <c r="D13" s="62">
        <f>+'[6]SECLE10 Seasonal Weights'!D12</f>
        <v>0.114581382930998</v>
      </c>
      <c r="E13" s="62">
        <f>+'[6]SECLE10 Seasonal Weights'!E12</f>
        <v>0.13197133228328542</v>
      </c>
      <c r="F13" s="62">
        <f>+'[6]SECLE10 Seasonal Weights'!F12</f>
        <v>0.13293848077985254</v>
      </c>
      <c r="G13" s="62">
        <f>+'[6]SECLE10 Seasonal Weights'!G12</f>
        <v>0.13200133792893717</v>
      </c>
      <c r="H13" s="62">
        <f>+'[6]SECLE10 Seasonal Weights'!H12</f>
        <v>0.13229045620177715</v>
      </c>
      <c r="I13" s="62">
        <f>+'[6]SECLE10 Seasonal Weights'!I12</f>
        <v>0.12214320311227384</v>
      </c>
      <c r="J13" s="62">
        <f>+'[6]SECLE10 Seasonal Weights'!J12</f>
        <v>0.12920341226471621</v>
      </c>
      <c r="K13" s="62">
        <f>+'[6]SECLE10 Seasonal Weights'!K12</f>
        <v>0.12387507743520877</v>
      </c>
      <c r="L13" s="62">
        <f>+'[6]SECLE10 Seasonal Weights'!L12</f>
        <v>0.11808370052025663</v>
      </c>
      <c r="M13" s="62">
        <f>+'[6]SECLE10 Seasonal Weights'!M12</f>
        <v>0.11382630389289172</v>
      </c>
      <c r="N13" s="62">
        <f>+'[6]SECLE10 Seasonal Weights'!N12</f>
        <v>0.11726527762473628</v>
      </c>
      <c r="O13" s="62">
        <f>+'[6]SECLE10 Seasonal Weights'!O12</f>
        <v>0.11720358674374454</v>
      </c>
      <c r="P13" s="62">
        <f>+'[6]SECLE10 Seasonal Weights'!P12</f>
        <v>0.12362936188311112</v>
      </c>
    </row>
    <row r="14" spans="1:16" ht="13.2">
      <c r="A14" s="67">
        <f t="shared" si="0" ref="A14:A37">+A13+1</f>
        <v>3</v>
      </c>
      <c r="B14" t="s">
        <v>35</v>
      </c>
      <c r="C14" s="61"/>
      <c r="D14" s="62">
        <f>+'[6]SECLE10 Seasonal Weights'!D13</f>
        <v>0.036713346664189198</v>
      </c>
      <c r="E14" s="62">
        <f>+'[6]SECLE10 Seasonal Weights'!E13</f>
        <v>0.036716391534346998</v>
      </c>
      <c r="F14" s="62">
        <f>+'[6]SECLE10 Seasonal Weights'!F13</f>
        <v>0.034617192191707676</v>
      </c>
      <c r="G14" s="62">
        <f>+'[6]SECLE10 Seasonal Weights'!G13</f>
        <v>0.035303155413274799</v>
      </c>
      <c r="H14" s="62">
        <f>+'[6]SECLE10 Seasonal Weights'!H13</f>
        <v>0.035966962150858137</v>
      </c>
      <c r="I14" s="62">
        <f>+'[6]SECLE10 Seasonal Weights'!I13</f>
        <v>0.038726461886616666</v>
      </c>
      <c r="J14" s="62">
        <f>+'[6]SECLE10 Seasonal Weights'!J13</f>
        <v>0.038550932495423254</v>
      </c>
      <c r="K14" s="62">
        <f>+'[6]SECLE10 Seasonal Weights'!K13</f>
        <v>0.038655974016541667</v>
      </c>
      <c r="L14" s="62">
        <f>+'[6]SECLE10 Seasonal Weights'!L13</f>
        <v>0.039051533060737595</v>
      </c>
      <c r="M14" s="62">
        <f>+'[6]SECLE10 Seasonal Weights'!M13</f>
        <v>0.038054330376446198</v>
      </c>
      <c r="N14" s="62">
        <f>+'[6]SECLE10 Seasonal Weights'!N13</f>
        <v>0.035990647674965869</v>
      </c>
      <c r="O14" s="62">
        <f>+'[6]SECLE10 Seasonal Weights'!O13</f>
        <v>0.03631769329443818</v>
      </c>
      <c r="P14" s="62">
        <f>+'[6]SECLE10 Seasonal Weights'!P13</f>
        <v>0.037170030430780578</v>
      </c>
    </row>
    <row r="15" spans="1:16" ht="13.2">
      <c r="A15" s="67">
        <f t="shared" si="0"/>
        <v>4</v>
      </c>
      <c r="B15" t="s">
        <v>36</v>
      </c>
      <c r="C15" s="61"/>
      <c r="D15" s="62">
        <f>+'[6]SECLE10 Seasonal Weights'!D14</f>
        <v>0.029957457417538916</v>
      </c>
      <c r="E15" s="62">
        <f>+'[6]SECLE10 Seasonal Weights'!E14</f>
        <v>0.02925960780346535</v>
      </c>
      <c r="F15" s="62">
        <f>+'[6]SECLE10 Seasonal Weights'!F14</f>
        <v>0.028472731343882188</v>
      </c>
      <c r="G15" s="62">
        <f>+'[6]SECLE10 Seasonal Weights'!G14</f>
        <v>0.028638880833099411</v>
      </c>
      <c r="H15" s="62">
        <f>+'[6]SECLE10 Seasonal Weights'!H14</f>
        <v>0.029352258709319404</v>
      </c>
      <c r="I15" s="62">
        <f>+'[6]SECLE10 Seasonal Weights'!I14</f>
        <v>0.029471807929892496</v>
      </c>
      <c r="J15" s="62">
        <f>+'[6]SECLE10 Seasonal Weights'!J14</f>
        <v>0.030757833005009293</v>
      </c>
      <c r="K15" s="62">
        <f>+'[6]SECLE10 Seasonal Weights'!K14</f>
        <v>0.031116751463174171</v>
      </c>
      <c r="L15" s="62">
        <f>+'[6]SECLE10 Seasonal Weights'!L14</f>
        <v>0.029970718906342755</v>
      </c>
      <c r="M15" s="62">
        <f>+'[6]SECLE10 Seasonal Weights'!M14</f>
        <v>0.028523792353269593</v>
      </c>
      <c r="N15" s="62">
        <f>+'[6]SECLE10 Seasonal Weights'!N14</f>
        <v>0.029631396514847863</v>
      </c>
      <c r="O15" s="62">
        <f>+'[6]SECLE10 Seasonal Weights'!O14</f>
        <v>0.029973360629120236</v>
      </c>
      <c r="P15" s="62">
        <f>+'[6]SECLE10 Seasonal Weights'!P14</f>
        <v>0.029650474424599112</v>
      </c>
    </row>
    <row r="16" spans="1:16" ht="13.2">
      <c r="A16" s="67">
        <f t="shared" si="0"/>
        <v>5</v>
      </c>
      <c r="B16" t="s">
        <v>37</v>
      </c>
      <c r="C16" s="61"/>
      <c r="D16" s="62">
        <f>+'[6]SECLE10 Seasonal Weights'!D15</f>
        <v>0.033218801726496591</v>
      </c>
      <c r="E16" s="62">
        <f>+'[6]SECLE10 Seasonal Weights'!E15</f>
        <v>0.033547986513458375</v>
      </c>
      <c r="F16" s="62">
        <f>+'[6]SECLE10 Seasonal Weights'!F15</f>
        <v>0.032622486979954159</v>
      </c>
      <c r="G16" s="62">
        <f>+'[6]SECLE10 Seasonal Weights'!G15</f>
        <v>0.031188479585156963</v>
      </c>
      <c r="H16" s="62">
        <f>+'[6]SECLE10 Seasonal Weights'!H15</f>
        <v>0.030826125265072533</v>
      </c>
      <c r="I16" s="62">
        <f>+'[6]SECLE10 Seasonal Weights'!I15</f>
        <v>0.032127343837748984</v>
      </c>
      <c r="J16" s="62">
        <f>+'[6]SECLE10 Seasonal Weights'!J15</f>
        <v>0.033447645686353847</v>
      </c>
      <c r="K16" s="62">
        <f>+'[6]SECLE10 Seasonal Weights'!K15</f>
        <v>0.034146938598593114</v>
      </c>
      <c r="L16" s="62">
        <f>+'[6]SECLE10 Seasonal Weights'!L15</f>
        <v>0.033840870096331126</v>
      </c>
      <c r="M16" s="62">
        <f>+'[6]SECLE10 Seasonal Weights'!M15</f>
        <v>0.032450688754277958</v>
      </c>
      <c r="N16" s="62">
        <f>+'[6]SECLE10 Seasonal Weights'!N15</f>
        <v>0.031636798424881832</v>
      </c>
      <c r="O16" s="62">
        <f>+'[6]SECLE10 Seasonal Weights'!O15</f>
        <v>0.032329566958050678</v>
      </c>
      <c r="P16" s="62">
        <f>+'[6]SECLE10 Seasonal Weights'!P15</f>
        <v>0.032716090963022935</v>
      </c>
    </row>
    <row r="17" spans="1:16" ht="13.2">
      <c r="A17" s="67">
        <f t="shared" si="0"/>
        <v>6</v>
      </c>
      <c r="B17" t="s">
        <v>38</v>
      </c>
      <c r="C17" s="61"/>
      <c r="D17" s="62">
        <f>+'[6]SECLE10 Seasonal Weights'!D16</f>
        <v>0.033840665964939842</v>
      </c>
      <c r="E17" s="62">
        <f>+'[6]SECLE10 Seasonal Weights'!E16</f>
        <v>0.033122569203814442</v>
      </c>
      <c r="F17" s="62">
        <f>+'[6]SECLE10 Seasonal Weights'!F16</f>
        <v>0.032911985460753933</v>
      </c>
      <c r="G17" s="62">
        <f>+'[6]SECLE10 Seasonal Weights'!G16</f>
        <v>0.032995359112791917</v>
      </c>
      <c r="H17" s="62">
        <f>+'[6]SECLE10 Seasonal Weights'!H16</f>
        <v>0.033300036893878698</v>
      </c>
      <c r="I17" s="62">
        <f>+'[6]SECLE10 Seasonal Weights'!I16</f>
        <v>0.034121209450940049</v>
      </c>
      <c r="J17" s="62">
        <f>+'[6]SECLE10 Seasonal Weights'!J16</f>
        <v>0.033384502174515156</v>
      </c>
      <c r="K17" s="62">
        <f>+'[6]SECLE10 Seasonal Weights'!K16</f>
        <v>0.033927506584336888</v>
      </c>
      <c r="L17" s="62">
        <f>+'[6]SECLE10 Seasonal Weights'!L16</f>
        <v>0.03464140144224747</v>
      </c>
      <c r="M17" s="62">
        <f>+'[6]SECLE10 Seasonal Weights'!M16</f>
        <v>0.034439973382442556</v>
      </c>
      <c r="N17" s="62">
        <f>+'[6]SECLE10 Seasonal Weights'!N16</f>
        <v>0.034472008205746273</v>
      </c>
      <c r="O17" s="62">
        <f>+'[6]SECLE10 Seasonal Weights'!O16</f>
        <v>0.034126422792338781</v>
      </c>
      <c r="P17" s="62">
        <f>+'[6]SECLE10 Seasonal Weights'!P16</f>
        <v>0.033789270682595039</v>
      </c>
    </row>
    <row r="18" spans="1:16" ht="13.2">
      <c r="A18" s="67">
        <f t="shared" si="0"/>
        <v>7</v>
      </c>
      <c r="B18" t="s">
        <v>39</v>
      </c>
      <c r="C18" s="61"/>
      <c r="D18" s="62">
        <f>+'[6]SECLE10 Seasonal Weights'!D17</f>
        <v>0.037485930729524684</v>
      </c>
      <c r="E18" s="62">
        <f>+'[6]SECLE10 Seasonal Weights'!E17</f>
        <v>0.037241356490234592</v>
      </c>
      <c r="F18" s="62">
        <f>+'[6]SECLE10 Seasonal Weights'!F17</f>
        <v>0.037928951175391981</v>
      </c>
      <c r="G18" s="62">
        <f>+'[6]SECLE10 Seasonal Weights'!G17</f>
        <v>0.037019602505126939</v>
      </c>
      <c r="H18" s="62">
        <f>+'[6]SECLE10 Seasonal Weights'!H17</f>
        <v>0.037391153159175947</v>
      </c>
      <c r="I18" s="62">
        <f>+'[6]SECLE10 Seasonal Weights'!I17</f>
        <v>0.038489287571783999</v>
      </c>
      <c r="J18" s="62">
        <f>+'[6]SECLE10 Seasonal Weights'!J17</f>
        <v>0.038256566811930889</v>
      </c>
      <c r="K18" s="62">
        <f>+'[6]SECLE10 Seasonal Weights'!K17</f>
        <v>0.039297678614890044</v>
      </c>
      <c r="L18" s="62">
        <f>+'[6]SECLE10 Seasonal Weights'!L17</f>
        <v>0.040134919893604834</v>
      </c>
      <c r="M18" s="62">
        <f>+'[6]SECLE10 Seasonal Weights'!M17</f>
        <v>0.039714086812164283</v>
      </c>
      <c r="N18" s="62">
        <f>+'[6]SECLE10 Seasonal Weights'!N17</f>
        <v>0.038551069810065362</v>
      </c>
      <c r="O18" s="62">
        <f>+'[6]SECLE10 Seasonal Weights'!O17</f>
        <v>0.037875644263131836</v>
      </c>
      <c r="P18" s="62">
        <f>+'[6]SECLE10 Seasonal Weights'!P17</f>
        <v>0.03833829770776577</v>
      </c>
    </row>
    <row r="19" spans="1:16" ht="13.2">
      <c r="A19" s="67">
        <f t="shared" si="0"/>
        <v>8</v>
      </c>
      <c r="B19" t="s">
        <v>40</v>
      </c>
      <c r="C19" s="61"/>
      <c r="D19" s="62">
        <f>+'[6]SECLE10 Seasonal Weights'!D18</f>
        <v>0.026890516748308984</v>
      </c>
      <c r="E19" s="62">
        <f>+'[6]SECLE10 Seasonal Weights'!E18</f>
        <v>0.02634850954968784</v>
      </c>
      <c r="F19" s="62">
        <f>+'[6]SECLE10 Seasonal Weights'!F18</f>
        <v>0.026137523606867663</v>
      </c>
      <c r="G19" s="62">
        <f>+'[6]SECLE10 Seasonal Weights'!G18</f>
        <v>0.025726933247934482</v>
      </c>
      <c r="H19" s="62">
        <f>+'[6]SECLE10 Seasonal Weights'!H18</f>
        <v>0.025561565329714441</v>
      </c>
      <c r="I19" s="62">
        <f>+'[6]SECLE10 Seasonal Weights'!I18</f>
        <v>0.025771813882141115</v>
      </c>
      <c r="J19" s="62">
        <f>+'[6]SECLE10 Seasonal Weights'!J18</f>
        <v>0.026368460146406956</v>
      </c>
      <c r="K19" s="62">
        <f>+'[6]SECLE10 Seasonal Weights'!K18</f>
        <v>0.02670148542019431</v>
      </c>
      <c r="L19" s="62">
        <f>+'[6]SECLE10 Seasonal Weights'!L18</f>
        <v>0.026380912952055</v>
      </c>
      <c r="M19" s="62">
        <f>+'[6]SECLE10 Seasonal Weights'!M18</f>
        <v>0.025649780687400692</v>
      </c>
      <c r="N19" s="62">
        <f>+'[6]SECLE10 Seasonal Weights'!N18</f>
        <v>0.025611605509181307</v>
      </c>
      <c r="O19" s="62">
        <f>+'[6]SECLE10 Seasonal Weights'!O18</f>
        <v>0.02617654776661844</v>
      </c>
      <c r="P19" s="62">
        <f>+'[6]SECLE10 Seasonal Weights'!P18</f>
        <v>0.026145269150333186</v>
      </c>
    </row>
    <row r="20" spans="1:16" ht="13.2">
      <c r="A20" s="67">
        <f t="shared" si="0"/>
        <v>9</v>
      </c>
      <c r="B20" t="s">
        <v>41</v>
      </c>
      <c r="C20" s="61"/>
      <c r="D20" s="62">
        <f>+'[6]SECLE10 Seasonal Weights'!D19</f>
        <v>0.043330200539240998</v>
      </c>
      <c r="E20" s="62">
        <f>+'[6]SECLE10 Seasonal Weights'!E19</f>
        <v>0.043711485849427523</v>
      </c>
      <c r="F20" s="62">
        <f>+'[6]SECLE10 Seasonal Weights'!F19</f>
        <v>0.042054132359818058</v>
      </c>
      <c r="G20" s="62">
        <f>+'[6]SECLE10 Seasonal Weights'!G19</f>
        <v>0.041448919488800688</v>
      </c>
      <c r="H20" s="62">
        <f>+'[6]SECLE10 Seasonal Weights'!H19</f>
        <v>0.041557382740771538</v>
      </c>
      <c r="I20" s="62">
        <f>+'[6]SECLE10 Seasonal Weights'!I19</f>
        <v>0.044453719086128829</v>
      </c>
      <c r="J20" s="62">
        <f>+'[6]SECLE10 Seasonal Weights'!J19</f>
        <v>0.045476404714919184</v>
      </c>
      <c r="K20" s="62">
        <f>+'[6]SECLE10 Seasonal Weights'!K19</f>
        <v>0.046203534786910139</v>
      </c>
      <c r="L20" s="62">
        <f>+'[6]SECLE10 Seasonal Weights'!L19</f>
        <v>0.046955516984599689</v>
      </c>
      <c r="M20" s="62">
        <f>+'[6]SECLE10 Seasonal Weights'!M19</f>
        <v>0.045120442417632745</v>
      </c>
      <c r="N20" s="62">
        <f>+'[6]SECLE10 Seasonal Weights'!N19</f>
        <v>0.042293629649458583</v>
      </c>
      <c r="O20" s="62">
        <f>+'[6]SECLE10 Seasonal Weights'!O19</f>
        <v>0.042654705626473652</v>
      </c>
      <c r="P20" s="62">
        <f>+'[6]SECLE10 Seasonal Weights'!P19</f>
        <v>0.043940015038750675</v>
      </c>
    </row>
    <row r="21" spans="1:16" ht="13.2">
      <c r="A21" s="67">
        <f t="shared" si="0"/>
        <v>10</v>
      </c>
      <c r="B21" t="s">
        <v>42</v>
      </c>
      <c r="C21" s="61"/>
      <c r="D21" s="62">
        <f>+'[6]SECLE10 Seasonal Weights'!D20</f>
        <v>0.034442291240858611</v>
      </c>
      <c r="E21" s="62">
        <f>+'[6]SECLE10 Seasonal Weights'!E20</f>
        <v>0.033849340538815977</v>
      </c>
      <c r="F21" s="62">
        <f>+'[6]SECLE10 Seasonal Weights'!F20</f>
        <v>0.03298799016825428</v>
      </c>
      <c r="G21" s="62">
        <f>+'[6]SECLE10 Seasonal Weights'!G20</f>
        <v>0.033588185580837267</v>
      </c>
      <c r="H21" s="62">
        <f>+'[6]SECLE10 Seasonal Weights'!H20</f>
        <v>0.033767276151355489</v>
      </c>
      <c r="I21" s="62">
        <f>+'[6]SECLE10 Seasonal Weights'!I20</f>
        <v>0.034315832115505776</v>
      </c>
      <c r="J21" s="62">
        <f>+'[6]SECLE10 Seasonal Weights'!J20</f>
        <v>0.033466782969043193</v>
      </c>
      <c r="K21" s="62">
        <f>+'[6]SECLE10 Seasonal Weights'!K20</f>
        <v>0.033843150729337169</v>
      </c>
      <c r="L21" s="62">
        <f>+'[6]SECLE10 Seasonal Weights'!L20</f>
        <v>0.035039487803446005</v>
      </c>
      <c r="M21" s="62">
        <f>+'[6]SECLE10 Seasonal Weights'!M20</f>
        <v>0.035228047857883235</v>
      </c>
      <c r="N21" s="62">
        <f>+'[6]SECLE10 Seasonal Weights'!N20</f>
        <v>0.035561820788697768</v>
      </c>
      <c r="O21" s="62">
        <f>+'[6]SECLE10 Seasonal Weights'!O20</f>
        <v>0.03493110131835743</v>
      </c>
      <c r="P21" s="62">
        <f>+'[6]SECLE10 Seasonal Weights'!P20</f>
        <v>0.034247598658405452</v>
      </c>
    </row>
    <row r="22" spans="1:16" ht="13.2">
      <c r="A22" s="67">
        <f t="shared" si="0"/>
        <v>11</v>
      </c>
      <c r="C22" s="61"/>
      <c r="D22" s="123">
        <f t="shared" si="1" ref="D22:P22">SUM(D12:D21)</f>
        <v>1</v>
      </c>
      <c r="E22" s="123">
        <f t="shared" si="1"/>
        <v>0.99999999999999989</v>
      </c>
      <c r="F22" s="123">
        <f t="shared" si="1"/>
        <v>0.99999999999999989</v>
      </c>
      <c r="G22" s="123">
        <f t="shared" si="1"/>
        <v>0.99999999999999989</v>
      </c>
      <c r="H22" s="123">
        <f t="shared" si="1"/>
        <v>1.0000000000000002</v>
      </c>
      <c r="I22" s="123">
        <f t="shared" si="1"/>
        <v>1</v>
      </c>
      <c r="J22" s="123">
        <f t="shared" si="1"/>
        <v>1.0000000000000002</v>
      </c>
      <c r="K22" s="123">
        <f t="shared" si="1"/>
        <v>0.99999999999999989</v>
      </c>
      <c r="L22" s="123">
        <f t="shared" si="1"/>
        <v>0.99999999999999989</v>
      </c>
      <c r="M22" s="123">
        <f t="shared" si="1"/>
        <v>1.0000000000000002</v>
      </c>
      <c r="N22" s="123">
        <f t="shared" si="1"/>
        <v>0.99999999999999967</v>
      </c>
      <c r="O22" s="123">
        <f t="shared" si="1"/>
        <v>1.0000000000000002</v>
      </c>
      <c r="P22" s="123">
        <f t="shared" si="1"/>
        <v>1.0000000000000002</v>
      </c>
    </row>
    <row r="23" spans="1:1" ht="13.2">
      <c r="A23" s="67">
        <f t="shared" si="0"/>
        <v>12</v>
      </c>
    </row>
    <row r="24" spans="1:10" ht="15.6">
      <c r="A24" s="67">
        <f t="shared" si="0"/>
        <v>13</v>
      </c>
      <c r="D24" s="218" t="s">
        <v>97</v>
      </c>
      <c r="E24" s="219"/>
      <c r="F24" s="220"/>
      <c r="G24" s="4"/>
      <c r="H24" s="4"/>
      <c r="I24" s="51"/>
      <c r="J24" s="51"/>
    </row>
    <row r="25" spans="1:6" ht="13.2">
      <c r="A25" s="67">
        <f t="shared" si="0"/>
        <v>14</v>
      </c>
      <c r="D25" s="55" t="s">
        <v>56</v>
      </c>
      <c r="F25" s="55" t="s">
        <v>57</v>
      </c>
    </row>
    <row r="26" spans="1:6" ht="13.2">
      <c r="A26" s="67">
        <f t="shared" si="0"/>
        <v>15</v>
      </c>
      <c r="B26" s="68" t="s">
        <v>68</v>
      </c>
      <c r="D26" s="99" t="s">
        <v>58</v>
      </c>
      <c r="F26" s="99" t="s">
        <v>59</v>
      </c>
    </row>
    <row r="27" spans="1:6" ht="13.2">
      <c r="A27" s="67">
        <f t="shared" si="0"/>
        <v>16</v>
      </c>
      <c r="B27" s="55" t="s">
        <v>33</v>
      </c>
      <c r="D27" s="126">
        <f>ROUND(AVERAGE(D12:F12,N12:O12),3)</f>
        <v>0.60399999999999998</v>
      </c>
      <c r="E27" s="127"/>
      <c r="F27" s="126">
        <f>ROUND(AVERAGE(H12:L12),3)</f>
        <v>0.59599999999999997</v>
      </c>
    </row>
    <row r="28" spans="1:6" ht="13.2">
      <c r="A28" s="67">
        <f t="shared" si="0"/>
        <v>17</v>
      </c>
      <c r="B28" s="55" t="s">
        <v>34</v>
      </c>
      <c r="D28" s="126">
        <f t="shared" si="2" ref="D28:D36">ROUND(AVERAGE(D13:F13,N13:O13),3)</f>
        <v>0.123</v>
      </c>
      <c r="E28" s="127"/>
      <c r="F28" s="126">
        <f t="shared" si="3" ref="F28:F36">ROUND(AVERAGE(H13:L13),3)</f>
        <v>0.125</v>
      </c>
    </row>
    <row r="29" spans="1:6" ht="13.2">
      <c r="A29" s="67">
        <f t="shared" si="0"/>
        <v>18</v>
      </c>
      <c r="B29" s="55" t="s">
        <v>35</v>
      </c>
      <c r="D29" s="126">
        <f t="shared" si="2"/>
        <v>0.035999999999999997</v>
      </c>
      <c r="E29" s="127"/>
      <c r="F29" s="126">
        <f t="shared" si="3"/>
        <v>0.037999999999999999</v>
      </c>
    </row>
    <row r="30" spans="1:6" ht="13.2">
      <c r="A30" s="67">
        <f t="shared" si="0"/>
        <v>19</v>
      </c>
      <c r="B30" s="55" t="s">
        <v>36</v>
      </c>
      <c r="D30" s="126">
        <f t="shared" si="2"/>
        <v>0.029000000000000001</v>
      </c>
      <c r="E30" s="127"/>
      <c r="F30" s="126">
        <f t="shared" si="3"/>
        <v>0.029999999999999999</v>
      </c>
    </row>
    <row r="31" spans="1:6" ht="13.2">
      <c r="A31" s="67">
        <f t="shared" si="0"/>
        <v>20</v>
      </c>
      <c r="B31" s="55" t="s">
        <v>37</v>
      </c>
      <c r="D31" s="126">
        <f t="shared" si="2"/>
        <v>0.033000000000000002</v>
      </c>
      <c r="E31" s="127"/>
      <c r="F31" s="126">
        <f t="shared" si="3"/>
        <v>0.033000000000000002</v>
      </c>
    </row>
    <row r="32" spans="1:6" ht="13.2">
      <c r="A32" s="67">
        <f t="shared" si="0"/>
        <v>21</v>
      </c>
      <c r="B32" s="55" t="s">
        <v>38</v>
      </c>
      <c r="D32" s="126">
        <f t="shared" si="2"/>
        <v>0.034000000000000002</v>
      </c>
      <c r="E32" s="127"/>
      <c r="F32" s="126">
        <f t="shared" si="3"/>
        <v>0.034000000000000002</v>
      </c>
    </row>
    <row r="33" spans="1:6" ht="13.2">
      <c r="A33" s="67">
        <f t="shared" si="0"/>
        <v>22</v>
      </c>
      <c r="B33" s="55" t="s">
        <v>39</v>
      </c>
      <c r="D33" s="126">
        <f t="shared" si="2"/>
        <v>0.037999999999999999</v>
      </c>
      <c r="E33" s="127"/>
      <c r="F33" s="126">
        <f t="shared" si="3"/>
        <v>0.039</v>
      </c>
    </row>
    <row r="34" spans="1:6" ht="13.2">
      <c r="A34" s="67">
        <f t="shared" si="0"/>
        <v>23</v>
      </c>
      <c r="B34" s="55" t="s">
        <v>40</v>
      </c>
      <c r="D34" s="126">
        <f t="shared" si="2"/>
        <v>0.025999999999999999</v>
      </c>
      <c r="E34" s="127"/>
      <c r="F34" s="126">
        <f t="shared" si="3"/>
        <v>0.025999999999999999</v>
      </c>
    </row>
    <row r="35" spans="1:6" ht="13.2">
      <c r="A35" s="67">
        <f t="shared" si="0"/>
        <v>24</v>
      </c>
      <c r="B35" s="55" t="s">
        <v>41</v>
      </c>
      <c r="D35" s="126">
        <f t="shared" si="2"/>
        <v>0.042999999999999997</v>
      </c>
      <c r="E35" s="127"/>
      <c r="F35" s="126">
        <f t="shared" si="3"/>
        <v>0.044999999999999998</v>
      </c>
    </row>
    <row r="36" spans="1:6" ht="13.2">
      <c r="A36" s="67">
        <f t="shared" si="0"/>
        <v>25</v>
      </c>
      <c r="B36" s="55" t="s">
        <v>42</v>
      </c>
      <c r="D36" s="126">
        <f t="shared" si="2"/>
        <v>0.034000000000000002</v>
      </c>
      <c r="E36" s="128"/>
      <c r="F36" s="126">
        <f t="shared" si="3"/>
        <v>0.034000000000000002</v>
      </c>
    </row>
    <row r="37" spans="1:6" ht="13.2">
      <c r="A37" s="67">
        <f t="shared" si="0"/>
        <v>26</v>
      </c>
      <c r="D37" s="124">
        <f>AVERAGE(D22:F22,N22:O22)</f>
        <v>1</v>
      </c>
      <c r="E37" s="125"/>
      <c r="F37" s="124">
        <f>AVERAGE(H22:L22)</f>
        <v>1</v>
      </c>
    </row>
  </sheetData>
  <mergeCells count="9">
    <mergeCell ref="B9:P9"/>
    <mergeCell ref="D24:F24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1.5" right="0.5" top="1.5" bottom="1" header="1" footer="0.5"/>
  <pageSetup orientation="portrait" scale="56" r:id="rId2"/>
  <headerFooter alignWithMargins="0">
    <oddHeader>&amp;RSchedule II-H-5.2
Page &amp;P of 37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0">
    <pageSetUpPr fitToPage="1"/>
  </sheetPr>
  <dimension ref="A1:P37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55" customWidth="1"/>
    <col min="2" max="2" width="16.8571428571429" style="55" customWidth="1"/>
    <col min="3" max="3" width="4.42857142857143" style="55" bestFit="1" customWidth="1"/>
    <col min="4" max="4" width="9.85714285714286" style="55" bestFit="1" customWidth="1"/>
    <col min="5" max="13" width="9.14285714285714" style="55"/>
    <col min="14" max="14" width="9.71428571428571" style="55" bestFit="1" customWidth="1"/>
    <col min="15" max="15" width="9.14285714285714" style="55"/>
    <col min="16" max="16" width="9.57142857142857" style="55" bestFit="1" customWidth="1"/>
    <col min="17" max="16384" width="9.14285714285714" style="55"/>
  </cols>
  <sheetData>
    <row r="1" spans="1:16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3" spans="1:16" ht="15.6">
      <c r="A3" s="1"/>
      <c r="B3" s="221" t="str">
        <f>+RES!B3</f>
        <v>ADJUSTED WEATHER STATION DATA</v>
      </c>
      <c r="C3" s="221"/>
      <c r="D3" s="221"/>
      <c r="E3" s="221"/>
      <c r="F3" s="221"/>
      <c r="G3" s="222"/>
      <c r="H3" s="222"/>
      <c r="I3" s="222"/>
      <c r="J3" s="222"/>
      <c r="K3" s="222"/>
      <c r="L3" s="222"/>
      <c r="M3" s="222"/>
      <c r="N3" s="222"/>
      <c r="O3" s="222"/>
      <c r="P3" s="222"/>
    </row>
    <row r="4" spans="1:16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6" ht="15.6">
      <c r="A5" s="1"/>
      <c r="B5" s="200"/>
      <c r="C5" s="200"/>
      <c r="D5" s="200"/>
      <c r="E5" s="200"/>
      <c r="F5" s="200"/>
      <c r="G5"/>
      <c r="H5"/>
      <c r="I5" s="66"/>
      <c r="J5" s="66"/>
      <c r="K5" s="66"/>
      <c r="L5" s="66"/>
      <c r="M5" s="66"/>
      <c r="N5" s="66"/>
      <c r="O5" s="66"/>
      <c r="P5" s="66"/>
    </row>
    <row r="6" spans="1:16" ht="15.6">
      <c r="A6" s="1"/>
      <c r="B6" s="200" t="str">
        <f>+RES!B6</f>
        <v>SPONSOR: D. E. NELSON</v>
      </c>
      <c r="C6" s="200"/>
      <c r="D6" s="200"/>
      <c r="E6" s="200"/>
      <c r="F6" s="200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16" ht="15.6">
      <c r="A7" s="1"/>
      <c r="B7" s="4"/>
      <c r="C7" s="4"/>
      <c r="D7" s="4"/>
      <c r="E7" s="4"/>
      <c r="F7" s="4"/>
      <c r="G7" s="51"/>
      <c r="H7" s="51"/>
      <c r="I7" s="66"/>
      <c r="J7" s="66"/>
      <c r="K7" s="66"/>
      <c r="L7" s="66"/>
      <c r="M7" s="66"/>
      <c r="N7" s="66"/>
      <c r="O7" s="66"/>
      <c r="P7" s="66"/>
    </row>
    <row r="8" spans="1:16" ht="15.6">
      <c r="A8" s="1"/>
      <c r="B8" s="221" t="s">
        <v>98</v>
      </c>
      <c r="C8" s="221"/>
      <c r="D8" s="221"/>
      <c r="E8" s="221"/>
      <c r="F8" s="221"/>
      <c r="G8" s="222"/>
      <c r="H8" s="222"/>
      <c r="I8" s="222"/>
      <c r="J8" s="222"/>
      <c r="K8" s="222"/>
      <c r="L8" s="222"/>
      <c r="M8" s="222"/>
      <c r="N8" s="222"/>
      <c r="O8" s="222"/>
      <c r="P8" s="222"/>
    </row>
    <row r="9" spans="1:16" ht="15.6">
      <c r="A9" s="1"/>
      <c r="B9" s="221" t="s">
        <v>106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6" ht="13.2">
      <c r="A10" s="1" t="s">
        <v>6</v>
      </c>
      <c r="B10" s="1" t="s">
        <v>9</v>
      </c>
      <c r="C10" s="1"/>
      <c r="D10" s="6" t="s">
        <v>10</v>
      </c>
      <c r="E10" s="6" t="s">
        <v>12</v>
      </c>
      <c r="F10" s="6" t="s">
        <v>11</v>
      </c>
      <c r="G10" s="6" t="s">
        <v>53</v>
      </c>
      <c r="H10" s="6" t="s">
        <v>54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64</v>
      </c>
      <c r="N10" s="6" t="s">
        <v>65</v>
      </c>
      <c r="O10" s="6" t="s">
        <v>66</v>
      </c>
      <c r="P10" s="6" t="s">
        <v>67</v>
      </c>
    </row>
    <row r="11" spans="1:16" s="60" customFormat="1" ht="13.2">
      <c r="A11" s="5" t="s">
        <v>8</v>
      </c>
      <c r="B11" s="68" t="s">
        <v>68</v>
      </c>
      <c r="C11" s="56"/>
      <c r="D11" s="57">
        <v>36892</v>
      </c>
      <c r="E11" s="58">
        <v>36923</v>
      </c>
      <c r="F11" s="58">
        <v>36951</v>
      </c>
      <c r="G11" s="58">
        <v>36982</v>
      </c>
      <c r="H11" s="58">
        <v>37012</v>
      </c>
      <c r="I11" s="58">
        <v>37043</v>
      </c>
      <c r="J11" s="58">
        <v>37073</v>
      </c>
      <c r="K11" s="58">
        <v>37104</v>
      </c>
      <c r="L11" s="58">
        <v>37135</v>
      </c>
      <c r="M11" s="58">
        <v>37165</v>
      </c>
      <c r="N11" s="58">
        <v>37196</v>
      </c>
      <c r="O11" s="58">
        <v>37226</v>
      </c>
      <c r="P11" s="59" t="s">
        <v>4</v>
      </c>
    </row>
    <row r="12" spans="1:16" ht="13.2">
      <c r="A12" s="67">
        <v>1</v>
      </c>
      <c r="B12" t="s">
        <v>33</v>
      </c>
      <c r="C12" s="61"/>
      <c r="D12" s="62">
        <f>+'[7]SECGT10 Seasonal Weights'!D11</f>
        <v>0.7455269057393189</v>
      </c>
      <c r="E12" s="62">
        <f>+'[7]SECGT10 Seasonal Weights'!E11</f>
        <v>0.74153344798441601</v>
      </c>
      <c r="F12" s="62">
        <f>+'[7]SECGT10 Seasonal Weights'!F11</f>
        <v>0.74096418132649811</v>
      </c>
      <c r="G12" s="62">
        <f>+'[7]SECGT10 Seasonal Weights'!G11</f>
        <v>0.74302555978201812</v>
      </c>
      <c r="H12" s="62">
        <f>+'[7]SECGT10 Seasonal Weights'!H11</f>
        <v>0.73915396756081175</v>
      </c>
      <c r="I12" s="62">
        <f>+'[7]SECGT10 Seasonal Weights'!I11</f>
        <v>0.73998801003509118</v>
      </c>
      <c r="J12" s="62">
        <f>+'[7]SECGT10 Seasonal Weights'!J11</f>
        <v>0.74219827999817478</v>
      </c>
      <c r="K12" s="62">
        <f>+'[7]SECGT10 Seasonal Weights'!K11</f>
        <v>0.74106369295742924</v>
      </c>
      <c r="L12" s="62">
        <f>+'[7]SECGT10 Seasonal Weights'!L11</f>
        <v>0.73973684926460626</v>
      </c>
      <c r="M12" s="62">
        <f>+'[7]SECGT10 Seasonal Weights'!M11</f>
        <v>0.74386641960126454</v>
      </c>
      <c r="N12" s="62">
        <f>+'[7]SECGT10 Seasonal Weights'!N11</f>
        <v>0.74005254513814112</v>
      </c>
      <c r="O12" s="62">
        <f>+'[7]SECGT10 Seasonal Weights'!O11</f>
        <v>0.73930777675350245</v>
      </c>
      <c r="P12" s="62">
        <f>+'[7]SECGT10 Seasonal Weights'!P11</f>
        <v>0.7413642396818545</v>
      </c>
    </row>
    <row r="13" spans="1:16" ht="13.2">
      <c r="A13" s="67">
        <f>+A12+1</f>
        <v>2</v>
      </c>
      <c r="B13" t="s">
        <v>34</v>
      </c>
      <c r="C13" s="61"/>
      <c r="D13" s="62">
        <f>+'[7]SECGT10 Seasonal Weights'!D12</f>
        <v>0.066043750747831823</v>
      </c>
      <c r="E13" s="62">
        <f>+'[7]SECGT10 Seasonal Weights'!E12</f>
        <v>0.066793449792545811</v>
      </c>
      <c r="F13" s="62">
        <f>+'[7]SECGT10 Seasonal Weights'!F12</f>
        <v>0.068866566913886956</v>
      </c>
      <c r="G13" s="62">
        <f>+'[7]SECGT10 Seasonal Weights'!G12</f>
        <v>0.066298382799979738</v>
      </c>
      <c r="H13" s="62">
        <f>+'[7]SECGT10 Seasonal Weights'!H12</f>
        <v>0.068585498055469596</v>
      </c>
      <c r="I13" s="62">
        <f>+'[7]SECGT10 Seasonal Weights'!I12</f>
        <v>0.064345196745622418</v>
      </c>
      <c r="J13" s="62">
        <f>+'[7]SECGT10 Seasonal Weights'!J12</f>
        <v>0.064017833997688761</v>
      </c>
      <c r="K13" s="62">
        <f>+'[7]SECGT10 Seasonal Weights'!K12</f>
        <v>0.064223838554646043</v>
      </c>
      <c r="L13" s="62">
        <f>+'[7]SECGT10 Seasonal Weights'!L12</f>
        <v>0.062585187514207483</v>
      </c>
      <c r="M13" s="62">
        <f>+'[7]SECGT10 Seasonal Weights'!M12</f>
        <v>0.061505553531803682</v>
      </c>
      <c r="N13" s="62">
        <f>+'[7]SECGT10 Seasonal Weights'!N12</f>
        <v>0.066744180120871369</v>
      </c>
      <c r="O13" s="62">
        <f>+'[7]SECGT10 Seasonal Weights'!O12</f>
        <v>0.070250931869801844</v>
      </c>
      <c r="P13" s="62">
        <f>+'[7]SECGT10 Seasonal Weights'!P12</f>
        <v>0.065594631762105851</v>
      </c>
    </row>
    <row r="14" spans="1:16" ht="13.2">
      <c r="A14" s="67">
        <f t="shared" si="0" ref="A14:A37">+A13+1</f>
        <v>3</v>
      </c>
      <c r="B14" t="s">
        <v>35</v>
      </c>
      <c r="C14" s="61"/>
      <c r="D14" s="62">
        <f>+'[7]SECGT10 Seasonal Weights'!D13</f>
        <v>0.023953033601391626</v>
      </c>
      <c r="E14" s="62">
        <f>+'[7]SECGT10 Seasonal Weights'!E13</f>
        <v>0.024662487398998244</v>
      </c>
      <c r="F14" s="62">
        <f>+'[7]SECGT10 Seasonal Weights'!F13</f>
        <v>0.024329971722722971</v>
      </c>
      <c r="G14" s="62">
        <f>+'[7]SECGT10 Seasonal Weights'!G13</f>
        <v>0.025018733142725999</v>
      </c>
      <c r="H14" s="62">
        <f>+'[7]SECGT10 Seasonal Weights'!H13</f>
        <v>0.025282669230460048</v>
      </c>
      <c r="I14" s="62">
        <f>+'[7]SECGT10 Seasonal Weights'!I13</f>
        <v>0.026001271459916708</v>
      </c>
      <c r="J14" s="62">
        <f>+'[7]SECGT10 Seasonal Weights'!J13</f>
        <v>0.025020173333091998</v>
      </c>
      <c r="K14" s="62">
        <f>+'[7]SECGT10 Seasonal Weights'!K13</f>
        <v>0.024899328654257893</v>
      </c>
      <c r="L14" s="62">
        <f>+'[7]SECGT10 Seasonal Weights'!L13</f>
        <v>0.02542204897371397</v>
      </c>
      <c r="M14" s="62">
        <f>+'[7]SECGT10 Seasonal Weights'!M13</f>
        <v>0.025148066914882028</v>
      </c>
      <c r="N14" s="62">
        <f>+'[7]SECGT10 Seasonal Weights'!N13</f>
        <v>0.02491401318924422</v>
      </c>
      <c r="O14" s="62">
        <f>+'[7]SECGT10 Seasonal Weights'!O13</f>
        <v>0.024178450845073935</v>
      </c>
      <c r="P14" s="62">
        <f>+'[7]SECGT10 Seasonal Weights'!P13</f>
        <v>0.02493312962464804</v>
      </c>
    </row>
    <row r="15" spans="1:16" ht="13.2">
      <c r="A15" s="67">
        <f t="shared" si="0"/>
        <v>4</v>
      </c>
      <c r="B15" t="s">
        <v>36</v>
      </c>
      <c r="C15" s="61"/>
      <c r="D15" s="62">
        <f>+'[7]SECGT10 Seasonal Weights'!D14</f>
        <v>0.012101425929197534</v>
      </c>
      <c r="E15" s="62">
        <f>+'[7]SECGT10 Seasonal Weights'!E14</f>
        <v>0.01205290394778932</v>
      </c>
      <c r="F15" s="62">
        <f>+'[7]SECGT10 Seasonal Weights'!F14</f>
        <v>0.01145530940027587</v>
      </c>
      <c r="G15" s="62">
        <f>+'[7]SECGT10 Seasonal Weights'!G14</f>
        <v>0.011337874708499368</v>
      </c>
      <c r="H15" s="62">
        <f>+'[7]SECGT10 Seasonal Weights'!H14</f>
        <v>0.011309752543068881</v>
      </c>
      <c r="I15" s="62">
        <f>+'[7]SECGT10 Seasonal Weights'!I14</f>
        <v>0.011395411290296031</v>
      </c>
      <c r="J15" s="62">
        <f>+'[7]SECGT10 Seasonal Weights'!J14</f>
        <v>0.011711666253967868</v>
      </c>
      <c r="K15" s="62">
        <f>+'[7]SECGT10 Seasonal Weights'!K14</f>
        <v>0.011923686684838316</v>
      </c>
      <c r="L15" s="62">
        <f>+'[7]SECGT10 Seasonal Weights'!L14</f>
        <v>0.011697951820130757</v>
      </c>
      <c r="M15" s="62">
        <f>+'[7]SECGT10 Seasonal Weights'!M14</f>
        <v>0.010829064109976441</v>
      </c>
      <c r="N15" s="62">
        <f>+'[7]SECGT10 Seasonal Weights'!N14</f>
        <v>0.01139897377573793</v>
      </c>
      <c r="O15" s="62">
        <f>+'[7]SECGT10 Seasonal Weights'!O14</f>
        <v>0.011505233870969404</v>
      </c>
      <c r="P15" s="62">
        <f>+'[7]SECGT10 Seasonal Weights'!P14</f>
        <v>0.011568419846469768</v>
      </c>
    </row>
    <row r="16" spans="1:16" ht="13.2">
      <c r="A16" s="67">
        <f t="shared" si="0"/>
        <v>5</v>
      </c>
      <c r="B16" t="s">
        <v>37</v>
      </c>
      <c r="C16" s="61"/>
      <c r="D16" s="62">
        <f>+'[7]SECGT10 Seasonal Weights'!D15</f>
        <v>0.024012627723580263</v>
      </c>
      <c r="E16" s="62">
        <f>+'[7]SECGT10 Seasonal Weights'!E15</f>
        <v>0.024553924170976738</v>
      </c>
      <c r="F16" s="62">
        <f>+'[7]SECGT10 Seasonal Weights'!F15</f>
        <v>0.024123747915787905</v>
      </c>
      <c r="G16" s="62">
        <f>+'[7]SECGT10 Seasonal Weights'!G15</f>
        <v>0.023995123772134367</v>
      </c>
      <c r="H16" s="62">
        <f>+'[7]SECGT10 Seasonal Weights'!H15</f>
        <v>0.023672115622031698</v>
      </c>
      <c r="I16" s="62">
        <f>+'[7]SECGT10 Seasonal Weights'!I15</f>
        <v>0.023556244157346758</v>
      </c>
      <c r="J16" s="62">
        <f>+'[7]SECGT10 Seasonal Weights'!J15</f>
        <v>0.023693415641611908</v>
      </c>
      <c r="K16" s="62">
        <f>+'[7]SECGT10 Seasonal Weights'!K15</f>
        <v>0.024092846288954823</v>
      </c>
      <c r="L16" s="62">
        <f>+'[7]SECGT10 Seasonal Weights'!L15</f>
        <v>0.02410534146488896</v>
      </c>
      <c r="M16" s="62">
        <f>+'[7]SECGT10 Seasonal Weights'!M15</f>
        <v>0.023809813900458009</v>
      </c>
      <c r="N16" s="62">
        <f>+'[7]SECGT10 Seasonal Weights'!N15</f>
        <v>0.023799870034683465</v>
      </c>
      <c r="O16" s="62">
        <f>+'[7]SECGT10 Seasonal Weights'!O15</f>
        <v>0.024029180162727721</v>
      </c>
      <c r="P16" s="62">
        <f>+'[7]SECGT10 Seasonal Weights'!P15</f>
        <v>0.023949324240679731</v>
      </c>
    </row>
    <row r="17" spans="1:16" ht="13.2">
      <c r="A17" s="67">
        <f t="shared" si="0"/>
        <v>6</v>
      </c>
      <c r="B17" t="s">
        <v>38</v>
      </c>
      <c r="C17" s="61"/>
      <c r="D17" s="62">
        <f>+'[7]SECGT10 Seasonal Weights'!D16</f>
        <v>0.026053193814703224</v>
      </c>
      <c r="E17" s="62">
        <f>+'[7]SECGT10 Seasonal Weights'!E16</f>
        <v>0.026280249196006165</v>
      </c>
      <c r="F17" s="62">
        <f>+'[7]SECGT10 Seasonal Weights'!F16</f>
        <v>0.026216849694386864</v>
      </c>
      <c r="G17" s="62">
        <f>+'[7]SECGT10 Seasonal Weights'!G16</f>
        <v>0.026140088743876678</v>
      </c>
      <c r="H17" s="62">
        <f>+'[7]SECGT10 Seasonal Weights'!H16</f>
        <v>0.026454499375097175</v>
      </c>
      <c r="I17" s="62">
        <f>+'[7]SECGT10 Seasonal Weights'!I16</f>
        <v>0.027186127459384618</v>
      </c>
      <c r="J17" s="62">
        <f>+'[7]SECGT10 Seasonal Weights'!J16</f>
        <v>0.026890049807679596</v>
      </c>
      <c r="K17" s="62">
        <f>+'[7]SECGT10 Seasonal Weights'!K16</f>
        <v>0.026900894459351024</v>
      </c>
      <c r="L17" s="62">
        <f>+'[7]SECGT10 Seasonal Weights'!L16</f>
        <v>0.027665437011636755</v>
      </c>
      <c r="M17" s="62">
        <f>+'[7]SECGT10 Seasonal Weights'!M16</f>
        <v>0.027287705116440974</v>
      </c>
      <c r="N17" s="62">
        <f>+'[7]SECGT10 Seasonal Weights'!N16</f>
        <v>0.026926175777508714</v>
      </c>
      <c r="O17" s="62">
        <f>+'[7]SECGT10 Seasonal Weights'!O16</f>
        <v>0.026651586665626236</v>
      </c>
      <c r="P17" s="62">
        <f>+'[7]SECGT10 Seasonal Weights'!P16</f>
        <v>0.026768723305546093</v>
      </c>
    </row>
    <row r="18" spans="1:16" ht="13.2">
      <c r="A18" s="67">
        <f t="shared" si="0"/>
        <v>7</v>
      </c>
      <c r="B18" t="s">
        <v>39</v>
      </c>
      <c r="C18" s="61"/>
      <c r="D18" s="62">
        <f>+'[7]SECGT10 Seasonal Weights'!D17</f>
        <v>0.032013122997715755</v>
      </c>
      <c r="E18" s="62">
        <f>+'[7]SECGT10 Seasonal Weights'!E17</f>
        <v>0.032544374549329576</v>
      </c>
      <c r="F18" s="62">
        <f>+'[7]SECGT10 Seasonal Weights'!F17</f>
        <v>0.032828373090107575</v>
      </c>
      <c r="G18" s="62">
        <f>+'[7]SECGT10 Seasonal Weights'!G17</f>
        <v>0.032679163024454137</v>
      </c>
      <c r="H18" s="62">
        <f>+'[7]SECGT10 Seasonal Weights'!H17</f>
        <v>0.03303635472182348</v>
      </c>
      <c r="I18" s="62">
        <f>+'[7]SECGT10 Seasonal Weights'!I17</f>
        <v>0.033837913756144262</v>
      </c>
      <c r="J18" s="62">
        <f>+'[7]SECGT10 Seasonal Weights'!J17</f>
        <v>0.033421466637554464</v>
      </c>
      <c r="K18" s="62">
        <f>+'[7]SECGT10 Seasonal Weights'!K17</f>
        <v>0.033803454002396698</v>
      </c>
      <c r="L18" s="62">
        <f>+'[7]SECGT10 Seasonal Weights'!L17</f>
        <v>0.034609199337795472</v>
      </c>
      <c r="M18" s="62">
        <f>+'[7]SECGT10 Seasonal Weights'!M17</f>
        <v>0.034000192784841246</v>
      </c>
      <c r="N18" s="62">
        <f>+'[7]SECGT10 Seasonal Weights'!N17</f>
        <v>0.033479565929361459</v>
      </c>
      <c r="O18" s="62">
        <f>+'[7]SECGT10 Seasonal Weights'!O17</f>
        <v>0.032351166892580052</v>
      </c>
      <c r="P18" s="62">
        <f>+'[7]SECGT10 Seasonal Weights'!P17</f>
        <v>0.033291601652564735</v>
      </c>
    </row>
    <row r="19" spans="1:16" ht="13.2">
      <c r="A19" s="67">
        <f t="shared" si="0"/>
        <v>8</v>
      </c>
      <c r="B19" t="s">
        <v>40</v>
      </c>
      <c r="C19" s="61"/>
      <c r="D19" s="62">
        <f>+'[7]SECGT10 Seasonal Weights'!D18</f>
        <v>0.014676124209648976</v>
      </c>
      <c r="E19" s="62">
        <f>+'[7]SECGT10 Seasonal Weights'!E18</f>
        <v>0.015001919467031964</v>
      </c>
      <c r="F19" s="62">
        <f>+'[7]SECGT10 Seasonal Weights'!F18</f>
        <v>0.014789394997023997</v>
      </c>
      <c r="G19" s="62">
        <f>+'[7]SECGT10 Seasonal Weights'!G18</f>
        <v>0.01458158978249095</v>
      </c>
      <c r="H19" s="62">
        <f>+'[7]SECGT10 Seasonal Weights'!H18</f>
        <v>0.014554372751820406</v>
      </c>
      <c r="I19" s="62">
        <f>+'[7]SECGT10 Seasonal Weights'!I18</f>
        <v>0.014841545191615044</v>
      </c>
      <c r="J19" s="62">
        <f>+'[7]SECGT10 Seasonal Weights'!J18</f>
        <v>0.015216227199826942</v>
      </c>
      <c r="K19" s="62">
        <f>+'[7]SECGT10 Seasonal Weights'!K18</f>
        <v>0.01533151317628639</v>
      </c>
      <c r="L19" s="62">
        <f>+'[7]SECGT10 Seasonal Weights'!L18</f>
        <v>0.01532747847535414</v>
      </c>
      <c r="M19" s="62">
        <f>+'[7]SECGT10 Seasonal Weights'!M18</f>
        <v>0.014865357760621327</v>
      </c>
      <c r="N19" s="62">
        <f>+'[7]SECGT10 Seasonal Weights'!N18</f>
        <v>0.014571949077997358</v>
      </c>
      <c r="O19" s="62">
        <f>+'[7]SECGT10 Seasonal Weights'!O18</f>
        <v>0.014365225874191165</v>
      </c>
      <c r="P19" s="62">
        <f>+'[7]SECGT10 Seasonal Weights'!P18</f>
        <v>0.014879542353445772</v>
      </c>
    </row>
    <row r="20" spans="1:16" ht="13.2">
      <c r="A20" s="67">
        <f t="shared" si="0"/>
        <v>9</v>
      </c>
      <c r="B20" t="s">
        <v>41</v>
      </c>
      <c r="C20" s="61"/>
      <c r="D20" s="62">
        <f>+'[7]SECGT10 Seasonal Weights'!D19</f>
        <v>0.030281909925480965</v>
      </c>
      <c r="E20" s="62">
        <f>+'[7]SECGT10 Seasonal Weights'!E19</f>
        <v>0.030772471615881161</v>
      </c>
      <c r="F20" s="62">
        <f>+'[7]SECGT10 Seasonal Weights'!F19</f>
        <v>0.030429795253137996</v>
      </c>
      <c r="G20" s="62">
        <f>+'[7]SECGT10 Seasonal Weights'!G19</f>
        <v>0.030506279830719258</v>
      </c>
      <c r="H20" s="62">
        <f>+'[7]SECGT10 Seasonal Weights'!H19</f>
        <v>0.031158834511381531</v>
      </c>
      <c r="I20" s="62">
        <f>+'[7]SECGT10 Seasonal Weights'!I19</f>
        <v>0.03153909601699157</v>
      </c>
      <c r="J20" s="62">
        <f>+'[7]SECGT10 Seasonal Weights'!J19</f>
        <v>0.031544031145575309</v>
      </c>
      <c r="K20" s="62">
        <f>+'[7]SECGT10 Seasonal Weights'!K19</f>
        <v>0.031362228969243663</v>
      </c>
      <c r="L20" s="62">
        <f>+'[7]SECGT10 Seasonal Weights'!L19</f>
        <v>0.031727101608642387</v>
      </c>
      <c r="M20" s="62">
        <f>+'[7]SECGT10 Seasonal Weights'!M19</f>
        <v>0.031473234610709312</v>
      </c>
      <c r="N20" s="62">
        <f>+'[7]SECGT10 Seasonal Weights'!N19</f>
        <v>0.030786946097982333</v>
      </c>
      <c r="O20" s="62">
        <f>+'[7]SECGT10 Seasonal Weights'!O19</f>
        <v>0.030519769316008496</v>
      </c>
      <c r="P20" s="62">
        <f>+'[7]SECGT10 Seasonal Weights'!P19</f>
        <v>0.031062164453623413</v>
      </c>
    </row>
    <row r="21" spans="1:16" ht="13.2">
      <c r="A21" s="67">
        <f t="shared" si="0"/>
        <v>10</v>
      </c>
      <c r="B21" t="s">
        <v>42</v>
      </c>
      <c r="C21" s="61"/>
      <c r="D21" s="62">
        <f>+'[7]SECGT10 Seasonal Weights'!D20</f>
        <v>0.025337905311130865</v>
      </c>
      <c r="E21" s="62">
        <f>+'[7]SECGT10 Seasonal Weights'!E20</f>
        <v>0.025804771877024815</v>
      </c>
      <c r="F21" s="62">
        <f>+'[7]SECGT10 Seasonal Weights'!F20</f>
        <v>0.025995809686171701</v>
      </c>
      <c r="G21" s="62">
        <f>+'[7]SECGT10 Seasonal Weights'!G20</f>
        <v>0.026417204413101452</v>
      </c>
      <c r="H21" s="62">
        <f>+'[7]SECGT10 Seasonal Weights'!H20</f>
        <v>0.02679193562803538</v>
      </c>
      <c r="I21" s="62">
        <f>+'[7]SECGT10 Seasonal Weights'!I20</f>
        <v>0.027309183887591484</v>
      </c>
      <c r="J21" s="62">
        <f>+'[7]SECGT10 Seasonal Weights'!J20</f>
        <v>0.026286855984828477</v>
      </c>
      <c r="K21" s="62">
        <f>+'[7]SECGT10 Seasonal Weights'!K20</f>
        <v>0.026398516252595896</v>
      </c>
      <c r="L21" s="62">
        <f>+'[7]SECGT10 Seasonal Weights'!L20</f>
        <v>0.02712340452902395</v>
      </c>
      <c r="M21" s="62">
        <f>+'[7]SECGT10 Seasonal Weights'!M20</f>
        <v>0.027214591669002561</v>
      </c>
      <c r="N21" s="62">
        <f>+'[7]SECGT10 Seasonal Weights'!N20</f>
        <v>0.027325780858472117</v>
      </c>
      <c r="O21" s="62">
        <f>+'[7]SECGT10 Seasonal Weights'!O20</f>
        <v>0.026840677749518826</v>
      </c>
      <c r="P21" s="62">
        <f>+'[7]SECGT10 Seasonal Weights'!P20</f>
        <v>0.026588223079062112</v>
      </c>
    </row>
    <row r="22" spans="1:16" ht="13.2">
      <c r="A22" s="67">
        <f t="shared" si="0"/>
        <v>11</v>
      </c>
      <c r="C22" s="61"/>
      <c r="D22" s="123">
        <f t="shared" si="1" ref="D22:P22">SUM(D12:D21)</f>
        <v>0.99999999999999989</v>
      </c>
      <c r="E22" s="123">
        <f t="shared" si="1"/>
        <v>0.99999999999999978</v>
      </c>
      <c r="F22" s="123">
        <f t="shared" si="1"/>
        <v>0.99999999999999989</v>
      </c>
      <c r="G22" s="123">
        <f t="shared" si="1"/>
        <v>1</v>
      </c>
      <c r="H22" s="123">
        <f t="shared" si="1"/>
        <v>0.99999999999999978</v>
      </c>
      <c r="I22" s="123">
        <f t="shared" si="1"/>
        <v>1.0000000000000002</v>
      </c>
      <c r="J22" s="123">
        <f t="shared" si="1"/>
        <v>1.0000000000000002</v>
      </c>
      <c r="K22" s="123">
        <f t="shared" si="1"/>
        <v>1</v>
      </c>
      <c r="L22" s="123">
        <f t="shared" si="1"/>
        <v>1</v>
      </c>
      <c r="M22" s="123">
        <f t="shared" si="1"/>
        <v>1</v>
      </c>
      <c r="N22" s="123">
        <f t="shared" si="1"/>
        <v>1</v>
      </c>
      <c r="O22" s="123">
        <f t="shared" si="1"/>
        <v>1.0000000000000002</v>
      </c>
      <c r="P22" s="123">
        <f t="shared" si="1"/>
        <v>1</v>
      </c>
    </row>
    <row r="23" spans="1:1" ht="13.2">
      <c r="A23" s="67">
        <f t="shared" si="0"/>
        <v>12</v>
      </c>
    </row>
    <row r="24" spans="1:10" ht="15.6">
      <c r="A24" s="67">
        <f t="shared" si="0"/>
        <v>13</v>
      </c>
      <c r="D24" s="218" t="s">
        <v>97</v>
      </c>
      <c r="E24" s="219"/>
      <c r="F24" s="220"/>
      <c r="G24" s="4"/>
      <c r="H24" s="4"/>
      <c r="I24" s="51"/>
      <c r="J24" s="51"/>
    </row>
    <row r="25" spans="1:6" ht="13.2">
      <c r="A25" s="67">
        <f t="shared" si="0"/>
        <v>14</v>
      </c>
      <c r="D25" s="55" t="s">
        <v>56</v>
      </c>
      <c r="F25" s="55" t="s">
        <v>57</v>
      </c>
    </row>
    <row r="26" spans="1:6" ht="13.2">
      <c r="A26" s="67">
        <f t="shared" si="0"/>
        <v>15</v>
      </c>
      <c r="B26" s="68" t="s">
        <v>68</v>
      </c>
      <c r="D26" s="99" t="s">
        <v>58</v>
      </c>
      <c r="F26" s="99" t="s">
        <v>59</v>
      </c>
    </row>
    <row r="27" spans="1:6" ht="13.2">
      <c r="A27" s="67">
        <f t="shared" si="0"/>
        <v>16</v>
      </c>
      <c r="B27" s="55" t="s">
        <v>33</v>
      </c>
      <c r="D27" s="126">
        <f>ROUND(AVERAGE(D12:F12,N12:O12),3)</f>
        <v>0.74099999999999999</v>
      </c>
      <c r="E27" s="127"/>
      <c r="F27" s="126">
        <f>ROUND(AVERAGE(H12:L12),3)</f>
        <v>0.73999999999999999</v>
      </c>
    </row>
    <row r="28" spans="1:6" ht="13.2">
      <c r="A28" s="67">
        <f t="shared" si="0"/>
        <v>17</v>
      </c>
      <c r="B28" s="55" t="s">
        <v>34</v>
      </c>
      <c r="D28" s="126">
        <f t="shared" si="2" ref="D28:D36">ROUND(AVERAGE(D13:F13,N13:O13),3)</f>
        <v>0.068000000000000005</v>
      </c>
      <c r="E28" s="127"/>
      <c r="F28" s="126">
        <f t="shared" si="3" ref="F28:F36">ROUND(AVERAGE(H13:L13),3)</f>
        <v>0.065000000000000002</v>
      </c>
    </row>
    <row r="29" spans="1:6" ht="13.2">
      <c r="A29" s="67">
        <f t="shared" si="0"/>
        <v>18</v>
      </c>
      <c r="B29" s="55" t="s">
        <v>35</v>
      </c>
      <c r="D29" s="126">
        <f t="shared" si="2"/>
        <v>0.024</v>
      </c>
      <c r="E29" s="127"/>
      <c r="F29" s="126">
        <f t="shared" si="3"/>
        <v>0.025000000000000001</v>
      </c>
    </row>
    <row r="30" spans="1:6" ht="13.2">
      <c r="A30" s="67">
        <f t="shared" si="0"/>
        <v>19</v>
      </c>
      <c r="B30" s="55" t="s">
        <v>36</v>
      </c>
      <c r="D30" s="126">
        <f t="shared" si="2"/>
        <v>0.012</v>
      </c>
      <c r="E30" s="127"/>
      <c r="F30" s="126">
        <f t="shared" si="3"/>
        <v>0.012</v>
      </c>
    </row>
    <row r="31" spans="1:6" ht="13.2">
      <c r="A31" s="67">
        <f t="shared" si="0"/>
        <v>20</v>
      </c>
      <c r="B31" s="55" t="s">
        <v>37</v>
      </c>
      <c r="D31" s="126">
        <f t="shared" si="2"/>
        <v>0.024</v>
      </c>
      <c r="E31" s="127"/>
      <c r="F31" s="126">
        <f t="shared" si="3"/>
        <v>0.024</v>
      </c>
    </row>
    <row r="32" spans="1:6" ht="13.2">
      <c r="A32" s="67">
        <f t="shared" si="0"/>
        <v>21</v>
      </c>
      <c r="B32" s="55" t="s">
        <v>38</v>
      </c>
      <c r="D32" s="126">
        <f t="shared" si="2"/>
        <v>0.025999999999999999</v>
      </c>
      <c r="E32" s="127"/>
      <c r="F32" s="126">
        <f t="shared" si="3"/>
        <v>0.027</v>
      </c>
    </row>
    <row r="33" spans="1:6" ht="13.2">
      <c r="A33" s="67">
        <f t="shared" si="0"/>
        <v>22</v>
      </c>
      <c r="B33" s="55" t="s">
        <v>39</v>
      </c>
      <c r="D33" s="126">
        <f t="shared" si="2"/>
        <v>0.033000000000000002</v>
      </c>
      <c r="E33" s="127"/>
      <c r="F33" s="126">
        <f t="shared" si="3"/>
        <v>0.034000000000000002</v>
      </c>
    </row>
    <row r="34" spans="1:6" ht="13.2">
      <c r="A34" s="67">
        <f t="shared" si="0"/>
        <v>23</v>
      </c>
      <c r="B34" s="55" t="s">
        <v>40</v>
      </c>
      <c r="D34" s="126">
        <f t="shared" si="2"/>
        <v>0.014999999999999999</v>
      </c>
      <c r="E34" s="127"/>
      <c r="F34" s="126">
        <f t="shared" si="3"/>
        <v>0.014999999999999999</v>
      </c>
    </row>
    <row r="35" spans="1:6" ht="13.2">
      <c r="A35" s="67">
        <f t="shared" si="0"/>
        <v>24</v>
      </c>
      <c r="B35" s="55" t="s">
        <v>41</v>
      </c>
      <c r="D35" s="126">
        <f t="shared" si="2"/>
        <v>0.031</v>
      </c>
      <c r="E35" s="127"/>
      <c r="F35" s="126">
        <f t="shared" si="3"/>
        <v>0.031</v>
      </c>
    </row>
    <row r="36" spans="1:6" ht="13.2">
      <c r="A36" s="67">
        <f t="shared" si="0"/>
        <v>25</v>
      </c>
      <c r="B36" s="55" t="s">
        <v>42</v>
      </c>
      <c r="D36" s="126">
        <f t="shared" si="2"/>
        <v>0.025999999999999999</v>
      </c>
      <c r="E36" s="129"/>
      <c r="F36" s="126">
        <f t="shared" si="3"/>
        <v>0.027</v>
      </c>
    </row>
    <row r="37" spans="1:6" ht="13.2">
      <c r="A37" s="67">
        <f t="shared" si="0"/>
        <v>26</v>
      </c>
      <c r="D37" s="130">
        <f>AVERAGE(D22:F22,N22:O22)</f>
        <v>1</v>
      </c>
      <c r="E37" s="125"/>
      <c r="F37" s="130">
        <f>AVERAGE(H22:L22)</f>
        <v>1</v>
      </c>
    </row>
  </sheetData>
  <mergeCells count="9">
    <mergeCell ref="B9:P9"/>
    <mergeCell ref="D24:F24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1.5" right="0.5" top="1.5" bottom="1" header="1" footer="0.5"/>
  <pageSetup orientation="portrait" scale="56" r:id="rId2"/>
  <headerFooter alignWithMargins="0">
    <oddHeader>&amp;RSchedule II-H-5.2
Page &amp;P of 37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1">
    <pageSetUpPr fitToPage="1"/>
  </sheetPr>
  <dimension ref="A1:P37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55" customWidth="1"/>
    <col min="2" max="2" width="16.8571428571429" style="55" customWidth="1"/>
    <col min="3" max="3" width="4.42857142857143" style="55" bestFit="1" customWidth="1"/>
    <col min="4" max="4" width="9.85714285714286" style="55" bestFit="1" customWidth="1"/>
    <col min="5" max="13" width="9.14285714285714" style="55"/>
    <col min="14" max="14" width="9.71428571428571" style="55" bestFit="1" customWidth="1"/>
    <col min="15" max="15" width="9.14285714285714" style="55"/>
    <col min="16" max="16" width="9.57142857142857" style="55" bestFit="1" customWidth="1"/>
    <col min="17" max="16384" width="9.14285714285714" style="55"/>
  </cols>
  <sheetData>
    <row r="1" spans="1:16" ht="15.6">
      <c r="A1" s="1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5.6">
      <c r="A2" s="1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3" spans="1:16" ht="15.6">
      <c r="A3" s="1"/>
      <c r="B3" s="221" t="str">
        <f>+RES!B3</f>
        <v>ADJUSTED WEATHER STATION DATA</v>
      </c>
      <c r="C3" s="221"/>
      <c r="D3" s="221"/>
      <c r="E3" s="221"/>
      <c r="F3" s="221"/>
      <c r="G3" s="222"/>
      <c r="H3" s="222"/>
      <c r="I3" s="222"/>
      <c r="J3" s="222"/>
      <c r="K3" s="222"/>
      <c r="L3" s="222"/>
      <c r="M3" s="222"/>
      <c r="N3" s="222"/>
      <c r="O3" s="222"/>
      <c r="P3" s="222"/>
    </row>
    <row r="4" spans="1:16" ht="15.6">
      <c r="A4" s="1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6" ht="15.6">
      <c r="A5" s="1"/>
      <c r="B5" s="200"/>
      <c r="C5" s="200"/>
      <c r="D5" s="200"/>
      <c r="E5" s="200"/>
      <c r="F5" s="200"/>
      <c r="G5"/>
      <c r="H5"/>
      <c r="I5" s="66"/>
      <c r="J5" s="66"/>
      <c r="K5" s="66"/>
      <c r="L5" s="66"/>
      <c r="M5" s="66"/>
      <c r="N5" s="66"/>
      <c r="O5" s="66"/>
      <c r="P5" s="66"/>
    </row>
    <row r="6" spans="1:16" ht="15.6">
      <c r="A6" s="1"/>
      <c r="B6" s="200" t="str">
        <f>+RES!B6</f>
        <v>SPONSOR: D. E. NELSON</v>
      </c>
      <c r="C6" s="200"/>
      <c r="D6" s="200"/>
      <c r="E6" s="200"/>
      <c r="F6" s="200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16" ht="15.6">
      <c r="A7" s="1"/>
      <c r="B7" s="4"/>
      <c r="C7" s="4"/>
      <c r="D7" s="4"/>
      <c r="E7" s="4"/>
      <c r="F7" s="4"/>
      <c r="G7" s="51"/>
      <c r="H7" s="51"/>
      <c r="I7" s="66"/>
      <c r="J7" s="66"/>
      <c r="K7" s="66"/>
      <c r="L7" s="66"/>
      <c r="M7" s="66"/>
      <c r="N7" s="66"/>
      <c r="O7" s="66"/>
      <c r="P7" s="66"/>
    </row>
    <row r="8" spans="1:16" ht="15.6">
      <c r="A8" s="1"/>
      <c r="B8" s="221" t="s">
        <v>98</v>
      </c>
      <c r="C8" s="221"/>
      <c r="D8" s="221"/>
      <c r="E8" s="221"/>
      <c r="F8" s="221"/>
      <c r="G8" s="222"/>
      <c r="H8" s="222"/>
      <c r="I8" s="222"/>
      <c r="J8" s="222"/>
      <c r="K8" s="222"/>
      <c r="L8" s="222"/>
      <c r="M8" s="222"/>
      <c r="N8" s="222"/>
      <c r="O8" s="222"/>
      <c r="P8" s="222"/>
    </row>
    <row r="9" spans="1:16" ht="15.6">
      <c r="A9" s="1"/>
      <c r="B9" s="221" t="s">
        <v>119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6" ht="13.2">
      <c r="A10" s="1" t="s">
        <v>6</v>
      </c>
      <c r="B10" s="1" t="s">
        <v>9</v>
      </c>
      <c r="C10" s="1"/>
      <c r="D10" s="6" t="s">
        <v>10</v>
      </c>
      <c r="E10" s="6" t="s">
        <v>12</v>
      </c>
      <c r="F10" s="6" t="s">
        <v>11</v>
      </c>
      <c r="G10" s="6" t="s">
        <v>53</v>
      </c>
      <c r="H10" s="6" t="s">
        <v>54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64</v>
      </c>
      <c r="N10" s="6" t="s">
        <v>65</v>
      </c>
      <c r="O10" s="6" t="s">
        <v>66</v>
      </c>
      <c r="P10" s="6" t="s">
        <v>67</v>
      </c>
    </row>
    <row r="11" spans="1:16" s="60" customFormat="1" ht="13.2">
      <c r="A11" s="5" t="s">
        <v>8</v>
      </c>
      <c r="B11" s="68" t="s">
        <v>68</v>
      </c>
      <c r="C11" s="56"/>
      <c r="D11" s="57">
        <v>36892</v>
      </c>
      <c r="E11" s="58">
        <v>36923</v>
      </c>
      <c r="F11" s="58">
        <v>36951</v>
      </c>
      <c r="G11" s="58">
        <v>36982</v>
      </c>
      <c r="H11" s="58">
        <v>37012</v>
      </c>
      <c r="I11" s="58">
        <v>37043</v>
      </c>
      <c r="J11" s="58">
        <v>37073</v>
      </c>
      <c r="K11" s="58">
        <v>37104</v>
      </c>
      <c r="L11" s="58">
        <v>37135</v>
      </c>
      <c r="M11" s="58">
        <v>37165</v>
      </c>
      <c r="N11" s="58">
        <v>37196</v>
      </c>
      <c r="O11" s="58">
        <v>37226</v>
      </c>
      <c r="P11" s="59" t="s">
        <v>4</v>
      </c>
    </row>
    <row r="12" spans="1:16" ht="13.2">
      <c r="A12" s="67">
        <v>1</v>
      </c>
      <c r="B12" t="s">
        <v>33</v>
      </c>
      <c r="C12" s="61"/>
      <c r="D12" s="62">
        <f>+'[8]PRMDIST Seasonal Weights'!D11</f>
        <v>0.32822599913566691</v>
      </c>
      <c r="E12" s="62">
        <f>+'[8]PRMDIST Seasonal Weights'!E11</f>
        <v>0.32266190590771304</v>
      </c>
      <c r="F12" s="62">
        <f>+'[8]PRMDIST Seasonal Weights'!F11</f>
        <v>0.32732931590860948</v>
      </c>
      <c r="G12" s="62">
        <f>+'[8]PRMDIST Seasonal Weights'!G11</f>
        <v>0.31714973835352933</v>
      </c>
      <c r="H12" s="62">
        <f>+'[8]PRMDIST Seasonal Weights'!H11</f>
        <v>0.32321904665996809</v>
      </c>
      <c r="I12" s="62">
        <f>+'[8]PRMDIST Seasonal Weights'!I11</f>
        <v>0.34508130450061075</v>
      </c>
      <c r="J12" s="62">
        <f>+'[8]PRMDIST Seasonal Weights'!J11</f>
        <v>0.33935885652950909</v>
      </c>
      <c r="K12" s="62">
        <f>+'[8]PRMDIST Seasonal Weights'!K11</f>
        <v>0.34128748089644345</v>
      </c>
      <c r="L12" s="62">
        <f>+'[8]PRMDIST Seasonal Weights'!L11</f>
        <v>0.34188685361826632</v>
      </c>
      <c r="M12" s="62">
        <f>+'[8]PRMDIST Seasonal Weights'!M11</f>
        <v>0.328168627768397</v>
      </c>
      <c r="N12" s="62">
        <f>+'[8]PRMDIST Seasonal Weights'!N11</f>
        <v>0.31925253368940132</v>
      </c>
      <c r="O12" s="62">
        <f>+'[8]PRMDIST Seasonal Weights'!O11</f>
        <v>0.30491200617854275</v>
      </c>
      <c r="P12" s="62">
        <f>+'[8]PRMDIST Seasonal Weights'!P11</f>
        <v>0.32848883891632341</v>
      </c>
    </row>
    <row r="13" spans="1:16" ht="13.2">
      <c r="A13" s="67">
        <f>+A12+1</f>
        <v>2</v>
      </c>
      <c r="B13" t="s">
        <v>34</v>
      </c>
      <c r="C13" s="61"/>
      <c r="D13" s="62">
        <f>+'[8]PRMDIST Seasonal Weights'!D12</f>
        <v>0.48668398694092052</v>
      </c>
      <c r="E13" s="62">
        <f>+'[8]PRMDIST Seasonal Weights'!E12</f>
        <v>0.50187123819814805</v>
      </c>
      <c r="F13" s="62">
        <f>+'[8]PRMDIST Seasonal Weights'!F12</f>
        <v>0.4897257297738028</v>
      </c>
      <c r="G13" s="62">
        <f>+'[8]PRMDIST Seasonal Weights'!G12</f>
        <v>0.50500124814167491</v>
      </c>
      <c r="H13" s="62">
        <f>+'[8]PRMDIST Seasonal Weights'!H12</f>
        <v>0.5004658719663273</v>
      </c>
      <c r="I13" s="62">
        <f>+'[8]PRMDIST Seasonal Weights'!I12</f>
        <v>0.46801140282037607</v>
      </c>
      <c r="J13" s="62">
        <f>+'[8]PRMDIST Seasonal Weights'!J12</f>
        <v>0.47795834457135172</v>
      </c>
      <c r="K13" s="62">
        <f>+'[8]PRMDIST Seasonal Weights'!K12</f>
        <v>0.47488034275822993</v>
      </c>
      <c r="L13" s="62">
        <f>+'[8]PRMDIST Seasonal Weights'!L12</f>
        <v>0.481111709917873</v>
      </c>
      <c r="M13" s="62">
        <f>+'[8]PRMDIST Seasonal Weights'!M12</f>
        <v>0.49350640075198726</v>
      </c>
      <c r="N13" s="62">
        <f>+'[8]PRMDIST Seasonal Weights'!N12</f>
        <v>0.50951955670988613</v>
      </c>
      <c r="O13" s="62">
        <f>+'[8]PRMDIST Seasonal Weights'!O12</f>
        <v>0.53120302468771252</v>
      </c>
      <c r="P13" s="62">
        <f>+'[8]PRMDIST Seasonal Weights'!P12</f>
        <v>0.49306163100347522</v>
      </c>
    </row>
    <row r="14" spans="1:16" ht="13.2">
      <c r="A14" s="67">
        <f t="shared" si="0" ref="A14:A37">+A13+1</f>
        <v>3</v>
      </c>
      <c r="B14" t="s">
        <v>35</v>
      </c>
      <c r="C14" s="61"/>
      <c r="D14" s="62">
        <f>+'[8]PRMDIST Seasonal Weights'!D13</f>
        <v>0.027254215755935216</v>
      </c>
      <c r="E14" s="62">
        <f>+'[8]PRMDIST Seasonal Weights'!E13</f>
        <v>0.024839491327863974</v>
      </c>
      <c r="F14" s="62">
        <f>+'[8]PRMDIST Seasonal Weights'!F13</f>
        <v>0.027407058324162802</v>
      </c>
      <c r="G14" s="62">
        <f>+'[8]PRMDIST Seasonal Weights'!G13</f>
        <v>0.026148178875640599</v>
      </c>
      <c r="H14" s="62">
        <f>+'[8]PRMDIST Seasonal Weights'!H13</f>
        <v>0.025656084125319899</v>
      </c>
      <c r="I14" s="62">
        <f>+'[8]PRMDIST Seasonal Weights'!I13</f>
        <v>0.025877507231530785</v>
      </c>
      <c r="J14" s="62">
        <f>+'[8]PRMDIST Seasonal Weights'!J13</f>
        <v>0.025826648398119465</v>
      </c>
      <c r="K14" s="62">
        <f>+'[8]PRMDIST Seasonal Weights'!K13</f>
        <v>0.025426618450901772</v>
      </c>
      <c r="L14" s="62">
        <f>+'[8]PRMDIST Seasonal Weights'!L13</f>
        <v>0.025392800594945031</v>
      </c>
      <c r="M14" s="62">
        <f>+'[8]PRMDIST Seasonal Weights'!M13</f>
        <v>0.025088026482304005</v>
      </c>
      <c r="N14" s="62">
        <f>+'[8]PRMDIST Seasonal Weights'!N13</f>
        <v>0.024836428475180874</v>
      </c>
      <c r="O14" s="62">
        <f>+'[8]PRMDIST Seasonal Weights'!O13</f>
        <v>0.025005406618506473</v>
      </c>
      <c r="P14" s="62">
        <f>+'[8]PRMDIST Seasonal Weights'!P13</f>
        <v>0.025709103199534507</v>
      </c>
    </row>
    <row r="15" spans="1:16" ht="13.2">
      <c r="A15" s="67">
        <f t="shared" si="0"/>
        <v>4</v>
      </c>
      <c r="B15" t="s">
        <v>36</v>
      </c>
      <c r="C15" s="61"/>
      <c r="D15" s="62">
        <f>+'[8]PRMDIST Seasonal Weights'!D14</f>
        <v>0.061071093160643602</v>
      </c>
      <c r="E15" s="62">
        <f>+'[8]PRMDIST Seasonal Weights'!E14</f>
        <v>0.054992026902018883</v>
      </c>
      <c r="F15" s="62">
        <f>+'[8]PRMDIST Seasonal Weights'!F14</f>
        <v>0.060247627841319595</v>
      </c>
      <c r="G15" s="62">
        <f>+'[8]PRMDIST Seasonal Weights'!G14</f>
        <v>0.056754360828563555</v>
      </c>
      <c r="H15" s="62">
        <f>+'[8]PRMDIST Seasonal Weights'!H14</f>
        <v>0.052662538494696209</v>
      </c>
      <c r="I15" s="62">
        <f>+'[8]PRMDIST Seasonal Weights'!I14</f>
        <v>0.05773936046100657</v>
      </c>
      <c r="J15" s="62">
        <f>+'[8]PRMDIST Seasonal Weights'!J14</f>
        <v>0.053860931925305167</v>
      </c>
      <c r="K15" s="62">
        <f>+'[8]PRMDIST Seasonal Weights'!K14</f>
        <v>0.052131199049524818</v>
      </c>
      <c r="L15" s="62">
        <f>+'[8]PRMDIST Seasonal Weights'!L14</f>
        <v>0.048130946323267719</v>
      </c>
      <c r="M15" s="62">
        <f>+'[8]PRMDIST Seasonal Weights'!M14</f>
        <v>0.051887221234078781</v>
      </c>
      <c r="N15" s="62">
        <f>+'[8]PRMDIST Seasonal Weights'!N14</f>
        <v>0.051245592743945516</v>
      </c>
      <c r="O15" s="62">
        <f>+'[8]PRMDIST Seasonal Weights'!O14</f>
        <v>0.047307610601520937</v>
      </c>
      <c r="P15" s="62">
        <f>+'[8]PRMDIST Seasonal Weights'!P14</f>
        <v>0.05385681356492409</v>
      </c>
    </row>
    <row r="16" spans="1:16" ht="13.2">
      <c r="A16" s="67">
        <f t="shared" si="0"/>
        <v>5</v>
      </c>
      <c r="B16" t="s">
        <v>37</v>
      </c>
      <c r="C16" s="61"/>
      <c r="D16" s="62">
        <f>+'[8]PRMDIST Seasonal Weights'!D15</f>
        <v>0.019398925207718552</v>
      </c>
      <c r="E16" s="62">
        <f>+'[8]PRMDIST Seasonal Weights'!E15</f>
        <v>0.019138918272275991</v>
      </c>
      <c r="F16" s="62">
        <f>+'[8]PRMDIST Seasonal Weights'!F15</f>
        <v>0.019108258256161258</v>
      </c>
      <c r="G16" s="62">
        <f>+'[8]PRMDIST Seasonal Weights'!G15</f>
        <v>0.018649097689252245</v>
      </c>
      <c r="H16" s="62">
        <f>+'[8]PRMDIST Seasonal Weights'!H15</f>
        <v>0.019545509838654791</v>
      </c>
      <c r="I16" s="62">
        <f>+'[8]PRMDIST Seasonal Weights'!I15</f>
        <v>0.020949492627570569</v>
      </c>
      <c r="J16" s="62">
        <f>+'[8]PRMDIST Seasonal Weights'!J15</f>
        <v>0.020971535772581602</v>
      </c>
      <c r="K16" s="62">
        <f>+'[8]PRMDIST Seasonal Weights'!K15</f>
        <v>0.022732710114274798</v>
      </c>
      <c r="L16" s="62">
        <f>+'[8]PRMDIST Seasonal Weights'!L15</f>
        <v>0.022435110862450647</v>
      </c>
      <c r="M16" s="62">
        <f>+'[8]PRMDIST Seasonal Weights'!M15</f>
        <v>0.021129843321779414</v>
      </c>
      <c r="N16" s="62">
        <f>+'[8]PRMDIST Seasonal Weights'!N15</f>
        <v>0.019458580154309051</v>
      </c>
      <c r="O16" s="62">
        <f>+'[8]PRMDIST Seasonal Weights'!O15</f>
        <v>0.018521082883891878</v>
      </c>
      <c r="P16" s="62">
        <f>+'[8]PRMDIST Seasonal Weights'!P15</f>
        <v>0.020227917202549631</v>
      </c>
    </row>
    <row r="17" spans="1:16" ht="13.2">
      <c r="A17" s="67">
        <f t="shared" si="0"/>
        <v>6</v>
      </c>
      <c r="B17" t="s">
        <v>38</v>
      </c>
      <c r="C17" s="61"/>
      <c r="D17" s="62">
        <f>+'[8]PRMDIST Seasonal Weights'!D16</f>
        <v>0.012577132262369289</v>
      </c>
      <c r="E17" s="62">
        <f>+'[8]PRMDIST Seasonal Weights'!E16</f>
        <v>0.012373841847444706</v>
      </c>
      <c r="F17" s="62">
        <f>+'[8]PRMDIST Seasonal Weights'!F16</f>
        <v>0.012683624528171515</v>
      </c>
      <c r="G17" s="62">
        <f>+'[8]PRMDIST Seasonal Weights'!G16</f>
        <v>0.012975132117503325</v>
      </c>
      <c r="H17" s="62">
        <f>+'[8]PRMDIST Seasonal Weights'!H16</f>
        <v>0.01300334812215757</v>
      </c>
      <c r="I17" s="62">
        <f>+'[8]PRMDIST Seasonal Weights'!I16</f>
        <v>0.014023058237661619</v>
      </c>
      <c r="J17" s="62">
        <f>+'[8]PRMDIST Seasonal Weights'!J16</f>
        <v>0.014092221147348998</v>
      </c>
      <c r="K17" s="62">
        <f>+'[8]PRMDIST Seasonal Weights'!K16</f>
        <v>0.0146533017758982</v>
      </c>
      <c r="L17" s="62">
        <f>+'[8]PRMDIST Seasonal Weights'!L16</f>
        <v>0.014312172427639608</v>
      </c>
      <c r="M17" s="62">
        <f>+'[8]PRMDIST Seasonal Weights'!M16</f>
        <v>0.014037376133317738</v>
      </c>
      <c r="N17" s="62">
        <f>+'[8]PRMDIST Seasonal Weights'!N16</f>
        <v>0.012689373055094697</v>
      </c>
      <c r="O17" s="62">
        <f>+'[8]PRMDIST Seasonal Weights'!O16</f>
        <v>0.012379360015238062</v>
      </c>
      <c r="P17" s="62">
        <f>+'[8]PRMDIST Seasonal Weights'!P16</f>
        <v>0.01335029864586214</v>
      </c>
    </row>
    <row r="18" spans="1:16" ht="13.2">
      <c r="A18" s="67">
        <f t="shared" si="0"/>
        <v>7</v>
      </c>
      <c r="B18" t="s">
        <v>39</v>
      </c>
      <c r="C18" s="61"/>
      <c r="D18" s="62">
        <f>+'[8]PRMDIST Seasonal Weights'!D17</f>
        <v>0.028808675233493283</v>
      </c>
      <c r="E18" s="62">
        <f>+'[8]PRMDIST Seasonal Weights'!E17</f>
        <v>0.029460354483901864</v>
      </c>
      <c r="F18" s="62">
        <f>+'[8]PRMDIST Seasonal Weights'!F17</f>
        <v>0.029088940854984896</v>
      </c>
      <c r="G18" s="62">
        <f>+'[8]PRMDIST Seasonal Weights'!G17</f>
        <v>0.030734965594257063</v>
      </c>
      <c r="H18" s="62">
        <f>+'[8]PRMDIST Seasonal Weights'!H17</f>
        <v>0.031197155478645138</v>
      </c>
      <c r="I18" s="62">
        <f>+'[8]PRMDIST Seasonal Weights'!I17</f>
        <v>0.033201741163771184</v>
      </c>
      <c r="J18" s="62">
        <f>+'[8]PRMDIST Seasonal Weights'!J17</f>
        <v>0.03298426229720236</v>
      </c>
      <c r="K18" s="62">
        <f>+'[8]PRMDIST Seasonal Weights'!K17</f>
        <v>0.033798244506175433</v>
      </c>
      <c r="L18" s="62">
        <f>+'[8]PRMDIST Seasonal Weights'!L17</f>
        <v>0.032958049998236448</v>
      </c>
      <c r="M18" s="62">
        <f>+'[8]PRMDIST Seasonal Weights'!M17</f>
        <v>0.033087129853916673</v>
      </c>
      <c r="N18" s="62">
        <f>+'[8]PRMDIST Seasonal Weights'!N17</f>
        <v>0.03122970941771162</v>
      </c>
      <c r="O18" s="62">
        <f>+'[8]PRMDIST Seasonal Weights'!O17</f>
        <v>0.028978781237505854</v>
      </c>
      <c r="P18" s="62">
        <f>+'[8]PRMDIST Seasonal Weights'!P17</f>
        <v>0.031367602532541859</v>
      </c>
    </row>
    <row r="19" spans="1:16" ht="13.2">
      <c r="A19" s="67">
        <f t="shared" si="0"/>
        <v>8</v>
      </c>
      <c r="B19" t="s">
        <v>40</v>
      </c>
      <c r="C19" s="61"/>
      <c r="D19" s="62">
        <f>+'[8]PRMDIST Seasonal Weights'!D18</f>
        <v>0.012713329151910783</v>
      </c>
      <c r="E19" s="62">
        <f>+'[8]PRMDIST Seasonal Weights'!E18</f>
        <v>0.01143672068694261</v>
      </c>
      <c r="F19" s="62">
        <f>+'[8]PRMDIST Seasonal Weights'!F18</f>
        <v>0.011571005960120048</v>
      </c>
      <c r="G19" s="62">
        <f>+'[8]PRMDIST Seasonal Weights'!G18</f>
        <v>0.011574209509814705</v>
      </c>
      <c r="H19" s="62">
        <f>+'[8]PRMDIST Seasonal Weights'!H18</f>
        <v>0.011072983635227279</v>
      </c>
      <c r="I19" s="62">
        <f>+'[8]PRMDIST Seasonal Weights'!I18</f>
        <v>0.010975501910500098</v>
      </c>
      <c r="J19" s="62">
        <f>+'[8]PRMDIST Seasonal Weights'!J18</f>
        <v>0.011263685890335011</v>
      </c>
      <c r="K19" s="62">
        <f>+'[8]PRMDIST Seasonal Weights'!K18</f>
        <v>0.011365939265414824</v>
      </c>
      <c r="L19" s="62">
        <f>+'[8]PRMDIST Seasonal Weights'!L18</f>
        <v>0.011726545284592915</v>
      </c>
      <c r="M19" s="62">
        <f>+'[8]PRMDIST Seasonal Weights'!M18</f>
        <v>0.011043118124449388</v>
      </c>
      <c r="N19" s="62">
        <f>+'[8]PRMDIST Seasonal Weights'!N18</f>
        <v>0.010974440650912647</v>
      </c>
      <c r="O19" s="62">
        <f>+'[8]PRMDIST Seasonal Weights'!O18</f>
        <v>0.011016310036299389</v>
      </c>
      <c r="P19" s="62">
        <f>+'[8]PRMDIST Seasonal Weights'!P18</f>
        <v>0.011387238765439966</v>
      </c>
    </row>
    <row r="20" spans="1:16" ht="13.2">
      <c r="A20" s="67">
        <f t="shared" si="0"/>
        <v>9</v>
      </c>
      <c r="B20" t="s">
        <v>41</v>
      </c>
      <c r="C20" s="61"/>
      <c r="D20" s="62">
        <f>+'[8]PRMDIST Seasonal Weights'!D19</f>
        <v>0.015893351683794389</v>
      </c>
      <c r="E20" s="62">
        <f>+'[8]PRMDIST Seasonal Weights'!E19</f>
        <v>0.016296941939799463</v>
      </c>
      <c r="F20" s="62">
        <f>+'[8]PRMDIST Seasonal Weights'!F19</f>
        <v>0.016137419451299533</v>
      </c>
      <c r="G20" s="62">
        <f>+'[8]PRMDIST Seasonal Weights'!G19</f>
        <v>0.014301341022675858</v>
      </c>
      <c r="H20" s="62">
        <f>+'[8]PRMDIST Seasonal Weights'!H19</f>
        <v>0.016392524359345517</v>
      </c>
      <c r="I20" s="62">
        <f>+'[8]PRMDIST Seasonal Weights'!I19</f>
        <v>0.017297405693904103</v>
      </c>
      <c r="J20" s="62">
        <f>+'[8]PRMDIST Seasonal Weights'!J19</f>
        <v>0.01746203451046047</v>
      </c>
      <c r="K20" s="62">
        <f>+'[8]PRMDIST Seasonal Weights'!K19</f>
        <v>0.017903039311048998</v>
      </c>
      <c r="L20" s="62">
        <f>+'[8]PRMDIST Seasonal Weights'!L19</f>
        <v>0.017944621275958549</v>
      </c>
      <c r="M20" s="62">
        <f>+'[8]PRMDIST Seasonal Weights'!M19</f>
        <v>0.017044734377639113</v>
      </c>
      <c r="N20" s="62">
        <f>+'[8]PRMDIST Seasonal Weights'!N19</f>
        <v>0.015574596366955662</v>
      </c>
      <c r="O20" s="62">
        <f>+'[8]PRMDIST Seasonal Weights'!O19</f>
        <v>0.015391064675306487</v>
      </c>
      <c r="P20" s="62">
        <f>+'[8]PRMDIST Seasonal Weights'!P19</f>
        <v>0.016506773741626329</v>
      </c>
    </row>
    <row r="21" spans="1:16" ht="13.2">
      <c r="A21" s="67">
        <f t="shared" si="0"/>
        <v>10</v>
      </c>
      <c r="B21" t="s">
        <v>42</v>
      </c>
      <c r="C21" s="61"/>
      <c r="D21" s="62">
        <f>+'[8]PRMDIST Seasonal Weights'!D20</f>
        <v>0.0073732914675474779</v>
      </c>
      <c r="E21" s="62">
        <f>+'[8]PRMDIST Seasonal Weights'!E20</f>
        <v>0.0069285604338913979</v>
      </c>
      <c r="F21" s="62">
        <f>+'[8]PRMDIST Seasonal Weights'!F20</f>
        <v>0.0067010191013679868</v>
      </c>
      <c r="G21" s="62">
        <f>+'[8]PRMDIST Seasonal Weights'!G20</f>
        <v>0.0067117278670884312</v>
      </c>
      <c r="H21" s="62">
        <f>+'[8]PRMDIST Seasonal Weights'!H20</f>
        <v>0.0067849373196582023</v>
      </c>
      <c r="I21" s="62">
        <f>+'[8]PRMDIST Seasonal Weights'!I20</f>
        <v>0.0068432253530684205</v>
      </c>
      <c r="J21" s="62">
        <f>+'[8]PRMDIST Seasonal Weights'!J20</f>
        <v>0.0062214789577861012</v>
      </c>
      <c r="K21" s="62">
        <f>+'[8]PRMDIST Seasonal Weights'!K20</f>
        <v>0.0058211238720877641</v>
      </c>
      <c r="L21" s="62">
        <f>+'[8]PRMDIST Seasonal Weights'!L20</f>
        <v>0.0041011896967696627</v>
      </c>
      <c r="M21" s="62">
        <f>+'[8]PRMDIST Seasonal Weights'!M20</f>
        <v>0.005007521952130738</v>
      </c>
      <c r="N21" s="62">
        <f>+'[8]PRMDIST Seasonal Weights'!N20</f>
        <v>0.0052191887366024731</v>
      </c>
      <c r="O21" s="62">
        <f>+'[8]PRMDIST Seasonal Weights'!O20</f>
        <v>0.0052853530654755048</v>
      </c>
      <c r="P21" s="62">
        <f>+'[8]PRMDIST Seasonal Weights'!P20</f>
        <v>0.0060437824277231583</v>
      </c>
    </row>
    <row r="22" spans="1:16" ht="13.2">
      <c r="A22" s="67">
        <f t="shared" si="0"/>
        <v>11</v>
      </c>
      <c r="C22" s="61"/>
      <c r="D22" s="123">
        <f t="shared" si="1" ref="D22:P22">SUM(D12:D21)</f>
        <v>1</v>
      </c>
      <c r="E22" s="123">
        <f t="shared" si="1"/>
        <v>1</v>
      </c>
      <c r="F22" s="123">
        <f t="shared" si="1"/>
        <v>1</v>
      </c>
      <c r="G22" s="123">
        <f t="shared" si="1"/>
        <v>1</v>
      </c>
      <c r="H22" s="123">
        <f t="shared" si="1"/>
        <v>0.99999999999999978</v>
      </c>
      <c r="I22" s="123">
        <f t="shared" si="1"/>
        <v>1.0000000000000002</v>
      </c>
      <c r="J22" s="123">
        <f t="shared" si="1"/>
        <v>0.99999999999999989</v>
      </c>
      <c r="K22" s="123">
        <f t="shared" si="1"/>
        <v>1</v>
      </c>
      <c r="L22" s="123">
        <f t="shared" si="1"/>
        <v>0.99999999999999989</v>
      </c>
      <c r="M22" s="123">
        <f t="shared" si="1"/>
        <v>1</v>
      </c>
      <c r="N22" s="123">
        <f t="shared" si="1"/>
        <v>0.99999999999999989</v>
      </c>
      <c r="O22" s="123">
        <f t="shared" si="1"/>
        <v>0.99999999999999989</v>
      </c>
      <c r="P22" s="123">
        <f t="shared" si="1"/>
        <v>1.0000000000000004</v>
      </c>
    </row>
    <row r="23" spans="1:1" ht="13.2">
      <c r="A23" s="67">
        <f t="shared" si="0"/>
        <v>12</v>
      </c>
    </row>
    <row r="24" spans="1:10" ht="15.6">
      <c r="A24" s="67">
        <f t="shared" si="0"/>
        <v>13</v>
      </c>
      <c r="D24" s="218" t="s">
        <v>97</v>
      </c>
      <c r="E24" s="219"/>
      <c r="F24" s="220"/>
      <c r="G24" s="4"/>
      <c r="H24" s="4"/>
      <c r="I24" s="51"/>
      <c r="J24" s="51"/>
    </row>
    <row r="25" spans="1:6" ht="13.2">
      <c r="A25" s="67">
        <f t="shared" si="0"/>
        <v>14</v>
      </c>
      <c r="D25" s="55" t="s">
        <v>56</v>
      </c>
      <c r="F25" s="55" t="s">
        <v>57</v>
      </c>
    </row>
    <row r="26" spans="1:6" ht="13.2">
      <c r="A26" s="67">
        <f t="shared" si="0"/>
        <v>15</v>
      </c>
      <c r="B26" s="68" t="s">
        <v>68</v>
      </c>
      <c r="D26" s="99" t="s">
        <v>58</v>
      </c>
      <c r="F26" s="99" t="s">
        <v>59</v>
      </c>
    </row>
    <row r="27" spans="1:6" ht="13.2">
      <c r="A27" s="67">
        <f t="shared" si="0"/>
        <v>16</v>
      </c>
      <c r="B27" s="55" t="s">
        <v>33</v>
      </c>
      <c r="D27" s="126">
        <f>ROUND(AVERAGE(D12:F12,N12:O12),3)</f>
        <v>0.32000000000000001</v>
      </c>
      <c r="E27" s="127"/>
      <c r="F27" s="126">
        <f>ROUND(AVERAGE(H12:L12),3)</f>
        <v>0.33800000000000002</v>
      </c>
    </row>
    <row r="28" spans="1:6" ht="13.2">
      <c r="A28" s="67">
        <f t="shared" si="0"/>
        <v>17</v>
      </c>
      <c r="B28" s="55" t="s">
        <v>34</v>
      </c>
      <c r="D28" s="126">
        <f t="shared" si="2" ref="D28:D36">ROUND(AVERAGE(D13:F13,N13:O13),3)</f>
        <v>0.504</v>
      </c>
      <c r="E28" s="127"/>
      <c r="F28" s="126">
        <f t="shared" si="3" ref="F28:F36">ROUND(AVERAGE(H13:L13),3)</f>
        <v>0.47999999999999998</v>
      </c>
    </row>
    <row r="29" spans="1:6" ht="13.2">
      <c r="A29" s="67">
        <f t="shared" si="0"/>
        <v>18</v>
      </c>
      <c r="B29" s="55" t="s">
        <v>35</v>
      </c>
      <c r="D29" s="126">
        <f t="shared" si="2"/>
        <v>0.025999999999999999</v>
      </c>
      <c r="E29" s="127"/>
      <c r="F29" s="126">
        <f t="shared" si="3"/>
        <v>0.025999999999999999</v>
      </c>
    </row>
    <row r="30" spans="1:6" ht="13.2">
      <c r="A30" s="67">
        <f t="shared" si="0"/>
        <v>19</v>
      </c>
      <c r="B30" s="55" t="s">
        <v>36</v>
      </c>
      <c r="D30" s="126">
        <f t="shared" si="2"/>
        <v>0.055</v>
      </c>
      <c r="E30" s="127"/>
      <c r="F30" s="126">
        <f t="shared" si="3"/>
        <v>0.052999999999999998</v>
      </c>
    </row>
    <row r="31" spans="1:6" ht="13.2">
      <c r="A31" s="67">
        <f t="shared" si="0"/>
        <v>20</v>
      </c>
      <c r="B31" s="55" t="s">
        <v>37</v>
      </c>
      <c r="D31" s="126">
        <f t="shared" si="2"/>
        <v>0.019</v>
      </c>
      <c r="E31" s="127"/>
      <c r="F31" s="126">
        <f t="shared" si="3"/>
        <v>0.021000000000000001</v>
      </c>
    </row>
    <row r="32" spans="1:6" ht="13.2">
      <c r="A32" s="67">
        <f t="shared" si="0"/>
        <v>21</v>
      </c>
      <c r="B32" s="55" t="s">
        <v>38</v>
      </c>
      <c r="D32" s="126">
        <f t="shared" si="2"/>
        <v>0.012999999999999999</v>
      </c>
      <c r="E32" s="127"/>
      <c r="F32" s="126">
        <f t="shared" si="3"/>
        <v>0.014</v>
      </c>
    </row>
    <row r="33" spans="1:6" ht="13.2">
      <c r="A33" s="67">
        <f t="shared" si="0"/>
        <v>22</v>
      </c>
      <c r="B33" s="55" t="s">
        <v>39</v>
      </c>
      <c r="D33" s="126">
        <f t="shared" si="2"/>
        <v>0.029999999999999999</v>
      </c>
      <c r="E33" s="127"/>
      <c r="F33" s="126">
        <f t="shared" si="3"/>
        <v>0.033000000000000002</v>
      </c>
    </row>
    <row r="34" spans="1:6" ht="13.2">
      <c r="A34" s="67">
        <f t="shared" si="0"/>
        <v>23</v>
      </c>
      <c r="B34" s="55" t="s">
        <v>40</v>
      </c>
      <c r="D34" s="126">
        <f t="shared" si="2"/>
        <v>0.012</v>
      </c>
      <c r="E34" s="127"/>
      <c r="F34" s="126">
        <f t="shared" si="3"/>
        <v>0.010999999999999999</v>
      </c>
    </row>
    <row r="35" spans="1:6" ht="13.2">
      <c r="A35" s="67">
        <f t="shared" si="0"/>
        <v>24</v>
      </c>
      <c r="B35" s="55" t="s">
        <v>41</v>
      </c>
      <c r="D35" s="126">
        <f t="shared" si="2"/>
        <v>0.016</v>
      </c>
      <c r="E35" s="127"/>
      <c r="F35" s="126">
        <f t="shared" si="3"/>
        <v>0.017000000000000001</v>
      </c>
    </row>
    <row r="36" spans="1:6" ht="13.2">
      <c r="A36" s="67">
        <f t="shared" si="0"/>
        <v>25</v>
      </c>
      <c r="B36" s="55" t="s">
        <v>42</v>
      </c>
      <c r="D36" s="126">
        <f t="shared" si="2"/>
        <v>0.0060000000000000001</v>
      </c>
      <c r="E36" s="129"/>
      <c r="F36" s="126">
        <f t="shared" si="3"/>
        <v>0.0060000000000000001</v>
      </c>
    </row>
    <row r="37" spans="1:6" ht="13.2">
      <c r="A37" s="67">
        <f t="shared" si="0"/>
        <v>26</v>
      </c>
      <c r="D37" s="124">
        <f>AVERAGE(D22:F22,N22:O22)</f>
        <v>1</v>
      </c>
      <c r="F37" s="124">
        <f>AVERAGE(H22:L22)</f>
        <v>1</v>
      </c>
    </row>
  </sheetData>
  <mergeCells count="9">
    <mergeCell ref="B9:P9"/>
    <mergeCell ref="D24:F24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1.5" right="0.5" top="1.5" bottom="1" header="1" footer="0.5"/>
  <pageSetup orientation="portrait" scale="56" r:id="rId2"/>
  <headerFooter alignWithMargins="0">
    <oddHeader>&amp;RSchedule II-H-5.2
Page &amp;P of 37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2">
    <pageSetUpPr fitToPage="1"/>
  </sheetPr>
  <dimension ref="A1:P37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158" customWidth="1"/>
    <col min="2" max="2" width="16.8571428571429" style="158" customWidth="1"/>
    <col min="3" max="3" width="4.42857142857143" style="158" bestFit="1" customWidth="1"/>
    <col min="4" max="4" width="9.85714285714286" style="158" bestFit="1" customWidth="1"/>
    <col min="5" max="13" width="9.14285714285714" style="158"/>
    <col min="14" max="14" width="9.71428571428571" style="158" bestFit="1" customWidth="1"/>
    <col min="15" max="15" width="9.14285714285714" style="158"/>
    <col min="16" max="16" width="9.57142857142857" style="158" bestFit="1" customWidth="1"/>
    <col min="17" max="16384" width="9.14285714285714" style="158"/>
  </cols>
  <sheetData>
    <row r="1" spans="1:16" ht="15.6">
      <c r="A1" s="152"/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5.6">
      <c r="A2" s="152"/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3" spans="1:16" ht="15.6">
      <c r="A3" s="152"/>
      <c r="B3" s="224" t="str">
        <f>+RES!B3</f>
        <v>ADJUSTED WEATHER STATION DATA</v>
      </c>
      <c r="C3" s="224"/>
      <c r="D3" s="224"/>
      <c r="E3" s="224"/>
      <c r="F3" s="224"/>
      <c r="G3" s="225"/>
      <c r="H3" s="225"/>
      <c r="I3" s="225"/>
      <c r="J3" s="225"/>
      <c r="K3" s="225"/>
      <c r="L3" s="225"/>
      <c r="M3" s="225"/>
      <c r="N3" s="225"/>
      <c r="O3" s="225"/>
      <c r="P3" s="225"/>
    </row>
    <row r="4" spans="1:16" ht="15.6">
      <c r="A4" s="152"/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16" ht="15.6">
      <c r="A5" s="152"/>
      <c r="B5" s="200"/>
      <c r="C5" s="200"/>
      <c r="D5" s="200"/>
      <c r="E5" s="200"/>
      <c r="F5" s="200"/>
      <c r="G5"/>
      <c r="H5"/>
      <c r="I5" s="174"/>
      <c r="J5" s="174"/>
      <c r="K5" s="174"/>
      <c r="L5" s="174"/>
      <c r="M5" s="174"/>
      <c r="N5" s="174"/>
      <c r="O5" s="174"/>
      <c r="P5" s="174"/>
    </row>
    <row r="6" spans="1:16" ht="15.6">
      <c r="A6" s="152"/>
      <c r="B6" s="200" t="str">
        <f>+RES!B6</f>
        <v>SPONSOR: D. E. NELSON</v>
      </c>
      <c r="C6" s="200"/>
      <c r="D6" s="200"/>
      <c r="E6" s="200"/>
      <c r="F6" s="200"/>
      <c r="G6" s="202"/>
      <c r="H6" s="202"/>
      <c r="I6" s="202"/>
      <c r="J6" s="202"/>
      <c r="K6" s="202"/>
      <c r="L6" s="202"/>
      <c r="M6" s="202"/>
      <c r="N6" s="202"/>
      <c r="O6" s="202"/>
      <c r="P6" s="202"/>
    </row>
    <row r="7" spans="1:16" ht="15.6">
      <c r="A7" s="152"/>
      <c r="B7" s="151"/>
      <c r="C7" s="151"/>
      <c r="D7" s="151"/>
      <c r="E7" s="151"/>
      <c r="F7" s="151"/>
      <c r="G7" s="153"/>
      <c r="H7" s="153"/>
      <c r="I7" s="174"/>
      <c r="J7" s="174"/>
      <c r="K7" s="174"/>
      <c r="L7" s="174"/>
      <c r="M7" s="174"/>
      <c r="N7" s="174"/>
      <c r="O7" s="174"/>
      <c r="P7" s="174"/>
    </row>
    <row r="8" spans="1:16" ht="15.6">
      <c r="A8" s="152"/>
      <c r="B8" s="224" t="s">
        <v>98</v>
      </c>
      <c r="C8" s="224"/>
      <c r="D8" s="224"/>
      <c r="E8" s="224"/>
      <c r="F8" s="224"/>
      <c r="G8" s="225"/>
      <c r="H8" s="225"/>
      <c r="I8" s="225"/>
      <c r="J8" s="225"/>
      <c r="K8" s="225"/>
      <c r="L8" s="225"/>
      <c r="M8" s="225"/>
      <c r="N8" s="225"/>
      <c r="O8" s="225"/>
      <c r="P8" s="225"/>
    </row>
    <row r="9" spans="1:16" ht="15.6">
      <c r="A9" s="152"/>
      <c r="B9" s="224" t="s">
        <v>131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6" ht="13.2">
      <c r="A10" s="152" t="s">
        <v>6</v>
      </c>
      <c r="B10" s="152" t="s">
        <v>9</v>
      </c>
      <c r="C10" s="152"/>
      <c r="D10" s="6" t="s">
        <v>10</v>
      </c>
      <c r="E10" s="6" t="s">
        <v>12</v>
      </c>
      <c r="F10" s="6" t="s">
        <v>11</v>
      </c>
      <c r="G10" s="6" t="s">
        <v>53</v>
      </c>
      <c r="H10" s="6" t="s">
        <v>54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64</v>
      </c>
      <c r="N10" s="6" t="s">
        <v>65</v>
      </c>
      <c r="O10" s="6" t="s">
        <v>66</v>
      </c>
      <c r="P10" s="6" t="s">
        <v>67</v>
      </c>
    </row>
    <row r="11" spans="1:16" s="169" customFormat="1" ht="13.2">
      <c r="A11" s="5" t="s">
        <v>8</v>
      </c>
      <c r="B11" s="165" t="s">
        <v>68</v>
      </c>
      <c r="C11" s="173"/>
      <c r="D11" s="172">
        <v>36892</v>
      </c>
      <c r="E11" s="171">
        <v>36923</v>
      </c>
      <c r="F11" s="171">
        <v>36951</v>
      </c>
      <c r="G11" s="171">
        <v>36982</v>
      </c>
      <c r="H11" s="171">
        <v>37012</v>
      </c>
      <c r="I11" s="171">
        <v>37043</v>
      </c>
      <c r="J11" s="171">
        <v>37073</v>
      </c>
      <c r="K11" s="171">
        <v>37104</v>
      </c>
      <c r="L11" s="171">
        <v>37135</v>
      </c>
      <c r="M11" s="171">
        <v>37165</v>
      </c>
      <c r="N11" s="171">
        <v>37196</v>
      </c>
      <c r="O11" s="171">
        <v>37226</v>
      </c>
      <c r="P11" s="170" t="s">
        <v>4</v>
      </c>
    </row>
    <row r="12" spans="1:16" ht="13.2">
      <c r="A12" s="160">
        <v>1</v>
      </c>
      <c r="B12" t="s">
        <v>33</v>
      </c>
      <c r="C12" s="167"/>
      <c r="D12" s="168">
        <f>+'[9]SUBS Seasonal Weights'!D11</f>
        <v>0.21765427776737237</v>
      </c>
      <c r="E12" s="168">
        <f>+'[9]SUBS Seasonal Weights'!E11</f>
        <v>0.18748584656705419</v>
      </c>
      <c r="F12" s="168">
        <f>+'[9]SUBS Seasonal Weights'!F11</f>
        <v>0.17431432331205179</v>
      </c>
      <c r="G12" s="168">
        <f>+'[9]SUBS Seasonal Weights'!G11</f>
        <v>0.21232150543788128</v>
      </c>
      <c r="H12" s="168">
        <f>+'[9]SUBS Seasonal Weights'!H11</f>
        <v>0.21439831351502511</v>
      </c>
      <c r="I12" s="168">
        <f>+'[9]SUBS Seasonal Weights'!I11</f>
        <v>0.20342945720085287</v>
      </c>
      <c r="J12" s="168">
        <f>+'[9]SUBS Seasonal Weights'!J11</f>
        <v>0.20570831210214599</v>
      </c>
      <c r="K12" s="168">
        <f>+'[9]SUBS Seasonal Weights'!K11</f>
        <v>0.20826755529413757</v>
      </c>
      <c r="L12" s="168">
        <f>+'[9]SUBS Seasonal Weights'!L11</f>
        <v>0.20480535246271622</v>
      </c>
      <c r="M12" s="168">
        <f>+'[9]SUBS Seasonal Weights'!M11</f>
        <v>0.19254648185745624</v>
      </c>
      <c r="N12" s="168">
        <f>+'[9]SUBS Seasonal Weights'!N11</f>
        <v>0.1957777090848217</v>
      </c>
      <c r="O12" s="168">
        <f>+'[9]SUBS Seasonal Weights'!O11</f>
        <v>0.17963189515215119</v>
      </c>
      <c r="P12" s="168">
        <f>+'[9]SUBS Seasonal Weights'!P11</f>
        <v>0.19938554694840899</v>
      </c>
    </row>
    <row r="13" spans="1:16" ht="13.2">
      <c r="A13" s="160">
        <f t="shared" si="0" ref="A13:A37">+A12+1</f>
        <v>2</v>
      </c>
      <c r="B13" t="s">
        <v>34</v>
      </c>
      <c r="C13" s="167"/>
      <c r="D13" s="168">
        <f>+'[9]SUBS Seasonal Weights'!D12</f>
        <v>0.50096146462512625</v>
      </c>
      <c r="E13" s="168">
        <f>+'[9]SUBS Seasonal Weights'!E12</f>
        <v>0.56143874485019152</v>
      </c>
      <c r="F13" s="168">
        <f>+'[9]SUBS Seasonal Weights'!F12</f>
        <v>0.60911325341877409</v>
      </c>
      <c r="G13" s="168">
        <f>+'[9]SUBS Seasonal Weights'!G12</f>
        <v>0.53944196048943738</v>
      </c>
      <c r="H13" s="168">
        <f>+'[9]SUBS Seasonal Weights'!H12</f>
        <v>0.53570711715211239</v>
      </c>
      <c r="I13" s="168">
        <f>+'[9]SUBS Seasonal Weights'!I12</f>
        <v>0.55266882653815907</v>
      </c>
      <c r="J13" s="168">
        <f>+'[9]SUBS Seasonal Weights'!J12</f>
        <v>0.54896786994293578</v>
      </c>
      <c r="K13" s="168">
        <f>+'[9]SUBS Seasonal Weights'!K12</f>
        <v>0.54302973593740478</v>
      </c>
      <c r="L13" s="168">
        <f>+'[9]SUBS Seasonal Weights'!L12</f>
        <v>0.54566020015078365</v>
      </c>
      <c r="M13" s="168">
        <f>+'[9]SUBS Seasonal Weights'!M12</f>
        <v>0.56676884832272012</v>
      </c>
      <c r="N13" s="168">
        <f>+'[9]SUBS Seasonal Weights'!N12</f>
        <v>0.56991483345241734</v>
      </c>
      <c r="O13" s="168">
        <f>+'[9]SUBS Seasonal Weights'!O12</f>
        <v>0.58376760054109833</v>
      </c>
      <c r="P13" s="168">
        <f>+'[9]SUBS Seasonal Weights'!P12</f>
        <v>0.55565718594849267</v>
      </c>
    </row>
    <row r="14" spans="1:16" ht="13.2">
      <c r="A14" s="160">
        <f t="shared" si="0"/>
        <v>3</v>
      </c>
      <c r="B14" t="s">
        <v>35</v>
      </c>
      <c r="C14" s="167"/>
      <c r="D14" s="168">
        <f>+'[9]SUBS Seasonal Weights'!D13</f>
        <v>0.027585255984888302</v>
      </c>
      <c r="E14" s="168">
        <f>+'[9]SUBS Seasonal Weights'!E13</f>
        <v>0.025443644885176513</v>
      </c>
      <c r="F14" s="168">
        <f>+'[9]SUBS Seasonal Weights'!F13</f>
        <v>0.022991430569668743</v>
      </c>
      <c r="G14" s="168">
        <f>+'[9]SUBS Seasonal Weights'!G13</f>
        <v>0.025246417094062643</v>
      </c>
      <c r="H14" s="168">
        <f>+'[9]SUBS Seasonal Weights'!H13</f>
        <v>0.025200147001947382</v>
      </c>
      <c r="I14" s="168">
        <f>+'[9]SUBS Seasonal Weights'!I13</f>
        <v>0.026757366025446375</v>
      </c>
      <c r="J14" s="168">
        <f>+'[9]SUBS Seasonal Weights'!J13</f>
        <v>0.029754612342569011</v>
      </c>
      <c r="K14" s="168">
        <f>+'[9]SUBS Seasonal Weights'!K13</f>
        <v>0.027781333866728583</v>
      </c>
      <c r="L14" s="168">
        <f>+'[9]SUBS Seasonal Weights'!L13</f>
        <v>0.028387171343129125</v>
      </c>
      <c r="M14" s="168">
        <f>+'[9]SUBS Seasonal Weights'!M13</f>
        <v>0.027247630396372926</v>
      </c>
      <c r="N14" s="168">
        <f>+'[9]SUBS Seasonal Weights'!N13</f>
        <v>0.0259098848921928</v>
      </c>
      <c r="O14" s="168">
        <f>+'[9]SUBS Seasonal Weights'!O13</f>
        <v>0.017421087197097226</v>
      </c>
      <c r="P14" s="168">
        <f>+'[9]SUBS Seasonal Weights'!P13</f>
        <v>0.025790838602804664</v>
      </c>
    </row>
    <row r="15" spans="1:16" ht="13.2">
      <c r="A15" s="160">
        <f t="shared" si="0"/>
        <v>4</v>
      </c>
      <c r="B15" t="s">
        <v>36</v>
      </c>
      <c r="C15" s="167"/>
      <c r="D15" s="168">
        <f>+'[9]SUBS Seasonal Weights'!D14</f>
        <v>0.10537862200208918</v>
      </c>
      <c r="E15" s="168">
        <f>+'[9]SUBS Seasonal Weights'!E14</f>
        <v>0.10309727408239493</v>
      </c>
      <c r="F15" s="168">
        <f>+'[9]SUBS Seasonal Weights'!F14</f>
        <v>0.083616291160722847</v>
      </c>
      <c r="G15" s="168">
        <f>+'[9]SUBS Seasonal Weights'!G14</f>
        <v>0.090255214448613591</v>
      </c>
      <c r="H15" s="168">
        <f>+'[9]SUBS Seasonal Weights'!H14</f>
        <v>0.096031001691828446</v>
      </c>
      <c r="I15" s="168">
        <f>+'[9]SUBS Seasonal Weights'!I14</f>
        <v>0.084536338672790229</v>
      </c>
      <c r="J15" s="168">
        <f>+'[9]SUBS Seasonal Weights'!J14</f>
        <v>0.0798382194289428</v>
      </c>
      <c r="K15" s="168">
        <f>+'[9]SUBS Seasonal Weights'!K14</f>
        <v>0.075145389027481149</v>
      </c>
      <c r="L15" s="168">
        <f>+'[9]SUBS Seasonal Weights'!L14</f>
        <v>0.07682360853302532</v>
      </c>
      <c r="M15" s="168">
        <f>+'[9]SUBS Seasonal Weights'!M14</f>
        <v>0.072304179415055833</v>
      </c>
      <c r="N15" s="168">
        <f>+'[9]SUBS Seasonal Weights'!N14</f>
        <v>0.073510452073731608</v>
      </c>
      <c r="O15" s="168">
        <f>+'[9]SUBS Seasonal Weights'!O14</f>
        <v>0.095752163428445211</v>
      </c>
      <c r="P15" s="168">
        <f>+'[9]SUBS Seasonal Weights'!P14</f>
        <v>0.085725359726246161</v>
      </c>
    </row>
    <row r="16" spans="1:16" ht="13.2">
      <c r="A16" s="160">
        <f t="shared" si="0"/>
        <v>5</v>
      </c>
      <c r="B16" t="s">
        <v>37</v>
      </c>
      <c r="C16" s="167"/>
      <c r="D16" s="168">
        <f>+'[9]SUBS Seasonal Weights'!D15</f>
        <v>0.0083843901963562891</v>
      </c>
      <c r="E16" s="168">
        <f>+'[9]SUBS Seasonal Weights'!E15</f>
        <v>0.008518125759130149</v>
      </c>
      <c r="F16" s="168">
        <f>+'[9]SUBS Seasonal Weights'!F15</f>
        <v>0.00735630611408812</v>
      </c>
      <c r="G16" s="168">
        <f>+'[9]SUBS Seasonal Weights'!G15</f>
        <v>0.0080119875916229346</v>
      </c>
      <c r="H16" s="168">
        <f>+'[9]SUBS Seasonal Weights'!H15</f>
        <v>0.0072324792630037594</v>
      </c>
      <c r="I16" s="168">
        <f>+'[9]SUBS Seasonal Weights'!I15</f>
        <v>0.011138340071768206</v>
      </c>
      <c r="J16" s="168">
        <f>+'[9]SUBS Seasonal Weights'!J15</f>
        <v>0.012627349973981735</v>
      </c>
      <c r="K16" s="168">
        <f>+'[9]SUBS Seasonal Weights'!K15</f>
        <v>0.012327552086446257</v>
      </c>
      <c r="L16" s="168">
        <f>+'[9]SUBS Seasonal Weights'!L15</f>
        <v>0.013875796707671162</v>
      </c>
      <c r="M16" s="168">
        <f>+'[9]SUBS Seasonal Weights'!M15</f>
        <v>0.01143136349734751</v>
      </c>
      <c r="N16" s="168">
        <f>+'[9]SUBS Seasonal Weights'!N15</f>
        <v>0.010674923652769269</v>
      </c>
      <c r="O16" s="168">
        <f>+'[9]SUBS Seasonal Weights'!O15</f>
        <v>0.0053328803643286436</v>
      </c>
      <c r="P16" s="168">
        <f>+'[9]SUBS Seasonal Weights'!P15</f>
        <v>0.0098316421372454995</v>
      </c>
    </row>
    <row r="17" spans="1:16" ht="13.2">
      <c r="A17" s="160">
        <f t="shared" si="0"/>
        <v>6</v>
      </c>
      <c r="B17" t="s">
        <v>38</v>
      </c>
      <c r="C17" s="167"/>
      <c r="D17" s="168">
        <f>+'[9]SUBS Seasonal Weights'!D16</f>
        <v>0.075693121525180901</v>
      </c>
      <c r="E17" s="168">
        <f>+'[9]SUBS Seasonal Weights'!E16</f>
        <v>0.047624335821385963</v>
      </c>
      <c r="F17" s="168">
        <f>+'[9]SUBS Seasonal Weights'!F16</f>
        <v>0.050863429971640485</v>
      </c>
      <c r="G17" s="168">
        <f>+'[9]SUBS Seasonal Weights'!G16</f>
        <v>0.056338141665271978</v>
      </c>
      <c r="H17" s="168">
        <f>+'[9]SUBS Seasonal Weights'!H16</f>
        <v>0.056825128226120354</v>
      </c>
      <c r="I17" s="168">
        <f>+'[9]SUBS Seasonal Weights'!I16</f>
        <v>0.06217756011057439</v>
      </c>
      <c r="J17" s="168">
        <f>+'[9]SUBS Seasonal Weights'!J16</f>
        <v>0.061942108455650409</v>
      </c>
      <c r="K17" s="168">
        <f>+'[9]SUBS Seasonal Weights'!K16</f>
        <v>0.069950115468512902</v>
      </c>
      <c r="L17" s="168">
        <f>+'[9]SUBS Seasonal Weights'!L16</f>
        <v>0.067068932077803026</v>
      </c>
      <c r="M17" s="168">
        <f>+'[9]SUBS Seasonal Weights'!M16</f>
        <v>0.064543202381464992</v>
      </c>
      <c r="N17" s="168">
        <f>+'[9]SUBS Seasonal Weights'!N16</f>
        <v>0.065253255074162991</v>
      </c>
      <c r="O17" s="168">
        <f>+'[9]SUBS Seasonal Weights'!O16</f>
        <v>0.062287988313773177</v>
      </c>
      <c r="P17" s="168">
        <f>+'[9]SUBS Seasonal Weights'!P16</f>
        <v>0.061860227301328799</v>
      </c>
    </row>
    <row r="18" spans="1:16" ht="13.2">
      <c r="A18" s="160">
        <f t="shared" si="0"/>
        <v>7</v>
      </c>
      <c r="B18" t="s">
        <v>39</v>
      </c>
      <c r="C18" s="167"/>
      <c r="D18" s="168">
        <f>+'[9]SUBS Seasonal Weights'!D17</f>
        <v>0.01787842386210186</v>
      </c>
      <c r="E18" s="168">
        <f>+'[9]SUBS Seasonal Weights'!E17</f>
        <v>0.017726037443539538</v>
      </c>
      <c r="F18" s="168">
        <f>+'[9]SUBS Seasonal Weights'!F17</f>
        <v>0.012494008027916909</v>
      </c>
      <c r="G18" s="168">
        <f>+'[9]SUBS Seasonal Weights'!G17</f>
        <v>0.020031101808435533</v>
      </c>
      <c r="H18" s="168">
        <f>+'[9]SUBS Seasonal Weights'!H17</f>
        <v>0.01421646591030018</v>
      </c>
      <c r="I18" s="168">
        <f>+'[9]SUBS Seasonal Weights'!I17</f>
        <v>0.013143384437033084</v>
      </c>
      <c r="J18" s="168">
        <f>+'[9]SUBS Seasonal Weights'!J17</f>
        <v>0.013680482407614467</v>
      </c>
      <c r="K18" s="168">
        <f>+'[9]SUBS Seasonal Weights'!K17</f>
        <v>0.013867671164309753</v>
      </c>
      <c r="L18" s="168">
        <f>+'[9]SUBS Seasonal Weights'!L17</f>
        <v>0.011582764237847935</v>
      </c>
      <c r="M18" s="168">
        <f>+'[9]SUBS Seasonal Weights'!M17</f>
        <v>0.013545036247905302</v>
      </c>
      <c r="N18" s="168">
        <f>+'[9]SUBS Seasonal Weights'!N17</f>
        <v>0.010650822845876349</v>
      </c>
      <c r="O18" s="168">
        <f>+'[9]SUBS Seasonal Weights'!O17</f>
        <v>0.012501361314116688</v>
      </c>
      <c r="P18" s="168">
        <f>+'[9]SUBS Seasonal Weights'!P17</f>
        <v>0.01411790314560166</v>
      </c>
    </row>
    <row r="19" spans="1:16" ht="13.2">
      <c r="A19" s="160">
        <f t="shared" si="0"/>
        <v>8</v>
      </c>
      <c r="B19" t="s">
        <v>40</v>
      </c>
      <c r="C19" s="167"/>
      <c r="D19" s="168">
        <f>+'[9]SUBS Seasonal Weights'!D18</f>
        <v>0.035481282130020698</v>
      </c>
      <c r="E19" s="168">
        <f>+'[9]SUBS Seasonal Weights'!E18</f>
        <v>0.03769935094827194</v>
      </c>
      <c r="F19" s="168">
        <f>+'[9]SUBS Seasonal Weights'!F18</f>
        <v>0.031438245774007501</v>
      </c>
      <c r="G19" s="168">
        <f>+'[9]SUBS Seasonal Weights'!G18</f>
        <v>0.037494005902159754</v>
      </c>
      <c r="H19" s="168">
        <f>+'[9]SUBS Seasonal Weights'!H18</f>
        <v>0.03849416119044495</v>
      </c>
      <c r="I19" s="168">
        <f>+'[9]SUBS Seasonal Weights'!I18</f>
        <v>0.035278656394721504</v>
      </c>
      <c r="J19" s="168">
        <f>+'[9]SUBS Seasonal Weights'!J18</f>
        <v>0.034818928037740247</v>
      </c>
      <c r="K19" s="168">
        <f>+'[9]SUBS Seasonal Weights'!K18</f>
        <v>0.03472960436995369</v>
      </c>
      <c r="L19" s="168">
        <f>+'[9]SUBS Seasonal Weights'!L18</f>
        <v>0.032709088438127067</v>
      </c>
      <c r="M19" s="168">
        <f>+'[9]SUBS Seasonal Weights'!M18</f>
        <v>0.034845786455937</v>
      </c>
      <c r="N19" s="168">
        <f>+'[9]SUBS Seasonal Weights'!N18</f>
        <v>0.03305145345882618</v>
      </c>
      <c r="O19" s="168">
        <f>+'[9]SUBS Seasonal Weights'!O18</f>
        <v>0.029969908614980473</v>
      </c>
      <c r="P19" s="168">
        <f>+'[9]SUBS Seasonal Weights'!P18</f>
        <v>0.034534564375782013</v>
      </c>
    </row>
    <row r="20" spans="1:16" ht="13.2">
      <c r="A20" s="160">
        <f t="shared" si="0"/>
        <v>9</v>
      </c>
      <c r="B20" t="s">
        <v>41</v>
      </c>
      <c r="C20" s="167"/>
      <c r="D20" s="168">
        <f>+'[9]SUBS Seasonal Weights'!D19</f>
        <v>0.010983161906864167</v>
      </c>
      <c r="E20" s="168">
        <f>+'[9]SUBS Seasonal Weights'!E19</f>
        <v>0.010966639642855261</v>
      </c>
      <c r="F20" s="168">
        <f>+'[9]SUBS Seasonal Weights'!F19</f>
        <v>0.0078127116511296155</v>
      </c>
      <c r="G20" s="168">
        <f>+'[9]SUBS Seasonal Weights'!G19</f>
        <v>0.010859665562514968</v>
      </c>
      <c r="H20" s="168">
        <f>+'[9]SUBS Seasonal Weights'!H19</f>
        <v>0.011895186049217323</v>
      </c>
      <c r="I20" s="168">
        <f>+'[9]SUBS Seasonal Weights'!I19</f>
        <v>0.01087007054865425</v>
      </c>
      <c r="J20" s="168">
        <f>+'[9]SUBS Seasonal Weights'!J19</f>
        <v>0.012662117308419665</v>
      </c>
      <c r="K20" s="168">
        <f>+'[9]SUBS Seasonal Weights'!K19</f>
        <v>0.014901042785025409</v>
      </c>
      <c r="L20" s="168">
        <f>+'[9]SUBS Seasonal Weights'!L19</f>
        <v>0.019087086048896432</v>
      </c>
      <c r="M20" s="168">
        <f>+'[9]SUBS Seasonal Weights'!M19</f>
        <v>0.016767471425739984</v>
      </c>
      <c r="N20" s="168">
        <f>+'[9]SUBS Seasonal Weights'!N19</f>
        <v>0.015256665465201812</v>
      </c>
      <c r="O20" s="168">
        <f>+'[9]SUBS Seasonal Weights'!O19</f>
        <v>0.01333511507400907</v>
      </c>
      <c r="P20" s="168">
        <f>+'[9]SUBS Seasonal Weights'!P19</f>
        <v>0.013096731814089498</v>
      </c>
    </row>
    <row r="21" spans="1:16" ht="13.2">
      <c r="A21" s="160">
        <f t="shared" si="0"/>
        <v>10</v>
      </c>
      <c r="B21" t="s">
        <v>42</v>
      </c>
      <c r="C21" s="167"/>
      <c r="D21" s="168">
        <f>+'[9]SUBS Seasonal Weights'!D20</f>
        <v>0</v>
      </c>
      <c r="E21" s="168">
        <f>+'[9]SUBS Seasonal Weights'!E20</f>
        <v>0</v>
      </c>
      <c r="F21" s="168">
        <f>+'[9]SUBS Seasonal Weights'!F20</f>
        <v>0</v>
      </c>
      <c r="G21" s="168">
        <f>+'[9]SUBS Seasonal Weights'!G20</f>
        <v>0</v>
      </c>
      <c r="H21" s="168">
        <f>+'[9]SUBS Seasonal Weights'!H20</f>
        <v>0</v>
      </c>
      <c r="I21" s="168">
        <f>+'[9]SUBS Seasonal Weights'!I20</f>
        <v>0</v>
      </c>
      <c r="J21" s="168">
        <f>+'[9]SUBS Seasonal Weights'!J20</f>
        <v>0</v>
      </c>
      <c r="K21" s="168">
        <f>+'[9]SUBS Seasonal Weights'!K20</f>
        <v>0</v>
      </c>
      <c r="L21" s="168">
        <f>+'[9]SUBS Seasonal Weights'!L20</f>
        <v>0</v>
      </c>
      <c r="M21" s="168">
        <f>+'[9]SUBS Seasonal Weights'!M20</f>
        <v>0</v>
      </c>
      <c r="N21" s="168">
        <f>+'[9]SUBS Seasonal Weights'!N20</f>
        <v>0</v>
      </c>
      <c r="O21" s="168">
        <f>+'[9]SUBS Seasonal Weights'!O20</f>
        <v>0</v>
      </c>
      <c r="P21" s="168">
        <f>+'[9]SUBS Seasonal Weights'!P20</f>
        <v>0</v>
      </c>
    </row>
    <row r="22" spans="1:16" ht="13.2">
      <c r="A22" s="160">
        <f t="shared" si="0"/>
        <v>11</v>
      </c>
      <c r="C22" s="167"/>
      <c r="D22" s="166">
        <f t="shared" si="1" ref="D22:P22">SUM(D12:D21)</f>
        <v>0.99999999999999989</v>
      </c>
      <c r="E22" s="166">
        <f t="shared" si="1"/>
        <v>0.99999999999999989</v>
      </c>
      <c r="F22" s="166">
        <f t="shared" si="1"/>
        <v>1</v>
      </c>
      <c r="G22" s="166">
        <f t="shared" si="1"/>
        <v>1</v>
      </c>
      <c r="H22" s="166">
        <f t="shared" si="1"/>
        <v>0.99999999999999989</v>
      </c>
      <c r="I22" s="166">
        <f t="shared" si="1"/>
        <v>1</v>
      </c>
      <c r="J22" s="166">
        <f t="shared" si="1"/>
        <v>1</v>
      </c>
      <c r="K22" s="166">
        <f t="shared" si="1"/>
        <v>1</v>
      </c>
      <c r="L22" s="166">
        <f t="shared" si="1"/>
        <v>0.99999999999999989</v>
      </c>
      <c r="M22" s="166">
        <f t="shared" si="1"/>
        <v>1</v>
      </c>
      <c r="N22" s="166">
        <f t="shared" si="1"/>
        <v>1.0000000000000002</v>
      </c>
      <c r="O22" s="166">
        <f t="shared" si="1"/>
        <v>1</v>
      </c>
      <c r="P22" s="166">
        <f t="shared" si="1"/>
        <v>1</v>
      </c>
    </row>
    <row r="23" spans="1:1" ht="13.2">
      <c r="A23" s="160">
        <f t="shared" si="0"/>
        <v>12</v>
      </c>
    </row>
    <row r="24" spans="1:10" ht="15.6">
      <c r="A24" s="160">
        <f t="shared" si="0"/>
        <v>13</v>
      </c>
      <c r="D24" s="226" t="s">
        <v>97</v>
      </c>
      <c r="E24" s="227"/>
      <c r="F24" s="228"/>
      <c r="G24" s="151"/>
      <c r="H24" s="151"/>
      <c r="I24" s="153"/>
      <c r="J24" s="153"/>
    </row>
    <row r="25" spans="1:6" ht="13.2">
      <c r="A25" s="160">
        <f t="shared" si="0"/>
        <v>14</v>
      </c>
      <c r="D25" s="158" t="s">
        <v>56</v>
      </c>
      <c r="F25" s="158" t="s">
        <v>57</v>
      </c>
    </row>
    <row r="26" spans="1:6" ht="13.2">
      <c r="A26" s="160">
        <f t="shared" si="0"/>
        <v>15</v>
      </c>
      <c r="B26" s="165" t="s">
        <v>68</v>
      </c>
      <c r="D26" s="164" t="s">
        <v>58</v>
      </c>
      <c r="F26" s="164" t="s">
        <v>59</v>
      </c>
    </row>
    <row r="27" spans="1:6" ht="13.2">
      <c r="A27" s="160">
        <f t="shared" si="0"/>
        <v>16</v>
      </c>
      <c r="B27" s="158" t="s">
        <v>33</v>
      </c>
      <c r="D27" s="161">
        <f t="shared" si="2" ref="D27:D36">ROUND(AVERAGE(D12:F12,N12:O12),3)</f>
        <v>0.191</v>
      </c>
      <c r="E27" s="163"/>
      <c r="F27" s="161">
        <f t="shared" si="3" ref="F27:F36">ROUND(AVERAGE(H12:L12),3)</f>
        <v>0.20699999999999999</v>
      </c>
    </row>
    <row r="28" spans="1:6" ht="13.2">
      <c r="A28" s="160">
        <f t="shared" si="0"/>
        <v>17</v>
      </c>
      <c r="B28" s="158" t="s">
        <v>34</v>
      </c>
      <c r="D28" s="161">
        <f t="shared" si="2"/>
        <v>0.56499999999999995</v>
      </c>
      <c r="E28" s="163"/>
      <c r="F28" s="161">
        <f t="shared" si="3"/>
        <v>0.54500000000000004</v>
      </c>
    </row>
    <row r="29" spans="1:6" ht="13.2">
      <c r="A29" s="160">
        <f t="shared" si="0"/>
        <v>18</v>
      </c>
      <c r="B29" s="158" t="s">
        <v>35</v>
      </c>
      <c r="D29" s="161">
        <f t="shared" si="2"/>
        <v>0.024</v>
      </c>
      <c r="E29" s="163"/>
      <c r="F29" s="161">
        <f t="shared" si="3"/>
        <v>0.028000000000000001</v>
      </c>
    </row>
    <row r="30" spans="1:6" ht="13.2">
      <c r="A30" s="160">
        <f t="shared" si="0"/>
        <v>19</v>
      </c>
      <c r="B30" s="158" t="s">
        <v>36</v>
      </c>
      <c r="D30" s="161">
        <f t="shared" si="2"/>
        <v>0.091999999999999998</v>
      </c>
      <c r="E30" s="163"/>
      <c r="F30" s="161">
        <f t="shared" si="3"/>
        <v>0.082000000000000003</v>
      </c>
    </row>
    <row r="31" spans="1:6" ht="13.2">
      <c r="A31" s="160">
        <f t="shared" si="0"/>
        <v>20</v>
      </c>
      <c r="B31" s="158" t="s">
        <v>37</v>
      </c>
      <c r="D31" s="161">
        <f t="shared" si="2"/>
        <v>0.0080000000000000002</v>
      </c>
      <c r="E31" s="163"/>
      <c r="F31" s="161">
        <f t="shared" si="3"/>
        <v>0.010999999999999999</v>
      </c>
    </row>
    <row r="32" spans="1:6" ht="13.2">
      <c r="A32" s="160">
        <f t="shared" si="0"/>
        <v>21</v>
      </c>
      <c r="B32" s="158" t="s">
        <v>38</v>
      </c>
      <c r="D32" s="161">
        <f t="shared" si="2"/>
        <v>0.059999999999999998</v>
      </c>
      <c r="E32" s="163"/>
      <c r="F32" s="161">
        <f t="shared" si="3"/>
        <v>0.064000000000000001</v>
      </c>
    </row>
    <row r="33" spans="1:6" ht="13.2">
      <c r="A33" s="160">
        <f t="shared" si="0"/>
        <v>22</v>
      </c>
      <c r="B33" s="158" t="s">
        <v>39</v>
      </c>
      <c r="D33" s="161">
        <f t="shared" si="2"/>
        <v>0.014</v>
      </c>
      <c r="E33" s="163"/>
      <c r="F33" s="161">
        <f t="shared" si="3"/>
        <v>0.012999999999999999</v>
      </c>
    </row>
    <row r="34" spans="1:6" ht="13.2">
      <c r="A34" s="160">
        <f t="shared" si="0"/>
        <v>23</v>
      </c>
      <c r="B34" s="158" t="s">
        <v>40</v>
      </c>
      <c r="D34" s="161">
        <f t="shared" si="2"/>
        <v>0.034000000000000002</v>
      </c>
      <c r="E34" s="163"/>
      <c r="F34" s="161">
        <f t="shared" si="3"/>
        <v>0.035000000000000003</v>
      </c>
    </row>
    <row r="35" spans="1:6" ht="13.2">
      <c r="A35" s="160">
        <f t="shared" si="0"/>
        <v>24</v>
      </c>
      <c r="B35" s="158" t="s">
        <v>41</v>
      </c>
      <c r="D35" s="161">
        <f t="shared" si="2"/>
        <v>0.012</v>
      </c>
      <c r="E35" s="163"/>
      <c r="F35" s="161">
        <f t="shared" si="3"/>
        <v>0.014</v>
      </c>
    </row>
    <row r="36" spans="1:6" ht="13.2">
      <c r="A36" s="160">
        <f t="shared" si="0"/>
        <v>25</v>
      </c>
      <c r="B36" s="158" t="s">
        <v>42</v>
      </c>
      <c r="D36" s="161">
        <f t="shared" si="2"/>
        <v>0</v>
      </c>
      <c r="E36" s="162"/>
      <c r="F36" s="161">
        <f t="shared" si="3"/>
        <v>0</v>
      </c>
    </row>
    <row r="37" spans="1:6" ht="13.2">
      <c r="A37" s="160">
        <f t="shared" si="0"/>
        <v>26</v>
      </c>
      <c r="D37" s="159">
        <f>AVERAGE(D22:F22,N22:O22)</f>
        <v>1</v>
      </c>
      <c r="F37" s="159">
        <f>AVERAGE(H22:L22)</f>
        <v>1</v>
      </c>
    </row>
  </sheetData>
  <mergeCells count="9">
    <mergeCell ref="B8:P8"/>
    <mergeCell ref="B9:P9"/>
    <mergeCell ref="D24:F24"/>
    <mergeCell ref="B1:P1"/>
    <mergeCell ref="B2:P2"/>
    <mergeCell ref="B3:P3"/>
    <mergeCell ref="B4:P4"/>
    <mergeCell ref="B5:F5"/>
    <mergeCell ref="B6:P6"/>
  </mergeCells>
  <printOptions horizontalCentered="1"/>
  <pageMargins left="1.5" right="0.5" top="1.5" bottom="1" header="1" footer="0.5"/>
  <pageSetup orientation="portrait" scale="56" r:id="rId2"/>
  <headerFooter alignWithMargins="0">
    <oddHeader>&amp;RSchedule II-H-5.2
Page &amp;P of 37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3">
    <pageSetUpPr fitToPage="1"/>
  </sheetPr>
  <dimension ref="A1:H46"/>
  <sheetViews>
    <sheetView workbookViewId="0" topLeftCell="A1"/>
  </sheetViews>
  <sheetFormatPr defaultRowHeight="13.5"/>
  <cols>
    <col min="1" max="1" width="9.14285714285714" style="1" customWidth="1"/>
    <col min="2" max="2" width="16.2857142857143" customWidth="1"/>
    <col min="3" max="3" width="9.57142857142857" bestFit="1" customWidth="1"/>
    <col min="4" max="4" width="10" customWidth="1"/>
    <col min="5" max="5" width="1.42857142857143" customWidth="1"/>
    <col min="6" max="6" width="16.2857142857143" bestFit="1" customWidth="1"/>
    <col min="7" max="7" width="9.57142857142857" bestFit="1" customWidth="1"/>
    <col min="8" max="8" width="10.5714285714286" customWidth="1"/>
  </cols>
  <sheetData>
    <row r="1" spans="2:8" ht="15.6">
      <c r="B1" s="200" t="str">
        <f>+RES!B1</f>
        <v xml:space="preserve">PUC DOCKET NO. </v>
      </c>
      <c r="C1" s="202"/>
      <c r="D1" s="202"/>
      <c r="E1" s="202"/>
      <c r="F1" s="202"/>
      <c r="G1" s="202"/>
      <c r="H1" s="202"/>
    </row>
    <row r="2" spans="2:8" ht="15.6">
      <c r="B2" s="200" t="str">
        <f>+RES!B2</f>
        <v>ONCOR ELECTRIC DELIVERY COMPANY LLC</v>
      </c>
      <c r="C2" s="200"/>
      <c r="D2" s="200"/>
      <c r="E2" s="200"/>
      <c r="F2" s="200"/>
      <c r="G2" s="202"/>
      <c r="H2" s="202"/>
    </row>
    <row r="3" spans="2:8" ht="15.6">
      <c r="B3" s="200" t="str">
        <f>+RES!B3</f>
        <v>ADJUSTED WEATHER STATION DATA</v>
      </c>
      <c r="C3" s="200"/>
      <c r="D3" s="200"/>
      <c r="E3" s="200"/>
      <c r="F3" s="200"/>
      <c r="G3" s="202"/>
      <c r="H3" s="202"/>
    </row>
    <row r="4" spans="2:8" ht="15.6">
      <c r="B4" s="200" t="str">
        <f>+RES!B4</f>
        <v>FOR THE TEST YEAR ENDING DECEMBER 31, 2021</v>
      </c>
      <c r="C4" s="200"/>
      <c r="D4" s="200"/>
      <c r="E4" s="200"/>
      <c r="F4" s="200"/>
      <c r="G4" s="202"/>
      <c r="H4" s="202"/>
    </row>
    <row r="5" spans="2:6" ht="15.6">
      <c r="B5" s="200"/>
      <c r="C5" s="200"/>
      <c r="D5" s="200"/>
      <c r="E5" s="200"/>
      <c r="F5" s="200"/>
    </row>
    <row r="6" spans="2:8" ht="15.6">
      <c r="B6" s="200" t="str">
        <f>+RES!B6</f>
        <v>SPONSOR: D. E. NELSON</v>
      </c>
      <c r="C6" s="200"/>
      <c r="D6" s="200"/>
      <c r="E6" s="200"/>
      <c r="F6" s="200"/>
      <c r="G6" s="202"/>
      <c r="H6" s="202"/>
    </row>
    <row r="7" spans="2:8" ht="15.6">
      <c r="B7" s="4"/>
      <c r="C7" s="4"/>
      <c r="D7" s="4"/>
      <c r="E7" s="4"/>
      <c r="F7" s="4"/>
      <c r="G7" s="51"/>
      <c r="H7" s="51"/>
    </row>
    <row r="8" spans="2:8" ht="15.6">
      <c r="B8" s="200" t="s">
        <v>55</v>
      </c>
      <c r="C8" s="200"/>
      <c r="D8" s="200"/>
      <c r="E8" s="200"/>
      <c r="F8" s="200"/>
      <c r="G8" s="202"/>
      <c r="H8" s="202"/>
    </row>
    <row r="9" spans="1:8" ht="13.2">
      <c r="A9" s="1" t="s">
        <v>6</v>
      </c>
      <c r="B9" s="1" t="s">
        <v>9</v>
      </c>
      <c r="C9" s="1" t="s">
        <v>10</v>
      </c>
      <c r="D9" s="6" t="s">
        <v>12</v>
      </c>
      <c r="E9" s="6"/>
      <c r="F9" s="6" t="s">
        <v>11</v>
      </c>
      <c r="G9" s="6" t="s">
        <v>53</v>
      </c>
      <c r="H9" s="6" t="s">
        <v>54</v>
      </c>
    </row>
    <row r="10" spans="1:8" ht="13.8" thickBot="1">
      <c r="A10" s="5" t="s">
        <v>8</v>
      </c>
      <c r="B10" s="233" t="s">
        <v>48</v>
      </c>
      <c r="C10" s="234"/>
      <c r="D10" s="234"/>
      <c r="E10" s="106"/>
      <c r="F10" s="229" t="s">
        <v>32</v>
      </c>
      <c r="G10" s="230"/>
      <c r="H10" s="230"/>
    </row>
    <row r="11" spans="1:8" ht="13.2">
      <c r="A11" s="1">
        <v>1</v>
      </c>
      <c r="B11" s="107" t="s">
        <v>107</v>
      </c>
      <c r="C11" s="108" t="s">
        <v>50</v>
      </c>
      <c r="D11" s="108" t="s">
        <v>52</v>
      </c>
      <c r="E11" s="107"/>
      <c r="F11" s="107" t="s">
        <v>107</v>
      </c>
      <c r="G11" s="108" t="s">
        <v>50</v>
      </c>
      <c r="H11" s="108" t="s">
        <v>52</v>
      </c>
    </row>
    <row r="12" spans="1:8" ht="13.2">
      <c r="A12" s="144">
        <f>+A11+1</f>
        <v>2</v>
      </c>
      <c r="B12" s="107">
        <v>65</v>
      </c>
      <c r="C12" s="111">
        <f>+'[10]RES Spline Model'!C51</f>
        <v>408.43000000000001</v>
      </c>
      <c r="D12" s="131">
        <f>ROUND(C12/$C$17,5)</f>
        <v>0.075520000000000004</v>
      </c>
      <c r="E12" s="107"/>
      <c r="F12" s="107"/>
      <c r="G12" s="108"/>
      <c r="H12" s="108"/>
    </row>
    <row r="13" spans="1:8" ht="13.2">
      <c r="A13" s="1">
        <f>+A12+1</f>
        <v>3</v>
      </c>
      <c r="B13" s="107">
        <v>60</v>
      </c>
      <c r="C13" s="111">
        <f>+'[10]RES Spline Model'!C50</f>
        <v>988.327</v>
      </c>
      <c r="D13" s="131">
        <f>ROUND(C13/$C$17,5)</f>
        <v>0.18275</v>
      </c>
      <c r="E13" s="107"/>
      <c r="F13" s="109">
        <v>65</v>
      </c>
      <c r="G13" s="108">
        <f>+'[10]RES Spline Model'!C52</f>
        <v>1462.0719999999999</v>
      </c>
      <c r="H13" s="131">
        <f>ROUND(G13/$G$17,5)</f>
        <v>0.26171</v>
      </c>
    </row>
    <row r="14" spans="1:8" ht="13.2">
      <c r="A14" s="1">
        <f t="shared" si="0" ref="A14:A39">+A13+1</f>
        <v>4</v>
      </c>
      <c r="B14" s="109">
        <v>55</v>
      </c>
      <c r="C14" s="111">
        <f>+'[10]RES Spline Model'!C49</f>
        <v>1896.28</v>
      </c>
      <c r="D14" s="131">
        <f t="shared" si="1" ref="D14:D16">ROUND(C14/$C$17,5)</f>
        <v>0.35063</v>
      </c>
      <c r="E14" s="112"/>
      <c r="F14" s="109">
        <v>70</v>
      </c>
      <c r="G14" s="108">
        <f>+'[10]RES Spline Model'!C53</f>
        <v>2075.154</v>
      </c>
      <c r="H14" s="131">
        <f>ROUND(G14/$G$17,5)</f>
        <v>0.37145</v>
      </c>
    </row>
    <row r="15" spans="1:8" ht="13.2">
      <c r="A15" s="1">
        <f t="shared" si="0"/>
        <v>5</v>
      </c>
      <c r="B15" s="109">
        <v>45</v>
      </c>
      <c r="C15" s="111">
        <f>+'[10]RES Spline Model'!C48</f>
        <v>880.41899999999998</v>
      </c>
      <c r="D15" s="131">
        <f t="shared" si="1"/>
        <v>0.16278999999999999</v>
      </c>
      <c r="E15" s="112"/>
      <c r="F15" s="109">
        <v>75</v>
      </c>
      <c r="G15" s="108">
        <f>+'[10]RES Spline Model'!C54</f>
        <v>1562.961</v>
      </c>
      <c r="H15" s="131">
        <f t="shared" si="2" ref="H15:H16">ROUND(G15/$G$17,5)</f>
        <v>0.27977000000000002</v>
      </c>
    </row>
    <row r="16" spans="1:8" ht="13.8" thickBot="1">
      <c r="A16" s="1">
        <f t="shared" si="0"/>
        <v>6</v>
      </c>
      <c r="B16" s="113">
        <v>40</v>
      </c>
      <c r="C16" s="111">
        <f>+'[10]RES Spline Model'!C47</f>
        <v>1234.77</v>
      </c>
      <c r="D16" s="131">
        <f t="shared" si="1"/>
        <v>0.22831000000000001</v>
      </c>
      <c r="E16" s="112"/>
      <c r="F16" s="114">
        <v>80</v>
      </c>
      <c r="G16" s="108">
        <f>+'[10]RES Spline Model'!C55</f>
        <v>486.46899999999999</v>
      </c>
      <c r="H16" s="131">
        <f t="shared" si="2"/>
        <v>0.087080000000000005</v>
      </c>
    </row>
    <row r="17" spans="1:8" ht="13.2">
      <c r="A17" s="1">
        <f t="shared" si="0"/>
        <v>7</v>
      </c>
      <c r="B17" s="115" t="s">
        <v>51</v>
      </c>
      <c r="C17" s="116">
        <f>SUM(C12:C16)</f>
        <v>5408.2260000000006</v>
      </c>
      <c r="D17" s="132">
        <f>SUM(D12:D16)</f>
        <v>1</v>
      </c>
      <c r="E17" s="112"/>
      <c r="F17" s="115" t="s">
        <v>51</v>
      </c>
      <c r="G17" s="116">
        <f>SUM(G13:G16)</f>
        <v>5586.6559999999999</v>
      </c>
      <c r="H17" s="132">
        <f>SUM(H13:H16)</f>
        <v>1.0000100000000001</v>
      </c>
    </row>
    <row r="18" spans="1:8" ht="13.2">
      <c r="A18" s="1">
        <f t="shared" si="0"/>
        <v>8</v>
      </c>
      <c r="B18" s="117"/>
      <c r="C18" s="111"/>
      <c r="D18" s="111"/>
      <c r="E18" s="112"/>
      <c r="F18" s="112"/>
      <c r="G18" s="112"/>
      <c r="H18" s="112"/>
    </row>
    <row r="19" spans="1:8" ht="30" customHeight="1" thickBot="1">
      <c r="A19" s="1">
        <f t="shared" si="0"/>
        <v>9</v>
      </c>
      <c r="B19" s="231" t="s">
        <v>120</v>
      </c>
      <c r="C19" s="232"/>
      <c r="D19" s="232"/>
      <c r="E19" s="106"/>
      <c r="F19" s="231" t="s">
        <v>121</v>
      </c>
      <c r="G19" s="232"/>
      <c r="H19" s="232"/>
    </row>
    <row r="20" spans="1:8" ht="13.2">
      <c r="A20" s="1">
        <f t="shared" si="0"/>
        <v>10</v>
      </c>
      <c r="B20" s="107" t="s">
        <v>107</v>
      </c>
      <c r="C20" s="108" t="s">
        <v>50</v>
      </c>
      <c r="D20" s="108" t="s">
        <v>52</v>
      </c>
      <c r="E20" s="107"/>
      <c r="F20" s="107" t="s">
        <v>107</v>
      </c>
      <c r="G20" s="108" t="s">
        <v>50</v>
      </c>
      <c r="H20" s="108" t="s">
        <v>52</v>
      </c>
    </row>
    <row r="21" spans="1:8" ht="13.2">
      <c r="A21" s="1">
        <f t="shared" si="0"/>
        <v>11</v>
      </c>
      <c r="B21" s="109"/>
      <c r="C21" s="118"/>
      <c r="D21" s="131"/>
      <c r="E21" s="107"/>
      <c r="F21" s="107">
        <v>65</v>
      </c>
      <c r="G21" s="108">
        <f>+'[10]GSS Spline Model'!C49</f>
        <v>15.156000000000001</v>
      </c>
      <c r="H21" s="131">
        <f>ROUND(G21/$G$25,5)</f>
        <v>0.18265999999999999</v>
      </c>
    </row>
    <row r="22" spans="1:8" ht="13.2">
      <c r="A22" s="1">
        <f t="shared" si="0"/>
        <v>12</v>
      </c>
      <c r="B22" s="109">
        <v>60</v>
      </c>
      <c r="C22" s="118">
        <f>+'[10]GSS Spline Model'!C48</f>
        <v>18.439</v>
      </c>
      <c r="D22" s="131">
        <f>ROUND(C22/$C$25,5)</f>
        <v>0.37452999999999997</v>
      </c>
      <c r="E22" s="112"/>
      <c r="F22" s="109">
        <v>70</v>
      </c>
      <c r="G22" s="108">
        <f>+'[10]GSS Spline Model'!C50</f>
        <v>22.431999999999999</v>
      </c>
      <c r="H22" s="131">
        <f t="shared" si="3" ref="H22:H24">ROUND(G22/$G$25,5)</f>
        <v>0.27034999999999998</v>
      </c>
    </row>
    <row r="23" spans="1:8" ht="13.2">
      <c r="A23" s="1">
        <f t="shared" si="0"/>
        <v>13</v>
      </c>
      <c r="B23" s="109">
        <v>55</v>
      </c>
      <c r="C23" s="118">
        <f>+'[10]GSS Spline Model'!C47</f>
        <v>13.441000000000001</v>
      </c>
      <c r="D23" s="131">
        <f t="shared" si="4" ref="D23">ROUND(C23/$C$25,5)</f>
        <v>0.27300999999999997</v>
      </c>
      <c r="E23" s="112"/>
      <c r="F23" s="109">
        <v>75</v>
      </c>
      <c r="G23" s="108">
        <f>+'[10]GSS Spline Model'!C51</f>
        <v>25.370999999999999</v>
      </c>
      <c r="H23" s="131">
        <f t="shared" si="3"/>
        <v>0.30576999999999999</v>
      </c>
    </row>
    <row r="24" spans="1:8" ht="13.8" thickBot="1">
      <c r="A24" s="1">
        <f t="shared" si="0"/>
        <v>14</v>
      </c>
      <c r="B24" s="145">
        <v>45</v>
      </c>
      <c r="C24" s="108">
        <f>+'[10]GSS Spline Model'!C46</f>
        <v>17.353000000000002</v>
      </c>
      <c r="D24" s="131">
        <f>ROUND(C24/$C$25,5)</f>
        <v>0.35247000000000001</v>
      </c>
      <c r="E24" s="112"/>
      <c r="F24" s="113">
        <v>85</v>
      </c>
      <c r="G24" s="108">
        <f>+'[10]GSS Spline Model'!C52</f>
        <v>20.015000000000001</v>
      </c>
      <c r="H24" s="131">
        <f t="shared" si="3"/>
        <v>0.24121999999999999</v>
      </c>
    </row>
    <row r="25" spans="1:8" ht="13.2">
      <c r="A25" s="1">
        <f t="shared" si="0"/>
        <v>15</v>
      </c>
      <c r="B25" s="115" t="s">
        <v>51</v>
      </c>
      <c r="C25" s="116">
        <f>SUM(C22:C24)</f>
        <v>49.233000000000004</v>
      </c>
      <c r="D25" s="132">
        <f>SUM(D22:D24)</f>
        <v>1.0000100000000001</v>
      </c>
      <c r="E25" s="112"/>
      <c r="F25" s="117" t="s">
        <v>51</v>
      </c>
      <c r="G25" s="119">
        <f>SUM(G21:G24)</f>
        <v>82.974000000000004</v>
      </c>
      <c r="H25" s="132">
        <f>SUM(H21:H24)</f>
        <v>1</v>
      </c>
    </row>
    <row r="26" spans="1:8" ht="13.2">
      <c r="A26" s="1">
        <f t="shared" si="0"/>
        <v>16</v>
      </c>
      <c r="B26" s="117"/>
      <c r="C26" s="120"/>
      <c r="D26" s="120"/>
      <c r="E26" s="121"/>
      <c r="F26" s="121"/>
      <c r="G26" s="121"/>
      <c r="H26" s="121"/>
    </row>
    <row r="27" spans="1:8" ht="30.6" customHeight="1" thickBot="1">
      <c r="A27" s="1">
        <f t="shared" si="0"/>
        <v>17</v>
      </c>
      <c r="B27" s="231" t="s">
        <v>123</v>
      </c>
      <c r="C27" s="232"/>
      <c r="D27" s="232"/>
      <c r="E27" s="106"/>
      <c r="F27" s="231" t="s">
        <v>122</v>
      </c>
      <c r="G27" s="232"/>
      <c r="H27" s="232"/>
    </row>
    <row r="28" spans="1:8" ht="13.2">
      <c r="A28" s="1">
        <f t="shared" si="0"/>
        <v>18</v>
      </c>
      <c r="B28" s="107" t="s">
        <v>107</v>
      </c>
      <c r="C28" s="108" t="s">
        <v>50</v>
      </c>
      <c r="D28" s="108" t="s">
        <v>52</v>
      </c>
      <c r="E28" s="107"/>
      <c r="F28" s="107" t="s">
        <v>107</v>
      </c>
      <c r="G28" s="108" t="s">
        <v>50</v>
      </c>
      <c r="H28" s="108" t="s">
        <v>52</v>
      </c>
    </row>
    <row r="29" spans="1:8" ht="13.2">
      <c r="A29" s="1">
        <f t="shared" si="0"/>
        <v>19</v>
      </c>
      <c r="B29" s="107"/>
      <c r="C29" s="108"/>
      <c r="D29" s="108"/>
      <c r="E29" s="107"/>
      <c r="F29" s="107">
        <v>60</v>
      </c>
      <c r="G29" s="108">
        <f>+'[10]GSL Spline Model'!C49</f>
        <v>523.00999999999999</v>
      </c>
      <c r="H29" s="131">
        <f>ROUND(G29/$G$33,5)</f>
        <v>0.25863999999999998</v>
      </c>
    </row>
    <row r="30" spans="1:8" ht="13.2">
      <c r="A30" s="1">
        <f t="shared" si="0"/>
        <v>20</v>
      </c>
      <c r="B30" s="109"/>
      <c r="C30" s="111"/>
      <c r="D30" s="110"/>
      <c r="E30" s="107"/>
      <c r="F30" s="109">
        <v>65</v>
      </c>
      <c r="G30" s="108">
        <f>+'[10]GSL Spline Model'!C50</f>
        <v>346.22500000000002</v>
      </c>
      <c r="H30" s="131">
        <f t="shared" si="5" ref="H30:H32">ROUND(G30/$G$33,5)</f>
        <v>0.17121</v>
      </c>
    </row>
    <row r="31" spans="1:8" ht="13.2">
      <c r="A31" s="1">
        <f t="shared" si="0"/>
        <v>21</v>
      </c>
      <c r="B31" s="109">
        <v>55</v>
      </c>
      <c r="C31" s="111">
        <f>+'[10]GSL Spline Model'!C48</f>
        <v>530.55600000000004</v>
      </c>
      <c r="D31" s="131">
        <f>ROUND(C31/$C$33,5)</f>
        <v>0.45606999999999998</v>
      </c>
      <c r="E31" s="112"/>
      <c r="F31" s="109">
        <v>70</v>
      </c>
      <c r="G31" s="108">
        <f>+'[10]GSL Spline Model'!C51</f>
        <v>676.20699999999999</v>
      </c>
      <c r="H31" s="131">
        <f t="shared" si="5"/>
        <v>0.33439000000000002</v>
      </c>
    </row>
    <row r="32" spans="1:8" ht="13.8" thickBot="1">
      <c r="A32" s="1">
        <f t="shared" si="0"/>
        <v>22</v>
      </c>
      <c r="B32" s="107">
        <v>45</v>
      </c>
      <c r="C32" s="111">
        <f>+'[10]GSL Spline Model'!C47</f>
        <v>632.77499999999998</v>
      </c>
      <c r="D32" s="131">
        <f>ROUND(C32/$C$33,5)</f>
        <v>0.54393000000000002</v>
      </c>
      <c r="E32" s="112"/>
      <c r="F32" s="113">
        <v>75</v>
      </c>
      <c r="G32" s="108">
        <f>+'[10]GSL Spline Model'!C52</f>
        <v>476.74599999999998</v>
      </c>
      <c r="H32" s="131">
        <f t="shared" si="5"/>
        <v>0.23576</v>
      </c>
    </row>
    <row r="33" spans="1:8" ht="13.2">
      <c r="A33" s="1">
        <f t="shared" si="0"/>
        <v>23</v>
      </c>
      <c r="B33" s="115" t="s">
        <v>51</v>
      </c>
      <c r="C33" s="119">
        <f>SUM(C31:C32)</f>
        <v>1163.3310000000001</v>
      </c>
      <c r="D33" s="132">
        <f>SUM(D31:D32)</f>
        <v>1</v>
      </c>
      <c r="E33" s="112"/>
      <c r="F33" s="117" t="s">
        <v>51</v>
      </c>
      <c r="G33" s="119">
        <f>SUM(G29:G32)</f>
        <v>2022.1880000000001</v>
      </c>
      <c r="H33" s="132">
        <f>SUM(H29:H32)</f>
        <v>1</v>
      </c>
    </row>
    <row r="34" spans="1:8" ht="13.2">
      <c r="A34" s="1">
        <f t="shared" si="0"/>
        <v>24</v>
      </c>
      <c r="B34" s="111"/>
      <c r="C34" s="111"/>
      <c r="D34" s="111"/>
      <c r="E34" s="111"/>
      <c r="F34" s="111"/>
      <c r="G34" s="111"/>
      <c r="H34" s="111"/>
    </row>
    <row r="35" spans="1:8" ht="32.4" customHeight="1" thickBot="1">
      <c r="A35" s="1">
        <f t="shared" si="0"/>
        <v>25</v>
      </c>
      <c r="B35" s="231" t="s">
        <v>124</v>
      </c>
      <c r="C35" s="232"/>
      <c r="D35" s="232"/>
      <c r="E35" s="106"/>
      <c r="F35" s="231" t="s">
        <v>125</v>
      </c>
      <c r="G35" s="232"/>
      <c r="H35" s="232"/>
    </row>
    <row r="36" spans="1:8" ht="13.2">
      <c r="A36" s="1">
        <f t="shared" si="0"/>
        <v>26</v>
      </c>
      <c r="B36" s="107" t="s">
        <v>107</v>
      </c>
      <c r="C36" s="108" t="s">
        <v>50</v>
      </c>
      <c r="D36" s="108" t="s">
        <v>52</v>
      </c>
      <c r="E36" s="107"/>
      <c r="F36" s="107" t="s">
        <v>107</v>
      </c>
      <c r="G36" s="108" t="s">
        <v>50</v>
      </c>
      <c r="H36" s="108" t="s">
        <v>52</v>
      </c>
    </row>
    <row r="37" spans="1:8" ht="13.2">
      <c r="A37" s="144">
        <f t="shared" si="0"/>
        <v>27</v>
      </c>
      <c r="B37" s="109"/>
      <c r="C37" s="111"/>
      <c r="D37" s="52"/>
      <c r="E37" s="112"/>
      <c r="F37" s="109">
        <v>55</v>
      </c>
      <c r="G37" s="108">
        <f>+'[10]GPLD Spline Model'!C49</f>
        <v>58.095999999999997</v>
      </c>
      <c r="H37" s="131">
        <f t="shared" si="6" ref="H37:H38">ROUND(G37/$G$39,5)</f>
        <v>0.42682999999999999</v>
      </c>
    </row>
    <row r="38" spans="1:8" ht="13.8" thickBot="1">
      <c r="A38" s="144">
        <f t="shared" si="0"/>
        <v>28</v>
      </c>
      <c r="B38" s="113"/>
      <c r="C38" s="122"/>
      <c r="D38" s="53"/>
      <c r="E38" s="112"/>
      <c r="F38" s="113">
        <v>70</v>
      </c>
      <c r="G38" s="108">
        <f>+'[10]GPLD Spline Model'!C50</f>
        <v>78.013999999999996</v>
      </c>
      <c r="H38" s="131">
        <f t="shared" si="6"/>
        <v>0.57316999999999996</v>
      </c>
    </row>
    <row r="39" spans="1:8" ht="13.2">
      <c r="A39" s="133">
        <f t="shared" si="0"/>
        <v>29</v>
      </c>
      <c r="B39" s="117"/>
      <c r="C39" s="111"/>
      <c r="D39" s="52"/>
      <c r="E39" s="112"/>
      <c r="F39" s="117" t="s">
        <v>51</v>
      </c>
      <c r="G39" s="119">
        <f>SUM(G37:G38)</f>
        <v>136.10999999999999</v>
      </c>
      <c r="H39" s="132">
        <f>SUM(H37:H38)</f>
        <v>1</v>
      </c>
    </row>
    <row r="41" spans="2:8" ht="13.8" thickBot="1">
      <c r="B41" s="229" t="s">
        <v>126</v>
      </c>
      <c r="C41" s="230"/>
      <c r="D41" s="230"/>
      <c r="E41" s="106"/>
      <c r="F41" s="229" t="s">
        <v>127</v>
      </c>
      <c r="G41" s="230"/>
      <c r="H41" s="230"/>
    </row>
    <row r="42" spans="2:8" ht="13.2">
      <c r="B42" s="107" t="s">
        <v>107</v>
      </c>
      <c r="C42" s="108" t="s">
        <v>50</v>
      </c>
      <c r="D42" s="108" t="s">
        <v>52</v>
      </c>
      <c r="E42" s="107"/>
      <c r="F42" s="107" t="s">
        <v>107</v>
      </c>
      <c r="G42" s="108" t="s">
        <v>50</v>
      </c>
      <c r="H42" s="108" t="s">
        <v>52</v>
      </c>
    </row>
    <row r="43" spans="6:8" ht="13.2">
      <c r="F43" s="109">
        <v>50</v>
      </c>
      <c r="G43" s="108">
        <f>+'[10]SUBS Spline Model'!C33</f>
        <v>14.089</v>
      </c>
      <c r="H43" s="131">
        <f>ROUND(G43/$G$46,5)</f>
        <v>2.1247199999999999</v>
      </c>
    </row>
    <row r="44" spans="6:8" ht="13.2">
      <c r="F44" s="109">
        <v>70</v>
      </c>
      <c r="G44" s="108">
        <f>+'[10]SUBS Spline Model'!C34</f>
        <v>21.437999999999999</v>
      </c>
      <c r="H44" s="131">
        <f>ROUND(G44/$G$46,5)</f>
        <v>3.2330000000000001</v>
      </c>
    </row>
    <row r="45" spans="2:8" ht="13.8" thickBot="1">
      <c r="B45" s="150"/>
      <c r="C45" s="150"/>
      <c r="D45" s="150"/>
      <c r="F45" s="175">
        <v>85</v>
      </c>
      <c r="G45" s="108">
        <f>+'[10]SUBS Spline Model'!C35</f>
        <v>-28.896000000000001</v>
      </c>
      <c r="H45" s="131">
        <f>ROUND(G45/$G$46,5)</f>
        <v>-4.35771</v>
      </c>
    </row>
    <row r="46" spans="6:8" ht="13.2">
      <c r="F46" s="194" t="s">
        <v>51</v>
      </c>
      <c r="G46" s="119">
        <f>SUM(G43:G45)</f>
        <v>6.6310000000000002</v>
      </c>
      <c r="H46" s="132">
        <f>SUM(H43:H45)</f>
        <v>1.0000100000000005</v>
      </c>
    </row>
  </sheetData>
  <mergeCells count="17">
    <mergeCell ref="B41:D41"/>
    <mergeCell ref="F41:H41"/>
    <mergeCell ref="B8:H8"/>
    <mergeCell ref="B35:D35"/>
    <mergeCell ref="F35:H35"/>
    <mergeCell ref="B27:D27"/>
    <mergeCell ref="F27:H27"/>
    <mergeCell ref="B1:H1"/>
    <mergeCell ref="B2:H2"/>
    <mergeCell ref="B3:H3"/>
    <mergeCell ref="B4:H4"/>
    <mergeCell ref="B6:H6"/>
    <mergeCell ref="B5:F5"/>
    <mergeCell ref="F10:H10"/>
    <mergeCell ref="B19:D19"/>
    <mergeCell ref="F19:H19"/>
    <mergeCell ref="B10:D10"/>
  </mergeCells>
  <printOptions horizontalCentered="1"/>
  <pageMargins left="1.5" right="0.5" top="1.5" bottom="1" header="1" footer="0.5"/>
  <pageSetup orientation="portrait" scale="42" r:id="rId1"/>
  <headerFooter alignWithMargins="0">
    <oddHeader>&amp;RSchedule II-H-5.2
Page &amp;P of 37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RES</vt:lpstr>
      <vt:lpstr>SECLE10KW</vt:lpstr>
      <vt:lpstr>SECGT10KW</vt:lpstr>
      <vt:lpstr>PRMGT10KWD</vt:lpstr>
      <vt:lpstr>SUBSTATION</vt:lpstr>
      <vt:lpstr>COOLING Weighting</vt:lpstr>
      <vt:lpstr>COOLING Weighting (2)</vt:lpstr>
      <vt:lpstr>HEATING Weighting</vt:lpstr>
      <vt:lpstr>HEATING Weighting (2)</vt:lpstr>
      <vt:lpstr>Simple Averages_0121</vt:lpstr>
      <vt:lpstr>Simple Averages_0720</vt:lpstr>
      <vt:lpstr>Simple Averages_0114</vt:lpstr>
      <vt:lpstr>Simple Averages_0714</vt:lpstr>
      <vt:lpstr>Smoothed Normal for 0121</vt:lpstr>
      <vt:lpstr>Smoothed Normal for 0720</vt:lpstr>
      <vt:lpstr>Smoothed Normal for 0114</vt:lpstr>
      <vt:lpstr>Smoothed Normal for 0714</vt:lpstr>
      <vt:lpstr>Cycle 18 HDD Feb 20</vt:lpstr>
      <vt:lpstr>Cycle 17 CDD Aug 20</vt:lpstr>
      <vt:lpstr>Cycle 16 HDD Feb 21</vt:lpstr>
      <vt:lpstr>Cycle 13 CDD Aug 21</vt:lpstr>
      <vt:lpstr>Billed Feb 20 HDD</vt:lpstr>
      <vt:lpstr>Billed Aug 20 CDD</vt:lpstr>
      <vt:lpstr>Billed Feb 21 HDD</vt:lpstr>
      <vt:lpstr>Billed Aug 21 CDD</vt:lpstr>
      <vt:lpstr>Spline Degree Days 2020</vt:lpstr>
      <vt:lpstr>Spline Degree Days 2021</vt:lpstr>
      <vt:lpstr>Res Seasonal Weights</vt:lpstr>
      <vt:lpstr>SECTE10KW Seasonal Weights</vt:lpstr>
      <vt:lpstr>SECGT10KW Seasonal Weights</vt:lpstr>
      <vt:lpstr>PRMGT10KWD Seasonal Weights</vt:lpstr>
      <vt:lpstr>Substation Seasonal Weights</vt:lpstr>
      <vt:lpstr>Class Spline Weights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