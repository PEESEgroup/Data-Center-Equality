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wmf" ContentType="image/x-wmf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2022 Rate Case\Section II (Test Year Data)\Schedule H (Historic Billing Determinants)\"/>
    </mc:Choice>
  </mc:AlternateContent>
  <bookViews>
    <workbookView xWindow="0" yWindow="252" windowWidth="15192" windowHeight="7752" tabRatio="599" firstSheet="1" activeTab="1"/>
  </bookViews>
  <sheets>
    <sheet name="Base35" sheetId="7" state="hidden" r:id="rId2"/>
    <sheet name="Base40h" sheetId="42" r:id="rId3"/>
    <sheet name="Base45h" sheetId="6" r:id="rId4"/>
    <sheet name="Base50h" sheetId="34" r:id="rId5"/>
    <sheet name="Base55h" sheetId="53" r:id="rId6"/>
    <sheet name="Base60h" sheetId="32" r:id="rId7"/>
    <sheet name="Base65h" sheetId="56" r:id="rId8"/>
    <sheet name="Base50c" sheetId="57" r:id="rId9"/>
    <sheet name="Base55c" sheetId="54" r:id="rId10"/>
    <sheet name="Base60c" sheetId="43" r:id="rId11"/>
    <sheet name="Base65c" sheetId="33" r:id="rId12"/>
    <sheet name="Base70c" sheetId="36" r:id="rId13"/>
    <sheet name="Base75c" sheetId="37" r:id="rId14"/>
    <sheet name="Base80c" sheetId="38" r:id="rId15"/>
    <sheet name="Base85c" sheetId="55" r:id="rId16"/>
    <sheet name="Abilene (AE) Jan 2020" sheetId="45" r:id="rId17"/>
    <sheet name="Abilene (AE) Jul 2020" sheetId="58" r:id="rId18"/>
    <sheet name="Abilene (AE) Jan 2021" sheetId="59" r:id="rId19"/>
    <sheet name="Abilene (AE) Jul 2021" sheetId="60" r:id="rId20"/>
    <sheet name="January 21 20 bySite" sheetId="62" r:id="rId21"/>
    <sheet name="July 20 20 bySite" sheetId="47" r:id="rId22"/>
    <sheet name="January 14 21 bySite" sheetId="64" r:id="rId23"/>
    <sheet name="July 14 21 bySite" sheetId="66" r:id="rId24"/>
    <sheet name="Abilene Simple Averages" sheetId="50" r:id="rId25"/>
    <sheet name="Abilene Simple Averages2" sheetId="29" r:id="rId26"/>
    <sheet name="Abilene January Normal" sheetId="30" r:id="rId27"/>
    <sheet name="Abilene July Normal" sheetId="51" r:id="rId28"/>
  </sheets>
  <definedNames>
    <definedName name="_xlnm.Print_Area" localSheetId="23">'Abilene Simple Averages'!$A$1:$O$54</definedName>
    <definedName name="_xlnm.Print_Area" localSheetId="24">'Abilene Simple Averages2'!$A$1:$P$54</definedName>
    <definedName name="_xlnm.Print_Area" localSheetId="1">Base40h!$A$1:$L$40</definedName>
    <definedName name="_xlnm.Print_Area" localSheetId="2">Base45h!$A$1:$L$40</definedName>
    <definedName name="_xlnm.Print_Area" localSheetId="7">Base50c!$A$1:$L$40</definedName>
    <definedName name="_xlnm.Print_Area" localSheetId="3">Base50h!$A$1:$L$73</definedName>
    <definedName name="_xlnm.Print_Area" localSheetId="8">Base55c!$A$1:$L$40</definedName>
    <definedName name="_xlnm.Print_Area" localSheetId="4">Base55h!$A$1:$L$73</definedName>
    <definedName name="_xlnm.Print_Area" localSheetId="9">Base60c!$A$1:$L$40</definedName>
    <definedName name="_xlnm.Print_Area" localSheetId="5">Base60h!$A$1:$L$40</definedName>
    <definedName name="_xlnm.Print_Area" localSheetId="10">Base65c!$A$1:$L$40</definedName>
    <definedName name="_xlnm.Print_Area" localSheetId="6">Base65h!$A$1:$L$40</definedName>
    <definedName name="_xlnm.Print_Area" localSheetId="11">Base70c!$A$1:$L$40</definedName>
    <definedName name="_xlnm.Print_Area" localSheetId="12">Base75c!$A$1:$L$40</definedName>
    <definedName name="_xlnm.Print_Area" localSheetId="13">Base80c!$A$1:$L$40</definedName>
    <definedName name="_xlnm.Print_Area" localSheetId="14">Base85c!$A$1:$L$40</definedName>
  </definedNames>
  <calcPr calcId="152511"/>
</workbook>
</file>

<file path=xl/calcChain.xml><?xml version="1.0" encoding="utf-8"?>
<calcChain xmlns="http://schemas.openxmlformats.org/spreadsheetml/2006/main">
  <c r="L71" i="7" l="1"/>
</calcChain>
</file>

<file path=xl/sharedStrings.xml><?xml version="1.0" encoding="utf-8"?>
<sst xmlns="http://schemas.openxmlformats.org/spreadsheetml/2006/main" count="949" uniqueCount="134">
  <si>
    <t>ONCOR ELECTRIC DELIVERY</t>
  </si>
  <si>
    <t>WEATHER STATION DATA</t>
  </si>
  <si>
    <t>FOR THE TEST YEAR ENDING DECEMBER 31, 2007</t>
  </si>
  <si>
    <t>SPONSOR: G. L. GOBLE</t>
  </si>
  <si>
    <t>Line              No.</t>
  </si>
  <si>
    <t>Metroplex (MX)</t>
  </si>
  <si>
    <t>Lufkin (LU)</t>
  </si>
  <si>
    <t>Austin (AU)</t>
  </si>
  <si>
    <t>Killeen (KI)</t>
  </si>
  <si>
    <t>Longview (LO)</t>
  </si>
  <si>
    <t>Waco (WO)</t>
  </si>
  <si>
    <t>Abilene (AE)</t>
  </si>
  <si>
    <t>Wichita Falls (WF)</t>
  </si>
  <si>
    <t>Midland/ Odessa (MO)</t>
  </si>
  <si>
    <t>Denison (DE)</t>
  </si>
  <si>
    <t>Annual</t>
  </si>
  <si>
    <t>Calendar Actual Heating Degree Days by Weather Sites (Base 45)</t>
  </si>
  <si>
    <t>Calendar Normal Heating Degree Days by Weather Sites (Base 45)</t>
  </si>
  <si>
    <t>Calendar Normal Heating Degree Days by Weather Sites (Base 35)</t>
  </si>
  <si>
    <t>Calendar Actual Heating Degree Days by Weather Sites (Base 35)</t>
  </si>
  <si>
    <t>Calendar Actual Cooling Degree Days by Weather Sites (Base 75)</t>
  </si>
  <si>
    <t>Calendar Actual Cooling Degree Days by Weather Sites (Base 70)</t>
  </si>
  <si>
    <t>Calendar Actual Cooling Degree Days by Weather Sites (Base 65)</t>
  </si>
  <si>
    <t>Calendar Actual  Cooling Degree Days by Weather Sites (Base 35)</t>
  </si>
  <si>
    <t>Calendar Actual Cooling Degree Days by Weather Sites (Base 35)</t>
  </si>
  <si>
    <t xml:space="preserve">PUC DOCKET NO. </t>
  </si>
  <si>
    <t>Calendar Normal Cooling Degree Days by Weather Sites (Base 65)</t>
  </si>
  <si>
    <t>Abilene</t>
  </si>
  <si>
    <t>DATE</t>
  </si>
  <si>
    <t>HR1</t>
  </si>
  <si>
    <t>HR2</t>
  </si>
  <si>
    <t>HR3</t>
  </si>
  <si>
    <t>HR4</t>
  </si>
  <si>
    <t>HR5</t>
  </si>
  <si>
    <t>HR6</t>
  </si>
  <si>
    <t>HR7</t>
  </si>
  <si>
    <t>HR8</t>
  </si>
  <si>
    <t>HR9</t>
  </si>
  <si>
    <t>HR10</t>
  </si>
  <si>
    <t>HR11</t>
  </si>
  <si>
    <t>HR12</t>
  </si>
  <si>
    <t>HR13</t>
  </si>
  <si>
    <t>HR14</t>
  </si>
  <si>
    <t>HR15</t>
  </si>
  <si>
    <t>HR16</t>
  </si>
  <si>
    <t>HR17</t>
  </si>
  <si>
    <t>HR18</t>
  </si>
  <si>
    <t>HR19</t>
  </si>
  <si>
    <t>HR20</t>
  </si>
  <si>
    <t>HR21</t>
  </si>
  <si>
    <t>HR22</t>
  </si>
  <si>
    <t>HR23</t>
  </si>
  <si>
    <t>HR24</t>
  </si>
  <si>
    <t>DAILY AVG</t>
  </si>
  <si>
    <t>JANUARY</t>
  </si>
  <si>
    <t>Dallas/ Fort Worth (MX)</t>
  </si>
  <si>
    <t>Calendar Normal Cooling Degree Days by Weather Sites (Base 75)</t>
  </si>
  <si>
    <t>Calendar Normal Cooling Degree Days by Weather Sites (Base 70)</t>
  </si>
  <si>
    <t>Year</t>
  </si>
  <si>
    <t>Month</t>
  </si>
  <si>
    <t>HDD45</t>
  </si>
  <si>
    <t>HDD50</t>
  </si>
  <si>
    <t>HDD60</t>
  </si>
  <si>
    <t>CDD65</t>
  </si>
  <si>
    <t>CDD70</t>
  </si>
  <si>
    <t>CDD75</t>
  </si>
  <si>
    <t>Austin</t>
  </si>
  <si>
    <t>Dallas-Ft. Worth</t>
  </si>
  <si>
    <t>Kileen-Temple</t>
  </si>
  <si>
    <t>Station</t>
  </si>
  <si>
    <t>Longview</t>
  </si>
  <si>
    <t>Lufkin</t>
  </si>
  <si>
    <t>Midland-Odessa</t>
  </si>
  <si>
    <t>Waco</t>
  </si>
  <si>
    <t>Wichita Falls</t>
  </si>
  <si>
    <t>Sherman-Denison</t>
  </si>
  <si>
    <t>Average</t>
  </si>
  <si>
    <t>NHDD60</t>
  </si>
  <si>
    <t>NHDD45</t>
  </si>
  <si>
    <t>NHDD50</t>
  </si>
  <si>
    <t>NCDD65</t>
  </si>
  <si>
    <t>NCDD70</t>
  </si>
  <si>
    <t>NCDD75</t>
  </si>
  <si>
    <t>SPONSOR: D. E. NELSON</t>
  </si>
  <si>
    <t>Calendar Actual Heating Degree Days by Weather Sites (Base 60)</t>
  </si>
  <si>
    <t>Calendar Normal Heating Degree Days by Weather Sites (Base 60)</t>
  </si>
  <si>
    <t>Calendar Actual Cooling Degree Days by Weather Sites (Base 50)</t>
  </si>
  <si>
    <t>Calendar Normal Cooling Degree Days by Weather Sites (Base 50)</t>
  </si>
  <si>
    <t>Calendar Actual Cooling Degree Days by Weather Sites (Base 80)</t>
  </si>
  <si>
    <t>Calendar Normal Cooling Degree Days by Weather Sites (Base 80)</t>
  </si>
  <si>
    <t>CDD50</t>
  </si>
  <si>
    <t>CDD80</t>
  </si>
  <si>
    <t>NCDD80</t>
  </si>
  <si>
    <t>SIMPLE TWENTY YEAR AVERAGE CALCULATION FOR ABILENE</t>
  </si>
  <si>
    <t>JANUARY MONTHLY NORMAL WEATHER SUMMATION FOR ABILENE</t>
  </si>
  <si>
    <t>Calendar Actual Heating Degree Days by Weather Sites (Base 40)</t>
  </si>
  <si>
    <t>Calendar Normal Heating Degree Days by Weather Sites (Base 40)</t>
  </si>
  <si>
    <t>Calendar Actual Cooling Degree Days by Weather Sites (Base 60)</t>
  </si>
  <si>
    <t>Calendar Normal Cooling Degree Days by Weather Sites (Base 60)</t>
  </si>
  <si>
    <t>HDD40</t>
  </si>
  <si>
    <t>NHDD40</t>
  </si>
  <si>
    <t>NCDD60</t>
  </si>
  <si>
    <t>ONCOR ELECTRIC DELIVERY COMPANY LLC</t>
  </si>
  <si>
    <t>JULY MONTHLY NORMAL WEATHER SUMMATION FOR ABILENE</t>
  </si>
  <si>
    <t>CDD60</t>
  </si>
  <si>
    <t>JULY</t>
  </si>
  <si>
    <t>Calendar Actual Cooling Degree Days by Weather Sites (Base 55)</t>
  </si>
  <si>
    <t>Calendar Normal Cooling Degree Days by Weather Sites (Base 55)</t>
  </si>
  <si>
    <t>Abilene Daily Actual Weather Calculation for January 2020</t>
  </si>
  <si>
    <t>Abilene Daily Actual Weather Calculation for July 2020</t>
  </si>
  <si>
    <t>HDD55</t>
  </si>
  <si>
    <t>NHDD55</t>
  </si>
  <si>
    <t>CDD85</t>
  </si>
  <si>
    <t>NCDD85</t>
  </si>
  <si>
    <t>Calendar Actual Cooling Degree Days by Weather Sites (Base 85)</t>
  </si>
  <si>
    <t>FOR THE TEST YEAR ENDING DECEMBER 31, 2021</t>
  </si>
  <si>
    <t>Calendar Actual Heating Degree Days by Weather Sites (Base 65)</t>
  </si>
  <si>
    <t>Calendar Normal Heating Degree Days by Weather Sites (Base 65)</t>
  </si>
  <si>
    <t>HDD65</t>
  </si>
  <si>
    <t>CDD55</t>
  </si>
  <si>
    <t>Abilene Daily Actual Weather Calculation for January 2021</t>
  </si>
  <si>
    <t>Abilene Daily Actual Weather Calculation for July 2021</t>
  </si>
  <si>
    <t>Daily Actual Weather Calculation By Site for July 20, 2020</t>
  </si>
  <si>
    <t>Daily Actual Weather Calculation By Site for January 21, 2020</t>
  </si>
  <si>
    <t>Daily Actual Weather Calculation By Site for July 14, 2021</t>
  </si>
  <si>
    <t>July 14</t>
  </si>
  <si>
    <t>July 20</t>
  </si>
  <si>
    <t>January 21</t>
  </si>
  <si>
    <t>Daily Actual Weather Calculation By Site for January 14, 2021</t>
  </si>
  <si>
    <t>Calendar Normal Cooling Degree Days by Weather Sites (Base 85)</t>
  </si>
  <si>
    <t>NHDD65</t>
  </si>
  <si>
    <t>NCDD55</t>
  </si>
  <si>
    <t>NCDD50</t>
  </si>
  <si>
    <t>January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</si>
</sst>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0.0"/>
    <numFmt numFmtId="165" formatCode="[$-409]mmm\-yy;@"/>
    <numFmt numFmtId="166" formatCode="mmm\-\-dd\-yy"/>
    <numFmt numFmtId="167" formatCode="[$-409]d\-mmm;@"/>
    <numFmt numFmtId="168" formatCode="0.0000"/>
    <numFmt numFmtId="169" formatCode="0.000"/>
  </numFmts>
  <fonts count="8">
    <font>
      <sz val="10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sz val="9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10"/>
      <name val="MS Sans Serif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medium">
        <color auto="1"/>
      </bottom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  <border>
      <left/>
      <right/>
      <top style="medium">
        <color auto="1"/>
      </top>
      <bottom/>
    </border>
  </borders>
  <cellStyleXfs count="22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6" fillId="0" borderId="0">
      <alignment/>
      <protection/>
    </xf>
    <xf numFmtId="0" fontId="0" fillId="0" borderId="0">
      <alignment/>
      <protection/>
    </xf>
  </cellStyleXfs>
  <cellXfs count="90">
    <xf numFmtId="0" fontId="0" fillId="0" borderId="0" xfId="0"/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1" xfId="0" applyFont="1" applyBorder="1" applyAlignment="1">
      <alignment horizontal="center" wrapText="1"/>
    </xf>
    <xf numFmtId="165" fontId="3" fillId="0" borderId="0" xfId="0" applyNumberFormat="1" applyFont="1"/>
    <xf numFmtId="1" fontId="3" fillId="0" borderId="0" xfId="0" applyNumberFormat="1" applyFont="1"/>
    <xf numFmtId="165" fontId="3" fillId="0" borderId="2" xfId="0" applyNumberFormat="1" applyFont="1" applyBorder="1"/>
    <xf numFmtId="1" fontId="3" fillId="0" borderId="2" xfId="0" applyNumberFormat="1" applyFont="1" applyBorder="1"/>
    <xf numFmtId="0" fontId="3" fillId="0" borderId="0" xfId="0" applyFont="1" applyAlignment="1">
      <alignment horizontal="right"/>
    </xf>
    <xf numFmtId="0" fontId="0" fillId="0" borderId="0" xfId="0" applyAlignment="1">
      <alignment/>
    </xf>
    <xf numFmtId="0" fontId="0" fillId="0" borderId="0" xfId="0" applyAlignment="1">
      <alignment horizontal="right"/>
    </xf>
    <xf numFmtId="166" fontId="0" fillId="0" borderId="0" xfId="0" applyNumberFormat="1"/>
    <xf numFmtId="2" fontId="0" fillId="0" borderId="0" xfId="0" applyNumberFormat="1"/>
    <xf numFmtId="0" fontId="7" fillId="0" borderId="0" xfId="0" applyFont="1"/>
    <xf numFmtId="0" fontId="6" fillId="0" borderId="0" xfId="20" applyNumberFormat="1" quotePrefix="1">
      <alignment/>
      <protection/>
    </xf>
    <xf numFmtId="0" fontId="6" fillId="0" borderId="0" xfId="20" applyNumberFormat="1">
      <alignment/>
      <protection/>
    </xf>
    <xf numFmtId="0" fontId="0" fillId="0" borderId="3" xfId="0" applyBorder="1"/>
    <xf numFmtId="0" fontId="3" fillId="0" borderId="0" xfId="0" applyFont="1" applyAlignment="1">
      <alignment/>
    </xf>
    <xf numFmtId="0" fontId="0" fillId="0" borderId="0" xfId="0" applyFill="1"/>
    <xf numFmtId="2" fontId="0" fillId="0" borderId="0" xfId="0" applyNumberFormat="1" applyFill="1"/>
    <xf numFmtId="164" fontId="0" fillId="0" borderId="3" xfId="0" applyNumberFormat="1" applyBorder="1"/>
    <xf numFmtId="166" fontId="0" fillId="0" borderId="0" xfId="0" applyNumberFormat="1" applyAlignment="1">
      <alignment horizontal="right"/>
    </xf>
    <xf numFmtId="0" fontId="6" fillId="0" borderId="0" xfId="20" applyNumberFormat="1" applyFont="1" applyAlignment="1">
      <alignment horizontal="right"/>
      <protection/>
    </xf>
    <xf numFmtId="0" fontId="0" fillId="0" borderId="4" xfId="0" applyBorder="1" applyAlignment="1">
      <alignment/>
    </xf>
    <xf numFmtId="2" fontId="0" fillId="0" borderId="4" xfId="0" applyNumberFormat="1" applyFill="1" applyBorder="1"/>
    <xf numFmtId="165" fontId="3" fillId="0" borderId="0" xfId="0" applyNumberFormat="1" applyFont="1" applyBorder="1"/>
    <xf numFmtId="1" fontId="3" fillId="0" borderId="0" xfId="0" applyNumberFormat="1" applyFont="1" applyBorder="1"/>
    <xf numFmtId="0" fontId="0" fillId="0" borderId="0" xfId="0" applyFont="1" applyAlignment="1">
      <alignment horizontal="right"/>
    </xf>
    <xf numFmtId="0" fontId="0" fillId="0" borderId="0" xfId="0" applyFont="1"/>
    <xf numFmtId="167" fontId="0" fillId="0" borderId="0" xfId="0" applyNumberFormat="1"/>
    <xf numFmtId="0" fontId="0" fillId="0" borderId="0" xfId="0" applyBorder="1"/>
    <xf numFmtId="0" fontId="0" fillId="0" borderId="0" xfId="0" applyBorder="1" applyAlignment="1">
      <alignment horizontal="right"/>
    </xf>
    <xf numFmtId="0" fontId="3" fillId="0" borderId="3" xfId="0" applyFont="1" applyBorder="1" applyAlignment="1">
      <alignment horizontal="right"/>
    </xf>
    <xf numFmtId="1" fontId="3" fillId="0" borderId="3" xfId="0" applyNumberFormat="1" applyFont="1" applyBorder="1"/>
    <xf numFmtId="0" fontId="3" fillId="0" borderId="0" xfId="0" applyFont="1" applyBorder="1" applyAlignment="1">
      <alignment horizontal="center"/>
    </xf>
    <xf numFmtId="0" fontId="3" fillId="0" borderId="0" xfId="0" applyFont="1" applyBorder="1"/>
    <xf numFmtId="0" fontId="3" fillId="0" borderId="0" xfId="0" applyFont="1" applyBorder="1" applyAlignment="1">
      <alignment horizontal="center" wrapText="1"/>
    </xf>
    <xf numFmtId="0" fontId="3" fillId="0" borderId="0" xfId="0" applyFont="1" applyBorder="1" applyAlignment="1">
      <alignment horizontal="right"/>
    </xf>
    <xf numFmtId="16" fontId="0" fillId="0" borderId="0" xfId="0" applyNumberFormat="1" applyFont="1" applyAlignment="1" quotePrefix="1">
      <alignment horizontal="right"/>
    </xf>
    <xf numFmtId="2" fontId="6" fillId="0" borderId="0" xfId="20" applyNumberFormat="1" quotePrefix="1">
      <alignment/>
      <protection/>
    </xf>
    <xf numFmtId="0" fontId="0" fillId="0" borderId="0" xfId="0" applyFont="1" applyAlignment="1" quotePrefix="1">
      <alignment horizontal="right"/>
    </xf>
    <xf numFmtId="0" fontId="0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right"/>
    </xf>
    <xf numFmtId="0" fontId="0" fillId="0" borderId="2" xfId="0" applyFont="1" applyBorder="1" applyAlignment="1">
      <alignment horizontal="right"/>
    </xf>
    <xf numFmtId="0" fontId="0" fillId="0" borderId="2" xfId="0" applyFont="1" applyBorder="1" applyAlignment="1">
      <alignment horizontal="right"/>
    </xf>
    <xf numFmtId="2" fontId="6" fillId="0" borderId="3" xfId="20" applyNumberFormat="1" applyBorder="1">
      <alignment/>
      <protection/>
    </xf>
    <xf numFmtId="0" fontId="0" fillId="0" borderId="3" xfId="0" applyFont="1" applyBorder="1"/>
    <xf numFmtId="0" fontId="6" fillId="0" borderId="3" xfId="20" applyNumberFormat="1" applyFont="1" applyBorder="1" applyAlignment="1">
      <alignment horizontal="right"/>
      <protection/>
    </xf>
    <xf numFmtId="2" fontId="0" fillId="0" borderId="0" xfId="0" applyNumberFormat="1" applyAlignment="1">
      <alignment horizontal="right"/>
    </xf>
    <xf numFmtId="10" fontId="3" fillId="0" borderId="0" xfId="15" applyNumberFormat="1" applyFont="1"/>
    <xf numFmtId="2" fontId="3" fillId="0" borderId="0" xfId="0" applyNumberFormat="1" applyFont="1"/>
    <xf numFmtId="2" fontId="3" fillId="0" borderId="0" xfId="15" applyNumberFormat="1" applyFont="1"/>
    <xf numFmtId="0" fontId="0" fillId="0" borderId="0" xfId="0" applyAlignment="1">
      <alignment horizontal="right"/>
    </xf>
    <xf numFmtId="1" fontId="3" fillId="0" borderId="0" xfId="0" applyNumberFormat="1" applyFont="1" applyFill="1"/>
    <xf numFmtId="2" fontId="0" fillId="0" borderId="4" xfId="0" applyNumberFormat="1" applyFont="1" applyFill="1" applyBorder="1"/>
    <xf numFmtId="0" fontId="0" fillId="0" borderId="0" xfId="0" applyAlignment="1">
      <alignment/>
    </xf>
    <xf numFmtId="0" fontId="0" fillId="0" borderId="0" xfId="0" applyAlignment="1">
      <alignment horizontal="right"/>
    </xf>
    <xf numFmtId="0" fontId="0" fillId="0" borderId="0" xfId="0" applyAlignment="1">
      <alignment horizontal="right" wrapText="1"/>
    </xf>
    <xf numFmtId="0" fontId="0" fillId="0" borderId="0" xfId="21">
      <alignment/>
      <protection/>
    </xf>
    <xf numFmtId="0" fontId="0" fillId="0" borderId="0" xfId="21" applyAlignment="1">
      <alignment/>
      <protection/>
    </xf>
    <xf numFmtId="2" fontId="0" fillId="0" borderId="0" xfId="21" applyNumberFormat="1">
      <alignment/>
      <protection/>
    </xf>
    <xf numFmtId="166" fontId="0" fillId="0" borderId="0" xfId="21" applyNumberFormat="1" applyAlignment="1">
      <alignment horizontal="right"/>
      <protection/>
    </xf>
    <xf numFmtId="0" fontId="0" fillId="0" borderId="0" xfId="21" applyFont="1" applyAlignment="1">
      <alignment horizontal="right"/>
      <protection/>
    </xf>
    <xf numFmtId="0" fontId="0" fillId="0" borderId="0" xfId="21" applyAlignment="1">
      <alignment horizontal="right"/>
      <protection/>
    </xf>
    <xf numFmtId="0" fontId="3" fillId="0" borderId="1" xfId="21" applyFont="1" applyBorder="1" applyAlignment="1">
      <alignment horizontal="center" wrapText="1"/>
      <protection/>
    </xf>
    <xf numFmtId="0" fontId="3" fillId="0" borderId="0" xfId="21" applyFont="1">
      <alignment/>
      <protection/>
    </xf>
    <xf numFmtId="0" fontId="3" fillId="0" borderId="0" xfId="21" applyFont="1" applyAlignment="1">
      <alignment/>
      <protection/>
    </xf>
    <xf numFmtId="0" fontId="3" fillId="0" borderId="0" xfId="21" applyFont="1" applyAlignment="1">
      <alignment horizontal="center"/>
      <protection/>
    </xf>
    <xf numFmtId="0" fontId="6" fillId="0" borderId="0" xfId="20" applyNumberFormat="1" applyFont="1" applyAlignment="1">
      <alignment horizontal="right"/>
      <protection/>
    </xf>
    <xf numFmtId="0" fontId="0" fillId="0" borderId="0" xfId="0" applyAlignment="1">
      <alignment horizontal="right"/>
    </xf>
    <xf numFmtId="1" fontId="0" fillId="0" borderId="0" xfId="0" applyNumberFormat="1" applyAlignment="1">
      <alignment/>
    </xf>
    <xf numFmtId="1" fontId="0" fillId="0" borderId="0" xfId="0" applyNumberFormat="1"/>
    <xf numFmtId="0" fontId="3" fillId="0" borderId="1" xfId="0" applyFont="1" applyFill="1" applyBorder="1" applyAlignment="1">
      <alignment horizontal="center" wrapText="1"/>
    </xf>
    <xf numFmtId="168" fontId="0" fillId="0" borderId="0" xfId="0" applyNumberFormat="1" applyAlignment="1">
      <alignment/>
    </xf>
    <xf numFmtId="169" fontId="0" fillId="0" borderId="0" xfId="0" applyNumberFormat="1"/>
    <xf numFmtId="0" fontId="0" fillId="0" borderId="0" xfId="0" applyFill="1" applyAlignment="1">
      <alignment horizontal="right"/>
    </xf>
    <xf numFmtId="0" fontId="0" fillId="0" borderId="0" xfId="0" applyFont="1" applyFill="1" applyAlignment="1">
      <alignment horizontal="right"/>
    </xf>
    <xf numFmtId="0" fontId="0" fillId="0" borderId="0" xfId="0" applyFont="1" applyFill="1" applyAlignment="1">
      <alignment horizontal="right"/>
    </xf>
    <xf numFmtId="0" fontId="0" fillId="0" borderId="0" xfId="21" applyFont="1" applyFill="1" applyAlignment="1">
      <alignment horizontal="right"/>
      <protection/>
    </xf>
    <xf numFmtId="0" fontId="0" fillId="0" borderId="2" xfId="0" applyFont="1" applyFill="1" applyBorder="1" applyAlignment="1">
      <alignment horizontal="right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/>
    </xf>
    <xf numFmtId="0" fontId="7" fillId="0" borderId="0" xfId="21" applyFont="1" applyAlignment="1">
      <alignment horizontal="center" vertical="center"/>
      <protection/>
    </xf>
    <xf numFmtId="0" fontId="0" fillId="0" borderId="0" xfId="21" applyAlignment="1">
      <alignment/>
      <protection/>
    </xf>
    <xf numFmtId="0" fontId="4" fillId="0" borderId="0" xfId="21" applyFont="1" applyAlignment="1">
      <alignment horizontal="center"/>
      <protection/>
    </xf>
  </cellXfs>
  <cellStyles count="8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Normal_DailyNormalBase65" xfId="20"/>
    <cellStyle name="Normal 2" xfId="2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worksheet" Target="worksheets/sheet5.xml" /><Relationship Id="rId30" Type="http://schemas.openxmlformats.org/officeDocument/2006/relationships/sharedStrings" Target="sharedStrings.xml" /><Relationship Id="rId31" Type="http://schemas.openxmlformats.org/officeDocument/2006/relationships/calcChain" Target="calcChain.xml" /><Relationship Id="rId5" Type="http://schemas.openxmlformats.org/officeDocument/2006/relationships/worksheet" Target="worksheets/sheet4.xml" /><Relationship Id="rId9" Type="http://schemas.openxmlformats.org/officeDocument/2006/relationships/worksheet" Target="worksheets/sheet8.xml" /><Relationship Id="rId24" Type="http://schemas.openxmlformats.org/officeDocument/2006/relationships/worksheet" Target="worksheets/sheet23.xml" /><Relationship Id="rId25" Type="http://schemas.openxmlformats.org/officeDocument/2006/relationships/worksheet" Target="worksheets/sheet24.xml" /><Relationship Id="rId26" Type="http://schemas.openxmlformats.org/officeDocument/2006/relationships/worksheet" Target="worksheets/sheet25.xml" /><Relationship Id="rId27" Type="http://schemas.openxmlformats.org/officeDocument/2006/relationships/worksheet" Target="worksheets/sheet26.xml" /><Relationship Id="rId20" Type="http://schemas.openxmlformats.org/officeDocument/2006/relationships/worksheet" Target="worksheets/sheet19.xml" /><Relationship Id="rId21" Type="http://schemas.openxmlformats.org/officeDocument/2006/relationships/worksheet" Target="worksheets/sheet20.xml" /><Relationship Id="rId22" Type="http://schemas.openxmlformats.org/officeDocument/2006/relationships/worksheet" Target="worksheets/sheet21.xml" /><Relationship Id="rId23" Type="http://schemas.openxmlformats.org/officeDocument/2006/relationships/worksheet" Target="worksheets/sheet22.xml" /><Relationship Id="rId4" Type="http://schemas.openxmlformats.org/officeDocument/2006/relationships/worksheet" Target="worksheets/sheet3.xml" /><Relationship Id="rId28" Type="http://schemas.openxmlformats.org/officeDocument/2006/relationships/worksheet" Target="worksheets/sheet27.xml" /><Relationship Id="rId29" Type="http://schemas.openxmlformats.org/officeDocument/2006/relationships/styles" Target="styles.xml" /><Relationship Id="rId8" Type="http://schemas.openxmlformats.org/officeDocument/2006/relationships/worksheet" Target="worksheets/sheet7.xml" /><Relationship Id="rId14" Type="http://schemas.openxmlformats.org/officeDocument/2006/relationships/worksheet" Target="worksheets/sheet13.xml" /><Relationship Id="rId15" Type="http://schemas.openxmlformats.org/officeDocument/2006/relationships/worksheet" Target="worksheets/sheet14.xml" /><Relationship Id="rId16" Type="http://schemas.openxmlformats.org/officeDocument/2006/relationships/worksheet" Target="worksheets/sheet15.xml" /><Relationship Id="rId17" Type="http://schemas.openxmlformats.org/officeDocument/2006/relationships/worksheet" Target="worksheets/sheet16.xml" /><Relationship Id="rId10" Type="http://schemas.openxmlformats.org/officeDocument/2006/relationships/worksheet" Target="worksheets/sheet9.xml" /><Relationship Id="rId11" Type="http://schemas.openxmlformats.org/officeDocument/2006/relationships/worksheet" Target="worksheets/sheet10.xml" /><Relationship Id="rId12" Type="http://schemas.openxmlformats.org/officeDocument/2006/relationships/worksheet" Target="worksheets/sheet11.xml" /><Relationship Id="rId13" Type="http://schemas.openxmlformats.org/officeDocument/2006/relationships/worksheet" Target="worksheets/sheet12.xml" /><Relationship Id="rId3" Type="http://schemas.openxmlformats.org/officeDocument/2006/relationships/worksheet" Target="worksheets/sheet2.xml" /><Relationship Id="rId18" Type="http://schemas.openxmlformats.org/officeDocument/2006/relationships/worksheet" Target="worksheets/sheet17.xml" /><Relationship Id="rId19" Type="http://schemas.openxmlformats.org/officeDocument/2006/relationships/worksheet" Target="worksheets/sheet18.xml" /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7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6.bin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7.bin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8.bin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9.bin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0.bin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1.bin" 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2.bin" 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3.bin" 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4.bin" 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5.bin" 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6.bin" 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7.bin" 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8.bin" 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9.bin" 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0.bin" 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1.bin" 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2.bin" 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3.bin" 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4.bin" 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5.bin" 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6.bin" 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7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pageSetUpPr fitToPage="1"/>
  </sheetPr>
  <dimension ref="A1:L71"/>
  <sheetViews>
    <sheetView workbookViewId="0" topLeftCell="A1">
      <selection pane="topLeft" activeCell="D20" sqref="D20"/>
    </sheetView>
  </sheetViews>
  <sheetFormatPr defaultColWidth="9.11428571428571" defaultRowHeight="12"/>
  <cols>
    <col min="1" max="1" width="9.14285714285714" style="1"/>
    <col min="2" max="2" width="10.4285714285714" style="2" bestFit="1" customWidth="1"/>
    <col min="3" max="3" width="11.4285714285714" style="2" customWidth="1"/>
    <col min="4" max="4" width="9.57142857142857" style="2" bestFit="1" customWidth="1"/>
    <col min="5" max="5" width="9.71428571428571" style="2" bestFit="1" customWidth="1"/>
    <col min="6" max="6" width="9.57142857142857" style="2" bestFit="1" customWidth="1"/>
    <col min="7" max="7" width="12.2857142857143" style="2" bestFit="1" customWidth="1"/>
    <col min="8" max="8" width="9.85714285714286" style="2" bestFit="1" customWidth="1"/>
    <col min="9" max="9" width="10.5714285714286" style="2" bestFit="1" customWidth="1"/>
    <col min="10" max="10" width="11.2857142857143" style="2" customWidth="1"/>
    <col min="11" max="11" width="10.4285714285714" style="2" customWidth="1"/>
    <col min="12" max="16384" width="9.14285714285714" style="2"/>
  </cols>
  <sheetData>
    <row r="1" spans="2:12" ht="15.6">
      <c r="B1" s="82" t="s">
        <v>25</v>
      </c>
      <c r="C1" s="82"/>
      <c r="D1" s="82"/>
      <c r="E1" s="82"/>
      <c r="F1" s="82"/>
      <c r="G1" s="82"/>
      <c r="H1" s="82"/>
      <c r="I1" s="82"/>
      <c r="J1" s="82"/>
      <c r="K1" s="82"/>
      <c r="L1" s="82"/>
    </row>
    <row r="2" spans="2:12" ht="15.6">
      <c r="B2" s="82" t="s">
        <v>0</v>
      </c>
      <c r="C2" s="82"/>
      <c r="D2" s="82"/>
      <c r="E2" s="82"/>
      <c r="F2" s="82"/>
      <c r="G2" s="82"/>
      <c r="H2" s="82"/>
      <c r="I2" s="82"/>
      <c r="J2" s="82"/>
      <c r="K2" s="82"/>
      <c r="L2" s="82"/>
    </row>
    <row r="3" spans="2:12" ht="15.6">
      <c r="B3" s="82" t="s">
        <v>1</v>
      </c>
      <c r="C3" s="82"/>
      <c r="D3" s="82"/>
      <c r="E3" s="82"/>
      <c r="F3" s="82"/>
      <c r="G3" s="82"/>
      <c r="H3" s="82"/>
      <c r="I3" s="82"/>
      <c r="J3" s="82"/>
      <c r="K3" s="82"/>
      <c r="L3" s="82"/>
    </row>
    <row r="4" spans="2:12" ht="15.6">
      <c r="B4" s="82" t="s">
        <v>2</v>
      </c>
      <c r="C4" s="82"/>
      <c r="D4" s="82"/>
      <c r="E4" s="82"/>
      <c r="F4" s="82"/>
      <c r="G4" s="82"/>
      <c r="H4" s="82"/>
      <c r="I4" s="82"/>
      <c r="J4" s="82"/>
      <c r="K4" s="82"/>
      <c r="L4" s="82"/>
    </row>
    <row r="6" spans="2:12" ht="15.6">
      <c r="B6" s="82" t="s">
        <v>3</v>
      </c>
      <c r="C6" s="82"/>
      <c r="D6" s="82"/>
      <c r="E6" s="82"/>
      <c r="F6" s="82"/>
      <c r="G6" s="82"/>
      <c r="H6" s="82"/>
      <c r="I6" s="82"/>
      <c r="J6" s="82"/>
      <c r="K6" s="82"/>
      <c r="L6" s="82"/>
    </row>
    <row r="9" spans="2:12" ht="12">
      <c r="B9" s="83" t="s">
        <v>19</v>
      </c>
      <c r="C9" s="83"/>
      <c r="D9" s="83"/>
      <c r="E9" s="83"/>
      <c r="F9" s="83"/>
      <c r="G9" s="83"/>
      <c r="H9" s="83"/>
      <c r="I9" s="83"/>
      <c r="J9" s="83"/>
      <c r="K9" s="83"/>
      <c r="L9" s="83"/>
    </row>
    <row r="10" spans="1:12" ht="34.8" thickBot="1">
      <c r="A10" s="3" t="s">
        <v>4</v>
      </c>
      <c r="C10" s="3" t="s">
        <v>5</v>
      </c>
      <c r="D10" s="3" t="s">
        <v>6</v>
      </c>
      <c r="E10" s="3" t="s">
        <v>7</v>
      </c>
      <c r="F10" s="3" t="s">
        <v>8</v>
      </c>
      <c r="G10" s="3" t="s">
        <v>9</v>
      </c>
      <c r="H10" s="3" t="s">
        <v>10</v>
      </c>
      <c r="I10" s="3" t="s">
        <v>11</v>
      </c>
      <c r="J10" s="3" t="s">
        <v>12</v>
      </c>
      <c r="K10" s="3" t="s">
        <v>13</v>
      </c>
      <c r="L10" s="3" t="s">
        <v>14</v>
      </c>
    </row>
    <row r="11" spans="1:12" ht="11.4">
      <c r="A11" s="1">
        <v>1</v>
      </c>
      <c r="B11" s="4">
        <v>39083</v>
      </c>
      <c r="C11" s="5">
        <v>22.749999000000003</v>
      </c>
      <c r="D11" s="5">
        <v>7.3800000000000026</v>
      </c>
      <c r="E11" s="5">
        <v>11.333330000000004</v>
      </c>
      <c r="F11" s="5">
        <v>18.330000000000002</v>
      </c>
      <c r="G11" s="5">
        <v>14.239999999999998</v>
      </c>
      <c r="H11" s="5">
        <v>16.625</v>
      </c>
      <c r="I11" s="5">
        <v>47.239999999999995</v>
      </c>
      <c r="J11" s="5">
        <v>42.289999999999999</v>
      </c>
      <c r="K11" s="5">
        <v>54.030000000000008</v>
      </c>
      <c r="L11" s="5">
        <v>41.32</v>
      </c>
    </row>
    <row r="12" spans="1:12" ht="11.4">
      <c r="A12" s="1">
        <v>2</v>
      </c>
      <c r="B12" s="4">
        <v>39114</v>
      </c>
      <c r="C12" s="5">
        <v>14.958333000000003</v>
      </c>
      <c r="D12" s="5">
        <v>3.5</v>
      </c>
      <c r="E12" s="5">
        <v>1.375</v>
      </c>
      <c r="F12" s="5">
        <v>10.829999999999998</v>
      </c>
      <c r="G12" s="5">
        <v>9.8800000000000026</v>
      </c>
      <c r="H12" s="5">
        <v>6.8750000000000036</v>
      </c>
      <c r="I12" s="5">
        <v>25.250000000000004</v>
      </c>
      <c r="J12" s="5">
        <v>27.710000000000001</v>
      </c>
      <c r="K12" s="5">
        <v>14.239999999999998</v>
      </c>
      <c r="L12" s="5">
        <v>29.949999999999999</v>
      </c>
    </row>
    <row r="13" spans="1:12" ht="11.4">
      <c r="A13" s="1">
        <v>3</v>
      </c>
      <c r="B13" s="4">
        <v>39142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</row>
    <row r="14" spans="1:12" ht="11.4">
      <c r="A14" s="1">
        <v>4</v>
      </c>
      <c r="B14" s="4">
        <v>39173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3.370000000000001</v>
      </c>
      <c r="J14" s="5">
        <v>0</v>
      </c>
      <c r="K14" s="5">
        <v>6.6599999999999966</v>
      </c>
      <c r="L14" s="5">
        <v>0</v>
      </c>
    </row>
    <row r="15" spans="1:12" ht="11.4">
      <c r="A15" s="1">
        <v>5</v>
      </c>
      <c r="B15" s="4">
        <v>39203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</row>
    <row r="16" spans="1:12" ht="11.4">
      <c r="A16" s="1">
        <v>6</v>
      </c>
      <c r="B16" s="4">
        <v>39234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</row>
    <row r="17" spans="1:12" ht="11.4">
      <c r="A17" s="1">
        <v>7</v>
      </c>
      <c r="B17" s="4">
        <v>39264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</row>
    <row r="18" spans="1:12" ht="11.4">
      <c r="A18" s="1">
        <v>8</v>
      </c>
      <c r="B18" s="4">
        <v>39295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</row>
    <row r="19" spans="1:12" ht="11.4">
      <c r="A19" s="1">
        <v>9</v>
      </c>
      <c r="B19" s="4">
        <v>39326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</row>
    <row r="20" spans="1:12" ht="11.4">
      <c r="A20" s="1">
        <v>10</v>
      </c>
      <c r="B20" s="4">
        <v>39356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</row>
    <row r="21" spans="1:12" ht="11.4">
      <c r="A21" s="1">
        <v>11</v>
      </c>
      <c r="B21" s="4">
        <v>39387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4.120000000000001</v>
      </c>
      <c r="J21" s="5">
        <v>0</v>
      </c>
      <c r="K21" s="5">
        <v>7.4099999999999966</v>
      </c>
      <c r="L21" s="5">
        <v>0</v>
      </c>
    </row>
    <row r="22" spans="1:12" ht="11.4">
      <c r="A22" s="1">
        <v>12</v>
      </c>
      <c r="B22" s="6">
        <v>39417</v>
      </c>
      <c r="C22" s="7">
        <v>0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3.3800000000000026</v>
      </c>
      <c r="J22" s="7">
        <v>6.25</v>
      </c>
      <c r="K22" s="7">
        <v>2.3699999999999974</v>
      </c>
      <c r="L22" s="7">
        <v>1.2899999999999992</v>
      </c>
    </row>
    <row r="23" spans="1:12" ht="11.4">
      <c r="A23" s="1">
        <v>13</v>
      </c>
      <c r="B23" s="8" t="s">
        <v>15</v>
      </c>
      <c r="C23" s="5">
        <f t="shared" si="0" ref="C23:L23">SUM(C11:C22)</f>
        <v>37.708332000000006</v>
      </c>
      <c r="D23" s="5">
        <f t="shared" si="0"/>
        <v>10.880000000000003</v>
      </c>
      <c r="E23" s="5">
        <f t="shared" si="0"/>
        <v>12.708330000000004</v>
      </c>
      <c r="F23" s="5">
        <f t="shared" si="0"/>
        <v>29.16</v>
      </c>
      <c r="G23" s="5">
        <f t="shared" si="0"/>
        <v>24.120000000000001</v>
      </c>
      <c r="H23" s="5">
        <f t="shared" si="0"/>
        <v>23.500000000000004</v>
      </c>
      <c r="I23" s="5">
        <f t="shared" si="0"/>
        <v>83.360000000000014</v>
      </c>
      <c r="J23" s="5">
        <f t="shared" si="0"/>
        <v>76.25</v>
      </c>
      <c r="K23" s="5">
        <f t="shared" si="0"/>
        <v>84.710000000000008</v>
      </c>
      <c r="L23" s="5">
        <f t="shared" si="0"/>
        <v>72.560000000000002</v>
      </c>
    </row>
    <row r="24" spans="1:1" ht="11.4">
      <c r="A24" s="1">
        <v>14</v>
      </c>
    </row>
    <row r="25" spans="1:12" ht="12">
      <c r="A25" s="1">
        <v>15</v>
      </c>
      <c r="B25" s="83" t="s">
        <v>23</v>
      </c>
      <c r="C25" s="83"/>
      <c r="D25" s="83"/>
      <c r="E25" s="83"/>
      <c r="F25" s="83"/>
      <c r="G25" s="83"/>
      <c r="H25" s="83"/>
      <c r="I25" s="83"/>
      <c r="J25" s="83"/>
      <c r="K25" s="83"/>
      <c r="L25" s="83"/>
    </row>
    <row r="26" spans="1:12" ht="34.8" thickBot="1">
      <c r="A26" s="1">
        <v>16</v>
      </c>
      <c r="C26" s="3" t="s">
        <v>5</v>
      </c>
      <c r="D26" s="3" t="s">
        <v>6</v>
      </c>
      <c r="E26" s="3" t="s">
        <v>7</v>
      </c>
      <c r="F26" s="3" t="s">
        <v>8</v>
      </c>
      <c r="G26" s="3" t="s">
        <v>9</v>
      </c>
      <c r="H26" s="3" t="s">
        <v>10</v>
      </c>
      <c r="I26" s="3" t="s">
        <v>11</v>
      </c>
      <c r="J26" s="3" t="s">
        <v>12</v>
      </c>
      <c r="K26" s="3" t="s">
        <v>13</v>
      </c>
      <c r="L26" s="3" t="s">
        <v>14</v>
      </c>
    </row>
    <row r="27" spans="1:12" ht="11.4">
      <c r="A27" s="1">
        <v>17</v>
      </c>
      <c r="B27" s="4">
        <v>39083</v>
      </c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1:12" ht="11.4">
      <c r="A28" s="1">
        <v>18</v>
      </c>
      <c r="B28" s="4">
        <v>39114</v>
      </c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1:12" ht="11.4">
      <c r="A29" s="1">
        <v>19</v>
      </c>
      <c r="B29" s="4">
        <v>39142</v>
      </c>
      <c r="C29" s="5"/>
      <c r="D29" s="5"/>
      <c r="E29" s="5"/>
      <c r="F29" s="5"/>
      <c r="G29" s="5"/>
      <c r="H29" s="5"/>
      <c r="I29" s="5"/>
      <c r="J29" s="5"/>
      <c r="K29" s="5"/>
      <c r="L29" s="5"/>
    </row>
    <row r="30" spans="1:12" ht="11.4">
      <c r="A30" s="1">
        <v>20</v>
      </c>
      <c r="B30" s="4">
        <v>39173</v>
      </c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1:12" ht="11.4">
      <c r="A31" s="1">
        <v>21</v>
      </c>
      <c r="B31" s="4">
        <v>39203</v>
      </c>
      <c r="C31" s="5"/>
      <c r="D31" s="5"/>
      <c r="E31" s="5"/>
      <c r="F31" s="5"/>
      <c r="G31" s="5"/>
      <c r="H31" s="5"/>
      <c r="I31" s="5"/>
      <c r="J31" s="5"/>
      <c r="K31" s="5"/>
      <c r="L31" s="5"/>
    </row>
    <row r="32" spans="1:12" ht="11.4">
      <c r="A32" s="1">
        <v>22</v>
      </c>
      <c r="B32" s="4">
        <v>39234</v>
      </c>
      <c r="C32" s="5"/>
      <c r="D32" s="5"/>
      <c r="E32" s="5"/>
      <c r="F32" s="5"/>
      <c r="G32" s="5"/>
      <c r="H32" s="5"/>
      <c r="I32" s="5"/>
      <c r="J32" s="5"/>
      <c r="K32" s="5"/>
      <c r="L32" s="5"/>
    </row>
    <row r="33" spans="1:12" ht="11.4">
      <c r="A33" s="1">
        <v>23</v>
      </c>
      <c r="B33" s="4">
        <v>39264</v>
      </c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2" ht="11.4">
      <c r="A34" s="1">
        <v>24</v>
      </c>
      <c r="B34" s="4">
        <v>39295</v>
      </c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1:12" ht="11.4">
      <c r="A35" s="1">
        <v>25</v>
      </c>
      <c r="B35" s="4">
        <v>39326</v>
      </c>
      <c r="C35" s="5"/>
      <c r="D35" s="5"/>
      <c r="E35" s="5"/>
      <c r="F35" s="5"/>
      <c r="G35" s="5"/>
      <c r="H35" s="5"/>
      <c r="I35" s="5"/>
      <c r="J35" s="5"/>
      <c r="K35" s="5"/>
      <c r="L35" s="5"/>
    </row>
    <row r="36" spans="1:12" ht="11.4">
      <c r="A36" s="1">
        <v>26</v>
      </c>
      <c r="B36" s="4">
        <v>39356</v>
      </c>
      <c r="C36" s="5"/>
      <c r="D36" s="5"/>
      <c r="E36" s="5"/>
      <c r="F36" s="5"/>
      <c r="G36" s="5"/>
      <c r="H36" s="5"/>
      <c r="I36" s="5"/>
      <c r="J36" s="5"/>
      <c r="K36" s="5"/>
      <c r="L36" s="5"/>
    </row>
    <row r="37" spans="1:12" ht="11.4">
      <c r="A37" s="1">
        <v>27</v>
      </c>
      <c r="B37" s="4">
        <v>39387</v>
      </c>
      <c r="C37" s="5"/>
      <c r="D37" s="5"/>
      <c r="E37" s="5"/>
      <c r="F37" s="5"/>
      <c r="G37" s="5"/>
      <c r="H37" s="5"/>
      <c r="I37" s="5"/>
      <c r="J37" s="5"/>
      <c r="K37" s="5"/>
      <c r="L37" s="5"/>
    </row>
    <row r="38" spans="1:12" ht="11.4">
      <c r="A38" s="1">
        <v>28</v>
      </c>
      <c r="B38" s="6">
        <v>39417</v>
      </c>
      <c r="C38" s="7"/>
      <c r="D38" s="7"/>
      <c r="E38" s="7"/>
      <c r="F38" s="7"/>
      <c r="G38" s="7"/>
      <c r="H38" s="7"/>
      <c r="I38" s="7"/>
      <c r="J38" s="7"/>
      <c r="K38" s="7"/>
      <c r="L38" s="7"/>
    </row>
    <row r="39" spans="1:12" ht="11.4">
      <c r="A39" s="1">
        <v>29</v>
      </c>
      <c r="B39" s="8" t="s">
        <v>15</v>
      </c>
      <c r="C39" s="5">
        <f t="shared" si="1" ref="C39:L39">SUM(C27:C38)</f>
        <v>0</v>
      </c>
      <c r="D39" s="5">
        <f t="shared" si="1"/>
        <v>0</v>
      </c>
      <c r="E39" s="5">
        <f t="shared" si="1"/>
        <v>0</v>
      </c>
      <c r="F39" s="5">
        <f t="shared" si="1"/>
        <v>0</v>
      </c>
      <c r="G39" s="5">
        <f t="shared" si="1"/>
        <v>0</v>
      </c>
      <c r="H39" s="5">
        <f t="shared" si="1"/>
        <v>0</v>
      </c>
      <c r="I39" s="5">
        <f t="shared" si="1"/>
        <v>0</v>
      </c>
      <c r="J39" s="5">
        <f t="shared" si="1"/>
        <v>0</v>
      </c>
      <c r="K39" s="5">
        <f t="shared" si="1"/>
        <v>0</v>
      </c>
      <c r="L39" s="5">
        <f t="shared" si="1"/>
        <v>0</v>
      </c>
    </row>
    <row r="40" spans="1:1" ht="11.4">
      <c r="A40" s="1">
        <v>30</v>
      </c>
    </row>
    <row r="41" spans="1:12" ht="12">
      <c r="A41" s="1">
        <v>31</v>
      </c>
      <c r="B41" s="83" t="s">
        <v>18</v>
      </c>
      <c r="C41" s="83"/>
      <c r="D41" s="83"/>
      <c r="E41" s="83"/>
      <c r="F41" s="83"/>
      <c r="G41" s="83"/>
      <c r="H41" s="83"/>
      <c r="I41" s="83"/>
      <c r="J41" s="83"/>
      <c r="K41" s="83"/>
      <c r="L41" s="83"/>
    </row>
    <row r="42" spans="1:12" ht="34.8" thickBot="1">
      <c r="A42" s="1">
        <v>32</v>
      </c>
      <c r="C42" s="3" t="s">
        <v>5</v>
      </c>
      <c r="D42" s="3" t="s">
        <v>6</v>
      </c>
      <c r="E42" s="3" t="s">
        <v>7</v>
      </c>
      <c r="F42" s="3" t="s">
        <v>8</v>
      </c>
      <c r="G42" s="3" t="s">
        <v>9</v>
      </c>
      <c r="H42" s="3" t="s">
        <v>10</v>
      </c>
      <c r="I42" s="3" t="s">
        <v>11</v>
      </c>
      <c r="J42" s="3" t="s">
        <v>12</v>
      </c>
      <c r="K42" s="3" t="s">
        <v>13</v>
      </c>
      <c r="L42" s="3" t="s">
        <v>14</v>
      </c>
    </row>
    <row r="43" spans="1:12" ht="11.4">
      <c r="A43" s="1">
        <v>33</v>
      </c>
      <c r="B43" s="4">
        <v>39083</v>
      </c>
      <c r="C43" s="5">
        <v>18.940253357059476</v>
      </c>
      <c r="D43" s="5">
        <v>6.5763019401700067</v>
      </c>
      <c r="E43" s="5">
        <v>5.4461725839858666</v>
      </c>
      <c r="F43" s="5">
        <v>10.407794408728497</v>
      </c>
      <c r="G43" s="5">
        <v>14.486214727883985</v>
      </c>
      <c r="H43" s="5">
        <v>12.030748410574706</v>
      </c>
      <c r="I43" s="5">
        <v>27.387565717525945</v>
      </c>
      <c r="J43" s="5">
        <v>39.312964975351591</v>
      </c>
      <c r="K43" s="5">
        <v>24.32393791710469</v>
      </c>
      <c r="L43" s="5">
        <v>32.568949521303374</v>
      </c>
    </row>
    <row r="44" spans="1:12" ht="11.4">
      <c r="A44" s="1">
        <v>34</v>
      </c>
      <c r="B44" s="4">
        <v>39114</v>
      </c>
      <c r="C44" s="5">
        <v>10.95741666666666</v>
      </c>
      <c r="D44" s="5">
        <v>3.9201250000000019</v>
      </c>
      <c r="E44" s="5">
        <v>3.4057222222222121</v>
      </c>
      <c r="F44" s="5">
        <v>6.3753304166666576</v>
      </c>
      <c r="G44" s="5">
        <v>7.8758145138888818</v>
      </c>
      <c r="H44" s="5">
        <v>7.1338194444444536</v>
      </c>
      <c r="I44" s="5">
        <v>16.123194444444437</v>
      </c>
      <c r="J44" s="5">
        <v>23.067250000000012</v>
      </c>
      <c r="K44" s="5">
        <v>12.805777777777783</v>
      </c>
      <c r="L44" s="5">
        <v>18.483665158318704</v>
      </c>
    </row>
    <row r="45" spans="1:12" ht="11.4">
      <c r="A45" s="1">
        <v>35</v>
      </c>
      <c r="B45" s="4">
        <v>39142</v>
      </c>
      <c r="C45" s="5">
        <v>2.5334305555555519</v>
      </c>
      <c r="D45" s="5">
        <v>0.33471326388888772</v>
      </c>
      <c r="E45" s="5">
        <v>0.34188888888888791</v>
      </c>
      <c r="F45" s="5">
        <v>1.0002905555555572</v>
      </c>
      <c r="G45" s="5">
        <v>1.2825813888888866</v>
      </c>
      <c r="H45" s="5">
        <v>1.4013333333333347</v>
      </c>
      <c r="I45" s="5">
        <v>4.8123194444444453</v>
      </c>
      <c r="J45" s="5">
        <v>7.0874583333333359</v>
      </c>
      <c r="K45" s="5">
        <v>3.9547361111111221</v>
      </c>
      <c r="L45" s="5">
        <v>4.6761461111111071</v>
      </c>
    </row>
    <row r="46" spans="1:12" ht="11.4">
      <c r="A46" s="1">
        <v>36</v>
      </c>
      <c r="B46" s="4">
        <v>39173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0.29872222222222217</v>
      </c>
      <c r="J46" s="5">
        <v>0.11152777777777866</v>
      </c>
      <c r="K46" s="5">
        <v>0.37726388888888907</v>
      </c>
      <c r="L46" s="5">
        <v>0.0088577777777773762</v>
      </c>
    </row>
    <row r="47" spans="1:12" ht="11.4">
      <c r="A47" s="1">
        <v>37</v>
      </c>
      <c r="B47" s="4">
        <v>39203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</row>
    <row r="48" spans="1:12" ht="11.4">
      <c r="A48" s="1">
        <v>38</v>
      </c>
      <c r="B48" s="4">
        <v>39234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</row>
    <row r="49" spans="1:12" ht="11.4">
      <c r="A49" s="1">
        <v>39</v>
      </c>
      <c r="B49" s="4">
        <v>39264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</row>
    <row r="50" spans="1:12" ht="11.4">
      <c r="A50" s="1">
        <v>40</v>
      </c>
      <c r="B50" s="4">
        <v>39295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</row>
    <row r="51" spans="1:12" ht="11.4">
      <c r="A51" s="1">
        <v>41</v>
      </c>
      <c r="B51" s="4">
        <v>39326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</row>
    <row r="52" spans="1:12" ht="11.4">
      <c r="A52" s="1">
        <v>42</v>
      </c>
      <c r="B52" s="4">
        <v>39356</v>
      </c>
      <c r="C52" s="5">
        <v>0.064861111111111161</v>
      </c>
      <c r="D52" s="5">
        <v>0</v>
      </c>
      <c r="E52" s="5">
        <v>0</v>
      </c>
      <c r="F52" s="5">
        <v>0.0003006249999999729</v>
      </c>
      <c r="G52" s="5">
        <v>0.041759791666666622</v>
      </c>
      <c r="H52" s="5">
        <v>0.026180555555554832</v>
      </c>
      <c r="I52" s="5">
        <v>0.36756944444444195</v>
      </c>
      <c r="J52" s="5">
        <v>0.40362500000000012</v>
      </c>
      <c r="K52" s="5">
        <v>0.43368055555555435</v>
      </c>
      <c r="L52" s="5">
        <v>0.28431500000000126</v>
      </c>
    </row>
    <row r="53" spans="1:12" ht="11.4">
      <c r="A53" s="1">
        <v>43</v>
      </c>
      <c r="B53" s="4">
        <v>39387</v>
      </c>
      <c r="C53" s="5">
        <v>1.4336111111111118</v>
      </c>
      <c r="D53" s="5">
        <v>0.093544722222221724</v>
      </c>
      <c r="E53" s="5">
        <v>0.1493611111111125</v>
      </c>
      <c r="F53" s="5">
        <v>0.67955881944444518</v>
      </c>
      <c r="G53" s="5">
        <v>0.83912048611111245</v>
      </c>
      <c r="H53" s="5">
        <v>0.86630555555555422</v>
      </c>
      <c r="I53" s="5">
        <v>3.6043750000000032</v>
      </c>
      <c r="J53" s="5">
        <v>4.4630555555555578</v>
      </c>
      <c r="K53" s="5">
        <v>3.9734861111111042</v>
      </c>
      <c r="L53" s="5">
        <v>2.7461384759089715</v>
      </c>
    </row>
    <row r="54" spans="1:12" ht="11.4">
      <c r="A54" s="1">
        <v>44</v>
      </c>
      <c r="B54" s="6">
        <v>39417</v>
      </c>
      <c r="C54" s="7">
        <v>18.751913092951465</v>
      </c>
      <c r="D54" s="7">
        <v>7.4770205729914574</v>
      </c>
      <c r="E54" s="7">
        <v>7.0996597174667686</v>
      </c>
      <c r="F54" s="7">
        <v>11.464053138159622</v>
      </c>
      <c r="G54" s="7">
        <v>14.25182724806578</v>
      </c>
      <c r="H54" s="7">
        <v>13.221696554634093</v>
      </c>
      <c r="I54" s="7">
        <v>25.002075169820756</v>
      </c>
      <c r="J54" s="7">
        <v>33.76936999134584</v>
      </c>
      <c r="K54" s="7">
        <v>23.53831858398485</v>
      </c>
      <c r="L54" s="7">
        <v>27.240599469801083</v>
      </c>
    </row>
    <row r="55" spans="1:12" ht="11.4">
      <c r="A55" s="1">
        <v>45</v>
      </c>
      <c r="B55" s="8" t="s">
        <v>15</v>
      </c>
      <c r="C55" s="5">
        <f t="shared" si="2" ref="C55:L55">SUM(C43:C54)</f>
        <v>52.681485894455378</v>
      </c>
      <c r="D55" s="5">
        <f t="shared" si="2"/>
        <v>18.401705499272577</v>
      </c>
      <c r="E55" s="5">
        <f t="shared" si="2"/>
        <v>16.442804523674848</v>
      </c>
      <c r="F55" s="5">
        <f t="shared" si="2"/>
        <v>29.927327963554781</v>
      </c>
      <c r="G55" s="5">
        <f t="shared" si="2"/>
        <v>38.777318156505316</v>
      </c>
      <c r="H55" s="5">
        <f t="shared" si="2"/>
        <v>34.680083854097695</v>
      </c>
      <c r="I55" s="5">
        <f t="shared" si="2"/>
        <v>77.595821442902263</v>
      </c>
      <c r="J55" s="5">
        <f t="shared" si="2"/>
        <v>108.21525163336412</v>
      </c>
      <c r="K55" s="5">
        <f t="shared" si="2"/>
        <v>69.407200945534001</v>
      </c>
      <c r="L55" s="5">
        <f t="shared" si="2"/>
        <v>86.008671514221021</v>
      </c>
    </row>
    <row r="56" spans="1:1" ht="11.4">
      <c r="A56" s="1">
        <v>46</v>
      </c>
    </row>
    <row r="57" spans="1:12" ht="12">
      <c r="A57" s="1">
        <v>47</v>
      </c>
      <c r="B57" s="83" t="s">
        <v>24</v>
      </c>
      <c r="C57" s="83"/>
      <c r="D57" s="83"/>
      <c r="E57" s="83"/>
      <c r="F57" s="83"/>
      <c r="G57" s="83"/>
      <c r="H57" s="83"/>
      <c r="I57" s="83"/>
      <c r="J57" s="83"/>
      <c r="K57" s="83"/>
      <c r="L57" s="83"/>
    </row>
    <row r="58" spans="1:12" ht="34.8" thickBot="1">
      <c r="A58" s="1">
        <v>48</v>
      </c>
      <c r="C58" s="3" t="s">
        <v>5</v>
      </c>
      <c r="D58" s="3" t="s">
        <v>6</v>
      </c>
      <c r="E58" s="3" t="s">
        <v>7</v>
      </c>
      <c r="F58" s="3" t="s">
        <v>8</v>
      </c>
      <c r="G58" s="3" t="s">
        <v>9</v>
      </c>
      <c r="H58" s="3" t="s">
        <v>10</v>
      </c>
      <c r="I58" s="3" t="s">
        <v>11</v>
      </c>
      <c r="J58" s="3" t="s">
        <v>12</v>
      </c>
      <c r="K58" s="3" t="s">
        <v>13</v>
      </c>
      <c r="L58" s="3" t="s">
        <v>14</v>
      </c>
    </row>
    <row r="59" spans="1:12" ht="11.4">
      <c r="A59" s="1">
        <v>49</v>
      </c>
      <c r="B59" s="4">
        <v>39083</v>
      </c>
      <c r="C59" s="5"/>
      <c r="D59" s="5"/>
      <c r="E59" s="5"/>
      <c r="F59" s="5"/>
      <c r="G59" s="5"/>
      <c r="H59" s="5"/>
      <c r="I59" s="5"/>
      <c r="J59" s="5"/>
      <c r="K59" s="5"/>
      <c r="L59" s="5"/>
    </row>
    <row r="60" spans="1:12" ht="11.4">
      <c r="A60" s="1">
        <v>50</v>
      </c>
      <c r="B60" s="4">
        <v>39114</v>
      </c>
      <c r="C60" s="5"/>
      <c r="D60" s="5"/>
      <c r="E60" s="5"/>
      <c r="F60" s="5"/>
      <c r="G60" s="5"/>
      <c r="H60" s="5"/>
      <c r="I60" s="5"/>
      <c r="J60" s="5"/>
      <c r="K60" s="5"/>
      <c r="L60" s="5"/>
    </row>
    <row r="61" spans="1:12" ht="11.4">
      <c r="A61" s="1">
        <v>51</v>
      </c>
      <c r="B61" s="4">
        <v>39142</v>
      </c>
      <c r="C61" s="5"/>
      <c r="D61" s="5"/>
      <c r="E61" s="5"/>
      <c r="F61" s="5"/>
      <c r="G61" s="5"/>
      <c r="H61" s="5"/>
      <c r="I61" s="5"/>
      <c r="J61" s="5"/>
      <c r="K61" s="5"/>
      <c r="L61" s="5"/>
    </row>
    <row r="62" spans="1:12" ht="11.4">
      <c r="A62" s="1">
        <v>52</v>
      </c>
      <c r="B62" s="4">
        <v>39173</v>
      </c>
      <c r="C62" s="5"/>
      <c r="D62" s="5"/>
      <c r="E62" s="5"/>
      <c r="F62" s="5"/>
      <c r="G62" s="5"/>
      <c r="H62" s="5"/>
      <c r="I62" s="5"/>
      <c r="J62" s="5"/>
      <c r="K62" s="5"/>
      <c r="L62" s="5"/>
    </row>
    <row r="63" spans="1:12" ht="11.4">
      <c r="A63" s="1">
        <v>53</v>
      </c>
      <c r="B63" s="4">
        <v>39203</v>
      </c>
      <c r="C63" s="5"/>
      <c r="D63" s="5"/>
      <c r="E63" s="5"/>
      <c r="F63" s="5"/>
      <c r="G63" s="5"/>
      <c r="H63" s="5"/>
      <c r="I63" s="5"/>
      <c r="J63" s="5"/>
      <c r="K63" s="5"/>
      <c r="L63" s="5"/>
    </row>
    <row r="64" spans="1:12" ht="11.4">
      <c r="A64" s="1">
        <v>54</v>
      </c>
      <c r="B64" s="4">
        <v>39234</v>
      </c>
      <c r="C64" s="5"/>
      <c r="D64" s="5"/>
      <c r="E64" s="5"/>
      <c r="F64" s="5"/>
      <c r="G64" s="5"/>
      <c r="H64" s="5"/>
      <c r="I64" s="5"/>
      <c r="J64" s="5"/>
      <c r="K64" s="5"/>
      <c r="L64" s="5"/>
    </row>
    <row r="65" spans="1:12" ht="11.4">
      <c r="A65" s="1">
        <v>55</v>
      </c>
      <c r="B65" s="4">
        <v>39264</v>
      </c>
      <c r="C65" s="5"/>
      <c r="D65" s="5"/>
      <c r="E65" s="5"/>
      <c r="F65" s="5"/>
      <c r="G65" s="5"/>
      <c r="H65" s="5"/>
      <c r="I65" s="5"/>
      <c r="J65" s="5"/>
      <c r="K65" s="5"/>
      <c r="L65" s="5"/>
    </row>
    <row r="66" spans="1:12" ht="11.4">
      <c r="A66" s="1">
        <v>56</v>
      </c>
      <c r="B66" s="4">
        <v>39295</v>
      </c>
      <c r="C66" s="5"/>
      <c r="D66" s="5"/>
      <c r="E66" s="5"/>
      <c r="F66" s="5"/>
      <c r="G66" s="5"/>
      <c r="H66" s="5"/>
      <c r="I66" s="5"/>
      <c r="J66" s="5"/>
      <c r="K66" s="5"/>
      <c r="L66" s="5"/>
    </row>
    <row r="67" spans="1:12" ht="11.4">
      <c r="A67" s="1">
        <v>57</v>
      </c>
      <c r="B67" s="4">
        <v>39326</v>
      </c>
      <c r="C67" s="5"/>
      <c r="D67" s="5"/>
      <c r="E67" s="5"/>
      <c r="F67" s="5"/>
      <c r="G67" s="5"/>
      <c r="H67" s="5"/>
      <c r="I67" s="5"/>
      <c r="J67" s="5"/>
      <c r="K67" s="5"/>
      <c r="L67" s="5"/>
    </row>
    <row r="68" spans="1:12" ht="11.4">
      <c r="A68" s="1">
        <v>58</v>
      </c>
      <c r="B68" s="4">
        <v>39356</v>
      </c>
      <c r="C68" s="5"/>
      <c r="D68" s="5"/>
      <c r="E68" s="5"/>
      <c r="F68" s="5"/>
      <c r="G68" s="5"/>
      <c r="H68" s="5"/>
      <c r="I68" s="5"/>
      <c r="J68" s="5"/>
      <c r="K68" s="5"/>
      <c r="L68" s="5"/>
    </row>
    <row r="69" spans="1:12" ht="11.4">
      <c r="A69" s="1">
        <v>59</v>
      </c>
      <c r="B69" s="4">
        <v>39387</v>
      </c>
      <c r="C69" s="5"/>
      <c r="D69" s="5"/>
      <c r="E69" s="5"/>
      <c r="F69" s="5"/>
      <c r="G69" s="5"/>
      <c r="H69" s="5"/>
      <c r="I69" s="5"/>
      <c r="J69" s="5"/>
      <c r="K69" s="5"/>
      <c r="L69" s="5"/>
    </row>
    <row r="70" spans="1:12" ht="11.4">
      <c r="A70" s="1">
        <v>60</v>
      </c>
      <c r="B70" s="6">
        <v>39417</v>
      </c>
      <c r="C70" s="7"/>
      <c r="D70" s="7"/>
      <c r="E70" s="7"/>
      <c r="F70" s="7"/>
      <c r="G70" s="7"/>
      <c r="H70" s="7"/>
      <c r="I70" s="7"/>
      <c r="J70" s="7"/>
      <c r="K70" s="7"/>
      <c r="L70" s="7"/>
    </row>
    <row r="71" spans="1:12" ht="11.4">
      <c r="A71" s="1">
        <v>61</v>
      </c>
      <c r="B71" s="8" t="s">
        <v>15</v>
      </c>
      <c r="C71" s="5">
        <f t="shared" si="3" ref="C71:L71">SUM(C59:C70)</f>
        <v>0</v>
      </c>
      <c r="D71" s="5">
        <f t="shared" si="3"/>
        <v>0</v>
      </c>
      <c r="E71" s="5">
        <f t="shared" si="3"/>
        <v>0</v>
      </c>
      <c r="F71" s="5">
        <f t="shared" si="3"/>
        <v>0</v>
      </c>
      <c r="G71" s="5">
        <f t="shared" si="3"/>
        <v>0</v>
      </c>
      <c r="H71" s="5">
        <f t="shared" si="3"/>
        <v>0</v>
      </c>
      <c r="I71" s="5">
        <f t="shared" si="3"/>
        <v>0</v>
      </c>
      <c r="J71" s="5">
        <f t="shared" si="3"/>
        <v>0</v>
      </c>
      <c r="K71" s="5">
        <f t="shared" si="3"/>
        <v>0</v>
      </c>
      <c r="L71" s="5">
        <f t="shared" si="3"/>
        <v>0</v>
      </c>
    </row>
  </sheetData>
  <mergeCells count="9">
    <mergeCell ref="B1:L1"/>
    <mergeCell ref="B4:L4"/>
    <mergeCell ref="B41:L41"/>
    <mergeCell ref="B57:L57"/>
    <mergeCell ref="B9:L9"/>
    <mergeCell ref="B25:L25"/>
    <mergeCell ref="B6:L6"/>
    <mergeCell ref="B2:L2"/>
    <mergeCell ref="B3:L3"/>
  </mergeCells>
  <pageMargins left="0.75" right="0.75" top="1" bottom="1" header="0.5" footer="0.5"/>
  <pageSetup orientation="portrait" scale="66" r:id="rId1"/>
  <headerFooter alignWithMargins="0">
    <oddHeader>&amp;RSchedule II-H-5.1
Page 4 of 265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pageSetUpPr fitToPage="1"/>
  </sheetPr>
  <dimension ref="A1:L43"/>
  <sheetViews>
    <sheetView tabSelected="1" workbookViewId="0" topLeftCell="A1"/>
  </sheetViews>
  <sheetFormatPr defaultColWidth="9.11428571428571" defaultRowHeight="12"/>
  <cols>
    <col min="1" max="1" width="9.14285714285714" style="1"/>
    <col min="2" max="2" width="10.4285714285714" style="2" bestFit="1" customWidth="1"/>
    <col min="3" max="3" width="11.4285714285714" style="2" customWidth="1"/>
    <col min="4" max="4" width="9.57142857142857" style="2" bestFit="1" customWidth="1"/>
    <col min="5" max="5" width="9.71428571428571" style="2" bestFit="1" customWidth="1"/>
    <col min="6" max="6" width="9.57142857142857" style="2" bestFit="1" customWidth="1"/>
    <col min="7" max="7" width="12.2857142857143" style="2" bestFit="1" customWidth="1"/>
    <col min="8" max="8" width="9.85714285714286" style="2" bestFit="1" customWidth="1"/>
    <col min="9" max="9" width="10.5714285714286" style="2" bestFit="1" customWidth="1"/>
    <col min="10" max="10" width="11.2857142857143" style="2" customWidth="1"/>
    <col min="11" max="11" width="10.4285714285714" style="2" customWidth="1"/>
    <col min="12" max="16384" width="9.14285714285714" style="2"/>
  </cols>
  <sheetData>
    <row r="1" spans="2:12" ht="15.6">
      <c r="B1" s="82" t="s">
        <v>25</v>
      </c>
      <c r="C1" s="82"/>
      <c r="D1" s="82"/>
      <c r="E1" s="82"/>
      <c r="F1" s="82"/>
      <c r="G1" s="82"/>
      <c r="H1" s="82"/>
      <c r="I1" s="82"/>
      <c r="J1" s="82"/>
      <c r="K1" s="82"/>
      <c r="L1" s="82"/>
    </row>
    <row r="2" spans="2:12" ht="15.6">
      <c r="B2" s="82" t="s">
        <v>102</v>
      </c>
      <c r="C2" s="82"/>
      <c r="D2" s="82"/>
      <c r="E2" s="82"/>
      <c r="F2" s="82"/>
      <c r="G2" s="82"/>
      <c r="H2" s="82"/>
      <c r="I2" s="82"/>
      <c r="J2" s="82"/>
      <c r="K2" s="82"/>
      <c r="L2" s="82"/>
    </row>
    <row r="3" spans="2:12" ht="15.6">
      <c r="B3" s="82" t="s">
        <v>1</v>
      </c>
      <c r="C3" s="82"/>
      <c r="D3" s="82"/>
      <c r="E3" s="82"/>
      <c r="F3" s="82"/>
      <c r="G3" s="82"/>
      <c r="H3" s="82"/>
      <c r="I3" s="82"/>
      <c r="J3" s="82"/>
      <c r="K3" s="82"/>
      <c r="L3" s="82"/>
    </row>
    <row r="4" spans="2:12" ht="15.6">
      <c r="B4" s="82" t="s">
        <v>115</v>
      </c>
      <c r="C4" s="82"/>
      <c r="D4" s="82"/>
      <c r="E4" s="82"/>
      <c r="F4" s="82"/>
      <c r="G4" s="82"/>
      <c r="H4" s="82"/>
      <c r="I4" s="82"/>
      <c r="J4" s="82"/>
      <c r="K4" s="82"/>
      <c r="L4" s="82"/>
    </row>
    <row r="6" spans="2:12" ht="15.6">
      <c r="B6" s="82" t="s">
        <v>83</v>
      </c>
      <c r="C6" s="82"/>
      <c r="D6" s="82"/>
      <c r="E6" s="82"/>
      <c r="F6" s="82"/>
      <c r="G6" s="82"/>
      <c r="H6" s="82"/>
      <c r="I6" s="82"/>
      <c r="J6" s="82"/>
      <c r="K6" s="82"/>
      <c r="L6" s="82"/>
    </row>
    <row r="9" spans="2:12" ht="12">
      <c r="B9" s="83" t="s">
        <v>95</v>
      </c>
      <c r="C9" s="83"/>
      <c r="D9" s="83"/>
      <c r="E9" s="83"/>
      <c r="F9" s="83"/>
      <c r="G9" s="83"/>
      <c r="H9" s="83"/>
      <c r="I9" s="83"/>
      <c r="J9" s="83"/>
      <c r="K9" s="83"/>
      <c r="L9" s="83"/>
    </row>
    <row r="10" spans="1:12" ht="34.8" thickBot="1">
      <c r="A10" s="3" t="s">
        <v>4</v>
      </c>
      <c r="C10" s="3" t="s">
        <v>55</v>
      </c>
      <c r="D10" s="3" t="s">
        <v>6</v>
      </c>
      <c r="E10" s="3" t="s">
        <v>7</v>
      </c>
      <c r="F10" s="3" t="s">
        <v>8</v>
      </c>
      <c r="G10" s="3" t="s">
        <v>9</v>
      </c>
      <c r="H10" s="3" t="s">
        <v>10</v>
      </c>
      <c r="I10" s="3" t="s">
        <v>11</v>
      </c>
      <c r="J10" s="3" t="s">
        <v>12</v>
      </c>
      <c r="K10" s="3" t="s">
        <v>13</v>
      </c>
      <c r="L10" s="3" t="s">
        <v>14</v>
      </c>
    </row>
    <row r="11" spans="1:12" ht="11.4">
      <c r="A11" s="1">
        <v>1</v>
      </c>
      <c r="B11" s="4">
        <v>44197</v>
      </c>
      <c r="C11" s="5">
        <v>10.399999999999999</v>
      </c>
      <c r="D11" s="5">
        <v>12.199999999999996</v>
      </c>
      <c r="E11" s="5">
        <v>4.5999999999999943</v>
      </c>
      <c r="F11" s="5">
        <v>12.899999999999984</v>
      </c>
      <c r="G11" s="5">
        <v>19.29999999999999</v>
      </c>
      <c r="H11" s="5">
        <v>10.79999999999999</v>
      </c>
      <c r="I11" s="5">
        <v>24.399999999999991</v>
      </c>
      <c r="J11" s="5">
        <v>34.799999999999983</v>
      </c>
      <c r="K11" s="5">
        <v>51.899999999999991</v>
      </c>
      <c r="L11" s="5">
        <v>21.299999999999997</v>
      </c>
    </row>
    <row r="12" spans="1:12" ht="11.4">
      <c r="A12" s="1">
        <f>+A11+1</f>
        <v>2</v>
      </c>
      <c r="B12" s="4">
        <v>44228</v>
      </c>
      <c r="C12" s="5">
        <v>192.30000000000001</v>
      </c>
      <c r="D12" s="5">
        <v>96.199999999999989</v>
      </c>
      <c r="E12" s="5">
        <v>115.8</v>
      </c>
      <c r="F12" s="5">
        <v>158.30000000000001</v>
      </c>
      <c r="G12" s="5">
        <v>141.09999999999999</v>
      </c>
      <c r="H12" s="5">
        <v>155.70000000000002</v>
      </c>
      <c r="I12" s="5">
        <v>226.89999999999998</v>
      </c>
      <c r="J12" s="5">
        <v>272.90000000000003</v>
      </c>
      <c r="K12" s="5">
        <v>205.20000000000002</v>
      </c>
      <c r="L12" s="5">
        <v>214.70000000000002</v>
      </c>
    </row>
    <row r="13" spans="1:12" ht="11.4">
      <c r="A13" s="1">
        <f t="shared" si="0" ref="A13:A40">+A12+1</f>
        <v>3</v>
      </c>
      <c r="B13" s="4">
        <v>44256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</row>
    <row r="14" spans="1:12" ht="11.4">
      <c r="A14" s="1">
        <f t="shared" si="0"/>
        <v>4</v>
      </c>
      <c r="B14" s="4">
        <v>44287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</row>
    <row r="15" spans="1:12" ht="11.4">
      <c r="A15" s="1">
        <f t="shared" si="0"/>
        <v>5</v>
      </c>
      <c r="B15" s="4">
        <v>44317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</row>
    <row r="16" spans="1:12" ht="11.4">
      <c r="A16" s="1">
        <f t="shared" si="0"/>
        <v>6</v>
      </c>
      <c r="B16" s="4">
        <v>44348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</row>
    <row r="17" spans="1:12" ht="11.4">
      <c r="A17" s="1">
        <f t="shared" si="0"/>
        <v>7</v>
      </c>
      <c r="B17" s="4">
        <v>44378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</row>
    <row r="18" spans="1:12" ht="11.4">
      <c r="A18" s="1">
        <f t="shared" si="0"/>
        <v>8</v>
      </c>
      <c r="B18" s="4">
        <v>44409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</row>
    <row r="19" spans="1:12" ht="11.4">
      <c r="A19" s="1">
        <f t="shared" si="0"/>
        <v>9</v>
      </c>
      <c r="B19" s="4">
        <v>44440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</row>
    <row r="20" spans="1:12" ht="11.4">
      <c r="A20" s="1">
        <f t="shared" si="0"/>
        <v>10</v>
      </c>
      <c r="B20" s="4">
        <v>44470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</row>
    <row r="21" spans="1:12" ht="11.4">
      <c r="A21" s="1">
        <f t="shared" si="0"/>
        <v>11</v>
      </c>
      <c r="B21" s="4">
        <v>44501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</row>
    <row r="22" spans="1:12" ht="11.4">
      <c r="A22" s="1">
        <f t="shared" si="0"/>
        <v>12</v>
      </c>
      <c r="B22" s="6">
        <v>44531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0.89999999999999858</v>
      </c>
      <c r="J22" s="5">
        <v>7.6000000000000014</v>
      </c>
      <c r="K22" s="5">
        <v>0</v>
      </c>
      <c r="L22" s="5">
        <v>4.5</v>
      </c>
    </row>
    <row r="23" spans="1:12" ht="11.4">
      <c r="A23" s="1">
        <f t="shared" si="0"/>
        <v>13</v>
      </c>
      <c r="B23" s="8" t="s">
        <v>15</v>
      </c>
      <c r="C23" s="33">
        <f>SUM(C11:C22)</f>
        <v>202.70000000000002</v>
      </c>
      <c r="D23" s="33">
        <f t="shared" si="1" ref="D23:L23">SUM(D11:D22)</f>
        <v>108.39999999999998</v>
      </c>
      <c r="E23" s="33">
        <f t="shared" si="1"/>
        <v>120.39999999999999</v>
      </c>
      <c r="F23" s="33">
        <f t="shared" si="1"/>
        <v>171.19999999999999</v>
      </c>
      <c r="G23" s="33">
        <f t="shared" si="1"/>
        <v>160.39999999999998</v>
      </c>
      <c r="H23" s="33">
        <f t="shared" si="1"/>
        <v>166.5</v>
      </c>
      <c r="I23" s="33">
        <f t="shared" si="1"/>
        <v>252.19999999999996</v>
      </c>
      <c r="J23" s="33">
        <f t="shared" si="1"/>
        <v>315.30000000000007</v>
      </c>
      <c r="K23" s="33">
        <f t="shared" si="1"/>
        <v>257.10000000000002</v>
      </c>
      <c r="L23" s="33">
        <f t="shared" si="1"/>
        <v>240.5</v>
      </c>
    </row>
    <row r="24" spans="1:1" ht="11.4">
      <c r="A24" s="1">
        <f t="shared" si="0"/>
        <v>14</v>
      </c>
    </row>
    <row r="25" spans="1:1" ht="11.4">
      <c r="A25" s="1">
        <f t="shared" si="0"/>
        <v>15</v>
      </c>
    </row>
    <row r="26" spans="1:12" ht="12">
      <c r="A26" s="1">
        <f t="shared" si="0"/>
        <v>16</v>
      </c>
      <c r="B26" s="83" t="s">
        <v>96</v>
      </c>
      <c r="C26" s="83"/>
      <c r="D26" s="83"/>
      <c r="E26" s="83"/>
      <c r="F26" s="83"/>
      <c r="G26" s="83"/>
      <c r="H26" s="83"/>
      <c r="I26" s="83"/>
      <c r="J26" s="83"/>
      <c r="K26" s="83"/>
      <c r="L26" s="83"/>
    </row>
    <row r="27" spans="1:12" ht="34.8" thickBot="1">
      <c r="A27" s="1">
        <f t="shared" si="0"/>
        <v>17</v>
      </c>
      <c r="C27" s="3" t="s">
        <v>55</v>
      </c>
      <c r="D27" s="3" t="s">
        <v>6</v>
      </c>
      <c r="E27" s="74" t="s">
        <v>7</v>
      </c>
      <c r="F27" s="74" t="s">
        <v>8</v>
      </c>
      <c r="G27" s="74" t="s">
        <v>9</v>
      </c>
      <c r="H27" s="74" t="s">
        <v>10</v>
      </c>
      <c r="I27" s="74" t="s">
        <v>11</v>
      </c>
      <c r="J27" s="74" t="s">
        <v>12</v>
      </c>
      <c r="K27" s="74" t="s">
        <v>13</v>
      </c>
      <c r="L27" s="74" t="s">
        <v>14</v>
      </c>
    </row>
    <row r="28" spans="1:12" ht="11.4">
      <c r="A28" s="1">
        <f t="shared" si="0"/>
        <v>18</v>
      </c>
      <c r="B28" s="4">
        <f>+B11</f>
        <v>44197</v>
      </c>
      <c r="C28" s="5">
        <v>43.911249999999988</v>
      </c>
      <c r="D28" s="5">
        <v>24.928750000000008</v>
      </c>
      <c r="E28" s="5">
        <v>19.689166666666665</v>
      </c>
      <c r="F28" s="5">
        <v>29.414166666666659</v>
      </c>
      <c r="G28" s="5">
        <v>39.202083333333327</v>
      </c>
      <c r="H28" s="5">
        <v>33.996249999999968</v>
      </c>
      <c r="I28" s="5">
        <v>59.989999999999988</v>
      </c>
      <c r="J28" s="5">
        <v>84.207499999999996</v>
      </c>
      <c r="K28" s="5">
        <v>52.667083333333345</v>
      </c>
      <c r="L28" s="5">
        <v>74.253333333333359</v>
      </c>
    </row>
    <row r="29" spans="1:12" ht="11.4">
      <c r="A29" s="1">
        <f t="shared" si="0"/>
        <v>19</v>
      </c>
      <c r="B29" s="4">
        <f t="shared" si="2" ref="B29:B39">+B12</f>
        <v>44228</v>
      </c>
      <c r="C29" s="5">
        <v>29.354166666666657</v>
      </c>
      <c r="D29" s="5">
        <v>10.483749999999986</v>
      </c>
      <c r="E29" s="5">
        <v>11.603333333333328</v>
      </c>
      <c r="F29" s="5">
        <v>19.974166666666651</v>
      </c>
      <c r="G29" s="5">
        <v>19.882916666666667</v>
      </c>
      <c r="H29" s="5">
        <v>21.062499999999989</v>
      </c>
      <c r="I29" s="5">
        <v>45.69874999999999</v>
      </c>
      <c r="J29" s="5">
        <v>60.548333333333311</v>
      </c>
      <c r="K29" s="5">
        <v>35.317499999999995</v>
      </c>
      <c r="L29" s="5">
        <v>47.472500000000004</v>
      </c>
    </row>
    <row r="30" spans="1:12" ht="11.4">
      <c r="A30" s="1">
        <f t="shared" si="0"/>
        <v>20</v>
      </c>
      <c r="B30" s="4">
        <f t="shared" si="2"/>
        <v>44256</v>
      </c>
      <c r="C30" s="5">
        <v>5.5858333333333352</v>
      </c>
      <c r="D30" s="5">
        <v>2.2599999999999998</v>
      </c>
      <c r="E30" s="5">
        <v>1.7945833333333343</v>
      </c>
      <c r="F30" s="5">
        <v>3.1970833333333295</v>
      </c>
      <c r="G30" s="5">
        <v>4.1600000000000001</v>
      </c>
      <c r="H30" s="5">
        <v>3.6533333333333333</v>
      </c>
      <c r="I30" s="5">
        <v>8.1950000000000021</v>
      </c>
      <c r="J30" s="5">
        <v>10.971666666666668</v>
      </c>
      <c r="K30" s="5">
        <v>6.5383333333333304</v>
      </c>
      <c r="L30" s="5">
        <v>9.6091666666666669</v>
      </c>
    </row>
    <row r="31" spans="1:12" ht="11.4">
      <c r="A31" s="1">
        <f t="shared" si="0"/>
        <v>21</v>
      </c>
      <c r="B31" s="4">
        <f t="shared" si="2"/>
        <v>44287</v>
      </c>
      <c r="C31" s="5">
        <v>0</v>
      </c>
      <c r="D31" s="5">
        <v>0</v>
      </c>
      <c r="E31" s="5">
        <v>0.02291666666666501</v>
      </c>
      <c r="F31" s="5">
        <v>0.28749999999999998</v>
      </c>
      <c r="G31" s="5">
        <v>0</v>
      </c>
      <c r="H31" s="5">
        <v>0.14374999999999999</v>
      </c>
      <c r="I31" s="5">
        <v>0.80916666666666515</v>
      </c>
      <c r="J31" s="5">
        <v>0.45083333333333508</v>
      </c>
      <c r="K31" s="5">
        <v>0.83333333333332993</v>
      </c>
      <c r="L31" s="5">
        <v>0.22208333333333491</v>
      </c>
    </row>
    <row r="32" spans="1:12" ht="11.4">
      <c r="A32" s="1">
        <f t="shared" si="0"/>
        <v>22</v>
      </c>
      <c r="B32" s="4">
        <f t="shared" si="2"/>
        <v>44317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</row>
    <row r="33" spans="1:12" ht="11.4">
      <c r="A33" s="1">
        <f t="shared" si="0"/>
        <v>23</v>
      </c>
      <c r="B33" s="4">
        <f t="shared" si="2"/>
        <v>44348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</row>
    <row r="34" spans="1:12" ht="11.4">
      <c r="A34" s="1">
        <f t="shared" si="0"/>
        <v>24</v>
      </c>
      <c r="B34" s="4">
        <f t="shared" si="2"/>
        <v>44378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</row>
    <row r="35" spans="1:12" ht="11.4">
      <c r="A35" s="1">
        <f t="shared" si="0"/>
        <v>25</v>
      </c>
      <c r="B35" s="4">
        <f t="shared" si="2"/>
        <v>44409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</row>
    <row r="36" spans="1:12" ht="11.4">
      <c r="A36" s="1">
        <f t="shared" si="0"/>
        <v>26</v>
      </c>
      <c r="B36" s="4">
        <f t="shared" si="2"/>
        <v>44440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</row>
    <row r="37" spans="1:12" ht="11.4">
      <c r="A37" s="1">
        <f t="shared" si="0"/>
        <v>27</v>
      </c>
      <c r="B37" s="4">
        <f t="shared" si="2"/>
        <v>44470</v>
      </c>
      <c r="C37" s="5">
        <v>0.07999999999999971</v>
      </c>
      <c r="D37" s="5">
        <v>0</v>
      </c>
      <c r="E37" s="5">
        <v>0</v>
      </c>
      <c r="F37" s="5">
        <v>0.13999999999999985</v>
      </c>
      <c r="G37" s="5">
        <v>0</v>
      </c>
      <c r="H37" s="5">
        <v>0.050000000000000003</v>
      </c>
      <c r="I37" s="5">
        <v>1.1799999999999995</v>
      </c>
      <c r="J37" s="5">
        <v>1.3399999999999994</v>
      </c>
      <c r="K37" s="5">
        <v>1.49</v>
      </c>
      <c r="L37" s="5">
        <v>0.17499999999999999</v>
      </c>
    </row>
    <row r="38" spans="1:12" ht="11.4">
      <c r="A38" s="1">
        <f t="shared" si="0"/>
        <v>28</v>
      </c>
      <c r="B38" s="4">
        <f t="shared" si="2"/>
        <v>44501</v>
      </c>
      <c r="C38" s="5">
        <v>5.0424999999999978</v>
      </c>
      <c r="D38" s="5">
        <v>1.6112499999999999</v>
      </c>
      <c r="E38" s="5">
        <v>1.3495833333333289</v>
      </c>
      <c r="F38" s="5">
        <v>3.5345833333333334</v>
      </c>
      <c r="G38" s="5">
        <v>3.4474999999999993</v>
      </c>
      <c r="H38" s="5">
        <v>3.9320833333333356</v>
      </c>
      <c r="I38" s="5">
        <v>10.927500000000002</v>
      </c>
      <c r="J38" s="5">
        <v>12.332499999999993</v>
      </c>
      <c r="K38" s="5">
        <v>10.655416666666659</v>
      </c>
      <c r="L38" s="5">
        <v>6.8645833333333375</v>
      </c>
    </row>
    <row r="39" spans="1:12" ht="11.4">
      <c r="A39" s="1">
        <f t="shared" si="0"/>
        <v>29</v>
      </c>
      <c r="B39" s="4">
        <f t="shared" si="2"/>
        <v>44531</v>
      </c>
      <c r="C39" s="5">
        <v>24.895000000000003</v>
      </c>
      <c r="D39" s="5">
        <v>9.3549999999999951</v>
      </c>
      <c r="E39" s="5">
        <v>8.5829166666666694</v>
      </c>
      <c r="F39" s="5">
        <v>16.322499999999998</v>
      </c>
      <c r="G39" s="5">
        <v>18.818333333333342</v>
      </c>
      <c r="H39" s="5">
        <v>18.553333333333342</v>
      </c>
      <c r="I39" s="5">
        <v>49.45291666666666</v>
      </c>
      <c r="J39" s="5">
        <v>66.209166666666661</v>
      </c>
      <c r="K39" s="5">
        <v>45.09791666666667</v>
      </c>
      <c r="L39" s="5">
        <v>43.571250000000006</v>
      </c>
    </row>
    <row r="40" spans="1:12" ht="11.4">
      <c r="A40" s="1">
        <f t="shared" si="0"/>
        <v>30</v>
      </c>
      <c r="B40" s="32" t="s">
        <v>15</v>
      </c>
      <c r="C40" s="33">
        <f>SUM(C28:C39)</f>
        <v>108.86875000000001</v>
      </c>
      <c r="D40" s="33">
        <f t="shared" si="3" ref="D40:L40">SUM(D28:D39)</f>
        <v>48.638749999999987</v>
      </c>
      <c r="E40" s="33">
        <f t="shared" si="3"/>
        <v>43.04249999999999</v>
      </c>
      <c r="F40" s="33">
        <f t="shared" si="3"/>
        <v>72.869999999999976</v>
      </c>
      <c r="G40" s="33">
        <f t="shared" si="3"/>
        <v>85.510833333333338</v>
      </c>
      <c r="H40" s="33">
        <f t="shared" si="3"/>
        <v>81.391249999999971</v>
      </c>
      <c r="I40" s="33">
        <f t="shared" si="3"/>
        <v>176.2533333333333</v>
      </c>
      <c r="J40" s="33">
        <f t="shared" si="3"/>
        <v>236.05999999999995</v>
      </c>
      <c r="K40" s="33">
        <f t="shared" si="3"/>
        <v>152.59958333333333</v>
      </c>
      <c r="L40" s="33">
        <f t="shared" si="3"/>
        <v>182.16791666666671</v>
      </c>
    </row>
    <row r="43" spans="9:9" ht="13.2">
      <c r="I43"/>
    </row>
  </sheetData>
  <mergeCells count="7">
    <mergeCell ref="B26:L26"/>
    <mergeCell ref="B1:L1"/>
    <mergeCell ref="B2:L2"/>
    <mergeCell ref="B3:L3"/>
    <mergeCell ref="B4:L4"/>
    <mergeCell ref="B6:L6"/>
    <mergeCell ref="B9:L9"/>
  </mergeCells>
  <pageMargins left="0.75" right="0.75" top="1" bottom="1" header="0.5" footer="0.5"/>
  <pageSetup firstPageNumber="3" useFirstPageNumber="1" orientation="portrait" scale="73" r:id="rId1"/>
  <headerFooter alignWithMargins="0">
    <oddHeader>&amp;RSchedule II-H-5.1
Page &amp;P of  28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pageSetUpPr fitToPage="1"/>
  </sheetPr>
  <dimension ref="A1:L40"/>
  <sheetViews>
    <sheetView workbookViewId="0" topLeftCell="A1"/>
  </sheetViews>
  <sheetFormatPr defaultColWidth="9.11428571428571" defaultRowHeight="12"/>
  <cols>
    <col min="1" max="1" width="9.14285714285714" style="1"/>
    <col min="2" max="2" width="10.4285714285714" style="2" bestFit="1" customWidth="1"/>
    <col min="3" max="3" width="11.4285714285714" style="2" customWidth="1"/>
    <col min="4" max="4" width="9.57142857142857" style="2" bestFit="1" customWidth="1"/>
    <col min="5" max="5" width="9.71428571428571" style="2" bestFit="1" customWidth="1"/>
    <col min="6" max="6" width="9.57142857142857" style="2" bestFit="1" customWidth="1"/>
    <col min="7" max="7" width="12.2857142857143" style="2" bestFit="1" customWidth="1"/>
    <col min="8" max="8" width="9.85714285714286" style="2" bestFit="1" customWidth="1"/>
    <col min="9" max="9" width="10.5714285714286" style="2" bestFit="1" customWidth="1"/>
    <col min="10" max="10" width="11.2857142857143" style="2" customWidth="1"/>
    <col min="11" max="11" width="10.4285714285714" style="2" customWidth="1"/>
    <col min="12" max="16384" width="9.14285714285714" style="2"/>
  </cols>
  <sheetData>
    <row r="1" spans="2:12" ht="15.6">
      <c r="B1" s="82" t="str">
        <f>+Base40h!B1</f>
        <v xml:space="preserve">PUC DOCKET NO. </v>
      </c>
      <c r="C1" s="82"/>
      <c r="D1" s="82"/>
      <c r="E1" s="82"/>
      <c r="F1" s="82"/>
      <c r="G1" s="82"/>
      <c r="H1" s="82"/>
      <c r="I1" s="82"/>
      <c r="J1" s="82"/>
      <c r="K1" s="82"/>
      <c r="L1" s="82"/>
    </row>
    <row r="2" spans="2:12" ht="15.6">
      <c r="B2" s="82" t="str">
        <f>+Base40h!B2</f>
        <v>ONCOR ELECTRIC DELIVERY COMPANY LLC</v>
      </c>
      <c r="C2" s="82"/>
      <c r="D2" s="82"/>
      <c r="E2" s="82"/>
      <c r="F2" s="82"/>
      <c r="G2" s="82"/>
      <c r="H2" s="82"/>
      <c r="I2" s="82"/>
      <c r="J2" s="82"/>
      <c r="K2" s="82"/>
      <c r="L2" s="82"/>
    </row>
    <row r="3" spans="2:12" ht="15.6">
      <c r="B3" s="82" t="str">
        <f>+Base40h!B3</f>
        <v>WEATHER STATION DATA</v>
      </c>
      <c r="C3" s="82"/>
      <c r="D3" s="82"/>
      <c r="E3" s="82"/>
      <c r="F3" s="82"/>
      <c r="G3" s="82"/>
      <c r="H3" s="82"/>
      <c r="I3" s="82"/>
      <c r="J3" s="82"/>
      <c r="K3" s="82"/>
      <c r="L3" s="82"/>
    </row>
    <row r="4" spans="2:12" ht="15.6">
      <c r="B4" s="82" t="str">
        <f>+Base40h!B4</f>
        <v>FOR THE TEST YEAR ENDING DECEMBER 31, 2021</v>
      </c>
      <c r="C4" s="82"/>
      <c r="D4" s="82"/>
      <c r="E4" s="82"/>
      <c r="F4" s="82"/>
      <c r="G4" s="82"/>
      <c r="H4" s="82"/>
      <c r="I4" s="82"/>
      <c r="J4" s="82"/>
      <c r="K4" s="82"/>
      <c r="L4" s="82"/>
    </row>
    <row r="6" spans="2:12" ht="15.6">
      <c r="B6" s="82" t="str">
        <f>+Base40h!B6</f>
        <v>SPONSOR: D. E. NELSON</v>
      </c>
      <c r="C6" s="82"/>
      <c r="D6" s="82"/>
      <c r="E6" s="82"/>
      <c r="F6" s="82"/>
      <c r="G6" s="82"/>
      <c r="H6" s="82"/>
      <c r="I6" s="82"/>
      <c r="J6" s="82"/>
      <c r="K6" s="82"/>
      <c r="L6" s="82"/>
    </row>
    <row r="9" spans="2:12" ht="12">
      <c r="B9" s="83" t="s">
        <v>16</v>
      </c>
      <c r="C9" s="83"/>
      <c r="D9" s="83"/>
      <c r="E9" s="83"/>
      <c r="F9" s="83"/>
      <c r="G9" s="83"/>
      <c r="H9" s="83"/>
      <c r="I9" s="83"/>
      <c r="J9" s="83"/>
      <c r="K9" s="83"/>
      <c r="L9" s="83"/>
    </row>
    <row r="10" spans="1:12" ht="34.8" thickBot="1">
      <c r="A10" s="3" t="s">
        <v>4</v>
      </c>
      <c r="C10" s="3" t="s">
        <v>55</v>
      </c>
      <c r="D10" s="3" t="s">
        <v>6</v>
      </c>
      <c r="E10" s="3" t="s">
        <v>7</v>
      </c>
      <c r="F10" s="3" t="s">
        <v>8</v>
      </c>
      <c r="G10" s="3" t="s">
        <v>9</v>
      </c>
      <c r="H10" s="3" t="s">
        <v>10</v>
      </c>
      <c r="I10" s="3" t="s">
        <v>11</v>
      </c>
      <c r="J10" s="3" t="s">
        <v>12</v>
      </c>
      <c r="K10" s="3" t="s">
        <v>13</v>
      </c>
      <c r="L10" s="3" t="s">
        <v>14</v>
      </c>
    </row>
    <row r="11" spans="1:12" ht="11.4">
      <c r="A11" s="1">
        <v>1</v>
      </c>
      <c r="B11" s="4">
        <f>+Base40h!B11</f>
        <v>44197</v>
      </c>
      <c r="C11" s="5">
        <v>46.299999999999997</v>
      </c>
      <c r="D11" s="5">
        <v>41.299999999999983</v>
      </c>
      <c r="E11" s="5">
        <v>29.099999999999987</v>
      </c>
      <c r="F11" s="5">
        <v>48.399999999999984</v>
      </c>
      <c r="G11" s="5">
        <v>62.199999999999989</v>
      </c>
      <c r="H11" s="5">
        <v>45.499999999999986</v>
      </c>
      <c r="I11" s="5">
        <v>74.299999999999955</v>
      </c>
      <c r="J11" s="5">
        <v>102.59999999999997</v>
      </c>
      <c r="K11" s="5">
        <v>117.29999999999998</v>
      </c>
      <c r="L11" s="5">
        <v>78.199999999999989</v>
      </c>
    </row>
    <row r="12" spans="1:12" ht="11.4">
      <c r="A12" s="1">
        <f>+A11+1</f>
        <v>2</v>
      </c>
      <c r="B12" s="4">
        <f>+Base40h!B12</f>
        <v>44228</v>
      </c>
      <c r="C12" s="5">
        <v>252.59999999999999</v>
      </c>
      <c r="D12" s="5">
        <v>146</v>
      </c>
      <c r="E12" s="5">
        <v>167</v>
      </c>
      <c r="F12" s="5">
        <v>212.90000000000003</v>
      </c>
      <c r="G12" s="5">
        <v>197.29999999999998</v>
      </c>
      <c r="H12" s="5">
        <v>213.19999999999999</v>
      </c>
      <c r="I12" s="5">
        <v>282.5</v>
      </c>
      <c r="J12" s="5">
        <v>349</v>
      </c>
      <c r="K12" s="5">
        <v>263.50000000000011</v>
      </c>
      <c r="L12" s="5">
        <v>285.39999999999998</v>
      </c>
    </row>
    <row r="13" spans="1:12" ht="11.4">
      <c r="A13" s="1">
        <f t="shared" si="0" ref="A13:A40">+A12+1</f>
        <v>3</v>
      </c>
      <c r="B13" s="4">
        <f>+Base40h!B13</f>
        <v>44256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8.2999999999999972</v>
      </c>
      <c r="L13" s="5">
        <v>0</v>
      </c>
    </row>
    <row r="14" spans="1:12" ht="11.4">
      <c r="A14" s="1">
        <f t="shared" si="0"/>
        <v>4</v>
      </c>
      <c r="B14" s="4">
        <f>+Base40h!B14</f>
        <v>44287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1</v>
      </c>
      <c r="L14" s="5">
        <v>0</v>
      </c>
    </row>
    <row r="15" spans="1:12" ht="11.4">
      <c r="A15" s="1">
        <f t="shared" si="0"/>
        <v>5</v>
      </c>
      <c r="B15" s="4">
        <f>+Base40h!B15</f>
        <v>44317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</row>
    <row r="16" spans="1:12" ht="11.4">
      <c r="A16" s="1">
        <f t="shared" si="0"/>
        <v>6</v>
      </c>
      <c r="B16" s="4">
        <f>+Base40h!B16</f>
        <v>44348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</row>
    <row r="17" spans="1:12" ht="11.4">
      <c r="A17" s="1">
        <f t="shared" si="0"/>
        <v>7</v>
      </c>
      <c r="B17" s="4">
        <f>+Base40h!B17</f>
        <v>44378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</row>
    <row r="18" spans="1:12" ht="11.4">
      <c r="A18" s="1">
        <f t="shared" si="0"/>
        <v>8</v>
      </c>
      <c r="B18" s="4">
        <f>+Base40h!B18</f>
        <v>44409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</row>
    <row r="19" spans="1:12" ht="11.4">
      <c r="A19" s="1">
        <f t="shared" si="0"/>
        <v>9</v>
      </c>
      <c r="B19" s="4">
        <f>+Base40h!B19</f>
        <v>44440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</row>
    <row r="20" spans="1:12" ht="11.4">
      <c r="A20" s="1">
        <f t="shared" si="0"/>
        <v>10</v>
      </c>
      <c r="B20" s="4">
        <f>+Base40h!B20</f>
        <v>44470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</row>
    <row r="21" spans="1:12" ht="11.4">
      <c r="A21" s="1">
        <f t="shared" si="0"/>
        <v>11</v>
      </c>
      <c r="B21" s="4">
        <f>+Base40h!B21</f>
        <v>44501</v>
      </c>
      <c r="C21" s="5">
        <v>0</v>
      </c>
      <c r="D21" s="5">
        <v>0</v>
      </c>
      <c r="E21" s="5">
        <v>0</v>
      </c>
      <c r="F21" s="5">
        <v>0</v>
      </c>
      <c r="G21" s="5">
        <v>3.8999999999999986</v>
      </c>
      <c r="H21" s="5">
        <v>0</v>
      </c>
      <c r="I21" s="5">
        <v>0</v>
      </c>
      <c r="J21" s="5">
        <v>0.29999999999999716</v>
      </c>
      <c r="K21" s="5">
        <v>0.29999999999999716</v>
      </c>
      <c r="L21" s="5">
        <v>2.5</v>
      </c>
    </row>
    <row r="22" spans="1:12" ht="11.4">
      <c r="A22" s="1">
        <f t="shared" si="0"/>
        <v>12</v>
      </c>
      <c r="B22" s="4">
        <f>+Base40h!B22</f>
        <v>44531</v>
      </c>
      <c r="C22" s="5">
        <v>4.5</v>
      </c>
      <c r="D22" s="5">
        <v>3.4999999999999929</v>
      </c>
      <c r="E22" s="5">
        <v>2.1000000000000014</v>
      </c>
      <c r="F22" s="5">
        <v>1.6000000000000014</v>
      </c>
      <c r="G22" s="5">
        <v>14.099999999999994</v>
      </c>
      <c r="H22" s="5">
        <v>2.3999999999999986</v>
      </c>
      <c r="I22" s="5">
        <v>5.8999999999999986</v>
      </c>
      <c r="J22" s="5">
        <v>23.599999999999994</v>
      </c>
      <c r="K22" s="5">
        <v>8.3999999999999915</v>
      </c>
      <c r="L22" s="5">
        <v>17.599999999999994</v>
      </c>
    </row>
    <row r="23" spans="1:12" ht="11.4">
      <c r="A23" s="1">
        <f t="shared" si="0"/>
        <v>13</v>
      </c>
      <c r="B23" s="8" t="s">
        <v>15</v>
      </c>
      <c r="C23" s="33">
        <f>SUM(C11:C22)</f>
        <v>303.39999999999998</v>
      </c>
      <c r="D23" s="33">
        <f t="shared" si="1" ref="D23:L23">SUM(D11:D22)</f>
        <v>190.79999999999998</v>
      </c>
      <c r="E23" s="33">
        <f t="shared" si="1"/>
        <v>198.19999999999999</v>
      </c>
      <c r="F23" s="33">
        <f t="shared" si="1"/>
        <v>262.90000000000003</v>
      </c>
      <c r="G23" s="33">
        <f t="shared" si="1"/>
        <v>277.5</v>
      </c>
      <c r="H23" s="33">
        <f t="shared" si="1"/>
        <v>261.09999999999997</v>
      </c>
      <c r="I23" s="33">
        <f t="shared" si="1"/>
        <v>362.69999999999993</v>
      </c>
      <c r="J23" s="33">
        <f t="shared" si="1"/>
        <v>475.5</v>
      </c>
      <c r="K23" s="33">
        <f t="shared" si="1"/>
        <v>398.80000000000007</v>
      </c>
      <c r="L23" s="33">
        <f t="shared" si="1"/>
        <v>383.69999999999993</v>
      </c>
    </row>
    <row r="24" spans="1:1" ht="11.4">
      <c r="A24" s="1">
        <f t="shared" si="0"/>
        <v>14</v>
      </c>
    </row>
    <row r="25" spans="1:1" ht="11.4">
      <c r="A25" s="1">
        <f t="shared" si="0"/>
        <v>15</v>
      </c>
    </row>
    <row r="26" spans="1:12" ht="12">
      <c r="A26" s="1">
        <f t="shared" si="0"/>
        <v>16</v>
      </c>
      <c r="B26" s="83" t="s">
        <v>17</v>
      </c>
      <c r="C26" s="83"/>
      <c r="D26" s="83"/>
      <c r="E26" s="83"/>
      <c r="F26" s="83"/>
      <c r="G26" s="83"/>
      <c r="H26" s="83"/>
      <c r="I26" s="83"/>
      <c r="J26" s="83"/>
      <c r="K26" s="83"/>
      <c r="L26" s="83"/>
    </row>
    <row r="27" spans="1:12" ht="34.8" thickBot="1">
      <c r="A27" s="1">
        <f t="shared" si="0"/>
        <v>17</v>
      </c>
      <c r="C27" s="3" t="s">
        <v>55</v>
      </c>
      <c r="D27" s="3" t="s">
        <v>6</v>
      </c>
      <c r="E27" s="74" t="s">
        <v>7</v>
      </c>
      <c r="F27" s="74" t="s">
        <v>8</v>
      </c>
      <c r="G27" s="74" t="s">
        <v>9</v>
      </c>
      <c r="H27" s="74" t="s">
        <v>10</v>
      </c>
      <c r="I27" s="74" t="s">
        <v>11</v>
      </c>
      <c r="J27" s="74" t="s">
        <v>12</v>
      </c>
      <c r="K27" s="74" t="s">
        <v>13</v>
      </c>
      <c r="L27" s="74" t="s">
        <v>14</v>
      </c>
    </row>
    <row r="28" spans="1:12" ht="11.4">
      <c r="A28" s="1">
        <f t="shared" si="0"/>
        <v>18</v>
      </c>
      <c r="B28" s="4">
        <f>+Base40h!B28</f>
        <v>44197</v>
      </c>
      <c r="C28" s="5">
        <v>94.392499999999927</v>
      </c>
      <c r="D28" s="5">
        <v>64.134583333333325</v>
      </c>
      <c r="E28" s="5">
        <v>51.958750000000002</v>
      </c>
      <c r="F28" s="5">
        <v>69.138333333333335</v>
      </c>
      <c r="G28" s="5">
        <v>91.707083333333358</v>
      </c>
      <c r="H28" s="5">
        <v>79.694583333333313</v>
      </c>
      <c r="I28" s="5">
        <v>120.59583333333333</v>
      </c>
      <c r="J28" s="5">
        <v>160.25375000000003</v>
      </c>
      <c r="K28" s="5">
        <v>116.05333333333331</v>
      </c>
      <c r="L28" s="5">
        <v>146.52624999999998</v>
      </c>
    </row>
    <row r="29" spans="1:12" ht="11.4">
      <c r="A29" s="1">
        <f t="shared" si="0"/>
        <v>19</v>
      </c>
      <c r="B29" s="4">
        <f>+Base40h!B29</f>
        <v>44228</v>
      </c>
      <c r="C29" s="5">
        <v>64.487916666666663</v>
      </c>
      <c r="D29" s="5">
        <v>32.882916666666659</v>
      </c>
      <c r="E29" s="5">
        <v>30.842499999999987</v>
      </c>
      <c r="F29" s="5">
        <v>45.6770833333333</v>
      </c>
      <c r="G29" s="5">
        <v>53.985416666666652</v>
      </c>
      <c r="H29" s="5">
        <v>50.0683333333333</v>
      </c>
      <c r="I29" s="5">
        <v>88.742083333333355</v>
      </c>
      <c r="J29" s="5">
        <v>115.36624999999999</v>
      </c>
      <c r="K29" s="5">
        <v>74.188333333333333</v>
      </c>
      <c r="L29" s="5">
        <v>99.828333333333333</v>
      </c>
    </row>
    <row r="30" spans="1:12" ht="11.4">
      <c r="A30" s="1">
        <f t="shared" si="0"/>
        <v>20</v>
      </c>
      <c r="B30" s="4">
        <f>+Base40h!B30</f>
        <v>44256</v>
      </c>
      <c r="C30" s="5">
        <v>14.125416666666666</v>
      </c>
      <c r="D30" s="5">
        <v>6.3150000000000004</v>
      </c>
      <c r="E30" s="5">
        <v>5.0062499999999996</v>
      </c>
      <c r="F30" s="5">
        <v>8.5724999999999927</v>
      </c>
      <c r="G30" s="5">
        <v>11.453333333333331</v>
      </c>
      <c r="H30" s="5">
        <v>9.8583333333333325</v>
      </c>
      <c r="I30" s="5">
        <v>19.604166666666671</v>
      </c>
      <c r="J30" s="5">
        <v>26.45708333333334</v>
      </c>
      <c r="K30" s="5">
        <v>17.261249999999993</v>
      </c>
      <c r="L30" s="5">
        <v>23.472916666666649</v>
      </c>
    </row>
    <row r="31" spans="1:12" ht="11.4">
      <c r="A31" s="1">
        <f t="shared" si="0"/>
        <v>21</v>
      </c>
      <c r="B31" s="4">
        <f>+Base40h!B31</f>
        <v>44287</v>
      </c>
      <c r="C31" s="5">
        <v>0.53583333333333483</v>
      </c>
      <c r="D31" s="5">
        <v>0.37375000000000008</v>
      </c>
      <c r="E31" s="5">
        <v>0.40000000000000002</v>
      </c>
      <c r="F31" s="5">
        <v>0.93249999999999988</v>
      </c>
      <c r="G31" s="5">
        <v>0.3216666666666651</v>
      </c>
      <c r="H31" s="5">
        <v>0.65000000000000002</v>
      </c>
      <c r="I31" s="5">
        <v>2.3462499999999995</v>
      </c>
      <c r="J31" s="5">
        <v>2.553333333333335</v>
      </c>
      <c r="K31" s="5">
        <v>1.4399999999999948</v>
      </c>
      <c r="L31" s="5">
        <v>1.577500000000005</v>
      </c>
    </row>
    <row r="32" spans="1:12" ht="11.4">
      <c r="A32" s="1">
        <f t="shared" si="0"/>
        <v>22</v>
      </c>
      <c r="B32" s="4">
        <f>+Base40h!B32</f>
        <v>44317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0.010000000000000143</v>
      </c>
      <c r="J32" s="5">
        <v>0.014999999999999857</v>
      </c>
      <c r="K32" s="5">
        <v>0</v>
      </c>
      <c r="L32" s="5">
        <v>0</v>
      </c>
    </row>
    <row r="33" spans="1:12" ht="11.4">
      <c r="A33" s="1">
        <f t="shared" si="0"/>
        <v>23</v>
      </c>
      <c r="B33" s="4">
        <f>+Base40h!B33</f>
        <v>44348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</row>
    <row r="34" spans="1:12" ht="11.4">
      <c r="A34" s="1">
        <f t="shared" si="0"/>
        <v>24</v>
      </c>
      <c r="B34" s="4">
        <f>+Base40h!B34</f>
        <v>44378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</row>
    <row r="35" spans="1:12" ht="11.4">
      <c r="A35" s="1">
        <f t="shared" si="0"/>
        <v>25</v>
      </c>
      <c r="B35" s="4">
        <f>+Base40h!B35</f>
        <v>44409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</row>
    <row r="36" spans="1:12" ht="11.4">
      <c r="A36" s="1">
        <f t="shared" si="0"/>
        <v>26</v>
      </c>
      <c r="B36" s="4">
        <f>+Base40h!B36</f>
        <v>44440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</row>
    <row r="37" spans="1:12" ht="11.4">
      <c r="A37" s="1">
        <f t="shared" si="0"/>
        <v>27</v>
      </c>
      <c r="B37" s="4">
        <f>+Base40h!B37</f>
        <v>44470</v>
      </c>
      <c r="C37" s="5">
        <v>0.97999999999999932</v>
      </c>
      <c r="D37" s="5">
        <v>0.15499999999999972</v>
      </c>
      <c r="E37" s="5">
        <v>0.21499999999999986</v>
      </c>
      <c r="F37" s="5">
        <v>0.8299999999999994</v>
      </c>
      <c r="G37" s="5">
        <v>0.30999999999999978</v>
      </c>
      <c r="H37" s="5">
        <v>0.67500000000000004</v>
      </c>
      <c r="I37" s="5">
        <v>3.6191666666666631</v>
      </c>
      <c r="J37" s="5">
        <v>3.5687499999999988</v>
      </c>
      <c r="K37" s="5">
        <v>3.594166666666665</v>
      </c>
      <c r="L37" s="5">
        <v>1.3999999999999995</v>
      </c>
    </row>
    <row r="38" spans="1:12" ht="11.4">
      <c r="A38" s="1">
        <f t="shared" si="0"/>
        <v>28</v>
      </c>
      <c r="B38" s="4">
        <f>+Base40h!B38</f>
        <v>44501</v>
      </c>
      <c r="C38" s="5">
        <v>13.988333333333335</v>
      </c>
      <c r="D38" s="5">
        <v>8.3916666666666728</v>
      </c>
      <c r="E38" s="5">
        <v>7.4066666666666574</v>
      </c>
      <c r="F38" s="5">
        <v>12.071249999999996</v>
      </c>
      <c r="G38" s="5">
        <v>14.272916666666671</v>
      </c>
      <c r="H38" s="5">
        <v>12.77166666666667</v>
      </c>
      <c r="I38" s="5">
        <v>27.080000000000005</v>
      </c>
      <c r="J38" s="5">
        <v>30.873333333333328</v>
      </c>
      <c r="K38" s="5">
        <v>27.91708333333332</v>
      </c>
      <c r="L38" s="5">
        <v>20.366666666666671</v>
      </c>
    </row>
    <row r="39" spans="1:12" ht="11.4">
      <c r="A39" s="1">
        <f t="shared" si="0"/>
        <v>29</v>
      </c>
      <c r="B39" s="4">
        <f>+Base40h!B39</f>
        <v>44531</v>
      </c>
      <c r="C39" s="5">
        <v>64.822500000000019</v>
      </c>
      <c r="D39" s="5">
        <v>40.487083333333317</v>
      </c>
      <c r="E39" s="5">
        <v>33.533333333333331</v>
      </c>
      <c r="F39" s="5">
        <v>49.814999999999984</v>
      </c>
      <c r="G39" s="5">
        <v>61.520416666666691</v>
      </c>
      <c r="H39" s="5">
        <v>55.473749999999995</v>
      </c>
      <c r="I39" s="5">
        <v>105.96874999999999</v>
      </c>
      <c r="J39" s="5">
        <v>136.73791666666665</v>
      </c>
      <c r="K39" s="5">
        <v>106.67375000000001</v>
      </c>
      <c r="L39" s="5">
        <v>103.21541666666667</v>
      </c>
    </row>
    <row r="40" spans="1:12" ht="11.4">
      <c r="A40" s="1">
        <f t="shared" si="0"/>
        <v>30</v>
      </c>
      <c r="B40" s="32" t="s">
        <v>15</v>
      </c>
      <c r="C40" s="33">
        <f>SUM(C28:C39)</f>
        <v>253.33249999999993</v>
      </c>
      <c r="D40" s="33">
        <f t="shared" si="2" ref="D40:L40">SUM(D28:D39)</f>
        <v>152.73999999999998</v>
      </c>
      <c r="E40" s="33">
        <f t="shared" si="2"/>
        <v>129.36249999999996</v>
      </c>
      <c r="F40" s="33">
        <f t="shared" si="2"/>
        <v>187.03666666666663</v>
      </c>
      <c r="G40" s="33">
        <f t="shared" si="2"/>
        <v>233.57083333333333</v>
      </c>
      <c r="H40" s="33">
        <f t="shared" si="2"/>
        <v>209.19166666666663</v>
      </c>
      <c r="I40" s="33">
        <f t="shared" si="2"/>
        <v>367.96625</v>
      </c>
      <c r="J40" s="33">
        <f t="shared" si="2"/>
        <v>475.82541666666668</v>
      </c>
      <c r="K40" s="33">
        <f t="shared" si="2"/>
        <v>347.12791666666664</v>
      </c>
      <c r="L40" s="33">
        <f t="shared" si="2"/>
        <v>396.38708333333329</v>
      </c>
    </row>
  </sheetData>
  <mergeCells count="7">
    <mergeCell ref="B1:L1"/>
    <mergeCell ref="B4:L4"/>
    <mergeCell ref="B26:L26"/>
    <mergeCell ref="B9:L9"/>
    <mergeCell ref="B6:L6"/>
    <mergeCell ref="B2:L2"/>
    <mergeCell ref="B3:L3"/>
  </mergeCells>
  <pageMargins left="0.75" right="0.75" top="1" bottom="1" header="0.5" footer="0.5"/>
  <pageSetup orientation="portrait" scale="73" r:id="rId1"/>
  <headerFooter alignWithMargins="0">
    <oddHeader>&amp;RSchedule II-H-5.1
Page &amp;P of  28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pageSetUpPr fitToPage="1"/>
  </sheetPr>
  <dimension ref="A1:Z73"/>
  <sheetViews>
    <sheetView workbookViewId="0" topLeftCell="A1"/>
  </sheetViews>
  <sheetFormatPr defaultColWidth="9.11428571428571" defaultRowHeight="12"/>
  <cols>
    <col min="1" max="1" width="9.14285714285714" style="1"/>
    <col min="2" max="2" width="10.4285714285714" style="2" bestFit="1" customWidth="1"/>
    <col min="3" max="3" width="11.4285714285714" style="2" customWidth="1"/>
    <col min="4" max="4" width="9.57142857142857" style="2" bestFit="1" customWidth="1"/>
    <col min="5" max="5" width="9.71428571428571" style="2" bestFit="1" customWidth="1"/>
    <col min="6" max="6" width="9.57142857142857" style="2" bestFit="1" customWidth="1"/>
    <col min="7" max="7" width="12.2857142857143" style="2" bestFit="1" customWidth="1"/>
    <col min="8" max="8" width="9.85714285714286" style="2" bestFit="1" customWidth="1"/>
    <col min="9" max="9" width="10.5714285714286" style="2" bestFit="1" customWidth="1"/>
    <col min="10" max="10" width="11.2857142857143" style="2" customWidth="1"/>
    <col min="11" max="11" width="10.4285714285714" style="2" customWidth="1"/>
    <col min="12" max="16384" width="9.14285714285714" style="2"/>
  </cols>
  <sheetData>
    <row r="1" spans="2:12" ht="15.6">
      <c r="B1" s="82" t="str">
        <f>+Base40h!B1</f>
        <v xml:space="preserve">PUC DOCKET NO. </v>
      </c>
      <c r="C1" s="82"/>
      <c r="D1" s="82"/>
      <c r="E1" s="82"/>
      <c r="F1" s="82"/>
      <c r="G1" s="82"/>
      <c r="H1" s="82"/>
      <c r="I1" s="82"/>
      <c r="J1" s="82"/>
      <c r="K1" s="82"/>
      <c r="L1" s="82"/>
    </row>
    <row r="2" spans="2:12" ht="15.6">
      <c r="B2" s="82" t="str">
        <f>+Base40h!B2</f>
        <v>ONCOR ELECTRIC DELIVERY COMPANY LLC</v>
      </c>
      <c r="C2" s="82"/>
      <c r="D2" s="82"/>
      <c r="E2" s="82"/>
      <c r="F2" s="82"/>
      <c r="G2" s="82"/>
      <c r="H2" s="82"/>
      <c r="I2" s="82"/>
      <c r="J2" s="82"/>
      <c r="K2" s="82"/>
      <c r="L2" s="82"/>
    </row>
    <row r="3" spans="2:12" ht="15.6">
      <c r="B3" s="82" t="str">
        <f>+Base40h!B3</f>
        <v>WEATHER STATION DATA</v>
      </c>
      <c r="C3" s="82"/>
      <c r="D3" s="82"/>
      <c r="E3" s="82"/>
      <c r="F3" s="82"/>
      <c r="G3" s="82"/>
      <c r="H3" s="82"/>
      <c r="I3" s="82"/>
      <c r="J3" s="82"/>
      <c r="K3" s="82"/>
      <c r="L3" s="82"/>
    </row>
    <row r="4" spans="2:12" ht="15.6">
      <c r="B4" s="82" t="str">
        <f>+Base40h!B4</f>
        <v>FOR THE TEST YEAR ENDING DECEMBER 31, 2021</v>
      </c>
      <c r="C4" s="82"/>
      <c r="D4" s="82"/>
      <c r="E4" s="82"/>
      <c r="F4" s="82"/>
      <c r="G4" s="82"/>
      <c r="H4" s="82"/>
      <c r="I4" s="82"/>
      <c r="J4" s="82"/>
      <c r="K4" s="82"/>
      <c r="L4" s="82"/>
    </row>
    <row r="6" spans="2:12" ht="15.6">
      <c r="B6" s="82" t="str">
        <f>+Base40h!B6</f>
        <v>SPONSOR: D. E. NELSON</v>
      </c>
      <c r="C6" s="82"/>
      <c r="D6" s="82"/>
      <c r="E6" s="82"/>
      <c r="F6" s="82"/>
      <c r="G6" s="82"/>
      <c r="H6" s="82"/>
      <c r="I6" s="82"/>
      <c r="J6" s="82"/>
      <c r="K6" s="82"/>
      <c r="L6" s="82"/>
    </row>
    <row r="9" spans="2:12" ht="12">
      <c r="B9" s="83" t="s">
        <v>86</v>
      </c>
      <c r="C9" s="83"/>
      <c r="D9" s="83"/>
      <c r="E9" s="83"/>
      <c r="F9" s="83"/>
      <c r="G9" s="83"/>
      <c r="H9" s="83"/>
      <c r="I9" s="83"/>
      <c r="J9" s="83"/>
      <c r="K9" s="83"/>
      <c r="L9" s="83"/>
    </row>
    <row r="10" spans="1:12" ht="34.8" thickBot="1">
      <c r="A10" s="3" t="s">
        <v>4</v>
      </c>
      <c r="C10" s="3" t="s">
        <v>55</v>
      </c>
      <c r="D10" s="3" t="s">
        <v>6</v>
      </c>
      <c r="E10" s="3" t="s">
        <v>7</v>
      </c>
      <c r="F10" s="3" t="s">
        <v>8</v>
      </c>
      <c r="G10" s="3" t="s">
        <v>9</v>
      </c>
      <c r="H10" s="3" t="s">
        <v>10</v>
      </c>
      <c r="I10" s="3" t="s">
        <v>11</v>
      </c>
      <c r="J10" s="3" t="s">
        <v>12</v>
      </c>
      <c r="K10" s="3" t="s">
        <v>13</v>
      </c>
      <c r="L10" s="3" t="s">
        <v>14</v>
      </c>
    </row>
    <row r="11" spans="1:12" ht="11.4">
      <c r="A11" s="1">
        <v>1</v>
      </c>
      <c r="B11" s="4">
        <f>+Base40h!B11</f>
        <v>44197</v>
      </c>
      <c r="C11" s="5">
        <v>124.19999999999996</v>
      </c>
      <c r="D11" s="5">
        <v>105.09999999999999</v>
      </c>
      <c r="E11" s="5">
        <v>73.799999999999983</v>
      </c>
      <c r="F11" s="5">
        <v>106.19999999999996</v>
      </c>
      <c r="G11" s="5">
        <v>143.20000000000002</v>
      </c>
      <c r="H11" s="5">
        <v>114.19999999999996</v>
      </c>
      <c r="I11" s="5">
        <v>169.09999999999991</v>
      </c>
      <c r="J11" s="5">
        <v>225.7999999999999</v>
      </c>
      <c r="K11" s="5">
        <v>225.29999999999993</v>
      </c>
      <c r="L11" s="5">
        <v>177.19999999999996</v>
      </c>
    </row>
    <row r="12" spans="1:12" ht="11.4">
      <c r="A12" s="1">
        <f t="shared" si="0" ref="A12:A40">+A11+1</f>
        <v>2</v>
      </c>
      <c r="B12" s="4">
        <f>+Base40h!B12</f>
        <v>44228</v>
      </c>
      <c r="C12" s="5">
        <v>330.39999999999992</v>
      </c>
      <c r="D12" s="5">
        <v>204.79999999999996</v>
      </c>
      <c r="E12" s="5">
        <v>222.10000000000002</v>
      </c>
      <c r="F12" s="5">
        <v>276.69999999999999</v>
      </c>
      <c r="G12" s="5">
        <v>279.29999999999995</v>
      </c>
      <c r="H12" s="5">
        <v>281.00000000000006</v>
      </c>
      <c r="I12" s="5">
        <v>354.80000000000001</v>
      </c>
      <c r="J12" s="5">
        <v>443.39999999999998</v>
      </c>
      <c r="K12" s="5">
        <v>335.20000000000005</v>
      </c>
      <c r="L12" s="5">
        <v>377.59999999999997</v>
      </c>
    </row>
    <row r="13" spans="1:12" ht="11.4">
      <c r="A13" s="1">
        <f t="shared" si="0"/>
        <v>3</v>
      </c>
      <c r="B13" s="4">
        <f>+Base40h!B13</f>
        <v>44256</v>
      </c>
      <c r="C13" s="5">
        <v>0</v>
      </c>
      <c r="D13" s="5">
        <v>1.6999999999999957</v>
      </c>
      <c r="E13" s="5">
        <v>0</v>
      </c>
      <c r="F13" s="5">
        <v>0.69999999999999574</v>
      </c>
      <c r="G13" s="5">
        <v>4.3999999999999986</v>
      </c>
      <c r="H13" s="5">
        <v>0.19999999999999574</v>
      </c>
      <c r="I13" s="5">
        <v>8.5999999999999872</v>
      </c>
      <c r="J13" s="5">
        <v>11.999999999999993</v>
      </c>
      <c r="K13" s="5">
        <v>21.599999999999994</v>
      </c>
      <c r="L13" s="5">
        <v>1.6999999999999957</v>
      </c>
    </row>
    <row r="14" spans="1:12" ht="11.4">
      <c r="A14" s="1">
        <f t="shared" si="0"/>
        <v>4</v>
      </c>
      <c r="B14" s="4">
        <f>+Base40h!B14</f>
        <v>44287</v>
      </c>
      <c r="C14" s="5">
        <v>0</v>
      </c>
      <c r="D14" s="5">
        <v>0</v>
      </c>
      <c r="E14" s="5">
        <v>0</v>
      </c>
      <c r="F14" s="5">
        <v>0</v>
      </c>
      <c r="G14" s="5">
        <v>0.69999999999999574</v>
      </c>
      <c r="H14" s="5">
        <v>0.29999999999999716</v>
      </c>
      <c r="I14" s="5">
        <v>5.2999999999999972</v>
      </c>
      <c r="J14" s="5">
        <v>5.3999999999999915</v>
      </c>
      <c r="K14" s="5">
        <v>10.5</v>
      </c>
      <c r="L14" s="5">
        <v>2.9999999999999929</v>
      </c>
    </row>
    <row r="15" spans="1:12" ht="11.4">
      <c r="A15" s="1">
        <f t="shared" si="0"/>
        <v>5</v>
      </c>
      <c r="B15" s="4">
        <f>+Base40h!B15</f>
        <v>44317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</row>
    <row r="16" spans="1:12" ht="11.4">
      <c r="A16" s="1">
        <f t="shared" si="0"/>
        <v>6</v>
      </c>
      <c r="B16" s="4">
        <f>+Base40h!B16</f>
        <v>44348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</row>
    <row r="17" spans="1:12" ht="11.4">
      <c r="A17" s="1">
        <f t="shared" si="0"/>
        <v>7</v>
      </c>
      <c r="B17" s="4">
        <f>+Base40h!B17</f>
        <v>44378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</row>
    <row r="18" spans="1:12" ht="11.4">
      <c r="A18" s="1">
        <f t="shared" si="0"/>
        <v>8</v>
      </c>
      <c r="B18" s="4">
        <f>+Base40h!B18</f>
        <v>44409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</row>
    <row r="19" spans="1:12" ht="11.4">
      <c r="A19" s="1">
        <f t="shared" si="0"/>
        <v>9</v>
      </c>
      <c r="B19" s="4">
        <f>+Base40h!B19</f>
        <v>44440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</row>
    <row r="20" spans="1:12" ht="11.4">
      <c r="A20" s="1">
        <f t="shared" si="0"/>
        <v>10</v>
      </c>
      <c r="B20" s="4">
        <f>+Base40h!B20</f>
        <v>44470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</row>
    <row r="21" spans="1:12" ht="11.4">
      <c r="A21" s="1">
        <f t="shared" si="0"/>
        <v>11</v>
      </c>
      <c r="B21" s="4">
        <f>+Base40h!B21</f>
        <v>44501</v>
      </c>
      <c r="C21" s="5">
        <v>7.1000000000000014</v>
      </c>
      <c r="D21" s="5">
        <v>7.3999999999999915</v>
      </c>
      <c r="E21" s="5">
        <v>1.8999999999999986</v>
      </c>
      <c r="F21" s="5">
        <v>6.4999999999999858</v>
      </c>
      <c r="G21" s="5">
        <v>28.499999999999986</v>
      </c>
      <c r="H21" s="5">
        <v>6.2999999999999972</v>
      </c>
      <c r="I21" s="5">
        <v>9.5999999999999943</v>
      </c>
      <c r="J21" s="5">
        <v>20.699999999999982</v>
      </c>
      <c r="K21" s="5">
        <v>22.899999999999991</v>
      </c>
      <c r="L21" s="5">
        <v>23.199999999999982</v>
      </c>
    </row>
    <row r="22" spans="1:12" ht="11.4">
      <c r="A22" s="1">
        <f t="shared" si="0"/>
        <v>12</v>
      </c>
      <c r="B22" s="4">
        <f>+Base40h!B22</f>
        <v>44531</v>
      </c>
      <c r="C22" s="5">
        <v>25.899999999999999</v>
      </c>
      <c r="D22" s="5">
        <v>20.899999999999991</v>
      </c>
      <c r="E22" s="5">
        <v>13.299999999999997</v>
      </c>
      <c r="F22" s="5">
        <v>14.099999999999994</v>
      </c>
      <c r="G22" s="5">
        <v>37.899999999999991</v>
      </c>
      <c r="H22" s="5">
        <v>19.79999999999999</v>
      </c>
      <c r="I22" s="5">
        <v>28.099999999999994</v>
      </c>
      <c r="J22" s="5">
        <v>71.999999999999972</v>
      </c>
      <c r="K22" s="5">
        <v>37.699999999999989</v>
      </c>
      <c r="L22" s="5">
        <v>53.399999999999991</v>
      </c>
    </row>
    <row r="23" spans="1:12" ht="11.4">
      <c r="A23" s="1">
        <f t="shared" si="0"/>
        <v>13</v>
      </c>
      <c r="B23" s="32" t="s">
        <v>15</v>
      </c>
      <c r="C23" s="33">
        <f>SUM(C11:C22)</f>
        <v>487.59999999999991</v>
      </c>
      <c r="D23" s="33">
        <f t="shared" si="1" ref="D23:L23">SUM(D11:D22)</f>
        <v>339.89999999999992</v>
      </c>
      <c r="E23" s="33">
        <f t="shared" si="1"/>
        <v>311.09999999999997</v>
      </c>
      <c r="F23" s="33">
        <f t="shared" si="1"/>
        <v>404.19999999999993</v>
      </c>
      <c r="G23" s="33">
        <f t="shared" si="1"/>
        <v>493.99999999999994</v>
      </c>
      <c r="H23" s="33">
        <f t="shared" si="1"/>
        <v>421.80000000000007</v>
      </c>
      <c r="I23" s="33">
        <f t="shared" si="1"/>
        <v>575.49999999999989</v>
      </c>
      <c r="J23" s="33">
        <f t="shared" si="1"/>
        <v>779.29999999999973</v>
      </c>
      <c r="K23" s="33">
        <f t="shared" si="1"/>
        <v>653.20000000000005</v>
      </c>
      <c r="L23" s="33">
        <f t="shared" si="1"/>
        <v>636.09999999999991</v>
      </c>
    </row>
    <row r="24" spans="1:1" ht="11.4">
      <c r="A24" s="1">
        <f t="shared" si="0"/>
        <v>14</v>
      </c>
    </row>
    <row r="25" spans="1:1" ht="11.4">
      <c r="A25" s="1">
        <f t="shared" si="0"/>
        <v>15</v>
      </c>
    </row>
    <row r="26" spans="1:12" ht="12">
      <c r="A26" s="1">
        <f t="shared" si="0"/>
        <v>16</v>
      </c>
      <c r="B26" s="83" t="s">
        <v>87</v>
      </c>
      <c r="C26" s="83"/>
      <c r="D26" s="83"/>
      <c r="E26" s="83"/>
      <c r="F26" s="83"/>
      <c r="G26" s="83"/>
      <c r="H26" s="83"/>
      <c r="I26" s="83"/>
      <c r="J26" s="83"/>
      <c r="K26" s="83"/>
      <c r="L26" s="83"/>
    </row>
    <row r="27" spans="1:12" ht="34.8" thickBot="1">
      <c r="A27" s="1">
        <f t="shared" si="0"/>
        <v>17</v>
      </c>
      <c r="C27" s="3" t="s">
        <v>55</v>
      </c>
      <c r="D27" s="3" t="s">
        <v>6</v>
      </c>
      <c r="E27" s="74" t="s">
        <v>7</v>
      </c>
      <c r="F27" s="74" t="s">
        <v>8</v>
      </c>
      <c r="G27" s="74" t="s">
        <v>9</v>
      </c>
      <c r="H27" s="74" t="s">
        <v>10</v>
      </c>
      <c r="I27" s="74" t="s">
        <v>11</v>
      </c>
      <c r="J27" s="74" t="s">
        <v>12</v>
      </c>
      <c r="K27" s="74" t="s">
        <v>13</v>
      </c>
      <c r="L27" s="74" t="s">
        <v>14</v>
      </c>
    </row>
    <row r="28" spans="1:12" ht="11.4">
      <c r="A28" s="1">
        <f t="shared" si="0"/>
        <v>18</v>
      </c>
      <c r="B28" s="4">
        <f>+Base40h!B28</f>
        <v>44197</v>
      </c>
      <c r="C28" s="5">
        <v>176.15666666666661</v>
      </c>
      <c r="D28" s="5">
        <v>137.08958333333331</v>
      </c>
      <c r="E28" s="5">
        <v>115.20999999999999</v>
      </c>
      <c r="F28" s="5">
        <v>138.88041666666666</v>
      </c>
      <c r="G28" s="5">
        <v>177.65458333333334</v>
      </c>
      <c r="H28" s="5">
        <v>160.41166666666666</v>
      </c>
      <c r="I28" s="5">
        <v>214.56625000000003</v>
      </c>
      <c r="J28" s="5">
        <v>268.72166666666669</v>
      </c>
      <c r="K28" s="5">
        <v>216.15916666666669</v>
      </c>
      <c r="L28" s="5">
        <v>250.83291666666665</v>
      </c>
    </row>
    <row r="29" spans="1:12" ht="11.4">
      <c r="A29" s="1">
        <f t="shared" si="0"/>
        <v>19</v>
      </c>
      <c r="B29" s="4">
        <f>+Base40h!B29</f>
        <v>44228</v>
      </c>
      <c r="C29" s="5">
        <v>123.71916666666662</v>
      </c>
      <c r="D29" s="5">
        <v>77.612499999999983</v>
      </c>
      <c r="E29" s="5">
        <v>70.762499999999989</v>
      </c>
      <c r="F29" s="5">
        <v>92.993749999999977</v>
      </c>
      <c r="G29" s="5">
        <v>112.39166666666668</v>
      </c>
      <c r="H29" s="5">
        <v>103.8670833333333</v>
      </c>
      <c r="I29" s="5">
        <v>156.4170833333333</v>
      </c>
      <c r="J29" s="5">
        <v>196.17791666666665</v>
      </c>
      <c r="K29" s="5">
        <v>139.09791666666666</v>
      </c>
      <c r="L29" s="5">
        <v>176.73958333333331</v>
      </c>
    </row>
    <row r="30" spans="1:12" ht="11.4">
      <c r="A30" s="1">
        <f t="shared" si="0"/>
        <v>20</v>
      </c>
      <c r="B30" s="4">
        <f>+Base40h!B30</f>
        <v>44256</v>
      </c>
      <c r="C30" s="5">
        <v>33.154583333333321</v>
      </c>
      <c r="D30" s="5">
        <v>17.543333333333322</v>
      </c>
      <c r="E30" s="5">
        <v>14.800000000000004</v>
      </c>
      <c r="F30" s="5">
        <v>22.646666666666665</v>
      </c>
      <c r="G30" s="5">
        <v>28.804999999999982</v>
      </c>
      <c r="H30" s="5">
        <v>26.325833333333314</v>
      </c>
      <c r="I30" s="5">
        <v>43.97625</v>
      </c>
      <c r="J30" s="5">
        <v>58.068749999999994</v>
      </c>
      <c r="K30" s="5">
        <v>40.259999999999991</v>
      </c>
      <c r="L30" s="5">
        <v>52.84541666666663</v>
      </c>
    </row>
    <row r="31" spans="1:12" ht="11.4">
      <c r="A31" s="1">
        <f t="shared" si="0"/>
        <v>21</v>
      </c>
      <c r="B31" s="4">
        <f>+Base40h!B31</f>
        <v>44287</v>
      </c>
      <c r="C31" s="5">
        <v>2.9124999999999948</v>
      </c>
      <c r="D31" s="5">
        <v>1.590416666666665</v>
      </c>
      <c r="E31" s="5">
        <v>1.1249999999999993</v>
      </c>
      <c r="F31" s="5">
        <v>2.3049999999999997</v>
      </c>
      <c r="G31" s="5">
        <v>2.3824999999999945</v>
      </c>
      <c r="H31" s="5">
        <v>2.3470833333333352</v>
      </c>
      <c r="I31" s="5">
        <v>7.0770833333333307</v>
      </c>
      <c r="J31" s="5">
        <v>9.7475000000000094</v>
      </c>
      <c r="K31" s="5">
        <v>5.1924999999999901</v>
      </c>
      <c r="L31" s="5">
        <v>7.237083333333338</v>
      </c>
    </row>
    <row r="32" spans="1:12" ht="11.4">
      <c r="A32" s="1">
        <f t="shared" si="0"/>
        <v>22</v>
      </c>
      <c r="B32" s="4">
        <f>+Base40h!B32</f>
        <v>44317</v>
      </c>
      <c r="C32" s="5">
        <v>0.060000000000000143</v>
      </c>
      <c r="D32" s="5">
        <v>0</v>
      </c>
      <c r="E32" s="5">
        <v>0</v>
      </c>
      <c r="F32" s="5">
        <v>0.085000000000000145</v>
      </c>
      <c r="G32" s="5">
        <v>0</v>
      </c>
      <c r="H32" s="5">
        <v>0</v>
      </c>
      <c r="I32" s="5">
        <v>0.26000000000000012</v>
      </c>
      <c r="J32" s="5">
        <v>0.32541666666666486</v>
      </c>
      <c r="K32" s="5">
        <v>0.45500000000000007</v>
      </c>
      <c r="L32" s="5">
        <v>0.33750000000000002</v>
      </c>
    </row>
    <row r="33" spans="1:12" ht="11.4">
      <c r="A33" s="1">
        <f t="shared" si="0"/>
        <v>23</v>
      </c>
      <c r="B33" s="4">
        <f>+Base40h!B33</f>
        <v>44348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</row>
    <row r="34" spans="1:12" ht="11.4">
      <c r="A34" s="1">
        <f t="shared" si="0"/>
        <v>24</v>
      </c>
      <c r="B34" s="4">
        <f>+Base40h!B34</f>
        <v>44378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</row>
    <row r="35" spans="1:12" ht="11.4">
      <c r="A35" s="1">
        <f t="shared" si="0"/>
        <v>25</v>
      </c>
      <c r="B35" s="4">
        <f>+Base40h!B35</f>
        <v>44409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</row>
    <row r="36" spans="1:12" ht="11.4">
      <c r="A36" s="1">
        <f t="shared" si="0"/>
        <v>26</v>
      </c>
      <c r="B36" s="4">
        <f>+Base40h!B36</f>
        <v>44440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0.069999999999999923</v>
      </c>
      <c r="L36" s="5">
        <v>0</v>
      </c>
    </row>
    <row r="37" spans="1:12" ht="11.4">
      <c r="A37" s="1">
        <f t="shared" si="0"/>
        <v>27</v>
      </c>
      <c r="B37" s="4">
        <f>+Base40h!B37</f>
        <v>44470</v>
      </c>
      <c r="C37" s="5">
        <v>3.3020833333333339</v>
      </c>
      <c r="D37" s="5">
        <v>1.1049999999999995</v>
      </c>
      <c r="E37" s="5">
        <v>1.0449999999999993</v>
      </c>
      <c r="F37" s="5">
        <v>2.7649999999999992</v>
      </c>
      <c r="G37" s="5">
        <v>1.8116666666666699</v>
      </c>
      <c r="H37" s="5">
        <v>2.7749999999999995</v>
      </c>
      <c r="I37" s="5">
        <v>9.2745833333333376</v>
      </c>
      <c r="J37" s="5">
        <v>9.204999999999993</v>
      </c>
      <c r="K37" s="5">
        <v>8.6354166666666536</v>
      </c>
      <c r="L37" s="5">
        <v>5.0287499999999943</v>
      </c>
    </row>
    <row r="38" spans="1:12" ht="11.4">
      <c r="A38" s="1">
        <f t="shared" si="0"/>
        <v>28</v>
      </c>
      <c r="B38" s="4">
        <f>+Base40h!B38</f>
        <v>44501</v>
      </c>
      <c r="C38" s="5">
        <v>34.457499999999989</v>
      </c>
      <c r="D38" s="5">
        <v>28.715416666666659</v>
      </c>
      <c r="E38" s="5">
        <v>24.178333333333327</v>
      </c>
      <c r="F38" s="5">
        <v>31.548333333333332</v>
      </c>
      <c r="G38" s="5">
        <v>40.593333333333341</v>
      </c>
      <c r="H38" s="5">
        <v>34.036666666666662</v>
      </c>
      <c r="I38" s="5">
        <v>60.421250000000008</v>
      </c>
      <c r="J38" s="5">
        <v>69.022916666666674</v>
      </c>
      <c r="K38" s="5">
        <v>63.991249999999987</v>
      </c>
      <c r="L38" s="5">
        <v>51.802916666666654</v>
      </c>
    </row>
    <row r="39" spans="1:12" ht="11.4">
      <c r="A39" s="1">
        <f t="shared" si="0"/>
        <v>29</v>
      </c>
      <c r="B39" s="4">
        <f>+Base40h!B39</f>
        <v>44531</v>
      </c>
      <c r="C39" s="5">
        <v>140.26708333333335</v>
      </c>
      <c r="D39" s="5">
        <v>103.74583333333332</v>
      </c>
      <c r="E39" s="5">
        <v>91.39458333333333</v>
      </c>
      <c r="F39" s="5">
        <v>115.09666666666664</v>
      </c>
      <c r="G39" s="5">
        <v>139.90708333333342</v>
      </c>
      <c r="H39" s="5">
        <v>128.92208333333332</v>
      </c>
      <c r="I39" s="5">
        <v>191.41750000000002</v>
      </c>
      <c r="J39" s="5">
        <v>238.01499999999999</v>
      </c>
      <c r="K39" s="5">
        <v>200.04833333333329</v>
      </c>
      <c r="L39" s="5">
        <v>194.68875000000003</v>
      </c>
    </row>
    <row r="40" spans="1:12" ht="11.4">
      <c r="A40" s="1">
        <f t="shared" si="0"/>
        <v>30</v>
      </c>
      <c r="B40" s="32" t="s">
        <v>15</v>
      </c>
      <c r="C40" s="33">
        <f>SUM(C28:C39)</f>
        <v>514.02958333333322</v>
      </c>
      <c r="D40" s="33">
        <f t="shared" si="2" ref="D40:L40">SUM(D28:D39)</f>
        <v>367.40208333333328</v>
      </c>
      <c r="E40" s="33">
        <f t="shared" si="2"/>
        <v>318.51541666666662</v>
      </c>
      <c r="F40" s="33">
        <f t="shared" si="2"/>
        <v>406.32083333333327</v>
      </c>
      <c r="G40" s="33">
        <f t="shared" si="2"/>
        <v>503.54583333333346</v>
      </c>
      <c r="H40" s="33">
        <f t="shared" si="2"/>
        <v>458.68541666666653</v>
      </c>
      <c r="I40" s="33">
        <f t="shared" si="2"/>
        <v>683.41000000000008</v>
      </c>
      <c r="J40" s="33">
        <f t="shared" si="2"/>
        <v>849.28416666666681</v>
      </c>
      <c r="K40" s="33">
        <f t="shared" si="2"/>
        <v>673.90958333333322</v>
      </c>
      <c r="L40" s="33">
        <f t="shared" si="2"/>
        <v>739.51291666666657</v>
      </c>
    </row>
    <row r="41" spans="1:12" ht="11.4">
      <c r="A41" s="34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</row>
    <row r="42" spans="1:12" ht="12">
      <c r="A42" s="34"/>
      <c r="B42" s="84"/>
      <c r="C42" s="84"/>
      <c r="D42" s="84"/>
      <c r="E42" s="84"/>
      <c r="F42" s="84"/>
      <c r="G42" s="84"/>
      <c r="H42" s="84"/>
      <c r="I42" s="84"/>
      <c r="J42" s="84"/>
      <c r="K42" s="84"/>
      <c r="L42" s="84"/>
    </row>
    <row r="43" spans="1:12" ht="11.4">
      <c r="A43" s="34"/>
      <c r="B43" s="35"/>
      <c r="C43" s="36"/>
      <c r="D43" s="36"/>
      <c r="E43" s="36"/>
      <c r="F43" s="36"/>
      <c r="G43" s="36"/>
      <c r="H43" s="36"/>
      <c r="I43" s="36"/>
      <c r="J43" s="36"/>
      <c r="K43" s="36"/>
      <c r="L43" s="36"/>
    </row>
    <row r="44" spans="1:26" ht="11.4">
      <c r="A44" s="34"/>
      <c r="B44" s="25"/>
      <c r="C44" s="26"/>
      <c r="D44" s="26"/>
      <c r="E44" s="26"/>
      <c r="F44" s="26"/>
      <c r="G44" s="26"/>
      <c r="H44" s="26"/>
      <c r="I44" s="26"/>
      <c r="J44" s="26"/>
      <c r="K44" s="26"/>
      <c r="L44" s="26"/>
      <c r="Z44" s="2" t="str">
        <f t="shared" si="3" ref="Z44:Z55">MONTH(B44)&amp;YEAR(B44)</f>
        <v>11900</v>
      </c>
    </row>
    <row r="45" spans="1:26" ht="11.4">
      <c r="A45" s="34"/>
      <c r="B45" s="25"/>
      <c r="C45" s="26"/>
      <c r="D45" s="26"/>
      <c r="E45" s="26"/>
      <c r="F45" s="26"/>
      <c r="G45" s="26"/>
      <c r="H45" s="26"/>
      <c r="I45" s="26"/>
      <c r="J45" s="26"/>
      <c r="K45" s="26"/>
      <c r="L45" s="26"/>
      <c r="Z45" s="2" t="str">
        <f t="shared" si="3"/>
        <v>11900</v>
      </c>
    </row>
    <row r="46" spans="1:26" ht="11.4">
      <c r="A46" s="34"/>
      <c r="B46" s="25"/>
      <c r="C46" s="26"/>
      <c r="D46" s="26"/>
      <c r="E46" s="26"/>
      <c r="F46" s="26"/>
      <c r="G46" s="26"/>
      <c r="H46" s="26"/>
      <c r="I46" s="26"/>
      <c r="J46" s="26"/>
      <c r="K46" s="26"/>
      <c r="L46" s="26"/>
      <c r="Z46" s="2" t="str">
        <f t="shared" si="3"/>
        <v>11900</v>
      </c>
    </row>
    <row r="47" spans="1:26" ht="11.4">
      <c r="A47" s="34"/>
      <c r="B47" s="25"/>
      <c r="C47" s="26"/>
      <c r="D47" s="26"/>
      <c r="E47" s="26"/>
      <c r="F47" s="26"/>
      <c r="G47" s="26"/>
      <c r="H47" s="26"/>
      <c r="I47" s="26"/>
      <c r="J47" s="26"/>
      <c r="K47" s="26"/>
      <c r="L47" s="26"/>
      <c r="Z47" s="2" t="str">
        <f t="shared" si="3"/>
        <v>11900</v>
      </c>
    </row>
    <row r="48" spans="1:26" ht="11.4">
      <c r="A48" s="34"/>
      <c r="B48" s="25"/>
      <c r="C48" s="26"/>
      <c r="D48" s="26"/>
      <c r="E48" s="26"/>
      <c r="F48" s="26"/>
      <c r="G48" s="26"/>
      <c r="H48" s="26"/>
      <c r="I48" s="26"/>
      <c r="J48" s="26"/>
      <c r="K48" s="26"/>
      <c r="L48" s="26"/>
      <c r="Z48" s="2" t="str">
        <f t="shared" si="3"/>
        <v>11900</v>
      </c>
    </row>
    <row r="49" spans="1:26" ht="11.4">
      <c r="A49" s="34"/>
      <c r="B49" s="25"/>
      <c r="C49" s="26"/>
      <c r="D49" s="26"/>
      <c r="E49" s="26"/>
      <c r="F49" s="26"/>
      <c r="G49" s="26"/>
      <c r="H49" s="26"/>
      <c r="I49" s="26"/>
      <c r="J49" s="26"/>
      <c r="K49" s="26"/>
      <c r="L49" s="26"/>
      <c r="Z49" s="2" t="str">
        <f t="shared" si="3"/>
        <v>11900</v>
      </c>
    </row>
    <row r="50" spans="1:26" ht="11.4">
      <c r="A50" s="34"/>
      <c r="B50" s="25"/>
      <c r="C50" s="26"/>
      <c r="D50" s="26"/>
      <c r="E50" s="26"/>
      <c r="F50" s="26"/>
      <c r="G50" s="26"/>
      <c r="H50" s="26"/>
      <c r="I50" s="26"/>
      <c r="J50" s="26"/>
      <c r="K50" s="26"/>
      <c r="L50" s="26"/>
      <c r="Z50" s="2" t="str">
        <f t="shared" si="3"/>
        <v>11900</v>
      </c>
    </row>
    <row r="51" spans="1:26" ht="11.4">
      <c r="A51" s="34"/>
      <c r="B51" s="25"/>
      <c r="C51" s="26"/>
      <c r="D51" s="26"/>
      <c r="E51" s="26"/>
      <c r="F51" s="26"/>
      <c r="G51" s="26"/>
      <c r="H51" s="26"/>
      <c r="I51" s="26"/>
      <c r="J51" s="26"/>
      <c r="K51" s="26"/>
      <c r="L51" s="26"/>
      <c r="Z51" s="2" t="str">
        <f t="shared" si="3"/>
        <v>11900</v>
      </c>
    </row>
    <row r="52" spans="1:26" ht="11.4">
      <c r="A52" s="34"/>
      <c r="B52" s="25"/>
      <c r="C52" s="26"/>
      <c r="D52" s="26"/>
      <c r="E52" s="26"/>
      <c r="F52" s="26"/>
      <c r="G52" s="26"/>
      <c r="H52" s="26"/>
      <c r="I52" s="26"/>
      <c r="J52" s="26"/>
      <c r="K52" s="26"/>
      <c r="L52" s="26"/>
      <c r="Z52" s="2" t="str">
        <f t="shared" si="3"/>
        <v>11900</v>
      </c>
    </row>
    <row r="53" spans="1:26" ht="11.4">
      <c r="A53" s="34"/>
      <c r="B53" s="25"/>
      <c r="C53" s="26"/>
      <c r="D53" s="26"/>
      <c r="E53" s="26"/>
      <c r="F53" s="26"/>
      <c r="G53" s="26"/>
      <c r="H53" s="26"/>
      <c r="I53" s="26"/>
      <c r="J53" s="26"/>
      <c r="K53" s="26"/>
      <c r="L53" s="26"/>
      <c r="Z53" s="2" t="str">
        <f t="shared" si="3"/>
        <v>11900</v>
      </c>
    </row>
    <row r="54" spans="1:26" ht="11.4">
      <c r="A54" s="34"/>
      <c r="B54" s="25"/>
      <c r="C54" s="26"/>
      <c r="D54" s="26"/>
      <c r="E54" s="26"/>
      <c r="F54" s="26"/>
      <c r="G54" s="26"/>
      <c r="H54" s="26"/>
      <c r="I54" s="26"/>
      <c r="J54" s="26"/>
      <c r="K54" s="26"/>
      <c r="L54" s="26"/>
      <c r="Z54" s="2" t="str">
        <f t="shared" si="3"/>
        <v>11900</v>
      </c>
    </row>
    <row r="55" spans="1:26" ht="11.4">
      <c r="A55" s="34"/>
      <c r="B55" s="25"/>
      <c r="C55" s="26"/>
      <c r="D55" s="26"/>
      <c r="E55" s="26"/>
      <c r="F55" s="26"/>
      <c r="G55" s="26"/>
      <c r="H55" s="26"/>
      <c r="I55" s="26"/>
      <c r="J55" s="26"/>
      <c r="K55" s="26"/>
      <c r="L55" s="26"/>
      <c r="Z55" s="2" t="str">
        <f t="shared" si="3"/>
        <v>11900</v>
      </c>
    </row>
    <row r="56" spans="1:12" ht="11.4">
      <c r="A56" s="34"/>
      <c r="B56" s="37"/>
      <c r="C56" s="26"/>
      <c r="D56" s="26"/>
      <c r="E56" s="26"/>
      <c r="F56" s="26"/>
      <c r="G56" s="26"/>
      <c r="H56" s="26"/>
      <c r="I56" s="26"/>
      <c r="J56" s="26"/>
      <c r="K56" s="26"/>
      <c r="L56" s="26"/>
    </row>
    <row r="57" spans="1:12" ht="11.4">
      <c r="A57" s="34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</row>
    <row r="58" spans="1:12" ht="11.4">
      <c r="A58" s="34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</row>
    <row r="59" spans="1:12" ht="12">
      <c r="A59" s="34"/>
      <c r="B59" s="84"/>
      <c r="C59" s="84"/>
      <c r="D59" s="84"/>
      <c r="E59" s="84"/>
      <c r="F59" s="84"/>
      <c r="G59" s="84"/>
      <c r="H59" s="84"/>
      <c r="I59" s="84"/>
      <c r="J59" s="84"/>
      <c r="K59" s="84"/>
      <c r="L59" s="84"/>
    </row>
    <row r="60" spans="1:12" ht="11.4">
      <c r="A60" s="34"/>
      <c r="B60" s="35"/>
      <c r="C60" s="36"/>
      <c r="D60" s="36"/>
      <c r="E60" s="36"/>
      <c r="F60" s="36"/>
      <c r="G60" s="36"/>
      <c r="H60" s="36"/>
      <c r="I60" s="36"/>
      <c r="J60" s="36"/>
      <c r="K60" s="36"/>
      <c r="L60" s="36"/>
    </row>
    <row r="61" spans="1:26" ht="11.4">
      <c r="A61" s="34"/>
      <c r="B61" s="25"/>
      <c r="C61" s="26"/>
      <c r="D61" s="26"/>
      <c r="E61" s="26"/>
      <c r="F61" s="26"/>
      <c r="G61" s="26"/>
      <c r="H61" s="26"/>
      <c r="I61" s="26"/>
      <c r="J61" s="26"/>
      <c r="K61" s="26"/>
      <c r="L61" s="26"/>
      <c r="Z61" s="2">
        <f>MONTH(B61)</f>
        <v>1</v>
      </c>
    </row>
    <row r="62" spans="1:26" ht="11.4">
      <c r="A62" s="34"/>
      <c r="B62" s="25"/>
      <c r="C62" s="26"/>
      <c r="D62" s="26"/>
      <c r="E62" s="26"/>
      <c r="F62" s="26"/>
      <c r="G62" s="26"/>
      <c r="H62" s="26"/>
      <c r="I62" s="26"/>
      <c r="J62" s="26"/>
      <c r="K62" s="26"/>
      <c r="L62" s="26"/>
      <c r="Z62" s="2">
        <f>MONTH(B62)</f>
        <v>1</v>
      </c>
    </row>
    <row r="63" spans="1:26" ht="11.4">
      <c r="A63" s="34"/>
      <c r="B63" s="25"/>
      <c r="C63" s="26"/>
      <c r="D63" s="26"/>
      <c r="E63" s="26"/>
      <c r="F63" s="26"/>
      <c r="G63" s="26"/>
      <c r="H63" s="26"/>
      <c r="I63" s="26"/>
      <c r="J63" s="26"/>
      <c r="K63" s="26"/>
      <c r="L63" s="26"/>
      <c r="Z63" s="2">
        <f>MONTH(B63)</f>
        <v>1</v>
      </c>
    </row>
    <row r="64" spans="1:26" ht="11.4">
      <c r="A64" s="34"/>
      <c r="B64" s="25"/>
      <c r="C64" s="26"/>
      <c r="D64" s="26"/>
      <c r="E64" s="26"/>
      <c r="F64" s="26"/>
      <c r="G64" s="26"/>
      <c r="H64" s="26"/>
      <c r="I64" s="26"/>
      <c r="J64" s="26"/>
      <c r="K64" s="26"/>
      <c r="L64" s="26"/>
      <c r="Z64" s="2">
        <f>MONTH(B64)</f>
        <v>1</v>
      </c>
    </row>
    <row r="65" spans="1:26" ht="11.4">
      <c r="A65" s="34"/>
      <c r="B65" s="25"/>
      <c r="C65" s="26"/>
      <c r="D65" s="26"/>
      <c r="E65" s="26"/>
      <c r="F65" s="26"/>
      <c r="G65" s="26"/>
      <c r="H65" s="26"/>
      <c r="I65" s="26"/>
      <c r="J65" s="26"/>
      <c r="K65" s="26"/>
      <c r="L65" s="26"/>
      <c r="Z65" s="2">
        <f>MONTH(B65)</f>
        <v>1</v>
      </c>
    </row>
    <row r="66" spans="1:26" ht="11.4">
      <c r="A66" s="34"/>
      <c r="B66" s="25"/>
      <c r="C66" s="26"/>
      <c r="D66" s="26"/>
      <c r="E66" s="26"/>
      <c r="F66" s="26"/>
      <c r="G66" s="26"/>
      <c r="H66" s="26"/>
      <c r="I66" s="26"/>
      <c r="J66" s="26"/>
      <c r="K66" s="26"/>
      <c r="L66" s="26"/>
      <c r="Z66" s="2">
        <f t="shared" si="4" ref="Z66:Z72">MONTH(B66)</f>
        <v>1</v>
      </c>
    </row>
    <row r="67" spans="1:26" ht="11.4">
      <c r="A67" s="34"/>
      <c r="B67" s="25"/>
      <c r="C67" s="26"/>
      <c r="D67" s="26"/>
      <c r="E67" s="26"/>
      <c r="F67" s="26"/>
      <c r="G67" s="26"/>
      <c r="H67" s="26"/>
      <c r="I67" s="26"/>
      <c r="J67" s="26"/>
      <c r="K67" s="26"/>
      <c r="L67" s="26"/>
      <c r="Z67" s="2">
        <f t="shared" si="4"/>
        <v>1</v>
      </c>
    </row>
    <row r="68" spans="1:26" ht="11.4">
      <c r="A68" s="34"/>
      <c r="B68" s="25"/>
      <c r="C68" s="26"/>
      <c r="D68" s="26"/>
      <c r="E68" s="26"/>
      <c r="F68" s="26"/>
      <c r="G68" s="26"/>
      <c r="H68" s="26"/>
      <c r="I68" s="26"/>
      <c r="J68" s="26"/>
      <c r="K68" s="26"/>
      <c r="L68" s="26"/>
      <c r="Z68" s="2">
        <f t="shared" si="4"/>
        <v>1</v>
      </c>
    </row>
    <row r="69" spans="1:26" ht="11.4">
      <c r="A69" s="34"/>
      <c r="B69" s="25"/>
      <c r="C69" s="26"/>
      <c r="D69" s="26"/>
      <c r="E69" s="26"/>
      <c r="F69" s="26"/>
      <c r="G69" s="26"/>
      <c r="H69" s="26"/>
      <c r="I69" s="26"/>
      <c r="J69" s="26"/>
      <c r="K69" s="26"/>
      <c r="L69" s="26"/>
      <c r="Z69" s="2">
        <f t="shared" si="4"/>
        <v>1</v>
      </c>
    </row>
    <row r="70" spans="1:26" ht="11.4">
      <c r="A70" s="34"/>
      <c r="B70" s="25"/>
      <c r="C70" s="26"/>
      <c r="D70" s="26"/>
      <c r="E70" s="26"/>
      <c r="F70" s="26"/>
      <c r="G70" s="26"/>
      <c r="H70" s="26"/>
      <c r="I70" s="26"/>
      <c r="J70" s="26"/>
      <c r="K70" s="26"/>
      <c r="L70" s="26"/>
      <c r="Z70" s="2">
        <f t="shared" si="4"/>
        <v>1</v>
      </c>
    </row>
    <row r="71" spans="1:26" ht="11.4">
      <c r="A71" s="34"/>
      <c r="B71" s="25"/>
      <c r="C71" s="26"/>
      <c r="D71" s="26"/>
      <c r="E71" s="26"/>
      <c r="F71" s="26"/>
      <c r="G71" s="26"/>
      <c r="H71" s="26"/>
      <c r="I71" s="26"/>
      <c r="J71" s="26"/>
      <c r="K71" s="26"/>
      <c r="L71" s="26"/>
      <c r="Z71" s="2">
        <f t="shared" si="4"/>
        <v>1</v>
      </c>
    </row>
    <row r="72" spans="1:26" ht="11.4">
      <c r="A72" s="34"/>
      <c r="B72" s="25"/>
      <c r="C72" s="26"/>
      <c r="D72" s="26"/>
      <c r="E72" s="26"/>
      <c r="F72" s="26"/>
      <c r="G72" s="26"/>
      <c r="H72" s="26"/>
      <c r="I72" s="26"/>
      <c r="J72" s="26"/>
      <c r="K72" s="26"/>
      <c r="L72" s="26"/>
      <c r="Z72" s="2">
        <f t="shared" si="4"/>
        <v>1</v>
      </c>
    </row>
    <row r="73" spans="1:12" ht="11.4">
      <c r="A73" s="34"/>
      <c r="B73" s="37"/>
      <c r="C73" s="26"/>
      <c r="D73" s="26"/>
      <c r="E73" s="26"/>
      <c r="F73" s="26"/>
      <c r="G73" s="26"/>
      <c r="H73" s="26"/>
      <c r="I73" s="26"/>
      <c r="J73" s="26"/>
      <c r="K73" s="26"/>
      <c r="L73" s="26"/>
    </row>
  </sheetData>
  <mergeCells count="9">
    <mergeCell ref="B26:L26"/>
    <mergeCell ref="B42:L42"/>
    <mergeCell ref="B59:L59"/>
    <mergeCell ref="B1:L1"/>
    <mergeCell ref="B2:L2"/>
    <mergeCell ref="B3:L3"/>
    <mergeCell ref="B4:L4"/>
    <mergeCell ref="B6:L6"/>
    <mergeCell ref="B9:L9"/>
  </mergeCells>
  <pageMargins left="0.75" right="0.75" top="1" bottom="1" header="0.5" footer="0.5"/>
  <pageSetup orientation="portrait" scale="73" r:id="rId1"/>
  <headerFooter alignWithMargins="0">
    <oddHeader>&amp;RSchedule II-H-5.1
Page &amp;P of  28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pageSetUpPr fitToPage="1"/>
  </sheetPr>
  <dimension ref="A1:Z73"/>
  <sheetViews>
    <sheetView workbookViewId="0" topLeftCell="A1"/>
  </sheetViews>
  <sheetFormatPr defaultColWidth="9.11428571428571" defaultRowHeight="12"/>
  <cols>
    <col min="1" max="1" width="9.14285714285714" style="1"/>
    <col min="2" max="2" width="10.4285714285714" style="2" bestFit="1" customWidth="1"/>
    <col min="3" max="3" width="11.4285714285714" style="2" customWidth="1"/>
    <col min="4" max="4" width="9.57142857142857" style="2" bestFit="1" customWidth="1"/>
    <col min="5" max="5" width="9.71428571428571" style="2" bestFit="1" customWidth="1"/>
    <col min="6" max="6" width="9.57142857142857" style="2" bestFit="1" customWidth="1"/>
    <col min="7" max="7" width="12.2857142857143" style="2" bestFit="1" customWidth="1"/>
    <col min="8" max="8" width="9.85714285714286" style="2" bestFit="1" customWidth="1"/>
    <col min="9" max="9" width="10.5714285714286" style="2" bestFit="1" customWidth="1"/>
    <col min="10" max="10" width="11.2857142857143" style="2" customWidth="1"/>
    <col min="11" max="11" width="10.4285714285714" style="2" customWidth="1"/>
    <col min="12" max="16384" width="9.14285714285714" style="2"/>
  </cols>
  <sheetData>
    <row r="1" spans="2:12" ht="15.6">
      <c r="B1" s="82" t="str">
        <f>+Base40h!B1</f>
        <v xml:space="preserve">PUC DOCKET NO. </v>
      </c>
      <c r="C1" s="82"/>
      <c r="D1" s="82"/>
      <c r="E1" s="82"/>
      <c r="F1" s="82"/>
      <c r="G1" s="82"/>
      <c r="H1" s="82"/>
      <c r="I1" s="82"/>
      <c r="J1" s="82"/>
      <c r="K1" s="82"/>
      <c r="L1" s="82"/>
    </row>
    <row r="2" spans="2:12" ht="15.6">
      <c r="B2" s="82" t="str">
        <f>+Base40h!B2</f>
        <v>ONCOR ELECTRIC DELIVERY COMPANY LLC</v>
      </c>
      <c r="C2" s="82"/>
      <c r="D2" s="82"/>
      <c r="E2" s="82"/>
      <c r="F2" s="82"/>
      <c r="G2" s="82"/>
      <c r="H2" s="82"/>
      <c r="I2" s="82"/>
      <c r="J2" s="82"/>
      <c r="K2" s="82"/>
      <c r="L2" s="82"/>
    </row>
    <row r="3" spans="2:12" ht="15.6">
      <c r="B3" s="82" t="str">
        <f>+Base40h!B3</f>
        <v>WEATHER STATION DATA</v>
      </c>
      <c r="C3" s="82"/>
      <c r="D3" s="82"/>
      <c r="E3" s="82"/>
      <c r="F3" s="82"/>
      <c r="G3" s="82"/>
      <c r="H3" s="82"/>
      <c r="I3" s="82"/>
      <c r="J3" s="82"/>
      <c r="K3" s="82"/>
      <c r="L3" s="82"/>
    </row>
    <row r="4" spans="2:12" ht="15.6">
      <c r="B4" s="82" t="str">
        <f>+Base40h!B4</f>
        <v>FOR THE TEST YEAR ENDING DECEMBER 31, 2021</v>
      </c>
      <c r="C4" s="82"/>
      <c r="D4" s="82"/>
      <c r="E4" s="82"/>
      <c r="F4" s="82"/>
      <c r="G4" s="82"/>
      <c r="H4" s="82"/>
      <c r="I4" s="82"/>
      <c r="J4" s="82"/>
      <c r="K4" s="82"/>
      <c r="L4" s="82"/>
    </row>
    <row r="6" spans="2:12" ht="15.6">
      <c r="B6" s="82" t="str">
        <f>+Base40h!B6</f>
        <v>SPONSOR: D. E. NELSON</v>
      </c>
      <c r="C6" s="82"/>
      <c r="D6" s="82"/>
      <c r="E6" s="82"/>
      <c r="F6" s="82"/>
      <c r="G6" s="82"/>
      <c r="H6" s="82"/>
      <c r="I6" s="82"/>
      <c r="J6" s="82"/>
      <c r="K6" s="82"/>
      <c r="L6" s="82"/>
    </row>
    <row r="9" spans="2:12" ht="12">
      <c r="B9" s="83" t="s">
        <v>106</v>
      </c>
      <c r="C9" s="83"/>
      <c r="D9" s="83"/>
      <c r="E9" s="83"/>
      <c r="F9" s="83"/>
      <c r="G9" s="83"/>
      <c r="H9" s="83"/>
      <c r="I9" s="83"/>
      <c r="J9" s="83"/>
      <c r="K9" s="83"/>
      <c r="L9" s="83"/>
    </row>
    <row r="10" spans="1:12" ht="34.8" thickBot="1">
      <c r="A10" s="3" t="s">
        <v>4</v>
      </c>
      <c r="C10" s="3" t="s">
        <v>55</v>
      </c>
      <c r="D10" s="3" t="s">
        <v>6</v>
      </c>
      <c r="E10" s="3" t="s">
        <v>7</v>
      </c>
      <c r="F10" s="3" t="s">
        <v>8</v>
      </c>
      <c r="G10" s="3" t="s">
        <v>9</v>
      </c>
      <c r="H10" s="3" t="s">
        <v>10</v>
      </c>
      <c r="I10" s="3" t="s">
        <v>11</v>
      </c>
      <c r="J10" s="3" t="s">
        <v>12</v>
      </c>
      <c r="K10" s="3" t="s">
        <v>13</v>
      </c>
      <c r="L10" s="3" t="s">
        <v>14</v>
      </c>
    </row>
    <row r="11" spans="1:12" ht="11.4">
      <c r="A11" s="1">
        <v>1</v>
      </c>
      <c r="B11" s="4">
        <f>+Base40h!B11</f>
        <v>44197</v>
      </c>
      <c r="C11" s="5">
        <v>255.39999999999995</v>
      </c>
      <c r="D11" s="5">
        <v>197.19999999999993</v>
      </c>
      <c r="E11" s="5">
        <v>149.49999999999997</v>
      </c>
      <c r="F11" s="5">
        <v>206.59999999999994</v>
      </c>
      <c r="G11" s="5">
        <v>269.99999999999989</v>
      </c>
      <c r="H11" s="5">
        <v>226.29999999999996</v>
      </c>
      <c r="I11" s="5">
        <v>305.59999999999991</v>
      </c>
      <c r="J11" s="5">
        <v>372.59999999999991</v>
      </c>
      <c r="K11" s="5">
        <v>364.80000000000007</v>
      </c>
      <c r="L11" s="5">
        <v>320.19999999999999</v>
      </c>
    </row>
    <row r="12" spans="1:12" ht="11.4">
      <c r="A12" s="1">
        <f t="shared" si="0" ref="A12:A40">+A11+1</f>
        <v>2</v>
      </c>
      <c r="B12" s="4">
        <f>+Base40h!B12</f>
        <v>44228</v>
      </c>
      <c r="C12" s="5">
        <v>429.99999999999994</v>
      </c>
      <c r="D12" s="5">
        <v>289.30000000000001</v>
      </c>
      <c r="E12" s="5">
        <v>290.30000000000001</v>
      </c>
      <c r="F12" s="5">
        <v>365.10000000000002</v>
      </c>
      <c r="G12" s="5">
        <v>385</v>
      </c>
      <c r="H12" s="5">
        <v>373.40000000000003</v>
      </c>
      <c r="I12" s="5">
        <v>450.29999999999995</v>
      </c>
      <c r="J12" s="5">
        <v>558.39999999999998</v>
      </c>
      <c r="K12" s="5">
        <v>430.60000000000002</v>
      </c>
      <c r="L12" s="5">
        <v>489.10000000000002</v>
      </c>
    </row>
    <row r="13" spans="1:12" ht="11.4">
      <c r="A13" s="1">
        <f t="shared" si="0"/>
        <v>3</v>
      </c>
      <c r="B13" s="4">
        <f>+Base40h!B13</f>
        <v>44256</v>
      </c>
      <c r="C13" s="5">
        <v>18.099999999999987</v>
      </c>
      <c r="D13" s="5">
        <v>28.999999999999986</v>
      </c>
      <c r="E13" s="5">
        <v>6.6999999999999815</v>
      </c>
      <c r="F13" s="5">
        <v>19.999999999999986</v>
      </c>
      <c r="G13" s="5">
        <v>47.599999999999987</v>
      </c>
      <c r="H13" s="5">
        <v>26.399999999999977</v>
      </c>
      <c r="I13" s="5">
        <v>37.09999999999998</v>
      </c>
      <c r="J13" s="5">
        <v>54.899999999999984</v>
      </c>
      <c r="K13" s="5">
        <v>60.09999999999998</v>
      </c>
      <c r="L13" s="5">
        <v>27.599999999999987</v>
      </c>
    </row>
    <row r="14" spans="1:12" ht="11.4">
      <c r="A14" s="1">
        <f t="shared" si="0"/>
        <v>4</v>
      </c>
      <c r="B14" s="4">
        <f>+Base40h!B14</f>
        <v>44287</v>
      </c>
      <c r="C14" s="5">
        <v>4.7000000000000028</v>
      </c>
      <c r="D14" s="5">
        <v>5.5999999999999943</v>
      </c>
      <c r="E14" s="5">
        <v>4.7999999999999972</v>
      </c>
      <c r="F14" s="5">
        <v>7.1999999999999886</v>
      </c>
      <c r="G14" s="5">
        <v>16.79999999999999</v>
      </c>
      <c r="H14" s="5">
        <v>8.3999999999999986</v>
      </c>
      <c r="I14" s="5">
        <v>25.899999999999984</v>
      </c>
      <c r="J14" s="5">
        <v>34.599999999999994</v>
      </c>
      <c r="K14" s="5">
        <v>42.399999999999984</v>
      </c>
      <c r="L14" s="5">
        <v>21.899999999999984</v>
      </c>
    </row>
    <row r="15" spans="1:12" ht="11.4">
      <c r="A15" s="1">
        <f t="shared" si="0"/>
        <v>5</v>
      </c>
      <c r="B15" s="4">
        <f>+Base40h!B15</f>
        <v>44317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</row>
    <row r="16" spans="1:12" ht="11.4">
      <c r="A16" s="1">
        <f t="shared" si="0"/>
        <v>6</v>
      </c>
      <c r="B16" s="4">
        <f>+Base40h!B16</f>
        <v>44348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</row>
    <row r="17" spans="1:12" ht="11.4">
      <c r="A17" s="1">
        <f t="shared" si="0"/>
        <v>7</v>
      </c>
      <c r="B17" s="4">
        <f>+Base40h!B17</f>
        <v>44378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</row>
    <row r="18" spans="1:12" ht="11.4">
      <c r="A18" s="1">
        <f t="shared" si="0"/>
        <v>8</v>
      </c>
      <c r="B18" s="4">
        <f>+Base40h!B18</f>
        <v>44409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</row>
    <row r="19" spans="1:12" ht="11.4">
      <c r="A19" s="1">
        <f t="shared" si="0"/>
        <v>9</v>
      </c>
      <c r="B19" s="4">
        <f>+Base40h!B19</f>
        <v>44440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</row>
    <row r="20" spans="1:12" ht="11.4">
      <c r="A20" s="1">
        <f t="shared" si="0"/>
        <v>10</v>
      </c>
      <c r="B20" s="4">
        <f>+Base40h!B20</f>
        <v>44470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0.19999999999999574</v>
      </c>
      <c r="L20" s="5">
        <v>0.5</v>
      </c>
    </row>
    <row r="21" spans="1:12" ht="11.4">
      <c r="A21" s="1">
        <f t="shared" si="0"/>
        <v>11</v>
      </c>
      <c r="B21" s="4">
        <f>+Base40h!B21</f>
        <v>44501</v>
      </c>
      <c r="C21" s="5">
        <v>44.499999999999993</v>
      </c>
      <c r="D21" s="5">
        <v>53.09999999999998</v>
      </c>
      <c r="E21" s="5">
        <v>35.29999999999999</v>
      </c>
      <c r="F21" s="5">
        <v>42.899999999999977</v>
      </c>
      <c r="G21" s="5">
        <v>79.199999999999989</v>
      </c>
      <c r="H21" s="5">
        <v>47.599999999999987</v>
      </c>
      <c r="I21" s="5">
        <v>55.399999999999991</v>
      </c>
      <c r="J21" s="5">
        <v>84.999999999999972</v>
      </c>
      <c r="K21" s="5">
        <v>73.299999999999983</v>
      </c>
      <c r="L21" s="5">
        <v>86.59999999999998</v>
      </c>
    </row>
    <row r="22" spans="1:12" ht="11.4">
      <c r="A22" s="1">
        <f t="shared" si="0"/>
        <v>12</v>
      </c>
      <c r="B22" s="4">
        <f>+Base40h!B22</f>
        <v>44531</v>
      </c>
      <c r="C22" s="5">
        <v>67.599999999999994</v>
      </c>
      <c r="D22" s="5">
        <v>49.79999999999999</v>
      </c>
      <c r="E22" s="5">
        <v>39</v>
      </c>
      <c r="F22" s="5">
        <v>44.699999999999989</v>
      </c>
      <c r="G22" s="5">
        <v>81.099999999999994</v>
      </c>
      <c r="H22" s="5">
        <v>51.799999999999983</v>
      </c>
      <c r="I22" s="5">
        <v>72.899999999999991</v>
      </c>
      <c r="J22" s="5">
        <v>126.99999999999994</v>
      </c>
      <c r="K22" s="5">
        <v>83.799999999999983</v>
      </c>
      <c r="L22" s="5">
        <v>103.69999999999999</v>
      </c>
    </row>
    <row r="23" spans="1:12" ht="11.4">
      <c r="A23" s="1">
        <f t="shared" si="0"/>
        <v>13</v>
      </c>
      <c r="B23" s="32" t="s">
        <v>15</v>
      </c>
      <c r="C23" s="33">
        <f>SUM(C11:C22)</f>
        <v>820.29999999999995</v>
      </c>
      <c r="D23" s="33">
        <f t="shared" si="1" ref="D23:L23">SUM(D11:D22)</f>
        <v>623.99999999999989</v>
      </c>
      <c r="E23" s="33">
        <f t="shared" si="1"/>
        <v>525.59999999999991</v>
      </c>
      <c r="F23" s="33">
        <f t="shared" si="1"/>
        <v>686.49999999999977</v>
      </c>
      <c r="G23" s="33">
        <f t="shared" si="1"/>
        <v>879.69999999999993</v>
      </c>
      <c r="H23" s="33">
        <f t="shared" si="1"/>
        <v>733.89999999999998</v>
      </c>
      <c r="I23" s="33">
        <f t="shared" si="1"/>
        <v>947.19999999999982</v>
      </c>
      <c r="J23" s="33">
        <f t="shared" si="1"/>
        <v>1232.4999999999998</v>
      </c>
      <c r="K23" s="33">
        <f t="shared" si="1"/>
        <v>1055.2000000000001</v>
      </c>
      <c r="L23" s="33">
        <f t="shared" si="1"/>
        <v>1049.5999999999999</v>
      </c>
    </row>
    <row r="24" spans="1:1" ht="11.4">
      <c r="A24" s="1">
        <f t="shared" si="0"/>
        <v>14</v>
      </c>
    </row>
    <row r="25" spans="1:1" ht="11.4">
      <c r="A25" s="1">
        <f t="shared" si="0"/>
        <v>15</v>
      </c>
    </row>
    <row r="26" spans="1:12" ht="12">
      <c r="A26" s="1">
        <f t="shared" si="0"/>
        <v>16</v>
      </c>
      <c r="B26" s="83" t="s">
        <v>107</v>
      </c>
      <c r="C26" s="83"/>
      <c r="D26" s="83"/>
      <c r="E26" s="83"/>
      <c r="F26" s="83"/>
      <c r="G26" s="83"/>
      <c r="H26" s="83"/>
      <c r="I26" s="83"/>
      <c r="J26" s="83"/>
      <c r="K26" s="83"/>
      <c r="L26" s="83"/>
    </row>
    <row r="27" spans="1:12" ht="34.8" thickBot="1">
      <c r="A27" s="1">
        <f t="shared" si="0"/>
        <v>17</v>
      </c>
      <c r="C27" s="3" t="s">
        <v>55</v>
      </c>
      <c r="D27" s="3" t="s">
        <v>6</v>
      </c>
      <c r="E27" s="74" t="s">
        <v>7</v>
      </c>
      <c r="F27" s="74" t="s">
        <v>8</v>
      </c>
      <c r="G27" s="74" t="s">
        <v>9</v>
      </c>
      <c r="H27" s="74" t="s">
        <v>10</v>
      </c>
      <c r="I27" s="74" t="s">
        <v>11</v>
      </c>
      <c r="J27" s="74" t="s">
        <v>12</v>
      </c>
      <c r="K27" s="74" t="s">
        <v>13</v>
      </c>
      <c r="L27" s="74" t="s">
        <v>14</v>
      </c>
    </row>
    <row r="28" spans="1:12" ht="11.4">
      <c r="A28" s="1">
        <f t="shared" si="0"/>
        <v>18</v>
      </c>
      <c r="B28" s="4">
        <f>+Base40h!B28</f>
        <v>44197</v>
      </c>
      <c r="C28" s="5">
        <v>289.56083333333322</v>
      </c>
      <c r="D28" s="5">
        <v>237.87624999999994</v>
      </c>
      <c r="E28" s="5">
        <v>211.73999999999995</v>
      </c>
      <c r="F28" s="5">
        <v>240.79916666666662</v>
      </c>
      <c r="G28" s="5">
        <v>287.72125</v>
      </c>
      <c r="H28" s="5">
        <v>271.49124999999987</v>
      </c>
      <c r="I28" s="5">
        <v>332.82208333333324</v>
      </c>
      <c r="J28" s="5">
        <v>400.49166666666662</v>
      </c>
      <c r="K28" s="5">
        <v>342.01875000000007</v>
      </c>
      <c r="L28" s="5">
        <v>377.14500000000004</v>
      </c>
    </row>
    <row r="29" spans="1:12" ht="11.4">
      <c r="A29" s="1">
        <f t="shared" si="0"/>
        <v>19</v>
      </c>
      <c r="B29" s="4">
        <f>+Base40h!B29</f>
        <v>44228</v>
      </c>
      <c r="C29" s="5">
        <v>207.96541666666661</v>
      </c>
      <c r="D29" s="5">
        <v>147.83499999999998</v>
      </c>
      <c r="E29" s="5">
        <v>135.40916666666666</v>
      </c>
      <c r="F29" s="5">
        <v>165.83708333333334</v>
      </c>
      <c r="G29" s="5">
        <v>196.53083333333333</v>
      </c>
      <c r="H29" s="5">
        <v>182.6583333333333</v>
      </c>
      <c r="I29" s="5">
        <v>245.20500000000001</v>
      </c>
      <c r="J29" s="5">
        <v>299.75458333333319</v>
      </c>
      <c r="K29" s="5">
        <v>227.67416666666665</v>
      </c>
      <c r="L29" s="5">
        <v>274.65375000000006</v>
      </c>
    </row>
    <row r="30" spans="1:12" ht="11.4">
      <c r="A30" s="1">
        <f t="shared" si="0"/>
        <v>20</v>
      </c>
      <c r="B30" s="4">
        <f>+Base40h!B30</f>
        <v>44256</v>
      </c>
      <c r="C30" s="5">
        <v>69.079166666666652</v>
      </c>
      <c r="D30" s="5">
        <v>46.106666666666655</v>
      </c>
      <c r="E30" s="5">
        <v>40.985416666666666</v>
      </c>
      <c r="F30" s="5">
        <v>52.04083333333331</v>
      </c>
      <c r="G30" s="5">
        <v>66.746249999999989</v>
      </c>
      <c r="H30" s="5">
        <v>60.724583333333335</v>
      </c>
      <c r="I30" s="5">
        <v>90.53083333333332</v>
      </c>
      <c r="J30" s="5">
        <v>113.99666666666664</v>
      </c>
      <c r="K30" s="5">
        <v>85.047499999999971</v>
      </c>
      <c r="L30" s="5">
        <v>107.85374999999998</v>
      </c>
    </row>
    <row r="31" spans="1:12" ht="11.4">
      <c r="A31" s="1">
        <f t="shared" si="0"/>
        <v>21</v>
      </c>
      <c r="B31" s="4">
        <f>+Base40h!B31</f>
        <v>44287</v>
      </c>
      <c r="C31" s="5">
        <v>10.954583333333323</v>
      </c>
      <c r="D31" s="5">
        <v>5.8816666666666704</v>
      </c>
      <c r="E31" s="5">
        <v>4.0799999999999983</v>
      </c>
      <c r="F31" s="5">
        <v>7.4162499999999998</v>
      </c>
      <c r="G31" s="5">
        <v>9.8995833333333163</v>
      </c>
      <c r="H31" s="5">
        <v>8.8733333333333331</v>
      </c>
      <c r="I31" s="5">
        <v>19.836249999999993</v>
      </c>
      <c r="J31" s="5">
        <v>24.455833333333338</v>
      </c>
      <c r="K31" s="5">
        <v>15.489999999999977</v>
      </c>
      <c r="L31" s="5">
        <v>21.653333333333332</v>
      </c>
    </row>
    <row r="32" spans="1:12" ht="11.4">
      <c r="A32" s="1">
        <f t="shared" si="0"/>
        <v>22</v>
      </c>
      <c r="B32" s="4">
        <f>+Base40h!B32</f>
        <v>44317</v>
      </c>
      <c r="C32" s="5">
        <v>0.63375000000000015</v>
      </c>
      <c r="D32" s="5">
        <v>0.050000000000000003</v>
      </c>
      <c r="E32" s="5">
        <v>0.15500000000000008</v>
      </c>
      <c r="F32" s="5">
        <v>0.46000000000000019</v>
      </c>
      <c r="G32" s="5">
        <v>0.33999999999999986</v>
      </c>
      <c r="H32" s="5">
        <v>0.41499999999999981</v>
      </c>
      <c r="I32" s="5">
        <v>1.7795833333333349</v>
      </c>
      <c r="J32" s="5">
        <v>2.0083333333333298</v>
      </c>
      <c r="K32" s="5">
        <v>1.9283333333333297</v>
      </c>
      <c r="L32" s="5">
        <v>2.3474999999999997</v>
      </c>
    </row>
    <row r="33" spans="1:12" ht="11.4">
      <c r="A33" s="1">
        <f t="shared" si="0"/>
        <v>23</v>
      </c>
      <c r="B33" s="4">
        <f>+Base40h!B33</f>
        <v>44348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</row>
    <row r="34" spans="1:12" ht="11.4">
      <c r="A34" s="1">
        <f t="shared" si="0"/>
        <v>24</v>
      </c>
      <c r="B34" s="4">
        <f>+Base40h!B34</f>
        <v>44378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</row>
    <row r="35" spans="1:12" ht="11.4">
      <c r="A35" s="1">
        <f t="shared" si="0"/>
        <v>25</v>
      </c>
      <c r="B35" s="4">
        <f>+Base40h!B35</f>
        <v>44409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</row>
    <row r="36" spans="1:12" ht="11.4">
      <c r="A36" s="1">
        <f t="shared" si="0"/>
        <v>26</v>
      </c>
      <c r="B36" s="4">
        <f>+Base40h!B36</f>
        <v>44440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0.34999999999999964</v>
      </c>
      <c r="J36" s="5">
        <v>0.074999999999999997</v>
      </c>
      <c r="K36" s="5">
        <v>0.68999999999999984</v>
      </c>
      <c r="L36" s="5">
        <v>0</v>
      </c>
    </row>
    <row r="37" spans="1:12" ht="11.4">
      <c r="A37" s="1">
        <f t="shared" si="0"/>
        <v>27</v>
      </c>
      <c r="B37" s="4">
        <f>+Base40h!B37</f>
        <v>44470</v>
      </c>
      <c r="C37" s="5">
        <v>9.4537500000000048</v>
      </c>
      <c r="D37" s="5">
        <v>5.2008333333333292</v>
      </c>
      <c r="E37" s="5">
        <v>4.7133333333333285</v>
      </c>
      <c r="F37" s="5">
        <v>8.2666666666666639</v>
      </c>
      <c r="G37" s="5">
        <v>9.7174999999999994</v>
      </c>
      <c r="H37" s="5">
        <v>8.5229166666666689</v>
      </c>
      <c r="I37" s="5">
        <v>23.30541666666667</v>
      </c>
      <c r="J37" s="5">
        <v>24.138333333333328</v>
      </c>
      <c r="K37" s="5">
        <v>21.615833333333324</v>
      </c>
      <c r="L37" s="5">
        <v>16.919583333333318</v>
      </c>
    </row>
    <row r="38" spans="1:12" ht="11.4">
      <c r="A38" s="1">
        <f t="shared" si="0"/>
        <v>28</v>
      </c>
      <c r="B38" s="4">
        <f>+Base40h!B38</f>
        <v>44501</v>
      </c>
      <c r="C38" s="5">
        <v>77.803333333333327</v>
      </c>
      <c r="D38" s="5">
        <v>70.171249999999986</v>
      </c>
      <c r="E38" s="5">
        <v>58.626666666666658</v>
      </c>
      <c r="F38" s="5">
        <v>71.315416666666664</v>
      </c>
      <c r="G38" s="5">
        <v>91.634166666666673</v>
      </c>
      <c r="H38" s="5">
        <v>76.768749999999983</v>
      </c>
      <c r="I38" s="5">
        <v>116.2775</v>
      </c>
      <c r="J38" s="5">
        <v>135.31125</v>
      </c>
      <c r="K38" s="5">
        <v>125.77624999999998</v>
      </c>
      <c r="L38" s="5">
        <v>107.54416666666667</v>
      </c>
    </row>
    <row r="39" spans="1:12" ht="11.4">
      <c r="A39" s="1">
        <f t="shared" si="0"/>
        <v>29</v>
      </c>
      <c r="B39" s="4">
        <f>+Base40h!B39</f>
        <v>44531</v>
      </c>
      <c r="C39" s="5">
        <v>242.80041666666665</v>
      </c>
      <c r="D39" s="5">
        <v>196.65541666666664</v>
      </c>
      <c r="E39" s="5">
        <v>180.095</v>
      </c>
      <c r="F39" s="5">
        <v>210.93666666666655</v>
      </c>
      <c r="G39" s="5">
        <v>243.44416666666666</v>
      </c>
      <c r="H39" s="5">
        <v>230.64583333333337</v>
      </c>
      <c r="I39" s="5">
        <v>301.31833333333327</v>
      </c>
      <c r="J39" s="5">
        <v>365.39249999999998</v>
      </c>
      <c r="K39" s="5">
        <v>323.65375</v>
      </c>
      <c r="L39" s="5">
        <v>310.85083333333341</v>
      </c>
    </row>
    <row r="40" spans="1:12" ht="11.4">
      <c r="A40" s="1">
        <f t="shared" si="0"/>
        <v>30</v>
      </c>
      <c r="B40" s="32" t="s">
        <v>15</v>
      </c>
      <c r="C40" s="33">
        <f>SUM(C28:C39)</f>
        <v>908.2512499999998</v>
      </c>
      <c r="D40" s="33">
        <f t="shared" si="2" ref="D40:L40">SUM(D28:D39)</f>
        <v>709.77708333333328</v>
      </c>
      <c r="E40" s="33">
        <f t="shared" si="2"/>
        <v>635.8045833333332</v>
      </c>
      <c r="F40" s="33">
        <f t="shared" si="2"/>
        <v>757.07208333333301</v>
      </c>
      <c r="G40" s="33">
        <f t="shared" si="2"/>
        <v>906.03375000000005</v>
      </c>
      <c r="H40" s="33">
        <f t="shared" si="2"/>
        <v>840.0999999999998</v>
      </c>
      <c r="I40" s="33">
        <f t="shared" si="2"/>
        <v>1131.425</v>
      </c>
      <c r="J40" s="33">
        <f t="shared" si="2"/>
        <v>1365.6241666666665</v>
      </c>
      <c r="K40" s="33">
        <f t="shared" si="2"/>
        <v>1143.8945833333335</v>
      </c>
      <c r="L40" s="33">
        <f t="shared" si="2"/>
        <v>1218.967916666667</v>
      </c>
    </row>
    <row r="41" spans="1:12" ht="11.4">
      <c r="A41" s="34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</row>
    <row r="42" spans="1:12" ht="12">
      <c r="A42" s="34"/>
      <c r="B42" s="84"/>
      <c r="C42" s="84"/>
      <c r="D42" s="84"/>
      <c r="E42" s="84"/>
      <c r="F42" s="84"/>
      <c r="G42" s="84"/>
      <c r="H42" s="84"/>
      <c r="I42" s="84"/>
      <c r="J42" s="84"/>
      <c r="K42" s="84"/>
      <c r="L42" s="84"/>
    </row>
    <row r="43" spans="1:12" ht="11.4">
      <c r="A43" s="34"/>
      <c r="B43" s="35"/>
      <c r="C43" s="36"/>
      <c r="D43" s="36"/>
      <c r="E43" s="36"/>
      <c r="F43" s="36"/>
      <c r="G43" s="36"/>
      <c r="H43" s="36"/>
      <c r="I43" s="36"/>
      <c r="J43" s="36"/>
      <c r="K43" s="36"/>
      <c r="L43" s="36"/>
    </row>
    <row r="44" spans="1:26" ht="11.4">
      <c r="A44" s="34"/>
      <c r="B44" s="25"/>
      <c r="C44" s="26"/>
      <c r="D44" s="26"/>
      <c r="E44" s="26"/>
      <c r="F44" s="26"/>
      <c r="G44" s="26"/>
      <c r="H44" s="26"/>
      <c r="I44" s="26"/>
      <c r="J44" s="26"/>
      <c r="K44" s="26"/>
      <c r="L44" s="26"/>
      <c r="Z44" s="2" t="str">
        <f t="shared" si="3" ref="Z44:Z55">MONTH(B44)&amp;YEAR(B44)</f>
        <v>11900</v>
      </c>
    </row>
    <row r="45" spans="1:26" ht="11.4">
      <c r="A45" s="34"/>
      <c r="B45" s="25"/>
      <c r="C45" s="26"/>
      <c r="D45" s="26"/>
      <c r="E45" s="26"/>
      <c r="F45" s="26"/>
      <c r="G45" s="26"/>
      <c r="H45" s="26"/>
      <c r="I45" s="26"/>
      <c r="J45" s="26"/>
      <c r="K45" s="26"/>
      <c r="L45" s="26"/>
      <c r="Z45" s="2" t="str">
        <f t="shared" si="3"/>
        <v>11900</v>
      </c>
    </row>
    <row r="46" spans="1:26" ht="11.4">
      <c r="A46" s="34"/>
      <c r="B46" s="25"/>
      <c r="C46" s="26"/>
      <c r="D46" s="26"/>
      <c r="E46" s="26"/>
      <c r="F46" s="26"/>
      <c r="G46" s="26"/>
      <c r="H46" s="26"/>
      <c r="I46" s="26"/>
      <c r="J46" s="26"/>
      <c r="K46" s="26"/>
      <c r="L46" s="26"/>
      <c r="Z46" s="2" t="str">
        <f t="shared" si="3"/>
        <v>11900</v>
      </c>
    </row>
    <row r="47" spans="1:26" ht="11.4">
      <c r="A47" s="34"/>
      <c r="B47" s="25"/>
      <c r="C47" s="26"/>
      <c r="D47" s="26"/>
      <c r="E47" s="26"/>
      <c r="F47" s="26"/>
      <c r="G47" s="26"/>
      <c r="H47" s="26"/>
      <c r="I47" s="26"/>
      <c r="J47" s="26"/>
      <c r="K47" s="26"/>
      <c r="L47" s="26"/>
      <c r="Z47" s="2" t="str">
        <f t="shared" si="3"/>
        <v>11900</v>
      </c>
    </row>
    <row r="48" spans="1:26" ht="11.4">
      <c r="A48" s="34"/>
      <c r="B48" s="25"/>
      <c r="C48" s="26"/>
      <c r="D48" s="26"/>
      <c r="E48" s="26"/>
      <c r="F48" s="26"/>
      <c r="G48" s="26"/>
      <c r="H48" s="26"/>
      <c r="I48" s="26"/>
      <c r="J48" s="26"/>
      <c r="K48" s="26"/>
      <c r="L48" s="26"/>
      <c r="Z48" s="2" t="str">
        <f t="shared" si="3"/>
        <v>11900</v>
      </c>
    </row>
    <row r="49" spans="1:26" ht="11.4">
      <c r="A49" s="34"/>
      <c r="B49" s="25"/>
      <c r="C49" s="26"/>
      <c r="D49" s="26"/>
      <c r="E49" s="26"/>
      <c r="F49" s="26"/>
      <c r="G49" s="26"/>
      <c r="H49" s="26"/>
      <c r="I49" s="26"/>
      <c r="J49" s="26"/>
      <c r="K49" s="26"/>
      <c r="L49" s="26"/>
      <c r="Z49" s="2" t="str">
        <f t="shared" si="3"/>
        <v>11900</v>
      </c>
    </row>
    <row r="50" spans="1:26" ht="11.4">
      <c r="A50" s="34"/>
      <c r="B50" s="25"/>
      <c r="C50" s="26"/>
      <c r="D50" s="26"/>
      <c r="E50" s="26"/>
      <c r="F50" s="26"/>
      <c r="G50" s="26"/>
      <c r="H50" s="26"/>
      <c r="I50" s="26"/>
      <c r="J50" s="26"/>
      <c r="K50" s="26"/>
      <c r="L50" s="26"/>
      <c r="Z50" s="2" t="str">
        <f t="shared" si="3"/>
        <v>11900</v>
      </c>
    </row>
    <row r="51" spans="1:26" ht="11.4">
      <c r="A51" s="34"/>
      <c r="B51" s="25"/>
      <c r="C51" s="26"/>
      <c r="D51" s="26"/>
      <c r="E51" s="26"/>
      <c r="F51" s="26"/>
      <c r="G51" s="26"/>
      <c r="H51" s="26"/>
      <c r="I51" s="26"/>
      <c r="J51" s="26"/>
      <c r="K51" s="26"/>
      <c r="L51" s="26"/>
      <c r="Z51" s="2" t="str">
        <f t="shared" si="3"/>
        <v>11900</v>
      </c>
    </row>
    <row r="52" spans="1:26" ht="11.4">
      <c r="A52" s="34"/>
      <c r="B52" s="25"/>
      <c r="C52" s="26"/>
      <c r="D52" s="26"/>
      <c r="E52" s="26"/>
      <c r="F52" s="26"/>
      <c r="G52" s="26"/>
      <c r="H52" s="26"/>
      <c r="I52" s="26"/>
      <c r="J52" s="26"/>
      <c r="K52" s="26"/>
      <c r="L52" s="26"/>
      <c r="Z52" s="2" t="str">
        <f t="shared" si="3"/>
        <v>11900</v>
      </c>
    </row>
    <row r="53" spans="1:26" ht="11.4">
      <c r="A53" s="34"/>
      <c r="B53" s="25"/>
      <c r="C53" s="26"/>
      <c r="D53" s="26"/>
      <c r="E53" s="26"/>
      <c r="F53" s="26"/>
      <c r="G53" s="26"/>
      <c r="H53" s="26"/>
      <c r="I53" s="26"/>
      <c r="J53" s="26"/>
      <c r="K53" s="26"/>
      <c r="L53" s="26"/>
      <c r="Z53" s="2" t="str">
        <f t="shared" si="3"/>
        <v>11900</v>
      </c>
    </row>
    <row r="54" spans="1:26" ht="11.4">
      <c r="A54" s="34"/>
      <c r="B54" s="25"/>
      <c r="C54" s="26"/>
      <c r="D54" s="26"/>
      <c r="E54" s="26"/>
      <c r="F54" s="26"/>
      <c r="G54" s="26"/>
      <c r="H54" s="26"/>
      <c r="I54" s="26"/>
      <c r="J54" s="26"/>
      <c r="K54" s="26"/>
      <c r="L54" s="26"/>
      <c r="Z54" s="2" t="str">
        <f t="shared" si="3"/>
        <v>11900</v>
      </c>
    </row>
    <row r="55" spans="1:26" ht="11.4">
      <c r="A55" s="34"/>
      <c r="B55" s="25"/>
      <c r="C55" s="26"/>
      <c r="D55" s="26"/>
      <c r="E55" s="26"/>
      <c r="F55" s="26"/>
      <c r="G55" s="26"/>
      <c r="H55" s="26"/>
      <c r="I55" s="26"/>
      <c r="J55" s="26"/>
      <c r="K55" s="26"/>
      <c r="L55" s="26"/>
      <c r="Z55" s="2" t="str">
        <f t="shared" si="3"/>
        <v>11900</v>
      </c>
    </row>
    <row r="56" spans="1:12" ht="11.4">
      <c r="A56" s="34"/>
      <c r="B56" s="37"/>
      <c r="C56" s="26"/>
      <c r="D56" s="26"/>
      <c r="E56" s="26"/>
      <c r="F56" s="26"/>
      <c r="G56" s="26"/>
      <c r="H56" s="26"/>
      <c r="I56" s="26"/>
      <c r="J56" s="26"/>
      <c r="K56" s="26"/>
      <c r="L56" s="26"/>
    </row>
    <row r="57" spans="1:12" ht="11.4">
      <c r="A57" s="34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</row>
    <row r="58" spans="1:12" ht="11.4">
      <c r="A58" s="34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</row>
    <row r="59" spans="1:12" ht="12">
      <c r="A59" s="34"/>
      <c r="B59" s="84"/>
      <c r="C59" s="84"/>
      <c r="D59" s="84"/>
      <c r="E59" s="84"/>
      <c r="F59" s="84"/>
      <c r="G59" s="84"/>
      <c r="H59" s="84"/>
      <c r="I59" s="84"/>
      <c r="J59" s="84"/>
      <c r="K59" s="84"/>
      <c r="L59" s="84"/>
    </row>
    <row r="60" spans="1:12" ht="11.4">
      <c r="A60" s="34"/>
      <c r="B60" s="35"/>
      <c r="C60" s="36"/>
      <c r="D60" s="36"/>
      <c r="E60" s="36"/>
      <c r="F60" s="36"/>
      <c r="G60" s="36"/>
      <c r="H60" s="36"/>
      <c r="I60" s="36"/>
      <c r="J60" s="36"/>
      <c r="K60" s="36"/>
      <c r="L60" s="36"/>
    </row>
    <row r="61" spans="1:26" ht="11.4">
      <c r="A61" s="34"/>
      <c r="B61" s="25"/>
      <c r="C61" s="26"/>
      <c r="D61" s="26"/>
      <c r="E61" s="26"/>
      <c r="F61" s="26"/>
      <c r="G61" s="26"/>
      <c r="H61" s="26"/>
      <c r="I61" s="26"/>
      <c r="J61" s="26"/>
      <c r="K61" s="26"/>
      <c r="L61" s="26"/>
      <c r="Z61" s="2">
        <f>MONTH(B61)</f>
        <v>1</v>
      </c>
    </row>
    <row r="62" spans="1:26" ht="11.4">
      <c r="A62" s="34"/>
      <c r="B62" s="25"/>
      <c r="C62" s="26"/>
      <c r="D62" s="26"/>
      <c r="E62" s="26"/>
      <c r="F62" s="26"/>
      <c r="G62" s="26"/>
      <c r="H62" s="26"/>
      <c r="I62" s="26"/>
      <c r="J62" s="26"/>
      <c r="K62" s="26"/>
      <c r="L62" s="26"/>
      <c r="Z62" s="2">
        <f>MONTH(B62)</f>
        <v>1</v>
      </c>
    </row>
    <row r="63" spans="1:26" ht="11.4">
      <c r="A63" s="34"/>
      <c r="B63" s="25"/>
      <c r="C63" s="26"/>
      <c r="D63" s="26"/>
      <c r="E63" s="26"/>
      <c r="F63" s="26"/>
      <c r="G63" s="26"/>
      <c r="H63" s="26"/>
      <c r="I63" s="26"/>
      <c r="J63" s="26"/>
      <c r="K63" s="26"/>
      <c r="L63" s="26"/>
      <c r="Z63" s="2">
        <f>MONTH(B63)</f>
        <v>1</v>
      </c>
    </row>
    <row r="64" spans="1:26" ht="11.4">
      <c r="A64" s="34"/>
      <c r="B64" s="25"/>
      <c r="C64" s="26"/>
      <c r="D64" s="26"/>
      <c r="E64" s="26"/>
      <c r="F64" s="26"/>
      <c r="G64" s="26"/>
      <c r="H64" s="26"/>
      <c r="I64" s="26"/>
      <c r="J64" s="26"/>
      <c r="K64" s="26"/>
      <c r="L64" s="26"/>
      <c r="Z64" s="2">
        <f>MONTH(B64)</f>
        <v>1</v>
      </c>
    </row>
    <row r="65" spans="1:26" ht="11.4">
      <c r="A65" s="34"/>
      <c r="B65" s="25"/>
      <c r="C65" s="26"/>
      <c r="D65" s="26"/>
      <c r="E65" s="26"/>
      <c r="F65" s="26"/>
      <c r="G65" s="26"/>
      <c r="H65" s="26"/>
      <c r="I65" s="26"/>
      <c r="J65" s="26"/>
      <c r="K65" s="26"/>
      <c r="L65" s="26"/>
      <c r="Z65" s="2">
        <f>MONTH(B65)</f>
        <v>1</v>
      </c>
    </row>
    <row r="66" spans="1:26" ht="11.4">
      <c r="A66" s="34"/>
      <c r="B66" s="25"/>
      <c r="C66" s="26"/>
      <c r="D66" s="26"/>
      <c r="E66" s="26"/>
      <c r="F66" s="26"/>
      <c r="G66" s="26"/>
      <c r="H66" s="26"/>
      <c r="I66" s="26"/>
      <c r="J66" s="26"/>
      <c r="K66" s="26"/>
      <c r="L66" s="26"/>
      <c r="Z66" s="2">
        <f t="shared" si="4" ref="Z66:Z72">MONTH(B66)</f>
        <v>1</v>
      </c>
    </row>
    <row r="67" spans="1:26" ht="11.4">
      <c r="A67" s="34"/>
      <c r="B67" s="25"/>
      <c r="C67" s="26"/>
      <c r="D67" s="26"/>
      <c r="E67" s="26"/>
      <c r="F67" s="26"/>
      <c r="G67" s="26"/>
      <c r="H67" s="26"/>
      <c r="I67" s="26"/>
      <c r="J67" s="26"/>
      <c r="K67" s="26"/>
      <c r="L67" s="26"/>
      <c r="Z67" s="2">
        <f t="shared" si="4"/>
        <v>1</v>
      </c>
    </row>
    <row r="68" spans="1:26" ht="11.4">
      <c r="A68" s="34"/>
      <c r="B68" s="25"/>
      <c r="C68" s="26"/>
      <c r="D68" s="26"/>
      <c r="E68" s="26"/>
      <c r="F68" s="26"/>
      <c r="G68" s="26"/>
      <c r="H68" s="26"/>
      <c r="I68" s="26"/>
      <c r="J68" s="26"/>
      <c r="K68" s="26"/>
      <c r="L68" s="26"/>
      <c r="Z68" s="2">
        <f t="shared" si="4"/>
        <v>1</v>
      </c>
    </row>
    <row r="69" spans="1:26" ht="11.4">
      <c r="A69" s="34"/>
      <c r="B69" s="25"/>
      <c r="C69" s="26"/>
      <c r="D69" s="26"/>
      <c r="E69" s="26"/>
      <c r="F69" s="26"/>
      <c r="G69" s="26"/>
      <c r="H69" s="26"/>
      <c r="I69" s="26"/>
      <c r="J69" s="26"/>
      <c r="K69" s="26"/>
      <c r="L69" s="26"/>
      <c r="Z69" s="2">
        <f t="shared" si="4"/>
        <v>1</v>
      </c>
    </row>
    <row r="70" spans="1:26" ht="11.4">
      <c r="A70" s="34"/>
      <c r="B70" s="25"/>
      <c r="C70" s="26"/>
      <c r="D70" s="26"/>
      <c r="E70" s="26"/>
      <c r="F70" s="26"/>
      <c r="G70" s="26"/>
      <c r="H70" s="26"/>
      <c r="I70" s="26"/>
      <c r="J70" s="26"/>
      <c r="K70" s="26"/>
      <c r="L70" s="26"/>
      <c r="Z70" s="2">
        <f t="shared" si="4"/>
        <v>1</v>
      </c>
    </row>
    <row r="71" spans="1:26" ht="11.4">
      <c r="A71" s="34"/>
      <c r="B71" s="25"/>
      <c r="C71" s="26"/>
      <c r="D71" s="26"/>
      <c r="E71" s="26"/>
      <c r="F71" s="26"/>
      <c r="G71" s="26"/>
      <c r="H71" s="26"/>
      <c r="I71" s="26"/>
      <c r="J71" s="26"/>
      <c r="K71" s="26"/>
      <c r="L71" s="26"/>
      <c r="Z71" s="2">
        <f t="shared" si="4"/>
        <v>1</v>
      </c>
    </row>
    <row r="72" spans="1:26" ht="11.4">
      <c r="A72" s="34"/>
      <c r="B72" s="25"/>
      <c r="C72" s="26"/>
      <c r="D72" s="26"/>
      <c r="E72" s="26"/>
      <c r="F72" s="26"/>
      <c r="G72" s="26"/>
      <c r="H72" s="26"/>
      <c r="I72" s="26"/>
      <c r="J72" s="26"/>
      <c r="K72" s="26"/>
      <c r="L72" s="26"/>
      <c r="Z72" s="2">
        <f t="shared" si="4"/>
        <v>1</v>
      </c>
    </row>
    <row r="73" spans="1:12" ht="11.4">
      <c r="A73" s="34"/>
      <c r="B73" s="37"/>
      <c r="C73" s="26"/>
      <c r="D73" s="26"/>
      <c r="E73" s="26"/>
      <c r="F73" s="26"/>
      <c r="G73" s="26"/>
      <c r="H73" s="26"/>
      <c r="I73" s="26"/>
      <c r="J73" s="26"/>
      <c r="K73" s="26"/>
      <c r="L73" s="26"/>
    </row>
  </sheetData>
  <mergeCells count="9">
    <mergeCell ref="B26:L26"/>
    <mergeCell ref="B42:L42"/>
    <mergeCell ref="B59:L59"/>
    <mergeCell ref="B1:L1"/>
    <mergeCell ref="B2:L2"/>
    <mergeCell ref="B3:L3"/>
    <mergeCell ref="B4:L4"/>
    <mergeCell ref="B6:L6"/>
    <mergeCell ref="B9:L9"/>
  </mergeCells>
  <pageMargins left="0.75" right="0.75" top="1" bottom="1" header="0.5" footer="0.5"/>
  <pageSetup orientation="portrait" scale="73" r:id="rId1"/>
  <headerFooter alignWithMargins="0">
    <oddHeader>&amp;RSchedule II-H-5.1
Page &amp;P of  28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pageSetUpPr fitToPage="1"/>
  </sheetPr>
  <dimension ref="A1:L40"/>
  <sheetViews>
    <sheetView workbookViewId="0" topLeftCell="A1"/>
  </sheetViews>
  <sheetFormatPr defaultColWidth="9.11428571428571" defaultRowHeight="12"/>
  <cols>
    <col min="1" max="1" width="9.14285714285714" style="1"/>
    <col min="2" max="2" width="10.4285714285714" style="2" bestFit="1" customWidth="1"/>
    <col min="3" max="3" width="11.4285714285714" style="2" customWidth="1"/>
    <col min="4" max="4" width="9.57142857142857" style="2" bestFit="1" customWidth="1"/>
    <col min="5" max="5" width="9.71428571428571" style="2" bestFit="1" customWidth="1"/>
    <col min="6" max="6" width="9.57142857142857" style="2" bestFit="1" customWidth="1"/>
    <col min="7" max="7" width="12.2857142857143" style="2" bestFit="1" customWidth="1"/>
    <col min="8" max="8" width="9.85714285714286" style="2" bestFit="1" customWidth="1"/>
    <col min="9" max="9" width="10.5714285714286" style="2" bestFit="1" customWidth="1"/>
    <col min="10" max="10" width="11.2857142857143" style="2" customWidth="1"/>
    <col min="11" max="11" width="10.4285714285714" style="2" customWidth="1"/>
    <col min="12" max="16384" width="9.14285714285714" style="2"/>
  </cols>
  <sheetData>
    <row r="1" spans="2:12" ht="15.6">
      <c r="B1" s="82" t="str">
        <f>+Base40h!B1</f>
        <v xml:space="preserve">PUC DOCKET NO. </v>
      </c>
      <c r="C1" s="82"/>
      <c r="D1" s="82"/>
      <c r="E1" s="82"/>
      <c r="F1" s="82"/>
      <c r="G1" s="82"/>
      <c r="H1" s="82"/>
      <c r="I1" s="82"/>
      <c r="J1" s="82"/>
      <c r="K1" s="82"/>
      <c r="L1" s="82"/>
    </row>
    <row r="2" spans="2:12" ht="15.6">
      <c r="B2" s="82" t="str">
        <f>+Base40h!B2</f>
        <v>ONCOR ELECTRIC DELIVERY COMPANY LLC</v>
      </c>
      <c r="C2" s="82"/>
      <c r="D2" s="82"/>
      <c r="E2" s="82"/>
      <c r="F2" s="82"/>
      <c r="G2" s="82"/>
      <c r="H2" s="82"/>
      <c r="I2" s="82"/>
      <c r="J2" s="82"/>
      <c r="K2" s="82"/>
      <c r="L2" s="82"/>
    </row>
    <row r="3" spans="2:12" ht="15.6">
      <c r="B3" s="82" t="str">
        <f>+Base40h!B3</f>
        <v>WEATHER STATION DATA</v>
      </c>
      <c r="C3" s="82"/>
      <c r="D3" s="82"/>
      <c r="E3" s="82"/>
      <c r="F3" s="82"/>
      <c r="G3" s="82"/>
      <c r="H3" s="82"/>
      <c r="I3" s="82"/>
      <c r="J3" s="82"/>
      <c r="K3" s="82"/>
      <c r="L3" s="82"/>
    </row>
    <row r="4" spans="2:12" ht="15.6">
      <c r="B4" s="82" t="str">
        <f>+Base40h!B4</f>
        <v>FOR THE TEST YEAR ENDING DECEMBER 31, 2021</v>
      </c>
      <c r="C4" s="82"/>
      <c r="D4" s="82"/>
      <c r="E4" s="82"/>
      <c r="F4" s="82"/>
      <c r="G4" s="82"/>
      <c r="H4" s="82"/>
      <c r="I4" s="82"/>
      <c r="J4" s="82"/>
      <c r="K4" s="82"/>
      <c r="L4" s="82"/>
    </row>
    <row r="6" spans="2:12" ht="15.6">
      <c r="B6" s="82" t="str">
        <f>+Base40h!B6</f>
        <v>SPONSOR: D. E. NELSON</v>
      </c>
      <c r="C6" s="82"/>
      <c r="D6" s="82"/>
      <c r="E6" s="82"/>
      <c r="F6" s="82"/>
      <c r="G6" s="82"/>
      <c r="H6" s="82"/>
      <c r="I6" s="82"/>
      <c r="J6" s="82"/>
      <c r="K6" s="82"/>
      <c r="L6" s="82"/>
    </row>
    <row r="9" spans="2:12" ht="12">
      <c r="B9" s="83" t="s">
        <v>84</v>
      </c>
      <c r="C9" s="83"/>
      <c r="D9" s="83"/>
      <c r="E9" s="83"/>
      <c r="F9" s="83"/>
      <c r="G9" s="83"/>
      <c r="H9" s="83"/>
      <c r="I9" s="83"/>
      <c r="J9" s="83"/>
      <c r="K9" s="83"/>
      <c r="L9" s="83"/>
    </row>
    <row r="10" spans="1:12" ht="34.8" thickBot="1">
      <c r="A10" s="3" t="s">
        <v>4</v>
      </c>
      <c r="C10" s="3" t="s">
        <v>55</v>
      </c>
      <c r="D10" s="3" t="s">
        <v>6</v>
      </c>
      <c r="E10" s="3" t="s">
        <v>7</v>
      </c>
      <c r="F10" s="3" t="s">
        <v>8</v>
      </c>
      <c r="G10" s="3" t="s">
        <v>9</v>
      </c>
      <c r="H10" s="3" t="s">
        <v>10</v>
      </c>
      <c r="I10" s="3" t="s">
        <v>11</v>
      </c>
      <c r="J10" s="3" t="s">
        <v>12</v>
      </c>
      <c r="K10" s="3" t="s">
        <v>13</v>
      </c>
      <c r="L10" s="3" t="s">
        <v>14</v>
      </c>
    </row>
    <row r="11" spans="1:12" ht="11.4">
      <c r="A11" s="1">
        <v>1</v>
      </c>
      <c r="B11" s="4">
        <f>+Base40h!B11</f>
        <v>44197</v>
      </c>
      <c r="C11" s="5">
        <v>400.40000000000003</v>
      </c>
      <c r="D11" s="5">
        <v>317.90000000000009</v>
      </c>
      <c r="E11" s="5">
        <v>257.19999999999993</v>
      </c>
      <c r="F11" s="5">
        <v>344.09999999999991</v>
      </c>
      <c r="G11" s="5">
        <v>417.09999999999997</v>
      </c>
      <c r="H11" s="5">
        <v>364.19999999999999</v>
      </c>
      <c r="I11" s="5">
        <v>450.90000000000003</v>
      </c>
      <c r="J11" s="5">
        <v>523.29999999999995</v>
      </c>
      <c r="K11" s="5">
        <v>515.30000000000007</v>
      </c>
      <c r="L11" s="5">
        <v>469.5</v>
      </c>
    </row>
    <row r="12" spans="1:12" ht="11.4">
      <c r="A12" s="1">
        <f>+A11+1</f>
        <v>2</v>
      </c>
      <c r="B12" s="4">
        <f>+Base40h!B12</f>
        <v>44228</v>
      </c>
      <c r="C12" s="5">
        <v>547.29999999999984</v>
      </c>
      <c r="D12" s="5">
        <v>392</v>
      </c>
      <c r="E12" s="5">
        <v>391.80000000000001</v>
      </c>
      <c r="F12" s="5">
        <v>470.89999999999998</v>
      </c>
      <c r="G12" s="5">
        <v>501.80000000000001</v>
      </c>
      <c r="H12" s="5">
        <v>481.80000000000001</v>
      </c>
      <c r="I12" s="5">
        <v>568.60000000000002</v>
      </c>
      <c r="J12" s="5">
        <v>696.60000000000002</v>
      </c>
      <c r="K12" s="5">
        <v>550.20000000000005</v>
      </c>
      <c r="L12" s="5">
        <v>614.49999999999989</v>
      </c>
    </row>
    <row r="13" spans="1:12" ht="11.4">
      <c r="A13" s="1">
        <f t="shared" si="0" ref="A13:A40">+A12+1</f>
        <v>3</v>
      </c>
      <c r="B13" s="4">
        <f>+Base40h!B13</f>
        <v>44256</v>
      </c>
      <c r="C13" s="5">
        <v>66.099999999999994</v>
      </c>
      <c r="D13" s="5">
        <v>88.399999999999977</v>
      </c>
      <c r="E13" s="5">
        <v>44.299999999999962</v>
      </c>
      <c r="F13" s="5">
        <v>63.799999999999976</v>
      </c>
      <c r="G13" s="5">
        <v>111.49999999999997</v>
      </c>
      <c r="H13" s="5">
        <v>73.599999999999966</v>
      </c>
      <c r="I13" s="5">
        <v>107.69999999999996</v>
      </c>
      <c r="J13" s="5">
        <v>138.69999999999996</v>
      </c>
      <c r="K13" s="5">
        <v>140.79999999999996</v>
      </c>
      <c r="L13" s="5">
        <v>95.69999999999996</v>
      </c>
    </row>
    <row r="14" spans="1:12" ht="11.4">
      <c r="A14" s="1">
        <f t="shared" si="0"/>
        <v>4</v>
      </c>
      <c r="B14" s="4">
        <f>+Base40h!B14</f>
        <v>44287</v>
      </c>
      <c r="C14" s="5">
        <v>31.5</v>
      </c>
      <c r="D14" s="5">
        <v>35.599999999999987</v>
      </c>
      <c r="E14" s="5">
        <v>34.699999999999989</v>
      </c>
      <c r="F14" s="5">
        <v>37.499999999999979</v>
      </c>
      <c r="G14" s="5">
        <v>59.799999999999983</v>
      </c>
      <c r="H14" s="5">
        <v>37.799999999999983</v>
      </c>
      <c r="I14" s="5">
        <v>78.999999999999986</v>
      </c>
      <c r="J14" s="5">
        <v>89</v>
      </c>
      <c r="K14" s="5">
        <v>103</v>
      </c>
      <c r="L14" s="5">
        <v>72.09999999999998</v>
      </c>
    </row>
    <row r="15" spans="1:12" ht="11.4">
      <c r="A15" s="1">
        <f t="shared" si="0"/>
        <v>5</v>
      </c>
      <c r="B15" s="4">
        <f>+Base40h!B15</f>
        <v>44317</v>
      </c>
      <c r="C15" s="5">
        <v>3.2000000000000028</v>
      </c>
      <c r="D15" s="5">
        <v>0</v>
      </c>
      <c r="E15" s="5">
        <v>0</v>
      </c>
      <c r="F15" s="5">
        <v>0.10000000000000142</v>
      </c>
      <c r="G15" s="5">
        <v>0.79999999999999716</v>
      </c>
      <c r="H15" s="5">
        <v>0</v>
      </c>
      <c r="I15" s="5">
        <v>8.5</v>
      </c>
      <c r="J15" s="5">
        <v>10.999999999999993</v>
      </c>
      <c r="K15" s="5">
        <v>3.2000000000000028</v>
      </c>
      <c r="L15" s="5">
        <v>10.199999999999996</v>
      </c>
    </row>
    <row r="16" spans="1:12" ht="11.4">
      <c r="A16" s="1">
        <f t="shared" si="0"/>
        <v>6</v>
      </c>
      <c r="B16" s="4">
        <f>+Base40h!B16</f>
        <v>44348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</row>
    <row r="17" spans="1:12" ht="11.4">
      <c r="A17" s="1">
        <f t="shared" si="0"/>
        <v>7</v>
      </c>
      <c r="B17" s="4">
        <f>+Base40h!B17</f>
        <v>44378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</row>
    <row r="18" spans="1:12" ht="11.4">
      <c r="A18" s="1">
        <f t="shared" si="0"/>
        <v>8</v>
      </c>
      <c r="B18" s="4">
        <f>+Base40h!B18</f>
        <v>44409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</row>
    <row r="19" spans="1:12" ht="11.4">
      <c r="A19" s="1">
        <f t="shared" si="0"/>
        <v>9</v>
      </c>
      <c r="B19" s="4">
        <f>+Base40h!B19</f>
        <v>44440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</row>
    <row r="20" spans="1:12" ht="11.4">
      <c r="A20" s="1">
        <f t="shared" si="0"/>
        <v>10</v>
      </c>
      <c r="B20" s="4">
        <f>+Base40h!B20</f>
        <v>44470</v>
      </c>
      <c r="C20" s="5">
        <v>0</v>
      </c>
      <c r="D20" s="5">
        <v>5.0999999999999943</v>
      </c>
      <c r="E20" s="5">
        <v>2.0999999999999943</v>
      </c>
      <c r="F20" s="5">
        <v>2.2999999999999972</v>
      </c>
      <c r="G20" s="5">
        <v>7.2999999999999972</v>
      </c>
      <c r="H20" s="5">
        <v>4.2999999999999972</v>
      </c>
      <c r="I20" s="5">
        <v>6.1999999999999957</v>
      </c>
      <c r="J20" s="5">
        <v>11.999999999999986</v>
      </c>
      <c r="K20" s="5">
        <v>14.599999999999994</v>
      </c>
      <c r="L20" s="5">
        <v>11.099999999999994</v>
      </c>
    </row>
    <row r="21" spans="1:12" ht="11.4">
      <c r="A21" s="1">
        <f t="shared" si="0"/>
        <v>11</v>
      </c>
      <c r="B21" s="4">
        <f>+Base40h!B21</f>
        <v>44501</v>
      </c>
      <c r="C21" s="5">
        <v>125.09999999999997</v>
      </c>
      <c r="D21" s="5">
        <v>133.49999999999997</v>
      </c>
      <c r="E21" s="5">
        <v>109.59999999999995</v>
      </c>
      <c r="F21" s="5">
        <v>121.39999999999995</v>
      </c>
      <c r="G21" s="5">
        <v>171.39999999999992</v>
      </c>
      <c r="H21" s="5">
        <v>124.09999999999999</v>
      </c>
      <c r="I21" s="5">
        <v>134.5</v>
      </c>
      <c r="J21" s="5">
        <v>185.99999999999992</v>
      </c>
      <c r="K21" s="5">
        <v>169.49999999999994</v>
      </c>
      <c r="L21" s="5">
        <v>178.99999999999994</v>
      </c>
    </row>
    <row r="22" spans="1:12" ht="11.4">
      <c r="A22" s="1">
        <f t="shared" si="0"/>
        <v>12</v>
      </c>
      <c r="B22" s="4">
        <f>+Base40h!B22</f>
        <v>44531</v>
      </c>
      <c r="C22" s="5">
        <v>122.59999999999999</v>
      </c>
      <c r="D22" s="5">
        <v>93.199999999999989</v>
      </c>
      <c r="E22" s="5">
        <v>78.099999999999994</v>
      </c>
      <c r="F22" s="5">
        <v>92.699999999999989</v>
      </c>
      <c r="G22" s="5">
        <v>127.59999999999998</v>
      </c>
      <c r="H22" s="5">
        <v>101.89999999999998</v>
      </c>
      <c r="I22" s="5">
        <v>126.29999999999998</v>
      </c>
      <c r="J22" s="5">
        <v>211.1999999999999</v>
      </c>
      <c r="K22" s="5">
        <v>169.09999999999997</v>
      </c>
      <c r="L22" s="5">
        <v>163.99999999999994</v>
      </c>
    </row>
    <row r="23" spans="1:12" ht="11.4">
      <c r="A23" s="1">
        <f t="shared" si="0"/>
        <v>13</v>
      </c>
      <c r="B23" s="32" t="s">
        <v>15</v>
      </c>
      <c r="C23" s="33">
        <f>SUM(C11:C22)</f>
        <v>1296.1999999999996</v>
      </c>
      <c r="D23" s="33">
        <f t="shared" si="1" ref="D23:L23">SUM(D11:D22)</f>
        <v>1065.7000000000001</v>
      </c>
      <c r="E23" s="33">
        <f t="shared" si="1"/>
        <v>917.79999999999995</v>
      </c>
      <c r="F23" s="33">
        <f t="shared" si="1"/>
        <v>1132.7999999999997</v>
      </c>
      <c r="G23" s="33">
        <f t="shared" si="1"/>
        <v>1397.2999999999995</v>
      </c>
      <c r="H23" s="33">
        <f t="shared" si="1"/>
        <v>1187.6999999999998</v>
      </c>
      <c r="I23" s="33">
        <f t="shared" si="1"/>
        <v>1481.7000000000001</v>
      </c>
      <c r="J23" s="33">
        <f t="shared" si="1"/>
        <v>1867.8</v>
      </c>
      <c r="K23" s="33">
        <f t="shared" si="1"/>
        <v>1665.6999999999998</v>
      </c>
      <c r="L23" s="33">
        <f t="shared" si="1"/>
        <v>1616.0999999999999</v>
      </c>
    </row>
    <row r="24" spans="1:1" ht="11.4">
      <c r="A24" s="1">
        <f t="shared" si="0"/>
        <v>14</v>
      </c>
    </row>
    <row r="25" spans="1:1" ht="11.4">
      <c r="A25" s="1">
        <f t="shared" si="0"/>
        <v>15</v>
      </c>
    </row>
    <row r="26" spans="1:12" ht="12">
      <c r="A26" s="1">
        <f t="shared" si="0"/>
        <v>16</v>
      </c>
      <c r="B26" s="83" t="s">
        <v>85</v>
      </c>
      <c r="C26" s="83"/>
      <c r="D26" s="83"/>
      <c r="E26" s="83"/>
      <c r="F26" s="83"/>
      <c r="G26" s="83"/>
      <c r="H26" s="83"/>
      <c r="I26" s="83"/>
      <c r="J26" s="83"/>
      <c r="K26" s="83"/>
      <c r="L26" s="83"/>
    </row>
    <row r="27" spans="1:12" ht="34.8" thickBot="1">
      <c r="A27" s="1">
        <f t="shared" si="0"/>
        <v>17</v>
      </c>
      <c r="C27" s="3" t="s">
        <v>55</v>
      </c>
      <c r="D27" s="3" t="s">
        <v>6</v>
      </c>
      <c r="E27" s="74" t="s">
        <v>7</v>
      </c>
      <c r="F27" s="74" t="s">
        <v>8</v>
      </c>
      <c r="G27" s="74" t="s">
        <v>9</v>
      </c>
      <c r="H27" s="74" t="s">
        <v>10</v>
      </c>
      <c r="I27" s="74" t="s">
        <v>11</v>
      </c>
      <c r="J27" s="74" t="s">
        <v>12</v>
      </c>
      <c r="K27" s="74" t="s">
        <v>13</v>
      </c>
      <c r="L27" s="74" t="s">
        <v>14</v>
      </c>
    </row>
    <row r="28" spans="1:12" ht="11.4">
      <c r="A28" s="1">
        <f t="shared" si="0"/>
        <v>18</v>
      </c>
      <c r="B28" s="4">
        <f>+Base40h!B28</f>
        <v>44197</v>
      </c>
      <c r="C28" s="5">
        <v>422.04999999999995</v>
      </c>
      <c r="D28" s="5">
        <v>358.51958333333334</v>
      </c>
      <c r="E28" s="5">
        <v>333.15624999999989</v>
      </c>
      <c r="F28" s="5">
        <v>365.81874999999985</v>
      </c>
      <c r="G28" s="5">
        <v>416.26125000000008</v>
      </c>
      <c r="H28" s="5">
        <v>401.88708333333329</v>
      </c>
      <c r="I28" s="5">
        <v>469.92041666666671</v>
      </c>
      <c r="J28" s="5">
        <v>543.74500000000012</v>
      </c>
      <c r="K28" s="5">
        <v>488.29874999999993</v>
      </c>
      <c r="L28" s="5">
        <v>517.65374999999995</v>
      </c>
    </row>
    <row r="29" spans="1:12" ht="11.4">
      <c r="A29" s="1">
        <f t="shared" si="0"/>
        <v>19</v>
      </c>
      <c r="B29" s="4">
        <f>+Base40h!B29</f>
        <v>44228</v>
      </c>
      <c r="C29" s="5">
        <v>311.41874999999999</v>
      </c>
      <c r="D29" s="5">
        <v>240.46666666666661</v>
      </c>
      <c r="E29" s="5">
        <v>224.87625000000003</v>
      </c>
      <c r="F29" s="5">
        <v>260.35458333333332</v>
      </c>
      <c r="G29" s="5">
        <v>299.5737499999999</v>
      </c>
      <c r="H29" s="5">
        <v>283.05208333333326</v>
      </c>
      <c r="I29" s="5">
        <v>352.43791666666664</v>
      </c>
      <c r="J29" s="5">
        <v>418.81333333333328</v>
      </c>
      <c r="K29" s="5">
        <v>339.42999999999989</v>
      </c>
      <c r="L29" s="5">
        <v>390.84666666666658</v>
      </c>
    </row>
    <row r="30" spans="1:12" ht="11.4">
      <c r="A30" s="1">
        <f t="shared" si="0"/>
        <v>20</v>
      </c>
      <c r="B30" s="4">
        <f>+Base40h!B30</f>
        <v>44256</v>
      </c>
      <c r="C30" s="5">
        <v>133.27791666666667</v>
      </c>
      <c r="D30" s="5">
        <v>100.09249999999994</v>
      </c>
      <c r="E30" s="5">
        <v>90.13749999999996</v>
      </c>
      <c r="F30" s="5">
        <v>107.80833333333334</v>
      </c>
      <c r="G30" s="5">
        <v>133.90208333333328</v>
      </c>
      <c r="H30" s="5">
        <v>121.65750000000004</v>
      </c>
      <c r="I30" s="5">
        <v>165.19958333333335</v>
      </c>
      <c r="J30" s="5">
        <v>201.70124999999993</v>
      </c>
      <c r="K30" s="5">
        <v>159.39875000000001</v>
      </c>
      <c r="L30" s="5">
        <v>193.21916666666664</v>
      </c>
    </row>
    <row r="31" spans="1:12" ht="11.4">
      <c r="A31" s="1">
        <f t="shared" si="0"/>
        <v>21</v>
      </c>
      <c r="B31" s="4">
        <f>+Base40h!B31</f>
        <v>44287</v>
      </c>
      <c r="C31" s="5">
        <v>28.716249999999988</v>
      </c>
      <c r="D31" s="5">
        <v>19.366666666666667</v>
      </c>
      <c r="E31" s="5">
        <v>15.212083333333327</v>
      </c>
      <c r="F31" s="5">
        <v>22.008333333333333</v>
      </c>
      <c r="G31" s="5">
        <v>29.399583333333322</v>
      </c>
      <c r="H31" s="5">
        <v>25.41666666666665</v>
      </c>
      <c r="I31" s="5">
        <v>46.258333333333319</v>
      </c>
      <c r="J31" s="5">
        <v>57.046250000000008</v>
      </c>
      <c r="K31" s="5">
        <v>38.06124999999998</v>
      </c>
      <c r="L31" s="5">
        <v>55.709166666666675</v>
      </c>
    </row>
    <row r="32" spans="1:12" ht="11.4">
      <c r="A32" s="1">
        <f t="shared" si="0"/>
        <v>22</v>
      </c>
      <c r="B32" s="4">
        <f>+Base40h!B32</f>
        <v>44317</v>
      </c>
      <c r="C32" s="5">
        <v>2.9774999999999996</v>
      </c>
      <c r="D32" s="5">
        <v>0.69958333333333023</v>
      </c>
      <c r="E32" s="5">
        <v>0.8570833333333352</v>
      </c>
      <c r="F32" s="5">
        <v>1.98875</v>
      </c>
      <c r="G32" s="5">
        <v>1.8908333333333345</v>
      </c>
      <c r="H32" s="5">
        <v>1.9458333333333346</v>
      </c>
      <c r="I32" s="5">
        <v>6.9037499999999978</v>
      </c>
      <c r="J32" s="5">
        <v>7.3337499999999967</v>
      </c>
      <c r="K32" s="5">
        <v>6.8316666666666608</v>
      </c>
      <c r="L32" s="5">
        <v>7.5712499999999991</v>
      </c>
    </row>
    <row r="33" spans="1:12" ht="11.4">
      <c r="A33" s="1">
        <f t="shared" si="0"/>
        <v>23</v>
      </c>
      <c r="B33" s="4">
        <f>+Base40h!B33</f>
        <v>44348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</row>
    <row r="34" spans="1:12" ht="11.4">
      <c r="A34" s="1">
        <f t="shared" si="0"/>
        <v>24</v>
      </c>
      <c r="B34" s="4">
        <f>+Base40h!B34</f>
        <v>44378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</row>
    <row r="35" spans="1:12" ht="11.4">
      <c r="A35" s="1">
        <f t="shared" si="0"/>
        <v>25</v>
      </c>
      <c r="B35" s="4">
        <f>+Base40h!B35</f>
        <v>44409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</row>
    <row r="36" spans="1:12" ht="11.4">
      <c r="A36" s="1">
        <f t="shared" si="0"/>
        <v>26</v>
      </c>
      <c r="B36" s="4">
        <f>+Base40h!B36</f>
        <v>44440</v>
      </c>
      <c r="C36" s="5">
        <v>0</v>
      </c>
      <c r="D36" s="5">
        <v>0</v>
      </c>
      <c r="E36" s="5">
        <v>0</v>
      </c>
      <c r="F36" s="5">
        <v>0.039999999999999855</v>
      </c>
      <c r="G36" s="5">
        <v>0.014583333333334992</v>
      </c>
      <c r="H36" s="5">
        <v>0</v>
      </c>
      <c r="I36" s="5">
        <v>1.1208333333333349</v>
      </c>
      <c r="J36" s="5">
        <v>0.63499999999999979</v>
      </c>
      <c r="K36" s="5">
        <v>1.7049999999999996</v>
      </c>
      <c r="L36" s="5">
        <v>0.020416666666665154</v>
      </c>
    </row>
    <row r="37" spans="1:12" ht="11.4">
      <c r="A37" s="1">
        <f t="shared" si="0"/>
        <v>27</v>
      </c>
      <c r="B37" s="4">
        <f>+Base40h!B37</f>
        <v>44470</v>
      </c>
      <c r="C37" s="5">
        <v>27.217083333333338</v>
      </c>
      <c r="D37" s="5">
        <v>23.285833333333326</v>
      </c>
      <c r="E37" s="5">
        <v>18.539999999999996</v>
      </c>
      <c r="F37" s="5">
        <v>24.920416666666664</v>
      </c>
      <c r="G37" s="5">
        <v>33.739583333333343</v>
      </c>
      <c r="H37" s="5">
        <v>26.334166666666675</v>
      </c>
      <c r="I37" s="5">
        <v>50.305416666666666</v>
      </c>
      <c r="J37" s="5">
        <v>57.410833333333322</v>
      </c>
      <c r="K37" s="5">
        <v>48.017499999999977</v>
      </c>
      <c r="L37" s="5">
        <v>47.37791666666665</v>
      </c>
    </row>
    <row r="38" spans="1:12" ht="11.4">
      <c r="A38" s="1">
        <f t="shared" si="0"/>
        <v>28</v>
      </c>
      <c r="B38" s="4">
        <f>+Base40h!B38</f>
        <v>44501</v>
      </c>
      <c r="C38" s="5">
        <v>148.22791666666666</v>
      </c>
      <c r="D38" s="5">
        <v>139.53000000000003</v>
      </c>
      <c r="E38" s="5">
        <v>120.18624999999999</v>
      </c>
      <c r="F38" s="5">
        <v>136.95791666666665</v>
      </c>
      <c r="G38" s="5">
        <v>169.98791666666668</v>
      </c>
      <c r="H38" s="5">
        <v>145.60499999999996</v>
      </c>
      <c r="I38" s="5">
        <v>199.66624999999996</v>
      </c>
      <c r="J38" s="5">
        <v>230.91624999999996</v>
      </c>
      <c r="K38" s="5">
        <v>221.16374999999997</v>
      </c>
      <c r="L38" s="5">
        <v>190.95041666666666</v>
      </c>
    </row>
    <row r="39" spans="1:12" ht="11.4">
      <c r="A39" s="1">
        <f t="shared" si="0"/>
        <v>29</v>
      </c>
      <c r="B39" s="4">
        <f>+Base40h!B39</f>
        <v>44531</v>
      </c>
      <c r="C39" s="5">
        <v>368.51166666666666</v>
      </c>
      <c r="D39" s="5">
        <v>311.00874999999996</v>
      </c>
      <c r="E39" s="5">
        <v>292.84874999999994</v>
      </c>
      <c r="F39" s="5">
        <v>328.21916666666675</v>
      </c>
      <c r="G39" s="5">
        <v>364.96333333333331</v>
      </c>
      <c r="H39" s="5">
        <v>352.45625000000001</v>
      </c>
      <c r="I39" s="5">
        <v>435.15333333333331</v>
      </c>
      <c r="J39" s="5">
        <v>509.58374999999995</v>
      </c>
      <c r="K39" s="5">
        <v>466.97416666666675</v>
      </c>
      <c r="L39" s="5">
        <v>447.1154166666667</v>
      </c>
    </row>
    <row r="40" spans="1:12" ht="11.4">
      <c r="A40" s="1">
        <f t="shared" si="0"/>
        <v>30</v>
      </c>
      <c r="B40" s="32" t="s">
        <v>15</v>
      </c>
      <c r="C40" s="33">
        <f>SUM(C28:C39)</f>
        <v>1442.3970833333333</v>
      </c>
      <c r="D40" s="33">
        <f t="shared" si="2" ref="D40:L40">SUM(D28:D39)</f>
        <v>1192.9695833333333</v>
      </c>
      <c r="E40" s="33">
        <f t="shared" si="2"/>
        <v>1095.8141666666663</v>
      </c>
      <c r="F40" s="33">
        <f t="shared" si="2"/>
        <v>1248.11625</v>
      </c>
      <c r="G40" s="33">
        <f t="shared" si="2"/>
        <v>1449.7329166666668</v>
      </c>
      <c r="H40" s="33">
        <f t="shared" si="2"/>
        <v>1358.354583333333</v>
      </c>
      <c r="I40" s="33">
        <f t="shared" si="2"/>
        <v>1726.9658333333332</v>
      </c>
      <c r="J40" s="33">
        <f t="shared" si="2"/>
        <v>2027.1854166666667</v>
      </c>
      <c r="K40" s="33">
        <f t="shared" si="2"/>
        <v>1769.8808333333332</v>
      </c>
      <c r="L40" s="33">
        <f t="shared" si="2"/>
        <v>1850.4641666666664</v>
      </c>
    </row>
  </sheetData>
  <mergeCells count="7">
    <mergeCell ref="B26:L26"/>
    <mergeCell ref="B1:L1"/>
    <mergeCell ref="B2:L2"/>
    <mergeCell ref="B3:L3"/>
    <mergeCell ref="B4:L4"/>
    <mergeCell ref="B6:L6"/>
    <mergeCell ref="B9:L9"/>
  </mergeCells>
  <pageMargins left="0.75" right="0.75" top="1" bottom="1" header="0.5" footer="0.5"/>
  <pageSetup orientation="portrait" scale="73" r:id="rId1"/>
  <headerFooter alignWithMargins="0">
    <oddHeader>&amp;RSchedule II-H-5.1
Page &amp;P of  28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pageSetUpPr fitToPage="1"/>
  </sheetPr>
  <dimension ref="A1:L40"/>
  <sheetViews>
    <sheetView workbookViewId="0" topLeftCell="A1"/>
  </sheetViews>
  <sheetFormatPr defaultColWidth="9.11428571428571" defaultRowHeight="12"/>
  <cols>
    <col min="1" max="1" width="9.14285714285714" style="1"/>
    <col min="2" max="2" width="10.4285714285714" style="2" bestFit="1" customWidth="1"/>
    <col min="3" max="3" width="11.4285714285714" style="2" customWidth="1"/>
    <col min="4" max="4" width="9.57142857142857" style="2" bestFit="1" customWidth="1"/>
    <col min="5" max="5" width="9.71428571428571" style="2" bestFit="1" customWidth="1"/>
    <col min="6" max="6" width="9.57142857142857" style="2" bestFit="1" customWidth="1"/>
    <col min="7" max="7" width="12.2857142857143" style="2" bestFit="1" customWidth="1"/>
    <col min="8" max="8" width="9.85714285714286" style="2" bestFit="1" customWidth="1"/>
    <col min="9" max="9" width="10.5714285714286" style="2" bestFit="1" customWidth="1"/>
    <col min="10" max="10" width="11.2857142857143" style="2" customWidth="1"/>
    <col min="11" max="11" width="10.4285714285714" style="2" customWidth="1"/>
    <col min="12" max="16384" width="9.14285714285714" style="2"/>
  </cols>
  <sheetData>
    <row r="1" spans="2:12" ht="15.6">
      <c r="B1" s="82" t="str">
        <f>+Base40h!B1</f>
        <v xml:space="preserve">PUC DOCKET NO. </v>
      </c>
      <c r="C1" s="82"/>
      <c r="D1" s="82"/>
      <c r="E1" s="82"/>
      <c r="F1" s="82"/>
      <c r="G1" s="82"/>
      <c r="H1" s="82"/>
      <c r="I1" s="82"/>
      <c r="J1" s="82"/>
      <c r="K1" s="82"/>
      <c r="L1" s="82"/>
    </row>
    <row r="2" spans="2:12" ht="15.6">
      <c r="B2" s="82" t="str">
        <f>+Base40h!B2</f>
        <v>ONCOR ELECTRIC DELIVERY COMPANY LLC</v>
      </c>
      <c r="C2" s="82"/>
      <c r="D2" s="82"/>
      <c r="E2" s="82"/>
      <c r="F2" s="82"/>
      <c r="G2" s="82"/>
      <c r="H2" s="82"/>
      <c r="I2" s="82"/>
      <c r="J2" s="82"/>
      <c r="K2" s="82"/>
      <c r="L2" s="82"/>
    </row>
    <row r="3" spans="2:12" ht="15.6">
      <c r="B3" s="82" t="str">
        <f>+Base40h!B3</f>
        <v>WEATHER STATION DATA</v>
      </c>
      <c r="C3" s="82"/>
      <c r="D3" s="82"/>
      <c r="E3" s="82"/>
      <c r="F3" s="82"/>
      <c r="G3" s="82"/>
      <c r="H3" s="82"/>
      <c r="I3" s="82"/>
      <c r="J3" s="82"/>
      <c r="K3" s="82"/>
      <c r="L3" s="82"/>
    </row>
    <row r="4" spans="2:12" ht="15.6">
      <c r="B4" s="82" t="str">
        <f>+Base40h!B4</f>
        <v>FOR THE TEST YEAR ENDING DECEMBER 31, 2021</v>
      </c>
      <c r="C4" s="82"/>
      <c r="D4" s="82"/>
      <c r="E4" s="82"/>
      <c r="F4" s="82"/>
      <c r="G4" s="82"/>
      <c r="H4" s="82"/>
      <c r="I4" s="82"/>
      <c r="J4" s="82"/>
      <c r="K4" s="82"/>
      <c r="L4" s="82"/>
    </row>
    <row r="6" spans="2:12" ht="15.6">
      <c r="B6" s="82" t="str">
        <f>+Base40h!B6</f>
        <v>SPONSOR: D. E. NELSON</v>
      </c>
      <c r="C6" s="82"/>
      <c r="D6" s="82"/>
      <c r="E6" s="82"/>
      <c r="F6" s="82"/>
      <c r="G6" s="82"/>
      <c r="H6" s="82"/>
      <c r="I6" s="82"/>
      <c r="J6" s="82"/>
      <c r="K6" s="82"/>
      <c r="L6" s="82"/>
    </row>
    <row r="9" spans="2:12" ht="12">
      <c r="B9" s="83" t="s">
        <v>116</v>
      </c>
      <c r="C9" s="83"/>
      <c r="D9" s="83"/>
      <c r="E9" s="83"/>
      <c r="F9" s="83"/>
      <c r="G9" s="83"/>
      <c r="H9" s="83"/>
      <c r="I9" s="83"/>
      <c r="J9" s="83"/>
      <c r="K9" s="83"/>
      <c r="L9" s="83"/>
    </row>
    <row r="10" spans="1:12" ht="34.8" thickBot="1">
      <c r="A10" s="3" t="s">
        <v>4</v>
      </c>
      <c r="C10" s="3" t="s">
        <v>55</v>
      </c>
      <c r="D10" s="3" t="s">
        <v>6</v>
      </c>
      <c r="E10" s="3" t="s">
        <v>7</v>
      </c>
      <c r="F10" s="3" t="s">
        <v>8</v>
      </c>
      <c r="G10" s="3" t="s">
        <v>9</v>
      </c>
      <c r="H10" s="3" t="s">
        <v>10</v>
      </c>
      <c r="I10" s="3" t="s">
        <v>11</v>
      </c>
      <c r="J10" s="3" t="s">
        <v>12</v>
      </c>
      <c r="K10" s="3" t="s">
        <v>13</v>
      </c>
      <c r="L10" s="3" t="s">
        <v>14</v>
      </c>
    </row>
    <row r="11" spans="1:12" ht="11.4">
      <c r="A11" s="1">
        <v>1</v>
      </c>
      <c r="B11" s="4">
        <f>+Base40h!B11</f>
        <v>44197</v>
      </c>
      <c r="C11" s="5">
        <v>552.99999999999989</v>
      </c>
      <c r="D11" s="5">
        <v>464.70000000000005</v>
      </c>
      <c r="E11" s="5">
        <v>392.30000000000007</v>
      </c>
      <c r="F11" s="5">
        <v>487.49999999999994</v>
      </c>
      <c r="G11" s="5">
        <v>567.79999999999995</v>
      </c>
      <c r="H11" s="5">
        <v>510.49999999999994</v>
      </c>
      <c r="I11" s="5">
        <v>605.30000000000007</v>
      </c>
      <c r="J11" s="5">
        <v>678.30000000000007</v>
      </c>
      <c r="K11" s="5">
        <v>670.29999999999995</v>
      </c>
      <c r="L11" s="5">
        <v>624.5</v>
      </c>
    </row>
    <row r="12" spans="1:12" ht="11.4">
      <c r="A12" s="1">
        <f>+A11+1</f>
        <v>2</v>
      </c>
      <c r="B12" s="4">
        <f>+Base40h!B12</f>
        <v>44228</v>
      </c>
      <c r="C12" s="5">
        <v>679.39999999999986</v>
      </c>
      <c r="D12" s="5">
        <v>508.69999999999999</v>
      </c>
      <c r="E12" s="5">
        <v>511.60000000000008</v>
      </c>
      <c r="F12" s="5">
        <v>590.79999999999995</v>
      </c>
      <c r="G12" s="5">
        <v>631.79999999999984</v>
      </c>
      <c r="H12" s="5">
        <v>604.99999999999989</v>
      </c>
      <c r="I12" s="5">
        <v>699.80000000000007</v>
      </c>
      <c r="J12" s="5">
        <v>836.60000000000002</v>
      </c>
      <c r="K12" s="5">
        <v>687.30000000000007</v>
      </c>
      <c r="L12" s="5">
        <v>752.19999999999982</v>
      </c>
    </row>
    <row r="13" spans="1:12" ht="11.4">
      <c r="A13" s="1">
        <f t="shared" si="0" ref="A13:A40">+A12+1</f>
        <v>3</v>
      </c>
      <c r="B13" s="4">
        <f>+Base40h!B13</f>
        <v>44256</v>
      </c>
      <c r="C13" s="5">
        <v>156.39999999999995</v>
      </c>
      <c r="D13" s="5">
        <v>161.79999999999998</v>
      </c>
      <c r="E13" s="5">
        <v>115.29999999999991</v>
      </c>
      <c r="F13" s="5">
        <v>154.39999999999992</v>
      </c>
      <c r="G13" s="5">
        <v>210.69999999999996</v>
      </c>
      <c r="H13" s="5">
        <v>165.39999999999986</v>
      </c>
      <c r="I13" s="5">
        <v>205.79999999999993</v>
      </c>
      <c r="J13" s="5">
        <v>254.89999999999992</v>
      </c>
      <c r="K13" s="5">
        <v>249.49999999999997</v>
      </c>
      <c r="L13" s="5">
        <v>205.09999999999994</v>
      </c>
    </row>
    <row r="14" spans="1:12" ht="11.4">
      <c r="A14" s="1">
        <f t="shared" si="0"/>
        <v>4</v>
      </c>
      <c r="B14" s="4">
        <f>+Base40h!B14</f>
        <v>44287</v>
      </c>
      <c r="C14" s="5">
        <v>86.299999999999983</v>
      </c>
      <c r="D14" s="5">
        <v>87.799999999999983</v>
      </c>
      <c r="E14" s="5">
        <v>86.799999999999983</v>
      </c>
      <c r="F14" s="5">
        <v>92.799999999999983</v>
      </c>
      <c r="G14" s="5">
        <v>125.5</v>
      </c>
      <c r="H14" s="5">
        <v>94.19999999999996</v>
      </c>
      <c r="I14" s="5">
        <v>159.89999999999998</v>
      </c>
      <c r="J14" s="5">
        <v>177.99999999999997</v>
      </c>
      <c r="K14" s="5">
        <v>186.29999999999998</v>
      </c>
      <c r="L14" s="5">
        <v>149.49999999999994</v>
      </c>
    </row>
    <row r="15" spans="1:12" ht="11.4">
      <c r="A15" s="1">
        <f t="shared" si="0"/>
        <v>5</v>
      </c>
      <c r="B15" s="4">
        <f>+Base40h!B15</f>
        <v>44317</v>
      </c>
      <c r="C15" s="5">
        <v>18.200000000000003</v>
      </c>
      <c r="D15" s="5">
        <v>2</v>
      </c>
      <c r="E15" s="5">
        <v>1.8000000000000043</v>
      </c>
      <c r="F15" s="5">
        <v>10.299999999999997</v>
      </c>
      <c r="G15" s="5">
        <v>11.199999999999989</v>
      </c>
      <c r="H15" s="5">
        <v>8.3999999999999915</v>
      </c>
      <c r="I15" s="5">
        <v>30.099999999999994</v>
      </c>
      <c r="J15" s="5">
        <v>35.799999999999983</v>
      </c>
      <c r="K15" s="5">
        <v>25.300000000000011</v>
      </c>
      <c r="L15" s="5">
        <v>33.79999999999999</v>
      </c>
    </row>
    <row r="16" spans="1:12" ht="11.4">
      <c r="A16" s="1">
        <f t="shared" si="0"/>
        <v>6</v>
      </c>
      <c r="B16" s="4">
        <f>+Base40h!B16</f>
        <v>44348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</row>
    <row r="17" spans="1:12" ht="11.4">
      <c r="A17" s="1">
        <f t="shared" si="0"/>
        <v>7</v>
      </c>
      <c r="B17" s="4">
        <f>+Base40h!B17</f>
        <v>44378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</row>
    <row r="18" spans="1:12" ht="11.4">
      <c r="A18" s="1">
        <f t="shared" si="0"/>
        <v>8</v>
      </c>
      <c r="B18" s="4">
        <f>+Base40h!B18</f>
        <v>44409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</row>
    <row r="19" spans="1:12" ht="11.4">
      <c r="A19" s="1">
        <f t="shared" si="0"/>
        <v>9</v>
      </c>
      <c r="B19" s="4">
        <f>+Base40h!B19</f>
        <v>44440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</row>
    <row r="20" spans="1:12" ht="11.4">
      <c r="A20" s="1">
        <f t="shared" si="0"/>
        <v>10</v>
      </c>
      <c r="B20" s="4">
        <f>+Base40h!B20</f>
        <v>44470</v>
      </c>
      <c r="C20" s="5">
        <v>16.699999999999989</v>
      </c>
      <c r="D20" s="5">
        <v>30.999999999999986</v>
      </c>
      <c r="E20" s="5">
        <v>25.599999999999987</v>
      </c>
      <c r="F20" s="5">
        <v>24.199999999999989</v>
      </c>
      <c r="G20" s="5">
        <v>37.299999999999997</v>
      </c>
      <c r="H20" s="5">
        <v>29.399999999999999</v>
      </c>
      <c r="I20" s="5">
        <v>35.699999999999996</v>
      </c>
      <c r="J20" s="5">
        <v>52.899999999999977</v>
      </c>
      <c r="K20" s="5">
        <v>52.899999999999984</v>
      </c>
      <c r="L20" s="5">
        <v>44.099999999999987</v>
      </c>
    </row>
    <row r="21" spans="1:12" ht="11.4">
      <c r="A21" s="1">
        <f t="shared" si="0"/>
        <v>11</v>
      </c>
      <c r="B21" s="4">
        <f>+Base40h!B21</f>
        <v>44501</v>
      </c>
      <c r="C21" s="5">
        <v>238.49999999999992</v>
      </c>
      <c r="D21" s="5">
        <v>248.79999999999993</v>
      </c>
      <c r="E21" s="5">
        <v>216.89999999999998</v>
      </c>
      <c r="F21" s="5">
        <v>227.59999999999997</v>
      </c>
      <c r="G21" s="5">
        <v>295.49999999999994</v>
      </c>
      <c r="H21" s="5">
        <v>231.39999999999992</v>
      </c>
      <c r="I21" s="5">
        <v>245.89999999999995</v>
      </c>
      <c r="J21" s="5">
        <v>317.39999999999992</v>
      </c>
      <c r="K21" s="5">
        <v>295.09999999999997</v>
      </c>
      <c r="L21" s="5">
        <v>305.19999999999993</v>
      </c>
    </row>
    <row r="22" spans="1:12" ht="11.4">
      <c r="A22" s="1">
        <f t="shared" si="0"/>
        <v>12</v>
      </c>
      <c r="B22" s="4">
        <f>+Base40h!B22</f>
        <v>44531</v>
      </c>
      <c r="C22" s="5">
        <v>191.09999999999997</v>
      </c>
      <c r="D22" s="5">
        <v>153.29999999999998</v>
      </c>
      <c r="E22" s="5">
        <v>144.59999999999999</v>
      </c>
      <c r="F22" s="5">
        <v>153.69999999999999</v>
      </c>
      <c r="G22" s="5">
        <v>195.49999999999994</v>
      </c>
      <c r="H22" s="5">
        <v>167.19999999999999</v>
      </c>
      <c r="I22" s="5">
        <v>208.60000000000002</v>
      </c>
      <c r="J22" s="5">
        <v>332.5</v>
      </c>
      <c r="K22" s="5">
        <v>292.99999999999989</v>
      </c>
      <c r="L22" s="5">
        <v>248.69999999999999</v>
      </c>
    </row>
    <row r="23" spans="1:12" ht="11.4">
      <c r="A23" s="1">
        <f t="shared" si="0"/>
        <v>13</v>
      </c>
      <c r="B23" s="32" t="s">
        <v>15</v>
      </c>
      <c r="C23" s="33">
        <f>SUM(C11:C22)</f>
        <v>1939.5999999999995</v>
      </c>
      <c r="D23" s="33">
        <f t="shared" si="1" ref="D23:L23">SUM(D11:D22)</f>
        <v>1658.0999999999999</v>
      </c>
      <c r="E23" s="33">
        <f t="shared" si="1"/>
        <v>1494.8999999999996</v>
      </c>
      <c r="F23" s="33">
        <f t="shared" si="1"/>
        <v>1741.2999999999997</v>
      </c>
      <c r="G23" s="33">
        <f t="shared" si="1"/>
        <v>2075.2999999999997</v>
      </c>
      <c r="H23" s="33">
        <f t="shared" si="1"/>
        <v>1811.4999999999998</v>
      </c>
      <c r="I23" s="33">
        <f t="shared" si="1"/>
        <v>2191.0999999999999</v>
      </c>
      <c r="J23" s="33">
        <f t="shared" si="1"/>
        <v>2686.4000000000001</v>
      </c>
      <c r="K23" s="33">
        <f t="shared" si="1"/>
        <v>2459.6999999999998</v>
      </c>
      <c r="L23" s="33">
        <f t="shared" si="1"/>
        <v>2363.0999999999995</v>
      </c>
    </row>
    <row r="24" spans="1:1" ht="11.4">
      <c r="A24" s="1">
        <f t="shared" si="0"/>
        <v>14</v>
      </c>
    </row>
    <row r="25" spans="1:1" ht="11.4">
      <c r="A25" s="1">
        <f t="shared" si="0"/>
        <v>15</v>
      </c>
    </row>
    <row r="26" spans="1:12" ht="12">
      <c r="A26" s="1">
        <f t="shared" si="0"/>
        <v>16</v>
      </c>
      <c r="B26" s="83" t="s">
        <v>117</v>
      </c>
      <c r="C26" s="83"/>
      <c r="D26" s="83"/>
      <c r="E26" s="83"/>
      <c r="F26" s="83"/>
      <c r="G26" s="83"/>
      <c r="H26" s="83"/>
      <c r="I26" s="83"/>
      <c r="J26" s="83"/>
      <c r="K26" s="83"/>
      <c r="L26" s="83"/>
    </row>
    <row r="27" spans="1:12" ht="34.8" thickBot="1">
      <c r="A27" s="1">
        <f t="shared" si="0"/>
        <v>17</v>
      </c>
      <c r="C27" s="3" t="s">
        <v>55</v>
      </c>
      <c r="D27" s="3" t="s">
        <v>6</v>
      </c>
      <c r="E27" s="74" t="s">
        <v>7</v>
      </c>
      <c r="F27" s="74" t="s">
        <v>8</v>
      </c>
      <c r="G27" s="74" t="s">
        <v>9</v>
      </c>
      <c r="H27" s="74" t="s">
        <v>10</v>
      </c>
      <c r="I27" s="74" t="s">
        <v>11</v>
      </c>
      <c r="J27" s="74" t="s">
        <v>12</v>
      </c>
      <c r="K27" s="74" t="s">
        <v>13</v>
      </c>
      <c r="L27" s="74" t="s">
        <v>14</v>
      </c>
    </row>
    <row r="28" spans="1:12" ht="11.4">
      <c r="A28" s="1">
        <f t="shared" si="0"/>
        <v>18</v>
      </c>
      <c r="B28" s="4">
        <f>+Base40h!B28</f>
        <v>44197</v>
      </c>
      <c r="C28" s="5">
        <v>566.79166666666663</v>
      </c>
      <c r="D28" s="5">
        <v>495.52875</v>
      </c>
      <c r="E28" s="5">
        <v>470.44166666666666</v>
      </c>
      <c r="F28" s="5">
        <v>506.27875</v>
      </c>
      <c r="G28" s="5">
        <v>558.14375000000018</v>
      </c>
      <c r="H28" s="5">
        <v>545.70666666666682</v>
      </c>
      <c r="I28" s="5">
        <v>618.85708333333332</v>
      </c>
      <c r="J28" s="5">
        <v>695.58624999999984</v>
      </c>
      <c r="K28" s="5">
        <v>642.16458333333333</v>
      </c>
      <c r="L28" s="5">
        <v>666.91375000000005</v>
      </c>
    </row>
    <row r="29" spans="1:12" ht="11.4">
      <c r="A29" s="1">
        <f t="shared" si="0"/>
        <v>19</v>
      </c>
      <c r="B29" s="4">
        <f>+Base40h!B29</f>
        <v>44228</v>
      </c>
      <c r="C29" s="5">
        <v>430.95166666666665</v>
      </c>
      <c r="D29" s="5">
        <v>353.00333333333327</v>
      </c>
      <c r="E29" s="5">
        <v>334.22125000000005</v>
      </c>
      <c r="F29" s="5">
        <v>373.92416666666651</v>
      </c>
      <c r="G29" s="5">
        <v>420.02916666666664</v>
      </c>
      <c r="H29" s="5">
        <v>401.76249999999999</v>
      </c>
      <c r="I29" s="5">
        <v>476.39958333333323</v>
      </c>
      <c r="J29" s="5">
        <v>550.77666666666687</v>
      </c>
      <c r="K29" s="5">
        <v>468.56291666666664</v>
      </c>
      <c r="L29" s="5">
        <v>519.8850000000001</v>
      </c>
    </row>
    <row r="30" spans="1:12" ht="11.4">
      <c r="A30" s="1">
        <f t="shared" si="0"/>
        <v>20</v>
      </c>
      <c r="B30" s="4">
        <f>+Base40h!B30</f>
        <v>44256</v>
      </c>
      <c r="C30" s="5">
        <v>227.32166666666663</v>
      </c>
      <c r="D30" s="5">
        <v>186.77208333333323</v>
      </c>
      <c r="E30" s="5">
        <v>170.67333333333326</v>
      </c>
      <c r="F30" s="5">
        <v>195.14541666666665</v>
      </c>
      <c r="G30" s="5">
        <v>232.28375</v>
      </c>
      <c r="H30" s="5">
        <v>213.16458333333327</v>
      </c>
      <c r="I30" s="5">
        <v>267.49083333333334</v>
      </c>
      <c r="J30" s="5">
        <v>314.52125000000001</v>
      </c>
      <c r="K30" s="5">
        <v>261.92874999999992</v>
      </c>
      <c r="L30" s="5">
        <v>306.66624999999993</v>
      </c>
    </row>
    <row r="31" spans="1:12" ht="11.4">
      <c r="A31" s="1">
        <f t="shared" si="0"/>
        <v>21</v>
      </c>
      <c r="B31" s="4">
        <f>+Base40h!B31</f>
        <v>44287</v>
      </c>
      <c r="C31" s="5">
        <v>66.958749999999981</v>
      </c>
      <c r="D31" s="5">
        <v>52.867916666666666</v>
      </c>
      <c r="E31" s="5">
        <v>42.144166666666663</v>
      </c>
      <c r="F31" s="5">
        <v>55.312916666666666</v>
      </c>
      <c r="G31" s="5">
        <v>73.143749999999983</v>
      </c>
      <c r="H31" s="5">
        <v>63.384999999999984</v>
      </c>
      <c r="I31" s="5">
        <v>97.125833333333318</v>
      </c>
      <c r="J31" s="5">
        <v>117.46500000000002</v>
      </c>
      <c r="K31" s="5">
        <v>81.672916666666637</v>
      </c>
      <c r="L31" s="5">
        <v>116.63874999999996</v>
      </c>
    </row>
    <row r="32" spans="1:12" ht="11.4">
      <c r="A32" s="1">
        <f t="shared" si="0"/>
        <v>22</v>
      </c>
      <c r="B32" s="4">
        <f>+Base40h!B32</f>
        <v>44317</v>
      </c>
      <c r="C32" s="5">
        <v>10.463333333333328</v>
      </c>
      <c r="D32" s="5">
        <v>5.239999999999994</v>
      </c>
      <c r="E32" s="5">
        <v>4.4887499999999942</v>
      </c>
      <c r="F32" s="5">
        <v>7.5554166666666704</v>
      </c>
      <c r="G32" s="5">
        <v>10.41</v>
      </c>
      <c r="H32" s="5">
        <v>8.4120833333333351</v>
      </c>
      <c r="I32" s="5">
        <v>21.141666666666666</v>
      </c>
      <c r="J32" s="5">
        <v>24.033333333333331</v>
      </c>
      <c r="K32" s="5">
        <v>18.655416666666653</v>
      </c>
      <c r="L32" s="5">
        <v>24.057916666666674</v>
      </c>
    </row>
    <row r="33" spans="1:12" ht="11.4">
      <c r="A33" s="1">
        <f t="shared" si="0"/>
        <v>23</v>
      </c>
      <c r="B33" s="4">
        <f>+Base40h!B33</f>
        <v>44348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</row>
    <row r="34" spans="1:12" ht="11.4">
      <c r="A34" s="1">
        <f t="shared" si="0"/>
        <v>24</v>
      </c>
      <c r="B34" s="4">
        <f>+Base40h!B34</f>
        <v>44378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0.087499999999999994</v>
      </c>
      <c r="L34" s="5">
        <v>0</v>
      </c>
    </row>
    <row r="35" spans="1:12" ht="11.4">
      <c r="A35" s="1">
        <f t="shared" si="0"/>
        <v>25</v>
      </c>
      <c r="B35" s="4">
        <f>+Base40h!B35</f>
        <v>44409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</row>
    <row r="36" spans="1:12" ht="11.4">
      <c r="A36" s="1">
        <f t="shared" si="0"/>
        <v>26</v>
      </c>
      <c r="B36" s="4">
        <f>+Base40h!B36</f>
        <v>44440</v>
      </c>
      <c r="C36" s="5">
        <v>0.57000000000000028</v>
      </c>
      <c r="D36" s="5">
        <v>0.71499999999999486</v>
      </c>
      <c r="E36" s="5">
        <v>0.87291666666666512</v>
      </c>
      <c r="F36" s="5">
        <v>0.97249999999999992</v>
      </c>
      <c r="G36" s="5">
        <v>1.2675000000000047</v>
      </c>
      <c r="H36" s="5">
        <v>0.76333333333333009</v>
      </c>
      <c r="I36" s="5">
        <v>5.3295833333333293</v>
      </c>
      <c r="J36" s="5">
        <v>4.3554166666666747</v>
      </c>
      <c r="K36" s="5">
        <v>6.3449999999999989</v>
      </c>
      <c r="L36" s="5">
        <v>2.522916666666664</v>
      </c>
    </row>
    <row r="37" spans="1:12" ht="11.4">
      <c r="A37" s="1">
        <f t="shared" si="0"/>
        <v>27</v>
      </c>
      <c r="B37" s="4">
        <f>+Base40h!B37</f>
        <v>44470</v>
      </c>
      <c r="C37" s="5">
        <v>66.469999999999999</v>
      </c>
      <c r="D37" s="5">
        <v>61.117083333333319</v>
      </c>
      <c r="E37" s="5">
        <v>50.815416666666657</v>
      </c>
      <c r="F37" s="5">
        <v>60.362916666666656</v>
      </c>
      <c r="G37" s="5">
        <v>82.42625000000001</v>
      </c>
      <c r="H37" s="5">
        <v>64.225000000000023</v>
      </c>
      <c r="I37" s="5">
        <v>103.22208333333332</v>
      </c>
      <c r="J37" s="5">
        <v>119.99916666666665</v>
      </c>
      <c r="K37" s="5">
        <v>99.531249999999957</v>
      </c>
      <c r="L37" s="5">
        <v>104.39624999999998</v>
      </c>
    </row>
    <row r="38" spans="1:12" ht="11.4">
      <c r="A38" s="1">
        <f t="shared" si="0"/>
        <v>28</v>
      </c>
      <c r="B38" s="4">
        <f>+Base40h!B38</f>
        <v>44501</v>
      </c>
      <c r="C38" s="5">
        <v>248.14583333333331</v>
      </c>
      <c r="D38" s="5">
        <v>235.93083333333334</v>
      </c>
      <c r="E38" s="5">
        <v>209.74666666666667</v>
      </c>
      <c r="F38" s="5">
        <v>231.74708333333336</v>
      </c>
      <c r="G38" s="5">
        <v>277.64708333333334</v>
      </c>
      <c r="H38" s="5">
        <v>243.37749999999991</v>
      </c>
      <c r="I38" s="5">
        <v>312.58875</v>
      </c>
      <c r="J38" s="5">
        <v>353.61875000000003</v>
      </c>
      <c r="K38" s="5">
        <v>345.30166666666668</v>
      </c>
      <c r="L38" s="5">
        <v>304.16874999999999</v>
      </c>
    </row>
    <row r="39" spans="1:12" ht="11.4">
      <c r="A39" s="1">
        <f t="shared" si="0"/>
        <v>29</v>
      </c>
      <c r="B39" s="4">
        <f>+Base40h!B39</f>
        <v>44531</v>
      </c>
      <c r="C39" s="5">
        <v>510.84333333333319</v>
      </c>
      <c r="D39" s="5">
        <v>442.81999999999994</v>
      </c>
      <c r="E39" s="5">
        <v>423.94583333333333</v>
      </c>
      <c r="F39" s="5">
        <v>465.82875000000001</v>
      </c>
      <c r="G39" s="5">
        <v>503.35666666666663</v>
      </c>
      <c r="H39" s="5">
        <v>493.19166666666666</v>
      </c>
      <c r="I39" s="5">
        <v>582.505</v>
      </c>
      <c r="J39" s="5">
        <v>660.83583333333354</v>
      </c>
      <c r="K39" s="5">
        <v>619.83875</v>
      </c>
      <c r="L39" s="5">
        <v>595.3012500000001</v>
      </c>
    </row>
    <row r="40" spans="1:12" ht="11.4">
      <c r="A40" s="1">
        <f t="shared" si="0"/>
        <v>30</v>
      </c>
      <c r="B40" s="32" t="s">
        <v>15</v>
      </c>
      <c r="C40" s="33">
        <f>SUM(C28:C39)</f>
        <v>2128.5162499999997</v>
      </c>
      <c r="D40" s="33">
        <f t="shared" si="2" ref="D40:L40">SUM(D28:D39)</f>
        <v>1833.9949999999997</v>
      </c>
      <c r="E40" s="33">
        <f t="shared" si="2"/>
        <v>1707.3499999999999</v>
      </c>
      <c r="F40" s="33">
        <f t="shared" si="2"/>
        <v>1897.1279166666668</v>
      </c>
      <c r="G40" s="33">
        <f t="shared" si="2"/>
        <v>2158.7079166666667</v>
      </c>
      <c r="H40" s="33">
        <f t="shared" si="2"/>
        <v>2033.988333333333</v>
      </c>
      <c r="I40" s="33">
        <f t="shared" si="2"/>
        <v>2484.6604166666666</v>
      </c>
      <c r="J40" s="33">
        <f t="shared" si="2"/>
        <v>2841.1916666666671</v>
      </c>
      <c r="K40" s="33">
        <f t="shared" si="2"/>
        <v>2544.0887500000003</v>
      </c>
      <c r="L40" s="33">
        <f t="shared" si="2"/>
        <v>2640.5508333333337</v>
      </c>
    </row>
  </sheetData>
  <mergeCells count="7">
    <mergeCell ref="B26:L26"/>
    <mergeCell ref="B1:L1"/>
    <mergeCell ref="B2:L2"/>
    <mergeCell ref="B3:L3"/>
    <mergeCell ref="B4:L4"/>
    <mergeCell ref="B6:L6"/>
    <mergeCell ref="B9:L9"/>
  </mergeCells>
  <pageMargins left="0.75" right="0.75" top="1" bottom="1" header="0.5" footer="0.5"/>
  <pageSetup orientation="portrait" scale="73" r:id="rId1"/>
  <headerFooter alignWithMargins="0">
    <oddHeader>&amp;RSchedule II-H-5.1
Page &amp;P of  28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pageSetUpPr fitToPage="1"/>
  </sheetPr>
  <dimension ref="A1:M46"/>
  <sheetViews>
    <sheetView workbookViewId="0" topLeftCell="A1"/>
  </sheetViews>
  <sheetFormatPr defaultColWidth="9.11428571428571" defaultRowHeight="12"/>
  <cols>
    <col min="1" max="1" width="9.14285714285714" style="1"/>
    <col min="2" max="2" width="10.4285714285714" style="2" bestFit="1" customWidth="1"/>
    <col min="3" max="3" width="11.4285714285714" style="2" customWidth="1"/>
    <col min="4" max="4" width="9.57142857142857" style="2" bestFit="1" customWidth="1"/>
    <col min="5" max="5" width="9.71428571428571" style="2" bestFit="1" customWidth="1"/>
    <col min="6" max="6" width="9.57142857142857" style="2" bestFit="1" customWidth="1"/>
    <col min="7" max="7" width="12.2857142857143" style="2" bestFit="1" customWidth="1"/>
    <col min="8" max="8" width="9.85714285714286" style="2" bestFit="1" customWidth="1"/>
    <col min="9" max="9" width="10.5714285714286" style="2" bestFit="1" customWidth="1"/>
    <col min="10" max="10" width="11.2857142857143" style="2" customWidth="1"/>
    <col min="11" max="11" width="10.4285714285714" style="2" customWidth="1"/>
    <col min="12" max="16384" width="9.14285714285714" style="2"/>
  </cols>
  <sheetData>
    <row r="1" spans="2:12" ht="15.6">
      <c r="B1" s="82" t="str">
        <f>+Base40h!B1</f>
        <v xml:space="preserve">PUC DOCKET NO. </v>
      </c>
      <c r="C1" s="82"/>
      <c r="D1" s="82"/>
      <c r="E1" s="82"/>
      <c r="F1" s="82"/>
      <c r="G1" s="82"/>
      <c r="H1" s="82"/>
      <c r="I1" s="82"/>
      <c r="J1" s="82"/>
      <c r="K1" s="82"/>
      <c r="L1" s="82"/>
    </row>
    <row r="2" spans="2:12" ht="15.6">
      <c r="B2" s="82" t="str">
        <f>+Base40h!B2</f>
        <v>ONCOR ELECTRIC DELIVERY COMPANY LLC</v>
      </c>
      <c r="C2" s="82"/>
      <c r="D2" s="82"/>
      <c r="E2" s="82"/>
      <c r="F2" s="82"/>
      <c r="G2" s="82"/>
      <c r="H2" s="82"/>
      <c r="I2" s="82"/>
      <c r="J2" s="82"/>
      <c r="K2" s="82"/>
      <c r="L2" s="82"/>
    </row>
    <row r="3" spans="2:12" ht="15.6">
      <c r="B3" s="82" t="str">
        <f>+Base40h!B3</f>
        <v>WEATHER STATION DATA</v>
      </c>
      <c r="C3" s="82"/>
      <c r="D3" s="82"/>
      <c r="E3" s="82"/>
      <c r="F3" s="82"/>
      <c r="G3" s="82"/>
      <c r="H3" s="82"/>
      <c r="I3" s="82"/>
      <c r="J3" s="82"/>
      <c r="K3" s="82"/>
      <c r="L3" s="82"/>
    </row>
    <row r="4" spans="2:12" ht="15.6">
      <c r="B4" s="82" t="str">
        <f>+Base40h!B4</f>
        <v>FOR THE TEST YEAR ENDING DECEMBER 31, 2021</v>
      </c>
      <c r="C4" s="82"/>
      <c r="D4" s="82"/>
      <c r="E4" s="82"/>
      <c r="F4" s="82"/>
      <c r="G4" s="82"/>
      <c r="H4" s="82"/>
      <c r="I4" s="82"/>
      <c r="J4" s="82"/>
      <c r="K4" s="82"/>
      <c r="L4" s="82"/>
    </row>
    <row r="6" spans="2:12" ht="15.6">
      <c r="B6" s="82" t="str">
        <f>+Base40h!B6</f>
        <v>SPONSOR: D. E. NELSON</v>
      </c>
      <c r="C6" s="82"/>
      <c r="D6" s="82"/>
      <c r="E6" s="82"/>
      <c r="F6" s="82"/>
      <c r="G6" s="82"/>
      <c r="H6" s="82"/>
      <c r="I6" s="82"/>
      <c r="J6" s="82"/>
      <c r="K6" s="82"/>
      <c r="L6" s="82"/>
    </row>
    <row r="9" spans="2:12" ht="12">
      <c r="B9" s="83" t="s">
        <v>86</v>
      </c>
      <c r="C9" s="83"/>
      <c r="D9" s="83"/>
      <c r="E9" s="83"/>
      <c r="F9" s="83"/>
      <c r="G9" s="83"/>
      <c r="H9" s="83"/>
      <c r="I9" s="83"/>
      <c r="J9" s="83"/>
      <c r="K9" s="83"/>
      <c r="L9" s="83"/>
    </row>
    <row r="10" spans="1:12" ht="34.8" thickBot="1">
      <c r="A10" s="3" t="s">
        <v>4</v>
      </c>
      <c r="C10" s="3" t="s">
        <v>55</v>
      </c>
      <c r="D10" s="3" t="s">
        <v>6</v>
      </c>
      <c r="E10" s="3" t="s">
        <v>7</v>
      </c>
      <c r="F10" s="3" t="s">
        <v>8</v>
      </c>
      <c r="G10" s="3" t="s">
        <v>9</v>
      </c>
      <c r="H10" s="3" t="s">
        <v>10</v>
      </c>
      <c r="I10" s="3" t="s">
        <v>11</v>
      </c>
      <c r="J10" s="3" t="s">
        <v>12</v>
      </c>
      <c r="K10" s="3" t="s">
        <v>13</v>
      </c>
      <c r="L10" s="3" t="s">
        <v>14</v>
      </c>
    </row>
    <row r="11" spans="1:12" ht="11.4">
      <c r="A11" s="1">
        <v>1</v>
      </c>
      <c r="B11" s="4">
        <f>+Base40h!B11</f>
        <v>44197</v>
      </c>
      <c r="C11" s="5">
        <v>36.20000000000001</v>
      </c>
      <c r="D11" s="5">
        <v>108.70000000000003</v>
      </c>
      <c r="E11" s="5">
        <v>149.30000000000001</v>
      </c>
      <c r="F11" s="5">
        <v>83.900000000000006</v>
      </c>
      <c r="G11" s="5">
        <v>40.400000000000013</v>
      </c>
      <c r="H11" s="5">
        <v>68.700000000000017</v>
      </c>
      <c r="I11" s="5">
        <v>28.800000000000018</v>
      </c>
      <c r="J11" s="5">
        <v>12.500000000000007</v>
      </c>
      <c r="K11" s="5">
        <v>20.000000000000007</v>
      </c>
      <c r="L11" s="5">
        <v>17.70000000000001</v>
      </c>
    </row>
    <row r="12" spans="1:12" ht="11.4">
      <c r="A12" s="1">
        <f>+A11+1</f>
        <v>2</v>
      </c>
      <c r="B12" s="4">
        <f>+Base40h!B12</f>
        <v>44228</v>
      </c>
      <c r="C12" s="5">
        <v>71.000000000000014</v>
      </c>
      <c r="D12" s="5">
        <v>133.80000000000004</v>
      </c>
      <c r="E12" s="5">
        <v>149.20000000000002</v>
      </c>
      <c r="F12" s="5">
        <v>109.20000000000002</v>
      </c>
      <c r="G12" s="5">
        <v>73.800000000000011</v>
      </c>
      <c r="H12" s="5">
        <v>97.5</v>
      </c>
      <c r="I12" s="5">
        <v>75</v>
      </c>
      <c r="J12" s="5">
        <v>26.800000000000011</v>
      </c>
      <c r="K12" s="5">
        <v>67.900000000000034</v>
      </c>
      <c r="L12" s="5">
        <v>45.400000000000006</v>
      </c>
    </row>
    <row r="13" spans="1:12" ht="11.4">
      <c r="A13" s="1">
        <f t="shared" si="0" ref="A13:A40">+A12+1</f>
        <v>3</v>
      </c>
      <c r="B13" s="4">
        <f>+Base40h!B13</f>
        <v>44256</v>
      </c>
      <c r="C13" s="5">
        <v>346.80000000000001</v>
      </c>
      <c r="D13" s="5">
        <v>357.60000000000002</v>
      </c>
      <c r="E13" s="5">
        <v>406.10000000000008</v>
      </c>
      <c r="F13" s="5">
        <v>346.40000000000009</v>
      </c>
      <c r="G13" s="5">
        <v>291.50000000000006</v>
      </c>
      <c r="H13" s="5">
        <v>337.40000000000015</v>
      </c>
      <c r="I13" s="5">
        <v>285.00000000000006</v>
      </c>
      <c r="J13" s="5">
        <v>235.30000000000007</v>
      </c>
      <c r="K13" s="5">
        <v>249.00000000000006</v>
      </c>
      <c r="L13" s="5">
        <v>282.70000000000005</v>
      </c>
    </row>
    <row r="14" spans="1:12" ht="11.4">
      <c r="A14" s="1">
        <f t="shared" si="0"/>
        <v>4</v>
      </c>
      <c r="B14" s="4">
        <f>+Base40h!B14</f>
        <v>44287</v>
      </c>
      <c r="C14" s="5">
        <v>441.89999999999986</v>
      </c>
      <c r="D14" s="5">
        <v>456.80000000000001</v>
      </c>
      <c r="E14" s="5">
        <v>462.39999999999986</v>
      </c>
      <c r="F14" s="5">
        <v>450.70000000000005</v>
      </c>
      <c r="G14" s="5">
        <v>381.90000000000009</v>
      </c>
      <c r="H14" s="5">
        <v>449.00000000000006</v>
      </c>
      <c r="I14" s="5">
        <v>369.30000000000007</v>
      </c>
      <c r="J14" s="5">
        <v>313.69999999999999</v>
      </c>
      <c r="K14" s="5">
        <v>346.70000000000005</v>
      </c>
      <c r="L14" s="5">
        <v>338.19999999999999</v>
      </c>
    </row>
    <row r="15" spans="1:12" ht="11.4">
      <c r="A15" s="1">
        <f t="shared" si="0"/>
        <v>5</v>
      </c>
      <c r="B15" s="4">
        <f>+Base40h!B15</f>
        <v>44317</v>
      </c>
      <c r="C15" s="5">
        <v>656.10000000000014</v>
      </c>
      <c r="D15" s="5">
        <v>699.60000000000002</v>
      </c>
      <c r="E15" s="5">
        <v>678.89999999999998</v>
      </c>
      <c r="F15" s="5">
        <v>652.60000000000014</v>
      </c>
      <c r="G15" s="5">
        <v>624.90000000000009</v>
      </c>
      <c r="H15" s="5">
        <v>676.10000000000014</v>
      </c>
      <c r="I15" s="5">
        <v>614.79999999999995</v>
      </c>
      <c r="J15" s="5">
        <v>568.40000000000009</v>
      </c>
      <c r="K15" s="5">
        <v>646.5</v>
      </c>
      <c r="L15" s="5">
        <v>560.4000000000002</v>
      </c>
    </row>
    <row r="16" spans="1:12" ht="11.4">
      <c r="A16" s="1">
        <f t="shared" si="0"/>
        <v>6</v>
      </c>
      <c r="B16" s="4">
        <f>+Base40h!B16</f>
        <v>44348</v>
      </c>
      <c r="C16" s="5">
        <v>957</v>
      </c>
      <c r="D16" s="5">
        <v>930.20000000000005</v>
      </c>
      <c r="E16" s="5">
        <v>888.40000000000009</v>
      </c>
      <c r="F16" s="5">
        <v>897.09999999999991</v>
      </c>
      <c r="G16" s="5">
        <v>876.89999999999986</v>
      </c>
      <c r="H16" s="5">
        <v>934.4000000000002</v>
      </c>
      <c r="I16" s="5">
        <v>894.20000000000016</v>
      </c>
      <c r="J16" s="5">
        <v>870.80000000000018</v>
      </c>
      <c r="K16" s="5">
        <v>890.40000000000009</v>
      </c>
      <c r="L16" s="5">
        <v>878.80000000000007</v>
      </c>
    </row>
    <row r="17" spans="1:12" ht="11.4">
      <c r="A17" s="1">
        <f t="shared" si="0"/>
        <v>7</v>
      </c>
      <c r="B17" s="4">
        <f>+Base40h!B17</f>
        <v>44378</v>
      </c>
      <c r="C17" s="5">
        <v>1067.5999999999999</v>
      </c>
      <c r="D17" s="5">
        <v>972.19999999999993</v>
      </c>
      <c r="E17" s="5">
        <v>925</v>
      </c>
      <c r="F17" s="5">
        <v>952.79999999999995</v>
      </c>
      <c r="G17" s="5">
        <v>939.79999999999995</v>
      </c>
      <c r="H17" s="5">
        <v>1004.8</v>
      </c>
      <c r="I17" s="5">
        <v>983.39999999999998</v>
      </c>
      <c r="J17" s="5">
        <v>980.70000000000005</v>
      </c>
      <c r="K17" s="5">
        <v>897.20000000000027</v>
      </c>
      <c r="L17" s="5">
        <v>988.19999999999993</v>
      </c>
    </row>
    <row r="18" spans="1:12" ht="11.4">
      <c r="A18" s="1">
        <f t="shared" si="0"/>
        <v>8</v>
      </c>
      <c r="B18" s="4">
        <f>+Base40h!B18</f>
        <v>44409</v>
      </c>
      <c r="C18" s="5">
        <v>1074.3999999999999</v>
      </c>
      <c r="D18" s="5">
        <v>1024.9000000000001</v>
      </c>
      <c r="E18" s="5">
        <v>974.10000000000002</v>
      </c>
      <c r="F18" s="5">
        <v>1025.9000000000001</v>
      </c>
      <c r="G18" s="5">
        <v>964.3000000000003</v>
      </c>
      <c r="H18" s="5">
        <v>1054.9999999999998</v>
      </c>
      <c r="I18" s="5">
        <v>1019.5999999999999</v>
      </c>
      <c r="J18" s="5">
        <v>998.39999999999975</v>
      </c>
      <c r="K18" s="5">
        <v>900.20000000000005</v>
      </c>
      <c r="L18" s="5">
        <v>993.3000000000003</v>
      </c>
    </row>
    <row r="19" spans="1:12" ht="11.4">
      <c r="A19" s="1">
        <f t="shared" si="0"/>
        <v>9</v>
      </c>
      <c r="B19" s="4">
        <f>+Base40h!B19</f>
        <v>44440</v>
      </c>
      <c r="C19" s="5">
        <v>914.39999999999998</v>
      </c>
      <c r="D19" s="5">
        <v>840.70000000000005</v>
      </c>
      <c r="E19" s="5">
        <v>841.5999999999998</v>
      </c>
      <c r="F19" s="5">
        <v>880.8000000000003</v>
      </c>
      <c r="G19" s="5">
        <v>783.10000000000014</v>
      </c>
      <c r="H19" s="5">
        <v>885.99999999999955</v>
      </c>
      <c r="I19" s="5">
        <v>875.89999999999998</v>
      </c>
      <c r="J19" s="5">
        <v>842.20000000000005</v>
      </c>
      <c r="K19" s="5">
        <v>825.39999999999998</v>
      </c>
      <c r="L19" s="5">
        <v>836.00000000000011</v>
      </c>
    </row>
    <row r="20" spans="1:12" ht="11.4">
      <c r="A20" s="1">
        <f t="shared" si="0"/>
        <v>10</v>
      </c>
      <c r="B20" s="4">
        <f>+Base40h!B20</f>
        <v>44470</v>
      </c>
      <c r="C20" s="5">
        <v>675.29999999999995</v>
      </c>
      <c r="D20" s="5">
        <v>678.49999999999977</v>
      </c>
      <c r="E20" s="5">
        <v>651.10000000000002</v>
      </c>
      <c r="F20" s="5">
        <v>651.40000000000009</v>
      </c>
      <c r="G20" s="5">
        <v>641.69999999999993</v>
      </c>
      <c r="H20" s="5">
        <v>661.49999999999989</v>
      </c>
      <c r="I20" s="5">
        <v>615.20000000000005</v>
      </c>
      <c r="J20" s="5">
        <v>551.90000000000009</v>
      </c>
      <c r="K20" s="5">
        <v>566.10000000000025</v>
      </c>
      <c r="L20" s="5">
        <v>562.60000000000025</v>
      </c>
    </row>
    <row r="21" spans="1:12" ht="11.4">
      <c r="A21" s="1">
        <f t="shared" si="0"/>
        <v>11</v>
      </c>
      <c r="B21" s="4">
        <f>+Base40h!B21</f>
        <v>44501</v>
      </c>
      <c r="C21" s="5">
        <v>231.3000000000001</v>
      </c>
      <c r="D21" s="5">
        <v>218.50000000000011</v>
      </c>
      <c r="E21" s="5">
        <v>252.10000000000002</v>
      </c>
      <c r="F21" s="5">
        <v>242.40000000000003</v>
      </c>
      <c r="G21" s="5">
        <v>193.50000000000006</v>
      </c>
      <c r="H21" s="5">
        <v>243.10000000000002</v>
      </c>
      <c r="I21" s="5">
        <v>223.80000000000001</v>
      </c>
      <c r="J21" s="5">
        <v>157.70000000000007</v>
      </c>
      <c r="K21" s="5">
        <v>179.10000000000002</v>
      </c>
      <c r="L21" s="5">
        <v>173.20000000000005</v>
      </c>
    </row>
    <row r="22" spans="1:12" ht="11.4">
      <c r="A22" s="1">
        <f t="shared" si="0"/>
        <v>12</v>
      </c>
      <c r="B22" s="4">
        <f>+Base40h!B22</f>
        <v>44531</v>
      </c>
      <c r="C22" s="5">
        <v>357.30000000000001</v>
      </c>
      <c r="D22" s="5">
        <v>435.40000000000009</v>
      </c>
      <c r="E22" s="5">
        <v>403.90000000000003</v>
      </c>
      <c r="F22" s="5">
        <v>393.4000000000002</v>
      </c>
      <c r="G22" s="5">
        <v>386.90000000000003</v>
      </c>
      <c r="H22" s="5">
        <v>394.70000000000005</v>
      </c>
      <c r="I22" s="5">
        <v>324.80000000000007</v>
      </c>
      <c r="J22" s="5">
        <v>223.90000000000006</v>
      </c>
      <c r="K22" s="5">
        <v>213.40000000000006</v>
      </c>
      <c r="L22" s="5">
        <v>294.5</v>
      </c>
    </row>
    <row r="23" spans="1:12" ht="11.4">
      <c r="A23" s="1">
        <f t="shared" si="0"/>
        <v>13</v>
      </c>
      <c r="B23" s="32" t="s">
        <v>15</v>
      </c>
      <c r="C23" s="33">
        <f>SUM(C11:C22)</f>
        <v>6829.3000000000002</v>
      </c>
      <c r="D23" s="33">
        <f t="shared" si="1" ref="D23:L23">SUM(D11:D22)</f>
        <v>6856.8999999999996</v>
      </c>
      <c r="E23" s="33">
        <f t="shared" si="1"/>
        <v>6782.1000000000004</v>
      </c>
      <c r="F23" s="33">
        <f t="shared" si="1"/>
        <v>6686.6000000000013</v>
      </c>
      <c r="G23" s="33">
        <f t="shared" si="1"/>
        <v>6198.6999999999998</v>
      </c>
      <c r="H23" s="33">
        <f t="shared" si="1"/>
        <v>6808.1999999999998</v>
      </c>
      <c r="I23" s="33">
        <f t="shared" si="1"/>
        <v>6309.8000000000002</v>
      </c>
      <c r="J23" s="33">
        <f t="shared" si="1"/>
        <v>5782.3000000000002</v>
      </c>
      <c r="K23" s="33">
        <f t="shared" si="1"/>
        <v>5801.9000000000005</v>
      </c>
      <c r="L23" s="33">
        <f t="shared" si="1"/>
        <v>5971.0000000000009</v>
      </c>
    </row>
    <row r="24" spans="1:1" ht="11.4">
      <c r="A24" s="1">
        <f t="shared" si="0"/>
        <v>14</v>
      </c>
    </row>
    <row r="25" spans="1:1" ht="11.4">
      <c r="A25" s="1">
        <f t="shared" si="0"/>
        <v>15</v>
      </c>
    </row>
    <row r="26" spans="1:12" ht="12">
      <c r="A26" s="1">
        <f t="shared" si="0"/>
        <v>16</v>
      </c>
      <c r="B26" s="83" t="s">
        <v>87</v>
      </c>
      <c r="C26" s="83"/>
      <c r="D26" s="83"/>
      <c r="E26" s="83"/>
      <c r="F26" s="83"/>
      <c r="G26" s="83"/>
      <c r="H26" s="83"/>
      <c r="I26" s="83"/>
      <c r="J26" s="83"/>
      <c r="K26" s="83"/>
      <c r="L26" s="83"/>
    </row>
    <row r="27" spans="1:12" ht="34.8" thickBot="1">
      <c r="A27" s="1">
        <f t="shared" si="0"/>
        <v>17</v>
      </c>
      <c r="C27" s="3" t="s">
        <v>55</v>
      </c>
      <c r="D27" s="3" t="s">
        <v>6</v>
      </c>
      <c r="E27" s="74" t="s">
        <v>7</v>
      </c>
      <c r="F27" s="74" t="s">
        <v>8</v>
      </c>
      <c r="G27" s="74" t="s">
        <v>9</v>
      </c>
      <c r="H27" s="74" t="s">
        <v>10</v>
      </c>
      <c r="I27" s="74" t="s">
        <v>11</v>
      </c>
      <c r="J27" s="74" t="s">
        <v>12</v>
      </c>
      <c r="K27" s="74" t="s">
        <v>13</v>
      </c>
      <c r="L27" s="74" t="s">
        <v>14</v>
      </c>
    </row>
    <row r="28" spans="1:12" ht="11.4">
      <c r="A28" s="1">
        <f t="shared" si="0"/>
        <v>18</v>
      </c>
      <c r="B28" s="4">
        <f>+Base40h!B28</f>
        <v>44197</v>
      </c>
      <c r="C28" s="5">
        <v>77.799583333333359</v>
      </c>
      <c r="D28" s="5">
        <v>115.20166666666667</v>
      </c>
      <c r="E28" s="5">
        <v>117.70916666666665</v>
      </c>
      <c r="F28" s="5">
        <v>102.36708333333331</v>
      </c>
      <c r="G28" s="5">
        <v>89.903333333333322</v>
      </c>
      <c r="H28" s="5">
        <v>83.234583333333347</v>
      </c>
      <c r="I28" s="5">
        <v>61.088333333333338</v>
      </c>
      <c r="J28" s="5">
        <v>38.638750000000002</v>
      </c>
      <c r="K28" s="5">
        <v>38.994583333333345</v>
      </c>
      <c r="L28" s="5">
        <v>49.829583333333332</v>
      </c>
    </row>
    <row r="29" spans="1:12" ht="11.4">
      <c r="A29" s="1">
        <f t="shared" si="0"/>
        <v>19</v>
      </c>
      <c r="B29" s="4">
        <f>+Base40h!B29</f>
        <v>44228</v>
      </c>
      <c r="C29" s="5">
        <v>121.67208333333333</v>
      </c>
      <c r="D29" s="5">
        <v>157.71541666666673</v>
      </c>
      <c r="E29" s="5">
        <v>173.88</v>
      </c>
      <c r="F29" s="5">
        <v>149.58166666666668</v>
      </c>
      <c r="G29" s="5">
        <v>121.60166666666669</v>
      </c>
      <c r="H29" s="5">
        <v>130.19625000000002</v>
      </c>
      <c r="I29" s="5">
        <v>104.11166666666664</v>
      </c>
      <c r="J29" s="5">
        <v>68.349583333333328</v>
      </c>
      <c r="K29" s="5">
        <v>92.795000000000044</v>
      </c>
      <c r="L29" s="5">
        <v>80.157500000000013</v>
      </c>
    </row>
    <row r="30" spans="1:12" ht="11.4">
      <c r="A30" s="1">
        <f t="shared" si="0"/>
        <v>20</v>
      </c>
      <c r="B30" s="4">
        <f>+Base40h!B30</f>
        <v>44256</v>
      </c>
      <c r="C30" s="5">
        <v>313.63541666666669</v>
      </c>
      <c r="D30" s="5">
        <v>345.06291666666675</v>
      </c>
      <c r="E30" s="5">
        <v>367.9933333333334</v>
      </c>
      <c r="F30" s="5">
        <v>337.78000000000003</v>
      </c>
      <c r="G30" s="5">
        <v>298.15041666666673</v>
      </c>
      <c r="H30" s="5">
        <v>318.26791666666668</v>
      </c>
      <c r="I30" s="5">
        <v>274.66874999999999</v>
      </c>
      <c r="J30" s="5">
        <v>234.75208333333342</v>
      </c>
      <c r="K30" s="5">
        <v>273.86166666666668</v>
      </c>
      <c r="L30" s="5">
        <v>232.4862500000001</v>
      </c>
    </row>
    <row r="31" spans="1:12" ht="11.4">
      <c r="A31" s="1">
        <f t="shared" si="0"/>
        <v>21</v>
      </c>
      <c r="B31" s="4">
        <f>+Base40h!B31</f>
        <v>44287</v>
      </c>
      <c r="C31" s="5">
        <v>504.86624999999992</v>
      </c>
      <c r="D31" s="5">
        <v>525.31083333333333</v>
      </c>
      <c r="E31" s="5">
        <v>558.50374999999997</v>
      </c>
      <c r="F31" s="5">
        <v>528.66166666666663</v>
      </c>
      <c r="G31" s="5">
        <v>481.90166666666676</v>
      </c>
      <c r="H31" s="5">
        <v>512.11208333333332</v>
      </c>
      <c r="I31" s="5">
        <v>468.83958333333339</v>
      </c>
      <c r="J31" s="5">
        <v>428.88125000000008</v>
      </c>
      <c r="K31" s="5">
        <v>497.2141666666667</v>
      </c>
      <c r="L31" s="5">
        <v>414.49916666666667</v>
      </c>
    </row>
    <row r="32" spans="1:12" ht="11.4">
      <c r="A32" s="1">
        <f t="shared" si="0"/>
        <v>22</v>
      </c>
      <c r="B32" s="4">
        <f>+Base40h!B32</f>
        <v>44317</v>
      </c>
      <c r="C32" s="5">
        <v>759.13791666666668</v>
      </c>
      <c r="D32" s="5">
        <v>754.18583333333333</v>
      </c>
      <c r="E32" s="5">
        <v>793.68958333333342</v>
      </c>
      <c r="F32" s="5">
        <v>759.36416666666673</v>
      </c>
      <c r="G32" s="5">
        <v>724.28250000000014</v>
      </c>
      <c r="H32" s="5">
        <v>760.32916666666688</v>
      </c>
      <c r="I32" s="5">
        <v>711.87333333333345</v>
      </c>
      <c r="J32" s="5">
        <v>692.0837499999999</v>
      </c>
      <c r="K32" s="5">
        <v>759.47791666666672</v>
      </c>
      <c r="L32" s="5">
        <v>664.00875000000008</v>
      </c>
    </row>
    <row r="33" spans="1:12" ht="11.4">
      <c r="A33" s="1">
        <f t="shared" si="0"/>
        <v>23</v>
      </c>
      <c r="B33" s="4">
        <f>+Base40h!B33</f>
        <v>44348</v>
      </c>
      <c r="C33" s="5">
        <v>976.76749999999993</v>
      </c>
      <c r="D33" s="5">
        <v>911.61750000000018</v>
      </c>
      <c r="E33" s="5">
        <v>957.34791666666683</v>
      </c>
      <c r="F33" s="5">
        <v>945.77500000000009</v>
      </c>
      <c r="G33" s="5">
        <v>905.61333333333346</v>
      </c>
      <c r="H33" s="5">
        <v>964.25416666666661</v>
      </c>
      <c r="I33" s="5">
        <v>915.57749999999999</v>
      </c>
      <c r="J33" s="5">
        <v>927.98458333333315</v>
      </c>
      <c r="K33" s="5">
        <v>967.61539583333342</v>
      </c>
      <c r="L33" s="5">
        <v>904.12291666666647</v>
      </c>
    </row>
    <row r="34" spans="1:12" ht="11.4">
      <c r="A34" s="1">
        <f t="shared" si="0"/>
        <v>24</v>
      </c>
      <c r="B34" s="4">
        <f>+Base40h!B34</f>
        <v>44378</v>
      </c>
      <c r="C34" s="5">
        <v>1111.9583333333335</v>
      </c>
      <c r="D34" s="5">
        <v>997.5212499999999</v>
      </c>
      <c r="E34" s="5">
        <v>1039.9595833333333</v>
      </c>
      <c r="F34" s="5">
        <v>1057.3150000000003</v>
      </c>
      <c r="G34" s="5">
        <v>1018.3887500000003</v>
      </c>
      <c r="H34" s="5">
        <v>1091.3570833333331</v>
      </c>
      <c r="I34" s="5">
        <v>1032.4404166666666</v>
      </c>
      <c r="J34" s="5">
        <v>1077.7795833333332</v>
      </c>
      <c r="K34" s="5">
        <v>1032.6066666666666</v>
      </c>
      <c r="L34" s="5">
        <v>1047.5158333333334</v>
      </c>
    </row>
    <row r="35" spans="1:12" ht="11.4">
      <c r="A35" s="1">
        <f t="shared" si="0"/>
        <v>25</v>
      </c>
      <c r="B35" s="4">
        <f>+Base40h!B35</f>
        <v>44409</v>
      </c>
      <c r="C35" s="5">
        <v>1123.5141666666668</v>
      </c>
      <c r="D35" s="5">
        <v>1012.0124999999999</v>
      </c>
      <c r="E35" s="5">
        <v>1069.180416666667</v>
      </c>
      <c r="F35" s="5">
        <v>1078.5837499999998</v>
      </c>
      <c r="G35" s="5">
        <v>1026.1329166666667</v>
      </c>
      <c r="H35" s="5">
        <v>1105.6270833333333</v>
      </c>
      <c r="I35" s="5">
        <v>1027.0541666666668</v>
      </c>
      <c r="J35" s="5">
        <v>1061.8908333333334</v>
      </c>
      <c r="K35" s="5">
        <v>1013.7554166666666</v>
      </c>
      <c r="L35" s="5">
        <v>1045.5899999999999</v>
      </c>
    </row>
    <row r="36" spans="1:12" ht="11.4">
      <c r="A36" s="1">
        <f t="shared" si="0"/>
        <v>26</v>
      </c>
      <c r="B36" s="4">
        <f>+Base40h!B36</f>
        <v>44440</v>
      </c>
      <c r="C36" s="5">
        <v>874.33833333333359</v>
      </c>
      <c r="D36" s="5">
        <v>824.64250000000015</v>
      </c>
      <c r="E36" s="5">
        <v>854.98500000000013</v>
      </c>
      <c r="F36" s="5">
        <v>840.75041666666664</v>
      </c>
      <c r="G36" s="5">
        <v>813.57166666666683</v>
      </c>
      <c r="H36" s="5">
        <v>860.38750000000005</v>
      </c>
      <c r="I36" s="5">
        <v>765.6229166666667</v>
      </c>
      <c r="J36" s="5">
        <v>781.94708333333335</v>
      </c>
      <c r="K36" s="5">
        <v>757.84958333333327</v>
      </c>
      <c r="L36" s="5">
        <v>791.89000000000021</v>
      </c>
    </row>
    <row r="37" spans="1:12" ht="11.4">
      <c r="A37" s="1">
        <f t="shared" si="0"/>
        <v>27</v>
      </c>
      <c r="B37" s="4">
        <f>+Base40h!B37</f>
        <v>44470</v>
      </c>
      <c r="C37" s="5">
        <v>564.31916666666666</v>
      </c>
      <c r="D37" s="5">
        <v>554.23125000000005</v>
      </c>
      <c r="E37" s="5">
        <v>599.21125000000006</v>
      </c>
      <c r="F37" s="5">
        <v>574.05000000000007</v>
      </c>
      <c r="G37" s="5">
        <v>510.30833333333345</v>
      </c>
      <c r="H37" s="5">
        <v>570.54499999999985</v>
      </c>
      <c r="I37" s="5">
        <v>491.24541666666676</v>
      </c>
      <c r="J37" s="5">
        <v>456.93708333333336</v>
      </c>
      <c r="K37" s="5">
        <v>486.73208333333332</v>
      </c>
      <c r="L37" s="5">
        <v>481.1783333333334</v>
      </c>
    </row>
    <row r="38" spans="1:12" ht="11.4">
      <c r="A38" s="1">
        <f t="shared" si="0"/>
        <v>28</v>
      </c>
      <c r="B38" s="4">
        <f>+Base40h!B38</f>
        <v>44501</v>
      </c>
      <c r="C38" s="5">
        <v>266.6033333333333</v>
      </c>
      <c r="D38" s="5">
        <v>279.56416666666672</v>
      </c>
      <c r="E38" s="5">
        <v>315.15708333333339</v>
      </c>
      <c r="F38" s="5">
        <v>286.26833333333332</v>
      </c>
      <c r="G38" s="5">
        <v>240.00333333333333</v>
      </c>
      <c r="H38" s="5">
        <v>275.61625000000015</v>
      </c>
      <c r="I38" s="5">
        <v>214.17291666666671</v>
      </c>
      <c r="J38" s="5">
        <v>177.33333333333334</v>
      </c>
      <c r="K38" s="5">
        <v>176.82833333333338</v>
      </c>
      <c r="L38" s="5">
        <v>214.40166666666667</v>
      </c>
    </row>
    <row r="39" spans="1:12" ht="11.4">
      <c r="A39" s="1">
        <f t="shared" si="0"/>
        <v>29</v>
      </c>
      <c r="B39" s="4">
        <f>+Base40h!B39</f>
        <v>44531</v>
      </c>
      <c r="C39" s="5">
        <v>100.28166666666671</v>
      </c>
      <c r="D39" s="5">
        <v>139.13583333333335</v>
      </c>
      <c r="E39" s="5">
        <v>144.17375000000004</v>
      </c>
      <c r="F39" s="5">
        <v>121.32375000000003</v>
      </c>
      <c r="G39" s="5">
        <v>109.17333333333335</v>
      </c>
      <c r="H39" s="5">
        <v>106.81541666666668</v>
      </c>
      <c r="I39" s="5">
        <v>74.954583333333346</v>
      </c>
      <c r="J39" s="5">
        <v>42.943750000000001</v>
      </c>
      <c r="K39" s="5">
        <v>45.276250000000012</v>
      </c>
      <c r="L39" s="5">
        <v>66.677083333333329</v>
      </c>
    </row>
    <row r="40" spans="1:12" ht="11.4">
      <c r="A40" s="1">
        <f t="shared" si="0"/>
        <v>30</v>
      </c>
      <c r="B40" s="32" t="s">
        <v>15</v>
      </c>
      <c r="C40" s="33">
        <f>SUM(C28:C39)</f>
        <v>6794.8937499999993</v>
      </c>
      <c r="D40" s="33">
        <f t="shared" si="2" ref="D40:L40">SUM(D28:D39)</f>
        <v>6616.2016666666677</v>
      </c>
      <c r="E40" s="33">
        <f t="shared" si="2"/>
        <v>6991.7908333333344</v>
      </c>
      <c r="F40" s="33">
        <f t="shared" si="2"/>
        <v>6781.8208333333341</v>
      </c>
      <c r="G40" s="33">
        <f t="shared" si="2"/>
        <v>6339.03125</v>
      </c>
      <c r="H40" s="33">
        <f t="shared" si="2"/>
        <v>6778.7425000000003</v>
      </c>
      <c r="I40" s="33">
        <f t="shared" si="2"/>
        <v>6141.6495833333329</v>
      </c>
      <c r="J40" s="33">
        <f t="shared" si="2"/>
        <v>5989.5216666666665</v>
      </c>
      <c r="K40" s="33">
        <f t="shared" si="2"/>
        <v>6143.0070624999998</v>
      </c>
      <c r="L40" s="33">
        <f t="shared" si="2"/>
        <v>5992.3570833333333</v>
      </c>
    </row>
    <row r="42" spans="3:13" ht="11.4"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</row>
    <row r="43" spans="3:13" ht="11.4"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3"/>
    </row>
    <row r="45" spans="3:13" ht="11.4"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</row>
    <row r="46" spans="3:13" ht="11.4"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3"/>
    </row>
  </sheetData>
  <mergeCells count="7">
    <mergeCell ref="B26:L26"/>
    <mergeCell ref="B1:L1"/>
    <mergeCell ref="B2:L2"/>
    <mergeCell ref="B3:L3"/>
    <mergeCell ref="B4:L4"/>
    <mergeCell ref="B6:L6"/>
    <mergeCell ref="B9:L9"/>
  </mergeCells>
  <pageMargins left="0.75" right="0.75" top="1" bottom="1" header="0.5" footer="0.5"/>
  <pageSetup orientation="portrait" scale="73" r:id="rId1"/>
  <headerFooter alignWithMargins="0">
    <oddHeader>&amp;RSchedule II-H-5.1
Page &amp;P of  28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pageSetUpPr fitToPage="1"/>
  </sheetPr>
  <dimension ref="A1:M46"/>
  <sheetViews>
    <sheetView workbookViewId="0" topLeftCell="A1"/>
  </sheetViews>
  <sheetFormatPr defaultColWidth="9.11428571428571" defaultRowHeight="12"/>
  <cols>
    <col min="1" max="1" width="9.14285714285714" style="1"/>
    <col min="2" max="2" width="10.4285714285714" style="2" bestFit="1" customWidth="1"/>
    <col min="3" max="3" width="11.4285714285714" style="2" customWidth="1"/>
    <col min="4" max="4" width="9.57142857142857" style="2" bestFit="1" customWidth="1"/>
    <col min="5" max="5" width="9.71428571428571" style="2" bestFit="1" customWidth="1"/>
    <col min="6" max="6" width="9.57142857142857" style="2" bestFit="1" customWidth="1"/>
    <col min="7" max="7" width="12.2857142857143" style="2" bestFit="1" customWidth="1"/>
    <col min="8" max="8" width="9.85714285714286" style="2" bestFit="1" customWidth="1"/>
    <col min="9" max="9" width="10.5714285714286" style="2" bestFit="1" customWidth="1"/>
    <col min="10" max="10" width="11.2857142857143" style="2" customWidth="1"/>
    <col min="11" max="11" width="10.4285714285714" style="2" customWidth="1"/>
    <col min="12" max="16384" width="9.14285714285714" style="2"/>
  </cols>
  <sheetData>
    <row r="1" spans="2:12" ht="15.6">
      <c r="B1" s="82" t="str">
        <f>+Base40h!B1</f>
        <v xml:space="preserve">PUC DOCKET NO. </v>
      </c>
      <c r="C1" s="82"/>
      <c r="D1" s="82"/>
      <c r="E1" s="82"/>
      <c r="F1" s="82"/>
      <c r="G1" s="82"/>
      <c r="H1" s="82"/>
      <c r="I1" s="82"/>
      <c r="J1" s="82"/>
      <c r="K1" s="82"/>
      <c r="L1" s="82"/>
    </row>
    <row r="2" spans="2:12" ht="15.6">
      <c r="B2" s="82" t="str">
        <f>+Base40h!B2</f>
        <v>ONCOR ELECTRIC DELIVERY COMPANY LLC</v>
      </c>
      <c r="C2" s="82"/>
      <c r="D2" s="82"/>
      <c r="E2" s="82"/>
      <c r="F2" s="82"/>
      <c r="G2" s="82"/>
      <c r="H2" s="82"/>
      <c r="I2" s="82"/>
      <c r="J2" s="82"/>
      <c r="K2" s="82"/>
      <c r="L2" s="82"/>
    </row>
    <row r="3" spans="2:12" ht="15.6">
      <c r="B3" s="82" t="str">
        <f>+Base40h!B3</f>
        <v>WEATHER STATION DATA</v>
      </c>
      <c r="C3" s="82"/>
      <c r="D3" s="82"/>
      <c r="E3" s="82"/>
      <c r="F3" s="82"/>
      <c r="G3" s="82"/>
      <c r="H3" s="82"/>
      <c r="I3" s="82"/>
      <c r="J3" s="82"/>
      <c r="K3" s="82"/>
      <c r="L3" s="82"/>
    </row>
    <row r="4" spans="2:12" ht="15.6">
      <c r="B4" s="82" t="str">
        <f>+Base40h!B4</f>
        <v>FOR THE TEST YEAR ENDING DECEMBER 31, 2021</v>
      </c>
      <c r="C4" s="82"/>
      <c r="D4" s="82"/>
      <c r="E4" s="82"/>
      <c r="F4" s="82"/>
      <c r="G4" s="82"/>
      <c r="H4" s="82"/>
      <c r="I4" s="82"/>
      <c r="J4" s="82"/>
      <c r="K4" s="82"/>
      <c r="L4" s="82"/>
    </row>
    <row r="6" spans="2:12" ht="15.6">
      <c r="B6" s="82" t="str">
        <f>+Base40h!B6</f>
        <v>SPONSOR: D. E. NELSON</v>
      </c>
      <c r="C6" s="82"/>
      <c r="D6" s="82"/>
      <c r="E6" s="82"/>
      <c r="F6" s="82"/>
      <c r="G6" s="82"/>
      <c r="H6" s="82"/>
      <c r="I6" s="82"/>
      <c r="J6" s="82"/>
      <c r="K6" s="82"/>
      <c r="L6" s="82"/>
    </row>
    <row r="9" spans="2:12" ht="12">
      <c r="B9" s="83" t="s">
        <v>106</v>
      </c>
      <c r="C9" s="83"/>
      <c r="D9" s="83"/>
      <c r="E9" s="83"/>
      <c r="F9" s="83"/>
      <c r="G9" s="83"/>
      <c r="H9" s="83"/>
      <c r="I9" s="83"/>
      <c r="J9" s="83"/>
      <c r="K9" s="83"/>
      <c r="L9" s="83"/>
    </row>
    <row r="10" spans="1:12" ht="34.8" thickBot="1">
      <c r="A10" s="3" t="s">
        <v>4</v>
      </c>
      <c r="C10" s="3" t="s">
        <v>55</v>
      </c>
      <c r="D10" s="3" t="s">
        <v>6</v>
      </c>
      <c r="E10" s="3" t="s">
        <v>7</v>
      </c>
      <c r="F10" s="3" t="s">
        <v>8</v>
      </c>
      <c r="G10" s="3" t="s">
        <v>9</v>
      </c>
      <c r="H10" s="3" t="s">
        <v>10</v>
      </c>
      <c r="I10" s="3" t="s">
        <v>11</v>
      </c>
      <c r="J10" s="3" t="s">
        <v>12</v>
      </c>
      <c r="K10" s="3" t="s">
        <v>13</v>
      </c>
      <c r="L10" s="3" t="s">
        <v>14</v>
      </c>
    </row>
    <row r="11" spans="1:12" ht="11.4">
      <c r="A11" s="1">
        <v>1</v>
      </c>
      <c r="B11" s="4">
        <f>+Base40h!B11</f>
        <v>44197</v>
      </c>
      <c r="C11" s="5">
        <v>12.400000000000006</v>
      </c>
      <c r="D11" s="5">
        <v>45.800000000000004</v>
      </c>
      <c r="E11" s="5">
        <v>70</v>
      </c>
      <c r="F11" s="5">
        <v>29.300000000000004</v>
      </c>
      <c r="G11" s="5">
        <v>12.199999999999996</v>
      </c>
      <c r="H11" s="5">
        <v>25.800000000000004</v>
      </c>
      <c r="I11" s="5">
        <v>10.300000000000004</v>
      </c>
      <c r="J11" s="5">
        <v>4.3000000000000043</v>
      </c>
      <c r="K11" s="5">
        <v>4.5000000000000071</v>
      </c>
      <c r="L11" s="5">
        <v>5.7000000000000028</v>
      </c>
    </row>
    <row r="12" spans="1:12" ht="11.4">
      <c r="A12" s="1">
        <f>+A11+1</f>
        <v>2</v>
      </c>
      <c r="B12" s="4">
        <f>+Base40h!B12</f>
        <v>44228</v>
      </c>
      <c r="C12" s="5">
        <v>30.600000000000001</v>
      </c>
      <c r="D12" s="5">
        <v>78.300000000000026</v>
      </c>
      <c r="E12" s="5">
        <v>77.400000000000034</v>
      </c>
      <c r="F12" s="5">
        <v>57.600000000000016</v>
      </c>
      <c r="G12" s="5">
        <v>39.500000000000007</v>
      </c>
      <c r="H12" s="5">
        <v>49.900000000000006</v>
      </c>
      <c r="I12" s="5">
        <v>30.5</v>
      </c>
      <c r="J12" s="5">
        <v>1.8000000000000043</v>
      </c>
      <c r="K12" s="5">
        <v>23.300000000000018</v>
      </c>
      <c r="L12" s="5">
        <v>16.900000000000006</v>
      </c>
    </row>
    <row r="13" spans="1:12" ht="11.4">
      <c r="A13" s="1">
        <f t="shared" si="0" ref="A13:A40">+A12+1</f>
        <v>3</v>
      </c>
      <c r="B13" s="4">
        <f>+Base40h!B13</f>
        <v>44256</v>
      </c>
      <c r="C13" s="5">
        <v>209.90000000000006</v>
      </c>
      <c r="D13" s="5">
        <v>229.90000000000006</v>
      </c>
      <c r="E13" s="5">
        <v>257.80000000000013</v>
      </c>
      <c r="F13" s="5">
        <v>210.70000000000007</v>
      </c>
      <c r="G13" s="5">
        <v>179.70000000000007</v>
      </c>
      <c r="H13" s="5">
        <v>208.60000000000008</v>
      </c>
      <c r="I13" s="5">
        <v>158.50000000000003</v>
      </c>
      <c r="J13" s="5">
        <v>123.20000000000005</v>
      </c>
      <c r="K13" s="5">
        <v>132.50000000000006</v>
      </c>
      <c r="L13" s="5">
        <v>153.60000000000005</v>
      </c>
    </row>
    <row r="14" spans="1:12" ht="11.4">
      <c r="A14" s="1">
        <f t="shared" si="0"/>
        <v>4</v>
      </c>
      <c r="B14" s="4">
        <f>+Base40h!B14</f>
        <v>44287</v>
      </c>
      <c r="C14" s="5">
        <v>296.59999999999991</v>
      </c>
      <c r="D14" s="5">
        <v>312.40000000000003</v>
      </c>
      <c r="E14" s="5">
        <v>317.20000000000005</v>
      </c>
      <c r="F14" s="5">
        <v>307.90000000000003</v>
      </c>
      <c r="G14" s="5">
        <v>248</v>
      </c>
      <c r="H14" s="5">
        <v>307.10000000000008</v>
      </c>
      <c r="I14" s="5">
        <v>239.90000000000006</v>
      </c>
      <c r="J14" s="5">
        <v>192.90000000000003</v>
      </c>
      <c r="K14" s="5">
        <v>228.60000000000002</v>
      </c>
      <c r="L14" s="5">
        <v>207.10000000000008</v>
      </c>
    </row>
    <row r="15" spans="1:12" ht="11.4">
      <c r="A15" s="1">
        <f t="shared" si="0"/>
        <v>5</v>
      </c>
      <c r="B15" s="4">
        <f>+Base40h!B15</f>
        <v>44317</v>
      </c>
      <c r="C15" s="5">
        <v>501.10000000000014</v>
      </c>
      <c r="D15" s="5">
        <v>544.60000000000002</v>
      </c>
      <c r="E15" s="5">
        <v>523.90000000000009</v>
      </c>
      <c r="F15" s="5">
        <v>497.60000000000014</v>
      </c>
      <c r="G15" s="5">
        <v>469.90000000000015</v>
      </c>
      <c r="H15" s="5">
        <v>521.10000000000025</v>
      </c>
      <c r="I15" s="5">
        <v>459.79999999999995</v>
      </c>
      <c r="J15" s="5">
        <v>413.40000000000009</v>
      </c>
      <c r="K15" s="5">
        <v>491.49999999999994</v>
      </c>
      <c r="L15" s="5">
        <v>405.40000000000009</v>
      </c>
    </row>
    <row r="16" spans="1:12" ht="11.4">
      <c r="A16" s="1">
        <f t="shared" si="0"/>
        <v>6</v>
      </c>
      <c r="B16" s="4">
        <f>+Base40h!B16</f>
        <v>44348</v>
      </c>
      <c r="C16" s="5">
        <v>807.00000000000011</v>
      </c>
      <c r="D16" s="5">
        <v>780.20000000000005</v>
      </c>
      <c r="E16" s="5">
        <v>738.40000000000009</v>
      </c>
      <c r="F16" s="5">
        <v>747.10000000000002</v>
      </c>
      <c r="G16" s="5">
        <v>726.89999999999986</v>
      </c>
      <c r="H16" s="5">
        <v>784.4000000000002</v>
      </c>
      <c r="I16" s="5">
        <v>744.20000000000005</v>
      </c>
      <c r="J16" s="5">
        <v>720.8000000000003</v>
      </c>
      <c r="K16" s="5">
        <v>740.4000000000002</v>
      </c>
      <c r="L16" s="5">
        <v>728.80000000000018</v>
      </c>
    </row>
    <row r="17" spans="1:12" ht="11.4">
      <c r="A17" s="1">
        <f t="shared" si="0"/>
        <v>7</v>
      </c>
      <c r="B17" s="4">
        <f>+Base40h!B17</f>
        <v>44378</v>
      </c>
      <c r="C17" s="5">
        <v>912.59999999999991</v>
      </c>
      <c r="D17" s="5">
        <v>817.20000000000005</v>
      </c>
      <c r="E17" s="5">
        <v>770.00000000000011</v>
      </c>
      <c r="F17" s="5">
        <v>797.80000000000007</v>
      </c>
      <c r="G17" s="5">
        <v>784.80000000000018</v>
      </c>
      <c r="H17" s="5">
        <v>849.79999999999995</v>
      </c>
      <c r="I17" s="5">
        <v>828.40000000000009</v>
      </c>
      <c r="J17" s="5">
        <v>825.70000000000005</v>
      </c>
      <c r="K17" s="5">
        <v>742.20000000000027</v>
      </c>
      <c r="L17" s="5">
        <v>833.19999999999993</v>
      </c>
    </row>
    <row r="18" spans="1:12" ht="11.4">
      <c r="A18" s="1">
        <f t="shared" si="0"/>
        <v>8</v>
      </c>
      <c r="B18" s="4">
        <f>+Base40h!B18</f>
        <v>44409</v>
      </c>
      <c r="C18" s="5">
        <v>919.39999999999998</v>
      </c>
      <c r="D18" s="5">
        <v>869.9000000000002</v>
      </c>
      <c r="E18" s="5">
        <v>819.10000000000002</v>
      </c>
      <c r="F18" s="5">
        <v>870.90000000000009</v>
      </c>
      <c r="G18" s="5">
        <v>809.3000000000003</v>
      </c>
      <c r="H18" s="5">
        <v>900</v>
      </c>
      <c r="I18" s="5">
        <v>864.60000000000002</v>
      </c>
      <c r="J18" s="5">
        <v>843.39999999999986</v>
      </c>
      <c r="K18" s="5">
        <v>745.20000000000005</v>
      </c>
      <c r="L18" s="5">
        <v>838.30000000000018</v>
      </c>
    </row>
    <row r="19" spans="1:12" ht="11.4">
      <c r="A19" s="1">
        <f t="shared" si="0"/>
        <v>9</v>
      </c>
      <c r="B19" s="4">
        <f>+Base40h!B19</f>
        <v>44440</v>
      </c>
      <c r="C19" s="5">
        <v>764.39999999999998</v>
      </c>
      <c r="D19" s="5">
        <v>690.70000000000005</v>
      </c>
      <c r="E19" s="5">
        <v>691.5999999999998</v>
      </c>
      <c r="F19" s="5">
        <v>730.80000000000018</v>
      </c>
      <c r="G19" s="5">
        <v>633.10000000000014</v>
      </c>
      <c r="H19" s="5">
        <v>735.99999999999966</v>
      </c>
      <c r="I19" s="5">
        <v>725.89999999999998</v>
      </c>
      <c r="J19" s="5">
        <v>692.19999999999993</v>
      </c>
      <c r="K19" s="5">
        <v>675.40000000000009</v>
      </c>
      <c r="L19" s="5">
        <v>686.00000000000011</v>
      </c>
    </row>
    <row r="20" spans="1:12" ht="11.4">
      <c r="A20" s="1">
        <f t="shared" si="0"/>
        <v>10</v>
      </c>
      <c r="B20" s="4">
        <f>+Base40h!B20</f>
        <v>44470</v>
      </c>
      <c r="C20" s="5">
        <v>520.30000000000007</v>
      </c>
      <c r="D20" s="5">
        <v>523.49999999999989</v>
      </c>
      <c r="E20" s="5">
        <v>496.10000000000002</v>
      </c>
      <c r="F20" s="5">
        <v>496.40000000000003</v>
      </c>
      <c r="G20" s="5">
        <v>486.7000000000001</v>
      </c>
      <c r="H20" s="5">
        <v>506.5</v>
      </c>
      <c r="I20" s="5">
        <v>460.19999999999999</v>
      </c>
      <c r="J20" s="5">
        <v>396.9000000000002</v>
      </c>
      <c r="K20" s="5">
        <v>411.30000000000013</v>
      </c>
      <c r="L20" s="5">
        <v>408.10000000000014</v>
      </c>
    </row>
    <row r="21" spans="1:12" ht="11.4">
      <c r="A21" s="1">
        <f t="shared" si="0"/>
        <v>11</v>
      </c>
      <c r="B21" s="4">
        <f>+Base40h!B21</f>
        <v>44501</v>
      </c>
      <c r="C21" s="5">
        <v>118.70000000000002</v>
      </c>
      <c r="D21" s="5">
        <v>114.20000000000003</v>
      </c>
      <c r="E21" s="5">
        <v>135.5</v>
      </c>
      <c r="F21" s="5">
        <v>128.80000000000001</v>
      </c>
      <c r="G21" s="5">
        <v>94.200000000000003</v>
      </c>
      <c r="H21" s="5">
        <v>134.40000000000001</v>
      </c>
      <c r="I21" s="5">
        <v>119.60000000000005</v>
      </c>
      <c r="J21" s="5">
        <v>72.000000000000014</v>
      </c>
      <c r="K21" s="5">
        <v>79.500000000000028</v>
      </c>
      <c r="L21" s="5">
        <v>86.600000000000051</v>
      </c>
    </row>
    <row r="22" spans="1:12" ht="11.4">
      <c r="A22" s="1">
        <f t="shared" si="0"/>
        <v>12</v>
      </c>
      <c r="B22" s="4">
        <f>+Base40h!B22</f>
        <v>44531</v>
      </c>
      <c r="C22" s="5">
        <v>244.00000000000003</v>
      </c>
      <c r="D22" s="5">
        <v>309.30000000000001</v>
      </c>
      <c r="E22" s="5">
        <v>274.60000000000002</v>
      </c>
      <c r="F22" s="5">
        <v>269.00000000000006</v>
      </c>
      <c r="G22" s="5">
        <v>275.10000000000002</v>
      </c>
      <c r="H22" s="5">
        <v>271.70000000000005</v>
      </c>
      <c r="I22" s="5">
        <v>214.60000000000002</v>
      </c>
      <c r="J22" s="5">
        <v>123.90000000000001</v>
      </c>
      <c r="K22" s="5">
        <v>104.50000000000001</v>
      </c>
      <c r="L22" s="5">
        <v>189.80000000000001</v>
      </c>
    </row>
    <row r="23" spans="1:12" ht="11.4">
      <c r="A23" s="1">
        <f t="shared" si="0"/>
        <v>13</v>
      </c>
      <c r="B23" s="32" t="s">
        <v>15</v>
      </c>
      <c r="C23" s="33">
        <f>SUM(C11:C22)</f>
        <v>5337</v>
      </c>
      <c r="D23" s="33">
        <f t="shared" si="1" ref="D23:L23">SUM(D11:D22)</f>
        <v>5316</v>
      </c>
      <c r="E23" s="33">
        <f t="shared" si="1"/>
        <v>5171.6000000000004</v>
      </c>
      <c r="F23" s="33">
        <f t="shared" si="1"/>
        <v>5143.9000000000005</v>
      </c>
      <c r="G23" s="33">
        <f t="shared" si="1"/>
        <v>4759.4000000000005</v>
      </c>
      <c r="H23" s="33">
        <f t="shared" si="1"/>
        <v>5295.3000000000002</v>
      </c>
      <c r="I23" s="33">
        <f t="shared" si="1"/>
        <v>4856.5000000000009</v>
      </c>
      <c r="J23" s="33">
        <f t="shared" si="1"/>
        <v>4410.5</v>
      </c>
      <c r="K23" s="33">
        <f t="shared" si="1"/>
        <v>4378.9000000000005</v>
      </c>
      <c r="L23" s="33">
        <f t="shared" si="1"/>
        <v>4559.5000000000009</v>
      </c>
    </row>
    <row r="24" spans="1:1" ht="11.4">
      <c r="A24" s="1">
        <f t="shared" si="0"/>
        <v>14</v>
      </c>
    </row>
    <row r="25" spans="1:1" ht="11.4">
      <c r="A25" s="1">
        <f t="shared" si="0"/>
        <v>15</v>
      </c>
    </row>
    <row r="26" spans="1:12" ht="12">
      <c r="A26" s="1">
        <f t="shared" si="0"/>
        <v>16</v>
      </c>
      <c r="B26" s="83" t="s">
        <v>107</v>
      </c>
      <c r="C26" s="83"/>
      <c r="D26" s="83"/>
      <c r="E26" s="83"/>
      <c r="F26" s="83"/>
      <c r="G26" s="83"/>
      <c r="H26" s="83"/>
      <c r="I26" s="83"/>
      <c r="J26" s="83"/>
      <c r="K26" s="83"/>
      <c r="L26" s="83"/>
    </row>
    <row r="27" spans="1:12" ht="34.8" thickBot="1">
      <c r="A27" s="1">
        <f t="shared" si="0"/>
        <v>17</v>
      </c>
      <c r="C27" s="3" t="s">
        <v>55</v>
      </c>
      <c r="D27" s="3" t="s">
        <v>6</v>
      </c>
      <c r="E27" s="74" t="s">
        <v>7</v>
      </c>
      <c r="F27" s="74" t="s">
        <v>8</v>
      </c>
      <c r="G27" s="74" t="s">
        <v>9</v>
      </c>
      <c r="H27" s="74" t="s">
        <v>10</v>
      </c>
      <c r="I27" s="74" t="s">
        <v>11</v>
      </c>
      <c r="J27" s="74" t="s">
        <v>12</v>
      </c>
      <c r="K27" s="74" t="s">
        <v>13</v>
      </c>
      <c r="L27" s="74" t="s">
        <v>14</v>
      </c>
    </row>
    <row r="28" spans="1:12" ht="11.4">
      <c r="A28" s="1">
        <f t="shared" si="0"/>
        <v>18</v>
      </c>
      <c r="B28" s="4">
        <f>+Base40h!B28</f>
        <v>44197</v>
      </c>
      <c r="C28" s="5">
        <v>36.203750000000014</v>
      </c>
      <c r="D28" s="55">
        <v>60.988333333333337</v>
      </c>
      <c r="E28" s="5">
        <v>59.239166666666655</v>
      </c>
      <c r="F28" s="5">
        <v>49.285833333333336</v>
      </c>
      <c r="G28" s="5">
        <v>44.969999999999999</v>
      </c>
      <c r="H28" s="5">
        <v>39.314166666666644</v>
      </c>
      <c r="I28" s="5">
        <v>24.344166666666659</v>
      </c>
      <c r="J28" s="5">
        <v>15.408750000000008</v>
      </c>
      <c r="K28" s="5">
        <v>9.8541666666666732</v>
      </c>
      <c r="L28" s="5">
        <v>21.141666666666673</v>
      </c>
    </row>
    <row r="29" spans="1:12" ht="11.4">
      <c r="A29" s="1">
        <f t="shared" si="0"/>
        <v>19</v>
      </c>
      <c r="B29" s="4">
        <f>+Base40h!B29</f>
        <v>44228</v>
      </c>
      <c r="C29" s="5">
        <v>65.918333333333337</v>
      </c>
      <c r="D29" s="55">
        <v>87.937916666666666</v>
      </c>
      <c r="E29" s="5">
        <v>98.526666666666657</v>
      </c>
      <c r="F29" s="5">
        <v>82.425000000000011</v>
      </c>
      <c r="G29" s="5">
        <v>65.740833333333342</v>
      </c>
      <c r="H29" s="5">
        <v>68.987500000000011</v>
      </c>
      <c r="I29" s="5">
        <v>52.899583333333339</v>
      </c>
      <c r="J29" s="5">
        <v>31.926250000000017</v>
      </c>
      <c r="K29" s="5">
        <v>41.371250000000011</v>
      </c>
      <c r="L29" s="5">
        <v>38.07166666666668</v>
      </c>
    </row>
    <row r="30" spans="1:12" ht="11.4">
      <c r="A30" s="1">
        <f t="shared" si="0"/>
        <v>20</v>
      </c>
      <c r="B30" s="4">
        <f>+Base40h!B30</f>
        <v>44256</v>
      </c>
      <c r="C30" s="5">
        <v>194.56</v>
      </c>
      <c r="D30" s="55">
        <v>218.62625000000003</v>
      </c>
      <c r="E30" s="5">
        <v>239.17875000000004</v>
      </c>
      <c r="F30" s="5">
        <v>212.17416666666671</v>
      </c>
      <c r="G30" s="5">
        <v>181.0916666666667</v>
      </c>
      <c r="H30" s="5">
        <v>197.66666666666666</v>
      </c>
      <c r="I30" s="5">
        <v>166.22333333333336</v>
      </c>
      <c r="J30" s="5">
        <v>135.68000000000006</v>
      </c>
      <c r="K30" s="5">
        <v>163.64916666666667</v>
      </c>
      <c r="L30" s="5">
        <v>132.4945833333334</v>
      </c>
    </row>
    <row r="31" spans="1:12" ht="11.4">
      <c r="A31" s="1">
        <f t="shared" si="0"/>
        <v>21</v>
      </c>
      <c r="B31" s="4">
        <f>+Base40h!B31</f>
        <v>44287</v>
      </c>
      <c r="C31" s="5">
        <v>362.90833333333325</v>
      </c>
      <c r="D31" s="55">
        <v>379.60208333333333</v>
      </c>
      <c r="E31" s="5">
        <v>411.45875000000007</v>
      </c>
      <c r="F31" s="5">
        <v>383.77291666666667</v>
      </c>
      <c r="G31" s="5">
        <v>339.41875000000005</v>
      </c>
      <c r="H31" s="5">
        <v>368.63833333333332</v>
      </c>
      <c r="I31" s="5">
        <v>331.59875</v>
      </c>
      <c r="J31" s="5">
        <v>293.58958333333328</v>
      </c>
      <c r="K31" s="5">
        <v>357.51166666666671</v>
      </c>
      <c r="L31" s="5">
        <v>278.91541666666666</v>
      </c>
    </row>
    <row r="32" spans="1:12" ht="11.4">
      <c r="A32" s="1">
        <f t="shared" si="0"/>
        <v>22</v>
      </c>
      <c r="B32" s="4">
        <f>+Base40h!B32</f>
        <v>44317</v>
      </c>
      <c r="C32" s="5">
        <v>604.7116666666667</v>
      </c>
      <c r="D32" s="55">
        <v>599.2358333333334</v>
      </c>
      <c r="E32" s="5">
        <v>638.84458333333339</v>
      </c>
      <c r="F32" s="5">
        <v>604.73916666666673</v>
      </c>
      <c r="G32" s="5">
        <v>569.62250000000006</v>
      </c>
      <c r="H32" s="5">
        <v>605.74416666666673</v>
      </c>
      <c r="I32" s="5">
        <v>558.39291666666657</v>
      </c>
      <c r="J32" s="5">
        <v>538.76666666666665</v>
      </c>
      <c r="K32" s="5">
        <v>605.95125000000007</v>
      </c>
      <c r="L32" s="5">
        <v>511.01875000000001</v>
      </c>
    </row>
    <row r="33" spans="1:12" ht="11.4">
      <c r="A33" s="1">
        <f t="shared" si="0"/>
        <v>23</v>
      </c>
      <c r="B33" s="4">
        <f>+Base40h!B33</f>
        <v>44348</v>
      </c>
      <c r="C33" s="5">
        <v>826.76749999999993</v>
      </c>
      <c r="D33" s="55">
        <v>761.61750000000006</v>
      </c>
      <c r="E33" s="5">
        <v>807.34791666666672</v>
      </c>
      <c r="F33" s="5">
        <v>795.77500000000009</v>
      </c>
      <c r="G33" s="5">
        <v>755.61333333333346</v>
      </c>
      <c r="H33" s="5">
        <v>814.25416666666683</v>
      </c>
      <c r="I33" s="5">
        <v>765.57749999999999</v>
      </c>
      <c r="J33" s="5">
        <v>777.98458333333326</v>
      </c>
      <c r="K33" s="5">
        <v>817.61539583333342</v>
      </c>
      <c r="L33" s="5">
        <v>754.1229166666667</v>
      </c>
    </row>
    <row r="34" spans="1:12" ht="11.4">
      <c r="A34" s="1">
        <f t="shared" si="0"/>
        <v>24</v>
      </c>
      <c r="B34" s="4">
        <f>+Base40h!B34</f>
        <v>44378</v>
      </c>
      <c r="C34" s="5">
        <v>956.95833333333337</v>
      </c>
      <c r="D34" s="55">
        <v>842.52125000000001</v>
      </c>
      <c r="E34" s="5">
        <v>884.95958333333328</v>
      </c>
      <c r="F34" s="5">
        <v>902.31500000000017</v>
      </c>
      <c r="G34" s="5">
        <v>863.38875000000019</v>
      </c>
      <c r="H34" s="5">
        <v>936.35708333333321</v>
      </c>
      <c r="I34" s="5">
        <v>877.44041666666658</v>
      </c>
      <c r="J34" s="5">
        <v>922.77958333333322</v>
      </c>
      <c r="K34" s="5">
        <v>877.60666666666657</v>
      </c>
      <c r="L34" s="5">
        <v>892.51583333333338</v>
      </c>
    </row>
    <row r="35" spans="1:12" ht="11.4">
      <c r="A35" s="1">
        <f t="shared" si="0"/>
        <v>25</v>
      </c>
      <c r="B35" s="4">
        <f>+Base40h!B35</f>
        <v>44409</v>
      </c>
      <c r="C35" s="5">
        <v>968.51416666666694</v>
      </c>
      <c r="D35" s="55">
        <v>857.01250000000005</v>
      </c>
      <c r="E35" s="5">
        <v>914.1804166666667</v>
      </c>
      <c r="F35" s="5">
        <v>923.58374999999978</v>
      </c>
      <c r="G35" s="5">
        <v>871.1329166666668</v>
      </c>
      <c r="H35" s="5">
        <v>950.6270833333333</v>
      </c>
      <c r="I35" s="5">
        <v>872.05416666666679</v>
      </c>
      <c r="J35" s="5">
        <v>906.89083333333338</v>
      </c>
      <c r="K35" s="5">
        <v>858.75541666666663</v>
      </c>
      <c r="L35" s="5">
        <v>890.59000000000015</v>
      </c>
    </row>
    <row r="36" spans="1:12" ht="11.4">
      <c r="A36" s="1">
        <f t="shared" si="0"/>
        <v>26</v>
      </c>
      <c r="B36" s="4">
        <f>+Base40h!B36</f>
        <v>44440</v>
      </c>
      <c r="C36" s="5">
        <v>724.33833333333359</v>
      </c>
      <c r="D36" s="55">
        <v>674.64250000000004</v>
      </c>
      <c r="E36" s="5">
        <v>704.98500000000013</v>
      </c>
      <c r="F36" s="5">
        <v>690.75041666666675</v>
      </c>
      <c r="G36" s="5">
        <v>663.57166666666683</v>
      </c>
      <c r="H36" s="5">
        <v>710.38750000000005</v>
      </c>
      <c r="I36" s="5">
        <v>615.97291666666649</v>
      </c>
      <c r="J36" s="5">
        <v>632.0220833333334</v>
      </c>
      <c r="K36" s="5">
        <v>608.46958333333328</v>
      </c>
      <c r="L36" s="5">
        <v>641.8900000000001</v>
      </c>
    </row>
    <row r="37" spans="1:12" ht="11.4">
      <c r="A37" s="1">
        <f t="shared" si="0"/>
        <v>27</v>
      </c>
      <c r="B37" s="4">
        <f>+Base40h!B37</f>
        <v>44470</v>
      </c>
      <c r="C37" s="5">
        <v>415.4708333333333</v>
      </c>
      <c r="D37" s="55">
        <v>403.32708333333329</v>
      </c>
      <c r="E37" s="5">
        <v>447.87958333333319</v>
      </c>
      <c r="F37" s="5">
        <v>424.55166666666673</v>
      </c>
      <c r="G37" s="5">
        <v>363.21416666666676</v>
      </c>
      <c r="H37" s="5">
        <v>421.29291666666666</v>
      </c>
      <c r="I37" s="5">
        <v>350.27625000000006</v>
      </c>
      <c r="J37" s="5">
        <v>316.87041666666681</v>
      </c>
      <c r="K37" s="5">
        <v>344.71250000000015</v>
      </c>
      <c r="L37" s="5">
        <v>338.06916666666672</v>
      </c>
    </row>
    <row r="38" spans="1:12" ht="11.4">
      <c r="A38" s="1">
        <f t="shared" si="0"/>
        <v>28</v>
      </c>
      <c r="B38" s="4">
        <f>+Base40h!B38</f>
        <v>44501</v>
      </c>
      <c r="C38" s="5">
        <v>159.94916666666663</v>
      </c>
      <c r="D38" s="55">
        <v>171.01999999999998</v>
      </c>
      <c r="E38" s="5">
        <v>199.60541666666666</v>
      </c>
      <c r="F38" s="5">
        <v>176.03541666666669</v>
      </c>
      <c r="G38" s="5">
        <v>141.04416666666663</v>
      </c>
      <c r="H38" s="5">
        <v>168.34833333333344</v>
      </c>
      <c r="I38" s="5">
        <v>120.0291666666667</v>
      </c>
      <c r="J38" s="5">
        <v>93.621666666666698</v>
      </c>
      <c r="K38" s="5">
        <v>88.613333333333344</v>
      </c>
      <c r="L38" s="5">
        <v>120.14291666666667</v>
      </c>
    </row>
    <row r="39" spans="1:12" ht="11.4">
      <c r="A39" s="1">
        <f t="shared" si="0"/>
        <v>29</v>
      </c>
      <c r="B39" s="4">
        <f>+Base40h!B39</f>
        <v>44531</v>
      </c>
      <c r="C39" s="5">
        <v>47.814999999999998</v>
      </c>
      <c r="D39" s="55">
        <v>77.045416666666654</v>
      </c>
      <c r="E39" s="5">
        <v>77.874166666666682</v>
      </c>
      <c r="F39" s="5">
        <v>62.163750000000014</v>
      </c>
      <c r="G39" s="5">
        <v>57.710416666666674</v>
      </c>
      <c r="H39" s="5">
        <v>53.539166666666681</v>
      </c>
      <c r="I39" s="5">
        <v>29.85541666666667</v>
      </c>
      <c r="J39" s="5">
        <v>15.321250000000012</v>
      </c>
      <c r="K39" s="5">
        <v>13.88166666666667</v>
      </c>
      <c r="L39" s="5">
        <v>27.839166666666657</v>
      </c>
    </row>
    <row r="40" spans="1:12" ht="11.4">
      <c r="A40" s="1">
        <f t="shared" si="0"/>
        <v>30</v>
      </c>
      <c r="B40" s="32" t="s">
        <v>15</v>
      </c>
      <c r="C40" s="33">
        <f>SUM(C28:C39)</f>
        <v>5364.1154166666656</v>
      </c>
      <c r="D40" s="33">
        <f t="shared" si="2" ref="D40:L40">SUM(D28:D39)</f>
        <v>5133.5766666666668</v>
      </c>
      <c r="E40" s="33">
        <f t="shared" si="2"/>
        <v>5484.079999999999</v>
      </c>
      <c r="F40" s="33">
        <f t="shared" si="2"/>
        <v>5307.5720833333335</v>
      </c>
      <c r="G40" s="33">
        <f t="shared" si="2"/>
        <v>4916.5191666666678</v>
      </c>
      <c r="H40" s="33">
        <f t="shared" si="2"/>
        <v>5335.1570833333335</v>
      </c>
      <c r="I40" s="33">
        <f t="shared" si="2"/>
        <v>4764.6645833333323</v>
      </c>
      <c r="J40" s="33">
        <f t="shared" si="2"/>
        <v>4680.8616666666667</v>
      </c>
      <c r="K40" s="33">
        <f t="shared" si="2"/>
        <v>4787.9920625000013</v>
      </c>
      <c r="L40" s="33">
        <f t="shared" si="2"/>
        <v>4646.8120833333342</v>
      </c>
    </row>
    <row r="42" spans="3:13" ht="11.4"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</row>
    <row r="43" spans="3:13" ht="11.4"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3"/>
    </row>
    <row r="45" spans="3:13" ht="11.4"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</row>
    <row r="46" spans="3:13" ht="11.4"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3"/>
    </row>
  </sheetData>
  <mergeCells count="7">
    <mergeCell ref="B26:L26"/>
    <mergeCell ref="B1:L1"/>
    <mergeCell ref="B2:L2"/>
    <mergeCell ref="B3:L3"/>
    <mergeCell ref="B4:L4"/>
    <mergeCell ref="B6:L6"/>
    <mergeCell ref="B9:L9"/>
  </mergeCells>
  <pageMargins left="0.75" right="0.75" top="1" bottom="1" header="0.5" footer="0.5"/>
  <pageSetup orientation="portrait" scale="73" r:id="rId1"/>
  <headerFooter alignWithMargins="0">
    <oddHeader>&amp;RSchedule II-H-5.1
Page &amp;P of  28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pageSetUpPr fitToPage="1"/>
  </sheetPr>
  <dimension ref="A1:L40"/>
  <sheetViews>
    <sheetView workbookViewId="0" topLeftCell="A1"/>
  </sheetViews>
  <sheetFormatPr defaultColWidth="9.11428571428571" defaultRowHeight="12"/>
  <cols>
    <col min="1" max="1" width="9.14285714285714" style="1"/>
    <col min="2" max="2" width="10.4285714285714" style="2" bestFit="1" customWidth="1"/>
    <col min="3" max="3" width="11.4285714285714" style="2" customWidth="1"/>
    <col min="4" max="4" width="9.57142857142857" style="2" bestFit="1" customWidth="1"/>
    <col min="5" max="5" width="9.71428571428571" style="2" bestFit="1" customWidth="1"/>
    <col min="6" max="6" width="9.57142857142857" style="2" bestFit="1" customWidth="1"/>
    <col min="7" max="7" width="12.2857142857143" style="2" bestFit="1" customWidth="1"/>
    <col min="8" max="8" width="9.85714285714286" style="2" bestFit="1" customWidth="1"/>
    <col min="9" max="9" width="10.5714285714286" style="2" bestFit="1" customWidth="1"/>
    <col min="10" max="10" width="11.2857142857143" style="2" customWidth="1"/>
    <col min="11" max="11" width="10.4285714285714" style="2" customWidth="1"/>
    <col min="12" max="16384" width="9.14285714285714" style="2"/>
  </cols>
  <sheetData>
    <row r="1" spans="2:12" ht="15.6">
      <c r="B1" s="82" t="str">
        <f>+Base40h!B1</f>
        <v xml:space="preserve">PUC DOCKET NO. </v>
      </c>
      <c r="C1" s="82"/>
      <c r="D1" s="82"/>
      <c r="E1" s="82"/>
      <c r="F1" s="82"/>
      <c r="G1" s="82"/>
      <c r="H1" s="82"/>
      <c r="I1" s="82"/>
      <c r="J1" s="82"/>
      <c r="K1" s="82"/>
      <c r="L1" s="82"/>
    </row>
    <row r="2" spans="2:12" ht="15.6">
      <c r="B2" s="82" t="str">
        <f>+Base40h!B2</f>
        <v>ONCOR ELECTRIC DELIVERY COMPANY LLC</v>
      </c>
      <c r="C2" s="82"/>
      <c r="D2" s="82"/>
      <c r="E2" s="82"/>
      <c r="F2" s="82"/>
      <c r="G2" s="82"/>
      <c r="H2" s="82"/>
      <c r="I2" s="82"/>
      <c r="J2" s="82"/>
      <c r="K2" s="82"/>
      <c r="L2" s="82"/>
    </row>
    <row r="3" spans="2:12" ht="15.6">
      <c r="B3" s="82" t="str">
        <f>+Base40h!B3</f>
        <v>WEATHER STATION DATA</v>
      </c>
      <c r="C3" s="82"/>
      <c r="D3" s="82"/>
      <c r="E3" s="82"/>
      <c r="F3" s="82"/>
      <c r="G3" s="82"/>
      <c r="H3" s="82"/>
      <c r="I3" s="82"/>
      <c r="J3" s="82"/>
      <c r="K3" s="82"/>
      <c r="L3" s="82"/>
    </row>
    <row r="4" spans="2:12" ht="15.6">
      <c r="B4" s="82" t="str">
        <f>+Base40h!B4</f>
        <v>FOR THE TEST YEAR ENDING DECEMBER 31, 2021</v>
      </c>
      <c r="C4" s="82"/>
      <c r="D4" s="82"/>
      <c r="E4" s="82"/>
      <c r="F4" s="82"/>
      <c r="G4" s="82"/>
      <c r="H4" s="82"/>
      <c r="I4" s="82"/>
      <c r="J4" s="82"/>
      <c r="K4" s="82"/>
      <c r="L4" s="82"/>
    </row>
    <row r="6" spans="2:12" ht="15.6">
      <c r="B6" s="82" t="str">
        <f>+Base40h!B6</f>
        <v>SPONSOR: D. E. NELSON</v>
      </c>
      <c r="C6" s="82"/>
      <c r="D6" s="82"/>
      <c r="E6" s="82"/>
      <c r="F6" s="82"/>
      <c r="G6" s="82"/>
      <c r="H6" s="82"/>
      <c r="I6" s="82"/>
      <c r="J6" s="82"/>
      <c r="K6" s="82"/>
      <c r="L6" s="82"/>
    </row>
    <row r="9" spans="2:12" ht="12">
      <c r="B9" s="83" t="s">
        <v>97</v>
      </c>
      <c r="C9" s="83"/>
      <c r="D9" s="83"/>
      <c r="E9" s="83"/>
      <c r="F9" s="83"/>
      <c r="G9" s="83"/>
      <c r="H9" s="83"/>
      <c r="I9" s="83"/>
      <c r="J9" s="83"/>
      <c r="K9" s="83"/>
      <c r="L9" s="83"/>
    </row>
    <row r="10" spans="1:12" ht="34.8" thickBot="1">
      <c r="A10" s="3" t="s">
        <v>4</v>
      </c>
      <c r="C10" s="3" t="s">
        <v>55</v>
      </c>
      <c r="D10" s="3" t="s">
        <v>6</v>
      </c>
      <c r="E10" s="3" t="s">
        <v>7</v>
      </c>
      <c r="F10" s="3" t="s">
        <v>8</v>
      </c>
      <c r="G10" s="3" t="s">
        <v>9</v>
      </c>
      <c r="H10" s="3" t="s">
        <v>10</v>
      </c>
      <c r="I10" s="3" t="s">
        <v>11</v>
      </c>
      <c r="J10" s="3" t="s">
        <v>12</v>
      </c>
      <c r="K10" s="3" t="s">
        <v>13</v>
      </c>
      <c r="L10" s="3" t="s">
        <v>14</v>
      </c>
    </row>
    <row r="11" spans="1:12" ht="11.4">
      <c r="A11" s="1">
        <v>1</v>
      </c>
      <c r="B11" s="4">
        <f>+Base40h!B11</f>
        <v>44197</v>
      </c>
      <c r="C11" s="5">
        <v>2.4000000000000057</v>
      </c>
      <c r="D11" s="5">
        <v>11.5</v>
      </c>
      <c r="E11" s="5">
        <v>22.700000000000003</v>
      </c>
      <c r="F11" s="5">
        <v>11.800000000000004</v>
      </c>
      <c r="G11" s="5">
        <v>4.2999999999999972</v>
      </c>
      <c r="H11" s="5">
        <v>8.7000000000000028</v>
      </c>
      <c r="I11" s="5">
        <v>0.60000000000000142</v>
      </c>
      <c r="J11" s="5">
        <v>0</v>
      </c>
      <c r="K11" s="5">
        <v>0</v>
      </c>
      <c r="L11" s="5">
        <v>0</v>
      </c>
    </row>
    <row r="12" spans="1:12" ht="11.4">
      <c r="A12" s="1">
        <f>+A11+1</f>
        <v>2</v>
      </c>
      <c r="B12" s="4">
        <f>+Base40h!B12</f>
        <v>44228</v>
      </c>
      <c r="C12" s="5">
        <v>7.8999999999999986</v>
      </c>
      <c r="D12" s="5">
        <v>41.000000000000021</v>
      </c>
      <c r="E12" s="5">
        <v>38.90000000000002</v>
      </c>
      <c r="F12" s="5">
        <v>23.400000000000013</v>
      </c>
      <c r="G12" s="5">
        <v>16.300000000000004</v>
      </c>
      <c r="H12" s="5">
        <v>18.299999999999997</v>
      </c>
      <c r="I12" s="5">
        <v>8.7999999999999972</v>
      </c>
      <c r="J12" s="5">
        <v>0</v>
      </c>
      <c r="K12" s="5">
        <v>2.9000000000000057</v>
      </c>
      <c r="L12" s="5">
        <v>2.3000000000000043</v>
      </c>
    </row>
    <row r="13" spans="1:12" ht="11.4">
      <c r="A13" s="1">
        <f t="shared" si="0" ref="A13:A40">+A12+1</f>
        <v>3</v>
      </c>
      <c r="B13" s="4">
        <f>+Base40h!B13</f>
        <v>44256</v>
      </c>
      <c r="C13" s="5">
        <v>102.90000000000005</v>
      </c>
      <c r="D13" s="5">
        <v>134.30000000000004</v>
      </c>
      <c r="E13" s="5">
        <v>140.40000000000003</v>
      </c>
      <c r="F13" s="5">
        <v>99.500000000000057</v>
      </c>
      <c r="G13" s="5">
        <v>88.600000000000037</v>
      </c>
      <c r="H13" s="5">
        <v>100.80000000000004</v>
      </c>
      <c r="I13" s="5">
        <v>74.100000000000009</v>
      </c>
      <c r="J13" s="5">
        <v>52.000000000000021</v>
      </c>
      <c r="K13" s="5">
        <v>58.200000000000024</v>
      </c>
      <c r="L13" s="5">
        <v>66.700000000000017</v>
      </c>
    </row>
    <row r="14" spans="1:12" ht="11.4">
      <c r="A14" s="1">
        <f t="shared" si="0"/>
        <v>4</v>
      </c>
      <c r="B14" s="4">
        <f>+Base40h!B14</f>
        <v>44287</v>
      </c>
      <c r="C14" s="5">
        <v>173.40000000000001</v>
      </c>
      <c r="D14" s="5">
        <v>192.40000000000003</v>
      </c>
      <c r="E14" s="5">
        <v>197.10000000000005</v>
      </c>
      <c r="F14" s="5">
        <v>188.20000000000005</v>
      </c>
      <c r="G14" s="5">
        <v>141.00000000000006</v>
      </c>
      <c r="H14" s="5">
        <v>186.5</v>
      </c>
      <c r="I14" s="5">
        <v>143.00000000000003</v>
      </c>
      <c r="J14" s="5">
        <v>97.300000000000026</v>
      </c>
      <c r="K14" s="5">
        <v>139.19999999999999</v>
      </c>
      <c r="L14" s="5">
        <v>107.30000000000003</v>
      </c>
    </row>
    <row r="15" spans="1:12" ht="11.4">
      <c r="A15" s="1">
        <f t="shared" si="0"/>
        <v>5</v>
      </c>
      <c r="B15" s="4">
        <f>+Base40h!B15</f>
        <v>44317</v>
      </c>
      <c r="C15" s="5">
        <v>349.30000000000007</v>
      </c>
      <c r="D15" s="5">
        <v>389.60000000000008</v>
      </c>
      <c r="E15" s="5">
        <v>368.90000000000015</v>
      </c>
      <c r="F15" s="5">
        <v>342.70000000000016</v>
      </c>
      <c r="G15" s="5">
        <v>315.7000000000001</v>
      </c>
      <c r="H15" s="5">
        <v>366.10000000000025</v>
      </c>
      <c r="I15" s="5">
        <v>313.30000000000007</v>
      </c>
      <c r="J15" s="5">
        <v>269.40000000000009</v>
      </c>
      <c r="K15" s="5">
        <v>339.69999999999999</v>
      </c>
      <c r="L15" s="5">
        <v>260.60000000000014</v>
      </c>
    </row>
    <row r="16" spans="1:12" ht="11.4">
      <c r="A16" s="1">
        <f t="shared" si="0"/>
        <v>6</v>
      </c>
      <c r="B16" s="4">
        <f>+Base40h!B16</f>
        <v>44348</v>
      </c>
      <c r="C16" s="5">
        <v>657.00000000000011</v>
      </c>
      <c r="D16" s="5">
        <v>630.20000000000016</v>
      </c>
      <c r="E16" s="5">
        <v>588.40000000000009</v>
      </c>
      <c r="F16" s="5">
        <v>597.10000000000002</v>
      </c>
      <c r="G16" s="5">
        <v>576.89999999999998</v>
      </c>
      <c r="H16" s="5">
        <v>634.4000000000002</v>
      </c>
      <c r="I16" s="5">
        <v>594.20000000000005</v>
      </c>
      <c r="J16" s="5">
        <v>570.80000000000018</v>
      </c>
      <c r="K16" s="5">
        <v>590.40000000000009</v>
      </c>
      <c r="L16" s="5">
        <v>578.80000000000007</v>
      </c>
    </row>
    <row r="17" spans="1:12" ht="11.4">
      <c r="A17" s="1">
        <f t="shared" si="0"/>
        <v>7</v>
      </c>
      <c r="B17" s="4">
        <f>+Base40h!B17</f>
        <v>44378</v>
      </c>
      <c r="C17" s="5">
        <v>757.59999999999991</v>
      </c>
      <c r="D17" s="5">
        <v>662.20000000000005</v>
      </c>
      <c r="E17" s="5">
        <v>615.00000000000023</v>
      </c>
      <c r="F17" s="5">
        <v>642.79999999999995</v>
      </c>
      <c r="G17" s="5">
        <v>629.80000000000018</v>
      </c>
      <c r="H17" s="5">
        <v>694.80000000000007</v>
      </c>
      <c r="I17" s="5">
        <v>673.4000000000002</v>
      </c>
      <c r="J17" s="5">
        <v>670.70000000000005</v>
      </c>
      <c r="K17" s="5">
        <v>587.20000000000027</v>
      </c>
      <c r="L17" s="5">
        <v>678.19999999999993</v>
      </c>
    </row>
    <row r="18" spans="1:12" ht="11.4">
      <c r="A18" s="1">
        <f t="shared" si="0"/>
        <v>8</v>
      </c>
      <c r="B18" s="4">
        <f>+Base40h!B18</f>
        <v>44409</v>
      </c>
      <c r="C18" s="5">
        <v>764.39999999999998</v>
      </c>
      <c r="D18" s="5">
        <v>714.9000000000002</v>
      </c>
      <c r="E18" s="5">
        <v>664.10000000000014</v>
      </c>
      <c r="F18" s="5">
        <v>715.9000000000002</v>
      </c>
      <c r="G18" s="5">
        <v>654.30000000000007</v>
      </c>
      <c r="H18" s="5">
        <v>745</v>
      </c>
      <c r="I18" s="5">
        <v>709.60000000000002</v>
      </c>
      <c r="J18" s="5">
        <v>688.39999999999998</v>
      </c>
      <c r="K18" s="5">
        <v>590.20000000000005</v>
      </c>
      <c r="L18" s="5">
        <v>683.30000000000018</v>
      </c>
    </row>
    <row r="19" spans="1:12" ht="11.4">
      <c r="A19" s="1">
        <f t="shared" si="0"/>
        <v>9</v>
      </c>
      <c r="B19" s="4">
        <f>+Base40h!B19</f>
        <v>44440</v>
      </c>
      <c r="C19" s="5">
        <v>614.39999999999998</v>
      </c>
      <c r="D19" s="5">
        <v>540.70000000000005</v>
      </c>
      <c r="E19" s="5">
        <v>541.60000000000014</v>
      </c>
      <c r="F19" s="5">
        <v>580.80000000000018</v>
      </c>
      <c r="G19" s="5">
        <v>483.10000000000014</v>
      </c>
      <c r="H19" s="5">
        <v>585.99999999999989</v>
      </c>
      <c r="I19" s="5">
        <v>575.90000000000009</v>
      </c>
      <c r="J19" s="5">
        <v>542.20000000000005</v>
      </c>
      <c r="K19" s="5">
        <v>525.40000000000009</v>
      </c>
      <c r="L19" s="5">
        <v>536.00000000000011</v>
      </c>
    </row>
    <row r="20" spans="1:12" ht="11.4">
      <c r="A20" s="1">
        <f t="shared" si="0"/>
        <v>10</v>
      </c>
      <c r="B20" s="4">
        <f>+Base40h!B20</f>
        <v>44470</v>
      </c>
      <c r="C20" s="5">
        <v>365.30000000000013</v>
      </c>
      <c r="D20" s="5">
        <v>373.60000000000002</v>
      </c>
      <c r="E20" s="5">
        <v>343.20000000000005</v>
      </c>
      <c r="F20" s="5">
        <v>343.69999999999999</v>
      </c>
      <c r="G20" s="5">
        <v>339.00000000000011</v>
      </c>
      <c r="H20" s="5">
        <v>355.80000000000001</v>
      </c>
      <c r="I20" s="5">
        <v>311.40000000000003</v>
      </c>
      <c r="J20" s="5">
        <v>253.90000000000006</v>
      </c>
      <c r="K20" s="5">
        <v>270.7000000000001</v>
      </c>
      <c r="L20" s="5">
        <v>263.70000000000005</v>
      </c>
    </row>
    <row r="21" spans="1:12" ht="11.4">
      <c r="A21" s="1">
        <f t="shared" si="0"/>
        <v>11</v>
      </c>
      <c r="B21" s="4">
        <f>+Base40h!B21</f>
        <v>44501</v>
      </c>
      <c r="C21" s="5">
        <v>49.300000000000004</v>
      </c>
      <c r="D21" s="5">
        <v>44.600000000000023</v>
      </c>
      <c r="E21" s="5">
        <v>59.800000000000004</v>
      </c>
      <c r="F21" s="5">
        <v>57.300000000000004</v>
      </c>
      <c r="G21" s="5">
        <v>36.399999999999999</v>
      </c>
      <c r="H21" s="5">
        <v>60.900000000000006</v>
      </c>
      <c r="I21" s="5">
        <v>48.700000000000003</v>
      </c>
      <c r="J21" s="5">
        <v>23.000000000000007</v>
      </c>
      <c r="K21" s="5">
        <v>25.700000000000003</v>
      </c>
      <c r="L21" s="5">
        <v>29.000000000000028</v>
      </c>
    </row>
    <row r="22" spans="1:12" ht="11.4">
      <c r="A22" s="1">
        <f t="shared" si="0"/>
        <v>12</v>
      </c>
      <c r="B22" s="4">
        <f>+Base40h!B22</f>
        <v>44531</v>
      </c>
      <c r="C22" s="5">
        <v>144.00000000000003</v>
      </c>
      <c r="D22" s="5">
        <v>197.70000000000005</v>
      </c>
      <c r="E22" s="5">
        <v>158.70000000000005</v>
      </c>
      <c r="F22" s="5">
        <v>162</v>
      </c>
      <c r="G22" s="5">
        <v>166.60000000000002</v>
      </c>
      <c r="H22" s="5">
        <v>166.79999999999998</v>
      </c>
      <c r="I22" s="5">
        <v>113.00000000000003</v>
      </c>
      <c r="J22" s="5">
        <v>53.099999999999987</v>
      </c>
      <c r="K22" s="5">
        <v>34.800000000000011</v>
      </c>
      <c r="L22" s="5">
        <v>95.099999999999994</v>
      </c>
    </row>
    <row r="23" spans="1:12" ht="11.4">
      <c r="A23" s="1">
        <f t="shared" si="0"/>
        <v>13</v>
      </c>
      <c r="B23" s="32" t="s">
        <v>15</v>
      </c>
      <c r="C23" s="33">
        <f>SUM(C11:C22)</f>
        <v>3987.9000000000005</v>
      </c>
      <c r="D23" s="33">
        <f t="shared" si="1" ref="D23:L23">SUM(D11:D22)</f>
        <v>3932.7000000000007</v>
      </c>
      <c r="E23" s="33">
        <f t="shared" si="1"/>
        <v>3738.8000000000011</v>
      </c>
      <c r="F23" s="33">
        <f t="shared" si="1"/>
        <v>3765.2000000000007</v>
      </c>
      <c r="G23" s="33">
        <f t="shared" si="1"/>
        <v>3452.0000000000009</v>
      </c>
      <c r="H23" s="33">
        <f t="shared" si="1"/>
        <v>3924.1000000000013</v>
      </c>
      <c r="I23" s="33">
        <f t="shared" si="1"/>
        <v>3566</v>
      </c>
      <c r="J23" s="33">
        <f t="shared" si="1"/>
        <v>3220.8000000000002</v>
      </c>
      <c r="K23" s="33">
        <f t="shared" si="1"/>
        <v>3164.4000000000005</v>
      </c>
      <c r="L23" s="33">
        <f t="shared" si="1"/>
        <v>3301.0000000000005</v>
      </c>
    </row>
    <row r="24" spans="1:1" ht="11.4">
      <c r="A24" s="1">
        <f t="shared" si="0"/>
        <v>14</v>
      </c>
    </row>
    <row r="25" spans="1:1" ht="11.4">
      <c r="A25" s="1">
        <f t="shared" si="0"/>
        <v>15</v>
      </c>
    </row>
    <row r="26" spans="1:12" ht="12">
      <c r="A26" s="1">
        <f t="shared" si="0"/>
        <v>16</v>
      </c>
      <c r="B26" s="83" t="s">
        <v>98</v>
      </c>
      <c r="C26" s="83"/>
      <c r="D26" s="83"/>
      <c r="E26" s="83"/>
      <c r="F26" s="83"/>
      <c r="G26" s="83"/>
      <c r="H26" s="83"/>
      <c r="I26" s="83"/>
      <c r="J26" s="83"/>
      <c r="K26" s="83"/>
      <c r="L26" s="83"/>
    </row>
    <row r="27" spans="1:12" ht="34.8" thickBot="1">
      <c r="A27" s="1">
        <f t="shared" si="0"/>
        <v>17</v>
      </c>
      <c r="C27" s="3" t="s">
        <v>55</v>
      </c>
      <c r="D27" s="3" t="s">
        <v>6</v>
      </c>
      <c r="E27" s="74" t="s">
        <v>7</v>
      </c>
      <c r="F27" s="74" t="s">
        <v>8</v>
      </c>
      <c r="G27" s="74" t="s">
        <v>9</v>
      </c>
      <c r="H27" s="74" t="s">
        <v>10</v>
      </c>
      <c r="I27" s="74" t="s">
        <v>11</v>
      </c>
      <c r="J27" s="74" t="s">
        <v>12</v>
      </c>
      <c r="K27" s="74" t="s">
        <v>13</v>
      </c>
      <c r="L27" s="74" t="s">
        <v>14</v>
      </c>
    </row>
    <row r="28" spans="1:12" ht="11.4">
      <c r="A28" s="1">
        <f t="shared" si="0"/>
        <v>18</v>
      </c>
      <c r="B28" s="4">
        <f>+Base40h!B28</f>
        <v>44197</v>
      </c>
      <c r="C28" s="5">
        <v>13.692916666666671</v>
      </c>
      <c r="D28" s="5">
        <v>26.631666666666671</v>
      </c>
      <c r="E28" s="5">
        <v>25.655416666666667</v>
      </c>
      <c r="F28" s="5">
        <v>19.30541666666667</v>
      </c>
      <c r="G28" s="5">
        <v>18.509999999999987</v>
      </c>
      <c r="H28" s="5">
        <v>14.709999999999994</v>
      </c>
      <c r="I28" s="5">
        <v>6.4424999999999999</v>
      </c>
      <c r="J28" s="5">
        <v>3.6620833333333458</v>
      </c>
      <c r="K28" s="5">
        <v>1.1341666666666652</v>
      </c>
      <c r="L28" s="5">
        <v>6.6504166666666711</v>
      </c>
    </row>
    <row r="29" spans="1:12" ht="11.4">
      <c r="A29" s="1">
        <f t="shared" si="0"/>
        <v>19</v>
      </c>
      <c r="B29" s="4">
        <f>+Base40h!B29</f>
        <v>44228</v>
      </c>
      <c r="C29" s="5">
        <v>29.371666666666666</v>
      </c>
      <c r="D29" s="5">
        <v>40.569583333333348</v>
      </c>
      <c r="E29" s="5">
        <v>47.993749999999999</v>
      </c>
      <c r="F29" s="5">
        <v>36.942500000000003</v>
      </c>
      <c r="G29" s="5">
        <v>28.783750000000008</v>
      </c>
      <c r="H29" s="5">
        <v>29.381250000000009</v>
      </c>
      <c r="I29" s="5">
        <v>20.1325</v>
      </c>
      <c r="J29" s="5">
        <v>10.985000000000005</v>
      </c>
      <c r="K29" s="5">
        <v>13.127083333333342</v>
      </c>
      <c r="L29" s="5">
        <v>14.264583333333327</v>
      </c>
    </row>
    <row r="30" spans="1:12" ht="11.4">
      <c r="A30" s="1">
        <f t="shared" si="0"/>
        <v>20</v>
      </c>
      <c r="B30" s="4">
        <f>+Base40h!B30</f>
        <v>44256</v>
      </c>
      <c r="C30" s="5">
        <v>103.75875000000004</v>
      </c>
      <c r="D30" s="5">
        <v>117.61208333333333</v>
      </c>
      <c r="E30" s="5">
        <v>133.33083333333332</v>
      </c>
      <c r="F30" s="5">
        <v>112.94166666666666</v>
      </c>
      <c r="G30" s="5">
        <v>93.247500000000016</v>
      </c>
      <c r="H30" s="5">
        <v>103.59958333333334</v>
      </c>
      <c r="I30" s="5">
        <v>85.892083333333332</v>
      </c>
      <c r="J30" s="5">
        <v>68.384583333333367</v>
      </c>
      <c r="K30" s="5">
        <v>83.000416666666666</v>
      </c>
      <c r="L30" s="5">
        <v>62.860000000000021</v>
      </c>
    </row>
    <row r="31" spans="1:12" ht="11.4">
      <c r="A31" s="1">
        <f t="shared" si="0"/>
        <v>21</v>
      </c>
      <c r="B31" s="4">
        <f>+Base40h!B31</f>
        <v>44287</v>
      </c>
      <c r="C31" s="5">
        <v>230.67000000000007</v>
      </c>
      <c r="D31" s="5">
        <v>243.08708333333337</v>
      </c>
      <c r="E31" s="5">
        <v>272.59083333333336</v>
      </c>
      <c r="F31" s="5">
        <v>248.36500000000001</v>
      </c>
      <c r="G31" s="5">
        <v>208.91875000000005</v>
      </c>
      <c r="H31" s="5">
        <v>235.18166666666667</v>
      </c>
      <c r="I31" s="5">
        <v>208.02083333333334</v>
      </c>
      <c r="J31" s="5">
        <v>176.17999999999998</v>
      </c>
      <c r="K31" s="5">
        <v>230.08291666666673</v>
      </c>
      <c r="L31" s="5">
        <v>162.97125</v>
      </c>
    </row>
    <row r="32" spans="1:12" ht="11.4">
      <c r="A32" s="1">
        <f t="shared" si="0"/>
        <v>22</v>
      </c>
      <c r="B32" s="4">
        <f>+Base40h!B32</f>
        <v>44317</v>
      </c>
      <c r="C32" s="5">
        <v>452.05541666666664</v>
      </c>
      <c r="D32" s="5">
        <v>444.88541666666674</v>
      </c>
      <c r="E32" s="5">
        <v>484.54666666666674</v>
      </c>
      <c r="F32" s="5">
        <v>451.26791666666674</v>
      </c>
      <c r="G32" s="5">
        <v>416.1733333333334</v>
      </c>
      <c r="H32" s="5">
        <v>452.27500000000003</v>
      </c>
      <c r="I32" s="5">
        <v>408.51708333333323</v>
      </c>
      <c r="J32" s="5">
        <v>389.09208333333333</v>
      </c>
      <c r="K32" s="5">
        <v>455.85458333333338</v>
      </c>
      <c r="L32" s="5">
        <v>361.24250000000001</v>
      </c>
    </row>
    <row r="33" spans="1:12" ht="11.4">
      <c r="A33" s="1">
        <f t="shared" si="0"/>
        <v>23</v>
      </c>
      <c r="B33" s="4">
        <f>+Base40h!B33</f>
        <v>44348</v>
      </c>
      <c r="C33" s="5">
        <v>676.76749999999993</v>
      </c>
      <c r="D33" s="5">
        <v>611.61750000000006</v>
      </c>
      <c r="E33" s="5">
        <v>657.34791666666683</v>
      </c>
      <c r="F33" s="5">
        <v>645.7750000000002</v>
      </c>
      <c r="G33" s="5">
        <v>605.61333333333346</v>
      </c>
      <c r="H33" s="5">
        <v>664.25416666666672</v>
      </c>
      <c r="I33" s="5">
        <v>615.57750000000021</v>
      </c>
      <c r="J33" s="5">
        <v>627.98458333333326</v>
      </c>
      <c r="K33" s="5">
        <v>667.61539583333354</v>
      </c>
      <c r="L33" s="5">
        <v>604.1229166666667</v>
      </c>
    </row>
    <row r="34" spans="1:12" ht="11.4">
      <c r="A34" s="1">
        <f t="shared" si="0"/>
        <v>24</v>
      </c>
      <c r="B34" s="4">
        <f>+Base40h!B34</f>
        <v>44378</v>
      </c>
      <c r="C34" s="5">
        <v>801.95833333333348</v>
      </c>
      <c r="D34" s="5">
        <v>687.52125000000001</v>
      </c>
      <c r="E34" s="5">
        <v>729.95958333333351</v>
      </c>
      <c r="F34" s="5">
        <v>747.31500000000017</v>
      </c>
      <c r="G34" s="5">
        <v>708.38875000000019</v>
      </c>
      <c r="H34" s="5">
        <v>781.35708333333332</v>
      </c>
      <c r="I34" s="5">
        <v>722.44041666666669</v>
      </c>
      <c r="J34" s="5">
        <v>767.77958333333345</v>
      </c>
      <c r="K34" s="5">
        <v>722.60666666666668</v>
      </c>
      <c r="L34" s="5">
        <v>737.51583333333338</v>
      </c>
    </row>
    <row r="35" spans="1:12" ht="11.4">
      <c r="A35" s="1">
        <f t="shared" si="0"/>
        <v>25</v>
      </c>
      <c r="B35" s="4">
        <f>+Base40h!B35</f>
        <v>44409</v>
      </c>
      <c r="C35" s="5">
        <v>813.51416666666682</v>
      </c>
      <c r="D35" s="5">
        <v>702.01250000000016</v>
      </c>
      <c r="E35" s="5">
        <v>759.18041666666682</v>
      </c>
      <c r="F35" s="5">
        <v>768.58375000000001</v>
      </c>
      <c r="G35" s="5">
        <v>716.13291666666692</v>
      </c>
      <c r="H35" s="5">
        <v>795.62708333333353</v>
      </c>
      <c r="I35" s="5">
        <v>717.05416666666679</v>
      </c>
      <c r="J35" s="5">
        <v>751.89083333333349</v>
      </c>
      <c r="K35" s="5">
        <v>703.75541666666675</v>
      </c>
      <c r="L35" s="5">
        <v>735.59000000000026</v>
      </c>
    </row>
    <row r="36" spans="1:12" ht="11.4">
      <c r="A36" s="1">
        <f t="shared" si="0"/>
        <v>26</v>
      </c>
      <c r="B36" s="4">
        <f>+Base40h!B36</f>
        <v>44440</v>
      </c>
      <c r="C36" s="5">
        <v>574.33833333333348</v>
      </c>
      <c r="D36" s="5">
        <v>524.64250000000004</v>
      </c>
      <c r="E36" s="5">
        <v>554.98500000000001</v>
      </c>
      <c r="F36" s="5">
        <v>540.79041666666683</v>
      </c>
      <c r="G36" s="5">
        <v>513.58625000000006</v>
      </c>
      <c r="H36" s="5">
        <v>560.38750000000005</v>
      </c>
      <c r="I36" s="5">
        <v>466.74374999999998</v>
      </c>
      <c r="J36" s="5">
        <v>482.58208333333346</v>
      </c>
      <c r="K36" s="5">
        <v>459.48458333333326</v>
      </c>
      <c r="L36" s="5">
        <v>491.91041666666666</v>
      </c>
    </row>
    <row r="37" spans="1:12" ht="11.4">
      <c r="A37" s="1">
        <f t="shared" si="0"/>
        <v>27</v>
      </c>
      <c r="B37" s="4">
        <f>+Base40h!B37</f>
        <v>44470</v>
      </c>
      <c r="C37" s="5">
        <v>278.23416666666668</v>
      </c>
      <c r="D37" s="5">
        <v>266.41208333333327</v>
      </c>
      <c r="E37" s="5">
        <v>306.70625000000001</v>
      </c>
      <c r="F37" s="5">
        <v>286.20541666666662</v>
      </c>
      <c r="G37" s="5">
        <v>232.23624999999998</v>
      </c>
      <c r="H37" s="5">
        <v>284.10416666666669</v>
      </c>
      <c r="I37" s="5">
        <v>222.27625000000012</v>
      </c>
      <c r="J37" s="5">
        <v>195.14291666666674</v>
      </c>
      <c r="K37" s="5">
        <v>216.11416666666671</v>
      </c>
      <c r="L37" s="5">
        <v>213.52750000000003</v>
      </c>
    </row>
    <row r="38" spans="1:12" ht="11.4">
      <c r="A38" s="1">
        <f t="shared" si="0"/>
        <v>28</v>
      </c>
      <c r="B38" s="4">
        <f>+Base40h!B38</f>
        <v>44501</v>
      </c>
      <c r="C38" s="5">
        <v>80.37375000000003</v>
      </c>
      <c r="D38" s="5">
        <v>90.378749999999997</v>
      </c>
      <c r="E38" s="5">
        <v>111.16500000000002</v>
      </c>
      <c r="F38" s="5">
        <v>91.677916666666647</v>
      </c>
      <c r="G38" s="5">
        <v>69.397916666666646</v>
      </c>
      <c r="H38" s="5">
        <v>87.184583333333364</v>
      </c>
      <c r="I38" s="5">
        <v>53.417916666666677</v>
      </c>
      <c r="J38" s="5">
        <v>39.226666666666674</v>
      </c>
      <c r="K38" s="5">
        <v>34.000833333333325</v>
      </c>
      <c r="L38" s="5">
        <v>53.549166666666672</v>
      </c>
    </row>
    <row r="39" spans="1:12" ht="11.4">
      <c r="A39" s="1">
        <f t="shared" si="0"/>
        <v>29</v>
      </c>
      <c r="B39" s="4">
        <f>+Base40h!B39</f>
        <v>44531</v>
      </c>
      <c r="C39" s="5">
        <v>18.526250000000001</v>
      </c>
      <c r="D39" s="5">
        <v>36.39875</v>
      </c>
      <c r="E39" s="5">
        <v>35.627916666666685</v>
      </c>
      <c r="F39" s="5">
        <v>24.446249999999999</v>
      </c>
      <c r="G39" s="5">
        <v>24.229583333333331</v>
      </c>
      <c r="H39" s="5">
        <v>20.349583333333332</v>
      </c>
      <c r="I39" s="5">
        <v>8.6904166666666711</v>
      </c>
      <c r="J39" s="5">
        <v>4.5125000000000055</v>
      </c>
      <c r="K39" s="5">
        <v>2.2020833333333365</v>
      </c>
      <c r="L39" s="5">
        <v>9.1037499999999962</v>
      </c>
    </row>
    <row r="40" spans="1:12" ht="11.4">
      <c r="A40" s="1">
        <f t="shared" si="0"/>
        <v>30</v>
      </c>
      <c r="B40" s="32" t="s">
        <v>15</v>
      </c>
      <c r="C40" s="33">
        <f>SUM(C28:C39)</f>
        <v>4073.2612500000009</v>
      </c>
      <c r="D40" s="33">
        <f t="shared" si="2" ref="D40:L40">SUM(D28:D39)</f>
        <v>3791.7691666666665</v>
      </c>
      <c r="E40" s="33">
        <f t="shared" si="2"/>
        <v>4119.0895833333343</v>
      </c>
      <c r="F40" s="33">
        <f t="shared" si="2"/>
        <v>3973.61625</v>
      </c>
      <c r="G40" s="33">
        <f t="shared" si="2"/>
        <v>3635.2183333333337</v>
      </c>
      <c r="H40" s="33">
        <f t="shared" si="2"/>
        <v>4028.4116666666664</v>
      </c>
      <c r="I40" s="33">
        <f t="shared" si="2"/>
        <v>3535.2054166666676</v>
      </c>
      <c r="J40" s="33">
        <f t="shared" si="2"/>
        <v>3517.4229166666664</v>
      </c>
      <c r="K40" s="33">
        <f t="shared" si="2"/>
        <v>3588.9783125000004</v>
      </c>
      <c r="L40" s="33">
        <f t="shared" si="2"/>
        <v>3453.3083333333338</v>
      </c>
    </row>
  </sheetData>
  <mergeCells count="7">
    <mergeCell ref="B26:L26"/>
    <mergeCell ref="B1:L1"/>
    <mergeCell ref="B2:L2"/>
    <mergeCell ref="B3:L3"/>
    <mergeCell ref="B4:L4"/>
    <mergeCell ref="B6:L6"/>
    <mergeCell ref="B9:L9"/>
  </mergeCells>
  <pageMargins left="0.75" right="0.75" top="1" bottom="1" header="0.5" footer="0.5"/>
  <pageSetup orientation="portrait" scale="73" r:id="rId1"/>
  <headerFooter alignWithMargins="0">
    <oddHeader>&amp;RSchedule II-H-5.1
Page &amp;P of  28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pageSetUpPr fitToPage="1"/>
  </sheetPr>
  <dimension ref="A1:L40"/>
  <sheetViews>
    <sheetView workbookViewId="0" topLeftCell="A1"/>
  </sheetViews>
  <sheetFormatPr defaultColWidth="9.11428571428571" defaultRowHeight="12"/>
  <cols>
    <col min="1" max="1" width="9.14285714285714" style="1"/>
    <col min="2" max="2" width="10.4285714285714" style="2" bestFit="1" customWidth="1"/>
    <col min="3" max="3" width="11.4285714285714" style="2" customWidth="1"/>
    <col min="4" max="4" width="9.57142857142857" style="2" bestFit="1" customWidth="1"/>
    <col min="5" max="5" width="9.71428571428571" style="2" bestFit="1" customWidth="1"/>
    <col min="6" max="6" width="9.57142857142857" style="2" bestFit="1" customWidth="1"/>
    <col min="7" max="7" width="12.2857142857143" style="2" bestFit="1" customWidth="1"/>
    <col min="8" max="8" width="9.85714285714286" style="2" bestFit="1" customWidth="1"/>
    <col min="9" max="9" width="10.5714285714286" style="2" bestFit="1" customWidth="1"/>
    <col min="10" max="10" width="11.2857142857143" style="2" customWidth="1"/>
    <col min="11" max="11" width="10.4285714285714" style="2" customWidth="1"/>
    <col min="12" max="16384" width="9.14285714285714" style="2"/>
  </cols>
  <sheetData>
    <row r="1" spans="2:12" ht="15.6">
      <c r="B1" s="82" t="str">
        <f>+Base40h!B1</f>
        <v xml:space="preserve">PUC DOCKET NO. </v>
      </c>
      <c r="C1" s="82"/>
      <c r="D1" s="82"/>
      <c r="E1" s="82"/>
      <c r="F1" s="82"/>
      <c r="G1" s="82"/>
      <c r="H1" s="82"/>
      <c r="I1" s="82"/>
      <c r="J1" s="82"/>
      <c r="K1" s="82"/>
      <c r="L1" s="82"/>
    </row>
    <row r="2" spans="2:12" ht="15.6">
      <c r="B2" s="82" t="str">
        <f>+Base40h!B2</f>
        <v>ONCOR ELECTRIC DELIVERY COMPANY LLC</v>
      </c>
      <c r="C2" s="82"/>
      <c r="D2" s="82"/>
      <c r="E2" s="82"/>
      <c r="F2" s="82"/>
      <c r="G2" s="82"/>
      <c r="H2" s="82"/>
      <c r="I2" s="82"/>
      <c r="J2" s="82"/>
      <c r="K2" s="82"/>
      <c r="L2" s="82"/>
    </row>
    <row r="3" spans="2:12" ht="15.6">
      <c r="B3" s="82" t="str">
        <f>+Base40h!B3</f>
        <v>WEATHER STATION DATA</v>
      </c>
      <c r="C3" s="82"/>
      <c r="D3" s="82"/>
      <c r="E3" s="82"/>
      <c r="F3" s="82"/>
      <c r="G3" s="82"/>
      <c r="H3" s="82"/>
      <c r="I3" s="82"/>
      <c r="J3" s="82"/>
      <c r="K3" s="82"/>
      <c r="L3" s="82"/>
    </row>
    <row r="4" spans="2:12" ht="15.6">
      <c r="B4" s="82" t="str">
        <f>+Base40h!B4</f>
        <v>FOR THE TEST YEAR ENDING DECEMBER 31, 2021</v>
      </c>
      <c r="C4" s="82"/>
      <c r="D4" s="82"/>
      <c r="E4" s="82"/>
      <c r="F4" s="82"/>
      <c r="G4" s="82"/>
      <c r="H4" s="82"/>
      <c r="I4" s="82"/>
      <c r="J4" s="82"/>
      <c r="K4" s="82"/>
      <c r="L4" s="82"/>
    </row>
    <row r="6" spans="2:12" ht="15.6">
      <c r="B6" s="82" t="str">
        <f>+Base40h!B6</f>
        <v>SPONSOR: D. E. NELSON</v>
      </c>
      <c r="C6" s="82"/>
      <c r="D6" s="82"/>
      <c r="E6" s="82"/>
      <c r="F6" s="82"/>
      <c r="G6" s="82"/>
      <c r="H6" s="82"/>
      <c r="I6" s="82"/>
      <c r="J6" s="82"/>
      <c r="K6" s="82"/>
      <c r="L6" s="82"/>
    </row>
    <row r="9" spans="2:12" ht="12">
      <c r="B9" s="83" t="s">
        <v>22</v>
      </c>
      <c r="C9" s="83"/>
      <c r="D9" s="83"/>
      <c r="E9" s="83"/>
      <c r="F9" s="83"/>
      <c r="G9" s="83"/>
      <c r="H9" s="83"/>
      <c r="I9" s="83"/>
      <c r="J9" s="83"/>
      <c r="K9" s="83"/>
      <c r="L9" s="83"/>
    </row>
    <row r="10" spans="1:12" ht="34.8" thickBot="1">
      <c r="A10" s="3" t="s">
        <v>4</v>
      </c>
      <c r="C10" s="3" t="s">
        <v>55</v>
      </c>
      <c r="D10" s="3" t="s">
        <v>6</v>
      </c>
      <c r="E10" s="3" t="s">
        <v>7</v>
      </c>
      <c r="F10" s="3" t="s">
        <v>8</v>
      </c>
      <c r="G10" s="3" t="s">
        <v>9</v>
      </c>
      <c r="H10" s="3" t="s">
        <v>10</v>
      </c>
      <c r="I10" s="3" t="s">
        <v>11</v>
      </c>
      <c r="J10" s="3" t="s">
        <v>12</v>
      </c>
      <c r="K10" s="3" t="s">
        <v>13</v>
      </c>
      <c r="L10" s="3" t="s">
        <v>14</v>
      </c>
    </row>
    <row r="11" spans="1:12" ht="11.4">
      <c r="A11" s="1">
        <v>1</v>
      </c>
      <c r="B11" s="4">
        <f>+Base40h!B11</f>
        <v>44197</v>
      </c>
      <c r="C11" s="5">
        <v>0</v>
      </c>
      <c r="D11" s="5">
        <v>3.2999999999999972</v>
      </c>
      <c r="E11" s="5">
        <v>2.7999999999999972</v>
      </c>
      <c r="F11" s="5">
        <v>0.20000000000000284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</row>
    <row r="12" spans="1:12" ht="11.4">
      <c r="A12" s="1">
        <f>+A11+1</f>
        <v>2</v>
      </c>
      <c r="B12" s="4">
        <f>+Base40h!B12</f>
        <v>44228</v>
      </c>
      <c r="C12" s="5">
        <v>0</v>
      </c>
      <c r="D12" s="5">
        <v>17.700000000000017</v>
      </c>
      <c r="E12" s="5">
        <v>18.700000000000017</v>
      </c>
      <c r="F12" s="5">
        <v>3.3000000000000114</v>
      </c>
      <c r="G12" s="5">
        <v>6.2999999999999972</v>
      </c>
      <c r="H12" s="5">
        <v>1.5</v>
      </c>
      <c r="I12" s="5">
        <v>0</v>
      </c>
      <c r="J12" s="5">
        <v>0</v>
      </c>
      <c r="K12" s="5">
        <v>0</v>
      </c>
      <c r="L12" s="5">
        <v>0</v>
      </c>
    </row>
    <row r="13" spans="1:12" ht="11.4">
      <c r="A13" s="1">
        <f t="shared" si="0" ref="A13:A40">+A12+1</f>
        <v>3</v>
      </c>
      <c r="B13" s="4">
        <f>+Base40h!B13</f>
        <v>44256</v>
      </c>
      <c r="C13" s="5">
        <v>38.200000000000031</v>
      </c>
      <c r="D13" s="5">
        <v>52.700000000000031</v>
      </c>
      <c r="E13" s="5">
        <v>56.40000000000002</v>
      </c>
      <c r="F13" s="5">
        <v>35.100000000000009</v>
      </c>
      <c r="G13" s="5">
        <v>32.800000000000011</v>
      </c>
      <c r="H13" s="5">
        <v>37.600000000000023</v>
      </c>
      <c r="I13" s="5">
        <v>17.200000000000003</v>
      </c>
      <c r="J13" s="5">
        <v>13.200000000000017</v>
      </c>
      <c r="K13" s="5">
        <v>11.900000000000006</v>
      </c>
      <c r="L13" s="5">
        <v>21.100000000000009</v>
      </c>
    </row>
    <row r="14" spans="1:12" ht="11.4">
      <c r="A14" s="1">
        <f t="shared" si="0"/>
        <v>4</v>
      </c>
      <c r="B14" s="4">
        <f>+Base40h!B14</f>
        <v>44287</v>
      </c>
      <c r="C14" s="5">
        <v>78.200000000000017</v>
      </c>
      <c r="D14" s="5">
        <v>94.59999999999998</v>
      </c>
      <c r="E14" s="5">
        <v>99.200000000000045</v>
      </c>
      <c r="F14" s="5">
        <v>93.5</v>
      </c>
      <c r="G14" s="5">
        <v>56.700000000000017</v>
      </c>
      <c r="H14" s="5">
        <v>92.900000000000006</v>
      </c>
      <c r="I14" s="5">
        <v>73.90000000000002</v>
      </c>
      <c r="J14" s="5">
        <v>36.300000000000011</v>
      </c>
      <c r="K14" s="5">
        <v>72.5</v>
      </c>
      <c r="L14" s="5">
        <v>34.700000000000003</v>
      </c>
    </row>
    <row r="15" spans="1:12" ht="11.4">
      <c r="A15" s="1">
        <f t="shared" si="0"/>
        <v>5</v>
      </c>
      <c r="B15" s="4">
        <f>+Base40h!B15</f>
        <v>44317</v>
      </c>
      <c r="C15" s="5">
        <v>209.30000000000007</v>
      </c>
      <c r="D15" s="5">
        <v>236.60000000000002</v>
      </c>
      <c r="E15" s="5">
        <v>215.7000000000001</v>
      </c>
      <c r="F15" s="5">
        <v>197.90000000000009</v>
      </c>
      <c r="G15" s="5">
        <v>171.10000000000002</v>
      </c>
      <c r="H15" s="5">
        <v>219.50000000000017</v>
      </c>
      <c r="I15" s="5">
        <v>179.90000000000001</v>
      </c>
      <c r="J15" s="5">
        <v>139.20000000000002</v>
      </c>
      <c r="K15" s="5">
        <v>206.80000000000007</v>
      </c>
      <c r="L15" s="5">
        <v>129.20000000000002</v>
      </c>
    </row>
    <row r="16" spans="1:12" ht="11.4">
      <c r="A16" s="1">
        <f t="shared" si="0"/>
        <v>6</v>
      </c>
      <c r="B16" s="4">
        <f>+Base40h!B16</f>
        <v>44348</v>
      </c>
      <c r="C16" s="5">
        <v>507.00000000000028</v>
      </c>
      <c r="D16" s="5">
        <v>480.20000000000016</v>
      </c>
      <c r="E16" s="5">
        <v>438.4000000000002</v>
      </c>
      <c r="F16" s="5">
        <v>447.10000000000002</v>
      </c>
      <c r="G16" s="5">
        <v>426.9000000000002</v>
      </c>
      <c r="H16" s="5">
        <v>484.40000000000009</v>
      </c>
      <c r="I16" s="5">
        <v>444.2000000000001</v>
      </c>
      <c r="J16" s="5">
        <v>420.80000000000013</v>
      </c>
      <c r="K16" s="5">
        <v>440.40000000000015</v>
      </c>
      <c r="L16" s="5">
        <v>428.80000000000007</v>
      </c>
    </row>
    <row r="17" spans="1:12" ht="11.4">
      <c r="A17" s="1">
        <f t="shared" si="0"/>
        <v>7</v>
      </c>
      <c r="B17" s="4">
        <f>+Base40h!B17</f>
        <v>44378</v>
      </c>
      <c r="C17" s="5">
        <v>602.60000000000002</v>
      </c>
      <c r="D17" s="5">
        <v>507.19999999999993</v>
      </c>
      <c r="E17" s="5">
        <v>460.00000000000011</v>
      </c>
      <c r="F17" s="5">
        <v>487.80000000000007</v>
      </c>
      <c r="G17" s="5">
        <v>474.80000000000018</v>
      </c>
      <c r="H17" s="5">
        <v>539.79999999999995</v>
      </c>
      <c r="I17" s="5">
        <v>518.4000000000002</v>
      </c>
      <c r="J17" s="5">
        <v>515.70000000000016</v>
      </c>
      <c r="K17" s="5">
        <v>432.20000000000005</v>
      </c>
      <c r="L17" s="5">
        <v>523.20000000000016</v>
      </c>
    </row>
    <row r="18" spans="1:12" ht="11.4">
      <c r="A18" s="1">
        <f t="shared" si="0"/>
        <v>8</v>
      </c>
      <c r="B18" s="4">
        <f>+Base40h!B18</f>
        <v>44409</v>
      </c>
      <c r="C18" s="5">
        <v>609.40000000000009</v>
      </c>
      <c r="D18" s="5">
        <v>559.90000000000009</v>
      </c>
      <c r="E18" s="5">
        <v>509.10000000000014</v>
      </c>
      <c r="F18" s="5">
        <v>560.90000000000009</v>
      </c>
      <c r="G18" s="5">
        <v>499.30000000000007</v>
      </c>
      <c r="H18" s="5">
        <v>590</v>
      </c>
      <c r="I18" s="5">
        <v>554.60000000000002</v>
      </c>
      <c r="J18" s="5">
        <v>533.4000000000002</v>
      </c>
      <c r="K18" s="5">
        <v>435.2000000000001</v>
      </c>
      <c r="L18" s="5">
        <v>528.30000000000007</v>
      </c>
    </row>
    <row r="19" spans="1:12" ht="11.4">
      <c r="A19" s="1">
        <f t="shared" si="0"/>
        <v>9</v>
      </c>
      <c r="B19" s="4">
        <f>+Base40h!B19</f>
        <v>44440</v>
      </c>
      <c r="C19" s="5">
        <v>464.40000000000003</v>
      </c>
      <c r="D19" s="5">
        <v>390.70000000000016</v>
      </c>
      <c r="E19" s="5">
        <v>391.60000000000008</v>
      </c>
      <c r="F19" s="5">
        <v>430.80000000000013</v>
      </c>
      <c r="G19" s="5">
        <v>333.10000000000014</v>
      </c>
      <c r="H19" s="5">
        <v>436.00000000000006</v>
      </c>
      <c r="I19" s="5">
        <v>425.90000000000015</v>
      </c>
      <c r="J19" s="5">
        <v>392.20000000000016</v>
      </c>
      <c r="K19" s="5">
        <v>375.40000000000009</v>
      </c>
      <c r="L19" s="5">
        <v>386.00000000000011</v>
      </c>
    </row>
    <row r="20" spans="1:12" ht="11.4">
      <c r="A20" s="1">
        <f t="shared" si="0"/>
        <v>10</v>
      </c>
      <c r="B20" s="4">
        <f>+Base40h!B20</f>
        <v>44470</v>
      </c>
      <c r="C20" s="5">
        <v>227.00000000000006</v>
      </c>
      <c r="D20" s="5">
        <v>244.5</v>
      </c>
      <c r="E20" s="5">
        <v>211.70000000000002</v>
      </c>
      <c r="F20" s="5">
        <v>210.60000000000002</v>
      </c>
      <c r="G20" s="5">
        <v>214.00000000000009</v>
      </c>
      <c r="H20" s="5">
        <v>225.90000000000009</v>
      </c>
      <c r="I20" s="5">
        <v>185.90000000000006</v>
      </c>
      <c r="J20" s="5">
        <v>139.80000000000007</v>
      </c>
      <c r="K20" s="5">
        <v>154.00000000000009</v>
      </c>
      <c r="L20" s="5">
        <v>141.70000000000005</v>
      </c>
    </row>
    <row r="21" spans="1:12" ht="11.4">
      <c r="A21" s="1">
        <f t="shared" si="0"/>
        <v>11</v>
      </c>
      <c r="B21" s="4">
        <f>+Base40h!B21</f>
        <v>44501</v>
      </c>
      <c r="C21" s="5">
        <v>12.700000000000003</v>
      </c>
      <c r="D21" s="5">
        <v>9.9000000000000057</v>
      </c>
      <c r="E21" s="5">
        <v>17.100000000000009</v>
      </c>
      <c r="F21" s="5">
        <v>13.5</v>
      </c>
      <c r="G21" s="5">
        <v>10.5</v>
      </c>
      <c r="H21" s="5">
        <v>18.199999999999989</v>
      </c>
      <c r="I21" s="5">
        <v>10.099999999999994</v>
      </c>
      <c r="J21" s="5">
        <v>4.4000000000000057</v>
      </c>
      <c r="K21" s="5">
        <v>1.2999999999999972</v>
      </c>
      <c r="L21" s="5">
        <v>5.2000000000000171</v>
      </c>
    </row>
    <row r="22" spans="1:12" ht="11.4">
      <c r="A22" s="1">
        <f t="shared" si="0"/>
        <v>12</v>
      </c>
      <c r="B22" s="4">
        <f>+Base40h!B22</f>
        <v>44531</v>
      </c>
      <c r="C22" s="5">
        <v>57.500000000000014</v>
      </c>
      <c r="D22" s="5">
        <v>102.80000000000003</v>
      </c>
      <c r="E22" s="5">
        <v>70.200000000000031</v>
      </c>
      <c r="F22" s="5">
        <v>68.000000000000014</v>
      </c>
      <c r="G22" s="5">
        <v>79.500000000000014</v>
      </c>
      <c r="H22" s="5">
        <v>77.100000000000009</v>
      </c>
      <c r="I22" s="5">
        <v>40.300000000000026</v>
      </c>
      <c r="J22" s="5">
        <v>19.399999999999991</v>
      </c>
      <c r="K22" s="5">
        <v>3.7000000000000028</v>
      </c>
      <c r="L22" s="5">
        <v>24.799999999999997</v>
      </c>
    </row>
    <row r="23" spans="1:12" ht="11.4">
      <c r="A23" s="1">
        <f t="shared" si="0"/>
        <v>13</v>
      </c>
      <c r="B23" s="32" t="s">
        <v>15</v>
      </c>
      <c r="C23" s="33">
        <f>SUM(C11:C22)</f>
        <v>2806.3000000000002</v>
      </c>
      <c r="D23" s="33">
        <f t="shared" si="1" ref="D23:L23">SUM(D11:D22)</f>
        <v>2700.1000000000008</v>
      </c>
      <c r="E23" s="33">
        <f t="shared" si="1"/>
        <v>2490.9000000000001</v>
      </c>
      <c r="F23" s="33">
        <f t="shared" si="1"/>
        <v>2548.7000000000003</v>
      </c>
      <c r="G23" s="33">
        <f t="shared" si="1"/>
        <v>2305.0000000000009</v>
      </c>
      <c r="H23" s="33">
        <f t="shared" si="1"/>
        <v>2722.9000000000001</v>
      </c>
      <c r="I23" s="33">
        <f t="shared" si="1"/>
        <v>2450.4000000000005</v>
      </c>
      <c r="J23" s="33">
        <f t="shared" si="1"/>
        <v>2214.400000000001</v>
      </c>
      <c r="K23" s="33">
        <f t="shared" si="1"/>
        <v>2133.4000000000005</v>
      </c>
      <c r="L23" s="33">
        <f t="shared" si="1"/>
        <v>2223</v>
      </c>
    </row>
    <row r="24" spans="1:1" ht="11.4">
      <c r="A24" s="1">
        <f t="shared" si="0"/>
        <v>14</v>
      </c>
    </row>
    <row r="25" spans="1:1" ht="11.4">
      <c r="A25" s="1">
        <f t="shared" si="0"/>
        <v>15</v>
      </c>
    </row>
    <row r="26" spans="1:12" ht="12">
      <c r="A26" s="1">
        <f t="shared" si="0"/>
        <v>16</v>
      </c>
      <c r="B26" s="83" t="s">
        <v>26</v>
      </c>
      <c r="C26" s="83"/>
      <c r="D26" s="83"/>
      <c r="E26" s="83"/>
      <c r="F26" s="83"/>
      <c r="G26" s="83"/>
      <c r="H26" s="83"/>
      <c r="I26" s="83"/>
      <c r="J26" s="83"/>
      <c r="K26" s="83"/>
      <c r="L26" s="83"/>
    </row>
    <row r="27" spans="1:12" ht="34.8" thickBot="1">
      <c r="A27" s="1">
        <f t="shared" si="0"/>
        <v>17</v>
      </c>
      <c r="C27" s="3" t="s">
        <v>55</v>
      </c>
      <c r="D27" s="3" t="s">
        <v>6</v>
      </c>
      <c r="E27" s="74" t="s">
        <v>7</v>
      </c>
      <c r="F27" s="74" t="s">
        <v>8</v>
      </c>
      <c r="G27" s="74" t="s">
        <v>9</v>
      </c>
      <c r="H27" s="74" t="s">
        <v>10</v>
      </c>
      <c r="I27" s="74" t="s">
        <v>11</v>
      </c>
      <c r="J27" s="74" t="s">
        <v>12</v>
      </c>
      <c r="K27" s="74" t="s">
        <v>13</v>
      </c>
      <c r="L27" s="74" t="s">
        <v>14</v>
      </c>
    </row>
    <row r="28" spans="1:12" ht="11.4">
      <c r="A28" s="1">
        <f t="shared" si="0"/>
        <v>18</v>
      </c>
      <c r="B28" s="4">
        <f>+Base40h!B28</f>
        <v>44197</v>
      </c>
      <c r="C28" s="5">
        <v>3.4345833333333404</v>
      </c>
      <c r="D28" s="5">
        <v>8.6408333333333349</v>
      </c>
      <c r="E28" s="5">
        <v>7.9408333333333303</v>
      </c>
      <c r="F28" s="5">
        <v>4.7654166666666651</v>
      </c>
      <c r="G28" s="5">
        <v>5.3924999999999956</v>
      </c>
      <c r="H28" s="5">
        <v>3.52958333333333</v>
      </c>
      <c r="I28" s="5">
        <v>0.37916666666666998</v>
      </c>
      <c r="J28" s="5">
        <v>0.50333333333333452</v>
      </c>
      <c r="K28" s="5">
        <v>0</v>
      </c>
      <c r="L28" s="5">
        <v>0.91041666666666932</v>
      </c>
    </row>
    <row r="29" spans="1:12" ht="11.4">
      <c r="A29" s="1">
        <f t="shared" si="0"/>
        <v>19</v>
      </c>
      <c r="B29" s="4">
        <f>+Base40h!B29</f>
        <v>44228</v>
      </c>
      <c r="C29" s="5">
        <v>8.9045833333333366</v>
      </c>
      <c r="D29" s="5">
        <v>13.106250000000012</v>
      </c>
      <c r="E29" s="5">
        <v>17.338750000000001</v>
      </c>
      <c r="F29" s="5">
        <v>10.512083333333333</v>
      </c>
      <c r="G29" s="5">
        <v>9.239166666666673</v>
      </c>
      <c r="H29" s="5">
        <v>8.091666666666665</v>
      </c>
      <c r="I29" s="5">
        <v>4.0941666666666698</v>
      </c>
      <c r="J29" s="5">
        <v>2.9483333333333364</v>
      </c>
      <c r="K29" s="5">
        <v>2.2600000000000007</v>
      </c>
      <c r="L29" s="5">
        <v>3.3029166666666669</v>
      </c>
    </row>
    <row r="30" spans="1:12" ht="11.4">
      <c r="A30" s="1">
        <f t="shared" si="0"/>
        <v>20</v>
      </c>
      <c r="B30" s="4">
        <f>+Base40h!B30</f>
        <v>44256</v>
      </c>
      <c r="C30" s="5">
        <v>42.802500000000009</v>
      </c>
      <c r="D30" s="5">
        <v>49.291666666666664</v>
      </c>
      <c r="E30" s="5">
        <v>58.866666666666653</v>
      </c>
      <c r="F30" s="5">
        <v>45.278750000000002</v>
      </c>
      <c r="G30" s="5">
        <v>36.629166666666677</v>
      </c>
      <c r="H30" s="5">
        <v>40.106666666666676</v>
      </c>
      <c r="I30" s="5">
        <v>33.183333333333337</v>
      </c>
      <c r="J30" s="5">
        <v>26.20458333333335</v>
      </c>
      <c r="K30" s="5">
        <v>30.530416666666675</v>
      </c>
      <c r="L30" s="5">
        <v>21.307083333333356</v>
      </c>
    </row>
    <row r="31" spans="1:12" ht="11.4">
      <c r="A31" s="1">
        <f t="shared" si="0"/>
        <v>21</v>
      </c>
      <c r="B31" s="4">
        <f>+Base40h!B31</f>
        <v>44287</v>
      </c>
      <c r="C31" s="5">
        <v>118.91250000000002</v>
      </c>
      <c r="D31" s="5">
        <v>126.58833333333334</v>
      </c>
      <c r="E31" s="5">
        <v>149.52291666666667</v>
      </c>
      <c r="F31" s="5">
        <v>131.66958333333335</v>
      </c>
      <c r="G31" s="5">
        <v>102.6629166666667</v>
      </c>
      <c r="H31" s="5">
        <v>123.14999999999999</v>
      </c>
      <c r="I31" s="5">
        <v>108.88833333333335</v>
      </c>
      <c r="J31" s="5">
        <v>86.598749999999995</v>
      </c>
      <c r="K31" s="5">
        <v>123.69458333333336</v>
      </c>
      <c r="L31" s="5">
        <v>73.900833333333338</v>
      </c>
    </row>
    <row r="32" spans="1:12" ht="11.4">
      <c r="A32" s="1">
        <f t="shared" si="0"/>
        <v>22</v>
      </c>
      <c r="B32" s="4">
        <f>+Base40h!B32</f>
        <v>44317</v>
      </c>
      <c r="C32" s="5">
        <v>304.54124999999999</v>
      </c>
      <c r="D32" s="5">
        <v>294.42583333333334</v>
      </c>
      <c r="E32" s="5">
        <v>333.17833333333334</v>
      </c>
      <c r="F32" s="5">
        <v>301.83458333333346</v>
      </c>
      <c r="G32" s="5">
        <v>269.69250000000005</v>
      </c>
      <c r="H32" s="5">
        <v>303.74125000000004</v>
      </c>
      <c r="I32" s="5">
        <v>267.755</v>
      </c>
      <c r="J32" s="5">
        <v>250.79166666666669</v>
      </c>
      <c r="K32" s="5">
        <v>312.67833333333334</v>
      </c>
      <c r="L32" s="5">
        <v>222.72916666666677</v>
      </c>
    </row>
    <row r="33" spans="1:12" ht="11.4">
      <c r="A33" s="1">
        <f t="shared" si="0"/>
        <v>23</v>
      </c>
      <c r="B33" s="4">
        <f>+Base40h!B33</f>
        <v>44348</v>
      </c>
      <c r="C33" s="5">
        <v>526.76750000000004</v>
      </c>
      <c r="D33" s="5">
        <v>461.61749999999995</v>
      </c>
      <c r="E33" s="5">
        <v>507.34791666666672</v>
      </c>
      <c r="F33" s="5">
        <v>495.77499999999998</v>
      </c>
      <c r="G33" s="5">
        <v>455.61333333333346</v>
      </c>
      <c r="H33" s="5">
        <v>514.25416666666672</v>
      </c>
      <c r="I33" s="5">
        <v>465.57750000000004</v>
      </c>
      <c r="J33" s="5">
        <v>477.98458333333343</v>
      </c>
      <c r="K33" s="5">
        <v>517.61539583333342</v>
      </c>
      <c r="L33" s="5">
        <v>454.12291666666681</v>
      </c>
    </row>
    <row r="34" spans="1:12" ht="11.4">
      <c r="A34" s="1">
        <f t="shared" si="0"/>
        <v>24</v>
      </c>
      <c r="B34" s="4">
        <f>+Base40h!B34</f>
        <v>44378</v>
      </c>
      <c r="C34" s="5">
        <v>646.95833333333337</v>
      </c>
      <c r="D34" s="5">
        <v>532.5212499999999</v>
      </c>
      <c r="E34" s="5">
        <v>574.95958333333351</v>
      </c>
      <c r="F34" s="5">
        <v>592.31500000000005</v>
      </c>
      <c r="G34" s="5">
        <v>553.38874999999996</v>
      </c>
      <c r="H34" s="5">
        <v>626.35708333333321</v>
      </c>
      <c r="I34" s="5">
        <v>567.44041666666681</v>
      </c>
      <c r="J34" s="5">
        <v>612.77958333333322</v>
      </c>
      <c r="K34" s="5">
        <v>567.69416666666666</v>
      </c>
      <c r="L34" s="5">
        <v>582.5158333333336</v>
      </c>
    </row>
    <row r="35" spans="1:12" ht="11.4">
      <c r="A35" s="1">
        <f t="shared" si="0"/>
        <v>25</v>
      </c>
      <c r="B35" s="4">
        <f>+Base40h!B35</f>
        <v>44409</v>
      </c>
      <c r="C35" s="5">
        <v>658.51416666666671</v>
      </c>
      <c r="D35" s="5">
        <v>547.01250000000016</v>
      </c>
      <c r="E35" s="5">
        <v>604.18041666666647</v>
      </c>
      <c r="F35" s="5">
        <v>613.58375000000001</v>
      </c>
      <c r="G35" s="5">
        <v>561.13291666666692</v>
      </c>
      <c r="H35" s="5">
        <v>640.62708333333342</v>
      </c>
      <c r="I35" s="5">
        <v>562.05416666666656</v>
      </c>
      <c r="J35" s="5">
        <v>596.89083333333349</v>
      </c>
      <c r="K35" s="5">
        <v>548.75541666666675</v>
      </c>
      <c r="L35" s="5">
        <v>580.59000000000026</v>
      </c>
    </row>
    <row r="36" spans="1:12" ht="11.4">
      <c r="A36" s="1">
        <f t="shared" si="0"/>
        <v>26</v>
      </c>
      <c r="B36" s="4">
        <f>+Base40h!B36</f>
        <v>44440</v>
      </c>
      <c r="C36" s="5">
        <v>424.90833333333336</v>
      </c>
      <c r="D36" s="5">
        <v>375.35750000000013</v>
      </c>
      <c r="E36" s="5">
        <v>405.85791666666671</v>
      </c>
      <c r="F36" s="5">
        <v>391.72291666666678</v>
      </c>
      <c r="G36" s="5">
        <v>364.83916666666676</v>
      </c>
      <c r="H36" s="5">
        <v>411.15083333333337</v>
      </c>
      <c r="I36" s="5">
        <v>320.9525000000001</v>
      </c>
      <c r="J36" s="5">
        <v>336.30250000000001</v>
      </c>
      <c r="K36" s="5">
        <v>314.12458333333331</v>
      </c>
      <c r="L36" s="5">
        <v>344.41291666666666</v>
      </c>
    </row>
    <row r="37" spans="1:12" ht="11.4">
      <c r="A37" s="1">
        <f t="shared" si="0"/>
        <v>27</v>
      </c>
      <c r="B37" s="4">
        <f>+Base40h!B37</f>
        <v>44470</v>
      </c>
      <c r="C37" s="5">
        <v>162.48708333333332</v>
      </c>
      <c r="D37" s="5">
        <v>149.24333333333328</v>
      </c>
      <c r="E37" s="5">
        <v>183.98166666666671</v>
      </c>
      <c r="F37" s="5">
        <v>166.64791666666667</v>
      </c>
      <c r="G37" s="5">
        <v>125.92291666666665</v>
      </c>
      <c r="H37" s="5">
        <v>166.99499999999998</v>
      </c>
      <c r="I37" s="5">
        <v>120.19291666666675</v>
      </c>
      <c r="J37" s="5">
        <v>102.73124999999999</v>
      </c>
      <c r="K37" s="5">
        <v>112.62791666666669</v>
      </c>
      <c r="L37" s="5">
        <v>115.54583333333338</v>
      </c>
    </row>
    <row r="38" spans="1:12" ht="11.4">
      <c r="A38" s="1">
        <f t="shared" si="0"/>
        <v>28</v>
      </c>
      <c r="B38" s="4">
        <f>+Base40h!B38</f>
        <v>44501</v>
      </c>
      <c r="C38" s="5">
        <v>30.291666666666654</v>
      </c>
      <c r="D38" s="5">
        <v>36.779583333333328</v>
      </c>
      <c r="E38" s="5">
        <v>50.725416666666668</v>
      </c>
      <c r="F38" s="5">
        <v>36.467083333333335</v>
      </c>
      <c r="G38" s="5">
        <v>27.057083333333342</v>
      </c>
      <c r="H38" s="5">
        <v>34.957083333333337</v>
      </c>
      <c r="I38" s="5">
        <v>16.34041666666667</v>
      </c>
      <c r="J38" s="5">
        <v>11.929166666666671</v>
      </c>
      <c r="K38" s="5">
        <v>8.1387500000000017</v>
      </c>
      <c r="L38" s="5">
        <v>16.767499999999991</v>
      </c>
    </row>
    <row r="39" spans="1:12" ht="11.4">
      <c r="A39" s="1">
        <f t="shared" si="0"/>
        <v>29</v>
      </c>
      <c r="B39" s="4">
        <f>+Base40h!B39</f>
        <v>44531</v>
      </c>
      <c r="C39" s="5">
        <v>5.8579166666666671</v>
      </c>
      <c r="D39" s="5">
        <v>13.210000000000001</v>
      </c>
      <c r="E39" s="5">
        <v>11.725000000000001</v>
      </c>
      <c r="F39" s="5">
        <v>7.0558333333333261</v>
      </c>
      <c r="G39" s="5">
        <v>7.622916666666665</v>
      </c>
      <c r="H39" s="5">
        <v>6.0849999999999991</v>
      </c>
      <c r="I39" s="5">
        <v>1.0420833333333297</v>
      </c>
      <c r="J39" s="5">
        <v>0.76458333333333506</v>
      </c>
      <c r="K39" s="5">
        <v>0.066666666666665014</v>
      </c>
      <c r="L39" s="5">
        <v>2.289583333333336</v>
      </c>
    </row>
    <row r="40" spans="1:12" ht="11.4">
      <c r="A40" s="1">
        <f t="shared" si="0"/>
        <v>30</v>
      </c>
      <c r="B40" s="32" t="s">
        <v>15</v>
      </c>
      <c r="C40" s="33">
        <f>SUM(C28:C39)</f>
        <v>2934.3804166666669</v>
      </c>
      <c r="D40" s="33">
        <f t="shared" si="2" ref="D40:L40">SUM(D28:D39)</f>
        <v>2607.7945833333338</v>
      </c>
      <c r="E40" s="33">
        <f t="shared" si="2"/>
        <v>2905.6254166666668</v>
      </c>
      <c r="F40" s="33">
        <f t="shared" si="2"/>
        <v>2797.6279166666673</v>
      </c>
      <c r="G40" s="33">
        <f t="shared" si="2"/>
        <v>2519.1933333333332</v>
      </c>
      <c r="H40" s="33">
        <f t="shared" si="2"/>
        <v>2879.0454166666664</v>
      </c>
      <c r="I40" s="33">
        <f t="shared" si="2"/>
        <v>2467.9000000000001</v>
      </c>
      <c r="J40" s="33">
        <f t="shared" si="2"/>
        <v>2506.4291666666663</v>
      </c>
      <c r="K40" s="33">
        <f t="shared" si="2"/>
        <v>2538.1862291666671</v>
      </c>
      <c r="L40" s="33">
        <f t="shared" si="2"/>
        <v>2418.3950000000009</v>
      </c>
    </row>
  </sheetData>
  <mergeCells count="7">
    <mergeCell ref="B26:L26"/>
    <mergeCell ref="B1:L1"/>
    <mergeCell ref="B2:L2"/>
    <mergeCell ref="B3:L3"/>
    <mergeCell ref="B4:L4"/>
    <mergeCell ref="B6:L6"/>
    <mergeCell ref="B9:L9"/>
  </mergeCells>
  <pageMargins left="0.75" right="0.75" top="1" bottom="1" header="0.5" footer="0.5"/>
  <pageSetup orientation="portrait" scale="73" r:id="rId1"/>
  <headerFooter alignWithMargins="0">
    <oddHeader>&amp;RSchedule II-H-5.1
Page &amp;P of  28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pageSetUpPr fitToPage="1"/>
  </sheetPr>
  <dimension ref="A1:L40"/>
  <sheetViews>
    <sheetView workbookViewId="0" topLeftCell="A1"/>
  </sheetViews>
  <sheetFormatPr defaultColWidth="9.11428571428571" defaultRowHeight="12"/>
  <cols>
    <col min="1" max="1" width="9.14285714285714" style="1"/>
    <col min="2" max="2" width="10.4285714285714" style="2" bestFit="1" customWidth="1"/>
    <col min="3" max="3" width="11.4285714285714" style="2" customWidth="1"/>
    <col min="4" max="4" width="9.57142857142857" style="2" bestFit="1" customWidth="1"/>
    <col min="5" max="5" width="9.71428571428571" style="2" bestFit="1" customWidth="1"/>
    <col min="6" max="6" width="9.57142857142857" style="2" bestFit="1" customWidth="1"/>
    <col min="7" max="7" width="12.2857142857143" style="2" bestFit="1" customWidth="1"/>
    <col min="8" max="8" width="9.85714285714286" style="2" bestFit="1" customWidth="1"/>
    <col min="9" max="9" width="10.5714285714286" style="2" bestFit="1" customWidth="1"/>
    <col min="10" max="10" width="11.2857142857143" style="2" customWidth="1"/>
    <col min="11" max="11" width="10.4285714285714" style="2" customWidth="1"/>
    <col min="12" max="16384" width="9.14285714285714" style="2"/>
  </cols>
  <sheetData>
    <row r="1" spans="2:12" ht="15.6">
      <c r="B1" s="82" t="str">
        <f>+Base40h!B1</f>
        <v xml:space="preserve">PUC DOCKET NO. </v>
      </c>
      <c r="C1" s="82"/>
      <c r="D1" s="82"/>
      <c r="E1" s="82"/>
      <c r="F1" s="82"/>
      <c r="G1" s="82"/>
      <c r="H1" s="82"/>
      <c r="I1" s="82"/>
      <c r="J1" s="82"/>
      <c r="K1" s="82"/>
      <c r="L1" s="82"/>
    </row>
    <row r="2" spans="2:12" ht="15.6">
      <c r="B2" s="82" t="str">
        <f>+Base40h!B2</f>
        <v>ONCOR ELECTRIC DELIVERY COMPANY LLC</v>
      </c>
      <c r="C2" s="82"/>
      <c r="D2" s="82"/>
      <c r="E2" s="82"/>
      <c r="F2" s="82"/>
      <c r="G2" s="82"/>
      <c r="H2" s="82"/>
      <c r="I2" s="82"/>
      <c r="J2" s="82"/>
      <c r="K2" s="82"/>
      <c r="L2" s="82"/>
    </row>
    <row r="3" spans="2:12" ht="15.6">
      <c r="B3" s="82" t="str">
        <f>+Base40h!B3</f>
        <v>WEATHER STATION DATA</v>
      </c>
      <c r="C3" s="82"/>
      <c r="D3" s="82"/>
      <c r="E3" s="82"/>
      <c r="F3" s="82"/>
      <c r="G3" s="82"/>
      <c r="H3" s="82"/>
      <c r="I3" s="82"/>
      <c r="J3" s="82"/>
      <c r="K3" s="82"/>
      <c r="L3" s="82"/>
    </row>
    <row r="4" spans="2:12" ht="15.6">
      <c r="B4" s="82" t="str">
        <f>+Base40h!B4</f>
        <v>FOR THE TEST YEAR ENDING DECEMBER 31, 2021</v>
      </c>
      <c r="C4" s="82"/>
      <c r="D4" s="82"/>
      <c r="E4" s="82"/>
      <c r="F4" s="82"/>
      <c r="G4" s="82"/>
      <c r="H4" s="82"/>
      <c r="I4" s="82"/>
      <c r="J4" s="82"/>
      <c r="K4" s="82"/>
      <c r="L4" s="82"/>
    </row>
    <row r="6" spans="2:12" ht="15.6">
      <c r="B6" s="82" t="str">
        <f>+Base40h!B6</f>
        <v>SPONSOR: D. E. NELSON</v>
      </c>
      <c r="C6" s="82"/>
      <c r="D6" s="82"/>
      <c r="E6" s="82"/>
      <c r="F6" s="82"/>
      <c r="G6" s="82"/>
      <c r="H6" s="82"/>
      <c r="I6" s="82"/>
      <c r="J6" s="82"/>
      <c r="K6" s="82"/>
      <c r="L6" s="82"/>
    </row>
    <row r="9" spans="2:12" ht="12">
      <c r="B9" s="83" t="s">
        <v>21</v>
      </c>
      <c r="C9" s="83"/>
      <c r="D9" s="83"/>
      <c r="E9" s="83"/>
      <c r="F9" s="83"/>
      <c r="G9" s="83"/>
      <c r="H9" s="83"/>
      <c r="I9" s="83"/>
      <c r="J9" s="83"/>
      <c r="K9" s="83"/>
      <c r="L9" s="83"/>
    </row>
    <row r="10" spans="1:12" ht="34.8" thickBot="1">
      <c r="A10" s="3" t="s">
        <v>4</v>
      </c>
      <c r="C10" s="3" t="s">
        <v>55</v>
      </c>
      <c r="D10" s="3" t="s">
        <v>6</v>
      </c>
      <c r="E10" s="3" t="s">
        <v>7</v>
      </c>
      <c r="F10" s="3" t="s">
        <v>8</v>
      </c>
      <c r="G10" s="3" t="s">
        <v>9</v>
      </c>
      <c r="H10" s="3" t="s">
        <v>10</v>
      </c>
      <c r="I10" s="3" t="s">
        <v>11</v>
      </c>
      <c r="J10" s="3" t="s">
        <v>12</v>
      </c>
      <c r="K10" s="3" t="s">
        <v>13</v>
      </c>
      <c r="L10" s="3" t="s">
        <v>14</v>
      </c>
    </row>
    <row r="11" spans="1:12" ht="11.4">
      <c r="A11" s="1">
        <v>1</v>
      </c>
      <c r="B11" s="4">
        <f>+Base40h!B11</f>
        <v>44197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</row>
    <row r="12" spans="1:12" ht="11.4">
      <c r="A12" s="1">
        <f>+A11+1</f>
        <v>2</v>
      </c>
      <c r="B12" s="4">
        <f>+Base40h!B12</f>
        <v>44228</v>
      </c>
      <c r="C12" s="5">
        <v>0</v>
      </c>
      <c r="D12" s="5">
        <v>4.3000000000000114</v>
      </c>
      <c r="E12" s="5">
        <v>3.8000000000000114</v>
      </c>
      <c r="F12" s="5">
        <v>0</v>
      </c>
      <c r="G12" s="5">
        <v>1.2999999999999972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</row>
    <row r="13" spans="1:12" ht="11.4">
      <c r="A13" s="1">
        <f t="shared" si="0" ref="A13:A40">+A12+1</f>
        <v>3</v>
      </c>
      <c r="B13" s="4">
        <f>+Base40h!B13</f>
        <v>44256</v>
      </c>
      <c r="C13" s="5">
        <v>5.9000000000000199</v>
      </c>
      <c r="D13" s="5">
        <v>10.700000000000017</v>
      </c>
      <c r="E13" s="5">
        <v>15.500000000000014</v>
      </c>
      <c r="F13" s="5">
        <v>4.0999999999999943</v>
      </c>
      <c r="G13" s="5">
        <v>2.7000000000000028</v>
      </c>
      <c r="H13" s="5">
        <v>7.1000000000000085</v>
      </c>
      <c r="I13" s="5">
        <v>0.29999999999999716</v>
      </c>
      <c r="J13" s="5">
        <v>0</v>
      </c>
      <c r="K13" s="5">
        <v>0</v>
      </c>
      <c r="L13" s="5">
        <v>1.4000000000000057</v>
      </c>
    </row>
    <row r="14" spans="1:12" ht="11.4">
      <c r="A14" s="1">
        <f t="shared" si="0"/>
        <v>4</v>
      </c>
      <c r="B14" s="4">
        <f>+Base40h!B14</f>
        <v>44287</v>
      </c>
      <c r="C14" s="5">
        <v>24.100000000000023</v>
      </c>
      <c r="D14" s="5">
        <v>28</v>
      </c>
      <c r="E14" s="5">
        <v>32.30000000000004</v>
      </c>
      <c r="F14" s="5">
        <v>28.200000000000003</v>
      </c>
      <c r="G14" s="5">
        <v>15.800000000000011</v>
      </c>
      <c r="H14" s="5">
        <v>29.800000000000011</v>
      </c>
      <c r="I14" s="5">
        <v>29.700000000000017</v>
      </c>
      <c r="J14" s="5">
        <v>6.3000000000000114</v>
      </c>
      <c r="K14" s="5">
        <v>30.399999999999991</v>
      </c>
      <c r="L14" s="5">
        <v>2.0999999999999943</v>
      </c>
    </row>
    <row r="15" spans="1:12" ht="11.4">
      <c r="A15" s="1">
        <f t="shared" si="0"/>
        <v>5</v>
      </c>
      <c r="B15" s="4">
        <f>+Base40h!B15</f>
        <v>44317</v>
      </c>
      <c r="C15" s="5">
        <v>87.80000000000004</v>
      </c>
      <c r="D15" s="5">
        <v>98.000000000000043</v>
      </c>
      <c r="E15" s="5">
        <v>90.100000000000051</v>
      </c>
      <c r="F15" s="5">
        <v>79.300000000000054</v>
      </c>
      <c r="G15" s="5">
        <v>60.400000000000034</v>
      </c>
      <c r="H15" s="5">
        <v>94.70000000000006</v>
      </c>
      <c r="I15" s="5">
        <v>69.500000000000043</v>
      </c>
      <c r="J15" s="5">
        <v>38.800000000000026</v>
      </c>
      <c r="K15" s="5">
        <v>91.900000000000034</v>
      </c>
      <c r="L15" s="5">
        <v>34.5</v>
      </c>
    </row>
    <row r="16" spans="1:12" ht="11.4">
      <c r="A16" s="1">
        <f t="shared" si="0"/>
        <v>6</v>
      </c>
      <c r="B16" s="4">
        <f>+Base40h!B16</f>
        <v>44348</v>
      </c>
      <c r="C16" s="5">
        <v>358.7000000000001</v>
      </c>
      <c r="D16" s="5">
        <v>330.20000000000016</v>
      </c>
      <c r="E16" s="5">
        <v>292.40000000000015</v>
      </c>
      <c r="F16" s="5">
        <v>299.80000000000007</v>
      </c>
      <c r="G16" s="5">
        <v>276.90000000000009</v>
      </c>
      <c r="H16" s="5">
        <v>334.40000000000009</v>
      </c>
      <c r="I16" s="5">
        <v>298.30000000000007</v>
      </c>
      <c r="J16" s="5">
        <v>276.80000000000007</v>
      </c>
      <c r="K16" s="5">
        <v>298.2000000000001</v>
      </c>
      <c r="L16" s="5">
        <v>286.10000000000014</v>
      </c>
    </row>
    <row r="17" spans="1:12" ht="11.4">
      <c r="A17" s="1">
        <f t="shared" si="0"/>
        <v>7</v>
      </c>
      <c r="B17" s="4">
        <f>+Base40h!B17</f>
        <v>44378</v>
      </c>
      <c r="C17" s="5">
        <v>447.60000000000014</v>
      </c>
      <c r="D17" s="5">
        <v>352.19999999999993</v>
      </c>
      <c r="E17" s="5">
        <v>305.00000000000011</v>
      </c>
      <c r="F17" s="5">
        <v>332.80000000000018</v>
      </c>
      <c r="G17" s="5">
        <v>319.80000000000018</v>
      </c>
      <c r="H17" s="5">
        <v>384.80000000000013</v>
      </c>
      <c r="I17" s="5">
        <v>363.40000000000009</v>
      </c>
      <c r="J17" s="5">
        <v>360.70000000000016</v>
      </c>
      <c r="K17" s="5">
        <v>277.20000000000005</v>
      </c>
      <c r="L17" s="5">
        <v>368.20000000000016</v>
      </c>
    </row>
    <row r="18" spans="1:12" ht="11.4">
      <c r="A18" s="1">
        <f t="shared" si="0"/>
        <v>8</v>
      </c>
      <c r="B18" s="4">
        <f>+Base40h!B18</f>
        <v>44409</v>
      </c>
      <c r="C18" s="5">
        <v>454.4000000000002</v>
      </c>
      <c r="D18" s="5">
        <v>404.89999999999998</v>
      </c>
      <c r="E18" s="5">
        <v>354.10000000000014</v>
      </c>
      <c r="F18" s="5">
        <v>405.9000000000002</v>
      </c>
      <c r="G18" s="5">
        <v>344.30000000000007</v>
      </c>
      <c r="H18" s="5">
        <v>435.00000000000011</v>
      </c>
      <c r="I18" s="5">
        <v>399.60000000000008</v>
      </c>
      <c r="J18" s="5">
        <v>378.4000000000002</v>
      </c>
      <c r="K18" s="5">
        <v>280.2000000000001</v>
      </c>
      <c r="L18" s="5">
        <v>373.30000000000007</v>
      </c>
    </row>
    <row r="19" spans="1:12" ht="11.4">
      <c r="A19" s="1">
        <f t="shared" si="0"/>
        <v>9</v>
      </c>
      <c r="B19" s="4">
        <f>+Base40h!B19</f>
        <v>44440</v>
      </c>
      <c r="C19" s="5">
        <v>314.40000000000015</v>
      </c>
      <c r="D19" s="5">
        <v>244.10000000000014</v>
      </c>
      <c r="E19" s="5">
        <v>247.30000000000007</v>
      </c>
      <c r="F19" s="5">
        <v>281.30000000000001</v>
      </c>
      <c r="G19" s="5">
        <v>192.2000000000001</v>
      </c>
      <c r="H19" s="5">
        <v>289.00000000000011</v>
      </c>
      <c r="I19" s="5">
        <v>278.40000000000003</v>
      </c>
      <c r="J19" s="5">
        <v>245.40000000000006</v>
      </c>
      <c r="K19" s="5">
        <v>231.20000000000007</v>
      </c>
      <c r="L19" s="5">
        <v>240.40000000000009</v>
      </c>
    </row>
    <row r="20" spans="1:12" ht="11.4">
      <c r="A20" s="1">
        <f t="shared" si="0"/>
        <v>10</v>
      </c>
      <c r="B20" s="4">
        <f>+Base40h!B20</f>
        <v>44470</v>
      </c>
      <c r="C20" s="5">
        <v>110.70000000000006</v>
      </c>
      <c r="D20" s="5">
        <v>129.40000000000003</v>
      </c>
      <c r="E20" s="5">
        <v>95.300000000000026</v>
      </c>
      <c r="F20" s="5">
        <v>93.800000000000011</v>
      </c>
      <c r="G20" s="5">
        <v>100.50000000000004</v>
      </c>
      <c r="H20" s="5">
        <v>108.30000000000004</v>
      </c>
      <c r="I20" s="5">
        <v>81.500000000000057</v>
      </c>
      <c r="J20" s="5">
        <v>51.700000000000017</v>
      </c>
      <c r="K20" s="5">
        <v>64.900000000000048</v>
      </c>
      <c r="L20" s="5">
        <v>44.700000000000017</v>
      </c>
    </row>
    <row r="21" spans="1:12" ht="11.4">
      <c r="A21" s="1">
        <f t="shared" si="0"/>
        <v>11</v>
      </c>
      <c r="B21" s="4">
        <f>+Base40h!B21</f>
        <v>44501</v>
      </c>
      <c r="C21" s="5">
        <v>0.40000000000000568</v>
      </c>
      <c r="D21" s="5">
        <v>0.60000000000000853</v>
      </c>
      <c r="E21" s="5">
        <v>0</v>
      </c>
      <c r="F21" s="5">
        <v>0.79999999999999716</v>
      </c>
      <c r="G21" s="5">
        <v>0.79999999999999716</v>
      </c>
      <c r="H21" s="5">
        <v>1.7999999999999972</v>
      </c>
      <c r="I21" s="5">
        <v>0.29999999999999716</v>
      </c>
      <c r="J21" s="5">
        <v>0</v>
      </c>
      <c r="K21" s="5">
        <v>0</v>
      </c>
      <c r="L21" s="5">
        <v>0</v>
      </c>
    </row>
    <row r="22" spans="1:12" ht="11.4">
      <c r="A22" s="1">
        <f t="shared" si="0"/>
        <v>12</v>
      </c>
      <c r="B22" s="4">
        <f>+Base40h!B22</f>
        <v>44531</v>
      </c>
      <c r="C22" s="5">
        <v>9.5</v>
      </c>
      <c r="D22" s="5">
        <v>27.900000000000034</v>
      </c>
      <c r="E22" s="5">
        <v>18.100000000000023</v>
      </c>
      <c r="F22" s="5">
        <v>11.200000000000017</v>
      </c>
      <c r="G22" s="5">
        <v>16.100000000000009</v>
      </c>
      <c r="H22" s="5">
        <v>16.700000000000017</v>
      </c>
      <c r="I22" s="5">
        <v>6.7000000000000313</v>
      </c>
      <c r="J22" s="5">
        <v>3.7999999999999972</v>
      </c>
      <c r="K22" s="5">
        <v>0</v>
      </c>
      <c r="L22" s="5">
        <v>3.2999999999999972</v>
      </c>
    </row>
    <row r="23" spans="1:12" ht="11.4">
      <c r="A23" s="1">
        <f t="shared" si="0"/>
        <v>13</v>
      </c>
      <c r="B23" s="32" t="s">
        <v>15</v>
      </c>
      <c r="C23" s="33">
        <f>SUM(C11:C22)</f>
        <v>1813.5000000000007</v>
      </c>
      <c r="D23" s="33">
        <f t="shared" si="1" ref="D23:L23">SUM(D11:D22)</f>
        <v>1630.3000000000004</v>
      </c>
      <c r="E23" s="33">
        <f t="shared" si="1"/>
        <v>1453.9000000000006</v>
      </c>
      <c r="F23" s="33">
        <f t="shared" si="1"/>
        <v>1537.2000000000003</v>
      </c>
      <c r="G23" s="33">
        <f t="shared" si="1"/>
        <v>1330.8000000000004</v>
      </c>
      <c r="H23" s="33">
        <f t="shared" si="1"/>
        <v>1701.6000000000006</v>
      </c>
      <c r="I23" s="33">
        <f t="shared" si="1"/>
        <v>1527.7000000000005</v>
      </c>
      <c r="J23" s="33">
        <f t="shared" si="1"/>
        <v>1361.9000000000006</v>
      </c>
      <c r="K23" s="33">
        <f t="shared" si="1"/>
        <v>1274.0000000000005</v>
      </c>
      <c r="L23" s="33">
        <f t="shared" si="1"/>
        <v>1354.0000000000005</v>
      </c>
    </row>
    <row r="24" spans="1:1" ht="11.4">
      <c r="A24" s="1">
        <f t="shared" si="0"/>
        <v>14</v>
      </c>
    </row>
    <row r="25" spans="1:1" ht="11.4">
      <c r="A25" s="1">
        <f t="shared" si="0"/>
        <v>15</v>
      </c>
    </row>
    <row r="26" spans="1:12" ht="12">
      <c r="A26" s="1">
        <f t="shared" si="0"/>
        <v>16</v>
      </c>
      <c r="B26" s="83" t="s">
        <v>57</v>
      </c>
      <c r="C26" s="83"/>
      <c r="D26" s="83"/>
      <c r="E26" s="83"/>
      <c r="F26" s="83"/>
      <c r="G26" s="83"/>
      <c r="H26" s="83"/>
      <c r="I26" s="83"/>
      <c r="J26" s="83"/>
      <c r="K26" s="83"/>
      <c r="L26" s="83"/>
    </row>
    <row r="27" spans="1:12" ht="34.8" thickBot="1">
      <c r="A27" s="1">
        <f t="shared" si="0"/>
        <v>17</v>
      </c>
      <c r="C27" s="3" t="s">
        <v>55</v>
      </c>
      <c r="D27" s="3" t="s">
        <v>6</v>
      </c>
      <c r="E27" s="74" t="s">
        <v>7</v>
      </c>
      <c r="F27" s="74" t="s">
        <v>8</v>
      </c>
      <c r="G27" s="74" t="s">
        <v>9</v>
      </c>
      <c r="H27" s="74" t="s">
        <v>10</v>
      </c>
      <c r="I27" s="74" t="s">
        <v>11</v>
      </c>
      <c r="J27" s="74" t="s">
        <v>12</v>
      </c>
      <c r="K27" s="74" t="s">
        <v>13</v>
      </c>
      <c r="L27" s="74" t="s">
        <v>14</v>
      </c>
    </row>
    <row r="28" spans="1:12" ht="11.4">
      <c r="A28" s="1">
        <f t="shared" si="0"/>
        <v>18</v>
      </c>
      <c r="B28" s="4">
        <f>+Base40h!B28</f>
        <v>44197</v>
      </c>
      <c r="C28" s="5">
        <v>0.32958333333333562</v>
      </c>
      <c r="D28" s="5">
        <v>1.1266666666666658</v>
      </c>
      <c r="E28" s="5">
        <v>1.198333333333335</v>
      </c>
      <c r="F28" s="5">
        <v>0.36875000000000002</v>
      </c>
      <c r="G28" s="5">
        <v>0.2675000000000004</v>
      </c>
      <c r="H28" s="5">
        <v>0.13083333333333513</v>
      </c>
      <c r="I28" s="5">
        <v>0</v>
      </c>
      <c r="J28" s="5">
        <v>0</v>
      </c>
      <c r="K28" s="5">
        <v>0</v>
      </c>
      <c r="L28" s="5">
        <v>0</v>
      </c>
    </row>
    <row r="29" spans="1:12" ht="11.4">
      <c r="A29" s="1">
        <f t="shared" si="0"/>
        <v>19</v>
      </c>
      <c r="B29" s="4">
        <f>+Base40h!B29</f>
        <v>44228</v>
      </c>
      <c r="C29" s="5">
        <v>1.4991666666666652</v>
      </c>
      <c r="D29" s="5">
        <v>1.6125000000000014</v>
      </c>
      <c r="E29" s="5">
        <v>2.7512500000000011</v>
      </c>
      <c r="F29" s="5">
        <v>0.78500000000000081</v>
      </c>
      <c r="G29" s="5">
        <v>1.2674999999999996</v>
      </c>
      <c r="H29" s="5">
        <v>0.57499999999999996</v>
      </c>
      <c r="I29" s="5">
        <v>0.31999999999999956</v>
      </c>
      <c r="J29" s="5">
        <v>0.20000000000000001</v>
      </c>
      <c r="K29" s="5">
        <v>0.010000000000000143</v>
      </c>
      <c r="L29" s="5">
        <v>0.21500000000000058</v>
      </c>
    </row>
    <row r="30" spans="1:12" ht="11.4">
      <c r="A30" s="1">
        <f t="shared" si="0"/>
        <v>20</v>
      </c>
      <c r="B30" s="4">
        <f>+Base40h!B30</f>
        <v>44256</v>
      </c>
      <c r="C30" s="5">
        <v>10.568333333333342</v>
      </c>
      <c r="D30" s="5">
        <v>10.836250000000003</v>
      </c>
      <c r="E30" s="5">
        <v>15</v>
      </c>
      <c r="F30" s="5">
        <v>7.5683333333333405</v>
      </c>
      <c r="G30" s="5">
        <v>7.1954166666666675</v>
      </c>
      <c r="H30" s="5">
        <v>7.5483333333333427</v>
      </c>
      <c r="I30" s="5">
        <v>6.2987500000000072</v>
      </c>
      <c r="J30" s="5">
        <v>5.5833333333333366</v>
      </c>
      <c r="K30" s="5">
        <v>5.6904166666666711</v>
      </c>
      <c r="L30" s="5">
        <v>3.1762500000000058</v>
      </c>
    </row>
    <row r="31" spans="1:12" ht="11.4">
      <c r="A31" s="1">
        <f t="shared" si="0"/>
        <v>21</v>
      </c>
      <c r="B31" s="4">
        <f>+Base40h!B31</f>
        <v>44287</v>
      </c>
      <c r="C31" s="5">
        <v>43.405416666666689</v>
      </c>
      <c r="D31" s="5">
        <v>45.694583333333334</v>
      </c>
      <c r="E31" s="5">
        <v>61.047916666666687</v>
      </c>
      <c r="F31" s="5">
        <v>49.834583333333342</v>
      </c>
      <c r="G31" s="5">
        <v>34.160000000000004</v>
      </c>
      <c r="H31" s="5">
        <v>45.091666666666669</v>
      </c>
      <c r="I31" s="5">
        <v>42.368333333333332</v>
      </c>
      <c r="J31" s="5">
        <v>30.560833333333338</v>
      </c>
      <c r="K31" s="5">
        <v>48.590833333333357</v>
      </c>
      <c r="L31" s="5">
        <v>21.426249999999992</v>
      </c>
    </row>
    <row r="32" spans="1:12" ht="11.4">
      <c r="A32" s="1">
        <f t="shared" si="0"/>
        <v>22</v>
      </c>
      <c r="B32" s="4">
        <f>+Base40h!B32</f>
        <v>44317</v>
      </c>
      <c r="C32" s="5">
        <v>169.63958333333335</v>
      </c>
      <c r="D32" s="5">
        <v>157.86166666666668</v>
      </c>
      <c r="E32" s="5">
        <v>191.11374999999995</v>
      </c>
      <c r="F32" s="5">
        <v>165.81041666666667</v>
      </c>
      <c r="G32" s="5">
        <v>139.71708333333339</v>
      </c>
      <c r="H32" s="5">
        <v>169.68833333333333</v>
      </c>
      <c r="I32" s="5">
        <v>148.22791666666672</v>
      </c>
      <c r="J32" s="5">
        <v>133.72291666666669</v>
      </c>
      <c r="K32" s="5">
        <v>187.57250000000002</v>
      </c>
      <c r="L32" s="5">
        <v>108.51208333333337</v>
      </c>
    </row>
    <row r="33" spans="1:12" ht="11.4">
      <c r="A33" s="1">
        <f t="shared" si="0"/>
        <v>23</v>
      </c>
      <c r="B33" s="4">
        <f>+Base40h!B33</f>
        <v>44348</v>
      </c>
      <c r="C33" s="5">
        <v>376.7675000000001</v>
      </c>
      <c r="D33" s="5">
        <v>311.61750000000006</v>
      </c>
      <c r="E33" s="5">
        <v>357.34791666666683</v>
      </c>
      <c r="F33" s="5">
        <v>345.77499999999998</v>
      </c>
      <c r="G33" s="5">
        <v>305.6133333333334</v>
      </c>
      <c r="H33" s="5">
        <v>364.25416666666666</v>
      </c>
      <c r="I33" s="5">
        <v>316.53500000000008</v>
      </c>
      <c r="J33" s="5">
        <v>328.3579166666666</v>
      </c>
      <c r="K33" s="5">
        <v>367.99622916666669</v>
      </c>
      <c r="L33" s="5">
        <v>304.62958333333341</v>
      </c>
    </row>
    <row r="34" spans="1:12" ht="11.4">
      <c r="A34" s="1">
        <f t="shared" si="0"/>
        <v>24</v>
      </c>
      <c r="B34" s="4">
        <f>+Base40h!B34</f>
        <v>44378</v>
      </c>
      <c r="C34" s="5">
        <v>491.95833333333348</v>
      </c>
      <c r="D34" s="5">
        <v>377.52124999999995</v>
      </c>
      <c r="E34" s="5">
        <v>419.9595833333334</v>
      </c>
      <c r="F34" s="5">
        <v>437.33999999999998</v>
      </c>
      <c r="G34" s="5">
        <v>398.49375000000003</v>
      </c>
      <c r="H34" s="5">
        <v>471.35708333333338</v>
      </c>
      <c r="I34" s="5">
        <v>412.88166666666672</v>
      </c>
      <c r="J34" s="5">
        <v>458.29958333333343</v>
      </c>
      <c r="K34" s="5">
        <v>413.95374999999996</v>
      </c>
      <c r="L34" s="5">
        <v>427.93708333333342</v>
      </c>
    </row>
    <row r="35" spans="1:12" ht="11.4">
      <c r="A35" s="1">
        <f t="shared" si="0"/>
        <v>25</v>
      </c>
      <c r="B35" s="4">
        <f>+Base40h!B35</f>
        <v>44409</v>
      </c>
      <c r="C35" s="5">
        <v>503.51416666666671</v>
      </c>
      <c r="D35" s="5">
        <v>392.0625</v>
      </c>
      <c r="E35" s="5">
        <v>449.1804166666667</v>
      </c>
      <c r="F35" s="5">
        <v>458.58375000000001</v>
      </c>
      <c r="G35" s="5">
        <v>406.13291666666669</v>
      </c>
      <c r="H35" s="5">
        <v>485.62708333333342</v>
      </c>
      <c r="I35" s="5">
        <v>407.23000000000002</v>
      </c>
      <c r="J35" s="5">
        <v>441.91791666666677</v>
      </c>
      <c r="K35" s="5">
        <v>393.98458333333338</v>
      </c>
      <c r="L35" s="5">
        <v>425.59000000000015</v>
      </c>
    </row>
    <row r="36" spans="1:12" ht="11.4">
      <c r="A36" s="1">
        <f t="shared" si="0"/>
        <v>26</v>
      </c>
      <c r="B36" s="4">
        <f>+Base40h!B36</f>
        <v>44440</v>
      </c>
      <c r="C36" s="5">
        <v>280.41625000000005</v>
      </c>
      <c r="D36" s="5">
        <v>230.29916666666668</v>
      </c>
      <c r="E36" s="5">
        <v>260.27583333333331</v>
      </c>
      <c r="F36" s="5">
        <v>247.25</v>
      </c>
      <c r="G36" s="5">
        <v>222.72291666666672</v>
      </c>
      <c r="H36" s="5">
        <v>266.81541666666669</v>
      </c>
      <c r="I36" s="5">
        <v>188.84125</v>
      </c>
      <c r="J36" s="5">
        <v>201.66750000000002</v>
      </c>
      <c r="K36" s="5">
        <v>181.04916666666671</v>
      </c>
      <c r="L36" s="5">
        <v>209.72916666666666</v>
      </c>
    </row>
    <row r="37" spans="1:12" ht="11.4">
      <c r="A37" s="1">
        <f t="shared" si="0"/>
        <v>27</v>
      </c>
      <c r="B37" s="4">
        <f>+Base40h!B37</f>
        <v>44470</v>
      </c>
      <c r="C37" s="5">
        <v>78.070833333333354</v>
      </c>
      <c r="D37" s="5">
        <v>65.948333333333338</v>
      </c>
      <c r="E37" s="5">
        <v>88.687916666666666</v>
      </c>
      <c r="F37" s="5">
        <v>74.829999999999998</v>
      </c>
      <c r="G37" s="5">
        <v>53.818333333333349</v>
      </c>
      <c r="H37" s="5">
        <v>78.710416666666688</v>
      </c>
      <c r="I37" s="5">
        <v>47.670416666666675</v>
      </c>
      <c r="J37" s="5">
        <v>41.989583333333343</v>
      </c>
      <c r="K37" s="5">
        <v>44.012916666666683</v>
      </c>
      <c r="L37" s="5">
        <v>49.544583333333364</v>
      </c>
    </row>
    <row r="38" spans="1:12" ht="11.4">
      <c r="A38" s="1">
        <f t="shared" si="0"/>
        <v>28</v>
      </c>
      <c r="B38" s="4">
        <f>+Base40h!B38</f>
        <v>44501</v>
      </c>
      <c r="C38" s="5">
        <v>8.5383333333333287</v>
      </c>
      <c r="D38" s="5">
        <v>8.7037500000000012</v>
      </c>
      <c r="E38" s="5">
        <v>15.688333333333343</v>
      </c>
      <c r="F38" s="5">
        <v>9.27583333333334</v>
      </c>
      <c r="G38" s="5">
        <v>6.2362499999999947</v>
      </c>
      <c r="H38" s="5">
        <v>8.7187500000000089</v>
      </c>
      <c r="I38" s="5">
        <v>2.69166666666667</v>
      </c>
      <c r="J38" s="5">
        <v>2.3591666666666655</v>
      </c>
      <c r="K38" s="5">
        <v>1.1470833333333348</v>
      </c>
      <c r="L38" s="5">
        <v>3.0599999999999956</v>
      </c>
    </row>
    <row r="39" spans="1:12" ht="11.4">
      <c r="A39" s="1">
        <f t="shared" si="0"/>
        <v>29</v>
      </c>
      <c r="B39" s="4">
        <f>+Base40h!B39</f>
        <v>44531</v>
      </c>
      <c r="C39" s="5">
        <v>0.99333333333333651</v>
      </c>
      <c r="D39" s="5">
        <v>1.9837500000000001</v>
      </c>
      <c r="E39" s="5">
        <v>2.2591666666666645</v>
      </c>
      <c r="F39" s="5">
        <v>0.93083333333333007</v>
      </c>
      <c r="G39" s="5">
        <v>0.60249999999999981</v>
      </c>
      <c r="H39" s="5">
        <v>0.66250000000000142</v>
      </c>
      <c r="I39" s="5">
        <v>0</v>
      </c>
      <c r="J39" s="5">
        <v>0</v>
      </c>
      <c r="K39" s="5">
        <v>0</v>
      </c>
      <c r="L39" s="5">
        <v>0.055000000000000424</v>
      </c>
    </row>
    <row r="40" spans="1:12" ht="11.4">
      <c r="A40" s="1">
        <f t="shared" si="0"/>
        <v>30</v>
      </c>
      <c r="B40" s="32" t="s">
        <v>15</v>
      </c>
      <c r="C40" s="33">
        <f>SUM(C28:C39)</f>
        <v>1965.7008333333338</v>
      </c>
      <c r="D40" s="33">
        <f t="shared" si="2" ref="D40:L40">SUM(D28:D39)</f>
        <v>1605.2679166666667</v>
      </c>
      <c r="E40" s="33">
        <f t="shared" si="2"/>
        <v>1864.510416666667</v>
      </c>
      <c r="F40" s="33">
        <f t="shared" si="2"/>
        <v>1798.3525</v>
      </c>
      <c r="G40" s="33">
        <f t="shared" si="2"/>
        <v>1576.2275000000002</v>
      </c>
      <c r="H40" s="33">
        <f t="shared" si="2"/>
        <v>1899.1795833333335</v>
      </c>
      <c r="I40" s="33">
        <f t="shared" si="2"/>
        <v>1573.0650000000001</v>
      </c>
      <c r="J40" s="33">
        <f t="shared" si="2"/>
        <v>1644.6587500000001</v>
      </c>
      <c r="K40" s="33">
        <f t="shared" si="2"/>
        <v>1644.0074791666666</v>
      </c>
      <c r="L40" s="33">
        <f t="shared" si="2"/>
        <v>1553.8750000000005</v>
      </c>
    </row>
  </sheetData>
  <mergeCells count="7">
    <mergeCell ref="B26:L26"/>
    <mergeCell ref="B1:L1"/>
    <mergeCell ref="B2:L2"/>
    <mergeCell ref="B3:L3"/>
    <mergeCell ref="B4:L4"/>
    <mergeCell ref="B6:L6"/>
    <mergeCell ref="B9:L9"/>
  </mergeCells>
  <pageMargins left="0.75" right="0.75" top="1" bottom="1" header="0.5" footer="0.5"/>
  <pageSetup orientation="portrait" scale="73" r:id="rId1"/>
  <headerFooter alignWithMargins="0">
    <oddHeader>&amp;RSchedule II-H-5.1
Page &amp;P of  28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pageSetUpPr fitToPage="1"/>
  </sheetPr>
  <dimension ref="A1:L40"/>
  <sheetViews>
    <sheetView workbookViewId="0" topLeftCell="A1"/>
  </sheetViews>
  <sheetFormatPr defaultColWidth="9.11428571428571" defaultRowHeight="12"/>
  <cols>
    <col min="1" max="1" width="9.14285714285714" style="1"/>
    <col min="2" max="2" width="10.4285714285714" style="2" bestFit="1" customWidth="1"/>
    <col min="3" max="3" width="11.4285714285714" style="2" customWidth="1"/>
    <col min="4" max="4" width="9.57142857142857" style="2" bestFit="1" customWidth="1"/>
    <col min="5" max="5" width="9.71428571428571" style="2" bestFit="1" customWidth="1"/>
    <col min="6" max="6" width="9.57142857142857" style="2" bestFit="1" customWidth="1"/>
    <col min="7" max="7" width="12.2857142857143" style="2" bestFit="1" customWidth="1"/>
    <col min="8" max="8" width="9.85714285714286" style="2" bestFit="1" customWidth="1"/>
    <col min="9" max="9" width="10.5714285714286" style="2" bestFit="1" customWidth="1"/>
    <col min="10" max="10" width="11.2857142857143" style="2" customWidth="1"/>
    <col min="11" max="11" width="10.4285714285714" style="2" customWidth="1"/>
    <col min="12" max="16384" width="9.14285714285714" style="2"/>
  </cols>
  <sheetData>
    <row r="1" spans="2:12" ht="15.6">
      <c r="B1" s="82" t="str">
        <f>+Base40h!B1</f>
        <v xml:space="preserve">PUC DOCKET NO. </v>
      </c>
      <c r="C1" s="82"/>
      <c r="D1" s="82"/>
      <c r="E1" s="82"/>
      <c r="F1" s="82"/>
      <c r="G1" s="82"/>
      <c r="H1" s="82"/>
      <c r="I1" s="82"/>
      <c r="J1" s="82"/>
      <c r="K1" s="82"/>
      <c r="L1" s="82"/>
    </row>
    <row r="2" spans="2:12" ht="15.6">
      <c r="B2" s="82" t="str">
        <f>+Base40h!B2</f>
        <v>ONCOR ELECTRIC DELIVERY COMPANY LLC</v>
      </c>
      <c r="C2" s="82"/>
      <c r="D2" s="82"/>
      <c r="E2" s="82"/>
      <c r="F2" s="82"/>
      <c r="G2" s="82"/>
      <c r="H2" s="82"/>
      <c r="I2" s="82"/>
      <c r="J2" s="82"/>
      <c r="K2" s="82"/>
      <c r="L2" s="82"/>
    </row>
    <row r="3" spans="2:12" ht="15.6">
      <c r="B3" s="82" t="str">
        <f>+Base40h!B3</f>
        <v>WEATHER STATION DATA</v>
      </c>
      <c r="C3" s="82"/>
      <c r="D3" s="82"/>
      <c r="E3" s="82"/>
      <c r="F3" s="82"/>
      <c r="G3" s="82"/>
      <c r="H3" s="82"/>
      <c r="I3" s="82"/>
      <c r="J3" s="82"/>
      <c r="K3" s="82"/>
      <c r="L3" s="82"/>
    </row>
    <row r="4" spans="2:12" ht="15.6">
      <c r="B4" s="82" t="str">
        <f>+Base40h!B4</f>
        <v>FOR THE TEST YEAR ENDING DECEMBER 31, 2021</v>
      </c>
      <c r="C4" s="82"/>
      <c r="D4" s="82"/>
      <c r="E4" s="82"/>
      <c r="F4" s="82"/>
      <c r="G4" s="82"/>
      <c r="H4" s="82"/>
      <c r="I4" s="82"/>
      <c r="J4" s="82"/>
      <c r="K4" s="82"/>
      <c r="L4" s="82"/>
    </row>
    <row r="6" spans="2:12" ht="15.6">
      <c r="B6" s="82" t="str">
        <f>+Base40h!B6</f>
        <v>SPONSOR: D. E. NELSON</v>
      </c>
      <c r="C6" s="82"/>
      <c r="D6" s="82"/>
      <c r="E6" s="82"/>
      <c r="F6" s="82"/>
      <c r="G6" s="82"/>
      <c r="H6" s="82"/>
      <c r="I6" s="82"/>
      <c r="J6" s="82"/>
      <c r="K6" s="82"/>
      <c r="L6" s="82"/>
    </row>
    <row r="9" spans="2:12" ht="12">
      <c r="B9" s="83" t="s">
        <v>20</v>
      </c>
      <c r="C9" s="83"/>
      <c r="D9" s="83"/>
      <c r="E9" s="83"/>
      <c r="F9" s="83"/>
      <c r="G9" s="83"/>
      <c r="H9" s="83"/>
      <c r="I9" s="83"/>
      <c r="J9" s="83"/>
      <c r="K9" s="83"/>
      <c r="L9" s="83"/>
    </row>
    <row r="10" spans="1:12" ht="34.8" thickBot="1">
      <c r="A10" s="3" t="s">
        <v>4</v>
      </c>
      <c r="C10" s="3" t="s">
        <v>55</v>
      </c>
      <c r="D10" s="3" t="s">
        <v>6</v>
      </c>
      <c r="E10" s="3" t="s">
        <v>7</v>
      </c>
      <c r="F10" s="3" t="s">
        <v>8</v>
      </c>
      <c r="G10" s="3" t="s">
        <v>9</v>
      </c>
      <c r="H10" s="3" t="s">
        <v>10</v>
      </c>
      <c r="I10" s="3" t="s">
        <v>11</v>
      </c>
      <c r="J10" s="3" t="s">
        <v>12</v>
      </c>
      <c r="K10" s="3" t="s">
        <v>13</v>
      </c>
      <c r="L10" s="3" t="s">
        <v>14</v>
      </c>
    </row>
    <row r="11" spans="1:12" ht="11.4">
      <c r="A11" s="1">
        <v>1</v>
      </c>
      <c r="B11" s="4">
        <f>+Base40h!B11</f>
        <v>44197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</row>
    <row r="12" spans="1:12" ht="11.4">
      <c r="A12" s="1">
        <f>+A11+1</f>
        <v>2</v>
      </c>
      <c r="B12" s="4">
        <f>+Base40h!B12</f>
        <v>44228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</row>
    <row r="13" spans="1:12" ht="11.4">
      <c r="A13" s="1">
        <f t="shared" si="0" ref="A13:A40">+A12+1</f>
        <v>3</v>
      </c>
      <c r="B13" s="4">
        <f>+Base40h!B13</f>
        <v>44256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</row>
    <row r="14" spans="1:12" ht="11.4">
      <c r="A14" s="1">
        <f t="shared" si="0"/>
        <v>4</v>
      </c>
      <c r="B14" s="4">
        <f>+Base40h!B14</f>
        <v>44287</v>
      </c>
      <c r="C14" s="5">
        <v>1.2000000000000028</v>
      </c>
      <c r="D14" s="5">
        <v>5.4000000000000057</v>
      </c>
      <c r="E14" s="5">
        <v>2.1000000000000085</v>
      </c>
      <c r="F14" s="5">
        <v>3.5</v>
      </c>
      <c r="G14" s="5">
        <v>3.2000000000000028</v>
      </c>
      <c r="H14" s="5">
        <v>3.1000000000000085</v>
      </c>
      <c r="I14" s="5">
        <v>6.7000000000000028</v>
      </c>
      <c r="J14" s="5">
        <v>0</v>
      </c>
      <c r="K14" s="5">
        <v>6.2999999999999972</v>
      </c>
      <c r="L14" s="5">
        <v>0</v>
      </c>
    </row>
    <row r="15" spans="1:12" ht="11.4">
      <c r="A15" s="1">
        <f t="shared" si="0"/>
        <v>5</v>
      </c>
      <c r="B15" s="4">
        <f>+Base40h!B15</f>
        <v>44317</v>
      </c>
      <c r="C15" s="5">
        <v>20.200000000000017</v>
      </c>
      <c r="D15" s="5">
        <v>17.400000000000006</v>
      </c>
      <c r="E15" s="5">
        <v>19.400000000000006</v>
      </c>
      <c r="F15" s="5">
        <v>14.200000000000017</v>
      </c>
      <c r="G15" s="5">
        <v>8.7000000000000171</v>
      </c>
      <c r="H15" s="5">
        <v>22.100000000000009</v>
      </c>
      <c r="I15" s="5">
        <v>11.200000000000003</v>
      </c>
      <c r="J15" s="5">
        <v>8.8000000000000114</v>
      </c>
      <c r="K15" s="5">
        <v>18.300000000000011</v>
      </c>
      <c r="L15" s="5">
        <v>6.0999999999999943</v>
      </c>
    </row>
    <row r="16" spans="1:12" ht="11.4">
      <c r="A16" s="1">
        <f t="shared" si="0"/>
        <v>6</v>
      </c>
      <c r="B16" s="4">
        <f>+Base40h!B16</f>
        <v>44348</v>
      </c>
      <c r="C16" s="5">
        <v>218.30000000000013</v>
      </c>
      <c r="D16" s="5">
        <v>182.50000000000006</v>
      </c>
      <c r="E16" s="5">
        <v>155.7000000000001</v>
      </c>
      <c r="F16" s="5">
        <v>167.19999999999999</v>
      </c>
      <c r="G16" s="5">
        <v>142.90000000000006</v>
      </c>
      <c r="H16" s="5">
        <v>194.10000000000008</v>
      </c>
      <c r="I16" s="5">
        <v>169.50000000000011</v>
      </c>
      <c r="J16" s="5">
        <v>149.20000000000005</v>
      </c>
      <c r="K16" s="5">
        <v>180.5</v>
      </c>
      <c r="L16" s="5">
        <v>161.00000000000003</v>
      </c>
    </row>
    <row r="17" spans="1:12" ht="11.4">
      <c r="A17" s="1">
        <f t="shared" si="0"/>
        <v>7</v>
      </c>
      <c r="B17" s="4">
        <f>+Base40h!B17</f>
        <v>44378</v>
      </c>
      <c r="C17" s="5">
        <v>292.60000000000008</v>
      </c>
      <c r="D17" s="5">
        <v>199.40000000000006</v>
      </c>
      <c r="E17" s="5">
        <v>150.40000000000009</v>
      </c>
      <c r="F17" s="5">
        <v>178.70000000000016</v>
      </c>
      <c r="G17" s="5">
        <v>165.50000000000009</v>
      </c>
      <c r="H17" s="5">
        <v>229.80000000000007</v>
      </c>
      <c r="I17" s="5">
        <v>208.40000000000009</v>
      </c>
      <c r="J17" s="5">
        <v>205.70000000000013</v>
      </c>
      <c r="K17" s="5">
        <v>124.50000000000007</v>
      </c>
      <c r="L17" s="5">
        <v>213.20000000000007</v>
      </c>
    </row>
    <row r="18" spans="1:12" ht="11.4">
      <c r="A18" s="1">
        <f t="shared" si="0"/>
        <v>8</v>
      </c>
      <c r="B18" s="4">
        <f>+Base40h!B18</f>
        <v>44409</v>
      </c>
      <c r="C18" s="5">
        <v>299.40000000000009</v>
      </c>
      <c r="D18" s="5">
        <v>249.89999999999998</v>
      </c>
      <c r="E18" s="5">
        <v>199.20000000000005</v>
      </c>
      <c r="F18" s="5">
        <v>250.90000000000009</v>
      </c>
      <c r="G18" s="5">
        <v>189.30000000000007</v>
      </c>
      <c r="H18" s="5">
        <v>280.00000000000011</v>
      </c>
      <c r="I18" s="5">
        <v>245.00000000000006</v>
      </c>
      <c r="J18" s="5">
        <v>223.60000000000008</v>
      </c>
      <c r="K18" s="5">
        <v>134.5</v>
      </c>
      <c r="L18" s="5">
        <v>219.10000000000002</v>
      </c>
    </row>
    <row r="19" spans="1:12" ht="11.4">
      <c r="A19" s="1">
        <f t="shared" si="0"/>
        <v>9</v>
      </c>
      <c r="B19" s="4">
        <f>+Base40h!B19</f>
        <v>44440</v>
      </c>
      <c r="C19" s="5">
        <v>172.40000000000015</v>
      </c>
      <c r="D19" s="5">
        <v>113.70000000000007</v>
      </c>
      <c r="E19" s="5">
        <v>119.30000000000003</v>
      </c>
      <c r="F19" s="5">
        <v>144.00000000000006</v>
      </c>
      <c r="G19" s="5">
        <v>72.80000000000004</v>
      </c>
      <c r="H19" s="5">
        <v>154.7000000000001</v>
      </c>
      <c r="I19" s="5">
        <v>143.80000000000007</v>
      </c>
      <c r="J19" s="5">
        <v>117.20000000000005</v>
      </c>
      <c r="K19" s="5">
        <v>107.60000000000007</v>
      </c>
      <c r="L19" s="5">
        <v>107.90000000000006</v>
      </c>
    </row>
    <row r="20" spans="1:12" ht="11.4">
      <c r="A20" s="1">
        <f t="shared" si="0"/>
        <v>10</v>
      </c>
      <c r="B20" s="4">
        <f>+Base40h!B20</f>
        <v>44470</v>
      </c>
      <c r="C20" s="5">
        <v>24.700000000000017</v>
      </c>
      <c r="D20" s="5">
        <v>30.200000000000003</v>
      </c>
      <c r="E20" s="5">
        <v>21.200000000000003</v>
      </c>
      <c r="F20" s="5">
        <v>13.600000000000009</v>
      </c>
      <c r="G20" s="5">
        <v>22.100000000000009</v>
      </c>
      <c r="H20" s="5">
        <v>28.100000000000023</v>
      </c>
      <c r="I20" s="5">
        <v>21.800000000000026</v>
      </c>
      <c r="J20" s="5">
        <v>12.300000000000011</v>
      </c>
      <c r="K20" s="5">
        <v>17.100000000000009</v>
      </c>
      <c r="L20" s="5">
        <v>10.599999999999994</v>
      </c>
    </row>
    <row r="21" spans="1:12" ht="11.4">
      <c r="A21" s="1">
        <f t="shared" si="0"/>
        <v>11</v>
      </c>
      <c r="B21" s="4">
        <f>+Base40h!B21</f>
        <v>44501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</row>
    <row r="22" spans="1:12" ht="11.4">
      <c r="A22" s="1">
        <f t="shared" si="0"/>
        <v>12</v>
      </c>
      <c r="B22" s="4">
        <f>+Base40h!B22</f>
        <v>44531</v>
      </c>
      <c r="C22" s="5">
        <v>0</v>
      </c>
      <c r="D22" s="5">
        <v>1.4000000000000057</v>
      </c>
      <c r="E22" s="5">
        <v>0</v>
      </c>
      <c r="F22" s="5">
        <v>0</v>
      </c>
      <c r="G22" s="5">
        <v>0.79999999999999716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</row>
    <row r="23" spans="1:12" ht="11.4">
      <c r="A23" s="1">
        <f t="shared" si="0"/>
        <v>13</v>
      </c>
      <c r="B23" s="32" t="s">
        <v>15</v>
      </c>
      <c r="C23" s="33">
        <f>SUM(C11:C22)</f>
        <v>1028.8000000000004</v>
      </c>
      <c r="D23" s="33">
        <f t="shared" si="1" ref="D23:L23">SUM(D11:D22)</f>
        <v>799.9000000000002</v>
      </c>
      <c r="E23" s="33">
        <f t="shared" si="1"/>
        <v>667.3000000000003</v>
      </c>
      <c r="F23" s="33">
        <f t="shared" si="1"/>
        <v>772.10000000000025</v>
      </c>
      <c r="G23" s="33">
        <f t="shared" si="1"/>
        <v>605.3000000000003</v>
      </c>
      <c r="H23" s="33">
        <f t="shared" si="1"/>
        <v>911.90000000000043</v>
      </c>
      <c r="I23" s="33">
        <f t="shared" si="1"/>
        <v>806.40000000000032</v>
      </c>
      <c r="J23" s="33">
        <f t="shared" si="1"/>
        <v>716.80000000000018</v>
      </c>
      <c r="K23" s="33">
        <f t="shared" si="1"/>
        <v>588.80000000000018</v>
      </c>
      <c r="L23" s="33">
        <f t="shared" si="1"/>
        <v>717.9000000000002</v>
      </c>
    </row>
    <row r="24" spans="1:1" ht="11.4">
      <c r="A24" s="1">
        <f t="shared" si="0"/>
        <v>14</v>
      </c>
    </row>
    <row r="25" spans="1:1" ht="11.4">
      <c r="A25" s="1">
        <f t="shared" si="0"/>
        <v>15</v>
      </c>
    </row>
    <row r="26" spans="1:12" ht="12">
      <c r="A26" s="1">
        <f t="shared" si="0"/>
        <v>16</v>
      </c>
      <c r="B26" s="83" t="s">
        <v>56</v>
      </c>
      <c r="C26" s="83"/>
      <c r="D26" s="83"/>
      <c r="E26" s="83"/>
      <c r="F26" s="83"/>
      <c r="G26" s="83"/>
      <c r="H26" s="83"/>
      <c r="I26" s="83"/>
      <c r="J26" s="83"/>
      <c r="K26" s="83"/>
      <c r="L26" s="83"/>
    </row>
    <row r="27" spans="1:12" ht="34.8" thickBot="1">
      <c r="A27" s="1">
        <f t="shared" si="0"/>
        <v>17</v>
      </c>
      <c r="C27" s="3" t="s">
        <v>55</v>
      </c>
      <c r="D27" s="3" t="s">
        <v>6</v>
      </c>
      <c r="E27" s="74" t="s">
        <v>7</v>
      </c>
      <c r="F27" s="74" t="s">
        <v>8</v>
      </c>
      <c r="G27" s="74" t="s">
        <v>9</v>
      </c>
      <c r="H27" s="74" t="s">
        <v>10</v>
      </c>
      <c r="I27" s="74" t="s">
        <v>11</v>
      </c>
      <c r="J27" s="74" t="s">
        <v>12</v>
      </c>
      <c r="K27" s="74" t="s">
        <v>13</v>
      </c>
      <c r="L27" s="74" t="s">
        <v>14</v>
      </c>
    </row>
    <row r="28" spans="1:12" ht="11.4">
      <c r="A28" s="1">
        <f t="shared" si="0"/>
        <v>18</v>
      </c>
      <c r="B28" s="4">
        <f>+Base40h!B28</f>
        <v>44197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</row>
    <row r="29" spans="1:12" ht="11.4">
      <c r="A29" s="1">
        <f t="shared" si="0"/>
        <v>19</v>
      </c>
      <c r="B29" s="4">
        <f>+Base40h!B29</f>
        <v>44228</v>
      </c>
      <c r="C29" s="5">
        <v>0.0049999999999997156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</row>
    <row r="30" spans="1:12" ht="11.4">
      <c r="A30" s="1">
        <f t="shared" si="0"/>
        <v>20</v>
      </c>
      <c r="B30" s="4">
        <f>+Base40h!B30</f>
        <v>44256</v>
      </c>
      <c r="C30" s="5">
        <v>0.67708333333333059</v>
      </c>
      <c r="D30" s="5">
        <v>0.34458333333333541</v>
      </c>
      <c r="E30" s="5">
        <v>0.57291666666666652</v>
      </c>
      <c r="F30" s="5">
        <v>0.15708333333333469</v>
      </c>
      <c r="G30" s="5">
        <v>0.17208333333333031</v>
      </c>
      <c r="H30" s="5">
        <v>0.18041666666667028</v>
      </c>
      <c r="I30" s="5">
        <v>0.30291666666666545</v>
      </c>
      <c r="J30" s="5">
        <v>0.37333333333333552</v>
      </c>
      <c r="K30" s="5">
        <v>0.30500000000000049</v>
      </c>
      <c r="L30" s="5">
        <v>0.067500000000000421</v>
      </c>
    </row>
    <row r="31" spans="1:12" ht="11.4">
      <c r="A31" s="1">
        <f t="shared" si="0"/>
        <v>21</v>
      </c>
      <c r="B31" s="4">
        <f>+Base40h!B31</f>
        <v>44287</v>
      </c>
      <c r="C31" s="5">
        <v>7.8704166666666664</v>
      </c>
      <c r="D31" s="5">
        <v>7.7341666666666624</v>
      </c>
      <c r="E31" s="5">
        <v>13.866249999999996</v>
      </c>
      <c r="F31" s="5">
        <v>9.6841666666666661</v>
      </c>
      <c r="G31" s="5">
        <v>5.7762500000000081</v>
      </c>
      <c r="H31" s="5">
        <v>8.8033333333333257</v>
      </c>
      <c r="I31" s="5">
        <v>10.293750000000001</v>
      </c>
      <c r="J31" s="5">
        <v>6.2762499999999948</v>
      </c>
      <c r="K31" s="5">
        <v>10.849166666666665</v>
      </c>
      <c r="L31" s="5">
        <v>2.4170833333333306</v>
      </c>
    </row>
    <row r="32" spans="1:12" ht="11.4">
      <c r="A32" s="1">
        <f t="shared" si="0"/>
        <v>22</v>
      </c>
      <c r="B32" s="4">
        <f>+Base40h!B32</f>
        <v>44317</v>
      </c>
      <c r="C32" s="5">
        <v>68.900833333333352</v>
      </c>
      <c r="D32" s="5">
        <v>53.829999999999998</v>
      </c>
      <c r="E32" s="5">
        <v>79.512083333333322</v>
      </c>
      <c r="F32" s="5">
        <v>63.636250000000004</v>
      </c>
      <c r="G32" s="5">
        <v>46.61083333333336</v>
      </c>
      <c r="H32" s="5">
        <v>67.80291666666669</v>
      </c>
      <c r="I32" s="5">
        <v>62.420000000000023</v>
      </c>
      <c r="J32" s="5">
        <v>53.432500000000019</v>
      </c>
      <c r="K32" s="5">
        <v>89.584583333333342</v>
      </c>
      <c r="L32" s="5">
        <v>34.233750000000008</v>
      </c>
    </row>
    <row r="33" spans="1:12" ht="11.4">
      <c r="A33" s="1">
        <f t="shared" si="0"/>
        <v>23</v>
      </c>
      <c r="B33" s="4">
        <f>+Base40h!B33</f>
        <v>44348</v>
      </c>
      <c r="C33" s="5">
        <v>229.91125000000008</v>
      </c>
      <c r="D33" s="5">
        <v>164.97583333333336</v>
      </c>
      <c r="E33" s="5">
        <v>208.08041666666668</v>
      </c>
      <c r="F33" s="5">
        <v>198.66000000000011</v>
      </c>
      <c r="G33" s="5">
        <v>160.81875000000002</v>
      </c>
      <c r="H33" s="5">
        <v>216.72833333333335</v>
      </c>
      <c r="I33" s="5">
        <v>177.05250000000001</v>
      </c>
      <c r="J33" s="5">
        <v>188.71875000000003</v>
      </c>
      <c r="K33" s="5">
        <v>223.81416666666669</v>
      </c>
      <c r="L33" s="5">
        <v>165.38875000000007</v>
      </c>
    </row>
    <row r="34" spans="1:12" ht="11.4">
      <c r="A34" s="1">
        <f t="shared" si="0"/>
        <v>24</v>
      </c>
      <c r="B34" s="4">
        <f>+Base40h!B34</f>
        <v>44378</v>
      </c>
      <c r="C34" s="5">
        <v>337.7583333333335</v>
      </c>
      <c r="D34" s="5">
        <v>222.88375000000008</v>
      </c>
      <c r="E34" s="5">
        <v>265.40708333333339</v>
      </c>
      <c r="F34" s="5">
        <v>283.00041666666669</v>
      </c>
      <c r="G34" s="5">
        <v>244.80125000000007</v>
      </c>
      <c r="H34" s="5">
        <v>316.84416666666669</v>
      </c>
      <c r="I34" s="5">
        <v>260.95874999999995</v>
      </c>
      <c r="J34" s="5">
        <v>305.77958333333333</v>
      </c>
      <c r="K34" s="5">
        <v>262.52874999999995</v>
      </c>
      <c r="L34" s="5">
        <v>275.3295833333334</v>
      </c>
    </row>
    <row r="35" spans="1:12" ht="11.4">
      <c r="A35" s="1">
        <f t="shared" si="0"/>
        <v>25</v>
      </c>
      <c r="B35" s="4">
        <f>+Base40h!B35</f>
        <v>44409</v>
      </c>
      <c r="C35" s="5">
        <v>349.16999999999996</v>
      </c>
      <c r="D35" s="5">
        <v>238.94916666666674</v>
      </c>
      <c r="E35" s="5">
        <v>295.09250000000009</v>
      </c>
      <c r="F35" s="5">
        <v>304.47375000000011</v>
      </c>
      <c r="G35" s="5">
        <v>252.99666666666676</v>
      </c>
      <c r="H35" s="5">
        <v>331.30916666666673</v>
      </c>
      <c r="I35" s="5">
        <v>257.29250000000002</v>
      </c>
      <c r="J35" s="5">
        <v>289.79124999999999</v>
      </c>
      <c r="K35" s="5">
        <v>243.11125000000007</v>
      </c>
      <c r="L35" s="5">
        <v>272.62416666666672</v>
      </c>
    </row>
    <row r="36" spans="1:12" ht="11.4">
      <c r="A36" s="1">
        <f t="shared" si="0"/>
        <v>26</v>
      </c>
      <c r="B36" s="4">
        <f>+Base40h!B36</f>
        <v>44440</v>
      </c>
      <c r="C36" s="5">
        <v>152.88666666666668</v>
      </c>
      <c r="D36" s="5">
        <v>102.37958333333336</v>
      </c>
      <c r="E36" s="5">
        <v>128.63125000000005</v>
      </c>
      <c r="F36" s="5">
        <v>121.18416666666671</v>
      </c>
      <c r="G36" s="5">
        <v>102.70458333333336</v>
      </c>
      <c r="H36" s="5">
        <v>140.07583333333341</v>
      </c>
      <c r="I36" s="5">
        <v>85.336666666666673</v>
      </c>
      <c r="J36" s="5">
        <v>94.566666666666734</v>
      </c>
      <c r="K36" s="5">
        <v>76.941666666666663</v>
      </c>
      <c r="L36" s="5">
        <v>101.16958333333334</v>
      </c>
    </row>
    <row r="37" spans="1:12" ht="11.4">
      <c r="A37" s="1">
        <f t="shared" si="0"/>
        <v>27</v>
      </c>
      <c r="B37" s="4">
        <f>+Base40h!B37</f>
        <v>44470</v>
      </c>
      <c r="C37" s="5">
        <v>26.861249999999991</v>
      </c>
      <c r="D37" s="5">
        <v>17.564583333333339</v>
      </c>
      <c r="E37" s="5">
        <v>29.339583333333326</v>
      </c>
      <c r="F37" s="5">
        <v>22.41083333333334</v>
      </c>
      <c r="G37" s="5">
        <v>12.802916666666681</v>
      </c>
      <c r="H37" s="5">
        <v>27.737916666666681</v>
      </c>
      <c r="I37" s="5">
        <v>12.559583333333336</v>
      </c>
      <c r="J37" s="5">
        <v>11.873333333333335</v>
      </c>
      <c r="K37" s="5">
        <v>10.419583333333337</v>
      </c>
      <c r="L37" s="5">
        <v>14.560416666666685</v>
      </c>
    </row>
    <row r="38" spans="1:12" ht="11.4">
      <c r="A38" s="1">
        <f t="shared" si="0"/>
        <v>28</v>
      </c>
      <c r="B38" s="4">
        <f>+Base40h!B38</f>
        <v>44501</v>
      </c>
      <c r="C38" s="5">
        <v>0.92041666666667077</v>
      </c>
      <c r="D38" s="5">
        <v>0.4033333333333296</v>
      </c>
      <c r="E38" s="5">
        <v>2.0666666666666669</v>
      </c>
      <c r="F38" s="5">
        <v>0.51500000000000623</v>
      </c>
      <c r="G38" s="5">
        <v>0.23499999999999877</v>
      </c>
      <c r="H38" s="5">
        <v>0.80291666666667194</v>
      </c>
      <c r="I38" s="5">
        <v>0</v>
      </c>
      <c r="J38" s="5">
        <v>0</v>
      </c>
      <c r="K38" s="5">
        <v>0.014999999999999857</v>
      </c>
      <c r="L38" s="5">
        <v>0.20458333333333556</v>
      </c>
    </row>
    <row r="39" spans="1:12" ht="11.4">
      <c r="A39" s="1">
        <f t="shared" si="0"/>
        <v>29</v>
      </c>
      <c r="B39" s="4">
        <f>+Base40h!B39</f>
        <v>44531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</row>
    <row r="40" spans="1:12" ht="11.4">
      <c r="A40" s="1">
        <f t="shared" si="0"/>
        <v>30</v>
      </c>
      <c r="B40" s="32" t="s">
        <v>15</v>
      </c>
      <c r="C40" s="33">
        <f>SUM(C28:C39)</f>
        <v>1174.9612500000001</v>
      </c>
      <c r="D40" s="33">
        <f t="shared" si="2" ref="D40:L40">SUM(D28:D39)</f>
        <v>809.06500000000017</v>
      </c>
      <c r="E40" s="33">
        <f t="shared" si="2"/>
        <v>1022.5687500000001</v>
      </c>
      <c r="F40" s="33">
        <f t="shared" si="2"/>
        <v>1003.7216666666669</v>
      </c>
      <c r="G40" s="33">
        <f t="shared" si="2"/>
        <v>826.91833333333364</v>
      </c>
      <c r="H40" s="33">
        <f t="shared" si="2"/>
        <v>1110.2850000000003</v>
      </c>
      <c r="I40" s="33">
        <f t="shared" si="2"/>
        <v>866.2166666666667</v>
      </c>
      <c r="J40" s="33">
        <f t="shared" si="2"/>
        <v>950.81166666666672</v>
      </c>
      <c r="K40" s="33">
        <f t="shared" si="2"/>
        <v>917.56916666666677</v>
      </c>
      <c r="L40" s="33">
        <f t="shared" si="2"/>
        <v>865.99541666666687</v>
      </c>
    </row>
  </sheetData>
  <mergeCells count="7">
    <mergeCell ref="B26:L26"/>
    <mergeCell ref="B1:L1"/>
    <mergeCell ref="B2:L2"/>
    <mergeCell ref="B3:L3"/>
    <mergeCell ref="B4:L4"/>
    <mergeCell ref="B6:L6"/>
    <mergeCell ref="B9:L9"/>
  </mergeCells>
  <pageMargins left="0.75" right="0.75" top="1" bottom="1" header="0.5" footer="0.5"/>
  <pageSetup orientation="portrait" scale="73" r:id="rId1"/>
  <headerFooter alignWithMargins="0">
    <oddHeader>&amp;RSchedule II-H-5.1
Page &amp;P of  28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pageSetUpPr fitToPage="1"/>
  </sheetPr>
  <dimension ref="A1:L40"/>
  <sheetViews>
    <sheetView workbookViewId="0" topLeftCell="A1"/>
  </sheetViews>
  <sheetFormatPr defaultColWidth="9.11428571428571" defaultRowHeight="12"/>
  <cols>
    <col min="1" max="1" width="9.14285714285714" style="1"/>
    <col min="2" max="2" width="10.4285714285714" style="2" bestFit="1" customWidth="1"/>
    <col min="3" max="3" width="11.4285714285714" style="2" customWidth="1"/>
    <col min="4" max="4" width="9.57142857142857" style="2" bestFit="1" customWidth="1"/>
    <col min="5" max="5" width="9.71428571428571" style="2" bestFit="1" customWidth="1"/>
    <col min="6" max="6" width="9.57142857142857" style="2" bestFit="1" customWidth="1"/>
    <col min="7" max="7" width="12.2857142857143" style="2" bestFit="1" customWidth="1"/>
    <col min="8" max="8" width="9.85714285714286" style="2" bestFit="1" customWidth="1"/>
    <col min="9" max="9" width="10.5714285714286" style="2" bestFit="1" customWidth="1"/>
    <col min="10" max="10" width="11.2857142857143" style="2" customWidth="1"/>
    <col min="11" max="11" width="10.4285714285714" style="2" customWidth="1"/>
    <col min="12" max="16384" width="9.14285714285714" style="2"/>
  </cols>
  <sheetData>
    <row r="1" spans="2:12" ht="15.6">
      <c r="B1" s="82" t="str">
        <f>+Base40h!B1</f>
        <v xml:space="preserve">PUC DOCKET NO. </v>
      </c>
      <c r="C1" s="82"/>
      <c r="D1" s="82"/>
      <c r="E1" s="82"/>
      <c r="F1" s="82"/>
      <c r="G1" s="82"/>
      <c r="H1" s="82"/>
      <c r="I1" s="82"/>
      <c r="J1" s="82"/>
      <c r="K1" s="82"/>
      <c r="L1" s="82"/>
    </row>
    <row r="2" spans="2:12" ht="15.6">
      <c r="B2" s="82" t="str">
        <f>+Base40h!B2</f>
        <v>ONCOR ELECTRIC DELIVERY COMPANY LLC</v>
      </c>
      <c r="C2" s="82"/>
      <c r="D2" s="82"/>
      <c r="E2" s="82"/>
      <c r="F2" s="82"/>
      <c r="G2" s="82"/>
      <c r="H2" s="82"/>
      <c r="I2" s="82"/>
      <c r="J2" s="82"/>
      <c r="K2" s="82"/>
      <c r="L2" s="82"/>
    </row>
    <row r="3" spans="2:12" ht="15.6">
      <c r="B3" s="82" t="str">
        <f>+Base40h!B3</f>
        <v>WEATHER STATION DATA</v>
      </c>
      <c r="C3" s="82"/>
      <c r="D3" s="82"/>
      <c r="E3" s="82"/>
      <c r="F3" s="82"/>
      <c r="G3" s="82"/>
      <c r="H3" s="82"/>
      <c r="I3" s="82"/>
      <c r="J3" s="82"/>
      <c r="K3" s="82"/>
      <c r="L3" s="82"/>
    </row>
    <row r="4" spans="2:12" ht="15.6">
      <c r="B4" s="82" t="str">
        <f>+Base40h!B4</f>
        <v>FOR THE TEST YEAR ENDING DECEMBER 31, 2021</v>
      </c>
      <c r="C4" s="82"/>
      <c r="D4" s="82"/>
      <c r="E4" s="82"/>
      <c r="F4" s="82"/>
      <c r="G4" s="82"/>
      <c r="H4" s="82"/>
      <c r="I4" s="82"/>
      <c r="J4" s="82"/>
      <c r="K4" s="82"/>
      <c r="L4" s="82"/>
    </row>
    <row r="6" spans="2:12" ht="15.6">
      <c r="B6" s="82" t="str">
        <f>+Base40h!B6</f>
        <v>SPONSOR: D. E. NELSON</v>
      </c>
      <c r="C6" s="82"/>
      <c r="D6" s="82"/>
      <c r="E6" s="82"/>
      <c r="F6" s="82"/>
      <c r="G6" s="82"/>
      <c r="H6" s="82"/>
      <c r="I6" s="82"/>
      <c r="J6" s="82"/>
      <c r="K6" s="82"/>
      <c r="L6" s="82"/>
    </row>
    <row r="9" spans="2:12" ht="12">
      <c r="B9" s="83" t="s">
        <v>88</v>
      </c>
      <c r="C9" s="83"/>
      <c r="D9" s="83"/>
      <c r="E9" s="83"/>
      <c r="F9" s="83"/>
      <c r="G9" s="83"/>
      <c r="H9" s="83"/>
      <c r="I9" s="83"/>
      <c r="J9" s="83"/>
      <c r="K9" s="83"/>
      <c r="L9" s="83"/>
    </row>
    <row r="10" spans="1:12" ht="34.8" thickBot="1">
      <c r="A10" s="3" t="s">
        <v>4</v>
      </c>
      <c r="C10" s="3" t="s">
        <v>55</v>
      </c>
      <c r="D10" s="3" t="s">
        <v>6</v>
      </c>
      <c r="E10" s="3" t="s">
        <v>7</v>
      </c>
      <c r="F10" s="3" t="s">
        <v>8</v>
      </c>
      <c r="G10" s="3" t="s">
        <v>9</v>
      </c>
      <c r="H10" s="3" t="s">
        <v>10</v>
      </c>
      <c r="I10" s="3" t="s">
        <v>11</v>
      </c>
      <c r="J10" s="3" t="s">
        <v>12</v>
      </c>
      <c r="K10" s="3" t="s">
        <v>13</v>
      </c>
      <c r="L10" s="3" t="s">
        <v>14</v>
      </c>
    </row>
    <row r="11" spans="1:12" ht="11.4">
      <c r="A11" s="1">
        <v>1</v>
      </c>
      <c r="B11" s="4">
        <f>+Base40h!B11</f>
        <v>44197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</row>
    <row r="12" spans="1:12" ht="11.4">
      <c r="A12" s="1">
        <f>+A11+1</f>
        <v>2</v>
      </c>
      <c r="B12" s="4">
        <f>+Base40h!B12</f>
        <v>44228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</row>
    <row r="13" spans="1:12" ht="11.4">
      <c r="A13" s="1">
        <f t="shared" si="0" ref="A13:A40">+A12+1</f>
        <v>3</v>
      </c>
      <c r="B13" s="4">
        <f>+Base40h!B13</f>
        <v>44256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</row>
    <row r="14" spans="1:12" ht="11.4">
      <c r="A14" s="1">
        <f t="shared" si="0"/>
        <v>4</v>
      </c>
      <c r="B14" s="4">
        <f>+Base40h!B14</f>
        <v>44287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</row>
    <row r="15" spans="1:12" ht="11.4">
      <c r="A15" s="1">
        <f t="shared" si="0"/>
        <v>5</v>
      </c>
      <c r="B15" s="4">
        <f>+Base40h!B15</f>
        <v>44317</v>
      </c>
      <c r="C15" s="5">
        <v>3</v>
      </c>
      <c r="D15" s="5">
        <v>0</v>
      </c>
      <c r="E15" s="5">
        <v>0</v>
      </c>
      <c r="F15" s="5">
        <v>0</v>
      </c>
      <c r="G15" s="5">
        <v>0</v>
      </c>
      <c r="H15" s="5">
        <v>1.7999999999999972</v>
      </c>
      <c r="I15" s="5">
        <v>0</v>
      </c>
      <c r="J15" s="5">
        <v>0</v>
      </c>
      <c r="K15" s="5">
        <v>0</v>
      </c>
      <c r="L15" s="5">
        <v>0</v>
      </c>
    </row>
    <row r="16" spans="1:12" ht="11.4">
      <c r="A16" s="1">
        <f t="shared" si="0"/>
        <v>6</v>
      </c>
      <c r="B16" s="4">
        <f>+Base40h!B16</f>
        <v>44348</v>
      </c>
      <c r="C16" s="5">
        <v>105.40000000000005</v>
      </c>
      <c r="D16" s="5">
        <v>67.900000000000063</v>
      </c>
      <c r="E16" s="5">
        <v>44.900000000000063</v>
      </c>
      <c r="F16" s="5">
        <v>62.000000000000014</v>
      </c>
      <c r="G16" s="5">
        <v>42.600000000000051</v>
      </c>
      <c r="H16" s="5">
        <v>82.000000000000057</v>
      </c>
      <c r="I16" s="5">
        <v>62.500000000000028</v>
      </c>
      <c r="J16" s="5">
        <v>56.200000000000031</v>
      </c>
      <c r="K16" s="5">
        <v>77.800000000000011</v>
      </c>
      <c r="L16" s="5">
        <v>59.70000000000006</v>
      </c>
    </row>
    <row r="17" spans="1:12" ht="11.4">
      <c r="A17" s="1">
        <f t="shared" si="0"/>
        <v>7</v>
      </c>
      <c r="B17" s="4">
        <f>+Base40h!B17</f>
        <v>44378</v>
      </c>
      <c r="C17" s="5">
        <v>137.60000000000008</v>
      </c>
      <c r="D17" s="5">
        <v>62.900000000000063</v>
      </c>
      <c r="E17" s="5">
        <v>30.800000000000026</v>
      </c>
      <c r="F17" s="5">
        <v>54.100000000000065</v>
      </c>
      <c r="G17" s="5">
        <v>45.20000000000006</v>
      </c>
      <c r="H17" s="5">
        <v>88.700000000000088</v>
      </c>
      <c r="I17" s="5">
        <v>74.600000000000037</v>
      </c>
      <c r="J17" s="5">
        <v>66.700000000000074</v>
      </c>
      <c r="K17" s="5">
        <v>29.700000000000017</v>
      </c>
      <c r="L17" s="5">
        <v>78.40000000000002</v>
      </c>
    </row>
    <row r="18" spans="1:12" ht="11.4">
      <c r="A18" s="1">
        <f t="shared" si="0"/>
        <v>8</v>
      </c>
      <c r="B18" s="4">
        <f>+Base40h!B18</f>
        <v>44409</v>
      </c>
      <c r="C18" s="5">
        <v>150.10000000000011</v>
      </c>
      <c r="D18" s="5">
        <v>97.600000000000051</v>
      </c>
      <c r="E18" s="5">
        <v>58.200000000000045</v>
      </c>
      <c r="F18" s="5">
        <v>102.70000000000006</v>
      </c>
      <c r="G18" s="5">
        <v>53.70000000000006</v>
      </c>
      <c r="H18" s="5">
        <v>130.70000000000002</v>
      </c>
      <c r="I18" s="5">
        <v>107.00000000000007</v>
      </c>
      <c r="J18" s="5">
        <v>91.100000000000051</v>
      </c>
      <c r="K18" s="5">
        <v>27.200000000000017</v>
      </c>
      <c r="L18" s="5">
        <v>88.100000000000065</v>
      </c>
    </row>
    <row r="19" spans="1:12" ht="11.4">
      <c r="A19" s="1">
        <f t="shared" si="0"/>
        <v>9</v>
      </c>
      <c r="B19" s="4">
        <f>+Base40h!B19</f>
        <v>44440</v>
      </c>
      <c r="C19" s="5">
        <v>60.100000000000037</v>
      </c>
      <c r="D19" s="5">
        <v>31.000000000000043</v>
      </c>
      <c r="E19" s="5">
        <v>31.200000000000017</v>
      </c>
      <c r="F19" s="5">
        <v>50.600000000000037</v>
      </c>
      <c r="G19" s="5">
        <v>16.400000000000006</v>
      </c>
      <c r="H19" s="5">
        <v>52.500000000000014</v>
      </c>
      <c r="I19" s="5">
        <v>47.900000000000034</v>
      </c>
      <c r="J19" s="5">
        <v>31.600000000000023</v>
      </c>
      <c r="K19" s="5">
        <v>25.100000000000037</v>
      </c>
      <c r="L19" s="5">
        <v>27.500000000000043</v>
      </c>
    </row>
    <row r="20" spans="1:12" ht="11.4">
      <c r="A20" s="1">
        <f t="shared" si="0"/>
        <v>10</v>
      </c>
      <c r="B20" s="4">
        <f>+Base40h!B20</f>
        <v>44470</v>
      </c>
      <c r="C20" s="5">
        <v>1</v>
      </c>
      <c r="D20" s="5">
        <v>0.29999999999999716</v>
      </c>
      <c r="E20" s="5">
        <v>0.29999999999999716</v>
      </c>
      <c r="F20" s="5">
        <v>0</v>
      </c>
      <c r="G20" s="5">
        <v>0.79999999999999716</v>
      </c>
      <c r="H20" s="5">
        <v>0</v>
      </c>
      <c r="I20" s="5">
        <v>0.70000000000000284</v>
      </c>
      <c r="J20" s="5">
        <v>1.7000000000000028</v>
      </c>
      <c r="K20" s="5">
        <v>0</v>
      </c>
      <c r="L20" s="5">
        <v>0</v>
      </c>
    </row>
    <row r="21" spans="1:12" ht="11.4">
      <c r="A21" s="1">
        <f t="shared" si="0"/>
        <v>11</v>
      </c>
      <c r="B21" s="4">
        <f>+Base40h!B21</f>
        <v>44501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</row>
    <row r="22" spans="1:12" ht="11.4">
      <c r="A22" s="1">
        <f t="shared" si="0"/>
        <v>12</v>
      </c>
      <c r="B22" s="4">
        <f>+Base40h!B22</f>
        <v>44531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</row>
    <row r="23" spans="1:12" ht="11.4">
      <c r="A23" s="1">
        <f t="shared" si="0"/>
        <v>13</v>
      </c>
      <c r="B23" s="32" t="s">
        <v>15</v>
      </c>
      <c r="C23" s="33">
        <f>SUM(C11:C22)</f>
        <v>457.20000000000027</v>
      </c>
      <c r="D23" s="33">
        <f t="shared" si="1" ref="D23:L23">SUM(D11:D22)</f>
        <v>259.70000000000022</v>
      </c>
      <c r="E23" s="33">
        <f t="shared" si="1"/>
        <v>165.40000000000015</v>
      </c>
      <c r="F23" s="33">
        <f t="shared" si="1"/>
        <v>269.40000000000015</v>
      </c>
      <c r="G23" s="33">
        <f t="shared" si="1"/>
        <v>158.70000000000016</v>
      </c>
      <c r="H23" s="33">
        <f t="shared" si="1"/>
        <v>355.70000000000016</v>
      </c>
      <c r="I23" s="33">
        <f t="shared" si="1"/>
        <v>292.70000000000016</v>
      </c>
      <c r="J23" s="33">
        <f t="shared" si="1"/>
        <v>247.30000000000018</v>
      </c>
      <c r="K23" s="33">
        <f t="shared" si="1"/>
        <v>159.80000000000007</v>
      </c>
      <c r="L23" s="33">
        <f t="shared" si="1"/>
        <v>253.70000000000022</v>
      </c>
    </row>
    <row r="24" spans="1:1" ht="11.4">
      <c r="A24" s="1">
        <f t="shared" si="0"/>
        <v>14</v>
      </c>
    </row>
    <row r="25" spans="1:1" ht="11.4">
      <c r="A25" s="1">
        <f t="shared" si="0"/>
        <v>15</v>
      </c>
    </row>
    <row r="26" spans="1:12" ht="12">
      <c r="A26" s="1">
        <f t="shared" si="0"/>
        <v>16</v>
      </c>
      <c r="B26" s="83" t="s">
        <v>89</v>
      </c>
      <c r="C26" s="83"/>
      <c r="D26" s="83"/>
      <c r="E26" s="83"/>
      <c r="F26" s="83"/>
      <c r="G26" s="83"/>
      <c r="H26" s="83"/>
      <c r="I26" s="83"/>
      <c r="J26" s="83"/>
      <c r="K26" s="83"/>
      <c r="L26" s="83"/>
    </row>
    <row r="27" spans="1:12" ht="34.8" thickBot="1">
      <c r="A27" s="1">
        <f t="shared" si="0"/>
        <v>17</v>
      </c>
      <c r="C27" s="3" t="s">
        <v>55</v>
      </c>
      <c r="D27" s="3" t="s">
        <v>6</v>
      </c>
      <c r="E27" s="74" t="s">
        <v>7</v>
      </c>
      <c r="F27" s="74" t="s">
        <v>8</v>
      </c>
      <c r="G27" s="74" t="s">
        <v>9</v>
      </c>
      <c r="H27" s="74" t="s">
        <v>10</v>
      </c>
      <c r="I27" s="74" t="s">
        <v>11</v>
      </c>
      <c r="J27" s="74" t="s">
        <v>12</v>
      </c>
      <c r="K27" s="74" t="s">
        <v>13</v>
      </c>
      <c r="L27" s="74" t="s">
        <v>14</v>
      </c>
    </row>
    <row r="28" spans="1:12" ht="11.4">
      <c r="A28" s="1">
        <f t="shared" si="0"/>
        <v>18</v>
      </c>
      <c r="B28" s="4">
        <f>+Base40h!B28</f>
        <v>44197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</row>
    <row r="29" spans="1:12" ht="11.4">
      <c r="A29" s="1">
        <f t="shared" si="0"/>
        <v>19</v>
      </c>
      <c r="B29" s="4">
        <f>+Base40h!B29</f>
        <v>44228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</row>
    <row r="30" spans="1:12" ht="11.4">
      <c r="A30" s="1">
        <f t="shared" si="0"/>
        <v>20</v>
      </c>
      <c r="B30" s="4">
        <f>+Base40h!B30</f>
        <v>44256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</row>
    <row r="31" spans="1:12" ht="11.4">
      <c r="A31" s="1">
        <f t="shared" si="0"/>
        <v>21</v>
      </c>
      <c r="B31" s="4">
        <f>+Base40h!B31</f>
        <v>44287</v>
      </c>
      <c r="C31" s="5">
        <v>0.63958333333333495</v>
      </c>
      <c r="D31" s="5">
        <v>0.18458333333333529</v>
      </c>
      <c r="E31" s="5">
        <v>0.72458333333334002</v>
      </c>
      <c r="F31" s="5">
        <v>0.54208333333333492</v>
      </c>
      <c r="G31" s="5">
        <v>0.18083333333333018</v>
      </c>
      <c r="H31" s="5">
        <v>0.67874999999999941</v>
      </c>
      <c r="I31" s="5">
        <v>1.3204166666666712</v>
      </c>
      <c r="J31" s="5">
        <v>0.54458333333333475</v>
      </c>
      <c r="K31" s="5">
        <v>0.98166666666666491</v>
      </c>
      <c r="L31" s="5">
        <v>0.10833333333333002</v>
      </c>
    </row>
    <row r="32" spans="1:12" ht="11.4">
      <c r="A32" s="1">
        <f t="shared" si="0"/>
        <v>22</v>
      </c>
      <c r="B32" s="4">
        <f>+Base40h!B32</f>
        <v>44317</v>
      </c>
      <c r="C32" s="5">
        <v>14.508750000000008</v>
      </c>
      <c r="D32" s="5">
        <v>5.2108333333333343</v>
      </c>
      <c r="E32" s="5">
        <v>15.234583333333321</v>
      </c>
      <c r="F32" s="5">
        <v>11.133750000000003</v>
      </c>
      <c r="G32" s="5">
        <v>5.6208333333333362</v>
      </c>
      <c r="H32" s="5">
        <v>13.625833333333338</v>
      </c>
      <c r="I32" s="5">
        <v>16.215416666666663</v>
      </c>
      <c r="J32" s="5">
        <v>13.51958333333334</v>
      </c>
      <c r="K32" s="5">
        <v>29.300000000000008</v>
      </c>
      <c r="L32" s="5">
        <v>3.8974999999999991</v>
      </c>
    </row>
    <row r="33" spans="1:12" ht="11.4">
      <c r="A33" s="1">
        <f t="shared" si="0"/>
        <v>23</v>
      </c>
      <c r="B33" s="4">
        <f>+Base40h!B33</f>
        <v>44348</v>
      </c>
      <c r="C33" s="5">
        <v>102.20333333333333</v>
      </c>
      <c r="D33" s="5">
        <v>51.520833333333321</v>
      </c>
      <c r="E33" s="5">
        <v>78.100000000000023</v>
      </c>
      <c r="F33" s="5">
        <v>74.887083333333351</v>
      </c>
      <c r="G33" s="5">
        <v>51.629166666666684</v>
      </c>
      <c r="H33" s="5">
        <v>90.736666666666693</v>
      </c>
      <c r="I33" s="5">
        <v>66.265416666666653</v>
      </c>
      <c r="J33" s="5">
        <v>78.289583333333354</v>
      </c>
      <c r="K33" s="5">
        <v>101.62208333333335</v>
      </c>
      <c r="L33" s="5">
        <v>61.085833333333362</v>
      </c>
    </row>
    <row r="34" spans="1:12" ht="11.4">
      <c r="A34" s="1">
        <f t="shared" si="0"/>
        <v>24</v>
      </c>
      <c r="B34" s="4">
        <f>+Base40h!B34</f>
        <v>44378</v>
      </c>
      <c r="C34" s="5">
        <v>188.75875000000005</v>
      </c>
      <c r="D34" s="5">
        <v>84.241249999999994</v>
      </c>
      <c r="E34" s="5">
        <v>121.12833333333335</v>
      </c>
      <c r="F34" s="5">
        <v>138.72666666666675</v>
      </c>
      <c r="G34" s="5">
        <v>103.50208333333337</v>
      </c>
      <c r="H34" s="5">
        <v>168.21333333333328</v>
      </c>
      <c r="I34" s="5">
        <v>125.49208333333334</v>
      </c>
      <c r="J34" s="5">
        <v>164.53875000000002</v>
      </c>
      <c r="K34" s="5">
        <v>126.79500000000003</v>
      </c>
      <c r="L34" s="5">
        <v>136.8716666666667</v>
      </c>
    </row>
    <row r="35" spans="1:12" ht="11.4">
      <c r="A35" s="1">
        <f t="shared" si="0"/>
        <v>25</v>
      </c>
      <c r="B35" s="4">
        <f>+Base40h!B35</f>
        <v>44409</v>
      </c>
      <c r="C35" s="5">
        <v>202.3370833333334</v>
      </c>
      <c r="D35" s="5">
        <v>100.50291666666668</v>
      </c>
      <c r="E35" s="5">
        <v>147.93041666666667</v>
      </c>
      <c r="F35" s="5">
        <v>159.58083333333335</v>
      </c>
      <c r="G35" s="5">
        <v>116.53333333333335</v>
      </c>
      <c r="H35" s="5">
        <v>185.42208333333332</v>
      </c>
      <c r="I35" s="5">
        <v>127.89874999999999</v>
      </c>
      <c r="J35" s="5">
        <v>155.00666666666672</v>
      </c>
      <c r="K35" s="5">
        <v>113.52041666666669</v>
      </c>
      <c r="L35" s="5">
        <v>139.5541666666667</v>
      </c>
    </row>
    <row r="36" spans="1:12" ht="11.4">
      <c r="A36" s="1">
        <f t="shared" si="0"/>
        <v>26</v>
      </c>
      <c r="B36" s="4">
        <f>+Base40h!B36</f>
        <v>44440</v>
      </c>
      <c r="C36" s="5">
        <v>58.22708333333339</v>
      </c>
      <c r="D36" s="5">
        <v>21.625833333333357</v>
      </c>
      <c r="E36" s="5">
        <v>38.657083333333347</v>
      </c>
      <c r="F36" s="5">
        <v>36.035833333333329</v>
      </c>
      <c r="G36" s="5">
        <v>26.475000000000012</v>
      </c>
      <c r="H36" s="5">
        <v>49.133750000000013</v>
      </c>
      <c r="I36" s="5">
        <v>23.253333333333355</v>
      </c>
      <c r="J36" s="5">
        <v>27.70875000000002</v>
      </c>
      <c r="K36" s="5">
        <v>18.317916666666672</v>
      </c>
      <c r="L36" s="5">
        <v>33.85291666666668</v>
      </c>
    </row>
    <row r="37" spans="1:12" ht="11.4">
      <c r="A37" s="1">
        <f t="shared" si="0"/>
        <v>27</v>
      </c>
      <c r="B37" s="4">
        <f>+Base40h!B37</f>
        <v>44470</v>
      </c>
      <c r="C37" s="5">
        <v>4.7412500000000026</v>
      </c>
      <c r="D37" s="5">
        <v>0.78791666666666982</v>
      </c>
      <c r="E37" s="5">
        <v>3.3970833333333288</v>
      </c>
      <c r="F37" s="5">
        <v>2.3179166666666768</v>
      </c>
      <c r="G37" s="5">
        <v>0.2133333333333354</v>
      </c>
      <c r="H37" s="5">
        <v>4.7666666666666693</v>
      </c>
      <c r="I37" s="5">
        <v>0.85333333333333172</v>
      </c>
      <c r="J37" s="5">
        <v>1.022500000000006</v>
      </c>
      <c r="K37" s="5">
        <v>0.36083333333333478</v>
      </c>
      <c r="L37" s="5">
        <v>0.94166666666667143</v>
      </c>
    </row>
    <row r="38" spans="1:12" ht="11.4">
      <c r="A38" s="1">
        <f t="shared" si="0"/>
        <v>28</v>
      </c>
      <c r="B38" s="4">
        <f>+Base40h!B38</f>
        <v>44501</v>
      </c>
      <c r="C38" s="5">
        <v>0.014999999999999857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</row>
    <row r="39" spans="1:12" ht="11.4">
      <c r="A39" s="1">
        <f t="shared" si="0"/>
        <v>29</v>
      </c>
      <c r="B39" s="4">
        <f>+Base40h!B39</f>
        <v>44531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</row>
    <row r="40" spans="1:12" ht="11.4">
      <c r="A40" s="1">
        <f t="shared" si="0"/>
        <v>30</v>
      </c>
      <c r="B40" s="32" t="s">
        <v>15</v>
      </c>
      <c r="C40" s="33">
        <f>SUM(C28:C39)</f>
        <v>571.43083333333357</v>
      </c>
      <c r="D40" s="33">
        <f t="shared" si="2" ref="D40:L40">SUM(D28:D39)</f>
        <v>264.07416666666666</v>
      </c>
      <c r="E40" s="33">
        <f t="shared" si="2"/>
        <v>405.17208333333338</v>
      </c>
      <c r="F40" s="33">
        <f t="shared" si="2"/>
        <v>423.2241666666668</v>
      </c>
      <c r="G40" s="33">
        <f t="shared" si="2"/>
        <v>304.15458333333339</v>
      </c>
      <c r="H40" s="33">
        <f t="shared" si="2"/>
        <v>512.57708333333335</v>
      </c>
      <c r="I40" s="33">
        <f t="shared" si="2"/>
        <v>361.29874999999998</v>
      </c>
      <c r="J40" s="33">
        <f t="shared" si="2"/>
        <v>440.63041666666675</v>
      </c>
      <c r="K40" s="33">
        <f t="shared" si="2"/>
        <v>390.89791666666679</v>
      </c>
      <c r="L40" s="33">
        <f t="shared" si="2"/>
        <v>376.31208333333342</v>
      </c>
    </row>
  </sheetData>
  <mergeCells count="7">
    <mergeCell ref="B26:L26"/>
    <mergeCell ref="B1:L1"/>
    <mergeCell ref="B2:L2"/>
    <mergeCell ref="B3:L3"/>
    <mergeCell ref="B4:L4"/>
    <mergeCell ref="B6:L6"/>
    <mergeCell ref="B9:L9"/>
  </mergeCells>
  <pageMargins left="0.75" right="0.75" top="1" bottom="1" header="0.5" footer="0.5"/>
  <pageSetup orientation="portrait" scale="73" r:id="rId1"/>
  <headerFooter alignWithMargins="0">
    <oddHeader>&amp;RSchedule II-H-5.1
Page &amp;P of  28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pageSetUpPr fitToPage="1"/>
  </sheetPr>
  <dimension ref="A1:L40"/>
  <sheetViews>
    <sheetView workbookViewId="0" topLeftCell="A1"/>
  </sheetViews>
  <sheetFormatPr defaultColWidth="9.11428571428571" defaultRowHeight="12"/>
  <cols>
    <col min="1" max="1" width="9.14285714285714" style="1"/>
    <col min="2" max="2" width="10.4285714285714" style="2" bestFit="1" customWidth="1"/>
    <col min="3" max="3" width="11.4285714285714" style="2" customWidth="1"/>
    <col min="4" max="4" width="9.57142857142857" style="2" bestFit="1" customWidth="1"/>
    <col min="5" max="5" width="9.71428571428571" style="2" bestFit="1" customWidth="1"/>
    <col min="6" max="6" width="9.57142857142857" style="2" bestFit="1" customWidth="1"/>
    <col min="7" max="7" width="12.2857142857143" style="2" bestFit="1" customWidth="1"/>
    <col min="8" max="8" width="9.85714285714286" style="2" bestFit="1" customWidth="1"/>
    <col min="9" max="9" width="10.5714285714286" style="2" bestFit="1" customWidth="1"/>
    <col min="10" max="10" width="11.2857142857143" style="2" customWidth="1"/>
    <col min="11" max="11" width="10.4285714285714" style="2" customWidth="1"/>
    <col min="12" max="16384" width="9.14285714285714" style="2"/>
  </cols>
  <sheetData>
    <row r="1" spans="2:12" ht="15.6">
      <c r="B1" s="82" t="str">
        <f>+Base40h!B1</f>
        <v xml:space="preserve">PUC DOCKET NO. </v>
      </c>
      <c r="C1" s="82"/>
      <c r="D1" s="82"/>
      <c r="E1" s="82"/>
      <c r="F1" s="82"/>
      <c r="G1" s="82"/>
      <c r="H1" s="82"/>
      <c r="I1" s="82"/>
      <c r="J1" s="82"/>
      <c r="K1" s="82"/>
      <c r="L1" s="82"/>
    </row>
    <row r="2" spans="2:12" ht="15.6">
      <c r="B2" s="82" t="str">
        <f>+Base40h!B2</f>
        <v>ONCOR ELECTRIC DELIVERY COMPANY LLC</v>
      </c>
      <c r="C2" s="82"/>
      <c r="D2" s="82"/>
      <c r="E2" s="82"/>
      <c r="F2" s="82"/>
      <c r="G2" s="82"/>
      <c r="H2" s="82"/>
      <c r="I2" s="82"/>
      <c r="J2" s="82"/>
      <c r="K2" s="82"/>
      <c r="L2" s="82"/>
    </row>
    <row r="3" spans="2:12" ht="15.6">
      <c r="B3" s="82" t="str">
        <f>+Base40h!B3</f>
        <v>WEATHER STATION DATA</v>
      </c>
      <c r="C3" s="82"/>
      <c r="D3" s="82"/>
      <c r="E3" s="82"/>
      <c r="F3" s="82"/>
      <c r="G3" s="82"/>
      <c r="H3" s="82"/>
      <c r="I3" s="82"/>
      <c r="J3" s="82"/>
      <c r="K3" s="82"/>
      <c r="L3" s="82"/>
    </row>
    <row r="4" spans="2:12" ht="15.6">
      <c r="B4" s="82" t="str">
        <f>+Base40h!B4</f>
        <v>FOR THE TEST YEAR ENDING DECEMBER 31, 2021</v>
      </c>
      <c r="C4" s="82"/>
      <c r="D4" s="82"/>
      <c r="E4" s="82"/>
      <c r="F4" s="82"/>
      <c r="G4" s="82"/>
      <c r="H4" s="82"/>
      <c r="I4" s="82"/>
      <c r="J4" s="82"/>
      <c r="K4" s="82"/>
      <c r="L4" s="82"/>
    </row>
    <row r="6" spans="2:12" ht="15.6">
      <c r="B6" s="82" t="str">
        <f>+Base40h!B6</f>
        <v>SPONSOR: D. E. NELSON</v>
      </c>
      <c r="C6" s="82"/>
      <c r="D6" s="82"/>
      <c r="E6" s="82"/>
      <c r="F6" s="82"/>
      <c r="G6" s="82"/>
      <c r="H6" s="82"/>
      <c r="I6" s="82"/>
      <c r="J6" s="82"/>
      <c r="K6" s="82"/>
      <c r="L6" s="82"/>
    </row>
    <row r="9" spans="2:12" ht="12">
      <c r="B9" s="83" t="s">
        <v>114</v>
      </c>
      <c r="C9" s="83"/>
      <c r="D9" s="83"/>
      <c r="E9" s="83"/>
      <c r="F9" s="83"/>
      <c r="G9" s="83"/>
      <c r="H9" s="83"/>
      <c r="I9" s="83"/>
      <c r="J9" s="83"/>
      <c r="K9" s="83"/>
      <c r="L9" s="83"/>
    </row>
    <row r="10" spans="1:12" ht="34.8" thickBot="1">
      <c r="A10" s="3" t="s">
        <v>4</v>
      </c>
      <c r="C10" s="3" t="s">
        <v>55</v>
      </c>
      <c r="D10" s="3" t="s">
        <v>6</v>
      </c>
      <c r="E10" s="3" t="s">
        <v>7</v>
      </c>
      <c r="F10" s="3" t="s">
        <v>8</v>
      </c>
      <c r="G10" s="3" t="s">
        <v>9</v>
      </c>
      <c r="H10" s="3" t="s">
        <v>10</v>
      </c>
      <c r="I10" s="3" t="s">
        <v>11</v>
      </c>
      <c r="J10" s="3" t="s">
        <v>12</v>
      </c>
      <c r="K10" s="3" t="s">
        <v>13</v>
      </c>
      <c r="L10" s="3" t="s">
        <v>14</v>
      </c>
    </row>
    <row r="11" spans="1:12" ht="11.4">
      <c r="A11" s="1">
        <v>1</v>
      </c>
      <c r="B11" s="4">
        <f>+Base40h!B11</f>
        <v>44197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</row>
    <row r="12" spans="1:12" ht="11.4">
      <c r="A12" s="1">
        <f>+A11+1</f>
        <v>2</v>
      </c>
      <c r="B12" s="4">
        <f>+Base40h!B12</f>
        <v>44228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</row>
    <row r="13" spans="1:12" ht="11.4">
      <c r="A13" s="1">
        <f t="shared" si="0" ref="A13:A40">+A12+1</f>
        <v>3</v>
      </c>
      <c r="B13" s="4">
        <f>+Base40h!B13</f>
        <v>44256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</row>
    <row r="14" spans="1:12" ht="11.4">
      <c r="A14" s="1">
        <f t="shared" si="0"/>
        <v>4</v>
      </c>
      <c r="B14" s="4">
        <f>+Base40h!B14</f>
        <v>44287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</row>
    <row r="15" spans="1:12" ht="11.4">
      <c r="A15" s="1">
        <f t="shared" si="0"/>
        <v>5</v>
      </c>
      <c r="B15" s="4">
        <f>+Base40h!B15</f>
        <v>44317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</row>
    <row r="16" spans="1:12" ht="11.4">
      <c r="A16" s="1">
        <f t="shared" si="0"/>
        <v>6</v>
      </c>
      <c r="B16" s="4">
        <f>+Base40h!B16</f>
        <v>44348</v>
      </c>
      <c r="C16" s="5">
        <v>24.200000000000003</v>
      </c>
      <c r="D16" s="5">
        <v>0.40000000000000568</v>
      </c>
      <c r="E16" s="5">
        <v>0</v>
      </c>
      <c r="F16" s="5">
        <v>0</v>
      </c>
      <c r="G16" s="5">
        <v>0</v>
      </c>
      <c r="H16" s="5">
        <v>8.9000000000000199</v>
      </c>
      <c r="I16" s="5">
        <v>3.5</v>
      </c>
      <c r="J16" s="5">
        <v>3.2000000000000028</v>
      </c>
      <c r="K16" s="5">
        <v>7.8000000000000114</v>
      </c>
      <c r="L16" s="5">
        <v>2.8000000000000114</v>
      </c>
    </row>
    <row r="17" spans="1:12" ht="11.4">
      <c r="A17" s="1">
        <f t="shared" si="0"/>
        <v>7</v>
      </c>
      <c r="B17" s="4">
        <f>+Base40h!B17</f>
        <v>44378</v>
      </c>
      <c r="C17" s="5">
        <v>33.100000000000023</v>
      </c>
      <c r="D17" s="5">
        <v>1.8000000000000114</v>
      </c>
      <c r="E17" s="5">
        <v>0</v>
      </c>
      <c r="F17" s="5">
        <v>0.60000000000000853</v>
      </c>
      <c r="G17" s="5">
        <v>0.10000000000000853</v>
      </c>
      <c r="H17" s="5">
        <v>10.80000000000004</v>
      </c>
      <c r="I17" s="5">
        <v>14.400000000000006</v>
      </c>
      <c r="J17" s="5">
        <v>8.6000000000000369</v>
      </c>
      <c r="K17" s="5">
        <v>0</v>
      </c>
      <c r="L17" s="5">
        <v>9.6000000000000085</v>
      </c>
    </row>
    <row r="18" spans="1:12" ht="11.4">
      <c r="A18" s="1">
        <f t="shared" si="0"/>
        <v>8</v>
      </c>
      <c r="B18" s="4">
        <f>+Base40h!B18</f>
        <v>44409</v>
      </c>
      <c r="C18" s="5">
        <v>36.100000000000009</v>
      </c>
      <c r="D18" s="5">
        <v>2.4000000000000057</v>
      </c>
      <c r="E18" s="5">
        <v>0</v>
      </c>
      <c r="F18" s="5">
        <v>5.7000000000000171</v>
      </c>
      <c r="G18" s="5">
        <v>0</v>
      </c>
      <c r="H18" s="5">
        <v>24.300000000000011</v>
      </c>
      <c r="I18" s="5">
        <v>16.400000000000034</v>
      </c>
      <c r="J18" s="5">
        <v>14.599999999999994</v>
      </c>
      <c r="K18" s="5">
        <v>0.29999999999999716</v>
      </c>
      <c r="L18" s="5">
        <v>10.400000000000034</v>
      </c>
    </row>
    <row r="19" spans="1:12" ht="11.4">
      <c r="A19" s="1">
        <f t="shared" si="0"/>
        <v>9</v>
      </c>
      <c r="B19" s="4">
        <f>+Base40h!B19</f>
        <v>44440</v>
      </c>
      <c r="C19" s="5">
        <v>14.000000000000014</v>
      </c>
      <c r="D19" s="5">
        <v>1.8000000000000114</v>
      </c>
      <c r="E19" s="5">
        <v>0</v>
      </c>
      <c r="F19" s="5">
        <v>4.7000000000000171</v>
      </c>
      <c r="G19" s="5">
        <v>0</v>
      </c>
      <c r="H19" s="5">
        <v>10.099999999999994</v>
      </c>
      <c r="I19" s="5">
        <v>5.3000000000000114</v>
      </c>
      <c r="J19" s="5">
        <v>2.5000000000000142</v>
      </c>
      <c r="K19" s="5">
        <v>1.2999999999999972</v>
      </c>
      <c r="L19" s="5">
        <v>1.2999999999999972</v>
      </c>
    </row>
    <row r="20" spans="1:12" ht="11.4">
      <c r="A20" s="1">
        <f t="shared" si="0"/>
        <v>10</v>
      </c>
      <c r="B20" s="4">
        <f>+Base40h!B20</f>
        <v>44470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</row>
    <row r="21" spans="1:12" ht="11.4">
      <c r="A21" s="1">
        <f t="shared" si="0"/>
        <v>11</v>
      </c>
      <c r="B21" s="4">
        <f>+Base40h!B21</f>
        <v>44501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</row>
    <row r="22" spans="1:12" ht="11.4">
      <c r="A22" s="1">
        <f t="shared" si="0"/>
        <v>12</v>
      </c>
      <c r="B22" s="4">
        <f>+Base40h!B22</f>
        <v>44531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</row>
    <row r="23" spans="1:12" ht="11.4">
      <c r="A23" s="1">
        <f t="shared" si="0"/>
        <v>13</v>
      </c>
      <c r="B23" s="32" t="s">
        <v>15</v>
      </c>
      <c r="C23" s="33">
        <f>SUM(C11:C22)</f>
        <v>107.40000000000005</v>
      </c>
      <c r="D23" s="33">
        <f t="shared" si="1" ref="D23:L23">SUM(D11:D22)</f>
        <v>6.4000000000000341</v>
      </c>
      <c r="E23" s="33">
        <f t="shared" si="1"/>
        <v>0</v>
      </c>
      <c r="F23" s="33">
        <f t="shared" si="1"/>
        <v>11.000000000000043</v>
      </c>
      <c r="G23" s="33">
        <f t="shared" si="1"/>
        <v>0.10000000000000853</v>
      </c>
      <c r="H23" s="33">
        <f t="shared" si="1"/>
        <v>54.100000000000065</v>
      </c>
      <c r="I23" s="33">
        <f t="shared" si="1"/>
        <v>39.600000000000051</v>
      </c>
      <c r="J23" s="33">
        <f t="shared" si="1"/>
        <v>28.900000000000048</v>
      </c>
      <c r="K23" s="33">
        <f t="shared" si="1"/>
        <v>9.4000000000000057</v>
      </c>
      <c r="L23" s="33">
        <f t="shared" si="1"/>
        <v>24.100000000000051</v>
      </c>
    </row>
    <row r="24" spans="1:1" ht="11.4">
      <c r="A24" s="1">
        <f t="shared" si="0"/>
        <v>14</v>
      </c>
    </row>
    <row r="25" spans="1:1" ht="11.4">
      <c r="A25" s="1">
        <f t="shared" si="0"/>
        <v>15</v>
      </c>
    </row>
    <row r="26" spans="1:12" ht="12">
      <c r="A26" s="1">
        <f t="shared" si="0"/>
        <v>16</v>
      </c>
      <c r="B26" s="83" t="s">
        <v>129</v>
      </c>
      <c r="C26" s="83"/>
      <c r="D26" s="83"/>
      <c r="E26" s="83"/>
      <c r="F26" s="83"/>
      <c r="G26" s="83"/>
      <c r="H26" s="83"/>
      <c r="I26" s="83"/>
      <c r="J26" s="83"/>
      <c r="K26" s="83"/>
      <c r="L26" s="83"/>
    </row>
    <row r="27" spans="1:12" ht="34.8" thickBot="1">
      <c r="A27" s="1">
        <f t="shared" si="0"/>
        <v>17</v>
      </c>
      <c r="C27" s="3" t="s">
        <v>55</v>
      </c>
      <c r="D27" s="3" t="s">
        <v>6</v>
      </c>
      <c r="E27" s="74" t="s">
        <v>7</v>
      </c>
      <c r="F27" s="74" t="s">
        <v>8</v>
      </c>
      <c r="G27" s="74" t="s">
        <v>9</v>
      </c>
      <c r="H27" s="74" t="s">
        <v>10</v>
      </c>
      <c r="I27" s="74" t="s">
        <v>11</v>
      </c>
      <c r="J27" s="74" t="s">
        <v>12</v>
      </c>
      <c r="K27" s="74" t="s">
        <v>13</v>
      </c>
      <c r="L27" s="74" t="s">
        <v>14</v>
      </c>
    </row>
    <row r="28" spans="1:12" ht="11.4">
      <c r="A28" s="1">
        <f t="shared" si="0"/>
        <v>18</v>
      </c>
      <c r="B28" s="4">
        <f>+Base40h!B28</f>
        <v>44197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</row>
    <row r="29" spans="1:12" ht="11.4">
      <c r="A29" s="1">
        <f t="shared" si="0"/>
        <v>19</v>
      </c>
      <c r="B29" s="4">
        <f>+Base40h!B29</f>
        <v>44228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</row>
    <row r="30" spans="1:12" ht="11.4">
      <c r="A30" s="1">
        <f t="shared" si="0"/>
        <v>20</v>
      </c>
      <c r="B30" s="4">
        <f>+Base40h!B30</f>
        <v>44256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</row>
    <row r="31" spans="1:12" ht="11.4">
      <c r="A31" s="1">
        <f t="shared" si="0"/>
        <v>21</v>
      </c>
      <c r="B31" s="4">
        <f>+Base40h!B31</f>
        <v>44287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</row>
    <row r="32" spans="1:12" ht="11.4">
      <c r="A32" s="1">
        <f t="shared" si="0"/>
        <v>22</v>
      </c>
      <c r="B32" s="4">
        <f>+Base40h!B32</f>
        <v>44317</v>
      </c>
      <c r="C32" s="5">
        <v>0.64666666666666617</v>
      </c>
      <c r="D32" s="5">
        <v>0</v>
      </c>
      <c r="E32" s="5">
        <v>0.21749999999999969</v>
      </c>
      <c r="F32" s="5">
        <v>0.13208333333333044</v>
      </c>
      <c r="G32" s="5">
        <v>0.005000000000000426</v>
      </c>
      <c r="H32" s="5">
        <v>0.24499999999999955</v>
      </c>
      <c r="I32" s="5">
        <v>1.8270833333333358</v>
      </c>
      <c r="J32" s="5">
        <v>1.1541666666666699</v>
      </c>
      <c r="K32" s="5">
        <v>4.8483333333333372</v>
      </c>
      <c r="L32" s="5">
        <v>0.025000000000000001</v>
      </c>
    </row>
    <row r="33" spans="1:12" ht="11.4">
      <c r="A33" s="1">
        <f t="shared" si="0"/>
        <v>23</v>
      </c>
      <c r="B33" s="4">
        <f>+Base40h!B33</f>
        <v>44348</v>
      </c>
      <c r="C33" s="5">
        <v>21.923333333333339</v>
      </c>
      <c r="D33" s="5">
        <v>3.9583333333333357</v>
      </c>
      <c r="E33" s="5">
        <v>9.2800000000000029</v>
      </c>
      <c r="F33" s="5">
        <v>8.580833333333338</v>
      </c>
      <c r="G33" s="5">
        <v>6.2720833333333363</v>
      </c>
      <c r="H33" s="5">
        <v>17.439583333333342</v>
      </c>
      <c r="I33" s="5">
        <v>11.329583333333329</v>
      </c>
      <c r="J33" s="5">
        <v>18.322916666666671</v>
      </c>
      <c r="K33" s="5">
        <v>25.034166666666678</v>
      </c>
      <c r="L33" s="5">
        <v>8.3070833333333383</v>
      </c>
    </row>
    <row r="34" spans="1:12" ht="11.4">
      <c r="A34" s="1">
        <f t="shared" si="0"/>
        <v>24</v>
      </c>
      <c r="B34" s="4">
        <f>+Base40h!B34</f>
        <v>44378</v>
      </c>
      <c r="C34" s="5">
        <v>65.645000000000039</v>
      </c>
      <c r="D34" s="5">
        <v>7.3145833333333385</v>
      </c>
      <c r="E34" s="5">
        <v>20.829166666666676</v>
      </c>
      <c r="F34" s="5">
        <v>32.657083333333347</v>
      </c>
      <c r="G34" s="5">
        <v>17.862083333333345</v>
      </c>
      <c r="H34" s="5">
        <v>51.746666666666655</v>
      </c>
      <c r="I34" s="5">
        <v>32.819166666666682</v>
      </c>
      <c r="J34" s="5">
        <v>58.722916666666684</v>
      </c>
      <c r="K34" s="5">
        <v>33.483333333333341</v>
      </c>
      <c r="L34" s="5">
        <v>41.880416666666676</v>
      </c>
    </row>
    <row r="35" spans="1:12" ht="11.4">
      <c r="A35" s="1">
        <f t="shared" si="0"/>
        <v>25</v>
      </c>
      <c r="B35" s="4">
        <f>+Base40h!B35</f>
        <v>44409</v>
      </c>
      <c r="C35" s="5">
        <v>81.51666666666668</v>
      </c>
      <c r="D35" s="5">
        <v>16.527916666666663</v>
      </c>
      <c r="E35" s="5">
        <v>34.973333333333358</v>
      </c>
      <c r="F35" s="5">
        <v>47.504999999999995</v>
      </c>
      <c r="G35" s="5">
        <v>27.57458333333334</v>
      </c>
      <c r="H35" s="5">
        <v>67.523749999999978</v>
      </c>
      <c r="I35" s="5">
        <v>38.751666666666672</v>
      </c>
      <c r="J35" s="5">
        <v>59.225416666666696</v>
      </c>
      <c r="K35" s="5">
        <v>29.143333333333345</v>
      </c>
      <c r="L35" s="5">
        <v>47.039166666666702</v>
      </c>
    </row>
    <row r="36" spans="1:12" ht="11.4">
      <c r="A36" s="1">
        <f t="shared" si="0"/>
        <v>26</v>
      </c>
      <c r="B36" s="4">
        <f>+Base40h!B36</f>
        <v>44440</v>
      </c>
      <c r="C36" s="5">
        <v>9.8237500000000146</v>
      </c>
      <c r="D36" s="5">
        <v>1.2108333333333305</v>
      </c>
      <c r="E36" s="5">
        <v>3.9237499999999947</v>
      </c>
      <c r="F36" s="5">
        <v>3.8374999999999968</v>
      </c>
      <c r="G36" s="5">
        <v>1.9704166666666656</v>
      </c>
      <c r="H36" s="5">
        <v>7.0825000000000111</v>
      </c>
      <c r="I36" s="5">
        <v>2.4250000000000025</v>
      </c>
      <c r="J36" s="5">
        <v>3.9333333333333429</v>
      </c>
      <c r="K36" s="5">
        <v>1.5570833333333358</v>
      </c>
      <c r="L36" s="5">
        <v>4.8366666666666678</v>
      </c>
    </row>
    <row r="37" spans="1:12" ht="11.4">
      <c r="A37" s="1">
        <f t="shared" si="0"/>
        <v>27</v>
      </c>
      <c r="B37" s="4">
        <f>+Base40h!B37</f>
        <v>44470</v>
      </c>
      <c r="C37" s="5">
        <v>0</v>
      </c>
      <c r="D37" s="5">
        <v>0</v>
      </c>
      <c r="E37" s="5">
        <v>0.005000000000000426</v>
      </c>
      <c r="F37" s="5">
        <v>0</v>
      </c>
      <c r="G37" s="5">
        <v>0</v>
      </c>
      <c r="H37" s="5">
        <v>0.030000000000000426</v>
      </c>
      <c r="I37" s="5">
        <v>0</v>
      </c>
      <c r="J37" s="5">
        <v>0</v>
      </c>
      <c r="K37" s="5">
        <v>0</v>
      </c>
      <c r="L37" s="5">
        <v>0</v>
      </c>
    </row>
    <row r="38" spans="1:12" ht="11.4">
      <c r="A38" s="1">
        <f t="shared" si="0"/>
        <v>28</v>
      </c>
      <c r="B38" s="4">
        <f>+Base40h!B38</f>
        <v>44501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</row>
    <row r="39" spans="1:12" ht="11.4">
      <c r="A39" s="1">
        <f t="shared" si="0"/>
        <v>29</v>
      </c>
      <c r="B39" s="4">
        <f>+Base40h!B39</f>
        <v>44531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</row>
    <row r="40" spans="1:12" ht="11.4">
      <c r="A40" s="1">
        <f t="shared" si="0"/>
        <v>30</v>
      </c>
      <c r="B40" s="32" t="s">
        <v>15</v>
      </c>
      <c r="C40" s="33">
        <f>SUM(C28:C39)</f>
        <v>179.55541666666676</v>
      </c>
      <c r="D40" s="33">
        <f t="shared" si="2" ref="D40:L40">SUM(D28:D39)</f>
        <v>29.011666666666667</v>
      </c>
      <c r="E40" s="33">
        <f t="shared" si="2"/>
        <v>69.228750000000034</v>
      </c>
      <c r="F40" s="33">
        <f t="shared" si="2"/>
        <v>92.712500000000006</v>
      </c>
      <c r="G40" s="33">
        <f t="shared" si="2"/>
        <v>53.684166666666684</v>
      </c>
      <c r="H40" s="33">
        <f t="shared" si="2"/>
        <v>144.0675</v>
      </c>
      <c r="I40" s="33">
        <f t="shared" si="2"/>
        <v>87.152500000000018</v>
      </c>
      <c r="J40" s="33">
        <f t="shared" si="2"/>
        <v>141.35875000000004</v>
      </c>
      <c r="K40" s="33">
        <f t="shared" si="2"/>
        <v>94.066250000000039</v>
      </c>
      <c r="L40" s="33">
        <f t="shared" si="2"/>
        <v>102.0883333333334</v>
      </c>
    </row>
  </sheetData>
  <mergeCells count="7">
    <mergeCell ref="B26:L26"/>
    <mergeCell ref="B1:L1"/>
    <mergeCell ref="B2:L2"/>
    <mergeCell ref="B3:L3"/>
    <mergeCell ref="B4:L4"/>
    <mergeCell ref="B6:L6"/>
    <mergeCell ref="B9:L9"/>
  </mergeCells>
  <pageMargins left="0.75" right="0.75" top="1" bottom="1" header="0.5" footer="0.5"/>
  <pageSetup orientation="portrait" scale="73" r:id="rId1"/>
  <headerFooter alignWithMargins="0">
    <oddHeader>&amp;RSchedule II-H-5.1
Page &amp;P of  28</oddHead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pageSetUpPr fitToPage="1"/>
  </sheetPr>
  <dimension ref="A1:AC77"/>
  <sheetViews>
    <sheetView workbookViewId="0" topLeftCell="A1">
      <pane ySplit="9" topLeftCell="A10" activePane="bottomLeft" state="frozen"/>
      <selection pane="topLeft" activeCell="A1" sqref="A1"/>
      <selection pane="bottomLeft" activeCell="A1" sqref="A1"/>
    </sheetView>
  </sheetViews>
  <sheetFormatPr defaultRowHeight="13.5"/>
  <cols>
    <col min="2" max="2" width="10" style="9" bestFit="1" customWidth="1"/>
    <col min="3" max="6" width="5.42857142857143" bestFit="1" customWidth="1"/>
    <col min="7" max="7" width="8.71428571428571" customWidth="1"/>
    <col min="8" max="14" width="6.85714285714286" bestFit="1" customWidth="1"/>
    <col min="15" max="23" width="7" bestFit="1" customWidth="1"/>
    <col min="24" max="29" width="11.4285714285714" customWidth="1"/>
  </cols>
  <sheetData>
    <row r="1" spans="2:29" s="2" customFormat="1" ht="15.6">
      <c r="B1" s="82" t="str">
        <f>+Base40h!B1</f>
        <v xml:space="preserve">PUC DOCKET NO. </v>
      </c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9"/>
      <c r="V1" s="9"/>
      <c r="W1" s="9"/>
      <c r="X1" s="9"/>
      <c r="Y1" s="9"/>
      <c r="Z1" s="9"/>
      <c r="AA1" s="9"/>
      <c r="AB1" s="9"/>
      <c r="AC1" s="9"/>
    </row>
    <row r="2" spans="2:29" s="2" customFormat="1" ht="15.6">
      <c r="B2" s="82" t="str">
        <f>+Base40h!B2</f>
        <v>ONCOR ELECTRIC DELIVERY COMPANY LLC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9"/>
      <c r="V2" s="9"/>
      <c r="W2" s="9"/>
      <c r="X2" s="9"/>
      <c r="Y2" s="9"/>
      <c r="Z2" s="9"/>
      <c r="AA2" s="9"/>
      <c r="AB2" s="9"/>
      <c r="AC2" s="9"/>
    </row>
    <row r="3" spans="2:29" s="2" customFormat="1" ht="15.6">
      <c r="B3" s="82" t="str">
        <f>+Base40h!B3</f>
        <v>WEATHER STATION DATA</v>
      </c>
      <c r="C3" s="86"/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9"/>
      <c r="V3" s="9"/>
      <c r="W3" s="9"/>
      <c r="X3" s="9"/>
      <c r="Y3" s="9"/>
      <c r="Z3" s="9"/>
      <c r="AA3" s="9"/>
      <c r="AB3" s="9"/>
      <c r="AC3" s="9"/>
    </row>
    <row r="4" spans="2:29" s="2" customFormat="1" ht="15.6">
      <c r="B4" s="82" t="str">
        <f>+Base40h!B4</f>
        <v>FOR THE TEST YEAR ENDING DECEMBER 31, 2021</v>
      </c>
      <c r="C4" s="86"/>
      <c r="D4" s="86"/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U4" s="9"/>
      <c r="V4" s="9"/>
      <c r="W4" s="9"/>
      <c r="X4" s="9"/>
      <c r="Y4" s="9"/>
      <c r="Z4" s="9"/>
      <c r="AA4" s="9"/>
      <c r="AB4" s="9"/>
      <c r="AC4" s="9"/>
    </row>
    <row r="5" spans="2:29" s="2" customFormat="1" ht="11.4">
      <c r="B5" s="1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 spans="2:29" s="2" customFormat="1" ht="15.6">
      <c r="B6" s="82" t="str">
        <f>+Base40h!B6</f>
        <v>SPONSOR: D. E. NELSON</v>
      </c>
      <c r="C6" s="86"/>
      <c r="D6" s="86"/>
      <c r="E6" s="86"/>
      <c r="F6" s="86"/>
      <c r="G6" s="86"/>
      <c r="H6" s="86"/>
      <c r="I6" s="86"/>
      <c r="J6" s="86"/>
      <c r="K6" s="86"/>
      <c r="L6" s="86"/>
      <c r="M6" s="86"/>
      <c r="N6" s="86"/>
      <c r="O6" s="86"/>
      <c r="P6" s="86"/>
      <c r="Q6" s="86"/>
      <c r="R6" s="86"/>
      <c r="S6" s="86"/>
      <c r="T6" s="86"/>
      <c r="U6" s="9"/>
      <c r="V6" s="9"/>
      <c r="W6" s="9"/>
      <c r="X6" s="9"/>
      <c r="Y6" s="9"/>
      <c r="Z6" s="9"/>
      <c r="AA6" s="9"/>
      <c r="AB6" s="9"/>
      <c r="AC6" s="9"/>
    </row>
    <row r="7" spans="1:1" ht="24" thickBot="1">
      <c r="A7" s="3" t="s">
        <v>4</v>
      </c>
    </row>
    <row r="9" spans="1:20" ht="13.2">
      <c r="A9">
        <v>1</v>
      </c>
      <c r="B9" s="85" t="s">
        <v>108</v>
      </c>
      <c r="C9" s="86"/>
      <c r="D9" s="86"/>
      <c r="E9" s="86"/>
      <c r="F9" s="86"/>
      <c r="G9" s="86"/>
      <c r="H9" s="86"/>
      <c r="I9" s="86"/>
      <c r="J9" s="86"/>
      <c r="K9" s="86"/>
      <c r="L9" s="86"/>
      <c r="M9" s="86"/>
      <c r="N9" s="86"/>
      <c r="O9" s="86"/>
      <c r="P9" s="86"/>
      <c r="Q9" s="86"/>
      <c r="R9" s="86"/>
      <c r="S9" s="86"/>
      <c r="T9" s="86"/>
    </row>
    <row r="10" spans="1:22" s="10" customFormat="1" ht="13.2">
      <c r="A10" s="30">
        <f>+A9+1</f>
        <v>2</v>
      </c>
      <c r="B10" s="31" t="s">
        <v>28</v>
      </c>
      <c r="C10" s="31" t="s">
        <v>29</v>
      </c>
      <c r="D10" s="31" t="s">
        <v>30</v>
      </c>
      <c r="E10" s="31" t="s">
        <v>31</v>
      </c>
      <c r="F10" s="31" t="s">
        <v>32</v>
      </c>
      <c r="G10" s="31" t="s">
        <v>33</v>
      </c>
      <c r="H10" s="31" t="s">
        <v>34</v>
      </c>
      <c r="I10" s="31" t="s">
        <v>35</v>
      </c>
      <c r="J10" s="31" t="s">
        <v>36</v>
      </c>
      <c r="K10" s="31" t="s">
        <v>37</v>
      </c>
      <c r="L10" s="31" t="s">
        <v>38</v>
      </c>
      <c r="M10" s="31" t="s">
        <v>39</v>
      </c>
      <c r="N10" s="31" t="s">
        <v>40</v>
      </c>
      <c r="O10" s="31" t="s">
        <v>41</v>
      </c>
      <c r="P10" s="31" t="s">
        <v>42</v>
      </c>
      <c r="Q10" s="31" t="s">
        <v>43</v>
      </c>
      <c r="R10" s="31" t="s">
        <v>44</v>
      </c>
      <c r="S10" s="31" t="s">
        <v>45</v>
      </c>
      <c r="T10" s="10" t="s">
        <v>46</v>
      </c>
      <c r="U10" s="58" t="s">
        <v>47</v>
      </c>
      <c r="V10" s="58" t="s">
        <v>48</v>
      </c>
    </row>
    <row r="11" spans="1:22" ht="13.2">
      <c r="A11">
        <f t="shared" si="0" ref="A11:B26">+A10+1</f>
        <v>3</v>
      </c>
      <c r="B11" s="11">
        <v>43831</v>
      </c>
      <c r="C11">
        <v>42</v>
      </c>
      <c r="D11">
        <v>42</v>
      </c>
      <c r="E11">
        <v>42</v>
      </c>
      <c r="F11">
        <v>44</v>
      </c>
      <c r="G11">
        <v>47</v>
      </c>
      <c r="H11">
        <v>47</v>
      </c>
      <c r="I11">
        <v>47</v>
      </c>
      <c r="J11">
        <v>48</v>
      </c>
      <c r="K11">
        <v>47</v>
      </c>
      <c r="L11">
        <v>48</v>
      </c>
      <c r="M11">
        <v>49</v>
      </c>
      <c r="N11">
        <v>51</v>
      </c>
      <c r="O11">
        <v>53</v>
      </c>
      <c r="P11">
        <v>54</v>
      </c>
      <c r="Q11">
        <v>55</v>
      </c>
      <c r="R11">
        <v>55</v>
      </c>
      <c r="S11">
        <v>56</v>
      </c>
      <c r="T11">
        <v>55</v>
      </c>
      <c r="U11">
        <v>54</v>
      </c>
      <c r="V11">
        <v>54</v>
      </c>
    </row>
    <row r="12" spans="1:22" ht="13.2">
      <c r="A12">
        <f t="shared" si="0"/>
        <v>4</v>
      </c>
      <c r="B12" s="11">
        <f>+B11+1</f>
        <v>43832</v>
      </c>
      <c r="C12">
        <v>50</v>
      </c>
      <c r="D12">
        <v>51</v>
      </c>
      <c r="E12">
        <v>50</v>
      </c>
      <c r="F12">
        <v>50</v>
      </c>
      <c r="G12">
        <v>50</v>
      </c>
      <c r="H12">
        <v>50</v>
      </c>
      <c r="I12">
        <v>49</v>
      </c>
      <c r="J12">
        <v>49</v>
      </c>
      <c r="K12">
        <v>47</v>
      </c>
      <c r="L12">
        <v>51</v>
      </c>
      <c r="M12">
        <v>55</v>
      </c>
      <c r="N12">
        <v>60</v>
      </c>
      <c r="O12">
        <v>63</v>
      </c>
      <c r="P12">
        <v>63</v>
      </c>
      <c r="Q12">
        <v>68</v>
      </c>
      <c r="R12">
        <v>69</v>
      </c>
      <c r="S12">
        <v>66</v>
      </c>
      <c r="T12">
        <v>64</v>
      </c>
      <c r="U12">
        <v>58</v>
      </c>
      <c r="V12">
        <v>55</v>
      </c>
    </row>
    <row r="13" spans="1:22" ht="13.2">
      <c r="A13">
        <f t="shared" si="0"/>
        <v>5</v>
      </c>
      <c r="B13" s="11">
        <f t="shared" si="0"/>
        <v>43833</v>
      </c>
      <c r="C13">
        <v>49</v>
      </c>
      <c r="D13">
        <v>49</v>
      </c>
      <c r="E13">
        <v>47</v>
      </c>
      <c r="F13">
        <v>47</v>
      </c>
      <c r="G13">
        <v>47</v>
      </c>
      <c r="H13">
        <v>46</v>
      </c>
      <c r="I13">
        <v>45</v>
      </c>
      <c r="J13">
        <v>44</v>
      </c>
      <c r="K13">
        <v>44</v>
      </c>
      <c r="L13">
        <v>45</v>
      </c>
      <c r="M13">
        <v>48</v>
      </c>
      <c r="N13">
        <v>49</v>
      </c>
      <c r="O13">
        <v>52</v>
      </c>
      <c r="P13">
        <v>54</v>
      </c>
      <c r="Q13">
        <v>56</v>
      </c>
      <c r="R13">
        <v>58</v>
      </c>
      <c r="S13">
        <v>59</v>
      </c>
      <c r="T13">
        <v>57</v>
      </c>
      <c r="U13">
        <v>53</v>
      </c>
      <c r="V13">
        <v>50</v>
      </c>
    </row>
    <row r="14" spans="1:22" ht="13.2">
      <c r="A14">
        <f t="shared" si="0"/>
        <v>6</v>
      </c>
      <c r="B14" s="11">
        <f t="shared" si="0"/>
        <v>43834</v>
      </c>
      <c r="C14">
        <v>41</v>
      </c>
      <c r="D14">
        <v>37</v>
      </c>
      <c r="E14">
        <v>36</v>
      </c>
      <c r="F14">
        <v>36</v>
      </c>
      <c r="G14">
        <v>37</v>
      </c>
      <c r="H14">
        <v>37</v>
      </c>
      <c r="I14">
        <v>39</v>
      </c>
      <c r="J14">
        <v>37</v>
      </c>
      <c r="K14">
        <v>38</v>
      </c>
      <c r="L14">
        <v>44</v>
      </c>
      <c r="M14">
        <v>53</v>
      </c>
      <c r="N14">
        <v>56</v>
      </c>
      <c r="O14">
        <v>58</v>
      </c>
      <c r="P14">
        <v>62</v>
      </c>
      <c r="Q14">
        <v>64</v>
      </c>
      <c r="R14">
        <v>67</v>
      </c>
      <c r="S14">
        <v>68</v>
      </c>
      <c r="T14">
        <v>67</v>
      </c>
      <c r="U14">
        <v>60</v>
      </c>
      <c r="V14">
        <v>54</v>
      </c>
    </row>
    <row r="15" spans="1:22" ht="13.2">
      <c r="A15">
        <f t="shared" si="0"/>
        <v>7</v>
      </c>
      <c r="B15" s="11">
        <f t="shared" si="0"/>
        <v>43835</v>
      </c>
      <c r="C15">
        <v>48</v>
      </c>
      <c r="D15">
        <v>50</v>
      </c>
      <c r="E15">
        <v>52</v>
      </c>
      <c r="F15">
        <v>49</v>
      </c>
      <c r="G15">
        <v>48</v>
      </c>
      <c r="H15">
        <v>50</v>
      </c>
      <c r="I15">
        <v>50</v>
      </c>
      <c r="J15">
        <v>49</v>
      </c>
      <c r="K15">
        <v>50</v>
      </c>
      <c r="L15">
        <v>55</v>
      </c>
      <c r="M15">
        <v>58</v>
      </c>
      <c r="N15">
        <v>60</v>
      </c>
      <c r="O15">
        <v>63</v>
      </c>
      <c r="P15">
        <v>65</v>
      </c>
      <c r="Q15">
        <v>64</v>
      </c>
      <c r="R15">
        <v>65</v>
      </c>
      <c r="S15">
        <v>65</v>
      </c>
      <c r="T15">
        <v>64</v>
      </c>
      <c r="U15">
        <v>58</v>
      </c>
      <c r="V15">
        <v>55</v>
      </c>
    </row>
    <row r="16" spans="1:22" ht="13.2">
      <c r="A16">
        <f t="shared" si="0"/>
        <v>8</v>
      </c>
      <c r="B16" s="11">
        <f t="shared" si="0"/>
        <v>43836</v>
      </c>
      <c r="C16">
        <v>35</v>
      </c>
      <c r="D16">
        <v>36</v>
      </c>
      <c r="E16">
        <v>35</v>
      </c>
      <c r="F16">
        <v>34</v>
      </c>
      <c r="G16">
        <v>35</v>
      </c>
      <c r="H16">
        <v>37</v>
      </c>
      <c r="I16">
        <v>36</v>
      </c>
      <c r="J16">
        <v>33</v>
      </c>
      <c r="K16">
        <v>33</v>
      </c>
      <c r="L16">
        <v>37</v>
      </c>
      <c r="M16">
        <v>45</v>
      </c>
      <c r="N16">
        <v>51</v>
      </c>
      <c r="O16">
        <v>61</v>
      </c>
      <c r="P16">
        <v>63</v>
      </c>
      <c r="Q16">
        <v>62</v>
      </c>
      <c r="R16">
        <v>61</v>
      </c>
      <c r="S16">
        <v>59</v>
      </c>
      <c r="T16">
        <v>59</v>
      </c>
      <c r="U16">
        <v>55</v>
      </c>
      <c r="V16">
        <v>51</v>
      </c>
    </row>
    <row r="17" spans="1:22" ht="13.2">
      <c r="A17">
        <f t="shared" si="0"/>
        <v>9</v>
      </c>
      <c r="B17" s="11">
        <f t="shared" si="0"/>
        <v>43837</v>
      </c>
      <c r="C17">
        <v>33</v>
      </c>
      <c r="D17">
        <v>32</v>
      </c>
      <c r="E17">
        <v>31</v>
      </c>
      <c r="F17">
        <v>30</v>
      </c>
      <c r="G17">
        <v>30</v>
      </c>
      <c r="H17">
        <v>30</v>
      </c>
      <c r="I17">
        <v>27</v>
      </c>
      <c r="J17">
        <v>29</v>
      </c>
      <c r="K17">
        <v>26</v>
      </c>
      <c r="L17">
        <v>36</v>
      </c>
      <c r="M17">
        <v>48</v>
      </c>
      <c r="N17">
        <v>57</v>
      </c>
      <c r="O17">
        <v>59</v>
      </c>
      <c r="P17">
        <v>60</v>
      </c>
      <c r="Q17">
        <v>62</v>
      </c>
      <c r="R17">
        <v>63</v>
      </c>
      <c r="S17">
        <v>63</v>
      </c>
      <c r="T17">
        <v>62</v>
      </c>
      <c r="U17">
        <v>56</v>
      </c>
      <c r="V17">
        <v>51</v>
      </c>
    </row>
    <row r="18" spans="1:22" ht="13.2">
      <c r="A18">
        <f t="shared" si="0"/>
        <v>10</v>
      </c>
      <c r="B18" s="11">
        <f t="shared" si="0"/>
        <v>43838</v>
      </c>
      <c r="C18">
        <v>44</v>
      </c>
      <c r="D18">
        <v>40</v>
      </c>
      <c r="E18">
        <v>41</v>
      </c>
      <c r="F18">
        <v>43</v>
      </c>
      <c r="G18">
        <v>40</v>
      </c>
      <c r="H18">
        <v>43</v>
      </c>
      <c r="I18">
        <v>42</v>
      </c>
      <c r="J18">
        <v>41</v>
      </c>
      <c r="K18">
        <v>41</v>
      </c>
      <c r="L18">
        <v>45</v>
      </c>
      <c r="M18">
        <v>52</v>
      </c>
      <c r="N18">
        <v>57</v>
      </c>
      <c r="O18">
        <v>59</v>
      </c>
      <c r="P18">
        <v>62</v>
      </c>
      <c r="Q18">
        <v>62</v>
      </c>
      <c r="R18">
        <v>64</v>
      </c>
      <c r="S18">
        <v>65</v>
      </c>
      <c r="T18">
        <v>63</v>
      </c>
      <c r="U18">
        <v>61</v>
      </c>
      <c r="V18">
        <v>60</v>
      </c>
    </row>
    <row r="19" spans="1:22" ht="13.2">
      <c r="A19">
        <f t="shared" si="0"/>
        <v>11</v>
      </c>
      <c r="B19" s="11">
        <f t="shared" si="0"/>
        <v>43839</v>
      </c>
      <c r="C19">
        <v>58</v>
      </c>
      <c r="D19">
        <v>57</v>
      </c>
      <c r="E19">
        <v>56</v>
      </c>
      <c r="F19">
        <v>56</v>
      </c>
      <c r="G19">
        <v>58</v>
      </c>
      <c r="H19">
        <v>57</v>
      </c>
      <c r="I19">
        <v>59</v>
      </c>
      <c r="J19">
        <v>60</v>
      </c>
      <c r="K19">
        <v>60</v>
      </c>
      <c r="L19">
        <v>61</v>
      </c>
      <c r="M19">
        <v>63</v>
      </c>
      <c r="N19">
        <v>64</v>
      </c>
      <c r="O19">
        <v>67</v>
      </c>
      <c r="P19">
        <v>70</v>
      </c>
      <c r="Q19">
        <v>72</v>
      </c>
      <c r="R19">
        <v>73</v>
      </c>
      <c r="S19">
        <v>74</v>
      </c>
      <c r="T19">
        <v>73</v>
      </c>
      <c r="U19">
        <v>68</v>
      </c>
      <c r="V19">
        <v>61</v>
      </c>
    </row>
    <row r="20" spans="1:22" ht="13.2">
      <c r="A20">
        <f t="shared" si="0"/>
        <v>12</v>
      </c>
      <c r="B20" s="11">
        <f t="shared" si="0"/>
        <v>43840</v>
      </c>
      <c r="C20">
        <v>60</v>
      </c>
      <c r="D20">
        <v>57</v>
      </c>
      <c r="E20">
        <v>57</v>
      </c>
      <c r="F20">
        <v>60</v>
      </c>
      <c r="G20">
        <v>61</v>
      </c>
      <c r="H20">
        <v>63</v>
      </c>
      <c r="I20">
        <v>64</v>
      </c>
      <c r="J20">
        <v>63</v>
      </c>
      <c r="K20">
        <v>62</v>
      </c>
      <c r="L20">
        <v>65</v>
      </c>
      <c r="M20">
        <v>66</v>
      </c>
      <c r="N20">
        <v>67</v>
      </c>
      <c r="O20">
        <v>68</v>
      </c>
      <c r="P20">
        <v>69</v>
      </c>
      <c r="Q20">
        <v>69</v>
      </c>
      <c r="R20">
        <v>70</v>
      </c>
      <c r="S20">
        <v>69</v>
      </c>
      <c r="T20">
        <v>69</v>
      </c>
      <c r="U20">
        <v>66</v>
      </c>
      <c r="V20">
        <v>63</v>
      </c>
    </row>
    <row r="21" spans="1:22" ht="13.2">
      <c r="A21">
        <f t="shared" si="0"/>
        <v>13</v>
      </c>
      <c r="B21" s="11">
        <f t="shared" si="0"/>
        <v>43841</v>
      </c>
      <c r="C21">
        <v>39</v>
      </c>
      <c r="D21">
        <v>39</v>
      </c>
      <c r="E21">
        <v>38</v>
      </c>
      <c r="F21">
        <v>37</v>
      </c>
      <c r="G21">
        <v>32</v>
      </c>
      <c r="H21">
        <v>31</v>
      </c>
      <c r="I21">
        <v>32</v>
      </c>
      <c r="J21">
        <v>32</v>
      </c>
      <c r="K21">
        <v>31</v>
      </c>
      <c r="L21">
        <v>32</v>
      </c>
      <c r="M21">
        <v>34</v>
      </c>
      <c r="N21">
        <v>34</v>
      </c>
      <c r="O21">
        <v>36</v>
      </c>
      <c r="P21">
        <v>41</v>
      </c>
      <c r="Q21">
        <v>43</v>
      </c>
      <c r="R21">
        <v>45</v>
      </c>
      <c r="S21">
        <v>48</v>
      </c>
      <c r="T21">
        <v>50</v>
      </c>
      <c r="U21">
        <v>49</v>
      </c>
      <c r="V21">
        <v>43</v>
      </c>
    </row>
    <row r="22" spans="1:22" ht="13.2">
      <c r="A22">
        <f t="shared" si="0"/>
        <v>14</v>
      </c>
      <c r="B22" s="11">
        <f t="shared" si="0"/>
        <v>43842</v>
      </c>
      <c r="C22">
        <v>41</v>
      </c>
      <c r="D22">
        <v>43</v>
      </c>
      <c r="E22">
        <v>41</v>
      </c>
      <c r="F22">
        <v>40</v>
      </c>
      <c r="G22">
        <v>42</v>
      </c>
      <c r="H22">
        <v>43</v>
      </c>
      <c r="I22">
        <v>43</v>
      </c>
      <c r="J22">
        <v>43</v>
      </c>
      <c r="K22">
        <v>42</v>
      </c>
      <c r="L22">
        <v>43</v>
      </c>
      <c r="M22">
        <v>46</v>
      </c>
      <c r="N22">
        <v>50</v>
      </c>
      <c r="O22">
        <v>55</v>
      </c>
      <c r="P22">
        <v>60</v>
      </c>
      <c r="Q22">
        <v>64</v>
      </c>
      <c r="R22">
        <v>68</v>
      </c>
      <c r="S22">
        <v>65</v>
      </c>
      <c r="T22">
        <v>64</v>
      </c>
      <c r="U22">
        <v>60</v>
      </c>
      <c r="V22">
        <v>56</v>
      </c>
    </row>
    <row r="23" spans="1:22" ht="13.2">
      <c r="A23">
        <f t="shared" si="0"/>
        <v>15</v>
      </c>
      <c r="B23" s="11">
        <f t="shared" si="0"/>
        <v>43843</v>
      </c>
      <c r="C23">
        <v>45</v>
      </c>
      <c r="D23">
        <v>45</v>
      </c>
      <c r="E23">
        <v>44</v>
      </c>
      <c r="F23">
        <v>44</v>
      </c>
      <c r="G23">
        <v>44</v>
      </c>
      <c r="H23">
        <v>43</v>
      </c>
      <c r="I23">
        <v>47</v>
      </c>
      <c r="J23">
        <v>47</v>
      </c>
      <c r="K23">
        <v>47</v>
      </c>
      <c r="L23">
        <v>51</v>
      </c>
      <c r="M23">
        <v>54</v>
      </c>
      <c r="N23">
        <v>58</v>
      </c>
      <c r="O23">
        <v>62</v>
      </c>
      <c r="P23">
        <v>67</v>
      </c>
      <c r="Q23">
        <v>72</v>
      </c>
      <c r="R23">
        <v>72</v>
      </c>
      <c r="S23">
        <v>71</v>
      </c>
      <c r="T23">
        <v>69</v>
      </c>
      <c r="U23">
        <v>66</v>
      </c>
      <c r="V23">
        <v>64</v>
      </c>
    </row>
    <row r="24" spans="1:22" s="18" customFormat="1" ht="13.2">
      <c r="A24" s="18">
        <f t="shared" si="0"/>
        <v>16</v>
      </c>
      <c r="B24" s="11">
        <f t="shared" si="0"/>
        <v>43844</v>
      </c>
      <c r="C24">
        <v>56</v>
      </c>
      <c r="D24">
        <v>55</v>
      </c>
      <c r="E24">
        <v>54</v>
      </c>
      <c r="F24">
        <v>54</v>
      </c>
      <c r="G24">
        <v>54</v>
      </c>
      <c r="H24">
        <v>50</v>
      </c>
      <c r="I24">
        <v>49</v>
      </c>
      <c r="J24">
        <v>48</v>
      </c>
      <c r="K24">
        <v>47</v>
      </c>
      <c r="L24">
        <v>46</v>
      </c>
      <c r="M24">
        <v>49</v>
      </c>
      <c r="N24">
        <v>54</v>
      </c>
      <c r="O24">
        <v>56</v>
      </c>
      <c r="P24">
        <v>58</v>
      </c>
      <c r="Q24">
        <v>66</v>
      </c>
      <c r="R24">
        <v>71</v>
      </c>
      <c r="S24">
        <v>72</v>
      </c>
      <c r="T24">
        <v>72</v>
      </c>
      <c r="U24">
        <v>66</v>
      </c>
      <c r="V24">
        <v>64</v>
      </c>
    </row>
    <row r="25" spans="1:22" ht="13.2">
      <c r="A25">
        <f t="shared" si="0"/>
        <v>17</v>
      </c>
      <c r="B25" s="11">
        <f t="shared" si="0"/>
        <v>43845</v>
      </c>
      <c r="C25">
        <v>54</v>
      </c>
      <c r="D25">
        <v>58</v>
      </c>
      <c r="E25">
        <v>59</v>
      </c>
      <c r="F25">
        <v>62</v>
      </c>
      <c r="G25">
        <v>61</v>
      </c>
      <c r="H25">
        <v>61</v>
      </c>
      <c r="I25">
        <v>60</v>
      </c>
      <c r="J25">
        <v>58</v>
      </c>
      <c r="K25">
        <v>56</v>
      </c>
      <c r="L25">
        <v>59</v>
      </c>
      <c r="M25">
        <v>61</v>
      </c>
      <c r="N25">
        <v>63</v>
      </c>
      <c r="O25">
        <v>65</v>
      </c>
      <c r="P25">
        <v>68</v>
      </c>
      <c r="Q25">
        <v>71</v>
      </c>
      <c r="R25">
        <v>74</v>
      </c>
      <c r="S25">
        <v>73</v>
      </c>
      <c r="T25">
        <v>72</v>
      </c>
      <c r="U25">
        <v>65</v>
      </c>
      <c r="V25">
        <v>61</v>
      </c>
    </row>
    <row r="26" spans="1:22" ht="13.2">
      <c r="A26">
        <f t="shared" si="0"/>
        <v>18</v>
      </c>
      <c r="B26" s="11">
        <f t="shared" si="0"/>
        <v>43846</v>
      </c>
      <c r="C26">
        <v>51</v>
      </c>
      <c r="D26">
        <v>50</v>
      </c>
      <c r="E26">
        <v>49</v>
      </c>
      <c r="F26">
        <v>49</v>
      </c>
      <c r="G26">
        <v>49</v>
      </c>
      <c r="H26">
        <v>47</v>
      </c>
      <c r="I26">
        <v>45</v>
      </c>
      <c r="J26">
        <v>43</v>
      </c>
      <c r="K26">
        <v>41</v>
      </c>
      <c r="L26">
        <v>40</v>
      </c>
      <c r="M26">
        <v>38</v>
      </c>
      <c r="N26">
        <v>37</v>
      </c>
      <c r="O26">
        <v>36</v>
      </c>
      <c r="P26">
        <v>35</v>
      </c>
      <c r="Q26">
        <v>34</v>
      </c>
      <c r="R26">
        <v>34</v>
      </c>
      <c r="S26">
        <v>34</v>
      </c>
      <c r="T26">
        <v>36</v>
      </c>
      <c r="U26">
        <v>36</v>
      </c>
      <c r="V26">
        <v>37</v>
      </c>
    </row>
    <row r="27" spans="1:22" ht="13.2">
      <c r="A27">
        <f t="shared" si="1" ref="A27:B42">+A26+1</f>
        <v>19</v>
      </c>
      <c r="B27" s="11">
        <f t="shared" si="1"/>
        <v>43847</v>
      </c>
      <c r="C27">
        <v>34</v>
      </c>
      <c r="D27">
        <v>36</v>
      </c>
      <c r="E27">
        <v>34</v>
      </c>
      <c r="F27">
        <v>37</v>
      </c>
      <c r="G27">
        <v>34</v>
      </c>
      <c r="H27">
        <v>36</v>
      </c>
      <c r="I27">
        <v>34</v>
      </c>
      <c r="J27">
        <v>34</v>
      </c>
      <c r="K27">
        <v>36</v>
      </c>
      <c r="L27">
        <v>38</v>
      </c>
      <c r="M27">
        <v>43</v>
      </c>
      <c r="N27">
        <v>43</v>
      </c>
      <c r="O27">
        <v>47</v>
      </c>
      <c r="P27">
        <v>45</v>
      </c>
      <c r="Q27">
        <v>41</v>
      </c>
      <c r="R27">
        <v>47</v>
      </c>
      <c r="S27">
        <v>47</v>
      </c>
      <c r="T27">
        <v>47</v>
      </c>
      <c r="U27">
        <v>47</v>
      </c>
      <c r="V27">
        <v>47</v>
      </c>
    </row>
    <row r="28" spans="1:22" s="18" customFormat="1" ht="13.2">
      <c r="A28" s="18">
        <f t="shared" si="1"/>
        <v>20</v>
      </c>
      <c r="B28" s="11">
        <f t="shared" si="1"/>
        <v>43848</v>
      </c>
      <c r="C28">
        <v>53</v>
      </c>
      <c r="D28">
        <v>54</v>
      </c>
      <c r="E28">
        <v>55</v>
      </c>
      <c r="F28">
        <v>54</v>
      </c>
      <c r="G28">
        <v>52</v>
      </c>
      <c r="H28">
        <v>46</v>
      </c>
      <c r="I28">
        <v>46</v>
      </c>
      <c r="J28">
        <v>47</v>
      </c>
      <c r="K28">
        <v>46</v>
      </c>
      <c r="L28">
        <v>42</v>
      </c>
      <c r="M28">
        <v>47</v>
      </c>
      <c r="N28">
        <v>47</v>
      </c>
      <c r="O28">
        <v>49</v>
      </c>
      <c r="P28">
        <v>50</v>
      </c>
      <c r="Q28">
        <v>52</v>
      </c>
      <c r="R28">
        <v>52</v>
      </c>
      <c r="S28">
        <v>52</v>
      </c>
      <c r="T28">
        <v>51</v>
      </c>
      <c r="U28">
        <v>48</v>
      </c>
      <c r="V28">
        <v>44</v>
      </c>
    </row>
    <row r="29" spans="1:22" ht="13.2">
      <c r="A29">
        <f t="shared" si="1"/>
        <v>21</v>
      </c>
      <c r="B29" s="11">
        <f t="shared" si="1"/>
        <v>43849</v>
      </c>
      <c r="C29">
        <v>36</v>
      </c>
      <c r="D29">
        <v>34</v>
      </c>
      <c r="E29">
        <v>34</v>
      </c>
      <c r="F29">
        <v>30</v>
      </c>
      <c r="G29">
        <v>29</v>
      </c>
      <c r="H29">
        <v>29</v>
      </c>
      <c r="I29">
        <v>29</v>
      </c>
      <c r="J29">
        <v>29</v>
      </c>
      <c r="K29">
        <v>25</v>
      </c>
      <c r="L29">
        <v>30</v>
      </c>
      <c r="M29">
        <v>39</v>
      </c>
      <c r="N29">
        <v>45</v>
      </c>
      <c r="O29">
        <v>47</v>
      </c>
      <c r="P29">
        <v>50</v>
      </c>
      <c r="Q29">
        <v>52</v>
      </c>
      <c r="R29">
        <v>53</v>
      </c>
      <c r="S29">
        <v>53</v>
      </c>
      <c r="T29">
        <v>53</v>
      </c>
      <c r="U29">
        <v>50</v>
      </c>
      <c r="V29">
        <v>46</v>
      </c>
    </row>
    <row r="30" spans="1:22" ht="13.2">
      <c r="A30">
        <f t="shared" si="1"/>
        <v>22</v>
      </c>
      <c r="B30" s="11">
        <f t="shared" si="1"/>
        <v>43850</v>
      </c>
      <c r="C30">
        <v>35</v>
      </c>
      <c r="D30">
        <v>34</v>
      </c>
      <c r="E30">
        <v>35</v>
      </c>
      <c r="F30">
        <v>35</v>
      </c>
      <c r="G30">
        <v>35</v>
      </c>
      <c r="H30">
        <v>34</v>
      </c>
      <c r="I30">
        <v>32</v>
      </c>
      <c r="J30">
        <v>33</v>
      </c>
      <c r="K30">
        <v>33</v>
      </c>
      <c r="L30">
        <v>38</v>
      </c>
      <c r="M30">
        <v>44</v>
      </c>
      <c r="N30">
        <v>51</v>
      </c>
      <c r="O30">
        <v>53</v>
      </c>
      <c r="P30">
        <v>55</v>
      </c>
      <c r="Q30">
        <v>56</v>
      </c>
      <c r="R30">
        <v>57</v>
      </c>
      <c r="S30">
        <v>57</v>
      </c>
      <c r="T30">
        <v>56</v>
      </c>
      <c r="U30">
        <v>54</v>
      </c>
      <c r="V30">
        <v>50</v>
      </c>
    </row>
    <row r="31" spans="1:22" ht="13.2">
      <c r="A31">
        <f t="shared" si="1"/>
        <v>23</v>
      </c>
      <c r="B31" s="11">
        <f t="shared" si="1"/>
        <v>43851</v>
      </c>
      <c r="C31">
        <v>43</v>
      </c>
      <c r="D31">
        <v>42</v>
      </c>
      <c r="E31">
        <v>42</v>
      </c>
      <c r="F31">
        <v>45</v>
      </c>
      <c r="G31">
        <v>45</v>
      </c>
      <c r="H31">
        <v>44</v>
      </c>
      <c r="I31">
        <v>42</v>
      </c>
      <c r="J31">
        <v>43</v>
      </c>
      <c r="K31">
        <v>44</v>
      </c>
      <c r="L31">
        <v>45</v>
      </c>
      <c r="M31">
        <v>48</v>
      </c>
      <c r="N31">
        <v>51</v>
      </c>
      <c r="O31">
        <v>53</v>
      </c>
      <c r="P31">
        <v>56</v>
      </c>
      <c r="Q31">
        <v>57</v>
      </c>
      <c r="R31">
        <v>55</v>
      </c>
      <c r="S31">
        <v>55</v>
      </c>
      <c r="T31">
        <v>54</v>
      </c>
      <c r="U31">
        <v>53</v>
      </c>
      <c r="V31">
        <v>52</v>
      </c>
    </row>
    <row r="32" spans="1:22" ht="13.2">
      <c r="A32">
        <f t="shared" si="1"/>
        <v>24</v>
      </c>
      <c r="B32" s="11">
        <f t="shared" si="1"/>
        <v>43852</v>
      </c>
      <c r="C32">
        <v>45</v>
      </c>
      <c r="D32">
        <v>45</v>
      </c>
      <c r="E32">
        <v>45</v>
      </c>
      <c r="F32">
        <v>46</v>
      </c>
      <c r="G32">
        <v>48</v>
      </c>
      <c r="H32">
        <v>49</v>
      </c>
      <c r="I32">
        <v>50</v>
      </c>
      <c r="J32">
        <v>50</v>
      </c>
      <c r="K32">
        <v>50</v>
      </c>
      <c r="L32">
        <v>51</v>
      </c>
      <c r="M32">
        <v>52</v>
      </c>
      <c r="N32">
        <v>54</v>
      </c>
      <c r="O32">
        <v>57</v>
      </c>
      <c r="P32">
        <v>61</v>
      </c>
      <c r="Q32">
        <v>61</v>
      </c>
      <c r="R32">
        <v>63</v>
      </c>
      <c r="S32">
        <v>64</v>
      </c>
      <c r="T32">
        <v>63</v>
      </c>
      <c r="U32">
        <v>61</v>
      </c>
      <c r="V32">
        <v>58</v>
      </c>
    </row>
    <row r="33" spans="1:22" ht="13.2">
      <c r="A33">
        <f t="shared" si="1"/>
        <v>25</v>
      </c>
      <c r="B33" s="11">
        <f t="shared" si="1"/>
        <v>43853</v>
      </c>
      <c r="C33">
        <v>46</v>
      </c>
      <c r="D33">
        <v>47</v>
      </c>
      <c r="E33">
        <v>48</v>
      </c>
      <c r="F33">
        <v>47</v>
      </c>
      <c r="G33">
        <v>44</v>
      </c>
      <c r="H33">
        <v>42</v>
      </c>
      <c r="I33">
        <v>42</v>
      </c>
      <c r="J33">
        <v>39</v>
      </c>
      <c r="K33">
        <v>38</v>
      </c>
      <c r="L33">
        <v>40</v>
      </c>
      <c r="M33">
        <v>47</v>
      </c>
      <c r="N33">
        <v>50</v>
      </c>
      <c r="O33">
        <v>53</v>
      </c>
      <c r="P33">
        <v>56</v>
      </c>
      <c r="Q33">
        <v>56</v>
      </c>
      <c r="R33">
        <v>59</v>
      </c>
      <c r="S33">
        <v>58</v>
      </c>
      <c r="T33">
        <v>56</v>
      </c>
      <c r="U33">
        <v>52</v>
      </c>
      <c r="V33">
        <v>47</v>
      </c>
    </row>
    <row r="34" spans="1:22" ht="13.2">
      <c r="A34">
        <f t="shared" si="1"/>
        <v>26</v>
      </c>
      <c r="B34" s="11">
        <f t="shared" si="1"/>
        <v>43854</v>
      </c>
      <c r="C34">
        <v>38</v>
      </c>
      <c r="D34">
        <v>36</v>
      </c>
      <c r="E34">
        <v>34</v>
      </c>
      <c r="F34">
        <v>35</v>
      </c>
      <c r="G34">
        <v>36</v>
      </c>
      <c r="H34">
        <v>34</v>
      </c>
      <c r="I34">
        <v>30</v>
      </c>
      <c r="J34">
        <v>31</v>
      </c>
      <c r="K34">
        <v>30</v>
      </c>
      <c r="L34">
        <v>38</v>
      </c>
      <c r="M34">
        <v>47</v>
      </c>
      <c r="N34">
        <v>51</v>
      </c>
      <c r="O34">
        <v>55</v>
      </c>
      <c r="P34">
        <v>60</v>
      </c>
      <c r="Q34">
        <v>62</v>
      </c>
      <c r="R34">
        <v>63</v>
      </c>
      <c r="S34">
        <v>63</v>
      </c>
      <c r="T34">
        <v>63</v>
      </c>
      <c r="U34">
        <v>59</v>
      </c>
      <c r="V34">
        <v>53</v>
      </c>
    </row>
    <row r="35" spans="1:22" ht="13.2">
      <c r="A35">
        <f t="shared" si="1"/>
        <v>27</v>
      </c>
      <c r="B35" s="11">
        <f t="shared" si="1"/>
        <v>43855</v>
      </c>
      <c r="C35">
        <v>46</v>
      </c>
      <c r="D35">
        <v>45</v>
      </c>
      <c r="E35">
        <v>44</v>
      </c>
      <c r="F35">
        <v>43</v>
      </c>
      <c r="G35">
        <v>44</v>
      </c>
      <c r="H35">
        <v>44</v>
      </c>
      <c r="I35">
        <v>44</v>
      </c>
      <c r="J35">
        <v>45</v>
      </c>
      <c r="K35">
        <v>47</v>
      </c>
      <c r="L35">
        <v>47</v>
      </c>
      <c r="M35">
        <v>52</v>
      </c>
      <c r="N35">
        <v>55</v>
      </c>
      <c r="O35">
        <v>58</v>
      </c>
      <c r="P35">
        <v>61</v>
      </c>
      <c r="Q35">
        <v>65</v>
      </c>
      <c r="R35">
        <v>67</v>
      </c>
      <c r="S35">
        <v>67</v>
      </c>
      <c r="T35">
        <v>66</v>
      </c>
      <c r="U35">
        <v>62</v>
      </c>
      <c r="V35">
        <v>60</v>
      </c>
    </row>
    <row r="36" spans="1:22" ht="13.2">
      <c r="A36">
        <f t="shared" si="1"/>
        <v>28</v>
      </c>
      <c r="B36" s="11">
        <f t="shared" si="1"/>
        <v>43856</v>
      </c>
      <c r="C36">
        <v>51</v>
      </c>
      <c r="D36">
        <v>49</v>
      </c>
      <c r="E36">
        <v>47</v>
      </c>
      <c r="F36">
        <v>45</v>
      </c>
      <c r="G36">
        <v>45</v>
      </c>
      <c r="H36">
        <v>42</v>
      </c>
      <c r="I36">
        <v>42</v>
      </c>
      <c r="J36">
        <v>38</v>
      </c>
      <c r="K36">
        <v>41</v>
      </c>
      <c r="L36">
        <v>46</v>
      </c>
      <c r="M36">
        <v>51</v>
      </c>
      <c r="N36">
        <v>56</v>
      </c>
      <c r="O36">
        <v>60</v>
      </c>
      <c r="P36">
        <v>62</v>
      </c>
      <c r="Q36">
        <v>65</v>
      </c>
      <c r="R36">
        <v>66</v>
      </c>
      <c r="S36">
        <v>67</v>
      </c>
      <c r="T36">
        <v>67</v>
      </c>
      <c r="U36">
        <v>64</v>
      </c>
      <c r="V36">
        <v>60</v>
      </c>
    </row>
    <row r="37" spans="1:22" ht="13.2">
      <c r="A37">
        <f t="shared" si="1"/>
        <v>29</v>
      </c>
      <c r="B37" s="11">
        <f t="shared" si="1"/>
        <v>43857</v>
      </c>
      <c r="C37">
        <v>43</v>
      </c>
      <c r="D37">
        <v>45</v>
      </c>
      <c r="E37">
        <v>46</v>
      </c>
      <c r="F37">
        <v>43</v>
      </c>
      <c r="G37">
        <v>43</v>
      </c>
      <c r="H37">
        <v>45</v>
      </c>
      <c r="I37">
        <v>46</v>
      </c>
      <c r="J37">
        <v>45</v>
      </c>
      <c r="K37">
        <v>47</v>
      </c>
      <c r="L37">
        <v>52</v>
      </c>
      <c r="M37">
        <v>58</v>
      </c>
      <c r="N37">
        <v>62</v>
      </c>
      <c r="O37">
        <v>67</v>
      </c>
      <c r="P37">
        <v>69</v>
      </c>
      <c r="Q37">
        <v>71</v>
      </c>
      <c r="R37">
        <v>73</v>
      </c>
      <c r="S37">
        <v>75</v>
      </c>
      <c r="T37">
        <v>75</v>
      </c>
      <c r="U37">
        <v>72</v>
      </c>
      <c r="V37">
        <v>68</v>
      </c>
    </row>
    <row r="38" spans="1:22" ht="13.2">
      <c r="A38">
        <f t="shared" si="1"/>
        <v>30</v>
      </c>
      <c r="B38" s="11">
        <f t="shared" si="1"/>
        <v>43858</v>
      </c>
      <c r="C38">
        <v>62</v>
      </c>
      <c r="D38">
        <v>63</v>
      </c>
      <c r="E38">
        <v>61</v>
      </c>
      <c r="F38">
        <v>58</v>
      </c>
      <c r="G38">
        <v>55</v>
      </c>
      <c r="H38">
        <v>52</v>
      </c>
      <c r="I38">
        <v>50</v>
      </c>
      <c r="J38">
        <v>46</v>
      </c>
      <c r="K38">
        <v>46</v>
      </c>
      <c r="L38">
        <v>50</v>
      </c>
      <c r="M38">
        <v>52</v>
      </c>
      <c r="N38">
        <v>50</v>
      </c>
      <c r="O38">
        <v>44</v>
      </c>
      <c r="P38">
        <v>43</v>
      </c>
      <c r="Q38">
        <v>42</v>
      </c>
      <c r="R38">
        <v>43</v>
      </c>
      <c r="S38">
        <v>45</v>
      </c>
      <c r="T38">
        <v>45</v>
      </c>
      <c r="U38">
        <v>45</v>
      </c>
      <c r="V38">
        <v>44</v>
      </c>
    </row>
    <row r="39" spans="1:22" ht="13.2">
      <c r="A39">
        <f t="shared" si="1"/>
        <v>31</v>
      </c>
      <c r="B39" s="11">
        <f t="shared" si="1"/>
        <v>43859</v>
      </c>
      <c r="C39">
        <v>40</v>
      </c>
      <c r="D39">
        <v>40</v>
      </c>
      <c r="E39">
        <v>38</v>
      </c>
      <c r="F39">
        <v>37</v>
      </c>
      <c r="G39">
        <v>35</v>
      </c>
      <c r="H39">
        <v>34</v>
      </c>
      <c r="I39">
        <v>33</v>
      </c>
      <c r="J39">
        <v>30</v>
      </c>
      <c r="K39">
        <v>31</v>
      </c>
      <c r="L39">
        <v>36</v>
      </c>
      <c r="M39">
        <v>40</v>
      </c>
      <c r="N39">
        <v>44</v>
      </c>
      <c r="O39">
        <v>47</v>
      </c>
      <c r="P39">
        <v>50</v>
      </c>
      <c r="Q39">
        <v>51</v>
      </c>
      <c r="R39">
        <v>53</v>
      </c>
      <c r="S39">
        <v>54</v>
      </c>
      <c r="T39">
        <v>51</v>
      </c>
      <c r="U39">
        <v>47</v>
      </c>
      <c r="V39">
        <v>42</v>
      </c>
    </row>
    <row r="40" spans="1:22" ht="13.2">
      <c r="A40">
        <f t="shared" si="1"/>
        <v>32</v>
      </c>
      <c r="B40" s="11">
        <f t="shared" si="1"/>
        <v>43860</v>
      </c>
      <c r="C40">
        <v>37</v>
      </c>
      <c r="D40">
        <v>37</v>
      </c>
      <c r="E40">
        <v>37</v>
      </c>
      <c r="F40">
        <v>37</v>
      </c>
      <c r="G40">
        <v>37</v>
      </c>
      <c r="H40">
        <v>37</v>
      </c>
      <c r="I40">
        <v>37</v>
      </c>
      <c r="J40">
        <v>36</v>
      </c>
      <c r="K40">
        <v>36</v>
      </c>
      <c r="L40">
        <v>36</v>
      </c>
      <c r="M40">
        <v>36</v>
      </c>
      <c r="N40">
        <v>36</v>
      </c>
      <c r="O40">
        <v>37</v>
      </c>
      <c r="P40">
        <v>38</v>
      </c>
      <c r="Q40">
        <v>39</v>
      </c>
      <c r="R40">
        <v>40</v>
      </c>
      <c r="S40">
        <v>41</v>
      </c>
      <c r="T40">
        <v>41</v>
      </c>
      <c r="U40">
        <v>40</v>
      </c>
      <c r="V40">
        <v>38</v>
      </c>
    </row>
    <row r="41" spans="1:22" ht="13.2">
      <c r="A41">
        <f t="shared" si="1"/>
        <v>33</v>
      </c>
      <c r="B41" s="11">
        <f t="shared" si="1"/>
        <v>43861</v>
      </c>
      <c r="C41">
        <v>30</v>
      </c>
      <c r="D41">
        <v>29</v>
      </c>
      <c r="E41">
        <v>29</v>
      </c>
      <c r="F41">
        <v>26</v>
      </c>
      <c r="G41">
        <v>29</v>
      </c>
      <c r="H41">
        <v>28</v>
      </c>
      <c r="I41">
        <v>26</v>
      </c>
      <c r="J41">
        <v>26</v>
      </c>
      <c r="K41">
        <v>29</v>
      </c>
      <c r="L41">
        <v>32</v>
      </c>
      <c r="M41">
        <v>37</v>
      </c>
      <c r="N41">
        <v>44</v>
      </c>
      <c r="O41">
        <v>48</v>
      </c>
      <c r="P41">
        <v>51</v>
      </c>
      <c r="Q41">
        <v>53</v>
      </c>
      <c r="R41">
        <v>54</v>
      </c>
      <c r="S41">
        <v>55</v>
      </c>
      <c r="T41">
        <v>55</v>
      </c>
      <c r="U41">
        <v>51</v>
      </c>
      <c r="V41">
        <v>49</v>
      </c>
    </row>
    <row r="42" spans="1:2" ht="13.2">
      <c r="A42">
        <f t="shared" si="1"/>
        <v>34</v>
      </c>
      <c r="B42" s="11"/>
    </row>
    <row r="43" spans="1:1" ht="13.2">
      <c r="A43">
        <f t="shared" si="2" ref="A43:A58">+A42+1</f>
        <v>35</v>
      </c>
    </row>
    <row r="44" spans="1:21" ht="28.8" customHeight="1">
      <c r="A44">
        <f t="shared" si="2"/>
        <v>36</v>
      </c>
      <c r="B44" s="10" t="s">
        <v>28</v>
      </c>
      <c r="C44" s="10" t="s">
        <v>49</v>
      </c>
      <c r="D44" s="10" t="s">
        <v>50</v>
      </c>
      <c r="E44" s="10" t="s">
        <v>51</v>
      </c>
      <c r="F44" s="10" t="s">
        <v>52</v>
      </c>
      <c r="G44" s="59" t="s">
        <v>53</v>
      </c>
      <c r="H44" s="54" t="s">
        <v>99</v>
      </c>
      <c r="I44" s="54" t="s">
        <v>60</v>
      </c>
      <c r="J44" s="54" t="s">
        <v>61</v>
      </c>
      <c r="K44" s="10" t="s">
        <v>110</v>
      </c>
      <c r="L44" s="10" t="s">
        <v>62</v>
      </c>
      <c r="M44" s="77" t="s">
        <v>118</v>
      </c>
      <c r="N44" s="78" t="s">
        <v>90</v>
      </c>
      <c r="O44" s="79" t="s">
        <v>119</v>
      </c>
      <c r="P44" s="79" t="s">
        <v>104</v>
      </c>
      <c r="Q44" s="27" t="s">
        <v>63</v>
      </c>
      <c r="R44" s="27" t="s">
        <v>64</v>
      </c>
      <c r="S44" s="27" t="s">
        <v>65</v>
      </c>
      <c r="T44" s="27" t="s">
        <v>91</v>
      </c>
      <c r="U44" s="41" t="s">
        <v>112</v>
      </c>
    </row>
    <row r="45" spans="1:21" ht="13.2">
      <c r="A45">
        <f t="shared" si="2"/>
        <v>37</v>
      </c>
      <c r="B45" s="11">
        <f>+B11</f>
        <v>43831</v>
      </c>
      <c r="C45">
        <v>53</v>
      </c>
      <c r="D45">
        <v>53</v>
      </c>
      <c r="E45">
        <v>52</v>
      </c>
      <c r="F45">
        <v>51</v>
      </c>
      <c r="G45" s="12">
        <f t="shared" si="3" ref="G45:G75">ROUND(AVERAGE(C11:V11,C45:F45),1)</f>
        <v>50</v>
      </c>
      <c r="H45" s="12">
        <f t="shared" si="4" ref="H45:H75">MAX(40-$G45,0)</f>
        <v>0</v>
      </c>
      <c r="I45" s="12">
        <f t="shared" si="5" ref="I45:I75">MAX(45-$G45,0)</f>
        <v>0</v>
      </c>
      <c r="J45" s="12">
        <f t="shared" si="6" ref="J45:J75">MAX(50-$G45,0)</f>
        <v>0</v>
      </c>
      <c r="K45" s="12">
        <f>MAX(55-$G45,0)</f>
        <v>5</v>
      </c>
      <c r="L45" s="12">
        <f t="shared" si="7" ref="L45:L75">MAX(60-$G45,0)</f>
        <v>10</v>
      </c>
      <c r="M45" s="12">
        <f t="shared" si="8" ref="M45:M75">MAX(65-$G45,0)</f>
        <v>15</v>
      </c>
      <c r="N45" s="12">
        <f t="shared" si="9" ref="N45:N75">MAX($G45-50,0)</f>
        <v>0</v>
      </c>
      <c r="O45" s="12">
        <f t="shared" si="10" ref="O45:O75">MAX($G45-55,0)</f>
        <v>0</v>
      </c>
      <c r="P45" s="12">
        <f t="shared" si="11" ref="P45:P75">MAX($G45-60,0)</f>
        <v>0</v>
      </c>
      <c r="Q45" s="12">
        <f t="shared" si="12" ref="Q45:Q75">MAX($G45-65,0)</f>
        <v>0</v>
      </c>
      <c r="R45" s="12">
        <f t="shared" si="13" ref="R45:R75">MAX($G45-70,0)</f>
        <v>0</v>
      </c>
      <c r="S45" s="12">
        <f t="shared" si="14" ref="S45:S75">MAX($G45-75,0)</f>
        <v>0</v>
      </c>
      <c r="T45" s="12">
        <f t="shared" si="15" ref="T45:T75">MAX($G45-80,0)</f>
        <v>0</v>
      </c>
      <c r="U45" s="12">
        <f t="shared" si="16" ref="U45:U75">MAX($G45-85,0)</f>
        <v>0</v>
      </c>
    </row>
    <row r="46" spans="1:21" ht="13.2">
      <c r="A46">
        <f t="shared" si="2"/>
        <v>38</v>
      </c>
      <c r="B46" s="11">
        <f t="shared" si="17" ref="B46:B75">+B12</f>
        <v>43832</v>
      </c>
      <c r="C46">
        <v>55</v>
      </c>
      <c r="D46">
        <v>53</v>
      </c>
      <c r="E46">
        <v>51</v>
      </c>
      <c r="F46">
        <v>50</v>
      </c>
      <c r="G46" s="12">
        <f t="shared" si="3"/>
        <v>55.299999999999997</v>
      </c>
      <c r="H46" s="12">
        <f t="shared" si="4"/>
        <v>0</v>
      </c>
      <c r="I46" s="12">
        <f t="shared" si="5"/>
        <v>0</v>
      </c>
      <c r="J46" s="12">
        <f t="shared" si="6"/>
        <v>0</v>
      </c>
      <c r="K46" s="12">
        <f t="shared" si="18" ref="K46:K75">MAX(55-$G46,0)</f>
        <v>0</v>
      </c>
      <c r="L46" s="12">
        <f t="shared" si="7"/>
        <v>4.7000000000000028</v>
      </c>
      <c r="M46" s="12">
        <f t="shared" si="8"/>
        <v>9.7000000000000028</v>
      </c>
      <c r="N46" s="12">
        <f t="shared" si="9"/>
        <v>5.2999999999999972</v>
      </c>
      <c r="O46" s="12">
        <f t="shared" si="10"/>
        <v>0.29999999999999716</v>
      </c>
      <c r="P46" s="12">
        <f t="shared" si="11"/>
        <v>0</v>
      </c>
      <c r="Q46" s="12">
        <f t="shared" si="12"/>
        <v>0</v>
      </c>
      <c r="R46" s="12">
        <f t="shared" si="13"/>
        <v>0</v>
      </c>
      <c r="S46" s="12">
        <f t="shared" si="14"/>
        <v>0</v>
      </c>
      <c r="T46" s="12">
        <f t="shared" si="15"/>
        <v>0</v>
      </c>
      <c r="U46" s="12">
        <f t="shared" si="16"/>
        <v>0</v>
      </c>
    </row>
    <row r="47" spans="1:21" ht="13.2">
      <c r="A47">
        <f t="shared" si="2"/>
        <v>39</v>
      </c>
      <c r="B47" s="11">
        <f t="shared" si="17"/>
        <v>43833</v>
      </c>
      <c r="C47">
        <v>47</v>
      </c>
      <c r="D47">
        <v>44</v>
      </c>
      <c r="E47">
        <v>42</v>
      </c>
      <c r="F47">
        <v>40</v>
      </c>
      <c r="G47" s="12">
        <f t="shared" si="3"/>
        <v>48.799999999999997</v>
      </c>
      <c r="H47" s="12">
        <f t="shared" si="4"/>
        <v>0</v>
      </c>
      <c r="I47" s="12">
        <f t="shared" si="5"/>
        <v>0</v>
      </c>
      <c r="J47" s="12">
        <f t="shared" si="6"/>
        <v>1.2000000000000028</v>
      </c>
      <c r="K47" s="12">
        <f t="shared" si="18"/>
        <v>6.2000000000000028</v>
      </c>
      <c r="L47" s="12">
        <f t="shared" si="7"/>
        <v>11.200000000000003</v>
      </c>
      <c r="M47" s="12">
        <f t="shared" si="8"/>
        <v>16.200000000000003</v>
      </c>
      <c r="N47" s="12">
        <f t="shared" si="9"/>
        <v>0</v>
      </c>
      <c r="O47" s="12">
        <f t="shared" si="10"/>
        <v>0</v>
      </c>
      <c r="P47" s="12">
        <f t="shared" si="11"/>
        <v>0</v>
      </c>
      <c r="Q47" s="12">
        <f t="shared" si="12"/>
        <v>0</v>
      </c>
      <c r="R47" s="12">
        <f t="shared" si="13"/>
        <v>0</v>
      </c>
      <c r="S47" s="12">
        <f t="shared" si="14"/>
        <v>0</v>
      </c>
      <c r="T47" s="12">
        <f t="shared" si="15"/>
        <v>0</v>
      </c>
      <c r="U47" s="12">
        <f t="shared" si="16"/>
        <v>0</v>
      </c>
    </row>
    <row r="48" spans="1:21" ht="13.2">
      <c r="A48">
        <f t="shared" si="2"/>
        <v>40</v>
      </c>
      <c r="B48" s="11">
        <f t="shared" si="17"/>
        <v>43834</v>
      </c>
      <c r="C48">
        <v>49</v>
      </c>
      <c r="D48">
        <v>48</v>
      </c>
      <c r="E48">
        <v>46</v>
      </c>
      <c r="F48">
        <v>48</v>
      </c>
      <c r="G48" s="12">
        <f t="shared" si="3"/>
        <v>49.299999999999997</v>
      </c>
      <c r="H48" s="12">
        <f t="shared" si="4"/>
        <v>0</v>
      </c>
      <c r="I48" s="12">
        <f t="shared" si="5"/>
        <v>0</v>
      </c>
      <c r="J48" s="12">
        <f t="shared" si="6"/>
        <v>0.70000000000000284</v>
      </c>
      <c r="K48" s="12">
        <f t="shared" si="18"/>
        <v>5.7000000000000028</v>
      </c>
      <c r="L48" s="12">
        <f t="shared" si="7"/>
        <v>10.700000000000003</v>
      </c>
      <c r="M48" s="12">
        <f t="shared" si="8"/>
        <v>15.700000000000003</v>
      </c>
      <c r="N48" s="12">
        <f t="shared" si="9"/>
        <v>0</v>
      </c>
      <c r="O48" s="12">
        <f t="shared" si="10"/>
        <v>0</v>
      </c>
      <c r="P48" s="12">
        <f t="shared" si="11"/>
        <v>0</v>
      </c>
      <c r="Q48" s="12">
        <f t="shared" si="12"/>
        <v>0</v>
      </c>
      <c r="R48" s="12">
        <f t="shared" si="13"/>
        <v>0</v>
      </c>
      <c r="S48" s="12">
        <f t="shared" si="14"/>
        <v>0</v>
      </c>
      <c r="T48" s="12">
        <f t="shared" si="15"/>
        <v>0</v>
      </c>
      <c r="U48" s="12">
        <f t="shared" si="16"/>
        <v>0</v>
      </c>
    </row>
    <row r="49" spans="1:21" ht="13.2">
      <c r="A49">
        <f t="shared" si="2"/>
        <v>41</v>
      </c>
      <c r="B49" s="11">
        <f t="shared" si="17"/>
        <v>43835</v>
      </c>
      <c r="C49">
        <v>52</v>
      </c>
      <c r="D49">
        <v>50</v>
      </c>
      <c r="E49">
        <v>40</v>
      </c>
      <c r="F49">
        <v>42</v>
      </c>
      <c r="G49" s="12">
        <f t="shared" si="3"/>
        <v>54.299999999999997</v>
      </c>
      <c r="H49" s="12">
        <f t="shared" si="4"/>
        <v>0</v>
      </c>
      <c r="I49" s="12">
        <f t="shared" si="5"/>
        <v>0</v>
      </c>
      <c r="J49" s="12">
        <f t="shared" si="6"/>
        <v>0</v>
      </c>
      <c r="K49" s="12">
        <f t="shared" si="18"/>
        <v>0.70000000000000284</v>
      </c>
      <c r="L49" s="12">
        <f t="shared" si="7"/>
        <v>5.7000000000000028</v>
      </c>
      <c r="M49" s="12">
        <f t="shared" si="8"/>
        <v>10.700000000000003</v>
      </c>
      <c r="N49" s="12">
        <f t="shared" si="9"/>
        <v>4.2999999999999972</v>
      </c>
      <c r="O49" s="12">
        <f t="shared" si="10"/>
        <v>0</v>
      </c>
      <c r="P49" s="12">
        <f t="shared" si="11"/>
        <v>0</v>
      </c>
      <c r="Q49" s="12">
        <f t="shared" si="12"/>
        <v>0</v>
      </c>
      <c r="R49" s="12">
        <f t="shared" si="13"/>
        <v>0</v>
      </c>
      <c r="S49" s="12">
        <f t="shared" si="14"/>
        <v>0</v>
      </c>
      <c r="T49" s="12">
        <f t="shared" si="15"/>
        <v>0</v>
      </c>
      <c r="U49" s="12">
        <f t="shared" si="16"/>
        <v>0</v>
      </c>
    </row>
    <row r="50" spans="1:21" ht="13.2">
      <c r="A50">
        <f t="shared" si="2"/>
        <v>42</v>
      </c>
      <c r="B50" s="11">
        <f t="shared" si="17"/>
        <v>43836</v>
      </c>
      <c r="C50">
        <v>48</v>
      </c>
      <c r="D50">
        <v>46</v>
      </c>
      <c r="E50">
        <v>43</v>
      </c>
      <c r="F50">
        <v>41</v>
      </c>
      <c r="G50" s="12">
        <f t="shared" si="3"/>
        <v>45.700000000000003</v>
      </c>
      <c r="H50" s="12">
        <f t="shared" si="4"/>
        <v>0</v>
      </c>
      <c r="I50" s="12">
        <f t="shared" si="5"/>
        <v>0</v>
      </c>
      <c r="J50" s="12">
        <f t="shared" si="6"/>
        <v>4.2999999999999972</v>
      </c>
      <c r="K50" s="12">
        <f t="shared" si="18"/>
        <v>9.2999999999999972</v>
      </c>
      <c r="L50" s="12">
        <f t="shared" si="7"/>
        <v>14.299999999999997</v>
      </c>
      <c r="M50" s="12">
        <f t="shared" si="8"/>
        <v>19.299999999999997</v>
      </c>
      <c r="N50" s="12">
        <f t="shared" si="9"/>
        <v>0</v>
      </c>
      <c r="O50" s="12">
        <f t="shared" si="10"/>
        <v>0</v>
      </c>
      <c r="P50" s="12">
        <f t="shared" si="11"/>
        <v>0</v>
      </c>
      <c r="Q50" s="12">
        <f t="shared" si="12"/>
        <v>0</v>
      </c>
      <c r="R50" s="12">
        <f t="shared" si="13"/>
        <v>0</v>
      </c>
      <c r="S50" s="12">
        <f t="shared" si="14"/>
        <v>0</v>
      </c>
      <c r="T50" s="12">
        <f t="shared" si="15"/>
        <v>0</v>
      </c>
      <c r="U50" s="12">
        <f t="shared" si="16"/>
        <v>0</v>
      </c>
    </row>
    <row r="51" spans="1:21" ht="13.2">
      <c r="A51">
        <f t="shared" si="2"/>
        <v>43</v>
      </c>
      <c r="B51" s="11">
        <f t="shared" si="17"/>
        <v>43837</v>
      </c>
      <c r="C51">
        <v>46</v>
      </c>
      <c r="D51">
        <v>42</v>
      </c>
      <c r="E51">
        <v>42</v>
      </c>
      <c r="F51">
        <v>42</v>
      </c>
      <c r="G51" s="12">
        <f t="shared" si="3"/>
        <v>44</v>
      </c>
      <c r="H51" s="12">
        <f t="shared" si="4"/>
        <v>0</v>
      </c>
      <c r="I51" s="12">
        <f t="shared" si="5"/>
        <v>1</v>
      </c>
      <c r="J51" s="12">
        <f t="shared" si="6"/>
        <v>6</v>
      </c>
      <c r="K51" s="12">
        <f t="shared" si="18"/>
        <v>11</v>
      </c>
      <c r="L51" s="12">
        <f t="shared" si="7"/>
        <v>16</v>
      </c>
      <c r="M51" s="12">
        <f t="shared" si="8"/>
        <v>21</v>
      </c>
      <c r="N51" s="12">
        <f t="shared" si="9"/>
        <v>0</v>
      </c>
      <c r="O51" s="12">
        <f t="shared" si="10"/>
        <v>0</v>
      </c>
      <c r="P51" s="12">
        <f t="shared" si="11"/>
        <v>0</v>
      </c>
      <c r="Q51" s="12">
        <f t="shared" si="12"/>
        <v>0</v>
      </c>
      <c r="R51" s="12">
        <f t="shared" si="13"/>
        <v>0</v>
      </c>
      <c r="S51" s="12">
        <f t="shared" si="14"/>
        <v>0</v>
      </c>
      <c r="T51" s="12">
        <f t="shared" si="15"/>
        <v>0</v>
      </c>
      <c r="U51" s="12">
        <f t="shared" si="16"/>
        <v>0</v>
      </c>
    </row>
    <row r="52" spans="1:21" ht="13.2">
      <c r="A52">
        <f t="shared" si="2"/>
        <v>44</v>
      </c>
      <c r="B52" s="11">
        <f t="shared" si="17"/>
        <v>43838</v>
      </c>
      <c r="C52">
        <v>60</v>
      </c>
      <c r="D52">
        <v>59</v>
      </c>
      <c r="E52">
        <v>59</v>
      </c>
      <c r="F52">
        <v>58</v>
      </c>
      <c r="G52" s="12">
        <f t="shared" si="3"/>
        <v>52.5</v>
      </c>
      <c r="H52" s="12">
        <f t="shared" si="4"/>
        <v>0</v>
      </c>
      <c r="I52" s="12">
        <f t="shared" si="5"/>
        <v>0</v>
      </c>
      <c r="J52" s="12">
        <f t="shared" si="6"/>
        <v>0</v>
      </c>
      <c r="K52" s="12">
        <f t="shared" si="18"/>
        <v>2.5</v>
      </c>
      <c r="L52" s="12">
        <f t="shared" si="7"/>
        <v>7.5</v>
      </c>
      <c r="M52" s="12">
        <f t="shared" si="8"/>
        <v>12.5</v>
      </c>
      <c r="N52" s="12">
        <f t="shared" si="9"/>
        <v>2.5</v>
      </c>
      <c r="O52" s="12">
        <f t="shared" si="10"/>
        <v>0</v>
      </c>
      <c r="P52" s="12">
        <f t="shared" si="11"/>
        <v>0</v>
      </c>
      <c r="Q52" s="12">
        <f t="shared" si="12"/>
        <v>0</v>
      </c>
      <c r="R52" s="12">
        <f t="shared" si="13"/>
        <v>0</v>
      </c>
      <c r="S52" s="12">
        <f t="shared" si="14"/>
        <v>0</v>
      </c>
      <c r="T52" s="12">
        <f t="shared" si="15"/>
        <v>0</v>
      </c>
      <c r="U52" s="12">
        <f t="shared" si="16"/>
        <v>0</v>
      </c>
    </row>
    <row r="53" spans="1:21" ht="13.2">
      <c r="A53">
        <f t="shared" si="2"/>
        <v>45</v>
      </c>
      <c r="B53" s="11">
        <f t="shared" si="17"/>
        <v>43839</v>
      </c>
      <c r="C53">
        <v>60</v>
      </c>
      <c r="D53">
        <v>60</v>
      </c>
      <c r="E53">
        <v>61</v>
      </c>
      <c r="F53">
        <v>60</v>
      </c>
      <c r="G53" s="12">
        <f t="shared" si="3"/>
        <v>62.799999999999997</v>
      </c>
      <c r="H53" s="12">
        <f t="shared" si="4"/>
        <v>0</v>
      </c>
      <c r="I53" s="12">
        <f t="shared" si="5"/>
        <v>0</v>
      </c>
      <c r="J53" s="12">
        <f t="shared" si="6"/>
        <v>0</v>
      </c>
      <c r="K53" s="12">
        <f t="shared" si="18"/>
        <v>0</v>
      </c>
      <c r="L53" s="12">
        <f t="shared" si="7"/>
        <v>0</v>
      </c>
      <c r="M53" s="12">
        <f t="shared" si="8"/>
        <v>2.2000000000000028</v>
      </c>
      <c r="N53" s="12">
        <f t="shared" si="9"/>
        <v>12.799999999999997</v>
      </c>
      <c r="O53" s="12">
        <f t="shared" si="10"/>
        <v>7.7999999999999972</v>
      </c>
      <c r="P53" s="12">
        <f t="shared" si="11"/>
        <v>2.7999999999999972</v>
      </c>
      <c r="Q53" s="12">
        <f t="shared" si="12"/>
        <v>0</v>
      </c>
      <c r="R53" s="12">
        <f t="shared" si="13"/>
        <v>0</v>
      </c>
      <c r="S53" s="12">
        <f t="shared" si="14"/>
        <v>0</v>
      </c>
      <c r="T53" s="12">
        <f t="shared" si="15"/>
        <v>0</v>
      </c>
      <c r="U53" s="12">
        <f t="shared" si="16"/>
        <v>0</v>
      </c>
    </row>
    <row r="54" spans="1:21" ht="13.2">
      <c r="A54">
        <f t="shared" si="2"/>
        <v>46</v>
      </c>
      <c r="B54" s="11">
        <f t="shared" si="17"/>
        <v>43840</v>
      </c>
      <c r="C54">
        <v>56</v>
      </c>
      <c r="D54">
        <v>48</v>
      </c>
      <c r="E54">
        <v>44</v>
      </c>
      <c r="F54">
        <v>41</v>
      </c>
      <c r="G54" s="12">
        <f t="shared" si="3"/>
        <v>61.5</v>
      </c>
      <c r="H54" s="12">
        <f t="shared" si="4"/>
        <v>0</v>
      </c>
      <c r="I54" s="12">
        <f t="shared" si="5"/>
        <v>0</v>
      </c>
      <c r="J54" s="12">
        <f t="shared" si="6"/>
        <v>0</v>
      </c>
      <c r="K54" s="12">
        <f t="shared" si="18"/>
        <v>0</v>
      </c>
      <c r="L54" s="12">
        <f t="shared" si="7"/>
        <v>0</v>
      </c>
      <c r="M54" s="12">
        <f t="shared" si="8"/>
        <v>3.5</v>
      </c>
      <c r="N54" s="12">
        <f t="shared" si="9"/>
        <v>11.5</v>
      </c>
      <c r="O54" s="12">
        <f t="shared" si="10"/>
        <v>6.5</v>
      </c>
      <c r="P54" s="12">
        <f t="shared" si="11"/>
        <v>1.5</v>
      </c>
      <c r="Q54" s="12">
        <f t="shared" si="12"/>
        <v>0</v>
      </c>
      <c r="R54" s="12">
        <f t="shared" si="13"/>
        <v>0</v>
      </c>
      <c r="S54" s="12">
        <f t="shared" si="14"/>
        <v>0</v>
      </c>
      <c r="T54" s="12">
        <f t="shared" si="15"/>
        <v>0</v>
      </c>
      <c r="U54" s="12">
        <f t="shared" si="16"/>
        <v>0</v>
      </c>
    </row>
    <row r="55" spans="1:21" ht="13.2">
      <c r="A55">
        <f t="shared" si="2"/>
        <v>47</v>
      </c>
      <c r="B55" s="11">
        <f t="shared" si="17"/>
        <v>43841</v>
      </c>
      <c r="C55">
        <v>40</v>
      </c>
      <c r="D55">
        <v>40</v>
      </c>
      <c r="E55">
        <v>41</v>
      </c>
      <c r="F55">
        <v>42</v>
      </c>
      <c r="G55" s="12">
        <f t="shared" si="3"/>
        <v>38.700000000000003</v>
      </c>
      <c r="H55" s="12">
        <f t="shared" si="4"/>
        <v>1.2999999999999972</v>
      </c>
      <c r="I55" s="12">
        <f t="shared" si="5"/>
        <v>6.2999999999999972</v>
      </c>
      <c r="J55" s="12">
        <f t="shared" si="6"/>
        <v>11.299999999999997</v>
      </c>
      <c r="K55" s="12">
        <f t="shared" si="18"/>
        <v>16.299999999999997</v>
      </c>
      <c r="L55" s="12">
        <f t="shared" si="7"/>
        <v>21.299999999999997</v>
      </c>
      <c r="M55" s="12">
        <f t="shared" si="8"/>
        <v>26.299999999999997</v>
      </c>
      <c r="N55" s="12">
        <f t="shared" si="9"/>
        <v>0</v>
      </c>
      <c r="O55" s="12">
        <f t="shared" si="10"/>
        <v>0</v>
      </c>
      <c r="P55" s="12">
        <f t="shared" si="11"/>
        <v>0</v>
      </c>
      <c r="Q55" s="12">
        <f t="shared" si="12"/>
        <v>0</v>
      </c>
      <c r="R55" s="12">
        <f t="shared" si="13"/>
        <v>0</v>
      </c>
      <c r="S55" s="12">
        <f t="shared" si="14"/>
        <v>0</v>
      </c>
      <c r="T55" s="12">
        <f t="shared" si="15"/>
        <v>0</v>
      </c>
      <c r="U55" s="12">
        <f t="shared" si="16"/>
        <v>0</v>
      </c>
    </row>
    <row r="56" spans="1:21" ht="13.2">
      <c r="A56">
        <f t="shared" si="2"/>
        <v>48</v>
      </c>
      <c r="B56" s="11">
        <f t="shared" si="17"/>
        <v>43842</v>
      </c>
      <c r="C56">
        <v>50</v>
      </c>
      <c r="D56">
        <v>50</v>
      </c>
      <c r="E56">
        <v>47</v>
      </c>
      <c r="F56">
        <v>45</v>
      </c>
      <c r="G56" s="12">
        <f t="shared" si="3"/>
        <v>50</v>
      </c>
      <c r="H56" s="12">
        <f t="shared" si="4"/>
        <v>0</v>
      </c>
      <c r="I56" s="12">
        <f t="shared" si="5"/>
        <v>0</v>
      </c>
      <c r="J56" s="12">
        <f t="shared" si="6"/>
        <v>0</v>
      </c>
      <c r="K56" s="12">
        <f t="shared" si="18"/>
        <v>5</v>
      </c>
      <c r="L56" s="12">
        <f t="shared" si="7"/>
        <v>10</v>
      </c>
      <c r="M56" s="12">
        <f t="shared" si="8"/>
        <v>15</v>
      </c>
      <c r="N56" s="12">
        <f t="shared" si="9"/>
        <v>0</v>
      </c>
      <c r="O56" s="12">
        <f t="shared" si="10"/>
        <v>0</v>
      </c>
      <c r="P56" s="12">
        <f t="shared" si="11"/>
        <v>0</v>
      </c>
      <c r="Q56" s="12">
        <f t="shared" si="12"/>
        <v>0</v>
      </c>
      <c r="R56" s="12">
        <f t="shared" si="13"/>
        <v>0</v>
      </c>
      <c r="S56" s="12">
        <f t="shared" si="14"/>
        <v>0</v>
      </c>
      <c r="T56" s="12">
        <f t="shared" si="15"/>
        <v>0</v>
      </c>
      <c r="U56" s="12">
        <f t="shared" si="16"/>
        <v>0</v>
      </c>
    </row>
    <row r="57" spans="1:21" ht="13.2">
      <c r="A57">
        <f t="shared" si="2"/>
        <v>49</v>
      </c>
      <c r="B57" s="11">
        <f t="shared" si="17"/>
        <v>43843</v>
      </c>
      <c r="C57">
        <v>61</v>
      </c>
      <c r="D57">
        <v>60</v>
      </c>
      <c r="E57">
        <v>58</v>
      </c>
      <c r="F57">
        <v>57</v>
      </c>
      <c r="G57" s="12">
        <f t="shared" si="3"/>
        <v>56.200000000000003</v>
      </c>
      <c r="H57" s="12">
        <f t="shared" si="4"/>
        <v>0</v>
      </c>
      <c r="I57" s="12">
        <f t="shared" si="5"/>
        <v>0</v>
      </c>
      <c r="J57" s="12">
        <f t="shared" si="6"/>
        <v>0</v>
      </c>
      <c r="K57" s="12">
        <f t="shared" si="18"/>
        <v>0</v>
      </c>
      <c r="L57" s="12">
        <f t="shared" si="7"/>
        <v>3.7999999999999972</v>
      </c>
      <c r="M57" s="12">
        <f t="shared" si="8"/>
        <v>8.7999999999999972</v>
      </c>
      <c r="N57" s="12">
        <f t="shared" si="9"/>
        <v>6.2000000000000028</v>
      </c>
      <c r="O57" s="12">
        <f t="shared" si="10"/>
        <v>1.2000000000000028</v>
      </c>
      <c r="P57" s="12">
        <f t="shared" si="11"/>
        <v>0</v>
      </c>
      <c r="Q57" s="12">
        <f t="shared" si="12"/>
        <v>0</v>
      </c>
      <c r="R57" s="12">
        <f t="shared" si="13"/>
        <v>0</v>
      </c>
      <c r="S57" s="12">
        <f t="shared" si="14"/>
        <v>0</v>
      </c>
      <c r="T57" s="12">
        <f t="shared" si="15"/>
        <v>0</v>
      </c>
      <c r="U57" s="12">
        <f t="shared" si="16"/>
        <v>0</v>
      </c>
    </row>
    <row r="58" spans="1:21" ht="13.2">
      <c r="A58" s="18">
        <f t="shared" si="2"/>
        <v>50</v>
      </c>
      <c r="B58" s="11">
        <f t="shared" si="17"/>
        <v>43844</v>
      </c>
      <c r="C58">
        <v>55</v>
      </c>
      <c r="D58">
        <v>51</v>
      </c>
      <c r="E58">
        <v>52</v>
      </c>
      <c r="F58">
        <v>57</v>
      </c>
      <c r="G58" s="12">
        <f t="shared" si="3"/>
        <v>56.5</v>
      </c>
      <c r="H58" s="12">
        <f t="shared" si="4"/>
        <v>0</v>
      </c>
      <c r="I58" s="12">
        <f t="shared" si="5"/>
        <v>0</v>
      </c>
      <c r="J58" s="12">
        <f t="shared" si="6"/>
        <v>0</v>
      </c>
      <c r="K58" s="12">
        <f t="shared" si="18"/>
        <v>0</v>
      </c>
      <c r="L58" s="12">
        <f t="shared" si="7"/>
        <v>3.5</v>
      </c>
      <c r="M58" s="12">
        <f t="shared" si="8"/>
        <v>8.5</v>
      </c>
      <c r="N58" s="12">
        <f t="shared" si="9"/>
        <v>6.5</v>
      </c>
      <c r="O58" s="12">
        <f t="shared" si="10"/>
        <v>1.5</v>
      </c>
      <c r="P58" s="12">
        <f t="shared" si="11"/>
        <v>0</v>
      </c>
      <c r="Q58" s="12">
        <f t="shared" si="12"/>
        <v>0</v>
      </c>
      <c r="R58" s="12">
        <f t="shared" si="13"/>
        <v>0</v>
      </c>
      <c r="S58" s="12">
        <f t="shared" si="14"/>
        <v>0</v>
      </c>
      <c r="T58" s="12">
        <f t="shared" si="15"/>
        <v>0</v>
      </c>
      <c r="U58" s="12">
        <f t="shared" si="16"/>
        <v>0</v>
      </c>
    </row>
    <row r="59" spans="1:21" ht="13.2">
      <c r="A59">
        <f t="shared" si="19" ref="A59:A75">+A58+1</f>
        <v>51</v>
      </c>
      <c r="B59" s="11">
        <f t="shared" si="17"/>
        <v>43845</v>
      </c>
      <c r="C59">
        <v>58</v>
      </c>
      <c r="D59">
        <v>55</v>
      </c>
      <c r="E59">
        <v>53</v>
      </c>
      <c r="F59">
        <v>50</v>
      </c>
      <c r="G59" s="12">
        <f t="shared" si="3"/>
        <v>61.5</v>
      </c>
      <c r="H59" s="12">
        <f t="shared" si="4"/>
        <v>0</v>
      </c>
      <c r="I59" s="12">
        <f t="shared" si="5"/>
        <v>0</v>
      </c>
      <c r="J59" s="12">
        <f t="shared" si="6"/>
        <v>0</v>
      </c>
      <c r="K59" s="12">
        <f t="shared" si="18"/>
        <v>0</v>
      </c>
      <c r="L59" s="12">
        <f t="shared" si="7"/>
        <v>0</v>
      </c>
      <c r="M59" s="12">
        <f t="shared" si="8"/>
        <v>3.5</v>
      </c>
      <c r="N59" s="12">
        <f t="shared" si="9"/>
        <v>11.5</v>
      </c>
      <c r="O59" s="12">
        <f t="shared" si="10"/>
        <v>6.5</v>
      </c>
      <c r="P59" s="12">
        <f t="shared" si="11"/>
        <v>1.5</v>
      </c>
      <c r="Q59" s="12">
        <f t="shared" si="12"/>
        <v>0</v>
      </c>
      <c r="R59" s="12">
        <f t="shared" si="13"/>
        <v>0</v>
      </c>
      <c r="S59" s="12">
        <f t="shared" si="14"/>
        <v>0</v>
      </c>
      <c r="T59" s="12">
        <f t="shared" si="15"/>
        <v>0</v>
      </c>
      <c r="U59" s="12">
        <f t="shared" si="16"/>
        <v>0</v>
      </c>
    </row>
    <row r="60" spans="1:21" ht="13.2">
      <c r="A60">
        <f t="shared" si="19"/>
        <v>52</v>
      </c>
      <c r="B60" s="11">
        <f t="shared" si="17"/>
        <v>43846</v>
      </c>
      <c r="C60">
        <v>36</v>
      </c>
      <c r="D60">
        <v>34</v>
      </c>
      <c r="E60">
        <v>35</v>
      </c>
      <c r="F60">
        <v>38</v>
      </c>
      <c r="G60" s="12">
        <f t="shared" si="3"/>
        <v>40.200000000000003</v>
      </c>
      <c r="H60" s="12">
        <f t="shared" si="4"/>
        <v>0</v>
      </c>
      <c r="I60" s="12">
        <f t="shared" si="5"/>
        <v>4.7999999999999972</v>
      </c>
      <c r="J60" s="12">
        <f t="shared" si="6"/>
        <v>9.7999999999999972</v>
      </c>
      <c r="K60" s="12">
        <f t="shared" si="18"/>
        <v>14.799999999999997</v>
      </c>
      <c r="L60" s="12">
        <f t="shared" si="7"/>
        <v>19.799999999999997</v>
      </c>
      <c r="M60" s="12">
        <f t="shared" si="8"/>
        <v>24.799999999999997</v>
      </c>
      <c r="N60" s="12">
        <f t="shared" si="9"/>
        <v>0</v>
      </c>
      <c r="O60" s="12">
        <f t="shared" si="10"/>
        <v>0</v>
      </c>
      <c r="P60" s="12">
        <f t="shared" si="11"/>
        <v>0</v>
      </c>
      <c r="Q60" s="12">
        <f t="shared" si="12"/>
        <v>0</v>
      </c>
      <c r="R60" s="12">
        <f t="shared" si="13"/>
        <v>0</v>
      </c>
      <c r="S60" s="12">
        <f t="shared" si="14"/>
        <v>0</v>
      </c>
      <c r="T60" s="12">
        <f t="shared" si="15"/>
        <v>0</v>
      </c>
      <c r="U60" s="12">
        <f t="shared" si="16"/>
        <v>0</v>
      </c>
    </row>
    <row r="61" spans="1:21" ht="13.2">
      <c r="A61">
        <f t="shared" si="19"/>
        <v>53</v>
      </c>
      <c r="B61" s="11">
        <f t="shared" si="17"/>
        <v>43847</v>
      </c>
      <c r="C61">
        <v>47</v>
      </c>
      <c r="D61">
        <v>50</v>
      </c>
      <c r="E61">
        <v>49</v>
      </c>
      <c r="F61">
        <v>51</v>
      </c>
      <c r="G61" s="12">
        <f t="shared" si="3"/>
        <v>41.799999999999997</v>
      </c>
      <c r="H61" s="12">
        <f t="shared" si="4"/>
        <v>0</v>
      </c>
      <c r="I61" s="12">
        <f t="shared" si="5"/>
        <v>3.2000000000000028</v>
      </c>
      <c r="J61" s="12">
        <f t="shared" si="6"/>
        <v>8.2000000000000028</v>
      </c>
      <c r="K61" s="12">
        <f t="shared" si="18"/>
        <v>13.200000000000003</v>
      </c>
      <c r="L61" s="12">
        <f t="shared" si="7"/>
        <v>18.200000000000003</v>
      </c>
      <c r="M61" s="12">
        <f t="shared" si="8"/>
        <v>23.200000000000003</v>
      </c>
      <c r="N61" s="12">
        <f t="shared" si="9"/>
        <v>0</v>
      </c>
      <c r="O61" s="12">
        <f t="shared" si="10"/>
        <v>0</v>
      </c>
      <c r="P61" s="12">
        <f t="shared" si="11"/>
        <v>0</v>
      </c>
      <c r="Q61" s="12">
        <f t="shared" si="12"/>
        <v>0</v>
      </c>
      <c r="R61" s="12">
        <f t="shared" si="13"/>
        <v>0</v>
      </c>
      <c r="S61" s="12">
        <f t="shared" si="14"/>
        <v>0</v>
      </c>
      <c r="T61" s="12">
        <f t="shared" si="15"/>
        <v>0</v>
      </c>
      <c r="U61" s="12">
        <f t="shared" si="16"/>
        <v>0</v>
      </c>
    </row>
    <row r="62" spans="1:21" ht="13.2">
      <c r="A62" s="18">
        <f t="shared" si="19"/>
        <v>54</v>
      </c>
      <c r="B62" s="11">
        <f t="shared" si="17"/>
        <v>43848</v>
      </c>
      <c r="C62">
        <v>42</v>
      </c>
      <c r="D62">
        <v>40</v>
      </c>
      <c r="E62">
        <v>39</v>
      </c>
      <c r="F62">
        <v>37</v>
      </c>
      <c r="G62" s="12">
        <f t="shared" si="3"/>
        <v>47.700000000000003</v>
      </c>
      <c r="H62" s="12">
        <f t="shared" si="4"/>
        <v>0</v>
      </c>
      <c r="I62" s="12">
        <f t="shared" si="5"/>
        <v>0</v>
      </c>
      <c r="J62" s="12">
        <f t="shared" si="6"/>
        <v>2.2999999999999972</v>
      </c>
      <c r="K62" s="12">
        <f t="shared" si="18"/>
        <v>7.2999999999999972</v>
      </c>
      <c r="L62" s="12">
        <f t="shared" si="7"/>
        <v>12.299999999999997</v>
      </c>
      <c r="M62" s="12">
        <f t="shared" si="8"/>
        <v>17.299999999999997</v>
      </c>
      <c r="N62" s="12">
        <f t="shared" si="9"/>
        <v>0</v>
      </c>
      <c r="O62" s="12">
        <f t="shared" si="10"/>
        <v>0</v>
      </c>
      <c r="P62" s="12">
        <f t="shared" si="11"/>
        <v>0</v>
      </c>
      <c r="Q62" s="12">
        <f t="shared" si="12"/>
        <v>0</v>
      </c>
      <c r="R62" s="12">
        <f t="shared" si="13"/>
        <v>0</v>
      </c>
      <c r="S62" s="12">
        <f t="shared" si="14"/>
        <v>0</v>
      </c>
      <c r="T62" s="12">
        <f t="shared" si="15"/>
        <v>0</v>
      </c>
      <c r="U62" s="12">
        <f t="shared" si="16"/>
        <v>0</v>
      </c>
    </row>
    <row r="63" spans="1:21" ht="13.2">
      <c r="A63">
        <f t="shared" si="19"/>
        <v>55</v>
      </c>
      <c r="B63" s="11">
        <f t="shared" si="17"/>
        <v>43849</v>
      </c>
      <c r="C63">
        <v>43</v>
      </c>
      <c r="D63">
        <v>39</v>
      </c>
      <c r="E63">
        <v>37</v>
      </c>
      <c r="F63">
        <v>35</v>
      </c>
      <c r="G63" s="12">
        <f t="shared" si="3"/>
        <v>39.5</v>
      </c>
      <c r="H63" s="12">
        <f t="shared" si="4"/>
        <v>0.5</v>
      </c>
      <c r="I63" s="12">
        <f t="shared" si="5"/>
        <v>5.5</v>
      </c>
      <c r="J63" s="12">
        <f t="shared" si="6"/>
        <v>10.5</v>
      </c>
      <c r="K63" s="12">
        <f t="shared" si="18"/>
        <v>15.5</v>
      </c>
      <c r="L63" s="12">
        <f t="shared" si="7"/>
        <v>20.5</v>
      </c>
      <c r="M63" s="12">
        <f t="shared" si="8"/>
        <v>25.5</v>
      </c>
      <c r="N63" s="12">
        <f t="shared" si="9"/>
        <v>0</v>
      </c>
      <c r="O63" s="12">
        <f t="shared" si="10"/>
        <v>0</v>
      </c>
      <c r="P63" s="12">
        <f t="shared" si="11"/>
        <v>0</v>
      </c>
      <c r="Q63" s="12">
        <f t="shared" si="12"/>
        <v>0</v>
      </c>
      <c r="R63" s="12">
        <f t="shared" si="13"/>
        <v>0</v>
      </c>
      <c r="S63" s="12">
        <f t="shared" si="14"/>
        <v>0</v>
      </c>
      <c r="T63" s="12">
        <f t="shared" si="15"/>
        <v>0</v>
      </c>
      <c r="U63" s="12">
        <f t="shared" si="16"/>
        <v>0</v>
      </c>
    </row>
    <row r="64" spans="1:21" ht="13.2">
      <c r="A64">
        <f t="shared" si="19"/>
        <v>56</v>
      </c>
      <c r="B64" s="11">
        <f t="shared" si="17"/>
        <v>43850</v>
      </c>
      <c r="C64">
        <v>46</v>
      </c>
      <c r="D64">
        <v>44</v>
      </c>
      <c r="E64">
        <v>44</v>
      </c>
      <c r="F64">
        <v>44</v>
      </c>
      <c r="G64" s="12">
        <f t="shared" si="3"/>
        <v>44</v>
      </c>
      <c r="H64" s="12">
        <f t="shared" si="4"/>
        <v>0</v>
      </c>
      <c r="I64" s="12">
        <f t="shared" si="5"/>
        <v>1</v>
      </c>
      <c r="J64" s="12">
        <f t="shared" si="6"/>
        <v>6</v>
      </c>
      <c r="K64" s="12">
        <f t="shared" si="18"/>
        <v>11</v>
      </c>
      <c r="L64" s="12">
        <f t="shared" si="7"/>
        <v>16</v>
      </c>
      <c r="M64" s="12">
        <f t="shared" si="8"/>
        <v>21</v>
      </c>
      <c r="N64" s="12">
        <f t="shared" si="9"/>
        <v>0</v>
      </c>
      <c r="O64" s="12">
        <f t="shared" si="10"/>
        <v>0</v>
      </c>
      <c r="P64" s="12">
        <f t="shared" si="11"/>
        <v>0</v>
      </c>
      <c r="Q64" s="12">
        <f t="shared" si="12"/>
        <v>0</v>
      </c>
      <c r="R64" s="12">
        <f t="shared" si="13"/>
        <v>0</v>
      </c>
      <c r="S64" s="12">
        <f t="shared" si="14"/>
        <v>0</v>
      </c>
      <c r="T64" s="12">
        <f t="shared" si="15"/>
        <v>0</v>
      </c>
      <c r="U64" s="12">
        <f t="shared" si="16"/>
        <v>0</v>
      </c>
    </row>
    <row r="65" spans="1:21" ht="13.2">
      <c r="A65">
        <f t="shared" si="19"/>
        <v>57</v>
      </c>
      <c r="B65" s="11">
        <f t="shared" si="17"/>
        <v>43851</v>
      </c>
      <c r="C65">
        <v>49</v>
      </c>
      <c r="D65">
        <v>46</v>
      </c>
      <c r="E65">
        <v>45</v>
      </c>
      <c r="F65">
        <v>45</v>
      </c>
      <c r="G65" s="12">
        <f t="shared" si="3"/>
        <v>48.100000000000001</v>
      </c>
      <c r="H65" s="12">
        <f t="shared" si="4"/>
        <v>0</v>
      </c>
      <c r="I65" s="12">
        <f t="shared" si="5"/>
        <v>0</v>
      </c>
      <c r="J65" s="12">
        <f t="shared" si="6"/>
        <v>1.8999999999999986</v>
      </c>
      <c r="K65" s="12">
        <f t="shared" si="18"/>
        <v>6.8999999999999986</v>
      </c>
      <c r="L65" s="12">
        <f t="shared" si="7"/>
        <v>11.899999999999999</v>
      </c>
      <c r="M65" s="12">
        <f t="shared" si="8"/>
        <v>16.899999999999999</v>
      </c>
      <c r="N65" s="12">
        <f t="shared" si="9"/>
        <v>0</v>
      </c>
      <c r="O65" s="12">
        <f t="shared" si="10"/>
        <v>0</v>
      </c>
      <c r="P65" s="12">
        <f t="shared" si="11"/>
        <v>0</v>
      </c>
      <c r="Q65" s="12">
        <f t="shared" si="12"/>
        <v>0</v>
      </c>
      <c r="R65" s="12">
        <f t="shared" si="13"/>
        <v>0</v>
      </c>
      <c r="S65" s="12">
        <f t="shared" si="14"/>
        <v>0</v>
      </c>
      <c r="T65" s="12">
        <f t="shared" si="15"/>
        <v>0</v>
      </c>
      <c r="U65" s="12">
        <f t="shared" si="16"/>
        <v>0</v>
      </c>
    </row>
    <row r="66" spans="1:21" ht="13.2">
      <c r="A66">
        <f t="shared" si="19"/>
        <v>58</v>
      </c>
      <c r="B66" s="11">
        <f t="shared" si="17"/>
        <v>43852</v>
      </c>
      <c r="C66">
        <v>56</v>
      </c>
      <c r="D66">
        <v>53</v>
      </c>
      <c r="E66">
        <v>53</v>
      </c>
      <c r="F66">
        <v>50</v>
      </c>
      <c r="G66" s="12">
        <f t="shared" si="3"/>
        <v>53.5</v>
      </c>
      <c r="H66" s="12">
        <f t="shared" si="4"/>
        <v>0</v>
      </c>
      <c r="I66" s="12">
        <f t="shared" si="5"/>
        <v>0</v>
      </c>
      <c r="J66" s="12">
        <f t="shared" si="6"/>
        <v>0</v>
      </c>
      <c r="K66" s="12">
        <f t="shared" si="18"/>
        <v>1.5</v>
      </c>
      <c r="L66" s="12">
        <f t="shared" si="7"/>
        <v>6.5</v>
      </c>
      <c r="M66" s="12">
        <f t="shared" si="8"/>
        <v>11.5</v>
      </c>
      <c r="N66" s="12">
        <f t="shared" si="9"/>
        <v>3.5</v>
      </c>
      <c r="O66" s="12">
        <f t="shared" si="10"/>
        <v>0</v>
      </c>
      <c r="P66" s="12">
        <f t="shared" si="11"/>
        <v>0</v>
      </c>
      <c r="Q66" s="12">
        <f t="shared" si="12"/>
        <v>0</v>
      </c>
      <c r="R66" s="12">
        <f t="shared" si="13"/>
        <v>0</v>
      </c>
      <c r="S66" s="12">
        <f t="shared" si="14"/>
        <v>0</v>
      </c>
      <c r="T66" s="12">
        <f t="shared" si="15"/>
        <v>0</v>
      </c>
      <c r="U66" s="12">
        <f t="shared" si="16"/>
        <v>0</v>
      </c>
    </row>
    <row r="67" spans="1:21" ht="13.2">
      <c r="A67">
        <f t="shared" si="19"/>
        <v>59</v>
      </c>
      <c r="B67" s="11">
        <f t="shared" si="17"/>
        <v>43853</v>
      </c>
      <c r="C67">
        <v>47</v>
      </c>
      <c r="D67">
        <v>44</v>
      </c>
      <c r="E67">
        <v>38</v>
      </c>
      <c r="F67">
        <v>38</v>
      </c>
      <c r="G67" s="12">
        <f t="shared" si="3"/>
        <v>47.299999999999997</v>
      </c>
      <c r="H67" s="12">
        <f t="shared" si="4"/>
        <v>0</v>
      </c>
      <c r="I67" s="12">
        <f t="shared" si="5"/>
        <v>0</v>
      </c>
      <c r="J67" s="12">
        <f t="shared" si="6"/>
        <v>2.7000000000000028</v>
      </c>
      <c r="K67" s="12">
        <f t="shared" si="18"/>
        <v>7.7000000000000028</v>
      </c>
      <c r="L67" s="12">
        <f t="shared" si="7"/>
        <v>12.700000000000003</v>
      </c>
      <c r="M67" s="12">
        <f t="shared" si="8"/>
        <v>17.700000000000003</v>
      </c>
      <c r="N67" s="12">
        <f t="shared" si="9"/>
        <v>0</v>
      </c>
      <c r="O67" s="12">
        <f t="shared" si="10"/>
        <v>0</v>
      </c>
      <c r="P67" s="12">
        <f t="shared" si="11"/>
        <v>0</v>
      </c>
      <c r="Q67" s="12">
        <f t="shared" si="12"/>
        <v>0</v>
      </c>
      <c r="R67" s="12">
        <f t="shared" si="13"/>
        <v>0</v>
      </c>
      <c r="S67" s="12">
        <f t="shared" si="14"/>
        <v>0</v>
      </c>
      <c r="T67" s="12">
        <f t="shared" si="15"/>
        <v>0</v>
      </c>
      <c r="U67" s="12">
        <f t="shared" si="16"/>
        <v>0</v>
      </c>
    </row>
    <row r="68" spans="1:21" ht="13.2">
      <c r="A68">
        <f t="shared" si="19"/>
        <v>60</v>
      </c>
      <c r="B68" s="11">
        <f t="shared" si="17"/>
        <v>43854</v>
      </c>
      <c r="C68">
        <v>50</v>
      </c>
      <c r="D68">
        <v>47</v>
      </c>
      <c r="E68">
        <v>45</v>
      </c>
      <c r="F68">
        <v>46</v>
      </c>
      <c r="G68" s="12">
        <f t="shared" si="3"/>
        <v>46.100000000000001</v>
      </c>
      <c r="H68" s="12">
        <f t="shared" si="4"/>
        <v>0</v>
      </c>
      <c r="I68" s="12">
        <f t="shared" si="5"/>
        <v>0</v>
      </c>
      <c r="J68" s="12">
        <f t="shared" si="6"/>
        <v>3.8999999999999986</v>
      </c>
      <c r="K68" s="12">
        <f t="shared" si="18"/>
        <v>8.8999999999999986</v>
      </c>
      <c r="L68" s="12">
        <f t="shared" si="7"/>
        <v>13.899999999999999</v>
      </c>
      <c r="M68" s="12">
        <f t="shared" si="8"/>
        <v>18.899999999999999</v>
      </c>
      <c r="N68" s="12">
        <f t="shared" si="9"/>
        <v>0</v>
      </c>
      <c r="O68" s="12">
        <f t="shared" si="10"/>
        <v>0</v>
      </c>
      <c r="P68" s="12">
        <f t="shared" si="11"/>
        <v>0</v>
      </c>
      <c r="Q68" s="12">
        <f t="shared" si="12"/>
        <v>0</v>
      </c>
      <c r="R68" s="12">
        <f t="shared" si="13"/>
        <v>0</v>
      </c>
      <c r="S68" s="12">
        <f t="shared" si="14"/>
        <v>0</v>
      </c>
      <c r="T68" s="12">
        <f t="shared" si="15"/>
        <v>0</v>
      </c>
      <c r="U68" s="12">
        <f t="shared" si="16"/>
        <v>0</v>
      </c>
    </row>
    <row r="69" spans="1:21" ht="13.2">
      <c r="A69">
        <f t="shared" si="19"/>
        <v>61</v>
      </c>
      <c r="B69" s="11">
        <f t="shared" si="17"/>
        <v>43855</v>
      </c>
      <c r="C69">
        <v>59</v>
      </c>
      <c r="D69">
        <v>57</v>
      </c>
      <c r="E69">
        <v>56</v>
      </c>
      <c r="F69">
        <v>54</v>
      </c>
      <c r="G69" s="12">
        <f t="shared" si="3"/>
        <v>53.700000000000003</v>
      </c>
      <c r="H69" s="12">
        <f t="shared" si="4"/>
        <v>0</v>
      </c>
      <c r="I69" s="12">
        <f t="shared" si="5"/>
        <v>0</v>
      </c>
      <c r="J69" s="12">
        <f t="shared" si="6"/>
        <v>0</v>
      </c>
      <c r="K69" s="12">
        <f t="shared" si="18"/>
        <v>1.2999999999999972</v>
      </c>
      <c r="L69" s="12">
        <f t="shared" si="7"/>
        <v>6.2999999999999972</v>
      </c>
      <c r="M69" s="12">
        <f t="shared" si="8"/>
        <v>11.299999999999997</v>
      </c>
      <c r="N69" s="12">
        <f t="shared" si="9"/>
        <v>3.7000000000000028</v>
      </c>
      <c r="O69" s="12">
        <f t="shared" si="10"/>
        <v>0</v>
      </c>
      <c r="P69" s="12">
        <f t="shared" si="11"/>
        <v>0</v>
      </c>
      <c r="Q69" s="12">
        <f t="shared" si="12"/>
        <v>0</v>
      </c>
      <c r="R69" s="12">
        <f t="shared" si="13"/>
        <v>0</v>
      </c>
      <c r="S69" s="12">
        <f t="shared" si="14"/>
        <v>0</v>
      </c>
      <c r="T69" s="12">
        <f t="shared" si="15"/>
        <v>0</v>
      </c>
      <c r="U69" s="12">
        <f t="shared" si="16"/>
        <v>0</v>
      </c>
    </row>
    <row r="70" spans="1:21" ht="13.2">
      <c r="A70">
        <f t="shared" si="19"/>
        <v>62</v>
      </c>
      <c r="B70" s="11">
        <f t="shared" si="17"/>
        <v>43856</v>
      </c>
      <c r="C70">
        <v>58</v>
      </c>
      <c r="D70">
        <v>56</v>
      </c>
      <c r="E70">
        <v>48</v>
      </c>
      <c r="F70">
        <v>44</v>
      </c>
      <c r="G70" s="12">
        <f t="shared" si="3"/>
        <v>52.899999999999999</v>
      </c>
      <c r="H70" s="12">
        <f t="shared" si="4"/>
        <v>0</v>
      </c>
      <c r="I70" s="12">
        <f t="shared" si="5"/>
        <v>0</v>
      </c>
      <c r="J70" s="12">
        <f t="shared" si="6"/>
        <v>0</v>
      </c>
      <c r="K70" s="12">
        <f t="shared" si="18"/>
        <v>2.1000000000000014</v>
      </c>
      <c r="L70" s="12">
        <f t="shared" si="7"/>
        <v>7.1000000000000014</v>
      </c>
      <c r="M70" s="12">
        <f t="shared" si="8"/>
        <v>12.100000000000001</v>
      </c>
      <c r="N70" s="12">
        <f t="shared" si="9"/>
        <v>2.8999999999999986</v>
      </c>
      <c r="O70" s="12">
        <f t="shared" si="10"/>
        <v>0</v>
      </c>
      <c r="P70" s="12">
        <f t="shared" si="11"/>
        <v>0</v>
      </c>
      <c r="Q70" s="12">
        <f t="shared" si="12"/>
        <v>0</v>
      </c>
      <c r="R70" s="12">
        <f t="shared" si="13"/>
        <v>0</v>
      </c>
      <c r="S70" s="12">
        <f t="shared" si="14"/>
        <v>0</v>
      </c>
      <c r="T70" s="12">
        <f t="shared" si="15"/>
        <v>0</v>
      </c>
      <c r="U70" s="12">
        <f t="shared" si="16"/>
        <v>0</v>
      </c>
    </row>
    <row r="71" spans="1:21" ht="13.2">
      <c r="A71">
        <f t="shared" si="19"/>
        <v>63</v>
      </c>
      <c r="B71" s="11">
        <f t="shared" si="17"/>
        <v>43857</v>
      </c>
      <c r="C71">
        <v>60</v>
      </c>
      <c r="D71">
        <v>59</v>
      </c>
      <c r="E71">
        <v>68</v>
      </c>
      <c r="F71">
        <v>62</v>
      </c>
      <c r="G71" s="12">
        <f t="shared" si="3"/>
        <v>58.100000000000001</v>
      </c>
      <c r="H71" s="12">
        <f t="shared" si="4"/>
        <v>0</v>
      </c>
      <c r="I71" s="12">
        <f t="shared" si="5"/>
        <v>0</v>
      </c>
      <c r="J71" s="12">
        <f t="shared" si="6"/>
        <v>0</v>
      </c>
      <c r="K71" s="12">
        <f t="shared" si="18"/>
        <v>0</v>
      </c>
      <c r="L71" s="12">
        <f t="shared" si="7"/>
        <v>1.8999999999999986</v>
      </c>
      <c r="M71" s="12">
        <f t="shared" si="8"/>
        <v>6.8999999999999986</v>
      </c>
      <c r="N71" s="12">
        <f t="shared" si="9"/>
        <v>8.1000000000000014</v>
      </c>
      <c r="O71" s="12">
        <f t="shared" si="10"/>
        <v>3.1000000000000014</v>
      </c>
      <c r="P71" s="12">
        <f t="shared" si="11"/>
        <v>0</v>
      </c>
      <c r="Q71" s="12">
        <f t="shared" si="12"/>
        <v>0</v>
      </c>
      <c r="R71" s="12">
        <f t="shared" si="13"/>
        <v>0</v>
      </c>
      <c r="S71" s="12">
        <f t="shared" si="14"/>
        <v>0</v>
      </c>
      <c r="T71" s="12">
        <f t="shared" si="15"/>
        <v>0</v>
      </c>
      <c r="U71" s="12">
        <f t="shared" si="16"/>
        <v>0</v>
      </c>
    </row>
    <row r="72" spans="1:21" ht="13.2">
      <c r="A72">
        <f t="shared" si="19"/>
        <v>64</v>
      </c>
      <c r="B72" s="11">
        <f t="shared" si="17"/>
        <v>43858</v>
      </c>
      <c r="C72">
        <v>44</v>
      </c>
      <c r="D72">
        <v>45</v>
      </c>
      <c r="E72">
        <v>43</v>
      </c>
      <c r="F72">
        <v>41</v>
      </c>
      <c r="G72" s="12">
        <f t="shared" si="3"/>
        <v>48.700000000000003</v>
      </c>
      <c r="H72" s="12">
        <f t="shared" si="4"/>
        <v>0</v>
      </c>
      <c r="I72" s="12">
        <f t="shared" si="5"/>
        <v>0</v>
      </c>
      <c r="J72" s="12">
        <f t="shared" si="6"/>
        <v>1.2999999999999972</v>
      </c>
      <c r="K72" s="12">
        <f t="shared" si="18"/>
        <v>6.2999999999999972</v>
      </c>
      <c r="L72" s="12">
        <f t="shared" si="7"/>
        <v>11.299999999999997</v>
      </c>
      <c r="M72" s="12">
        <f t="shared" si="8"/>
        <v>16.299999999999997</v>
      </c>
      <c r="N72" s="12">
        <f t="shared" si="9"/>
        <v>0</v>
      </c>
      <c r="O72" s="12">
        <f t="shared" si="10"/>
        <v>0</v>
      </c>
      <c r="P72" s="12">
        <f t="shared" si="11"/>
        <v>0</v>
      </c>
      <c r="Q72" s="12">
        <f t="shared" si="12"/>
        <v>0</v>
      </c>
      <c r="R72" s="12">
        <f t="shared" si="13"/>
        <v>0</v>
      </c>
      <c r="S72" s="12">
        <f t="shared" si="14"/>
        <v>0</v>
      </c>
      <c r="T72" s="12">
        <f t="shared" si="15"/>
        <v>0</v>
      </c>
      <c r="U72" s="12">
        <f t="shared" si="16"/>
        <v>0</v>
      </c>
    </row>
    <row r="73" spans="1:21" ht="13.2">
      <c r="A73">
        <f t="shared" si="19"/>
        <v>65</v>
      </c>
      <c r="B73" s="11">
        <f t="shared" si="17"/>
        <v>43859</v>
      </c>
      <c r="C73">
        <v>38</v>
      </c>
      <c r="D73">
        <v>35</v>
      </c>
      <c r="E73">
        <v>37</v>
      </c>
      <c r="F73">
        <v>37</v>
      </c>
      <c r="G73" s="12">
        <f t="shared" si="3"/>
        <v>40.799999999999997</v>
      </c>
      <c r="H73" s="12">
        <f t="shared" si="4"/>
        <v>0</v>
      </c>
      <c r="I73" s="12">
        <f t="shared" si="5"/>
        <v>4.2000000000000028</v>
      </c>
      <c r="J73" s="12">
        <f t="shared" si="6"/>
        <v>9.2000000000000028</v>
      </c>
      <c r="K73" s="12">
        <f t="shared" si="18"/>
        <v>14.200000000000003</v>
      </c>
      <c r="L73" s="12">
        <f t="shared" si="7"/>
        <v>19.200000000000003</v>
      </c>
      <c r="M73" s="12">
        <f t="shared" si="8"/>
        <v>24.200000000000003</v>
      </c>
      <c r="N73" s="12">
        <f t="shared" si="9"/>
        <v>0</v>
      </c>
      <c r="O73" s="12">
        <f t="shared" si="10"/>
        <v>0</v>
      </c>
      <c r="P73" s="12">
        <f t="shared" si="11"/>
        <v>0</v>
      </c>
      <c r="Q73" s="12">
        <f t="shared" si="12"/>
        <v>0</v>
      </c>
      <c r="R73" s="12">
        <f t="shared" si="13"/>
        <v>0</v>
      </c>
      <c r="S73" s="12">
        <f t="shared" si="14"/>
        <v>0</v>
      </c>
      <c r="T73" s="12">
        <f t="shared" si="15"/>
        <v>0</v>
      </c>
      <c r="U73" s="12">
        <f t="shared" si="16"/>
        <v>0</v>
      </c>
    </row>
    <row r="74" spans="1:21" ht="13.2">
      <c r="A74">
        <f t="shared" si="19"/>
        <v>66</v>
      </c>
      <c r="B74" s="11">
        <f t="shared" si="17"/>
        <v>43860</v>
      </c>
      <c r="C74">
        <v>35</v>
      </c>
      <c r="D74">
        <v>34</v>
      </c>
      <c r="E74">
        <v>30</v>
      </c>
      <c r="F74">
        <v>29</v>
      </c>
      <c r="G74" s="12">
        <f t="shared" si="3"/>
        <v>36.700000000000003</v>
      </c>
      <c r="H74" s="12">
        <f t="shared" si="4"/>
        <v>3.2999999999999972</v>
      </c>
      <c r="I74" s="12">
        <f t="shared" si="5"/>
        <v>8.2999999999999972</v>
      </c>
      <c r="J74" s="12">
        <f t="shared" si="6"/>
        <v>13.299999999999997</v>
      </c>
      <c r="K74" s="12">
        <f t="shared" si="18"/>
        <v>18.299999999999997</v>
      </c>
      <c r="L74" s="12">
        <f t="shared" si="7"/>
        <v>23.299999999999997</v>
      </c>
      <c r="M74" s="12">
        <f t="shared" si="8"/>
        <v>28.299999999999997</v>
      </c>
      <c r="N74" s="12">
        <f t="shared" si="9"/>
        <v>0</v>
      </c>
      <c r="O74" s="12">
        <f t="shared" si="10"/>
        <v>0</v>
      </c>
      <c r="P74" s="12">
        <f t="shared" si="11"/>
        <v>0</v>
      </c>
      <c r="Q74" s="12">
        <f t="shared" si="12"/>
        <v>0</v>
      </c>
      <c r="R74" s="12">
        <f t="shared" si="13"/>
        <v>0</v>
      </c>
      <c r="S74" s="12">
        <f t="shared" si="14"/>
        <v>0</v>
      </c>
      <c r="T74" s="12">
        <f t="shared" si="15"/>
        <v>0</v>
      </c>
      <c r="U74" s="12">
        <f t="shared" si="16"/>
        <v>0</v>
      </c>
    </row>
    <row r="75" spans="1:21" ht="13.2">
      <c r="A75">
        <f t="shared" si="19"/>
        <v>67</v>
      </c>
      <c r="B75" s="11">
        <f t="shared" si="17"/>
        <v>43861</v>
      </c>
      <c r="C75">
        <v>45</v>
      </c>
      <c r="D75">
        <v>40</v>
      </c>
      <c r="E75">
        <v>37</v>
      </c>
      <c r="F75">
        <v>37</v>
      </c>
      <c r="G75" s="12">
        <f t="shared" si="3"/>
        <v>39.200000000000003</v>
      </c>
      <c r="H75" s="12">
        <f t="shared" si="4"/>
        <v>0.79999999999999716</v>
      </c>
      <c r="I75" s="12">
        <f t="shared" si="5"/>
        <v>5.7999999999999972</v>
      </c>
      <c r="J75" s="12">
        <f t="shared" si="6"/>
        <v>10.799999999999997</v>
      </c>
      <c r="K75" s="12">
        <f t="shared" si="18"/>
        <v>15.799999999999997</v>
      </c>
      <c r="L75" s="12">
        <f t="shared" si="7"/>
        <v>20.799999999999997</v>
      </c>
      <c r="M75" s="12">
        <f t="shared" si="8"/>
        <v>25.799999999999997</v>
      </c>
      <c r="N75" s="12">
        <f t="shared" si="9"/>
        <v>0</v>
      </c>
      <c r="O75" s="12">
        <f t="shared" si="10"/>
        <v>0</v>
      </c>
      <c r="P75" s="12">
        <f t="shared" si="11"/>
        <v>0</v>
      </c>
      <c r="Q75" s="12">
        <f t="shared" si="12"/>
        <v>0</v>
      </c>
      <c r="R75" s="12">
        <f t="shared" si="13"/>
        <v>0</v>
      </c>
      <c r="S75" s="12">
        <f t="shared" si="14"/>
        <v>0</v>
      </c>
      <c r="T75" s="12">
        <f t="shared" si="15"/>
        <v>0</v>
      </c>
      <c r="U75" s="12">
        <f t="shared" si="16"/>
        <v>0</v>
      </c>
    </row>
    <row r="76" spans="7:19" ht="13.2"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</row>
    <row r="77" spans="7:21" ht="13.2">
      <c r="G77" s="16" t="s">
        <v>54</v>
      </c>
      <c r="H77" s="20">
        <f>SUM(H45:H75)</f>
        <v>5.8999999999999915</v>
      </c>
      <c r="I77" s="20">
        <f t="shared" si="20" ref="I77:L77">SUM(I45:I75)</f>
        <v>40.099999999999994</v>
      </c>
      <c r="J77" s="20">
        <f t="shared" si="20"/>
        <v>103.40000000000001</v>
      </c>
      <c r="K77" s="20">
        <f t="shared" si="20"/>
        <v>206.5</v>
      </c>
      <c r="L77" s="20">
        <f t="shared" si="20"/>
        <v>340.40000000000003</v>
      </c>
      <c r="M77" s="20">
        <f t="shared" si="21" ref="M77">SUM(M45:M75)</f>
        <v>489.60000000000002</v>
      </c>
      <c r="N77" s="20">
        <f>SUM(N45:N75)</f>
        <v>78.799999999999983</v>
      </c>
      <c r="O77" s="20">
        <f t="shared" si="22" ref="O77:P77">SUM(O45:O75)</f>
        <v>26.899999999999999</v>
      </c>
      <c r="P77" s="20">
        <f t="shared" si="22"/>
        <v>5.7999999999999972</v>
      </c>
      <c r="Q77" s="20">
        <f>SUM(Q45:Q75)</f>
        <v>0</v>
      </c>
      <c r="R77" s="20">
        <f>SUM(R45:R75)</f>
        <v>0</v>
      </c>
      <c r="S77" s="20">
        <f>SUM(S45:S75)</f>
        <v>0</v>
      </c>
      <c r="T77" s="20">
        <f>SUM(T45:T75)</f>
        <v>0</v>
      </c>
      <c r="U77" s="20">
        <f t="shared" si="23" ref="U77">SUM(U45:U75)</f>
        <v>0</v>
      </c>
    </row>
  </sheetData>
  <mergeCells count="6">
    <mergeCell ref="B9:T9"/>
    <mergeCell ref="B1:T1"/>
    <mergeCell ref="B2:T2"/>
    <mergeCell ref="B3:T3"/>
    <mergeCell ref="B4:T4"/>
    <mergeCell ref="B6:T6"/>
  </mergeCells>
  <pageMargins left="0.75" right="0.75" top="1" bottom="1" header="0.5" footer="0.5"/>
  <pageSetup orientation="portrait" scale="59" r:id="rId1"/>
  <headerFooter alignWithMargins="0">
    <oddHeader>&amp;RSchedule II-H-5.1
Page &amp;P of  28</oddHead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pageSetUpPr fitToPage="1"/>
  </sheetPr>
  <dimension ref="A1:AC77"/>
  <sheetViews>
    <sheetView workbookViewId="0" topLeftCell="A1">
      <pane ySplit="9" topLeftCell="A10" activePane="bottomLeft" state="frozen"/>
      <selection pane="topLeft" activeCell="A1" sqref="A1"/>
      <selection pane="bottomLeft" activeCell="A1" sqref="A1"/>
    </sheetView>
  </sheetViews>
  <sheetFormatPr defaultRowHeight="13.5"/>
  <cols>
    <col min="2" max="2" width="10" style="57" bestFit="1" customWidth="1"/>
    <col min="3" max="6" width="5.42857142857143" bestFit="1" customWidth="1"/>
    <col min="7" max="7" width="8.71428571428571" customWidth="1"/>
    <col min="8" max="14" width="6.85714285714286" bestFit="1" customWidth="1"/>
    <col min="15" max="23" width="7" bestFit="1" customWidth="1"/>
    <col min="24" max="29" width="11.4285714285714" customWidth="1"/>
  </cols>
  <sheetData>
    <row r="1" spans="2:29" s="2" customFormat="1" ht="15.6">
      <c r="B1" s="82" t="str">
        <f>+Base40h!B1</f>
        <v xml:space="preserve">PUC DOCKET NO. </v>
      </c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57"/>
      <c r="V1" s="57"/>
      <c r="W1" s="57"/>
      <c r="X1" s="57"/>
      <c r="Y1" s="57"/>
      <c r="Z1" s="57"/>
      <c r="AA1" s="57"/>
      <c r="AB1" s="57"/>
      <c r="AC1" s="57"/>
    </row>
    <row r="2" spans="2:29" s="2" customFormat="1" ht="15.6">
      <c r="B2" s="82" t="str">
        <f>+Base40h!B2</f>
        <v>ONCOR ELECTRIC DELIVERY COMPANY LLC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57"/>
      <c r="V2" s="57"/>
      <c r="W2" s="57"/>
      <c r="X2" s="57"/>
      <c r="Y2" s="57"/>
      <c r="Z2" s="57"/>
      <c r="AA2" s="57"/>
      <c r="AB2" s="57"/>
      <c r="AC2" s="57"/>
    </row>
    <row r="3" spans="2:29" s="2" customFormat="1" ht="15.6">
      <c r="B3" s="82" t="str">
        <f>+Base40h!B3</f>
        <v>WEATHER STATION DATA</v>
      </c>
      <c r="C3" s="86"/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57"/>
      <c r="V3" s="57"/>
      <c r="W3" s="57"/>
      <c r="X3" s="57"/>
      <c r="Y3" s="57"/>
      <c r="Z3" s="57"/>
      <c r="AA3" s="57"/>
      <c r="AB3" s="57"/>
      <c r="AC3" s="57"/>
    </row>
    <row r="4" spans="2:29" s="2" customFormat="1" ht="15.6">
      <c r="B4" s="82" t="str">
        <f>+Base40h!B4</f>
        <v>FOR THE TEST YEAR ENDING DECEMBER 31, 2021</v>
      </c>
      <c r="C4" s="86"/>
      <c r="D4" s="86"/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U4" s="57"/>
      <c r="V4" s="57"/>
      <c r="W4" s="57"/>
      <c r="X4" s="57"/>
      <c r="Y4" s="57"/>
      <c r="Z4" s="57"/>
      <c r="AA4" s="57"/>
      <c r="AB4" s="57"/>
      <c r="AC4" s="57"/>
    </row>
    <row r="5" spans="2:29" s="2" customFormat="1" ht="11.4">
      <c r="B5" s="1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 spans="2:29" s="2" customFormat="1" ht="15.6">
      <c r="B6" s="82" t="str">
        <f>+Base40h!B6</f>
        <v>SPONSOR: D. E. NELSON</v>
      </c>
      <c r="C6" s="86"/>
      <c r="D6" s="86"/>
      <c r="E6" s="86"/>
      <c r="F6" s="86"/>
      <c r="G6" s="86"/>
      <c r="H6" s="86"/>
      <c r="I6" s="86"/>
      <c r="J6" s="86"/>
      <c r="K6" s="86"/>
      <c r="L6" s="86"/>
      <c r="M6" s="86"/>
      <c r="N6" s="86"/>
      <c r="O6" s="86"/>
      <c r="P6" s="86"/>
      <c r="Q6" s="86"/>
      <c r="R6" s="86"/>
      <c r="S6" s="86"/>
      <c r="T6" s="86"/>
      <c r="U6" s="57"/>
      <c r="V6" s="57"/>
      <c r="W6" s="57"/>
      <c r="X6" s="57"/>
      <c r="Y6" s="57"/>
      <c r="Z6" s="57"/>
      <c r="AA6" s="57"/>
      <c r="AB6" s="57"/>
      <c r="AC6" s="57"/>
    </row>
    <row r="7" spans="1:1" ht="24" thickBot="1">
      <c r="A7" s="3" t="s">
        <v>4</v>
      </c>
    </row>
    <row r="9" spans="1:20" ht="13.2">
      <c r="A9">
        <v>1</v>
      </c>
      <c r="B9" s="85" t="s">
        <v>109</v>
      </c>
      <c r="C9" s="86"/>
      <c r="D9" s="86"/>
      <c r="E9" s="86"/>
      <c r="F9" s="86"/>
      <c r="G9" s="86"/>
      <c r="H9" s="86"/>
      <c r="I9" s="86"/>
      <c r="J9" s="86"/>
      <c r="K9" s="86"/>
      <c r="L9" s="86"/>
      <c r="M9" s="86"/>
      <c r="N9" s="86"/>
      <c r="O9" s="86"/>
      <c r="P9" s="86"/>
      <c r="Q9" s="86"/>
      <c r="R9" s="86"/>
      <c r="S9" s="86"/>
      <c r="T9" s="86"/>
    </row>
    <row r="10" spans="1:22" s="58" customFormat="1" ht="13.2">
      <c r="A10" s="30">
        <f>+A9+1</f>
        <v>2</v>
      </c>
      <c r="B10" s="31" t="s">
        <v>28</v>
      </c>
      <c r="C10" s="31" t="s">
        <v>29</v>
      </c>
      <c r="D10" s="31" t="s">
        <v>30</v>
      </c>
      <c r="E10" s="31" t="s">
        <v>31</v>
      </c>
      <c r="F10" s="31" t="s">
        <v>32</v>
      </c>
      <c r="G10" s="31" t="s">
        <v>33</v>
      </c>
      <c r="H10" s="31" t="s">
        <v>34</v>
      </c>
      <c r="I10" s="31" t="s">
        <v>35</v>
      </c>
      <c r="J10" s="31" t="s">
        <v>36</v>
      </c>
      <c r="K10" s="31" t="s">
        <v>37</v>
      </c>
      <c r="L10" s="31" t="s">
        <v>38</v>
      </c>
      <c r="M10" s="31" t="s">
        <v>39</v>
      </c>
      <c r="N10" s="31" t="s">
        <v>40</v>
      </c>
      <c r="O10" s="31" t="s">
        <v>41</v>
      </c>
      <c r="P10" s="31" t="s">
        <v>42</v>
      </c>
      <c r="Q10" s="31" t="s">
        <v>43</v>
      </c>
      <c r="R10" s="31" t="s">
        <v>44</v>
      </c>
      <c r="S10" s="31" t="s">
        <v>45</v>
      </c>
      <c r="T10" s="58" t="s">
        <v>46</v>
      </c>
      <c r="U10" s="58" t="s">
        <v>47</v>
      </c>
      <c r="V10" s="58" t="s">
        <v>48</v>
      </c>
    </row>
    <row r="11" spans="1:22" ht="13.2">
      <c r="A11">
        <f t="shared" si="0" ref="A11:B26">+A10+1</f>
        <v>3</v>
      </c>
      <c r="B11" s="11">
        <v>44013</v>
      </c>
      <c r="C11">
        <v>81</v>
      </c>
      <c r="D11">
        <v>80</v>
      </c>
      <c r="E11">
        <v>81</v>
      </c>
      <c r="F11">
        <v>80</v>
      </c>
      <c r="G11">
        <v>79</v>
      </c>
      <c r="H11">
        <v>78</v>
      </c>
      <c r="I11">
        <v>79</v>
      </c>
      <c r="J11">
        <v>80</v>
      </c>
      <c r="K11">
        <v>82</v>
      </c>
      <c r="L11">
        <v>84</v>
      </c>
      <c r="M11">
        <v>86</v>
      </c>
      <c r="N11">
        <v>88</v>
      </c>
      <c r="O11">
        <v>91</v>
      </c>
      <c r="P11">
        <v>94</v>
      </c>
      <c r="Q11">
        <v>97</v>
      </c>
      <c r="R11">
        <v>98</v>
      </c>
      <c r="S11">
        <v>97</v>
      </c>
      <c r="T11">
        <v>94</v>
      </c>
      <c r="U11">
        <v>85</v>
      </c>
      <c r="V11">
        <v>84</v>
      </c>
    </row>
    <row r="12" spans="1:22" ht="13.2">
      <c r="A12">
        <f t="shared" si="0"/>
        <v>4</v>
      </c>
      <c r="B12" s="11">
        <f>+B11+1</f>
        <v>44014</v>
      </c>
      <c r="C12">
        <v>78</v>
      </c>
      <c r="D12">
        <v>76</v>
      </c>
      <c r="E12">
        <v>73</v>
      </c>
      <c r="F12">
        <v>74</v>
      </c>
      <c r="G12">
        <v>71</v>
      </c>
      <c r="H12">
        <v>69</v>
      </c>
      <c r="I12">
        <v>69</v>
      </c>
      <c r="J12">
        <v>73</v>
      </c>
      <c r="K12">
        <v>76</v>
      </c>
      <c r="L12">
        <v>83</v>
      </c>
      <c r="M12">
        <v>85</v>
      </c>
      <c r="N12">
        <v>85</v>
      </c>
      <c r="O12">
        <v>84</v>
      </c>
      <c r="P12">
        <v>85</v>
      </c>
      <c r="Q12">
        <v>89</v>
      </c>
      <c r="R12">
        <v>92</v>
      </c>
      <c r="S12">
        <v>92</v>
      </c>
      <c r="T12">
        <v>91</v>
      </c>
      <c r="U12">
        <v>91</v>
      </c>
      <c r="V12">
        <v>90</v>
      </c>
    </row>
    <row r="13" spans="1:22" ht="13.2">
      <c r="A13">
        <f t="shared" si="0"/>
        <v>5</v>
      </c>
      <c r="B13" s="11">
        <f t="shared" si="0"/>
        <v>44015</v>
      </c>
      <c r="C13">
        <v>80</v>
      </c>
      <c r="D13">
        <v>77</v>
      </c>
      <c r="E13">
        <v>76</v>
      </c>
      <c r="F13">
        <v>76</v>
      </c>
      <c r="G13">
        <v>76</v>
      </c>
      <c r="H13">
        <v>76</v>
      </c>
      <c r="I13">
        <v>74</v>
      </c>
      <c r="J13">
        <v>77</v>
      </c>
      <c r="K13">
        <v>80</v>
      </c>
      <c r="L13">
        <v>83</v>
      </c>
      <c r="M13">
        <v>87</v>
      </c>
      <c r="N13">
        <v>89</v>
      </c>
      <c r="O13">
        <v>92</v>
      </c>
      <c r="P13">
        <v>93</v>
      </c>
      <c r="Q13">
        <v>95</v>
      </c>
      <c r="R13">
        <v>95</v>
      </c>
      <c r="S13">
        <v>95</v>
      </c>
      <c r="T13">
        <v>96</v>
      </c>
      <c r="U13">
        <v>96</v>
      </c>
      <c r="V13">
        <v>94</v>
      </c>
    </row>
    <row r="14" spans="1:22" ht="13.2">
      <c r="A14">
        <f t="shared" si="0"/>
        <v>6</v>
      </c>
      <c r="B14" s="11">
        <f t="shared" si="0"/>
        <v>44016</v>
      </c>
      <c r="C14">
        <v>78</v>
      </c>
      <c r="D14">
        <v>77</v>
      </c>
      <c r="E14">
        <v>76</v>
      </c>
      <c r="F14">
        <v>74</v>
      </c>
      <c r="G14">
        <v>73</v>
      </c>
      <c r="H14">
        <v>74</v>
      </c>
      <c r="I14">
        <v>75</v>
      </c>
      <c r="J14">
        <v>77</v>
      </c>
      <c r="K14">
        <v>81</v>
      </c>
      <c r="L14">
        <v>85</v>
      </c>
      <c r="M14">
        <v>89</v>
      </c>
      <c r="N14">
        <v>92</v>
      </c>
      <c r="O14">
        <v>95</v>
      </c>
      <c r="P14">
        <v>98</v>
      </c>
      <c r="Q14">
        <v>98</v>
      </c>
      <c r="R14">
        <v>99</v>
      </c>
      <c r="S14">
        <v>97</v>
      </c>
      <c r="T14">
        <v>97</v>
      </c>
      <c r="U14">
        <v>97</v>
      </c>
      <c r="V14">
        <v>94</v>
      </c>
    </row>
    <row r="15" spans="1:22" ht="13.2">
      <c r="A15">
        <f t="shared" si="0"/>
        <v>7</v>
      </c>
      <c r="B15" s="11">
        <f t="shared" si="0"/>
        <v>44017</v>
      </c>
      <c r="C15">
        <v>82</v>
      </c>
      <c r="D15">
        <v>78</v>
      </c>
      <c r="E15">
        <v>78</v>
      </c>
      <c r="F15">
        <v>78</v>
      </c>
      <c r="G15">
        <v>78</v>
      </c>
      <c r="H15">
        <v>79</v>
      </c>
      <c r="I15">
        <v>78</v>
      </c>
      <c r="J15">
        <v>79</v>
      </c>
      <c r="K15">
        <v>80</v>
      </c>
      <c r="L15">
        <v>81</v>
      </c>
      <c r="M15">
        <v>81</v>
      </c>
      <c r="N15">
        <v>82</v>
      </c>
      <c r="O15">
        <v>86</v>
      </c>
      <c r="P15">
        <v>86</v>
      </c>
      <c r="Q15">
        <v>88</v>
      </c>
      <c r="R15">
        <v>89</v>
      </c>
      <c r="S15">
        <v>90</v>
      </c>
      <c r="T15">
        <v>90</v>
      </c>
      <c r="U15">
        <v>90</v>
      </c>
      <c r="V15">
        <v>89</v>
      </c>
    </row>
    <row r="16" spans="1:22" ht="13.2">
      <c r="A16">
        <f t="shared" si="0"/>
        <v>8</v>
      </c>
      <c r="B16" s="11">
        <f t="shared" si="0"/>
        <v>44018</v>
      </c>
      <c r="C16">
        <v>73</v>
      </c>
      <c r="D16">
        <v>69</v>
      </c>
      <c r="E16">
        <v>70</v>
      </c>
      <c r="F16">
        <v>70</v>
      </c>
      <c r="G16">
        <v>72</v>
      </c>
      <c r="H16">
        <v>69</v>
      </c>
      <c r="I16">
        <v>70</v>
      </c>
      <c r="J16">
        <v>72</v>
      </c>
      <c r="K16">
        <v>76</v>
      </c>
      <c r="L16">
        <v>78</v>
      </c>
      <c r="M16">
        <v>79</v>
      </c>
      <c r="N16">
        <v>83</v>
      </c>
      <c r="O16">
        <v>85</v>
      </c>
      <c r="P16">
        <v>86</v>
      </c>
      <c r="Q16">
        <v>87</v>
      </c>
      <c r="R16">
        <v>89</v>
      </c>
      <c r="S16">
        <v>85</v>
      </c>
      <c r="T16">
        <v>83</v>
      </c>
      <c r="U16">
        <v>85</v>
      </c>
      <c r="V16">
        <v>84</v>
      </c>
    </row>
    <row r="17" spans="1:22" ht="13.2">
      <c r="A17">
        <f t="shared" si="0"/>
        <v>9</v>
      </c>
      <c r="B17" s="11">
        <f t="shared" si="0"/>
        <v>44019</v>
      </c>
      <c r="C17">
        <v>76</v>
      </c>
      <c r="D17">
        <v>72</v>
      </c>
      <c r="E17">
        <v>73</v>
      </c>
      <c r="F17">
        <v>73</v>
      </c>
      <c r="G17">
        <v>74</v>
      </c>
      <c r="H17">
        <v>74</v>
      </c>
      <c r="I17">
        <v>73</v>
      </c>
      <c r="J17">
        <v>73</v>
      </c>
      <c r="K17">
        <v>77</v>
      </c>
      <c r="L17">
        <v>79</v>
      </c>
      <c r="M17">
        <v>84</v>
      </c>
      <c r="N17">
        <v>87</v>
      </c>
      <c r="O17">
        <v>89</v>
      </c>
      <c r="P17">
        <v>90</v>
      </c>
      <c r="Q17">
        <v>90</v>
      </c>
      <c r="R17">
        <v>93</v>
      </c>
      <c r="S17">
        <v>90</v>
      </c>
      <c r="T17">
        <v>89</v>
      </c>
      <c r="U17">
        <v>79</v>
      </c>
      <c r="V17">
        <v>80</v>
      </c>
    </row>
    <row r="18" spans="1:22" ht="13.2">
      <c r="A18">
        <f t="shared" si="0"/>
        <v>10</v>
      </c>
      <c r="B18" s="11">
        <f t="shared" si="0"/>
        <v>44020</v>
      </c>
      <c r="C18">
        <v>72</v>
      </c>
      <c r="D18">
        <v>71</v>
      </c>
      <c r="E18">
        <v>71</v>
      </c>
      <c r="F18">
        <v>71</v>
      </c>
      <c r="G18">
        <v>73</v>
      </c>
      <c r="H18">
        <v>73</v>
      </c>
      <c r="I18">
        <v>73</v>
      </c>
      <c r="J18">
        <v>75</v>
      </c>
      <c r="K18">
        <v>80</v>
      </c>
      <c r="L18">
        <v>83</v>
      </c>
      <c r="M18">
        <v>86</v>
      </c>
      <c r="N18">
        <v>89</v>
      </c>
      <c r="O18">
        <v>92</v>
      </c>
      <c r="P18">
        <v>94</v>
      </c>
      <c r="Q18">
        <v>94</v>
      </c>
      <c r="R18">
        <v>97</v>
      </c>
      <c r="S18">
        <v>96</v>
      </c>
      <c r="T18">
        <v>96</v>
      </c>
      <c r="U18">
        <v>96</v>
      </c>
      <c r="V18">
        <v>93</v>
      </c>
    </row>
    <row r="19" spans="1:22" ht="13.2">
      <c r="A19">
        <f t="shared" si="0"/>
        <v>11</v>
      </c>
      <c r="B19" s="11">
        <f t="shared" si="0"/>
        <v>44021</v>
      </c>
      <c r="C19">
        <v>84</v>
      </c>
      <c r="D19">
        <v>84</v>
      </c>
      <c r="E19">
        <v>82</v>
      </c>
      <c r="F19">
        <v>81</v>
      </c>
      <c r="G19">
        <v>80</v>
      </c>
      <c r="H19">
        <v>78</v>
      </c>
      <c r="I19">
        <v>77</v>
      </c>
      <c r="J19">
        <v>78</v>
      </c>
      <c r="K19">
        <v>81</v>
      </c>
      <c r="L19">
        <v>84</v>
      </c>
      <c r="M19">
        <v>87</v>
      </c>
      <c r="N19">
        <v>89</v>
      </c>
      <c r="O19">
        <v>92</v>
      </c>
      <c r="P19">
        <v>95</v>
      </c>
      <c r="Q19">
        <v>97</v>
      </c>
      <c r="R19">
        <v>98</v>
      </c>
      <c r="S19">
        <v>99</v>
      </c>
      <c r="T19">
        <v>98</v>
      </c>
      <c r="U19">
        <v>97</v>
      </c>
      <c r="V19">
        <v>94</v>
      </c>
    </row>
    <row r="20" spans="1:22" ht="13.2">
      <c r="A20">
        <f t="shared" si="0"/>
        <v>12</v>
      </c>
      <c r="B20" s="11">
        <f t="shared" si="0"/>
        <v>44022</v>
      </c>
      <c r="C20">
        <v>85</v>
      </c>
      <c r="D20">
        <v>83</v>
      </c>
      <c r="E20">
        <v>82</v>
      </c>
      <c r="F20">
        <v>79</v>
      </c>
      <c r="G20">
        <v>77</v>
      </c>
      <c r="H20">
        <v>75</v>
      </c>
      <c r="I20">
        <v>75</v>
      </c>
      <c r="J20">
        <v>77</v>
      </c>
      <c r="K20">
        <v>80</v>
      </c>
      <c r="L20">
        <v>85</v>
      </c>
      <c r="M20">
        <v>88</v>
      </c>
      <c r="N20">
        <v>90</v>
      </c>
      <c r="O20">
        <v>92</v>
      </c>
      <c r="P20">
        <v>95</v>
      </c>
      <c r="Q20">
        <v>96</v>
      </c>
      <c r="R20">
        <v>97</v>
      </c>
      <c r="S20">
        <v>98</v>
      </c>
      <c r="T20">
        <v>98</v>
      </c>
      <c r="U20">
        <v>96</v>
      </c>
      <c r="V20">
        <v>94</v>
      </c>
    </row>
    <row r="21" spans="1:22" ht="13.2">
      <c r="A21">
        <f t="shared" si="0"/>
        <v>13</v>
      </c>
      <c r="B21" s="11">
        <f t="shared" si="0"/>
        <v>44023</v>
      </c>
      <c r="C21">
        <v>82</v>
      </c>
      <c r="D21">
        <v>80</v>
      </c>
      <c r="E21">
        <v>80</v>
      </c>
      <c r="F21">
        <v>78</v>
      </c>
      <c r="G21">
        <v>78</v>
      </c>
      <c r="H21">
        <v>80</v>
      </c>
      <c r="I21">
        <v>80</v>
      </c>
      <c r="J21">
        <v>81</v>
      </c>
      <c r="K21">
        <v>84</v>
      </c>
      <c r="L21">
        <v>87</v>
      </c>
      <c r="M21">
        <v>90</v>
      </c>
      <c r="N21">
        <v>94</v>
      </c>
      <c r="O21">
        <v>96</v>
      </c>
      <c r="P21">
        <v>98</v>
      </c>
      <c r="Q21">
        <v>99</v>
      </c>
      <c r="R21">
        <v>101</v>
      </c>
      <c r="S21">
        <v>101</v>
      </c>
      <c r="T21">
        <v>101</v>
      </c>
      <c r="U21">
        <v>100</v>
      </c>
      <c r="V21">
        <v>99</v>
      </c>
    </row>
    <row r="22" spans="1:22" ht="13.2">
      <c r="A22">
        <f t="shared" si="0"/>
        <v>14</v>
      </c>
      <c r="B22" s="11">
        <f t="shared" si="0"/>
        <v>44024</v>
      </c>
      <c r="C22">
        <v>81</v>
      </c>
      <c r="D22">
        <v>83</v>
      </c>
      <c r="E22">
        <v>83</v>
      </c>
      <c r="F22">
        <v>82</v>
      </c>
      <c r="G22">
        <v>81</v>
      </c>
      <c r="H22">
        <v>81</v>
      </c>
      <c r="I22">
        <v>80</v>
      </c>
      <c r="J22">
        <v>80</v>
      </c>
      <c r="K22">
        <v>82</v>
      </c>
      <c r="L22">
        <v>85</v>
      </c>
      <c r="M22">
        <v>88</v>
      </c>
      <c r="N22">
        <v>91</v>
      </c>
      <c r="O22">
        <v>93</v>
      </c>
      <c r="P22">
        <v>96</v>
      </c>
      <c r="Q22">
        <v>98</v>
      </c>
      <c r="R22">
        <v>101</v>
      </c>
      <c r="S22">
        <v>99</v>
      </c>
      <c r="T22">
        <v>101</v>
      </c>
      <c r="U22">
        <v>102</v>
      </c>
      <c r="V22">
        <v>99</v>
      </c>
    </row>
    <row r="23" spans="1:22" ht="13.2">
      <c r="A23">
        <f t="shared" si="0"/>
        <v>15</v>
      </c>
      <c r="B23" s="11">
        <f t="shared" si="0"/>
        <v>44025</v>
      </c>
      <c r="C23">
        <v>86</v>
      </c>
      <c r="D23">
        <v>83</v>
      </c>
      <c r="E23">
        <v>80</v>
      </c>
      <c r="F23">
        <v>78</v>
      </c>
      <c r="G23">
        <v>81</v>
      </c>
      <c r="H23">
        <v>80</v>
      </c>
      <c r="I23">
        <v>79</v>
      </c>
      <c r="J23">
        <v>82</v>
      </c>
      <c r="K23">
        <v>85</v>
      </c>
      <c r="L23">
        <v>90</v>
      </c>
      <c r="M23">
        <v>92</v>
      </c>
      <c r="N23">
        <v>97</v>
      </c>
      <c r="O23">
        <v>98</v>
      </c>
      <c r="P23">
        <v>102</v>
      </c>
      <c r="Q23">
        <v>107</v>
      </c>
      <c r="R23">
        <v>107</v>
      </c>
      <c r="S23">
        <v>105</v>
      </c>
      <c r="T23">
        <v>108</v>
      </c>
      <c r="U23">
        <v>105</v>
      </c>
      <c r="V23">
        <v>102</v>
      </c>
    </row>
    <row r="24" spans="1:22" s="18" customFormat="1" ht="13.2">
      <c r="A24" s="18">
        <f t="shared" si="0"/>
        <v>16</v>
      </c>
      <c r="B24" s="11">
        <f t="shared" si="0"/>
        <v>44026</v>
      </c>
      <c r="C24">
        <v>90</v>
      </c>
      <c r="D24">
        <v>89</v>
      </c>
      <c r="E24">
        <v>88</v>
      </c>
      <c r="F24">
        <v>87</v>
      </c>
      <c r="G24">
        <v>85</v>
      </c>
      <c r="H24">
        <v>85</v>
      </c>
      <c r="I24">
        <v>84</v>
      </c>
      <c r="J24">
        <v>84</v>
      </c>
      <c r="K24">
        <v>84</v>
      </c>
      <c r="L24">
        <v>89</v>
      </c>
      <c r="M24">
        <v>91</v>
      </c>
      <c r="N24">
        <v>95</v>
      </c>
      <c r="O24">
        <v>99</v>
      </c>
      <c r="P24">
        <v>101</v>
      </c>
      <c r="Q24">
        <v>105</v>
      </c>
      <c r="R24">
        <v>106</v>
      </c>
      <c r="S24">
        <v>107</v>
      </c>
      <c r="T24">
        <v>106</v>
      </c>
      <c r="U24">
        <v>106</v>
      </c>
      <c r="V24">
        <v>103</v>
      </c>
    </row>
    <row r="25" spans="1:22" ht="13.2">
      <c r="A25">
        <f t="shared" si="0"/>
        <v>17</v>
      </c>
      <c r="B25" s="11">
        <f t="shared" si="0"/>
        <v>44027</v>
      </c>
      <c r="C25">
        <v>90</v>
      </c>
      <c r="D25">
        <v>87</v>
      </c>
      <c r="E25">
        <v>86</v>
      </c>
      <c r="F25">
        <v>84</v>
      </c>
      <c r="G25">
        <v>83</v>
      </c>
      <c r="H25">
        <v>82</v>
      </c>
      <c r="I25">
        <v>81</v>
      </c>
      <c r="J25">
        <v>82</v>
      </c>
      <c r="K25">
        <v>83</v>
      </c>
      <c r="L25">
        <v>84</v>
      </c>
      <c r="M25">
        <v>86</v>
      </c>
      <c r="N25">
        <v>90</v>
      </c>
      <c r="O25">
        <v>94</v>
      </c>
      <c r="P25">
        <v>96</v>
      </c>
      <c r="Q25">
        <v>98</v>
      </c>
      <c r="R25">
        <v>101</v>
      </c>
      <c r="S25">
        <v>102</v>
      </c>
      <c r="T25">
        <v>102</v>
      </c>
      <c r="U25">
        <v>100</v>
      </c>
      <c r="V25">
        <v>98</v>
      </c>
    </row>
    <row r="26" spans="1:22" ht="13.2">
      <c r="A26">
        <f t="shared" si="0"/>
        <v>18</v>
      </c>
      <c r="B26" s="11">
        <f t="shared" si="0"/>
        <v>44028</v>
      </c>
      <c r="C26">
        <v>82</v>
      </c>
      <c r="D26">
        <v>81</v>
      </c>
      <c r="E26">
        <v>80</v>
      </c>
      <c r="F26">
        <v>79</v>
      </c>
      <c r="G26">
        <v>79</v>
      </c>
      <c r="H26">
        <v>79</v>
      </c>
      <c r="I26">
        <v>78</v>
      </c>
      <c r="J26">
        <v>79</v>
      </c>
      <c r="K26">
        <v>85</v>
      </c>
      <c r="L26">
        <v>88</v>
      </c>
      <c r="M26">
        <v>90</v>
      </c>
      <c r="N26">
        <v>93</v>
      </c>
      <c r="O26">
        <v>96</v>
      </c>
      <c r="P26">
        <v>98</v>
      </c>
      <c r="Q26">
        <v>101</v>
      </c>
      <c r="R26">
        <v>100</v>
      </c>
      <c r="S26">
        <v>102</v>
      </c>
      <c r="T26">
        <v>102</v>
      </c>
      <c r="U26">
        <v>101</v>
      </c>
      <c r="V26">
        <v>98</v>
      </c>
    </row>
    <row r="27" spans="1:22" ht="13.2">
      <c r="A27">
        <f t="shared" si="1" ref="A27:B42">+A26+1</f>
        <v>19</v>
      </c>
      <c r="B27" s="11">
        <f t="shared" si="1"/>
        <v>44029</v>
      </c>
      <c r="C27">
        <v>84</v>
      </c>
      <c r="D27">
        <v>81</v>
      </c>
      <c r="E27">
        <v>78</v>
      </c>
      <c r="F27">
        <v>78</v>
      </c>
      <c r="G27">
        <v>78</v>
      </c>
      <c r="H27">
        <v>77</v>
      </c>
      <c r="I27">
        <v>77</v>
      </c>
      <c r="J27">
        <v>78</v>
      </c>
      <c r="K27">
        <v>85</v>
      </c>
      <c r="L27">
        <v>87</v>
      </c>
      <c r="M27">
        <v>90</v>
      </c>
      <c r="N27">
        <v>93</v>
      </c>
      <c r="O27">
        <v>94</v>
      </c>
      <c r="P27">
        <v>97</v>
      </c>
      <c r="Q27">
        <v>99</v>
      </c>
      <c r="R27">
        <v>100</v>
      </c>
      <c r="S27">
        <v>100</v>
      </c>
      <c r="T27">
        <v>100</v>
      </c>
      <c r="U27">
        <v>98</v>
      </c>
      <c r="V27">
        <v>96</v>
      </c>
    </row>
    <row r="28" spans="1:22" s="18" customFormat="1" ht="13.2">
      <c r="A28" s="18">
        <f t="shared" si="1"/>
        <v>20</v>
      </c>
      <c r="B28" s="11">
        <f t="shared" si="1"/>
        <v>44030</v>
      </c>
      <c r="C28">
        <v>81</v>
      </c>
      <c r="D28">
        <v>79</v>
      </c>
      <c r="E28">
        <v>77</v>
      </c>
      <c r="F28">
        <v>78</v>
      </c>
      <c r="G28">
        <v>78</v>
      </c>
      <c r="H28">
        <v>77</v>
      </c>
      <c r="I28">
        <v>76</v>
      </c>
      <c r="J28">
        <v>77</v>
      </c>
      <c r="K28">
        <v>80</v>
      </c>
      <c r="L28">
        <v>83</v>
      </c>
      <c r="M28">
        <v>87</v>
      </c>
      <c r="N28">
        <v>89</v>
      </c>
      <c r="O28">
        <v>91</v>
      </c>
      <c r="P28">
        <v>93</v>
      </c>
      <c r="Q28">
        <v>95</v>
      </c>
      <c r="R28">
        <v>96</v>
      </c>
      <c r="S28">
        <v>97</v>
      </c>
      <c r="T28">
        <v>96</v>
      </c>
      <c r="U28">
        <v>95</v>
      </c>
      <c r="V28">
        <v>93</v>
      </c>
    </row>
    <row r="29" spans="1:22" ht="13.2">
      <c r="A29">
        <f t="shared" si="1"/>
        <v>21</v>
      </c>
      <c r="B29" s="11">
        <f t="shared" si="1"/>
        <v>44031</v>
      </c>
      <c r="C29">
        <v>81</v>
      </c>
      <c r="D29">
        <v>80</v>
      </c>
      <c r="E29">
        <v>80</v>
      </c>
      <c r="F29">
        <v>79</v>
      </c>
      <c r="G29">
        <v>78</v>
      </c>
      <c r="H29">
        <v>77</v>
      </c>
      <c r="I29">
        <v>76</v>
      </c>
      <c r="J29">
        <v>77</v>
      </c>
      <c r="K29">
        <v>80</v>
      </c>
      <c r="L29">
        <v>83</v>
      </c>
      <c r="M29">
        <v>86</v>
      </c>
      <c r="N29">
        <v>88</v>
      </c>
      <c r="O29">
        <v>90</v>
      </c>
      <c r="P29">
        <v>92</v>
      </c>
      <c r="Q29">
        <v>94</v>
      </c>
      <c r="R29">
        <v>92</v>
      </c>
      <c r="S29">
        <v>93</v>
      </c>
      <c r="T29">
        <v>95</v>
      </c>
      <c r="U29">
        <v>94</v>
      </c>
      <c r="V29">
        <v>93</v>
      </c>
    </row>
    <row r="30" spans="1:22" ht="13.2">
      <c r="A30">
        <f t="shared" si="1"/>
        <v>22</v>
      </c>
      <c r="B30" s="11">
        <f t="shared" si="1"/>
        <v>44032</v>
      </c>
      <c r="C30">
        <v>81</v>
      </c>
      <c r="D30">
        <v>80</v>
      </c>
      <c r="E30">
        <v>80</v>
      </c>
      <c r="F30">
        <v>78</v>
      </c>
      <c r="G30">
        <v>78</v>
      </c>
      <c r="H30">
        <v>75</v>
      </c>
      <c r="I30">
        <v>74</v>
      </c>
      <c r="J30">
        <v>77</v>
      </c>
      <c r="K30">
        <v>79</v>
      </c>
      <c r="L30">
        <v>82</v>
      </c>
      <c r="M30">
        <v>86</v>
      </c>
      <c r="N30">
        <v>90</v>
      </c>
      <c r="O30">
        <v>91</v>
      </c>
      <c r="P30">
        <v>94</v>
      </c>
      <c r="Q30">
        <v>94</v>
      </c>
      <c r="R30">
        <v>96</v>
      </c>
      <c r="S30">
        <v>95</v>
      </c>
      <c r="T30">
        <v>94</v>
      </c>
      <c r="U30">
        <v>95</v>
      </c>
      <c r="V30">
        <v>93</v>
      </c>
    </row>
    <row r="31" spans="1:22" ht="13.2">
      <c r="A31">
        <f t="shared" si="1"/>
        <v>23</v>
      </c>
      <c r="B31" s="11">
        <f t="shared" si="1"/>
        <v>44033</v>
      </c>
      <c r="C31">
        <v>82</v>
      </c>
      <c r="D31">
        <v>80</v>
      </c>
      <c r="E31">
        <v>79</v>
      </c>
      <c r="F31">
        <v>77</v>
      </c>
      <c r="G31">
        <v>76</v>
      </c>
      <c r="H31">
        <v>75</v>
      </c>
      <c r="I31">
        <v>75</v>
      </c>
      <c r="J31">
        <v>77</v>
      </c>
      <c r="K31">
        <v>80</v>
      </c>
      <c r="L31">
        <v>84</v>
      </c>
      <c r="M31">
        <v>86</v>
      </c>
      <c r="N31">
        <v>90</v>
      </c>
      <c r="O31">
        <v>92</v>
      </c>
      <c r="P31">
        <v>94</v>
      </c>
      <c r="Q31">
        <v>93</v>
      </c>
      <c r="R31">
        <v>96</v>
      </c>
      <c r="S31">
        <v>96</v>
      </c>
      <c r="T31">
        <v>96</v>
      </c>
      <c r="U31">
        <v>93</v>
      </c>
      <c r="V31">
        <v>90</v>
      </c>
    </row>
    <row r="32" spans="1:22" ht="13.2">
      <c r="A32">
        <f t="shared" si="1"/>
        <v>24</v>
      </c>
      <c r="B32" s="11">
        <f t="shared" si="1"/>
        <v>44034</v>
      </c>
      <c r="C32">
        <v>81</v>
      </c>
      <c r="D32">
        <v>79</v>
      </c>
      <c r="E32">
        <v>78</v>
      </c>
      <c r="F32">
        <v>77</v>
      </c>
      <c r="G32">
        <v>76</v>
      </c>
      <c r="H32">
        <v>75</v>
      </c>
      <c r="I32">
        <v>74</v>
      </c>
      <c r="J32">
        <v>76</v>
      </c>
      <c r="K32">
        <v>80</v>
      </c>
      <c r="L32">
        <v>85</v>
      </c>
      <c r="M32">
        <v>87</v>
      </c>
      <c r="N32">
        <v>90</v>
      </c>
      <c r="O32">
        <v>88</v>
      </c>
      <c r="P32">
        <v>91</v>
      </c>
      <c r="Q32">
        <v>77</v>
      </c>
      <c r="R32">
        <v>77</v>
      </c>
      <c r="S32">
        <v>83</v>
      </c>
      <c r="T32">
        <v>85</v>
      </c>
      <c r="U32">
        <v>85</v>
      </c>
      <c r="V32">
        <v>85</v>
      </c>
    </row>
    <row r="33" spans="1:22" ht="13.2">
      <c r="A33">
        <f t="shared" si="1"/>
        <v>25</v>
      </c>
      <c r="B33" s="11">
        <f t="shared" si="1"/>
        <v>44035</v>
      </c>
      <c r="C33">
        <v>77</v>
      </c>
      <c r="D33">
        <v>75</v>
      </c>
      <c r="E33">
        <v>74</v>
      </c>
      <c r="F33">
        <v>75</v>
      </c>
      <c r="G33">
        <v>75</v>
      </c>
      <c r="H33">
        <v>75</v>
      </c>
      <c r="I33">
        <v>75</v>
      </c>
      <c r="J33">
        <v>78</v>
      </c>
      <c r="K33">
        <v>81</v>
      </c>
      <c r="L33">
        <v>84</v>
      </c>
      <c r="M33">
        <v>87</v>
      </c>
      <c r="N33">
        <v>89</v>
      </c>
      <c r="O33">
        <v>88</v>
      </c>
      <c r="P33">
        <v>93</v>
      </c>
      <c r="Q33">
        <v>92</v>
      </c>
      <c r="R33">
        <v>94</v>
      </c>
      <c r="S33">
        <v>87</v>
      </c>
      <c r="T33">
        <v>90</v>
      </c>
      <c r="U33">
        <v>91</v>
      </c>
      <c r="V33">
        <v>92</v>
      </c>
    </row>
    <row r="34" spans="1:22" ht="13.2">
      <c r="A34">
        <f t="shared" si="1"/>
        <v>26</v>
      </c>
      <c r="B34" s="11">
        <f t="shared" si="1"/>
        <v>44036</v>
      </c>
      <c r="C34">
        <v>83</v>
      </c>
      <c r="D34">
        <v>81</v>
      </c>
      <c r="E34">
        <v>80</v>
      </c>
      <c r="F34">
        <v>78</v>
      </c>
      <c r="G34">
        <v>77</v>
      </c>
      <c r="H34">
        <v>76</v>
      </c>
      <c r="I34">
        <v>75</v>
      </c>
      <c r="J34">
        <v>77</v>
      </c>
      <c r="K34">
        <v>81</v>
      </c>
      <c r="L34">
        <v>85</v>
      </c>
      <c r="M34">
        <v>88</v>
      </c>
      <c r="N34">
        <v>90</v>
      </c>
      <c r="O34">
        <v>92</v>
      </c>
      <c r="P34">
        <v>95</v>
      </c>
      <c r="Q34">
        <v>95</v>
      </c>
      <c r="R34">
        <v>95</v>
      </c>
      <c r="S34">
        <v>95</v>
      </c>
      <c r="T34">
        <v>96</v>
      </c>
      <c r="U34">
        <v>95</v>
      </c>
      <c r="V34">
        <v>93</v>
      </c>
    </row>
    <row r="35" spans="1:22" ht="13.2">
      <c r="A35">
        <f t="shared" si="1"/>
        <v>27</v>
      </c>
      <c r="B35" s="11">
        <f t="shared" si="1"/>
        <v>44037</v>
      </c>
      <c r="C35">
        <v>81</v>
      </c>
      <c r="D35">
        <v>80</v>
      </c>
      <c r="E35">
        <v>77</v>
      </c>
      <c r="F35">
        <v>76</v>
      </c>
      <c r="G35">
        <v>75</v>
      </c>
      <c r="H35">
        <v>74</v>
      </c>
      <c r="I35">
        <v>74</v>
      </c>
      <c r="J35">
        <v>76</v>
      </c>
      <c r="K35">
        <v>79</v>
      </c>
      <c r="L35">
        <v>83</v>
      </c>
      <c r="M35">
        <v>86</v>
      </c>
      <c r="N35">
        <v>87</v>
      </c>
      <c r="O35">
        <v>91</v>
      </c>
      <c r="P35">
        <v>91</v>
      </c>
      <c r="Q35">
        <v>90</v>
      </c>
      <c r="R35">
        <v>91</v>
      </c>
      <c r="S35">
        <v>93</v>
      </c>
      <c r="T35">
        <v>93</v>
      </c>
      <c r="U35">
        <v>92</v>
      </c>
      <c r="V35">
        <v>90</v>
      </c>
    </row>
    <row r="36" spans="1:22" ht="13.2">
      <c r="A36">
        <f t="shared" si="1"/>
        <v>28</v>
      </c>
      <c r="B36" s="11">
        <f t="shared" si="1"/>
        <v>44038</v>
      </c>
      <c r="C36">
        <v>77</v>
      </c>
      <c r="D36">
        <v>76</v>
      </c>
      <c r="E36">
        <v>75</v>
      </c>
      <c r="F36">
        <v>74</v>
      </c>
      <c r="G36">
        <v>73</v>
      </c>
      <c r="H36">
        <v>72</v>
      </c>
      <c r="I36">
        <v>72</v>
      </c>
      <c r="J36">
        <v>73</v>
      </c>
      <c r="K36">
        <v>75</v>
      </c>
      <c r="L36">
        <v>77</v>
      </c>
      <c r="M36">
        <v>81</v>
      </c>
      <c r="N36">
        <v>84</v>
      </c>
      <c r="O36">
        <v>89</v>
      </c>
      <c r="P36">
        <v>89</v>
      </c>
      <c r="Q36">
        <v>91</v>
      </c>
      <c r="R36">
        <v>92</v>
      </c>
      <c r="S36">
        <v>92</v>
      </c>
      <c r="T36">
        <v>92</v>
      </c>
      <c r="U36">
        <v>91</v>
      </c>
      <c r="V36">
        <v>90</v>
      </c>
    </row>
    <row r="37" spans="1:22" ht="13.2">
      <c r="A37">
        <f t="shared" si="1"/>
        <v>29</v>
      </c>
      <c r="B37" s="11">
        <f t="shared" si="1"/>
        <v>44039</v>
      </c>
      <c r="C37">
        <v>78</v>
      </c>
      <c r="D37">
        <v>76</v>
      </c>
      <c r="E37">
        <v>76</v>
      </c>
      <c r="F37">
        <v>75</v>
      </c>
      <c r="G37">
        <v>74</v>
      </c>
      <c r="H37">
        <v>73</v>
      </c>
      <c r="I37">
        <v>72</v>
      </c>
      <c r="J37">
        <v>73</v>
      </c>
      <c r="K37">
        <v>77</v>
      </c>
      <c r="L37">
        <v>81</v>
      </c>
      <c r="M37">
        <v>86</v>
      </c>
      <c r="N37">
        <v>89</v>
      </c>
      <c r="O37">
        <v>92</v>
      </c>
      <c r="P37">
        <v>93</v>
      </c>
      <c r="Q37">
        <v>94</v>
      </c>
      <c r="R37">
        <v>95</v>
      </c>
      <c r="S37">
        <v>97</v>
      </c>
      <c r="T37">
        <v>95</v>
      </c>
      <c r="U37">
        <v>94</v>
      </c>
      <c r="V37">
        <v>94</v>
      </c>
    </row>
    <row r="38" spans="1:22" ht="13.2">
      <c r="A38">
        <f t="shared" si="1"/>
        <v>30</v>
      </c>
      <c r="B38" s="11">
        <f t="shared" si="1"/>
        <v>44040</v>
      </c>
      <c r="C38">
        <v>83</v>
      </c>
      <c r="D38">
        <v>82</v>
      </c>
      <c r="E38">
        <v>82</v>
      </c>
      <c r="F38">
        <v>82</v>
      </c>
      <c r="G38">
        <v>81</v>
      </c>
      <c r="H38">
        <v>80</v>
      </c>
      <c r="I38">
        <v>79</v>
      </c>
      <c r="J38">
        <v>79</v>
      </c>
      <c r="K38">
        <v>80</v>
      </c>
      <c r="L38">
        <v>85</v>
      </c>
      <c r="M38">
        <v>87</v>
      </c>
      <c r="N38">
        <v>91</v>
      </c>
      <c r="O38">
        <v>91</v>
      </c>
      <c r="P38">
        <v>94</v>
      </c>
      <c r="Q38">
        <v>80</v>
      </c>
      <c r="R38">
        <v>74</v>
      </c>
      <c r="S38">
        <v>75</v>
      </c>
      <c r="T38">
        <v>75</v>
      </c>
      <c r="U38">
        <v>77</v>
      </c>
      <c r="V38">
        <v>77</v>
      </c>
    </row>
    <row r="39" spans="1:22" ht="13.2">
      <c r="A39">
        <f t="shared" si="1"/>
        <v>31</v>
      </c>
      <c r="B39" s="11">
        <f t="shared" si="1"/>
        <v>44041</v>
      </c>
      <c r="C39">
        <v>77</v>
      </c>
      <c r="D39">
        <v>77</v>
      </c>
      <c r="E39">
        <v>76</v>
      </c>
      <c r="F39">
        <v>77</v>
      </c>
      <c r="G39">
        <v>78</v>
      </c>
      <c r="H39">
        <v>78</v>
      </c>
      <c r="I39">
        <v>78</v>
      </c>
      <c r="J39">
        <v>78</v>
      </c>
      <c r="K39">
        <v>78</v>
      </c>
      <c r="L39">
        <v>79</v>
      </c>
      <c r="M39">
        <v>79</v>
      </c>
      <c r="N39">
        <v>79</v>
      </c>
      <c r="O39">
        <v>82</v>
      </c>
      <c r="P39">
        <v>81</v>
      </c>
      <c r="Q39">
        <v>85</v>
      </c>
      <c r="R39">
        <v>89</v>
      </c>
      <c r="S39">
        <v>93</v>
      </c>
      <c r="T39">
        <v>93</v>
      </c>
      <c r="U39">
        <v>94</v>
      </c>
      <c r="V39">
        <v>91</v>
      </c>
    </row>
    <row r="40" spans="1:22" ht="13.2">
      <c r="A40">
        <f t="shared" si="1"/>
        <v>32</v>
      </c>
      <c r="B40" s="11">
        <f t="shared" si="1"/>
        <v>44042</v>
      </c>
      <c r="C40">
        <v>83</v>
      </c>
      <c r="D40">
        <v>82</v>
      </c>
      <c r="E40">
        <v>82</v>
      </c>
      <c r="F40">
        <v>79</v>
      </c>
      <c r="G40">
        <v>78</v>
      </c>
      <c r="H40">
        <v>77</v>
      </c>
      <c r="I40">
        <v>76</v>
      </c>
      <c r="J40">
        <v>77</v>
      </c>
      <c r="K40">
        <v>79</v>
      </c>
      <c r="L40">
        <v>82</v>
      </c>
      <c r="M40">
        <v>85</v>
      </c>
      <c r="N40">
        <v>88</v>
      </c>
      <c r="O40">
        <v>92</v>
      </c>
      <c r="P40">
        <v>93</v>
      </c>
      <c r="Q40">
        <v>95</v>
      </c>
      <c r="R40">
        <v>97</v>
      </c>
      <c r="S40">
        <v>98</v>
      </c>
      <c r="T40">
        <v>98</v>
      </c>
      <c r="U40">
        <v>98</v>
      </c>
      <c r="V40">
        <v>94</v>
      </c>
    </row>
    <row r="41" spans="1:22" ht="13.2">
      <c r="A41">
        <f t="shared" si="1"/>
        <v>33</v>
      </c>
      <c r="B41" s="11">
        <f t="shared" si="1"/>
        <v>44043</v>
      </c>
      <c r="C41">
        <v>80</v>
      </c>
      <c r="D41">
        <v>77</v>
      </c>
      <c r="E41">
        <v>75</v>
      </c>
      <c r="F41">
        <v>76</v>
      </c>
      <c r="G41">
        <v>75</v>
      </c>
      <c r="H41">
        <v>74</v>
      </c>
      <c r="I41">
        <v>74</v>
      </c>
      <c r="J41">
        <v>74</v>
      </c>
      <c r="K41">
        <v>73</v>
      </c>
      <c r="L41">
        <v>73</v>
      </c>
      <c r="M41">
        <v>75</v>
      </c>
      <c r="N41">
        <v>79</v>
      </c>
      <c r="O41">
        <v>80</v>
      </c>
      <c r="P41">
        <v>84</v>
      </c>
      <c r="Q41">
        <v>86</v>
      </c>
      <c r="R41">
        <v>89</v>
      </c>
      <c r="S41">
        <v>90</v>
      </c>
      <c r="T41">
        <v>90</v>
      </c>
      <c r="U41">
        <v>90</v>
      </c>
      <c r="V41">
        <v>89</v>
      </c>
    </row>
    <row r="42" spans="1:2" ht="13.2">
      <c r="A42">
        <f t="shared" si="1"/>
        <v>34</v>
      </c>
      <c r="B42" s="11"/>
    </row>
    <row r="43" spans="1:1" ht="13.2">
      <c r="A43">
        <f t="shared" si="2" ref="A43:A75">+A42+1</f>
        <v>35</v>
      </c>
    </row>
    <row r="44" spans="1:21" ht="28.8" customHeight="1">
      <c r="A44">
        <f t="shared" si="2"/>
        <v>36</v>
      </c>
      <c r="B44" s="58" t="s">
        <v>28</v>
      </c>
      <c r="C44" s="58" t="s">
        <v>49</v>
      </c>
      <c r="D44" s="58" t="s">
        <v>50</v>
      </c>
      <c r="E44" s="58" t="s">
        <v>51</v>
      </c>
      <c r="F44" s="58" t="s">
        <v>52</v>
      </c>
      <c r="G44" s="59" t="s">
        <v>53</v>
      </c>
      <c r="H44" s="58" t="s">
        <v>99</v>
      </c>
      <c r="I44" s="58" t="s">
        <v>60</v>
      </c>
      <c r="J44" s="58" t="s">
        <v>61</v>
      </c>
      <c r="K44" s="58" t="s">
        <v>110</v>
      </c>
      <c r="L44" s="58" t="s">
        <v>62</v>
      </c>
      <c r="M44" s="77" t="s">
        <v>118</v>
      </c>
      <c r="N44" s="78" t="s">
        <v>90</v>
      </c>
      <c r="O44" s="79" t="s">
        <v>119</v>
      </c>
      <c r="P44" s="79" t="s">
        <v>104</v>
      </c>
      <c r="Q44" s="27" t="s">
        <v>63</v>
      </c>
      <c r="R44" s="27" t="s">
        <v>64</v>
      </c>
      <c r="S44" s="27" t="s">
        <v>65</v>
      </c>
      <c r="T44" s="27" t="s">
        <v>91</v>
      </c>
      <c r="U44" s="41" t="s">
        <v>112</v>
      </c>
    </row>
    <row r="45" spans="1:21" ht="13.2">
      <c r="A45">
        <f t="shared" si="2"/>
        <v>37</v>
      </c>
      <c r="B45" s="11">
        <f>+B11</f>
        <v>44013</v>
      </c>
      <c r="C45">
        <v>83</v>
      </c>
      <c r="D45">
        <v>80</v>
      </c>
      <c r="E45">
        <v>78</v>
      </c>
      <c r="F45">
        <v>80</v>
      </c>
      <c r="G45" s="12">
        <f t="shared" si="3" ref="G45:G75">ROUND(AVERAGE(C11:V11,C45:F45),1)</f>
        <v>85</v>
      </c>
      <c r="H45" s="12">
        <f t="shared" si="4" ref="H45:H75">MAX(40-$G45,0)</f>
        <v>0</v>
      </c>
      <c r="I45" s="12">
        <f t="shared" si="5" ref="I45:I75">MAX(45-$G45,0)</f>
        <v>0</v>
      </c>
      <c r="J45" s="12">
        <f t="shared" si="6" ref="J45:J75">MAX(50-$G45,0)</f>
        <v>0</v>
      </c>
      <c r="K45" s="12">
        <f t="shared" si="7" ref="K45:K75">MAX(55-$G45,0)</f>
        <v>0</v>
      </c>
      <c r="L45" s="12">
        <f t="shared" si="8" ref="L45:L75">MAX(60-$G45,0)</f>
        <v>0</v>
      </c>
      <c r="M45" s="12">
        <f t="shared" si="9" ref="M45:M75">MAX(65-$G45,0)</f>
        <v>0</v>
      </c>
      <c r="N45" s="12">
        <f t="shared" si="10" ref="N45:N75">MAX($G45-50,0)</f>
        <v>35</v>
      </c>
      <c r="O45" s="12">
        <f t="shared" si="11" ref="O45:O75">MAX($G45-55,0)</f>
        <v>30</v>
      </c>
      <c r="P45" s="12">
        <f t="shared" si="12" ref="P45:P75">MAX($G45-60,0)</f>
        <v>25</v>
      </c>
      <c r="Q45" s="12">
        <f t="shared" si="13" ref="Q45:Q75">MAX($G45-65,0)</f>
        <v>20</v>
      </c>
      <c r="R45" s="12">
        <f t="shared" si="14" ref="R45:R75">MAX($G45-70,0)</f>
        <v>15</v>
      </c>
      <c r="S45" s="12">
        <f t="shared" si="15" ref="S45:S75">MAX($G45-75,0)</f>
        <v>10</v>
      </c>
      <c r="T45" s="12">
        <f t="shared" si="16" ref="T45:T75">MAX($G45-80,0)</f>
        <v>5</v>
      </c>
      <c r="U45" s="12">
        <f t="shared" si="17" ref="U45:U75">MAX($G45-85,0)</f>
        <v>0</v>
      </c>
    </row>
    <row r="46" spans="1:21" ht="13.2">
      <c r="A46">
        <f t="shared" si="2"/>
        <v>38</v>
      </c>
      <c r="B46" s="11">
        <f t="shared" si="18" ref="B46:B75">+B12</f>
        <v>44014</v>
      </c>
      <c r="C46">
        <v>87</v>
      </c>
      <c r="D46">
        <v>84</v>
      </c>
      <c r="E46">
        <v>83</v>
      </c>
      <c r="F46">
        <v>81</v>
      </c>
      <c r="G46" s="12">
        <f t="shared" si="3"/>
        <v>81.700000000000003</v>
      </c>
      <c r="H46" s="12">
        <f t="shared" si="4"/>
        <v>0</v>
      </c>
      <c r="I46" s="12">
        <f t="shared" si="5"/>
        <v>0</v>
      </c>
      <c r="J46" s="12">
        <f t="shared" si="6"/>
        <v>0</v>
      </c>
      <c r="K46" s="12">
        <f t="shared" si="7"/>
        <v>0</v>
      </c>
      <c r="L46" s="12">
        <f t="shared" si="8"/>
        <v>0</v>
      </c>
      <c r="M46" s="12">
        <f t="shared" si="9"/>
        <v>0</v>
      </c>
      <c r="N46" s="12">
        <f t="shared" si="10"/>
        <v>31.700000000000003</v>
      </c>
      <c r="O46" s="12">
        <f t="shared" si="11"/>
        <v>26.700000000000003</v>
      </c>
      <c r="P46" s="12">
        <f t="shared" si="12"/>
        <v>21.700000000000003</v>
      </c>
      <c r="Q46" s="12">
        <f t="shared" si="13"/>
        <v>16.700000000000003</v>
      </c>
      <c r="R46" s="12">
        <f t="shared" si="14"/>
        <v>11.700000000000003</v>
      </c>
      <c r="S46" s="12">
        <f t="shared" si="15"/>
        <v>6.7000000000000028</v>
      </c>
      <c r="T46" s="12">
        <f t="shared" si="16"/>
        <v>1.7000000000000028</v>
      </c>
      <c r="U46" s="12">
        <f t="shared" si="17"/>
        <v>0</v>
      </c>
    </row>
    <row r="47" spans="1:21" ht="13.2">
      <c r="A47">
        <f t="shared" si="2"/>
        <v>39</v>
      </c>
      <c r="B47" s="11">
        <f t="shared" si="18"/>
        <v>44015</v>
      </c>
      <c r="C47">
        <v>90</v>
      </c>
      <c r="D47">
        <v>83</v>
      </c>
      <c r="E47">
        <v>82</v>
      </c>
      <c r="F47">
        <v>79</v>
      </c>
      <c r="G47" s="12">
        <f t="shared" si="3"/>
        <v>85</v>
      </c>
      <c r="H47" s="12">
        <f t="shared" si="4"/>
        <v>0</v>
      </c>
      <c r="I47" s="12">
        <f t="shared" si="5"/>
        <v>0</v>
      </c>
      <c r="J47" s="12">
        <f t="shared" si="6"/>
        <v>0</v>
      </c>
      <c r="K47" s="12">
        <f t="shared" si="7"/>
        <v>0</v>
      </c>
      <c r="L47" s="12">
        <f t="shared" si="8"/>
        <v>0</v>
      </c>
      <c r="M47" s="12">
        <f t="shared" si="9"/>
        <v>0</v>
      </c>
      <c r="N47" s="12">
        <f t="shared" si="10"/>
        <v>35</v>
      </c>
      <c r="O47" s="12">
        <f t="shared" si="11"/>
        <v>30</v>
      </c>
      <c r="P47" s="12">
        <f t="shared" si="12"/>
        <v>25</v>
      </c>
      <c r="Q47" s="12">
        <f t="shared" si="13"/>
        <v>20</v>
      </c>
      <c r="R47" s="12">
        <f t="shared" si="14"/>
        <v>15</v>
      </c>
      <c r="S47" s="12">
        <f t="shared" si="15"/>
        <v>10</v>
      </c>
      <c r="T47" s="12">
        <f t="shared" si="16"/>
        <v>5</v>
      </c>
      <c r="U47" s="12">
        <f t="shared" si="17"/>
        <v>0</v>
      </c>
    </row>
    <row r="48" spans="1:21" ht="13.2">
      <c r="A48">
        <f t="shared" si="2"/>
        <v>40</v>
      </c>
      <c r="B48" s="11">
        <f t="shared" si="18"/>
        <v>44016</v>
      </c>
      <c r="C48">
        <v>93</v>
      </c>
      <c r="D48">
        <v>87</v>
      </c>
      <c r="E48">
        <v>82</v>
      </c>
      <c r="F48">
        <v>82</v>
      </c>
      <c r="G48" s="12">
        <f t="shared" si="3"/>
        <v>86.299999999999997</v>
      </c>
      <c r="H48" s="12">
        <f t="shared" si="4"/>
        <v>0</v>
      </c>
      <c r="I48" s="12">
        <f t="shared" si="5"/>
        <v>0</v>
      </c>
      <c r="J48" s="12">
        <f t="shared" si="6"/>
        <v>0</v>
      </c>
      <c r="K48" s="12">
        <f t="shared" si="7"/>
        <v>0</v>
      </c>
      <c r="L48" s="12">
        <f t="shared" si="8"/>
        <v>0</v>
      </c>
      <c r="M48" s="12">
        <f t="shared" si="9"/>
        <v>0</v>
      </c>
      <c r="N48" s="12">
        <f t="shared" si="10"/>
        <v>36.299999999999997</v>
      </c>
      <c r="O48" s="12">
        <f t="shared" si="11"/>
        <v>31.299999999999997</v>
      </c>
      <c r="P48" s="12">
        <f t="shared" si="12"/>
        <v>26.299999999999997</v>
      </c>
      <c r="Q48" s="12">
        <f t="shared" si="13"/>
        <v>21.299999999999997</v>
      </c>
      <c r="R48" s="12">
        <f t="shared" si="14"/>
        <v>16.299999999999997</v>
      </c>
      <c r="S48" s="12">
        <f t="shared" si="15"/>
        <v>11.299999999999997</v>
      </c>
      <c r="T48" s="12">
        <f t="shared" si="16"/>
        <v>6.2999999999999972</v>
      </c>
      <c r="U48" s="12">
        <f t="shared" si="17"/>
        <v>1.2999999999999972</v>
      </c>
    </row>
    <row r="49" spans="1:21" ht="13.2">
      <c r="A49">
        <f t="shared" si="2"/>
        <v>41</v>
      </c>
      <c r="B49" s="11">
        <f t="shared" si="18"/>
        <v>44017</v>
      </c>
      <c r="C49">
        <v>86</v>
      </c>
      <c r="D49">
        <v>83</v>
      </c>
      <c r="E49">
        <v>81</v>
      </c>
      <c r="F49">
        <v>78</v>
      </c>
      <c r="G49" s="12">
        <f t="shared" si="3"/>
        <v>82.900000000000006</v>
      </c>
      <c r="H49" s="12">
        <f t="shared" si="4"/>
        <v>0</v>
      </c>
      <c r="I49" s="12">
        <f t="shared" si="5"/>
        <v>0</v>
      </c>
      <c r="J49" s="12">
        <f t="shared" si="6"/>
        <v>0</v>
      </c>
      <c r="K49" s="12">
        <f t="shared" si="7"/>
        <v>0</v>
      </c>
      <c r="L49" s="12">
        <f t="shared" si="8"/>
        <v>0</v>
      </c>
      <c r="M49" s="12">
        <f t="shared" si="9"/>
        <v>0</v>
      </c>
      <c r="N49" s="12">
        <f t="shared" si="10"/>
        <v>32.900000000000006</v>
      </c>
      <c r="O49" s="12">
        <f t="shared" si="11"/>
        <v>27.900000000000006</v>
      </c>
      <c r="P49" s="12">
        <f t="shared" si="12"/>
        <v>22.900000000000006</v>
      </c>
      <c r="Q49" s="12">
        <f t="shared" si="13"/>
        <v>17.900000000000006</v>
      </c>
      <c r="R49" s="12">
        <f t="shared" si="14"/>
        <v>12.900000000000006</v>
      </c>
      <c r="S49" s="12">
        <f t="shared" si="15"/>
        <v>7.9000000000000057</v>
      </c>
      <c r="T49" s="12">
        <f t="shared" si="16"/>
        <v>2.9000000000000057</v>
      </c>
      <c r="U49" s="12">
        <f t="shared" si="17"/>
        <v>0</v>
      </c>
    </row>
    <row r="50" spans="1:21" ht="13.2">
      <c r="A50">
        <f t="shared" si="2"/>
        <v>42</v>
      </c>
      <c r="B50" s="11">
        <f t="shared" si="18"/>
        <v>44018</v>
      </c>
      <c r="C50">
        <v>80</v>
      </c>
      <c r="D50">
        <v>78</v>
      </c>
      <c r="E50">
        <v>77</v>
      </c>
      <c r="F50">
        <v>76</v>
      </c>
      <c r="G50" s="12">
        <f t="shared" si="3"/>
        <v>78.200000000000003</v>
      </c>
      <c r="H50" s="12">
        <f t="shared" si="4"/>
        <v>0</v>
      </c>
      <c r="I50" s="12">
        <f t="shared" si="5"/>
        <v>0</v>
      </c>
      <c r="J50" s="12">
        <f t="shared" si="6"/>
        <v>0</v>
      </c>
      <c r="K50" s="12">
        <f t="shared" si="7"/>
        <v>0</v>
      </c>
      <c r="L50" s="12">
        <f t="shared" si="8"/>
        <v>0</v>
      </c>
      <c r="M50" s="12">
        <f t="shared" si="9"/>
        <v>0</v>
      </c>
      <c r="N50" s="12">
        <f t="shared" si="10"/>
        <v>28.200000000000003</v>
      </c>
      <c r="O50" s="12">
        <f t="shared" si="11"/>
        <v>23.200000000000003</v>
      </c>
      <c r="P50" s="12">
        <f t="shared" si="12"/>
        <v>18.200000000000003</v>
      </c>
      <c r="Q50" s="12">
        <f t="shared" si="13"/>
        <v>13.200000000000003</v>
      </c>
      <c r="R50" s="12">
        <f t="shared" si="14"/>
        <v>8.2000000000000028</v>
      </c>
      <c r="S50" s="12">
        <f t="shared" si="15"/>
        <v>3.2000000000000028</v>
      </c>
      <c r="T50" s="12">
        <f t="shared" si="16"/>
        <v>0</v>
      </c>
      <c r="U50" s="12">
        <f t="shared" si="17"/>
        <v>0</v>
      </c>
    </row>
    <row r="51" spans="1:21" ht="13.2">
      <c r="A51">
        <f t="shared" si="2"/>
        <v>43</v>
      </c>
      <c r="B51" s="11">
        <f t="shared" si="18"/>
        <v>44019</v>
      </c>
      <c r="C51">
        <v>79</v>
      </c>
      <c r="D51">
        <v>76</v>
      </c>
      <c r="E51">
        <v>74</v>
      </c>
      <c r="F51">
        <v>73</v>
      </c>
      <c r="G51" s="12">
        <f t="shared" si="3"/>
        <v>79.900000000000006</v>
      </c>
      <c r="H51" s="12">
        <f t="shared" si="4"/>
        <v>0</v>
      </c>
      <c r="I51" s="12">
        <f t="shared" si="5"/>
        <v>0</v>
      </c>
      <c r="J51" s="12">
        <f t="shared" si="6"/>
        <v>0</v>
      </c>
      <c r="K51" s="12">
        <f t="shared" si="7"/>
        <v>0</v>
      </c>
      <c r="L51" s="12">
        <f t="shared" si="8"/>
        <v>0</v>
      </c>
      <c r="M51" s="12">
        <f t="shared" si="9"/>
        <v>0</v>
      </c>
      <c r="N51" s="12">
        <f t="shared" si="10"/>
        <v>29.900000000000006</v>
      </c>
      <c r="O51" s="12">
        <f t="shared" si="11"/>
        <v>24.900000000000006</v>
      </c>
      <c r="P51" s="12">
        <f t="shared" si="12"/>
        <v>19.900000000000006</v>
      </c>
      <c r="Q51" s="12">
        <f t="shared" si="13"/>
        <v>14.900000000000006</v>
      </c>
      <c r="R51" s="12">
        <f t="shared" si="14"/>
        <v>9.9000000000000057</v>
      </c>
      <c r="S51" s="12">
        <f t="shared" si="15"/>
        <v>4.9000000000000057</v>
      </c>
      <c r="T51" s="12">
        <f t="shared" si="16"/>
        <v>0</v>
      </c>
      <c r="U51" s="12">
        <f t="shared" si="17"/>
        <v>0</v>
      </c>
    </row>
    <row r="52" spans="1:21" ht="13.2">
      <c r="A52">
        <f t="shared" si="2"/>
        <v>44</v>
      </c>
      <c r="B52" s="11">
        <f t="shared" si="18"/>
        <v>44020</v>
      </c>
      <c r="C52">
        <v>87</v>
      </c>
      <c r="D52">
        <v>84</v>
      </c>
      <c r="E52">
        <v>84</v>
      </c>
      <c r="F52">
        <v>83</v>
      </c>
      <c r="G52" s="12">
        <f t="shared" si="3"/>
        <v>83.900000000000006</v>
      </c>
      <c r="H52" s="12">
        <f t="shared" si="4"/>
        <v>0</v>
      </c>
      <c r="I52" s="12">
        <f t="shared" si="5"/>
        <v>0</v>
      </c>
      <c r="J52" s="12">
        <f t="shared" si="6"/>
        <v>0</v>
      </c>
      <c r="K52" s="12">
        <f t="shared" si="7"/>
        <v>0</v>
      </c>
      <c r="L52" s="12">
        <f t="shared" si="8"/>
        <v>0</v>
      </c>
      <c r="M52" s="12">
        <f t="shared" si="9"/>
        <v>0</v>
      </c>
      <c r="N52" s="12">
        <f t="shared" si="10"/>
        <v>33.900000000000006</v>
      </c>
      <c r="O52" s="12">
        <f t="shared" si="11"/>
        <v>28.900000000000006</v>
      </c>
      <c r="P52" s="12">
        <f t="shared" si="12"/>
        <v>23.900000000000006</v>
      </c>
      <c r="Q52" s="12">
        <f t="shared" si="13"/>
        <v>18.900000000000006</v>
      </c>
      <c r="R52" s="12">
        <f t="shared" si="14"/>
        <v>13.900000000000006</v>
      </c>
      <c r="S52" s="12">
        <f t="shared" si="15"/>
        <v>8.9000000000000057</v>
      </c>
      <c r="T52" s="12">
        <f t="shared" si="16"/>
        <v>3.9000000000000057</v>
      </c>
      <c r="U52" s="12">
        <f t="shared" si="17"/>
        <v>0</v>
      </c>
    </row>
    <row r="53" spans="1:21" ht="13.2">
      <c r="A53">
        <f t="shared" si="2"/>
        <v>45</v>
      </c>
      <c r="B53" s="11">
        <f t="shared" si="18"/>
        <v>44021</v>
      </c>
      <c r="C53">
        <v>90</v>
      </c>
      <c r="D53">
        <v>87</v>
      </c>
      <c r="E53">
        <v>87</v>
      </c>
      <c r="F53">
        <v>86</v>
      </c>
      <c r="G53" s="12">
        <f t="shared" si="3"/>
        <v>87.700000000000003</v>
      </c>
      <c r="H53" s="12">
        <f t="shared" si="4"/>
        <v>0</v>
      </c>
      <c r="I53" s="12">
        <f t="shared" si="5"/>
        <v>0</v>
      </c>
      <c r="J53" s="12">
        <f t="shared" si="6"/>
        <v>0</v>
      </c>
      <c r="K53" s="12">
        <f t="shared" si="7"/>
        <v>0</v>
      </c>
      <c r="L53" s="12">
        <f t="shared" si="8"/>
        <v>0</v>
      </c>
      <c r="M53" s="12">
        <f t="shared" si="9"/>
        <v>0</v>
      </c>
      <c r="N53" s="12">
        <f t="shared" si="10"/>
        <v>37.700000000000003</v>
      </c>
      <c r="O53" s="12">
        <f t="shared" si="11"/>
        <v>32.700000000000003</v>
      </c>
      <c r="P53" s="12">
        <f t="shared" si="12"/>
        <v>27.700000000000003</v>
      </c>
      <c r="Q53" s="12">
        <f t="shared" si="13"/>
        <v>22.700000000000003</v>
      </c>
      <c r="R53" s="12">
        <f t="shared" si="14"/>
        <v>17.700000000000003</v>
      </c>
      <c r="S53" s="12">
        <f t="shared" si="15"/>
        <v>12.700000000000003</v>
      </c>
      <c r="T53" s="12">
        <f t="shared" si="16"/>
        <v>7.7000000000000028</v>
      </c>
      <c r="U53" s="12">
        <f t="shared" si="17"/>
        <v>2.7000000000000028</v>
      </c>
    </row>
    <row r="54" spans="1:21" ht="13.2">
      <c r="A54">
        <f t="shared" si="2"/>
        <v>46</v>
      </c>
      <c r="B54" s="11">
        <f t="shared" si="18"/>
        <v>44022</v>
      </c>
      <c r="C54">
        <v>91</v>
      </c>
      <c r="D54">
        <v>87</v>
      </c>
      <c r="E54">
        <v>84</v>
      </c>
      <c r="F54">
        <v>84</v>
      </c>
      <c r="G54" s="12">
        <f t="shared" si="3"/>
        <v>87</v>
      </c>
      <c r="H54" s="12">
        <f t="shared" si="4"/>
        <v>0</v>
      </c>
      <c r="I54" s="12">
        <f t="shared" si="5"/>
        <v>0</v>
      </c>
      <c r="J54" s="12">
        <f t="shared" si="6"/>
        <v>0</v>
      </c>
      <c r="K54" s="12">
        <f t="shared" si="7"/>
        <v>0</v>
      </c>
      <c r="L54" s="12">
        <f t="shared" si="8"/>
        <v>0</v>
      </c>
      <c r="M54" s="12">
        <f t="shared" si="9"/>
        <v>0</v>
      </c>
      <c r="N54" s="12">
        <f t="shared" si="10"/>
        <v>37</v>
      </c>
      <c r="O54" s="12">
        <f t="shared" si="11"/>
        <v>32</v>
      </c>
      <c r="P54" s="12">
        <f t="shared" si="12"/>
        <v>27</v>
      </c>
      <c r="Q54" s="12">
        <f t="shared" si="13"/>
        <v>22</v>
      </c>
      <c r="R54" s="12">
        <f t="shared" si="14"/>
        <v>17</v>
      </c>
      <c r="S54" s="12">
        <f t="shared" si="15"/>
        <v>12</v>
      </c>
      <c r="T54" s="12">
        <f t="shared" si="16"/>
        <v>7</v>
      </c>
      <c r="U54" s="12">
        <f t="shared" si="17"/>
        <v>2</v>
      </c>
    </row>
    <row r="55" spans="1:21" ht="13.2">
      <c r="A55">
        <f t="shared" si="2"/>
        <v>47</v>
      </c>
      <c r="B55" s="11">
        <f t="shared" si="18"/>
        <v>44023</v>
      </c>
      <c r="C55">
        <v>92</v>
      </c>
      <c r="D55">
        <v>87</v>
      </c>
      <c r="E55">
        <v>85</v>
      </c>
      <c r="F55">
        <v>83</v>
      </c>
      <c r="G55" s="12">
        <f t="shared" si="3"/>
        <v>89</v>
      </c>
      <c r="H55" s="12">
        <f t="shared" si="4"/>
        <v>0</v>
      </c>
      <c r="I55" s="12">
        <f t="shared" si="5"/>
        <v>0</v>
      </c>
      <c r="J55" s="12">
        <f t="shared" si="6"/>
        <v>0</v>
      </c>
      <c r="K55" s="12">
        <f t="shared" si="7"/>
        <v>0</v>
      </c>
      <c r="L55" s="12">
        <f t="shared" si="8"/>
        <v>0</v>
      </c>
      <c r="M55" s="12">
        <f t="shared" si="9"/>
        <v>0</v>
      </c>
      <c r="N55" s="12">
        <f t="shared" si="10"/>
        <v>39</v>
      </c>
      <c r="O55" s="12">
        <f t="shared" si="11"/>
        <v>34</v>
      </c>
      <c r="P55" s="12">
        <f t="shared" si="12"/>
        <v>29</v>
      </c>
      <c r="Q55" s="12">
        <f t="shared" si="13"/>
        <v>24</v>
      </c>
      <c r="R55" s="12">
        <f t="shared" si="14"/>
        <v>19</v>
      </c>
      <c r="S55" s="12">
        <f t="shared" si="15"/>
        <v>14</v>
      </c>
      <c r="T55" s="12">
        <f t="shared" si="16"/>
        <v>9</v>
      </c>
      <c r="U55" s="12">
        <f t="shared" si="17"/>
        <v>4</v>
      </c>
    </row>
    <row r="56" spans="1:21" ht="13.2">
      <c r="A56">
        <f t="shared" si="2"/>
        <v>48</v>
      </c>
      <c r="B56" s="11">
        <f t="shared" si="18"/>
        <v>44024</v>
      </c>
      <c r="C56">
        <v>94</v>
      </c>
      <c r="D56">
        <v>87</v>
      </c>
      <c r="E56">
        <v>87</v>
      </c>
      <c r="F56">
        <v>87</v>
      </c>
      <c r="G56" s="12">
        <f t="shared" si="3"/>
        <v>89.200000000000003</v>
      </c>
      <c r="H56" s="12">
        <f t="shared" si="4"/>
        <v>0</v>
      </c>
      <c r="I56" s="12">
        <f t="shared" si="5"/>
        <v>0</v>
      </c>
      <c r="J56" s="12">
        <f t="shared" si="6"/>
        <v>0</v>
      </c>
      <c r="K56" s="12">
        <f t="shared" si="7"/>
        <v>0</v>
      </c>
      <c r="L56" s="12">
        <f t="shared" si="8"/>
        <v>0</v>
      </c>
      <c r="M56" s="12">
        <f t="shared" si="9"/>
        <v>0</v>
      </c>
      <c r="N56" s="12">
        <f t="shared" si="10"/>
        <v>39.200000000000003</v>
      </c>
      <c r="O56" s="12">
        <f t="shared" si="11"/>
        <v>34.200000000000003</v>
      </c>
      <c r="P56" s="12">
        <f t="shared" si="12"/>
        <v>29.200000000000003</v>
      </c>
      <c r="Q56" s="12">
        <f t="shared" si="13"/>
        <v>24.200000000000003</v>
      </c>
      <c r="R56" s="12">
        <f t="shared" si="14"/>
        <v>19.200000000000003</v>
      </c>
      <c r="S56" s="12">
        <f t="shared" si="15"/>
        <v>14.200000000000003</v>
      </c>
      <c r="T56" s="12">
        <f t="shared" si="16"/>
        <v>9.2000000000000028</v>
      </c>
      <c r="U56" s="12">
        <f t="shared" si="17"/>
        <v>4.2000000000000028</v>
      </c>
    </row>
    <row r="57" spans="1:21" ht="13.2">
      <c r="A57">
        <f t="shared" si="2"/>
        <v>49</v>
      </c>
      <c r="B57" s="11">
        <f t="shared" si="18"/>
        <v>44025</v>
      </c>
      <c r="C57">
        <v>95</v>
      </c>
      <c r="D57">
        <v>90</v>
      </c>
      <c r="E57">
        <v>89</v>
      </c>
      <c r="F57">
        <v>92</v>
      </c>
      <c r="G57" s="12">
        <f t="shared" si="3"/>
        <v>92.200000000000003</v>
      </c>
      <c r="H57" s="12">
        <f t="shared" si="4"/>
        <v>0</v>
      </c>
      <c r="I57" s="12">
        <f t="shared" si="5"/>
        <v>0</v>
      </c>
      <c r="J57" s="12">
        <f t="shared" si="6"/>
        <v>0</v>
      </c>
      <c r="K57" s="12">
        <f t="shared" si="7"/>
        <v>0</v>
      </c>
      <c r="L57" s="12">
        <f t="shared" si="8"/>
        <v>0</v>
      </c>
      <c r="M57" s="12">
        <f t="shared" si="9"/>
        <v>0</v>
      </c>
      <c r="N57" s="12">
        <f t="shared" si="10"/>
        <v>42.200000000000003</v>
      </c>
      <c r="O57" s="12">
        <f t="shared" si="11"/>
        <v>37.200000000000003</v>
      </c>
      <c r="P57" s="12">
        <f t="shared" si="12"/>
        <v>32.200000000000003</v>
      </c>
      <c r="Q57" s="12">
        <f t="shared" si="13"/>
        <v>27.200000000000003</v>
      </c>
      <c r="R57" s="12">
        <f t="shared" si="14"/>
        <v>22.200000000000003</v>
      </c>
      <c r="S57" s="12">
        <f t="shared" si="15"/>
        <v>17.200000000000003</v>
      </c>
      <c r="T57" s="12">
        <f t="shared" si="16"/>
        <v>12.200000000000003</v>
      </c>
      <c r="U57" s="12">
        <f t="shared" si="17"/>
        <v>7.2000000000000028</v>
      </c>
    </row>
    <row r="58" spans="1:21" ht="13.2">
      <c r="A58" s="18">
        <f t="shared" si="2"/>
        <v>50</v>
      </c>
      <c r="B58" s="11">
        <f t="shared" si="18"/>
        <v>44026</v>
      </c>
      <c r="C58">
        <v>96</v>
      </c>
      <c r="D58">
        <v>90</v>
      </c>
      <c r="E58">
        <v>93</v>
      </c>
      <c r="F58">
        <v>92</v>
      </c>
      <c r="G58" s="12">
        <f t="shared" si="3"/>
        <v>94</v>
      </c>
      <c r="H58" s="12">
        <f t="shared" si="4"/>
        <v>0</v>
      </c>
      <c r="I58" s="12">
        <f t="shared" si="5"/>
        <v>0</v>
      </c>
      <c r="J58" s="12">
        <f t="shared" si="6"/>
        <v>0</v>
      </c>
      <c r="K58" s="12">
        <f t="shared" si="7"/>
        <v>0</v>
      </c>
      <c r="L58" s="12">
        <f t="shared" si="8"/>
        <v>0</v>
      </c>
      <c r="M58" s="12">
        <f t="shared" si="9"/>
        <v>0</v>
      </c>
      <c r="N58" s="12">
        <f t="shared" si="10"/>
        <v>44</v>
      </c>
      <c r="O58" s="12">
        <f t="shared" si="11"/>
        <v>39</v>
      </c>
      <c r="P58" s="12">
        <f t="shared" si="12"/>
        <v>34</v>
      </c>
      <c r="Q58" s="12">
        <f t="shared" si="13"/>
        <v>29</v>
      </c>
      <c r="R58" s="12">
        <f t="shared" si="14"/>
        <v>24</v>
      </c>
      <c r="S58" s="12">
        <f t="shared" si="15"/>
        <v>19</v>
      </c>
      <c r="T58" s="12">
        <f t="shared" si="16"/>
        <v>14</v>
      </c>
      <c r="U58" s="12">
        <f t="shared" si="17"/>
        <v>9</v>
      </c>
    </row>
    <row r="59" spans="1:21" ht="13.2">
      <c r="A59">
        <f t="shared" si="2"/>
        <v>51</v>
      </c>
      <c r="B59" s="11">
        <f t="shared" si="18"/>
        <v>44027</v>
      </c>
      <c r="C59">
        <v>92</v>
      </c>
      <c r="D59">
        <v>89</v>
      </c>
      <c r="E59">
        <v>87</v>
      </c>
      <c r="F59">
        <v>84</v>
      </c>
      <c r="G59" s="12">
        <f t="shared" si="3"/>
        <v>90</v>
      </c>
      <c r="H59" s="12">
        <f t="shared" si="4"/>
        <v>0</v>
      </c>
      <c r="I59" s="12">
        <f t="shared" si="5"/>
        <v>0</v>
      </c>
      <c r="J59" s="12">
        <f t="shared" si="6"/>
        <v>0</v>
      </c>
      <c r="K59" s="12">
        <f t="shared" si="7"/>
        <v>0</v>
      </c>
      <c r="L59" s="12">
        <f t="shared" si="8"/>
        <v>0</v>
      </c>
      <c r="M59" s="12">
        <f t="shared" si="9"/>
        <v>0</v>
      </c>
      <c r="N59" s="12">
        <f t="shared" si="10"/>
        <v>40</v>
      </c>
      <c r="O59" s="12">
        <f t="shared" si="11"/>
        <v>35</v>
      </c>
      <c r="P59" s="12">
        <f t="shared" si="12"/>
        <v>30</v>
      </c>
      <c r="Q59" s="12">
        <f t="shared" si="13"/>
        <v>25</v>
      </c>
      <c r="R59" s="12">
        <f t="shared" si="14"/>
        <v>20</v>
      </c>
      <c r="S59" s="12">
        <f t="shared" si="15"/>
        <v>15</v>
      </c>
      <c r="T59" s="12">
        <f t="shared" si="16"/>
        <v>10</v>
      </c>
      <c r="U59" s="12">
        <f t="shared" si="17"/>
        <v>5</v>
      </c>
    </row>
    <row r="60" spans="1:21" ht="13.2">
      <c r="A60">
        <f t="shared" si="2"/>
        <v>52</v>
      </c>
      <c r="B60" s="11">
        <f t="shared" si="18"/>
        <v>44028</v>
      </c>
      <c r="C60">
        <v>92</v>
      </c>
      <c r="D60">
        <v>87</v>
      </c>
      <c r="E60">
        <v>85</v>
      </c>
      <c r="F60">
        <v>86</v>
      </c>
      <c r="G60" s="12">
        <f t="shared" si="3"/>
        <v>89.200000000000003</v>
      </c>
      <c r="H60" s="12">
        <f t="shared" si="4"/>
        <v>0</v>
      </c>
      <c r="I60" s="12">
        <f t="shared" si="5"/>
        <v>0</v>
      </c>
      <c r="J60" s="12">
        <f t="shared" si="6"/>
        <v>0</v>
      </c>
      <c r="K60" s="12">
        <f t="shared" si="7"/>
        <v>0</v>
      </c>
      <c r="L60" s="12">
        <f t="shared" si="8"/>
        <v>0</v>
      </c>
      <c r="M60" s="12">
        <f t="shared" si="9"/>
        <v>0</v>
      </c>
      <c r="N60" s="12">
        <f t="shared" si="10"/>
        <v>39.200000000000003</v>
      </c>
      <c r="O60" s="12">
        <f t="shared" si="11"/>
        <v>34.200000000000003</v>
      </c>
      <c r="P60" s="12">
        <f t="shared" si="12"/>
        <v>29.200000000000003</v>
      </c>
      <c r="Q60" s="12">
        <f t="shared" si="13"/>
        <v>24.200000000000003</v>
      </c>
      <c r="R60" s="12">
        <f t="shared" si="14"/>
        <v>19.200000000000003</v>
      </c>
      <c r="S60" s="12">
        <f t="shared" si="15"/>
        <v>14.200000000000003</v>
      </c>
      <c r="T60" s="12">
        <f t="shared" si="16"/>
        <v>9.2000000000000028</v>
      </c>
      <c r="U60" s="12">
        <f t="shared" si="17"/>
        <v>4.2000000000000028</v>
      </c>
    </row>
    <row r="61" spans="1:21" ht="13.2">
      <c r="A61">
        <f t="shared" si="2"/>
        <v>53</v>
      </c>
      <c r="B61" s="11">
        <f t="shared" si="18"/>
        <v>44029</v>
      </c>
      <c r="C61">
        <v>92</v>
      </c>
      <c r="D61">
        <v>89</v>
      </c>
      <c r="E61">
        <v>87</v>
      </c>
      <c r="F61">
        <v>83</v>
      </c>
      <c r="G61" s="12">
        <f t="shared" si="3"/>
        <v>88.400000000000006</v>
      </c>
      <c r="H61" s="12">
        <f t="shared" si="4"/>
        <v>0</v>
      </c>
      <c r="I61" s="12">
        <f t="shared" si="5"/>
        <v>0</v>
      </c>
      <c r="J61" s="12">
        <f t="shared" si="6"/>
        <v>0</v>
      </c>
      <c r="K61" s="12">
        <f t="shared" si="7"/>
        <v>0</v>
      </c>
      <c r="L61" s="12">
        <f t="shared" si="8"/>
        <v>0</v>
      </c>
      <c r="M61" s="12">
        <f t="shared" si="9"/>
        <v>0</v>
      </c>
      <c r="N61" s="12">
        <f t="shared" si="10"/>
        <v>38.400000000000006</v>
      </c>
      <c r="O61" s="12">
        <f t="shared" si="11"/>
        <v>33.400000000000006</v>
      </c>
      <c r="P61" s="12">
        <f t="shared" si="12"/>
        <v>28.400000000000006</v>
      </c>
      <c r="Q61" s="12">
        <f t="shared" si="13"/>
        <v>23.400000000000006</v>
      </c>
      <c r="R61" s="12">
        <f t="shared" si="14"/>
        <v>18.400000000000006</v>
      </c>
      <c r="S61" s="12">
        <f t="shared" si="15"/>
        <v>13.400000000000006</v>
      </c>
      <c r="T61" s="12">
        <f t="shared" si="16"/>
        <v>8.4000000000000057</v>
      </c>
      <c r="U61" s="12">
        <f t="shared" si="17"/>
        <v>3.4000000000000057</v>
      </c>
    </row>
    <row r="62" spans="1:21" ht="13.2">
      <c r="A62" s="18">
        <f t="shared" si="2"/>
        <v>54</v>
      </c>
      <c r="B62" s="11">
        <f t="shared" si="18"/>
        <v>44030</v>
      </c>
      <c r="C62">
        <v>89</v>
      </c>
      <c r="D62">
        <v>85</v>
      </c>
      <c r="E62">
        <v>83</v>
      </c>
      <c r="F62">
        <v>82</v>
      </c>
      <c r="G62" s="12">
        <f t="shared" si="3"/>
        <v>85.700000000000003</v>
      </c>
      <c r="H62" s="12">
        <f t="shared" si="4"/>
        <v>0</v>
      </c>
      <c r="I62" s="12">
        <f t="shared" si="5"/>
        <v>0</v>
      </c>
      <c r="J62" s="12">
        <f t="shared" si="6"/>
        <v>0</v>
      </c>
      <c r="K62" s="12">
        <f t="shared" si="7"/>
        <v>0</v>
      </c>
      <c r="L62" s="12">
        <f t="shared" si="8"/>
        <v>0</v>
      </c>
      <c r="M62" s="12">
        <f t="shared" si="9"/>
        <v>0</v>
      </c>
      <c r="N62" s="12">
        <f t="shared" si="10"/>
        <v>35.700000000000003</v>
      </c>
      <c r="O62" s="12">
        <f t="shared" si="11"/>
        <v>30.700000000000003</v>
      </c>
      <c r="P62" s="12">
        <f t="shared" si="12"/>
        <v>25.700000000000003</v>
      </c>
      <c r="Q62" s="12">
        <f t="shared" si="13"/>
        <v>20.700000000000003</v>
      </c>
      <c r="R62" s="12">
        <f t="shared" si="14"/>
        <v>15.700000000000003</v>
      </c>
      <c r="S62" s="12">
        <f t="shared" si="15"/>
        <v>10.700000000000003</v>
      </c>
      <c r="T62" s="12">
        <f t="shared" si="16"/>
        <v>5.7000000000000028</v>
      </c>
      <c r="U62" s="12">
        <f t="shared" si="17"/>
        <v>0.70000000000000284</v>
      </c>
    </row>
    <row r="63" spans="1:21" ht="13.2">
      <c r="A63">
        <f t="shared" si="2"/>
        <v>55</v>
      </c>
      <c r="B63" s="11">
        <f t="shared" si="18"/>
        <v>44031</v>
      </c>
      <c r="C63">
        <v>89</v>
      </c>
      <c r="D63">
        <v>86</v>
      </c>
      <c r="E63">
        <v>84</v>
      </c>
      <c r="F63">
        <v>83</v>
      </c>
      <c r="G63" s="12">
        <f t="shared" si="3"/>
        <v>85.400000000000006</v>
      </c>
      <c r="H63" s="12">
        <f t="shared" si="4"/>
        <v>0</v>
      </c>
      <c r="I63" s="12">
        <f t="shared" si="5"/>
        <v>0</v>
      </c>
      <c r="J63" s="12">
        <f t="shared" si="6"/>
        <v>0</v>
      </c>
      <c r="K63" s="12">
        <f t="shared" si="7"/>
        <v>0</v>
      </c>
      <c r="L63" s="12">
        <f t="shared" si="8"/>
        <v>0</v>
      </c>
      <c r="M63" s="12">
        <f t="shared" si="9"/>
        <v>0</v>
      </c>
      <c r="N63" s="12">
        <f t="shared" si="10"/>
        <v>35.400000000000006</v>
      </c>
      <c r="O63" s="12">
        <f t="shared" si="11"/>
        <v>30.400000000000006</v>
      </c>
      <c r="P63" s="12">
        <f t="shared" si="12"/>
        <v>25.400000000000006</v>
      </c>
      <c r="Q63" s="12">
        <f t="shared" si="13"/>
        <v>20.400000000000006</v>
      </c>
      <c r="R63" s="12">
        <f t="shared" si="14"/>
        <v>15.400000000000006</v>
      </c>
      <c r="S63" s="12">
        <f t="shared" si="15"/>
        <v>10.400000000000006</v>
      </c>
      <c r="T63" s="12">
        <f t="shared" si="16"/>
        <v>5.4000000000000057</v>
      </c>
      <c r="U63" s="12">
        <f t="shared" si="17"/>
        <v>0.40000000000000568</v>
      </c>
    </row>
    <row r="64" spans="1:21" ht="13.2">
      <c r="A64">
        <f t="shared" si="2"/>
        <v>56</v>
      </c>
      <c r="B64" s="11">
        <f t="shared" si="18"/>
        <v>44032</v>
      </c>
      <c r="C64">
        <v>91</v>
      </c>
      <c r="D64">
        <v>87</v>
      </c>
      <c r="E64">
        <v>86</v>
      </c>
      <c r="F64">
        <v>84</v>
      </c>
      <c r="G64" s="12">
        <f t="shared" si="3"/>
        <v>85.799999999999997</v>
      </c>
      <c r="H64" s="12">
        <f t="shared" si="4"/>
        <v>0</v>
      </c>
      <c r="I64" s="12">
        <f t="shared" si="5"/>
        <v>0</v>
      </c>
      <c r="J64" s="12">
        <f t="shared" si="6"/>
        <v>0</v>
      </c>
      <c r="K64" s="12">
        <f t="shared" si="7"/>
        <v>0</v>
      </c>
      <c r="L64" s="12">
        <f t="shared" si="8"/>
        <v>0</v>
      </c>
      <c r="M64" s="12">
        <f t="shared" si="9"/>
        <v>0</v>
      </c>
      <c r="N64" s="12">
        <f t="shared" si="10"/>
        <v>35.799999999999997</v>
      </c>
      <c r="O64" s="12">
        <f t="shared" si="11"/>
        <v>30.799999999999997</v>
      </c>
      <c r="P64" s="12">
        <f t="shared" si="12"/>
        <v>25.799999999999997</v>
      </c>
      <c r="Q64" s="12">
        <f t="shared" si="13"/>
        <v>20.799999999999997</v>
      </c>
      <c r="R64" s="12">
        <f t="shared" si="14"/>
        <v>15.799999999999997</v>
      </c>
      <c r="S64" s="12">
        <f t="shared" si="15"/>
        <v>10.799999999999997</v>
      </c>
      <c r="T64" s="12">
        <f t="shared" si="16"/>
        <v>5.7999999999999972</v>
      </c>
      <c r="U64" s="12">
        <f t="shared" si="17"/>
        <v>0.79999999999999716</v>
      </c>
    </row>
    <row r="65" spans="1:21" ht="13.2">
      <c r="A65">
        <f t="shared" si="2"/>
        <v>57</v>
      </c>
      <c r="B65" s="11">
        <f t="shared" si="18"/>
        <v>44033</v>
      </c>
      <c r="C65">
        <v>88</v>
      </c>
      <c r="D65">
        <v>85</v>
      </c>
      <c r="E65">
        <v>84</v>
      </c>
      <c r="F65">
        <v>82</v>
      </c>
      <c r="G65" s="12">
        <f t="shared" si="3"/>
        <v>85.400000000000006</v>
      </c>
      <c r="H65" s="12">
        <f t="shared" si="4"/>
        <v>0</v>
      </c>
      <c r="I65" s="12">
        <f t="shared" si="5"/>
        <v>0</v>
      </c>
      <c r="J65" s="12">
        <f t="shared" si="6"/>
        <v>0</v>
      </c>
      <c r="K65" s="12">
        <f t="shared" si="7"/>
        <v>0</v>
      </c>
      <c r="L65" s="12">
        <f t="shared" si="8"/>
        <v>0</v>
      </c>
      <c r="M65" s="12">
        <f t="shared" si="9"/>
        <v>0</v>
      </c>
      <c r="N65" s="12">
        <f t="shared" si="10"/>
        <v>35.400000000000006</v>
      </c>
      <c r="O65" s="12">
        <f t="shared" si="11"/>
        <v>30.400000000000006</v>
      </c>
      <c r="P65" s="12">
        <f t="shared" si="12"/>
        <v>25.400000000000006</v>
      </c>
      <c r="Q65" s="12">
        <f t="shared" si="13"/>
        <v>20.400000000000006</v>
      </c>
      <c r="R65" s="12">
        <f t="shared" si="14"/>
        <v>15.400000000000006</v>
      </c>
      <c r="S65" s="12">
        <f t="shared" si="15"/>
        <v>10.400000000000006</v>
      </c>
      <c r="T65" s="12">
        <f t="shared" si="16"/>
        <v>5.4000000000000057</v>
      </c>
      <c r="U65" s="12">
        <f t="shared" si="17"/>
        <v>0.40000000000000568</v>
      </c>
    </row>
    <row r="66" spans="1:21" ht="13.2">
      <c r="A66">
        <f t="shared" si="2"/>
        <v>58</v>
      </c>
      <c r="B66" s="11">
        <f t="shared" si="18"/>
        <v>44034</v>
      </c>
      <c r="C66">
        <v>83</v>
      </c>
      <c r="D66">
        <v>82</v>
      </c>
      <c r="E66">
        <v>80</v>
      </c>
      <c r="F66">
        <v>78</v>
      </c>
      <c r="G66" s="12">
        <f t="shared" si="3"/>
        <v>81.299999999999997</v>
      </c>
      <c r="H66" s="12">
        <f t="shared" si="4"/>
        <v>0</v>
      </c>
      <c r="I66" s="12">
        <f t="shared" si="5"/>
        <v>0</v>
      </c>
      <c r="J66" s="12">
        <f t="shared" si="6"/>
        <v>0</v>
      </c>
      <c r="K66" s="12">
        <f t="shared" si="7"/>
        <v>0</v>
      </c>
      <c r="L66" s="12">
        <f t="shared" si="8"/>
        <v>0</v>
      </c>
      <c r="M66" s="12">
        <f t="shared" si="9"/>
        <v>0</v>
      </c>
      <c r="N66" s="12">
        <f t="shared" si="10"/>
        <v>31.299999999999997</v>
      </c>
      <c r="O66" s="12">
        <f t="shared" si="11"/>
        <v>26.299999999999997</v>
      </c>
      <c r="P66" s="12">
        <f t="shared" si="12"/>
        <v>21.299999999999997</v>
      </c>
      <c r="Q66" s="12">
        <f t="shared" si="13"/>
        <v>16.299999999999997</v>
      </c>
      <c r="R66" s="12">
        <f t="shared" si="14"/>
        <v>11.299999999999997</v>
      </c>
      <c r="S66" s="12">
        <f t="shared" si="15"/>
        <v>6.2999999999999972</v>
      </c>
      <c r="T66" s="12">
        <f t="shared" si="16"/>
        <v>1.2999999999999972</v>
      </c>
      <c r="U66" s="12">
        <f t="shared" si="17"/>
        <v>0</v>
      </c>
    </row>
    <row r="67" spans="1:21" ht="13.2">
      <c r="A67">
        <f t="shared" si="2"/>
        <v>59</v>
      </c>
      <c r="B67" s="11">
        <f t="shared" si="18"/>
        <v>44035</v>
      </c>
      <c r="C67">
        <v>89</v>
      </c>
      <c r="D67">
        <v>86</v>
      </c>
      <c r="E67">
        <v>86</v>
      </c>
      <c r="F67">
        <v>83</v>
      </c>
      <c r="G67" s="12">
        <f t="shared" si="3"/>
        <v>84</v>
      </c>
      <c r="H67" s="12">
        <f t="shared" si="4"/>
        <v>0</v>
      </c>
      <c r="I67" s="12">
        <f t="shared" si="5"/>
        <v>0</v>
      </c>
      <c r="J67" s="12">
        <f t="shared" si="6"/>
        <v>0</v>
      </c>
      <c r="K67" s="12">
        <f t="shared" si="7"/>
        <v>0</v>
      </c>
      <c r="L67" s="12">
        <f t="shared" si="8"/>
        <v>0</v>
      </c>
      <c r="M67" s="12">
        <f t="shared" si="9"/>
        <v>0</v>
      </c>
      <c r="N67" s="12">
        <f t="shared" si="10"/>
        <v>34</v>
      </c>
      <c r="O67" s="12">
        <f t="shared" si="11"/>
        <v>29</v>
      </c>
      <c r="P67" s="12">
        <f t="shared" si="12"/>
        <v>24</v>
      </c>
      <c r="Q67" s="12">
        <f t="shared" si="13"/>
        <v>19</v>
      </c>
      <c r="R67" s="12">
        <f t="shared" si="14"/>
        <v>14</v>
      </c>
      <c r="S67" s="12">
        <f t="shared" si="15"/>
        <v>9</v>
      </c>
      <c r="T67" s="12">
        <f t="shared" si="16"/>
        <v>4</v>
      </c>
      <c r="U67" s="12">
        <f t="shared" si="17"/>
        <v>0</v>
      </c>
    </row>
    <row r="68" spans="1:21" ht="13.2">
      <c r="A68">
        <f t="shared" si="2"/>
        <v>60</v>
      </c>
      <c r="B68" s="11">
        <f t="shared" si="18"/>
        <v>44036</v>
      </c>
      <c r="C68">
        <v>89</v>
      </c>
      <c r="D68">
        <v>86</v>
      </c>
      <c r="E68">
        <v>83</v>
      </c>
      <c r="F68">
        <v>83</v>
      </c>
      <c r="G68" s="12">
        <f t="shared" si="3"/>
        <v>86.200000000000003</v>
      </c>
      <c r="H68" s="12">
        <f t="shared" si="4"/>
        <v>0</v>
      </c>
      <c r="I68" s="12">
        <f t="shared" si="5"/>
        <v>0</v>
      </c>
      <c r="J68" s="12">
        <f t="shared" si="6"/>
        <v>0</v>
      </c>
      <c r="K68" s="12">
        <f t="shared" si="7"/>
        <v>0</v>
      </c>
      <c r="L68" s="12">
        <f t="shared" si="8"/>
        <v>0</v>
      </c>
      <c r="M68" s="12">
        <f t="shared" si="9"/>
        <v>0</v>
      </c>
      <c r="N68" s="12">
        <f t="shared" si="10"/>
        <v>36.200000000000003</v>
      </c>
      <c r="O68" s="12">
        <f t="shared" si="11"/>
        <v>31.200000000000003</v>
      </c>
      <c r="P68" s="12">
        <f t="shared" si="12"/>
        <v>26.200000000000003</v>
      </c>
      <c r="Q68" s="12">
        <f t="shared" si="13"/>
        <v>21.200000000000003</v>
      </c>
      <c r="R68" s="12">
        <f t="shared" si="14"/>
        <v>16.200000000000003</v>
      </c>
      <c r="S68" s="12">
        <f t="shared" si="15"/>
        <v>11.200000000000003</v>
      </c>
      <c r="T68" s="12">
        <f t="shared" si="16"/>
        <v>6.2000000000000028</v>
      </c>
      <c r="U68" s="12">
        <f t="shared" si="17"/>
        <v>1.2000000000000028</v>
      </c>
    </row>
    <row r="69" spans="1:21" ht="13.2">
      <c r="A69">
        <f t="shared" si="2"/>
        <v>61</v>
      </c>
      <c r="B69" s="11">
        <f t="shared" si="18"/>
        <v>44037</v>
      </c>
      <c r="C69">
        <v>86</v>
      </c>
      <c r="D69">
        <v>84</v>
      </c>
      <c r="E69">
        <v>80</v>
      </c>
      <c r="F69">
        <v>78</v>
      </c>
      <c r="G69" s="12">
        <f t="shared" si="3"/>
        <v>83.599999999999994</v>
      </c>
      <c r="H69" s="12">
        <f t="shared" si="4"/>
        <v>0</v>
      </c>
      <c r="I69" s="12">
        <f t="shared" si="5"/>
        <v>0</v>
      </c>
      <c r="J69" s="12">
        <f t="shared" si="6"/>
        <v>0</v>
      </c>
      <c r="K69" s="12">
        <f t="shared" si="7"/>
        <v>0</v>
      </c>
      <c r="L69" s="12">
        <f t="shared" si="8"/>
        <v>0</v>
      </c>
      <c r="M69" s="12">
        <f t="shared" si="9"/>
        <v>0</v>
      </c>
      <c r="N69" s="12">
        <f t="shared" si="10"/>
        <v>33.599999999999994</v>
      </c>
      <c r="O69" s="12">
        <f t="shared" si="11"/>
        <v>28.599999999999994</v>
      </c>
      <c r="P69" s="12">
        <f t="shared" si="12"/>
        <v>23.599999999999994</v>
      </c>
      <c r="Q69" s="12">
        <f t="shared" si="13"/>
        <v>18.599999999999994</v>
      </c>
      <c r="R69" s="12">
        <f t="shared" si="14"/>
        <v>13.599999999999994</v>
      </c>
      <c r="S69" s="12">
        <f t="shared" si="15"/>
        <v>8.5999999999999943</v>
      </c>
      <c r="T69" s="12">
        <f t="shared" si="16"/>
        <v>3.5999999999999943</v>
      </c>
      <c r="U69" s="12">
        <f t="shared" si="17"/>
        <v>0</v>
      </c>
    </row>
    <row r="70" spans="1:21" ht="13.2">
      <c r="A70">
        <f t="shared" si="2"/>
        <v>62</v>
      </c>
      <c r="B70" s="11">
        <f t="shared" si="18"/>
        <v>44038</v>
      </c>
      <c r="C70">
        <v>88</v>
      </c>
      <c r="D70">
        <v>85</v>
      </c>
      <c r="E70">
        <v>82</v>
      </c>
      <c r="F70">
        <v>80</v>
      </c>
      <c r="G70" s="12">
        <f t="shared" si="3"/>
        <v>82.099999999999994</v>
      </c>
      <c r="H70" s="12">
        <f t="shared" si="4"/>
        <v>0</v>
      </c>
      <c r="I70" s="12">
        <f t="shared" si="5"/>
        <v>0</v>
      </c>
      <c r="J70" s="12">
        <f t="shared" si="6"/>
        <v>0</v>
      </c>
      <c r="K70" s="12">
        <f t="shared" si="7"/>
        <v>0</v>
      </c>
      <c r="L70" s="12">
        <f t="shared" si="8"/>
        <v>0</v>
      </c>
      <c r="M70" s="12">
        <f t="shared" si="9"/>
        <v>0</v>
      </c>
      <c r="N70" s="12">
        <f t="shared" si="10"/>
        <v>32.099999999999994</v>
      </c>
      <c r="O70" s="12">
        <f t="shared" si="11"/>
        <v>27.099999999999994</v>
      </c>
      <c r="P70" s="12">
        <f t="shared" si="12"/>
        <v>22.099999999999994</v>
      </c>
      <c r="Q70" s="12">
        <f t="shared" si="13"/>
        <v>17.099999999999994</v>
      </c>
      <c r="R70" s="12">
        <f t="shared" si="14"/>
        <v>12.099999999999994</v>
      </c>
      <c r="S70" s="12">
        <f t="shared" si="15"/>
        <v>7.0999999999999943</v>
      </c>
      <c r="T70" s="12">
        <f t="shared" si="16"/>
        <v>2.0999999999999943</v>
      </c>
      <c r="U70" s="12">
        <f t="shared" si="17"/>
        <v>0</v>
      </c>
    </row>
    <row r="71" spans="1:21" ht="13.2">
      <c r="A71">
        <f t="shared" si="2"/>
        <v>63</v>
      </c>
      <c r="B71" s="11">
        <f t="shared" si="18"/>
        <v>44039</v>
      </c>
      <c r="C71">
        <v>89</v>
      </c>
      <c r="D71">
        <v>85</v>
      </c>
      <c r="E71">
        <v>86</v>
      </c>
      <c r="F71">
        <v>85</v>
      </c>
      <c r="G71" s="12">
        <f t="shared" si="3"/>
        <v>84.5</v>
      </c>
      <c r="H71" s="12">
        <f t="shared" si="4"/>
        <v>0</v>
      </c>
      <c r="I71" s="12">
        <f t="shared" si="5"/>
        <v>0</v>
      </c>
      <c r="J71" s="12">
        <f t="shared" si="6"/>
        <v>0</v>
      </c>
      <c r="K71" s="12">
        <f t="shared" si="7"/>
        <v>0</v>
      </c>
      <c r="L71" s="12">
        <f t="shared" si="8"/>
        <v>0</v>
      </c>
      <c r="M71" s="12">
        <f t="shared" si="9"/>
        <v>0</v>
      </c>
      <c r="N71" s="12">
        <f t="shared" si="10"/>
        <v>34.5</v>
      </c>
      <c r="O71" s="12">
        <f t="shared" si="11"/>
        <v>29.5</v>
      </c>
      <c r="P71" s="12">
        <f t="shared" si="12"/>
        <v>24.5</v>
      </c>
      <c r="Q71" s="12">
        <f t="shared" si="13"/>
        <v>19.5</v>
      </c>
      <c r="R71" s="12">
        <f t="shared" si="14"/>
        <v>14.5</v>
      </c>
      <c r="S71" s="12">
        <f t="shared" si="15"/>
        <v>9.5</v>
      </c>
      <c r="T71" s="12">
        <f t="shared" si="16"/>
        <v>4.5</v>
      </c>
      <c r="U71" s="12">
        <f t="shared" si="17"/>
        <v>0</v>
      </c>
    </row>
    <row r="72" spans="1:21" ht="13.2">
      <c r="A72">
        <f t="shared" si="2"/>
        <v>64</v>
      </c>
      <c r="B72" s="11">
        <f t="shared" si="18"/>
        <v>44040</v>
      </c>
      <c r="C72">
        <v>77</v>
      </c>
      <c r="D72">
        <v>77</v>
      </c>
      <c r="E72">
        <v>77</v>
      </c>
      <c r="F72">
        <v>77</v>
      </c>
      <c r="G72" s="12">
        <f t="shared" si="3"/>
        <v>80.900000000000006</v>
      </c>
      <c r="H72" s="12">
        <f t="shared" si="4"/>
        <v>0</v>
      </c>
      <c r="I72" s="12">
        <f t="shared" si="5"/>
        <v>0</v>
      </c>
      <c r="J72" s="12">
        <f t="shared" si="6"/>
        <v>0</v>
      </c>
      <c r="K72" s="12">
        <f t="shared" si="7"/>
        <v>0</v>
      </c>
      <c r="L72" s="12">
        <f t="shared" si="8"/>
        <v>0</v>
      </c>
      <c r="M72" s="12">
        <f t="shared" si="9"/>
        <v>0</v>
      </c>
      <c r="N72" s="12">
        <f t="shared" si="10"/>
        <v>30.900000000000006</v>
      </c>
      <c r="O72" s="12">
        <f t="shared" si="11"/>
        <v>25.900000000000006</v>
      </c>
      <c r="P72" s="12">
        <f t="shared" si="12"/>
        <v>20.900000000000006</v>
      </c>
      <c r="Q72" s="12">
        <f t="shared" si="13"/>
        <v>15.900000000000006</v>
      </c>
      <c r="R72" s="12">
        <f t="shared" si="14"/>
        <v>10.900000000000006</v>
      </c>
      <c r="S72" s="12">
        <f t="shared" si="15"/>
        <v>5.9000000000000057</v>
      </c>
      <c r="T72" s="12">
        <f t="shared" si="16"/>
        <v>0.90000000000000568</v>
      </c>
      <c r="U72" s="12">
        <f t="shared" si="17"/>
        <v>0</v>
      </c>
    </row>
    <row r="73" spans="1:21" ht="13.2">
      <c r="A73">
        <f t="shared" si="2"/>
        <v>65</v>
      </c>
      <c r="B73" s="11">
        <f t="shared" si="18"/>
        <v>44041</v>
      </c>
      <c r="C73">
        <v>86</v>
      </c>
      <c r="D73">
        <v>83</v>
      </c>
      <c r="E73">
        <v>80</v>
      </c>
      <c r="F73">
        <v>81</v>
      </c>
      <c r="G73" s="12">
        <f t="shared" si="3"/>
        <v>82.200000000000003</v>
      </c>
      <c r="H73" s="12">
        <f t="shared" si="4"/>
        <v>0</v>
      </c>
      <c r="I73" s="12">
        <f t="shared" si="5"/>
        <v>0</v>
      </c>
      <c r="J73" s="12">
        <f t="shared" si="6"/>
        <v>0</v>
      </c>
      <c r="K73" s="12">
        <f t="shared" si="7"/>
        <v>0</v>
      </c>
      <c r="L73" s="12">
        <f t="shared" si="8"/>
        <v>0</v>
      </c>
      <c r="M73" s="12">
        <f t="shared" si="9"/>
        <v>0</v>
      </c>
      <c r="N73" s="12">
        <f t="shared" si="10"/>
        <v>32.200000000000003</v>
      </c>
      <c r="O73" s="12">
        <f t="shared" si="11"/>
        <v>27.200000000000003</v>
      </c>
      <c r="P73" s="12">
        <f t="shared" si="12"/>
        <v>22.200000000000003</v>
      </c>
      <c r="Q73" s="12">
        <f t="shared" si="13"/>
        <v>17.200000000000003</v>
      </c>
      <c r="R73" s="12">
        <f t="shared" si="14"/>
        <v>12.200000000000003</v>
      </c>
      <c r="S73" s="12">
        <f t="shared" si="15"/>
        <v>7.2000000000000028</v>
      </c>
      <c r="T73" s="12">
        <f t="shared" si="16"/>
        <v>2.2000000000000028</v>
      </c>
      <c r="U73" s="12">
        <f t="shared" si="17"/>
        <v>0</v>
      </c>
    </row>
    <row r="74" spans="1:21" ht="13.2">
      <c r="A74">
        <f t="shared" si="2"/>
        <v>66</v>
      </c>
      <c r="B74" s="11">
        <f t="shared" si="18"/>
        <v>44042</v>
      </c>
      <c r="C74">
        <v>92</v>
      </c>
      <c r="D74">
        <v>89</v>
      </c>
      <c r="E74">
        <v>87</v>
      </c>
      <c r="F74">
        <v>84</v>
      </c>
      <c r="G74" s="12">
        <f t="shared" si="3"/>
        <v>86.900000000000006</v>
      </c>
      <c r="H74" s="12">
        <f t="shared" si="4"/>
        <v>0</v>
      </c>
      <c r="I74" s="12">
        <f t="shared" si="5"/>
        <v>0</v>
      </c>
      <c r="J74" s="12">
        <f t="shared" si="6"/>
        <v>0</v>
      </c>
      <c r="K74" s="12">
        <f t="shared" si="7"/>
        <v>0</v>
      </c>
      <c r="L74" s="12">
        <f t="shared" si="8"/>
        <v>0</v>
      </c>
      <c r="M74" s="12">
        <f t="shared" si="9"/>
        <v>0</v>
      </c>
      <c r="N74" s="12">
        <f t="shared" si="10"/>
        <v>36.900000000000006</v>
      </c>
      <c r="O74" s="12">
        <f t="shared" si="11"/>
        <v>31.900000000000006</v>
      </c>
      <c r="P74" s="12">
        <f t="shared" si="12"/>
        <v>26.900000000000006</v>
      </c>
      <c r="Q74" s="12">
        <f t="shared" si="13"/>
        <v>21.900000000000006</v>
      </c>
      <c r="R74" s="12">
        <f t="shared" si="14"/>
        <v>16.900000000000006</v>
      </c>
      <c r="S74" s="12">
        <f t="shared" si="15"/>
        <v>11.900000000000006</v>
      </c>
      <c r="T74" s="12">
        <f t="shared" si="16"/>
        <v>6.9000000000000057</v>
      </c>
      <c r="U74" s="12">
        <f t="shared" si="17"/>
        <v>1.9000000000000057</v>
      </c>
    </row>
    <row r="75" spans="1:21" ht="13.2">
      <c r="A75">
        <f t="shared" si="2"/>
        <v>67</v>
      </c>
      <c r="B75" s="11">
        <f t="shared" si="18"/>
        <v>44043</v>
      </c>
      <c r="C75">
        <v>85</v>
      </c>
      <c r="D75">
        <v>80</v>
      </c>
      <c r="E75">
        <v>77</v>
      </c>
      <c r="F75">
        <v>74</v>
      </c>
      <c r="G75" s="12">
        <f t="shared" si="3"/>
        <v>80</v>
      </c>
      <c r="H75" s="12">
        <f t="shared" si="4"/>
        <v>0</v>
      </c>
      <c r="I75" s="12">
        <f t="shared" si="5"/>
        <v>0</v>
      </c>
      <c r="J75" s="12">
        <f t="shared" si="6"/>
        <v>0</v>
      </c>
      <c r="K75" s="12">
        <f t="shared" si="7"/>
        <v>0</v>
      </c>
      <c r="L75" s="12">
        <f t="shared" si="8"/>
        <v>0</v>
      </c>
      <c r="M75" s="12">
        <f t="shared" si="9"/>
        <v>0</v>
      </c>
      <c r="N75" s="12">
        <f t="shared" si="10"/>
        <v>30</v>
      </c>
      <c r="O75" s="12">
        <f t="shared" si="11"/>
        <v>25</v>
      </c>
      <c r="P75" s="12">
        <f t="shared" si="12"/>
        <v>20</v>
      </c>
      <c r="Q75" s="12">
        <f t="shared" si="13"/>
        <v>15</v>
      </c>
      <c r="R75" s="12">
        <f t="shared" si="14"/>
        <v>10</v>
      </c>
      <c r="S75" s="12">
        <f t="shared" si="15"/>
        <v>5</v>
      </c>
      <c r="T75" s="12">
        <f t="shared" si="16"/>
        <v>0</v>
      </c>
      <c r="U75" s="12">
        <f t="shared" si="17"/>
        <v>0</v>
      </c>
    </row>
    <row r="76" spans="7:19" ht="13.2"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</row>
    <row r="77" spans="7:21" ht="13.2">
      <c r="G77" s="48" t="s">
        <v>105</v>
      </c>
      <c r="H77" s="20">
        <f>SUM(H45:H75)</f>
        <v>0</v>
      </c>
      <c r="I77" s="20">
        <f t="shared" si="19" ref="I77:M77">SUM(I45:I75)</f>
        <v>0</v>
      </c>
      <c r="J77" s="20">
        <f t="shared" si="19"/>
        <v>0</v>
      </c>
      <c r="K77" s="20">
        <f t="shared" si="19"/>
        <v>0</v>
      </c>
      <c r="L77" s="20">
        <f t="shared" si="19"/>
        <v>0</v>
      </c>
      <c r="M77" s="20">
        <f t="shared" si="19"/>
        <v>0</v>
      </c>
      <c r="N77" s="20">
        <f>SUM(N45:N75)</f>
        <v>1093.6000000000001</v>
      </c>
      <c r="O77" s="20">
        <f t="shared" si="20" ref="O77:P77">SUM(O45:O75)</f>
        <v>938.60000000000002</v>
      </c>
      <c r="P77" s="20">
        <f t="shared" si="20"/>
        <v>783.60000000000002</v>
      </c>
      <c r="Q77" s="20">
        <f>SUM(Q45:Q75)</f>
        <v>628.60000000000014</v>
      </c>
      <c r="R77" s="20">
        <f>SUM(R45:R75)</f>
        <v>473.60000000000014</v>
      </c>
      <c r="S77" s="20">
        <f>SUM(S45:S75)</f>
        <v>318.60000000000002</v>
      </c>
      <c r="T77" s="20">
        <f>SUM(T45:T75)</f>
        <v>165.50000000000003</v>
      </c>
      <c r="U77" s="20">
        <f t="shared" si="21" ref="U77">SUM(U45:U75)</f>
        <v>48.400000000000034</v>
      </c>
    </row>
  </sheetData>
  <mergeCells count="6">
    <mergeCell ref="B9:T9"/>
    <mergeCell ref="B1:T1"/>
    <mergeCell ref="B2:T2"/>
    <mergeCell ref="B3:T3"/>
    <mergeCell ref="B4:T4"/>
    <mergeCell ref="B6:T6"/>
  </mergeCells>
  <pageMargins left="0.75" right="0.75" top="1" bottom="1" header="0.5" footer="0.5"/>
  <pageSetup orientation="portrait" scale="59" r:id="rId1"/>
  <headerFooter alignWithMargins="0">
    <oddHeader>&amp;RSchedule II-H-5.1
Page &amp;P of  28</oddHead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pageSetUpPr fitToPage="1"/>
  </sheetPr>
  <dimension ref="A1:AC77"/>
  <sheetViews>
    <sheetView workbookViewId="0" topLeftCell="A1">
      <pane ySplit="9" topLeftCell="A10" activePane="bottomLeft" state="frozen"/>
      <selection pane="topLeft" activeCell="A1" sqref="A1"/>
      <selection pane="bottomLeft" activeCell="A1" sqref="A1"/>
    </sheetView>
  </sheetViews>
  <sheetFormatPr defaultRowHeight="13.5"/>
  <cols>
    <col min="2" max="2" width="10" style="57" bestFit="1" customWidth="1"/>
    <col min="3" max="6" width="5.42857142857143" bestFit="1" customWidth="1"/>
    <col min="7" max="7" width="8.71428571428571" customWidth="1"/>
    <col min="8" max="14" width="6.85714285714286" bestFit="1" customWidth="1"/>
    <col min="15" max="23" width="7" bestFit="1" customWidth="1"/>
    <col min="24" max="29" width="11.4285714285714" customWidth="1"/>
  </cols>
  <sheetData>
    <row r="1" spans="2:29" s="2" customFormat="1" ht="15.6">
      <c r="B1" s="82" t="str">
        <f>+Base40h!B1</f>
        <v xml:space="preserve">PUC DOCKET NO. </v>
      </c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57"/>
      <c r="V1" s="57"/>
      <c r="W1" s="57"/>
      <c r="X1" s="57"/>
      <c r="Y1" s="57"/>
      <c r="Z1" s="57"/>
      <c r="AA1" s="57"/>
      <c r="AB1" s="57"/>
      <c r="AC1" s="57"/>
    </row>
    <row r="2" spans="2:29" s="2" customFormat="1" ht="15.6">
      <c r="B2" s="82" t="str">
        <f>+Base40h!B2</f>
        <v>ONCOR ELECTRIC DELIVERY COMPANY LLC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57"/>
      <c r="V2" s="57"/>
      <c r="W2" s="57"/>
      <c r="X2" s="57"/>
      <c r="Y2" s="57"/>
      <c r="Z2" s="57"/>
      <c r="AA2" s="57"/>
      <c r="AB2" s="57"/>
      <c r="AC2" s="57"/>
    </row>
    <row r="3" spans="2:29" s="2" customFormat="1" ht="15.6">
      <c r="B3" s="82" t="str">
        <f>+Base40h!B3</f>
        <v>WEATHER STATION DATA</v>
      </c>
      <c r="C3" s="86"/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57"/>
      <c r="V3" s="57"/>
      <c r="W3" s="57"/>
      <c r="X3" s="57"/>
      <c r="Y3" s="57"/>
      <c r="Z3" s="57"/>
      <c r="AA3" s="57"/>
      <c r="AB3" s="57"/>
      <c r="AC3" s="57"/>
    </row>
    <row r="4" spans="2:29" s="2" customFormat="1" ht="15.6">
      <c r="B4" s="82" t="str">
        <f>+Base40h!B4</f>
        <v>FOR THE TEST YEAR ENDING DECEMBER 31, 2021</v>
      </c>
      <c r="C4" s="86"/>
      <c r="D4" s="86"/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U4" s="57"/>
      <c r="V4" s="57"/>
      <c r="W4" s="57"/>
      <c r="X4" s="57"/>
      <c r="Y4" s="57"/>
      <c r="Z4" s="57"/>
      <c r="AA4" s="57"/>
      <c r="AB4" s="57"/>
      <c r="AC4" s="57"/>
    </row>
    <row r="5" spans="2:29" s="2" customFormat="1" ht="11.4">
      <c r="B5" s="1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 spans="2:29" s="2" customFormat="1" ht="15.6">
      <c r="B6" s="82" t="str">
        <f>+Base40h!B6</f>
        <v>SPONSOR: D. E. NELSON</v>
      </c>
      <c r="C6" s="86"/>
      <c r="D6" s="86"/>
      <c r="E6" s="86"/>
      <c r="F6" s="86"/>
      <c r="G6" s="86"/>
      <c r="H6" s="86"/>
      <c r="I6" s="86"/>
      <c r="J6" s="86"/>
      <c r="K6" s="86"/>
      <c r="L6" s="86"/>
      <c r="M6" s="86"/>
      <c r="N6" s="86"/>
      <c r="O6" s="86"/>
      <c r="P6" s="86"/>
      <c r="Q6" s="86"/>
      <c r="R6" s="86"/>
      <c r="S6" s="86"/>
      <c r="T6" s="86"/>
      <c r="U6" s="57"/>
      <c r="V6" s="57"/>
      <c r="W6" s="57"/>
      <c r="X6" s="57"/>
      <c r="Y6" s="57"/>
      <c r="Z6" s="57"/>
      <c r="AA6" s="57"/>
      <c r="AB6" s="57"/>
      <c r="AC6" s="57"/>
    </row>
    <row r="7" spans="1:1" ht="24" thickBot="1">
      <c r="A7" s="3" t="s">
        <v>4</v>
      </c>
    </row>
    <row r="9" spans="1:20" ht="13.2">
      <c r="A9">
        <v>1</v>
      </c>
      <c r="B9" s="85" t="s">
        <v>120</v>
      </c>
      <c r="C9" s="86"/>
      <c r="D9" s="86"/>
      <c r="E9" s="86"/>
      <c r="F9" s="86"/>
      <c r="G9" s="86"/>
      <c r="H9" s="86"/>
      <c r="I9" s="86"/>
      <c r="J9" s="86"/>
      <c r="K9" s="86"/>
      <c r="L9" s="86"/>
      <c r="M9" s="86"/>
      <c r="N9" s="86"/>
      <c r="O9" s="86"/>
      <c r="P9" s="86"/>
      <c r="Q9" s="86"/>
      <c r="R9" s="86"/>
      <c r="S9" s="86"/>
      <c r="T9" s="86"/>
    </row>
    <row r="10" spans="1:22" s="58" customFormat="1" ht="13.2">
      <c r="A10" s="30">
        <f>+A9+1</f>
        <v>2</v>
      </c>
      <c r="B10" s="31" t="s">
        <v>28</v>
      </c>
      <c r="C10" s="31" t="s">
        <v>29</v>
      </c>
      <c r="D10" s="31" t="s">
        <v>30</v>
      </c>
      <c r="E10" s="31" t="s">
        <v>31</v>
      </c>
      <c r="F10" s="31" t="s">
        <v>32</v>
      </c>
      <c r="G10" s="31" t="s">
        <v>33</v>
      </c>
      <c r="H10" s="31" t="s">
        <v>34</v>
      </c>
      <c r="I10" s="31" t="s">
        <v>35</v>
      </c>
      <c r="J10" s="31" t="s">
        <v>36</v>
      </c>
      <c r="K10" s="31" t="s">
        <v>37</v>
      </c>
      <c r="L10" s="31" t="s">
        <v>38</v>
      </c>
      <c r="M10" s="31" t="s">
        <v>39</v>
      </c>
      <c r="N10" s="31" t="s">
        <v>40</v>
      </c>
      <c r="O10" s="31" t="s">
        <v>41</v>
      </c>
      <c r="P10" s="31" t="s">
        <v>42</v>
      </c>
      <c r="Q10" s="31" t="s">
        <v>43</v>
      </c>
      <c r="R10" s="31" t="s">
        <v>44</v>
      </c>
      <c r="S10" s="31" t="s">
        <v>45</v>
      </c>
      <c r="T10" s="58" t="s">
        <v>46</v>
      </c>
      <c r="U10" s="58" t="s">
        <v>47</v>
      </c>
      <c r="V10" s="58" t="s">
        <v>48</v>
      </c>
    </row>
    <row r="11" spans="1:22" ht="13.2">
      <c r="A11">
        <f t="shared" si="0" ref="A11:B26">+A10+1</f>
        <v>3</v>
      </c>
      <c r="B11" s="11">
        <v>44197</v>
      </c>
      <c r="C11">
        <v>32</v>
      </c>
      <c r="D11">
        <v>32</v>
      </c>
      <c r="E11">
        <v>33</v>
      </c>
      <c r="F11">
        <v>33</v>
      </c>
      <c r="G11">
        <v>33</v>
      </c>
      <c r="H11">
        <v>32</v>
      </c>
      <c r="I11">
        <v>32</v>
      </c>
      <c r="J11">
        <v>32</v>
      </c>
      <c r="K11">
        <v>33</v>
      </c>
      <c r="L11">
        <v>34</v>
      </c>
      <c r="M11">
        <v>35</v>
      </c>
      <c r="N11">
        <v>37</v>
      </c>
      <c r="O11">
        <v>39</v>
      </c>
      <c r="P11">
        <v>41</v>
      </c>
      <c r="Q11">
        <v>43</v>
      </c>
      <c r="R11">
        <v>45</v>
      </c>
      <c r="S11">
        <v>46</v>
      </c>
      <c r="T11">
        <v>45</v>
      </c>
      <c r="U11">
        <v>43</v>
      </c>
      <c r="V11">
        <v>39</v>
      </c>
    </row>
    <row r="12" spans="1:22" ht="13.2">
      <c r="A12">
        <f t="shared" si="0"/>
        <v>4</v>
      </c>
      <c r="B12" s="11">
        <f>+B11+1</f>
        <v>44198</v>
      </c>
      <c r="C12">
        <v>39</v>
      </c>
      <c r="D12">
        <v>38</v>
      </c>
      <c r="E12">
        <v>37</v>
      </c>
      <c r="F12">
        <v>38</v>
      </c>
      <c r="G12">
        <v>36</v>
      </c>
      <c r="H12">
        <v>36</v>
      </c>
      <c r="I12">
        <v>36</v>
      </c>
      <c r="J12">
        <v>35</v>
      </c>
      <c r="K12">
        <v>35</v>
      </c>
      <c r="L12">
        <v>38</v>
      </c>
      <c r="M12">
        <v>44</v>
      </c>
      <c r="N12">
        <v>49</v>
      </c>
      <c r="O12">
        <v>55</v>
      </c>
      <c r="P12">
        <v>56</v>
      </c>
      <c r="Q12">
        <v>57</v>
      </c>
      <c r="R12">
        <v>57</v>
      </c>
      <c r="S12">
        <v>57</v>
      </c>
      <c r="T12">
        <v>56</v>
      </c>
      <c r="U12">
        <v>49</v>
      </c>
      <c r="V12">
        <v>45</v>
      </c>
    </row>
    <row r="13" spans="1:22" ht="13.2">
      <c r="A13">
        <f t="shared" si="0"/>
        <v>5</v>
      </c>
      <c r="B13" s="11">
        <f t="shared" si="0"/>
        <v>44199</v>
      </c>
      <c r="C13">
        <v>43</v>
      </c>
      <c r="D13">
        <v>42</v>
      </c>
      <c r="E13">
        <v>41</v>
      </c>
      <c r="F13">
        <v>40</v>
      </c>
      <c r="G13">
        <v>40</v>
      </c>
      <c r="H13">
        <v>39</v>
      </c>
      <c r="I13">
        <v>39</v>
      </c>
      <c r="J13">
        <v>38</v>
      </c>
      <c r="K13">
        <v>38</v>
      </c>
      <c r="L13">
        <v>42</v>
      </c>
      <c r="M13">
        <v>50</v>
      </c>
      <c r="N13">
        <v>55</v>
      </c>
      <c r="O13">
        <v>56</v>
      </c>
      <c r="P13">
        <v>58</v>
      </c>
      <c r="Q13">
        <v>58</v>
      </c>
      <c r="R13">
        <v>59</v>
      </c>
      <c r="S13">
        <v>60</v>
      </c>
      <c r="T13">
        <v>59</v>
      </c>
      <c r="U13">
        <v>54</v>
      </c>
      <c r="V13">
        <v>49</v>
      </c>
    </row>
    <row r="14" spans="1:22" ht="13.2">
      <c r="A14">
        <f t="shared" si="0"/>
        <v>6</v>
      </c>
      <c r="B14" s="11">
        <f t="shared" si="0"/>
        <v>44200</v>
      </c>
      <c r="C14">
        <v>44</v>
      </c>
      <c r="D14">
        <v>46</v>
      </c>
      <c r="E14">
        <v>47</v>
      </c>
      <c r="F14">
        <v>46</v>
      </c>
      <c r="G14">
        <v>44</v>
      </c>
      <c r="H14">
        <v>43</v>
      </c>
      <c r="I14">
        <v>42</v>
      </c>
      <c r="J14">
        <v>41</v>
      </c>
      <c r="K14">
        <v>42</v>
      </c>
      <c r="L14">
        <v>46</v>
      </c>
      <c r="M14">
        <v>46</v>
      </c>
      <c r="N14">
        <v>49</v>
      </c>
      <c r="O14">
        <v>53</v>
      </c>
      <c r="P14">
        <v>56</v>
      </c>
      <c r="Q14">
        <v>58</v>
      </c>
      <c r="R14">
        <v>62</v>
      </c>
      <c r="S14">
        <v>63</v>
      </c>
      <c r="T14">
        <v>61</v>
      </c>
      <c r="U14">
        <v>56</v>
      </c>
      <c r="V14">
        <v>54</v>
      </c>
    </row>
    <row r="15" spans="1:22" ht="13.2">
      <c r="A15">
        <f t="shared" si="0"/>
        <v>7</v>
      </c>
      <c r="B15" s="11">
        <f t="shared" si="0"/>
        <v>44201</v>
      </c>
      <c r="C15">
        <v>37</v>
      </c>
      <c r="D15">
        <v>39</v>
      </c>
      <c r="E15">
        <v>34</v>
      </c>
      <c r="F15">
        <v>35</v>
      </c>
      <c r="G15">
        <v>36</v>
      </c>
      <c r="H15">
        <v>32</v>
      </c>
      <c r="I15">
        <v>33</v>
      </c>
      <c r="J15">
        <v>36</v>
      </c>
      <c r="K15">
        <v>33</v>
      </c>
      <c r="L15">
        <v>38</v>
      </c>
      <c r="M15">
        <v>48</v>
      </c>
      <c r="N15">
        <v>57</v>
      </c>
      <c r="O15">
        <v>59</v>
      </c>
      <c r="P15">
        <v>62</v>
      </c>
      <c r="Q15">
        <v>63</v>
      </c>
      <c r="R15">
        <v>65</v>
      </c>
      <c r="S15">
        <v>66</v>
      </c>
      <c r="T15">
        <v>64</v>
      </c>
      <c r="U15">
        <v>58</v>
      </c>
      <c r="V15">
        <v>55</v>
      </c>
    </row>
    <row r="16" spans="1:22" ht="13.2">
      <c r="A16">
        <f t="shared" si="0"/>
        <v>8</v>
      </c>
      <c r="B16" s="11">
        <f t="shared" si="0"/>
        <v>44202</v>
      </c>
      <c r="C16">
        <v>55</v>
      </c>
      <c r="D16">
        <v>55</v>
      </c>
      <c r="E16">
        <v>54</v>
      </c>
      <c r="F16">
        <v>53</v>
      </c>
      <c r="G16">
        <v>50</v>
      </c>
      <c r="H16">
        <v>49</v>
      </c>
      <c r="I16">
        <v>47</v>
      </c>
      <c r="J16">
        <v>45</v>
      </c>
      <c r="K16">
        <v>45</v>
      </c>
      <c r="L16">
        <v>46</v>
      </c>
      <c r="M16">
        <v>48</v>
      </c>
      <c r="N16">
        <v>50</v>
      </c>
      <c r="O16">
        <v>53</v>
      </c>
      <c r="P16">
        <v>55</v>
      </c>
      <c r="Q16">
        <v>56</v>
      </c>
      <c r="R16">
        <v>56</v>
      </c>
      <c r="S16">
        <v>55</v>
      </c>
      <c r="T16">
        <v>54</v>
      </c>
      <c r="U16">
        <v>53</v>
      </c>
      <c r="V16">
        <v>52</v>
      </c>
    </row>
    <row r="17" spans="1:22" ht="13.2">
      <c r="A17">
        <f t="shared" si="0"/>
        <v>9</v>
      </c>
      <c r="B17" s="11">
        <f t="shared" si="0"/>
        <v>44203</v>
      </c>
      <c r="C17">
        <v>40</v>
      </c>
      <c r="D17">
        <v>38</v>
      </c>
      <c r="E17">
        <v>35</v>
      </c>
      <c r="F17">
        <v>38</v>
      </c>
      <c r="G17">
        <v>36</v>
      </c>
      <c r="H17">
        <v>35</v>
      </c>
      <c r="I17">
        <v>34</v>
      </c>
      <c r="J17">
        <v>33</v>
      </c>
      <c r="K17">
        <v>32</v>
      </c>
      <c r="L17">
        <v>39</v>
      </c>
      <c r="M17">
        <v>44</v>
      </c>
      <c r="N17">
        <v>47</v>
      </c>
      <c r="O17">
        <v>49</v>
      </c>
      <c r="P17">
        <v>51</v>
      </c>
      <c r="Q17">
        <v>52</v>
      </c>
      <c r="R17">
        <v>53</v>
      </c>
      <c r="S17">
        <v>52</v>
      </c>
      <c r="T17">
        <v>51</v>
      </c>
      <c r="U17">
        <v>47</v>
      </c>
      <c r="V17">
        <v>44</v>
      </c>
    </row>
    <row r="18" spans="1:22" ht="13.2">
      <c r="A18">
        <f t="shared" si="0"/>
        <v>10</v>
      </c>
      <c r="B18" s="11">
        <f t="shared" si="0"/>
        <v>44204</v>
      </c>
      <c r="C18">
        <v>37</v>
      </c>
      <c r="D18">
        <v>36</v>
      </c>
      <c r="E18">
        <v>35</v>
      </c>
      <c r="F18">
        <v>34</v>
      </c>
      <c r="G18">
        <v>34</v>
      </c>
      <c r="H18">
        <v>30</v>
      </c>
      <c r="I18">
        <v>29</v>
      </c>
      <c r="J18">
        <v>30</v>
      </c>
      <c r="K18">
        <v>30</v>
      </c>
      <c r="L18">
        <v>32</v>
      </c>
      <c r="M18">
        <v>36</v>
      </c>
      <c r="N18">
        <v>39</v>
      </c>
      <c r="O18">
        <v>40</v>
      </c>
      <c r="P18">
        <v>39</v>
      </c>
      <c r="Q18">
        <v>40</v>
      </c>
      <c r="R18">
        <v>40</v>
      </c>
      <c r="S18">
        <v>40</v>
      </c>
      <c r="T18">
        <v>40</v>
      </c>
      <c r="U18">
        <v>39</v>
      </c>
      <c r="V18">
        <v>39</v>
      </c>
    </row>
    <row r="19" spans="1:22" ht="13.2">
      <c r="A19">
        <f t="shared" si="0"/>
        <v>11</v>
      </c>
      <c r="B19" s="11">
        <f t="shared" si="0"/>
        <v>44205</v>
      </c>
      <c r="C19">
        <v>37</v>
      </c>
      <c r="D19">
        <v>36</v>
      </c>
      <c r="E19">
        <v>36</v>
      </c>
      <c r="F19">
        <v>36</v>
      </c>
      <c r="G19">
        <v>35</v>
      </c>
      <c r="H19">
        <v>33</v>
      </c>
      <c r="I19">
        <v>31</v>
      </c>
      <c r="J19">
        <v>28</v>
      </c>
      <c r="K19">
        <v>28</v>
      </c>
      <c r="L19">
        <v>29</v>
      </c>
      <c r="M19">
        <v>35</v>
      </c>
      <c r="N19">
        <v>39</v>
      </c>
      <c r="O19">
        <v>43</v>
      </c>
      <c r="P19">
        <v>45</v>
      </c>
      <c r="Q19">
        <v>48</v>
      </c>
      <c r="R19">
        <v>49</v>
      </c>
      <c r="S19">
        <v>48</v>
      </c>
      <c r="T19">
        <v>47</v>
      </c>
      <c r="U19">
        <v>46</v>
      </c>
      <c r="V19">
        <v>45</v>
      </c>
    </row>
    <row r="20" spans="1:22" ht="13.2">
      <c r="A20">
        <f t="shared" si="0"/>
        <v>12</v>
      </c>
      <c r="B20" s="11">
        <f t="shared" si="0"/>
        <v>44206</v>
      </c>
      <c r="C20">
        <v>42</v>
      </c>
      <c r="D20">
        <v>41</v>
      </c>
      <c r="E20">
        <v>40</v>
      </c>
      <c r="F20">
        <v>39</v>
      </c>
      <c r="G20">
        <v>38</v>
      </c>
      <c r="H20">
        <v>35</v>
      </c>
      <c r="I20">
        <v>33</v>
      </c>
      <c r="J20">
        <v>32</v>
      </c>
      <c r="K20">
        <v>32</v>
      </c>
      <c r="L20">
        <v>32</v>
      </c>
      <c r="M20">
        <v>33</v>
      </c>
      <c r="N20">
        <v>33</v>
      </c>
      <c r="O20">
        <v>33</v>
      </c>
      <c r="P20">
        <v>33</v>
      </c>
      <c r="Q20">
        <v>33</v>
      </c>
      <c r="R20">
        <v>33</v>
      </c>
      <c r="S20">
        <v>33</v>
      </c>
      <c r="T20">
        <v>33</v>
      </c>
      <c r="U20">
        <v>33</v>
      </c>
      <c r="V20">
        <v>32</v>
      </c>
    </row>
    <row r="21" spans="1:22" ht="13.2">
      <c r="A21">
        <f t="shared" si="0"/>
        <v>13</v>
      </c>
      <c r="B21" s="11">
        <f t="shared" si="0"/>
        <v>44207</v>
      </c>
      <c r="C21">
        <v>32</v>
      </c>
      <c r="D21">
        <v>32</v>
      </c>
      <c r="E21">
        <v>33</v>
      </c>
      <c r="F21">
        <v>33</v>
      </c>
      <c r="G21">
        <v>33</v>
      </c>
      <c r="H21">
        <v>33</v>
      </c>
      <c r="I21">
        <v>33</v>
      </c>
      <c r="J21">
        <v>33</v>
      </c>
      <c r="K21">
        <v>33</v>
      </c>
      <c r="L21">
        <v>33</v>
      </c>
      <c r="M21">
        <v>34</v>
      </c>
      <c r="N21">
        <v>35</v>
      </c>
      <c r="O21">
        <v>37</v>
      </c>
      <c r="P21">
        <v>40</v>
      </c>
      <c r="Q21">
        <v>40</v>
      </c>
      <c r="R21">
        <v>40</v>
      </c>
      <c r="S21">
        <v>40</v>
      </c>
      <c r="T21">
        <v>40</v>
      </c>
      <c r="U21">
        <v>39</v>
      </c>
      <c r="V21">
        <v>38</v>
      </c>
    </row>
    <row r="22" spans="1:22" ht="13.2">
      <c r="A22">
        <f t="shared" si="0"/>
        <v>14</v>
      </c>
      <c r="B22" s="11">
        <f t="shared" si="0"/>
        <v>44208</v>
      </c>
      <c r="C22">
        <v>30</v>
      </c>
      <c r="D22">
        <v>26</v>
      </c>
      <c r="E22">
        <v>27</v>
      </c>
      <c r="F22">
        <v>28</v>
      </c>
      <c r="G22">
        <v>26</v>
      </c>
      <c r="H22">
        <v>26</v>
      </c>
      <c r="I22">
        <v>26</v>
      </c>
      <c r="J22">
        <v>25</v>
      </c>
      <c r="K22">
        <v>25</v>
      </c>
      <c r="L22">
        <v>30</v>
      </c>
      <c r="M22">
        <v>32</v>
      </c>
      <c r="N22">
        <v>37</v>
      </c>
      <c r="O22">
        <v>39</v>
      </c>
      <c r="P22">
        <v>41</v>
      </c>
      <c r="Q22">
        <v>42</v>
      </c>
      <c r="R22">
        <v>44</v>
      </c>
      <c r="S22">
        <v>44</v>
      </c>
      <c r="T22">
        <v>45</v>
      </c>
      <c r="U22">
        <v>44</v>
      </c>
      <c r="V22">
        <v>39</v>
      </c>
    </row>
    <row r="23" spans="1:22" ht="13.2">
      <c r="A23">
        <f t="shared" si="0"/>
        <v>15</v>
      </c>
      <c r="B23" s="11">
        <f t="shared" si="0"/>
        <v>44209</v>
      </c>
      <c r="C23">
        <v>35</v>
      </c>
      <c r="D23">
        <v>34</v>
      </c>
      <c r="E23">
        <v>35</v>
      </c>
      <c r="F23">
        <v>34</v>
      </c>
      <c r="G23">
        <v>34</v>
      </c>
      <c r="H23">
        <v>32</v>
      </c>
      <c r="I23">
        <v>32</v>
      </c>
      <c r="J23">
        <v>33</v>
      </c>
      <c r="K23">
        <v>33</v>
      </c>
      <c r="L23">
        <v>36</v>
      </c>
      <c r="M23">
        <v>41</v>
      </c>
      <c r="N23">
        <v>47</v>
      </c>
      <c r="O23">
        <v>54</v>
      </c>
      <c r="P23">
        <v>58</v>
      </c>
      <c r="Q23">
        <v>62</v>
      </c>
      <c r="R23">
        <v>61</v>
      </c>
      <c r="S23">
        <v>61</v>
      </c>
      <c r="T23">
        <v>60</v>
      </c>
      <c r="U23">
        <v>56</v>
      </c>
      <c r="V23">
        <v>50</v>
      </c>
    </row>
    <row r="24" spans="1:22" s="18" customFormat="1" ht="13.2">
      <c r="A24" s="18">
        <f t="shared" si="0"/>
        <v>16</v>
      </c>
      <c r="B24" s="11">
        <f t="shared" si="0"/>
        <v>44210</v>
      </c>
      <c r="C24">
        <v>49</v>
      </c>
      <c r="D24">
        <v>48</v>
      </c>
      <c r="E24">
        <v>46</v>
      </c>
      <c r="F24">
        <v>46</v>
      </c>
      <c r="G24">
        <v>45</v>
      </c>
      <c r="H24">
        <v>44</v>
      </c>
      <c r="I24">
        <v>44</v>
      </c>
      <c r="J24">
        <v>41</v>
      </c>
      <c r="K24">
        <v>46</v>
      </c>
      <c r="L24">
        <v>48</v>
      </c>
      <c r="M24">
        <v>52</v>
      </c>
      <c r="N24">
        <v>55</v>
      </c>
      <c r="O24">
        <v>57</v>
      </c>
      <c r="P24">
        <v>58</v>
      </c>
      <c r="Q24">
        <v>58</v>
      </c>
      <c r="R24">
        <v>57</v>
      </c>
      <c r="S24">
        <v>57</v>
      </c>
      <c r="T24">
        <v>55</v>
      </c>
      <c r="U24">
        <v>51</v>
      </c>
      <c r="V24">
        <v>45</v>
      </c>
    </row>
    <row r="25" spans="1:22" ht="13.2">
      <c r="A25">
        <f t="shared" si="0"/>
        <v>17</v>
      </c>
      <c r="B25" s="11">
        <f t="shared" si="0"/>
        <v>44211</v>
      </c>
      <c r="C25">
        <v>33</v>
      </c>
      <c r="D25">
        <v>31</v>
      </c>
      <c r="E25">
        <v>32</v>
      </c>
      <c r="F25">
        <v>29</v>
      </c>
      <c r="G25">
        <v>28</v>
      </c>
      <c r="H25">
        <v>30</v>
      </c>
      <c r="I25">
        <v>30</v>
      </c>
      <c r="J25">
        <v>32</v>
      </c>
      <c r="K25">
        <v>33</v>
      </c>
      <c r="L25">
        <v>39</v>
      </c>
      <c r="M25">
        <v>44</v>
      </c>
      <c r="N25">
        <v>47</v>
      </c>
      <c r="O25">
        <v>49</v>
      </c>
      <c r="P25">
        <v>51</v>
      </c>
      <c r="Q25">
        <v>53</v>
      </c>
      <c r="R25">
        <v>55</v>
      </c>
      <c r="S25">
        <v>55</v>
      </c>
      <c r="T25">
        <v>54</v>
      </c>
      <c r="U25">
        <v>51</v>
      </c>
      <c r="V25">
        <v>45</v>
      </c>
    </row>
    <row r="26" spans="1:22" ht="13.2">
      <c r="A26">
        <f t="shared" si="0"/>
        <v>18</v>
      </c>
      <c r="B26" s="11">
        <f t="shared" si="0"/>
        <v>44212</v>
      </c>
      <c r="C26">
        <v>38</v>
      </c>
      <c r="D26">
        <v>39</v>
      </c>
      <c r="E26">
        <v>35</v>
      </c>
      <c r="F26">
        <v>34</v>
      </c>
      <c r="G26">
        <v>33</v>
      </c>
      <c r="H26">
        <v>33</v>
      </c>
      <c r="I26">
        <v>32</v>
      </c>
      <c r="J26">
        <v>31</v>
      </c>
      <c r="K26">
        <v>30</v>
      </c>
      <c r="L26">
        <v>34</v>
      </c>
      <c r="M26">
        <v>45</v>
      </c>
      <c r="N26">
        <v>51</v>
      </c>
      <c r="O26">
        <v>54</v>
      </c>
      <c r="P26">
        <v>58</v>
      </c>
      <c r="Q26">
        <v>60</v>
      </c>
      <c r="R26">
        <v>61</v>
      </c>
      <c r="S26">
        <v>61</v>
      </c>
      <c r="T26">
        <v>60</v>
      </c>
      <c r="U26">
        <v>58</v>
      </c>
      <c r="V26">
        <v>55</v>
      </c>
    </row>
    <row r="27" spans="1:22" ht="13.2">
      <c r="A27">
        <f t="shared" si="1" ref="A27:B42">+A26+1</f>
        <v>19</v>
      </c>
      <c r="B27" s="11">
        <f t="shared" si="1"/>
        <v>44213</v>
      </c>
      <c r="C27">
        <v>38</v>
      </c>
      <c r="D27">
        <v>39</v>
      </c>
      <c r="E27">
        <v>40</v>
      </c>
      <c r="F27">
        <v>35</v>
      </c>
      <c r="G27">
        <v>37</v>
      </c>
      <c r="H27">
        <v>33</v>
      </c>
      <c r="I27">
        <v>29</v>
      </c>
      <c r="J27">
        <v>33</v>
      </c>
      <c r="K27">
        <v>30</v>
      </c>
      <c r="L27">
        <v>34</v>
      </c>
      <c r="M27">
        <v>41</v>
      </c>
      <c r="N27">
        <v>46</v>
      </c>
      <c r="O27">
        <v>51</v>
      </c>
      <c r="P27">
        <v>55</v>
      </c>
      <c r="Q27">
        <v>57</v>
      </c>
      <c r="R27">
        <v>58</v>
      </c>
      <c r="S27">
        <v>58</v>
      </c>
      <c r="T27">
        <v>57</v>
      </c>
      <c r="U27">
        <v>53</v>
      </c>
      <c r="V27">
        <v>49</v>
      </c>
    </row>
    <row r="28" spans="1:22" s="18" customFormat="1" ht="13.2">
      <c r="A28" s="18">
        <f t="shared" si="1"/>
        <v>20</v>
      </c>
      <c r="B28" s="11">
        <f t="shared" si="1"/>
        <v>44214</v>
      </c>
      <c r="C28">
        <v>36</v>
      </c>
      <c r="D28">
        <v>36</v>
      </c>
      <c r="E28">
        <v>40</v>
      </c>
      <c r="F28">
        <v>42</v>
      </c>
      <c r="G28">
        <v>42</v>
      </c>
      <c r="H28">
        <v>44</v>
      </c>
      <c r="I28">
        <v>43</v>
      </c>
      <c r="J28">
        <v>45</v>
      </c>
      <c r="K28">
        <v>44</v>
      </c>
      <c r="L28">
        <v>49</v>
      </c>
      <c r="M28">
        <v>53</v>
      </c>
      <c r="N28">
        <v>58</v>
      </c>
      <c r="O28">
        <v>62</v>
      </c>
      <c r="P28">
        <v>66</v>
      </c>
      <c r="Q28">
        <v>70</v>
      </c>
      <c r="R28">
        <v>73</v>
      </c>
      <c r="S28">
        <v>74</v>
      </c>
      <c r="T28">
        <v>69</v>
      </c>
      <c r="U28">
        <v>62</v>
      </c>
      <c r="V28">
        <v>56</v>
      </c>
    </row>
    <row r="29" spans="1:22" ht="13.2">
      <c r="A29">
        <f t="shared" si="1"/>
        <v>21</v>
      </c>
      <c r="B29" s="11">
        <f t="shared" si="1"/>
        <v>44215</v>
      </c>
      <c r="C29">
        <v>41</v>
      </c>
      <c r="D29">
        <v>40</v>
      </c>
      <c r="E29">
        <v>39</v>
      </c>
      <c r="F29">
        <v>42</v>
      </c>
      <c r="G29">
        <v>45</v>
      </c>
      <c r="H29">
        <v>47</v>
      </c>
      <c r="I29">
        <v>49</v>
      </c>
      <c r="J29">
        <v>48</v>
      </c>
      <c r="K29">
        <v>47</v>
      </c>
      <c r="L29">
        <v>48</v>
      </c>
      <c r="M29">
        <v>49</v>
      </c>
      <c r="N29">
        <v>49</v>
      </c>
      <c r="O29">
        <v>48</v>
      </c>
      <c r="P29">
        <v>49</v>
      </c>
      <c r="Q29">
        <v>49</v>
      </c>
      <c r="R29">
        <v>48</v>
      </c>
      <c r="S29">
        <v>48</v>
      </c>
      <c r="T29">
        <v>48</v>
      </c>
      <c r="U29">
        <v>48</v>
      </c>
      <c r="V29">
        <v>47</v>
      </c>
    </row>
    <row r="30" spans="1:22" ht="13.2">
      <c r="A30">
        <f t="shared" si="1"/>
        <v>22</v>
      </c>
      <c r="B30" s="11">
        <f t="shared" si="1"/>
        <v>44216</v>
      </c>
      <c r="C30">
        <v>45</v>
      </c>
      <c r="D30">
        <v>45</v>
      </c>
      <c r="E30">
        <v>44</v>
      </c>
      <c r="F30">
        <v>41</v>
      </c>
      <c r="G30">
        <v>40</v>
      </c>
      <c r="H30">
        <v>39</v>
      </c>
      <c r="I30">
        <v>38</v>
      </c>
      <c r="J30">
        <v>38</v>
      </c>
      <c r="K30">
        <v>38</v>
      </c>
      <c r="L30">
        <v>38</v>
      </c>
      <c r="M30">
        <v>39</v>
      </c>
      <c r="N30">
        <v>40</v>
      </c>
      <c r="O30">
        <v>41</v>
      </c>
      <c r="P30">
        <v>42</v>
      </c>
      <c r="Q30">
        <v>43</v>
      </c>
      <c r="R30">
        <v>44</v>
      </c>
      <c r="S30">
        <v>45</v>
      </c>
      <c r="T30">
        <v>45</v>
      </c>
      <c r="U30">
        <v>46</v>
      </c>
      <c r="V30">
        <v>44</v>
      </c>
    </row>
    <row r="31" spans="1:22" ht="13.2">
      <c r="A31">
        <f t="shared" si="1"/>
        <v>23</v>
      </c>
      <c r="B31" s="11">
        <f t="shared" si="1"/>
        <v>44217</v>
      </c>
      <c r="C31">
        <v>46</v>
      </c>
      <c r="D31">
        <v>47</v>
      </c>
      <c r="E31">
        <v>48</v>
      </c>
      <c r="F31">
        <v>48</v>
      </c>
      <c r="G31">
        <v>48</v>
      </c>
      <c r="H31">
        <v>48</v>
      </c>
      <c r="I31">
        <v>48</v>
      </c>
      <c r="J31">
        <v>48</v>
      </c>
      <c r="K31">
        <v>48</v>
      </c>
      <c r="L31">
        <v>49</v>
      </c>
      <c r="M31">
        <v>52</v>
      </c>
      <c r="N31">
        <v>56</v>
      </c>
      <c r="O31">
        <v>58</v>
      </c>
      <c r="P31">
        <v>60</v>
      </c>
      <c r="Q31">
        <v>60</v>
      </c>
      <c r="R31">
        <v>59</v>
      </c>
      <c r="S31">
        <v>59</v>
      </c>
      <c r="T31">
        <v>58</v>
      </c>
      <c r="U31">
        <v>57</v>
      </c>
      <c r="V31">
        <v>54</v>
      </c>
    </row>
    <row r="32" spans="1:22" ht="13.2">
      <c r="A32">
        <f t="shared" si="1"/>
        <v>24</v>
      </c>
      <c r="B32" s="11">
        <f t="shared" si="1"/>
        <v>44218</v>
      </c>
      <c r="C32">
        <v>55</v>
      </c>
      <c r="D32">
        <v>53</v>
      </c>
      <c r="E32">
        <v>54</v>
      </c>
      <c r="F32">
        <v>54</v>
      </c>
      <c r="G32">
        <v>52</v>
      </c>
      <c r="H32">
        <v>49</v>
      </c>
      <c r="I32">
        <v>47</v>
      </c>
      <c r="J32">
        <v>46</v>
      </c>
      <c r="K32">
        <v>46</v>
      </c>
      <c r="L32">
        <v>46</v>
      </c>
      <c r="M32">
        <v>46</v>
      </c>
      <c r="N32">
        <v>47</v>
      </c>
      <c r="O32">
        <v>47</v>
      </c>
      <c r="P32">
        <v>47</v>
      </c>
      <c r="Q32">
        <v>47</v>
      </c>
      <c r="R32">
        <v>46</v>
      </c>
      <c r="S32">
        <v>46</v>
      </c>
      <c r="T32">
        <v>46</v>
      </c>
      <c r="U32">
        <v>46</v>
      </c>
      <c r="V32">
        <v>45</v>
      </c>
    </row>
    <row r="33" spans="1:22" ht="13.2">
      <c r="A33">
        <f t="shared" si="1"/>
        <v>25</v>
      </c>
      <c r="B33" s="11">
        <f t="shared" si="1"/>
        <v>44219</v>
      </c>
      <c r="C33">
        <v>46</v>
      </c>
      <c r="D33">
        <v>45</v>
      </c>
      <c r="E33">
        <v>44</v>
      </c>
      <c r="F33">
        <v>43</v>
      </c>
      <c r="G33">
        <v>43</v>
      </c>
      <c r="H33">
        <v>42</v>
      </c>
      <c r="I33">
        <v>42</v>
      </c>
      <c r="J33">
        <v>43</v>
      </c>
      <c r="K33">
        <v>44</v>
      </c>
      <c r="L33">
        <v>44</v>
      </c>
      <c r="M33">
        <v>45</v>
      </c>
      <c r="N33">
        <v>46</v>
      </c>
      <c r="O33">
        <v>49</v>
      </c>
      <c r="P33">
        <v>50</v>
      </c>
      <c r="Q33">
        <v>51</v>
      </c>
      <c r="R33">
        <v>53</v>
      </c>
      <c r="S33">
        <v>54</v>
      </c>
      <c r="T33">
        <v>55</v>
      </c>
      <c r="U33">
        <v>54</v>
      </c>
      <c r="V33">
        <v>55</v>
      </c>
    </row>
    <row r="34" spans="1:22" ht="13.2">
      <c r="A34">
        <f t="shared" si="1"/>
        <v>26</v>
      </c>
      <c r="B34" s="11">
        <f t="shared" si="1"/>
        <v>44220</v>
      </c>
      <c r="C34">
        <v>57</v>
      </c>
      <c r="D34">
        <v>57</v>
      </c>
      <c r="E34">
        <v>59</v>
      </c>
      <c r="F34">
        <v>58</v>
      </c>
      <c r="G34">
        <v>59</v>
      </c>
      <c r="H34">
        <v>59</v>
      </c>
      <c r="I34">
        <v>58</v>
      </c>
      <c r="J34">
        <v>59</v>
      </c>
      <c r="K34">
        <v>59</v>
      </c>
      <c r="L34">
        <v>59</v>
      </c>
      <c r="M34">
        <v>58</v>
      </c>
      <c r="N34">
        <v>59</v>
      </c>
      <c r="O34">
        <v>60</v>
      </c>
      <c r="P34">
        <v>61</v>
      </c>
      <c r="Q34">
        <v>61</v>
      </c>
      <c r="R34">
        <v>62</v>
      </c>
      <c r="S34">
        <v>63</v>
      </c>
      <c r="T34">
        <v>62</v>
      </c>
      <c r="U34">
        <v>62</v>
      </c>
      <c r="V34">
        <v>61</v>
      </c>
    </row>
    <row r="35" spans="1:22" ht="13.2">
      <c r="A35">
        <f t="shared" si="1"/>
        <v>27</v>
      </c>
      <c r="B35" s="11">
        <f t="shared" si="1"/>
        <v>44221</v>
      </c>
      <c r="C35">
        <v>55</v>
      </c>
      <c r="D35">
        <v>52</v>
      </c>
      <c r="E35">
        <v>49</v>
      </c>
      <c r="F35">
        <v>44</v>
      </c>
      <c r="G35">
        <v>42</v>
      </c>
      <c r="H35">
        <v>42</v>
      </c>
      <c r="I35">
        <v>41</v>
      </c>
      <c r="J35">
        <v>44</v>
      </c>
      <c r="K35">
        <v>44</v>
      </c>
      <c r="L35">
        <v>50</v>
      </c>
      <c r="M35">
        <v>53</v>
      </c>
      <c r="N35">
        <v>57</v>
      </c>
      <c r="O35">
        <v>58</v>
      </c>
      <c r="P35">
        <v>62</v>
      </c>
      <c r="Q35">
        <v>63</v>
      </c>
      <c r="R35">
        <v>64</v>
      </c>
      <c r="S35">
        <v>65</v>
      </c>
      <c r="T35">
        <v>64</v>
      </c>
      <c r="U35">
        <v>61</v>
      </c>
      <c r="V35">
        <v>54</v>
      </c>
    </row>
    <row r="36" spans="1:22" ht="13.2">
      <c r="A36">
        <f t="shared" si="1"/>
        <v>28</v>
      </c>
      <c r="B36" s="11">
        <f t="shared" si="1"/>
        <v>44222</v>
      </c>
      <c r="C36">
        <v>47</v>
      </c>
      <c r="D36">
        <v>44</v>
      </c>
      <c r="E36">
        <v>42</v>
      </c>
      <c r="F36">
        <v>43</v>
      </c>
      <c r="G36">
        <v>39</v>
      </c>
      <c r="H36">
        <v>34</v>
      </c>
      <c r="I36">
        <v>32</v>
      </c>
      <c r="J36">
        <v>32</v>
      </c>
      <c r="K36">
        <v>31</v>
      </c>
      <c r="L36">
        <v>35</v>
      </c>
      <c r="M36">
        <v>39</v>
      </c>
      <c r="N36">
        <v>44</v>
      </c>
      <c r="O36">
        <v>48</v>
      </c>
      <c r="P36">
        <v>52</v>
      </c>
      <c r="Q36">
        <v>55</v>
      </c>
      <c r="R36">
        <v>57</v>
      </c>
      <c r="S36">
        <v>60</v>
      </c>
      <c r="T36">
        <v>58</v>
      </c>
      <c r="U36">
        <v>54</v>
      </c>
      <c r="V36">
        <v>49</v>
      </c>
    </row>
    <row r="37" spans="1:22" ht="13.2">
      <c r="A37">
        <f t="shared" si="1"/>
        <v>29</v>
      </c>
      <c r="B37" s="11">
        <f t="shared" si="1"/>
        <v>44223</v>
      </c>
      <c r="C37">
        <v>44</v>
      </c>
      <c r="D37">
        <v>43</v>
      </c>
      <c r="E37">
        <v>42</v>
      </c>
      <c r="F37">
        <v>41</v>
      </c>
      <c r="G37">
        <v>39</v>
      </c>
      <c r="H37">
        <v>36</v>
      </c>
      <c r="I37">
        <v>37</v>
      </c>
      <c r="J37">
        <v>35</v>
      </c>
      <c r="K37">
        <v>34</v>
      </c>
      <c r="L37">
        <v>41</v>
      </c>
      <c r="M37">
        <v>45</v>
      </c>
      <c r="N37">
        <v>44</v>
      </c>
      <c r="O37">
        <v>41</v>
      </c>
      <c r="P37">
        <v>43</v>
      </c>
      <c r="Q37">
        <v>47</v>
      </c>
      <c r="R37">
        <v>49</v>
      </c>
      <c r="S37">
        <v>50</v>
      </c>
      <c r="T37">
        <v>49</v>
      </c>
      <c r="U37">
        <v>46</v>
      </c>
      <c r="V37">
        <v>42</v>
      </c>
    </row>
    <row r="38" spans="1:22" ht="13.2">
      <c r="A38">
        <f t="shared" si="1"/>
        <v>30</v>
      </c>
      <c r="B38" s="11">
        <f t="shared" si="1"/>
        <v>44224</v>
      </c>
      <c r="C38">
        <v>33</v>
      </c>
      <c r="D38">
        <v>32</v>
      </c>
      <c r="E38">
        <v>32</v>
      </c>
      <c r="F38">
        <v>31</v>
      </c>
      <c r="G38">
        <v>30</v>
      </c>
      <c r="H38">
        <v>30</v>
      </c>
      <c r="I38">
        <v>29</v>
      </c>
      <c r="J38">
        <v>30</v>
      </c>
      <c r="K38">
        <v>30</v>
      </c>
      <c r="L38">
        <v>34</v>
      </c>
      <c r="M38">
        <v>39</v>
      </c>
      <c r="N38">
        <v>44</v>
      </c>
      <c r="O38">
        <v>47</v>
      </c>
      <c r="P38">
        <v>48</v>
      </c>
      <c r="Q38">
        <v>50</v>
      </c>
      <c r="R38">
        <v>53</v>
      </c>
      <c r="S38">
        <v>54</v>
      </c>
      <c r="T38">
        <v>54</v>
      </c>
      <c r="U38">
        <v>51</v>
      </c>
      <c r="V38">
        <v>48</v>
      </c>
    </row>
    <row r="39" spans="1:22" ht="13.2">
      <c r="A39">
        <f t="shared" si="1"/>
        <v>31</v>
      </c>
      <c r="B39" s="11">
        <f t="shared" si="1"/>
        <v>44225</v>
      </c>
      <c r="C39">
        <v>43</v>
      </c>
      <c r="D39">
        <v>42</v>
      </c>
      <c r="E39">
        <v>41</v>
      </c>
      <c r="F39">
        <v>40</v>
      </c>
      <c r="G39">
        <v>41</v>
      </c>
      <c r="H39">
        <v>41</v>
      </c>
      <c r="I39">
        <v>44</v>
      </c>
      <c r="J39">
        <v>44</v>
      </c>
      <c r="K39">
        <v>43</v>
      </c>
      <c r="L39">
        <v>46</v>
      </c>
      <c r="M39">
        <v>48</v>
      </c>
      <c r="N39">
        <v>51</v>
      </c>
      <c r="O39">
        <v>52</v>
      </c>
      <c r="P39">
        <v>56</v>
      </c>
      <c r="Q39">
        <v>59</v>
      </c>
      <c r="R39">
        <v>64</v>
      </c>
      <c r="S39">
        <v>62</v>
      </c>
      <c r="T39">
        <v>63</v>
      </c>
      <c r="U39">
        <v>61</v>
      </c>
      <c r="V39">
        <v>57</v>
      </c>
    </row>
    <row r="40" spans="1:22" ht="13.2">
      <c r="A40">
        <f t="shared" si="1"/>
        <v>32</v>
      </c>
      <c r="B40" s="11">
        <f t="shared" si="1"/>
        <v>44226</v>
      </c>
      <c r="C40">
        <v>56</v>
      </c>
      <c r="D40">
        <v>58</v>
      </c>
      <c r="E40">
        <v>57</v>
      </c>
      <c r="F40">
        <v>56</v>
      </c>
      <c r="G40">
        <v>57</v>
      </c>
      <c r="H40">
        <v>58</v>
      </c>
      <c r="I40">
        <v>57</v>
      </c>
      <c r="J40">
        <v>57</v>
      </c>
      <c r="K40">
        <v>58</v>
      </c>
      <c r="L40">
        <v>61</v>
      </c>
      <c r="M40">
        <v>64</v>
      </c>
      <c r="N40">
        <v>64</v>
      </c>
      <c r="O40">
        <v>67</v>
      </c>
      <c r="P40">
        <v>68</v>
      </c>
      <c r="Q40">
        <v>69</v>
      </c>
      <c r="R40">
        <v>69</v>
      </c>
      <c r="S40">
        <v>69</v>
      </c>
      <c r="T40">
        <v>68</v>
      </c>
      <c r="U40">
        <v>66</v>
      </c>
      <c r="V40">
        <v>61</v>
      </c>
    </row>
    <row r="41" spans="1:22" ht="13.2">
      <c r="A41">
        <f t="shared" si="1"/>
        <v>33</v>
      </c>
      <c r="B41" s="11">
        <f t="shared" si="1"/>
        <v>44227</v>
      </c>
      <c r="C41">
        <v>51</v>
      </c>
      <c r="D41">
        <v>51</v>
      </c>
      <c r="E41">
        <v>48</v>
      </c>
      <c r="F41">
        <v>45</v>
      </c>
      <c r="G41">
        <v>44</v>
      </c>
      <c r="H41">
        <v>45</v>
      </c>
      <c r="I41">
        <v>42</v>
      </c>
      <c r="J41">
        <v>42</v>
      </c>
      <c r="K41">
        <v>40</v>
      </c>
      <c r="L41">
        <v>44</v>
      </c>
      <c r="M41">
        <v>47</v>
      </c>
      <c r="N41">
        <v>49</v>
      </c>
      <c r="O41">
        <v>52</v>
      </c>
      <c r="P41">
        <v>55</v>
      </c>
      <c r="Q41">
        <v>57</v>
      </c>
      <c r="R41">
        <v>58</v>
      </c>
      <c r="S41">
        <v>60</v>
      </c>
      <c r="T41">
        <v>58</v>
      </c>
      <c r="U41">
        <v>55</v>
      </c>
      <c r="V41">
        <v>50</v>
      </c>
    </row>
    <row r="42" spans="1:2" ht="13.2">
      <c r="A42">
        <f t="shared" si="1"/>
        <v>34</v>
      </c>
      <c r="B42" s="11"/>
    </row>
    <row r="43" spans="1:1" ht="13.2">
      <c r="A43">
        <f t="shared" si="2" ref="A43:A75">+A42+1</f>
        <v>35</v>
      </c>
    </row>
    <row r="44" spans="1:21" ht="28.8" customHeight="1">
      <c r="A44">
        <f t="shared" si="2"/>
        <v>36</v>
      </c>
      <c r="B44" s="58" t="s">
        <v>28</v>
      </c>
      <c r="C44" s="58" t="s">
        <v>49</v>
      </c>
      <c r="D44" s="58" t="s">
        <v>50</v>
      </c>
      <c r="E44" s="58" t="s">
        <v>51</v>
      </c>
      <c r="F44" s="58" t="s">
        <v>52</v>
      </c>
      <c r="G44" s="59" t="s">
        <v>53</v>
      </c>
      <c r="H44" s="58" t="s">
        <v>99</v>
      </c>
      <c r="I44" s="58" t="s">
        <v>60</v>
      </c>
      <c r="J44" s="58" t="s">
        <v>61</v>
      </c>
      <c r="K44" s="58" t="s">
        <v>110</v>
      </c>
      <c r="L44" s="58" t="s">
        <v>62</v>
      </c>
      <c r="M44" s="77" t="s">
        <v>118</v>
      </c>
      <c r="N44" s="78" t="s">
        <v>90</v>
      </c>
      <c r="O44" s="79" t="s">
        <v>119</v>
      </c>
      <c r="P44" s="79" t="s">
        <v>104</v>
      </c>
      <c r="Q44" s="27" t="s">
        <v>63</v>
      </c>
      <c r="R44" s="27" t="s">
        <v>64</v>
      </c>
      <c r="S44" s="27" t="s">
        <v>65</v>
      </c>
      <c r="T44" s="27" t="s">
        <v>91</v>
      </c>
      <c r="U44" s="41" t="s">
        <v>112</v>
      </c>
    </row>
    <row r="45" spans="1:21" ht="13.2">
      <c r="A45">
        <f t="shared" si="2"/>
        <v>37</v>
      </c>
      <c r="B45" s="11">
        <f>+B11</f>
        <v>44197</v>
      </c>
      <c r="C45">
        <v>39</v>
      </c>
      <c r="D45">
        <v>36</v>
      </c>
      <c r="E45">
        <v>36</v>
      </c>
      <c r="F45">
        <v>38</v>
      </c>
      <c r="G45" s="12">
        <f t="shared" si="3" ref="G45:G75">ROUND(AVERAGE(C11:V11,C45:F45),1)</f>
        <v>37</v>
      </c>
      <c r="H45" s="12">
        <f t="shared" si="4" ref="H45:H75">MAX(40-$G45,0)</f>
        <v>3</v>
      </c>
      <c r="I45" s="12">
        <f t="shared" si="5" ref="I45:I75">MAX(45-$G45,0)</f>
        <v>8</v>
      </c>
      <c r="J45" s="12">
        <f t="shared" si="6" ref="J45:J75">MAX(50-$G45,0)</f>
        <v>13</v>
      </c>
      <c r="K45" s="12">
        <f t="shared" si="7" ref="K45:K75">MAX(55-$G45,0)</f>
        <v>18</v>
      </c>
      <c r="L45" s="12">
        <f t="shared" si="8" ref="L45:L75">MAX(60-$G45,0)</f>
        <v>23</v>
      </c>
      <c r="M45" s="12">
        <f t="shared" si="9" ref="M45:M75">MAX(65-$G45,0)</f>
        <v>28</v>
      </c>
      <c r="N45" s="12">
        <f t="shared" si="10" ref="N45:N75">MAX($G45-50,0)</f>
        <v>0</v>
      </c>
      <c r="O45" s="12">
        <f t="shared" si="11" ref="O45:O75">MAX($G45-55,0)</f>
        <v>0</v>
      </c>
      <c r="P45" s="12">
        <f t="shared" si="12" ref="P45:P75">MAX($G45-60,0)</f>
        <v>0</v>
      </c>
      <c r="Q45" s="12">
        <f t="shared" si="13" ref="Q45:Q75">MAX($G45-65,0)</f>
        <v>0</v>
      </c>
      <c r="R45" s="12">
        <f t="shared" si="14" ref="R45:R75">MAX($G45-70,0)</f>
        <v>0</v>
      </c>
      <c r="S45" s="12">
        <f t="shared" si="15" ref="S45:S75">MAX($G45-75,0)</f>
        <v>0</v>
      </c>
      <c r="T45" s="12">
        <f t="shared" si="16" ref="T45:T75">MAX($G45-80,0)</f>
        <v>0</v>
      </c>
      <c r="U45" s="12">
        <f t="shared" si="17" ref="U45:U75">MAX($G45-85,0)</f>
        <v>0</v>
      </c>
    </row>
    <row r="46" spans="1:21" ht="13.2">
      <c r="A46">
        <f t="shared" si="2"/>
        <v>38</v>
      </c>
      <c r="B46" s="11">
        <f t="shared" si="18" ref="B46:B75">+B12</f>
        <v>44198</v>
      </c>
      <c r="C46">
        <v>45</v>
      </c>
      <c r="D46">
        <v>45</v>
      </c>
      <c r="E46">
        <v>44</v>
      </c>
      <c r="F46">
        <v>45</v>
      </c>
      <c r="G46" s="12">
        <f t="shared" si="3"/>
        <v>44.700000000000003</v>
      </c>
      <c r="H46" s="12">
        <f t="shared" si="4"/>
        <v>0</v>
      </c>
      <c r="I46" s="12">
        <f t="shared" si="5"/>
        <v>0.29999999999999716</v>
      </c>
      <c r="J46" s="12">
        <f t="shared" si="6"/>
        <v>5.2999999999999972</v>
      </c>
      <c r="K46" s="12">
        <f t="shared" si="7"/>
        <v>10.299999999999997</v>
      </c>
      <c r="L46" s="12">
        <f t="shared" si="8"/>
        <v>15.299999999999997</v>
      </c>
      <c r="M46" s="12">
        <f t="shared" si="9"/>
        <v>20.299999999999997</v>
      </c>
      <c r="N46" s="12">
        <f t="shared" si="10"/>
        <v>0</v>
      </c>
      <c r="O46" s="12">
        <f t="shared" si="11"/>
        <v>0</v>
      </c>
      <c r="P46" s="12">
        <f t="shared" si="12"/>
        <v>0</v>
      </c>
      <c r="Q46" s="12">
        <f t="shared" si="13"/>
        <v>0</v>
      </c>
      <c r="R46" s="12">
        <f t="shared" si="14"/>
        <v>0</v>
      </c>
      <c r="S46" s="12">
        <f t="shared" si="15"/>
        <v>0</v>
      </c>
      <c r="T46" s="12">
        <f t="shared" si="16"/>
        <v>0</v>
      </c>
      <c r="U46" s="12">
        <f t="shared" si="17"/>
        <v>0</v>
      </c>
    </row>
    <row r="47" spans="1:21" ht="13.2">
      <c r="A47">
        <f t="shared" si="2"/>
        <v>39</v>
      </c>
      <c r="B47" s="11">
        <f t="shared" si="18"/>
        <v>44199</v>
      </c>
      <c r="C47">
        <v>43</v>
      </c>
      <c r="D47">
        <v>44</v>
      </c>
      <c r="E47">
        <v>43</v>
      </c>
      <c r="F47">
        <v>43</v>
      </c>
      <c r="G47" s="12">
        <f t="shared" si="3"/>
        <v>47.200000000000003</v>
      </c>
      <c r="H47" s="12">
        <f t="shared" si="4"/>
        <v>0</v>
      </c>
      <c r="I47" s="12">
        <f t="shared" si="5"/>
        <v>0</v>
      </c>
      <c r="J47" s="12">
        <f t="shared" si="6"/>
        <v>2.7999999999999972</v>
      </c>
      <c r="K47" s="12">
        <f t="shared" si="7"/>
        <v>7.7999999999999972</v>
      </c>
      <c r="L47" s="12">
        <f t="shared" si="8"/>
        <v>12.799999999999997</v>
      </c>
      <c r="M47" s="12">
        <f t="shared" si="9"/>
        <v>17.799999999999997</v>
      </c>
      <c r="N47" s="12">
        <f t="shared" si="10"/>
        <v>0</v>
      </c>
      <c r="O47" s="12">
        <f t="shared" si="11"/>
        <v>0</v>
      </c>
      <c r="P47" s="12">
        <f t="shared" si="12"/>
        <v>0</v>
      </c>
      <c r="Q47" s="12">
        <f t="shared" si="13"/>
        <v>0</v>
      </c>
      <c r="R47" s="12">
        <f t="shared" si="14"/>
        <v>0</v>
      </c>
      <c r="S47" s="12">
        <f t="shared" si="15"/>
        <v>0</v>
      </c>
      <c r="T47" s="12">
        <f t="shared" si="16"/>
        <v>0</v>
      </c>
      <c r="U47" s="12">
        <f t="shared" si="17"/>
        <v>0</v>
      </c>
    </row>
    <row r="48" spans="1:21" ht="13.2">
      <c r="A48">
        <f t="shared" si="2"/>
        <v>40</v>
      </c>
      <c r="B48" s="11">
        <f t="shared" si="18"/>
        <v>44200</v>
      </c>
      <c r="C48">
        <v>47</v>
      </c>
      <c r="D48">
        <v>44</v>
      </c>
      <c r="E48">
        <v>42</v>
      </c>
      <c r="F48">
        <v>39</v>
      </c>
      <c r="G48" s="12">
        <f t="shared" si="3"/>
        <v>48.799999999999997</v>
      </c>
      <c r="H48" s="12">
        <f t="shared" si="4"/>
        <v>0</v>
      </c>
      <c r="I48" s="12">
        <f t="shared" si="5"/>
        <v>0</v>
      </c>
      <c r="J48" s="12">
        <f t="shared" si="6"/>
        <v>1.2000000000000028</v>
      </c>
      <c r="K48" s="12">
        <f t="shared" si="7"/>
        <v>6.2000000000000028</v>
      </c>
      <c r="L48" s="12">
        <f t="shared" si="8"/>
        <v>11.200000000000003</v>
      </c>
      <c r="M48" s="12">
        <f t="shared" si="9"/>
        <v>16.200000000000003</v>
      </c>
      <c r="N48" s="12">
        <f t="shared" si="10"/>
        <v>0</v>
      </c>
      <c r="O48" s="12">
        <f t="shared" si="11"/>
        <v>0</v>
      </c>
      <c r="P48" s="12">
        <f t="shared" si="12"/>
        <v>0</v>
      </c>
      <c r="Q48" s="12">
        <f t="shared" si="13"/>
        <v>0</v>
      </c>
      <c r="R48" s="12">
        <f t="shared" si="14"/>
        <v>0</v>
      </c>
      <c r="S48" s="12">
        <f t="shared" si="15"/>
        <v>0</v>
      </c>
      <c r="T48" s="12">
        <f t="shared" si="16"/>
        <v>0</v>
      </c>
      <c r="U48" s="12">
        <f t="shared" si="17"/>
        <v>0</v>
      </c>
    </row>
    <row r="49" spans="1:21" ht="13.2">
      <c r="A49">
        <f t="shared" si="2"/>
        <v>41</v>
      </c>
      <c r="B49" s="11">
        <f t="shared" si="18"/>
        <v>44201</v>
      </c>
      <c r="C49">
        <v>54</v>
      </c>
      <c r="D49">
        <v>51</v>
      </c>
      <c r="E49">
        <v>56</v>
      </c>
      <c r="F49">
        <v>57</v>
      </c>
      <c r="G49" s="12">
        <f t="shared" si="3"/>
        <v>48.700000000000003</v>
      </c>
      <c r="H49" s="12">
        <f t="shared" si="4"/>
        <v>0</v>
      </c>
      <c r="I49" s="12">
        <f t="shared" si="5"/>
        <v>0</v>
      </c>
      <c r="J49" s="12">
        <f t="shared" si="6"/>
        <v>1.2999999999999972</v>
      </c>
      <c r="K49" s="12">
        <f t="shared" si="7"/>
        <v>6.2999999999999972</v>
      </c>
      <c r="L49" s="12">
        <f t="shared" si="8"/>
        <v>11.299999999999997</v>
      </c>
      <c r="M49" s="12">
        <f t="shared" si="9"/>
        <v>16.299999999999997</v>
      </c>
      <c r="N49" s="12">
        <f t="shared" si="10"/>
        <v>0</v>
      </c>
      <c r="O49" s="12">
        <f t="shared" si="11"/>
        <v>0</v>
      </c>
      <c r="P49" s="12">
        <f t="shared" si="12"/>
        <v>0</v>
      </c>
      <c r="Q49" s="12">
        <f t="shared" si="13"/>
        <v>0</v>
      </c>
      <c r="R49" s="12">
        <f t="shared" si="14"/>
        <v>0</v>
      </c>
      <c r="S49" s="12">
        <f t="shared" si="15"/>
        <v>0</v>
      </c>
      <c r="T49" s="12">
        <f t="shared" si="16"/>
        <v>0</v>
      </c>
      <c r="U49" s="12">
        <f t="shared" si="17"/>
        <v>0</v>
      </c>
    </row>
    <row r="50" spans="1:21" ht="13.2">
      <c r="A50">
        <f t="shared" si="2"/>
        <v>42</v>
      </c>
      <c r="B50" s="11">
        <f t="shared" si="18"/>
        <v>44202</v>
      </c>
      <c r="C50">
        <v>49</v>
      </c>
      <c r="D50">
        <v>46</v>
      </c>
      <c r="E50">
        <v>46</v>
      </c>
      <c r="F50">
        <v>45</v>
      </c>
      <c r="G50" s="12">
        <f t="shared" si="3"/>
        <v>50.700000000000003</v>
      </c>
      <c r="H50" s="12">
        <f t="shared" si="4"/>
        <v>0</v>
      </c>
      <c r="I50" s="12">
        <f t="shared" si="5"/>
        <v>0</v>
      </c>
      <c r="J50" s="12">
        <f t="shared" si="6"/>
        <v>0</v>
      </c>
      <c r="K50" s="12">
        <f t="shared" si="7"/>
        <v>4.2999999999999972</v>
      </c>
      <c r="L50" s="12">
        <f t="shared" si="8"/>
        <v>9.2999999999999972</v>
      </c>
      <c r="M50" s="12">
        <f t="shared" si="9"/>
        <v>14.299999999999997</v>
      </c>
      <c r="N50" s="12">
        <f t="shared" si="10"/>
        <v>0.70000000000000284</v>
      </c>
      <c r="O50" s="12">
        <f t="shared" si="11"/>
        <v>0</v>
      </c>
      <c r="P50" s="12">
        <f t="shared" si="12"/>
        <v>0</v>
      </c>
      <c r="Q50" s="12">
        <f t="shared" si="13"/>
        <v>0</v>
      </c>
      <c r="R50" s="12">
        <f t="shared" si="14"/>
        <v>0</v>
      </c>
      <c r="S50" s="12">
        <f t="shared" si="15"/>
        <v>0</v>
      </c>
      <c r="T50" s="12">
        <f t="shared" si="16"/>
        <v>0</v>
      </c>
      <c r="U50" s="12">
        <f t="shared" si="17"/>
        <v>0</v>
      </c>
    </row>
    <row r="51" spans="1:21" ht="13.2">
      <c r="A51">
        <f t="shared" si="2"/>
        <v>43</v>
      </c>
      <c r="B51" s="11">
        <f t="shared" si="18"/>
        <v>44203</v>
      </c>
      <c r="C51">
        <v>43</v>
      </c>
      <c r="D51">
        <v>40</v>
      </c>
      <c r="E51">
        <v>39</v>
      </c>
      <c r="F51">
        <v>37</v>
      </c>
      <c r="G51" s="12">
        <f t="shared" si="3"/>
        <v>42</v>
      </c>
      <c r="H51" s="12">
        <f t="shared" si="4"/>
        <v>0</v>
      </c>
      <c r="I51" s="12">
        <f t="shared" si="5"/>
        <v>3</v>
      </c>
      <c r="J51" s="12">
        <f t="shared" si="6"/>
        <v>8</v>
      </c>
      <c r="K51" s="12">
        <f t="shared" si="7"/>
        <v>13</v>
      </c>
      <c r="L51" s="12">
        <f t="shared" si="8"/>
        <v>18</v>
      </c>
      <c r="M51" s="12">
        <f t="shared" si="9"/>
        <v>23</v>
      </c>
      <c r="N51" s="12">
        <f t="shared" si="10"/>
        <v>0</v>
      </c>
      <c r="O51" s="12">
        <f t="shared" si="11"/>
        <v>0</v>
      </c>
      <c r="P51" s="12">
        <f t="shared" si="12"/>
        <v>0</v>
      </c>
      <c r="Q51" s="12">
        <f t="shared" si="13"/>
        <v>0</v>
      </c>
      <c r="R51" s="12">
        <f t="shared" si="14"/>
        <v>0</v>
      </c>
      <c r="S51" s="12">
        <f t="shared" si="15"/>
        <v>0</v>
      </c>
      <c r="T51" s="12">
        <f t="shared" si="16"/>
        <v>0</v>
      </c>
      <c r="U51" s="12">
        <f t="shared" si="17"/>
        <v>0</v>
      </c>
    </row>
    <row r="52" spans="1:21" ht="13.2">
      <c r="A52">
        <f t="shared" si="2"/>
        <v>44</v>
      </c>
      <c r="B52" s="11">
        <f t="shared" si="18"/>
        <v>44204</v>
      </c>
      <c r="C52">
        <v>38</v>
      </c>
      <c r="D52">
        <v>38</v>
      </c>
      <c r="E52">
        <v>38</v>
      </c>
      <c r="F52">
        <v>37</v>
      </c>
      <c r="G52" s="12">
        <f t="shared" si="3"/>
        <v>36.299999999999997</v>
      </c>
      <c r="H52" s="12">
        <f t="shared" si="4"/>
        <v>3.7000000000000028</v>
      </c>
      <c r="I52" s="12">
        <f t="shared" si="5"/>
        <v>8.7000000000000028</v>
      </c>
      <c r="J52" s="12">
        <f t="shared" si="6"/>
        <v>13.700000000000003</v>
      </c>
      <c r="K52" s="12">
        <f t="shared" si="7"/>
        <v>18.700000000000003</v>
      </c>
      <c r="L52" s="12">
        <f t="shared" si="8"/>
        <v>23.700000000000003</v>
      </c>
      <c r="M52" s="12">
        <f t="shared" si="9"/>
        <v>28.700000000000003</v>
      </c>
      <c r="N52" s="12">
        <f t="shared" si="10"/>
        <v>0</v>
      </c>
      <c r="O52" s="12">
        <f t="shared" si="11"/>
        <v>0</v>
      </c>
      <c r="P52" s="12">
        <f t="shared" si="12"/>
        <v>0</v>
      </c>
      <c r="Q52" s="12">
        <f t="shared" si="13"/>
        <v>0</v>
      </c>
      <c r="R52" s="12">
        <f t="shared" si="14"/>
        <v>0</v>
      </c>
      <c r="S52" s="12">
        <f t="shared" si="15"/>
        <v>0</v>
      </c>
      <c r="T52" s="12">
        <f t="shared" si="16"/>
        <v>0</v>
      </c>
      <c r="U52" s="12">
        <f t="shared" si="17"/>
        <v>0</v>
      </c>
    </row>
    <row r="53" spans="1:21" ht="13.2">
      <c r="A53">
        <f t="shared" si="2"/>
        <v>45</v>
      </c>
      <c r="B53" s="11">
        <f t="shared" si="18"/>
        <v>44205</v>
      </c>
      <c r="C53">
        <v>44</v>
      </c>
      <c r="D53">
        <v>44</v>
      </c>
      <c r="E53">
        <v>43</v>
      </c>
      <c r="F53">
        <v>43</v>
      </c>
      <c r="G53" s="12">
        <f t="shared" si="3"/>
        <v>39.5</v>
      </c>
      <c r="H53" s="12">
        <f t="shared" si="4"/>
        <v>0.5</v>
      </c>
      <c r="I53" s="12">
        <f t="shared" si="5"/>
        <v>5.5</v>
      </c>
      <c r="J53" s="12">
        <f t="shared" si="6"/>
        <v>10.5</v>
      </c>
      <c r="K53" s="12">
        <f t="shared" si="7"/>
        <v>15.5</v>
      </c>
      <c r="L53" s="12">
        <f t="shared" si="8"/>
        <v>20.5</v>
      </c>
      <c r="M53" s="12">
        <f t="shared" si="9"/>
        <v>25.5</v>
      </c>
      <c r="N53" s="12">
        <f t="shared" si="10"/>
        <v>0</v>
      </c>
      <c r="O53" s="12">
        <f t="shared" si="11"/>
        <v>0</v>
      </c>
      <c r="P53" s="12">
        <f t="shared" si="12"/>
        <v>0</v>
      </c>
      <c r="Q53" s="12">
        <f t="shared" si="13"/>
        <v>0</v>
      </c>
      <c r="R53" s="12">
        <f t="shared" si="14"/>
        <v>0</v>
      </c>
      <c r="S53" s="12">
        <f t="shared" si="15"/>
        <v>0</v>
      </c>
      <c r="T53" s="12">
        <f t="shared" si="16"/>
        <v>0</v>
      </c>
      <c r="U53" s="12">
        <f t="shared" si="17"/>
        <v>0</v>
      </c>
    </row>
    <row r="54" spans="1:21" ht="13.2">
      <c r="A54">
        <f t="shared" si="2"/>
        <v>46</v>
      </c>
      <c r="B54" s="11">
        <f t="shared" si="18"/>
        <v>44206</v>
      </c>
      <c r="C54">
        <v>32</v>
      </c>
      <c r="D54">
        <v>32</v>
      </c>
      <c r="E54">
        <v>31</v>
      </c>
      <c r="F54">
        <v>31</v>
      </c>
      <c r="G54" s="12">
        <f t="shared" si="3"/>
        <v>34.100000000000001</v>
      </c>
      <c r="H54" s="12">
        <f t="shared" si="4"/>
        <v>5.8999999999999986</v>
      </c>
      <c r="I54" s="12">
        <f t="shared" si="5"/>
        <v>10.899999999999999</v>
      </c>
      <c r="J54" s="12">
        <f t="shared" si="6"/>
        <v>15.899999999999999</v>
      </c>
      <c r="K54" s="12">
        <f t="shared" si="7"/>
        <v>20.899999999999999</v>
      </c>
      <c r="L54" s="12">
        <f t="shared" si="8"/>
        <v>25.899999999999999</v>
      </c>
      <c r="M54" s="12">
        <f t="shared" si="9"/>
        <v>30.899999999999999</v>
      </c>
      <c r="N54" s="12">
        <f t="shared" si="10"/>
        <v>0</v>
      </c>
      <c r="O54" s="12">
        <f t="shared" si="11"/>
        <v>0</v>
      </c>
      <c r="P54" s="12">
        <f t="shared" si="12"/>
        <v>0</v>
      </c>
      <c r="Q54" s="12">
        <f t="shared" si="13"/>
        <v>0</v>
      </c>
      <c r="R54" s="12">
        <f t="shared" si="14"/>
        <v>0</v>
      </c>
      <c r="S54" s="12">
        <f t="shared" si="15"/>
        <v>0</v>
      </c>
      <c r="T54" s="12">
        <f t="shared" si="16"/>
        <v>0</v>
      </c>
      <c r="U54" s="12">
        <f t="shared" si="17"/>
        <v>0</v>
      </c>
    </row>
    <row r="55" spans="1:21" ht="13.2">
      <c r="A55">
        <f t="shared" si="2"/>
        <v>47</v>
      </c>
      <c r="B55" s="11">
        <f t="shared" si="18"/>
        <v>44207</v>
      </c>
      <c r="C55">
        <v>33</v>
      </c>
      <c r="D55">
        <v>31</v>
      </c>
      <c r="E55">
        <v>30</v>
      </c>
      <c r="F55">
        <v>28</v>
      </c>
      <c r="G55" s="12">
        <f t="shared" si="3"/>
        <v>34.700000000000003</v>
      </c>
      <c r="H55" s="12">
        <f t="shared" si="4"/>
        <v>5.2999999999999972</v>
      </c>
      <c r="I55" s="12">
        <f t="shared" si="5"/>
        <v>10.299999999999997</v>
      </c>
      <c r="J55" s="12">
        <f t="shared" si="6"/>
        <v>15.299999999999997</v>
      </c>
      <c r="K55" s="12">
        <f t="shared" si="7"/>
        <v>20.299999999999997</v>
      </c>
      <c r="L55" s="12">
        <f t="shared" si="8"/>
        <v>25.299999999999997</v>
      </c>
      <c r="M55" s="12">
        <f t="shared" si="9"/>
        <v>30.299999999999997</v>
      </c>
      <c r="N55" s="12">
        <f t="shared" si="10"/>
        <v>0</v>
      </c>
      <c r="O55" s="12">
        <f t="shared" si="11"/>
        <v>0</v>
      </c>
      <c r="P55" s="12">
        <f t="shared" si="12"/>
        <v>0</v>
      </c>
      <c r="Q55" s="12">
        <f t="shared" si="13"/>
        <v>0</v>
      </c>
      <c r="R55" s="12">
        <f t="shared" si="14"/>
        <v>0</v>
      </c>
      <c r="S55" s="12">
        <f t="shared" si="15"/>
        <v>0</v>
      </c>
      <c r="T55" s="12">
        <f t="shared" si="16"/>
        <v>0</v>
      </c>
      <c r="U55" s="12">
        <f t="shared" si="17"/>
        <v>0</v>
      </c>
    </row>
    <row r="56" spans="1:21" ht="13.2">
      <c r="A56">
        <f t="shared" si="2"/>
        <v>48</v>
      </c>
      <c r="B56" s="11">
        <f t="shared" si="18"/>
        <v>44208</v>
      </c>
      <c r="C56">
        <v>36</v>
      </c>
      <c r="D56">
        <v>36</v>
      </c>
      <c r="E56">
        <v>35</v>
      </c>
      <c r="F56">
        <v>34</v>
      </c>
      <c r="G56" s="12">
        <f t="shared" si="3"/>
        <v>34</v>
      </c>
      <c r="H56" s="12">
        <f t="shared" si="4"/>
        <v>6</v>
      </c>
      <c r="I56" s="12">
        <f t="shared" si="5"/>
        <v>11</v>
      </c>
      <c r="J56" s="12">
        <f t="shared" si="6"/>
        <v>16</v>
      </c>
      <c r="K56" s="12">
        <f t="shared" si="7"/>
        <v>21</v>
      </c>
      <c r="L56" s="12">
        <f t="shared" si="8"/>
        <v>26</v>
      </c>
      <c r="M56" s="12">
        <f t="shared" si="9"/>
        <v>31</v>
      </c>
      <c r="N56" s="12">
        <f t="shared" si="10"/>
        <v>0</v>
      </c>
      <c r="O56" s="12">
        <f t="shared" si="11"/>
        <v>0</v>
      </c>
      <c r="P56" s="12">
        <f t="shared" si="12"/>
        <v>0</v>
      </c>
      <c r="Q56" s="12">
        <f t="shared" si="13"/>
        <v>0</v>
      </c>
      <c r="R56" s="12">
        <f t="shared" si="14"/>
        <v>0</v>
      </c>
      <c r="S56" s="12">
        <f t="shared" si="15"/>
        <v>0</v>
      </c>
      <c r="T56" s="12">
        <f t="shared" si="16"/>
        <v>0</v>
      </c>
      <c r="U56" s="12">
        <f t="shared" si="17"/>
        <v>0</v>
      </c>
    </row>
    <row r="57" spans="1:21" ht="13.2">
      <c r="A57">
        <f t="shared" si="2"/>
        <v>49</v>
      </c>
      <c r="B57" s="11">
        <f t="shared" si="18"/>
        <v>44209</v>
      </c>
      <c r="C57">
        <v>48</v>
      </c>
      <c r="D57">
        <v>48</v>
      </c>
      <c r="E57">
        <v>50</v>
      </c>
      <c r="F57">
        <v>51</v>
      </c>
      <c r="G57" s="12">
        <f t="shared" si="3"/>
        <v>45.200000000000003</v>
      </c>
      <c r="H57" s="12">
        <f t="shared" si="4"/>
        <v>0</v>
      </c>
      <c r="I57" s="12">
        <f t="shared" si="5"/>
        <v>0</v>
      </c>
      <c r="J57" s="12">
        <f t="shared" si="6"/>
        <v>4.7999999999999972</v>
      </c>
      <c r="K57" s="12">
        <f t="shared" si="7"/>
        <v>9.7999999999999972</v>
      </c>
      <c r="L57" s="12">
        <f t="shared" si="8"/>
        <v>14.799999999999997</v>
      </c>
      <c r="M57" s="12">
        <f t="shared" si="9"/>
        <v>19.799999999999997</v>
      </c>
      <c r="N57" s="12">
        <f t="shared" si="10"/>
        <v>0</v>
      </c>
      <c r="O57" s="12">
        <f t="shared" si="11"/>
        <v>0</v>
      </c>
      <c r="P57" s="12">
        <f t="shared" si="12"/>
        <v>0</v>
      </c>
      <c r="Q57" s="12">
        <f t="shared" si="13"/>
        <v>0</v>
      </c>
      <c r="R57" s="12">
        <f t="shared" si="14"/>
        <v>0</v>
      </c>
      <c r="S57" s="12">
        <f t="shared" si="15"/>
        <v>0</v>
      </c>
      <c r="T57" s="12">
        <f t="shared" si="16"/>
        <v>0</v>
      </c>
      <c r="U57" s="12">
        <f t="shared" si="17"/>
        <v>0</v>
      </c>
    </row>
    <row r="58" spans="1:21" ht="13.2">
      <c r="A58" s="18">
        <f t="shared" si="2"/>
        <v>50</v>
      </c>
      <c r="B58" s="11">
        <f t="shared" si="18"/>
        <v>44210</v>
      </c>
      <c r="C58">
        <v>42</v>
      </c>
      <c r="D58">
        <v>43</v>
      </c>
      <c r="E58">
        <v>35</v>
      </c>
      <c r="F58">
        <v>33</v>
      </c>
      <c r="G58" s="12">
        <f t="shared" si="3"/>
        <v>48.100000000000001</v>
      </c>
      <c r="H58" s="12">
        <f t="shared" si="4"/>
        <v>0</v>
      </c>
      <c r="I58" s="12">
        <f t="shared" si="5"/>
        <v>0</v>
      </c>
      <c r="J58" s="12">
        <f t="shared" si="6"/>
        <v>1.8999999999999986</v>
      </c>
      <c r="K58" s="12">
        <f t="shared" si="7"/>
        <v>6.8999999999999986</v>
      </c>
      <c r="L58" s="12">
        <f t="shared" si="8"/>
        <v>11.899999999999999</v>
      </c>
      <c r="M58" s="12">
        <f t="shared" si="9"/>
        <v>16.899999999999999</v>
      </c>
      <c r="N58" s="12">
        <f t="shared" si="10"/>
        <v>0</v>
      </c>
      <c r="O58" s="12">
        <f t="shared" si="11"/>
        <v>0</v>
      </c>
      <c r="P58" s="12">
        <f t="shared" si="12"/>
        <v>0</v>
      </c>
      <c r="Q58" s="12">
        <f t="shared" si="13"/>
        <v>0</v>
      </c>
      <c r="R58" s="12">
        <f t="shared" si="14"/>
        <v>0</v>
      </c>
      <c r="S58" s="12">
        <f t="shared" si="15"/>
        <v>0</v>
      </c>
      <c r="T58" s="12">
        <f t="shared" si="16"/>
        <v>0</v>
      </c>
      <c r="U58" s="12">
        <f t="shared" si="17"/>
        <v>0</v>
      </c>
    </row>
    <row r="59" spans="1:21" ht="13.2">
      <c r="A59">
        <f t="shared" si="2"/>
        <v>51</v>
      </c>
      <c r="B59" s="11">
        <f t="shared" si="18"/>
        <v>44211</v>
      </c>
      <c r="C59">
        <v>43</v>
      </c>
      <c r="D59">
        <v>40</v>
      </c>
      <c r="E59">
        <v>39</v>
      </c>
      <c r="F59">
        <v>36</v>
      </c>
      <c r="G59" s="12">
        <f t="shared" si="3"/>
        <v>40.799999999999997</v>
      </c>
      <c r="H59" s="12">
        <f t="shared" si="4"/>
        <v>0</v>
      </c>
      <c r="I59" s="12">
        <f t="shared" si="5"/>
        <v>4.2000000000000028</v>
      </c>
      <c r="J59" s="12">
        <f t="shared" si="6"/>
        <v>9.2000000000000028</v>
      </c>
      <c r="K59" s="12">
        <f t="shared" si="7"/>
        <v>14.200000000000003</v>
      </c>
      <c r="L59" s="12">
        <f t="shared" si="8"/>
        <v>19.200000000000003</v>
      </c>
      <c r="M59" s="12">
        <f t="shared" si="9"/>
        <v>24.200000000000003</v>
      </c>
      <c r="N59" s="12">
        <f t="shared" si="10"/>
        <v>0</v>
      </c>
      <c r="O59" s="12">
        <f t="shared" si="11"/>
        <v>0</v>
      </c>
      <c r="P59" s="12">
        <f t="shared" si="12"/>
        <v>0</v>
      </c>
      <c r="Q59" s="12">
        <f t="shared" si="13"/>
        <v>0</v>
      </c>
      <c r="R59" s="12">
        <f t="shared" si="14"/>
        <v>0</v>
      </c>
      <c r="S59" s="12">
        <f t="shared" si="15"/>
        <v>0</v>
      </c>
      <c r="T59" s="12">
        <f t="shared" si="16"/>
        <v>0</v>
      </c>
      <c r="U59" s="12">
        <f t="shared" si="17"/>
        <v>0</v>
      </c>
    </row>
    <row r="60" spans="1:21" ht="13.2">
      <c r="A60">
        <f t="shared" si="2"/>
        <v>52</v>
      </c>
      <c r="B60" s="11">
        <f t="shared" si="18"/>
        <v>44212</v>
      </c>
      <c r="C60">
        <v>53</v>
      </c>
      <c r="D60">
        <v>50</v>
      </c>
      <c r="E60">
        <v>46</v>
      </c>
      <c r="F60">
        <v>44</v>
      </c>
      <c r="G60" s="12">
        <f t="shared" si="3"/>
        <v>45.600000000000001</v>
      </c>
      <c r="H60" s="12">
        <f t="shared" si="4"/>
        <v>0</v>
      </c>
      <c r="I60" s="12">
        <f t="shared" si="5"/>
        <v>0</v>
      </c>
      <c r="J60" s="12">
        <f t="shared" si="6"/>
        <v>4.3999999999999986</v>
      </c>
      <c r="K60" s="12">
        <f t="shared" si="7"/>
        <v>9.3999999999999986</v>
      </c>
      <c r="L60" s="12">
        <f t="shared" si="8"/>
        <v>14.399999999999999</v>
      </c>
      <c r="M60" s="12">
        <f t="shared" si="9"/>
        <v>19.399999999999999</v>
      </c>
      <c r="N60" s="12">
        <f t="shared" si="10"/>
        <v>0</v>
      </c>
      <c r="O60" s="12">
        <f t="shared" si="11"/>
        <v>0</v>
      </c>
      <c r="P60" s="12">
        <f t="shared" si="12"/>
        <v>0</v>
      </c>
      <c r="Q60" s="12">
        <f t="shared" si="13"/>
        <v>0</v>
      </c>
      <c r="R60" s="12">
        <f t="shared" si="14"/>
        <v>0</v>
      </c>
      <c r="S60" s="12">
        <f t="shared" si="15"/>
        <v>0</v>
      </c>
      <c r="T60" s="12">
        <f t="shared" si="16"/>
        <v>0</v>
      </c>
      <c r="U60" s="12">
        <f t="shared" si="17"/>
        <v>0</v>
      </c>
    </row>
    <row r="61" spans="1:21" ht="13.2">
      <c r="A61">
        <f t="shared" si="2"/>
        <v>53</v>
      </c>
      <c r="B61" s="11">
        <f t="shared" si="18"/>
        <v>44213</v>
      </c>
      <c r="C61">
        <v>48</v>
      </c>
      <c r="D61">
        <v>45</v>
      </c>
      <c r="E61">
        <v>37</v>
      </c>
      <c r="F61">
        <v>37</v>
      </c>
      <c r="G61" s="12">
        <f t="shared" si="3"/>
        <v>43.299999999999997</v>
      </c>
      <c r="H61" s="12">
        <f t="shared" si="4"/>
        <v>0</v>
      </c>
      <c r="I61" s="12">
        <f t="shared" si="5"/>
        <v>1.7000000000000028</v>
      </c>
      <c r="J61" s="12">
        <f t="shared" si="6"/>
        <v>6.7000000000000028</v>
      </c>
      <c r="K61" s="12">
        <f t="shared" si="7"/>
        <v>11.700000000000003</v>
      </c>
      <c r="L61" s="12">
        <f t="shared" si="8"/>
        <v>16.700000000000003</v>
      </c>
      <c r="M61" s="12">
        <f t="shared" si="9"/>
        <v>21.700000000000003</v>
      </c>
      <c r="N61" s="12">
        <f t="shared" si="10"/>
        <v>0</v>
      </c>
      <c r="O61" s="12">
        <f t="shared" si="11"/>
        <v>0</v>
      </c>
      <c r="P61" s="12">
        <f t="shared" si="12"/>
        <v>0</v>
      </c>
      <c r="Q61" s="12">
        <f t="shared" si="13"/>
        <v>0</v>
      </c>
      <c r="R61" s="12">
        <f t="shared" si="14"/>
        <v>0</v>
      </c>
      <c r="S61" s="12">
        <f t="shared" si="15"/>
        <v>0</v>
      </c>
      <c r="T61" s="12">
        <f t="shared" si="16"/>
        <v>0</v>
      </c>
      <c r="U61" s="12">
        <f t="shared" si="17"/>
        <v>0</v>
      </c>
    </row>
    <row r="62" spans="1:21" ht="13.2">
      <c r="A62" s="18">
        <f t="shared" si="2"/>
        <v>54</v>
      </c>
      <c r="B62" s="11">
        <f t="shared" si="18"/>
        <v>44214</v>
      </c>
      <c r="C62">
        <v>49</v>
      </c>
      <c r="D62">
        <v>48</v>
      </c>
      <c r="E62">
        <v>42</v>
      </c>
      <c r="F62">
        <v>42</v>
      </c>
      <c r="G62" s="12">
        <f t="shared" si="3"/>
        <v>51.899999999999999</v>
      </c>
      <c r="H62" s="12">
        <f t="shared" si="4"/>
        <v>0</v>
      </c>
      <c r="I62" s="12">
        <f t="shared" si="5"/>
        <v>0</v>
      </c>
      <c r="J62" s="12">
        <f t="shared" si="6"/>
        <v>0</v>
      </c>
      <c r="K62" s="12">
        <f t="shared" si="7"/>
        <v>3.1000000000000014</v>
      </c>
      <c r="L62" s="12">
        <f t="shared" si="8"/>
        <v>8.1000000000000014</v>
      </c>
      <c r="M62" s="12">
        <f t="shared" si="9"/>
        <v>13.100000000000001</v>
      </c>
      <c r="N62" s="12">
        <f t="shared" si="10"/>
        <v>1.8999999999999986</v>
      </c>
      <c r="O62" s="12">
        <f t="shared" si="11"/>
        <v>0</v>
      </c>
      <c r="P62" s="12">
        <f t="shared" si="12"/>
        <v>0</v>
      </c>
      <c r="Q62" s="12">
        <f t="shared" si="13"/>
        <v>0</v>
      </c>
      <c r="R62" s="12">
        <f t="shared" si="14"/>
        <v>0</v>
      </c>
      <c r="S62" s="12">
        <f t="shared" si="15"/>
        <v>0</v>
      </c>
      <c r="T62" s="12">
        <f t="shared" si="16"/>
        <v>0</v>
      </c>
      <c r="U62" s="12">
        <f t="shared" si="17"/>
        <v>0</v>
      </c>
    </row>
    <row r="63" spans="1:21" ht="13.2">
      <c r="A63">
        <f t="shared" si="2"/>
        <v>55</v>
      </c>
      <c r="B63" s="11">
        <f t="shared" si="18"/>
        <v>44215</v>
      </c>
      <c r="C63">
        <v>47</v>
      </c>
      <c r="D63">
        <v>46</v>
      </c>
      <c r="E63">
        <v>46</v>
      </c>
      <c r="F63">
        <v>45</v>
      </c>
      <c r="G63" s="12">
        <f t="shared" si="3"/>
        <v>46.399999999999999</v>
      </c>
      <c r="H63" s="12">
        <f t="shared" si="4"/>
        <v>0</v>
      </c>
      <c r="I63" s="12">
        <f t="shared" si="5"/>
        <v>0</v>
      </c>
      <c r="J63" s="12">
        <f t="shared" si="6"/>
        <v>3.6000000000000014</v>
      </c>
      <c r="K63" s="12">
        <f t="shared" si="7"/>
        <v>8.6000000000000014</v>
      </c>
      <c r="L63" s="12">
        <f t="shared" si="8"/>
        <v>13.600000000000001</v>
      </c>
      <c r="M63" s="12">
        <f t="shared" si="9"/>
        <v>18.600000000000001</v>
      </c>
      <c r="N63" s="12">
        <f t="shared" si="10"/>
        <v>0</v>
      </c>
      <c r="O63" s="12">
        <f t="shared" si="11"/>
        <v>0</v>
      </c>
      <c r="P63" s="12">
        <f t="shared" si="12"/>
        <v>0</v>
      </c>
      <c r="Q63" s="12">
        <f t="shared" si="13"/>
        <v>0</v>
      </c>
      <c r="R63" s="12">
        <f t="shared" si="14"/>
        <v>0</v>
      </c>
      <c r="S63" s="12">
        <f t="shared" si="15"/>
        <v>0</v>
      </c>
      <c r="T63" s="12">
        <f t="shared" si="16"/>
        <v>0</v>
      </c>
      <c r="U63" s="12">
        <f t="shared" si="17"/>
        <v>0</v>
      </c>
    </row>
    <row r="64" spans="1:21" ht="13.2">
      <c r="A64">
        <f t="shared" si="2"/>
        <v>56</v>
      </c>
      <c r="B64" s="11">
        <f t="shared" si="18"/>
        <v>44216</v>
      </c>
      <c r="C64">
        <v>45</v>
      </c>
      <c r="D64">
        <v>45</v>
      </c>
      <c r="E64">
        <v>45</v>
      </c>
      <c r="F64">
        <v>46</v>
      </c>
      <c r="G64" s="12">
        <f t="shared" si="3"/>
        <v>42.299999999999997</v>
      </c>
      <c r="H64" s="12">
        <f t="shared" si="4"/>
        <v>0</v>
      </c>
      <c r="I64" s="12">
        <f t="shared" si="5"/>
        <v>2.7000000000000028</v>
      </c>
      <c r="J64" s="12">
        <f t="shared" si="6"/>
        <v>7.7000000000000028</v>
      </c>
      <c r="K64" s="12">
        <f t="shared" si="7"/>
        <v>12.700000000000003</v>
      </c>
      <c r="L64" s="12">
        <f t="shared" si="8"/>
        <v>17.700000000000003</v>
      </c>
      <c r="M64" s="12">
        <f t="shared" si="9"/>
        <v>22.700000000000003</v>
      </c>
      <c r="N64" s="12">
        <f t="shared" si="10"/>
        <v>0</v>
      </c>
      <c r="O64" s="12">
        <f t="shared" si="11"/>
        <v>0</v>
      </c>
      <c r="P64" s="12">
        <f t="shared" si="12"/>
        <v>0</v>
      </c>
      <c r="Q64" s="12">
        <f t="shared" si="13"/>
        <v>0</v>
      </c>
      <c r="R64" s="12">
        <f t="shared" si="14"/>
        <v>0</v>
      </c>
      <c r="S64" s="12">
        <f t="shared" si="15"/>
        <v>0</v>
      </c>
      <c r="T64" s="12">
        <f t="shared" si="16"/>
        <v>0</v>
      </c>
      <c r="U64" s="12">
        <f t="shared" si="17"/>
        <v>0</v>
      </c>
    </row>
    <row r="65" spans="1:21" ht="13.2">
      <c r="A65">
        <f t="shared" si="2"/>
        <v>57</v>
      </c>
      <c r="B65" s="11">
        <f t="shared" si="18"/>
        <v>44217</v>
      </c>
      <c r="C65">
        <v>52</v>
      </c>
      <c r="D65">
        <v>53</v>
      </c>
      <c r="E65">
        <v>54</v>
      </c>
      <c r="F65">
        <v>57</v>
      </c>
      <c r="G65" s="12">
        <f t="shared" si="3"/>
        <v>52.799999999999997</v>
      </c>
      <c r="H65" s="12">
        <f t="shared" si="4"/>
        <v>0</v>
      </c>
      <c r="I65" s="12">
        <f t="shared" si="5"/>
        <v>0</v>
      </c>
      <c r="J65" s="12">
        <f t="shared" si="6"/>
        <v>0</v>
      </c>
      <c r="K65" s="12">
        <f t="shared" si="7"/>
        <v>2.2000000000000028</v>
      </c>
      <c r="L65" s="12">
        <f t="shared" si="8"/>
        <v>7.2000000000000028</v>
      </c>
      <c r="M65" s="12">
        <f t="shared" si="9"/>
        <v>12.200000000000003</v>
      </c>
      <c r="N65" s="12">
        <f t="shared" si="10"/>
        <v>2.7999999999999972</v>
      </c>
      <c r="O65" s="12">
        <f t="shared" si="11"/>
        <v>0</v>
      </c>
      <c r="P65" s="12">
        <f t="shared" si="12"/>
        <v>0</v>
      </c>
      <c r="Q65" s="12">
        <f t="shared" si="13"/>
        <v>0</v>
      </c>
      <c r="R65" s="12">
        <f t="shared" si="14"/>
        <v>0</v>
      </c>
      <c r="S65" s="12">
        <f t="shared" si="15"/>
        <v>0</v>
      </c>
      <c r="T65" s="12">
        <f t="shared" si="16"/>
        <v>0</v>
      </c>
      <c r="U65" s="12">
        <f t="shared" si="17"/>
        <v>0</v>
      </c>
    </row>
    <row r="66" spans="1:21" ht="13.2">
      <c r="A66">
        <f t="shared" si="2"/>
        <v>58</v>
      </c>
      <c r="B66" s="11">
        <f t="shared" si="18"/>
        <v>44218</v>
      </c>
      <c r="C66">
        <v>46</v>
      </c>
      <c r="D66">
        <v>46</v>
      </c>
      <c r="E66">
        <v>46</v>
      </c>
      <c r="F66">
        <v>46</v>
      </c>
      <c r="G66" s="12">
        <f t="shared" si="3"/>
        <v>47.899999999999999</v>
      </c>
      <c r="H66" s="12">
        <f t="shared" si="4"/>
        <v>0</v>
      </c>
      <c r="I66" s="12">
        <f t="shared" si="5"/>
        <v>0</v>
      </c>
      <c r="J66" s="12">
        <f t="shared" si="6"/>
        <v>2.1000000000000014</v>
      </c>
      <c r="K66" s="12">
        <f t="shared" si="7"/>
        <v>7.1000000000000014</v>
      </c>
      <c r="L66" s="12">
        <f t="shared" si="8"/>
        <v>12.100000000000001</v>
      </c>
      <c r="M66" s="12">
        <f t="shared" si="9"/>
        <v>17.100000000000001</v>
      </c>
      <c r="N66" s="12">
        <f t="shared" si="10"/>
        <v>0</v>
      </c>
      <c r="O66" s="12">
        <f t="shared" si="11"/>
        <v>0</v>
      </c>
      <c r="P66" s="12">
        <f t="shared" si="12"/>
        <v>0</v>
      </c>
      <c r="Q66" s="12">
        <f t="shared" si="13"/>
        <v>0</v>
      </c>
      <c r="R66" s="12">
        <f t="shared" si="14"/>
        <v>0</v>
      </c>
      <c r="S66" s="12">
        <f t="shared" si="15"/>
        <v>0</v>
      </c>
      <c r="T66" s="12">
        <f t="shared" si="16"/>
        <v>0</v>
      </c>
      <c r="U66" s="12">
        <f t="shared" si="17"/>
        <v>0</v>
      </c>
    </row>
    <row r="67" spans="1:21" ht="13.2">
      <c r="A67">
        <f t="shared" si="2"/>
        <v>59</v>
      </c>
      <c r="B67" s="11">
        <f t="shared" si="18"/>
        <v>44219</v>
      </c>
      <c r="C67">
        <v>55</v>
      </c>
      <c r="D67">
        <v>55</v>
      </c>
      <c r="E67">
        <v>56</v>
      </c>
      <c r="F67">
        <v>57</v>
      </c>
      <c r="G67" s="12">
        <f t="shared" si="3"/>
        <v>48.799999999999997</v>
      </c>
      <c r="H67" s="12">
        <f t="shared" si="4"/>
        <v>0</v>
      </c>
      <c r="I67" s="12">
        <f t="shared" si="5"/>
        <v>0</v>
      </c>
      <c r="J67" s="12">
        <f t="shared" si="6"/>
        <v>1.2000000000000028</v>
      </c>
      <c r="K67" s="12">
        <f t="shared" si="7"/>
        <v>6.2000000000000028</v>
      </c>
      <c r="L67" s="12">
        <f t="shared" si="8"/>
        <v>11.200000000000003</v>
      </c>
      <c r="M67" s="12">
        <f t="shared" si="9"/>
        <v>16.200000000000003</v>
      </c>
      <c r="N67" s="12">
        <f t="shared" si="10"/>
        <v>0</v>
      </c>
      <c r="O67" s="12">
        <f t="shared" si="11"/>
        <v>0</v>
      </c>
      <c r="P67" s="12">
        <f t="shared" si="12"/>
        <v>0</v>
      </c>
      <c r="Q67" s="12">
        <f t="shared" si="13"/>
        <v>0</v>
      </c>
      <c r="R67" s="12">
        <f t="shared" si="14"/>
        <v>0</v>
      </c>
      <c r="S67" s="12">
        <f t="shared" si="15"/>
        <v>0</v>
      </c>
      <c r="T67" s="12">
        <f t="shared" si="16"/>
        <v>0</v>
      </c>
      <c r="U67" s="12">
        <f t="shared" si="17"/>
        <v>0</v>
      </c>
    </row>
    <row r="68" spans="1:21" ht="13.2">
      <c r="A68">
        <f t="shared" si="2"/>
        <v>60</v>
      </c>
      <c r="B68" s="11">
        <f t="shared" si="18"/>
        <v>44220</v>
      </c>
      <c r="C68">
        <v>62</v>
      </c>
      <c r="D68">
        <v>62</v>
      </c>
      <c r="E68">
        <v>65</v>
      </c>
      <c r="F68">
        <v>51</v>
      </c>
      <c r="G68" s="12">
        <f t="shared" si="3"/>
        <v>59.700000000000003</v>
      </c>
      <c r="H68" s="12">
        <f t="shared" si="4"/>
        <v>0</v>
      </c>
      <c r="I68" s="12">
        <f t="shared" si="5"/>
        <v>0</v>
      </c>
      <c r="J68" s="12">
        <f t="shared" si="6"/>
        <v>0</v>
      </c>
      <c r="K68" s="12">
        <f t="shared" si="7"/>
        <v>0</v>
      </c>
      <c r="L68" s="12">
        <f t="shared" si="8"/>
        <v>0.29999999999999716</v>
      </c>
      <c r="M68" s="12">
        <f t="shared" si="9"/>
        <v>5.2999999999999972</v>
      </c>
      <c r="N68" s="12">
        <f t="shared" si="10"/>
        <v>9.7000000000000028</v>
      </c>
      <c r="O68" s="12">
        <f t="shared" si="11"/>
        <v>4.7000000000000028</v>
      </c>
      <c r="P68" s="12">
        <f t="shared" si="12"/>
        <v>0</v>
      </c>
      <c r="Q68" s="12">
        <f t="shared" si="13"/>
        <v>0</v>
      </c>
      <c r="R68" s="12">
        <f t="shared" si="14"/>
        <v>0</v>
      </c>
      <c r="S68" s="12">
        <f t="shared" si="15"/>
        <v>0</v>
      </c>
      <c r="T68" s="12">
        <f t="shared" si="16"/>
        <v>0</v>
      </c>
      <c r="U68" s="12">
        <f t="shared" si="17"/>
        <v>0</v>
      </c>
    </row>
    <row r="69" spans="1:21" ht="13.2">
      <c r="A69">
        <f t="shared" si="2"/>
        <v>61</v>
      </c>
      <c r="B69" s="11">
        <f t="shared" si="18"/>
        <v>44221</v>
      </c>
      <c r="C69">
        <v>50</v>
      </c>
      <c r="D69">
        <v>50</v>
      </c>
      <c r="E69">
        <v>48</v>
      </c>
      <c r="F69">
        <v>44</v>
      </c>
      <c r="G69" s="12">
        <f t="shared" si="3"/>
        <v>52.299999999999997</v>
      </c>
      <c r="H69" s="12">
        <f t="shared" si="4"/>
        <v>0</v>
      </c>
      <c r="I69" s="12">
        <f t="shared" si="5"/>
        <v>0</v>
      </c>
      <c r="J69" s="12">
        <f t="shared" si="6"/>
        <v>0</v>
      </c>
      <c r="K69" s="12">
        <f t="shared" si="7"/>
        <v>2.7000000000000028</v>
      </c>
      <c r="L69" s="12">
        <f t="shared" si="8"/>
        <v>7.7000000000000028</v>
      </c>
      <c r="M69" s="12">
        <f t="shared" si="9"/>
        <v>12.700000000000003</v>
      </c>
      <c r="N69" s="12">
        <f t="shared" si="10"/>
        <v>2.2999999999999972</v>
      </c>
      <c r="O69" s="12">
        <f t="shared" si="11"/>
        <v>0</v>
      </c>
      <c r="P69" s="12">
        <f t="shared" si="12"/>
        <v>0</v>
      </c>
      <c r="Q69" s="12">
        <f t="shared" si="13"/>
        <v>0</v>
      </c>
      <c r="R69" s="12">
        <f t="shared" si="14"/>
        <v>0</v>
      </c>
      <c r="S69" s="12">
        <f t="shared" si="15"/>
        <v>0</v>
      </c>
      <c r="T69" s="12">
        <f t="shared" si="16"/>
        <v>0</v>
      </c>
      <c r="U69" s="12">
        <f t="shared" si="17"/>
        <v>0</v>
      </c>
    </row>
    <row r="70" spans="1:21" ht="13.2">
      <c r="A70">
        <f t="shared" si="2"/>
        <v>62</v>
      </c>
      <c r="B70" s="11">
        <f t="shared" si="18"/>
        <v>44222</v>
      </c>
      <c r="C70">
        <v>47</v>
      </c>
      <c r="D70">
        <v>45</v>
      </c>
      <c r="E70">
        <v>45</v>
      </c>
      <c r="F70">
        <v>44</v>
      </c>
      <c r="G70" s="12">
        <f t="shared" si="3"/>
        <v>44.799999999999997</v>
      </c>
      <c r="H70" s="12">
        <f t="shared" si="4"/>
        <v>0</v>
      </c>
      <c r="I70" s="12">
        <f t="shared" si="5"/>
        <v>0.20000000000000284</v>
      </c>
      <c r="J70" s="12">
        <f t="shared" si="6"/>
        <v>5.2000000000000028</v>
      </c>
      <c r="K70" s="12">
        <f t="shared" si="7"/>
        <v>10.200000000000003</v>
      </c>
      <c r="L70" s="12">
        <f t="shared" si="8"/>
        <v>15.200000000000003</v>
      </c>
      <c r="M70" s="12">
        <f t="shared" si="9"/>
        <v>20.200000000000003</v>
      </c>
      <c r="N70" s="12">
        <f t="shared" si="10"/>
        <v>0</v>
      </c>
      <c r="O70" s="12">
        <f t="shared" si="11"/>
        <v>0</v>
      </c>
      <c r="P70" s="12">
        <f t="shared" si="12"/>
        <v>0</v>
      </c>
      <c r="Q70" s="12">
        <f t="shared" si="13"/>
        <v>0</v>
      </c>
      <c r="R70" s="12">
        <f t="shared" si="14"/>
        <v>0</v>
      </c>
      <c r="S70" s="12">
        <f t="shared" si="15"/>
        <v>0</v>
      </c>
      <c r="T70" s="12">
        <f t="shared" si="16"/>
        <v>0</v>
      </c>
      <c r="U70" s="12">
        <f t="shared" si="17"/>
        <v>0</v>
      </c>
    </row>
    <row r="71" spans="1:21" ht="13.2">
      <c r="A71">
        <f t="shared" si="2"/>
        <v>63</v>
      </c>
      <c r="B71" s="11">
        <f t="shared" si="18"/>
        <v>44223</v>
      </c>
      <c r="C71">
        <v>40</v>
      </c>
      <c r="D71">
        <v>36</v>
      </c>
      <c r="E71">
        <v>36</v>
      </c>
      <c r="F71">
        <v>33</v>
      </c>
      <c r="G71" s="12">
        <f t="shared" si="3"/>
        <v>41.399999999999999</v>
      </c>
      <c r="H71" s="12">
        <f t="shared" si="4"/>
        <v>0</v>
      </c>
      <c r="I71" s="12">
        <f t="shared" si="5"/>
        <v>3.6000000000000014</v>
      </c>
      <c r="J71" s="12">
        <f t="shared" si="6"/>
        <v>8.6000000000000014</v>
      </c>
      <c r="K71" s="12">
        <f t="shared" si="7"/>
        <v>13.600000000000001</v>
      </c>
      <c r="L71" s="12">
        <f t="shared" si="8"/>
        <v>18.600000000000001</v>
      </c>
      <c r="M71" s="12">
        <f t="shared" si="9"/>
        <v>23.600000000000001</v>
      </c>
      <c r="N71" s="12">
        <f t="shared" si="10"/>
        <v>0</v>
      </c>
      <c r="O71" s="12">
        <f t="shared" si="11"/>
        <v>0</v>
      </c>
      <c r="P71" s="12">
        <f t="shared" si="12"/>
        <v>0</v>
      </c>
      <c r="Q71" s="12">
        <f t="shared" si="13"/>
        <v>0</v>
      </c>
      <c r="R71" s="12">
        <f t="shared" si="14"/>
        <v>0</v>
      </c>
      <c r="S71" s="12">
        <f t="shared" si="15"/>
        <v>0</v>
      </c>
      <c r="T71" s="12">
        <f t="shared" si="16"/>
        <v>0</v>
      </c>
      <c r="U71" s="12">
        <f t="shared" si="17"/>
        <v>0</v>
      </c>
    </row>
    <row r="72" spans="1:21" ht="13.2">
      <c r="A72">
        <f t="shared" si="2"/>
        <v>64</v>
      </c>
      <c r="B72" s="11">
        <f t="shared" si="18"/>
        <v>44224</v>
      </c>
      <c r="C72">
        <v>47</v>
      </c>
      <c r="D72">
        <v>46</v>
      </c>
      <c r="E72">
        <v>44</v>
      </c>
      <c r="F72">
        <v>44</v>
      </c>
      <c r="G72" s="12">
        <f t="shared" si="3"/>
        <v>40.799999999999997</v>
      </c>
      <c r="H72" s="12">
        <f t="shared" si="4"/>
        <v>0</v>
      </c>
      <c r="I72" s="12">
        <f t="shared" si="5"/>
        <v>4.2000000000000028</v>
      </c>
      <c r="J72" s="12">
        <f t="shared" si="6"/>
        <v>9.2000000000000028</v>
      </c>
      <c r="K72" s="12">
        <f t="shared" si="7"/>
        <v>14.200000000000003</v>
      </c>
      <c r="L72" s="12">
        <f t="shared" si="8"/>
        <v>19.200000000000003</v>
      </c>
      <c r="M72" s="12">
        <f t="shared" si="9"/>
        <v>24.200000000000003</v>
      </c>
      <c r="N72" s="12">
        <f t="shared" si="10"/>
        <v>0</v>
      </c>
      <c r="O72" s="12">
        <f t="shared" si="11"/>
        <v>0</v>
      </c>
      <c r="P72" s="12">
        <f t="shared" si="12"/>
        <v>0</v>
      </c>
      <c r="Q72" s="12">
        <f t="shared" si="13"/>
        <v>0</v>
      </c>
      <c r="R72" s="12">
        <f t="shared" si="14"/>
        <v>0</v>
      </c>
      <c r="S72" s="12">
        <f t="shared" si="15"/>
        <v>0</v>
      </c>
      <c r="T72" s="12">
        <f t="shared" si="16"/>
        <v>0</v>
      </c>
      <c r="U72" s="12">
        <f t="shared" si="17"/>
        <v>0</v>
      </c>
    </row>
    <row r="73" spans="1:21" ht="13.2">
      <c r="A73">
        <f t="shared" si="2"/>
        <v>65</v>
      </c>
      <c r="B73" s="11">
        <f t="shared" si="18"/>
        <v>44225</v>
      </c>
      <c r="C73">
        <v>54</v>
      </c>
      <c r="D73">
        <v>55</v>
      </c>
      <c r="E73">
        <v>56</v>
      </c>
      <c r="F73">
        <v>56</v>
      </c>
      <c r="G73" s="12">
        <f t="shared" si="3"/>
        <v>50.799999999999997</v>
      </c>
      <c r="H73" s="12">
        <f t="shared" si="4"/>
        <v>0</v>
      </c>
      <c r="I73" s="12">
        <f t="shared" si="5"/>
        <v>0</v>
      </c>
      <c r="J73" s="12">
        <f t="shared" si="6"/>
        <v>0</v>
      </c>
      <c r="K73" s="12">
        <f t="shared" si="7"/>
        <v>4.2000000000000028</v>
      </c>
      <c r="L73" s="12">
        <f t="shared" si="8"/>
        <v>9.2000000000000028</v>
      </c>
      <c r="M73" s="12">
        <f t="shared" si="9"/>
        <v>14.200000000000003</v>
      </c>
      <c r="N73" s="12">
        <f t="shared" si="10"/>
        <v>0.79999999999999716</v>
      </c>
      <c r="O73" s="12">
        <f t="shared" si="11"/>
        <v>0</v>
      </c>
      <c r="P73" s="12">
        <f t="shared" si="12"/>
        <v>0</v>
      </c>
      <c r="Q73" s="12">
        <f t="shared" si="13"/>
        <v>0</v>
      </c>
      <c r="R73" s="12">
        <f t="shared" si="14"/>
        <v>0</v>
      </c>
      <c r="S73" s="12">
        <f t="shared" si="15"/>
        <v>0</v>
      </c>
      <c r="T73" s="12">
        <f t="shared" si="16"/>
        <v>0</v>
      </c>
      <c r="U73" s="12">
        <f t="shared" si="17"/>
        <v>0</v>
      </c>
    </row>
    <row r="74" spans="1:21" ht="13.2">
      <c r="A74">
        <f t="shared" si="2"/>
        <v>66</v>
      </c>
      <c r="B74" s="11">
        <f t="shared" si="18"/>
        <v>44226</v>
      </c>
      <c r="C74">
        <v>58</v>
      </c>
      <c r="D74">
        <v>57</v>
      </c>
      <c r="E74">
        <v>52</v>
      </c>
      <c r="F74">
        <v>48</v>
      </c>
      <c r="G74" s="12">
        <f t="shared" si="3"/>
        <v>60.600000000000001</v>
      </c>
      <c r="H74" s="12">
        <f t="shared" si="4"/>
        <v>0</v>
      </c>
      <c r="I74" s="12">
        <f t="shared" si="5"/>
        <v>0</v>
      </c>
      <c r="J74" s="12">
        <f t="shared" si="6"/>
        <v>0</v>
      </c>
      <c r="K74" s="12">
        <f t="shared" si="7"/>
        <v>0</v>
      </c>
      <c r="L74" s="12">
        <f t="shared" si="8"/>
        <v>0</v>
      </c>
      <c r="M74" s="12">
        <f t="shared" si="9"/>
        <v>4.3999999999999986</v>
      </c>
      <c r="N74" s="12">
        <f t="shared" si="10"/>
        <v>10.600000000000001</v>
      </c>
      <c r="O74" s="12">
        <f t="shared" si="11"/>
        <v>5.6000000000000014</v>
      </c>
      <c r="P74" s="12">
        <f t="shared" si="12"/>
        <v>0.60000000000000142</v>
      </c>
      <c r="Q74" s="12">
        <f t="shared" si="13"/>
        <v>0</v>
      </c>
      <c r="R74" s="12">
        <f t="shared" si="14"/>
        <v>0</v>
      </c>
      <c r="S74" s="12">
        <f t="shared" si="15"/>
        <v>0</v>
      </c>
      <c r="T74" s="12">
        <f t="shared" si="16"/>
        <v>0</v>
      </c>
      <c r="U74" s="12">
        <f t="shared" si="17"/>
        <v>0</v>
      </c>
    </row>
    <row r="75" spans="1:21" ht="13.2">
      <c r="A75">
        <f t="shared" si="2"/>
        <v>67</v>
      </c>
      <c r="B75" s="11">
        <f t="shared" si="18"/>
        <v>44227</v>
      </c>
      <c r="C75">
        <v>49</v>
      </c>
      <c r="D75">
        <v>44</v>
      </c>
      <c r="E75">
        <v>40</v>
      </c>
      <c r="F75">
        <v>39</v>
      </c>
      <c r="G75" s="12">
        <f t="shared" si="3"/>
        <v>48.5</v>
      </c>
      <c r="H75" s="12">
        <f t="shared" si="4"/>
        <v>0</v>
      </c>
      <c r="I75" s="12">
        <f t="shared" si="5"/>
        <v>0</v>
      </c>
      <c r="J75" s="12">
        <f t="shared" si="6"/>
        <v>1.5</v>
      </c>
      <c r="K75" s="12">
        <f t="shared" si="7"/>
        <v>6.5</v>
      </c>
      <c r="L75" s="12">
        <f t="shared" si="8"/>
        <v>11.5</v>
      </c>
      <c r="M75" s="12">
        <f t="shared" si="9"/>
        <v>16.5</v>
      </c>
      <c r="N75" s="12">
        <f t="shared" si="10"/>
        <v>0</v>
      </c>
      <c r="O75" s="12">
        <f t="shared" si="11"/>
        <v>0</v>
      </c>
      <c r="P75" s="12">
        <f t="shared" si="12"/>
        <v>0</v>
      </c>
      <c r="Q75" s="12">
        <f t="shared" si="13"/>
        <v>0</v>
      </c>
      <c r="R75" s="12">
        <f t="shared" si="14"/>
        <v>0</v>
      </c>
      <c r="S75" s="12">
        <f t="shared" si="15"/>
        <v>0</v>
      </c>
      <c r="T75" s="12">
        <f t="shared" si="16"/>
        <v>0</v>
      </c>
      <c r="U75" s="12">
        <f t="shared" si="17"/>
        <v>0</v>
      </c>
    </row>
    <row r="76" spans="7:19" ht="13.2"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</row>
    <row r="77" spans="7:21" ht="13.2">
      <c r="G77" s="16" t="s">
        <v>54</v>
      </c>
      <c r="H77" s="20">
        <f>SUM(H45:H75)</f>
        <v>24.399999999999999</v>
      </c>
      <c r="I77" s="20">
        <f t="shared" si="19" ref="I77:M77">SUM(I45:I75)</f>
        <v>74.300000000000026</v>
      </c>
      <c r="J77" s="20">
        <f t="shared" si="19"/>
        <v>169.10000000000002</v>
      </c>
      <c r="K77" s="20">
        <f t="shared" si="19"/>
        <v>305.60000000000002</v>
      </c>
      <c r="L77" s="20">
        <f t="shared" si="19"/>
        <v>450.90000000000003</v>
      </c>
      <c r="M77" s="20">
        <f t="shared" si="19"/>
        <v>605.30000000000007</v>
      </c>
      <c r="N77" s="20">
        <f>SUM(N45:N75)</f>
        <v>28.799999999999997</v>
      </c>
      <c r="O77" s="20">
        <f t="shared" si="20" ref="O77:P77">SUM(O45:O75)</f>
        <v>10.300000000000004</v>
      </c>
      <c r="P77" s="20">
        <f t="shared" si="20"/>
        <v>0.60000000000000142</v>
      </c>
      <c r="Q77" s="20">
        <f>SUM(Q45:Q75)</f>
        <v>0</v>
      </c>
      <c r="R77" s="20">
        <f>SUM(R45:R75)</f>
        <v>0</v>
      </c>
      <c r="S77" s="20">
        <f>SUM(S45:S75)</f>
        <v>0</v>
      </c>
      <c r="T77" s="20">
        <f>SUM(T45:T75)</f>
        <v>0</v>
      </c>
      <c r="U77" s="20">
        <f t="shared" si="21" ref="U77">SUM(U45:U75)</f>
        <v>0</v>
      </c>
    </row>
  </sheetData>
  <mergeCells count="6">
    <mergeCell ref="B9:T9"/>
    <mergeCell ref="B1:T1"/>
    <mergeCell ref="B2:T2"/>
    <mergeCell ref="B3:T3"/>
    <mergeCell ref="B4:T4"/>
    <mergeCell ref="B6:T6"/>
  </mergeCells>
  <pageMargins left="0.75" right="0.75" top="1" bottom="1" header="0.5" footer="0.5"/>
  <pageSetup orientation="portrait" scale="59" r:id="rId1"/>
  <headerFooter alignWithMargins="0">
    <oddHeader>&amp;RSchedule II-H-5.1
Page &amp;P of  28</oddHead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pageSetUpPr fitToPage="1"/>
  </sheetPr>
  <dimension ref="A1:AC77"/>
  <sheetViews>
    <sheetView workbookViewId="0" topLeftCell="A1">
      <pane ySplit="9" topLeftCell="A10" activePane="bottomLeft" state="frozen"/>
      <selection pane="topLeft" activeCell="A1" sqref="A1"/>
      <selection pane="bottomLeft" activeCell="A1" sqref="A1"/>
    </sheetView>
  </sheetViews>
  <sheetFormatPr defaultRowHeight="13.5"/>
  <cols>
    <col min="2" max="2" width="10" style="57" bestFit="1" customWidth="1"/>
    <col min="3" max="6" width="5.42857142857143" bestFit="1" customWidth="1"/>
    <col min="7" max="7" width="8.71428571428571" customWidth="1"/>
    <col min="8" max="14" width="6.85714285714286" bestFit="1" customWidth="1"/>
    <col min="15" max="23" width="7" bestFit="1" customWidth="1"/>
    <col min="24" max="29" width="11.4285714285714" customWidth="1"/>
  </cols>
  <sheetData>
    <row r="1" spans="2:29" s="2" customFormat="1" ht="15.6">
      <c r="B1" s="82" t="str">
        <f>+Base40h!B1</f>
        <v xml:space="preserve">PUC DOCKET NO. </v>
      </c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57"/>
      <c r="V1" s="57"/>
      <c r="W1" s="57"/>
      <c r="X1" s="57"/>
      <c r="Y1" s="57"/>
      <c r="Z1" s="57"/>
      <c r="AA1" s="57"/>
      <c r="AB1" s="57"/>
      <c r="AC1" s="57"/>
    </row>
    <row r="2" spans="2:29" s="2" customFormat="1" ht="15.6">
      <c r="B2" s="82" t="str">
        <f>+Base40h!B2</f>
        <v>ONCOR ELECTRIC DELIVERY COMPANY LLC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57"/>
      <c r="V2" s="57"/>
      <c r="W2" s="57"/>
      <c r="X2" s="57"/>
      <c r="Y2" s="57"/>
      <c r="Z2" s="57"/>
      <c r="AA2" s="57"/>
      <c r="AB2" s="57"/>
      <c r="AC2" s="57"/>
    </row>
    <row r="3" spans="2:29" s="2" customFormat="1" ht="15.6">
      <c r="B3" s="82" t="str">
        <f>+Base40h!B3</f>
        <v>WEATHER STATION DATA</v>
      </c>
      <c r="C3" s="86"/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57"/>
      <c r="V3" s="57"/>
      <c r="W3" s="57"/>
      <c r="X3" s="57"/>
      <c r="Y3" s="57"/>
      <c r="Z3" s="57"/>
      <c r="AA3" s="57"/>
      <c r="AB3" s="57"/>
      <c r="AC3" s="57"/>
    </row>
    <row r="4" spans="2:29" s="2" customFormat="1" ht="15.6">
      <c r="B4" s="82" t="str">
        <f>+Base40h!B4</f>
        <v>FOR THE TEST YEAR ENDING DECEMBER 31, 2021</v>
      </c>
      <c r="C4" s="86"/>
      <c r="D4" s="86"/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U4" s="57"/>
      <c r="V4" s="57"/>
      <c r="W4" s="57"/>
      <c r="X4" s="57"/>
      <c r="Y4" s="57"/>
      <c r="Z4" s="57"/>
      <c r="AA4" s="57"/>
      <c r="AB4" s="57"/>
      <c r="AC4" s="57"/>
    </row>
    <row r="5" spans="2:29" s="2" customFormat="1" ht="11.4">
      <c r="B5" s="1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 spans="2:29" s="2" customFormat="1" ht="15.6">
      <c r="B6" s="82" t="str">
        <f>+Base40h!B6</f>
        <v>SPONSOR: D. E. NELSON</v>
      </c>
      <c r="C6" s="86"/>
      <c r="D6" s="86"/>
      <c r="E6" s="86"/>
      <c r="F6" s="86"/>
      <c r="G6" s="86"/>
      <c r="H6" s="86"/>
      <c r="I6" s="86"/>
      <c r="J6" s="86"/>
      <c r="K6" s="86"/>
      <c r="L6" s="86"/>
      <c r="M6" s="86"/>
      <c r="N6" s="86"/>
      <c r="O6" s="86"/>
      <c r="P6" s="86"/>
      <c r="Q6" s="86"/>
      <c r="R6" s="86"/>
      <c r="S6" s="86"/>
      <c r="T6" s="86"/>
      <c r="U6" s="57"/>
      <c r="V6" s="57"/>
      <c r="W6" s="57"/>
      <c r="X6" s="57"/>
      <c r="Y6" s="57"/>
      <c r="Z6" s="57"/>
      <c r="AA6" s="57"/>
      <c r="AB6" s="57"/>
      <c r="AC6" s="57"/>
    </row>
    <row r="7" spans="1:1" ht="24" thickBot="1">
      <c r="A7" s="3" t="s">
        <v>4</v>
      </c>
    </row>
    <row r="9" spans="1:20" ht="13.2">
      <c r="A9">
        <v>1</v>
      </c>
      <c r="B9" s="85" t="s">
        <v>121</v>
      </c>
      <c r="C9" s="86"/>
      <c r="D9" s="86"/>
      <c r="E9" s="86"/>
      <c r="F9" s="86"/>
      <c r="G9" s="86"/>
      <c r="H9" s="86"/>
      <c r="I9" s="86"/>
      <c r="J9" s="86"/>
      <c r="K9" s="86"/>
      <c r="L9" s="86"/>
      <c r="M9" s="86"/>
      <c r="N9" s="86"/>
      <c r="O9" s="86"/>
      <c r="P9" s="86"/>
      <c r="Q9" s="86"/>
      <c r="R9" s="86"/>
      <c r="S9" s="86"/>
      <c r="T9" s="86"/>
    </row>
    <row r="10" spans="1:22" s="58" customFormat="1" ht="13.2">
      <c r="A10" s="30">
        <f>+A9+1</f>
        <v>2</v>
      </c>
      <c r="B10" s="31" t="s">
        <v>28</v>
      </c>
      <c r="C10" s="31" t="s">
        <v>29</v>
      </c>
      <c r="D10" s="31" t="s">
        <v>30</v>
      </c>
      <c r="E10" s="31" t="s">
        <v>31</v>
      </c>
      <c r="F10" s="31" t="s">
        <v>32</v>
      </c>
      <c r="G10" s="31" t="s">
        <v>33</v>
      </c>
      <c r="H10" s="31" t="s">
        <v>34</v>
      </c>
      <c r="I10" s="31" t="s">
        <v>35</v>
      </c>
      <c r="J10" s="31" t="s">
        <v>36</v>
      </c>
      <c r="K10" s="31" t="s">
        <v>37</v>
      </c>
      <c r="L10" s="31" t="s">
        <v>38</v>
      </c>
      <c r="M10" s="31" t="s">
        <v>39</v>
      </c>
      <c r="N10" s="31" t="s">
        <v>40</v>
      </c>
      <c r="O10" s="31" t="s">
        <v>41</v>
      </c>
      <c r="P10" s="31" t="s">
        <v>42</v>
      </c>
      <c r="Q10" s="31" t="s">
        <v>43</v>
      </c>
      <c r="R10" s="31" t="s">
        <v>44</v>
      </c>
      <c r="S10" s="31" t="s">
        <v>45</v>
      </c>
      <c r="T10" s="58" t="s">
        <v>46</v>
      </c>
      <c r="U10" s="58" t="s">
        <v>47</v>
      </c>
      <c r="V10" s="58" t="s">
        <v>48</v>
      </c>
    </row>
    <row r="11" spans="1:22" ht="13.2">
      <c r="A11">
        <f t="shared" si="0" ref="A11:B26">+A10+1</f>
        <v>3</v>
      </c>
      <c r="B11" s="11">
        <v>44378</v>
      </c>
      <c r="C11">
        <v>77</v>
      </c>
      <c r="D11">
        <v>76</v>
      </c>
      <c r="E11">
        <v>74</v>
      </c>
      <c r="F11">
        <v>74</v>
      </c>
      <c r="G11">
        <v>74</v>
      </c>
      <c r="H11">
        <v>74</v>
      </c>
      <c r="I11">
        <v>73</v>
      </c>
      <c r="J11">
        <v>75</v>
      </c>
      <c r="K11">
        <v>79</v>
      </c>
      <c r="L11">
        <v>83</v>
      </c>
      <c r="M11">
        <v>85</v>
      </c>
      <c r="N11">
        <v>88</v>
      </c>
      <c r="O11">
        <v>89</v>
      </c>
      <c r="P11">
        <v>91</v>
      </c>
      <c r="Q11">
        <v>91</v>
      </c>
      <c r="R11">
        <v>92</v>
      </c>
      <c r="S11">
        <v>91</v>
      </c>
      <c r="T11">
        <v>92</v>
      </c>
      <c r="U11">
        <v>90</v>
      </c>
      <c r="V11">
        <v>90</v>
      </c>
    </row>
    <row r="12" spans="1:22" ht="13.2">
      <c r="A12">
        <f t="shared" si="0"/>
        <v>4</v>
      </c>
      <c r="B12" s="11">
        <f>+B11+1</f>
        <v>44379</v>
      </c>
      <c r="C12">
        <v>78</v>
      </c>
      <c r="D12">
        <v>78</v>
      </c>
      <c r="E12">
        <v>77</v>
      </c>
      <c r="F12">
        <v>75</v>
      </c>
      <c r="G12">
        <v>75</v>
      </c>
      <c r="H12">
        <v>75</v>
      </c>
      <c r="I12">
        <v>75</v>
      </c>
      <c r="J12">
        <v>76</v>
      </c>
      <c r="K12">
        <v>78</v>
      </c>
      <c r="L12">
        <v>78</v>
      </c>
      <c r="M12">
        <v>80</v>
      </c>
      <c r="N12">
        <v>81</v>
      </c>
      <c r="O12">
        <v>81</v>
      </c>
      <c r="P12">
        <v>84</v>
      </c>
      <c r="Q12">
        <v>86</v>
      </c>
      <c r="R12">
        <v>88</v>
      </c>
      <c r="S12">
        <v>86</v>
      </c>
      <c r="T12">
        <v>87</v>
      </c>
      <c r="U12">
        <v>88</v>
      </c>
      <c r="V12">
        <v>86</v>
      </c>
    </row>
    <row r="13" spans="1:22" ht="13.2">
      <c r="A13">
        <f t="shared" si="0"/>
        <v>5</v>
      </c>
      <c r="B13" s="11">
        <f t="shared" si="0"/>
        <v>44380</v>
      </c>
      <c r="C13">
        <v>78</v>
      </c>
      <c r="D13">
        <v>77</v>
      </c>
      <c r="E13">
        <v>76</v>
      </c>
      <c r="F13">
        <v>76</v>
      </c>
      <c r="G13">
        <v>71</v>
      </c>
      <c r="H13">
        <v>70</v>
      </c>
      <c r="I13">
        <v>70</v>
      </c>
      <c r="J13">
        <v>71</v>
      </c>
      <c r="K13">
        <v>72</v>
      </c>
      <c r="L13">
        <v>73</v>
      </c>
      <c r="M13">
        <v>75</v>
      </c>
      <c r="N13">
        <v>74</v>
      </c>
      <c r="O13">
        <v>75</v>
      </c>
      <c r="P13">
        <v>75</v>
      </c>
      <c r="Q13">
        <v>79</v>
      </c>
      <c r="R13">
        <v>81</v>
      </c>
      <c r="S13">
        <v>82</v>
      </c>
      <c r="T13">
        <v>80</v>
      </c>
      <c r="U13">
        <v>76</v>
      </c>
      <c r="V13">
        <v>77</v>
      </c>
    </row>
    <row r="14" spans="1:22" ht="13.2">
      <c r="A14">
        <f t="shared" si="0"/>
        <v>6</v>
      </c>
      <c r="B14" s="11">
        <f t="shared" si="0"/>
        <v>44381</v>
      </c>
      <c r="C14">
        <v>73</v>
      </c>
      <c r="D14">
        <v>74</v>
      </c>
      <c r="E14">
        <v>75</v>
      </c>
      <c r="F14">
        <v>74</v>
      </c>
      <c r="G14">
        <v>74</v>
      </c>
      <c r="H14">
        <v>74</v>
      </c>
      <c r="I14">
        <v>74</v>
      </c>
      <c r="J14">
        <v>74</v>
      </c>
      <c r="K14">
        <v>76</v>
      </c>
      <c r="L14">
        <v>78</v>
      </c>
      <c r="M14">
        <v>82</v>
      </c>
      <c r="N14">
        <v>84</v>
      </c>
      <c r="O14">
        <v>87</v>
      </c>
      <c r="P14">
        <v>88</v>
      </c>
      <c r="Q14">
        <v>86</v>
      </c>
      <c r="R14">
        <v>81</v>
      </c>
      <c r="S14">
        <v>81</v>
      </c>
      <c r="T14">
        <v>86</v>
      </c>
      <c r="U14">
        <v>82</v>
      </c>
      <c r="V14">
        <v>82</v>
      </c>
    </row>
    <row r="15" spans="1:22" ht="13.2">
      <c r="A15">
        <f t="shared" si="0"/>
        <v>7</v>
      </c>
      <c r="B15" s="11">
        <f t="shared" si="0"/>
        <v>44382</v>
      </c>
      <c r="C15">
        <v>75</v>
      </c>
      <c r="D15">
        <v>75</v>
      </c>
      <c r="E15">
        <v>74</v>
      </c>
      <c r="F15">
        <v>74</v>
      </c>
      <c r="G15">
        <v>74</v>
      </c>
      <c r="H15">
        <v>74</v>
      </c>
      <c r="I15">
        <v>74</v>
      </c>
      <c r="J15">
        <v>75</v>
      </c>
      <c r="K15">
        <v>77</v>
      </c>
      <c r="L15">
        <v>78</v>
      </c>
      <c r="M15">
        <v>79</v>
      </c>
      <c r="N15">
        <v>77</v>
      </c>
      <c r="O15">
        <v>76</v>
      </c>
      <c r="P15">
        <v>71</v>
      </c>
      <c r="Q15">
        <v>73</v>
      </c>
      <c r="R15">
        <v>77</v>
      </c>
      <c r="S15">
        <v>82</v>
      </c>
      <c r="T15">
        <v>81</v>
      </c>
      <c r="U15">
        <v>81</v>
      </c>
      <c r="V15">
        <v>78</v>
      </c>
    </row>
    <row r="16" spans="1:22" ht="13.2">
      <c r="A16">
        <f t="shared" si="0"/>
        <v>8</v>
      </c>
      <c r="B16" s="11">
        <f t="shared" si="0"/>
        <v>44383</v>
      </c>
      <c r="C16">
        <v>72</v>
      </c>
      <c r="D16">
        <v>72</v>
      </c>
      <c r="E16">
        <v>71</v>
      </c>
      <c r="F16">
        <v>72</v>
      </c>
      <c r="G16">
        <v>72</v>
      </c>
      <c r="H16">
        <v>73</v>
      </c>
      <c r="I16">
        <v>73</v>
      </c>
      <c r="J16">
        <v>74</v>
      </c>
      <c r="K16">
        <v>75</v>
      </c>
      <c r="L16">
        <v>77</v>
      </c>
      <c r="M16">
        <v>78</v>
      </c>
      <c r="N16">
        <v>80</v>
      </c>
      <c r="O16">
        <v>81</v>
      </c>
      <c r="P16">
        <v>83</v>
      </c>
      <c r="Q16">
        <v>84</v>
      </c>
      <c r="R16">
        <v>84</v>
      </c>
      <c r="S16">
        <v>87</v>
      </c>
      <c r="T16">
        <v>87</v>
      </c>
      <c r="U16">
        <v>86</v>
      </c>
      <c r="V16">
        <v>84</v>
      </c>
    </row>
    <row r="17" spans="1:22" ht="13.2">
      <c r="A17">
        <f t="shared" si="0"/>
        <v>9</v>
      </c>
      <c r="B17" s="11">
        <f t="shared" si="0"/>
        <v>44384</v>
      </c>
      <c r="C17">
        <v>74</v>
      </c>
      <c r="D17">
        <v>73</v>
      </c>
      <c r="E17">
        <v>72</v>
      </c>
      <c r="F17">
        <v>71</v>
      </c>
      <c r="G17">
        <v>70</v>
      </c>
      <c r="H17">
        <v>71</v>
      </c>
      <c r="I17">
        <v>71</v>
      </c>
      <c r="J17">
        <v>73</v>
      </c>
      <c r="K17">
        <v>75</v>
      </c>
      <c r="L17">
        <v>79</v>
      </c>
      <c r="M17">
        <v>82</v>
      </c>
      <c r="N17">
        <v>83</v>
      </c>
      <c r="O17">
        <v>84</v>
      </c>
      <c r="P17">
        <v>85</v>
      </c>
      <c r="Q17">
        <v>86</v>
      </c>
      <c r="R17">
        <v>89</v>
      </c>
      <c r="S17">
        <v>89</v>
      </c>
      <c r="T17">
        <v>89</v>
      </c>
      <c r="U17">
        <v>88</v>
      </c>
      <c r="V17">
        <v>86</v>
      </c>
    </row>
    <row r="18" spans="1:22" ht="13.2">
      <c r="A18">
        <f t="shared" si="0"/>
        <v>10</v>
      </c>
      <c r="B18" s="11">
        <f t="shared" si="0"/>
        <v>44385</v>
      </c>
      <c r="C18">
        <v>74</v>
      </c>
      <c r="D18">
        <v>74</v>
      </c>
      <c r="E18">
        <v>72</v>
      </c>
      <c r="F18">
        <v>72</v>
      </c>
      <c r="G18">
        <v>72</v>
      </c>
      <c r="H18">
        <v>71</v>
      </c>
      <c r="I18">
        <v>72</v>
      </c>
      <c r="J18">
        <v>73</v>
      </c>
      <c r="K18">
        <v>78</v>
      </c>
      <c r="L18">
        <v>82</v>
      </c>
      <c r="M18">
        <v>83</v>
      </c>
      <c r="N18">
        <v>87</v>
      </c>
      <c r="O18">
        <v>88</v>
      </c>
      <c r="P18">
        <v>89</v>
      </c>
      <c r="Q18">
        <v>88</v>
      </c>
      <c r="R18">
        <v>90</v>
      </c>
      <c r="S18">
        <v>90</v>
      </c>
      <c r="T18">
        <v>91</v>
      </c>
      <c r="U18">
        <v>90</v>
      </c>
      <c r="V18">
        <v>87</v>
      </c>
    </row>
    <row r="19" spans="1:22" ht="13.2">
      <c r="A19">
        <f t="shared" si="0"/>
        <v>11</v>
      </c>
      <c r="B19" s="11">
        <f t="shared" si="0"/>
        <v>44386</v>
      </c>
      <c r="C19">
        <v>73</v>
      </c>
      <c r="D19">
        <v>72</v>
      </c>
      <c r="E19">
        <v>72</v>
      </c>
      <c r="F19">
        <v>72</v>
      </c>
      <c r="G19">
        <v>71</v>
      </c>
      <c r="H19">
        <v>72</v>
      </c>
      <c r="I19">
        <v>73</v>
      </c>
      <c r="J19">
        <v>74</v>
      </c>
      <c r="K19">
        <v>75</v>
      </c>
      <c r="L19">
        <v>76</v>
      </c>
      <c r="M19">
        <v>77</v>
      </c>
      <c r="N19">
        <v>79</v>
      </c>
      <c r="O19">
        <v>80</v>
      </c>
      <c r="P19">
        <v>85</v>
      </c>
      <c r="Q19">
        <v>87</v>
      </c>
      <c r="R19">
        <v>87</v>
      </c>
      <c r="S19">
        <v>89</v>
      </c>
      <c r="T19">
        <v>87</v>
      </c>
      <c r="U19">
        <v>86</v>
      </c>
      <c r="V19">
        <v>83</v>
      </c>
    </row>
    <row r="20" spans="1:22" ht="13.2">
      <c r="A20">
        <f t="shared" si="0"/>
        <v>12</v>
      </c>
      <c r="B20" s="11">
        <f t="shared" si="0"/>
        <v>44387</v>
      </c>
      <c r="C20">
        <v>75</v>
      </c>
      <c r="D20">
        <v>75</v>
      </c>
      <c r="E20">
        <v>75</v>
      </c>
      <c r="F20">
        <v>75</v>
      </c>
      <c r="G20">
        <v>73</v>
      </c>
      <c r="H20">
        <v>72</v>
      </c>
      <c r="I20">
        <v>72</v>
      </c>
      <c r="J20">
        <v>74</v>
      </c>
      <c r="K20">
        <v>77</v>
      </c>
      <c r="L20">
        <v>78</v>
      </c>
      <c r="M20">
        <v>80</v>
      </c>
      <c r="N20">
        <v>82</v>
      </c>
      <c r="O20">
        <v>84</v>
      </c>
      <c r="P20">
        <v>85</v>
      </c>
      <c r="Q20">
        <v>89</v>
      </c>
      <c r="R20">
        <v>90</v>
      </c>
      <c r="S20">
        <v>91</v>
      </c>
      <c r="T20">
        <v>91</v>
      </c>
      <c r="U20">
        <v>90</v>
      </c>
      <c r="V20">
        <v>88</v>
      </c>
    </row>
    <row r="21" spans="1:22" ht="13.2">
      <c r="A21">
        <f t="shared" si="0"/>
        <v>13</v>
      </c>
      <c r="B21" s="11">
        <f t="shared" si="0"/>
        <v>44388</v>
      </c>
      <c r="C21">
        <v>78</v>
      </c>
      <c r="D21">
        <v>77</v>
      </c>
      <c r="E21">
        <v>76</v>
      </c>
      <c r="F21">
        <v>75</v>
      </c>
      <c r="G21">
        <v>75</v>
      </c>
      <c r="H21">
        <v>75</v>
      </c>
      <c r="I21">
        <v>73</v>
      </c>
      <c r="J21">
        <v>75</v>
      </c>
      <c r="K21">
        <v>76</v>
      </c>
      <c r="L21">
        <v>78</v>
      </c>
      <c r="M21">
        <v>80</v>
      </c>
      <c r="N21">
        <v>80</v>
      </c>
      <c r="O21">
        <v>82</v>
      </c>
      <c r="P21">
        <v>85</v>
      </c>
      <c r="Q21">
        <v>86</v>
      </c>
      <c r="R21">
        <v>87</v>
      </c>
      <c r="S21">
        <v>87</v>
      </c>
      <c r="T21">
        <v>85</v>
      </c>
      <c r="U21">
        <v>83</v>
      </c>
      <c r="V21">
        <v>81</v>
      </c>
    </row>
    <row r="22" spans="1:22" ht="13.2">
      <c r="A22">
        <f t="shared" si="0"/>
        <v>14</v>
      </c>
      <c r="B22" s="11">
        <f t="shared" si="0"/>
        <v>44389</v>
      </c>
      <c r="C22">
        <v>69</v>
      </c>
      <c r="D22">
        <v>69</v>
      </c>
      <c r="E22">
        <v>67</v>
      </c>
      <c r="F22">
        <v>67</v>
      </c>
      <c r="G22">
        <v>67</v>
      </c>
      <c r="H22">
        <v>68</v>
      </c>
      <c r="I22">
        <v>69</v>
      </c>
      <c r="J22">
        <v>71</v>
      </c>
      <c r="K22">
        <v>74</v>
      </c>
      <c r="L22">
        <v>79</v>
      </c>
      <c r="M22">
        <v>82</v>
      </c>
      <c r="N22">
        <v>86</v>
      </c>
      <c r="O22">
        <v>86</v>
      </c>
      <c r="P22">
        <v>89</v>
      </c>
      <c r="Q22">
        <v>89</v>
      </c>
      <c r="R22">
        <v>85</v>
      </c>
      <c r="S22">
        <v>80</v>
      </c>
      <c r="T22">
        <v>81</v>
      </c>
      <c r="U22">
        <v>80</v>
      </c>
      <c r="V22">
        <v>80</v>
      </c>
    </row>
    <row r="23" spans="1:22" ht="13.2">
      <c r="A23">
        <f t="shared" si="0"/>
        <v>15</v>
      </c>
      <c r="B23" s="11">
        <f t="shared" si="0"/>
        <v>44390</v>
      </c>
      <c r="C23">
        <v>70</v>
      </c>
      <c r="D23">
        <v>69</v>
      </c>
      <c r="E23">
        <v>69</v>
      </c>
      <c r="F23">
        <v>69</v>
      </c>
      <c r="G23">
        <v>69</v>
      </c>
      <c r="H23">
        <v>70</v>
      </c>
      <c r="I23">
        <v>71</v>
      </c>
      <c r="J23">
        <v>73</v>
      </c>
      <c r="K23">
        <v>76</v>
      </c>
      <c r="L23">
        <v>79</v>
      </c>
      <c r="M23">
        <v>81</v>
      </c>
      <c r="N23">
        <v>83</v>
      </c>
      <c r="O23">
        <v>85</v>
      </c>
      <c r="P23">
        <v>88</v>
      </c>
      <c r="Q23">
        <v>89</v>
      </c>
      <c r="R23">
        <v>90</v>
      </c>
      <c r="S23">
        <v>91</v>
      </c>
      <c r="T23">
        <v>90</v>
      </c>
      <c r="U23">
        <v>89</v>
      </c>
      <c r="V23">
        <v>86</v>
      </c>
    </row>
    <row r="24" spans="1:22" s="18" customFormat="1" ht="13.2">
      <c r="A24" s="18">
        <f t="shared" si="0"/>
        <v>16</v>
      </c>
      <c r="B24" s="11">
        <f t="shared" si="0"/>
        <v>44391</v>
      </c>
      <c r="C24">
        <v>75</v>
      </c>
      <c r="D24">
        <v>73</v>
      </c>
      <c r="E24">
        <v>72</v>
      </c>
      <c r="F24">
        <v>71</v>
      </c>
      <c r="G24">
        <v>71</v>
      </c>
      <c r="H24">
        <v>70</v>
      </c>
      <c r="I24">
        <v>70</v>
      </c>
      <c r="J24">
        <v>73</v>
      </c>
      <c r="K24">
        <v>76</v>
      </c>
      <c r="L24">
        <v>77</v>
      </c>
      <c r="M24">
        <v>79</v>
      </c>
      <c r="N24">
        <v>83</v>
      </c>
      <c r="O24">
        <v>86</v>
      </c>
      <c r="P24">
        <v>88</v>
      </c>
      <c r="Q24">
        <v>89</v>
      </c>
      <c r="R24">
        <v>89</v>
      </c>
      <c r="S24">
        <v>90</v>
      </c>
      <c r="T24">
        <v>90</v>
      </c>
      <c r="U24">
        <v>89</v>
      </c>
      <c r="V24">
        <v>87</v>
      </c>
    </row>
    <row r="25" spans="1:22" ht="13.2">
      <c r="A25">
        <f t="shared" si="0"/>
        <v>17</v>
      </c>
      <c r="B25" s="11">
        <f t="shared" si="0"/>
        <v>44392</v>
      </c>
      <c r="C25">
        <v>77</v>
      </c>
      <c r="D25">
        <v>76</v>
      </c>
      <c r="E25">
        <v>74</v>
      </c>
      <c r="F25">
        <v>72</v>
      </c>
      <c r="G25">
        <v>73</v>
      </c>
      <c r="H25">
        <v>72</v>
      </c>
      <c r="I25">
        <v>72</v>
      </c>
      <c r="J25">
        <v>73</v>
      </c>
      <c r="K25">
        <v>76</v>
      </c>
      <c r="L25">
        <v>80</v>
      </c>
      <c r="M25">
        <v>83</v>
      </c>
      <c r="N25">
        <v>84</v>
      </c>
      <c r="O25">
        <v>86</v>
      </c>
      <c r="P25">
        <v>88</v>
      </c>
      <c r="Q25">
        <v>89</v>
      </c>
      <c r="R25">
        <v>90</v>
      </c>
      <c r="S25">
        <v>92</v>
      </c>
      <c r="T25">
        <v>92</v>
      </c>
      <c r="U25">
        <v>91</v>
      </c>
      <c r="V25">
        <v>89</v>
      </c>
    </row>
    <row r="26" spans="1:22" ht="13.2">
      <c r="A26">
        <f t="shared" si="0"/>
        <v>18</v>
      </c>
      <c r="B26" s="11">
        <f t="shared" si="0"/>
        <v>44393</v>
      </c>
      <c r="C26">
        <v>80</v>
      </c>
      <c r="D26">
        <v>79</v>
      </c>
      <c r="E26">
        <v>78</v>
      </c>
      <c r="F26">
        <v>77</v>
      </c>
      <c r="G26">
        <v>76</v>
      </c>
      <c r="H26">
        <v>75</v>
      </c>
      <c r="I26">
        <v>75</v>
      </c>
      <c r="J26">
        <v>76</v>
      </c>
      <c r="K26">
        <v>77</v>
      </c>
      <c r="L26">
        <v>80</v>
      </c>
      <c r="M26">
        <v>83</v>
      </c>
      <c r="N26">
        <v>86</v>
      </c>
      <c r="O26">
        <v>87</v>
      </c>
      <c r="P26">
        <v>88</v>
      </c>
      <c r="Q26">
        <v>90</v>
      </c>
      <c r="R26">
        <v>90</v>
      </c>
      <c r="S26">
        <v>92</v>
      </c>
      <c r="T26">
        <v>93</v>
      </c>
      <c r="U26">
        <v>91</v>
      </c>
      <c r="V26">
        <v>89</v>
      </c>
    </row>
    <row r="27" spans="1:22" ht="13.2">
      <c r="A27">
        <f t="shared" si="1" ref="A27:B42">+A26+1</f>
        <v>19</v>
      </c>
      <c r="B27" s="11">
        <f t="shared" si="1"/>
        <v>44394</v>
      </c>
      <c r="C27">
        <v>79</v>
      </c>
      <c r="D27">
        <v>79</v>
      </c>
      <c r="E27">
        <v>78</v>
      </c>
      <c r="F27">
        <v>78</v>
      </c>
      <c r="G27">
        <v>77</v>
      </c>
      <c r="H27">
        <v>76</v>
      </c>
      <c r="I27">
        <v>76</v>
      </c>
      <c r="J27">
        <v>77</v>
      </c>
      <c r="K27">
        <v>79</v>
      </c>
      <c r="L27">
        <v>82</v>
      </c>
      <c r="M27">
        <v>85</v>
      </c>
      <c r="N27">
        <v>87</v>
      </c>
      <c r="O27">
        <v>89</v>
      </c>
      <c r="P27">
        <v>90</v>
      </c>
      <c r="Q27">
        <v>92</v>
      </c>
      <c r="R27">
        <v>93</v>
      </c>
      <c r="S27">
        <v>92</v>
      </c>
      <c r="T27">
        <v>93</v>
      </c>
      <c r="U27">
        <v>92</v>
      </c>
      <c r="V27">
        <v>89</v>
      </c>
    </row>
    <row r="28" spans="1:22" s="18" customFormat="1" ht="13.2">
      <c r="A28" s="18">
        <f t="shared" si="1"/>
        <v>20</v>
      </c>
      <c r="B28" s="11">
        <f t="shared" si="1"/>
        <v>44395</v>
      </c>
      <c r="C28">
        <v>78</v>
      </c>
      <c r="D28">
        <v>79</v>
      </c>
      <c r="E28">
        <v>79</v>
      </c>
      <c r="F28">
        <v>78</v>
      </c>
      <c r="G28">
        <v>77</v>
      </c>
      <c r="H28">
        <v>76</v>
      </c>
      <c r="I28">
        <v>74</v>
      </c>
      <c r="J28">
        <v>76</v>
      </c>
      <c r="K28">
        <v>80</v>
      </c>
      <c r="L28">
        <v>83</v>
      </c>
      <c r="M28">
        <v>85</v>
      </c>
      <c r="N28">
        <v>87</v>
      </c>
      <c r="O28">
        <v>88</v>
      </c>
      <c r="P28">
        <v>90</v>
      </c>
      <c r="Q28">
        <v>92</v>
      </c>
      <c r="R28">
        <v>94</v>
      </c>
      <c r="S28">
        <v>87</v>
      </c>
      <c r="T28">
        <v>91</v>
      </c>
      <c r="U28">
        <v>88</v>
      </c>
      <c r="V28">
        <v>86</v>
      </c>
    </row>
    <row r="29" spans="1:22" ht="13.2">
      <c r="A29">
        <f t="shared" si="1"/>
        <v>21</v>
      </c>
      <c r="B29" s="11">
        <f t="shared" si="1"/>
        <v>44396</v>
      </c>
      <c r="C29">
        <v>78</v>
      </c>
      <c r="D29">
        <v>78</v>
      </c>
      <c r="E29">
        <v>75</v>
      </c>
      <c r="F29">
        <v>74</v>
      </c>
      <c r="G29">
        <v>73</v>
      </c>
      <c r="H29">
        <v>72</v>
      </c>
      <c r="I29">
        <v>73</v>
      </c>
      <c r="J29">
        <v>74</v>
      </c>
      <c r="K29">
        <v>76</v>
      </c>
      <c r="L29">
        <v>78</v>
      </c>
      <c r="M29">
        <v>78</v>
      </c>
      <c r="N29">
        <v>80</v>
      </c>
      <c r="O29">
        <v>84</v>
      </c>
      <c r="P29">
        <v>86</v>
      </c>
      <c r="Q29">
        <v>87</v>
      </c>
      <c r="R29">
        <v>88</v>
      </c>
      <c r="S29">
        <v>89</v>
      </c>
      <c r="T29">
        <v>88</v>
      </c>
      <c r="U29">
        <v>89</v>
      </c>
      <c r="V29">
        <v>87</v>
      </c>
    </row>
    <row r="30" spans="1:22" ht="13.2">
      <c r="A30">
        <f t="shared" si="1"/>
        <v>22</v>
      </c>
      <c r="B30" s="11">
        <f t="shared" si="1"/>
        <v>44397</v>
      </c>
      <c r="C30">
        <v>75</v>
      </c>
      <c r="D30">
        <v>74</v>
      </c>
      <c r="E30">
        <v>71</v>
      </c>
      <c r="F30">
        <v>73</v>
      </c>
      <c r="G30">
        <v>72</v>
      </c>
      <c r="H30">
        <v>69</v>
      </c>
      <c r="I30">
        <v>69</v>
      </c>
      <c r="J30">
        <v>71</v>
      </c>
      <c r="K30">
        <v>75</v>
      </c>
      <c r="L30">
        <v>79</v>
      </c>
      <c r="M30">
        <v>83</v>
      </c>
      <c r="N30">
        <v>84</v>
      </c>
      <c r="O30">
        <v>87</v>
      </c>
      <c r="P30">
        <v>87</v>
      </c>
      <c r="Q30">
        <v>89</v>
      </c>
      <c r="R30">
        <v>89</v>
      </c>
      <c r="S30">
        <v>89</v>
      </c>
      <c r="T30">
        <v>88</v>
      </c>
      <c r="U30">
        <v>87</v>
      </c>
      <c r="V30">
        <v>85</v>
      </c>
    </row>
    <row r="31" spans="1:22" ht="13.2">
      <c r="A31">
        <f t="shared" si="1"/>
        <v>23</v>
      </c>
      <c r="B31" s="11">
        <f t="shared" si="1"/>
        <v>44398</v>
      </c>
      <c r="C31">
        <v>72</v>
      </c>
      <c r="D31">
        <v>72</v>
      </c>
      <c r="E31">
        <v>71</v>
      </c>
      <c r="F31">
        <v>69</v>
      </c>
      <c r="G31">
        <v>70</v>
      </c>
      <c r="H31">
        <v>70</v>
      </c>
      <c r="I31">
        <v>69</v>
      </c>
      <c r="J31">
        <v>68</v>
      </c>
      <c r="K31">
        <v>74</v>
      </c>
      <c r="L31">
        <v>79</v>
      </c>
      <c r="M31">
        <v>82</v>
      </c>
      <c r="N31">
        <v>85</v>
      </c>
      <c r="O31">
        <v>86</v>
      </c>
      <c r="P31">
        <v>87</v>
      </c>
      <c r="Q31">
        <v>87</v>
      </c>
      <c r="R31">
        <v>89</v>
      </c>
      <c r="S31">
        <v>89</v>
      </c>
      <c r="T31">
        <v>89</v>
      </c>
      <c r="U31">
        <v>89</v>
      </c>
      <c r="V31">
        <v>86</v>
      </c>
    </row>
    <row r="32" spans="1:22" ht="13.2">
      <c r="A32">
        <f t="shared" si="1"/>
        <v>24</v>
      </c>
      <c r="B32" s="11">
        <f t="shared" si="1"/>
        <v>44399</v>
      </c>
      <c r="C32">
        <v>71</v>
      </c>
      <c r="D32">
        <v>71</v>
      </c>
      <c r="E32">
        <v>70</v>
      </c>
      <c r="F32">
        <v>68</v>
      </c>
      <c r="G32">
        <v>70</v>
      </c>
      <c r="H32">
        <v>68</v>
      </c>
      <c r="I32">
        <v>68</v>
      </c>
      <c r="J32">
        <v>69</v>
      </c>
      <c r="K32">
        <v>75</v>
      </c>
      <c r="L32">
        <v>80</v>
      </c>
      <c r="M32">
        <v>83</v>
      </c>
      <c r="N32">
        <v>85</v>
      </c>
      <c r="O32">
        <v>88</v>
      </c>
      <c r="P32">
        <v>88</v>
      </c>
      <c r="Q32">
        <v>88</v>
      </c>
      <c r="R32">
        <v>89</v>
      </c>
      <c r="S32">
        <v>90</v>
      </c>
      <c r="T32">
        <v>91</v>
      </c>
      <c r="U32">
        <v>90</v>
      </c>
      <c r="V32">
        <v>89</v>
      </c>
    </row>
    <row r="33" spans="1:22" ht="13.2">
      <c r="A33">
        <f t="shared" si="1"/>
        <v>25</v>
      </c>
      <c r="B33" s="11">
        <f t="shared" si="1"/>
        <v>44400</v>
      </c>
      <c r="C33">
        <v>77</v>
      </c>
      <c r="D33">
        <v>78</v>
      </c>
      <c r="E33">
        <v>75</v>
      </c>
      <c r="F33">
        <v>74</v>
      </c>
      <c r="G33">
        <v>73</v>
      </c>
      <c r="H33">
        <v>73</v>
      </c>
      <c r="I33">
        <v>74</v>
      </c>
      <c r="J33">
        <v>75</v>
      </c>
      <c r="K33">
        <v>78</v>
      </c>
      <c r="L33">
        <v>84</v>
      </c>
      <c r="M33">
        <v>83</v>
      </c>
      <c r="N33">
        <v>86</v>
      </c>
      <c r="O33">
        <v>89</v>
      </c>
      <c r="P33">
        <v>91</v>
      </c>
      <c r="Q33">
        <v>93</v>
      </c>
      <c r="R33">
        <v>94</v>
      </c>
      <c r="S33">
        <v>95</v>
      </c>
      <c r="T33">
        <v>96</v>
      </c>
      <c r="U33">
        <v>94</v>
      </c>
      <c r="V33">
        <v>92</v>
      </c>
    </row>
    <row r="34" spans="1:22" ht="13.2">
      <c r="A34">
        <f t="shared" si="1"/>
        <v>26</v>
      </c>
      <c r="B34" s="11">
        <f t="shared" si="1"/>
        <v>44401</v>
      </c>
      <c r="C34">
        <v>81</v>
      </c>
      <c r="D34">
        <v>80</v>
      </c>
      <c r="E34">
        <v>79</v>
      </c>
      <c r="F34">
        <v>78</v>
      </c>
      <c r="G34">
        <v>76</v>
      </c>
      <c r="H34">
        <v>75</v>
      </c>
      <c r="I34">
        <v>74</v>
      </c>
      <c r="J34">
        <v>75</v>
      </c>
      <c r="K34">
        <v>80</v>
      </c>
      <c r="L34">
        <v>84</v>
      </c>
      <c r="M34">
        <v>89</v>
      </c>
      <c r="N34">
        <v>91</v>
      </c>
      <c r="O34">
        <v>93</v>
      </c>
      <c r="P34">
        <v>96</v>
      </c>
      <c r="Q34">
        <v>96</v>
      </c>
      <c r="R34">
        <v>97</v>
      </c>
      <c r="S34">
        <v>99</v>
      </c>
      <c r="T34">
        <v>99</v>
      </c>
      <c r="U34">
        <v>98</v>
      </c>
      <c r="V34">
        <v>95</v>
      </c>
    </row>
    <row r="35" spans="1:22" ht="13.2">
      <c r="A35">
        <f t="shared" si="1"/>
        <v>27</v>
      </c>
      <c r="B35" s="11">
        <f t="shared" si="1"/>
        <v>44402</v>
      </c>
      <c r="C35">
        <v>81</v>
      </c>
      <c r="D35">
        <v>80</v>
      </c>
      <c r="E35">
        <v>79</v>
      </c>
      <c r="F35">
        <v>80</v>
      </c>
      <c r="G35">
        <v>78</v>
      </c>
      <c r="H35">
        <v>78</v>
      </c>
      <c r="I35">
        <v>77</v>
      </c>
      <c r="J35">
        <v>78</v>
      </c>
      <c r="K35">
        <v>80</v>
      </c>
      <c r="L35">
        <v>85</v>
      </c>
      <c r="M35">
        <v>88</v>
      </c>
      <c r="N35">
        <v>91</v>
      </c>
      <c r="O35">
        <v>92</v>
      </c>
      <c r="P35">
        <v>95</v>
      </c>
      <c r="Q35">
        <v>98</v>
      </c>
      <c r="R35">
        <v>100</v>
      </c>
      <c r="S35">
        <v>100</v>
      </c>
      <c r="T35">
        <v>100</v>
      </c>
      <c r="U35">
        <v>99</v>
      </c>
      <c r="V35">
        <v>96</v>
      </c>
    </row>
    <row r="36" spans="1:22" ht="13.2">
      <c r="A36">
        <f t="shared" si="1"/>
        <v>28</v>
      </c>
      <c r="B36" s="11">
        <f t="shared" si="1"/>
        <v>44403</v>
      </c>
      <c r="C36">
        <v>79</v>
      </c>
      <c r="D36">
        <v>79</v>
      </c>
      <c r="E36">
        <v>79</v>
      </c>
      <c r="F36">
        <v>81</v>
      </c>
      <c r="G36">
        <v>80</v>
      </c>
      <c r="H36">
        <v>77</v>
      </c>
      <c r="I36">
        <v>77</v>
      </c>
      <c r="J36">
        <v>78</v>
      </c>
      <c r="K36">
        <v>82</v>
      </c>
      <c r="L36">
        <v>86</v>
      </c>
      <c r="M36">
        <v>89</v>
      </c>
      <c r="N36">
        <v>92</v>
      </c>
      <c r="O36">
        <v>94</v>
      </c>
      <c r="P36">
        <v>95</v>
      </c>
      <c r="Q36">
        <v>99</v>
      </c>
      <c r="R36">
        <v>97</v>
      </c>
      <c r="S36">
        <v>99</v>
      </c>
      <c r="T36">
        <v>99</v>
      </c>
      <c r="U36">
        <v>98</v>
      </c>
      <c r="V36">
        <v>96</v>
      </c>
    </row>
    <row r="37" spans="1:22" ht="13.2">
      <c r="A37">
        <f t="shared" si="1"/>
        <v>29</v>
      </c>
      <c r="B37" s="11">
        <f t="shared" si="1"/>
        <v>44404</v>
      </c>
      <c r="C37">
        <v>83</v>
      </c>
      <c r="D37">
        <v>82</v>
      </c>
      <c r="E37">
        <v>81</v>
      </c>
      <c r="F37">
        <v>81</v>
      </c>
      <c r="G37">
        <v>81</v>
      </c>
      <c r="H37">
        <v>79</v>
      </c>
      <c r="I37">
        <v>77</v>
      </c>
      <c r="J37">
        <v>78</v>
      </c>
      <c r="K37">
        <v>81</v>
      </c>
      <c r="L37">
        <v>88</v>
      </c>
      <c r="M37">
        <v>93</v>
      </c>
      <c r="N37">
        <v>95</v>
      </c>
      <c r="O37">
        <v>98</v>
      </c>
      <c r="P37">
        <v>98</v>
      </c>
      <c r="Q37">
        <v>100</v>
      </c>
      <c r="R37">
        <v>97</v>
      </c>
      <c r="S37">
        <v>98</v>
      </c>
      <c r="T37">
        <v>97</v>
      </c>
      <c r="U37">
        <v>98</v>
      </c>
      <c r="V37">
        <v>94</v>
      </c>
    </row>
    <row r="38" spans="1:22" ht="13.2">
      <c r="A38">
        <f t="shared" si="1"/>
        <v>30</v>
      </c>
      <c r="B38" s="11">
        <f t="shared" si="1"/>
        <v>44405</v>
      </c>
      <c r="C38">
        <v>82</v>
      </c>
      <c r="D38">
        <v>83</v>
      </c>
      <c r="E38">
        <v>82</v>
      </c>
      <c r="F38">
        <v>81</v>
      </c>
      <c r="G38">
        <v>80</v>
      </c>
      <c r="H38">
        <v>80</v>
      </c>
      <c r="I38">
        <v>78</v>
      </c>
      <c r="J38">
        <v>79</v>
      </c>
      <c r="K38">
        <v>81</v>
      </c>
      <c r="L38">
        <v>84</v>
      </c>
      <c r="M38">
        <v>86</v>
      </c>
      <c r="N38">
        <v>90</v>
      </c>
      <c r="O38">
        <v>94</v>
      </c>
      <c r="P38">
        <v>93</v>
      </c>
      <c r="Q38">
        <v>95</v>
      </c>
      <c r="R38">
        <v>97</v>
      </c>
      <c r="S38">
        <v>94</v>
      </c>
      <c r="T38">
        <v>94</v>
      </c>
      <c r="U38">
        <v>95</v>
      </c>
      <c r="V38">
        <v>91</v>
      </c>
    </row>
    <row r="39" spans="1:22" ht="13.2">
      <c r="A39">
        <f t="shared" si="1"/>
        <v>31</v>
      </c>
      <c r="B39" s="11">
        <f t="shared" si="1"/>
        <v>44406</v>
      </c>
      <c r="C39">
        <v>78</v>
      </c>
      <c r="D39">
        <v>79</v>
      </c>
      <c r="E39">
        <v>76</v>
      </c>
      <c r="F39">
        <v>76</v>
      </c>
      <c r="G39">
        <v>75</v>
      </c>
      <c r="H39">
        <v>74</v>
      </c>
      <c r="I39">
        <v>76</v>
      </c>
      <c r="J39">
        <v>77</v>
      </c>
      <c r="K39">
        <v>80</v>
      </c>
      <c r="L39">
        <v>84</v>
      </c>
      <c r="M39">
        <v>88</v>
      </c>
      <c r="N39">
        <v>91</v>
      </c>
      <c r="O39">
        <v>92</v>
      </c>
      <c r="P39">
        <v>93</v>
      </c>
      <c r="Q39">
        <v>95</v>
      </c>
      <c r="R39">
        <v>94</v>
      </c>
      <c r="S39">
        <v>96</v>
      </c>
      <c r="T39">
        <v>95</v>
      </c>
      <c r="U39">
        <v>94</v>
      </c>
      <c r="V39">
        <v>90</v>
      </c>
    </row>
    <row r="40" spans="1:22" ht="13.2">
      <c r="A40">
        <f t="shared" si="1"/>
        <v>32</v>
      </c>
      <c r="B40" s="11">
        <f t="shared" si="1"/>
        <v>44407</v>
      </c>
      <c r="C40">
        <v>82</v>
      </c>
      <c r="D40">
        <v>80</v>
      </c>
      <c r="E40">
        <v>79</v>
      </c>
      <c r="F40">
        <v>78</v>
      </c>
      <c r="G40">
        <v>76</v>
      </c>
      <c r="H40">
        <v>76</v>
      </c>
      <c r="I40">
        <v>75</v>
      </c>
      <c r="J40">
        <v>76</v>
      </c>
      <c r="K40">
        <v>81</v>
      </c>
      <c r="L40">
        <v>87</v>
      </c>
      <c r="M40">
        <v>88</v>
      </c>
      <c r="N40">
        <v>93</v>
      </c>
      <c r="O40">
        <v>93</v>
      </c>
      <c r="P40">
        <v>94</v>
      </c>
      <c r="Q40">
        <v>96</v>
      </c>
      <c r="R40">
        <v>97</v>
      </c>
      <c r="S40">
        <v>98</v>
      </c>
      <c r="T40">
        <v>97</v>
      </c>
      <c r="U40">
        <v>96</v>
      </c>
      <c r="V40">
        <v>93</v>
      </c>
    </row>
    <row r="41" spans="1:22" ht="13.2">
      <c r="A41">
        <f t="shared" si="1"/>
        <v>33</v>
      </c>
      <c r="B41" s="11">
        <f t="shared" si="1"/>
        <v>44408</v>
      </c>
      <c r="C41">
        <v>80</v>
      </c>
      <c r="D41">
        <v>79</v>
      </c>
      <c r="E41">
        <v>79</v>
      </c>
      <c r="F41">
        <v>79</v>
      </c>
      <c r="G41">
        <v>76</v>
      </c>
      <c r="H41">
        <v>75</v>
      </c>
      <c r="I41">
        <v>74</v>
      </c>
      <c r="J41">
        <v>77</v>
      </c>
      <c r="K41">
        <v>82</v>
      </c>
      <c r="L41">
        <v>86</v>
      </c>
      <c r="M41">
        <v>89</v>
      </c>
      <c r="N41">
        <v>91</v>
      </c>
      <c r="O41">
        <v>94</v>
      </c>
      <c r="P41">
        <v>95</v>
      </c>
      <c r="Q41">
        <v>97</v>
      </c>
      <c r="R41">
        <v>98</v>
      </c>
      <c r="S41">
        <v>97</v>
      </c>
      <c r="T41">
        <v>98</v>
      </c>
      <c r="U41">
        <v>97</v>
      </c>
      <c r="V41">
        <v>94</v>
      </c>
    </row>
    <row r="42" spans="1:2" ht="13.2">
      <c r="A42">
        <f t="shared" si="1"/>
        <v>34</v>
      </c>
      <c r="B42" s="11"/>
    </row>
    <row r="43" spans="1:1" ht="13.2">
      <c r="A43">
        <f t="shared" si="2" ref="A43:A75">+A42+1</f>
        <v>35</v>
      </c>
    </row>
    <row r="44" spans="1:21" ht="28.8" customHeight="1">
      <c r="A44">
        <f t="shared" si="2"/>
        <v>36</v>
      </c>
      <c r="B44" s="58" t="s">
        <v>28</v>
      </c>
      <c r="C44" s="58" t="s">
        <v>49</v>
      </c>
      <c r="D44" s="58" t="s">
        <v>50</v>
      </c>
      <c r="E44" s="58" t="s">
        <v>51</v>
      </c>
      <c r="F44" s="58" t="s">
        <v>52</v>
      </c>
      <c r="G44" s="59" t="s">
        <v>53</v>
      </c>
      <c r="H44" s="58" t="s">
        <v>99</v>
      </c>
      <c r="I44" s="58" t="s">
        <v>60</v>
      </c>
      <c r="J44" s="58" t="s">
        <v>61</v>
      </c>
      <c r="K44" s="58" t="s">
        <v>110</v>
      </c>
      <c r="L44" s="58" t="s">
        <v>62</v>
      </c>
      <c r="M44" s="77" t="s">
        <v>118</v>
      </c>
      <c r="N44" s="78" t="s">
        <v>90</v>
      </c>
      <c r="O44" s="79" t="s">
        <v>119</v>
      </c>
      <c r="P44" s="79" t="s">
        <v>104</v>
      </c>
      <c r="Q44" s="27" t="s">
        <v>63</v>
      </c>
      <c r="R44" s="27" t="s">
        <v>64</v>
      </c>
      <c r="S44" s="27" t="s">
        <v>65</v>
      </c>
      <c r="T44" s="27" t="s">
        <v>91</v>
      </c>
      <c r="U44" s="41" t="s">
        <v>112</v>
      </c>
    </row>
    <row r="45" spans="1:21" ht="13.2">
      <c r="A45">
        <f t="shared" si="2"/>
        <v>37</v>
      </c>
      <c r="B45" s="11">
        <f>+B11</f>
        <v>44378</v>
      </c>
      <c r="C45">
        <v>87</v>
      </c>
      <c r="D45">
        <v>84</v>
      </c>
      <c r="E45">
        <v>81</v>
      </c>
      <c r="F45">
        <v>80</v>
      </c>
      <c r="G45" s="12">
        <f t="shared" si="3" ref="G45:G75">ROUND(AVERAGE(C11:V11,C45:F45),1)</f>
        <v>82.900000000000006</v>
      </c>
      <c r="H45" s="12">
        <f t="shared" si="4" ref="H45:H75">MAX(40-$G45,0)</f>
        <v>0</v>
      </c>
      <c r="I45" s="12">
        <f t="shared" si="5" ref="I45:I75">MAX(45-$G45,0)</f>
        <v>0</v>
      </c>
      <c r="J45" s="12">
        <f t="shared" si="6" ref="J45:J75">MAX(50-$G45,0)</f>
        <v>0</v>
      </c>
      <c r="K45" s="12">
        <f t="shared" si="7" ref="K45:K75">MAX(55-$G45,0)</f>
        <v>0</v>
      </c>
      <c r="L45" s="12">
        <f t="shared" si="8" ref="L45:L75">MAX(60-$G45,0)</f>
        <v>0</v>
      </c>
      <c r="M45" s="12">
        <f t="shared" si="9" ref="M45:M75">MAX(65-$G45,0)</f>
        <v>0</v>
      </c>
      <c r="N45" s="12">
        <f t="shared" si="10" ref="N45:N75">MAX($G45-50,0)</f>
        <v>32.900000000000006</v>
      </c>
      <c r="O45" s="12">
        <f t="shared" si="11" ref="O45:O75">MAX($G45-55,0)</f>
        <v>27.900000000000006</v>
      </c>
      <c r="P45" s="12">
        <f t="shared" si="12" ref="P45:P75">MAX($G45-60,0)</f>
        <v>22.900000000000006</v>
      </c>
      <c r="Q45" s="12">
        <f t="shared" si="13" ref="Q45:Q75">MAX($G45-65,0)</f>
        <v>17.900000000000006</v>
      </c>
      <c r="R45" s="12">
        <f t="shared" si="14" ref="R45:R75">MAX($G45-70,0)</f>
        <v>12.900000000000006</v>
      </c>
      <c r="S45" s="12">
        <f t="shared" si="15" ref="S45:S75">MAX($G45-75,0)</f>
        <v>7.9000000000000057</v>
      </c>
      <c r="T45" s="12">
        <f t="shared" si="16" ref="T45:T75">MAX($G45-80,0)</f>
        <v>2.9000000000000057</v>
      </c>
      <c r="U45" s="12">
        <f t="shared" si="17" ref="U45:U75">MAX($G45-85,0)</f>
        <v>0</v>
      </c>
    </row>
    <row r="46" spans="1:21" ht="13.2">
      <c r="A46">
        <f t="shared" si="2"/>
        <v>38</v>
      </c>
      <c r="B46" s="11">
        <f t="shared" si="18" ref="B46:B75">+B12</f>
        <v>44379</v>
      </c>
      <c r="C46">
        <v>83</v>
      </c>
      <c r="D46">
        <v>81</v>
      </c>
      <c r="E46">
        <v>80</v>
      </c>
      <c r="F46">
        <v>79</v>
      </c>
      <c r="G46" s="12">
        <f t="shared" si="3"/>
        <v>80.599999999999994</v>
      </c>
      <c r="H46" s="12">
        <f t="shared" si="4"/>
        <v>0</v>
      </c>
      <c r="I46" s="12">
        <f t="shared" si="5"/>
        <v>0</v>
      </c>
      <c r="J46" s="12">
        <f t="shared" si="6"/>
        <v>0</v>
      </c>
      <c r="K46" s="12">
        <f t="shared" si="7"/>
        <v>0</v>
      </c>
      <c r="L46" s="12">
        <f t="shared" si="8"/>
        <v>0</v>
      </c>
      <c r="M46" s="12">
        <f t="shared" si="9"/>
        <v>0</v>
      </c>
      <c r="N46" s="12">
        <f t="shared" si="10"/>
        <v>30.599999999999994</v>
      </c>
      <c r="O46" s="12">
        <f t="shared" si="11"/>
        <v>25.599999999999994</v>
      </c>
      <c r="P46" s="12">
        <f t="shared" si="12"/>
        <v>20.599999999999994</v>
      </c>
      <c r="Q46" s="12">
        <f t="shared" si="13"/>
        <v>15.599999999999994</v>
      </c>
      <c r="R46" s="12">
        <f t="shared" si="14"/>
        <v>10.599999999999994</v>
      </c>
      <c r="S46" s="12">
        <f t="shared" si="15"/>
        <v>5.5999999999999943</v>
      </c>
      <c r="T46" s="12">
        <f t="shared" si="16"/>
        <v>0.59999999999999432</v>
      </c>
      <c r="U46" s="12">
        <f t="shared" si="17"/>
        <v>0</v>
      </c>
    </row>
    <row r="47" spans="1:21" ht="13.2">
      <c r="A47">
        <f t="shared" si="2"/>
        <v>39</v>
      </c>
      <c r="B47" s="11">
        <f t="shared" si="18"/>
        <v>44380</v>
      </c>
      <c r="C47">
        <v>77</v>
      </c>
      <c r="D47">
        <v>76</v>
      </c>
      <c r="E47">
        <v>74</v>
      </c>
      <c r="F47">
        <v>74</v>
      </c>
      <c r="G47" s="12">
        <f t="shared" si="3"/>
        <v>75.400000000000006</v>
      </c>
      <c r="H47" s="12">
        <f t="shared" si="4"/>
        <v>0</v>
      </c>
      <c r="I47" s="12">
        <f t="shared" si="5"/>
        <v>0</v>
      </c>
      <c r="J47" s="12">
        <f t="shared" si="6"/>
        <v>0</v>
      </c>
      <c r="K47" s="12">
        <f t="shared" si="7"/>
        <v>0</v>
      </c>
      <c r="L47" s="12">
        <f t="shared" si="8"/>
        <v>0</v>
      </c>
      <c r="M47" s="12">
        <f t="shared" si="9"/>
        <v>0</v>
      </c>
      <c r="N47" s="12">
        <f t="shared" si="10"/>
        <v>25.400000000000006</v>
      </c>
      <c r="O47" s="12">
        <f t="shared" si="11"/>
        <v>20.400000000000006</v>
      </c>
      <c r="P47" s="12">
        <f t="shared" si="12"/>
        <v>15.400000000000006</v>
      </c>
      <c r="Q47" s="12">
        <f t="shared" si="13"/>
        <v>10.400000000000006</v>
      </c>
      <c r="R47" s="12">
        <f t="shared" si="14"/>
        <v>5.4000000000000057</v>
      </c>
      <c r="S47" s="12">
        <f t="shared" si="15"/>
        <v>0.40000000000000568</v>
      </c>
      <c r="T47" s="12">
        <f t="shared" si="16"/>
        <v>0</v>
      </c>
      <c r="U47" s="12">
        <f t="shared" si="17"/>
        <v>0</v>
      </c>
    </row>
    <row r="48" spans="1:21" ht="13.2">
      <c r="A48">
        <f t="shared" si="2"/>
        <v>40</v>
      </c>
      <c r="B48" s="11">
        <f t="shared" si="18"/>
        <v>44381</v>
      </c>
      <c r="C48">
        <v>79</v>
      </c>
      <c r="D48">
        <v>77</v>
      </c>
      <c r="E48">
        <v>76</v>
      </c>
      <c r="F48">
        <v>75</v>
      </c>
      <c r="G48" s="12">
        <f t="shared" si="3"/>
        <v>78.799999999999997</v>
      </c>
      <c r="H48" s="12">
        <f t="shared" si="4"/>
        <v>0</v>
      </c>
      <c r="I48" s="12">
        <f t="shared" si="5"/>
        <v>0</v>
      </c>
      <c r="J48" s="12">
        <f t="shared" si="6"/>
        <v>0</v>
      </c>
      <c r="K48" s="12">
        <f t="shared" si="7"/>
        <v>0</v>
      </c>
      <c r="L48" s="12">
        <f t="shared" si="8"/>
        <v>0</v>
      </c>
      <c r="M48" s="12">
        <f t="shared" si="9"/>
        <v>0</v>
      </c>
      <c r="N48" s="12">
        <f t="shared" si="10"/>
        <v>28.799999999999997</v>
      </c>
      <c r="O48" s="12">
        <f t="shared" si="11"/>
        <v>23.799999999999997</v>
      </c>
      <c r="P48" s="12">
        <f t="shared" si="12"/>
        <v>18.799999999999997</v>
      </c>
      <c r="Q48" s="12">
        <f t="shared" si="13"/>
        <v>13.799999999999997</v>
      </c>
      <c r="R48" s="12">
        <f t="shared" si="14"/>
        <v>8.7999999999999972</v>
      </c>
      <c r="S48" s="12">
        <f t="shared" si="15"/>
        <v>3.7999999999999972</v>
      </c>
      <c r="T48" s="12">
        <f t="shared" si="16"/>
        <v>0</v>
      </c>
      <c r="U48" s="12">
        <f t="shared" si="17"/>
        <v>0</v>
      </c>
    </row>
    <row r="49" spans="1:21" ht="13.2">
      <c r="A49">
        <f t="shared" si="2"/>
        <v>41</v>
      </c>
      <c r="B49" s="11">
        <f t="shared" si="18"/>
        <v>44382</v>
      </c>
      <c r="C49">
        <v>76</v>
      </c>
      <c r="D49">
        <v>76</v>
      </c>
      <c r="E49">
        <v>75</v>
      </c>
      <c r="F49">
        <v>73</v>
      </c>
      <c r="G49" s="12">
        <f t="shared" si="3"/>
        <v>76</v>
      </c>
      <c r="H49" s="12">
        <f t="shared" si="4"/>
        <v>0</v>
      </c>
      <c r="I49" s="12">
        <f t="shared" si="5"/>
        <v>0</v>
      </c>
      <c r="J49" s="12">
        <f t="shared" si="6"/>
        <v>0</v>
      </c>
      <c r="K49" s="12">
        <f t="shared" si="7"/>
        <v>0</v>
      </c>
      <c r="L49" s="12">
        <f t="shared" si="8"/>
        <v>0</v>
      </c>
      <c r="M49" s="12">
        <f t="shared" si="9"/>
        <v>0</v>
      </c>
      <c r="N49" s="12">
        <f t="shared" si="10"/>
        <v>26</v>
      </c>
      <c r="O49" s="12">
        <f t="shared" si="11"/>
        <v>21</v>
      </c>
      <c r="P49" s="12">
        <f t="shared" si="12"/>
        <v>16</v>
      </c>
      <c r="Q49" s="12">
        <f t="shared" si="13"/>
        <v>11</v>
      </c>
      <c r="R49" s="12">
        <f t="shared" si="14"/>
        <v>6</v>
      </c>
      <c r="S49" s="12">
        <f t="shared" si="15"/>
        <v>1</v>
      </c>
      <c r="T49" s="12">
        <f t="shared" si="16"/>
        <v>0</v>
      </c>
      <c r="U49" s="12">
        <f t="shared" si="17"/>
        <v>0</v>
      </c>
    </row>
    <row r="50" spans="1:21" ht="13.2">
      <c r="A50">
        <f t="shared" si="2"/>
        <v>42</v>
      </c>
      <c r="B50" s="11">
        <f t="shared" si="18"/>
        <v>44383</v>
      </c>
      <c r="C50">
        <v>80</v>
      </c>
      <c r="D50">
        <v>78</v>
      </c>
      <c r="E50">
        <v>76</v>
      </c>
      <c r="F50">
        <v>75</v>
      </c>
      <c r="G50" s="12">
        <f t="shared" si="3"/>
        <v>78.099999999999994</v>
      </c>
      <c r="H50" s="12">
        <f t="shared" si="4"/>
        <v>0</v>
      </c>
      <c r="I50" s="12">
        <f t="shared" si="5"/>
        <v>0</v>
      </c>
      <c r="J50" s="12">
        <f t="shared" si="6"/>
        <v>0</v>
      </c>
      <c r="K50" s="12">
        <f t="shared" si="7"/>
        <v>0</v>
      </c>
      <c r="L50" s="12">
        <f t="shared" si="8"/>
        <v>0</v>
      </c>
      <c r="M50" s="12">
        <f t="shared" si="9"/>
        <v>0</v>
      </c>
      <c r="N50" s="12">
        <f t="shared" si="10"/>
        <v>28.099999999999994</v>
      </c>
      <c r="O50" s="12">
        <f t="shared" si="11"/>
        <v>23.099999999999994</v>
      </c>
      <c r="P50" s="12">
        <f t="shared" si="12"/>
        <v>18.099999999999994</v>
      </c>
      <c r="Q50" s="12">
        <f t="shared" si="13"/>
        <v>13.099999999999994</v>
      </c>
      <c r="R50" s="12">
        <f t="shared" si="14"/>
        <v>8.0999999999999943</v>
      </c>
      <c r="S50" s="12">
        <f t="shared" si="15"/>
        <v>3.0999999999999943</v>
      </c>
      <c r="T50" s="12">
        <f t="shared" si="16"/>
        <v>0</v>
      </c>
      <c r="U50" s="12">
        <f t="shared" si="17"/>
        <v>0</v>
      </c>
    </row>
    <row r="51" spans="1:21" ht="13.2">
      <c r="A51">
        <f t="shared" si="2"/>
        <v>43</v>
      </c>
      <c r="B51" s="11">
        <f t="shared" si="18"/>
        <v>44384</v>
      </c>
      <c r="C51">
        <v>84</v>
      </c>
      <c r="D51">
        <v>81</v>
      </c>
      <c r="E51">
        <v>78</v>
      </c>
      <c r="F51">
        <v>77</v>
      </c>
      <c r="G51" s="12">
        <f t="shared" si="3"/>
        <v>79.599999999999994</v>
      </c>
      <c r="H51" s="12">
        <f t="shared" si="4"/>
        <v>0</v>
      </c>
      <c r="I51" s="12">
        <f t="shared" si="5"/>
        <v>0</v>
      </c>
      <c r="J51" s="12">
        <f t="shared" si="6"/>
        <v>0</v>
      </c>
      <c r="K51" s="12">
        <f t="shared" si="7"/>
        <v>0</v>
      </c>
      <c r="L51" s="12">
        <f t="shared" si="8"/>
        <v>0</v>
      </c>
      <c r="M51" s="12">
        <f t="shared" si="9"/>
        <v>0</v>
      </c>
      <c r="N51" s="12">
        <f t="shared" si="10"/>
        <v>29.599999999999994</v>
      </c>
      <c r="O51" s="12">
        <f t="shared" si="11"/>
        <v>24.599999999999994</v>
      </c>
      <c r="P51" s="12">
        <f t="shared" si="12"/>
        <v>19.599999999999994</v>
      </c>
      <c r="Q51" s="12">
        <f t="shared" si="13"/>
        <v>14.599999999999994</v>
      </c>
      <c r="R51" s="12">
        <f t="shared" si="14"/>
        <v>9.5999999999999943</v>
      </c>
      <c r="S51" s="12">
        <f t="shared" si="15"/>
        <v>4.5999999999999943</v>
      </c>
      <c r="T51" s="12">
        <f t="shared" si="16"/>
        <v>0</v>
      </c>
      <c r="U51" s="12">
        <f t="shared" si="17"/>
        <v>0</v>
      </c>
    </row>
    <row r="52" spans="1:21" ht="13.2">
      <c r="A52">
        <f t="shared" si="2"/>
        <v>44</v>
      </c>
      <c r="B52" s="11">
        <f t="shared" si="18"/>
        <v>44385</v>
      </c>
      <c r="C52">
        <v>82</v>
      </c>
      <c r="D52">
        <v>79</v>
      </c>
      <c r="E52">
        <v>78</v>
      </c>
      <c r="F52">
        <v>75</v>
      </c>
      <c r="G52" s="12">
        <f t="shared" si="3"/>
        <v>80.700000000000003</v>
      </c>
      <c r="H52" s="12">
        <f t="shared" si="4"/>
        <v>0</v>
      </c>
      <c r="I52" s="12">
        <f t="shared" si="5"/>
        <v>0</v>
      </c>
      <c r="J52" s="12">
        <f t="shared" si="6"/>
        <v>0</v>
      </c>
      <c r="K52" s="12">
        <f t="shared" si="7"/>
        <v>0</v>
      </c>
      <c r="L52" s="12">
        <f t="shared" si="8"/>
        <v>0</v>
      </c>
      <c r="M52" s="12">
        <f t="shared" si="9"/>
        <v>0</v>
      </c>
      <c r="N52" s="12">
        <f t="shared" si="10"/>
        <v>30.700000000000003</v>
      </c>
      <c r="O52" s="12">
        <f t="shared" si="11"/>
        <v>25.700000000000003</v>
      </c>
      <c r="P52" s="12">
        <f t="shared" si="12"/>
        <v>20.700000000000003</v>
      </c>
      <c r="Q52" s="12">
        <f t="shared" si="13"/>
        <v>15.700000000000003</v>
      </c>
      <c r="R52" s="12">
        <f t="shared" si="14"/>
        <v>10.700000000000003</v>
      </c>
      <c r="S52" s="12">
        <f t="shared" si="15"/>
        <v>5.7000000000000028</v>
      </c>
      <c r="T52" s="12">
        <f t="shared" si="16"/>
        <v>0.70000000000000284</v>
      </c>
      <c r="U52" s="12">
        <f t="shared" si="17"/>
        <v>0</v>
      </c>
    </row>
    <row r="53" spans="1:21" ht="13.2">
      <c r="A53">
        <f t="shared" si="2"/>
        <v>45</v>
      </c>
      <c r="B53" s="11">
        <f t="shared" si="18"/>
        <v>44386</v>
      </c>
      <c r="C53">
        <v>80</v>
      </c>
      <c r="D53">
        <v>77</v>
      </c>
      <c r="E53">
        <v>77</v>
      </c>
      <c r="F53">
        <v>76</v>
      </c>
      <c r="G53" s="12">
        <f t="shared" si="3"/>
        <v>78.299999999999997</v>
      </c>
      <c r="H53" s="12">
        <f t="shared" si="4"/>
        <v>0</v>
      </c>
      <c r="I53" s="12">
        <f t="shared" si="5"/>
        <v>0</v>
      </c>
      <c r="J53" s="12">
        <f t="shared" si="6"/>
        <v>0</v>
      </c>
      <c r="K53" s="12">
        <f t="shared" si="7"/>
        <v>0</v>
      </c>
      <c r="L53" s="12">
        <f t="shared" si="8"/>
        <v>0</v>
      </c>
      <c r="M53" s="12">
        <f t="shared" si="9"/>
        <v>0</v>
      </c>
      <c r="N53" s="12">
        <f t="shared" si="10"/>
        <v>28.299999999999997</v>
      </c>
      <c r="O53" s="12">
        <f t="shared" si="11"/>
        <v>23.299999999999997</v>
      </c>
      <c r="P53" s="12">
        <f t="shared" si="12"/>
        <v>18.299999999999997</v>
      </c>
      <c r="Q53" s="12">
        <f t="shared" si="13"/>
        <v>13.299999999999997</v>
      </c>
      <c r="R53" s="12">
        <f t="shared" si="14"/>
        <v>8.2999999999999972</v>
      </c>
      <c r="S53" s="12">
        <f t="shared" si="15"/>
        <v>3.2999999999999972</v>
      </c>
      <c r="T53" s="12">
        <f t="shared" si="16"/>
        <v>0</v>
      </c>
      <c r="U53" s="12">
        <f t="shared" si="17"/>
        <v>0</v>
      </c>
    </row>
    <row r="54" spans="1:21" ht="13.2">
      <c r="A54">
        <f t="shared" si="2"/>
        <v>46</v>
      </c>
      <c r="B54" s="11">
        <f t="shared" si="18"/>
        <v>44387</v>
      </c>
      <c r="C54">
        <v>85</v>
      </c>
      <c r="D54">
        <v>83</v>
      </c>
      <c r="E54">
        <v>81</v>
      </c>
      <c r="F54">
        <v>79</v>
      </c>
      <c r="G54" s="12">
        <f t="shared" si="3"/>
        <v>81</v>
      </c>
      <c r="H54" s="12">
        <f t="shared" si="4"/>
        <v>0</v>
      </c>
      <c r="I54" s="12">
        <f t="shared" si="5"/>
        <v>0</v>
      </c>
      <c r="J54" s="12">
        <f t="shared" si="6"/>
        <v>0</v>
      </c>
      <c r="K54" s="12">
        <f t="shared" si="7"/>
        <v>0</v>
      </c>
      <c r="L54" s="12">
        <f t="shared" si="8"/>
        <v>0</v>
      </c>
      <c r="M54" s="12">
        <f t="shared" si="9"/>
        <v>0</v>
      </c>
      <c r="N54" s="12">
        <f t="shared" si="10"/>
        <v>31</v>
      </c>
      <c r="O54" s="12">
        <f t="shared" si="11"/>
        <v>26</v>
      </c>
      <c r="P54" s="12">
        <f t="shared" si="12"/>
        <v>21</v>
      </c>
      <c r="Q54" s="12">
        <f t="shared" si="13"/>
        <v>16</v>
      </c>
      <c r="R54" s="12">
        <f t="shared" si="14"/>
        <v>11</v>
      </c>
      <c r="S54" s="12">
        <f t="shared" si="15"/>
        <v>6</v>
      </c>
      <c r="T54" s="12">
        <f t="shared" si="16"/>
        <v>1</v>
      </c>
      <c r="U54" s="12">
        <f t="shared" si="17"/>
        <v>0</v>
      </c>
    </row>
    <row r="55" spans="1:21" ht="13.2">
      <c r="A55">
        <f t="shared" si="2"/>
        <v>47</v>
      </c>
      <c r="B55" s="11">
        <f t="shared" si="18"/>
        <v>44388</v>
      </c>
      <c r="C55">
        <v>79</v>
      </c>
      <c r="D55">
        <v>77</v>
      </c>
      <c r="E55">
        <v>73</v>
      </c>
      <c r="F55">
        <v>71</v>
      </c>
      <c r="G55" s="12">
        <f t="shared" si="3"/>
        <v>78.900000000000006</v>
      </c>
      <c r="H55" s="12">
        <f t="shared" si="4"/>
        <v>0</v>
      </c>
      <c r="I55" s="12">
        <f t="shared" si="5"/>
        <v>0</v>
      </c>
      <c r="J55" s="12">
        <f t="shared" si="6"/>
        <v>0</v>
      </c>
      <c r="K55" s="12">
        <f t="shared" si="7"/>
        <v>0</v>
      </c>
      <c r="L55" s="12">
        <f t="shared" si="8"/>
        <v>0</v>
      </c>
      <c r="M55" s="12">
        <f t="shared" si="9"/>
        <v>0</v>
      </c>
      <c r="N55" s="12">
        <f t="shared" si="10"/>
        <v>28.900000000000006</v>
      </c>
      <c r="O55" s="12">
        <f t="shared" si="11"/>
        <v>23.900000000000006</v>
      </c>
      <c r="P55" s="12">
        <f t="shared" si="12"/>
        <v>18.900000000000006</v>
      </c>
      <c r="Q55" s="12">
        <f t="shared" si="13"/>
        <v>13.900000000000006</v>
      </c>
      <c r="R55" s="12">
        <f t="shared" si="14"/>
        <v>8.9000000000000057</v>
      </c>
      <c r="S55" s="12">
        <f t="shared" si="15"/>
        <v>3.9000000000000057</v>
      </c>
      <c r="T55" s="12">
        <f t="shared" si="16"/>
        <v>0</v>
      </c>
      <c r="U55" s="12">
        <f t="shared" si="17"/>
        <v>0</v>
      </c>
    </row>
    <row r="56" spans="1:21" ht="13.2">
      <c r="A56">
        <f t="shared" si="2"/>
        <v>48</v>
      </c>
      <c r="B56" s="11">
        <f t="shared" si="18"/>
        <v>44389</v>
      </c>
      <c r="C56">
        <v>78</v>
      </c>
      <c r="D56">
        <v>73</v>
      </c>
      <c r="E56">
        <v>72</v>
      </c>
      <c r="F56">
        <v>71</v>
      </c>
      <c r="G56" s="12">
        <f t="shared" si="3"/>
        <v>76.299999999999997</v>
      </c>
      <c r="H56" s="12">
        <f t="shared" si="4"/>
        <v>0</v>
      </c>
      <c r="I56" s="12">
        <f t="shared" si="5"/>
        <v>0</v>
      </c>
      <c r="J56" s="12">
        <f t="shared" si="6"/>
        <v>0</v>
      </c>
      <c r="K56" s="12">
        <f t="shared" si="7"/>
        <v>0</v>
      </c>
      <c r="L56" s="12">
        <f t="shared" si="8"/>
        <v>0</v>
      </c>
      <c r="M56" s="12">
        <f t="shared" si="9"/>
        <v>0</v>
      </c>
      <c r="N56" s="12">
        <f t="shared" si="10"/>
        <v>26.299999999999997</v>
      </c>
      <c r="O56" s="12">
        <f t="shared" si="11"/>
        <v>21.299999999999997</v>
      </c>
      <c r="P56" s="12">
        <f t="shared" si="12"/>
        <v>16.299999999999997</v>
      </c>
      <c r="Q56" s="12">
        <f t="shared" si="13"/>
        <v>11.299999999999997</v>
      </c>
      <c r="R56" s="12">
        <f t="shared" si="14"/>
        <v>6.2999999999999972</v>
      </c>
      <c r="S56" s="12">
        <f t="shared" si="15"/>
        <v>1.2999999999999972</v>
      </c>
      <c r="T56" s="12">
        <f t="shared" si="16"/>
        <v>0</v>
      </c>
      <c r="U56" s="12">
        <f t="shared" si="17"/>
        <v>0</v>
      </c>
    </row>
    <row r="57" spans="1:21" ht="13.2">
      <c r="A57">
        <f t="shared" si="2"/>
        <v>49</v>
      </c>
      <c r="B57" s="11">
        <f t="shared" si="18"/>
        <v>44390</v>
      </c>
      <c r="C57">
        <v>81</v>
      </c>
      <c r="D57">
        <v>80</v>
      </c>
      <c r="E57">
        <v>78</v>
      </c>
      <c r="F57">
        <v>77</v>
      </c>
      <c r="G57" s="12">
        <f t="shared" si="3"/>
        <v>79.299999999999997</v>
      </c>
      <c r="H57" s="12">
        <f t="shared" si="4"/>
        <v>0</v>
      </c>
      <c r="I57" s="12">
        <f t="shared" si="5"/>
        <v>0</v>
      </c>
      <c r="J57" s="12">
        <f t="shared" si="6"/>
        <v>0</v>
      </c>
      <c r="K57" s="12">
        <f t="shared" si="7"/>
        <v>0</v>
      </c>
      <c r="L57" s="12">
        <f t="shared" si="8"/>
        <v>0</v>
      </c>
      <c r="M57" s="12">
        <f t="shared" si="9"/>
        <v>0</v>
      </c>
      <c r="N57" s="12">
        <f t="shared" si="10"/>
        <v>29.299999999999997</v>
      </c>
      <c r="O57" s="12">
        <f t="shared" si="11"/>
        <v>24.299999999999997</v>
      </c>
      <c r="P57" s="12">
        <f t="shared" si="12"/>
        <v>19.299999999999997</v>
      </c>
      <c r="Q57" s="12">
        <f t="shared" si="13"/>
        <v>14.299999999999997</v>
      </c>
      <c r="R57" s="12">
        <f t="shared" si="14"/>
        <v>9.2999999999999972</v>
      </c>
      <c r="S57" s="12">
        <f t="shared" si="15"/>
        <v>4.2999999999999972</v>
      </c>
      <c r="T57" s="12">
        <f t="shared" si="16"/>
        <v>0</v>
      </c>
      <c r="U57" s="12">
        <f t="shared" si="17"/>
        <v>0</v>
      </c>
    </row>
    <row r="58" spans="1:21" ht="13.2">
      <c r="A58" s="18">
        <f t="shared" si="2"/>
        <v>50</v>
      </c>
      <c r="B58" s="11">
        <f t="shared" si="18"/>
        <v>44391</v>
      </c>
      <c r="C58">
        <v>84</v>
      </c>
      <c r="D58">
        <v>80</v>
      </c>
      <c r="E58">
        <v>80</v>
      </c>
      <c r="F58">
        <v>78</v>
      </c>
      <c r="G58" s="12">
        <f t="shared" si="3"/>
        <v>80</v>
      </c>
      <c r="H58" s="12">
        <f t="shared" si="4"/>
        <v>0</v>
      </c>
      <c r="I58" s="12">
        <f t="shared" si="5"/>
        <v>0</v>
      </c>
      <c r="J58" s="12">
        <f t="shared" si="6"/>
        <v>0</v>
      </c>
      <c r="K58" s="12">
        <f t="shared" si="7"/>
        <v>0</v>
      </c>
      <c r="L58" s="12">
        <f t="shared" si="8"/>
        <v>0</v>
      </c>
      <c r="M58" s="12">
        <f t="shared" si="9"/>
        <v>0</v>
      </c>
      <c r="N58" s="12">
        <f t="shared" si="10"/>
        <v>30</v>
      </c>
      <c r="O58" s="12">
        <f t="shared" si="11"/>
        <v>25</v>
      </c>
      <c r="P58" s="12">
        <f t="shared" si="12"/>
        <v>20</v>
      </c>
      <c r="Q58" s="12">
        <f t="shared" si="13"/>
        <v>15</v>
      </c>
      <c r="R58" s="12">
        <f t="shared" si="14"/>
        <v>10</v>
      </c>
      <c r="S58" s="12">
        <f t="shared" si="15"/>
        <v>5</v>
      </c>
      <c r="T58" s="12">
        <f t="shared" si="16"/>
        <v>0</v>
      </c>
      <c r="U58" s="12">
        <f t="shared" si="17"/>
        <v>0</v>
      </c>
    </row>
    <row r="59" spans="1:21" ht="13.2">
      <c r="A59">
        <f t="shared" si="2"/>
        <v>51</v>
      </c>
      <c r="B59" s="11">
        <f t="shared" si="18"/>
        <v>44392</v>
      </c>
      <c r="C59">
        <v>85</v>
      </c>
      <c r="D59">
        <v>82</v>
      </c>
      <c r="E59">
        <v>81</v>
      </c>
      <c r="F59">
        <v>80</v>
      </c>
      <c r="G59" s="12">
        <f t="shared" si="3"/>
        <v>81.5</v>
      </c>
      <c r="H59" s="12">
        <f t="shared" si="4"/>
        <v>0</v>
      </c>
      <c r="I59" s="12">
        <f t="shared" si="5"/>
        <v>0</v>
      </c>
      <c r="J59" s="12">
        <f t="shared" si="6"/>
        <v>0</v>
      </c>
      <c r="K59" s="12">
        <f t="shared" si="7"/>
        <v>0</v>
      </c>
      <c r="L59" s="12">
        <f t="shared" si="8"/>
        <v>0</v>
      </c>
      <c r="M59" s="12">
        <f t="shared" si="9"/>
        <v>0</v>
      </c>
      <c r="N59" s="12">
        <f t="shared" si="10"/>
        <v>31.5</v>
      </c>
      <c r="O59" s="12">
        <f t="shared" si="11"/>
        <v>26.5</v>
      </c>
      <c r="P59" s="12">
        <f t="shared" si="12"/>
        <v>21.5</v>
      </c>
      <c r="Q59" s="12">
        <f t="shared" si="13"/>
        <v>16.5</v>
      </c>
      <c r="R59" s="12">
        <f t="shared" si="14"/>
        <v>11.5</v>
      </c>
      <c r="S59" s="12">
        <f t="shared" si="15"/>
        <v>6.5</v>
      </c>
      <c r="T59" s="12">
        <f t="shared" si="16"/>
        <v>1.5</v>
      </c>
      <c r="U59" s="12">
        <f t="shared" si="17"/>
        <v>0</v>
      </c>
    </row>
    <row r="60" spans="1:21" ht="13.2">
      <c r="A60">
        <f t="shared" si="2"/>
        <v>52</v>
      </c>
      <c r="B60" s="11">
        <f t="shared" si="18"/>
        <v>44393</v>
      </c>
      <c r="C60">
        <v>84</v>
      </c>
      <c r="D60">
        <v>82</v>
      </c>
      <c r="E60">
        <v>80</v>
      </c>
      <c r="F60">
        <v>79</v>
      </c>
      <c r="G60" s="12">
        <f t="shared" si="3"/>
        <v>82.799999999999997</v>
      </c>
      <c r="H60" s="12">
        <f t="shared" si="4"/>
        <v>0</v>
      </c>
      <c r="I60" s="12">
        <f t="shared" si="5"/>
        <v>0</v>
      </c>
      <c r="J60" s="12">
        <f t="shared" si="6"/>
        <v>0</v>
      </c>
      <c r="K60" s="12">
        <f t="shared" si="7"/>
        <v>0</v>
      </c>
      <c r="L60" s="12">
        <f t="shared" si="8"/>
        <v>0</v>
      </c>
      <c r="M60" s="12">
        <f t="shared" si="9"/>
        <v>0</v>
      </c>
      <c r="N60" s="12">
        <f t="shared" si="10"/>
        <v>32.799999999999997</v>
      </c>
      <c r="O60" s="12">
        <f t="shared" si="11"/>
        <v>27.799999999999997</v>
      </c>
      <c r="P60" s="12">
        <f t="shared" si="12"/>
        <v>22.799999999999997</v>
      </c>
      <c r="Q60" s="12">
        <f t="shared" si="13"/>
        <v>17.799999999999997</v>
      </c>
      <c r="R60" s="12">
        <f t="shared" si="14"/>
        <v>12.799999999999997</v>
      </c>
      <c r="S60" s="12">
        <f t="shared" si="15"/>
        <v>7.7999999999999972</v>
      </c>
      <c r="T60" s="12">
        <f t="shared" si="16"/>
        <v>2.7999999999999972</v>
      </c>
      <c r="U60" s="12">
        <f t="shared" si="17"/>
        <v>0</v>
      </c>
    </row>
    <row r="61" spans="1:21" ht="13.2">
      <c r="A61">
        <f t="shared" si="2"/>
        <v>53</v>
      </c>
      <c r="B61" s="11">
        <f t="shared" si="18"/>
        <v>44394</v>
      </c>
      <c r="C61">
        <v>85</v>
      </c>
      <c r="D61">
        <v>82</v>
      </c>
      <c r="E61">
        <v>79</v>
      </c>
      <c r="F61">
        <v>78</v>
      </c>
      <c r="G61" s="12">
        <f t="shared" si="3"/>
        <v>83.599999999999994</v>
      </c>
      <c r="H61" s="12">
        <f t="shared" si="4"/>
        <v>0</v>
      </c>
      <c r="I61" s="12">
        <f t="shared" si="5"/>
        <v>0</v>
      </c>
      <c r="J61" s="12">
        <f t="shared" si="6"/>
        <v>0</v>
      </c>
      <c r="K61" s="12">
        <f t="shared" si="7"/>
        <v>0</v>
      </c>
      <c r="L61" s="12">
        <f t="shared" si="8"/>
        <v>0</v>
      </c>
      <c r="M61" s="12">
        <f t="shared" si="9"/>
        <v>0</v>
      </c>
      <c r="N61" s="12">
        <f t="shared" si="10"/>
        <v>33.599999999999994</v>
      </c>
      <c r="O61" s="12">
        <f t="shared" si="11"/>
        <v>28.599999999999994</v>
      </c>
      <c r="P61" s="12">
        <f t="shared" si="12"/>
        <v>23.599999999999994</v>
      </c>
      <c r="Q61" s="12">
        <f t="shared" si="13"/>
        <v>18.599999999999994</v>
      </c>
      <c r="R61" s="12">
        <f t="shared" si="14"/>
        <v>13.599999999999994</v>
      </c>
      <c r="S61" s="12">
        <f t="shared" si="15"/>
        <v>8.5999999999999943</v>
      </c>
      <c r="T61" s="12">
        <f t="shared" si="16"/>
        <v>3.5999999999999943</v>
      </c>
      <c r="U61" s="12">
        <f t="shared" si="17"/>
        <v>0</v>
      </c>
    </row>
    <row r="62" spans="1:21" ht="13.2">
      <c r="A62" s="18">
        <f t="shared" si="2"/>
        <v>54</v>
      </c>
      <c r="B62" s="11">
        <f t="shared" si="18"/>
        <v>44395</v>
      </c>
      <c r="C62">
        <v>83</v>
      </c>
      <c r="D62">
        <v>82</v>
      </c>
      <c r="E62">
        <v>79</v>
      </c>
      <c r="F62">
        <v>78</v>
      </c>
      <c r="G62" s="12">
        <f t="shared" si="3"/>
        <v>82.900000000000006</v>
      </c>
      <c r="H62" s="12">
        <f t="shared" si="4"/>
        <v>0</v>
      </c>
      <c r="I62" s="12">
        <f t="shared" si="5"/>
        <v>0</v>
      </c>
      <c r="J62" s="12">
        <f t="shared" si="6"/>
        <v>0</v>
      </c>
      <c r="K62" s="12">
        <f t="shared" si="7"/>
        <v>0</v>
      </c>
      <c r="L62" s="12">
        <f t="shared" si="8"/>
        <v>0</v>
      </c>
      <c r="M62" s="12">
        <f t="shared" si="9"/>
        <v>0</v>
      </c>
      <c r="N62" s="12">
        <f t="shared" si="10"/>
        <v>32.900000000000006</v>
      </c>
      <c r="O62" s="12">
        <f t="shared" si="11"/>
        <v>27.900000000000006</v>
      </c>
      <c r="P62" s="12">
        <f t="shared" si="12"/>
        <v>22.900000000000006</v>
      </c>
      <c r="Q62" s="12">
        <f t="shared" si="13"/>
        <v>17.900000000000006</v>
      </c>
      <c r="R62" s="12">
        <f t="shared" si="14"/>
        <v>12.900000000000006</v>
      </c>
      <c r="S62" s="12">
        <f t="shared" si="15"/>
        <v>7.9000000000000057</v>
      </c>
      <c r="T62" s="12">
        <f t="shared" si="16"/>
        <v>2.9000000000000057</v>
      </c>
      <c r="U62" s="12">
        <f t="shared" si="17"/>
        <v>0</v>
      </c>
    </row>
    <row r="63" spans="1:21" ht="13.2">
      <c r="A63">
        <f t="shared" si="2"/>
        <v>55</v>
      </c>
      <c r="B63" s="11">
        <f t="shared" si="18"/>
        <v>44396</v>
      </c>
      <c r="C63">
        <v>83</v>
      </c>
      <c r="D63">
        <v>81</v>
      </c>
      <c r="E63">
        <v>79</v>
      </c>
      <c r="F63">
        <v>78</v>
      </c>
      <c r="G63" s="12">
        <f t="shared" si="3"/>
        <v>80.299999999999997</v>
      </c>
      <c r="H63" s="12">
        <f t="shared" si="4"/>
        <v>0</v>
      </c>
      <c r="I63" s="12">
        <f t="shared" si="5"/>
        <v>0</v>
      </c>
      <c r="J63" s="12">
        <f t="shared" si="6"/>
        <v>0</v>
      </c>
      <c r="K63" s="12">
        <f t="shared" si="7"/>
        <v>0</v>
      </c>
      <c r="L63" s="12">
        <f t="shared" si="8"/>
        <v>0</v>
      </c>
      <c r="M63" s="12">
        <f t="shared" si="9"/>
        <v>0</v>
      </c>
      <c r="N63" s="12">
        <f t="shared" si="10"/>
        <v>30.299999999999997</v>
      </c>
      <c r="O63" s="12">
        <f t="shared" si="11"/>
        <v>25.299999999999997</v>
      </c>
      <c r="P63" s="12">
        <f t="shared" si="12"/>
        <v>20.299999999999997</v>
      </c>
      <c r="Q63" s="12">
        <f t="shared" si="13"/>
        <v>15.299999999999997</v>
      </c>
      <c r="R63" s="12">
        <f t="shared" si="14"/>
        <v>10.299999999999997</v>
      </c>
      <c r="S63" s="12">
        <f t="shared" si="15"/>
        <v>5.2999999999999972</v>
      </c>
      <c r="T63" s="12">
        <f t="shared" si="16"/>
        <v>0.29999999999999716</v>
      </c>
      <c r="U63" s="12">
        <f t="shared" si="17"/>
        <v>0</v>
      </c>
    </row>
    <row r="64" spans="1:21" ht="13.2">
      <c r="A64">
        <f t="shared" si="2"/>
        <v>56</v>
      </c>
      <c r="B64" s="11">
        <f t="shared" si="18"/>
        <v>44397</v>
      </c>
      <c r="C64">
        <v>81</v>
      </c>
      <c r="D64">
        <v>79</v>
      </c>
      <c r="E64">
        <v>76</v>
      </c>
      <c r="F64">
        <v>74</v>
      </c>
      <c r="G64" s="12">
        <f t="shared" si="3"/>
        <v>79.400000000000006</v>
      </c>
      <c r="H64" s="12">
        <f t="shared" si="4"/>
        <v>0</v>
      </c>
      <c r="I64" s="12">
        <f t="shared" si="5"/>
        <v>0</v>
      </c>
      <c r="J64" s="12">
        <f t="shared" si="6"/>
        <v>0</v>
      </c>
      <c r="K64" s="12">
        <f t="shared" si="7"/>
        <v>0</v>
      </c>
      <c r="L64" s="12">
        <f t="shared" si="8"/>
        <v>0</v>
      </c>
      <c r="M64" s="12">
        <f t="shared" si="9"/>
        <v>0</v>
      </c>
      <c r="N64" s="12">
        <f t="shared" si="10"/>
        <v>29.400000000000006</v>
      </c>
      <c r="O64" s="12">
        <f t="shared" si="11"/>
        <v>24.400000000000006</v>
      </c>
      <c r="P64" s="12">
        <f t="shared" si="12"/>
        <v>19.400000000000006</v>
      </c>
      <c r="Q64" s="12">
        <f t="shared" si="13"/>
        <v>14.400000000000006</v>
      </c>
      <c r="R64" s="12">
        <f t="shared" si="14"/>
        <v>9.4000000000000057</v>
      </c>
      <c r="S64" s="12">
        <f t="shared" si="15"/>
        <v>4.4000000000000057</v>
      </c>
      <c r="T64" s="12">
        <f t="shared" si="16"/>
        <v>0</v>
      </c>
      <c r="U64" s="12">
        <f t="shared" si="17"/>
        <v>0</v>
      </c>
    </row>
    <row r="65" spans="1:21" ht="13.2">
      <c r="A65">
        <f t="shared" si="2"/>
        <v>57</v>
      </c>
      <c r="B65" s="11">
        <f t="shared" si="18"/>
        <v>44398</v>
      </c>
      <c r="C65">
        <v>82</v>
      </c>
      <c r="D65">
        <v>78</v>
      </c>
      <c r="E65">
        <v>77</v>
      </c>
      <c r="F65">
        <v>74</v>
      </c>
      <c r="G65" s="12">
        <f t="shared" si="3"/>
        <v>78.900000000000006</v>
      </c>
      <c r="H65" s="12">
        <f t="shared" si="4"/>
        <v>0</v>
      </c>
      <c r="I65" s="12">
        <f t="shared" si="5"/>
        <v>0</v>
      </c>
      <c r="J65" s="12">
        <f t="shared" si="6"/>
        <v>0</v>
      </c>
      <c r="K65" s="12">
        <f t="shared" si="7"/>
        <v>0</v>
      </c>
      <c r="L65" s="12">
        <f t="shared" si="8"/>
        <v>0</v>
      </c>
      <c r="M65" s="12">
        <f t="shared" si="9"/>
        <v>0</v>
      </c>
      <c r="N65" s="12">
        <f t="shared" si="10"/>
        <v>28.900000000000006</v>
      </c>
      <c r="O65" s="12">
        <f t="shared" si="11"/>
        <v>23.900000000000006</v>
      </c>
      <c r="P65" s="12">
        <f t="shared" si="12"/>
        <v>18.900000000000006</v>
      </c>
      <c r="Q65" s="12">
        <f t="shared" si="13"/>
        <v>13.900000000000006</v>
      </c>
      <c r="R65" s="12">
        <f t="shared" si="14"/>
        <v>8.9000000000000057</v>
      </c>
      <c r="S65" s="12">
        <f t="shared" si="15"/>
        <v>3.9000000000000057</v>
      </c>
      <c r="T65" s="12">
        <f t="shared" si="16"/>
        <v>0</v>
      </c>
      <c r="U65" s="12">
        <f t="shared" si="17"/>
        <v>0</v>
      </c>
    </row>
    <row r="66" spans="1:21" ht="13.2">
      <c r="A66">
        <f t="shared" si="2"/>
        <v>58</v>
      </c>
      <c r="B66" s="11">
        <f t="shared" si="18"/>
        <v>44399</v>
      </c>
      <c r="C66">
        <v>85</v>
      </c>
      <c r="D66">
        <v>81</v>
      </c>
      <c r="E66">
        <v>80</v>
      </c>
      <c r="F66">
        <v>78</v>
      </c>
      <c r="G66" s="12">
        <f t="shared" si="3"/>
        <v>79.799999999999997</v>
      </c>
      <c r="H66" s="12">
        <f t="shared" si="4"/>
        <v>0</v>
      </c>
      <c r="I66" s="12">
        <f t="shared" si="5"/>
        <v>0</v>
      </c>
      <c r="J66" s="12">
        <f t="shared" si="6"/>
        <v>0</v>
      </c>
      <c r="K66" s="12">
        <f t="shared" si="7"/>
        <v>0</v>
      </c>
      <c r="L66" s="12">
        <f t="shared" si="8"/>
        <v>0</v>
      </c>
      <c r="M66" s="12">
        <f t="shared" si="9"/>
        <v>0</v>
      </c>
      <c r="N66" s="12">
        <f t="shared" si="10"/>
        <v>29.799999999999997</v>
      </c>
      <c r="O66" s="12">
        <f t="shared" si="11"/>
        <v>24.799999999999997</v>
      </c>
      <c r="P66" s="12">
        <f t="shared" si="12"/>
        <v>19.799999999999997</v>
      </c>
      <c r="Q66" s="12">
        <f t="shared" si="13"/>
        <v>14.799999999999997</v>
      </c>
      <c r="R66" s="12">
        <f t="shared" si="14"/>
        <v>9.7999999999999972</v>
      </c>
      <c r="S66" s="12">
        <f t="shared" si="15"/>
        <v>4.7999999999999972</v>
      </c>
      <c r="T66" s="12">
        <f t="shared" si="16"/>
        <v>0</v>
      </c>
      <c r="U66" s="12">
        <f t="shared" si="17"/>
        <v>0</v>
      </c>
    </row>
    <row r="67" spans="1:21" ht="13.2">
      <c r="A67">
        <f t="shared" si="2"/>
        <v>59</v>
      </c>
      <c r="B67" s="11">
        <f t="shared" si="18"/>
        <v>44400</v>
      </c>
      <c r="C67">
        <v>87</v>
      </c>
      <c r="D67">
        <v>86</v>
      </c>
      <c r="E67">
        <v>84</v>
      </c>
      <c r="F67">
        <v>82</v>
      </c>
      <c r="G67" s="12">
        <f t="shared" si="3"/>
        <v>83.900000000000006</v>
      </c>
      <c r="H67" s="12">
        <f t="shared" si="4"/>
        <v>0</v>
      </c>
      <c r="I67" s="12">
        <f t="shared" si="5"/>
        <v>0</v>
      </c>
      <c r="J67" s="12">
        <f t="shared" si="6"/>
        <v>0</v>
      </c>
      <c r="K67" s="12">
        <f t="shared" si="7"/>
        <v>0</v>
      </c>
      <c r="L67" s="12">
        <f t="shared" si="8"/>
        <v>0</v>
      </c>
      <c r="M67" s="12">
        <f t="shared" si="9"/>
        <v>0</v>
      </c>
      <c r="N67" s="12">
        <f t="shared" si="10"/>
        <v>33.900000000000006</v>
      </c>
      <c r="O67" s="12">
        <f t="shared" si="11"/>
        <v>28.900000000000006</v>
      </c>
      <c r="P67" s="12">
        <f t="shared" si="12"/>
        <v>23.900000000000006</v>
      </c>
      <c r="Q67" s="12">
        <f t="shared" si="13"/>
        <v>18.900000000000006</v>
      </c>
      <c r="R67" s="12">
        <f t="shared" si="14"/>
        <v>13.900000000000006</v>
      </c>
      <c r="S67" s="12">
        <f t="shared" si="15"/>
        <v>8.9000000000000057</v>
      </c>
      <c r="T67" s="12">
        <f t="shared" si="16"/>
        <v>3.9000000000000057</v>
      </c>
      <c r="U67" s="12">
        <f t="shared" si="17"/>
        <v>0</v>
      </c>
    </row>
    <row r="68" spans="1:21" ht="13.2">
      <c r="A68">
        <f t="shared" si="2"/>
        <v>60</v>
      </c>
      <c r="B68" s="11">
        <f t="shared" si="18"/>
        <v>44401</v>
      </c>
      <c r="C68">
        <v>87</v>
      </c>
      <c r="D68">
        <v>83</v>
      </c>
      <c r="E68">
        <v>84</v>
      </c>
      <c r="F68">
        <v>83</v>
      </c>
      <c r="G68" s="12">
        <f t="shared" si="3"/>
        <v>86.299999999999997</v>
      </c>
      <c r="H68" s="12">
        <f t="shared" si="4"/>
        <v>0</v>
      </c>
      <c r="I68" s="12">
        <f t="shared" si="5"/>
        <v>0</v>
      </c>
      <c r="J68" s="12">
        <f t="shared" si="6"/>
        <v>0</v>
      </c>
      <c r="K68" s="12">
        <f t="shared" si="7"/>
        <v>0</v>
      </c>
      <c r="L68" s="12">
        <f t="shared" si="8"/>
        <v>0</v>
      </c>
      <c r="M68" s="12">
        <f t="shared" si="9"/>
        <v>0</v>
      </c>
      <c r="N68" s="12">
        <f t="shared" si="10"/>
        <v>36.299999999999997</v>
      </c>
      <c r="O68" s="12">
        <f t="shared" si="11"/>
        <v>31.299999999999997</v>
      </c>
      <c r="P68" s="12">
        <f t="shared" si="12"/>
        <v>26.299999999999997</v>
      </c>
      <c r="Q68" s="12">
        <f t="shared" si="13"/>
        <v>21.299999999999997</v>
      </c>
      <c r="R68" s="12">
        <f t="shared" si="14"/>
        <v>16.299999999999997</v>
      </c>
      <c r="S68" s="12">
        <f t="shared" si="15"/>
        <v>11.299999999999997</v>
      </c>
      <c r="T68" s="12">
        <f t="shared" si="16"/>
        <v>6.2999999999999972</v>
      </c>
      <c r="U68" s="12">
        <f t="shared" si="17"/>
        <v>1.2999999999999972</v>
      </c>
    </row>
    <row r="69" spans="1:21" ht="13.2">
      <c r="A69">
        <f t="shared" si="2"/>
        <v>61</v>
      </c>
      <c r="B69" s="11">
        <f t="shared" si="18"/>
        <v>44402</v>
      </c>
      <c r="C69">
        <v>91</v>
      </c>
      <c r="D69">
        <v>87</v>
      </c>
      <c r="E69">
        <v>84</v>
      </c>
      <c r="F69">
        <v>83</v>
      </c>
      <c r="G69" s="12">
        <f t="shared" si="3"/>
        <v>87.5</v>
      </c>
      <c r="H69" s="12">
        <f t="shared" si="4"/>
        <v>0</v>
      </c>
      <c r="I69" s="12">
        <f t="shared" si="5"/>
        <v>0</v>
      </c>
      <c r="J69" s="12">
        <f t="shared" si="6"/>
        <v>0</v>
      </c>
      <c r="K69" s="12">
        <f t="shared" si="7"/>
        <v>0</v>
      </c>
      <c r="L69" s="12">
        <f t="shared" si="8"/>
        <v>0</v>
      </c>
      <c r="M69" s="12">
        <f t="shared" si="9"/>
        <v>0</v>
      </c>
      <c r="N69" s="12">
        <f t="shared" si="10"/>
        <v>37.5</v>
      </c>
      <c r="O69" s="12">
        <f t="shared" si="11"/>
        <v>32.5</v>
      </c>
      <c r="P69" s="12">
        <f t="shared" si="12"/>
        <v>27.5</v>
      </c>
      <c r="Q69" s="12">
        <f t="shared" si="13"/>
        <v>22.5</v>
      </c>
      <c r="R69" s="12">
        <f t="shared" si="14"/>
        <v>17.5</v>
      </c>
      <c r="S69" s="12">
        <f t="shared" si="15"/>
        <v>12.5</v>
      </c>
      <c r="T69" s="12">
        <f t="shared" si="16"/>
        <v>7.5</v>
      </c>
      <c r="U69" s="12">
        <f t="shared" si="17"/>
        <v>2.5</v>
      </c>
    </row>
    <row r="70" spans="1:21" ht="13.2">
      <c r="A70">
        <f t="shared" si="2"/>
        <v>62</v>
      </c>
      <c r="B70" s="11">
        <f t="shared" si="18"/>
        <v>44403</v>
      </c>
      <c r="C70">
        <v>91</v>
      </c>
      <c r="D70">
        <v>88</v>
      </c>
      <c r="E70">
        <v>85</v>
      </c>
      <c r="F70">
        <v>83</v>
      </c>
      <c r="G70" s="12">
        <f t="shared" si="3"/>
        <v>87.599999999999994</v>
      </c>
      <c r="H70" s="12">
        <f t="shared" si="4"/>
        <v>0</v>
      </c>
      <c r="I70" s="12">
        <f t="shared" si="5"/>
        <v>0</v>
      </c>
      <c r="J70" s="12">
        <f t="shared" si="6"/>
        <v>0</v>
      </c>
      <c r="K70" s="12">
        <f t="shared" si="7"/>
        <v>0</v>
      </c>
      <c r="L70" s="12">
        <f t="shared" si="8"/>
        <v>0</v>
      </c>
      <c r="M70" s="12">
        <f t="shared" si="9"/>
        <v>0</v>
      </c>
      <c r="N70" s="12">
        <f t="shared" si="10"/>
        <v>37.599999999999994</v>
      </c>
      <c r="O70" s="12">
        <f t="shared" si="11"/>
        <v>32.599999999999994</v>
      </c>
      <c r="P70" s="12">
        <f t="shared" si="12"/>
        <v>27.599999999999994</v>
      </c>
      <c r="Q70" s="12">
        <f t="shared" si="13"/>
        <v>22.599999999999994</v>
      </c>
      <c r="R70" s="12">
        <f t="shared" si="14"/>
        <v>17.599999999999994</v>
      </c>
      <c r="S70" s="12">
        <f t="shared" si="15"/>
        <v>12.599999999999994</v>
      </c>
      <c r="T70" s="12">
        <f t="shared" si="16"/>
        <v>7.5999999999999943</v>
      </c>
      <c r="U70" s="12">
        <f t="shared" si="17"/>
        <v>2.5999999999999943</v>
      </c>
    </row>
    <row r="71" spans="1:21" ht="13.2">
      <c r="A71">
        <f t="shared" si="2"/>
        <v>63</v>
      </c>
      <c r="B71" s="11">
        <f t="shared" si="18"/>
        <v>44404</v>
      </c>
      <c r="C71">
        <v>91</v>
      </c>
      <c r="D71">
        <v>88</v>
      </c>
      <c r="E71">
        <v>86</v>
      </c>
      <c r="F71">
        <v>84</v>
      </c>
      <c r="G71" s="12">
        <f t="shared" si="3"/>
        <v>88.700000000000003</v>
      </c>
      <c r="H71" s="12">
        <f t="shared" si="4"/>
        <v>0</v>
      </c>
      <c r="I71" s="12">
        <f t="shared" si="5"/>
        <v>0</v>
      </c>
      <c r="J71" s="12">
        <f t="shared" si="6"/>
        <v>0</v>
      </c>
      <c r="K71" s="12">
        <f t="shared" si="7"/>
        <v>0</v>
      </c>
      <c r="L71" s="12">
        <f t="shared" si="8"/>
        <v>0</v>
      </c>
      <c r="M71" s="12">
        <f t="shared" si="9"/>
        <v>0</v>
      </c>
      <c r="N71" s="12">
        <f t="shared" si="10"/>
        <v>38.700000000000003</v>
      </c>
      <c r="O71" s="12">
        <f t="shared" si="11"/>
        <v>33.700000000000003</v>
      </c>
      <c r="P71" s="12">
        <f t="shared" si="12"/>
        <v>28.700000000000003</v>
      </c>
      <c r="Q71" s="12">
        <f t="shared" si="13"/>
        <v>23.700000000000003</v>
      </c>
      <c r="R71" s="12">
        <f t="shared" si="14"/>
        <v>18.700000000000003</v>
      </c>
      <c r="S71" s="12">
        <f t="shared" si="15"/>
        <v>13.700000000000003</v>
      </c>
      <c r="T71" s="12">
        <f t="shared" si="16"/>
        <v>8.7000000000000028</v>
      </c>
      <c r="U71" s="12">
        <f t="shared" si="17"/>
        <v>3.7000000000000028</v>
      </c>
    </row>
    <row r="72" spans="1:21" ht="13.2">
      <c r="A72">
        <f t="shared" si="2"/>
        <v>64</v>
      </c>
      <c r="B72" s="11">
        <f t="shared" si="18"/>
        <v>44405</v>
      </c>
      <c r="C72">
        <v>87</v>
      </c>
      <c r="D72">
        <v>83</v>
      </c>
      <c r="E72">
        <v>83</v>
      </c>
      <c r="F72">
        <v>79</v>
      </c>
      <c r="G72" s="12">
        <f t="shared" si="3"/>
        <v>86.299999999999997</v>
      </c>
      <c r="H72" s="12">
        <f t="shared" si="4"/>
        <v>0</v>
      </c>
      <c r="I72" s="12">
        <f t="shared" si="5"/>
        <v>0</v>
      </c>
      <c r="J72" s="12">
        <f t="shared" si="6"/>
        <v>0</v>
      </c>
      <c r="K72" s="12">
        <f t="shared" si="7"/>
        <v>0</v>
      </c>
      <c r="L72" s="12">
        <f t="shared" si="8"/>
        <v>0</v>
      </c>
      <c r="M72" s="12">
        <f t="shared" si="9"/>
        <v>0</v>
      </c>
      <c r="N72" s="12">
        <f t="shared" si="10"/>
        <v>36.299999999999997</v>
      </c>
      <c r="O72" s="12">
        <f t="shared" si="11"/>
        <v>31.299999999999997</v>
      </c>
      <c r="P72" s="12">
        <f t="shared" si="12"/>
        <v>26.299999999999997</v>
      </c>
      <c r="Q72" s="12">
        <f t="shared" si="13"/>
        <v>21.299999999999997</v>
      </c>
      <c r="R72" s="12">
        <f t="shared" si="14"/>
        <v>16.299999999999997</v>
      </c>
      <c r="S72" s="12">
        <f t="shared" si="15"/>
        <v>11.299999999999997</v>
      </c>
      <c r="T72" s="12">
        <f t="shared" si="16"/>
        <v>6.2999999999999972</v>
      </c>
      <c r="U72" s="12">
        <f t="shared" si="17"/>
        <v>1.2999999999999972</v>
      </c>
    </row>
    <row r="73" spans="1:21" ht="13.2">
      <c r="A73">
        <f t="shared" si="2"/>
        <v>65</v>
      </c>
      <c r="B73" s="11">
        <f t="shared" si="18"/>
        <v>44406</v>
      </c>
      <c r="C73">
        <v>87</v>
      </c>
      <c r="D73">
        <v>85</v>
      </c>
      <c r="E73">
        <v>83</v>
      </c>
      <c r="F73">
        <v>83</v>
      </c>
      <c r="G73" s="12">
        <f t="shared" si="3"/>
        <v>85</v>
      </c>
      <c r="H73" s="12">
        <f t="shared" si="4"/>
        <v>0</v>
      </c>
      <c r="I73" s="12">
        <f t="shared" si="5"/>
        <v>0</v>
      </c>
      <c r="J73" s="12">
        <f t="shared" si="6"/>
        <v>0</v>
      </c>
      <c r="K73" s="12">
        <f t="shared" si="7"/>
        <v>0</v>
      </c>
      <c r="L73" s="12">
        <f t="shared" si="8"/>
        <v>0</v>
      </c>
      <c r="M73" s="12">
        <f t="shared" si="9"/>
        <v>0</v>
      </c>
      <c r="N73" s="12">
        <f t="shared" si="10"/>
        <v>35</v>
      </c>
      <c r="O73" s="12">
        <f t="shared" si="11"/>
        <v>30</v>
      </c>
      <c r="P73" s="12">
        <f t="shared" si="12"/>
        <v>25</v>
      </c>
      <c r="Q73" s="12">
        <f t="shared" si="13"/>
        <v>20</v>
      </c>
      <c r="R73" s="12">
        <f t="shared" si="14"/>
        <v>15</v>
      </c>
      <c r="S73" s="12">
        <f t="shared" si="15"/>
        <v>10</v>
      </c>
      <c r="T73" s="12">
        <f t="shared" si="16"/>
        <v>5</v>
      </c>
      <c r="U73" s="12">
        <f t="shared" si="17"/>
        <v>0</v>
      </c>
    </row>
    <row r="74" spans="1:21" ht="13.2">
      <c r="A74">
        <f t="shared" si="2"/>
        <v>66</v>
      </c>
      <c r="B74" s="11">
        <f t="shared" si="18"/>
        <v>44407</v>
      </c>
      <c r="C74">
        <v>88</v>
      </c>
      <c r="D74">
        <v>84</v>
      </c>
      <c r="E74">
        <v>82</v>
      </c>
      <c r="F74">
        <v>82</v>
      </c>
      <c r="G74" s="12">
        <f t="shared" si="3"/>
        <v>86.299999999999997</v>
      </c>
      <c r="H74" s="12">
        <f t="shared" si="4"/>
        <v>0</v>
      </c>
      <c r="I74" s="12">
        <f t="shared" si="5"/>
        <v>0</v>
      </c>
      <c r="J74" s="12">
        <f t="shared" si="6"/>
        <v>0</v>
      </c>
      <c r="K74" s="12">
        <f t="shared" si="7"/>
        <v>0</v>
      </c>
      <c r="L74" s="12">
        <f t="shared" si="8"/>
        <v>0</v>
      </c>
      <c r="M74" s="12">
        <f t="shared" si="9"/>
        <v>0</v>
      </c>
      <c r="N74" s="12">
        <f t="shared" si="10"/>
        <v>36.299999999999997</v>
      </c>
      <c r="O74" s="12">
        <f t="shared" si="11"/>
        <v>31.299999999999997</v>
      </c>
      <c r="P74" s="12">
        <f t="shared" si="12"/>
        <v>26.299999999999997</v>
      </c>
      <c r="Q74" s="12">
        <f t="shared" si="13"/>
        <v>21.299999999999997</v>
      </c>
      <c r="R74" s="12">
        <f t="shared" si="14"/>
        <v>16.299999999999997</v>
      </c>
      <c r="S74" s="12">
        <f t="shared" si="15"/>
        <v>11.299999999999997</v>
      </c>
      <c r="T74" s="12">
        <f t="shared" si="16"/>
        <v>6.2999999999999972</v>
      </c>
      <c r="U74" s="12">
        <f t="shared" si="17"/>
        <v>1.2999999999999972</v>
      </c>
    </row>
    <row r="75" spans="1:21" ht="13.2">
      <c r="A75">
        <f t="shared" si="2"/>
        <v>67</v>
      </c>
      <c r="B75" s="11">
        <f t="shared" si="18"/>
        <v>44408</v>
      </c>
      <c r="C75">
        <v>90</v>
      </c>
      <c r="D75">
        <v>86</v>
      </c>
      <c r="E75">
        <v>85</v>
      </c>
      <c r="F75">
        <v>83</v>
      </c>
      <c r="G75" s="12">
        <f t="shared" si="3"/>
        <v>86.700000000000003</v>
      </c>
      <c r="H75" s="12">
        <f t="shared" si="4"/>
        <v>0</v>
      </c>
      <c r="I75" s="12">
        <f t="shared" si="5"/>
        <v>0</v>
      </c>
      <c r="J75" s="12">
        <f t="shared" si="6"/>
        <v>0</v>
      </c>
      <c r="K75" s="12">
        <f t="shared" si="7"/>
        <v>0</v>
      </c>
      <c r="L75" s="12">
        <f t="shared" si="8"/>
        <v>0</v>
      </c>
      <c r="M75" s="12">
        <f t="shared" si="9"/>
        <v>0</v>
      </c>
      <c r="N75" s="12">
        <f t="shared" si="10"/>
        <v>36.700000000000003</v>
      </c>
      <c r="O75" s="12">
        <f t="shared" si="11"/>
        <v>31.700000000000003</v>
      </c>
      <c r="P75" s="12">
        <f t="shared" si="12"/>
        <v>26.700000000000003</v>
      </c>
      <c r="Q75" s="12">
        <f t="shared" si="13"/>
        <v>21.700000000000003</v>
      </c>
      <c r="R75" s="12">
        <f t="shared" si="14"/>
        <v>16.700000000000003</v>
      </c>
      <c r="S75" s="12">
        <f t="shared" si="15"/>
        <v>11.700000000000003</v>
      </c>
      <c r="T75" s="12">
        <f t="shared" si="16"/>
        <v>6.7000000000000028</v>
      </c>
      <c r="U75" s="12">
        <f t="shared" si="17"/>
        <v>1.7000000000000028</v>
      </c>
    </row>
    <row r="76" spans="7:19" ht="13.2"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</row>
    <row r="77" spans="7:21" ht="13.2">
      <c r="G77" s="48" t="s">
        <v>105</v>
      </c>
      <c r="H77" s="20">
        <f>SUM(H45:H75)</f>
        <v>0</v>
      </c>
      <c r="I77" s="20">
        <f t="shared" si="19" ref="I77:M77">SUM(I45:I75)</f>
        <v>0</v>
      </c>
      <c r="J77" s="20">
        <f t="shared" si="19"/>
        <v>0</v>
      </c>
      <c r="K77" s="20">
        <f t="shared" si="19"/>
        <v>0</v>
      </c>
      <c r="L77" s="20">
        <f t="shared" si="19"/>
        <v>0</v>
      </c>
      <c r="M77" s="20">
        <f t="shared" si="19"/>
        <v>0</v>
      </c>
      <c r="N77" s="20">
        <f>SUM(N45:N75)</f>
        <v>983.39999999999975</v>
      </c>
      <c r="O77" s="20">
        <f t="shared" si="20" ref="O77:P77">SUM(O45:O75)</f>
        <v>828.39999999999998</v>
      </c>
      <c r="P77" s="20">
        <f t="shared" si="20"/>
        <v>673.39999999999998</v>
      </c>
      <c r="Q77" s="20">
        <f>SUM(Q45:Q75)</f>
        <v>518.39999999999998</v>
      </c>
      <c r="R77" s="20">
        <f>SUM(R45:R75)</f>
        <v>363.39999999999998</v>
      </c>
      <c r="S77" s="20">
        <f>SUM(S45:S75)</f>
        <v>208.40000000000003</v>
      </c>
      <c r="T77" s="20">
        <f>SUM(T45:T75)</f>
        <v>74.599999999999994</v>
      </c>
      <c r="U77" s="20">
        <f t="shared" si="21" ref="U77">SUM(U45:U75)</f>
        <v>14.399999999999992</v>
      </c>
    </row>
  </sheetData>
  <mergeCells count="6">
    <mergeCell ref="B9:T9"/>
    <mergeCell ref="B1:T1"/>
    <mergeCell ref="B2:T2"/>
    <mergeCell ref="B3:T3"/>
    <mergeCell ref="B4:T4"/>
    <mergeCell ref="B6:T6"/>
  </mergeCells>
  <pageMargins left="0.75" right="0.75" top="1" bottom="1" header="0.5" footer="0.5"/>
  <pageSetup orientation="portrait" scale="59" r:id="rId1"/>
  <headerFooter alignWithMargins="0">
    <oddHeader>&amp;RSchedule II-H-5.1
Page &amp;P of  28</oddHead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pageSetUpPr fitToPage="1"/>
  </sheetPr>
  <dimension ref="A1:AJ33"/>
  <sheetViews>
    <sheetView workbookViewId="0" topLeftCell="A1"/>
  </sheetViews>
  <sheetFormatPr defaultRowHeight="13.5"/>
  <cols>
    <col min="1" max="1" width="9.14285714285714" style="60" customWidth="1"/>
    <col min="2" max="2" width="15.7142857142857" style="61" bestFit="1" customWidth="1"/>
    <col min="3" max="6" width="5.42857142857143" style="60" bestFit="1" customWidth="1"/>
    <col min="7" max="7" width="10.7142857142857" style="60" bestFit="1" customWidth="1"/>
    <col min="8" max="14" width="6.85714285714286" style="60" bestFit="1" customWidth="1"/>
    <col min="15" max="23" width="7" style="60" bestFit="1" customWidth="1"/>
    <col min="24" max="29" width="11.4285714285714" style="60" customWidth="1"/>
    <col min="30" max="16384" width="8.85714285714286" style="60"/>
  </cols>
  <sheetData>
    <row r="1" spans="2:29" s="67" customFormat="1" ht="15.6">
      <c r="B1" s="89" t="str">
        <f>+Base40h!B1</f>
        <v xml:space="preserve">PUC DOCKET NO. </v>
      </c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61"/>
      <c r="V1" s="61"/>
      <c r="W1" s="61"/>
      <c r="X1" s="61"/>
      <c r="Y1" s="61"/>
      <c r="Z1" s="61"/>
      <c r="AA1" s="61"/>
      <c r="AB1" s="61"/>
      <c r="AC1" s="61"/>
    </row>
    <row r="2" spans="2:29" s="67" customFormat="1" ht="15.6">
      <c r="B2" s="89" t="str">
        <f>+Base40h!B2</f>
        <v>ONCOR ELECTRIC DELIVERY COMPANY LLC</v>
      </c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61"/>
      <c r="V2" s="61"/>
      <c r="W2" s="61"/>
      <c r="X2" s="61"/>
      <c r="Y2" s="61"/>
      <c r="Z2" s="61"/>
      <c r="AA2" s="61"/>
      <c r="AB2" s="61"/>
      <c r="AC2" s="61"/>
    </row>
    <row r="3" spans="2:29" s="67" customFormat="1" ht="15.6">
      <c r="B3" s="89" t="str">
        <f>+Base40h!B3</f>
        <v>WEATHER STATION DATA</v>
      </c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61"/>
      <c r="V3" s="61"/>
      <c r="W3" s="61"/>
      <c r="X3" s="61"/>
      <c r="Y3" s="61"/>
      <c r="Z3" s="61"/>
      <c r="AA3" s="61"/>
      <c r="AB3" s="61"/>
      <c r="AC3" s="61"/>
    </row>
    <row r="4" spans="2:29" s="67" customFormat="1" ht="15.6">
      <c r="B4" s="89" t="str">
        <f>+Base40h!B4</f>
        <v>FOR THE TEST YEAR ENDING DECEMBER 31, 2021</v>
      </c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U4" s="61"/>
      <c r="V4" s="61"/>
      <c r="W4" s="61"/>
      <c r="X4" s="61"/>
      <c r="Y4" s="61"/>
      <c r="Z4" s="61"/>
      <c r="AA4" s="61"/>
      <c r="AB4" s="61"/>
      <c r="AC4" s="61"/>
    </row>
    <row r="5" spans="2:29" s="67" customFormat="1" ht="11.4">
      <c r="B5" s="69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  <c r="AA5" s="68"/>
      <c r="AB5" s="68"/>
      <c r="AC5" s="68"/>
    </row>
    <row r="6" spans="2:29" s="67" customFormat="1" ht="15.6">
      <c r="B6" s="89" t="str">
        <f>+Base40h!B6</f>
        <v>SPONSOR: D. E. NELSON</v>
      </c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8"/>
      <c r="Q6" s="88"/>
      <c r="R6" s="88"/>
      <c r="S6" s="88"/>
      <c r="T6" s="88"/>
      <c r="U6" s="61"/>
      <c r="V6" s="61"/>
      <c r="W6" s="61"/>
      <c r="X6" s="61"/>
      <c r="Y6" s="61"/>
      <c r="Z6" s="61"/>
      <c r="AA6" s="61"/>
      <c r="AB6" s="61"/>
      <c r="AC6" s="61"/>
    </row>
    <row r="7" spans="1:1" ht="24" thickBot="1">
      <c r="A7" s="66" t="s">
        <v>4</v>
      </c>
    </row>
    <row r="9" spans="1:20" ht="13.2">
      <c r="A9" s="60">
        <v>1</v>
      </c>
      <c r="B9" s="87" t="s">
        <v>123</v>
      </c>
      <c r="C9" s="88"/>
      <c r="D9" s="88"/>
      <c r="E9" s="88"/>
      <c r="F9" s="88"/>
      <c r="G9" s="88"/>
      <c r="H9" s="88"/>
      <c r="I9" s="88"/>
      <c r="J9" s="88"/>
      <c r="K9" s="88"/>
      <c r="L9" s="88"/>
      <c r="M9" s="88"/>
      <c r="N9" s="88"/>
      <c r="O9" s="88"/>
      <c r="P9" s="88"/>
      <c r="Q9" s="88"/>
      <c r="R9" s="88"/>
      <c r="S9" s="88"/>
      <c r="T9" s="88"/>
    </row>
    <row r="10" spans="1:22" s="65" customFormat="1" ht="13.2">
      <c r="A10" s="60">
        <f t="shared" si="0" ref="A10:A33">+A9+1</f>
        <v>2</v>
      </c>
      <c r="B10" s="65" t="s">
        <v>69</v>
      </c>
      <c r="C10" s="65" t="s">
        <v>29</v>
      </c>
      <c r="D10" s="65" t="s">
        <v>30</v>
      </c>
      <c r="E10" s="65" t="s">
        <v>31</v>
      </c>
      <c r="F10" s="65" t="s">
        <v>32</v>
      </c>
      <c r="G10" s="65" t="s">
        <v>33</v>
      </c>
      <c r="H10" s="65" t="s">
        <v>34</v>
      </c>
      <c r="I10" s="65" t="s">
        <v>35</v>
      </c>
      <c r="J10" s="65" t="s">
        <v>36</v>
      </c>
      <c r="K10" s="65" t="s">
        <v>37</v>
      </c>
      <c r="L10" s="65" t="s">
        <v>38</v>
      </c>
      <c r="M10" s="65" t="s">
        <v>39</v>
      </c>
      <c r="N10" s="65" t="s">
        <v>40</v>
      </c>
      <c r="O10" s="65" t="s">
        <v>41</v>
      </c>
      <c r="P10" s="65" t="s">
        <v>42</v>
      </c>
      <c r="Q10" s="65" t="s">
        <v>43</v>
      </c>
      <c r="R10" s="65" t="s">
        <v>44</v>
      </c>
      <c r="S10" s="65" t="s">
        <v>45</v>
      </c>
      <c r="T10" s="65" t="s">
        <v>46</v>
      </c>
      <c r="U10" s="65" t="s">
        <v>47</v>
      </c>
      <c r="V10" s="65" t="s">
        <v>48</v>
      </c>
    </row>
    <row r="11" spans="1:22" ht="13.2">
      <c r="A11" s="60">
        <f t="shared" si="0"/>
        <v>3</v>
      </c>
      <c r="B11" s="63" t="s">
        <v>27</v>
      </c>
      <c r="C11" s="60">
        <v>43</v>
      </c>
      <c r="D11" s="60">
        <v>42</v>
      </c>
      <c r="E11" s="60">
        <v>42</v>
      </c>
      <c r="F11" s="60">
        <v>45</v>
      </c>
      <c r="G11" s="60">
        <v>45</v>
      </c>
      <c r="H11" s="60">
        <v>44</v>
      </c>
      <c r="I11" s="60">
        <v>42</v>
      </c>
      <c r="J11" s="60">
        <v>43</v>
      </c>
      <c r="K11" s="60">
        <v>44</v>
      </c>
      <c r="L11" s="60">
        <v>45</v>
      </c>
      <c r="M11" s="60">
        <v>48</v>
      </c>
      <c r="N11" s="60">
        <v>51</v>
      </c>
      <c r="O11" s="60">
        <v>53</v>
      </c>
      <c r="P11" s="60">
        <v>56</v>
      </c>
      <c r="Q11" s="60">
        <v>57</v>
      </c>
      <c r="R11" s="60">
        <v>55</v>
      </c>
      <c r="S11" s="60">
        <v>55</v>
      </c>
      <c r="T11" s="60">
        <v>54</v>
      </c>
      <c r="U11" s="60">
        <v>53</v>
      </c>
      <c r="V11" s="60">
        <v>52</v>
      </c>
    </row>
    <row r="12" spans="1:22" ht="13.2">
      <c r="A12" s="60">
        <f t="shared" si="0"/>
        <v>4</v>
      </c>
      <c r="B12" s="63" t="s">
        <v>66</v>
      </c>
      <c r="C12" s="60">
        <v>45</v>
      </c>
      <c r="D12" s="60">
        <v>40</v>
      </c>
      <c r="E12" s="60">
        <v>45</v>
      </c>
      <c r="F12" s="60">
        <v>41</v>
      </c>
      <c r="G12" s="60">
        <v>39</v>
      </c>
      <c r="H12" s="60">
        <v>39</v>
      </c>
      <c r="I12" s="60">
        <v>42</v>
      </c>
      <c r="J12" s="60">
        <v>40</v>
      </c>
      <c r="K12" s="60">
        <v>40</v>
      </c>
      <c r="L12" s="60">
        <v>46</v>
      </c>
      <c r="M12" s="60">
        <v>51</v>
      </c>
      <c r="N12" s="60">
        <v>56</v>
      </c>
      <c r="O12" s="60">
        <v>60</v>
      </c>
      <c r="P12" s="60">
        <v>61</v>
      </c>
      <c r="Q12" s="60">
        <v>61</v>
      </c>
      <c r="R12" s="60">
        <v>62</v>
      </c>
      <c r="S12" s="60">
        <v>61</v>
      </c>
      <c r="T12" s="60">
        <v>59</v>
      </c>
      <c r="U12" s="60">
        <v>58</v>
      </c>
      <c r="V12" s="60">
        <v>57</v>
      </c>
    </row>
    <row r="13" spans="1:22" ht="13.2">
      <c r="A13" s="60">
        <f t="shared" si="0"/>
        <v>5</v>
      </c>
      <c r="B13" s="63" t="s">
        <v>67</v>
      </c>
      <c r="C13" s="60">
        <v>41</v>
      </c>
      <c r="D13" s="60">
        <v>42</v>
      </c>
      <c r="E13" s="60">
        <v>39</v>
      </c>
      <c r="F13" s="60">
        <v>40</v>
      </c>
      <c r="G13" s="60">
        <v>37</v>
      </c>
      <c r="H13" s="60">
        <v>34</v>
      </c>
      <c r="I13" s="60">
        <v>36</v>
      </c>
      <c r="J13" s="60">
        <v>37</v>
      </c>
      <c r="K13" s="60">
        <v>37</v>
      </c>
      <c r="L13" s="60">
        <v>41</v>
      </c>
      <c r="M13" s="60">
        <v>44</v>
      </c>
      <c r="N13" s="60">
        <v>47</v>
      </c>
      <c r="O13" s="60">
        <v>49</v>
      </c>
      <c r="P13" s="60">
        <v>49</v>
      </c>
      <c r="Q13" s="60">
        <v>50</v>
      </c>
      <c r="R13" s="60">
        <v>51</v>
      </c>
      <c r="S13" s="60">
        <v>51</v>
      </c>
      <c r="T13" s="60">
        <v>50</v>
      </c>
      <c r="U13" s="60">
        <v>48</v>
      </c>
      <c r="V13" s="60">
        <v>47</v>
      </c>
    </row>
    <row r="14" spans="1:22" ht="13.2">
      <c r="A14" s="60">
        <f t="shared" si="0"/>
        <v>6</v>
      </c>
      <c r="B14" s="63" t="s">
        <v>68</v>
      </c>
      <c r="C14" s="60">
        <v>38</v>
      </c>
      <c r="D14" s="60">
        <v>41</v>
      </c>
      <c r="E14" s="60">
        <v>42</v>
      </c>
      <c r="F14" s="60">
        <v>39</v>
      </c>
      <c r="G14" s="60">
        <v>38</v>
      </c>
      <c r="H14" s="60">
        <v>40</v>
      </c>
      <c r="I14" s="60">
        <v>39</v>
      </c>
      <c r="J14" s="60">
        <v>42</v>
      </c>
      <c r="K14" s="60">
        <v>39</v>
      </c>
      <c r="L14" s="60">
        <v>45</v>
      </c>
      <c r="M14" s="60">
        <v>48</v>
      </c>
      <c r="N14" s="60">
        <v>52</v>
      </c>
      <c r="O14" s="60">
        <v>55</v>
      </c>
      <c r="P14" s="60">
        <v>56</v>
      </c>
      <c r="Q14" s="60">
        <v>59</v>
      </c>
      <c r="R14" s="60">
        <v>58</v>
      </c>
      <c r="S14" s="60">
        <v>59</v>
      </c>
      <c r="T14" s="60">
        <v>57</v>
      </c>
      <c r="U14" s="60">
        <v>55</v>
      </c>
      <c r="V14" s="60">
        <v>55</v>
      </c>
    </row>
    <row r="15" spans="1:22" ht="13.2">
      <c r="A15" s="60">
        <f t="shared" si="0"/>
        <v>7</v>
      </c>
      <c r="B15" s="63" t="s">
        <v>70</v>
      </c>
      <c r="C15" s="60">
        <v>36</v>
      </c>
      <c r="D15" s="60">
        <v>33</v>
      </c>
      <c r="E15" s="60">
        <v>32</v>
      </c>
      <c r="F15" s="60">
        <v>33</v>
      </c>
      <c r="G15" s="60">
        <v>31</v>
      </c>
      <c r="H15" s="60">
        <v>31</v>
      </c>
      <c r="I15" s="60">
        <v>33</v>
      </c>
      <c r="J15" s="60">
        <v>32</v>
      </c>
      <c r="K15" s="60">
        <v>32</v>
      </c>
      <c r="L15" s="60">
        <v>33</v>
      </c>
      <c r="M15" s="60">
        <v>36</v>
      </c>
      <c r="N15" s="60">
        <v>40</v>
      </c>
      <c r="O15" s="60">
        <v>43</v>
      </c>
      <c r="P15" s="60">
        <v>44</v>
      </c>
      <c r="Q15" s="60">
        <v>46</v>
      </c>
      <c r="R15" s="60">
        <v>47</v>
      </c>
      <c r="S15" s="60">
        <v>47</v>
      </c>
      <c r="T15" s="60">
        <v>45</v>
      </c>
      <c r="U15" s="60">
        <v>44</v>
      </c>
      <c r="V15" s="60">
        <v>43</v>
      </c>
    </row>
    <row r="16" spans="1:22" ht="13.2">
      <c r="A16" s="60">
        <f t="shared" si="0"/>
        <v>8</v>
      </c>
      <c r="B16" s="63" t="s">
        <v>71</v>
      </c>
      <c r="C16" s="60">
        <v>36</v>
      </c>
      <c r="D16" s="60">
        <v>34</v>
      </c>
      <c r="E16" s="60">
        <v>34</v>
      </c>
      <c r="F16" s="60">
        <v>33</v>
      </c>
      <c r="G16" s="60">
        <v>33</v>
      </c>
      <c r="H16" s="60">
        <v>33</v>
      </c>
      <c r="I16" s="60">
        <v>33</v>
      </c>
      <c r="J16" s="60">
        <v>33</v>
      </c>
      <c r="K16" s="60">
        <v>34</v>
      </c>
      <c r="L16" s="60">
        <v>38</v>
      </c>
      <c r="M16" s="60">
        <v>42</v>
      </c>
      <c r="N16" s="60">
        <v>45</v>
      </c>
      <c r="O16" s="60">
        <v>48</v>
      </c>
      <c r="P16" s="60">
        <v>51</v>
      </c>
      <c r="Q16" s="60">
        <v>52</v>
      </c>
      <c r="R16" s="60">
        <v>52</v>
      </c>
      <c r="S16" s="60">
        <v>50</v>
      </c>
      <c r="T16" s="60">
        <v>49</v>
      </c>
      <c r="U16" s="60">
        <v>47</v>
      </c>
      <c r="V16" s="60">
        <v>44</v>
      </c>
    </row>
    <row r="17" spans="1:22" ht="13.2">
      <c r="A17" s="60">
        <f t="shared" si="0"/>
        <v>9</v>
      </c>
      <c r="B17" s="63" t="s">
        <v>72</v>
      </c>
      <c r="C17" s="60">
        <v>43</v>
      </c>
      <c r="D17" s="60">
        <v>41</v>
      </c>
      <c r="E17" s="60">
        <v>41</v>
      </c>
      <c r="F17" s="60">
        <v>41</v>
      </c>
      <c r="G17" s="60">
        <v>42</v>
      </c>
      <c r="H17" s="60">
        <v>40</v>
      </c>
      <c r="I17" s="60">
        <v>41</v>
      </c>
      <c r="J17" s="60">
        <v>41</v>
      </c>
      <c r="K17" s="60">
        <v>41</v>
      </c>
      <c r="L17" s="60">
        <v>43</v>
      </c>
      <c r="M17" s="60">
        <v>45</v>
      </c>
      <c r="N17" s="60">
        <v>47</v>
      </c>
      <c r="O17" s="60">
        <v>50</v>
      </c>
      <c r="P17" s="60">
        <v>52</v>
      </c>
      <c r="Q17" s="60">
        <v>52</v>
      </c>
      <c r="R17" s="60">
        <v>52</v>
      </c>
      <c r="S17" s="60">
        <v>52</v>
      </c>
      <c r="T17" s="60">
        <v>52</v>
      </c>
      <c r="U17" s="60">
        <v>49</v>
      </c>
      <c r="V17" s="60">
        <v>47</v>
      </c>
    </row>
    <row r="18" spans="1:22" ht="13.2">
      <c r="A18" s="60">
        <f t="shared" si="0"/>
        <v>10</v>
      </c>
      <c r="B18" s="63" t="s">
        <v>75</v>
      </c>
      <c r="C18" s="60">
        <v>39</v>
      </c>
      <c r="D18" s="60">
        <v>33</v>
      </c>
      <c r="E18" s="60">
        <v>33</v>
      </c>
      <c r="F18" s="60">
        <v>32</v>
      </c>
      <c r="G18" s="60">
        <v>30</v>
      </c>
      <c r="H18" s="60">
        <v>31</v>
      </c>
      <c r="I18" s="60">
        <v>31</v>
      </c>
      <c r="J18" s="60">
        <v>32</v>
      </c>
      <c r="K18" s="60">
        <v>32</v>
      </c>
      <c r="L18" s="60">
        <v>32</v>
      </c>
      <c r="M18" s="60">
        <v>36</v>
      </c>
      <c r="N18" s="60">
        <v>39</v>
      </c>
      <c r="O18" s="60">
        <v>41</v>
      </c>
      <c r="P18" s="60">
        <v>41</v>
      </c>
      <c r="Q18" s="60">
        <v>45</v>
      </c>
      <c r="R18" s="60">
        <v>45</v>
      </c>
      <c r="S18" s="60">
        <v>45</v>
      </c>
      <c r="T18" s="60">
        <v>45</v>
      </c>
      <c r="U18" s="60">
        <v>43</v>
      </c>
      <c r="V18" s="60">
        <v>41</v>
      </c>
    </row>
    <row r="19" spans="1:22" ht="13.2">
      <c r="A19" s="60">
        <f t="shared" si="0"/>
        <v>11</v>
      </c>
      <c r="B19" s="63" t="s">
        <v>73</v>
      </c>
      <c r="C19" s="60">
        <v>35</v>
      </c>
      <c r="D19" s="60">
        <v>34</v>
      </c>
      <c r="E19" s="60">
        <v>33</v>
      </c>
      <c r="F19" s="60">
        <v>33</v>
      </c>
      <c r="G19" s="60">
        <v>30</v>
      </c>
      <c r="H19" s="60">
        <v>30</v>
      </c>
      <c r="I19" s="60">
        <v>33</v>
      </c>
      <c r="J19" s="60">
        <v>34</v>
      </c>
      <c r="K19" s="60">
        <v>33</v>
      </c>
      <c r="L19" s="60">
        <v>39</v>
      </c>
      <c r="M19" s="60">
        <v>47</v>
      </c>
      <c r="N19" s="60">
        <v>51</v>
      </c>
      <c r="O19" s="60">
        <v>55</v>
      </c>
      <c r="P19" s="60">
        <v>57</v>
      </c>
      <c r="Q19" s="60">
        <v>59</v>
      </c>
      <c r="R19" s="60">
        <v>59</v>
      </c>
      <c r="S19" s="60">
        <v>58</v>
      </c>
      <c r="T19" s="60">
        <v>58</v>
      </c>
      <c r="U19" s="60">
        <v>56</v>
      </c>
      <c r="V19" s="60">
        <v>53</v>
      </c>
    </row>
    <row r="20" spans="1:22" ht="13.2">
      <c r="A20" s="60">
        <f t="shared" si="0"/>
        <v>12</v>
      </c>
      <c r="B20" s="63" t="s">
        <v>74</v>
      </c>
      <c r="C20" s="60">
        <v>37</v>
      </c>
      <c r="D20" s="60">
        <v>36</v>
      </c>
      <c r="E20" s="60">
        <v>35</v>
      </c>
      <c r="F20" s="60">
        <v>34</v>
      </c>
      <c r="G20" s="60">
        <v>33</v>
      </c>
      <c r="H20" s="60">
        <v>31</v>
      </c>
      <c r="I20" s="60">
        <v>31</v>
      </c>
      <c r="J20" s="60">
        <v>31</v>
      </c>
      <c r="K20" s="60">
        <v>31</v>
      </c>
      <c r="L20" s="60">
        <v>33</v>
      </c>
      <c r="M20" s="60">
        <v>37</v>
      </c>
      <c r="N20" s="60">
        <v>42</v>
      </c>
      <c r="O20" s="60">
        <v>47</v>
      </c>
      <c r="P20" s="60">
        <v>50</v>
      </c>
      <c r="Q20" s="60">
        <v>51</v>
      </c>
      <c r="R20" s="60">
        <v>53</v>
      </c>
      <c r="S20" s="60">
        <v>53</v>
      </c>
      <c r="T20" s="60">
        <v>51</v>
      </c>
      <c r="U20" s="60">
        <v>48</v>
      </c>
      <c r="V20" s="60">
        <v>47</v>
      </c>
    </row>
    <row r="21" spans="1:1" ht="13.2">
      <c r="A21" s="60">
        <f t="shared" si="0"/>
        <v>13</v>
      </c>
    </row>
    <row r="22" spans="1:1" ht="13.2">
      <c r="A22" s="60">
        <f t="shared" si="0"/>
        <v>14</v>
      </c>
    </row>
    <row r="23" spans="1:21" ht="13.2">
      <c r="A23" s="60">
        <f t="shared" si="0"/>
        <v>15</v>
      </c>
      <c r="B23" s="65" t="s">
        <v>69</v>
      </c>
      <c r="C23" s="65" t="s">
        <v>49</v>
      </c>
      <c r="D23" s="65" t="s">
        <v>50</v>
      </c>
      <c r="E23" s="65" t="s">
        <v>51</v>
      </c>
      <c r="F23" s="65" t="s">
        <v>52</v>
      </c>
      <c r="G23" s="65" t="s">
        <v>53</v>
      </c>
      <c r="H23" s="65" t="s">
        <v>99</v>
      </c>
      <c r="I23" s="65" t="s">
        <v>60</v>
      </c>
      <c r="J23" s="65" t="s">
        <v>61</v>
      </c>
      <c r="K23" s="65" t="s">
        <v>110</v>
      </c>
      <c r="L23" s="65" t="s">
        <v>62</v>
      </c>
      <c r="M23" s="80" t="s">
        <v>118</v>
      </c>
      <c r="N23" s="80" t="s">
        <v>90</v>
      </c>
      <c r="O23" s="80" t="s">
        <v>119</v>
      </c>
      <c r="P23" s="80" t="s">
        <v>104</v>
      </c>
      <c r="Q23" s="64" t="s">
        <v>63</v>
      </c>
      <c r="R23" s="64" t="s">
        <v>64</v>
      </c>
      <c r="S23" s="64" t="s">
        <v>65</v>
      </c>
      <c r="T23" s="64" t="s">
        <v>91</v>
      </c>
      <c r="U23" s="64" t="s">
        <v>112</v>
      </c>
    </row>
    <row r="24" spans="1:36" ht="13.2">
      <c r="A24" s="60">
        <f t="shared" si="0"/>
        <v>16</v>
      </c>
      <c r="B24" s="63" t="s">
        <v>27</v>
      </c>
      <c r="C24" s="60">
        <v>49</v>
      </c>
      <c r="D24" s="60">
        <v>46</v>
      </c>
      <c r="E24" s="60">
        <v>45</v>
      </c>
      <c r="F24" s="60">
        <v>45</v>
      </c>
      <c r="G24" s="62">
        <f>ROUND(AVERAGE(C11:V11,C24:F24),1)</f>
        <v>48.100000000000001</v>
      </c>
      <c r="H24" s="62">
        <f t="shared" si="1" ref="H24:H33">MAX(40-$G24,0)</f>
        <v>0</v>
      </c>
      <c r="I24" s="62">
        <f t="shared" si="2" ref="I24:I33">MAX(45-$G24,0)</f>
        <v>0</v>
      </c>
      <c r="J24" s="62">
        <f t="shared" si="3" ref="J24:J33">MAX(50-$G24,0)</f>
        <v>1.8999999999999986</v>
      </c>
      <c r="K24" s="62">
        <f t="shared" si="4" ref="K24:K33">MAX(55-$G24,0)</f>
        <v>6.8999999999999986</v>
      </c>
      <c r="L24" s="62">
        <f t="shared" si="5" ref="L24:L33">MAX(60-$G24,0)</f>
        <v>11.899999999999999</v>
      </c>
      <c r="M24" s="62">
        <f t="shared" si="6" ref="M24:M33">MAX(65-$G24,0)</f>
        <v>16.899999999999999</v>
      </c>
      <c r="N24" s="62">
        <f t="shared" si="7" ref="N24:N33">MAX($G24-50,0)</f>
        <v>0</v>
      </c>
      <c r="O24" s="62">
        <f t="shared" si="8" ref="O24:O33">MAX($G24-55,0)</f>
        <v>0</v>
      </c>
      <c r="P24" s="62">
        <f t="shared" si="9" ref="P24:P33">MAX($G24-60,0)</f>
        <v>0</v>
      </c>
      <c r="Q24" s="62">
        <f t="shared" si="10" ref="Q24:Q33">MAX($G24-65,0)</f>
        <v>0</v>
      </c>
      <c r="R24" s="62">
        <f t="shared" si="11" ref="R24:R33">MAX($G24-70,0)</f>
        <v>0</v>
      </c>
      <c r="S24" s="62">
        <f t="shared" si="12" ref="S24:S33">MAX($G24-75,0)</f>
        <v>0</v>
      </c>
      <c r="T24" s="62">
        <f t="shared" si="13" ref="T24:T33">MAX($G24-80,0)</f>
        <v>0</v>
      </c>
      <c r="U24" s="62">
        <f t="shared" si="14" ref="U24:U33">MAX($G24-85,0)</f>
        <v>0</v>
      </c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2"/>
    </row>
    <row r="25" spans="1:21" ht="13.2">
      <c r="A25" s="60">
        <f t="shared" si="0"/>
        <v>17</v>
      </c>
      <c r="B25" s="63" t="s">
        <v>66</v>
      </c>
      <c r="C25" s="60">
        <v>56</v>
      </c>
      <c r="D25" s="60">
        <v>55</v>
      </c>
      <c r="E25" s="60">
        <v>54</v>
      </c>
      <c r="F25" s="60">
        <v>52</v>
      </c>
      <c r="G25" s="62">
        <f t="shared" si="15" ref="G25:G33">ROUND(AVERAGE(C12:V12,C25:F25),1)</f>
        <v>50.799999999999997</v>
      </c>
      <c r="H25" s="62">
        <f t="shared" si="1"/>
        <v>0</v>
      </c>
      <c r="I25" s="62">
        <f t="shared" si="2"/>
        <v>0</v>
      </c>
      <c r="J25" s="62">
        <f t="shared" si="3"/>
        <v>0</v>
      </c>
      <c r="K25" s="62">
        <f t="shared" si="4"/>
        <v>4.2000000000000028</v>
      </c>
      <c r="L25" s="62">
        <f t="shared" si="5"/>
        <v>9.2000000000000028</v>
      </c>
      <c r="M25" s="62">
        <f t="shared" si="6"/>
        <v>14.200000000000003</v>
      </c>
      <c r="N25" s="62">
        <f t="shared" si="7"/>
        <v>0.79999999999999716</v>
      </c>
      <c r="O25" s="62">
        <f t="shared" si="8"/>
        <v>0</v>
      </c>
      <c r="P25" s="62">
        <f t="shared" si="9"/>
        <v>0</v>
      </c>
      <c r="Q25" s="62">
        <f t="shared" si="10"/>
        <v>0</v>
      </c>
      <c r="R25" s="62">
        <f t="shared" si="11"/>
        <v>0</v>
      </c>
      <c r="S25" s="62">
        <f t="shared" si="12"/>
        <v>0</v>
      </c>
      <c r="T25" s="62">
        <f t="shared" si="13"/>
        <v>0</v>
      </c>
      <c r="U25" s="62">
        <f t="shared" si="14"/>
        <v>0</v>
      </c>
    </row>
    <row r="26" spans="1:21" ht="13.2">
      <c r="A26" s="60">
        <f t="shared" si="0"/>
        <v>18</v>
      </c>
      <c r="B26" s="63" t="s">
        <v>67</v>
      </c>
      <c r="C26" s="60">
        <v>46</v>
      </c>
      <c r="D26" s="60">
        <v>46</v>
      </c>
      <c r="E26" s="60">
        <v>44</v>
      </c>
      <c r="F26" s="60">
        <v>43</v>
      </c>
      <c r="G26" s="62">
        <f t="shared" si="15"/>
        <v>43.700000000000003</v>
      </c>
      <c r="H26" s="62">
        <f t="shared" si="1"/>
        <v>0</v>
      </c>
      <c r="I26" s="62">
        <f t="shared" si="2"/>
        <v>1.2999999999999972</v>
      </c>
      <c r="J26" s="62">
        <f t="shared" si="3"/>
        <v>6.2999999999999972</v>
      </c>
      <c r="K26" s="62">
        <f t="shared" si="4"/>
        <v>11.299999999999997</v>
      </c>
      <c r="L26" s="62">
        <f t="shared" si="5"/>
        <v>16.299999999999997</v>
      </c>
      <c r="M26" s="62">
        <f t="shared" si="6"/>
        <v>21.299999999999997</v>
      </c>
      <c r="N26" s="62">
        <f t="shared" si="7"/>
        <v>0</v>
      </c>
      <c r="O26" s="62">
        <f t="shared" si="8"/>
        <v>0</v>
      </c>
      <c r="P26" s="62">
        <f t="shared" si="9"/>
        <v>0</v>
      </c>
      <c r="Q26" s="62">
        <f t="shared" si="10"/>
        <v>0</v>
      </c>
      <c r="R26" s="62">
        <f t="shared" si="11"/>
        <v>0</v>
      </c>
      <c r="S26" s="62">
        <f t="shared" si="12"/>
        <v>0</v>
      </c>
      <c r="T26" s="62">
        <f t="shared" si="13"/>
        <v>0</v>
      </c>
      <c r="U26" s="62">
        <f t="shared" si="14"/>
        <v>0</v>
      </c>
    </row>
    <row r="27" spans="1:21" ht="13.2">
      <c r="A27" s="60">
        <f t="shared" si="0"/>
        <v>19</v>
      </c>
      <c r="B27" s="63" t="s">
        <v>68</v>
      </c>
      <c r="C27" s="60">
        <v>54</v>
      </c>
      <c r="D27" s="60">
        <v>53</v>
      </c>
      <c r="E27" s="60">
        <v>49</v>
      </c>
      <c r="F27" s="60">
        <v>49</v>
      </c>
      <c r="G27" s="62">
        <f t="shared" si="15"/>
        <v>48.399999999999999</v>
      </c>
      <c r="H27" s="62">
        <f t="shared" si="1"/>
        <v>0</v>
      </c>
      <c r="I27" s="62">
        <f t="shared" si="2"/>
        <v>0</v>
      </c>
      <c r="J27" s="62">
        <f t="shared" si="3"/>
        <v>1.6000000000000014</v>
      </c>
      <c r="K27" s="62">
        <f t="shared" si="4"/>
        <v>6.6000000000000014</v>
      </c>
      <c r="L27" s="62">
        <f t="shared" si="5"/>
        <v>11.600000000000001</v>
      </c>
      <c r="M27" s="62">
        <f t="shared" si="6"/>
        <v>16.600000000000001</v>
      </c>
      <c r="N27" s="62">
        <f t="shared" si="7"/>
        <v>0</v>
      </c>
      <c r="O27" s="62">
        <f t="shared" si="8"/>
        <v>0</v>
      </c>
      <c r="P27" s="62">
        <f t="shared" si="9"/>
        <v>0</v>
      </c>
      <c r="Q27" s="62">
        <f t="shared" si="10"/>
        <v>0</v>
      </c>
      <c r="R27" s="62">
        <f t="shared" si="11"/>
        <v>0</v>
      </c>
      <c r="S27" s="62">
        <f t="shared" si="12"/>
        <v>0</v>
      </c>
      <c r="T27" s="62">
        <f t="shared" si="13"/>
        <v>0</v>
      </c>
      <c r="U27" s="62">
        <f t="shared" si="14"/>
        <v>0</v>
      </c>
    </row>
    <row r="28" spans="1:21" ht="13.2">
      <c r="A28" s="60">
        <f t="shared" si="0"/>
        <v>20</v>
      </c>
      <c r="B28" s="63" t="s">
        <v>70</v>
      </c>
      <c r="C28" s="60">
        <v>43</v>
      </c>
      <c r="D28" s="60">
        <v>43</v>
      </c>
      <c r="E28" s="60">
        <v>42</v>
      </c>
      <c r="F28" s="60">
        <v>41</v>
      </c>
      <c r="G28" s="62">
        <f t="shared" si="15"/>
        <v>38.799999999999997</v>
      </c>
      <c r="H28" s="62">
        <f t="shared" si="1"/>
        <v>1.2000000000000028</v>
      </c>
      <c r="I28" s="62">
        <f t="shared" si="2"/>
        <v>6.2000000000000028</v>
      </c>
      <c r="J28" s="62">
        <f t="shared" si="3"/>
        <v>11.200000000000003</v>
      </c>
      <c r="K28" s="62">
        <f t="shared" si="4"/>
        <v>16.200000000000003</v>
      </c>
      <c r="L28" s="62">
        <f t="shared" si="5"/>
        <v>21.200000000000003</v>
      </c>
      <c r="M28" s="62">
        <f t="shared" si="6"/>
        <v>26.200000000000003</v>
      </c>
      <c r="N28" s="62">
        <f t="shared" si="7"/>
        <v>0</v>
      </c>
      <c r="O28" s="62">
        <f t="shared" si="8"/>
        <v>0</v>
      </c>
      <c r="P28" s="62">
        <f t="shared" si="9"/>
        <v>0</v>
      </c>
      <c r="Q28" s="62">
        <f t="shared" si="10"/>
        <v>0</v>
      </c>
      <c r="R28" s="62">
        <f t="shared" si="11"/>
        <v>0</v>
      </c>
      <c r="S28" s="62">
        <f t="shared" si="12"/>
        <v>0</v>
      </c>
      <c r="T28" s="62">
        <f t="shared" si="13"/>
        <v>0</v>
      </c>
      <c r="U28" s="62">
        <f t="shared" si="14"/>
        <v>0</v>
      </c>
    </row>
    <row r="29" spans="1:21" ht="13.2">
      <c r="A29" s="60">
        <f t="shared" si="0"/>
        <v>21</v>
      </c>
      <c r="B29" s="63" t="s">
        <v>71</v>
      </c>
      <c r="C29" s="60">
        <v>43</v>
      </c>
      <c r="D29" s="60">
        <v>44</v>
      </c>
      <c r="E29" s="60">
        <v>44</v>
      </c>
      <c r="F29" s="60">
        <v>43</v>
      </c>
      <c r="G29" s="62">
        <f t="shared" si="15"/>
        <v>41.5</v>
      </c>
      <c r="H29" s="62">
        <f t="shared" si="1"/>
        <v>0</v>
      </c>
      <c r="I29" s="62">
        <f t="shared" si="2"/>
        <v>3.5</v>
      </c>
      <c r="J29" s="62">
        <f t="shared" si="3"/>
        <v>8.5</v>
      </c>
      <c r="K29" s="62">
        <f t="shared" si="4"/>
        <v>13.5</v>
      </c>
      <c r="L29" s="62">
        <f t="shared" si="5"/>
        <v>18.5</v>
      </c>
      <c r="M29" s="62">
        <f t="shared" si="6"/>
        <v>23.5</v>
      </c>
      <c r="N29" s="62">
        <f t="shared" si="7"/>
        <v>0</v>
      </c>
      <c r="O29" s="62">
        <f t="shared" si="8"/>
        <v>0</v>
      </c>
      <c r="P29" s="62">
        <f t="shared" si="9"/>
        <v>0</v>
      </c>
      <c r="Q29" s="62">
        <f t="shared" si="10"/>
        <v>0</v>
      </c>
      <c r="R29" s="62">
        <f t="shared" si="11"/>
        <v>0</v>
      </c>
      <c r="S29" s="62">
        <f t="shared" si="12"/>
        <v>0</v>
      </c>
      <c r="T29" s="62">
        <f t="shared" si="13"/>
        <v>0</v>
      </c>
      <c r="U29" s="62">
        <f t="shared" si="14"/>
        <v>0</v>
      </c>
    </row>
    <row r="30" spans="1:21" ht="13.2">
      <c r="A30" s="60">
        <f t="shared" si="0"/>
        <v>22</v>
      </c>
      <c r="B30" s="63" t="s">
        <v>72</v>
      </c>
      <c r="C30" s="60">
        <v>47</v>
      </c>
      <c r="D30" s="60">
        <v>47</v>
      </c>
      <c r="E30" s="60">
        <v>47</v>
      </c>
      <c r="F30" s="60">
        <v>47</v>
      </c>
      <c r="G30" s="62">
        <f t="shared" si="15"/>
        <v>45.799999999999997</v>
      </c>
      <c r="H30" s="62">
        <f t="shared" si="1"/>
        <v>0</v>
      </c>
      <c r="I30" s="62">
        <f t="shared" si="2"/>
        <v>0</v>
      </c>
      <c r="J30" s="62">
        <f t="shared" si="3"/>
        <v>4.2000000000000028</v>
      </c>
      <c r="K30" s="62">
        <f t="shared" si="4"/>
        <v>9.2000000000000028</v>
      </c>
      <c r="L30" s="62">
        <f t="shared" si="5"/>
        <v>14.200000000000003</v>
      </c>
      <c r="M30" s="62">
        <f t="shared" si="6"/>
        <v>19.200000000000003</v>
      </c>
      <c r="N30" s="62">
        <f t="shared" si="7"/>
        <v>0</v>
      </c>
      <c r="O30" s="62">
        <f t="shared" si="8"/>
        <v>0</v>
      </c>
      <c r="P30" s="62">
        <f t="shared" si="9"/>
        <v>0</v>
      </c>
      <c r="Q30" s="62">
        <f t="shared" si="10"/>
        <v>0</v>
      </c>
      <c r="R30" s="62">
        <f t="shared" si="11"/>
        <v>0</v>
      </c>
      <c r="S30" s="62">
        <f t="shared" si="12"/>
        <v>0</v>
      </c>
      <c r="T30" s="62">
        <f t="shared" si="13"/>
        <v>0</v>
      </c>
      <c r="U30" s="62">
        <f t="shared" si="14"/>
        <v>0</v>
      </c>
    </row>
    <row r="31" spans="1:21" ht="13.2">
      <c r="A31" s="60">
        <f t="shared" si="0"/>
        <v>23</v>
      </c>
      <c r="B31" s="63" t="s">
        <v>75</v>
      </c>
      <c r="C31" s="60">
        <v>41</v>
      </c>
      <c r="D31" s="60">
        <v>42</v>
      </c>
      <c r="E31" s="60">
        <v>42</v>
      </c>
      <c r="F31" s="60">
        <v>41</v>
      </c>
      <c r="G31" s="62">
        <f t="shared" si="15"/>
        <v>38</v>
      </c>
      <c r="H31" s="62">
        <f t="shared" si="1"/>
        <v>2</v>
      </c>
      <c r="I31" s="62">
        <f t="shared" si="2"/>
        <v>7</v>
      </c>
      <c r="J31" s="62">
        <f t="shared" si="3"/>
        <v>12</v>
      </c>
      <c r="K31" s="62">
        <f t="shared" si="4"/>
        <v>17</v>
      </c>
      <c r="L31" s="62">
        <f t="shared" si="5"/>
        <v>22</v>
      </c>
      <c r="M31" s="62">
        <f t="shared" si="6"/>
        <v>27</v>
      </c>
      <c r="N31" s="62">
        <f t="shared" si="7"/>
        <v>0</v>
      </c>
      <c r="O31" s="62">
        <f t="shared" si="8"/>
        <v>0</v>
      </c>
      <c r="P31" s="62">
        <f t="shared" si="9"/>
        <v>0</v>
      </c>
      <c r="Q31" s="62">
        <f t="shared" si="10"/>
        <v>0</v>
      </c>
      <c r="R31" s="62">
        <f t="shared" si="11"/>
        <v>0</v>
      </c>
      <c r="S31" s="62">
        <f t="shared" si="12"/>
        <v>0</v>
      </c>
      <c r="T31" s="62">
        <f t="shared" si="13"/>
        <v>0</v>
      </c>
      <c r="U31" s="62">
        <f t="shared" si="14"/>
        <v>0</v>
      </c>
    </row>
    <row r="32" spans="1:21" ht="13.2">
      <c r="A32" s="60">
        <f t="shared" si="0"/>
        <v>24</v>
      </c>
      <c r="B32" s="63" t="s">
        <v>73</v>
      </c>
      <c r="C32" s="60">
        <v>51</v>
      </c>
      <c r="D32" s="60">
        <v>51</v>
      </c>
      <c r="E32" s="60">
        <v>50</v>
      </c>
      <c r="F32" s="60">
        <v>47</v>
      </c>
      <c r="G32" s="62">
        <f t="shared" si="15"/>
        <v>45.299999999999997</v>
      </c>
      <c r="H32" s="62">
        <f t="shared" si="1"/>
        <v>0</v>
      </c>
      <c r="I32" s="62">
        <f t="shared" si="2"/>
        <v>0</v>
      </c>
      <c r="J32" s="62">
        <f t="shared" si="3"/>
        <v>4.7000000000000028</v>
      </c>
      <c r="K32" s="62">
        <f t="shared" si="4"/>
        <v>9.7000000000000028</v>
      </c>
      <c r="L32" s="62">
        <f t="shared" si="5"/>
        <v>14.700000000000003</v>
      </c>
      <c r="M32" s="62">
        <f t="shared" si="6"/>
        <v>19.700000000000003</v>
      </c>
      <c r="N32" s="62">
        <f t="shared" si="7"/>
        <v>0</v>
      </c>
      <c r="O32" s="62">
        <f t="shared" si="8"/>
        <v>0</v>
      </c>
      <c r="P32" s="62">
        <f t="shared" si="9"/>
        <v>0</v>
      </c>
      <c r="Q32" s="62">
        <f t="shared" si="10"/>
        <v>0</v>
      </c>
      <c r="R32" s="62">
        <f t="shared" si="11"/>
        <v>0</v>
      </c>
      <c r="S32" s="62">
        <f t="shared" si="12"/>
        <v>0</v>
      </c>
      <c r="T32" s="62">
        <f t="shared" si="13"/>
        <v>0</v>
      </c>
      <c r="U32" s="62">
        <f t="shared" si="14"/>
        <v>0</v>
      </c>
    </row>
    <row r="33" spans="1:21" ht="13.2">
      <c r="A33" s="60">
        <f t="shared" si="0"/>
        <v>25</v>
      </c>
      <c r="B33" s="63" t="s">
        <v>74</v>
      </c>
      <c r="C33" s="60">
        <v>44</v>
      </c>
      <c r="D33" s="60">
        <v>43</v>
      </c>
      <c r="E33" s="60">
        <v>43</v>
      </c>
      <c r="F33" s="60">
        <v>42</v>
      </c>
      <c r="G33" s="62">
        <f t="shared" si="15"/>
        <v>41</v>
      </c>
      <c r="H33" s="62">
        <f t="shared" si="1"/>
        <v>0</v>
      </c>
      <c r="I33" s="62">
        <f t="shared" si="2"/>
        <v>4</v>
      </c>
      <c r="J33" s="62">
        <f t="shared" si="3"/>
        <v>9</v>
      </c>
      <c r="K33" s="62">
        <f t="shared" si="4"/>
        <v>14</v>
      </c>
      <c r="L33" s="62">
        <f t="shared" si="5"/>
        <v>19</v>
      </c>
      <c r="M33" s="62">
        <f t="shared" si="6"/>
        <v>24</v>
      </c>
      <c r="N33" s="62">
        <f t="shared" si="7"/>
        <v>0</v>
      </c>
      <c r="O33" s="62">
        <f t="shared" si="8"/>
        <v>0</v>
      </c>
      <c r="P33" s="62">
        <f t="shared" si="9"/>
        <v>0</v>
      </c>
      <c r="Q33" s="62">
        <f t="shared" si="10"/>
        <v>0</v>
      </c>
      <c r="R33" s="62">
        <f t="shared" si="11"/>
        <v>0</v>
      </c>
      <c r="S33" s="62">
        <f t="shared" si="12"/>
        <v>0</v>
      </c>
      <c r="T33" s="62">
        <f t="shared" si="13"/>
        <v>0</v>
      </c>
      <c r="U33" s="62">
        <f t="shared" si="14"/>
        <v>0</v>
      </c>
    </row>
  </sheetData>
  <mergeCells count="6">
    <mergeCell ref="B9:T9"/>
    <mergeCell ref="B1:T1"/>
    <mergeCell ref="B2:T2"/>
    <mergeCell ref="B3:T3"/>
    <mergeCell ref="B4:T4"/>
    <mergeCell ref="B6:T6"/>
  </mergeCells>
  <pageMargins left="0.75" right="0.75" top="1" bottom="1" header="0.5" footer="0.5"/>
  <pageSetup orientation="portrait" scale="56" r:id="rId1"/>
  <headerFooter alignWithMargins="0">
    <oddHeader>&amp;RSchedule II-H-5.1
Page &amp;P of  28</oddHead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pageSetUpPr fitToPage="1"/>
  </sheetPr>
  <dimension ref="A1:AJ33"/>
  <sheetViews>
    <sheetView workbookViewId="0" topLeftCell="A1"/>
  </sheetViews>
  <sheetFormatPr defaultRowHeight="13.5"/>
  <cols>
    <col min="1" max="1" width="9.14285714285714" customWidth="1"/>
    <col min="2" max="2" width="15.7142857142857" style="9" bestFit="1" customWidth="1"/>
    <col min="3" max="6" width="5.42857142857143" bestFit="1" customWidth="1"/>
    <col min="7" max="7" width="10.7142857142857" bestFit="1" customWidth="1"/>
    <col min="8" max="14" width="6.85714285714286" bestFit="1" customWidth="1"/>
    <col min="15" max="23" width="7" bestFit="1" customWidth="1"/>
    <col min="24" max="29" width="11.4285714285714" customWidth="1"/>
  </cols>
  <sheetData>
    <row r="1" spans="2:29" s="2" customFormat="1" ht="15.6">
      <c r="B1" s="82" t="str">
        <f>+Base40h!B1</f>
        <v xml:space="preserve">PUC DOCKET NO. </v>
      </c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9"/>
      <c r="V1" s="9"/>
      <c r="W1" s="9"/>
      <c r="X1" s="9"/>
      <c r="Y1" s="9"/>
      <c r="Z1" s="9"/>
      <c r="AA1" s="9"/>
      <c r="AB1" s="9"/>
      <c r="AC1" s="9"/>
    </row>
    <row r="2" spans="2:29" s="2" customFormat="1" ht="15.6">
      <c r="B2" s="82" t="str">
        <f>+Base40h!B2</f>
        <v>ONCOR ELECTRIC DELIVERY COMPANY LLC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9"/>
      <c r="V2" s="9"/>
      <c r="W2" s="9"/>
      <c r="X2" s="9"/>
      <c r="Y2" s="9"/>
      <c r="Z2" s="9"/>
      <c r="AA2" s="9"/>
      <c r="AB2" s="9"/>
      <c r="AC2" s="9"/>
    </row>
    <row r="3" spans="2:29" s="2" customFormat="1" ht="15.6">
      <c r="B3" s="82" t="str">
        <f>+Base40h!B3</f>
        <v>WEATHER STATION DATA</v>
      </c>
      <c r="C3" s="86"/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9"/>
      <c r="V3" s="9"/>
      <c r="W3" s="9"/>
      <c r="X3" s="9"/>
      <c r="Y3" s="9"/>
      <c r="Z3" s="9"/>
      <c r="AA3" s="9"/>
      <c r="AB3" s="9"/>
      <c r="AC3" s="9"/>
    </row>
    <row r="4" spans="2:29" s="2" customFormat="1" ht="15.6">
      <c r="B4" s="82" t="str">
        <f>+Base40h!B4</f>
        <v>FOR THE TEST YEAR ENDING DECEMBER 31, 2021</v>
      </c>
      <c r="C4" s="86"/>
      <c r="D4" s="86"/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U4" s="9"/>
      <c r="V4" s="9"/>
      <c r="W4" s="9"/>
      <c r="X4" s="9"/>
      <c r="Y4" s="9"/>
      <c r="Z4" s="9"/>
      <c r="AA4" s="9"/>
      <c r="AB4" s="9"/>
      <c r="AC4" s="9"/>
    </row>
    <row r="5" spans="2:29" s="2" customFormat="1" ht="11.4">
      <c r="B5" s="1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 spans="2:29" s="2" customFormat="1" ht="15.6">
      <c r="B6" s="82" t="str">
        <f>+Base40h!B6</f>
        <v>SPONSOR: D. E. NELSON</v>
      </c>
      <c r="C6" s="86"/>
      <c r="D6" s="86"/>
      <c r="E6" s="86"/>
      <c r="F6" s="86"/>
      <c r="G6" s="86"/>
      <c r="H6" s="86"/>
      <c r="I6" s="86"/>
      <c r="J6" s="86"/>
      <c r="K6" s="86"/>
      <c r="L6" s="86"/>
      <c r="M6" s="86"/>
      <c r="N6" s="86"/>
      <c r="O6" s="86"/>
      <c r="P6" s="86"/>
      <c r="Q6" s="86"/>
      <c r="R6" s="86"/>
      <c r="S6" s="86"/>
      <c r="T6" s="86"/>
      <c r="U6" s="9"/>
      <c r="V6" s="9"/>
      <c r="W6" s="9"/>
      <c r="X6" s="9"/>
      <c r="Y6" s="9"/>
      <c r="Z6" s="9"/>
      <c r="AA6" s="9"/>
      <c r="AB6" s="9"/>
      <c r="AC6" s="9"/>
    </row>
    <row r="7" spans="1:1" ht="24" thickBot="1">
      <c r="A7" s="3" t="s">
        <v>4</v>
      </c>
    </row>
    <row r="9" spans="1:20" ht="13.2">
      <c r="A9">
        <v>1</v>
      </c>
      <c r="B9" s="85" t="s">
        <v>122</v>
      </c>
      <c r="C9" s="86"/>
      <c r="D9" s="86"/>
      <c r="E9" s="86"/>
      <c r="F9" s="86"/>
      <c r="G9" s="86"/>
      <c r="H9" s="86"/>
      <c r="I9" s="86"/>
      <c r="J9" s="86"/>
      <c r="K9" s="86"/>
      <c r="L9" s="86"/>
      <c r="M9" s="86"/>
      <c r="N9" s="86"/>
      <c r="O9" s="86"/>
      <c r="P9" s="86"/>
      <c r="Q9" s="86"/>
      <c r="R9" s="86"/>
      <c r="S9" s="86"/>
      <c r="T9" s="86"/>
    </row>
    <row r="10" spans="1:22" s="10" customFormat="1" ht="13.2">
      <c r="A10">
        <f>+A9+1</f>
        <v>2</v>
      </c>
      <c r="B10" s="10" t="s">
        <v>69</v>
      </c>
      <c r="C10" s="10" t="s">
        <v>29</v>
      </c>
      <c r="D10" s="10" t="s">
        <v>30</v>
      </c>
      <c r="E10" s="10" t="s">
        <v>31</v>
      </c>
      <c r="F10" s="10" t="s">
        <v>32</v>
      </c>
      <c r="G10" s="10" t="s">
        <v>33</v>
      </c>
      <c r="H10" s="10" t="s">
        <v>34</v>
      </c>
      <c r="I10" s="10" t="s">
        <v>35</v>
      </c>
      <c r="J10" s="10" t="s">
        <v>36</v>
      </c>
      <c r="K10" s="10" t="s">
        <v>37</v>
      </c>
      <c r="L10" s="10" t="s">
        <v>38</v>
      </c>
      <c r="M10" s="10" t="s">
        <v>39</v>
      </c>
      <c r="N10" s="10" t="s">
        <v>40</v>
      </c>
      <c r="O10" s="10" t="s">
        <v>41</v>
      </c>
      <c r="P10" s="10" t="s">
        <v>42</v>
      </c>
      <c r="Q10" s="10" t="s">
        <v>43</v>
      </c>
      <c r="R10" s="10" t="s">
        <v>44</v>
      </c>
      <c r="S10" s="10" t="s">
        <v>45</v>
      </c>
      <c r="T10" s="10" t="s">
        <v>46</v>
      </c>
      <c r="U10" s="58" t="s">
        <v>47</v>
      </c>
      <c r="V10" s="58" t="s">
        <v>48</v>
      </c>
    </row>
    <row r="11" spans="1:22" ht="13.2">
      <c r="A11">
        <f t="shared" si="0" ref="A11:A33">+A10+1</f>
        <v>3</v>
      </c>
      <c r="B11" s="21" t="s">
        <v>27</v>
      </c>
      <c r="C11">
        <v>81</v>
      </c>
      <c r="D11">
        <v>80</v>
      </c>
      <c r="E11">
        <v>80</v>
      </c>
      <c r="F11">
        <v>78</v>
      </c>
      <c r="G11">
        <v>78</v>
      </c>
      <c r="H11">
        <v>75</v>
      </c>
      <c r="I11">
        <v>74</v>
      </c>
      <c r="J11">
        <v>77</v>
      </c>
      <c r="K11">
        <v>79</v>
      </c>
      <c r="L11">
        <v>82</v>
      </c>
      <c r="M11">
        <v>86</v>
      </c>
      <c r="N11">
        <v>90</v>
      </c>
      <c r="O11">
        <v>91</v>
      </c>
      <c r="P11">
        <v>94</v>
      </c>
      <c r="Q11">
        <v>94</v>
      </c>
      <c r="R11">
        <v>96</v>
      </c>
      <c r="S11">
        <v>95</v>
      </c>
      <c r="T11">
        <v>94</v>
      </c>
      <c r="U11">
        <v>95</v>
      </c>
      <c r="V11">
        <v>93</v>
      </c>
    </row>
    <row r="12" spans="1:22" ht="13.2">
      <c r="A12">
        <f t="shared" si="0"/>
        <v>4</v>
      </c>
      <c r="B12" s="21" t="s">
        <v>66</v>
      </c>
      <c r="C12">
        <v>78</v>
      </c>
      <c r="D12">
        <v>77</v>
      </c>
      <c r="E12">
        <v>75</v>
      </c>
      <c r="F12">
        <v>73</v>
      </c>
      <c r="G12">
        <v>73</v>
      </c>
      <c r="H12">
        <v>73</v>
      </c>
      <c r="I12">
        <v>73</v>
      </c>
      <c r="J12">
        <v>78</v>
      </c>
      <c r="K12">
        <v>82</v>
      </c>
      <c r="L12">
        <v>84</v>
      </c>
      <c r="M12">
        <v>87</v>
      </c>
      <c r="N12">
        <v>89</v>
      </c>
      <c r="O12">
        <v>91</v>
      </c>
      <c r="P12">
        <v>94</v>
      </c>
      <c r="Q12">
        <v>96</v>
      </c>
      <c r="R12">
        <v>95</v>
      </c>
      <c r="S12">
        <v>98</v>
      </c>
      <c r="T12">
        <v>97</v>
      </c>
      <c r="U12">
        <v>96</v>
      </c>
      <c r="V12">
        <v>93</v>
      </c>
    </row>
    <row r="13" spans="1:22" ht="13.2">
      <c r="A13">
        <f t="shared" si="0"/>
        <v>5</v>
      </c>
      <c r="B13" s="21" t="s">
        <v>67</v>
      </c>
      <c r="C13">
        <v>84</v>
      </c>
      <c r="D13">
        <v>83</v>
      </c>
      <c r="E13">
        <v>82</v>
      </c>
      <c r="F13">
        <v>81</v>
      </c>
      <c r="G13">
        <v>79</v>
      </c>
      <c r="H13">
        <v>78</v>
      </c>
      <c r="I13">
        <v>78</v>
      </c>
      <c r="J13">
        <v>81</v>
      </c>
      <c r="K13">
        <v>84</v>
      </c>
      <c r="L13">
        <v>86</v>
      </c>
      <c r="M13">
        <v>88</v>
      </c>
      <c r="N13">
        <v>91</v>
      </c>
      <c r="O13">
        <v>92</v>
      </c>
      <c r="P13">
        <v>93</v>
      </c>
      <c r="Q13">
        <v>95</v>
      </c>
      <c r="R13">
        <v>94</v>
      </c>
      <c r="S13">
        <v>95</v>
      </c>
      <c r="T13">
        <v>94</v>
      </c>
      <c r="U13">
        <v>93</v>
      </c>
      <c r="V13">
        <v>91</v>
      </c>
    </row>
    <row r="14" spans="1:22" ht="13.2">
      <c r="A14">
        <f t="shared" si="0"/>
        <v>6</v>
      </c>
      <c r="B14" s="21" t="s">
        <v>68</v>
      </c>
      <c r="C14">
        <v>82</v>
      </c>
      <c r="D14">
        <v>81</v>
      </c>
      <c r="E14">
        <v>79</v>
      </c>
      <c r="F14">
        <v>79</v>
      </c>
      <c r="G14">
        <v>77</v>
      </c>
      <c r="H14">
        <v>75</v>
      </c>
      <c r="I14">
        <v>75</v>
      </c>
      <c r="J14">
        <v>78</v>
      </c>
      <c r="K14">
        <v>82</v>
      </c>
      <c r="L14">
        <v>85</v>
      </c>
      <c r="M14">
        <v>88</v>
      </c>
      <c r="N14">
        <v>89</v>
      </c>
      <c r="O14">
        <v>91</v>
      </c>
      <c r="P14">
        <v>94</v>
      </c>
      <c r="Q14">
        <v>96</v>
      </c>
      <c r="R14">
        <v>97</v>
      </c>
      <c r="S14">
        <v>97</v>
      </c>
      <c r="T14">
        <v>96</v>
      </c>
      <c r="U14">
        <v>95</v>
      </c>
      <c r="V14">
        <v>93</v>
      </c>
    </row>
    <row r="15" spans="1:22" ht="13.2">
      <c r="A15">
        <f t="shared" si="0"/>
        <v>7</v>
      </c>
      <c r="B15" s="21" t="s">
        <v>70</v>
      </c>
      <c r="C15">
        <v>78</v>
      </c>
      <c r="D15">
        <v>79</v>
      </c>
      <c r="E15">
        <v>77</v>
      </c>
      <c r="F15">
        <v>75</v>
      </c>
      <c r="G15">
        <v>75</v>
      </c>
      <c r="H15">
        <v>73</v>
      </c>
      <c r="I15">
        <v>73</v>
      </c>
      <c r="J15">
        <v>80</v>
      </c>
      <c r="K15">
        <v>84</v>
      </c>
      <c r="L15">
        <v>87</v>
      </c>
      <c r="M15">
        <v>88</v>
      </c>
      <c r="N15">
        <v>88</v>
      </c>
      <c r="O15">
        <v>91</v>
      </c>
      <c r="P15">
        <v>91</v>
      </c>
      <c r="Q15">
        <v>92</v>
      </c>
      <c r="R15">
        <v>91</v>
      </c>
      <c r="S15">
        <v>81</v>
      </c>
      <c r="T15">
        <v>79</v>
      </c>
      <c r="U15">
        <v>82</v>
      </c>
      <c r="V15">
        <v>81</v>
      </c>
    </row>
    <row r="16" spans="1:22" ht="13.2">
      <c r="A16">
        <f t="shared" si="0"/>
        <v>8</v>
      </c>
      <c r="B16" s="21" t="s">
        <v>71</v>
      </c>
      <c r="C16">
        <v>78</v>
      </c>
      <c r="D16">
        <v>76</v>
      </c>
      <c r="E16">
        <v>75</v>
      </c>
      <c r="F16">
        <v>75</v>
      </c>
      <c r="G16">
        <v>74</v>
      </c>
      <c r="H16">
        <v>74</v>
      </c>
      <c r="I16">
        <v>75</v>
      </c>
      <c r="J16">
        <v>79</v>
      </c>
      <c r="K16">
        <v>83</v>
      </c>
      <c r="L16">
        <v>84</v>
      </c>
      <c r="M16">
        <v>86</v>
      </c>
      <c r="N16">
        <v>88</v>
      </c>
      <c r="O16">
        <v>88</v>
      </c>
      <c r="P16">
        <v>89</v>
      </c>
      <c r="Q16">
        <v>86</v>
      </c>
      <c r="R16">
        <v>85</v>
      </c>
      <c r="S16">
        <v>81</v>
      </c>
      <c r="T16">
        <v>81</v>
      </c>
      <c r="U16">
        <v>81</v>
      </c>
      <c r="V16">
        <v>80</v>
      </c>
    </row>
    <row r="17" spans="1:22" ht="13.2">
      <c r="A17">
        <f t="shared" si="0"/>
        <v>9</v>
      </c>
      <c r="B17" s="21" t="s">
        <v>72</v>
      </c>
      <c r="C17">
        <v>83</v>
      </c>
      <c r="D17">
        <v>81</v>
      </c>
      <c r="E17">
        <v>80</v>
      </c>
      <c r="F17">
        <v>78</v>
      </c>
      <c r="G17">
        <v>77</v>
      </c>
      <c r="H17">
        <v>75</v>
      </c>
      <c r="I17">
        <v>74</v>
      </c>
      <c r="J17">
        <v>74</v>
      </c>
      <c r="K17">
        <v>77</v>
      </c>
      <c r="L17">
        <v>80</v>
      </c>
      <c r="M17">
        <v>83</v>
      </c>
      <c r="N17">
        <v>85</v>
      </c>
      <c r="O17">
        <v>89</v>
      </c>
      <c r="P17">
        <v>92</v>
      </c>
      <c r="Q17">
        <v>94</v>
      </c>
      <c r="R17">
        <v>94</v>
      </c>
      <c r="S17">
        <v>96</v>
      </c>
      <c r="T17">
        <v>93</v>
      </c>
      <c r="U17">
        <v>94</v>
      </c>
      <c r="V17">
        <v>92</v>
      </c>
    </row>
    <row r="18" spans="1:22" ht="13.2">
      <c r="A18">
        <f t="shared" si="0"/>
        <v>10</v>
      </c>
      <c r="B18" s="21" t="s">
        <v>75</v>
      </c>
      <c r="C18">
        <v>82</v>
      </c>
      <c r="D18">
        <v>81</v>
      </c>
      <c r="E18">
        <v>80</v>
      </c>
      <c r="F18">
        <v>78</v>
      </c>
      <c r="G18">
        <v>79</v>
      </c>
      <c r="H18">
        <v>78</v>
      </c>
      <c r="I18">
        <v>77</v>
      </c>
      <c r="J18">
        <v>79</v>
      </c>
      <c r="K18">
        <v>84</v>
      </c>
      <c r="L18">
        <v>86</v>
      </c>
      <c r="M18">
        <v>90</v>
      </c>
      <c r="N18">
        <v>90</v>
      </c>
      <c r="O18">
        <v>91</v>
      </c>
      <c r="P18">
        <v>91</v>
      </c>
      <c r="Q18">
        <v>93</v>
      </c>
      <c r="R18">
        <v>93</v>
      </c>
      <c r="S18">
        <v>93</v>
      </c>
      <c r="T18">
        <v>95</v>
      </c>
      <c r="U18">
        <v>95</v>
      </c>
      <c r="V18">
        <v>91</v>
      </c>
    </row>
    <row r="19" spans="1:22" ht="13.2">
      <c r="A19">
        <f t="shared" si="0"/>
        <v>11</v>
      </c>
      <c r="B19" s="21" t="s">
        <v>73</v>
      </c>
      <c r="C19">
        <v>84</v>
      </c>
      <c r="D19">
        <v>82</v>
      </c>
      <c r="E19">
        <v>80</v>
      </c>
      <c r="F19">
        <v>79</v>
      </c>
      <c r="G19">
        <v>78</v>
      </c>
      <c r="H19">
        <v>77</v>
      </c>
      <c r="I19">
        <v>75</v>
      </c>
      <c r="J19">
        <v>81</v>
      </c>
      <c r="K19">
        <v>83</v>
      </c>
      <c r="L19">
        <v>85</v>
      </c>
      <c r="M19">
        <v>88</v>
      </c>
      <c r="N19">
        <v>89</v>
      </c>
      <c r="O19">
        <v>93</v>
      </c>
      <c r="P19">
        <v>92</v>
      </c>
      <c r="Q19">
        <v>94</v>
      </c>
      <c r="R19">
        <v>96</v>
      </c>
      <c r="S19">
        <v>95</v>
      </c>
      <c r="T19">
        <v>95</v>
      </c>
      <c r="U19">
        <v>93</v>
      </c>
      <c r="V19">
        <v>91</v>
      </c>
    </row>
    <row r="20" spans="1:22" ht="13.2">
      <c r="A20">
        <f t="shared" si="0"/>
        <v>12</v>
      </c>
      <c r="B20" s="21" t="s">
        <v>74</v>
      </c>
      <c r="C20">
        <v>78</v>
      </c>
      <c r="D20">
        <v>79</v>
      </c>
      <c r="E20">
        <v>79</v>
      </c>
      <c r="F20">
        <v>77</v>
      </c>
      <c r="G20">
        <v>76</v>
      </c>
      <c r="H20">
        <v>76</v>
      </c>
      <c r="I20">
        <v>76</v>
      </c>
      <c r="J20">
        <v>77</v>
      </c>
      <c r="K20">
        <v>82</v>
      </c>
      <c r="L20">
        <v>86</v>
      </c>
      <c r="M20">
        <v>91</v>
      </c>
      <c r="N20">
        <v>93</v>
      </c>
      <c r="O20">
        <v>94</v>
      </c>
      <c r="P20">
        <v>94</v>
      </c>
      <c r="Q20">
        <v>94</v>
      </c>
      <c r="R20">
        <v>95</v>
      </c>
      <c r="S20">
        <v>95</v>
      </c>
      <c r="T20">
        <v>95</v>
      </c>
      <c r="U20">
        <v>94</v>
      </c>
      <c r="V20">
        <v>90</v>
      </c>
    </row>
    <row r="21" spans="1:1" ht="13.2">
      <c r="A21">
        <f t="shared" si="0"/>
        <v>13</v>
      </c>
    </row>
    <row r="22" spans="1:1" ht="13.2">
      <c r="A22">
        <f t="shared" si="0"/>
        <v>14</v>
      </c>
    </row>
    <row r="23" spans="1:21" ht="13.2">
      <c r="A23">
        <f t="shared" si="0"/>
        <v>15</v>
      </c>
      <c r="B23" s="10" t="s">
        <v>69</v>
      </c>
      <c r="C23" s="10" t="s">
        <v>49</v>
      </c>
      <c r="D23" s="10" t="s">
        <v>50</v>
      </c>
      <c r="E23" s="10" t="s">
        <v>51</v>
      </c>
      <c r="F23" s="10" t="s">
        <v>52</v>
      </c>
      <c r="G23" s="10" t="s">
        <v>53</v>
      </c>
      <c r="H23" s="54" t="s">
        <v>99</v>
      </c>
      <c r="I23" s="54" t="s">
        <v>60</v>
      </c>
      <c r="J23" s="54" t="s">
        <v>61</v>
      </c>
      <c r="K23" s="10" t="s">
        <v>110</v>
      </c>
      <c r="L23" s="10" t="s">
        <v>62</v>
      </c>
      <c r="M23" s="79" t="s">
        <v>118</v>
      </c>
      <c r="N23" s="78" t="s">
        <v>90</v>
      </c>
      <c r="O23" s="79" t="s">
        <v>119</v>
      </c>
      <c r="P23" s="79" t="s">
        <v>104</v>
      </c>
      <c r="Q23" s="27" t="s">
        <v>63</v>
      </c>
      <c r="R23" s="27" t="s">
        <v>64</v>
      </c>
      <c r="S23" s="27" t="s">
        <v>65</v>
      </c>
      <c r="T23" s="27" t="s">
        <v>91</v>
      </c>
      <c r="U23" s="41" t="s">
        <v>112</v>
      </c>
    </row>
    <row r="24" spans="1:36" ht="13.2">
      <c r="A24">
        <f t="shared" si="0"/>
        <v>16</v>
      </c>
      <c r="B24" s="21" t="s">
        <v>27</v>
      </c>
      <c r="C24">
        <v>91</v>
      </c>
      <c r="D24">
        <v>87</v>
      </c>
      <c r="E24">
        <v>86</v>
      </c>
      <c r="F24">
        <v>84</v>
      </c>
      <c r="G24" s="12">
        <f t="shared" si="1" ref="G24:G33">ROUND(AVERAGE(C11:V11,C24:F24),1)</f>
        <v>85.799999999999997</v>
      </c>
      <c r="H24" s="12">
        <f t="shared" si="2" ref="H24:H33">MAX(40-$G24,0)</f>
        <v>0</v>
      </c>
      <c r="I24" s="12">
        <f t="shared" si="3" ref="I24:I33">MAX(45-$G24,0)</f>
        <v>0</v>
      </c>
      <c r="J24" s="12">
        <f t="shared" si="4" ref="J24:J33">MAX(50-$G24,0)</f>
        <v>0</v>
      </c>
      <c r="K24" s="12">
        <f t="shared" si="5" ref="K24:K33">MAX(55-$G24,0)</f>
        <v>0</v>
      </c>
      <c r="L24" s="12">
        <f t="shared" si="6" ref="L24:L33">MAX(60-$G24,0)</f>
        <v>0</v>
      </c>
      <c r="M24" s="12">
        <f t="shared" si="7" ref="M24:M33">MAX(65-$G24,0)</f>
        <v>0</v>
      </c>
      <c r="N24" s="12">
        <f t="shared" si="8" ref="N24:N33">MAX($G24-50,0)</f>
        <v>35.799999999999997</v>
      </c>
      <c r="O24" s="12">
        <f t="shared" si="9" ref="O24:O33">MAX($G24-55,0)</f>
        <v>30.799999999999997</v>
      </c>
      <c r="P24" s="12">
        <f t="shared" si="10" ref="P24:P33">MAX($G24-60,0)</f>
        <v>25.799999999999997</v>
      </c>
      <c r="Q24" s="12">
        <f t="shared" si="11" ref="Q24:Q33">MAX($G24-65,0)</f>
        <v>20.799999999999997</v>
      </c>
      <c r="R24" s="12">
        <f t="shared" si="12" ref="R24:R33">MAX($G24-70,0)</f>
        <v>15.799999999999997</v>
      </c>
      <c r="S24" s="12">
        <f t="shared" si="13" ref="S24:S33">MAX($G24-75,0)</f>
        <v>10.799999999999997</v>
      </c>
      <c r="T24" s="12">
        <f t="shared" si="14" ref="T24:T33">MAX($G24-80,0)</f>
        <v>5.7999999999999972</v>
      </c>
      <c r="U24" s="12">
        <f t="shared" si="15" ref="U24:U33">MAX($G24-85,0)</f>
        <v>0.79999999999999716</v>
      </c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</row>
    <row r="25" spans="1:21" ht="13.2">
      <c r="A25">
        <f t="shared" si="0"/>
        <v>17</v>
      </c>
      <c r="B25" s="21" t="s">
        <v>66</v>
      </c>
      <c r="C25">
        <v>89</v>
      </c>
      <c r="D25">
        <v>86</v>
      </c>
      <c r="E25">
        <v>83</v>
      </c>
      <c r="F25">
        <v>82</v>
      </c>
      <c r="G25" s="12">
        <f t="shared" si="1"/>
        <v>85.099999999999994</v>
      </c>
      <c r="H25" s="12">
        <f t="shared" si="2"/>
        <v>0</v>
      </c>
      <c r="I25" s="12">
        <f t="shared" si="3"/>
        <v>0</v>
      </c>
      <c r="J25" s="12">
        <f t="shared" si="4"/>
        <v>0</v>
      </c>
      <c r="K25" s="12">
        <f t="shared" si="5"/>
        <v>0</v>
      </c>
      <c r="L25" s="12">
        <f t="shared" si="6"/>
        <v>0</v>
      </c>
      <c r="M25" s="12">
        <f t="shared" si="7"/>
        <v>0</v>
      </c>
      <c r="N25" s="12">
        <f t="shared" si="8"/>
        <v>35.099999999999994</v>
      </c>
      <c r="O25" s="12">
        <f t="shared" si="9"/>
        <v>30.099999999999994</v>
      </c>
      <c r="P25" s="12">
        <f t="shared" si="10"/>
        <v>25.099999999999994</v>
      </c>
      <c r="Q25" s="12">
        <f t="shared" si="11"/>
        <v>20.099999999999994</v>
      </c>
      <c r="R25" s="12">
        <f t="shared" si="12"/>
        <v>15.099999999999994</v>
      </c>
      <c r="S25" s="12">
        <f t="shared" si="13"/>
        <v>10.099999999999994</v>
      </c>
      <c r="T25" s="12">
        <f t="shared" si="14"/>
        <v>5.0999999999999943</v>
      </c>
      <c r="U25" s="12">
        <f t="shared" si="15"/>
        <v>0.099999999999994316</v>
      </c>
    </row>
    <row r="26" spans="1:21" ht="13.2">
      <c r="A26">
        <f t="shared" si="0"/>
        <v>18</v>
      </c>
      <c r="B26" s="21" t="s">
        <v>67</v>
      </c>
      <c r="C26">
        <v>88</v>
      </c>
      <c r="D26">
        <v>87</v>
      </c>
      <c r="E26">
        <v>83</v>
      </c>
      <c r="F26">
        <v>81</v>
      </c>
      <c r="G26" s="12">
        <f t="shared" si="1"/>
        <v>86.700000000000003</v>
      </c>
      <c r="H26" s="12">
        <f t="shared" si="2"/>
        <v>0</v>
      </c>
      <c r="I26" s="12">
        <f t="shared" si="3"/>
        <v>0</v>
      </c>
      <c r="J26" s="12">
        <f t="shared" si="4"/>
        <v>0</v>
      </c>
      <c r="K26" s="12">
        <f t="shared" si="5"/>
        <v>0</v>
      </c>
      <c r="L26" s="12">
        <f t="shared" si="6"/>
        <v>0</v>
      </c>
      <c r="M26" s="12">
        <f t="shared" si="7"/>
        <v>0</v>
      </c>
      <c r="N26" s="12">
        <f t="shared" si="8"/>
        <v>36.700000000000003</v>
      </c>
      <c r="O26" s="12">
        <f t="shared" si="9"/>
        <v>31.700000000000003</v>
      </c>
      <c r="P26" s="12">
        <f t="shared" si="10"/>
        <v>26.700000000000003</v>
      </c>
      <c r="Q26" s="12">
        <f t="shared" si="11"/>
        <v>21.700000000000003</v>
      </c>
      <c r="R26" s="12">
        <f t="shared" si="12"/>
        <v>16.700000000000003</v>
      </c>
      <c r="S26" s="12">
        <f t="shared" si="13"/>
        <v>11.700000000000003</v>
      </c>
      <c r="T26" s="12">
        <f t="shared" si="14"/>
        <v>6.7000000000000028</v>
      </c>
      <c r="U26" s="12">
        <f t="shared" si="15"/>
        <v>1.7000000000000028</v>
      </c>
    </row>
    <row r="27" spans="1:21" ht="13.2">
      <c r="A27">
        <f t="shared" si="0"/>
        <v>19</v>
      </c>
      <c r="B27" s="21" t="s">
        <v>68</v>
      </c>
      <c r="C27">
        <v>89</v>
      </c>
      <c r="D27">
        <v>86</v>
      </c>
      <c r="E27">
        <v>84</v>
      </c>
      <c r="F27">
        <v>81</v>
      </c>
      <c r="G27" s="12">
        <f t="shared" si="1"/>
        <v>86.200000000000003</v>
      </c>
      <c r="H27" s="12">
        <f t="shared" si="2"/>
        <v>0</v>
      </c>
      <c r="I27" s="12">
        <f t="shared" si="3"/>
        <v>0</v>
      </c>
      <c r="J27" s="12">
        <f t="shared" si="4"/>
        <v>0</v>
      </c>
      <c r="K27" s="12">
        <f t="shared" si="5"/>
        <v>0</v>
      </c>
      <c r="L27" s="12">
        <f t="shared" si="6"/>
        <v>0</v>
      </c>
      <c r="M27" s="12">
        <f t="shared" si="7"/>
        <v>0</v>
      </c>
      <c r="N27" s="12">
        <f t="shared" si="8"/>
        <v>36.200000000000003</v>
      </c>
      <c r="O27" s="12">
        <f t="shared" si="9"/>
        <v>31.200000000000003</v>
      </c>
      <c r="P27" s="12">
        <f t="shared" si="10"/>
        <v>26.200000000000003</v>
      </c>
      <c r="Q27" s="12">
        <f t="shared" si="11"/>
        <v>21.200000000000003</v>
      </c>
      <c r="R27" s="12">
        <f t="shared" si="12"/>
        <v>16.200000000000003</v>
      </c>
      <c r="S27" s="12">
        <f t="shared" si="13"/>
        <v>11.200000000000003</v>
      </c>
      <c r="T27" s="12">
        <f t="shared" si="14"/>
        <v>6.2000000000000028</v>
      </c>
      <c r="U27" s="12">
        <f t="shared" si="15"/>
        <v>1.2000000000000028</v>
      </c>
    </row>
    <row r="28" spans="1:21" ht="13.2">
      <c r="A28">
        <f t="shared" si="0"/>
        <v>20</v>
      </c>
      <c r="B28" s="21" t="s">
        <v>70</v>
      </c>
      <c r="C28">
        <v>77</v>
      </c>
      <c r="D28">
        <v>77</v>
      </c>
      <c r="E28">
        <v>76</v>
      </c>
      <c r="F28">
        <v>75</v>
      </c>
      <c r="G28" s="12">
        <f t="shared" si="1"/>
        <v>81.299999999999997</v>
      </c>
      <c r="H28" s="12">
        <f t="shared" si="2"/>
        <v>0</v>
      </c>
      <c r="I28" s="12">
        <f t="shared" si="3"/>
        <v>0</v>
      </c>
      <c r="J28" s="12">
        <f t="shared" si="4"/>
        <v>0</v>
      </c>
      <c r="K28" s="12">
        <f t="shared" si="5"/>
        <v>0</v>
      </c>
      <c r="L28" s="12">
        <f t="shared" si="6"/>
        <v>0</v>
      </c>
      <c r="M28" s="12">
        <f t="shared" si="7"/>
        <v>0</v>
      </c>
      <c r="N28" s="12">
        <f t="shared" si="8"/>
        <v>31.299999999999997</v>
      </c>
      <c r="O28" s="12">
        <f t="shared" si="9"/>
        <v>26.299999999999997</v>
      </c>
      <c r="P28" s="12">
        <f t="shared" si="10"/>
        <v>21.299999999999997</v>
      </c>
      <c r="Q28" s="12">
        <f t="shared" si="11"/>
        <v>16.299999999999997</v>
      </c>
      <c r="R28" s="12">
        <f t="shared" si="12"/>
        <v>11.299999999999997</v>
      </c>
      <c r="S28" s="12">
        <f t="shared" si="13"/>
        <v>6.2999999999999972</v>
      </c>
      <c r="T28" s="12">
        <f t="shared" si="14"/>
        <v>1.2999999999999972</v>
      </c>
      <c r="U28" s="12">
        <f t="shared" si="15"/>
        <v>0</v>
      </c>
    </row>
    <row r="29" spans="1:21" ht="13.2">
      <c r="A29">
        <f t="shared" si="0"/>
        <v>21</v>
      </c>
      <c r="B29" s="21" t="s">
        <v>71</v>
      </c>
      <c r="C29">
        <v>79</v>
      </c>
      <c r="D29">
        <v>78</v>
      </c>
      <c r="E29">
        <v>77</v>
      </c>
      <c r="F29">
        <v>77</v>
      </c>
      <c r="G29" s="12">
        <f t="shared" si="1"/>
        <v>80.400000000000006</v>
      </c>
      <c r="H29" s="12">
        <f t="shared" si="2"/>
        <v>0</v>
      </c>
      <c r="I29" s="12">
        <f t="shared" si="3"/>
        <v>0</v>
      </c>
      <c r="J29" s="12">
        <f t="shared" si="4"/>
        <v>0</v>
      </c>
      <c r="K29" s="12">
        <f t="shared" si="5"/>
        <v>0</v>
      </c>
      <c r="L29" s="12">
        <f t="shared" si="6"/>
        <v>0</v>
      </c>
      <c r="M29" s="12">
        <f t="shared" si="7"/>
        <v>0</v>
      </c>
      <c r="N29" s="12">
        <f t="shared" si="8"/>
        <v>30.400000000000006</v>
      </c>
      <c r="O29" s="12">
        <f t="shared" si="9"/>
        <v>25.400000000000006</v>
      </c>
      <c r="P29" s="12">
        <f t="shared" si="10"/>
        <v>20.400000000000006</v>
      </c>
      <c r="Q29" s="12">
        <f t="shared" si="11"/>
        <v>15.400000000000006</v>
      </c>
      <c r="R29" s="12">
        <f t="shared" si="12"/>
        <v>10.400000000000006</v>
      </c>
      <c r="S29" s="12">
        <f t="shared" si="13"/>
        <v>5.4000000000000057</v>
      </c>
      <c r="T29" s="12">
        <f t="shared" si="14"/>
        <v>0.40000000000000568</v>
      </c>
      <c r="U29" s="12">
        <f t="shared" si="15"/>
        <v>0</v>
      </c>
    </row>
    <row r="30" spans="1:21" ht="13.2">
      <c r="A30">
        <f t="shared" si="0"/>
        <v>22</v>
      </c>
      <c r="B30" s="21" t="s">
        <v>72</v>
      </c>
      <c r="C30">
        <v>89</v>
      </c>
      <c r="D30">
        <v>87</v>
      </c>
      <c r="E30">
        <v>85</v>
      </c>
      <c r="F30">
        <v>85</v>
      </c>
      <c r="G30" s="12">
        <f t="shared" si="1"/>
        <v>84.900000000000006</v>
      </c>
      <c r="H30" s="12">
        <f t="shared" si="2"/>
        <v>0</v>
      </c>
      <c r="I30" s="12">
        <f t="shared" si="3"/>
        <v>0</v>
      </c>
      <c r="J30" s="12">
        <f t="shared" si="4"/>
        <v>0</v>
      </c>
      <c r="K30" s="12">
        <f t="shared" si="5"/>
        <v>0</v>
      </c>
      <c r="L30" s="12">
        <f t="shared" si="6"/>
        <v>0</v>
      </c>
      <c r="M30" s="12">
        <f t="shared" si="7"/>
        <v>0</v>
      </c>
      <c r="N30" s="12">
        <f t="shared" si="8"/>
        <v>34.900000000000006</v>
      </c>
      <c r="O30" s="12">
        <f t="shared" si="9"/>
        <v>29.900000000000006</v>
      </c>
      <c r="P30" s="12">
        <f t="shared" si="10"/>
        <v>24.900000000000006</v>
      </c>
      <c r="Q30" s="12">
        <f t="shared" si="11"/>
        <v>19.900000000000006</v>
      </c>
      <c r="R30" s="12">
        <f t="shared" si="12"/>
        <v>14.900000000000006</v>
      </c>
      <c r="S30" s="12">
        <f t="shared" si="13"/>
        <v>9.9000000000000057</v>
      </c>
      <c r="T30" s="12">
        <f t="shared" si="14"/>
        <v>4.9000000000000057</v>
      </c>
      <c r="U30" s="12">
        <f t="shared" si="15"/>
        <v>0</v>
      </c>
    </row>
    <row r="31" spans="1:21" ht="13.2">
      <c r="A31">
        <f t="shared" si="0"/>
        <v>23</v>
      </c>
      <c r="B31" s="21" t="s">
        <v>75</v>
      </c>
      <c r="C31">
        <v>89</v>
      </c>
      <c r="D31">
        <v>87</v>
      </c>
      <c r="E31">
        <v>84</v>
      </c>
      <c r="F31">
        <v>82</v>
      </c>
      <c r="G31" s="12">
        <f t="shared" si="1"/>
        <v>86.200000000000003</v>
      </c>
      <c r="H31" s="12">
        <f t="shared" si="2"/>
        <v>0</v>
      </c>
      <c r="I31" s="12">
        <f t="shared" si="3"/>
        <v>0</v>
      </c>
      <c r="J31" s="12">
        <f t="shared" si="4"/>
        <v>0</v>
      </c>
      <c r="K31" s="12">
        <f t="shared" si="5"/>
        <v>0</v>
      </c>
      <c r="L31" s="12">
        <f t="shared" si="6"/>
        <v>0</v>
      </c>
      <c r="M31" s="12">
        <f t="shared" si="7"/>
        <v>0</v>
      </c>
      <c r="N31" s="12">
        <f t="shared" si="8"/>
        <v>36.200000000000003</v>
      </c>
      <c r="O31" s="12">
        <f t="shared" si="9"/>
        <v>31.200000000000003</v>
      </c>
      <c r="P31" s="12">
        <f t="shared" si="10"/>
        <v>26.200000000000003</v>
      </c>
      <c r="Q31" s="12">
        <f t="shared" si="11"/>
        <v>21.200000000000003</v>
      </c>
      <c r="R31" s="12">
        <f t="shared" si="12"/>
        <v>16.200000000000003</v>
      </c>
      <c r="S31" s="12">
        <f t="shared" si="13"/>
        <v>11.200000000000003</v>
      </c>
      <c r="T31" s="12">
        <f t="shared" si="14"/>
        <v>6.2000000000000028</v>
      </c>
      <c r="U31" s="12">
        <f t="shared" si="15"/>
        <v>1.2000000000000028</v>
      </c>
    </row>
    <row r="32" spans="1:21" ht="13.2">
      <c r="A32">
        <f t="shared" si="0"/>
        <v>24</v>
      </c>
      <c r="B32" s="21" t="s">
        <v>73</v>
      </c>
      <c r="C32">
        <v>87</v>
      </c>
      <c r="D32">
        <v>84</v>
      </c>
      <c r="E32">
        <v>82</v>
      </c>
      <c r="F32">
        <v>81</v>
      </c>
      <c r="G32" s="12">
        <f t="shared" si="1"/>
        <v>86</v>
      </c>
      <c r="H32" s="12">
        <f t="shared" si="2"/>
        <v>0</v>
      </c>
      <c r="I32" s="12">
        <f t="shared" si="3"/>
        <v>0</v>
      </c>
      <c r="J32" s="12">
        <f t="shared" si="4"/>
        <v>0</v>
      </c>
      <c r="K32" s="12">
        <f t="shared" si="5"/>
        <v>0</v>
      </c>
      <c r="L32" s="12">
        <f t="shared" si="6"/>
        <v>0</v>
      </c>
      <c r="M32" s="12">
        <f t="shared" si="7"/>
        <v>0</v>
      </c>
      <c r="N32" s="12">
        <f t="shared" si="8"/>
        <v>36</v>
      </c>
      <c r="O32" s="12">
        <f t="shared" si="9"/>
        <v>31</v>
      </c>
      <c r="P32" s="12">
        <f t="shared" si="10"/>
        <v>26</v>
      </c>
      <c r="Q32" s="12">
        <f t="shared" si="11"/>
        <v>21</v>
      </c>
      <c r="R32" s="12">
        <f t="shared" si="12"/>
        <v>16</v>
      </c>
      <c r="S32" s="12">
        <f t="shared" si="13"/>
        <v>11</v>
      </c>
      <c r="T32" s="12">
        <f t="shared" si="14"/>
        <v>6</v>
      </c>
      <c r="U32" s="12">
        <f t="shared" si="15"/>
        <v>1</v>
      </c>
    </row>
    <row r="33" spans="1:21" ht="13.2">
      <c r="A33">
        <f t="shared" si="0"/>
        <v>25</v>
      </c>
      <c r="B33" s="21" t="s">
        <v>74</v>
      </c>
      <c r="C33">
        <v>86</v>
      </c>
      <c r="D33">
        <v>82</v>
      </c>
      <c r="E33">
        <v>78</v>
      </c>
      <c r="F33">
        <v>80</v>
      </c>
      <c r="G33" s="12">
        <f t="shared" si="1"/>
        <v>85.299999999999997</v>
      </c>
      <c r="H33" s="12">
        <f t="shared" si="2"/>
        <v>0</v>
      </c>
      <c r="I33" s="12">
        <f t="shared" si="3"/>
        <v>0</v>
      </c>
      <c r="J33" s="12">
        <f t="shared" si="4"/>
        <v>0</v>
      </c>
      <c r="K33" s="12">
        <f t="shared" si="5"/>
        <v>0</v>
      </c>
      <c r="L33" s="12">
        <f t="shared" si="6"/>
        <v>0</v>
      </c>
      <c r="M33" s="12">
        <f t="shared" si="7"/>
        <v>0</v>
      </c>
      <c r="N33" s="12">
        <f t="shared" si="8"/>
        <v>35.299999999999997</v>
      </c>
      <c r="O33" s="12">
        <f t="shared" si="9"/>
        <v>30.299999999999997</v>
      </c>
      <c r="P33" s="12">
        <f t="shared" si="10"/>
        <v>25.299999999999997</v>
      </c>
      <c r="Q33" s="12">
        <f t="shared" si="11"/>
        <v>20.299999999999997</v>
      </c>
      <c r="R33" s="12">
        <f t="shared" si="12"/>
        <v>15.299999999999997</v>
      </c>
      <c r="S33" s="12">
        <f t="shared" si="13"/>
        <v>10.299999999999997</v>
      </c>
      <c r="T33" s="12">
        <f t="shared" si="14"/>
        <v>5.2999999999999972</v>
      </c>
      <c r="U33" s="12">
        <f t="shared" si="15"/>
        <v>0.29999999999999716</v>
      </c>
    </row>
  </sheetData>
  <mergeCells count="6">
    <mergeCell ref="B9:T9"/>
    <mergeCell ref="B1:T1"/>
    <mergeCell ref="B2:T2"/>
    <mergeCell ref="B3:T3"/>
    <mergeCell ref="B4:T4"/>
    <mergeCell ref="B6:T6"/>
  </mergeCells>
  <pageMargins left="0.75" right="0.75" top="1" bottom="1" header="0.5" footer="0.5"/>
  <pageSetup orientation="portrait" scale="56" r:id="rId1"/>
  <headerFooter alignWithMargins="0">
    <oddHeader>&amp;RSchedule II-H-5.1
Page &amp;P of  28</oddHead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pageSetUpPr fitToPage="1"/>
  </sheetPr>
  <dimension ref="A1:AJ33"/>
  <sheetViews>
    <sheetView workbookViewId="0" topLeftCell="A1"/>
  </sheetViews>
  <sheetFormatPr defaultRowHeight="13.5"/>
  <cols>
    <col min="1" max="1" width="9.14285714285714" style="60" customWidth="1"/>
    <col min="2" max="2" width="15.7142857142857" style="61" bestFit="1" customWidth="1"/>
    <col min="3" max="6" width="5.42857142857143" style="60" bestFit="1" customWidth="1"/>
    <col min="7" max="7" width="10.7142857142857" style="60" bestFit="1" customWidth="1"/>
    <col min="8" max="14" width="6.85714285714286" style="60" bestFit="1" customWidth="1"/>
    <col min="15" max="23" width="7" style="60" bestFit="1" customWidth="1"/>
    <col min="24" max="29" width="11.4285714285714" style="60" customWidth="1"/>
    <col min="30" max="16384" width="8.85714285714286" style="60"/>
  </cols>
  <sheetData>
    <row r="1" spans="2:29" s="67" customFormat="1" ht="15.6">
      <c r="B1" s="89" t="str">
        <f>+Base40h!B1</f>
        <v xml:space="preserve">PUC DOCKET NO. </v>
      </c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61"/>
      <c r="V1" s="61"/>
      <c r="W1" s="61"/>
      <c r="X1" s="61"/>
      <c r="Y1" s="61"/>
      <c r="Z1" s="61"/>
      <c r="AA1" s="61"/>
      <c r="AB1" s="61"/>
      <c r="AC1" s="61"/>
    </row>
    <row r="2" spans="2:29" s="67" customFormat="1" ht="15.6">
      <c r="B2" s="89" t="str">
        <f>+Base40h!B2</f>
        <v>ONCOR ELECTRIC DELIVERY COMPANY LLC</v>
      </c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61"/>
      <c r="V2" s="61"/>
      <c r="W2" s="61"/>
      <c r="X2" s="61"/>
      <c r="Y2" s="61"/>
      <c r="Z2" s="61"/>
      <c r="AA2" s="61"/>
      <c r="AB2" s="61"/>
      <c r="AC2" s="61"/>
    </row>
    <row r="3" spans="2:29" s="67" customFormat="1" ht="15.6">
      <c r="B3" s="89" t="str">
        <f>+Base40h!B3</f>
        <v>WEATHER STATION DATA</v>
      </c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61"/>
      <c r="V3" s="61"/>
      <c r="W3" s="61"/>
      <c r="X3" s="61"/>
      <c r="Y3" s="61"/>
      <c r="Z3" s="61"/>
      <c r="AA3" s="61"/>
      <c r="AB3" s="61"/>
      <c r="AC3" s="61"/>
    </row>
    <row r="4" spans="2:29" s="67" customFormat="1" ht="15.6">
      <c r="B4" s="89" t="str">
        <f>+Base40h!B4</f>
        <v>FOR THE TEST YEAR ENDING DECEMBER 31, 2021</v>
      </c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U4" s="61"/>
      <c r="V4" s="61"/>
      <c r="W4" s="61"/>
      <c r="X4" s="61"/>
      <c r="Y4" s="61"/>
      <c r="Z4" s="61"/>
      <c r="AA4" s="61"/>
      <c r="AB4" s="61"/>
      <c r="AC4" s="61"/>
    </row>
    <row r="5" spans="2:29" s="67" customFormat="1" ht="11.4">
      <c r="B5" s="69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  <c r="AA5" s="68"/>
      <c r="AB5" s="68"/>
      <c r="AC5" s="68"/>
    </row>
    <row r="6" spans="2:29" s="67" customFormat="1" ht="15.6">
      <c r="B6" s="89" t="str">
        <f>+Base40h!B6</f>
        <v>SPONSOR: D. E. NELSON</v>
      </c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8"/>
      <c r="Q6" s="88"/>
      <c r="R6" s="88"/>
      <c r="S6" s="88"/>
      <c r="T6" s="88"/>
      <c r="U6" s="61"/>
      <c r="V6" s="61"/>
      <c r="W6" s="61"/>
      <c r="X6" s="61"/>
      <c r="Y6" s="61"/>
      <c r="Z6" s="61"/>
      <c r="AA6" s="61"/>
      <c r="AB6" s="61"/>
      <c r="AC6" s="61"/>
    </row>
    <row r="7" spans="1:1" ht="24" thickBot="1">
      <c r="A7" s="66" t="s">
        <v>4</v>
      </c>
    </row>
    <row r="9" spans="1:20" ht="13.2">
      <c r="A9" s="60">
        <v>1</v>
      </c>
      <c r="B9" s="87" t="s">
        <v>128</v>
      </c>
      <c r="C9" s="88"/>
      <c r="D9" s="88"/>
      <c r="E9" s="88"/>
      <c r="F9" s="88"/>
      <c r="G9" s="88"/>
      <c r="H9" s="88"/>
      <c r="I9" s="88"/>
      <c r="J9" s="88"/>
      <c r="K9" s="88"/>
      <c r="L9" s="88"/>
      <c r="M9" s="88"/>
      <c r="N9" s="88"/>
      <c r="O9" s="88"/>
      <c r="P9" s="88"/>
      <c r="Q9" s="88"/>
      <c r="R9" s="88"/>
      <c r="S9" s="88"/>
      <c r="T9" s="88"/>
    </row>
    <row r="10" spans="1:22" s="65" customFormat="1" ht="13.2">
      <c r="A10" s="60">
        <f t="shared" si="0" ref="A10:A33">+A9+1</f>
        <v>2</v>
      </c>
      <c r="B10" s="65" t="s">
        <v>69</v>
      </c>
      <c r="C10" s="65" t="s">
        <v>29</v>
      </c>
      <c r="D10" s="65" t="s">
        <v>30</v>
      </c>
      <c r="E10" s="65" t="s">
        <v>31</v>
      </c>
      <c r="F10" s="65" t="s">
        <v>32</v>
      </c>
      <c r="G10" s="65" t="s">
        <v>33</v>
      </c>
      <c r="H10" s="65" t="s">
        <v>34</v>
      </c>
      <c r="I10" s="65" t="s">
        <v>35</v>
      </c>
      <c r="J10" s="65" t="s">
        <v>36</v>
      </c>
      <c r="K10" s="65" t="s">
        <v>37</v>
      </c>
      <c r="L10" s="65" t="s">
        <v>38</v>
      </c>
      <c r="M10" s="65" t="s">
        <v>39</v>
      </c>
      <c r="N10" s="65" t="s">
        <v>40</v>
      </c>
      <c r="O10" s="65" t="s">
        <v>41</v>
      </c>
      <c r="P10" s="65" t="s">
        <v>42</v>
      </c>
      <c r="Q10" s="65" t="s">
        <v>43</v>
      </c>
      <c r="R10" s="65" t="s">
        <v>44</v>
      </c>
      <c r="S10" s="65" t="s">
        <v>45</v>
      </c>
      <c r="T10" s="65" t="s">
        <v>46</v>
      </c>
      <c r="U10" s="65" t="s">
        <v>47</v>
      </c>
      <c r="V10" s="65" t="s">
        <v>48</v>
      </c>
    </row>
    <row r="11" spans="1:22" ht="13.2">
      <c r="A11" s="60">
        <f t="shared" si="0"/>
        <v>3</v>
      </c>
      <c r="B11" s="63" t="s">
        <v>27</v>
      </c>
      <c r="C11" s="60">
        <v>49</v>
      </c>
      <c r="D11" s="60">
        <v>48</v>
      </c>
      <c r="E11" s="60">
        <v>46</v>
      </c>
      <c r="F11" s="60">
        <v>46</v>
      </c>
      <c r="G11" s="60">
        <v>45</v>
      </c>
      <c r="H11" s="60">
        <v>44</v>
      </c>
      <c r="I11" s="60">
        <v>44</v>
      </c>
      <c r="J11" s="60">
        <v>41</v>
      </c>
      <c r="K11" s="60">
        <v>46</v>
      </c>
      <c r="L11" s="60">
        <v>48</v>
      </c>
      <c r="M11" s="60">
        <v>52</v>
      </c>
      <c r="N11" s="60">
        <v>55</v>
      </c>
      <c r="O11" s="60">
        <v>57</v>
      </c>
      <c r="P11" s="60">
        <v>58</v>
      </c>
      <c r="Q11" s="60">
        <v>58</v>
      </c>
      <c r="R11" s="60">
        <v>57</v>
      </c>
      <c r="S11" s="60">
        <v>57</v>
      </c>
      <c r="T11" s="60">
        <v>55</v>
      </c>
      <c r="U11" s="60">
        <v>51</v>
      </c>
      <c r="V11" s="60">
        <v>45</v>
      </c>
    </row>
    <row r="12" spans="1:22" ht="13.2">
      <c r="A12" s="60">
        <f t="shared" si="0"/>
        <v>4</v>
      </c>
      <c r="B12" s="63" t="s">
        <v>66</v>
      </c>
      <c r="C12" s="60">
        <v>43</v>
      </c>
      <c r="D12" s="60">
        <v>45</v>
      </c>
      <c r="E12" s="60">
        <v>46</v>
      </c>
      <c r="F12" s="60">
        <v>44</v>
      </c>
      <c r="G12" s="60">
        <v>42</v>
      </c>
      <c r="H12" s="60">
        <v>41</v>
      </c>
      <c r="I12" s="60">
        <v>37</v>
      </c>
      <c r="J12" s="60">
        <v>38</v>
      </c>
      <c r="K12" s="60">
        <v>40</v>
      </c>
      <c r="L12" s="60">
        <v>47</v>
      </c>
      <c r="M12" s="60">
        <v>55</v>
      </c>
      <c r="N12" s="60">
        <v>61</v>
      </c>
      <c r="O12" s="60">
        <v>68</v>
      </c>
      <c r="P12" s="60">
        <v>71</v>
      </c>
      <c r="Q12" s="60">
        <v>69</v>
      </c>
      <c r="R12" s="60">
        <v>69</v>
      </c>
      <c r="S12" s="60">
        <v>68</v>
      </c>
      <c r="T12" s="60">
        <v>66</v>
      </c>
      <c r="U12" s="60">
        <v>62</v>
      </c>
      <c r="V12" s="60">
        <v>58</v>
      </c>
    </row>
    <row r="13" spans="1:22" ht="13.2">
      <c r="A13" s="60">
        <f t="shared" si="0"/>
        <v>5</v>
      </c>
      <c r="B13" s="63" t="s">
        <v>67</v>
      </c>
      <c r="C13" s="60">
        <v>47</v>
      </c>
      <c r="D13" s="60">
        <v>44</v>
      </c>
      <c r="E13" s="60">
        <v>43</v>
      </c>
      <c r="F13" s="60">
        <v>42</v>
      </c>
      <c r="G13" s="60">
        <v>42</v>
      </c>
      <c r="H13" s="60">
        <v>42</v>
      </c>
      <c r="I13" s="60">
        <v>39</v>
      </c>
      <c r="J13" s="60">
        <v>36</v>
      </c>
      <c r="K13" s="60">
        <v>40</v>
      </c>
      <c r="L13" s="60">
        <v>49</v>
      </c>
      <c r="M13" s="60">
        <v>52</v>
      </c>
      <c r="N13" s="60">
        <v>58</v>
      </c>
      <c r="O13" s="60">
        <v>62</v>
      </c>
      <c r="P13" s="60">
        <v>62</v>
      </c>
      <c r="Q13" s="60">
        <v>64</v>
      </c>
      <c r="R13" s="60">
        <v>62</v>
      </c>
      <c r="S13" s="60">
        <v>61</v>
      </c>
      <c r="T13" s="60">
        <v>59</v>
      </c>
      <c r="U13" s="60">
        <v>55</v>
      </c>
      <c r="V13" s="60">
        <v>51</v>
      </c>
    </row>
    <row r="14" spans="1:22" ht="13.2">
      <c r="A14" s="60">
        <f t="shared" si="0"/>
        <v>6</v>
      </c>
      <c r="B14" s="63" t="s">
        <v>68</v>
      </c>
      <c r="C14" s="60">
        <v>46</v>
      </c>
      <c r="D14" s="60">
        <v>46</v>
      </c>
      <c r="E14" s="60">
        <v>46</v>
      </c>
      <c r="F14" s="60">
        <v>43</v>
      </c>
      <c r="G14" s="60">
        <v>42</v>
      </c>
      <c r="H14" s="60">
        <v>43</v>
      </c>
      <c r="I14" s="60">
        <v>46</v>
      </c>
      <c r="J14" s="60">
        <v>45</v>
      </c>
      <c r="K14" s="60">
        <v>50</v>
      </c>
      <c r="L14" s="60">
        <v>52</v>
      </c>
      <c r="M14" s="60">
        <v>54</v>
      </c>
      <c r="N14" s="60">
        <v>57</v>
      </c>
      <c r="O14" s="60">
        <v>58</v>
      </c>
      <c r="P14" s="60">
        <v>60</v>
      </c>
      <c r="Q14" s="60">
        <v>60</v>
      </c>
      <c r="R14" s="60">
        <v>66</v>
      </c>
      <c r="S14" s="60">
        <v>64</v>
      </c>
      <c r="T14" s="60">
        <v>62</v>
      </c>
      <c r="U14" s="60">
        <v>58</v>
      </c>
      <c r="V14" s="60">
        <v>54</v>
      </c>
    </row>
    <row r="15" spans="1:22" ht="13.2">
      <c r="A15" s="60">
        <f t="shared" si="0"/>
        <v>7</v>
      </c>
      <c r="B15" s="63" t="s">
        <v>70</v>
      </c>
      <c r="C15" s="60">
        <v>45</v>
      </c>
      <c r="D15" s="60">
        <v>44</v>
      </c>
      <c r="E15" s="60">
        <v>43</v>
      </c>
      <c r="F15" s="60">
        <v>44</v>
      </c>
      <c r="G15" s="60">
        <v>42</v>
      </c>
      <c r="H15" s="60">
        <v>41</v>
      </c>
      <c r="I15" s="60">
        <v>42</v>
      </c>
      <c r="J15" s="60">
        <v>43</v>
      </c>
      <c r="K15" s="60">
        <v>43</v>
      </c>
      <c r="L15" s="60">
        <v>49</v>
      </c>
      <c r="M15" s="60">
        <v>51</v>
      </c>
      <c r="N15" s="60">
        <v>58</v>
      </c>
      <c r="O15" s="60">
        <v>59</v>
      </c>
      <c r="P15" s="60">
        <v>60</v>
      </c>
      <c r="Q15" s="60">
        <v>60</v>
      </c>
      <c r="R15" s="60">
        <v>61</v>
      </c>
      <c r="S15" s="60">
        <v>61</v>
      </c>
      <c r="T15" s="60">
        <v>60</v>
      </c>
      <c r="U15" s="60">
        <v>56</v>
      </c>
      <c r="V15" s="60">
        <v>52</v>
      </c>
    </row>
    <row r="16" spans="1:22" ht="13.2">
      <c r="A16" s="60">
        <f t="shared" si="0"/>
        <v>8</v>
      </c>
      <c r="B16" s="63" t="s">
        <v>71</v>
      </c>
      <c r="C16" s="60">
        <v>41</v>
      </c>
      <c r="D16" s="60">
        <v>41</v>
      </c>
      <c r="E16" s="60">
        <v>40</v>
      </c>
      <c r="F16" s="60">
        <v>40</v>
      </c>
      <c r="G16" s="60">
        <v>40</v>
      </c>
      <c r="H16" s="60">
        <v>41</v>
      </c>
      <c r="I16" s="60">
        <v>42</v>
      </c>
      <c r="J16" s="60">
        <v>41</v>
      </c>
      <c r="K16" s="60">
        <v>43</v>
      </c>
      <c r="L16" s="60">
        <v>49</v>
      </c>
      <c r="M16" s="60">
        <v>54</v>
      </c>
      <c r="N16" s="60">
        <v>60</v>
      </c>
      <c r="O16" s="60">
        <v>63</v>
      </c>
      <c r="P16" s="60">
        <v>66</v>
      </c>
      <c r="Q16" s="60">
        <v>66</v>
      </c>
      <c r="R16" s="60">
        <v>65</v>
      </c>
      <c r="S16" s="60">
        <v>64</v>
      </c>
      <c r="T16" s="60">
        <v>62</v>
      </c>
      <c r="U16" s="60">
        <v>58</v>
      </c>
      <c r="V16" s="60">
        <v>54</v>
      </c>
    </row>
    <row r="17" spans="1:22" ht="13.2">
      <c r="A17" s="60">
        <f t="shared" si="0"/>
        <v>9</v>
      </c>
      <c r="B17" s="63" t="s">
        <v>72</v>
      </c>
      <c r="C17" s="60">
        <v>45</v>
      </c>
      <c r="D17" s="60">
        <v>44</v>
      </c>
      <c r="E17" s="60">
        <v>43</v>
      </c>
      <c r="F17" s="60">
        <v>45</v>
      </c>
      <c r="G17" s="60">
        <v>45</v>
      </c>
      <c r="H17" s="60">
        <v>46</v>
      </c>
      <c r="I17" s="60">
        <v>48</v>
      </c>
      <c r="J17" s="60">
        <v>48</v>
      </c>
      <c r="K17" s="60">
        <v>47</v>
      </c>
      <c r="L17" s="60">
        <v>47</v>
      </c>
      <c r="M17" s="60">
        <v>47</v>
      </c>
      <c r="N17" s="60">
        <v>49</v>
      </c>
      <c r="O17" s="60">
        <v>50</v>
      </c>
      <c r="P17" s="60">
        <v>52</v>
      </c>
      <c r="Q17" s="60">
        <v>54</v>
      </c>
      <c r="R17" s="60">
        <v>54</v>
      </c>
      <c r="S17" s="60">
        <v>53</v>
      </c>
      <c r="T17" s="60">
        <v>51</v>
      </c>
      <c r="U17" s="60">
        <v>48</v>
      </c>
      <c r="V17" s="60">
        <v>43</v>
      </c>
    </row>
    <row r="18" spans="1:22" ht="13.2">
      <c r="A18" s="60">
        <f t="shared" si="0"/>
        <v>10</v>
      </c>
      <c r="B18" s="63" t="s">
        <v>75</v>
      </c>
      <c r="C18" s="60">
        <v>46</v>
      </c>
      <c r="D18" s="60">
        <v>42</v>
      </c>
      <c r="E18" s="60">
        <v>47</v>
      </c>
      <c r="F18" s="60">
        <v>45</v>
      </c>
      <c r="G18" s="60">
        <v>43</v>
      </c>
      <c r="H18" s="60">
        <v>44</v>
      </c>
      <c r="I18" s="60">
        <v>43</v>
      </c>
      <c r="J18" s="60">
        <v>39</v>
      </c>
      <c r="K18" s="60">
        <v>37</v>
      </c>
      <c r="L18" s="60">
        <v>39</v>
      </c>
      <c r="M18" s="60">
        <v>46</v>
      </c>
      <c r="N18" s="60">
        <v>57</v>
      </c>
      <c r="O18" s="60">
        <v>59</v>
      </c>
      <c r="P18" s="60">
        <v>59</v>
      </c>
      <c r="Q18" s="60">
        <v>60</v>
      </c>
      <c r="R18" s="60">
        <v>61</v>
      </c>
      <c r="S18" s="60">
        <v>57</v>
      </c>
      <c r="T18" s="60">
        <v>55</v>
      </c>
      <c r="U18" s="60">
        <v>50</v>
      </c>
      <c r="V18" s="60">
        <v>48</v>
      </c>
    </row>
    <row r="19" spans="1:22" ht="13.2">
      <c r="A19" s="60">
        <f t="shared" si="0"/>
        <v>11</v>
      </c>
      <c r="B19" s="63" t="s">
        <v>73</v>
      </c>
      <c r="C19" s="60">
        <v>47</v>
      </c>
      <c r="D19" s="60">
        <v>45</v>
      </c>
      <c r="E19" s="60">
        <v>44</v>
      </c>
      <c r="F19" s="60">
        <v>43</v>
      </c>
      <c r="G19" s="60">
        <v>43</v>
      </c>
      <c r="H19" s="60">
        <v>43</v>
      </c>
      <c r="I19" s="60">
        <v>43</v>
      </c>
      <c r="J19" s="60">
        <v>41</v>
      </c>
      <c r="K19" s="60">
        <v>42</v>
      </c>
      <c r="L19" s="60">
        <v>44</v>
      </c>
      <c r="M19" s="60">
        <v>53</v>
      </c>
      <c r="N19" s="60">
        <v>60</v>
      </c>
      <c r="O19" s="60">
        <v>62</v>
      </c>
      <c r="P19" s="60">
        <v>64</v>
      </c>
      <c r="Q19" s="60">
        <v>65</v>
      </c>
      <c r="R19" s="60">
        <v>65</v>
      </c>
      <c r="S19" s="60">
        <v>64</v>
      </c>
      <c r="T19" s="60">
        <v>62</v>
      </c>
      <c r="U19" s="60">
        <v>55</v>
      </c>
      <c r="V19" s="60">
        <v>52</v>
      </c>
    </row>
    <row r="20" spans="1:22" ht="13.2">
      <c r="A20" s="60">
        <f t="shared" si="0"/>
        <v>12</v>
      </c>
      <c r="B20" s="63" t="s">
        <v>74</v>
      </c>
      <c r="C20" s="60">
        <v>44</v>
      </c>
      <c r="D20" s="60">
        <v>40</v>
      </c>
      <c r="E20" s="60">
        <v>37</v>
      </c>
      <c r="F20" s="60">
        <v>40</v>
      </c>
      <c r="G20" s="60">
        <v>39</v>
      </c>
      <c r="H20" s="60">
        <v>38</v>
      </c>
      <c r="I20" s="60">
        <v>39</v>
      </c>
      <c r="J20" s="60">
        <v>38</v>
      </c>
      <c r="K20" s="60">
        <v>41</v>
      </c>
      <c r="L20" s="60">
        <v>50</v>
      </c>
      <c r="M20" s="60">
        <v>54</v>
      </c>
      <c r="N20" s="60">
        <v>57</v>
      </c>
      <c r="O20" s="60">
        <v>56</v>
      </c>
      <c r="P20" s="60">
        <v>58</v>
      </c>
      <c r="Q20" s="60">
        <v>58</v>
      </c>
      <c r="R20" s="60">
        <v>58</v>
      </c>
      <c r="S20" s="60">
        <v>56</v>
      </c>
      <c r="T20" s="60">
        <v>53</v>
      </c>
      <c r="U20" s="60">
        <v>45</v>
      </c>
      <c r="V20" s="60">
        <v>43</v>
      </c>
    </row>
    <row r="21" spans="1:1" ht="13.2">
      <c r="A21" s="60">
        <f t="shared" si="0"/>
        <v>13</v>
      </c>
    </row>
    <row r="22" spans="1:1" ht="13.2">
      <c r="A22" s="60">
        <f t="shared" si="0"/>
        <v>14</v>
      </c>
    </row>
    <row r="23" spans="1:21" ht="13.2">
      <c r="A23" s="60">
        <f t="shared" si="0"/>
        <v>15</v>
      </c>
      <c r="B23" s="65" t="s">
        <v>69</v>
      </c>
      <c r="C23" s="65" t="s">
        <v>49</v>
      </c>
      <c r="D23" s="65" t="s">
        <v>50</v>
      </c>
      <c r="E23" s="65" t="s">
        <v>51</v>
      </c>
      <c r="F23" s="65" t="s">
        <v>52</v>
      </c>
      <c r="G23" s="65" t="s">
        <v>53</v>
      </c>
      <c r="H23" s="65" t="s">
        <v>99</v>
      </c>
      <c r="I23" s="65" t="s">
        <v>60</v>
      </c>
      <c r="J23" s="65" t="s">
        <v>61</v>
      </c>
      <c r="K23" s="65" t="s">
        <v>110</v>
      </c>
      <c r="L23" s="65" t="s">
        <v>62</v>
      </c>
      <c r="M23" s="80" t="s">
        <v>118</v>
      </c>
      <c r="N23" s="80" t="s">
        <v>90</v>
      </c>
      <c r="O23" s="80" t="s">
        <v>119</v>
      </c>
      <c r="P23" s="80" t="s">
        <v>104</v>
      </c>
      <c r="Q23" s="64" t="s">
        <v>63</v>
      </c>
      <c r="R23" s="64" t="s">
        <v>64</v>
      </c>
      <c r="S23" s="64" t="s">
        <v>65</v>
      </c>
      <c r="T23" s="64" t="s">
        <v>91</v>
      </c>
      <c r="U23" s="64" t="s">
        <v>112</v>
      </c>
    </row>
    <row r="24" spans="1:36" ht="13.2">
      <c r="A24" s="60">
        <f t="shared" si="0"/>
        <v>16</v>
      </c>
      <c r="B24" s="63" t="s">
        <v>27</v>
      </c>
      <c r="C24" s="60">
        <v>42</v>
      </c>
      <c r="D24" s="60">
        <v>43</v>
      </c>
      <c r="E24" s="60">
        <v>35</v>
      </c>
      <c r="F24" s="60">
        <v>33</v>
      </c>
      <c r="G24" s="62">
        <f t="shared" si="1" ref="G24:G32">ROUND(AVERAGE(C11:V11,C24:F24),1)</f>
        <v>48.100000000000001</v>
      </c>
      <c r="H24" s="62">
        <f t="shared" si="2" ref="H24:H33">MAX(40-$G24,0)</f>
        <v>0</v>
      </c>
      <c r="I24" s="62">
        <f t="shared" si="3" ref="I24:I33">MAX(45-$G24,0)</f>
        <v>0</v>
      </c>
      <c r="J24" s="62">
        <f t="shared" si="4" ref="J24:J33">MAX(50-$G24,0)</f>
        <v>1.8999999999999986</v>
      </c>
      <c r="K24" s="62">
        <f t="shared" si="5" ref="K24:K33">MAX(55-$G24,0)</f>
        <v>6.8999999999999986</v>
      </c>
      <c r="L24" s="62">
        <f t="shared" si="6" ref="L24:L33">MAX(60-$G24,0)</f>
        <v>11.899999999999999</v>
      </c>
      <c r="M24" s="62">
        <f t="shared" si="7" ref="M24:M33">MAX(65-$G24,0)</f>
        <v>16.899999999999999</v>
      </c>
      <c r="N24" s="62">
        <f t="shared" si="8" ref="N24:N33">MAX($G24-50,0)</f>
        <v>0</v>
      </c>
      <c r="O24" s="62">
        <f t="shared" si="9" ref="O24:O33">MAX($G24-55,0)</f>
        <v>0</v>
      </c>
      <c r="P24" s="62">
        <f t="shared" si="10" ref="P24:P33">MAX($G24-60,0)</f>
        <v>0</v>
      </c>
      <c r="Q24" s="62">
        <f t="shared" si="11" ref="Q24:Q33">MAX($G24-65,0)</f>
        <v>0</v>
      </c>
      <c r="R24" s="62">
        <f t="shared" si="12" ref="R24:R33">MAX($G24-70,0)</f>
        <v>0</v>
      </c>
      <c r="S24" s="62">
        <f t="shared" si="13" ref="S24:S33">MAX($G24-75,0)</f>
        <v>0</v>
      </c>
      <c r="T24" s="62">
        <f t="shared" si="14" ref="T24:T33">MAX($G24-80,0)</f>
        <v>0</v>
      </c>
      <c r="U24" s="62">
        <f t="shared" si="15" ref="U24:U33">MAX($G24-85,0)</f>
        <v>0</v>
      </c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2"/>
    </row>
    <row r="25" spans="1:21" ht="13.2">
      <c r="A25" s="60">
        <f t="shared" si="0"/>
        <v>17</v>
      </c>
      <c r="B25" s="63" t="s">
        <v>66</v>
      </c>
      <c r="C25" s="60">
        <v>57</v>
      </c>
      <c r="D25" s="60">
        <v>55</v>
      </c>
      <c r="E25" s="60">
        <v>51</v>
      </c>
      <c r="F25" s="60">
        <v>50</v>
      </c>
      <c r="G25" s="62">
        <f t="shared" si="1"/>
        <v>53.5</v>
      </c>
      <c r="H25" s="62">
        <f t="shared" si="2"/>
        <v>0</v>
      </c>
      <c r="I25" s="62">
        <f t="shared" si="3"/>
        <v>0</v>
      </c>
      <c r="J25" s="62">
        <f t="shared" si="4"/>
        <v>0</v>
      </c>
      <c r="K25" s="62">
        <f t="shared" si="5"/>
        <v>1.5</v>
      </c>
      <c r="L25" s="62">
        <f t="shared" si="6"/>
        <v>6.5</v>
      </c>
      <c r="M25" s="62">
        <f t="shared" si="7"/>
        <v>11.5</v>
      </c>
      <c r="N25" s="62">
        <f t="shared" si="8"/>
        <v>3.5</v>
      </c>
      <c r="O25" s="62">
        <f t="shared" si="9"/>
        <v>0</v>
      </c>
      <c r="P25" s="62">
        <f t="shared" si="10"/>
        <v>0</v>
      </c>
      <c r="Q25" s="62">
        <f t="shared" si="11"/>
        <v>0</v>
      </c>
      <c r="R25" s="62">
        <f t="shared" si="12"/>
        <v>0</v>
      </c>
      <c r="S25" s="62">
        <f t="shared" si="13"/>
        <v>0</v>
      </c>
      <c r="T25" s="62">
        <f t="shared" si="14"/>
        <v>0</v>
      </c>
      <c r="U25" s="62">
        <f t="shared" si="15"/>
        <v>0</v>
      </c>
    </row>
    <row r="26" spans="1:21" ht="13.2">
      <c r="A26" s="60">
        <f t="shared" si="0"/>
        <v>18</v>
      </c>
      <c r="B26" s="63" t="s">
        <v>67</v>
      </c>
      <c r="C26" s="60">
        <v>50</v>
      </c>
      <c r="D26" s="60">
        <v>49</v>
      </c>
      <c r="E26" s="60">
        <v>47</v>
      </c>
      <c r="F26" s="60">
        <v>46</v>
      </c>
      <c r="G26" s="62">
        <f t="shared" si="1"/>
        <v>50.100000000000001</v>
      </c>
      <c r="H26" s="62">
        <f t="shared" si="2"/>
        <v>0</v>
      </c>
      <c r="I26" s="62">
        <f t="shared" si="3"/>
        <v>0</v>
      </c>
      <c r="J26" s="62">
        <f t="shared" si="4"/>
        <v>0</v>
      </c>
      <c r="K26" s="62">
        <f t="shared" si="5"/>
        <v>4.8999999999999986</v>
      </c>
      <c r="L26" s="62">
        <f t="shared" si="6"/>
        <v>9.8999999999999986</v>
      </c>
      <c r="M26" s="62">
        <f t="shared" si="7"/>
        <v>14.899999999999999</v>
      </c>
      <c r="N26" s="62">
        <f t="shared" si="8"/>
        <v>0.10000000000000142</v>
      </c>
      <c r="O26" s="62">
        <f t="shared" si="9"/>
        <v>0</v>
      </c>
      <c r="P26" s="62">
        <f t="shared" si="10"/>
        <v>0</v>
      </c>
      <c r="Q26" s="62">
        <f t="shared" si="11"/>
        <v>0</v>
      </c>
      <c r="R26" s="62">
        <f t="shared" si="12"/>
        <v>0</v>
      </c>
      <c r="S26" s="62">
        <f t="shared" si="13"/>
        <v>0</v>
      </c>
      <c r="T26" s="62">
        <f t="shared" si="14"/>
        <v>0</v>
      </c>
      <c r="U26" s="62">
        <f t="shared" si="15"/>
        <v>0</v>
      </c>
    </row>
    <row r="27" spans="1:21" ht="13.2">
      <c r="A27" s="60">
        <f t="shared" si="0"/>
        <v>19</v>
      </c>
      <c r="B27" s="63" t="s">
        <v>68</v>
      </c>
      <c r="C27" s="60">
        <v>51</v>
      </c>
      <c r="D27" s="60">
        <v>48</v>
      </c>
      <c r="E27" s="60">
        <v>49</v>
      </c>
      <c r="F27" s="60">
        <v>45</v>
      </c>
      <c r="G27" s="62">
        <f>ROUND(AVERAGE(C14:V14,C27:F27),1)</f>
        <v>51.899999999999999</v>
      </c>
      <c r="H27" s="62">
        <f t="shared" si="2"/>
        <v>0</v>
      </c>
      <c r="I27" s="62">
        <f t="shared" si="3"/>
        <v>0</v>
      </c>
      <c r="J27" s="62">
        <f t="shared" si="4"/>
        <v>0</v>
      </c>
      <c r="K27" s="62">
        <f t="shared" si="5"/>
        <v>3.1000000000000014</v>
      </c>
      <c r="L27" s="62">
        <f t="shared" si="6"/>
        <v>8.1000000000000014</v>
      </c>
      <c r="M27" s="62">
        <f t="shared" si="7"/>
        <v>13.100000000000001</v>
      </c>
      <c r="N27" s="62">
        <f t="shared" si="8"/>
        <v>1.8999999999999986</v>
      </c>
      <c r="O27" s="62">
        <f t="shared" si="9"/>
        <v>0</v>
      </c>
      <c r="P27" s="62">
        <f t="shared" si="10"/>
        <v>0</v>
      </c>
      <c r="Q27" s="62">
        <f t="shared" si="11"/>
        <v>0</v>
      </c>
      <c r="R27" s="62">
        <f t="shared" si="12"/>
        <v>0</v>
      </c>
      <c r="S27" s="62">
        <f t="shared" si="13"/>
        <v>0</v>
      </c>
      <c r="T27" s="62">
        <f t="shared" si="14"/>
        <v>0</v>
      </c>
      <c r="U27" s="62">
        <f t="shared" si="15"/>
        <v>0</v>
      </c>
    </row>
    <row r="28" spans="1:21" ht="13.2">
      <c r="A28" s="60">
        <f t="shared" si="0"/>
        <v>20</v>
      </c>
      <c r="B28" s="63" t="s">
        <v>70</v>
      </c>
      <c r="C28" s="60">
        <v>51</v>
      </c>
      <c r="D28" s="60">
        <v>48</v>
      </c>
      <c r="E28" s="60">
        <v>46</v>
      </c>
      <c r="F28" s="60">
        <v>44</v>
      </c>
      <c r="G28" s="62">
        <f t="shared" si="1"/>
        <v>50.100000000000001</v>
      </c>
      <c r="H28" s="62">
        <f t="shared" si="2"/>
        <v>0</v>
      </c>
      <c r="I28" s="62">
        <f t="shared" si="3"/>
        <v>0</v>
      </c>
      <c r="J28" s="62">
        <f t="shared" si="4"/>
        <v>0</v>
      </c>
      <c r="K28" s="62">
        <f t="shared" si="5"/>
        <v>4.8999999999999986</v>
      </c>
      <c r="L28" s="62">
        <f t="shared" si="6"/>
        <v>9.8999999999999986</v>
      </c>
      <c r="M28" s="62">
        <f t="shared" si="7"/>
        <v>14.899999999999999</v>
      </c>
      <c r="N28" s="62">
        <f t="shared" si="8"/>
        <v>0.10000000000000142</v>
      </c>
      <c r="O28" s="62">
        <f t="shared" si="9"/>
        <v>0</v>
      </c>
      <c r="P28" s="62">
        <f t="shared" si="10"/>
        <v>0</v>
      </c>
      <c r="Q28" s="62">
        <f t="shared" si="11"/>
        <v>0</v>
      </c>
      <c r="R28" s="62">
        <f t="shared" si="12"/>
        <v>0</v>
      </c>
      <c r="S28" s="62">
        <f t="shared" si="13"/>
        <v>0</v>
      </c>
      <c r="T28" s="62">
        <f t="shared" si="14"/>
        <v>0</v>
      </c>
      <c r="U28" s="62">
        <f t="shared" si="15"/>
        <v>0</v>
      </c>
    </row>
    <row r="29" spans="1:21" ht="13.2">
      <c r="A29" s="60">
        <f t="shared" si="0"/>
        <v>21</v>
      </c>
      <c r="B29" s="63" t="s">
        <v>71</v>
      </c>
      <c r="C29" s="60">
        <v>47</v>
      </c>
      <c r="D29" s="60">
        <v>51</v>
      </c>
      <c r="E29" s="60">
        <v>51</v>
      </c>
      <c r="F29" s="60">
        <v>48</v>
      </c>
      <c r="G29" s="62">
        <f t="shared" si="1"/>
        <v>51.100000000000001</v>
      </c>
      <c r="H29" s="62">
        <f t="shared" si="2"/>
        <v>0</v>
      </c>
      <c r="I29" s="62">
        <f t="shared" si="3"/>
        <v>0</v>
      </c>
      <c r="J29" s="62">
        <f t="shared" si="4"/>
        <v>0</v>
      </c>
      <c r="K29" s="62">
        <f t="shared" si="5"/>
        <v>3.8999999999999986</v>
      </c>
      <c r="L29" s="62">
        <f t="shared" si="6"/>
        <v>8.8999999999999986</v>
      </c>
      <c r="M29" s="62">
        <f t="shared" si="7"/>
        <v>13.899999999999999</v>
      </c>
      <c r="N29" s="62">
        <f t="shared" si="8"/>
        <v>1.1000000000000014</v>
      </c>
      <c r="O29" s="62">
        <f t="shared" si="9"/>
        <v>0</v>
      </c>
      <c r="P29" s="62">
        <f t="shared" si="10"/>
        <v>0</v>
      </c>
      <c r="Q29" s="62">
        <f t="shared" si="11"/>
        <v>0</v>
      </c>
      <c r="R29" s="62">
        <f t="shared" si="12"/>
        <v>0</v>
      </c>
      <c r="S29" s="62">
        <f t="shared" si="13"/>
        <v>0</v>
      </c>
      <c r="T29" s="62">
        <f t="shared" si="14"/>
        <v>0</v>
      </c>
      <c r="U29" s="62">
        <f t="shared" si="15"/>
        <v>0</v>
      </c>
    </row>
    <row r="30" spans="1:21" ht="13.2">
      <c r="A30" s="60">
        <f t="shared" si="0"/>
        <v>22</v>
      </c>
      <c r="B30" s="63" t="s">
        <v>72</v>
      </c>
      <c r="C30" s="60">
        <v>39</v>
      </c>
      <c r="D30" s="60">
        <v>36</v>
      </c>
      <c r="E30" s="60">
        <v>33</v>
      </c>
      <c r="F30" s="60">
        <v>33</v>
      </c>
      <c r="G30" s="62">
        <f t="shared" si="1"/>
        <v>45.799999999999997</v>
      </c>
      <c r="H30" s="62">
        <f t="shared" si="2"/>
        <v>0</v>
      </c>
      <c r="I30" s="62">
        <f t="shared" si="3"/>
        <v>0</v>
      </c>
      <c r="J30" s="62">
        <f t="shared" si="4"/>
        <v>4.2000000000000028</v>
      </c>
      <c r="K30" s="62">
        <f t="shared" si="5"/>
        <v>9.2000000000000028</v>
      </c>
      <c r="L30" s="62">
        <f t="shared" si="6"/>
        <v>14.200000000000003</v>
      </c>
      <c r="M30" s="62">
        <f t="shared" si="7"/>
        <v>19.200000000000003</v>
      </c>
      <c r="N30" s="62">
        <f t="shared" si="8"/>
        <v>0</v>
      </c>
      <c r="O30" s="62">
        <f t="shared" si="9"/>
        <v>0</v>
      </c>
      <c r="P30" s="62">
        <f t="shared" si="10"/>
        <v>0</v>
      </c>
      <c r="Q30" s="62">
        <f t="shared" si="11"/>
        <v>0</v>
      </c>
      <c r="R30" s="62">
        <f t="shared" si="12"/>
        <v>0</v>
      </c>
      <c r="S30" s="62">
        <f t="shared" si="13"/>
        <v>0</v>
      </c>
      <c r="T30" s="62">
        <f t="shared" si="14"/>
        <v>0</v>
      </c>
      <c r="U30" s="62">
        <f t="shared" si="15"/>
        <v>0</v>
      </c>
    </row>
    <row r="31" spans="1:21" ht="13.2">
      <c r="A31" s="60">
        <f t="shared" si="0"/>
        <v>23</v>
      </c>
      <c r="B31" s="63" t="s">
        <v>75</v>
      </c>
      <c r="C31" s="60">
        <v>45</v>
      </c>
      <c r="D31" s="60">
        <v>42</v>
      </c>
      <c r="E31" s="60">
        <v>40</v>
      </c>
      <c r="F31" s="60">
        <v>38</v>
      </c>
      <c r="G31" s="62">
        <f t="shared" si="1"/>
        <v>47.600000000000001</v>
      </c>
      <c r="H31" s="62">
        <f t="shared" si="2"/>
        <v>0</v>
      </c>
      <c r="I31" s="62">
        <f t="shared" si="3"/>
        <v>0</v>
      </c>
      <c r="J31" s="62">
        <f t="shared" si="4"/>
        <v>2.3999999999999986</v>
      </c>
      <c r="K31" s="62">
        <f t="shared" si="5"/>
        <v>7.3999999999999986</v>
      </c>
      <c r="L31" s="62">
        <f t="shared" si="6"/>
        <v>12.399999999999999</v>
      </c>
      <c r="M31" s="62">
        <f t="shared" si="7"/>
        <v>17.399999999999999</v>
      </c>
      <c r="N31" s="62">
        <f t="shared" si="8"/>
        <v>0</v>
      </c>
      <c r="O31" s="62">
        <f t="shared" si="9"/>
        <v>0</v>
      </c>
      <c r="P31" s="62">
        <f t="shared" si="10"/>
        <v>0</v>
      </c>
      <c r="Q31" s="62">
        <f t="shared" si="11"/>
        <v>0</v>
      </c>
      <c r="R31" s="62">
        <f t="shared" si="12"/>
        <v>0</v>
      </c>
      <c r="S31" s="62">
        <f t="shared" si="13"/>
        <v>0</v>
      </c>
      <c r="T31" s="62">
        <f t="shared" si="14"/>
        <v>0</v>
      </c>
      <c r="U31" s="62">
        <f t="shared" si="15"/>
        <v>0</v>
      </c>
    </row>
    <row r="32" spans="1:21" ht="13.2">
      <c r="A32" s="60">
        <f t="shared" si="0"/>
        <v>24</v>
      </c>
      <c r="B32" s="63" t="s">
        <v>73</v>
      </c>
      <c r="C32" s="60">
        <v>51</v>
      </c>
      <c r="D32" s="60">
        <v>48</v>
      </c>
      <c r="E32" s="60">
        <v>46</v>
      </c>
      <c r="F32" s="60">
        <v>44</v>
      </c>
      <c r="G32" s="62">
        <f t="shared" si="1"/>
        <v>51.100000000000001</v>
      </c>
      <c r="H32" s="62">
        <f t="shared" si="2"/>
        <v>0</v>
      </c>
      <c r="I32" s="62">
        <f t="shared" si="3"/>
        <v>0</v>
      </c>
      <c r="J32" s="62">
        <f t="shared" si="4"/>
        <v>0</v>
      </c>
      <c r="K32" s="62">
        <f t="shared" si="5"/>
        <v>3.8999999999999986</v>
      </c>
      <c r="L32" s="62">
        <f t="shared" si="6"/>
        <v>8.8999999999999986</v>
      </c>
      <c r="M32" s="62">
        <f t="shared" si="7"/>
        <v>13.899999999999999</v>
      </c>
      <c r="N32" s="62">
        <f t="shared" si="8"/>
        <v>1.1000000000000014</v>
      </c>
      <c r="O32" s="62">
        <f t="shared" si="9"/>
        <v>0</v>
      </c>
      <c r="P32" s="62">
        <f t="shared" si="10"/>
        <v>0</v>
      </c>
      <c r="Q32" s="62">
        <f t="shared" si="11"/>
        <v>0</v>
      </c>
      <c r="R32" s="62">
        <f t="shared" si="12"/>
        <v>0</v>
      </c>
      <c r="S32" s="62">
        <f t="shared" si="13"/>
        <v>0</v>
      </c>
      <c r="T32" s="62">
        <f t="shared" si="14"/>
        <v>0</v>
      </c>
      <c r="U32" s="62">
        <f t="shared" si="15"/>
        <v>0</v>
      </c>
    </row>
    <row r="33" spans="1:21" ht="13.2">
      <c r="A33" s="60">
        <f t="shared" si="0"/>
        <v>25</v>
      </c>
      <c r="B33" s="63" t="s">
        <v>74</v>
      </c>
      <c r="C33" s="60">
        <v>43</v>
      </c>
      <c r="D33" s="60">
        <v>41</v>
      </c>
      <c r="E33" s="60">
        <v>39</v>
      </c>
      <c r="F33" s="60">
        <v>42</v>
      </c>
      <c r="G33" s="62">
        <f>ROUND(AVERAGE(C20:V20,C33:F33),1)</f>
        <v>46.200000000000003</v>
      </c>
      <c r="H33" s="62">
        <f t="shared" si="2"/>
        <v>0</v>
      </c>
      <c r="I33" s="62">
        <f t="shared" si="3"/>
        <v>0</v>
      </c>
      <c r="J33" s="62">
        <f t="shared" si="4"/>
        <v>3.7999999999999972</v>
      </c>
      <c r="K33" s="62">
        <f t="shared" si="5"/>
        <v>8.7999999999999972</v>
      </c>
      <c r="L33" s="62">
        <f t="shared" si="6"/>
        <v>13.799999999999997</v>
      </c>
      <c r="M33" s="62">
        <f t="shared" si="7"/>
        <v>18.799999999999997</v>
      </c>
      <c r="N33" s="62">
        <f t="shared" si="8"/>
        <v>0</v>
      </c>
      <c r="O33" s="62">
        <f t="shared" si="9"/>
        <v>0</v>
      </c>
      <c r="P33" s="62">
        <f t="shared" si="10"/>
        <v>0</v>
      </c>
      <c r="Q33" s="62">
        <f t="shared" si="11"/>
        <v>0</v>
      </c>
      <c r="R33" s="62">
        <f t="shared" si="12"/>
        <v>0</v>
      </c>
      <c r="S33" s="62">
        <f t="shared" si="13"/>
        <v>0</v>
      </c>
      <c r="T33" s="62">
        <f t="shared" si="14"/>
        <v>0</v>
      </c>
      <c r="U33" s="62">
        <f t="shared" si="15"/>
        <v>0</v>
      </c>
    </row>
  </sheetData>
  <mergeCells count="6">
    <mergeCell ref="B9:T9"/>
    <mergeCell ref="B1:T1"/>
    <mergeCell ref="B2:T2"/>
    <mergeCell ref="B3:T3"/>
    <mergeCell ref="B4:T4"/>
    <mergeCell ref="B6:T6"/>
  </mergeCells>
  <pageMargins left="0.75" right="0.75" top="1" bottom="1" header="0.5" footer="0.5"/>
  <pageSetup orientation="portrait" scale="56" r:id="rId1"/>
  <headerFooter alignWithMargins="0">
    <oddHeader>&amp;RSchedule II-H-5.1
Page &amp;P of  28</oddHead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pageSetUpPr fitToPage="1"/>
  </sheetPr>
  <dimension ref="A1:AJ33"/>
  <sheetViews>
    <sheetView workbookViewId="0" topLeftCell="A1"/>
  </sheetViews>
  <sheetFormatPr defaultRowHeight="13.5"/>
  <cols>
    <col min="1" max="1" width="9.14285714285714" style="60" customWidth="1"/>
    <col min="2" max="2" width="15.7142857142857" style="61" bestFit="1" customWidth="1"/>
    <col min="3" max="6" width="5.42857142857143" style="60" bestFit="1" customWidth="1"/>
    <col min="7" max="7" width="10.7142857142857" style="60" bestFit="1" customWidth="1"/>
    <col min="8" max="14" width="6.85714285714286" style="60" bestFit="1" customWidth="1"/>
    <col min="15" max="23" width="7" style="60" bestFit="1" customWidth="1"/>
    <col min="24" max="29" width="11.4285714285714" style="60" customWidth="1"/>
    <col min="30" max="16384" width="8.85714285714286" style="60"/>
  </cols>
  <sheetData>
    <row r="1" spans="2:29" s="67" customFormat="1" ht="15.6">
      <c r="B1" s="89" t="str">
        <f>+Base40h!B1</f>
        <v xml:space="preserve">PUC DOCKET NO. </v>
      </c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61"/>
      <c r="V1" s="61"/>
      <c r="W1" s="61"/>
      <c r="X1" s="61"/>
      <c r="Y1" s="61"/>
      <c r="Z1" s="61"/>
      <c r="AA1" s="61"/>
      <c r="AB1" s="61"/>
      <c r="AC1" s="61"/>
    </row>
    <row r="2" spans="2:29" s="67" customFormat="1" ht="15.6">
      <c r="B2" s="89" t="str">
        <f>+Base40h!B2</f>
        <v>ONCOR ELECTRIC DELIVERY COMPANY LLC</v>
      </c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61"/>
      <c r="V2" s="61"/>
      <c r="W2" s="61"/>
      <c r="X2" s="61"/>
      <c r="Y2" s="61"/>
      <c r="Z2" s="61"/>
      <c r="AA2" s="61"/>
      <c r="AB2" s="61"/>
      <c r="AC2" s="61"/>
    </row>
    <row r="3" spans="2:29" s="67" customFormat="1" ht="15.6">
      <c r="B3" s="89" t="str">
        <f>+Base40h!B3</f>
        <v>WEATHER STATION DATA</v>
      </c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61"/>
      <c r="V3" s="61"/>
      <c r="W3" s="61"/>
      <c r="X3" s="61"/>
      <c r="Y3" s="61"/>
      <c r="Z3" s="61"/>
      <c r="AA3" s="61"/>
      <c r="AB3" s="61"/>
      <c r="AC3" s="61"/>
    </row>
    <row r="4" spans="2:29" s="67" customFormat="1" ht="15.6">
      <c r="B4" s="89" t="str">
        <f>+Base40h!B4</f>
        <v>FOR THE TEST YEAR ENDING DECEMBER 31, 2021</v>
      </c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U4" s="61"/>
      <c r="V4" s="61"/>
      <c r="W4" s="61"/>
      <c r="X4" s="61"/>
      <c r="Y4" s="61"/>
      <c r="Z4" s="61"/>
      <c r="AA4" s="61"/>
      <c r="AB4" s="61"/>
      <c r="AC4" s="61"/>
    </row>
    <row r="5" spans="2:29" s="67" customFormat="1" ht="11.4">
      <c r="B5" s="69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  <c r="AA5" s="68"/>
      <c r="AB5" s="68"/>
      <c r="AC5" s="68"/>
    </row>
    <row r="6" spans="2:29" s="67" customFormat="1" ht="15.6">
      <c r="B6" s="89" t="str">
        <f>+Base40h!B6</f>
        <v>SPONSOR: D. E. NELSON</v>
      </c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8"/>
      <c r="Q6" s="88"/>
      <c r="R6" s="88"/>
      <c r="S6" s="88"/>
      <c r="T6" s="88"/>
      <c r="U6" s="61"/>
      <c r="V6" s="61"/>
      <c r="W6" s="61"/>
      <c r="X6" s="61"/>
      <c r="Y6" s="61"/>
      <c r="Z6" s="61"/>
      <c r="AA6" s="61"/>
      <c r="AB6" s="61"/>
      <c r="AC6" s="61"/>
    </row>
    <row r="7" spans="1:1" ht="24" thickBot="1">
      <c r="A7" s="66" t="s">
        <v>4</v>
      </c>
    </row>
    <row r="9" spans="1:20" ht="13.2">
      <c r="A9" s="60">
        <v>1</v>
      </c>
      <c r="B9" s="87" t="s">
        <v>124</v>
      </c>
      <c r="C9" s="88"/>
      <c r="D9" s="88"/>
      <c r="E9" s="88"/>
      <c r="F9" s="88"/>
      <c r="G9" s="88"/>
      <c r="H9" s="88"/>
      <c r="I9" s="88"/>
      <c r="J9" s="88"/>
      <c r="K9" s="88"/>
      <c r="L9" s="88"/>
      <c r="M9" s="88"/>
      <c r="N9" s="88"/>
      <c r="O9" s="88"/>
      <c r="P9" s="88"/>
      <c r="Q9" s="88"/>
      <c r="R9" s="88"/>
      <c r="S9" s="88"/>
      <c r="T9" s="88"/>
    </row>
    <row r="10" spans="1:22" s="65" customFormat="1" ht="13.2">
      <c r="A10" s="60">
        <f t="shared" si="0" ref="A10:A33">+A9+1</f>
        <v>2</v>
      </c>
      <c r="B10" s="65" t="s">
        <v>69</v>
      </c>
      <c r="C10" s="65" t="s">
        <v>29</v>
      </c>
      <c r="D10" s="65" t="s">
        <v>30</v>
      </c>
      <c r="E10" s="65" t="s">
        <v>31</v>
      </c>
      <c r="F10" s="65" t="s">
        <v>32</v>
      </c>
      <c r="G10" s="65" t="s">
        <v>33</v>
      </c>
      <c r="H10" s="65" t="s">
        <v>34</v>
      </c>
      <c r="I10" s="65" t="s">
        <v>35</v>
      </c>
      <c r="J10" s="65" t="s">
        <v>36</v>
      </c>
      <c r="K10" s="65" t="s">
        <v>37</v>
      </c>
      <c r="L10" s="65" t="s">
        <v>38</v>
      </c>
      <c r="M10" s="65" t="s">
        <v>39</v>
      </c>
      <c r="N10" s="65" t="s">
        <v>40</v>
      </c>
      <c r="O10" s="65" t="s">
        <v>41</v>
      </c>
      <c r="P10" s="65" t="s">
        <v>42</v>
      </c>
      <c r="Q10" s="65" t="s">
        <v>43</v>
      </c>
      <c r="R10" s="65" t="s">
        <v>44</v>
      </c>
      <c r="S10" s="65" t="s">
        <v>45</v>
      </c>
      <c r="T10" s="65" t="s">
        <v>46</v>
      </c>
      <c r="U10" s="65" t="s">
        <v>47</v>
      </c>
      <c r="V10" s="65" t="s">
        <v>48</v>
      </c>
    </row>
    <row r="11" spans="1:22" ht="13.2">
      <c r="A11" s="60">
        <f t="shared" si="0"/>
        <v>3</v>
      </c>
      <c r="B11" s="63" t="s">
        <v>27</v>
      </c>
      <c r="C11" s="60">
        <v>75</v>
      </c>
      <c r="D11" s="60">
        <v>73</v>
      </c>
      <c r="E11" s="60">
        <v>72</v>
      </c>
      <c r="F11" s="60">
        <v>71</v>
      </c>
      <c r="G11" s="60">
        <v>71</v>
      </c>
      <c r="H11" s="60">
        <v>70</v>
      </c>
      <c r="I11" s="60">
        <v>70</v>
      </c>
      <c r="J11" s="60">
        <v>73</v>
      </c>
      <c r="K11" s="60">
        <v>76</v>
      </c>
      <c r="L11" s="60">
        <v>77</v>
      </c>
      <c r="M11" s="60">
        <v>79</v>
      </c>
      <c r="N11" s="60">
        <v>83</v>
      </c>
      <c r="O11" s="60">
        <v>86</v>
      </c>
      <c r="P11" s="60">
        <v>88</v>
      </c>
      <c r="Q11" s="60">
        <v>89</v>
      </c>
      <c r="R11" s="60">
        <v>89</v>
      </c>
      <c r="S11" s="60">
        <v>90</v>
      </c>
      <c r="T11" s="60">
        <v>90</v>
      </c>
      <c r="U11" s="60">
        <v>89</v>
      </c>
      <c r="V11" s="60">
        <v>87</v>
      </c>
    </row>
    <row r="12" spans="1:22" ht="13.2">
      <c r="A12" s="60">
        <f t="shared" si="0"/>
        <v>4</v>
      </c>
      <c r="B12" s="63" t="s">
        <v>66</v>
      </c>
      <c r="C12" s="60">
        <v>68</v>
      </c>
      <c r="D12" s="60">
        <v>67</v>
      </c>
      <c r="E12" s="60">
        <v>70</v>
      </c>
      <c r="F12" s="60">
        <v>69</v>
      </c>
      <c r="G12" s="60">
        <v>69</v>
      </c>
      <c r="H12" s="60">
        <v>70</v>
      </c>
      <c r="I12" s="60">
        <v>71</v>
      </c>
      <c r="J12" s="60">
        <v>72</v>
      </c>
      <c r="K12" s="60">
        <v>72</v>
      </c>
      <c r="L12" s="60">
        <v>74</v>
      </c>
      <c r="M12" s="60">
        <v>76</v>
      </c>
      <c r="N12" s="60">
        <v>83</v>
      </c>
      <c r="O12" s="60">
        <v>84</v>
      </c>
      <c r="P12" s="60">
        <v>89</v>
      </c>
      <c r="Q12" s="60">
        <v>89</v>
      </c>
      <c r="R12" s="60">
        <v>85</v>
      </c>
      <c r="S12" s="60">
        <v>80</v>
      </c>
      <c r="T12" s="60">
        <v>79</v>
      </c>
      <c r="U12" s="60">
        <v>81</v>
      </c>
      <c r="V12" s="60">
        <v>79</v>
      </c>
    </row>
    <row r="13" spans="1:22" ht="13.2">
      <c r="A13" s="60">
        <f t="shared" si="0"/>
        <v>5</v>
      </c>
      <c r="B13" s="63" t="s">
        <v>67</v>
      </c>
      <c r="C13" s="60">
        <v>77</v>
      </c>
      <c r="D13" s="60">
        <v>75</v>
      </c>
      <c r="E13" s="60">
        <v>74</v>
      </c>
      <c r="F13" s="60">
        <v>73</v>
      </c>
      <c r="G13" s="60">
        <v>72</v>
      </c>
      <c r="H13" s="60">
        <v>72</v>
      </c>
      <c r="I13" s="60">
        <v>72</v>
      </c>
      <c r="J13" s="60">
        <v>75</v>
      </c>
      <c r="K13" s="60">
        <v>79</v>
      </c>
      <c r="L13" s="60">
        <v>82</v>
      </c>
      <c r="M13" s="60">
        <v>85</v>
      </c>
      <c r="N13" s="60">
        <v>87</v>
      </c>
      <c r="O13" s="60">
        <v>87</v>
      </c>
      <c r="P13" s="60">
        <v>89</v>
      </c>
      <c r="Q13" s="60">
        <v>90</v>
      </c>
      <c r="R13" s="60">
        <v>91</v>
      </c>
      <c r="S13" s="60">
        <v>90</v>
      </c>
      <c r="T13" s="60">
        <v>92</v>
      </c>
      <c r="U13" s="60">
        <v>90</v>
      </c>
      <c r="V13" s="60">
        <v>88</v>
      </c>
    </row>
    <row r="14" spans="1:22" ht="13.2">
      <c r="A14" s="60">
        <f t="shared" si="0"/>
        <v>6</v>
      </c>
      <c r="B14" s="63" t="s">
        <v>68</v>
      </c>
      <c r="C14" s="60">
        <v>71</v>
      </c>
      <c r="D14" s="60">
        <v>70</v>
      </c>
      <c r="E14" s="60">
        <v>70</v>
      </c>
      <c r="F14" s="60">
        <v>70</v>
      </c>
      <c r="G14" s="60">
        <v>69</v>
      </c>
      <c r="H14" s="60">
        <v>70</v>
      </c>
      <c r="I14" s="60">
        <v>71</v>
      </c>
      <c r="J14" s="60">
        <v>72</v>
      </c>
      <c r="K14" s="60">
        <v>74</v>
      </c>
      <c r="L14" s="60">
        <v>76</v>
      </c>
      <c r="M14" s="60">
        <v>81</v>
      </c>
      <c r="N14" s="60">
        <v>84</v>
      </c>
      <c r="O14" s="60">
        <v>86</v>
      </c>
      <c r="P14" s="60">
        <v>87</v>
      </c>
      <c r="Q14" s="60">
        <v>89</v>
      </c>
      <c r="R14" s="60">
        <v>90</v>
      </c>
      <c r="S14" s="60">
        <v>91</v>
      </c>
      <c r="T14" s="60">
        <v>88</v>
      </c>
      <c r="U14" s="60">
        <v>73</v>
      </c>
      <c r="V14" s="60">
        <v>74</v>
      </c>
    </row>
    <row r="15" spans="1:22" ht="13.2">
      <c r="A15" s="60">
        <f t="shared" si="0"/>
        <v>7</v>
      </c>
      <c r="B15" s="63" t="s">
        <v>70</v>
      </c>
      <c r="C15" s="60">
        <v>72</v>
      </c>
      <c r="D15" s="60">
        <v>72</v>
      </c>
      <c r="E15" s="60">
        <v>70</v>
      </c>
      <c r="F15" s="60">
        <v>70</v>
      </c>
      <c r="G15" s="60">
        <v>69</v>
      </c>
      <c r="H15" s="60">
        <v>69</v>
      </c>
      <c r="I15" s="60">
        <v>70</v>
      </c>
      <c r="J15" s="60">
        <v>73</v>
      </c>
      <c r="K15" s="60">
        <v>77</v>
      </c>
      <c r="L15" s="60">
        <v>81</v>
      </c>
      <c r="M15" s="60">
        <v>83</v>
      </c>
      <c r="N15" s="60">
        <v>87</v>
      </c>
      <c r="O15" s="60">
        <v>88</v>
      </c>
      <c r="P15" s="60">
        <v>89</v>
      </c>
      <c r="Q15" s="60">
        <v>90</v>
      </c>
      <c r="R15" s="60">
        <v>91</v>
      </c>
      <c r="S15" s="60">
        <v>90</v>
      </c>
      <c r="T15" s="60">
        <v>89</v>
      </c>
      <c r="U15" s="60">
        <v>89</v>
      </c>
      <c r="V15" s="60">
        <v>75</v>
      </c>
    </row>
    <row r="16" spans="1:22" ht="13.2">
      <c r="A16" s="60">
        <f t="shared" si="0"/>
        <v>8</v>
      </c>
      <c r="B16" s="63" t="s">
        <v>71</v>
      </c>
      <c r="C16" s="60">
        <v>72</v>
      </c>
      <c r="D16" s="60">
        <v>71</v>
      </c>
      <c r="E16" s="60">
        <v>70</v>
      </c>
      <c r="F16" s="60">
        <v>70</v>
      </c>
      <c r="G16" s="60">
        <v>70</v>
      </c>
      <c r="H16" s="60">
        <v>70</v>
      </c>
      <c r="I16" s="60">
        <v>71</v>
      </c>
      <c r="J16" s="60">
        <v>73</v>
      </c>
      <c r="K16" s="60">
        <v>78</v>
      </c>
      <c r="L16" s="60">
        <v>81</v>
      </c>
      <c r="M16" s="60">
        <v>84</v>
      </c>
      <c r="N16" s="60">
        <v>86</v>
      </c>
      <c r="O16" s="60">
        <v>87</v>
      </c>
      <c r="P16" s="60">
        <v>89</v>
      </c>
      <c r="Q16" s="60">
        <v>91</v>
      </c>
      <c r="R16" s="60">
        <v>92</v>
      </c>
      <c r="S16" s="60">
        <v>84</v>
      </c>
      <c r="T16" s="60">
        <v>82</v>
      </c>
      <c r="U16" s="60">
        <v>80</v>
      </c>
      <c r="V16" s="60">
        <v>79</v>
      </c>
    </row>
    <row r="17" spans="1:22" ht="13.2">
      <c r="A17" s="60">
        <f t="shared" si="0"/>
        <v>9</v>
      </c>
      <c r="B17" s="63" t="s">
        <v>72</v>
      </c>
      <c r="C17" s="60">
        <v>72</v>
      </c>
      <c r="D17" s="60">
        <v>73</v>
      </c>
      <c r="E17" s="60">
        <v>70</v>
      </c>
      <c r="F17" s="60">
        <v>69</v>
      </c>
      <c r="G17" s="60">
        <v>67</v>
      </c>
      <c r="H17" s="60">
        <v>65</v>
      </c>
      <c r="I17" s="60">
        <v>65</v>
      </c>
      <c r="J17" s="60">
        <v>66</v>
      </c>
      <c r="K17" s="60">
        <v>70</v>
      </c>
      <c r="L17" s="60">
        <v>72</v>
      </c>
      <c r="M17" s="60">
        <v>76</v>
      </c>
      <c r="N17" s="60">
        <v>79</v>
      </c>
      <c r="O17" s="60">
        <v>82</v>
      </c>
      <c r="P17" s="60">
        <v>85</v>
      </c>
      <c r="Q17" s="60">
        <v>88</v>
      </c>
      <c r="R17" s="60">
        <v>88</v>
      </c>
      <c r="S17" s="60">
        <v>89</v>
      </c>
      <c r="T17" s="60">
        <v>89</v>
      </c>
      <c r="U17" s="60">
        <v>88</v>
      </c>
      <c r="V17" s="60">
        <v>86</v>
      </c>
    </row>
    <row r="18" spans="1:22" ht="13.2">
      <c r="A18" s="60">
        <f t="shared" si="0"/>
        <v>10</v>
      </c>
      <c r="B18" s="63" t="s">
        <v>75</v>
      </c>
      <c r="C18" s="60">
        <v>77</v>
      </c>
      <c r="D18" s="60">
        <v>74</v>
      </c>
      <c r="E18" s="60">
        <v>74</v>
      </c>
      <c r="F18" s="60">
        <v>72</v>
      </c>
      <c r="G18" s="60">
        <v>72</v>
      </c>
      <c r="H18" s="60">
        <v>70</v>
      </c>
      <c r="I18" s="60">
        <v>70</v>
      </c>
      <c r="J18" s="60">
        <v>73</v>
      </c>
      <c r="K18" s="60">
        <v>77</v>
      </c>
      <c r="L18" s="60">
        <v>82</v>
      </c>
      <c r="M18" s="60">
        <v>84</v>
      </c>
      <c r="N18" s="60">
        <v>86</v>
      </c>
      <c r="O18" s="60">
        <v>88</v>
      </c>
      <c r="P18" s="60">
        <v>90</v>
      </c>
      <c r="Q18" s="60">
        <v>90</v>
      </c>
      <c r="R18" s="60">
        <v>90</v>
      </c>
      <c r="S18" s="60">
        <v>90</v>
      </c>
      <c r="T18" s="60">
        <v>90</v>
      </c>
      <c r="U18" s="60">
        <v>90</v>
      </c>
      <c r="V18" s="60">
        <v>87</v>
      </c>
    </row>
    <row r="19" spans="1:22" ht="13.2">
      <c r="A19" s="60">
        <f t="shared" si="0"/>
        <v>11</v>
      </c>
      <c r="B19" s="63" t="s">
        <v>73</v>
      </c>
      <c r="C19" s="60">
        <v>73</v>
      </c>
      <c r="D19" s="60">
        <v>71</v>
      </c>
      <c r="E19" s="60">
        <v>71</v>
      </c>
      <c r="F19" s="60">
        <v>71</v>
      </c>
      <c r="G19" s="60">
        <v>71</v>
      </c>
      <c r="H19" s="60">
        <v>71</v>
      </c>
      <c r="I19" s="60">
        <v>71</v>
      </c>
      <c r="J19" s="60">
        <v>74</v>
      </c>
      <c r="K19" s="60">
        <v>77</v>
      </c>
      <c r="L19" s="60">
        <v>81</v>
      </c>
      <c r="M19" s="60">
        <v>84</v>
      </c>
      <c r="N19" s="60">
        <v>87</v>
      </c>
      <c r="O19" s="60">
        <v>89</v>
      </c>
      <c r="P19" s="60">
        <v>90</v>
      </c>
      <c r="Q19" s="60">
        <v>91</v>
      </c>
      <c r="R19" s="60">
        <v>91</v>
      </c>
      <c r="S19" s="60">
        <v>90</v>
      </c>
      <c r="T19" s="60">
        <v>89</v>
      </c>
      <c r="U19" s="60">
        <v>77</v>
      </c>
      <c r="V19" s="60">
        <v>74</v>
      </c>
    </row>
    <row r="20" spans="1:22" ht="13.2">
      <c r="A20" s="60">
        <f t="shared" si="0"/>
        <v>12</v>
      </c>
      <c r="B20" s="63" t="s">
        <v>74</v>
      </c>
      <c r="C20" s="60">
        <v>77</v>
      </c>
      <c r="D20" s="60">
        <v>76</v>
      </c>
      <c r="E20" s="60">
        <v>73</v>
      </c>
      <c r="F20" s="60">
        <v>71</v>
      </c>
      <c r="G20" s="60">
        <v>71</v>
      </c>
      <c r="H20" s="60">
        <v>70</v>
      </c>
      <c r="I20" s="60">
        <v>69</v>
      </c>
      <c r="J20" s="60">
        <v>72</v>
      </c>
      <c r="K20" s="60">
        <v>76</v>
      </c>
      <c r="L20" s="60">
        <v>81</v>
      </c>
      <c r="M20" s="60">
        <v>83</v>
      </c>
      <c r="N20" s="60">
        <v>86</v>
      </c>
      <c r="O20" s="60">
        <v>88</v>
      </c>
      <c r="P20" s="60">
        <v>89</v>
      </c>
      <c r="Q20" s="60">
        <v>90</v>
      </c>
      <c r="R20" s="60">
        <v>91</v>
      </c>
      <c r="S20" s="60">
        <v>91</v>
      </c>
      <c r="T20" s="60">
        <v>91</v>
      </c>
      <c r="U20" s="60">
        <v>89</v>
      </c>
      <c r="V20" s="60">
        <v>87</v>
      </c>
    </row>
    <row r="21" spans="1:1" ht="13.2">
      <c r="A21" s="60">
        <f t="shared" si="0"/>
        <v>13</v>
      </c>
    </row>
    <row r="22" spans="1:1" ht="13.2">
      <c r="A22" s="60">
        <f t="shared" si="0"/>
        <v>14</v>
      </c>
    </row>
    <row r="23" spans="1:21" ht="13.2">
      <c r="A23" s="60">
        <f t="shared" si="0"/>
        <v>15</v>
      </c>
      <c r="B23" s="65" t="s">
        <v>69</v>
      </c>
      <c r="C23" s="65" t="s">
        <v>49</v>
      </c>
      <c r="D23" s="65" t="s">
        <v>50</v>
      </c>
      <c r="E23" s="65" t="s">
        <v>51</v>
      </c>
      <c r="F23" s="65" t="s">
        <v>52</v>
      </c>
      <c r="G23" s="65" t="s">
        <v>53</v>
      </c>
      <c r="H23" s="65" t="s">
        <v>99</v>
      </c>
      <c r="I23" s="65" t="s">
        <v>60</v>
      </c>
      <c r="J23" s="65" t="s">
        <v>61</v>
      </c>
      <c r="K23" s="65" t="s">
        <v>110</v>
      </c>
      <c r="L23" s="65" t="s">
        <v>62</v>
      </c>
      <c r="M23" s="80" t="s">
        <v>118</v>
      </c>
      <c r="N23" s="80" t="s">
        <v>90</v>
      </c>
      <c r="O23" s="80" t="s">
        <v>119</v>
      </c>
      <c r="P23" s="80" t="s">
        <v>104</v>
      </c>
      <c r="Q23" s="64" t="s">
        <v>63</v>
      </c>
      <c r="R23" s="64" t="s">
        <v>64</v>
      </c>
      <c r="S23" s="64" t="s">
        <v>65</v>
      </c>
      <c r="T23" s="64" t="s">
        <v>91</v>
      </c>
      <c r="U23" s="64" t="s">
        <v>112</v>
      </c>
    </row>
    <row r="24" spans="1:36" ht="13.2">
      <c r="A24" s="60">
        <f t="shared" si="0"/>
        <v>16</v>
      </c>
      <c r="B24" s="63" t="s">
        <v>27</v>
      </c>
      <c r="C24" s="60">
        <v>84</v>
      </c>
      <c r="D24" s="60">
        <v>80</v>
      </c>
      <c r="E24" s="60">
        <v>80</v>
      </c>
      <c r="F24" s="60">
        <v>78</v>
      </c>
      <c r="G24" s="62">
        <f t="shared" si="1" ref="G24:G33">ROUND(AVERAGE(C11:V11,C24:F24),1)</f>
        <v>80</v>
      </c>
      <c r="H24" s="62">
        <f t="shared" si="2" ref="H24:H33">MAX(40-$G24,0)</f>
        <v>0</v>
      </c>
      <c r="I24" s="62">
        <f t="shared" si="3" ref="I24:I33">MAX(45-$G24,0)</f>
        <v>0</v>
      </c>
      <c r="J24" s="62">
        <f t="shared" si="4" ref="J24:J33">MAX(50-$G24,0)</f>
        <v>0</v>
      </c>
      <c r="K24" s="62">
        <f t="shared" si="5" ref="K24:K33">MAX(55-$G24,0)</f>
        <v>0</v>
      </c>
      <c r="L24" s="62">
        <f t="shared" si="6" ref="L24:L33">MAX(60-$G24,0)</f>
        <v>0</v>
      </c>
      <c r="M24" s="62">
        <f t="shared" si="7" ref="M24:M33">MAX(65-$G24,0)</f>
        <v>0</v>
      </c>
      <c r="N24" s="62">
        <f t="shared" si="8" ref="N24:N33">MAX($G24-50,0)</f>
        <v>30</v>
      </c>
      <c r="O24" s="62">
        <f t="shared" si="9" ref="O24:O33">MAX($G24-55,0)</f>
        <v>25</v>
      </c>
      <c r="P24" s="62">
        <f t="shared" si="10" ref="P24:P33">MAX($G24-60,0)</f>
        <v>20</v>
      </c>
      <c r="Q24" s="62">
        <f t="shared" si="11" ref="Q24:Q33">MAX($G24-65,0)</f>
        <v>15</v>
      </c>
      <c r="R24" s="62">
        <f t="shared" si="12" ref="R24:R33">MAX($G24-70,0)</f>
        <v>10</v>
      </c>
      <c r="S24" s="62">
        <f t="shared" si="13" ref="S24:S33">MAX($G24-75,0)</f>
        <v>5</v>
      </c>
      <c r="T24" s="62">
        <f t="shared" si="14" ref="T24:T33">MAX($G24-80,0)</f>
        <v>0</v>
      </c>
      <c r="U24" s="62">
        <f t="shared" si="15" ref="U24:U33">MAX($G24-85,0)</f>
        <v>0</v>
      </c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2"/>
    </row>
    <row r="25" spans="1:21" ht="13.2">
      <c r="A25" s="60">
        <f t="shared" si="0"/>
        <v>17</v>
      </c>
      <c r="B25" s="63" t="s">
        <v>66</v>
      </c>
      <c r="C25" s="60">
        <v>77</v>
      </c>
      <c r="D25" s="60">
        <v>75</v>
      </c>
      <c r="E25" s="60">
        <v>74</v>
      </c>
      <c r="F25" s="60">
        <v>74</v>
      </c>
      <c r="G25" s="62">
        <f t="shared" si="1"/>
        <v>76.099999999999994</v>
      </c>
      <c r="H25" s="62">
        <f t="shared" si="2"/>
        <v>0</v>
      </c>
      <c r="I25" s="62">
        <f t="shared" si="3"/>
        <v>0</v>
      </c>
      <c r="J25" s="62">
        <f t="shared" si="4"/>
        <v>0</v>
      </c>
      <c r="K25" s="62">
        <f t="shared" si="5"/>
        <v>0</v>
      </c>
      <c r="L25" s="62">
        <f t="shared" si="6"/>
        <v>0</v>
      </c>
      <c r="M25" s="62">
        <f t="shared" si="7"/>
        <v>0</v>
      </c>
      <c r="N25" s="62">
        <f t="shared" si="8"/>
        <v>26.099999999999994</v>
      </c>
      <c r="O25" s="62">
        <f t="shared" si="9"/>
        <v>21.099999999999994</v>
      </c>
      <c r="P25" s="62">
        <f t="shared" si="10"/>
        <v>16.099999999999994</v>
      </c>
      <c r="Q25" s="62">
        <f t="shared" si="11"/>
        <v>11.099999999999994</v>
      </c>
      <c r="R25" s="62">
        <f t="shared" si="12"/>
        <v>6.0999999999999943</v>
      </c>
      <c r="S25" s="62">
        <f t="shared" si="13"/>
        <v>1.0999999999999943</v>
      </c>
      <c r="T25" s="62">
        <f t="shared" si="14"/>
        <v>0</v>
      </c>
      <c r="U25" s="62">
        <f t="shared" si="15"/>
        <v>0</v>
      </c>
    </row>
    <row r="26" spans="1:21" ht="13.2">
      <c r="A26" s="60">
        <f t="shared" si="0"/>
        <v>18</v>
      </c>
      <c r="B26" s="63" t="s">
        <v>67</v>
      </c>
      <c r="C26" s="60">
        <v>81</v>
      </c>
      <c r="D26" s="60">
        <v>76</v>
      </c>
      <c r="E26" s="60">
        <v>76</v>
      </c>
      <c r="F26" s="60">
        <v>76</v>
      </c>
      <c r="G26" s="62">
        <f t="shared" si="1"/>
        <v>81.200000000000003</v>
      </c>
      <c r="H26" s="62">
        <f t="shared" si="2"/>
        <v>0</v>
      </c>
      <c r="I26" s="62">
        <f t="shared" si="3"/>
        <v>0</v>
      </c>
      <c r="J26" s="62">
        <f t="shared" si="4"/>
        <v>0</v>
      </c>
      <c r="K26" s="62">
        <f t="shared" si="5"/>
        <v>0</v>
      </c>
      <c r="L26" s="62">
        <f t="shared" si="6"/>
        <v>0</v>
      </c>
      <c r="M26" s="62">
        <f t="shared" si="7"/>
        <v>0</v>
      </c>
      <c r="N26" s="62">
        <f t="shared" si="8"/>
        <v>31.200000000000003</v>
      </c>
      <c r="O26" s="62">
        <f t="shared" si="9"/>
        <v>26.200000000000003</v>
      </c>
      <c r="P26" s="62">
        <f t="shared" si="10"/>
        <v>21.200000000000003</v>
      </c>
      <c r="Q26" s="62">
        <f t="shared" si="11"/>
        <v>16.200000000000003</v>
      </c>
      <c r="R26" s="62">
        <f t="shared" si="12"/>
        <v>11.200000000000003</v>
      </c>
      <c r="S26" s="62">
        <f t="shared" si="13"/>
        <v>6.2000000000000028</v>
      </c>
      <c r="T26" s="62">
        <f t="shared" si="14"/>
        <v>1.2000000000000028</v>
      </c>
      <c r="U26" s="62">
        <f t="shared" si="15"/>
        <v>0</v>
      </c>
    </row>
    <row r="27" spans="1:21" ht="13.2">
      <c r="A27" s="60">
        <f t="shared" si="0"/>
        <v>19</v>
      </c>
      <c r="B27" s="63" t="s">
        <v>68</v>
      </c>
      <c r="C27" s="60">
        <v>74</v>
      </c>
      <c r="D27" s="60">
        <v>74</v>
      </c>
      <c r="E27" s="60">
        <v>74</v>
      </c>
      <c r="F27" s="60">
        <v>74</v>
      </c>
      <c r="G27" s="62">
        <f t="shared" si="1"/>
        <v>77.200000000000003</v>
      </c>
      <c r="H27" s="62">
        <f t="shared" si="2"/>
        <v>0</v>
      </c>
      <c r="I27" s="62">
        <f t="shared" si="3"/>
        <v>0</v>
      </c>
      <c r="J27" s="62">
        <f t="shared" si="4"/>
        <v>0</v>
      </c>
      <c r="K27" s="62">
        <f t="shared" si="5"/>
        <v>0</v>
      </c>
      <c r="L27" s="62">
        <f t="shared" si="6"/>
        <v>0</v>
      </c>
      <c r="M27" s="62">
        <f t="shared" si="7"/>
        <v>0</v>
      </c>
      <c r="N27" s="62">
        <f t="shared" si="8"/>
        <v>27.200000000000003</v>
      </c>
      <c r="O27" s="62">
        <f t="shared" si="9"/>
        <v>22.200000000000003</v>
      </c>
      <c r="P27" s="62">
        <f t="shared" si="10"/>
        <v>17.200000000000003</v>
      </c>
      <c r="Q27" s="62">
        <f t="shared" si="11"/>
        <v>12.200000000000003</v>
      </c>
      <c r="R27" s="62">
        <f t="shared" si="12"/>
        <v>7.2000000000000028</v>
      </c>
      <c r="S27" s="62">
        <f t="shared" si="13"/>
        <v>2.2000000000000028</v>
      </c>
      <c r="T27" s="62">
        <f t="shared" si="14"/>
        <v>0</v>
      </c>
      <c r="U27" s="62">
        <f t="shared" si="15"/>
        <v>0</v>
      </c>
    </row>
    <row r="28" spans="1:21" ht="13.2">
      <c r="A28" s="60">
        <f t="shared" si="0"/>
        <v>20</v>
      </c>
      <c r="B28" s="63" t="s">
        <v>70</v>
      </c>
      <c r="C28" s="60">
        <v>73</v>
      </c>
      <c r="D28" s="60">
        <v>74</v>
      </c>
      <c r="E28" s="60">
        <v>74</v>
      </c>
      <c r="F28" s="60">
        <v>74</v>
      </c>
      <c r="G28" s="62">
        <f t="shared" si="1"/>
        <v>78.700000000000003</v>
      </c>
      <c r="H28" s="62">
        <f t="shared" si="2"/>
        <v>0</v>
      </c>
      <c r="I28" s="62">
        <f t="shared" si="3"/>
        <v>0</v>
      </c>
      <c r="J28" s="62">
        <f t="shared" si="4"/>
        <v>0</v>
      </c>
      <c r="K28" s="62">
        <f t="shared" si="5"/>
        <v>0</v>
      </c>
      <c r="L28" s="62">
        <f t="shared" si="6"/>
        <v>0</v>
      </c>
      <c r="M28" s="62">
        <f t="shared" si="7"/>
        <v>0</v>
      </c>
      <c r="N28" s="62">
        <f t="shared" si="8"/>
        <v>28.700000000000003</v>
      </c>
      <c r="O28" s="62">
        <f t="shared" si="9"/>
        <v>23.700000000000003</v>
      </c>
      <c r="P28" s="62">
        <f t="shared" si="10"/>
        <v>18.700000000000003</v>
      </c>
      <c r="Q28" s="62">
        <f t="shared" si="11"/>
        <v>13.700000000000003</v>
      </c>
      <c r="R28" s="62">
        <f t="shared" si="12"/>
        <v>8.7000000000000028</v>
      </c>
      <c r="S28" s="62">
        <f t="shared" si="13"/>
        <v>3.7000000000000028</v>
      </c>
      <c r="T28" s="62">
        <f t="shared" si="14"/>
        <v>0</v>
      </c>
      <c r="U28" s="62">
        <f t="shared" si="15"/>
        <v>0</v>
      </c>
    </row>
    <row r="29" spans="1:21" ht="13.2">
      <c r="A29" s="60">
        <f t="shared" si="0"/>
        <v>21</v>
      </c>
      <c r="B29" s="63" t="s">
        <v>71</v>
      </c>
      <c r="C29" s="60">
        <v>78</v>
      </c>
      <c r="D29" s="60">
        <v>77</v>
      </c>
      <c r="E29" s="60">
        <v>76</v>
      </c>
      <c r="F29" s="60">
        <v>76</v>
      </c>
      <c r="G29" s="62">
        <f t="shared" si="1"/>
        <v>78.599999999999994</v>
      </c>
      <c r="H29" s="62">
        <f t="shared" si="2"/>
        <v>0</v>
      </c>
      <c r="I29" s="62">
        <f t="shared" si="3"/>
        <v>0</v>
      </c>
      <c r="J29" s="62">
        <f t="shared" si="4"/>
        <v>0</v>
      </c>
      <c r="K29" s="62">
        <f t="shared" si="5"/>
        <v>0</v>
      </c>
      <c r="L29" s="62">
        <f t="shared" si="6"/>
        <v>0</v>
      </c>
      <c r="M29" s="62">
        <f t="shared" si="7"/>
        <v>0</v>
      </c>
      <c r="N29" s="62">
        <f t="shared" si="8"/>
        <v>28.599999999999994</v>
      </c>
      <c r="O29" s="62">
        <f t="shared" si="9"/>
        <v>23.599999999999994</v>
      </c>
      <c r="P29" s="62">
        <f t="shared" si="10"/>
        <v>18.599999999999994</v>
      </c>
      <c r="Q29" s="62">
        <f t="shared" si="11"/>
        <v>13.599999999999994</v>
      </c>
      <c r="R29" s="62">
        <f t="shared" si="12"/>
        <v>8.5999999999999943</v>
      </c>
      <c r="S29" s="62">
        <f t="shared" si="13"/>
        <v>3.5999999999999943</v>
      </c>
      <c r="T29" s="62">
        <f t="shared" si="14"/>
        <v>0</v>
      </c>
      <c r="U29" s="62">
        <f t="shared" si="15"/>
        <v>0</v>
      </c>
    </row>
    <row r="30" spans="1:21" ht="13.2">
      <c r="A30" s="60">
        <f t="shared" si="0"/>
        <v>22</v>
      </c>
      <c r="B30" s="63" t="s">
        <v>72</v>
      </c>
      <c r="C30" s="60">
        <v>83</v>
      </c>
      <c r="D30" s="60">
        <v>79</v>
      </c>
      <c r="E30" s="60">
        <v>76</v>
      </c>
      <c r="F30" s="60">
        <v>77</v>
      </c>
      <c r="G30" s="62">
        <f t="shared" si="1"/>
        <v>77.299999999999997</v>
      </c>
      <c r="H30" s="62">
        <f t="shared" si="2"/>
        <v>0</v>
      </c>
      <c r="I30" s="62">
        <f t="shared" si="3"/>
        <v>0</v>
      </c>
      <c r="J30" s="62">
        <f t="shared" si="4"/>
        <v>0</v>
      </c>
      <c r="K30" s="62">
        <f t="shared" si="5"/>
        <v>0</v>
      </c>
      <c r="L30" s="62">
        <f t="shared" si="6"/>
        <v>0</v>
      </c>
      <c r="M30" s="62">
        <f t="shared" si="7"/>
        <v>0</v>
      </c>
      <c r="N30" s="62">
        <f t="shared" si="8"/>
        <v>27.299999999999997</v>
      </c>
      <c r="O30" s="62">
        <f t="shared" si="9"/>
        <v>22.299999999999997</v>
      </c>
      <c r="P30" s="62">
        <f t="shared" si="10"/>
        <v>17.299999999999997</v>
      </c>
      <c r="Q30" s="62">
        <f t="shared" si="11"/>
        <v>12.299999999999997</v>
      </c>
      <c r="R30" s="62">
        <f t="shared" si="12"/>
        <v>7.2999999999999972</v>
      </c>
      <c r="S30" s="62">
        <f t="shared" si="13"/>
        <v>2.2999999999999972</v>
      </c>
      <c r="T30" s="62">
        <f t="shared" si="14"/>
        <v>0</v>
      </c>
      <c r="U30" s="62">
        <f t="shared" si="15"/>
        <v>0</v>
      </c>
    </row>
    <row r="31" spans="1:21" ht="13.2">
      <c r="A31" s="60">
        <f t="shared" si="0"/>
        <v>23</v>
      </c>
      <c r="B31" s="63" t="s">
        <v>75</v>
      </c>
      <c r="C31" s="60">
        <v>85</v>
      </c>
      <c r="D31" s="60">
        <v>83</v>
      </c>
      <c r="E31" s="60">
        <v>81</v>
      </c>
      <c r="F31" s="60">
        <v>78</v>
      </c>
      <c r="G31" s="62">
        <f t="shared" si="1"/>
        <v>81.400000000000006</v>
      </c>
      <c r="H31" s="62">
        <f t="shared" si="2"/>
        <v>0</v>
      </c>
      <c r="I31" s="62">
        <f t="shared" si="3"/>
        <v>0</v>
      </c>
      <c r="J31" s="62">
        <f t="shared" si="4"/>
        <v>0</v>
      </c>
      <c r="K31" s="62">
        <f t="shared" si="5"/>
        <v>0</v>
      </c>
      <c r="L31" s="62">
        <f t="shared" si="6"/>
        <v>0</v>
      </c>
      <c r="M31" s="62">
        <f t="shared" si="7"/>
        <v>0</v>
      </c>
      <c r="N31" s="62">
        <f t="shared" si="8"/>
        <v>31.400000000000006</v>
      </c>
      <c r="O31" s="62">
        <f t="shared" si="9"/>
        <v>26.400000000000006</v>
      </c>
      <c r="P31" s="62">
        <f t="shared" si="10"/>
        <v>21.400000000000006</v>
      </c>
      <c r="Q31" s="62">
        <f t="shared" si="11"/>
        <v>16.400000000000006</v>
      </c>
      <c r="R31" s="62">
        <f t="shared" si="12"/>
        <v>11.400000000000006</v>
      </c>
      <c r="S31" s="62">
        <f t="shared" si="13"/>
        <v>6.4000000000000057</v>
      </c>
      <c r="T31" s="62">
        <f t="shared" si="14"/>
        <v>1.4000000000000057</v>
      </c>
      <c r="U31" s="62">
        <f t="shared" si="15"/>
        <v>0</v>
      </c>
    </row>
    <row r="32" spans="1:21" ht="13.2">
      <c r="A32" s="60">
        <f t="shared" si="0"/>
        <v>24</v>
      </c>
      <c r="B32" s="63" t="s">
        <v>73</v>
      </c>
      <c r="C32" s="60">
        <v>76</v>
      </c>
      <c r="D32" s="60">
        <v>74</v>
      </c>
      <c r="E32" s="60">
        <v>74</v>
      </c>
      <c r="F32" s="60">
        <v>74</v>
      </c>
      <c r="G32" s="62">
        <f t="shared" si="1"/>
        <v>78.799999999999997</v>
      </c>
      <c r="H32" s="62">
        <f t="shared" si="2"/>
        <v>0</v>
      </c>
      <c r="I32" s="62">
        <f t="shared" si="3"/>
        <v>0</v>
      </c>
      <c r="J32" s="62">
        <f t="shared" si="4"/>
        <v>0</v>
      </c>
      <c r="K32" s="62">
        <f t="shared" si="5"/>
        <v>0</v>
      </c>
      <c r="L32" s="62">
        <f t="shared" si="6"/>
        <v>0</v>
      </c>
      <c r="M32" s="62">
        <f t="shared" si="7"/>
        <v>0</v>
      </c>
      <c r="N32" s="62">
        <f t="shared" si="8"/>
        <v>28.799999999999997</v>
      </c>
      <c r="O32" s="62">
        <f t="shared" si="9"/>
        <v>23.799999999999997</v>
      </c>
      <c r="P32" s="62">
        <f t="shared" si="10"/>
        <v>18.799999999999997</v>
      </c>
      <c r="Q32" s="62">
        <f t="shared" si="11"/>
        <v>13.799999999999997</v>
      </c>
      <c r="R32" s="62">
        <f t="shared" si="12"/>
        <v>8.7999999999999972</v>
      </c>
      <c r="S32" s="62">
        <f t="shared" si="13"/>
        <v>3.7999999999999972</v>
      </c>
      <c r="T32" s="62">
        <f t="shared" si="14"/>
        <v>0</v>
      </c>
      <c r="U32" s="62">
        <f t="shared" si="15"/>
        <v>0</v>
      </c>
    </row>
    <row r="33" spans="1:21" ht="13.2">
      <c r="A33" s="60">
        <f t="shared" si="0"/>
        <v>25</v>
      </c>
      <c r="B33" s="63" t="s">
        <v>74</v>
      </c>
      <c r="C33" s="60">
        <v>84</v>
      </c>
      <c r="D33" s="60">
        <v>82</v>
      </c>
      <c r="E33" s="60">
        <v>80</v>
      </c>
      <c r="F33" s="60">
        <v>80</v>
      </c>
      <c r="G33" s="62">
        <f t="shared" si="1"/>
        <v>81.099999999999994</v>
      </c>
      <c r="H33" s="62">
        <f t="shared" si="2"/>
        <v>0</v>
      </c>
      <c r="I33" s="62">
        <f t="shared" si="3"/>
        <v>0</v>
      </c>
      <c r="J33" s="62">
        <f t="shared" si="4"/>
        <v>0</v>
      </c>
      <c r="K33" s="62">
        <f t="shared" si="5"/>
        <v>0</v>
      </c>
      <c r="L33" s="62">
        <f t="shared" si="6"/>
        <v>0</v>
      </c>
      <c r="M33" s="62">
        <f t="shared" si="7"/>
        <v>0</v>
      </c>
      <c r="N33" s="62">
        <f t="shared" si="8"/>
        <v>31.099999999999994</v>
      </c>
      <c r="O33" s="62">
        <f t="shared" si="9"/>
        <v>26.099999999999994</v>
      </c>
      <c r="P33" s="62">
        <f t="shared" si="10"/>
        <v>21.099999999999994</v>
      </c>
      <c r="Q33" s="62">
        <f t="shared" si="11"/>
        <v>16.099999999999994</v>
      </c>
      <c r="R33" s="62">
        <f t="shared" si="12"/>
        <v>11.099999999999994</v>
      </c>
      <c r="S33" s="62">
        <f t="shared" si="13"/>
        <v>6.0999999999999943</v>
      </c>
      <c r="T33" s="62">
        <f t="shared" si="14"/>
        <v>1.0999999999999943</v>
      </c>
      <c r="U33" s="62">
        <f t="shared" si="15"/>
        <v>0</v>
      </c>
    </row>
  </sheetData>
  <mergeCells count="6">
    <mergeCell ref="B9:T9"/>
    <mergeCell ref="B1:T1"/>
    <mergeCell ref="B2:T2"/>
    <mergeCell ref="B3:T3"/>
    <mergeCell ref="B4:T4"/>
    <mergeCell ref="B6:T6"/>
  </mergeCells>
  <pageMargins left="0.75" right="0.75" top="1" bottom="1" header="0.5" footer="0.5"/>
  <pageSetup orientation="portrait" scale="56" r:id="rId1"/>
  <headerFooter alignWithMargins="0">
    <oddHeader>&amp;RSchedule II-H-5.1
Page &amp;P of  28</oddHead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pageSetUpPr fitToPage="1"/>
  </sheetPr>
  <dimension ref="A1:AF73"/>
  <sheetViews>
    <sheetView workbookViewId="0" topLeftCell="A1"/>
  </sheetViews>
  <sheetFormatPr defaultRowHeight="13.5"/>
  <cols>
    <col min="2" max="2" width="5" bestFit="1" customWidth="1"/>
    <col min="3" max="3" width="10.2857142857143" bestFit="1" customWidth="1"/>
    <col min="4" max="8" width="6.85714285714286" bestFit="1" customWidth="1"/>
    <col min="9" max="11" width="6.85714285714286" customWidth="1"/>
    <col min="12" max="17" width="7" bestFit="1" customWidth="1"/>
    <col min="28" max="28" width="9.85714285714286" bestFit="1" customWidth="1"/>
  </cols>
  <sheetData>
    <row r="1" spans="1:17" s="2" customFormat="1" ht="15.6">
      <c r="A1" s="1"/>
      <c r="B1" s="82" t="str">
        <f>+Base40h!B1</f>
        <v xml:space="preserve">PUC DOCKET NO. </v>
      </c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</row>
    <row r="2" spans="1:17" s="2" customFormat="1" ht="15.6">
      <c r="A2" s="1"/>
      <c r="B2" s="82" t="str">
        <f>+Base40h!B2</f>
        <v>ONCOR ELECTRIC DELIVERY COMPANY LLC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</row>
    <row r="3" spans="1:17" s="2" customFormat="1" ht="15.6">
      <c r="A3" s="1"/>
      <c r="B3" s="82" t="str">
        <f>+Base40h!B3</f>
        <v>WEATHER STATION DATA</v>
      </c>
      <c r="C3" s="86"/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  <c r="P3" s="86"/>
      <c r="Q3" s="86"/>
    </row>
    <row r="4" spans="1:17" s="2" customFormat="1" ht="15.6">
      <c r="A4" s="1"/>
      <c r="B4" s="82" t="str">
        <f>+Base40h!B4</f>
        <v>FOR THE TEST YEAR ENDING DECEMBER 31, 2021</v>
      </c>
      <c r="C4" s="86"/>
      <c r="D4" s="86"/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  <c r="P4" s="86"/>
      <c r="Q4" s="86"/>
    </row>
    <row r="5" spans="1:2" s="2" customFormat="1" ht="11.4">
      <c r="A5" s="1"/>
      <c r="B5" s="17"/>
    </row>
    <row r="6" spans="1:17" s="2" customFormat="1" ht="15.6">
      <c r="A6" s="1"/>
      <c r="B6" s="82" t="s">
        <v>83</v>
      </c>
      <c r="C6" s="86"/>
      <c r="D6" s="86"/>
      <c r="E6" s="86"/>
      <c r="F6" s="86"/>
      <c r="G6" s="86"/>
      <c r="H6" s="86"/>
      <c r="I6" s="86"/>
      <c r="J6" s="86"/>
      <c r="K6" s="86"/>
      <c r="L6" s="86"/>
      <c r="M6" s="86"/>
      <c r="N6" s="86"/>
      <c r="O6" s="86"/>
      <c r="P6" s="86"/>
      <c r="Q6" s="86"/>
    </row>
    <row r="8" spans="2:17" ht="15.6">
      <c r="B8" s="82" t="s">
        <v>93</v>
      </c>
      <c r="C8" s="86"/>
      <c r="D8" s="86"/>
      <c r="E8" s="86"/>
      <c r="F8" s="86"/>
      <c r="G8" s="86"/>
      <c r="H8" s="86"/>
      <c r="I8" s="86"/>
      <c r="J8" s="86"/>
      <c r="K8" s="86"/>
      <c r="L8" s="86"/>
      <c r="M8" s="86"/>
      <c r="N8" s="86"/>
      <c r="O8" s="86"/>
      <c r="P8" s="86"/>
      <c r="Q8" s="86"/>
    </row>
    <row r="9" spans="1:3" ht="24" thickBot="1">
      <c r="A9" s="3" t="s">
        <v>4</v>
      </c>
      <c r="B9" s="13"/>
      <c r="C9" s="13"/>
    </row>
    <row r="10" spans="1:17" ht="13.2">
      <c r="A10">
        <v>1</v>
      </c>
      <c r="B10" t="s">
        <v>58</v>
      </c>
      <c r="C10" s="38" t="s">
        <v>127</v>
      </c>
      <c r="D10" s="54" t="s">
        <v>99</v>
      </c>
      <c r="E10" s="54" t="s">
        <v>60</v>
      </c>
      <c r="F10" s="54" t="s">
        <v>61</v>
      </c>
      <c r="G10" s="10" t="s">
        <v>110</v>
      </c>
      <c r="H10" s="10" t="s">
        <v>62</v>
      </c>
      <c r="I10" s="77" t="s">
        <v>118</v>
      </c>
      <c r="J10" s="79" t="s">
        <v>90</v>
      </c>
      <c r="K10" s="79" t="s">
        <v>119</v>
      </c>
      <c r="L10" s="41" t="s">
        <v>104</v>
      </c>
      <c r="M10" s="27" t="s">
        <v>63</v>
      </c>
      <c r="N10" s="27" t="s">
        <v>64</v>
      </c>
      <c r="O10" s="27" t="s">
        <v>65</v>
      </c>
      <c r="P10" s="27" t="s">
        <v>91</v>
      </c>
      <c r="Q10" s="41" t="s">
        <v>112</v>
      </c>
    </row>
    <row r="11" spans="1:28" ht="13.2">
      <c r="A11">
        <v>3</v>
      </c>
      <c r="B11" s="14">
        <v>2001</v>
      </c>
      <c r="C11" s="39">
        <v>38.9166666666667</v>
      </c>
      <c r="D11" s="12">
        <f>MAX(40-$C11,0)</f>
        <v>1.0833333333333002</v>
      </c>
      <c r="E11" s="12">
        <f t="shared" si="0" ref="E11:E30">MAX(45-$C11,0)</f>
        <v>6.0833333333333002</v>
      </c>
      <c r="F11" s="12">
        <f>MAX(50-$C11,0)</f>
        <v>11.0833333333333</v>
      </c>
      <c r="G11" s="12">
        <f>MAX(55-$C11,0)</f>
        <v>16.0833333333333</v>
      </c>
      <c r="H11" s="12">
        <f>MAX(60-$C11,0)</f>
        <v>21.0833333333333</v>
      </c>
      <c r="I11" s="12">
        <f>MAX(65-$C11,0)</f>
        <v>26.0833333333333</v>
      </c>
      <c r="J11" s="12">
        <f>MAX($C11-50,0)</f>
        <v>0</v>
      </c>
      <c r="K11" s="12">
        <f>MAX($C11-55,0)</f>
        <v>0</v>
      </c>
      <c r="L11" s="12">
        <f>MAX($C11-60,0)</f>
        <v>0</v>
      </c>
      <c r="M11" s="12">
        <f>MAX($C11-65,0)</f>
        <v>0</v>
      </c>
      <c r="N11" s="12">
        <f>MAX($C11-70,0)</f>
        <v>0</v>
      </c>
      <c r="O11" s="12">
        <f>MAX($C11-75,0)</f>
        <v>0</v>
      </c>
      <c r="P11" s="12">
        <f>MAX($C11-80,0)</f>
        <v>0</v>
      </c>
      <c r="Q11" s="12">
        <f>MAX($C11-85,0)</f>
        <v>0</v>
      </c>
      <c r="AB11" s="28"/>
    </row>
    <row r="12" spans="1:28" ht="13.2">
      <c r="A12">
        <f t="shared" si="1" ref="A12:A27">+A11+1</f>
        <v>4</v>
      </c>
      <c r="B12" s="14">
        <v>2002</v>
      </c>
      <c r="C12" s="39">
        <v>48.2916666666667</v>
      </c>
      <c r="D12" s="12">
        <f t="shared" si="2" ref="D12:D30">MAX(40-$C12,0)</f>
        <v>0</v>
      </c>
      <c r="E12" s="12">
        <f t="shared" si="0"/>
        <v>0</v>
      </c>
      <c r="F12" s="12">
        <f t="shared" si="3" ref="F12:F30">MAX(50-$C12,0)</f>
        <v>1.7083333333333002</v>
      </c>
      <c r="G12" s="12">
        <f t="shared" si="4" ref="G12:G30">MAX(55-$C12,0)</f>
        <v>6.7083333333333002</v>
      </c>
      <c r="H12" s="12">
        <f t="shared" si="5" ref="H12:H30">MAX(60-$C12,0)</f>
        <v>11.7083333333333</v>
      </c>
      <c r="I12" s="12">
        <f t="shared" si="6" ref="I12:I30">MAX(65-$C12,0)</f>
        <v>16.7083333333333</v>
      </c>
      <c r="J12" s="12">
        <f t="shared" si="7" ref="J12:J30">MAX($C12-50,0)</f>
        <v>0</v>
      </c>
      <c r="K12" s="12">
        <f t="shared" si="8" ref="K12:K30">MAX($C12-55,0)</f>
        <v>0</v>
      </c>
      <c r="L12" s="12">
        <f t="shared" si="9" ref="L12:L30">MAX($C12-60,0)</f>
        <v>0</v>
      </c>
      <c r="M12" s="12">
        <f t="shared" si="10" ref="M12:M30">MAX($C12-65,0)</f>
        <v>0</v>
      </c>
      <c r="N12" s="12">
        <f t="shared" si="11" ref="N12:N30">MAX($C12-70,0)</f>
        <v>0</v>
      </c>
      <c r="O12" s="12">
        <f t="shared" si="12" ref="O12:O30">MAX($C12-75,0)</f>
        <v>0</v>
      </c>
      <c r="P12" s="12">
        <f t="shared" si="13" ref="P12:P30">MAX($C12-80,0)</f>
        <v>0</v>
      </c>
      <c r="Q12" s="12">
        <f t="shared" si="14" ref="Q12:Q30">MAX($C12-85,0)</f>
        <v>0</v>
      </c>
      <c r="AB12" s="28"/>
    </row>
    <row r="13" spans="1:28" ht="13.2">
      <c r="A13">
        <f t="shared" si="1"/>
        <v>5</v>
      </c>
      <c r="B13" s="14">
        <v>2003</v>
      </c>
      <c r="C13" s="39">
        <v>49.625</v>
      </c>
      <c r="D13" s="12">
        <f t="shared" si="2"/>
        <v>0</v>
      </c>
      <c r="E13" s="12">
        <f t="shared" si="0"/>
        <v>0</v>
      </c>
      <c r="F13" s="12">
        <f t="shared" si="3"/>
        <v>0.375</v>
      </c>
      <c r="G13" s="12">
        <f t="shared" si="4"/>
        <v>5.375</v>
      </c>
      <c r="H13" s="12">
        <f t="shared" si="5"/>
        <v>10.375</v>
      </c>
      <c r="I13" s="12">
        <f t="shared" si="6"/>
        <v>15.375</v>
      </c>
      <c r="J13" s="12">
        <f t="shared" si="7"/>
        <v>0</v>
      </c>
      <c r="K13" s="12">
        <f t="shared" si="8"/>
        <v>0</v>
      </c>
      <c r="L13" s="12">
        <f t="shared" si="9"/>
        <v>0</v>
      </c>
      <c r="M13" s="12">
        <f t="shared" si="10"/>
        <v>0</v>
      </c>
      <c r="N13" s="12">
        <f t="shared" si="11"/>
        <v>0</v>
      </c>
      <c r="O13" s="12">
        <f t="shared" si="12"/>
        <v>0</v>
      </c>
      <c r="P13" s="12">
        <f t="shared" si="13"/>
        <v>0</v>
      </c>
      <c r="Q13" s="12">
        <f t="shared" si="14"/>
        <v>0</v>
      </c>
      <c r="AB13" s="28"/>
    </row>
    <row r="14" spans="1:28" ht="13.2">
      <c r="A14">
        <f t="shared" si="1"/>
        <v>6</v>
      </c>
      <c r="B14" s="14">
        <v>2004</v>
      </c>
      <c r="C14" s="39">
        <v>39.0416666666667</v>
      </c>
      <c r="D14" s="12">
        <f t="shared" si="2"/>
        <v>0.95833333333330017</v>
      </c>
      <c r="E14" s="12">
        <f t="shared" si="0"/>
        <v>5.9583333333333002</v>
      </c>
      <c r="F14" s="12">
        <f t="shared" si="3"/>
        <v>10.9583333333333</v>
      </c>
      <c r="G14" s="12">
        <f t="shared" si="4"/>
        <v>15.9583333333333</v>
      </c>
      <c r="H14" s="12">
        <f t="shared" si="5"/>
        <v>20.9583333333333</v>
      </c>
      <c r="I14" s="12">
        <f t="shared" si="6"/>
        <v>25.9583333333333</v>
      </c>
      <c r="J14" s="12">
        <f t="shared" si="7"/>
        <v>0</v>
      </c>
      <c r="K14" s="12">
        <f t="shared" si="8"/>
        <v>0</v>
      </c>
      <c r="L14" s="12">
        <f t="shared" si="9"/>
        <v>0</v>
      </c>
      <c r="M14" s="12">
        <f t="shared" si="10"/>
        <v>0</v>
      </c>
      <c r="N14" s="12">
        <f t="shared" si="11"/>
        <v>0</v>
      </c>
      <c r="O14" s="12">
        <f t="shared" si="12"/>
        <v>0</v>
      </c>
      <c r="P14" s="12">
        <f t="shared" si="13"/>
        <v>0</v>
      </c>
      <c r="Q14" s="12">
        <f t="shared" si="14"/>
        <v>0</v>
      </c>
      <c r="AB14" s="28"/>
    </row>
    <row r="15" spans="1:28" ht="13.2">
      <c r="A15">
        <f t="shared" si="1"/>
        <v>7</v>
      </c>
      <c r="B15" s="14">
        <v>2005</v>
      </c>
      <c r="C15" s="39">
        <v>58.1666666666667</v>
      </c>
      <c r="D15" s="12">
        <f t="shared" si="2"/>
        <v>0</v>
      </c>
      <c r="E15" s="12">
        <f t="shared" si="0"/>
        <v>0</v>
      </c>
      <c r="F15" s="12">
        <f t="shared" si="3"/>
        <v>0</v>
      </c>
      <c r="G15" s="12">
        <f t="shared" si="4"/>
        <v>0</v>
      </c>
      <c r="H15" s="12">
        <f t="shared" si="5"/>
        <v>1.8333333333333002</v>
      </c>
      <c r="I15" s="12">
        <f t="shared" si="6"/>
        <v>6.8333333333333002</v>
      </c>
      <c r="J15" s="12">
        <f t="shared" si="7"/>
        <v>8.1666666666666998</v>
      </c>
      <c r="K15" s="12">
        <f t="shared" si="8"/>
        <v>3.1666666666666998</v>
      </c>
      <c r="L15" s="12">
        <f t="shared" si="9"/>
        <v>0</v>
      </c>
      <c r="M15" s="12">
        <f t="shared" si="10"/>
        <v>0</v>
      </c>
      <c r="N15" s="12">
        <f t="shared" si="11"/>
        <v>0</v>
      </c>
      <c r="O15" s="12">
        <f t="shared" si="12"/>
        <v>0</v>
      </c>
      <c r="P15" s="12">
        <f t="shared" si="13"/>
        <v>0</v>
      </c>
      <c r="Q15" s="12">
        <f t="shared" si="14"/>
        <v>0</v>
      </c>
      <c r="AB15" s="28"/>
    </row>
    <row r="16" spans="1:28" ht="13.2">
      <c r="A16">
        <f t="shared" si="1"/>
        <v>8</v>
      </c>
      <c r="B16" s="14">
        <v>2006</v>
      </c>
      <c r="C16" s="39">
        <v>41.75</v>
      </c>
      <c r="D16" s="12">
        <f t="shared" si="2"/>
        <v>0</v>
      </c>
      <c r="E16" s="12">
        <f t="shared" si="0"/>
        <v>3.25</v>
      </c>
      <c r="F16" s="12">
        <f t="shared" si="3"/>
        <v>8.25</v>
      </c>
      <c r="G16" s="12">
        <f t="shared" si="4"/>
        <v>13.25</v>
      </c>
      <c r="H16" s="12">
        <f t="shared" si="5"/>
        <v>18.25</v>
      </c>
      <c r="I16" s="12">
        <f t="shared" si="6"/>
        <v>23.25</v>
      </c>
      <c r="J16" s="12">
        <f t="shared" si="7"/>
        <v>0</v>
      </c>
      <c r="K16" s="12">
        <f t="shared" si="8"/>
        <v>0</v>
      </c>
      <c r="L16" s="12">
        <f t="shared" si="9"/>
        <v>0</v>
      </c>
      <c r="M16" s="12">
        <f t="shared" si="10"/>
        <v>0</v>
      </c>
      <c r="N16" s="12">
        <f t="shared" si="11"/>
        <v>0</v>
      </c>
      <c r="O16" s="12">
        <f t="shared" si="12"/>
        <v>0</v>
      </c>
      <c r="P16" s="12">
        <f t="shared" si="13"/>
        <v>0</v>
      </c>
      <c r="Q16" s="12">
        <f t="shared" si="14"/>
        <v>0</v>
      </c>
      <c r="AB16" s="28"/>
    </row>
    <row r="17" spans="1:28" ht="13.2">
      <c r="A17">
        <f t="shared" si="1"/>
        <v>9</v>
      </c>
      <c r="B17" s="14">
        <v>2007</v>
      </c>
      <c r="C17" s="39">
        <v>43.9583333333333</v>
      </c>
      <c r="D17" s="12">
        <f t="shared" si="2"/>
        <v>0</v>
      </c>
      <c r="E17" s="12">
        <f t="shared" si="0"/>
        <v>1.0416666666666998</v>
      </c>
      <c r="F17" s="12">
        <f t="shared" si="3"/>
        <v>6.0416666666666998</v>
      </c>
      <c r="G17" s="12">
        <f t="shared" si="4"/>
        <v>11.0416666666667</v>
      </c>
      <c r="H17" s="12">
        <f t="shared" si="5"/>
        <v>16.0416666666667</v>
      </c>
      <c r="I17" s="12">
        <f t="shared" si="6"/>
        <v>21.0416666666667</v>
      </c>
      <c r="J17" s="12">
        <f t="shared" si="7"/>
        <v>0</v>
      </c>
      <c r="K17" s="12">
        <f t="shared" si="8"/>
        <v>0</v>
      </c>
      <c r="L17" s="12">
        <f t="shared" si="9"/>
        <v>0</v>
      </c>
      <c r="M17" s="12">
        <f t="shared" si="10"/>
        <v>0</v>
      </c>
      <c r="N17" s="12">
        <f t="shared" si="11"/>
        <v>0</v>
      </c>
      <c r="O17" s="12">
        <f t="shared" si="12"/>
        <v>0</v>
      </c>
      <c r="P17" s="12">
        <f t="shared" si="13"/>
        <v>0</v>
      </c>
      <c r="Q17" s="12">
        <f t="shared" si="14"/>
        <v>0</v>
      </c>
      <c r="AB17" s="28"/>
    </row>
    <row r="18" spans="1:28" ht="13.2">
      <c r="A18">
        <f t="shared" si="1"/>
        <v>10</v>
      </c>
      <c r="B18" s="14">
        <v>2008</v>
      </c>
      <c r="C18" s="39">
        <v>47.200000000000003</v>
      </c>
      <c r="D18" s="12">
        <f t="shared" si="2"/>
        <v>0</v>
      </c>
      <c r="E18" s="12">
        <f t="shared" si="0"/>
        <v>0</v>
      </c>
      <c r="F18" s="12">
        <f t="shared" si="3"/>
        <v>2.7999999999999972</v>
      </c>
      <c r="G18" s="12">
        <f t="shared" si="4"/>
        <v>7.7999999999999972</v>
      </c>
      <c r="H18" s="12">
        <f t="shared" si="5"/>
        <v>12.799999999999997</v>
      </c>
      <c r="I18" s="12">
        <f t="shared" si="6"/>
        <v>17.799999999999997</v>
      </c>
      <c r="J18" s="12">
        <f t="shared" si="7"/>
        <v>0</v>
      </c>
      <c r="K18" s="12">
        <f t="shared" si="8"/>
        <v>0</v>
      </c>
      <c r="L18" s="12">
        <f t="shared" si="9"/>
        <v>0</v>
      </c>
      <c r="M18" s="12">
        <f t="shared" si="10"/>
        <v>0</v>
      </c>
      <c r="N18" s="12">
        <f t="shared" si="11"/>
        <v>0</v>
      </c>
      <c r="O18" s="12">
        <f t="shared" si="12"/>
        <v>0</v>
      </c>
      <c r="P18" s="12">
        <f t="shared" si="13"/>
        <v>0</v>
      </c>
      <c r="Q18" s="12">
        <f t="shared" si="14"/>
        <v>0</v>
      </c>
      <c r="AB18" s="28"/>
    </row>
    <row r="19" spans="1:28" ht="13.2">
      <c r="A19">
        <f t="shared" si="1"/>
        <v>11</v>
      </c>
      <c r="B19" s="14">
        <v>2009</v>
      </c>
      <c r="C19" s="39">
        <v>53.5</v>
      </c>
      <c r="D19" s="12">
        <f t="shared" si="2"/>
        <v>0</v>
      </c>
      <c r="E19" s="12">
        <f t="shared" si="0"/>
        <v>0</v>
      </c>
      <c r="F19" s="12">
        <f t="shared" si="3"/>
        <v>0</v>
      </c>
      <c r="G19" s="12">
        <f t="shared" si="4"/>
        <v>1.5</v>
      </c>
      <c r="H19" s="12">
        <f t="shared" si="5"/>
        <v>6.5</v>
      </c>
      <c r="I19" s="12">
        <f t="shared" si="6"/>
        <v>11.5</v>
      </c>
      <c r="J19" s="12">
        <f t="shared" si="7"/>
        <v>3.5</v>
      </c>
      <c r="K19" s="12">
        <f t="shared" si="8"/>
        <v>0</v>
      </c>
      <c r="L19" s="12">
        <f t="shared" si="9"/>
        <v>0</v>
      </c>
      <c r="M19" s="12">
        <f t="shared" si="10"/>
        <v>0</v>
      </c>
      <c r="N19" s="12">
        <f t="shared" si="11"/>
        <v>0</v>
      </c>
      <c r="O19" s="12">
        <f t="shared" si="12"/>
        <v>0</v>
      </c>
      <c r="P19" s="12">
        <f t="shared" si="13"/>
        <v>0</v>
      </c>
      <c r="Q19" s="12">
        <f t="shared" si="14"/>
        <v>0</v>
      </c>
      <c r="AB19" s="28"/>
    </row>
    <row r="20" spans="1:28" ht="13.2">
      <c r="A20">
        <f t="shared" si="1"/>
        <v>12</v>
      </c>
      <c r="B20" s="14">
        <v>2010</v>
      </c>
      <c r="C20" s="39">
        <v>55.299999999999997</v>
      </c>
      <c r="D20" s="12">
        <f t="shared" si="2"/>
        <v>0</v>
      </c>
      <c r="E20" s="12">
        <f t="shared" si="0"/>
        <v>0</v>
      </c>
      <c r="F20" s="12">
        <f t="shared" si="3"/>
        <v>0</v>
      </c>
      <c r="G20" s="12">
        <f t="shared" si="4"/>
        <v>0</v>
      </c>
      <c r="H20" s="12">
        <f t="shared" si="5"/>
        <v>4.7000000000000028</v>
      </c>
      <c r="I20" s="12">
        <f t="shared" si="6"/>
        <v>9.7000000000000028</v>
      </c>
      <c r="J20" s="12">
        <f t="shared" si="7"/>
        <v>5.2999999999999972</v>
      </c>
      <c r="K20" s="12">
        <f t="shared" si="8"/>
        <v>0.29999999999999716</v>
      </c>
      <c r="L20" s="12">
        <f t="shared" si="9"/>
        <v>0</v>
      </c>
      <c r="M20" s="12">
        <f t="shared" si="10"/>
        <v>0</v>
      </c>
      <c r="N20" s="12">
        <f t="shared" si="11"/>
        <v>0</v>
      </c>
      <c r="O20" s="12">
        <f t="shared" si="12"/>
        <v>0</v>
      </c>
      <c r="P20" s="12">
        <f t="shared" si="13"/>
        <v>0</v>
      </c>
      <c r="Q20" s="12">
        <f t="shared" si="14"/>
        <v>0</v>
      </c>
      <c r="AB20" s="28"/>
    </row>
    <row r="21" spans="1:28" ht="13.2">
      <c r="A21">
        <f t="shared" si="1"/>
        <v>13</v>
      </c>
      <c r="B21" s="14">
        <v>2011</v>
      </c>
      <c r="C21" s="39">
        <v>34.799999999999997</v>
      </c>
      <c r="D21" s="12">
        <f t="shared" si="2"/>
        <v>5.2000000000000028</v>
      </c>
      <c r="E21" s="12">
        <f t="shared" si="0"/>
        <v>10.200000000000003</v>
      </c>
      <c r="F21" s="12">
        <f t="shared" si="3"/>
        <v>15.200000000000003</v>
      </c>
      <c r="G21" s="12">
        <f t="shared" si="4"/>
        <v>20.200000000000003</v>
      </c>
      <c r="H21" s="12">
        <f t="shared" si="5"/>
        <v>25.200000000000003</v>
      </c>
      <c r="I21" s="12">
        <f t="shared" si="6"/>
        <v>30.200000000000003</v>
      </c>
      <c r="J21" s="12">
        <f t="shared" si="7"/>
        <v>0</v>
      </c>
      <c r="K21" s="12">
        <f t="shared" si="8"/>
        <v>0</v>
      </c>
      <c r="L21" s="12">
        <f t="shared" si="9"/>
        <v>0</v>
      </c>
      <c r="M21" s="12">
        <f t="shared" si="10"/>
        <v>0</v>
      </c>
      <c r="N21" s="12">
        <f t="shared" si="11"/>
        <v>0</v>
      </c>
      <c r="O21" s="12">
        <f t="shared" si="12"/>
        <v>0</v>
      </c>
      <c r="P21" s="12">
        <f t="shared" si="13"/>
        <v>0</v>
      </c>
      <c r="Q21" s="12">
        <f t="shared" si="14"/>
        <v>0</v>
      </c>
      <c r="AB21" s="28"/>
    </row>
    <row r="22" spans="1:28" ht="13.2">
      <c r="A22">
        <f t="shared" si="1"/>
        <v>14</v>
      </c>
      <c r="B22" s="14">
        <v>2012</v>
      </c>
      <c r="C22" s="39">
        <v>41.5</v>
      </c>
      <c r="D22" s="12">
        <f t="shared" si="2"/>
        <v>0</v>
      </c>
      <c r="E22" s="12">
        <f t="shared" si="0"/>
        <v>3.5</v>
      </c>
      <c r="F22" s="12">
        <f t="shared" si="3"/>
        <v>8.5</v>
      </c>
      <c r="G22" s="12">
        <f t="shared" si="4"/>
        <v>13.5</v>
      </c>
      <c r="H22" s="12">
        <f t="shared" si="5"/>
        <v>18.5</v>
      </c>
      <c r="I22" s="12">
        <f t="shared" si="6"/>
        <v>23.5</v>
      </c>
      <c r="J22" s="12">
        <f t="shared" si="7"/>
        <v>0</v>
      </c>
      <c r="K22" s="12">
        <f t="shared" si="8"/>
        <v>0</v>
      </c>
      <c r="L22" s="12">
        <f t="shared" si="9"/>
        <v>0</v>
      </c>
      <c r="M22" s="12">
        <f t="shared" si="10"/>
        <v>0</v>
      </c>
      <c r="N22" s="12">
        <f t="shared" si="11"/>
        <v>0</v>
      </c>
      <c r="O22" s="12">
        <f t="shared" si="12"/>
        <v>0</v>
      </c>
      <c r="P22" s="12">
        <f t="shared" si="13"/>
        <v>0</v>
      </c>
      <c r="Q22" s="12">
        <f t="shared" si="14"/>
        <v>0</v>
      </c>
      <c r="AB22" s="28"/>
    </row>
    <row r="23" spans="1:28" ht="13.2">
      <c r="A23">
        <f t="shared" si="1"/>
        <v>15</v>
      </c>
      <c r="B23" s="14">
        <v>2013</v>
      </c>
      <c r="C23" s="39">
        <v>40</v>
      </c>
      <c r="D23" s="12">
        <f t="shared" si="2"/>
        <v>0</v>
      </c>
      <c r="E23" s="12">
        <f t="shared" si="0"/>
        <v>5</v>
      </c>
      <c r="F23" s="12">
        <f t="shared" si="3"/>
        <v>10</v>
      </c>
      <c r="G23" s="12">
        <f t="shared" si="4"/>
        <v>15</v>
      </c>
      <c r="H23" s="12">
        <f t="shared" si="5"/>
        <v>20</v>
      </c>
      <c r="I23" s="12">
        <f t="shared" si="6"/>
        <v>25</v>
      </c>
      <c r="J23" s="12">
        <f t="shared" si="7"/>
        <v>0</v>
      </c>
      <c r="K23" s="12">
        <f t="shared" si="8"/>
        <v>0</v>
      </c>
      <c r="L23" s="12">
        <f t="shared" si="9"/>
        <v>0</v>
      </c>
      <c r="M23" s="12">
        <f t="shared" si="10"/>
        <v>0</v>
      </c>
      <c r="N23" s="12">
        <f t="shared" si="11"/>
        <v>0</v>
      </c>
      <c r="O23" s="12">
        <f t="shared" si="12"/>
        <v>0</v>
      </c>
      <c r="P23" s="12">
        <f t="shared" si="13"/>
        <v>0</v>
      </c>
      <c r="Q23" s="12">
        <f t="shared" si="14"/>
        <v>0</v>
      </c>
      <c r="AB23" s="28"/>
    </row>
    <row r="24" spans="1:28" ht="13.2">
      <c r="A24">
        <f t="shared" si="1"/>
        <v>16</v>
      </c>
      <c r="B24" s="14">
        <v>2014</v>
      </c>
      <c r="C24" s="39">
        <v>43.899999999999999</v>
      </c>
      <c r="D24" s="12">
        <f t="shared" si="2"/>
        <v>0</v>
      </c>
      <c r="E24" s="12">
        <f t="shared" si="0"/>
        <v>1.1000000000000014</v>
      </c>
      <c r="F24" s="12">
        <f t="shared" si="3"/>
        <v>6.1000000000000014</v>
      </c>
      <c r="G24" s="12">
        <f t="shared" si="4"/>
        <v>11.100000000000001</v>
      </c>
      <c r="H24" s="12">
        <f t="shared" si="5"/>
        <v>16.100000000000001</v>
      </c>
      <c r="I24" s="12">
        <f t="shared" si="6"/>
        <v>21.100000000000001</v>
      </c>
      <c r="J24" s="12">
        <f t="shared" si="7"/>
        <v>0</v>
      </c>
      <c r="K24" s="12">
        <f t="shared" si="8"/>
        <v>0</v>
      </c>
      <c r="L24" s="12">
        <f t="shared" si="9"/>
        <v>0</v>
      </c>
      <c r="M24" s="12">
        <f t="shared" si="10"/>
        <v>0</v>
      </c>
      <c r="N24" s="12">
        <f t="shared" si="11"/>
        <v>0</v>
      </c>
      <c r="O24" s="12">
        <f t="shared" si="12"/>
        <v>0</v>
      </c>
      <c r="P24" s="12">
        <f t="shared" si="13"/>
        <v>0</v>
      </c>
      <c r="Q24" s="12">
        <f t="shared" si="14"/>
        <v>0</v>
      </c>
      <c r="AB24" s="28"/>
    </row>
    <row r="25" spans="1:28" ht="13.2">
      <c r="A25">
        <f t="shared" si="1"/>
        <v>17</v>
      </c>
      <c r="B25" s="14">
        <v>2015</v>
      </c>
      <c r="C25" s="39">
        <v>42.5</v>
      </c>
      <c r="D25" s="12">
        <f t="shared" si="2"/>
        <v>0</v>
      </c>
      <c r="E25" s="12">
        <f t="shared" si="0"/>
        <v>2.5</v>
      </c>
      <c r="F25" s="12">
        <f t="shared" si="3"/>
        <v>7.5</v>
      </c>
      <c r="G25" s="12">
        <f t="shared" si="4"/>
        <v>12.5</v>
      </c>
      <c r="H25" s="12">
        <f t="shared" si="5"/>
        <v>17.5</v>
      </c>
      <c r="I25" s="12">
        <f t="shared" si="6"/>
        <v>22.5</v>
      </c>
      <c r="J25" s="12">
        <f t="shared" si="7"/>
        <v>0</v>
      </c>
      <c r="K25" s="12">
        <f t="shared" si="8"/>
        <v>0</v>
      </c>
      <c r="L25" s="12">
        <f t="shared" si="9"/>
        <v>0</v>
      </c>
      <c r="M25" s="12">
        <f t="shared" si="10"/>
        <v>0</v>
      </c>
      <c r="N25" s="12">
        <f t="shared" si="11"/>
        <v>0</v>
      </c>
      <c r="O25" s="12">
        <f t="shared" si="12"/>
        <v>0</v>
      </c>
      <c r="P25" s="12">
        <f t="shared" si="13"/>
        <v>0</v>
      </c>
      <c r="Q25" s="12">
        <f t="shared" si="14"/>
        <v>0</v>
      </c>
      <c r="AB25" s="28"/>
    </row>
    <row r="26" spans="1:28" ht="13.2">
      <c r="A26">
        <f t="shared" si="1"/>
        <v>18</v>
      </c>
      <c r="B26" s="14">
        <v>2016</v>
      </c>
      <c r="C26" s="39">
        <v>44.399999999999999</v>
      </c>
      <c r="D26" s="12">
        <f t="shared" si="2"/>
        <v>0</v>
      </c>
      <c r="E26" s="12">
        <f t="shared" si="0"/>
        <v>0.60000000000000142</v>
      </c>
      <c r="F26" s="12">
        <f t="shared" si="3"/>
        <v>5.6000000000000014</v>
      </c>
      <c r="G26" s="12">
        <f t="shared" si="4"/>
        <v>10.600000000000001</v>
      </c>
      <c r="H26" s="12">
        <f t="shared" si="5"/>
        <v>15.600000000000001</v>
      </c>
      <c r="I26" s="12">
        <f t="shared" si="6"/>
        <v>20.600000000000001</v>
      </c>
      <c r="J26" s="12">
        <f t="shared" si="7"/>
        <v>0</v>
      </c>
      <c r="K26" s="12">
        <f t="shared" si="8"/>
        <v>0</v>
      </c>
      <c r="L26" s="12">
        <f t="shared" si="9"/>
        <v>0</v>
      </c>
      <c r="M26" s="12">
        <f t="shared" si="10"/>
        <v>0</v>
      </c>
      <c r="N26" s="12">
        <f t="shared" si="11"/>
        <v>0</v>
      </c>
      <c r="O26" s="12">
        <f t="shared" si="12"/>
        <v>0</v>
      </c>
      <c r="P26" s="12">
        <f t="shared" si="13"/>
        <v>0</v>
      </c>
      <c r="Q26" s="12">
        <f t="shared" si="14"/>
        <v>0</v>
      </c>
      <c r="AB26" s="28"/>
    </row>
    <row r="27" spans="1:28" ht="13.2">
      <c r="A27">
        <f t="shared" si="1"/>
        <v>19</v>
      </c>
      <c r="B27" s="14">
        <v>2017</v>
      </c>
      <c r="C27" s="39">
        <v>54</v>
      </c>
      <c r="D27" s="12">
        <f t="shared" si="2"/>
        <v>0</v>
      </c>
      <c r="E27" s="12">
        <f t="shared" si="0"/>
        <v>0</v>
      </c>
      <c r="F27" s="12">
        <f t="shared" si="3"/>
        <v>0</v>
      </c>
      <c r="G27" s="12">
        <f t="shared" si="4"/>
        <v>1</v>
      </c>
      <c r="H27" s="12">
        <f t="shared" si="5"/>
        <v>6</v>
      </c>
      <c r="I27" s="12">
        <f t="shared" si="6"/>
        <v>11</v>
      </c>
      <c r="J27" s="12">
        <f t="shared" si="7"/>
        <v>4</v>
      </c>
      <c r="K27" s="12">
        <f t="shared" si="8"/>
        <v>0</v>
      </c>
      <c r="L27" s="12">
        <f t="shared" si="9"/>
        <v>0</v>
      </c>
      <c r="M27" s="12">
        <f t="shared" si="10"/>
        <v>0</v>
      </c>
      <c r="N27" s="12">
        <f t="shared" si="11"/>
        <v>0</v>
      </c>
      <c r="O27" s="12">
        <f t="shared" si="12"/>
        <v>0</v>
      </c>
      <c r="P27" s="12">
        <f t="shared" si="13"/>
        <v>0</v>
      </c>
      <c r="Q27" s="12">
        <f t="shared" si="14"/>
        <v>0</v>
      </c>
      <c r="AB27" s="28"/>
    </row>
    <row r="28" spans="1:28" ht="13.2">
      <c r="A28">
        <f t="shared" si="15" ref="A28:A43">+A27+1</f>
        <v>20</v>
      </c>
      <c r="B28" s="14">
        <v>2018</v>
      </c>
      <c r="C28" s="39">
        <v>58.800000000000004</v>
      </c>
      <c r="D28" s="12">
        <f t="shared" si="2"/>
        <v>0</v>
      </c>
      <c r="E28" s="12">
        <f t="shared" si="0"/>
        <v>0</v>
      </c>
      <c r="F28" s="12">
        <f t="shared" si="3"/>
        <v>0</v>
      </c>
      <c r="G28" s="12">
        <f t="shared" si="4"/>
        <v>0</v>
      </c>
      <c r="H28" s="12">
        <f t="shared" si="5"/>
        <v>1.1999999999999957</v>
      </c>
      <c r="I28" s="12">
        <f t="shared" si="6"/>
        <v>6.1999999999999957</v>
      </c>
      <c r="J28" s="12">
        <f t="shared" si="7"/>
        <v>8.8000000000000043</v>
      </c>
      <c r="K28" s="12">
        <f t="shared" si="8"/>
        <v>3.8000000000000043</v>
      </c>
      <c r="L28" s="12">
        <f t="shared" si="9"/>
        <v>0</v>
      </c>
      <c r="M28" s="12">
        <f t="shared" si="10"/>
        <v>0</v>
      </c>
      <c r="N28" s="12">
        <f t="shared" si="11"/>
        <v>0</v>
      </c>
      <c r="O28" s="12">
        <f t="shared" si="12"/>
        <v>0</v>
      </c>
      <c r="P28" s="12">
        <f t="shared" si="13"/>
        <v>0</v>
      </c>
      <c r="Q28" s="12">
        <f t="shared" si="14"/>
        <v>0</v>
      </c>
      <c r="AB28" s="28"/>
    </row>
    <row r="29" spans="1:28" ht="13.2">
      <c r="A29">
        <f t="shared" si="15"/>
        <v>21</v>
      </c>
      <c r="B29" s="14">
        <v>2019</v>
      </c>
      <c r="C29" s="39">
        <v>53.800000000000004</v>
      </c>
      <c r="D29" s="12">
        <f t="shared" si="2"/>
        <v>0</v>
      </c>
      <c r="E29" s="12">
        <f t="shared" si="0"/>
        <v>0</v>
      </c>
      <c r="F29" s="12">
        <f t="shared" si="3"/>
        <v>0</v>
      </c>
      <c r="G29" s="12">
        <f t="shared" si="4"/>
        <v>1.1999999999999957</v>
      </c>
      <c r="H29" s="12">
        <f t="shared" si="5"/>
        <v>6.1999999999999957</v>
      </c>
      <c r="I29" s="12">
        <f t="shared" si="6"/>
        <v>11.199999999999996</v>
      </c>
      <c r="J29" s="12">
        <f t="shared" si="7"/>
        <v>3.8000000000000043</v>
      </c>
      <c r="K29" s="12">
        <f t="shared" si="8"/>
        <v>0</v>
      </c>
      <c r="L29" s="12">
        <f t="shared" si="9"/>
        <v>0</v>
      </c>
      <c r="M29" s="12">
        <f t="shared" si="10"/>
        <v>0</v>
      </c>
      <c r="N29" s="12">
        <f t="shared" si="11"/>
        <v>0</v>
      </c>
      <c r="O29" s="12">
        <f t="shared" si="12"/>
        <v>0</v>
      </c>
      <c r="P29" s="12">
        <f t="shared" si="13"/>
        <v>0</v>
      </c>
      <c r="Q29" s="12">
        <f t="shared" si="14"/>
        <v>0</v>
      </c>
      <c r="AB29" s="28"/>
    </row>
    <row r="30" spans="1:32" ht="13.2">
      <c r="A30">
        <f t="shared" si="15"/>
        <v>22</v>
      </c>
      <c r="B30" s="14">
        <v>2020</v>
      </c>
      <c r="C30" s="39">
        <v>48.100000000000001</v>
      </c>
      <c r="D30" s="12">
        <f t="shared" si="2"/>
        <v>0</v>
      </c>
      <c r="E30" s="12">
        <f t="shared" si="0"/>
        <v>0</v>
      </c>
      <c r="F30" s="12">
        <f t="shared" si="3"/>
        <v>1.8999999999999986</v>
      </c>
      <c r="G30" s="12">
        <f t="shared" si="4"/>
        <v>6.8999999999999986</v>
      </c>
      <c r="H30" s="12">
        <f t="shared" si="5"/>
        <v>11.899999999999999</v>
      </c>
      <c r="I30" s="12">
        <f t="shared" si="6"/>
        <v>16.899999999999999</v>
      </c>
      <c r="J30" s="12">
        <f t="shared" si="7"/>
        <v>0</v>
      </c>
      <c r="K30" s="12">
        <f t="shared" si="8"/>
        <v>0</v>
      </c>
      <c r="L30" s="12">
        <f t="shared" si="9"/>
        <v>0</v>
      </c>
      <c r="M30" s="12">
        <f t="shared" si="10"/>
        <v>0</v>
      </c>
      <c r="N30" s="12">
        <f t="shared" si="11"/>
        <v>0</v>
      </c>
      <c r="O30" s="12">
        <f t="shared" si="12"/>
        <v>0</v>
      </c>
      <c r="P30" s="12">
        <f t="shared" si="13"/>
        <v>0</v>
      </c>
      <c r="Q30" s="12">
        <f t="shared" si="14"/>
        <v>0</v>
      </c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</row>
    <row r="31" spans="1:28" ht="13.2">
      <c r="A31">
        <f t="shared" si="15"/>
        <v>23</v>
      </c>
      <c r="B31" s="14"/>
      <c r="C31" s="22" t="s">
        <v>76</v>
      </c>
      <c r="D31" s="47">
        <f>AVERAGE(D11:D30)</f>
        <v>0.36208333333333015</v>
      </c>
      <c r="E31" s="47">
        <f t="shared" si="16" ref="E31:P31">AVERAGE(E11:E30)</f>
        <v>1.9616666666666653</v>
      </c>
      <c r="F31" s="47">
        <f t="shared" si="16"/>
        <v>4.8008333333333297</v>
      </c>
      <c r="G31" s="47">
        <f t="shared" si="16"/>
        <v>8.4858333333333285</v>
      </c>
      <c r="H31" s="47">
        <f t="shared" si="16"/>
        <v>13.122499999999993</v>
      </c>
      <c r="I31" s="47">
        <f t="shared" si="16"/>
        <v>18.122499999999995</v>
      </c>
      <c r="J31" s="47">
        <f t="shared" si="16"/>
        <v>1.6783333333333352</v>
      </c>
      <c r="K31" s="47">
        <f t="shared" si="16"/>
        <v>0.36333333333333506</v>
      </c>
      <c r="L31" s="47">
        <f t="shared" si="16"/>
        <v>0</v>
      </c>
      <c r="M31" s="47">
        <f t="shared" si="16"/>
        <v>0</v>
      </c>
      <c r="N31" s="47">
        <f t="shared" si="16"/>
        <v>0</v>
      </c>
      <c r="O31" s="47">
        <f t="shared" si="16"/>
        <v>0</v>
      </c>
      <c r="P31" s="47">
        <f t="shared" si="16"/>
        <v>0</v>
      </c>
      <c r="Q31" s="47">
        <f t="shared" si="17" ref="Q31">AVERAGE(Q11:Q30)</f>
        <v>0</v>
      </c>
      <c r="AB31" s="28"/>
    </row>
    <row r="32" spans="1:16" ht="13.2">
      <c r="A32">
        <f t="shared" si="15"/>
        <v>24</v>
      </c>
      <c r="B32" s="22"/>
      <c r="C32" s="50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</row>
    <row r="33" spans="1:17" ht="13.2">
      <c r="A33">
        <f t="shared" si="15"/>
        <v>25</v>
      </c>
      <c r="B33" t="s">
        <v>58</v>
      </c>
      <c r="C33" s="40" t="s">
        <v>126</v>
      </c>
      <c r="D33" s="54" t="s">
        <v>99</v>
      </c>
      <c r="E33" s="54" t="s">
        <v>60</v>
      </c>
      <c r="F33" s="54" t="s">
        <v>61</v>
      </c>
      <c r="G33" s="10" t="s">
        <v>110</v>
      </c>
      <c r="H33" s="10" t="s">
        <v>62</v>
      </c>
      <c r="I33" s="71" t="s">
        <v>118</v>
      </c>
      <c r="J33" s="41" t="s">
        <v>90</v>
      </c>
      <c r="K33" s="41" t="s">
        <v>119</v>
      </c>
      <c r="L33" s="41" t="s">
        <v>104</v>
      </c>
      <c r="M33" s="27" t="s">
        <v>63</v>
      </c>
      <c r="N33" s="27" t="s">
        <v>64</v>
      </c>
      <c r="O33" s="27" t="s">
        <v>65</v>
      </c>
      <c r="P33" s="27" t="s">
        <v>91</v>
      </c>
      <c r="Q33" s="41" t="s">
        <v>112</v>
      </c>
    </row>
    <row r="34" spans="1:28" ht="13.2">
      <c r="A34">
        <f t="shared" si="15"/>
        <v>26</v>
      </c>
      <c r="B34" s="14">
        <v>2001</v>
      </c>
      <c r="C34" s="39">
        <v>89.2083333333333</v>
      </c>
      <c r="D34" s="12">
        <f>MAX(40-$C34,0)</f>
        <v>0</v>
      </c>
      <c r="E34" s="12">
        <f t="shared" si="18" ref="E34:E53">MAX(45-$C34,0)</f>
        <v>0</v>
      </c>
      <c r="F34" s="12">
        <f>MAX(50-$C34,0)</f>
        <v>0</v>
      </c>
      <c r="G34" s="12">
        <f>MAX(55-$C34,0)</f>
        <v>0</v>
      </c>
      <c r="H34" s="12">
        <f>MAX(60-$C34,0)</f>
        <v>0</v>
      </c>
      <c r="I34" s="12">
        <f>MAX(65-$C34,0)</f>
        <v>0</v>
      </c>
      <c r="J34" s="12">
        <f>MAX($C34-50,0)</f>
        <v>39.2083333333333</v>
      </c>
      <c r="K34" s="12">
        <f>MAX($C34-55,0)</f>
        <v>34.2083333333333</v>
      </c>
      <c r="L34" s="12">
        <f>MAX($C34-60,0)</f>
        <v>29.2083333333333</v>
      </c>
      <c r="M34" s="12">
        <f>MAX($C34-65,0)</f>
        <v>24.2083333333333</v>
      </c>
      <c r="N34" s="12">
        <f>MAX($C34-70,0)</f>
        <v>19.2083333333333</v>
      </c>
      <c r="O34" s="12">
        <f>MAX($C34-75,0)</f>
        <v>14.2083333333333</v>
      </c>
      <c r="P34" s="12">
        <f>MAX($C34-80,0)</f>
        <v>9.2083333333333002</v>
      </c>
      <c r="Q34" s="12">
        <f>MAX($C34-85,0)</f>
        <v>4.2083333333333002</v>
      </c>
      <c r="AB34" s="28"/>
    </row>
    <row r="35" spans="1:28" ht="13.2">
      <c r="A35">
        <f t="shared" si="15"/>
        <v>27</v>
      </c>
      <c r="B35" s="14">
        <v>2002</v>
      </c>
      <c r="C35" s="39">
        <v>81.0416666666667</v>
      </c>
      <c r="D35" s="12">
        <f t="shared" si="19" ref="D35:D53">MAX(40-$C35,0)</f>
        <v>0</v>
      </c>
      <c r="E35" s="12">
        <f t="shared" si="18"/>
        <v>0</v>
      </c>
      <c r="F35" s="12">
        <f t="shared" si="20" ref="F35:F53">MAX(50-$C35,0)</f>
        <v>0</v>
      </c>
      <c r="G35" s="12">
        <f t="shared" si="21" ref="G35:G53">MAX(55-$C35,0)</f>
        <v>0</v>
      </c>
      <c r="H35" s="12">
        <f t="shared" si="22" ref="H35:H53">MAX(60-$C35,0)</f>
        <v>0</v>
      </c>
      <c r="I35" s="12">
        <f t="shared" si="23" ref="I35:I53">MAX(65-$C35,0)</f>
        <v>0</v>
      </c>
      <c r="J35" s="12">
        <f t="shared" si="24" ref="J35:J53">MAX($C35-50,0)</f>
        <v>31.0416666666667</v>
      </c>
      <c r="K35" s="12">
        <f t="shared" si="25" ref="K35:K53">MAX($C35-55,0)</f>
        <v>26.0416666666667</v>
      </c>
      <c r="L35" s="12">
        <f t="shared" si="26" ref="L35:L53">MAX($C35-60,0)</f>
        <v>21.0416666666667</v>
      </c>
      <c r="M35" s="12">
        <f t="shared" si="27" ref="M35:M53">MAX($C35-65,0)</f>
        <v>16.0416666666667</v>
      </c>
      <c r="N35" s="12">
        <f t="shared" si="28" ref="N35:N53">MAX($C35-70,0)</f>
        <v>11.0416666666667</v>
      </c>
      <c r="O35" s="12">
        <f t="shared" si="29" ref="O35:O53">MAX($C35-75,0)</f>
        <v>6.0416666666666998</v>
      </c>
      <c r="P35" s="12">
        <f t="shared" si="30" ref="P35:P53">MAX($C35-80,0)</f>
        <v>1.0416666666666998</v>
      </c>
      <c r="Q35" s="12">
        <f t="shared" si="31" ref="Q35:Q53">MAX($C35-85,0)</f>
        <v>0</v>
      </c>
      <c r="AB35" s="28"/>
    </row>
    <row r="36" spans="1:28" ht="13.2">
      <c r="A36">
        <f t="shared" si="15"/>
        <v>28</v>
      </c>
      <c r="B36" s="14">
        <v>2003</v>
      </c>
      <c r="C36" s="39">
        <v>85.5</v>
      </c>
      <c r="D36" s="12">
        <f t="shared" si="19"/>
        <v>0</v>
      </c>
      <c r="E36" s="12">
        <f t="shared" si="18"/>
        <v>0</v>
      </c>
      <c r="F36" s="12">
        <f t="shared" si="20"/>
        <v>0</v>
      </c>
      <c r="G36" s="12">
        <f t="shared" si="21"/>
        <v>0</v>
      </c>
      <c r="H36" s="12">
        <f t="shared" si="22"/>
        <v>0</v>
      </c>
      <c r="I36" s="12">
        <f t="shared" si="23"/>
        <v>0</v>
      </c>
      <c r="J36" s="12">
        <f t="shared" si="24"/>
        <v>35.5</v>
      </c>
      <c r="K36" s="12">
        <f t="shared" si="25"/>
        <v>30.5</v>
      </c>
      <c r="L36" s="12">
        <f t="shared" si="26"/>
        <v>25.5</v>
      </c>
      <c r="M36" s="12">
        <f t="shared" si="27"/>
        <v>20.5</v>
      </c>
      <c r="N36" s="12">
        <f t="shared" si="28"/>
        <v>15.5</v>
      </c>
      <c r="O36" s="12">
        <f t="shared" si="29"/>
        <v>10.5</v>
      </c>
      <c r="P36" s="12">
        <f t="shared" si="30"/>
        <v>5.5</v>
      </c>
      <c r="Q36" s="12">
        <f t="shared" si="31"/>
        <v>0.5</v>
      </c>
      <c r="AB36" s="28"/>
    </row>
    <row r="37" spans="1:28" ht="13.2">
      <c r="A37">
        <f t="shared" si="15"/>
        <v>29</v>
      </c>
      <c r="B37" s="14">
        <v>2004</v>
      </c>
      <c r="C37" s="39">
        <v>83.5</v>
      </c>
      <c r="D37" s="12">
        <f t="shared" si="19"/>
        <v>0</v>
      </c>
      <c r="E37" s="12">
        <f t="shared" si="18"/>
        <v>0</v>
      </c>
      <c r="F37" s="12">
        <f t="shared" si="20"/>
        <v>0</v>
      </c>
      <c r="G37" s="12">
        <f t="shared" si="21"/>
        <v>0</v>
      </c>
      <c r="H37" s="12">
        <f t="shared" si="22"/>
        <v>0</v>
      </c>
      <c r="I37" s="12">
        <f t="shared" si="23"/>
        <v>0</v>
      </c>
      <c r="J37" s="12">
        <f t="shared" si="24"/>
        <v>33.5</v>
      </c>
      <c r="K37" s="12">
        <f t="shared" si="25"/>
        <v>28.5</v>
      </c>
      <c r="L37" s="12">
        <f t="shared" si="26"/>
        <v>23.5</v>
      </c>
      <c r="M37" s="12">
        <f t="shared" si="27"/>
        <v>18.5</v>
      </c>
      <c r="N37" s="12">
        <f t="shared" si="28"/>
        <v>13.5</v>
      </c>
      <c r="O37" s="12">
        <f t="shared" si="29"/>
        <v>8.5</v>
      </c>
      <c r="P37" s="12">
        <f t="shared" si="30"/>
        <v>3.5</v>
      </c>
      <c r="Q37" s="12">
        <f t="shared" si="31"/>
        <v>0</v>
      </c>
      <c r="AB37" s="28"/>
    </row>
    <row r="38" spans="1:28" ht="13.2">
      <c r="A38">
        <f t="shared" si="15"/>
        <v>30</v>
      </c>
      <c r="B38" s="14">
        <v>2005</v>
      </c>
      <c r="C38" s="39">
        <v>83.125</v>
      </c>
      <c r="D38" s="12">
        <f t="shared" si="19"/>
        <v>0</v>
      </c>
      <c r="E38" s="12">
        <f t="shared" si="18"/>
        <v>0</v>
      </c>
      <c r="F38" s="12">
        <f t="shared" si="20"/>
        <v>0</v>
      </c>
      <c r="G38" s="12">
        <f t="shared" si="21"/>
        <v>0</v>
      </c>
      <c r="H38" s="12">
        <f t="shared" si="22"/>
        <v>0</v>
      </c>
      <c r="I38" s="12">
        <f t="shared" si="23"/>
        <v>0</v>
      </c>
      <c r="J38" s="12">
        <f t="shared" si="24"/>
        <v>33.125</v>
      </c>
      <c r="K38" s="12">
        <f t="shared" si="25"/>
        <v>28.125</v>
      </c>
      <c r="L38" s="12">
        <f t="shared" si="26"/>
        <v>23.125</v>
      </c>
      <c r="M38" s="12">
        <f t="shared" si="27"/>
        <v>18.125</v>
      </c>
      <c r="N38" s="12">
        <f t="shared" si="28"/>
        <v>13.125</v>
      </c>
      <c r="O38" s="12">
        <f t="shared" si="29"/>
        <v>8.125</v>
      </c>
      <c r="P38" s="12">
        <f t="shared" si="30"/>
        <v>3.125</v>
      </c>
      <c r="Q38" s="12">
        <f t="shared" si="31"/>
        <v>0</v>
      </c>
      <c r="AB38" s="28"/>
    </row>
    <row r="39" spans="1:28" ht="13.2">
      <c r="A39">
        <f t="shared" si="15"/>
        <v>31</v>
      </c>
      <c r="B39" s="14">
        <v>2006</v>
      </c>
      <c r="C39" s="39">
        <v>86.7083333333333</v>
      </c>
      <c r="D39" s="12">
        <f t="shared" si="19"/>
        <v>0</v>
      </c>
      <c r="E39" s="12">
        <f t="shared" si="18"/>
        <v>0</v>
      </c>
      <c r="F39" s="12">
        <f t="shared" si="20"/>
        <v>0</v>
      </c>
      <c r="G39" s="12">
        <f t="shared" si="21"/>
        <v>0</v>
      </c>
      <c r="H39" s="12">
        <f t="shared" si="22"/>
        <v>0</v>
      </c>
      <c r="I39" s="12">
        <f t="shared" si="23"/>
        <v>0</v>
      </c>
      <c r="J39" s="12">
        <f t="shared" si="24"/>
        <v>36.7083333333333</v>
      </c>
      <c r="K39" s="12">
        <f t="shared" si="25"/>
        <v>31.7083333333333</v>
      </c>
      <c r="L39" s="12">
        <f t="shared" si="26"/>
        <v>26.7083333333333</v>
      </c>
      <c r="M39" s="12">
        <f t="shared" si="27"/>
        <v>21.7083333333333</v>
      </c>
      <c r="N39" s="12">
        <f t="shared" si="28"/>
        <v>16.7083333333333</v>
      </c>
      <c r="O39" s="12">
        <f t="shared" si="29"/>
        <v>11.7083333333333</v>
      </c>
      <c r="P39" s="12">
        <f t="shared" si="30"/>
        <v>6.7083333333333002</v>
      </c>
      <c r="Q39" s="12">
        <f t="shared" si="31"/>
        <v>1.7083333333333002</v>
      </c>
      <c r="AB39" s="28"/>
    </row>
    <row r="40" spans="1:28" ht="13.2">
      <c r="A40">
        <f t="shared" si="15"/>
        <v>32</v>
      </c>
      <c r="B40" s="14">
        <v>2007</v>
      </c>
      <c r="C40" s="39">
        <v>75.4583333333333</v>
      </c>
      <c r="D40" s="12">
        <f t="shared" si="19"/>
        <v>0</v>
      </c>
      <c r="E40" s="12">
        <f t="shared" si="18"/>
        <v>0</v>
      </c>
      <c r="F40" s="12">
        <f t="shared" si="20"/>
        <v>0</v>
      </c>
      <c r="G40" s="12">
        <f t="shared" si="21"/>
        <v>0</v>
      </c>
      <c r="H40" s="12">
        <f t="shared" si="22"/>
        <v>0</v>
      </c>
      <c r="I40" s="12">
        <f t="shared" si="23"/>
        <v>0</v>
      </c>
      <c r="J40" s="12">
        <f t="shared" si="24"/>
        <v>25.4583333333333</v>
      </c>
      <c r="K40" s="12">
        <f t="shared" si="25"/>
        <v>20.4583333333333</v>
      </c>
      <c r="L40" s="12">
        <f t="shared" si="26"/>
        <v>15.4583333333333</v>
      </c>
      <c r="M40" s="12">
        <f t="shared" si="27"/>
        <v>10.4583333333333</v>
      </c>
      <c r="N40" s="12">
        <f t="shared" si="28"/>
        <v>5.4583333333333002</v>
      </c>
      <c r="O40" s="12">
        <f t="shared" si="29"/>
        <v>0.45833333333330017</v>
      </c>
      <c r="P40" s="12">
        <f t="shared" si="30"/>
        <v>0</v>
      </c>
      <c r="Q40" s="12">
        <f t="shared" si="31"/>
        <v>0</v>
      </c>
      <c r="AB40" s="28"/>
    </row>
    <row r="41" spans="1:28" ht="13.2">
      <c r="A41">
        <f t="shared" si="15"/>
        <v>33</v>
      </c>
      <c r="B41" s="14">
        <v>2008</v>
      </c>
      <c r="C41" s="39">
        <v>83.099999999999994</v>
      </c>
      <c r="D41" s="12">
        <f t="shared" si="19"/>
        <v>0</v>
      </c>
      <c r="E41" s="12">
        <f t="shared" si="18"/>
        <v>0</v>
      </c>
      <c r="F41" s="12">
        <f t="shared" si="20"/>
        <v>0</v>
      </c>
      <c r="G41" s="12">
        <f t="shared" si="21"/>
        <v>0</v>
      </c>
      <c r="H41" s="12">
        <f t="shared" si="22"/>
        <v>0</v>
      </c>
      <c r="I41" s="12">
        <f t="shared" si="23"/>
        <v>0</v>
      </c>
      <c r="J41" s="12">
        <f t="shared" si="24"/>
        <v>33.099999999999994</v>
      </c>
      <c r="K41" s="12">
        <f t="shared" si="25"/>
        <v>28.099999999999994</v>
      </c>
      <c r="L41" s="12">
        <f t="shared" si="26"/>
        <v>23.099999999999994</v>
      </c>
      <c r="M41" s="12">
        <f t="shared" si="27"/>
        <v>18.099999999999994</v>
      </c>
      <c r="N41" s="12">
        <f t="shared" si="28"/>
        <v>13.099999999999994</v>
      </c>
      <c r="O41" s="12">
        <f t="shared" si="29"/>
        <v>8.0999999999999943</v>
      </c>
      <c r="P41" s="12">
        <f t="shared" si="30"/>
        <v>3.0999999999999943</v>
      </c>
      <c r="Q41" s="12">
        <f t="shared" si="31"/>
        <v>0</v>
      </c>
      <c r="AB41" s="28"/>
    </row>
    <row r="42" spans="1:28" ht="13.2">
      <c r="A42">
        <f t="shared" si="15"/>
        <v>34</v>
      </c>
      <c r="B42" s="14">
        <v>2009</v>
      </c>
      <c r="C42" s="39">
        <v>78.400000000000006</v>
      </c>
      <c r="D42" s="12">
        <f t="shared" si="19"/>
        <v>0</v>
      </c>
      <c r="E42" s="12">
        <f t="shared" si="18"/>
        <v>0</v>
      </c>
      <c r="F42" s="12">
        <f t="shared" si="20"/>
        <v>0</v>
      </c>
      <c r="G42" s="12">
        <f t="shared" si="21"/>
        <v>0</v>
      </c>
      <c r="H42" s="12">
        <f t="shared" si="22"/>
        <v>0</v>
      </c>
      <c r="I42" s="12">
        <f t="shared" si="23"/>
        <v>0</v>
      </c>
      <c r="J42" s="12">
        <f t="shared" si="24"/>
        <v>28.400000000000006</v>
      </c>
      <c r="K42" s="12">
        <f t="shared" si="25"/>
        <v>23.400000000000006</v>
      </c>
      <c r="L42" s="12">
        <f t="shared" si="26"/>
        <v>18.400000000000006</v>
      </c>
      <c r="M42" s="12">
        <f t="shared" si="27"/>
        <v>13.400000000000006</v>
      </c>
      <c r="N42" s="12">
        <f t="shared" si="28"/>
        <v>8.4000000000000057</v>
      </c>
      <c r="O42" s="12">
        <f t="shared" si="29"/>
        <v>3.4000000000000057</v>
      </c>
      <c r="P42" s="12">
        <f t="shared" si="30"/>
        <v>0</v>
      </c>
      <c r="Q42" s="12">
        <f t="shared" si="31"/>
        <v>0</v>
      </c>
      <c r="AB42" s="28"/>
    </row>
    <row r="43" spans="1:28" ht="13.2">
      <c r="A43">
        <f t="shared" si="15"/>
        <v>35</v>
      </c>
      <c r="B43" s="14">
        <v>2010</v>
      </c>
      <c r="C43" s="39">
        <v>85.200000000000003</v>
      </c>
      <c r="D43" s="12">
        <f t="shared" si="19"/>
        <v>0</v>
      </c>
      <c r="E43" s="12">
        <f t="shared" si="18"/>
        <v>0</v>
      </c>
      <c r="F43" s="12">
        <f t="shared" si="20"/>
        <v>0</v>
      </c>
      <c r="G43" s="12">
        <f t="shared" si="21"/>
        <v>0</v>
      </c>
      <c r="H43" s="12">
        <f t="shared" si="22"/>
        <v>0</v>
      </c>
      <c r="I43" s="12">
        <f t="shared" si="23"/>
        <v>0</v>
      </c>
      <c r="J43" s="12">
        <f t="shared" si="24"/>
        <v>35.200000000000003</v>
      </c>
      <c r="K43" s="12">
        <f t="shared" si="25"/>
        <v>30.200000000000003</v>
      </c>
      <c r="L43" s="12">
        <f t="shared" si="26"/>
        <v>25.200000000000003</v>
      </c>
      <c r="M43" s="12">
        <f t="shared" si="27"/>
        <v>20.200000000000003</v>
      </c>
      <c r="N43" s="12">
        <f t="shared" si="28"/>
        <v>15.200000000000003</v>
      </c>
      <c r="O43" s="12">
        <f t="shared" si="29"/>
        <v>10.200000000000003</v>
      </c>
      <c r="P43" s="12">
        <f t="shared" si="30"/>
        <v>5.2000000000000028</v>
      </c>
      <c r="Q43" s="12">
        <f t="shared" si="31"/>
        <v>0.20000000000000284</v>
      </c>
      <c r="AB43" s="28"/>
    </row>
    <row r="44" spans="1:28" ht="13.2">
      <c r="A44">
        <f t="shared" si="32" ref="A44:A53">+A43+1</f>
        <v>36</v>
      </c>
      <c r="B44" s="14">
        <v>2011</v>
      </c>
      <c r="C44" s="39">
        <v>88.599999999999994</v>
      </c>
      <c r="D44" s="12">
        <f t="shared" si="19"/>
        <v>0</v>
      </c>
      <c r="E44" s="12">
        <f t="shared" si="18"/>
        <v>0</v>
      </c>
      <c r="F44" s="12">
        <f t="shared" si="20"/>
        <v>0</v>
      </c>
      <c r="G44" s="12">
        <f t="shared" si="21"/>
        <v>0</v>
      </c>
      <c r="H44" s="12">
        <f t="shared" si="22"/>
        <v>0</v>
      </c>
      <c r="I44" s="12">
        <f t="shared" si="23"/>
        <v>0</v>
      </c>
      <c r="J44" s="12">
        <f t="shared" si="24"/>
        <v>38.599999999999994</v>
      </c>
      <c r="K44" s="12">
        <f t="shared" si="25"/>
        <v>33.599999999999994</v>
      </c>
      <c r="L44" s="12">
        <f t="shared" si="26"/>
        <v>28.599999999999994</v>
      </c>
      <c r="M44" s="12">
        <f t="shared" si="27"/>
        <v>23.599999999999994</v>
      </c>
      <c r="N44" s="12">
        <f t="shared" si="28"/>
        <v>18.599999999999994</v>
      </c>
      <c r="O44" s="12">
        <f t="shared" si="29"/>
        <v>13.599999999999994</v>
      </c>
      <c r="P44" s="12">
        <f t="shared" si="30"/>
        <v>8.5999999999999943</v>
      </c>
      <c r="Q44" s="12">
        <f t="shared" si="31"/>
        <v>3.5999999999999943</v>
      </c>
      <c r="AB44" s="28"/>
    </row>
    <row r="45" spans="1:28" ht="13.2">
      <c r="A45">
        <f t="shared" si="32"/>
        <v>37</v>
      </c>
      <c r="B45" s="14">
        <v>2012</v>
      </c>
      <c r="C45" s="39">
        <v>87.400000000000006</v>
      </c>
      <c r="D45" s="12">
        <f t="shared" si="19"/>
        <v>0</v>
      </c>
      <c r="E45" s="12">
        <f t="shared" si="18"/>
        <v>0</v>
      </c>
      <c r="F45" s="12">
        <f t="shared" si="20"/>
        <v>0</v>
      </c>
      <c r="G45" s="12">
        <f t="shared" si="21"/>
        <v>0</v>
      </c>
      <c r="H45" s="12">
        <f t="shared" si="22"/>
        <v>0</v>
      </c>
      <c r="I45" s="12">
        <f t="shared" si="23"/>
        <v>0</v>
      </c>
      <c r="J45" s="12">
        <f t="shared" si="24"/>
        <v>37.400000000000006</v>
      </c>
      <c r="K45" s="12">
        <f t="shared" si="25"/>
        <v>32.400000000000006</v>
      </c>
      <c r="L45" s="12">
        <f t="shared" si="26"/>
        <v>27.400000000000006</v>
      </c>
      <c r="M45" s="12">
        <f t="shared" si="27"/>
        <v>22.400000000000006</v>
      </c>
      <c r="N45" s="12">
        <f t="shared" si="28"/>
        <v>17.400000000000006</v>
      </c>
      <c r="O45" s="12">
        <f t="shared" si="29"/>
        <v>12.400000000000006</v>
      </c>
      <c r="P45" s="12">
        <f t="shared" si="30"/>
        <v>7.4000000000000057</v>
      </c>
      <c r="Q45" s="12">
        <f t="shared" si="31"/>
        <v>2.4000000000000057</v>
      </c>
      <c r="AB45" s="28"/>
    </row>
    <row r="46" spans="1:28" ht="13.2">
      <c r="A46">
        <f t="shared" si="32"/>
        <v>38</v>
      </c>
      <c r="B46" s="14">
        <v>2013</v>
      </c>
      <c r="C46" s="39">
        <v>81.700000000000003</v>
      </c>
      <c r="D46" s="12">
        <f t="shared" si="19"/>
        <v>0</v>
      </c>
      <c r="E46" s="12">
        <f t="shared" si="18"/>
        <v>0</v>
      </c>
      <c r="F46" s="12">
        <f t="shared" si="20"/>
        <v>0</v>
      </c>
      <c r="G46" s="12">
        <f t="shared" si="21"/>
        <v>0</v>
      </c>
      <c r="H46" s="12">
        <f t="shared" si="22"/>
        <v>0</v>
      </c>
      <c r="I46" s="12">
        <f t="shared" si="23"/>
        <v>0</v>
      </c>
      <c r="J46" s="12">
        <f t="shared" si="24"/>
        <v>31.700000000000003</v>
      </c>
      <c r="K46" s="12">
        <f t="shared" si="25"/>
        <v>26.700000000000003</v>
      </c>
      <c r="L46" s="12">
        <f t="shared" si="26"/>
        <v>21.700000000000003</v>
      </c>
      <c r="M46" s="12">
        <f t="shared" si="27"/>
        <v>16.700000000000003</v>
      </c>
      <c r="N46" s="12">
        <f t="shared" si="28"/>
        <v>11.700000000000003</v>
      </c>
      <c r="O46" s="12">
        <f t="shared" si="29"/>
        <v>6.7000000000000028</v>
      </c>
      <c r="P46" s="12">
        <f t="shared" si="30"/>
        <v>1.7000000000000028</v>
      </c>
      <c r="Q46" s="12">
        <f t="shared" si="31"/>
        <v>0</v>
      </c>
      <c r="AB46" s="28"/>
    </row>
    <row r="47" spans="1:28" ht="13.2">
      <c r="A47">
        <f t="shared" si="32"/>
        <v>39</v>
      </c>
      <c r="B47" s="14">
        <v>2014</v>
      </c>
      <c r="C47" s="39">
        <v>82.200000000000003</v>
      </c>
      <c r="D47" s="12">
        <f t="shared" si="19"/>
        <v>0</v>
      </c>
      <c r="E47" s="12">
        <f t="shared" si="18"/>
        <v>0</v>
      </c>
      <c r="F47" s="12">
        <f t="shared" si="20"/>
        <v>0</v>
      </c>
      <c r="G47" s="12">
        <f t="shared" si="21"/>
        <v>0</v>
      </c>
      <c r="H47" s="12">
        <f t="shared" si="22"/>
        <v>0</v>
      </c>
      <c r="I47" s="12">
        <f t="shared" si="23"/>
        <v>0</v>
      </c>
      <c r="J47" s="12">
        <f t="shared" si="24"/>
        <v>32.200000000000003</v>
      </c>
      <c r="K47" s="12">
        <f t="shared" si="25"/>
        <v>27.200000000000003</v>
      </c>
      <c r="L47" s="12">
        <f t="shared" si="26"/>
        <v>22.200000000000003</v>
      </c>
      <c r="M47" s="12">
        <f t="shared" si="27"/>
        <v>17.200000000000003</v>
      </c>
      <c r="N47" s="12">
        <f t="shared" si="28"/>
        <v>12.200000000000003</v>
      </c>
      <c r="O47" s="12">
        <f t="shared" si="29"/>
        <v>7.2000000000000028</v>
      </c>
      <c r="P47" s="12">
        <f t="shared" si="30"/>
        <v>2.2000000000000028</v>
      </c>
      <c r="Q47" s="12">
        <f t="shared" si="31"/>
        <v>0</v>
      </c>
      <c r="AB47" s="28"/>
    </row>
    <row r="48" spans="1:28" ht="13.2">
      <c r="A48">
        <f t="shared" si="32"/>
        <v>40</v>
      </c>
      <c r="B48" s="14">
        <v>2015</v>
      </c>
      <c r="C48" s="39">
        <v>86.299999999999997</v>
      </c>
      <c r="D48" s="12">
        <f t="shared" si="19"/>
        <v>0</v>
      </c>
      <c r="E48" s="12">
        <f t="shared" si="18"/>
        <v>0</v>
      </c>
      <c r="F48" s="12">
        <f t="shared" si="20"/>
        <v>0</v>
      </c>
      <c r="G48" s="12">
        <f t="shared" si="21"/>
        <v>0</v>
      </c>
      <c r="H48" s="12">
        <f t="shared" si="22"/>
        <v>0</v>
      </c>
      <c r="I48" s="12">
        <f t="shared" si="23"/>
        <v>0</v>
      </c>
      <c r="J48" s="12">
        <f t="shared" si="24"/>
        <v>36.299999999999997</v>
      </c>
      <c r="K48" s="12">
        <f t="shared" si="25"/>
        <v>31.299999999999997</v>
      </c>
      <c r="L48" s="12">
        <f t="shared" si="26"/>
        <v>26.299999999999997</v>
      </c>
      <c r="M48" s="12">
        <f t="shared" si="27"/>
        <v>21.299999999999997</v>
      </c>
      <c r="N48" s="12">
        <f t="shared" si="28"/>
        <v>16.299999999999997</v>
      </c>
      <c r="O48" s="12">
        <f t="shared" si="29"/>
        <v>11.299999999999997</v>
      </c>
      <c r="P48" s="12">
        <f t="shared" si="30"/>
        <v>6.2999999999999972</v>
      </c>
      <c r="Q48" s="12">
        <f t="shared" si="31"/>
        <v>1.2999999999999972</v>
      </c>
      <c r="AB48" s="28"/>
    </row>
    <row r="49" spans="1:28" ht="13.2">
      <c r="A49">
        <f t="shared" si="32"/>
        <v>41</v>
      </c>
      <c r="B49" s="14">
        <v>2016</v>
      </c>
      <c r="C49" s="39">
        <v>86.5</v>
      </c>
      <c r="D49" s="12">
        <f t="shared" si="19"/>
        <v>0</v>
      </c>
      <c r="E49" s="12">
        <f t="shared" si="18"/>
        <v>0</v>
      </c>
      <c r="F49" s="12">
        <f t="shared" si="20"/>
        <v>0</v>
      </c>
      <c r="G49" s="12">
        <f t="shared" si="21"/>
        <v>0</v>
      </c>
      <c r="H49" s="12">
        <f t="shared" si="22"/>
        <v>0</v>
      </c>
      <c r="I49" s="12">
        <f t="shared" si="23"/>
        <v>0</v>
      </c>
      <c r="J49" s="12">
        <f t="shared" si="24"/>
        <v>36.5</v>
      </c>
      <c r="K49" s="12">
        <f t="shared" si="25"/>
        <v>31.5</v>
      </c>
      <c r="L49" s="12">
        <f t="shared" si="26"/>
        <v>26.5</v>
      </c>
      <c r="M49" s="12">
        <f t="shared" si="27"/>
        <v>21.5</v>
      </c>
      <c r="N49" s="12">
        <f t="shared" si="28"/>
        <v>16.5</v>
      </c>
      <c r="O49" s="12">
        <f t="shared" si="29"/>
        <v>11.5</v>
      </c>
      <c r="P49" s="12">
        <f t="shared" si="30"/>
        <v>6.5</v>
      </c>
      <c r="Q49" s="12">
        <f t="shared" si="31"/>
        <v>1.5</v>
      </c>
      <c r="AB49" s="28"/>
    </row>
    <row r="50" spans="1:28" ht="13.2">
      <c r="A50">
        <f t="shared" si="32"/>
        <v>42</v>
      </c>
      <c r="B50" s="14">
        <v>2017</v>
      </c>
      <c r="C50" s="39">
        <v>86</v>
      </c>
      <c r="D50" s="12">
        <f t="shared" si="19"/>
        <v>0</v>
      </c>
      <c r="E50" s="12">
        <f t="shared" si="18"/>
        <v>0</v>
      </c>
      <c r="F50" s="12">
        <f t="shared" si="20"/>
        <v>0</v>
      </c>
      <c r="G50" s="12">
        <f t="shared" si="21"/>
        <v>0</v>
      </c>
      <c r="H50" s="12">
        <f t="shared" si="22"/>
        <v>0</v>
      </c>
      <c r="I50" s="12">
        <f t="shared" si="23"/>
        <v>0</v>
      </c>
      <c r="J50" s="12">
        <f t="shared" si="24"/>
        <v>36</v>
      </c>
      <c r="K50" s="12">
        <f t="shared" si="25"/>
        <v>31</v>
      </c>
      <c r="L50" s="12">
        <f t="shared" si="26"/>
        <v>26</v>
      </c>
      <c r="M50" s="12">
        <f t="shared" si="27"/>
        <v>21</v>
      </c>
      <c r="N50" s="12">
        <f t="shared" si="28"/>
        <v>16</v>
      </c>
      <c r="O50" s="12">
        <f t="shared" si="29"/>
        <v>11</v>
      </c>
      <c r="P50" s="12">
        <f t="shared" si="30"/>
        <v>6</v>
      </c>
      <c r="Q50" s="12">
        <f t="shared" si="31"/>
        <v>1</v>
      </c>
      <c r="AB50" s="28"/>
    </row>
    <row r="51" spans="1:28" ht="13.2">
      <c r="A51">
        <f t="shared" si="32"/>
        <v>43</v>
      </c>
      <c r="B51" s="14">
        <v>2018</v>
      </c>
      <c r="C51" s="39">
        <v>92</v>
      </c>
      <c r="D51" s="12">
        <f t="shared" si="19"/>
        <v>0</v>
      </c>
      <c r="E51" s="12">
        <f t="shared" si="18"/>
        <v>0</v>
      </c>
      <c r="F51" s="12">
        <f t="shared" si="20"/>
        <v>0</v>
      </c>
      <c r="G51" s="12">
        <f t="shared" si="21"/>
        <v>0</v>
      </c>
      <c r="H51" s="12">
        <f t="shared" si="22"/>
        <v>0</v>
      </c>
      <c r="I51" s="12">
        <f t="shared" si="23"/>
        <v>0</v>
      </c>
      <c r="J51" s="12">
        <f t="shared" si="24"/>
        <v>42</v>
      </c>
      <c r="K51" s="12">
        <f t="shared" si="25"/>
        <v>37</v>
      </c>
      <c r="L51" s="12">
        <f t="shared" si="26"/>
        <v>32</v>
      </c>
      <c r="M51" s="12">
        <f t="shared" si="27"/>
        <v>27</v>
      </c>
      <c r="N51" s="12">
        <f t="shared" si="28"/>
        <v>22</v>
      </c>
      <c r="O51" s="12">
        <f t="shared" si="29"/>
        <v>17</v>
      </c>
      <c r="P51" s="12">
        <f t="shared" si="30"/>
        <v>12</v>
      </c>
      <c r="Q51" s="12">
        <f t="shared" si="31"/>
        <v>7</v>
      </c>
      <c r="AB51" s="28"/>
    </row>
    <row r="52" spans="1:28" ht="13.2">
      <c r="A52">
        <f t="shared" si="32"/>
        <v>44</v>
      </c>
      <c r="B52" s="14">
        <v>2019</v>
      </c>
      <c r="C52" s="39">
        <v>87.5</v>
      </c>
      <c r="D52" s="12">
        <f t="shared" si="19"/>
        <v>0</v>
      </c>
      <c r="E52" s="12">
        <f t="shared" si="18"/>
        <v>0</v>
      </c>
      <c r="F52" s="12">
        <f t="shared" si="20"/>
        <v>0</v>
      </c>
      <c r="G52" s="12">
        <f t="shared" si="21"/>
        <v>0</v>
      </c>
      <c r="H52" s="12">
        <f t="shared" si="22"/>
        <v>0</v>
      </c>
      <c r="I52" s="12">
        <f t="shared" si="23"/>
        <v>0</v>
      </c>
      <c r="J52" s="12">
        <f t="shared" si="24"/>
        <v>37.5</v>
      </c>
      <c r="K52" s="12">
        <f t="shared" si="25"/>
        <v>32.5</v>
      </c>
      <c r="L52" s="12">
        <f t="shared" si="26"/>
        <v>27.5</v>
      </c>
      <c r="M52" s="12">
        <f t="shared" si="27"/>
        <v>22.5</v>
      </c>
      <c r="N52" s="12">
        <f t="shared" si="28"/>
        <v>17.5</v>
      </c>
      <c r="O52" s="12">
        <f t="shared" si="29"/>
        <v>12.5</v>
      </c>
      <c r="P52" s="12">
        <f t="shared" si="30"/>
        <v>7.5</v>
      </c>
      <c r="Q52" s="12">
        <f t="shared" si="31"/>
        <v>2.5</v>
      </c>
      <c r="AB52" s="28"/>
    </row>
    <row r="53" spans="1:32" ht="13.2">
      <c r="A53">
        <f t="shared" si="32"/>
        <v>45</v>
      </c>
      <c r="B53" s="14">
        <v>2020</v>
      </c>
      <c r="C53" s="39">
        <v>85.799999999999997</v>
      </c>
      <c r="D53" s="12">
        <f t="shared" si="19"/>
        <v>0</v>
      </c>
      <c r="E53" s="12">
        <f t="shared" si="18"/>
        <v>0</v>
      </c>
      <c r="F53" s="12">
        <f t="shared" si="20"/>
        <v>0</v>
      </c>
      <c r="G53" s="12">
        <f t="shared" si="21"/>
        <v>0</v>
      </c>
      <c r="H53" s="12">
        <f t="shared" si="22"/>
        <v>0</v>
      </c>
      <c r="I53" s="12">
        <f t="shared" si="23"/>
        <v>0</v>
      </c>
      <c r="J53" s="12">
        <f t="shared" si="24"/>
        <v>35.799999999999997</v>
      </c>
      <c r="K53" s="12">
        <f t="shared" si="25"/>
        <v>30.799999999999997</v>
      </c>
      <c r="L53" s="12">
        <f t="shared" si="26"/>
        <v>25.799999999999997</v>
      </c>
      <c r="M53" s="12">
        <f t="shared" si="27"/>
        <v>20.799999999999997</v>
      </c>
      <c r="N53" s="12">
        <f t="shared" si="28"/>
        <v>15.799999999999997</v>
      </c>
      <c r="O53" s="12">
        <f t="shared" si="29"/>
        <v>10.799999999999997</v>
      </c>
      <c r="P53" s="12">
        <f t="shared" si="30"/>
        <v>5.7999999999999972</v>
      </c>
      <c r="Q53" s="12">
        <f t="shared" si="31"/>
        <v>0.79999999999999716</v>
      </c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</row>
    <row r="54" spans="2:17" ht="13.2">
      <c r="B54" s="14"/>
      <c r="C54" s="22" t="s">
        <v>76</v>
      </c>
      <c r="D54" s="47">
        <f>AVERAGE(D34:D53)</f>
        <v>0</v>
      </c>
      <c r="E54" s="47">
        <f t="shared" si="33" ref="E54:P54">AVERAGE(E34:E53)</f>
        <v>0</v>
      </c>
      <c r="F54" s="47">
        <f t="shared" si="33"/>
        <v>0</v>
      </c>
      <c r="G54" s="47">
        <f t="shared" si="33"/>
        <v>0</v>
      </c>
      <c r="H54" s="47">
        <f t="shared" si="33"/>
        <v>0</v>
      </c>
      <c r="I54" s="47">
        <f t="shared" si="33"/>
        <v>0</v>
      </c>
      <c r="J54" s="47">
        <f t="shared" si="33"/>
        <v>34.762083333333329</v>
      </c>
      <c r="K54" s="47">
        <f t="shared" si="33"/>
        <v>29.762083333333329</v>
      </c>
      <c r="L54" s="47">
        <f>AVERAGE(L34:L53)</f>
        <v>24.762083333333329</v>
      </c>
      <c r="M54" s="47">
        <f t="shared" si="33"/>
        <v>19.762083333333329</v>
      </c>
      <c r="N54" s="47">
        <f t="shared" si="33"/>
        <v>14.762083333333331</v>
      </c>
      <c r="O54" s="47">
        <f t="shared" si="33"/>
        <v>9.7620833333333312</v>
      </c>
      <c r="P54" s="47">
        <f t="shared" si="33"/>
        <v>5.069166666666665</v>
      </c>
      <c r="Q54" s="47">
        <f t="shared" si="34" ref="Q54">AVERAGE(Q34:Q53)</f>
        <v>1.3358333333333299</v>
      </c>
    </row>
    <row r="55" spans="2:5" ht="13.2">
      <c r="B55" s="14"/>
      <c r="C55" s="14"/>
      <c r="D55" s="14"/>
      <c r="E55" s="15"/>
    </row>
    <row r="56" spans="2:5" ht="13.2">
      <c r="B56" s="14"/>
      <c r="C56" s="14"/>
      <c r="D56" s="14"/>
      <c r="E56" s="15"/>
    </row>
    <row r="57" spans="2:5" ht="13.2">
      <c r="B57" s="14"/>
      <c r="C57" s="14"/>
      <c r="D57" s="14"/>
      <c r="E57" s="15"/>
    </row>
    <row r="58" spans="2:5" ht="13.2">
      <c r="B58" s="14"/>
      <c r="C58" s="14"/>
      <c r="D58" s="14"/>
      <c r="E58" s="15"/>
    </row>
    <row r="59" spans="2:5" ht="13.2">
      <c r="B59" s="14"/>
      <c r="C59" s="14"/>
      <c r="D59" s="14"/>
      <c r="E59" s="15"/>
    </row>
    <row r="60" spans="2:5" ht="13.2">
      <c r="B60" s="14"/>
      <c r="C60" s="14"/>
      <c r="D60" s="14"/>
      <c r="E60" s="15"/>
    </row>
    <row r="61" spans="2:5" ht="13.2">
      <c r="B61" s="14"/>
      <c r="C61" s="14"/>
      <c r="D61" s="14"/>
      <c r="E61" s="15"/>
    </row>
    <row r="62" spans="2:5" ht="13.2">
      <c r="B62" s="14"/>
      <c r="C62" s="14"/>
      <c r="D62" s="14"/>
      <c r="E62" s="15"/>
    </row>
    <row r="63" spans="2:5" ht="13.2">
      <c r="B63" s="14"/>
      <c r="C63" s="14"/>
      <c r="D63" s="14"/>
      <c r="E63" s="15"/>
    </row>
    <row r="64" spans="2:5" ht="13.2">
      <c r="B64" s="14"/>
      <c r="C64" s="14"/>
      <c r="D64" s="14"/>
      <c r="E64" s="15"/>
    </row>
    <row r="65" spans="2:5" ht="13.2">
      <c r="B65" s="14"/>
      <c r="C65" s="14"/>
      <c r="D65" s="14"/>
      <c r="E65" s="15"/>
    </row>
    <row r="66" spans="2:5" ht="13.2">
      <c r="B66" s="14"/>
      <c r="C66" s="14"/>
      <c r="D66" s="14"/>
      <c r="E66" s="15"/>
    </row>
    <row r="67" spans="2:5" ht="13.2">
      <c r="B67" s="14"/>
      <c r="C67" s="14"/>
      <c r="D67" s="14"/>
      <c r="E67" s="15"/>
    </row>
    <row r="68" spans="2:5" ht="13.2">
      <c r="B68" s="14"/>
      <c r="C68" s="14"/>
      <c r="D68" s="14"/>
      <c r="E68" s="15"/>
    </row>
    <row r="69" spans="2:5" ht="13.2">
      <c r="B69" s="14"/>
      <c r="C69" s="14"/>
      <c r="D69" s="14"/>
      <c r="E69" s="15"/>
    </row>
    <row r="70" spans="2:5" ht="13.2">
      <c r="B70" s="14"/>
      <c r="C70" s="14"/>
      <c r="D70" s="14"/>
      <c r="E70" s="15"/>
    </row>
    <row r="71" spans="2:5" ht="13.2">
      <c r="B71" s="14"/>
      <c r="C71" s="14"/>
      <c r="D71" s="14"/>
      <c r="E71" s="15"/>
    </row>
    <row r="72" spans="2:5" ht="13.2">
      <c r="B72" s="14"/>
      <c r="C72" s="14"/>
      <c r="D72" s="14"/>
      <c r="E72" s="15"/>
    </row>
    <row r="73" spans="2:4" ht="13.2">
      <c r="B73" s="14"/>
      <c r="C73" s="14"/>
      <c r="D73" s="14"/>
    </row>
  </sheetData>
  <mergeCells count="6">
    <mergeCell ref="B8:Q8"/>
    <mergeCell ref="B1:Q1"/>
    <mergeCell ref="B2:Q2"/>
    <mergeCell ref="B3:Q3"/>
    <mergeCell ref="B4:Q4"/>
    <mergeCell ref="B6:Q6"/>
  </mergeCells>
  <pageMargins left="0.75" right="0.75" top="1" bottom="1" header="0.5" footer="0.5"/>
  <pageSetup orientation="portrait" scale="84" r:id="rId1"/>
  <headerFooter alignWithMargins="0">
    <oddHeader>&amp;RSchedule II-H-5.1
Page &amp;P of  28</oddHead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pageSetUpPr fitToPage="1"/>
  </sheetPr>
  <dimension ref="A1:AD73"/>
  <sheetViews>
    <sheetView workbookViewId="0" topLeftCell="A1"/>
  </sheetViews>
  <sheetFormatPr defaultRowHeight="13.5"/>
  <cols>
    <col min="2" max="2" width="5" bestFit="1" customWidth="1"/>
    <col min="3" max="3" width="9.28571428571429" bestFit="1" customWidth="1"/>
    <col min="4" max="8" width="6.85714285714286" bestFit="1" customWidth="1"/>
    <col min="9" max="11" width="6.85714285714286" customWidth="1"/>
    <col min="12" max="17" width="7" bestFit="1" customWidth="1"/>
    <col min="30" max="30" width="9.85714285714286" bestFit="1" customWidth="1"/>
  </cols>
  <sheetData>
    <row r="1" spans="1:17" s="2" customFormat="1" ht="15.6">
      <c r="A1" s="1"/>
      <c r="B1" s="82" t="str">
        <f>+Base40h!B1</f>
        <v xml:space="preserve">PUC DOCKET NO. </v>
      </c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</row>
    <row r="2" spans="1:17" s="2" customFormat="1" ht="15.6">
      <c r="A2" s="1"/>
      <c r="B2" s="82" t="str">
        <f>+Base40h!B2</f>
        <v>ONCOR ELECTRIC DELIVERY COMPANY LLC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</row>
    <row r="3" spans="1:17" s="2" customFormat="1" ht="15.6">
      <c r="A3" s="1"/>
      <c r="B3" s="82" t="str">
        <f>+Base40h!B3</f>
        <v>WEATHER STATION DATA</v>
      </c>
      <c r="C3" s="86"/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  <c r="P3" s="86"/>
      <c r="Q3" s="86"/>
    </row>
    <row r="4" spans="1:17" s="2" customFormat="1" ht="15.6">
      <c r="A4" s="1"/>
      <c r="B4" s="82" t="str">
        <f>+Base40h!B4</f>
        <v>FOR THE TEST YEAR ENDING DECEMBER 31, 2021</v>
      </c>
      <c r="C4" s="86"/>
      <c r="D4" s="86"/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  <c r="P4" s="86"/>
      <c r="Q4" s="86"/>
    </row>
    <row r="5" spans="1:2" s="2" customFormat="1" ht="11.4">
      <c r="A5" s="1"/>
      <c r="B5" s="17"/>
    </row>
    <row r="6" spans="1:17" s="2" customFormat="1" ht="15.6">
      <c r="A6" s="1"/>
      <c r="B6" s="82" t="s">
        <v>83</v>
      </c>
      <c r="C6" s="86"/>
      <c r="D6" s="86"/>
      <c r="E6" s="86"/>
      <c r="F6" s="86"/>
      <c r="G6" s="86"/>
      <c r="H6" s="86"/>
      <c r="I6" s="86"/>
      <c r="J6" s="86"/>
      <c r="K6" s="86"/>
      <c r="L6" s="86"/>
      <c r="M6" s="86"/>
      <c r="N6" s="86"/>
      <c r="O6" s="86"/>
      <c r="P6" s="86"/>
      <c r="Q6" s="86"/>
    </row>
    <row r="8" spans="2:17" ht="15.6">
      <c r="B8" s="82" t="s">
        <v>93</v>
      </c>
      <c r="C8" s="86"/>
      <c r="D8" s="86"/>
      <c r="E8" s="86"/>
      <c r="F8" s="86"/>
      <c r="G8" s="86"/>
      <c r="H8" s="86"/>
      <c r="I8" s="86"/>
      <c r="J8" s="86"/>
      <c r="K8" s="86"/>
      <c r="L8" s="86"/>
      <c r="M8" s="86"/>
      <c r="N8" s="86"/>
      <c r="O8" s="86"/>
      <c r="P8" s="86"/>
      <c r="Q8" s="86"/>
    </row>
    <row r="9" spans="1:5" ht="24" thickBot="1">
      <c r="A9" s="3" t="s">
        <v>4</v>
      </c>
      <c r="B9" s="13"/>
      <c r="C9" s="13"/>
      <c r="D9" s="13"/>
      <c r="E9" s="13"/>
    </row>
    <row r="10" spans="1:17" ht="13.2">
      <c r="A10">
        <v>1</v>
      </c>
      <c r="B10" t="s">
        <v>58</v>
      </c>
      <c r="C10" s="38" t="s">
        <v>133</v>
      </c>
      <c r="D10" s="54" t="s">
        <v>99</v>
      </c>
      <c r="E10" s="54" t="s">
        <v>60</v>
      </c>
      <c r="F10" s="54" t="s">
        <v>61</v>
      </c>
      <c r="G10" s="10" t="s">
        <v>110</v>
      </c>
      <c r="H10" s="10" t="s">
        <v>62</v>
      </c>
      <c r="I10" s="77" t="s">
        <v>118</v>
      </c>
      <c r="J10" s="79" t="s">
        <v>90</v>
      </c>
      <c r="K10" s="79" t="s">
        <v>119</v>
      </c>
      <c r="L10" s="79" t="s">
        <v>104</v>
      </c>
      <c r="M10" s="27" t="s">
        <v>63</v>
      </c>
      <c r="N10" s="27" t="s">
        <v>64</v>
      </c>
      <c r="O10" s="27" t="s">
        <v>65</v>
      </c>
      <c r="P10" s="27" t="s">
        <v>91</v>
      </c>
      <c r="Q10" s="41" t="s">
        <v>112</v>
      </c>
    </row>
    <row r="11" spans="1:30" ht="13.2">
      <c r="A11">
        <v>3</v>
      </c>
      <c r="B11" s="14">
        <v>2001</v>
      </c>
      <c r="C11" s="39">
        <v>44.9166666666667</v>
      </c>
      <c r="D11" s="12">
        <f>MAX(40-$C11,0)</f>
        <v>0</v>
      </c>
      <c r="E11" s="12">
        <f t="shared" si="0" ref="E11:E30">MAX(45-$C11,0)</f>
        <v>0.083333333333300175</v>
      </c>
      <c r="F11" s="12">
        <f>MAX(50-$C11,0)</f>
        <v>5.0833333333333002</v>
      </c>
      <c r="G11" s="12">
        <f>MAX(55-$C11,0)</f>
        <v>10.0833333333333</v>
      </c>
      <c r="H11" s="12">
        <f>MAX(60-$C11,0)</f>
        <v>15.0833333333333</v>
      </c>
      <c r="I11" s="12">
        <f>MAX(65-$C11,0)</f>
        <v>20.0833333333333</v>
      </c>
      <c r="J11" s="12">
        <f>MAX($C11-50,0)</f>
        <v>0</v>
      </c>
      <c r="K11" s="12">
        <f>MAX($C11-55,0)</f>
        <v>0</v>
      </c>
      <c r="L11" s="12">
        <f>MAX($C11-60,0)</f>
        <v>0</v>
      </c>
      <c r="M11" s="12">
        <f>MAX($C11-65,0)</f>
        <v>0</v>
      </c>
      <c r="N11" s="12">
        <f>MAX($C11-70,0)</f>
        <v>0</v>
      </c>
      <c r="O11" s="12">
        <f>MAX($C11-75,0)</f>
        <v>0</v>
      </c>
      <c r="P11" s="12">
        <f>MAX($C11-80,0)</f>
        <v>0</v>
      </c>
      <c r="Q11" s="12">
        <f>MAX($C11-85,0)</f>
        <v>0</v>
      </c>
      <c r="AD11" s="28"/>
    </row>
    <row r="12" spans="1:30" ht="13.2">
      <c r="A12">
        <f t="shared" si="1" ref="A12:A53">+A11+1</f>
        <v>4</v>
      </c>
      <c r="B12" s="14">
        <v>2002</v>
      </c>
      <c r="C12" s="39">
        <v>43.4583333333333</v>
      </c>
      <c r="D12" s="12">
        <f t="shared" si="2" ref="D12:D30">MAX(40-$C12,0)</f>
        <v>0</v>
      </c>
      <c r="E12" s="12">
        <f t="shared" si="0"/>
        <v>1.5416666666666998</v>
      </c>
      <c r="F12" s="12">
        <f t="shared" si="3" ref="F12:F30">MAX(50-$C12,0)</f>
        <v>6.5416666666666998</v>
      </c>
      <c r="G12" s="12">
        <f t="shared" si="4" ref="G12:G30">MAX(55-$C12,0)</f>
        <v>11.5416666666667</v>
      </c>
      <c r="H12" s="12">
        <f t="shared" si="5" ref="H12:H30">MAX(60-$C12,0)</f>
        <v>16.5416666666667</v>
      </c>
      <c r="I12" s="12">
        <f t="shared" si="6" ref="I12:I30">MAX(65-$C12,0)</f>
        <v>21.5416666666667</v>
      </c>
      <c r="J12" s="12">
        <f t="shared" si="7" ref="J12:J30">MAX($C12-50,0)</f>
        <v>0</v>
      </c>
      <c r="K12" s="12">
        <f t="shared" si="8" ref="K12:K30">MAX($C12-55,0)</f>
        <v>0</v>
      </c>
      <c r="L12" s="12">
        <f t="shared" si="9" ref="L12:L30">MAX($C12-60,0)</f>
        <v>0</v>
      </c>
      <c r="M12" s="12">
        <f t="shared" si="10" ref="M12:M30">MAX($C12-65,0)</f>
        <v>0</v>
      </c>
      <c r="N12" s="12">
        <f t="shared" si="11" ref="N12:N30">MAX($C12-70,0)</f>
        <v>0</v>
      </c>
      <c r="O12" s="12">
        <f t="shared" si="12" ref="O12:O30">MAX($C12-75,0)</f>
        <v>0</v>
      </c>
      <c r="P12" s="12">
        <f t="shared" si="13" ref="P12:P30">MAX($C12-80,0)</f>
        <v>0</v>
      </c>
      <c r="Q12" s="12">
        <f t="shared" si="14" ref="Q12:Q30">MAX($C12-85,0)</f>
        <v>0</v>
      </c>
      <c r="AD12" s="28"/>
    </row>
    <row r="13" spans="1:30" ht="13.2">
      <c r="A13">
        <f t="shared" si="1"/>
        <v>5</v>
      </c>
      <c r="B13" s="14">
        <v>2003</v>
      </c>
      <c r="C13" s="39">
        <v>44.8333333333333</v>
      </c>
      <c r="D13" s="12">
        <f t="shared" si="2"/>
        <v>0</v>
      </c>
      <c r="E13" s="12">
        <f t="shared" si="0"/>
        <v>0.16666666666669983</v>
      </c>
      <c r="F13" s="12">
        <f t="shared" si="3"/>
        <v>5.1666666666666998</v>
      </c>
      <c r="G13" s="12">
        <f t="shared" si="4"/>
        <v>10.1666666666667</v>
      </c>
      <c r="H13" s="12">
        <f t="shared" si="5"/>
        <v>15.1666666666667</v>
      </c>
      <c r="I13" s="12">
        <f t="shared" si="6"/>
        <v>20.1666666666667</v>
      </c>
      <c r="J13" s="12">
        <f t="shared" si="7"/>
        <v>0</v>
      </c>
      <c r="K13" s="12">
        <f t="shared" si="8"/>
        <v>0</v>
      </c>
      <c r="L13" s="12">
        <f t="shared" si="9"/>
        <v>0</v>
      </c>
      <c r="M13" s="12">
        <f t="shared" si="10"/>
        <v>0</v>
      </c>
      <c r="N13" s="12">
        <f t="shared" si="11"/>
        <v>0</v>
      </c>
      <c r="O13" s="12">
        <f t="shared" si="12"/>
        <v>0</v>
      </c>
      <c r="P13" s="12">
        <f t="shared" si="13"/>
        <v>0</v>
      </c>
      <c r="Q13" s="12">
        <f t="shared" si="14"/>
        <v>0</v>
      </c>
      <c r="AD13" s="28"/>
    </row>
    <row r="14" spans="1:30" ht="13.2">
      <c r="A14">
        <f t="shared" si="1"/>
        <v>6</v>
      </c>
      <c r="B14" s="14">
        <v>2004</v>
      </c>
      <c r="C14" s="39">
        <v>53.7916666666667</v>
      </c>
      <c r="D14" s="12">
        <f t="shared" si="2"/>
        <v>0</v>
      </c>
      <c r="E14" s="12">
        <f t="shared" si="0"/>
        <v>0</v>
      </c>
      <c r="F14" s="12">
        <f t="shared" si="3"/>
        <v>0</v>
      </c>
      <c r="G14" s="12">
        <f t="shared" si="4"/>
        <v>1.2083333333333002</v>
      </c>
      <c r="H14" s="12">
        <f t="shared" si="5"/>
        <v>6.2083333333333002</v>
      </c>
      <c r="I14" s="12">
        <f t="shared" si="6"/>
        <v>11.2083333333333</v>
      </c>
      <c r="J14" s="12">
        <f t="shared" si="7"/>
        <v>3.7916666666666998</v>
      </c>
      <c r="K14" s="12">
        <f t="shared" si="8"/>
        <v>0</v>
      </c>
      <c r="L14" s="12">
        <f t="shared" si="9"/>
        <v>0</v>
      </c>
      <c r="M14" s="12">
        <f t="shared" si="10"/>
        <v>0</v>
      </c>
      <c r="N14" s="12">
        <f t="shared" si="11"/>
        <v>0</v>
      </c>
      <c r="O14" s="12">
        <f t="shared" si="12"/>
        <v>0</v>
      </c>
      <c r="P14" s="12">
        <f t="shared" si="13"/>
        <v>0</v>
      </c>
      <c r="Q14" s="12">
        <f t="shared" si="14"/>
        <v>0</v>
      </c>
      <c r="AD14" s="28"/>
    </row>
    <row r="15" spans="1:30" ht="13.2">
      <c r="A15">
        <f t="shared" si="1"/>
        <v>7</v>
      </c>
      <c r="B15" s="14">
        <v>2005</v>
      </c>
      <c r="C15" s="39">
        <v>41.8333333333333</v>
      </c>
      <c r="D15" s="12">
        <f t="shared" si="2"/>
        <v>0</v>
      </c>
      <c r="E15" s="12">
        <f t="shared" si="0"/>
        <v>3.1666666666666998</v>
      </c>
      <c r="F15" s="12">
        <f t="shared" si="3"/>
        <v>8.1666666666666998</v>
      </c>
      <c r="G15" s="12">
        <f t="shared" si="4"/>
        <v>13.1666666666667</v>
      </c>
      <c r="H15" s="12">
        <f t="shared" si="5"/>
        <v>18.1666666666667</v>
      </c>
      <c r="I15" s="12">
        <f t="shared" si="6"/>
        <v>23.1666666666667</v>
      </c>
      <c r="J15" s="12">
        <f t="shared" si="7"/>
        <v>0</v>
      </c>
      <c r="K15" s="12">
        <f t="shared" si="8"/>
        <v>0</v>
      </c>
      <c r="L15" s="12">
        <f t="shared" si="9"/>
        <v>0</v>
      </c>
      <c r="M15" s="12">
        <f t="shared" si="10"/>
        <v>0</v>
      </c>
      <c r="N15" s="12">
        <f t="shared" si="11"/>
        <v>0</v>
      </c>
      <c r="O15" s="12">
        <f t="shared" si="12"/>
        <v>0</v>
      </c>
      <c r="P15" s="12">
        <f t="shared" si="13"/>
        <v>0</v>
      </c>
      <c r="Q15" s="12">
        <f t="shared" si="14"/>
        <v>0</v>
      </c>
      <c r="AD15" s="28"/>
    </row>
    <row r="16" spans="1:30" ht="13.2">
      <c r="A16">
        <f t="shared" si="1"/>
        <v>8</v>
      </c>
      <c r="B16" s="14">
        <v>2006</v>
      </c>
      <c r="C16" s="39">
        <v>49.5</v>
      </c>
      <c r="D16" s="12">
        <f t="shared" si="2"/>
        <v>0</v>
      </c>
      <c r="E16" s="12">
        <f t="shared" si="0"/>
        <v>0</v>
      </c>
      <c r="F16" s="12">
        <f t="shared" si="3"/>
        <v>0.5</v>
      </c>
      <c r="G16" s="12">
        <f t="shared" si="4"/>
        <v>5.5</v>
      </c>
      <c r="H16" s="12">
        <f t="shared" si="5"/>
        <v>10.5</v>
      </c>
      <c r="I16" s="12">
        <f t="shared" si="6"/>
        <v>15.5</v>
      </c>
      <c r="J16" s="12">
        <f t="shared" si="7"/>
        <v>0</v>
      </c>
      <c r="K16" s="12">
        <f t="shared" si="8"/>
        <v>0</v>
      </c>
      <c r="L16" s="12">
        <f t="shared" si="9"/>
        <v>0</v>
      </c>
      <c r="M16" s="12">
        <f t="shared" si="10"/>
        <v>0</v>
      </c>
      <c r="N16" s="12">
        <f t="shared" si="11"/>
        <v>0</v>
      </c>
      <c r="O16" s="12">
        <f t="shared" si="12"/>
        <v>0</v>
      </c>
      <c r="P16" s="12">
        <f t="shared" si="13"/>
        <v>0</v>
      </c>
      <c r="Q16" s="12">
        <f t="shared" si="14"/>
        <v>0</v>
      </c>
      <c r="AD16" s="28"/>
    </row>
    <row r="17" spans="1:30" ht="13.2">
      <c r="A17">
        <f t="shared" si="1"/>
        <v>9</v>
      </c>
      <c r="B17" s="14">
        <v>2007</v>
      </c>
      <c r="C17" s="39">
        <v>26.9583333333333</v>
      </c>
      <c r="D17" s="12">
        <f t="shared" si="2"/>
        <v>13.0416666666667</v>
      </c>
      <c r="E17" s="12">
        <f t="shared" si="0"/>
        <v>18.0416666666667</v>
      </c>
      <c r="F17" s="12">
        <f t="shared" si="3"/>
        <v>23.0416666666667</v>
      </c>
      <c r="G17" s="12">
        <f t="shared" si="4"/>
        <v>28.0416666666667</v>
      </c>
      <c r="H17" s="12">
        <f t="shared" si="5"/>
        <v>33.0416666666667</v>
      </c>
      <c r="I17" s="12">
        <f t="shared" si="6"/>
        <v>38.0416666666667</v>
      </c>
      <c r="J17" s="12">
        <f t="shared" si="7"/>
        <v>0</v>
      </c>
      <c r="K17" s="12">
        <f t="shared" si="8"/>
        <v>0</v>
      </c>
      <c r="L17" s="12">
        <f t="shared" si="9"/>
        <v>0</v>
      </c>
      <c r="M17" s="12">
        <f t="shared" si="10"/>
        <v>0</v>
      </c>
      <c r="N17" s="12">
        <f t="shared" si="11"/>
        <v>0</v>
      </c>
      <c r="O17" s="12">
        <f t="shared" si="12"/>
        <v>0</v>
      </c>
      <c r="P17" s="12">
        <f t="shared" si="13"/>
        <v>0</v>
      </c>
      <c r="Q17" s="12">
        <f t="shared" si="14"/>
        <v>0</v>
      </c>
      <c r="AD17" s="28"/>
    </row>
    <row r="18" spans="1:30" ht="13.2">
      <c r="A18">
        <f t="shared" si="1"/>
        <v>10</v>
      </c>
      <c r="B18" s="14">
        <v>2008</v>
      </c>
      <c r="C18" s="39">
        <v>44.799999999999997</v>
      </c>
      <c r="D18" s="12">
        <f t="shared" si="2"/>
        <v>0</v>
      </c>
      <c r="E18" s="12">
        <f t="shared" si="0"/>
        <v>0.20000000000000284</v>
      </c>
      <c r="F18" s="12">
        <f t="shared" si="3"/>
        <v>5.2000000000000028</v>
      </c>
      <c r="G18" s="12">
        <f t="shared" si="4"/>
        <v>10.200000000000003</v>
      </c>
      <c r="H18" s="12">
        <f t="shared" si="5"/>
        <v>15.200000000000003</v>
      </c>
      <c r="I18" s="12">
        <f t="shared" si="6"/>
        <v>20.200000000000003</v>
      </c>
      <c r="J18" s="12">
        <f t="shared" si="7"/>
        <v>0</v>
      </c>
      <c r="K18" s="12">
        <f t="shared" si="8"/>
        <v>0</v>
      </c>
      <c r="L18" s="12">
        <f t="shared" si="9"/>
        <v>0</v>
      </c>
      <c r="M18" s="12">
        <f t="shared" si="10"/>
        <v>0</v>
      </c>
      <c r="N18" s="12">
        <f t="shared" si="11"/>
        <v>0</v>
      </c>
      <c r="O18" s="12">
        <f t="shared" si="12"/>
        <v>0</v>
      </c>
      <c r="P18" s="12">
        <f t="shared" si="13"/>
        <v>0</v>
      </c>
      <c r="Q18" s="12">
        <f t="shared" si="14"/>
        <v>0</v>
      </c>
      <c r="AD18" s="28"/>
    </row>
    <row r="19" spans="1:30" ht="13.2">
      <c r="A19">
        <f t="shared" si="1"/>
        <v>11</v>
      </c>
      <c r="B19" s="14">
        <v>2009</v>
      </c>
      <c r="C19" s="39">
        <v>44.299999999999997</v>
      </c>
      <c r="D19" s="12">
        <f t="shared" si="2"/>
        <v>0</v>
      </c>
      <c r="E19" s="12">
        <f t="shared" si="0"/>
        <v>0.70000000000000284</v>
      </c>
      <c r="F19" s="12">
        <f t="shared" si="3"/>
        <v>5.7000000000000028</v>
      </c>
      <c r="G19" s="12">
        <f t="shared" si="4"/>
        <v>10.700000000000003</v>
      </c>
      <c r="H19" s="12">
        <f t="shared" si="5"/>
        <v>15.700000000000003</v>
      </c>
      <c r="I19" s="12">
        <f t="shared" si="6"/>
        <v>20.700000000000003</v>
      </c>
      <c r="J19" s="12">
        <f t="shared" si="7"/>
        <v>0</v>
      </c>
      <c r="K19" s="12">
        <f t="shared" si="8"/>
        <v>0</v>
      </c>
      <c r="L19" s="12">
        <f t="shared" si="9"/>
        <v>0</v>
      </c>
      <c r="M19" s="12">
        <f t="shared" si="10"/>
        <v>0</v>
      </c>
      <c r="N19" s="12">
        <f t="shared" si="11"/>
        <v>0</v>
      </c>
      <c r="O19" s="12">
        <f t="shared" si="12"/>
        <v>0</v>
      </c>
      <c r="P19" s="12">
        <f t="shared" si="13"/>
        <v>0</v>
      </c>
      <c r="Q19" s="12">
        <f t="shared" si="14"/>
        <v>0</v>
      </c>
      <c r="AD19" s="28"/>
    </row>
    <row r="20" spans="1:30" ht="13.2">
      <c r="A20">
        <f t="shared" si="1"/>
        <v>12</v>
      </c>
      <c r="B20" s="14">
        <v>2010</v>
      </c>
      <c r="C20" s="39">
        <v>53.299999999999997</v>
      </c>
      <c r="D20" s="12">
        <f t="shared" si="2"/>
        <v>0</v>
      </c>
      <c r="E20" s="12">
        <f t="shared" si="0"/>
        <v>0</v>
      </c>
      <c r="F20" s="12">
        <f t="shared" si="3"/>
        <v>0</v>
      </c>
      <c r="G20" s="12">
        <f t="shared" si="4"/>
        <v>1.7000000000000028</v>
      </c>
      <c r="H20" s="12">
        <f t="shared" si="5"/>
        <v>6.7000000000000028</v>
      </c>
      <c r="I20" s="12">
        <f t="shared" si="6"/>
        <v>11.700000000000003</v>
      </c>
      <c r="J20" s="12">
        <f t="shared" si="7"/>
        <v>3.2999999999999972</v>
      </c>
      <c r="K20" s="12">
        <f t="shared" si="8"/>
        <v>0</v>
      </c>
      <c r="L20" s="12">
        <f t="shared" si="9"/>
        <v>0</v>
      </c>
      <c r="M20" s="12">
        <f t="shared" si="10"/>
        <v>0</v>
      </c>
      <c r="N20" s="12">
        <f t="shared" si="11"/>
        <v>0</v>
      </c>
      <c r="O20" s="12">
        <f t="shared" si="12"/>
        <v>0</v>
      </c>
      <c r="P20" s="12">
        <f t="shared" si="13"/>
        <v>0</v>
      </c>
      <c r="Q20" s="12">
        <f t="shared" si="14"/>
        <v>0</v>
      </c>
      <c r="AD20" s="28"/>
    </row>
    <row r="21" spans="1:30" ht="13.2">
      <c r="A21">
        <f t="shared" si="1"/>
        <v>13</v>
      </c>
      <c r="B21" s="14">
        <v>2011</v>
      </c>
      <c r="C21" s="39">
        <v>43.100000000000001</v>
      </c>
      <c r="D21" s="12">
        <f t="shared" si="2"/>
        <v>0</v>
      </c>
      <c r="E21" s="12">
        <f t="shared" si="0"/>
        <v>1.8999999999999986</v>
      </c>
      <c r="F21" s="12">
        <f t="shared" si="3"/>
        <v>6.8999999999999986</v>
      </c>
      <c r="G21" s="12">
        <f t="shared" si="4"/>
        <v>11.899999999999999</v>
      </c>
      <c r="H21" s="12">
        <f t="shared" si="5"/>
        <v>16.899999999999999</v>
      </c>
      <c r="I21" s="12">
        <f t="shared" si="6"/>
        <v>21.899999999999999</v>
      </c>
      <c r="J21" s="12">
        <f t="shared" si="7"/>
        <v>0</v>
      </c>
      <c r="K21" s="12">
        <f t="shared" si="8"/>
        <v>0</v>
      </c>
      <c r="L21" s="12">
        <f t="shared" si="9"/>
        <v>0</v>
      </c>
      <c r="M21" s="12">
        <f t="shared" si="10"/>
        <v>0</v>
      </c>
      <c r="N21" s="12">
        <f t="shared" si="11"/>
        <v>0</v>
      </c>
      <c r="O21" s="12">
        <f t="shared" si="12"/>
        <v>0</v>
      </c>
      <c r="P21" s="12">
        <f t="shared" si="13"/>
        <v>0</v>
      </c>
      <c r="Q21" s="12">
        <f t="shared" si="14"/>
        <v>0</v>
      </c>
      <c r="AD21" s="28"/>
    </row>
    <row r="22" spans="1:30" ht="13.2">
      <c r="A22">
        <f t="shared" si="1"/>
        <v>14</v>
      </c>
      <c r="B22" s="14">
        <v>2012</v>
      </c>
      <c r="C22" s="39">
        <v>48.200000000000003</v>
      </c>
      <c r="D22" s="12">
        <f t="shared" si="2"/>
        <v>0</v>
      </c>
      <c r="E22" s="12">
        <f t="shared" si="0"/>
        <v>0</v>
      </c>
      <c r="F22" s="12">
        <f t="shared" si="3"/>
        <v>1.7999999999999972</v>
      </c>
      <c r="G22" s="12">
        <f t="shared" si="4"/>
        <v>6.7999999999999972</v>
      </c>
      <c r="H22" s="12">
        <f t="shared" si="5"/>
        <v>11.799999999999997</v>
      </c>
      <c r="I22" s="12">
        <f t="shared" si="6"/>
        <v>16.799999999999997</v>
      </c>
      <c r="J22" s="12">
        <f t="shared" si="7"/>
        <v>0</v>
      </c>
      <c r="K22" s="12">
        <f t="shared" si="8"/>
        <v>0</v>
      </c>
      <c r="L22" s="12">
        <f t="shared" si="9"/>
        <v>0</v>
      </c>
      <c r="M22" s="12">
        <f t="shared" si="10"/>
        <v>0</v>
      </c>
      <c r="N22" s="12">
        <f t="shared" si="11"/>
        <v>0</v>
      </c>
      <c r="O22" s="12">
        <f t="shared" si="12"/>
        <v>0</v>
      </c>
      <c r="P22" s="12">
        <f t="shared" si="13"/>
        <v>0</v>
      </c>
      <c r="Q22" s="12">
        <f t="shared" si="14"/>
        <v>0</v>
      </c>
      <c r="AD22" s="28"/>
    </row>
    <row r="23" spans="1:30" ht="13.2">
      <c r="A23">
        <f t="shared" si="1"/>
        <v>15</v>
      </c>
      <c r="B23" s="14">
        <v>2013</v>
      </c>
      <c r="C23" s="39">
        <v>29.5</v>
      </c>
      <c r="D23" s="12">
        <f t="shared" si="2"/>
        <v>10.5</v>
      </c>
      <c r="E23" s="12">
        <f t="shared" si="0"/>
        <v>15.5</v>
      </c>
      <c r="F23" s="12">
        <f t="shared" si="3"/>
        <v>20.5</v>
      </c>
      <c r="G23" s="12">
        <f t="shared" si="4"/>
        <v>25.5</v>
      </c>
      <c r="H23" s="12">
        <f t="shared" si="5"/>
        <v>30.5</v>
      </c>
      <c r="I23" s="12">
        <f t="shared" si="6"/>
        <v>35.5</v>
      </c>
      <c r="J23" s="12">
        <f t="shared" si="7"/>
        <v>0</v>
      </c>
      <c r="K23" s="12">
        <f t="shared" si="8"/>
        <v>0</v>
      </c>
      <c r="L23" s="12">
        <f t="shared" si="9"/>
        <v>0</v>
      </c>
      <c r="M23" s="12">
        <f t="shared" si="10"/>
        <v>0</v>
      </c>
      <c r="N23" s="12">
        <f t="shared" si="11"/>
        <v>0</v>
      </c>
      <c r="O23" s="12">
        <f t="shared" si="12"/>
        <v>0</v>
      </c>
      <c r="P23" s="12">
        <f t="shared" si="13"/>
        <v>0</v>
      </c>
      <c r="Q23" s="12">
        <f t="shared" si="14"/>
        <v>0</v>
      </c>
      <c r="AD23" s="28"/>
    </row>
    <row r="24" spans="1:30" ht="13.2">
      <c r="A24">
        <f t="shared" si="1"/>
        <v>16</v>
      </c>
      <c r="B24" s="14">
        <v>2014</v>
      </c>
      <c r="C24" s="39">
        <v>47.399999999999999</v>
      </c>
      <c r="D24" s="12">
        <f t="shared" si="2"/>
        <v>0</v>
      </c>
      <c r="E24" s="12">
        <f t="shared" si="0"/>
        <v>0</v>
      </c>
      <c r="F24" s="12">
        <f t="shared" si="3"/>
        <v>2.6000000000000014</v>
      </c>
      <c r="G24" s="12">
        <f t="shared" si="4"/>
        <v>7.6000000000000014</v>
      </c>
      <c r="H24" s="12">
        <f t="shared" si="5"/>
        <v>12.600000000000001</v>
      </c>
      <c r="I24" s="12">
        <f t="shared" si="6"/>
        <v>17.600000000000001</v>
      </c>
      <c r="J24" s="12">
        <f t="shared" si="7"/>
        <v>0</v>
      </c>
      <c r="K24" s="12">
        <f t="shared" si="8"/>
        <v>0</v>
      </c>
      <c r="L24" s="12">
        <f t="shared" si="9"/>
        <v>0</v>
      </c>
      <c r="M24" s="12">
        <f t="shared" si="10"/>
        <v>0</v>
      </c>
      <c r="N24" s="12">
        <f t="shared" si="11"/>
        <v>0</v>
      </c>
      <c r="O24" s="12">
        <f t="shared" si="12"/>
        <v>0</v>
      </c>
      <c r="P24" s="12">
        <f t="shared" si="13"/>
        <v>0</v>
      </c>
      <c r="Q24" s="12">
        <f t="shared" si="14"/>
        <v>0</v>
      </c>
      <c r="AD24" s="28"/>
    </row>
    <row r="25" spans="1:30" ht="13.2">
      <c r="A25">
        <f t="shared" si="1"/>
        <v>17</v>
      </c>
      <c r="B25" s="14">
        <v>2015</v>
      </c>
      <c r="C25" s="39">
        <v>32.799999999999997</v>
      </c>
      <c r="D25" s="12">
        <f t="shared" si="2"/>
        <v>7.2000000000000028</v>
      </c>
      <c r="E25" s="12">
        <f t="shared" si="0"/>
        <v>12.200000000000003</v>
      </c>
      <c r="F25" s="12">
        <f t="shared" si="3"/>
        <v>17.200000000000003</v>
      </c>
      <c r="G25" s="12">
        <f t="shared" si="4"/>
        <v>22.200000000000003</v>
      </c>
      <c r="H25" s="12">
        <f t="shared" si="5"/>
        <v>27.200000000000003</v>
      </c>
      <c r="I25" s="12">
        <f t="shared" si="6"/>
        <v>32.200000000000003</v>
      </c>
      <c r="J25" s="12">
        <f t="shared" si="7"/>
        <v>0</v>
      </c>
      <c r="K25" s="12">
        <f t="shared" si="8"/>
        <v>0</v>
      </c>
      <c r="L25" s="12">
        <f t="shared" si="9"/>
        <v>0</v>
      </c>
      <c r="M25" s="12">
        <f t="shared" si="10"/>
        <v>0</v>
      </c>
      <c r="N25" s="12">
        <f t="shared" si="11"/>
        <v>0</v>
      </c>
      <c r="O25" s="12">
        <f t="shared" si="12"/>
        <v>0</v>
      </c>
      <c r="P25" s="12">
        <f t="shared" si="13"/>
        <v>0</v>
      </c>
      <c r="Q25" s="12">
        <f t="shared" si="14"/>
        <v>0</v>
      </c>
      <c r="AD25" s="28"/>
    </row>
    <row r="26" spans="1:30" ht="13.2">
      <c r="A26">
        <f t="shared" si="1"/>
        <v>18</v>
      </c>
      <c r="B26" s="14">
        <v>2016</v>
      </c>
      <c r="C26" s="39">
        <v>52.700000000000003</v>
      </c>
      <c r="D26" s="12">
        <f t="shared" si="2"/>
        <v>0</v>
      </c>
      <c r="E26" s="12">
        <f t="shared" si="0"/>
        <v>0</v>
      </c>
      <c r="F26" s="12">
        <f t="shared" si="3"/>
        <v>0</v>
      </c>
      <c r="G26" s="12">
        <f t="shared" si="4"/>
        <v>2.2999999999999972</v>
      </c>
      <c r="H26" s="12">
        <f t="shared" si="5"/>
        <v>7.2999999999999972</v>
      </c>
      <c r="I26" s="12">
        <f t="shared" si="6"/>
        <v>12.299999999999997</v>
      </c>
      <c r="J26" s="12">
        <f t="shared" si="7"/>
        <v>2.7000000000000028</v>
      </c>
      <c r="K26" s="12">
        <f t="shared" si="8"/>
        <v>0</v>
      </c>
      <c r="L26" s="12">
        <f t="shared" si="9"/>
        <v>0</v>
      </c>
      <c r="M26" s="12">
        <f t="shared" si="10"/>
        <v>0</v>
      </c>
      <c r="N26" s="12">
        <f t="shared" si="11"/>
        <v>0</v>
      </c>
      <c r="O26" s="12">
        <f t="shared" si="12"/>
        <v>0</v>
      </c>
      <c r="P26" s="12">
        <f t="shared" si="13"/>
        <v>0</v>
      </c>
      <c r="Q26" s="12">
        <f t="shared" si="14"/>
        <v>0</v>
      </c>
      <c r="AD26" s="28"/>
    </row>
    <row r="27" spans="1:30" ht="13.2">
      <c r="A27">
        <f t="shared" si="1"/>
        <v>19</v>
      </c>
      <c r="B27" s="14">
        <v>2017</v>
      </c>
      <c r="C27" s="39">
        <v>33</v>
      </c>
      <c r="D27" s="12">
        <f t="shared" si="2"/>
        <v>7</v>
      </c>
      <c r="E27" s="12">
        <f t="shared" si="0"/>
        <v>12</v>
      </c>
      <c r="F27" s="12">
        <f t="shared" si="3"/>
        <v>17</v>
      </c>
      <c r="G27" s="12">
        <f t="shared" si="4"/>
        <v>22</v>
      </c>
      <c r="H27" s="12">
        <f t="shared" si="5"/>
        <v>27</v>
      </c>
      <c r="I27" s="12">
        <f t="shared" si="6"/>
        <v>32</v>
      </c>
      <c r="J27" s="12">
        <f t="shared" si="7"/>
        <v>0</v>
      </c>
      <c r="K27" s="12">
        <f t="shared" si="8"/>
        <v>0</v>
      </c>
      <c r="L27" s="12">
        <f t="shared" si="9"/>
        <v>0</v>
      </c>
      <c r="M27" s="12">
        <f t="shared" si="10"/>
        <v>0</v>
      </c>
      <c r="N27" s="12">
        <f t="shared" si="11"/>
        <v>0</v>
      </c>
      <c r="O27" s="12">
        <f t="shared" si="12"/>
        <v>0</v>
      </c>
      <c r="P27" s="12">
        <f t="shared" si="13"/>
        <v>0</v>
      </c>
      <c r="Q27" s="12">
        <f t="shared" si="14"/>
        <v>0</v>
      </c>
      <c r="AD27" s="28"/>
    </row>
    <row r="28" spans="1:30" ht="13.2">
      <c r="A28">
        <f t="shared" si="1"/>
        <v>20</v>
      </c>
      <c r="B28" s="14">
        <v>2018</v>
      </c>
      <c r="C28" s="39">
        <v>40.800000000000004</v>
      </c>
      <c r="D28" s="12">
        <f t="shared" si="2"/>
        <v>0</v>
      </c>
      <c r="E28" s="12">
        <f t="shared" si="0"/>
        <v>4.1999999999999957</v>
      </c>
      <c r="F28" s="12">
        <f t="shared" si="3"/>
        <v>9.1999999999999957</v>
      </c>
      <c r="G28" s="12">
        <f t="shared" si="4"/>
        <v>14.199999999999996</v>
      </c>
      <c r="H28" s="12">
        <f t="shared" si="5"/>
        <v>19.199999999999996</v>
      </c>
      <c r="I28" s="12">
        <f t="shared" si="6"/>
        <v>24.199999999999996</v>
      </c>
      <c r="J28" s="12">
        <f t="shared" si="7"/>
        <v>0</v>
      </c>
      <c r="K28" s="12">
        <f t="shared" si="8"/>
        <v>0</v>
      </c>
      <c r="L28" s="12">
        <f t="shared" si="9"/>
        <v>0</v>
      </c>
      <c r="M28" s="12">
        <f t="shared" si="10"/>
        <v>0</v>
      </c>
      <c r="N28" s="12">
        <f t="shared" si="11"/>
        <v>0</v>
      </c>
      <c r="O28" s="12">
        <f t="shared" si="12"/>
        <v>0</v>
      </c>
      <c r="P28" s="12">
        <f t="shared" si="13"/>
        <v>0</v>
      </c>
      <c r="Q28" s="12">
        <f t="shared" si="14"/>
        <v>0</v>
      </c>
      <c r="AD28" s="28"/>
    </row>
    <row r="29" spans="1:30" ht="13.2">
      <c r="A29">
        <f t="shared" si="1"/>
        <v>21</v>
      </c>
      <c r="B29" s="14">
        <v>2019</v>
      </c>
      <c r="C29" s="39">
        <v>38.600000000000001</v>
      </c>
      <c r="D29" s="12">
        <f t="shared" si="2"/>
        <v>1.3999999999999986</v>
      </c>
      <c r="E29" s="12">
        <f t="shared" si="0"/>
        <v>6.3999999999999986</v>
      </c>
      <c r="F29" s="12">
        <f t="shared" si="3"/>
        <v>11.399999999999999</v>
      </c>
      <c r="G29" s="12">
        <f t="shared" si="4"/>
        <v>16.399999999999999</v>
      </c>
      <c r="H29" s="12">
        <f t="shared" si="5"/>
        <v>21.399999999999999</v>
      </c>
      <c r="I29" s="12">
        <f t="shared" si="6"/>
        <v>26.399999999999999</v>
      </c>
      <c r="J29" s="12">
        <f t="shared" si="7"/>
        <v>0</v>
      </c>
      <c r="K29" s="12">
        <f t="shared" si="8"/>
        <v>0</v>
      </c>
      <c r="L29" s="12">
        <f t="shared" si="9"/>
        <v>0</v>
      </c>
      <c r="M29" s="12">
        <f t="shared" si="10"/>
        <v>0</v>
      </c>
      <c r="N29" s="12">
        <f t="shared" si="11"/>
        <v>0</v>
      </c>
      <c r="O29" s="12">
        <f t="shared" si="12"/>
        <v>0</v>
      </c>
      <c r="P29" s="12">
        <f t="shared" si="13"/>
        <v>0</v>
      </c>
      <c r="Q29" s="12">
        <f t="shared" si="14"/>
        <v>0</v>
      </c>
      <c r="AD29" s="28"/>
    </row>
    <row r="30" spans="1:30" ht="13.2">
      <c r="A30">
        <f t="shared" si="1"/>
        <v>22</v>
      </c>
      <c r="B30" s="14">
        <v>2020</v>
      </c>
      <c r="C30" s="39">
        <v>56.5</v>
      </c>
      <c r="D30" s="12">
        <f t="shared" si="2"/>
        <v>0</v>
      </c>
      <c r="E30" s="12">
        <f t="shared" si="0"/>
        <v>0</v>
      </c>
      <c r="F30" s="12">
        <f t="shared" si="3"/>
        <v>0</v>
      </c>
      <c r="G30" s="12">
        <f t="shared" si="4"/>
        <v>0</v>
      </c>
      <c r="H30" s="12">
        <f t="shared" si="5"/>
        <v>3.5</v>
      </c>
      <c r="I30" s="12">
        <f t="shared" si="6"/>
        <v>8.5</v>
      </c>
      <c r="J30" s="12">
        <f t="shared" si="7"/>
        <v>6.5</v>
      </c>
      <c r="K30" s="12">
        <f t="shared" si="8"/>
        <v>1.5</v>
      </c>
      <c r="L30" s="12">
        <f t="shared" si="9"/>
        <v>0</v>
      </c>
      <c r="M30" s="12">
        <f t="shared" si="10"/>
        <v>0</v>
      </c>
      <c r="N30" s="12">
        <f t="shared" si="11"/>
        <v>0</v>
      </c>
      <c r="O30" s="12">
        <f t="shared" si="12"/>
        <v>0</v>
      </c>
      <c r="P30" s="12">
        <f t="shared" si="13"/>
        <v>0</v>
      </c>
      <c r="Q30" s="12">
        <f t="shared" si="14"/>
        <v>0</v>
      </c>
      <c r="AD30" s="28"/>
    </row>
    <row r="31" spans="1:30" ht="13.2">
      <c r="A31">
        <f t="shared" si="1"/>
        <v>23</v>
      </c>
      <c r="B31" s="14"/>
      <c r="C31" s="49" t="s">
        <v>76</v>
      </c>
      <c r="D31" s="47">
        <f>AVERAGE(D11:D30)</f>
        <v>1.9570833333333351</v>
      </c>
      <c r="E31" s="47">
        <f>AVERAGE(E11:E30)</f>
        <v>3.8050000000000055</v>
      </c>
      <c r="F31" s="47">
        <f>AVERAGE(F11:F30)</f>
        <v>7.300000000000006</v>
      </c>
      <c r="G31" s="47">
        <f t="shared" si="15" ref="G31:P31">AVERAGE(G11:G30)</f>
        <v>11.56041666666667</v>
      </c>
      <c r="H31" s="47">
        <f t="shared" si="15"/>
        <v>16.485416666666669</v>
      </c>
      <c r="I31" s="47">
        <f t="shared" si="15"/>
        <v>21.485416666666669</v>
      </c>
      <c r="J31" s="47">
        <f t="shared" si="15"/>
        <v>0.81458333333333499</v>
      </c>
      <c r="K31" s="47">
        <f t="shared" si="15"/>
        <v>0.074999999999999997</v>
      </c>
      <c r="L31" s="47">
        <f t="shared" si="15"/>
        <v>0</v>
      </c>
      <c r="M31" s="47">
        <f t="shared" si="15"/>
        <v>0</v>
      </c>
      <c r="N31" s="47">
        <f t="shared" si="15"/>
        <v>0</v>
      </c>
      <c r="O31" s="47">
        <f t="shared" si="15"/>
        <v>0</v>
      </c>
      <c r="P31" s="47">
        <f t="shared" si="15"/>
        <v>0</v>
      </c>
      <c r="Q31" s="47">
        <f t="shared" si="16" ref="Q31">AVERAGE(Q11:Q30)</f>
        <v>0</v>
      </c>
      <c r="AD31" s="28"/>
    </row>
    <row r="32" spans="1:7" ht="13.2">
      <c r="A32">
        <f t="shared" si="1"/>
        <v>24</v>
      </c>
      <c r="B32" s="70"/>
      <c r="C32" s="71"/>
      <c r="D32" s="71"/>
      <c r="E32" s="71"/>
      <c r="F32" s="71"/>
      <c r="G32" s="19"/>
    </row>
    <row r="33" spans="1:17" ht="13.2">
      <c r="A33">
        <f t="shared" si="1"/>
        <v>25</v>
      </c>
      <c r="B33" t="s">
        <v>58</v>
      </c>
      <c r="C33" s="40" t="s">
        <v>125</v>
      </c>
      <c r="D33" s="54" t="s">
        <v>99</v>
      </c>
      <c r="E33" s="54" t="s">
        <v>60</v>
      </c>
      <c r="F33" s="54" t="s">
        <v>61</v>
      </c>
      <c r="G33" s="10" t="s">
        <v>110</v>
      </c>
      <c r="H33" s="10" t="s">
        <v>62</v>
      </c>
      <c r="I33" s="71" t="s">
        <v>118</v>
      </c>
      <c r="J33" s="41" t="s">
        <v>90</v>
      </c>
      <c r="K33" s="41" t="s">
        <v>119</v>
      </c>
      <c r="L33" s="41" t="s">
        <v>104</v>
      </c>
      <c r="M33" s="27" t="s">
        <v>63</v>
      </c>
      <c r="N33" s="27" t="s">
        <v>64</v>
      </c>
      <c r="O33" s="27" t="s">
        <v>65</v>
      </c>
      <c r="P33" s="27" t="s">
        <v>91</v>
      </c>
      <c r="Q33" s="41" t="s">
        <v>112</v>
      </c>
    </row>
    <row r="34" spans="1:30" ht="13.2">
      <c r="A34">
        <f t="shared" si="1"/>
        <v>26</v>
      </c>
      <c r="B34" s="14">
        <v>2001</v>
      </c>
      <c r="C34" s="39">
        <v>83.4583333333333</v>
      </c>
      <c r="D34" s="12">
        <f>MAX(40-$C34,0)</f>
        <v>0</v>
      </c>
      <c r="E34" s="12">
        <f t="shared" si="17" ref="E34:E53">MAX(45-$C34,0)</f>
        <v>0</v>
      </c>
      <c r="F34" s="12">
        <f>MAX(50-$C34,0)</f>
        <v>0</v>
      </c>
      <c r="G34" s="12">
        <f>MAX(55-$C34,0)</f>
        <v>0</v>
      </c>
      <c r="H34" s="12">
        <f>MAX(60-$C34,0)</f>
        <v>0</v>
      </c>
      <c r="I34" s="12">
        <f>MAX(65-$C34,0)</f>
        <v>0</v>
      </c>
      <c r="J34" s="12">
        <f>MAX($C34-50,0)</f>
        <v>33.4583333333333</v>
      </c>
      <c r="K34" s="12">
        <f>MAX($C34-55,0)</f>
        <v>28.4583333333333</v>
      </c>
      <c r="L34" s="12">
        <f>MAX($C34-60,0)</f>
        <v>23.4583333333333</v>
      </c>
      <c r="M34" s="12">
        <f>MAX($C34-65,0)</f>
        <v>18.4583333333333</v>
      </c>
      <c r="N34" s="12">
        <f>MAX($C34-70,0)</f>
        <v>13.4583333333333</v>
      </c>
      <c r="O34" s="12">
        <f>MAX($C34-75,0)</f>
        <v>8.4583333333333002</v>
      </c>
      <c r="P34" s="12">
        <f>MAX($C34-80,0)</f>
        <v>3.4583333333333002</v>
      </c>
      <c r="Q34" s="12">
        <f>MAX($C34-85,0)</f>
        <v>0</v>
      </c>
      <c r="AD34" s="28"/>
    </row>
    <row r="35" spans="1:30" ht="13.2">
      <c r="A35">
        <f t="shared" si="1"/>
        <v>27</v>
      </c>
      <c r="B35" s="14">
        <v>2002</v>
      </c>
      <c r="C35" s="39">
        <v>78.6666666666667</v>
      </c>
      <c r="D35" s="12">
        <f t="shared" si="18" ref="D35:D53">MAX(40-$C35,0)</f>
        <v>0</v>
      </c>
      <c r="E35" s="12">
        <f t="shared" si="17"/>
        <v>0</v>
      </c>
      <c r="F35" s="12">
        <f t="shared" si="19" ref="F35:F53">MAX(50-$C35,0)</f>
        <v>0</v>
      </c>
      <c r="G35" s="12">
        <f t="shared" si="20" ref="G35:G53">MAX(55-$C35,0)</f>
        <v>0</v>
      </c>
      <c r="H35" s="12">
        <f t="shared" si="21" ref="H35:H53">MAX(60-$C35,0)</f>
        <v>0</v>
      </c>
      <c r="I35" s="12">
        <f t="shared" si="22" ref="I35:I53">MAX(65-$C35,0)</f>
        <v>0</v>
      </c>
      <c r="J35" s="12">
        <f t="shared" si="23" ref="J35:J53">MAX($C35-50,0)</f>
        <v>28.6666666666667</v>
      </c>
      <c r="K35" s="12">
        <f t="shared" si="24" ref="K35:K53">MAX($C35-55,0)</f>
        <v>23.6666666666667</v>
      </c>
      <c r="L35" s="12">
        <f t="shared" si="25" ref="L35:L53">MAX($C35-60,0)</f>
        <v>18.6666666666667</v>
      </c>
      <c r="M35" s="12">
        <f t="shared" si="26" ref="M35:M53">MAX($C35-65,0)</f>
        <v>13.6666666666667</v>
      </c>
      <c r="N35" s="12">
        <f t="shared" si="27" ref="N35:N53">MAX($C35-70,0)</f>
        <v>8.6666666666666998</v>
      </c>
      <c r="O35" s="12">
        <f t="shared" si="28" ref="O35:O53">MAX($C35-75,0)</f>
        <v>3.6666666666666998</v>
      </c>
      <c r="P35" s="12">
        <f t="shared" si="29" ref="P35:P53">MAX($C35-80,0)</f>
        <v>0</v>
      </c>
      <c r="Q35" s="12">
        <f t="shared" si="30" ref="Q35:Q53">MAX($C35-85,0)</f>
        <v>0</v>
      </c>
      <c r="AD35" s="28"/>
    </row>
    <row r="36" spans="1:30" ht="13.2">
      <c r="A36">
        <f t="shared" si="1"/>
        <v>28</v>
      </c>
      <c r="B36" s="14">
        <v>2003</v>
      </c>
      <c r="C36" s="39">
        <v>86.0833333333333</v>
      </c>
      <c r="D36" s="12">
        <f t="shared" si="18"/>
        <v>0</v>
      </c>
      <c r="E36" s="12">
        <f t="shared" si="17"/>
        <v>0</v>
      </c>
      <c r="F36" s="12">
        <f t="shared" si="19"/>
        <v>0</v>
      </c>
      <c r="G36" s="12">
        <f t="shared" si="20"/>
        <v>0</v>
      </c>
      <c r="H36" s="12">
        <f t="shared" si="21"/>
        <v>0</v>
      </c>
      <c r="I36" s="12">
        <f t="shared" si="22"/>
        <v>0</v>
      </c>
      <c r="J36" s="12">
        <f t="shared" si="23"/>
        <v>36.0833333333333</v>
      </c>
      <c r="K36" s="12">
        <f t="shared" si="24"/>
        <v>31.0833333333333</v>
      </c>
      <c r="L36" s="12">
        <f t="shared" si="25"/>
        <v>26.0833333333333</v>
      </c>
      <c r="M36" s="12">
        <f t="shared" si="26"/>
        <v>21.0833333333333</v>
      </c>
      <c r="N36" s="12">
        <f t="shared" si="27"/>
        <v>16.0833333333333</v>
      </c>
      <c r="O36" s="12">
        <f t="shared" si="28"/>
        <v>11.0833333333333</v>
      </c>
      <c r="P36" s="12">
        <f t="shared" si="29"/>
        <v>6.0833333333333002</v>
      </c>
      <c r="Q36" s="12">
        <f t="shared" si="30"/>
        <v>1.0833333333333002</v>
      </c>
      <c r="AD36" s="28"/>
    </row>
    <row r="37" spans="1:30" ht="13.2">
      <c r="A37">
        <f t="shared" si="1"/>
        <v>29</v>
      </c>
      <c r="B37" s="14">
        <v>2004</v>
      </c>
      <c r="C37" s="39">
        <v>82.9166666666667</v>
      </c>
      <c r="D37" s="12">
        <f t="shared" si="18"/>
        <v>0</v>
      </c>
      <c r="E37" s="12">
        <f t="shared" si="17"/>
        <v>0</v>
      </c>
      <c r="F37" s="12">
        <f t="shared" si="19"/>
        <v>0</v>
      </c>
      <c r="G37" s="12">
        <f t="shared" si="20"/>
        <v>0</v>
      </c>
      <c r="H37" s="12">
        <f t="shared" si="21"/>
        <v>0</v>
      </c>
      <c r="I37" s="12">
        <f t="shared" si="22"/>
        <v>0</v>
      </c>
      <c r="J37" s="12">
        <f t="shared" si="23"/>
        <v>32.9166666666667</v>
      </c>
      <c r="K37" s="12">
        <f t="shared" si="24"/>
        <v>27.9166666666667</v>
      </c>
      <c r="L37" s="12">
        <f t="shared" si="25"/>
        <v>22.9166666666667</v>
      </c>
      <c r="M37" s="12">
        <f t="shared" si="26"/>
        <v>17.9166666666667</v>
      </c>
      <c r="N37" s="12">
        <f t="shared" si="27"/>
        <v>12.9166666666667</v>
      </c>
      <c r="O37" s="12">
        <f t="shared" si="28"/>
        <v>7.9166666666666998</v>
      </c>
      <c r="P37" s="12">
        <f t="shared" si="29"/>
        <v>2.9166666666666998</v>
      </c>
      <c r="Q37" s="12">
        <f t="shared" si="30"/>
        <v>0</v>
      </c>
      <c r="AD37" s="28"/>
    </row>
    <row r="38" spans="1:30" ht="13.2">
      <c r="A38">
        <f t="shared" si="1"/>
        <v>30</v>
      </c>
      <c r="B38" s="14">
        <v>2005</v>
      </c>
      <c r="C38" s="39">
        <v>82.5</v>
      </c>
      <c r="D38" s="12">
        <f t="shared" si="18"/>
        <v>0</v>
      </c>
      <c r="E38" s="12">
        <f t="shared" si="17"/>
        <v>0</v>
      </c>
      <c r="F38" s="12">
        <f t="shared" si="19"/>
        <v>0</v>
      </c>
      <c r="G38" s="12">
        <f t="shared" si="20"/>
        <v>0</v>
      </c>
      <c r="H38" s="12">
        <f t="shared" si="21"/>
        <v>0</v>
      </c>
      <c r="I38" s="12">
        <f t="shared" si="22"/>
        <v>0</v>
      </c>
      <c r="J38" s="12">
        <f t="shared" si="23"/>
        <v>32.5</v>
      </c>
      <c r="K38" s="12">
        <f t="shared" si="24"/>
        <v>27.5</v>
      </c>
      <c r="L38" s="12">
        <f t="shared" si="25"/>
        <v>22.5</v>
      </c>
      <c r="M38" s="12">
        <f t="shared" si="26"/>
        <v>17.5</v>
      </c>
      <c r="N38" s="12">
        <f t="shared" si="27"/>
        <v>12.5</v>
      </c>
      <c r="O38" s="12">
        <f t="shared" si="28"/>
        <v>7.5</v>
      </c>
      <c r="P38" s="12">
        <f t="shared" si="29"/>
        <v>2.5</v>
      </c>
      <c r="Q38" s="12">
        <f t="shared" si="30"/>
        <v>0</v>
      </c>
      <c r="AD38" s="28"/>
    </row>
    <row r="39" spans="1:30" ht="13.2">
      <c r="A39">
        <f t="shared" si="1"/>
        <v>31</v>
      </c>
      <c r="B39" s="14">
        <v>2006</v>
      </c>
      <c r="C39" s="39">
        <v>87.875</v>
      </c>
      <c r="D39" s="12">
        <f t="shared" si="18"/>
        <v>0</v>
      </c>
      <c r="E39" s="12">
        <f t="shared" si="17"/>
        <v>0</v>
      </c>
      <c r="F39" s="12">
        <f t="shared" si="19"/>
        <v>0</v>
      </c>
      <c r="G39" s="12">
        <f t="shared" si="20"/>
        <v>0</v>
      </c>
      <c r="H39" s="12">
        <f t="shared" si="21"/>
        <v>0</v>
      </c>
      <c r="I39" s="12">
        <f t="shared" si="22"/>
        <v>0</v>
      </c>
      <c r="J39" s="12">
        <f t="shared" si="23"/>
        <v>37.875</v>
      </c>
      <c r="K39" s="12">
        <f t="shared" si="24"/>
        <v>32.875</v>
      </c>
      <c r="L39" s="12">
        <f t="shared" si="25"/>
        <v>27.875</v>
      </c>
      <c r="M39" s="12">
        <f t="shared" si="26"/>
        <v>22.875</v>
      </c>
      <c r="N39" s="12">
        <f t="shared" si="27"/>
        <v>17.875</v>
      </c>
      <c r="O39" s="12">
        <f t="shared" si="28"/>
        <v>12.875</v>
      </c>
      <c r="P39" s="12">
        <f t="shared" si="29"/>
        <v>7.875</v>
      </c>
      <c r="Q39" s="12">
        <f t="shared" si="30"/>
        <v>2.875</v>
      </c>
      <c r="AD39" s="28"/>
    </row>
    <row r="40" spans="1:30" ht="13.2">
      <c r="A40">
        <f t="shared" si="1"/>
        <v>32</v>
      </c>
      <c r="B40" s="14">
        <v>2007</v>
      </c>
      <c r="C40" s="39">
        <v>76.25</v>
      </c>
      <c r="D40" s="12">
        <f t="shared" si="18"/>
        <v>0</v>
      </c>
      <c r="E40" s="12">
        <f t="shared" si="17"/>
        <v>0</v>
      </c>
      <c r="F40" s="12">
        <f t="shared" si="19"/>
        <v>0</v>
      </c>
      <c r="G40" s="12">
        <f t="shared" si="20"/>
        <v>0</v>
      </c>
      <c r="H40" s="12">
        <f t="shared" si="21"/>
        <v>0</v>
      </c>
      <c r="I40" s="12">
        <f t="shared" si="22"/>
        <v>0</v>
      </c>
      <c r="J40" s="12">
        <f t="shared" si="23"/>
        <v>26.25</v>
      </c>
      <c r="K40" s="12">
        <f t="shared" si="24"/>
        <v>21.25</v>
      </c>
      <c r="L40" s="12">
        <f t="shared" si="25"/>
        <v>16.25</v>
      </c>
      <c r="M40" s="12">
        <f t="shared" si="26"/>
        <v>11.25</v>
      </c>
      <c r="N40" s="12">
        <f t="shared" si="27"/>
        <v>6.25</v>
      </c>
      <c r="O40" s="12">
        <f t="shared" si="28"/>
        <v>1.25</v>
      </c>
      <c r="P40" s="12">
        <f t="shared" si="29"/>
        <v>0</v>
      </c>
      <c r="Q40" s="12">
        <f t="shared" si="30"/>
        <v>0</v>
      </c>
      <c r="AD40" s="28"/>
    </row>
    <row r="41" spans="1:30" ht="13.2">
      <c r="A41">
        <f t="shared" si="1"/>
        <v>33</v>
      </c>
      <c r="B41" s="14">
        <v>2008</v>
      </c>
      <c r="C41" s="39">
        <v>79.5</v>
      </c>
      <c r="D41" s="12">
        <f t="shared" si="18"/>
        <v>0</v>
      </c>
      <c r="E41" s="12">
        <f t="shared" si="17"/>
        <v>0</v>
      </c>
      <c r="F41" s="12">
        <f t="shared" si="19"/>
        <v>0</v>
      </c>
      <c r="G41" s="12">
        <f t="shared" si="20"/>
        <v>0</v>
      </c>
      <c r="H41" s="12">
        <f t="shared" si="21"/>
        <v>0</v>
      </c>
      <c r="I41" s="12">
        <f t="shared" si="22"/>
        <v>0</v>
      </c>
      <c r="J41" s="12">
        <f t="shared" si="23"/>
        <v>29.5</v>
      </c>
      <c r="K41" s="12">
        <f t="shared" si="24"/>
        <v>24.5</v>
      </c>
      <c r="L41" s="12">
        <f t="shared" si="25"/>
        <v>19.5</v>
      </c>
      <c r="M41" s="12">
        <f t="shared" si="26"/>
        <v>14.5</v>
      </c>
      <c r="N41" s="12">
        <f t="shared" si="27"/>
        <v>9.5</v>
      </c>
      <c r="O41" s="12">
        <f t="shared" si="28"/>
        <v>4.5</v>
      </c>
      <c r="P41" s="12">
        <f t="shared" si="29"/>
        <v>0</v>
      </c>
      <c r="Q41" s="12">
        <f t="shared" si="30"/>
        <v>0</v>
      </c>
      <c r="AD41" s="28"/>
    </row>
    <row r="42" spans="1:30" ht="13.2">
      <c r="A42">
        <f t="shared" si="1"/>
        <v>34</v>
      </c>
      <c r="B42" s="14">
        <v>2009</v>
      </c>
      <c r="C42" s="39">
        <v>89.400000000000006</v>
      </c>
      <c r="D42" s="12">
        <f t="shared" si="18"/>
        <v>0</v>
      </c>
      <c r="E42" s="12">
        <f t="shared" si="17"/>
        <v>0</v>
      </c>
      <c r="F42" s="12">
        <f t="shared" si="19"/>
        <v>0</v>
      </c>
      <c r="G42" s="12">
        <f t="shared" si="20"/>
        <v>0</v>
      </c>
      <c r="H42" s="12">
        <f t="shared" si="21"/>
        <v>0</v>
      </c>
      <c r="I42" s="12">
        <f t="shared" si="22"/>
        <v>0</v>
      </c>
      <c r="J42" s="12">
        <f t="shared" si="23"/>
        <v>39.400000000000006</v>
      </c>
      <c r="K42" s="12">
        <f t="shared" si="24"/>
        <v>34.400000000000006</v>
      </c>
      <c r="L42" s="12">
        <f t="shared" si="25"/>
        <v>29.400000000000006</v>
      </c>
      <c r="M42" s="12">
        <f t="shared" si="26"/>
        <v>24.400000000000006</v>
      </c>
      <c r="N42" s="12">
        <f t="shared" si="27"/>
        <v>19.400000000000006</v>
      </c>
      <c r="O42" s="12">
        <f t="shared" si="28"/>
        <v>14.400000000000006</v>
      </c>
      <c r="P42" s="12">
        <f t="shared" si="29"/>
        <v>9.4000000000000057</v>
      </c>
      <c r="Q42" s="12">
        <f t="shared" si="30"/>
        <v>4.4000000000000057</v>
      </c>
      <c r="AD42" s="28"/>
    </row>
    <row r="43" spans="1:30" ht="13.2">
      <c r="A43">
        <f t="shared" si="1"/>
        <v>35</v>
      </c>
      <c r="B43" s="14">
        <v>2010</v>
      </c>
      <c r="C43" s="39">
        <v>86.099999999999994</v>
      </c>
      <c r="D43" s="12">
        <f t="shared" si="18"/>
        <v>0</v>
      </c>
      <c r="E43" s="12">
        <f t="shared" si="17"/>
        <v>0</v>
      </c>
      <c r="F43" s="12">
        <f t="shared" si="19"/>
        <v>0</v>
      </c>
      <c r="G43" s="12">
        <f t="shared" si="20"/>
        <v>0</v>
      </c>
      <c r="H43" s="12">
        <f t="shared" si="21"/>
        <v>0</v>
      </c>
      <c r="I43" s="12">
        <f t="shared" si="22"/>
        <v>0</v>
      </c>
      <c r="J43" s="12">
        <f t="shared" si="23"/>
        <v>36.099999999999994</v>
      </c>
      <c r="K43" s="12">
        <f t="shared" si="24"/>
        <v>31.099999999999994</v>
      </c>
      <c r="L43" s="12">
        <f t="shared" si="25"/>
        <v>26.099999999999994</v>
      </c>
      <c r="M43" s="12">
        <f t="shared" si="26"/>
        <v>21.099999999999994</v>
      </c>
      <c r="N43" s="12">
        <f t="shared" si="27"/>
        <v>16.099999999999994</v>
      </c>
      <c r="O43" s="12">
        <f t="shared" si="28"/>
        <v>11.099999999999994</v>
      </c>
      <c r="P43" s="12">
        <f t="shared" si="29"/>
        <v>6.0999999999999943</v>
      </c>
      <c r="Q43" s="12">
        <f t="shared" si="30"/>
        <v>1.0999999999999943</v>
      </c>
      <c r="AD43" s="28"/>
    </row>
    <row r="44" spans="1:30" ht="13.2">
      <c r="A44">
        <f t="shared" si="1"/>
        <v>36</v>
      </c>
      <c r="B44" s="14">
        <v>2011</v>
      </c>
      <c r="C44" s="39">
        <v>91</v>
      </c>
      <c r="D44" s="12">
        <f t="shared" si="18"/>
        <v>0</v>
      </c>
      <c r="E44" s="12">
        <f t="shared" si="17"/>
        <v>0</v>
      </c>
      <c r="F44" s="12">
        <f t="shared" si="19"/>
        <v>0</v>
      </c>
      <c r="G44" s="12">
        <f t="shared" si="20"/>
        <v>0</v>
      </c>
      <c r="H44" s="12">
        <f t="shared" si="21"/>
        <v>0</v>
      </c>
      <c r="I44" s="12">
        <f t="shared" si="22"/>
        <v>0</v>
      </c>
      <c r="J44" s="12">
        <f t="shared" si="23"/>
        <v>41</v>
      </c>
      <c r="K44" s="12">
        <f t="shared" si="24"/>
        <v>36</v>
      </c>
      <c r="L44" s="12">
        <f t="shared" si="25"/>
        <v>31</v>
      </c>
      <c r="M44" s="12">
        <f t="shared" si="26"/>
        <v>26</v>
      </c>
      <c r="N44" s="12">
        <f t="shared" si="27"/>
        <v>21</v>
      </c>
      <c r="O44" s="12">
        <f t="shared" si="28"/>
        <v>16</v>
      </c>
      <c r="P44" s="12">
        <f t="shared" si="29"/>
        <v>11</v>
      </c>
      <c r="Q44" s="12">
        <f t="shared" si="30"/>
        <v>6</v>
      </c>
      <c r="AD44" s="28"/>
    </row>
    <row r="45" spans="1:30" ht="13.2">
      <c r="A45">
        <f t="shared" si="1"/>
        <v>37</v>
      </c>
      <c r="B45" s="14">
        <v>2012</v>
      </c>
      <c r="C45" s="39">
        <v>84</v>
      </c>
      <c r="D45" s="12">
        <f t="shared" si="18"/>
        <v>0</v>
      </c>
      <c r="E45" s="12">
        <f t="shared" si="17"/>
        <v>0</v>
      </c>
      <c r="F45" s="12">
        <f t="shared" si="19"/>
        <v>0</v>
      </c>
      <c r="G45" s="12">
        <f t="shared" si="20"/>
        <v>0</v>
      </c>
      <c r="H45" s="12">
        <f t="shared" si="21"/>
        <v>0</v>
      </c>
      <c r="I45" s="12">
        <f t="shared" si="22"/>
        <v>0</v>
      </c>
      <c r="J45" s="12">
        <f t="shared" si="23"/>
        <v>34</v>
      </c>
      <c r="K45" s="12">
        <f t="shared" si="24"/>
        <v>29</v>
      </c>
      <c r="L45" s="12">
        <f t="shared" si="25"/>
        <v>24</v>
      </c>
      <c r="M45" s="12">
        <f t="shared" si="26"/>
        <v>19</v>
      </c>
      <c r="N45" s="12">
        <f t="shared" si="27"/>
        <v>14</v>
      </c>
      <c r="O45" s="12">
        <f t="shared" si="28"/>
        <v>9</v>
      </c>
      <c r="P45" s="12">
        <f t="shared" si="29"/>
        <v>4</v>
      </c>
      <c r="Q45" s="12">
        <f t="shared" si="30"/>
        <v>0</v>
      </c>
      <c r="AD45" s="28"/>
    </row>
    <row r="46" spans="1:30" ht="13.2">
      <c r="A46">
        <f t="shared" si="1"/>
        <v>38</v>
      </c>
      <c r="B46" s="14">
        <v>2013</v>
      </c>
      <c r="C46" s="39">
        <v>80.5</v>
      </c>
      <c r="D46" s="12">
        <f t="shared" si="18"/>
        <v>0</v>
      </c>
      <c r="E46" s="12">
        <f t="shared" si="17"/>
        <v>0</v>
      </c>
      <c r="F46" s="12">
        <f t="shared" si="19"/>
        <v>0</v>
      </c>
      <c r="G46" s="12">
        <f t="shared" si="20"/>
        <v>0</v>
      </c>
      <c r="H46" s="12">
        <f t="shared" si="21"/>
        <v>0</v>
      </c>
      <c r="I46" s="12">
        <f t="shared" si="22"/>
        <v>0</v>
      </c>
      <c r="J46" s="12">
        <f t="shared" si="23"/>
        <v>30.5</v>
      </c>
      <c r="K46" s="12">
        <f t="shared" si="24"/>
        <v>25.5</v>
      </c>
      <c r="L46" s="12">
        <f t="shared" si="25"/>
        <v>20.5</v>
      </c>
      <c r="M46" s="12">
        <f t="shared" si="26"/>
        <v>15.5</v>
      </c>
      <c r="N46" s="12">
        <f t="shared" si="27"/>
        <v>10.5</v>
      </c>
      <c r="O46" s="12">
        <f t="shared" si="28"/>
        <v>5.5</v>
      </c>
      <c r="P46" s="12">
        <f t="shared" si="29"/>
        <v>0.5</v>
      </c>
      <c r="Q46" s="12">
        <f t="shared" si="30"/>
        <v>0</v>
      </c>
      <c r="AD46" s="28"/>
    </row>
    <row r="47" spans="1:30" ht="13.2">
      <c r="A47">
        <f t="shared" si="1"/>
        <v>39</v>
      </c>
      <c r="B47" s="14">
        <v>2014</v>
      </c>
      <c r="C47" s="39">
        <v>85.799999999999997</v>
      </c>
      <c r="D47" s="12">
        <f t="shared" si="18"/>
        <v>0</v>
      </c>
      <c r="E47" s="12">
        <f t="shared" si="17"/>
        <v>0</v>
      </c>
      <c r="F47" s="12">
        <f t="shared" si="19"/>
        <v>0</v>
      </c>
      <c r="G47" s="12">
        <f t="shared" si="20"/>
        <v>0</v>
      </c>
      <c r="H47" s="12">
        <f t="shared" si="21"/>
        <v>0</v>
      </c>
      <c r="I47" s="12">
        <f t="shared" si="22"/>
        <v>0</v>
      </c>
      <c r="J47" s="12">
        <f t="shared" si="23"/>
        <v>35.799999999999997</v>
      </c>
      <c r="K47" s="12">
        <f t="shared" si="24"/>
        <v>30.799999999999997</v>
      </c>
      <c r="L47" s="12">
        <f t="shared" si="25"/>
        <v>25.799999999999997</v>
      </c>
      <c r="M47" s="12">
        <f t="shared" si="26"/>
        <v>20.799999999999997</v>
      </c>
      <c r="N47" s="12">
        <f t="shared" si="27"/>
        <v>15.799999999999997</v>
      </c>
      <c r="O47" s="12">
        <f t="shared" si="28"/>
        <v>10.799999999999997</v>
      </c>
      <c r="P47" s="12">
        <f t="shared" si="29"/>
        <v>5.7999999999999972</v>
      </c>
      <c r="Q47" s="12">
        <f t="shared" si="30"/>
        <v>0.79999999999999716</v>
      </c>
      <c r="AD47" s="28"/>
    </row>
    <row r="48" spans="1:30" ht="13.2">
      <c r="A48">
        <f t="shared" si="1"/>
        <v>40</v>
      </c>
      <c r="B48" s="14">
        <v>2015</v>
      </c>
      <c r="C48" s="39">
        <v>83.400000000000006</v>
      </c>
      <c r="D48" s="12">
        <f t="shared" si="18"/>
        <v>0</v>
      </c>
      <c r="E48" s="12">
        <f t="shared" si="17"/>
        <v>0</v>
      </c>
      <c r="F48" s="12">
        <f t="shared" si="19"/>
        <v>0</v>
      </c>
      <c r="G48" s="12">
        <f t="shared" si="20"/>
        <v>0</v>
      </c>
      <c r="H48" s="12">
        <f t="shared" si="21"/>
        <v>0</v>
      </c>
      <c r="I48" s="12">
        <f t="shared" si="22"/>
        <v>0</v>
      </c>
      <c r="J48" s="12">
        <f t="shared" si="23"/>
        <v>33.400000000000006</v>
      </c>
      <c r="K48" s="12">
        <f t="shared" si="24"/>
        <v>28.400000000000006</v>
      </c>
      <c r="L48" s="12">
        <f t="shared" si="25"/>
        <v>23.400000000000006</v>
      </c>
      <c r="M48" s="12">
        <f t="shared" si="26"/>
        <v>18.400000000000006</v>
      </c>
      <c r="N48" s="12">
        <f t="shared" si="27"/>
        <v>13.400000000000006</v>
      </c>
      <c r="O48" s="12">
        <f t="shared" si="28"/>
        <v>8.4000000000000057</v>
      </c>
      <c r="P48" s="12">
        <f t="shared" si="29"/>
        <v>3.4000000000000057</v>
      </c>
      <c r="Q48" s="12">
        <f t="shared" si="30"/>
        <v>0</v>
      </c>
      <c r="AD48" s="28"/>
    </row>
    <row r="49" spans="1:30" ht="13.2">
      <c r="A49">
        <f t="shared" si="1"/>
        <v>41</v>
      </c>
      <c r="B49" s="14">
        <v>2016</v>
      </c>
      <c r="C49" s="39">
        <v>88.5</v>
      </c>
      <c r="D49" s="12">
        <f t="shared" si="18"/>
        <v>0</v>
      </c>
      <c r="E49" s="12">
        <f t="shared" si="17"/>
        <v>0</v>
      </c>
      <c r="F49" s="12">
        <f t="shared" si="19"/>
        <v>0</v>
      </c>
      <c r="G49" s="12">
        <f t="shared" si="20"/>
        <v>0</v>
      </c>
      <c r="H49" s="12">
        <f t="shared" si="21"/>
        <v>0</v>
      </c>
      <c r="I49" s="12">
        <f t="shared" si="22"/>
        <v>0</v>
      </c>
      <c r="J49" s="12">
        <f t="shared" si="23"/>
        <v>38.5</v>
      </c>
      <c r="K49" s="12">
        <f t="shared" si="24"/>
        <v>33.5</v>
      </c>
      <c r="L49" s="12">
        <f t="shared" si="25"/>
        <v>28.5</v>
      </c>
      <c r="M49" s="12">
        <f t="shared" si="26"/>
        <v>23.5</v>
      </c>
      <c r="N49" s="12">
        <f t="shared" si="27"/>
        <v>18.5</v>
      </c>
      <c r="O49" s="12">
        <f t="shared" si="28"/>
        <v>13.5</v>
      </c>
      <c r="P49" s="12">
        <f t="shared" si="29"/>
        <v>8.5</v>
      </c>
      <c r="Q49" s="12">
        <f t="shared" si="30"/>
        <v>3.5</v>
      </c>
      <c r="AD49" s="28"/>
    </row>
    <row r="50" spans="1:30" ht="13.2">
      <c r="A50">
        <f t="shared" si="1"/>
        <v>42</v>
      </c>
      <c r="B50" s="14">
        <v>2017</v>
      </c>
      <c r="C50" s="39">
        <v>82.799999999999997</v>
      </c>
      <c r="D50" s="12">
        <f t="shared" si="18"/>
        <v>0</v>
      </c>
      <c r="E50" s="12">
        <f t="shared" si="17"/>
        <v>0</v>
      </c>
      <c r="F50" s="12">
        <f t="shared" si="19"/>
        <v>0</v>
      </c>
      <c r="G50" s="12">
        <f t="shared" si="20"/>
        <v>0</v>
      </c>
      <c r="H50" s="12">
        <f t="shared" si="21"/>
        <v>0</v>
      </c>
      <c r="I50" s="12">
        <f t="shared" si="22"/>
        <v>0</v>
      </c>
      <c r="J50" s="12">
        <f t="shared" si="23"/>
        <v>32.799999999999997</v>
      </c>
      <c r="K50" s="12">
        <f t="shared" si="24"/>
        <v>27.799999999999997</v>
      </c>
      <c r="L50" s="12">
        <f t="shared" si="25"/>
        <v>22.799999999999997</v>
      </c>
      <c r="M50" s="12">
        <f t="shared" si="26"/>
        <v>17.799999999999997</v>
      </c>
      <c r="N50" s="12">
        <f t="shared" si="27"/>
        <v>12.799999999999997</v>
      </c>
      <c r="O50" s="12">
        <f t="shared" si="28"/>
        <v>7.7999999999999972</v>
      </c>
      <c r="P50" s="12">
        <f t="shared" si="29"/>
        <v>2.7999999999999972</v>
      </c>
      <c r="Q50" s="12">
        <f t="shared" si="30"/>
        <v>0</v>
      </c>
      <c r="AD50" s="28"/>
    </row>
    <row r="51" spans="1:30" ht="13.2">
      <c r="A51">
        <f t="shared" si="1"/>
        <v>43</v>
      </c>
      <c r="B51" s="14">
        <v>2018</v>
      </c>
      <c r="C51" s="39">
        <v>85</v>
      </c>
      <c r="D51" s="12">
        <f t="shared" si="18"/>
        <v>0</v>
      </c>
      <c r="E51" s="12">
        <f t="shared" si="17"/>
        <v>0</v>
      </c>
      <c r="F51" s="12">
        <f t="shared" si="19"/>
        <v>0</v>
      </c>
      <c r="G51" s="12">
        <f t="shared" si="20"/>
        <v>0</v>
      </c>
      <c r="H51" s="12">
        <f t="shared" si="21"/>
        <v>0</v>
      </c>
      <c r="I51" s="12">
        <f t="shared" si="22"/>
        <v>0</v>
      </c>
      <c r="J51" s="12">
        <f t="shared" si="23"/>
        <v>35</v>
      </c>
      <c r="K51" s="12">
        <f t="shared" si="24"/>
        <v>30</v>
      </c>
      <c r="L51" s="12">
        <f t="shared" si="25"/>
        <v>25</v>
      </c>
      <c r="M51" s="12">
        <f t="shared" si="26"/>
        <v>20</v>
      </c>
      <c r="N51" s="12">
        <f t="shared" si="27"/>
        <v>15</v>
      </c>
      <c r="O51" s="12">
        <f t="shared" si="28"/>
        <v>10</v>
      </c>
      <c r="P51" s="12">
        <f t="shared" si="29"/>
        <v>5</v>
      </c>
      <c r="Q51" s="12">
        <f t="shared" si="30"/>
        <v>0</v>
      </c>
      <c r="AD51" s="28"/>
    </row>
    <row r="52" spans="1:30" ht="13.2">
      <c r="A52">
        <f t="shared" si="1"/>
        <v>44</v>
      </c>
      <c r="B52" s="14">
        <v>2019</v>
      </c>
      <c r="C52" s="39">
        <v>82.5</v>
      </c>
      <c r="D52" s="12">
        <f t="shared" si="18"/>
        <v>0</v>
      </c>
      <c r="E52" s="12">
        <f t="shared" si="17"/>
        <v>0</v>
      </c>
      <c r="F52" s="12">
        <f t="shared" si="19"/>
        <v>0</v>
      </c>
      <c r="G52" s="12">
        <f t="shared" si="20"/>
        <v>0</v>
      </c>
      <c r="H52" s="12">
        <f t="shared" si="21"/>
        <v>0</v>
      </c>
      <c r="I52" s="12">
        <f t="shared" si="22"/>
        <v>0</v>
      </c>
      <c r="J52" s="12">
        <f t="shared" si="23"/>
        <v>32.5</v>
      </c>
      <c r="K52" s="12">
        <f t="shared" si="24"/>
        <v>27.5</v>
      </c>
      <c r="L52" s="12">
        <f t="shared" si="25"/>
        <v>22.5</v>
      </c>
      <c r="M52" s="12">
        <f t="shared" si="26"/>
        <v>17.5</v>
      </c>
      <c r="N52" s="12">
        <f t="shared" si="27"/>
        <v>12.5</v>
      </c>
      <c r="O52" s="12">
        <f t="shared" si="28"/>
        <v>7.5</v>
      </c>
      <c r="P52" s="12">
        <f t="shared" si="29"/>
        <v>2.5</v>
      </c>
      <c r="Q52" s="12">
        <f t="shared" si="30"/>
        <v>0</v>
      </c>
      <c r="AD52" s="28"/>
    </row>
    <row r="53" spans="1:30" ht="13.2">
      <c r="A53">
        <f t="shared" si="1"/>
        <v>45</v>
      </c>
      <c r="B53" s="14">
        <v>2020</v>
      </c>
      <c r="C53" s="39">
        <v>94</v>
      </c>
      <c r="D53" s="12">
        <f t="shared" si="18"/>
        <v>0</v>
      </c>
      <c r="E53" s="12">
        <f t="shared" si="17"/>
        <v>0</v>
      </c>
      <c r="F53" s="12">
        <f t="shared" si="19"/>
        <v>0</v>
      </c>
      <c r="G53" s="12">
        <f t="shared" si="20"/>
        <v>0</v>
      </c>
      <c r="H53" s="12">
        <f t="shared" si="21"/>
        <v>0</v>
      </c>
      <c r="I53" s="12">
        <f t="shared" si="22"/>
        <v>0</v>
      </c>
      <c r="J53" s="12">
        <f t="shared" si="23"/>
        <v>44</v>
      </c>
      <c r="K53" s="12">
        <f t="shared" si="24"/>
        <v>39</v>
      </c>
      <c r="L53" s="12">
        <f t="shared" si="25"/>
        <v>34</v>
      </c>
      <c r="M53" s="12">
        <f t="shared" si="26"/>
        <v>29</v>
      </c>
      <c r="N53" s="12">
        <f t="shared" si="27"/>
        <v>24</v>
      </c>
      <c r="O53" s="12">
        <f t="shared" si="28"/>
        <v>19</v>
      </c>
      <c r="P53" s="12">
        <f t="shared" si="29"/>
        <v>14</v>
      </c>
      <c r="Q53" s="12">
        <f t="shared" si="30"/>
        <v>9</v>
      </c>
      <c r="AD53" s="28"/>
    </row>
    <row r="54" spans="2:17" ht="13.2">
      <c r="B54" s="14"/>
      <c r="C54" s="49" t="s">
        <v>76</v>
      </c>
      <c r="D54" s="47">
        <f>AVERAGE(D34:D53)</f>
        <v>0</v>
      </c>
      <c r="E54" s="47">
        <f>AVERAGE(E34:E53)</f>
        <v>0</v>
      </c>
      <c r="F54" s="47">
        <f>AVERAGE(F34:F53)</f>
        <v>0</v>
      </c>
      <c r="G54" s="47">
        <f t="shared" si="31" ref="G54:P54">AVERAGE(G34:G53)</f>
        <v>0</v>
      </c>
      <c r="H54" s="47">
        <f t="shared" si="31"/>
        <v>0</v>
      </c>
      <c r="I54" s="47">
        <f t="shared" si="31"/>
        <v>0</v>
      </c>
      <c r="J54" s="47">
        <f t="shared" si="31"/>
        <v>34.512500000000003</v>
      </c>
      <c r="K54" s="47">
        <f t="shared" si="31"/>
        <v>29.512499999999999</v>
      </c>
      <c r="L54" s="47">
        <f t="shared" si="31"/>
        <v>24.512500000000003</v>
      </c>
      <c r="M54" s="47">
        <f t="shared" si="31"/>
        <v>19.512500000000003</v>
      </c>
      <c r="N54" s="47">
        <f t="shared" si="31"/>
        <v>14.512499999999999</v>
      </c>
      <c r="O54" s="47">
        <f t="shared" si="31"/>
        <v>9.5124999999999993</v>
      </c>
      <c r="P54" s="47">
        <f t="shared" si="31"/>
        <v>4.7916666666666652</v>
      </c>
      <c r="Q54" s="47">
        <f t="shared" si="32" ref="Q54">AVERAGE(Q34:Q53)</f>
        <v>1.437916666666665</v>
      </c>
    </row>
    <row r="55" spans="2:7" ht="13.2">
      <c r="B55" s="14"/>
      <c r="C55" s="14"/>
      <c r="D55" s="14"/>
      <c r="E55" s="14"/>
      <c r="F55" s="14"/>
      <c r="G55" s="15"/>
    </row>
    <row r="56" spans="2:7" ht="13.2">
      <c r="B56" s="14"/>
      <c r="C56" s="14"/>
      <c r="D56" s="14"/>
      <c r="E56" s="14"/>
      <c r="F56" s="14"/>
      <c r="G56" s="15"/>
    </row>
    <row r="57" spans="2:7" ht="13.2">
      <c r="B57" s="14"/>
      <c r="C57" s="14"/>
      <c r="D57" s="14"/>
      <c r="E57" s="14"/>
      <c r="F57" s="14"/>
      <c r="G57" s="15"/>
    </row>
    <row r="58" spans="2:7" ht="13.2">
      <c r="B58" s="14"/>
      <c r="C58" s="14"/>
      <c r="D58" s="14"/>
      <c r="E58" s="14"/>
      <c r="F58" s="14"/>
      <c r="G58" s="15"/>
    </row>
    <row r="59" spans="2:7" ht="13.2">
      <c r="B59" s="14"/>
      <c r="C59" s="14"/>
      <c r="D59" s="14"/>
      <c r="E59" s="14"/>
      <c r="F59" s="14"/>
      <c r="G59" s="15"/>
    </row>
    <row r="60" spans="2:7" ht="13.2">
      <c r="B60" s="14"/>
      <c r="C60" s="14"/>
      <c r="D60" s="14"/>
      <c r="E60" s="14"/>
      <c r="F60" s="14"/>
      <c r="G60" s="15"/>
    </row>
    <row r="61" spans="2:7" ht="13.2">
      <c r="B61" s="14"/>
      <c r="C61" s="14"/>
      <c r="D61" s="14"/>
      <c r="E61" s="14"/>
      <c r="F61" s="14"/>
      <c r="G61" s="15"/>
    </row>
    <row r="62" spans="2:7" ht="13.2">
      <c r="B62" s="14"/>
      <c r="C62" s="14"/>
      <c r="D62" s="14"/>
      <c r="E62" s="14"/>
      <c r="F62" s="14"/>
      <c r="G62" s="15"/>
    </row>
    <row r="63" spans="2:7" ht="13.2">
      <c r="B63" s="14"/>
      <c r="C63" s="14"/>
      <c r="D63" s="14"/>
      <c r="E63" s="14"/>
      <c r="F63" s="14"/>
      <c r="G63" s="15"/>
    </row>
    <row r="64" spans="2:7" ht="13.2">
      <c r="B64" s="14"/>
      <c r="C64" s="14"/>
      <c r="D64" s="14"/>
      <c r="E64" s="14"/>
      <c r="F64" s="14"/>
      <c r="G64" s="15"/>
    </row>
    <row r="65" spans="2:7" ht="13.2">
      <c r="B65" s="14"/>
      <c r="C65" s="14"/>
      <c r="D65" s="14"/>
      <c r="E65" s="14"/>
      <c r="F65" s="14"/>
      <c r="G65" s="15"/>
    </row>
    <row r="66" spans="2:7" ht="13.2">
      <c r="B66" s="14"/>
      <c r="C66" s="14"/>
      <c r="D66" s="14"/>
      <c r="E66" s="14"/>
      <c r="F66" s="14"/>
      <c r="G66" s="15"/>
    </row>
    <row r="67" spans="2:7" ht="13.2">
      <c r="B67" s="14"/>
      <c r="C67" s="14"/>
      <c r="D67" s="14"/>
      <c r="E67" s="14"/>
      <c r="F67" s="14"/>
      <c r="G67" s="15"/>
    </row>
    <row r="68" spans="2:7" ht="13.2">
      <c r="B68" s="14"/>
      <c r="C68" s="14"/>
      <c r="D68" s="14"/>
      <c r="E68" s="14"/>
      <c r="F68" s="14"/>
      <c r="G68" s="15"/>
    </row>
    <row r="69" spans="2:7" ht="13.2">
      <c r="B69" s="14"/>
      <c r="C69" s="14"/>
      <c r="D69" s="14"/>
      <c r="E69" s="14"/>
      <c r="F69" s="14"/>
      <c r="G69" s="15"/>
    </row>
    <row r="70" spans="2:7" ht="13.2">
      <c r="B70" s="14"/>
      <c r="C70" s="14"/>
      <c r="D70" s="14"/>
      <c r="E70" s="14"/>
      <c r="F70" s="14"/>
      <c r="G70" s="15"/>
    </row>
    <row r="71" spans="2:7" ht="13.2">
      <c r="B71" s="14"/>
      <c r="C71" s="14"/>
      <c r="D71" s="14"/>
      <c r="E71" s="14"/>
      <c r="F71" s="14"/>
      <c r="G71" s="15"/>
    </row>
    <row r="72" spans="2:7" ht="13.2">
      <c r="B72" s="14"/>
      <c r="C72" s="14"/>
      <c r="D72" s="14"/>
      <c r="E72" s="14"/>
      <c r="F72" s="14"/>
      <c r="G72" s="15"/>
    </row>
    <row r="73" spans="2:6" ht="13.2">
      <c r="B73" s="14"/>
      <c r="C73" s="14"/>
      <c r="D73" s="14"/>
      <c r="E73" s="14"/>
      <c r="F73" s="14"/>
    </row>
  </sheetData>
  <mergeCells count="6">
    <mergeCell ref="B8:Q8"/>
    <mergeCell ref="B1:Q1"/>
    <mergeCell ref="B2:Q2"/>
    <mergeCell ref="B3:Q3"/>
    <mergeCell ref="B4:Q4"/>
    <mergeCell ref="B6:Q6"/>
  </mergeCells>
  <pageMargins left="0.75" right="0.75" top="1" bottom="1" header="0.5" footer="0.5"/>
  <pageSetup orientation="portrait" scale="80" r:id="rId1"/>
  <headerFooter alignWithMargins="0">
    <oddHeader>&amp;RSchedule II-H-5.1
Page &amp;P of  28</oddHead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pageSetUpPr fitToPage="1"/>
  </sheetPr>
  <dimension ref="A1:AE46"/>
  <sheetViews>
    <sheetView workbookViewId="0" topLeftCell="A1">
      <pane xSplit="2" ySplit="11" topLeftCell="C12" activePane="bottomRight" state="frozen"/>
      <selection pane="topLeft" activeCell="A1" sqref="A1"/>
      <selection pane="bottomLeft" activeCell="A1" sqref="A1"/>
      <selection pane="topRight" activeCell="A1" sqref="A1"/>
      <selection pane="bottomRight" activeCell="A1" sqref="A1"/>
    </sheetView>
  </sheetViews>
  <sheetFormatPr defaultRowHeight="13.5"/>
  <cols>
    <col min="2" max="2" width="6.71428571428571" style="9" bestFit="1" customWidth="1"/>
    <col min="3" max="4" width="8.14285714285714" style="9" bestFit="1" customWidth="1"/>
    <col min="5" max="7" width="8.14285714285714" bestFit="1" customWidth="1"/>
    <col min="8" max="10" width="8.14285714285714" customWidth="1"/>
    <col min="11" max="16" width="8.28571428571429" bestFit="1" customWidth="1"/>
  </cols>
  <sheetData>
    <row r="1" spans="2:16" s="2" customFormat="1" ht="15.6">
      <c r="B1" s="82" t="str">
        <f>+Base40h!B1</f>
        <v xml:space="preserve">PUC DOCKET NO. </v>
      </c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</row>
    <row r="2" spans="2:16" s="2" customFormat="1" ht="15.6">
      <c r="B2" s="82" t="str">
        <f>+Base40h!B2</f>
        <v>ONCOR ELECTRIC DELIVERY COMPANY LLC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</row>
    <row r="3" spans="2:16" s="2" customFormat="1" ht="15.6">
      <c r="B3" s="82" t="str">
        <f>+Base40h!B3</f>
        <v>WEATHER STATION DATA</v>
      </c>
      <c r="C3" s="86"/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  <c r="P3" s="86"/>
    </row>
    <row r="4" spans="2:16" s="2" customFormat="1" ht="15.6">
      <c r="B4" s="82" t="str">
        <f>+Base40h!B4</f>
        <v>FOR THE TEST YEAR ENDING DECEMBER 31, 2021</v>
      </c>
      <c r="C4" s="86"/>
      <c r="D4" s="86"/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  <c r="P4" s="86"/>
    </row>
    <row r="5" spans="2:10" s="2" customFormat="1" ht="11.4">
      <c r="B5" s="1"/>
      <c r="C5" s="1"/>
      <c r="D5" s="1"/>
      <c r="E5" s="17"/>
      <c r="F5" s="17"/>
      <c r="G5" s="17"/>
      <c r="H5" s="17"/>
      <c r="I5" s="17"/>
      <c r="J5" s="17"/>
    </row>
    <row r="6" spans="2:16" s="2" customFormat="1" ht="15.6">
      <c r="B6" s="82" t="s">
        <v>83</v>
      </c>
      <c r="C6" s="86"/>
      <c r="D6" s="86"/>
      <c r="E6" s="86"/>
      <c r="F6" s="86"/>
      <c r="G6" s="86"/>
      <c r="H6" s="86"/>
      <c r="I6" s="86"/>
      <c r="J6" s="86"/>
      <c r="K6" s="86"/>
      <c r="L6" s="86"/>
      <c r="M6" s="86"/>
      <c r="N6" s="86"/>
      <c r="O6" s="86"/>
      <c r="P6" s="86"/>
    </row>
    <row r="7" spans="2:15" s="2" customFormat="1" ht="15.6">
      <c r="B7" s="42"/>
      <c r="C7" s="42"/>
      <c r="D7" s="42"/>
      <c r="E7" s="43"/>
      <c r="F7" s="43"/>
      <c r="G7" s="43"/>
      <c r="H7" s="43"/>
      <c r="I7" s="43"/>
      <c r="J7" s="43"/>
      <c r="K7" s="9"/>
      <c r="L7" s="9"/>
      <c r="M7" s="9"/>
      <c r="N7" s="9"/>
      <c r="O7" s="9"/>
    </row>
    <row r="8" spans="2:16" s="2" customFormat="1" ht="15.6">
      <c r="B8" s="82" t="s">
        <v>94</v>
      </c>
      <c r="C8" s="86"/>
      <c r="D8" s="86"/>
      <c r="E8" s="86"/>
      <c r="F8" s="86"/>
      <c r="G8" s="86"/>
      <c r="H8" s="86"/>
      <c r="I8" s="86"/>
      <c r="J8" s="86"/>
      <c r="K8" s="86"/>
      <c r="L8" s="86"/>
      <c r="M8" s="86"/>
      <c r="N8" s="86"/>
      <c r="O8" s="86"/>
      <c r="P8" s="86"/>
    </row>
    <row r="9" spans="1:1" ht="24" thickBot="1">
      <c r="A9" s="3" t="s">
        <v>4</v>
      </c>
    </row>
    <row r="11" spans="1:16" s="10" customFormat="1" ht="13.2">
      <c r="A11">
        <v>1</v>
      </c>
      <c r="B11" s="44" t="s">
        <v>28</v>
      </c>
      <c r="C11" s="44" t="s">
        <v>100</v>
      </c>
      <c r="D11" s="44" t="s">
        <v>78</v>
      </c>
      <c r="E11" s="44" t="s">
        <v>79</v>
      </c>
      <c r="F11" s="44" t="s">
        <v>111</v>
      </c>
      <c r="G11" s="44" t="s">
        <v>77</v>
      </c>
      <c r="H11" s="81" t="s">
        <v>130</v>
      </c>
      <c r="I11" s="81" t="s">
        <v>132</v>
      </c>
      <c r="J11" s="81" t="s">
        <v>131</v>
      </c>
      <c r="K11" s="45" t="s">
        <v>101</v>
      </c>
      <c r="L11" s="46" t="s">
        <v>80</v>
      </c>
      <c r="M11" s="46" t="s">
        <v>81</v>
      </c>
      <c r="N11" s="46" t="s">
        <v>82</v>
      </c>
      <c r="O11" s="46" t="s">
        <v>92</v>
      </c>
      <c r="P11" s="45" t="s">
        <v>113</v>
      </c>
    </row>
    <row r="12" spans="1:16" ht="13.2">
      <c r="A12">
        <f t="shared" si="0" ref="A12:A41">+A11+1</f>
        <v>2</v>
      </c>
      <c r="B12" s="29">
        <v>44197</v>
      </c>
      <c r="C12" s="12">
        <v>4.8341666666666638</v>
      </c>
      <c r="D12" s="12">
        <v>7.6691666666666647</v>
      </c>
      <c r="E12" s="12">
        <v>10.7775</v>
      </c>
      <c r="F12" s="12">
        <v>14.732500000000002</v>
      </c>
      <c r="G12" s="12">
        <v>18.982500000000002</v>
      </c>
      <c r="H12" s="12">
        <v>23.461666666666666</v>
      </c>
      <c r="I12" s="12">
        <v>2.3283333333333354</v>
      </c>
      <c r="J12" s="12">
        <v>1.283333333333335</v>
      </c>
      <c r="K12" s="12">
        <v>0.53333333333333499</v>
      </c>
      <c r="L12" s="12">
        <v>0.012500000000000001</v>
      </c>
      <c r="M12" s="12">
        <v>0</v>
      </c>
      <c r="N12" s="12">
        <v>0</v>
      </c>
      <c r="O12" s="12">
        <v>0</v>
      </c>
      <c r="P12" s="12">
        <v>0</v>
      </c>
    </row>
    <row r="13" spans="1:16" ht="13.2">
      <c r="A13">
        <f t="shared" si="0"/>
        <v>3</v>
      </c>
      <c r="B13" s="29">
        <v>44198</v>
      </c>
      <c r="C13" s="12">
        <v>5.1920833333333301</v>
      </c>
      <c r="D13" s="12">
        <v>8.6258333333333308</v>
      </c>
      <c r="E13" s="12">
        <v>12.125833333333331</v>
      </c>
      <c r="F13" s="12">
        <v>15.625833333333327</v>
      </c>
      <c r="G13" s="12">
        <v>19.827916666666667</v>
      </c>
      <c r="H13" s="12">
        <v>24.361250000000005</v>
      </c>
      <c r="I13" s="12">
        <v>2.779166666666665</v>
      </c>
      <c r="J13" s="12">
        <v>1.279166666666665</v>
      </c>
      <c r="K13" s="12">
        <v>0.48125000000000001</v>
      </c>
      <c r="L13" s="12">
        <v>0.014583333333334992</v>
      </c>
      <c r="M13" s="12">
        <v>0</v>
      </c>
      <c r="N13" s="12">
        <v>0</v>
      </c>
      <c r="O13" s="12">
        <v>0</v>
      </c>
      <c r="P13" s="12">
        <v>0</v>
      </c>
    </row>
    <row r="14" spans="1:16" ht="13.2">
      <c r="A14">
        <f t="shared" si="0"/>
        <v>4</v>
      </c>
      <c r="B14" s="29">
        <v>44199</v>
      </c>
      <c r="C14" s="12">
        <v>2.0770833333333347</v>
      </c>
      <c r="D14" s="12">
        <v>4.3020833333333339</v>
      </c>
      <c r="E14" s="12">
        <v>7.75416666666667</v>
      </c>
      <c r="F14" s="12">
        <v>11.75416666666667</v>
      </c>
      <c r="G14" s="12">
        <v>15.754166666666668</v>
      </c>
      <c r="H14" s="12">
        <v>19.997916666666669</v>
      </c>
      <c r="I14" s="12">
        <v>2.7916666666666652</v>
      </c>
      <c r="J14" s="12">
        <v>1.791666666666665</v>
      </c>
      <c r="K14" s="12">
        <v>0.79166666666666496</v>
      </c>
      <c r="L14" s="12">
        <v>0.035416666666665007</v>
      </c>
      <c r="M14" s="12">
        <v>0</v>
      </c>
      <c r="N14" s="12">
        <v>0</v>
      </c>
      <c r="O14" s="12">
        <v>0</v>
      </c>
      <c r="P14" s="12">
        <v>0</v>
      </c>
    </row>
    <row r="15" spans="1:16" ht="13.2">
      <c r="A15">
        <f t="shared" si="0"/>
        <v>5</v>
      </c>
      <c r="B15" s="29">
        <v>44200</v>
      </c>
      <c r="C15" s="12">
        <v>1.8349999999999997</v>
      </c>
      <c r="D15" s="12">
        <v>3.8858333333333333</v>
      </c>
      <c r="E15" s="12">
        <v>6.7787499999999978</v>
      </c>
      <c r="F15" s="12">
        <v>11.051249999999998</v>
      </c>
      <c r="G15" s="12">
        <v>15.990833333333333</v>
      </c>
      <c r="H15" s="12">
        <v>20.990833333333335</v>
      </c>
      <c r="I15" s="12">
        <v>0.78791666666666527</v>
      </c>
      <c r="J15" s="12">
        <v>0.060416666666665009</v>
      </c>
      <c r="K15" s="12">
        <v>0</v>
      </c>
      <c r="L15" s="12">
        <v>0</v>
      </c>
      <c r="M15" s="12">
        <v>0</v>
      </c>
      <c r="N15" s="12">
        <v>0</v>
      </c>
      <c r="O15" s="12">
        <v>0</v>
      </c>
      <c r="P15" s="12">
        <v>0</v>
      </c>
    </row>
    <row r="16" spans="1:16" ht="13.2">
      <c r="A16">
        <f t="shared" si="0"/>
        <v>6</v>
      </c>
      <c r="B16" s="29">
        <v>44201</v>
      </c>
      <c r="C16" s="12">
        <v>2.37666666666667</v>
      </c>
      <c r="D16" s="12">
        <v>4.5175000000000045</v>
      </c>
      <c r="E16" s="12">
        <v>8.2670833333333356</v>
      </c>
      <c r="F16" s="12">
        <v>12.522916666666671</v>
      </c>
      <c r="G16" s="12">
        <v>17.272916666666671</v>
      </c>
      <c r="H16" s="12">
        <v>22.207916666666666</v>
      </c>
      <c r="I16" s="12">
        <v>1.059166666666665</v>
      </c>
      <c r="J16" s="12">
        <v>0.31499999999999984</v>
      </c>
      <c r="K16" s="12">
        <v>0.064999999999999863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</row>
    <row r="17" spans="1:16" ht="13.2">
      <c r="A17">
        <f t="shared" si="0"/>
        <v>7</v>
      </c>
      <c r="B17" s="29">
        <v>44202</v>
      </c>
      <c r="C17" s="12">
        <v>3.3974999999999995</v>
      </c>
      <c r="D17" s="12">
        <v>5.2008333333333354</v>
      </c>
      <c r="E17" s="12">
        <v>8.7837500000000013</v>
      </c>
      <c r="F17" s="12">
        <v>13.0275</v>
      </c>
      <c r="G17" s="12">
        <v>17.582500000000003</v>
      </c>
      <c r="H17" s="12">
        <v>22.442500000000003</v>
      </c>
      <c r="I17" s="12">
        <v>1.3412500000000001</v>
      </c>
      <c r="J17" s="12">
        <v>0.58500000000000019</v>
      </c>
      <c r="K17" s="12">
        <v>0.13999999999999985</v>
      </c>
      <c r="L17" s="12">
        <v>0</v>
      </c>
      <c r="M17" s="12">
        <v>0</v>
      </c>
      <c r="N17" s="12">
        <v>0</v>
      </c>
      <c r="O17" s="12">
        <v>0</v>
      </c>
      <c r="P17" s="12">
        <v>0</v>
      </c>
    </row>
    <row r="18" spans="1:16" ht="13.2">
      <c r="A18" s="18">
        <f t="shared" si="0"/>
        <v>8</v>
      </c>
      <c r="B18" s="29">
        <v>44203</v>
      </c>
      <c r="C18" s="12">
        <v>2.5541666666666649</v>
      </c>
      <c r="D18" s="12">
        <v>4.5729166666666652</v>
      </c>
      <c r="E18" s="12">
        <v>7.9716666666666658</v>
      </c>
      <c r="F18" s="12">
        <v>11.946666666666664</v>
      </c>
      <c r="G18" s="12">
        <v>16.196666666666665</v>
      </c>
      <c r="H18" s="12">
        <v>20.966666666666665</v>
      </c>
      <c r="I18" s="12">
        <v>2.0050000000000003</v>
      </c>
      <c r="J18" s="12">
        <v>0.98000000000000009</v>
      </c>
      <c r="K18" s="12">
        <v>0.23000000000000007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</row>
    <row r="19" spans="1:16" ht="13.2">
      <c r="A19">
        <f t="shared" si="0"/>
        <v>9</v>
      </c>
      <c r="B19" s="29">
        <v>44204</v>
      </c>
      <c r="C19" s="12">
        <v>1.7099999999999997</v>
      </c>
      <c r="D19" s="12">
        <v>2.9470833333333348</v>
      </c>
      <c r="E19" s="12">
        <v>5.7166666666666703</v>
      </c>
      <c r="F19" s="12">
        <v>9.5779166666666686</v>
      </c>
      <c r="G19" s="12">
        <v>14.348750000000004</v>
      </c>
      <c r="H19" s="12">
        <v>19.348750000000003</v>
      </c>
      <c r="I19" s="12">
        <v>1.3679166666666653</v>
      </c>
      <c r="J19" s="12">
        <v>0.22916666666666502</v>
      </c>
      <c r="K19" s="12">
        <v>0</v>
      </c>
      <c r="L19" s="12">
        <v>0</v>
      </c>
      <c r="M19" s="12">
        <v>0</v>
      </c>
      <c r="N19" s="12">
        <v>0</v>
      </c>
      <c r="O19" s="12">
        <v>0</v>
      </c>
      <c r="P19" s="12">
        <v>0</v>
      </c>
    </row>
    <row r="20" spans="1:16" ht="13.2">
      <c r="A20">
        <f t="shared" si="0"/>
        <v>10</v>
      </c>
      <c r="B20" s="29">
        <v>44205</v>
      </c>
      <c r="C20" s="12">
        <v>1.2749999999999997</v>
      </c>
      <c r="D20" s="12">
        <v>2.8374999999999946</v>
      </c>
      <c r="E20" s="12">
        <v>5.6995833333333303</v>
      </c>
      <c r="F20" s="12">
        <v>9.2037499999999941</v>
      </c>
      <c r="G20" s="12">
        <v>13.287083333333332</v>
      </c>
      <c r="H20" s="12">
        <v>18.082916666666666</v>
      </c>
      <c r="I20" s="12">
        <v>2.6166666666666658</v>
      </c>
      <c r="J20" s="12">
        <v>1.1208333333333305</v>
      </c>
      <c r="K20" s="12">
        <v>0.20416666666666536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</row>
    <row r="21" spans="1:16" ht="13.2">
      <c r="A21">
        <f t="shared" si="0"/>
        <v>11</v>
      </c>
      <c r="B21" s="29">
        <v>44206</v>
      </c>
      <c r="C21" s="12">
        <v>1.5420833333333353</v>
      </c>
      <c r="D21" s="12">
        <v>3.5037500000000001</v>
      </c>
      <c r="E21" s="12">
        <v>6.0737500000000013</v>
      </c>
      <c r="F21" s="12">
        <v>9.5658333333333356</v>
      </c>
      <c r="G21" s="12">
        <v>13.485833333333336</v>
      </c>
      <c r="H21" s="12">
        <v>18.085833333333333</v>
      </c>
      <c r="I21" s="12">
        <v>3.0275000000000003</v>
      </c>
      <c r="J21" s="12">
        <v>1.5195833333333351</v>
      </c>
      <c r="K21" s="12">
        <v>0.43958333333333499</v>
      </c>
      <c r="L21" s="12">
        <v>0.03958333333333499</v>
      </c>
      <c r="M21" s="12">
        <v>0</v>
      </c>
      <c r="N21" s="12">
        <v>0</v>
      </c>
      <c r="O21" s="12">
        <v>0</v>
      </c>
      <c r="P21" s="12">
        <v>0</v>
      </c>
    </row>
    <row r="22" spans="1:16" ht="13.2">
      <c r="A22">
        <f t="shared" si="0"/>
        <v>12</v>
      </c>
      <c r="B22" s="29">
        <v>44207</v>
      </c>
      <c r="C22" s="12">
        <v>1.1141666666666648</v>
      </c>
      <c r="D22" s="12">
        <v>3.0091666666666645</v>
      </c>
      <c r="E22" s="12">
        <v>5.7541666666666638</v>
      </c>
      <c r="F22" s="12">
        <v>9.4041666666666632</v>
      </c>
      <c r="G22" s="12">
        <v>13.578749999999999</v>
      </c>
      <c r="H22" s="12">
        <v>18.1325</v>
      </c>
      <c r="I22" s="12">
        <v>2.6216666666666648</v>
      </c>
      <c r="J22" s="12">
        <v>1.2716666666666647</v>
      </c>
      <c r="K22" s="12">
        <v>0.44624999999999987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</row>
    <row r="23" spans="1:16" ht="13.2">
      <c r="A23">
        <f t="shared" si="0"/>
        <v>13</v>
      </c>
      <c r="B23" s="29">
        <v>44208</v>
      </c>
      <c r="C23" s="12">
        <v>1.5504166666666648</v>
      </c>
      <c r="D23" s="12">
        <v>3.4866666666666646</v>
      </c>
      <c r="E23" s="12">
        <v>6.5129166666666638</v>
      </c>
      <c r="F23" s="12">
        <v>10.277499999999998</v>
      </c>
      <c r="G23" s="12">
        <v>14.437499999999996</v>
      </c>
      <c r="H23" s="12">
        <v>19.214583333333334</v>
      </c>
      <c r="I23" s="12">
        <v>2.2983333333333302</v>
      </c>
      <c r="J23" s="12">
        <v>1.0629166666666652</v>
      </c>
      <c r="K23" s="12">
        <v>0.22291666666666501</v>
      </c>
      <c r="L23" s="12">
        <v>0</v>
      </c>
      <c r="M23" s="12">
        <v>0</v>
      </c>
      <c r="N23" s="12">
        <v>0</v>
      </c>
      <c r="O23" s="12">
        <v>0</v>
      </c>
      <c r="P23" s="12">
        <v>0</v>
      </c>
    </row>
    <row r="24" spans="1:16" ht="13.2">
      <c r="A24">
        <f t="shared" si="0"/>
        <v>14</v>
      </c>
      <c r="B24" s="29">
        <v>44209</v>
      </c>
      <c r="C24" s="12">
        <v>2.7341666666666646</v>
      </c>
      <c r="D24" s="12">
        <v>5.3237499999999951</v>
      </c>
      <c r="E24" s="12">
        <v>8.6987499999999951</v>
      </c>
      <c r="F24" s="12">
        <v>13.008749999999997</v>
      </c>
      <c r="G24" s="12">
        <v>17.934166666666663</v>
      </c>
      <c r="H24" s="12">
        <v>22.934166666666663</v>
      </c>
      <c r="I24" s="12">
        <v>0.76458333333333539</v>
      </c>
      <c r="J24" s="12">
        <v>0.074583333333335139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</row>
    <row r="25" spans="1:31" ht="13.2">
      <c r="A25">
        <f t="shared" si="0"/>
        <v>15</v>
      </c>
      <c r="B25" s="29">
        <v>44210</v>
      </c>
      <c r="C25" s="12">
        <v>1.9570833333333351</v>
      </c>
      <c r="D25" s="12">
        <v>3.8050000000000055</v>
      </c>
      <c r="E25" s="12">
        <v>7.300000000000006</v>
      </c>
      <c r="F25" s="12">
        <v>11.56041666666667</v>
      </c>
      <c r="G25" s="12">
        <v>16.485416666666669</v>
      </c>
      <c r="H25" s="12">
        <v>21.485416666666669</v>
      </c>
      <c r="I25" s="12">
        <v>0.81458333333333499</v>
      </c>
      <c r="J25" s="12">
        <v>0.074999999999999997</v>
      </c>
      <c r="K25" s="12">
        <v>0</v>
      </c>
      <c r="L25" s="12">
        <v>0</v>
      </c>
      <c r="M25" s="12">
        <v>0</v>
      </c>
      <c r="N25" s="12">
        <v>0</v>
      </c>
      <c r="O25" s="12">
        <v>0</v>
      </c>
      <c r="P25" s="12">
        <v>0</v>
      </c>
      <c r="R25" s="76"/>
      <c r="S25" s="76"/>
      <c r="T25" s="76"/>
      <c r="U25" s="76"/>
      <c r="V25" s="76"/>
      <c r="W25" s="76"/>
      <c r="X25" s="76"/>
      <c r="Y25" s="76"/>
      <c r="Z25" s="76"/>
      <c r="AA25" s="76"/>
      <c r="AB25" s="76"/>
      <c r="AC25" s="76"/>
      <c r="AD25" s="76"/>
      <c r="AE25" s="76"/>
    </row>
    <row r="26" spans="1:16" ht="13.2">
      <c r="A26">
        <f t="shared" si="0"/>
        <v>16</v>
      </c>
      <c r="B26" s="29">
        <v>44211</v>
      </c>
      <c r="C26" s="12">
        <v>2.1512500000000001</v>
      </c>
      <c r="D26" s="12">
        <v>3.9920833333333334</v>
      </c>
      <c r="E26" s="12">
        <v>7.1520833333333327</v>
      </c>
      <c r="F26" s="12">
        <v>11.097083333333334</v>
      </c>
      <c r="G26" s="12">
        <v>15.61375</v>
      </c>
      <c r="H26" s="12">
        <v>20.53875</v>
      </c>
      <c r="I26" s="12">
        <v>1.6133333333333351</v>
      </c>
      <c r="J26" s="12">
        <v>0.55833333333333501</v>
      </c>
      <c r="K26" s="12">
        <v>0.074999999999999997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</row>
    <row r="27" spans="1:16" ht="13.2">
      <c r="A27">
        <f t="shared" si="0"/>
        <v>17</v>
      </c>
      <c r="B27" s="29">
        <v>44212</v>
      </c>
      <c r="C27" s="12">
        <v>2.628750000000005</v>
      </c>
      <c r="D27" s="12">
        <v>4.9037500000000049</v>
      </c>
      <c r="E27" s="12">
        <v>8.2187500000000053</v>
      </c>
      <c r="F27" s="12">
        <v>12.169166666666669</v>
      </c>
      <c r="G27" s="12">
        <v>16.629583333333333</v>
      </c>
      <c r="H27" s="12">
        <v>21.489583333333336</v>
      </c>
      <c r="I27" s="12">
        <v>1.7291666666666701</v>
      </c>
      <c r="J27" s="12">
        <v>0.67958333333333487</v>
      </c>
      <c r="K27" s="12">
        <v>0.13999999999999985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</row>
    <row r="28" spans="1:16" ht="13.2">
      <c r="A28">
        <f t="shared" si="0"/>
        <v>18</v>
      </c>
      <c r="B28" s="29">
        <v>44213</v>
      </c>
      <c r="C28" s="12">
        <v>3.3312499999999998</v>
      </c>
      <c r="D28" s="12">
        <v>6.0112499999999995</v>
      </c>
      <c r="E28" s="12">
        <v>9.8545833333333341</v>
      </c>
      <c r="F28" s="12">
        <v>14.484583333333333</v>
      </c>
      <c r="G28" s="12">
        <v>19.48458333333333</v>
      </c>
      <c r="H28" s="12">
        <v>24.48458333333333</v>
      </c>
      <c r="I28" s="12">
        <v>0.36999999999999994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</row>
    <row r="29" spans="1:16" s="18" customFormat="1" ht="13.2">
      <c r="A29" s="18">
        <f t="shared" si="0"/>
        <v>19</v>
      </c>
      <c r="B29" s="29">
        <v>44214</v>
      </c>
      <c r="C29" s="12">
        <v>1.6975000000000002</v>
      </c>
      <c r="D29" s="12">
        <v>3.8716666666666653</v>
      </c>
      <c r="E29" s="12">
        <v>7.2016666666666653</v>
      </c>
      <c r="F29" s="12">
        <v>11.395833333333329</v>
      </c>
      <c r="G29" s="12">
        <v>16.10083333333333</v>
      </c>
      <c r="H29" s="12">
        <v>21.095833333333324</v>
      </c>
      <c r="I29" s="12">
        <v>1.1058333333333352</v>
      </c>
      <c r="J29" s="12">
        <v>0.29999999999999999</v>
      </c>
      <c r="K29" s="12">
        <v>0.0050000000000000712</v>
      </c>
      <c r="L29" s="12">
        <v>0</v>
      </c>
      <c r="M29" s="12">
        <v>0</v>
      </c>
      <c r="N29" s="12">
        <v>0</v>
      </c>
      <c r="O29" s="12">
        <v>0</v>
      </c>
      <c r="P29" s="12">
        <v>0</v>
      </c>
    </row>
    <row r="30" spans="1:16" ht="13.2">
      <c r="A30">
        <f t="shared" si="0"/>
        <v>20</v>
      </c>
      <c r="B30" s="29">
        <v>44215</v>
      </c>
      <c r="C30" s="12">
        <v>1.2462500000000001</v>
      </c>
      <c r="D30" s="12">
        <v>2.8712499999999999</v>
      </c>
      <c r="E30" s="12">
        <v>4.9470833333333344</v>
      </c>
      <c r="F30" s="12">
        <v>8.2466666666666697</v>
      </c>
      <c r="G30" s="12">
        <v>12.70916666666667</v>
      </c>
      <c r="H30" s="12">
        <v>17.709166666666672</v>
      </c>
      <c r="I30" s="12">
        <v>2.2379166666666648</v>
      </c>
      <c r="J30" s="12">
        <v>0.53749999999999998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</row>
    <row r="31" spans="1:16" ht="13.2">
      <c r="A31">
        <f t="shared" si="0"/>
        <v>21</v>
      </c>
      <c r="B31" s="29">
        <v>44216</v>
      </c>
      <c r="C31" s="12">
        <v>0.70749999999999991</v>
      </c>
      <c r="D31" s="12">
        <v>2.1516666666666646</v>
      </c>
      <c r="E31" s="12">
        <v>4.4566666666666652</v>
      </c>
      <c r="F31" s="12">
        <v>7.4158333333333291</v>
      </c>
      <c r="G31" s="12">
        <v>11.64083333333333</v>
      </c>
      <c r="H31" s="12">
        <v>16.573749999999997</v>
      </c>
      <c r="I31" s="12">
        <v>2.8829166666666701</v>
      </c>
      <c r="J31" s="12">
        <v>0.84208333333333518</v>
      </c>
      <c r="K31" s="12">
        <v>0.067083333333334855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</row>
    <row r="32" spans="1:31" ht="13.2">
      <c r="A32">
        <f t="shared" si="0"/>
        <v>22</v>
      </c>
      <c r="B32" s="29">
        <v>44217</v>
      </c>
      <c r="C32" s="12">
        <v>0.36208333333333015</v>
      </c>
      <c r="D32" s="12">
        <v>1.9616666666666653</v>
      </c>
      <c r="E32" s="12">
        <v>4.8008333333333297</v>
      </c>
      <c r="F32" s="12">
        <v>8.4858333333333285</v>
      </c>
      <c r="G32" s="12">
        <v>13.122499999999993</v>
      </c>
      <c r="H32" s="12">
        <v>18.122499999999995</v>
      </c>
      <c r="I32" s="12">
        <v>1.6783333333333352</v>
      </c>
      <c r="J32" s="12">
        <v>0.36333333333333506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R32" s="76"/>
      <c r="S32" s="76"/>
      <c r="T32" s="76"/>
      <c r="U32" s="76"/>
      <c r="V32" s="76"/>
      <c r="W32" s="76"/>
      <c r="X32" s="76"/>
      <c r="Y32" s="76"/>
      <c r="Z32" s="76"/>
      <c r="AA32" s="76"/>
      <c r="AB32" s="76"/>
      <c r="AC32" s="76"/>
      <c r="AD32" s="76"/>
      <c r="AE32" s="76"/>
    </row>
    <row r="33" spans="1:16" ht="13.2">
      <c r="A33">
        <f t="shared" si="0"/>
        <v>23</v>
      </c>
      <c r="B33" s="29">
        <v>44218</v>
      </c>
      <c r="C33" s="12">
        <v>1.4145833333333351</v>
      </c>
      <c r="D33" s="12">
        <v>2.8624999999999998</v>
      </c>
      <c r="E33" s="12">
        <v>5.4074999999999989</v>
      </c>
      <c r="F33" s="12">
        <v>9.072499999999998</v>
      </c>
      <c r="G33" s="12">
        <v>13.1675</v>
      </c>
      <c r="H33" s="12">
        <v>17.781250000000004</v>
      </c>
      <c r="I33" s="12">
        <v>2.6262500000000002</v>
      </c>
      <c r="J33" s="12">
        <v>1.2912500000000002</v>
      </c>
      <c r="K33" s="12">
        <v>0.38625000000000009</v>
      </c>
      <c r="L33" s="12">
        <v>0</v>
      </c>
      <c r="M33" s="12">
        <v>0</v>
      </c>
      <c r="N33" s="12">
        <v>0</v>
      </c>
      <c r="O33" s="12">
        <v>0</v>
      </c>
      <c r="P33" s="12">
        <v>0</v>
      </c>
    </row>
    <row r="34" spans="1:16" ht="13.2">
      <c r="A34">
        <f t="shared" si="0"/>
        <v>24</v>
      </c>
      <c r="B34" s="29">
        <v>44219</v>
      </c>
      <c r="C34" s="12">
        <v>2.2233333333333301</v>
      </c>
      <c r="D34" s="12">
        <v>4.5954166666666634</v>
      </c>
      <c r="E34" s="12">
        <v>7.901249999999993</v>
      </c>
      <c r="F34" s="12">
        <v>11.871249999999993</v>
      </c>
      <c r="G34" s="12">
        <v>16.141249999999992</v>
      </c>
      <c r="H34" s="12">
        <v>20.807499999999987</v>
      </c>
      <c r="I34" s="12">
        <v>2.09375</v>
      </c>
      <c r="J34" s="12">
        <v>1.06375</v>
      </c>
      <c r="K34" s="12">
        <v>0.33374999999999988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</row>
    <row r="35" spans="1:16" ht="13.2">
      <c r="A35">
        <f t="shared" si="0"/>
        <v>25</v>
      </c>
      <c r="B35" s="29">
        <v>44220</v>
      </c>
      <c r="C35" s="12">
        <v>2.0649999999999999</v>
      </c>
      <c r="D35" s="12">
        <v>3.8516666666666692</v>
      </c>
      <c r="E35" s="12">
        <v>7.0837500000000038</v>
      </c>
      <c r="F35" s="12">
        <v>10.919583333333341</v>
      </c>
      <c r="G35" s="12">
        <v>15.371666666666675</v>
      </c>
      <c r="H35" s="12">
        <v>20.066666666666674</v>
      </c>
      <c r="I35" s="12">
        <v>2.0170833333333302</v>
      </c>
      <c r="J35" s="12">
        <v>0.8529166666666651</v>
      </c>
      <c r="K35" s="12">
        <v>0.30500000000000005</v>
      </c>
      <c r="L35" s="12">
        <v>0</v>
      </c>
      <c r="M35" s="12">
        <v>0</v>
      </c>
      <c r="N35" s="12">
        <v>0</v>
      </c>
      <c r="O35" s="12">
        <v>0</v>
      </c>
      <c r="P35" s="12">
        <v>0</v>
      </c>
    </row>
    <row r="36" spans="1:16" ht="13.2">
      <c r="A36">
        <f t="shared" si="0"/>
        <v>26</v>
      </c>
      <c r="B36" s="29">
        <v>44221</v>
      </c>
      <c r="C36" s="12">
        <v>0.33999999999999986</v>
      </c>
      <c r="D36" s="12">
        <v>2.145</v>
      </c>
      <c r="E36" s="12">
        <v>5.6204166666666637</v>
      </c>
      <c r="F36" s="12">
        <v>9.7154166666666644</v>
      </c>
      <c r="G36" s="12">
        <v>14.375833333333329</v>
      </c>
      <c r="H36" s="12">
        <v>19.365416666666668</v>
      </c>
      <c r="I36" s="12">
        <v>1.2550000000000001</v>
      </c>
      <c r="J36" s="12">
        <v>0.34999999999999998</v>
      </c>
      <c r="K36" s="12">
        <v>0.010416666666665009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</row>
    <row r="37" spans="1:16" ht="13.2">
      <c r="A37">
        <f t="shared" si="0"/>
        <v>27</v>
      </c>
      <c r="B37" s="29">
        <v>44222</v>
      </c>
      <c r="C37" s="12">
        <v>0.54499999999999993</v>
      </c>
      <c r="D37" s="12">
        <v>1.92625</v>
      </c>
      <c r="E37" s="12">
        <v>4.2279166666666654</v>
      </c>
      <c r="F37" s="12">
        <v>7.8379166666666649</v>
      </c>
      <c r="G37" s="12">
        <v>12.652916666666664</v>
      </c>
      <c r="H37" s="12">
        <v>17.652916666666663</v>
      </c>
      <c r="I37" s="12">
        <v>1.5750000000000004</v>
      </c>
      <c r="J37" s="12">
        <v>0.18500000000000014</v>
      </c>
      <c r="K37" s="12">
        <v>0</v>
      </c>
      <c r="L37" s="12">
        <v>0</v>
      </c>
      <c r="M37" s="12">
        <v>0</v>
      </c>
      <c r="N37" s="12">
        <v>0</v>
      </c>
      <c r="O37" s="12">
        <v>0</v>
      </c>
      <c r="P37" s="12">
        <v>0</v>
      </c>
    </row>
    <row r="38" spans="1:16" ht="13.2">
      <c r="A38">
        <f t="shared" si="0"/>
        <v>28</v>
      </c>
      <c r="B38" s="29">
        <v>44223</v>
      </c>
      <c r="C38" s="12">
        <v>1.7949999999999999</v>
      </c>
      <c r="D38" s="12">
        <v>3.4404166666666649</v>
      </c>
      <c r="E38" s="12">
        <v>6.023333333333329</v>
      </c>
      <c r="F38" s="12">
        <v>9.1712499999999935</v>
      </c>
      <c r="G38" s="12">
        <v>13.459999999999994</v>
      </c>
      <c r="H38" s="12">
        <v>18.289999999999992</v>
      </c>
      <c r="I38" s="12">
        <v>2.7333333333333352</v>
      </c>
      <c r="J38" s="12">
        <v>0.88124999999999998</v>
      </c>
      <c r="K38" s="12">
        <v>0.16999999999999993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</row>
    <row r="39" spans="1:16" ht="13.2">
      <c r="A39">
        <f t="shared" si="0"/>
        <v>29</v>
      </c>
      <c r="B39" s="29">
        <v>44224</v>
      </c>
      <c r="C39" s="12">
        <v>2.0791666666666648</v>
      </c>
      <c r="D39" s="12">
        <v>3.5474999999999994</v>
      </c>
      <c r="E39" s="12">
        <v>6.0704166666666648</v>
      </c>
      <c r="F39" s="12">
        <v>9.4004166666666666</v>
      </c>
      <c r="G39" s="12">
        <v>13.135833333333334</v>
      </c>
      <c r="H39" s="12">
        <v>17.537083333333332</v>
      </c>
      <c r="I39" s="12">
        <v>3.7083333333333299</v>
      </c>
      <c r="J39" s="12">
        <v>2.03833333333333</v>
      </c>
      <c r="K39" s="12">
        <v>0.77375000000000005</v>
      </c>
      <c r="L39" s="12">
        <v>0.17499999999999999</v>
      </c>
      <c r="M39" s="12">
        <v>0</v>
      </c>
      <c r="N39" s="12">
        <v>0</v>
      </c>
      <c r="O39" s="12">
        <v>0</v>
      </c>
      <c r="P39" s="12">
        <v>0</v>
      </c>
    </row>
    <row r="40" spans="1:16" ht="13.2">
      <c r="A40">
        <f t="shared" si="0"/>
        <v>30</v>
      </c>
      <c r="B40" s="29">
        <v>44225</v>
      </c>
      <c r="C40" s="12">
        <v>1.3899999999999999</v>
      </c>
      <c r="D40" s="12">
        <v>3.3245833333333294</v>
      </c>
      <c r="E40" s="12">
        <v>6.179583333333329</v>
      </c>
      <c r="F40" s="12">
        <v>9.5762499999999946</v>
      </c>
      <c r="G40" s="12">
        <v>13.761249999999993</v>
      </c>
      <c r="H40" s="12">
        <v>18.386249999999993</v>
      </c>
      <c r="I40" s="12">
        <v>2.8954166666666703</v>
      </c>
      <c r="J40" s="12">
        <v>1.2920833333333353</v>
      </c>
      <c r="K40" s="12">
        <v>0.47708333333333497</v>
      </c>
      <c r="L40" s="12">
        <v>0.102083333333335</v>
      </c>
      <c r="M40" s="12">
        <v>0</v>
      </c>
      <c r="N40" s="12">
        <v>0</v>
      </c>
      <c r="O40" s="12">
        <v>0</v>
      </c>
      <c r="P40" s="12">
        <v>0</v>
      </c>
    </row>
    <row r="41" spans="1:16" ht="13.2">
      <c r="A41">
        <f t="shared" si="0"/>
        <v>31</v>
      </c>
      <c r="B41" s="29">
        <v>44226</v>
      </c>
      <c r="C41" s="12">
        <v>1.04666666666667</v>
      </c>
      <c r="D41" s="12">
        <v>2.8516666666666701</v>
      </c>
      <c r="E41" s="12">
        <v>6.3579166666666689</v>
      </c>
      <c r="F41" s="12">
        <v>10.64291666666667</v>
      </c>
      <c r="G41" s="12">
        <v>15.36791666666667</v>
      </c>
      <c r="H41" s="12">
        <v>20.282916666666669</v>
      </c>
      <c r="I41" s="12">
        <v>1.0750000000000004</v>
      </c>
      <c r="J41" s="12">
        <v>0.36000000000000015</v>
      </c>
      <c r="K41" s="12">
        <v>0.085000000000000145</v>
      </c>
      <c r="L41" s="12">
        <v>0</v>
      </c>
      <c r="M41" s="12">
        <v>0</v>
      </c>
      <c r="N41" s="12">
        <v>0</v>
      </c>
      <c r="O41" s="12">
        <v>0</v>
      </c>
      <c r="P41" s="12">
        <v>0</v>
      </c>
    </row>
    <row r="42" spans="1:16" ht="13.8" thickBot="1">
      <c r="A42">
        <f>+A41+1</f>
        <v>32</v>
      </c>
      <c r="B42" s="29">
        <v>44227</v>
      </c>
      <c r="C42" s="12">
        <v>0.81708333333333483</v>
      </c>
      <c r="D42" s="12">
        <v>2.6004166666666699</v>
      </c>
      <c r="E42" s="12">
        <v>4.8479166666666691</v>
      </c>
      <c r="F42" s="12">
        <v>8.0604166666666686</v>
      </c>
      <c r="G42" s="12">
        <v>12.020000000000005</v>
      </c>
      <c r="H42" s="12">
        <v>16.960000000000004</v>
      </c>
      <c r="I42" s="12">
        <v>2.8879166666666656</v>
      </c>
      <c r="J42" s="12">
        <v>1.1004166666666655</v>
      </c>
      <c r="K42" s="12">
        <v>0.060000000000000143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</row>
    <row r="43" spans="2:16" ht="13.2">
      <c r="B43" s="23" t="s">
        <v>59</v>
      </c>
      <c r="C43" s="24">
        <f>SUM(C12:C42)</f>
        <v>59.989999999999988</v>
      </c>
      <c r="D43" s="24">
        <f>SUM(D12:D42)</f>
        <v>120.59583333333333</v>
      </c>
      <c r="E43" s="24">
        <f>SUM(E12:E42)</f>
        <v>214.56625000000003</v>
      </c>
      <c r="F43" s="24">
        <f t="shared" si="1" ref="F43:O43">SUM(F12:F42)</f>
        <v>332.82208333333324</v>
      </c>
      <c r="G43" s="24">
        <f t="shared" si="1"/>
        <v>469.92041666666671</v>
      </c>
      <c r="H43" s="24">
        <f t="shared" si="1"/>
        <v>618.85708333333332</v>
      </c>
      <c r="I43" s="24">
        <f t="shared" si="1"/>
        <v>61.088333333333338</v>
      </c>
      <c r="J43" s="24">
        <f t="shared" si="1"/>
        <v>24.344166666666659</v>
      </c>
      <c r="K43" s="24">
        <f t="shared" si="1"/>
        <v>6.4424999999999999</v>
      </c>
      <c r="L43" s="24">
        <f t="shared" si="1"/>
        <v>0.37916666666666998</v>
      </c>
      <c r="M43" s="24">
        <f t="shared" si="1"/>
        <v>0</v>
      </c>
      <c r="N43" s="24">
        <f t="shared" si="1"/>
        <v>0</v>
      </c>
      <c r="O43" s="24">
        <f t="shared" si="1"/>
        <v>0</v>
      </c>
      <c r="P43" s="56">
        <f>SUM(P12:P42)</f>
        <v>0</v>
      </c>
    </row>
    <row r="45" spans="3:16" ht="13.2">
      <c r="C45" s="72"/>
      <c r="D45" s="72"/>
      <c r="E45" s="73"/>
      <c r="F45" s="73"/>
      <c r="G45" s="73"/>
      <c r="H45" s="73"/>
      <c r="I45" s="73"/>
      <c r="J45" s="73"/>
      <c r="K45" s="73"/>
      <c r="L45" s="73"/>
      <c r="M45" s="73"/>
      <c r="N45" s="73"/>
      <c r="O45" s="73"/>
      <c r="P45" s="73"/>
    </row>
    <row r="46" spans="3:16" ht="13.2">
      <c r="C46" s="75"/>
      <c r="D46" s="75"/>
      <c r="E46" s="75"/>
      <c r="F46" s="75"/>
      <c r="G46" s="75"/>
      <c r="H46" s="75"/>
      <c r="I46" s="75"/>
      <c r="J46" s="75"/>
      <c r="K46" s="75"/>
      <c r="L46" s="75"/>
      <c r="M46" s="75"/>
      <c r="N46" s="75"/>
      <c r="O46" s="75"/>
      <c r="P46" s="75"/>
    </row>
  </sheetData>
  <mergeCells count="6">
    <mergeCell ref="B8:P8"/>
    <mergeCell ref="B1:P1"/>
    <mergeCell ref="B2:P2"/>
    <mergeCell ref="B3:P3"/>
    <mergeCell ref="B4:P4"/>
    <mergeCell ref="B6:P6"/>
  </mergeCells>
  <pageMargins left="0.75" right="0.75" top="1" bottom="1" header="0.5" footer="0.5"/>
  <pageSetup orientation="portrait" scale="70" r:id="rId1"/>
  <headerFooter alignWithMargins="0">
    <oddHeader>&amp;RSchedule II-H-5.1
Page &amp;P of  28</oddHead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pageSetUpPr fitToPage="1"/>
  </sheetPr>
  <dimension ref="A1:AE46"/>
  <sheetViews>
    <sheetView workbookViewId="0" topLeftCell="A1">
      <pane ySplit="10" topLeftCell="A11" activePane="bottomLeft" state="frozen"/>
      <selection pane="topLeft" activeCell="A1" sqref="A1"/>
      <selection pane="bottomLeft" activeCell="A1" sqref="A1"/>
    </sheetView>
  </sheetViews>
  <sheetFormatPr defaultRowHeight="13.5"/>
  <cols>
    <col min="2" max="2" width="6" style="9" bestFit="1" customWidth="1"/>
    <col min="3" max="4" width="8.14285714285714" style="9" bestFit="1" customWidth="1"/>
    <col min="5" max="7" width="8.14285714285714" bestFit="1" customWidth="1"/>
    <col min="8" max="10" width="8.14285714285714" customWidth="1"/>
    <col min="12" max="12" width="8.14285714285714" bestFit="1" customWidth="1"/>
  </cols>
  <sheetData>
    <row r="1" spans="2:16" s="2" customFormat="1" ht="15.6">
      <c r="B1" s="82" t="str">
        <f>+Base40h!B1</f>
        <v xml:space="preserve">PUC DOCKET NO. </v>
      </c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</row>
    <row r="2" spans="2:16" s="2" customFormat="1" ht="15.6">
      <c r="B2" s="82" t="str">
        <f>+Base40h!B2</f>
        <v>ONCOR ELECTRIC DELIVERY COMPANY LLC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</row>
    <row r="3" spans="2:16" s="2" customFormat="1" ht="15.6">
      <c r="B3" s="82" t="str">
        <f>+Base40h!B3</f>
        <v>WEATHER STATION DATA</v>
      </c>
      <c r="C3" s="86"/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  <c r="P3" s="86"/>
    </row>
    <row r="4" spans="2:16" s="2" customFormat="1" ht="15.6">
      <c r="B4" s="82" t="str">
        <f>+Base40h!B4</f>
        <v>FOR THE TEST YEAR ENDING DECEMBER 31, 2021</v>
      </c>
      <c r="C4" s="86"/>
      <c r="D4" s="86"/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  <c r="P4" s="86"/>
    </row>
    <row r="5" spans="2:10" s="2" customFormat="1" ht="11.4">
      <c r="B5" s="1"/>
      <c r="C5" s="1"/>
      <c r="D5" s="1"/>
      <c r="E5" s="17"/>
      <c r="F5" s="17"/>
      <c r="G5" s="17"/>
      <c r="H5" s="17"/>
      <c r="I5" s="17"/>
      <c r="J5" s="17"/>
    </row>
    <row r="6" spans="2:16" s="2" customFormat="1" ht="15.6">
      <c r="B6" s="82" t="s">
        <v>83</v>
      </c>
      <c r="C6" s="86"/>
      <c r="D6" s="86"/>
      <c r="E6" s="86"/>
      <c r="F6" s="86"/>
      <c r="G6" s="86"/>
      <c r="H6" s="86"/>
      <c r="I6" s="86"/>
      <c r="J6" s="86"/>
      <c r="K6" s="86"/>
      <c r="L6" s="86"/>
      <c r="M6" s="86"/>
      <c r="N6" s="86"/>
      <c r="O6" s="86"/>
      <c r="P6" s="86"/>
    </row>
    <row r="7" spans="2:15" s="2" customFormat="1" ht="15.6">
      <c r="B7" s="42"/>
      <c r="C7" s="42"/>
      <c r="D7" s="42"/>
      <c r="E7" s="43"/>
      <c r="F7" s="43"/>
      <c r="G7" s="43"/>
      <c r="H7" s="43"/>
      <c r="I7" s="43"/>
      <c r="J7" s="43"/>
      <c r="K7" s="9"/>
      <c r="L7" s="9"/>
      <c r="M7" s="9"/>
      <c r="N7" s="9"/>
      <c r="O7" s="9"/>
    </row>
    <row r="8" spans="2:16" s="2" customFormat="1" ht="15.6">
      <c r="B8" s="82" t="s">
        <v>103</v>
      </c>
      <c r="C8" s="86"/>
      <c r="D8" s="86"/>
      <c r="E8" s="86"/>
      <c r="F8" s="86"/>
      <c r="G8" s="86"/>
      <c r="H8" s="86"/>
      <c r="I8" s="86"/>
      <c r="J8" s="86"/>
      <c r="K8" s="86"/>
      <c r="L8" s="86"/>
      <c r="M8" s="86"/>
      <c r="N8" s="86"/>
      <c r="O8" s="86"/>
      <c r="P8" s="86"/>
    </row>
    <row r="9" spans="1:1" ht="24" thickBot="1">
      <c r="A9" s="3" t="s">
        <v>4</v>
      </c>
    </row>
    <row r="11" spans="1:16" s="10" customFormat="1" ht="13.2">
      <c r="A11">
        <v>1</v>
      </c>
      <c r="B11" s="44" t="s">
        <v>28</v>
      </c>
      <c r="C11" s="44" t="s">
        <v>100</v>
      </c>
      <c r="D11" s="44" t="s">
        <v>78</v>
      </c>
      <c r="E11" s="44" t="s">
        <v>79</v>
      </c>
      <c r="F11" s="44" t="s">
        <v>111</v>
      </c>
      <c r="G11" s="44" t="s">
        <v>77</v>
      </c>
      <c r="H11" s="81" t="s">
        <v>130</v>
      </c>
      <c r="I11" s="81" t="s">
        <v>132</v>
      </c>
      <c r="J11" s="81" t="s">
        <v>131</v>
      </c>
      <c r="K11" s="45" t="s">
        <v>101</v>
      </c>
      <c r="L11" s="46" t="s">
        <v>80</v>
      </c>
      <c r="M11" s="46" t="s">
        <v>81</v>
      </c>
      <c r="N11" s="46" t="s">
        <v>82</v>
      </c>
      <c r="O11" s="46" t="s">
        <v>92</v>
      </c>
      <c r="P11" s="45" t="s">
        <v>113</v>
      </c>
    </row>
    <row r="12" spans="1:16" ht="13.2">
      <c r="A12">
        <f t="shared" si="0" ref="A12:A27">+A11+1</f>
        <v>2</v>
      </c>
      <c r="B12" s="29">
        <v>44378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30.80125</v>
      </c>
      <c r="J12" s="12">
        <v>25.80125</v>
      </c>
      <c r="K12" s="12">
        <v>20.801249999999996</v>
      </c>
      <c r="L12" s="12">
        <v>15.80125</v>
      </c>
      <c r="M12" s="12">
        <v>10.801249999999996</v>
      </c>
      <c r="N12" s="12">
        <v>5.8012499999999951</v>
      </c>
      <c r="O12" s="12">
        <v>1.6329166666666652</v>
      </c>
      <c r="P12" s="12">
        <v>0.25666666666666488</v>
      </c>
    </row>
    <row r="13" spans="1:16" ht="13.2">
      <c r="A13">
        <f t="shared" si="0"/>
        <v>3</v>
      </c>
      <c r="B13" s="29">
        <v>44379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30.334166666666675</v>
      </c>
      <c r="J13" s="12">
        <v>25.334166666666672</v>
      </c>
      <c r="K13" s="12">
        <v>20.334166666666668</v>
      </c>
      <c r="L13" s="12">
        <v>15.334166666666667</v>
      </c>
      <c r="M13" s="12">
        <v>10.33416666666667</v>
      </c>
      <c r="N13" s="12">
        <v>5.5195833333333351</v>
      </c>
      <c r="O13" s="12">
        <v>1.8737500000000005</v>
      </c>
      <c r="P13" s="12">
        <v>0.1450000000000003</v>
      </c>
    </row>
    <row r="14" spans="1:16" ht="13.2">
      <c r="A14">
        <f t="shared" si="0"/>
        <v>4</v>
      </c>
      <c r="B14" s="29">
        <v>44380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2">
        <v>31.743333333333332</v>
      </c>
      <c r="J14" s="12">
        <v>26.743333333333332</v>
      </c>
      <c r="K14" s="12">
        <v>21.743333333333332</v>
      </c>
      <c r="L14" s="12">
        <v>16.743333333333339</v>
      </c>
      <c r="M14" s="12">
        <v>11.743333333333336</v>
      </c>
      <c r="N14" s="12">
        <v>6.9245833333333362</v>
      </c>
      <c r="O14" s="12">
        <v>2.9837500000000015</v>
      </c>
      <c r="P14" s="12">
        <v>0.64083333333333603</v>
      </c>
    </row>
    <row r="15" spans="1:16" ht="13.2">
      <c r="A15">
        <f t="shared" si="0"/>
        <v>5</v>
      </c>
      <c r="B15" s="29">
        <v>44381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  <c r="I15" s="12">
        <v>32.673749999999998</v>
      </c>
      <c r="J15" s="12">
        <v>27.673750000000005</v>
      </c>
      <c r="K15" s="12">
        <v>22.673750000000005</v>
      </c>
      <c r="L15" s="12">
        <v>17.673750000000005</v>
      </c>
      <c r="M15" s="12">
        <v>12.673750000000004</v>
      </c>
      <c r="N15" s="12">
        <v>7.767500000000001</v>
      </c>
      <c r="O15" s="12">
        <v>3.3587500000000006</v>
      </c>
      <c r="P15" s="12">
        <v>0.80499999999999972</v>
      </c>
    </row>
    <row r="16" spans="1:16" ht="13.2">
      <c r="A16">
        <f t="shared" si="0"/>
        <v>6</v>
      </c>
      <c r="B16" s="29">
        <v>44382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31.112499999999994</v>
      </c>
      <c r="J16" s="12">
        <v>26.112499999999994</v>
      </c>
      <c r="K16" s="12">
        <v>21.112499999999994</v>
      </c>
      <c r="L16" s="12">
        <v>16.112500000000001</v>
      </c>
      <c r="M16" s="12">
        <v>11.112499999999994</v>
      </c>
      <c r="N16" s="12">
        <v>6.1749999999999954</v>
      </c>
      <c r="O16" s="12">
        <v>2.4095833333333294</v>
      </c>
      <c r="P16" s="12">
        <v>0.29666666666666475</v>
      </c>
    </row>
    <row r="17" spans="1:16" ht="13.2">
      <c r="A17">
        <f t="shared" si="0"/>
        <v>7</v>
      </c>
      <c r="B17" s="29">
        <v>44383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31.770833333333336</v>
      </c>
      <c r="J17" s="12">
        <v>26.770833333333336</v>
      </c>
      <c r="K17" s="12">
        <v>21.770833333333336</v>
      </c>
      <c r="L17" s="12">
        <v>16.770833333333336</v>
      </c>
      <c r="M17" s="12">
        <v>11.770833333333338</v>
      </c>
      <c r="N17" s="12">
        <v>6.9479166666666714</v>
      </c>
      <c r="O17" s="12">
        <v>2.902916666666671</v>
      </c>
      <c r="P17" s="12">
        <v>0.58875000000000099</v>
      </c>
    </row>
    <row r="18" spans="1:16" ht="13.2">
      <c r="A18">
        <f t="shared" si="0"/>
        <v>8</v>
      </c>
      <c r="B18" s="29">
        <v>44384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31.298750000000002</v>
      </c>
      <c r="J18" s="12">
        <v>26.298750000000002</v>
      </c>
      <c r="K18" s="12">
        <v>21.298750000000002</v>
      </c>
      <c r="L18" s="12">
        <v>16.298750000000002</v>
      </c>
      <c r="M18" s="12">
        <v>11.298750000000002</v>
      </c>
      <c r="N18" s="12">
        <v>6.4087500000000004</v>
      </c>
      <c r="O18" s="12">
        <v>2.3870833333333352</v>
      </c>
      <c r="P18" s="12">
        <v>0.69916666666666527</v>
      </c>
    </row>
    <row r="19" spans="1:16" ht="13.2">
      <c r="A19">
        <f t="shared" si="0"/>
        <v>9</v>
      </c>
      <c r="B19" s="29">
        <v>44385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32.141250000000007</v>
      </c>
      <c r="J19" s="12">
        <v>27.141250000000007</v>
      </c>
      <c r="K19" s="12">
        <v>22.141250000000007</v>
      </c>
      <c r="L19" s="12">
        <v>17.141250000000007</v>
      </c>
      <c r="M19" s="12">
        <v>12.141250000000007</v>
      </c>
      <c r="N19" s="12">
        <v>7.2062500000000069</v>
      </c>
      <c r="O19" s="12">
        <v>3.2741666666666709</v>
      </c>
      <c r="P19" s="12">
        <v>0.86958333333333537</v>
      </c>
    </row>
    <row r="20" spans="1:16" ht="13.2">
      <c r="A20">
        <f t="shared" si="0"/>
        <v>10</v>
      </c>
      <c r="B20" s="29">
        <v>44386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33.415000000000006</v>
      </c>
      <c r="J20" s="12">
        <v>28.415000000000003</v>
      </c>
      <c r="K20" s="12">
        <v>23.41500000000001</v>
      </c>
      <c r="L20" s="12">
        <v>18.41500000000001</v>
      </c>
      <c r="M20" s="12">
        <v>13.415000000000006</v>
      </c>
      <c r="N20" s="12">
        <v>8.4150000000000063</v>
      </c>
      <c r="O20" s="12">
        <v>3.8750000000000058</v>
      </c>
      <c r="P20" s="12">
        <v>1.201250000000001</v>
      </c>
    </row>
    <row r="21" spans="1:16" ht="13.2">
      <c r="A21">
        <f t="shared" si="0"/>
        <v>11</v>
      </c>
      <c r="B21" s="29">
        <v>44387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33.64791666666666</v>
      </c>
      <c r="J21" s="12">
        <v>28.647916666666664</v>
      </c>
      <c r="K21" s="12">
        <v>23.647916666666664</v>
      </c>
      <c r="L21" s="12">
        <v>18.647916666666664</v>
      </c>
      <c r="M21" s="12">
        <v>13.64791666666666</v>
      </c>
      <c r="N21" s="12">
        <v>8.64791666666666</v>
      </c>
      <c r="O21" s="12">
        <v>3.9054166666666603</v>
      </c>
      <c r="P21" s="12">
        <v>1.1354166666666643</v>
      </c>
    </row>
    <row r="22" spans="1:16" ht="13.2">
      <c r="A22">
        <f t="shared" si="0"/>
        <v>12</v>
      </c>
      <c r="B22" s="29">
        <v>44388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34.459583333333327</v>
      </c>
      <c r="J22" s="12">
        <v>29.459583333333331</v>
      </c>
      <c r="K22" s="12">
        <v>24.459583333333331</v>
      </c>
      <c r="L22" s="12">
        <v>19.459583333333335</v>
      </c>
      <c r="M22" s="12">
        <v>14.459583333333336</v>
      </c>
      <c r="N22" s="12">
        <v>9.4595833333333363</v>
      </c>
      <c r="O22" s="12">
        <v>4.4595833333333355</v>
      </c>
      <c r="P22" s="12">
        <v>1.1591666666666647</v>
      </c>
    </row>
    <row r="23" spans="1:16" ht="13.2">
      <c r="A23">
        <f t="shared" si="0"/>
        <v>13</v>
      </c>
      <c r="B23" s="29">
        <v>44389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34.674583333333331</v>
      </c>
      <c r="J23" s="12">
        <v>29.674583333333334</v>
      </c>
      <c r="K23" s="12">
        <v>24.674583333333327</v>
      </c>
      <c r="L23" s="12">
        <v>19.674583333333327</v>
      </c>
      <c r="M23" s="12">
        <v>14.674583333333327</v>
      </c>
      <c r="N23" s="12">
        <v>9.6745833333333309</v>
      </c>
      <c r="O23" s="12">
        <v>4.7141666666666655</v>
      </c>
      <c r="P23" s="12">
        <v>1.4087500000000006</v>
      </c>
    </row>
    <row r="24" spans="1:16" ht="13.2">
      <c r="A24">
        <f t="shared" si="0"/>
        <v>14</v>
      </c>
      <c r="B24" s="29">
        <v>44390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34.869583333333338</v>
      </c>
      <c r="J24" s="12">
        <v>29.869583333333345</v>
      </c>
      <c r="K24" s="12">
        <v>24.869583333333342</v>
      </c>
      <c r="L24" s="12">
        <v>19.869583333333342</v>
      </c>
      <c r="M24" s="12">
        <v>14.869583333333342</v>
      </c>
      <c r="N24" s="12">
        <v>9.8695833333333436</v>
      </c>
      <c r="O24" s="12">
        <v>5.1954166666666701</v>
      </c>
      <c r="P24" s="12">
        <v>1.78291666666667</v>
      </c>
    </row>
    <row r="25" spans="1:31" ht="13.2">
      <c r="A25">
        <f t="shared" si="0"/>
        <v>15</v>
      </c>
      <c r="B25" s="29">
        <v>44391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34.512500000000003</v>
      </c>
      <c r="J25" s="12">
        <v>29.512499999999999</v>
      </c>
      <c r="K25" s="12">
        <v>24.512500000000003</v>
      </c>
      <c r="L25" s="12">
        <v>19.512500000000003</v>
      </c>
      <c r="M25" s="12">
        <v>14.512499999999999</v>
      </c>
      <c r="N25" s="12">
        <v>9.5124999999999993</v>
      </c>
      <c r="O25" s="12">
        <v>4.7916666666666652</v>
      </c>
      <c r="P25" s="12">
        <v>1.437916666666665</v>
      </c>
      <c r="R25" s="76"/>
      <c r="S25" s="76"/>
      <c r="T25" s="76"/>
      <c r="U25" s="76"/>
      <c r="V25" s="76"/>
      <c r="W25" s="76"/>
      <c r="X25" s="76"/>
      <c r="Y25" s="76"/>
      <c r="Z25" s="76"/>
      <c r="AA25" s="76"/>
      <c r="AB25" s="76"/>
      <c r="AC25" s="76"/>
      <c r="AD25" s="76"/>
      <c r="AE25" s="76"/>
    </row>
    <row r="26" spans="1:16" ht="13.2">
      <c r="A26">
        <f t="shared" si="0"/>
        <v>16</v>
      </c>
      <c r="B26" s="29">
        <v>44392</v>
      </c>
      <c r="C26" s="12">
        <v>0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2">
        <v>33.21458333333333</v>
      </c>
      <c r="J26" s="12">
        <v>28.214583333333337</v>
      </c>
      <c r="K26" s="12">
        <v>23.214583333333334</v>
      </c>
      <c r="L26" s="12">
        <v>18.214583333333334</v>
      </c>
      <c r="M26" s="12">
        <v>13.424583333333336</v>
      </c>
      <c r="N26" s="12">
        <v>8.6745833333333362</v>
      </c>
      <c r="O26" s="12">
        <v>4.2266666666666701</v>
      </c>
      <c r="P26" s="12">
        <v>1.3062499999999999</v>
      </c>
    </row>
    <row r="27" spans="1:16" ht="13.2">
      <c r="A27">
        <f t="shared" si="0"/>
        <v>17</v>
      </c>
      <c r="B27" s="29">
        <v>44393</v>
      </c>
      <c r="C27" s="12">
        <v>0</v>
      </c>
      <c r="D27" s="12">
        <v>0</v>
      </c>
      <c r="E27" s="12">
        <v>0</v>
      </c>
      <c r="F27" s="12">
        <v>0</v>
      </c>
      <c r="G27" s="12">
        <v>0</v>
      </c>
      <c r="H27" s="12">
        <v>0</v>
      </c>
      <c r="I27" s="12">
        <v>32.837083333333339</v>
      </c>
      <c r="J27" s="12">
        <v>27.837083333333339</v>
      </c>
      <c r="K27" s="12">
        <v>22.837083333333336</v>
      </c>
      <c r="L27" s="12">
        <v>17.837083333333332</v>
      </c>
      <c r="M27" s="12">
        <v>12.837083333333334</v>
      </c>
      <c r="N27" s="12">
        <v>7.9720833333333356</v>
      </c>
      <c r="O27" s="12">
        <v>3.9145833333333351</v>
      </c>
      <c r="P27" s="12">
        <v>1.1995833333333352</v>
      </c>
    </row>
    <row r="28" spans="1:16" ht="13.2">
      <c r="A28">
        <f t="shared" si="1" ref="A28:A41">+A27+1</f>
        <v>18</v>
      </c>
      <c r="B28" s="29">
        <v>44394</v>
      </c>
      <c r="C28" s="12">
        <v>0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2">
        <v>33.587500000000006</v>
      </c>
      <c r="J28" s="12">
        <v>28.587500000000006</v>
      </c>
      <c r="K28" s="12">
        <v>23.587500000000006</v>
      </c>
      <c r="L28" s="12">
        <v>18.587500000000006</v>
      </c>
      <c r="M28" s="12">
        <v>13.587500000000006</v>
      </c>
      <c r="N28" s="12">
        <v>8.742500000000005</v>
      </c>
      <c r="O28" s="12">
        <v>4.4050000000000065</v>
      </c>
      <c r="P28" s="12">
        <v>1.0370833333333358</v>
      </c>
    </row>
    <row r="29" spans="1:16" s="18" customFormat="1" ht="13.2">
      <c r="A29" s="18">
        <f t="shared" si="1"/>
        <v>19</v>
      </c>
      <c r="B29" s="29">
        <v>44395</v>
      </c>
      <c r="C29" s="12">
        <v>0</v>
      </c>
      <c r="D29" s="12">
        <v>0</v>
      </c>
      <c r="E29" s="12">
        <v>0</v>
      </c>
      <c r="F29" s="12">
        <v>0</v>
      </c>
      <c r="G29" s="12">
        <v>0</v>
      </c>
      <c r="H29" s="12">
        <v>0</v>
      </c>
      <c r="I29" s="12">
        <v>33.793750000000003</v>
      </c>
      <c r="J29" s="12">
        <v>28.793749999999996</v>
      </c>
      <c r="K29" s="12">
        <v>23.793749999999992</v>
      </c>
      <c r="L29" s="12">
        <v>18.793749999999996</v>
      </c>
      <c r="M29" s="12">
        <v>13.793749999999998</v>
      </c>
      <c r="N29" s="12">
        <v>8.9387499999999953</v>
      </c>
      <c r="O29" s="12">
        <v>4.5704166666666657</v>
      </c>
      <c r="P29" s="12">
        <v>1.1762500000000002</v>
      </c>
    </row>
    <row r="30" spans="1:16" ht="13.2">
      <c r="A30">
        <f t="shared" si="1"/>
        <v>20</v>
      </c>
      <c r="B30" s="29">
        <v>44396</v>
      </c>
      <c r="C30" s="12">
        <v>0</v>
      </c>
      <c r="D30" s="12">
        <v>0</v>
      </c>
      <c r="E30" s="12">
        <v>0</v>
      </c>
      <c r="F30" s="12">
        <v>0</v>
      </c>
      <c r="G30" s="12">
        <v>0</v>
      </c>
      <c r="H30" s="12">
        <v>0</v>
      </c>
      <c r="I30" s="12">
        <v>34.527916666666663</v>
      </c>
      <c r="J30" s="12">
        <v>29.527916666666663</v>
      </c>
      <c r="K30" s="12">
        <v>24.52791666666667</v>
      </c>
      <c r="L30" s="12">
        <v>19.52791666666667</v>
      </c>
      <c r="M30" s="12">
        <v>14.52791666666667</v>
      </c>
      <c r="N30" s="12">
        <v>9.5279166666666715</v>
      </c>
      <c r="O30" s="12">
        <v>4.8816666666666704</v>
      </c>
      <c r="P30" s="12">
        <v>1.1941666666666699</v>
      </c>
    </row>
    <row r="31" spans="1:31" ht="13.2">
      <c r="A31">
        <f t="shared" si="1"/>
        <v>21</v>
      </c>
      <c r="B31" s="29">
        <v>44397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34.762083333333329</v>
      </c>
      <c r="J31" s="12">
        <v>29.762083333333329</v>
      </c>
      <c r="K31" s="12">
        <v>24.762083333333329</v>
      </c>
      <c r="L31" s="12">
        <v>19.762083333333329</v>
      </c>
      <c r="M31" s="12">
        <v>14.762083333333331</v>
      </c>
      <c r="N31" s="12">
        <v>9.7620833333333312</v>
      </c>
      <c r="O31" s="12">
        <v>5.069166666666665</v>
      </c>
      <c r="P31" s="12">
        <v>1.3358333333333299</v>
      </c>
      <c r="R31" s="76"/>
      <c r="S31" s="76"/>
      <c r="T31" s="76"/>
      <c r="U31" s="76"/>
      <c r="V31" s="76"/>
      <c r="W31" s="76"/>
      <c r="X31" s="76"/>
      <c r="Y31" s="76"/>
      <c r="Z31" s="76"/>
      <c r="AA31" s="76"/>
      <c r="AB31" s="76"/>
      <c r="AC31" s="76"/>
      <c r="AD31" s="76"/>
      <c r="AE31" s="76"/>
    </row>
    <row r="32" spans="1:16" ht="13.2">
      <c r="A32">
        <f t="shared" si="1"/>
        <v>22</v>
      </c>
      <c r="B32" s="29">
        <v>44398</v>
      </c>
      <c r="C32" s="12">
        <v>0</v>
      </c>
      <c r="D32" s="12">
        <v>0</v>
      </c>
      <c r="E32" s="12">
        <v>0</v>
      </c>
      <c r="F32" s="12">
        <v>0</v>
      </c>
      <c r="G32" s="12">
        <v>0</v>
      </c>
      <c r="H32" s="12">
        <v>0</v>
      </c>
      <c r="I32" s="12">
        <v>35.157916666666665</v>
      </c>
      <c r="J32" s="12">
        <v>30.157916666666665</v>
      </c>
      <c r="K32" s="12">
        <v>25.157916666666672</v>
      </c>
      <c r="L32" s="12">
        <v>20.157916666666672</v>
      </c>
      <c r="M32" s="12">
        <v>15.157916666666671</v>
      </c>
      <c r="N32" s="12">
        <v>10.157916666666669</v>
      </c>
      <c r="O32" s="12">
        <v>5.322500000000006</v>
      </c>
      <c r="P32" s="12">
        <v>1.4445833333333362</v>
      </c>
    </row>
    <row r="33" spans="1:16" ht="13.2">
      <c r="A33">
        <f t="shared" si="1"/>
        <v>23</v>
      </c>
      <c r="B33" s="29">
        <v>44399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35.170000000000002</v>
      </c>
      <c r="J33" s="12">
        <v>30.170000000000005</v>
      </c>
      <c r="K33" s="12">
        <v>25.170000000000002</v>
      </c>
      <c r="L33" s="12">
        <v>20.170000000000002</v>
      </c>
      <c r="M33" s="12">
        <v>15.170000000000002</v>
      </c>
      <c r="N33" s="12">
        <v>10.170000000000002</v>
      </c>
      <c r="O33" s="12">
        <v>5.4354166666666659</v>
      </c>
      <c r="P33" s="12">
        <v>1.5695833333333304</v>
      </c>
    </row>
    <row r="34" spans="1:16" ht="13.2">
      <c r="A34">
        <f t="shared" si="1"/>
        <v>24</v>
      </c>
      <c r="B34" s="29">
        <v>44400</v>
      </c>
      <c r="C34" s="12">
        <v>0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2">
        <v>33.920000000000002</v>
      </c>
      <c r="J34" s="12">
        <v>28.919999999999998</v>
      </c>
      <c r="K34" s="12">
        <v>23.919999999999995</v>
      </c>
      <c r="L34" s="12">
        <v>18.919999999999998</v>
      </c>
      <c r="M34" s="12">
        <v>13.919999999999996</v>
      </c>
      <c r="N34" s="12">
        <v>9.0049999999999955</v>
      </c>
      <c r="O34" s="12">
        <v>4.3991666666666607</v>
      </c>
      <c r="P34" s="12">
        <v>0.99166666666666503</v>
      </c>
    </row>
    <row r="35" spans="1:16" ht="13.2">
      <c r="A35">
        <f t="shared" si="1"/>
        <v>25</v>
      </c>
      <c r="B35" s="29">
        <v>44401</v>
      </c>
      <c r="C35" s="12">
        <v>0</v>
      </c>
      <c r="D35" s="12">
        <v>0</v>
      </c>
      <c r="E35" s="12">
        <v>0</v>
      </c>
      <c r="F35" s="12">
        <v>0</v>
      </c>
      <c r="G35" s="12">
        <v>0</v>
      </c>
      <c r="H35" s="12">
        <v>0</v>
      </c>
      <c r="I35" s="12">
        <v>33.837916666666672</v>
      </c>
      <c r="J35" s="12">
        <v>28.837916666666679</v>
      </c>
      <c r="K35" s="12">
        <v>23.837916666666672</v>
      </c>
      <c r="L35" s="12">
        <v>18.837916666666668</v>
      </c>
      <c r="M35" s="12">
        <v>13.837916666666672</v>
      </c>
      <c r="N35" s="12">
        <v>8.8379166666666684</v>
      </c>
      <c r="O35" s="12">
        <v>4.4154166666666708</v>
      </c>
      <c r="P35" s="12">
        <v>0.87583333333333468</v>
      </c>
    </row>
    <row r="36" spans="1:16" ht="13.2">
      <c r="A36">
        <f t="shared" si="1"/>
        <v>26</v>
      </c>
      <c r="B36" s="29">
        <v>44402</v>
      </c>
      <c r="C36" s="12">
        <v>0</v>
      </c>
      <c r="D36" s="12">
        <v>0</v>
      </c>
      <c r="E36" s="12">
        <v>0</v>
      </c>
      <c r="F36" s="12">
        <v>0</v>
      </c>
      <c r="G36" s="12">
        <v>0</v>
      </c>
      <c r="H36" s="12">
        <v>0</v>
      </c>
      <c r="I36" s="12">
        <v>33.729583333333338</v>
      </c>
      <c r="J36" s="12">
        <v>28.729583333333334</v>
      </c>
      <c r="K36" s="12">
        <v>23.729583333333334</v>
      </c>
      <c r="L36" s="12">
        <v>18.729583333333334</v>
      </c>
      <c r="M36" s="12">
        <v>13.877500000000003</v>
      </c>
      <c r="N36" s="12">
        <v>9.1275000000000013</v>
      </c>
      <c r="O36" s="12">
        <v>4.7600000000000007</v>
      </c>
      <c r="P36" s="12">
        <v>1.1050000000000004</v>
      </c>
    </row>
    <row r="37" spans="1:16" ht="13.2">
      <c r="A37">
        <f t="shared" si="1"/>
        <v>27</v>
      </c>
      <c r="B37" s="29">
        <v>44403</v>
      </c>
      <c r="C37" s="12">
        <v>0</v>
      </c>
      <c r="D37" s="12">
        <v>0</v>
      </c>
      <c r="E37" s="12">
        <v>0</v>
      </c>
      <c r="F37" s="12">
        <v>0</v>
      </c>
      <c r="G37" s="12">
        <v>0</v>
      </c>
      <c r="H37" s="12">
        <v>0</v>
      </c>
      <c r="I37" s="12">
        <v>33.497083333333329</v>
      </c>
      <c r="J37" s="12">
        <v>28.497083333333343</v>
      </c>
      <c r="K37" s="12">
        <v>23.49708333333334</v>
      </c>
      <c r="L37" s="12">
        <v>18.49708333333334</v>
      </c>
      <c r="M37" s="12">
        <v>13.517916666666674</v>
      </c>
      <c r="N37" s="12">
        <v>8.8516666666666701</v>
      </c>
      <c r="O37" s="12">
        <v>4.6266666666666705</v>
      </c>
      <c r="P37" s="12">
        <v>0.99708333333333532</v>
      </c>
    </row>
    <row r="38" spans="1:16" ht="13.2">
      <c r="A38">
        <f t="shared" si="1"/>
        <v>28</v>
      </c>
      <c r="B38" s="29">
        <v>44404</v>
      </c>
      <c r="C38" s="12">
        <v>0</v>
      </c>
      <c r="D38" s="12">
        <v>0</v>
      </c>
      <c r="E38" s="12">
        <v>0</v>
      </c>
      <c r="F38" s="12">
        <v>0</v>
      </c>
      <c r="G38" s="12">
        <v>0</v>
      </c>
      <c r="H38" s="12">
        <v>0</v>
      </c>
      <c r="I38" s="12">
        <v>32.84791666666667</v>
      </c>
      <c r="J38" s="12">
        <v>27.84791666666667</v>
      </c>
      <c r="K38" s="12">
        <v>22.84791666666667</v>
      </c>
      <c r="L38" s="12">
        <v>17.847916666666666</v>
      </c>
      <c r="M38" s="12">
        <v>12.897916666666665</v>
      </c>
      <c r="N38" s="12">
        <v>8.4079166666666687</v>
      </c>
      <c r="O38" s="12">
        <v>4.3945833333333315</v>
      </c>
      <c r="P38" s="12">
        <v>1.1391666666666658</v>
      </c>
    </row>
    <row r="39" spans="1:16" ht="13.2">
      <c r="A39">
        <f t="shared" si="1"/>
        <v>29</v>
      </c>
      <c r="B39" s="29">
        <v>44405</v>
      </c>
      <c r="C39" s="12">
        <v>0</v>
      </c>
      <c r="D39" s="12">
        <v>0</v>
      </c>
      <c r="E39" s="12">
        <v>0</v>
      </c>
      <c r="F39" s="12">
        <v>0</v>
      </c>
      <c r="G39" s="12">
        <v>0</v>
      </c>
      <c r="H39" s="12">
        <v>0</v>
      </c>
      <c r="I39" s="12">
        <v>33.102916666666658</v>
      </c>
      <c r="J39" s="12">
        <v>28.102916666666651</v>
      </c>
      <c r="K39" s="12">
        <v>23.102916666666658</v>
      </c>
      <c r="L39" s="12">
        <v>18.102916666666658</v>
      </c>
      <c r="M39" s="12">
        <v>13.115416666666658</v>
      </c>
      <c r="N39" s="12">
        <v>8.4237499999999947</v>
      </c>
      <c r="O39" s="12">
        <v>4.0833333333333304</v>
      </c>
      <c r="P39" s="12">
        <v>1.0812500000000007</v>
      </c>
    </row>
    <row r="40" spans="1:16" ht="13.2">
      <c r="A40">
        <f t="shared" si="1"/>
        <v>30</v>
      </c>
      <c r="B40" s="29">
        <v>44406</v>
      </c>
      <c r="C40" s="12">
        <v>0</v>
      </c>
      <c r="D40" s="12">
        <v>0</v>
      </c>
      <c r="E40" s="12">
        <v>0</v>
      </c>
      <c r="F40" s="12">
        <v>0</v>
      </c>
      <c r="G40" s="12">
        <v>0</v>
      </c>
      <c r="H40" s="12">
        <v>0</v>
      </c>
      <c r="I40" s="12">
        <v>33.460416666666674</v>
      </c>
      <c r="J40" s="12">
        <v>28.460416666666674</v>
      </c>
      <c r="K40" s="12">
        <v>23.460416666666671</v>
      </c>
      <c r="L40" s="12">
        <v>18.460416666666667</v>
      </c>
      <c r="M40" s="12">
        <v>13.460416666666665</v>
      </c>
      <c r="N40" s="12">
        <v>8.4604166666666654</v>
      </c>
      <c r="O40" s="12">
        <v>4.2595833333333362</v>
      </c>
      <c r="P40" s="12">
        <v>1.2816666666666656</v>
      </c>
    </row>
    <row r="41" spans="1:16" ht="13.2">
      <c r="A41">
        <f t="shared" si="1"/>
        <v>31</v>
      </c>
      <c r="B41" s="29">
        <v>44407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33.659583333333337</v>
      </c>
      <c r="J41" s="12">
        <v>28.65958333333333</v>
      </c>
      <c r="K41" s="12">
        <v>23.65958333333333</v>
      </c>
      <c r="L41" s="12">
        <v>18.65958333333333</v>
      </c>
      <c r="M41" s="12">
        <v>13.65958333333333</v>
      </c>
      <c r="N41" s="12">
        <v>8.6595833333333285</v>
      </c>
      <c r="O41" s="12">
        <v>4.4225000000000003</v>
      </c>
      <c r="P41" s="12">
        <v>1.1920833333333356</v>
      </c>
    </row>
    <row r="42" spans="1:16" ht="13.8" thickBot="1">
      <c r="A42">
        <f>+A41+1</f>
        <v>32</v>
      </c>
      <c r="B42" s="29">
        <v>44408</v>
      </c>
      <c r="C42" s="12">
        <v>0</v>
      </c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2">
        <v>33.879166666666656</v>
      </c>
      <c r="J42" s="12">
        <v>28.879166666666656</v>
      </c>
      <c r="K42" s="12">
        <v>23.879166666666656</v>
      </c>
      <c r="L42" s="12">
        <v>18.879166666666663</v>
      </c>
      <c r="M42" s="12">
        <v>13.879166666666659</v>
      </c>
      <c r="N42" s="12">
        <v>8.9091666666666605</v>
      </c>
      <c r="O42" s="12">
        <v>4.5412499999999962</v>
      </c>
      <c r="P42" s="12">
        <v>1.4650000000000005</v>
      </c>
    </row>
    <row r="43" spans="2:16" ht="13.2">
      <c r="B43" s="23" t="s">
        <v>59</v>
      </c>
      <c r="C43" s="24">
        <f>SUM(C12:C42)</f>
        <v>0</v>
      </c>
      <c r="D43" s="24">
        <f>SUM(D12:D42)</f>
        <v>0</v>
      </c>
      <c r="E43" s="24">
        <f>SUM(E12:E42)</f>
        <v>0</v>
      </c>
      <c r="F43" s="24">
        <f t="shared" si="2" ref="F43:O43">SUM(F12:F42)</f>
        <v>0</v>
      </c>
      <c r="G43" s="24">
        <f t="shared" si="2"/>
        <v>0</v>
      </c>
      <c r="H43" s="24">
        <f t="shared" si="2"/>
        <v>0</v>
      </c>
      <c r="I43" s="24">
        <f t="shared" si="2"/>
        <v>1032.4404166666666</v>
      </c>
      <c r="J43" s="24">
        <f t="shared" si="2"/>
        <v>877.44041666666658</v>
      </c>
      <c r="K43" s="24">
        <f t="shared" si="2"/>
        <v>722.44041666666669</v>
      </c>
      <c r="L43" s="24">
        <f t="shared" si="2"/>
        <v>567.44041666666681</v>
      </c>
      <c r="M43" s="24">
        <f t="shared" si="2"/>
        <v>412.88166666666672</v>
      </c>
      <c r="N43" s="24">
        <f t="shared" si="2"/>
        <v>260.95874999999995</v>
      </c>
      <c r="O43" s="24">
        <f t="shared" si="2"/>
        <v>125.49208333333334</v>
      </c>
      <c r="P43" s="56">
        <f t="shared" si="3" ref="P43">SUM(P12:P42)</f>
        <v>32.819166666666682</v>
      </c>
    </row>
    <row r="45" spans="3:16" ht="13.2">
      <c r="C45" s="72"/>
      <c r="D45" s="72"/>
      <c r="E45" s="73"/>
      <c r="F45" s="73"/>
      <c r="G45" s="73"/>
      <c r="H45" s="73"/>
      <c r="I45" s="73"/>
      <c r="J45" s="73"/>
      <c r="K45" s="73"/>
      <c r="L45" s="73"/>
      <c r="M45" s="73"/>
      <c r="N45" s="73"/>
      <c r="O45" s="73"/>
      <c r="P45" s="73"/>
    </row>
    <row r="46" spans="3:16" ht="13.2">
      <c r="C46" s="75"/>
      <c r="D46" s="75"/>
      <c r="E46" s="75"/>
      <c r="F46" s="75"/>
      <c r="G46" s="75"/>
      <c r="H46" s="75"/>
      <c r="I46" s="75"/>
      <c r="J46" s="75"/>
      <c r="K46" s="75"/>
      <c r="L46" s="75"/>
      <c r="M46" s="75"/>
      <c r="N46" s="75"/>
      <c r="O46" s="75"/>
      <c r="P46" s="75"/>
    </row>
  </sheetData>
  <mergeCells count="6">
    <mergeCell ref="B8:P8"/>
    <mergeCell ref="B1:P1"/>
    <mergeCell ref="B2:P2"/>
    <mergeCell ref="B3:P3"/>
    <mergeCell ref="B4:P4"/>
    <mergeCell ref="B6:P6"/>
  </mergeCells>
  <pageMargins left="0.75" right="0.75" top="1" bottom="1" header="0.5" footer="0.5"/>
  <pageSetup orientation="portrait" scale="68" r:id="rId1"/>
  <headerFooter alignWithMargins="0">
    <oddHeader>&amp;RSchedule II-H-5.1
Page &amp;P of  28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15.0300</AppVers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Base35</vt:lpstr>
      <vt:lpstr>Base40h</vt:lpstr>
      <vt:lpstr>Base45h</vt:lpstr>
      <vt:lpstr>Base50h</vt:lpstr>
      <vt:lpstr>Base55h</vt:lpstr>
      <vt:lpstr>Base60h</vt:lpstr>
      <vt:lpstr>Base65h</vt:lpstr>
      <vt:lpstr>Base50c</vt:lpstr>
      <vt:lpstr>Base55c</vt:lpstr>
      <vt:lpstr>Base60c</vt:lpstr>
      <vt:lpstr>Base65c</vt:lpstr>
      <vt:lpstr>Base70c</vt:lpstr>
      <vt:lpstr>Base75c</vt:lpstr>
      <vt:lpstr>Base80c</vt:lpstr>
      <vt:lpstr>Base85c</vt:lpstr>
      <vt:lpstr>Abilene (AE) Jan 2020</vt:lpstr>
      <vt:lpstr>Abilene (AE) Jul 2020</vt:lpstr>
      <vt:lpstr>Abilene (AE) Jan 2021</vt:lpstr>
      <vt:lpstr>Abilene (AE) Jul 2021</vt:lpstr>
      <vt:lpstr>January 21 20 bySite</vt:lpstr>
      <vt:lpstr>July 20 20 bySite</vt:lpstr>
      <vt:lpstr>January 14 21 bySite</vt:lpstr>
      <vt:lpstr>July 14 21 bySite</vt:lpstr>
      <vt:lpstr>Abilene Simple Averages</vt:lpstr>
      <vt:lpstr>Abilene Simple Averages2</vt:lpstr>
      <vt:lpstr>Abilene January Normal</vt:lpstr>
      <vt:lpstr>Abilene July Normal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