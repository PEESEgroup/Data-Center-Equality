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240" yWindow="96" windowWidth="11352" windowHeight="5388" activeTab="0"/>
  </bookViews>
  <sheets>
    <sheet name="SECGT10 Seasonal Weights" sheetId="4" r:id="rId2"/>
    <sheet name="SECGT10 Monthly Weather Weights" sheetId="1" r:id="rId3"/>
    <sheet name="SECGT10 Weights by Year (18-20)" sheetId="3" r:id="rId4"/>
    <sheet name="SECGT10 Sales by Year (18-20)" sheetId="2" r:id="rId5"/>
  </sheets>
  <externalReferences>
    <externalReference r:id="rId8"/>
    <externalReference r:id="rId9"/>
    <externalReference r:id="rId10"/>
  </externalReferences>
  <definedNames>
    <definedName name="_xlnm.Database">#REF!</definedName>
    <definedName name="HOURLY">[1]HOURLY!$A$1:$G$745</definedName>
    <definedName name="OLE_LINK2" localSheetId="0">'SECGT10 Seasonal Weights'!$B$24</definedName>
    <definedName name="_xlnm.Print_Area" localSheetId="3">'SECGT10 Sales by Year (18-20)'!$A$1:$P$64</definedName>
    <definedName name="_xlnm.Print_Area" localSheetId="0">'SECGT10 Seasonal Weights'!$A$1:$P$36</definedName>
    <definedName name="_xlnm.Print_Area" localSheetId="2">'SECGT10 Weights by Year (18-20)'!$A$1:$P$64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F36" i="4" l="1"/>
</calcChain>
</file>

<file path=xl/sharedStrings.xml><?xml version="1.0" encoding="utf-8"?>
<sst xmlns="http://schemas.openxmlformats.org/spreadsheetml/2006/main" count="242" uniqueCount="50">
  <si>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</si>
  <si>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</si>
  <si>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</si>
  <si>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</si>
  <si>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</si>
  <si>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</si>
  <si>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</si>
  <si>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</si>
  <si>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</si>
  <si>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</si>
  <si>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</si>
  <si>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</si>
  <si>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</si>
  <si>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</si>
  <si>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</si>
  <si>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</si>
  <si>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</si>
  <si>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</si>
  <si>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</si>
  <si>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</si>
  <si>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</si>
  <si>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</si>
  <si>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</si>
  <si>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</si>
  <si>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</si>
  <si>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</si>
  <si>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</si>
  <si>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</si>
  <si>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</si>
  <si>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</si>
  <si>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</si>
  <si>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</si>
  <si>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</si>
  <si>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</si>
  <si>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</si>
  <si>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</si>
  <si>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</si>
  <si>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</si>
  <si>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</si>
  <si>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</si>
  <si>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</si>
  <si>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</si>
  <si>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SECONDARY SERVICE GREATER THAN 10 KW MONTHLY WEIGHTS</t>
  </si>
  <si>
    <t>SECONDARY SERVICE GREATER THAN 10 KW WEIGHTS BY YEAR</t>
  </si>
  <si>
    <t>SECONDARY SERVICEGREATER THAN 10 KW SALES BY YEAR</t>
  </si>
  <si>
    <t>Sherman-Denison</t>
  </si>
  <si>
    <t>HDD</t>
  </si>
  <si>
    <t>CDD</t>
  </si>
  <si>
    <t>Denison</t>
  </si>
  <si>
    <t>FOR THE TEST YEAR ENDING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</si>
</sst>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 val="single"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thin">
        <color auto="1"/>
      </top>
      <bottom/>
    </border>
    <border>
      <left/>
      <right/>
      <top style="thick">
        <color auto="1"/>
      </top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0" fontId="2" fillId="0" borderId="0" applyNumberFormat="0" applyFill="0" applyBorder="0" applyAlignment="0" applyProtection="0"/>
  </cellStyleXfs>
  <cellXfs count="74"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64" fontId="8" fillId="0" borderId="0" xfId="15" applyNumberFormat="1" applyFont="1" applyBorder="1" applyAlignment="1" applyProtection="1">
      <alignment horizontal="righ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Protection="1">
      <protection locked="0"/>
    </xf>
    <xf numFmtId="164" fontId="8" fillId="0" borderId="1" xfId="0" applyNumberFormat="1" applyFont="1" applyFill="1" applyBorder="1" applyProtection="1">
      <protection locked="0"/>
    </xf>
    <xf numFmtId="164" fontId="8" fillId="0" borderId="0" xfId="15" applyNumberFormat="1" applyFont="1" applyFill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3" fontId="8" fillId="0" borderId="0" xfId="0" applyNumberFormat="1" applyFont="1" applyFill="1" applyBorder="1" applyAlignment="1" applyProtection="1">
      <alignment/>
      <protection locked="0"/>
    </xf>
    <xf numFmtId="164" fontId="8" fillId="0" borderId="0" xfId="0" applyNumberFormat="1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/>
      <protection locked="0"/>
    </xf>
    <xf numFmtId="0" fontId="7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/>
    <xf numFmtId="0" fontId="7" fillId="0" borderId="0" xfId="0" applyFont="1" applyAlignment="1" applyProtection="1">
      <alignment/>
      <protection locked="0"/>
    </xf>
    <xf numFmtId="0" fontId="0" fillId="0" borderId="0" xfId="0" applyAlignment="1" quotePrefix="1">
      <alignment horizontal="center"/>
    </xf>
    <xf numFmtId="0" fontId="5" fillId="0" borderId="0" xfId="0" applyFont="1" applyAlignment="1">
      <alignment horizontal="center"/>
    </xf>
    <xf numFmtId="165" fontId="8" fillId="0" borderId="2" xfId="21" applyNumberFormat="1" applyFont="1" applyBorder="1" applyAlignment="1">
      <alignment horizontal="right" vertical="center" wrapText="1"/>
      <protection/>
    </xf>
    <xf numFmtId="165" fontId="8" fillId="0" borderId="3" xfId="21" applyNumberFormat="1" applyFont="1" applyBorder="1" applyAlignment="1">
      <alignment horizontal="right" vertical="center" wrapText="1"/>
      <protection/>
    </xf>
    <xf numFmtId="165" fontId="8" fillId="0" borderId="4" xfId="21" applyNumberFormat="1" applyFont="1" applyBorder="1" applyAlignment="1">
      <alignment horizontal="right" vertical="center" wrapText="1"/>
      <protection/>
    </xf>
    <xf numFmtId="0" fontId="8" fillId="0" borderId="5" xfId="21" applyFont="1" applyBorder="1" applyAlignment="1">
      <alignment horizontal="right" vertical="center" wrapText="1"/>
      <protection/>
    </xf>
    <xf numFmtId="0" fontId="7" fillId="0" borderId="0" xfId="0" applyFont="1" applyAlignment="1" applyProtection="1">
      <alignment horizontal="center"/>
      <protection locked="0"/>
    </xf>
    <xf numFmtId="0" fontId="2" fillId="0" borderId="0" xfId="20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2" fillId="0" borderId="0" xfId="20" applyFont="1" applyProtection="1">
      <alignment/>
      <protection locked="0"/>
    </xf>
    <xf numFmtId="0" fontId="2" fillId="0" borderId="0" xfId="20">
      <alignment/>
      <protection/>
    </xf>
    <xf numFmtId="0" fontId="2" fillId="0" borderId="0" xfId="20" applyFont="1" applyAlignment="1" applyProtection="1">
      <alignment/>
      <protection locked="0"/>
    </xf>
    <xf numFmtId="0" fontId="2" fillId="0" borderId="0" xfId="20" applyAlignment="1" quotePrefix="1">
      <alignment horizontal="center"/>
      <protection/>
    </xf>
    <xf numFmtId="0" fontId="5" fillId="0" borderId="0" xfId="20" applyFont="1" applyAlignment="1">
      <alignment horizontal="center"/>
      <protection/>
    </xf>
    <xf numFmtId="165" fontId="6" fillId="0" borderId="2" xfId="22" applyNumberFormat="1" applyFont="1" applyBorder="1" applyAlignment="1" applyProtection="1">
      <alignment horizontal="right" vertical="center" wrapText="1"/>
      <protection locked="0"/>
    </xf>
    <xf numFmtId="0" fontId="6" fillId="0" borderId="0" xfId="22" applyFont="1" applyBorder="1" applyAlignment="1" applyProtection="1">
      <alignment horizontal="right"/>
      <protection locked="0"/>
    </xf>
    <xf numFmtId="165" fontId="6" fillId="0" borderId="3" xfId="22" applyNumberFormat="1" applyFont="1" applyBorder="1" applyAlignment="1" applyProtection="1">
      <alignment horizontal="right" vertical="center" wrapText="1"/>
      <protection locked="0"/>
    </xf>
    <xf numFmtId="165" fontId="6" fillId="0" borderId="4" xfId="22" applyNumberFormat="1" applyFont="1" applyBorder="1" applyAlignment="1" applyProtection="1">
      <alignment horizontal="right" vertical="center" wrapText="1"/>
      <protection locked="0"/>
    </xf>
    <xf numFmtId="0" fontId="6" fillId="0" borderId="5" xfId="22" applyFont="1" applyBorder="1" applyAlignment="1" applyProtection="1">
      <alignment horizontal="right" vertical="center" wrapText="1"/>
      <protection locked="0"/>
    </xf>
    <xf numFmtId="0" fontId="2" fillId="0" borderId="0" xfId="20" applyFont="1" applyAlignment="1" applyProtection="1">
      <alignment horizontal="right"/>
      <protection locked="0"/>
    </xf>
    <xf numFmtId="0" fontId="2" fillId="0" borderId="0" xfId="20" applyFont="1" applyAlignment="1" applyProtection="1">
      <alignment horizontal="center"/>
      <protection locked="0"/>
    </xf>
    <xf numFmtId="0" fontId="6" fillId="0" borderId="0" xfId="22" applyFont="1" applyFill="1" applyBorder="1" applyAlignment="1" applyProtection="1">
      <alignment horizontal="center"/>
      <protection locked="0"/>
    </xf>
    <xf numFmtId="164" fontId="6" fillId="0" borderId="0" xfId="22" applyNumberFormat="1" applyFont="1" applyFill="1" applyProtection="1">
      <alignment/>
      <protection locked="0"/>
    </xf>
    <xf numFmtId="164" fontId="6" fillId="0" borderId="1" xfId="22" applyNumberFormat="1" applyFont="1" applyFill="1" applyBorder="1" applyProtection="1">
      <alignment/>
      <protection locked="0"/>
    </xf>
    <xf numFmtId="164" fontId="6" fillId="0" borderId="0" xfId="23" applyNumberFormat="1" applyFont="1" applyFill="1" applyBorder="1" applyAlignment="1" applyProtection="1">
      <alignment horizontal="right"/>
      <protection locked="0"/>
    </xf>
    <xf numFmtId="164" fontId="2" fillId="0" borderId="0" xfId="20" applyNumberFormat="1" applyFont="1" applyProtection="1">
      <alignment/>
      <protection locked="0"/>
    </xf>
    <xf numFmtId="164" fontId="7" fillId="0" borderId="0" xfId="15" applyNumberFormat="1" applyFont="1" applyProtection="1">
      <protection locked="0"/>
    </xf>
    <xf numFmtId="10" fontId="2" fillId="0" borderId="0" xfId="20" applyNumberFormat="1" applyFont="1" applyProtection="1">
      <alignment/>
      <protection locked="0"/>
    </xf>
    <xf numFmtId="0" fontId="2" fillId="0" borderId="1" xfId="20" applyFont="1" applyBorder="1" applyProtection="1">
      <alignment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3" fontId="8" fillId="0" borderId="6" xfId="0" applyNumberFormat="1" applyFont="1" applyFill="1" applyBorder="1" applyAlignment="1" applyProtection="1">
      <alignment/>
      <protection locked="0"/>
    </xf>
    <xf numFmtId="3" fontId="8" fillId="0" borderId="7" xfId="0" applyNumberFormat="1" applyFont="1" applyFill="1" applyBorder="1" applyAlignment="1" applyProtection="1">
      <alignment/>
      <protection locked="0"/>
    </xf>
    <xf numFmtId="3" fontId="8" fillId="0" borderId="8" xfId="0" applyNumberFormat="1" applyFont="1" applyFill="1" applyBorder="1" applyAlignment="1" applyProtection="1">
      <alignment/>
      <protection locked="0"/>
    </xf>
    <xf numFmtId="3" fontId="8" fillId="0" borderId="9" xfId="0" applyNumberFormat="1" applyFont="1" applyFill="1" applyBorder="1" applyAlignment="1" applyProtection="1">
      <alignment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3" fontId="8" fillId="0" borderId="10" xfId="0" applyNumberFormat="1" applyFont="1" applyFill="1" applyBorder="1" applyAlignment="1" applyProtection="1">
      <alignment/>
      <protection locked="0"/>
    </xf>
    <xf numFmtId="3" fontId="8" fillId="0" borderId="11" xfId="0" applyNumberFormat="1" applyFont="1" applyFill="1" applyBorder="1" applyAlignment="1" applyProtection="1">
      <alignment/>
      <protection locked="0"/>
    </xf>
    <xf numFmtId="0" fontId="8" fillId="0" borderId="6" xfId="0" applyFont="1" applyBorder="1" applyAlignment="1" applyProtection="1">
      <alignment horizontal="center"/>
      <protection locked="0"/>
    </xf>
    <xf numFmtId="164" fontId="8" fillId="0" borderId="6" xfId="15" applyNumberFormat="1" applyFont="1" applyBorder="1" applyAlignment="1" applyProtection="1">
      <alignment horizontal="right"/>
      <protection locked="0"/>
    </xf>
    <xf numFmtId="164" fontId="8" fillId="0" borderId="7" xfId="15" applyNumberFormat="1" applyFont="1" applyBorder="1" applyAlignment="1" applyProtection="1">
      <alignment horizontal="right"/>
      <protection locked="0"/>
    </xf>
    <xf numFmtId="164" fontId="8" fillId="0" borderId="8" xfId="15" applyNumberFormat="1" applyFont="1" applyBorder="1" applyAlignment="1" applyProtection="1">
      <alignment horizontal="right"/>
      <protection locked="0"/>
    </xf>
    <xf numFmtId="164" fontId="8" fillId="0" borderId="9" xfId="15" applyNumberFormat="1" applyFont="1" applyBorder="1" applyAlignment="1" applyProtection="1">
      <alignment horizontal="right"/>
      <protection locked="0"/>
    </xf>
    <xf numFmtId="164" fontId="2" fillId="0" borderId="12" xfId="20" applyNumberFormat="1" applyFont="1" applyBorder="1" applyProtection="1">
      <alignment/>
      <protection locked="0"/>
    </xf>
    <xf numFmtId="0" fontId="8" fillId="0" borderId="13" xfId="0" applyFont="1" applyBorder="1" applyAlignment="1" applyProtection="1">
      <alignment horizontal="center"/>
      <protection locked="0"/>
    </xf>
    <xf numFmtId="164" fontId="8" fillId="0" borderId="13" xfId="0" applyNumberFormat="1" applyFont="1" applyFill="1" applyBorder="1" applyAlignment="1" applyProtection="1">
      <alignment/>
      <protection locked="0"/>
    </xf>
    <xf numFmtId="0" fontId="4" fillId="0" borderId="3" xfId="20" applyFont="1" applyBorder="1" applyAlignment="1">
      <alignment horizontal="center" wrapText="1"/>
      <protection/>
    </xf>
    <xf numFmtId="0" fontId="4" fillId="0" borderId="4" xfId="20" applyFont="1" applyBorder="1" applyAlignment="1">
      <alignment horizontal="center" wrapText="1"/>
      <protection/>
    </xf>
    <xf numFmtId="0" fontId="2" fillId="0" borderId="5" xfId="20" applyBorder="1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4" fillId="0" borderId="0" xfId="20" applyFont="1" applyAlignment="1">
      <alignment horizontal="center" vertical="center"/>
      <protection/>
    </xf>
    <xf numFmtId="0" fontId="0" fillId="0" borderId="0" xfId="0" applyAlignment="1" applyProtection="1">
      <alignment/>
      <protection locked="0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_System Weather Weights WF" xfId="21"/>
    <cellStyle name="Normal_System Weather Weights WF 2" xfId="22"/>
    <cellStyle name="Percent_System Weather Weights WF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9" Type="http://schemas.openxmlformats.org/officeDocument/2006/relationships/externalLink" Target="externalLinks/externalLink2.xml" /><Relationship Id="rId6" Type="http://schemas.openxmlformats.org/officeDocument/2006/relationships/styles" Target="styles.xml" /><Relationship Id="rId10" Type="http://schemas.openxmlformats.org/officeDocument/2006/relationships/externalLink" Target="externalLinks/externalLink3.xml" /><Relationship Id="rId11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16</xdr:col>
      <xdr:colOff>333375</xdr:colOff>
      <xdr:row>2</xdr:row>
      <xdr:rowOff>66675</xdr:rowOff>
    </xdr:from>
    <xdr:to>
      <xdr:col>16</xdr:col>
      <xdr:colOff>400050</xdr:colOff>
      <xdr:row>5</xdr:row>
      <xdr:rowOff>0</xdr:rowOff>
    </xdr:to>
    <xdr:sp macro="">
      <xdr:nvSpPr>
        <xdr:cNvPr id="2102" name="Text Box 1"/>
        <xdr:cNvSpPr txBox="1">
          <a:spLocks noChangeArrowheads="1"/>
        </xdr:cNvSpPr>
      </xdr:nvSpPr>
      <xdr:spPr bwMode="auto">
        <a:xfrm>
          <a:off x="10334625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36"/>
  <sheetViews>
    <sheetView tabSelected="1"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29" customWidth="1"/>
    <col min="2" max="2" width="16.8571428571429" style="29" customWidth="1"/>
    <col min="3" max="3" width="4.42857142857143" style="29" bestFit="1" customWidth="1"/>
    <col min="4" max="4" width="9.85714285714286" style="29" bestFit="1" customWidth="1"/>
    <col min="5" max="13" width="9.14285714285714" style="29"/>
    <col min="14" max="14" width="9.71428571428571" style="29" bestFit="1" customWidth="1"/>
    <col min="15" max="15" width="9.14285714285714" style="29"/>
    <col min="16" max="16" width="9.57142857142857" style="29" bestFit="1" customWidth="1"/>
    <col min="17" max="16384" width="9.14285714285714" style="29"/>
  </cols>
  <sheetData>
    <row r="1" spans="1:16" ht="15.6">
      <c r="A1" s="26"/>
      <c r="B1" s="68" t="s">
        <v>10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5.6">
      <c r="A2" s="26"/>
      <c r="B2" s="68" t="s">
        <v>35</v>
      </c>
      <c r="C2" s="68"/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5.6">
      <c r="A3" s="26"/>
      <c r="B3" s="68" t="s">
        <v>39</v>
      </c>
      <c r="C3" s="68"/>
      <c r="D3" s="68"/>
      <c r="E3" s="68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15.6">
      <c r="A4" s="26"/>
      <c r="B4" s="70" t="s">
        <v>49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26"/>
      <c r="B5" s="68"/>
      <c r="C5" s="68"/>
      <c r="D5" s="68"/>
      <c r="E5" s="68"/>
      <c r="F5" s="68"/>
      <c r="G5" s="30"/>
      <c r="H5" s="30"/>
      <c r="I5" s="31"/>
      <c r="J5" s="31"/>
      <c r="K5" s="31"/>
      <c r="L5" s="31"/>
      <c r="M5" s="31"/>
      <c r="N5" s="31"/>
      <c r="O5" s="31"/>
      <c r="P5" s="31"/>
    </row>
    <row r="6" spans="1:16" ht="15.6">
      <c r="A6" s="26"/>
      <c r="B6" s="68" t="s">
        <v>38</v>
      </c>
      <c r="C6" s="68"/>
      <c r="D6" s="68"/>
      <c r="E6" s="68"/>
      <c r="F6" s="68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1:16" ht="15.6">
      <c r="A7" s="26"/>
      <c r="B7" s="27"/>
      <c r="C7" s="27"/>
      <c r="D7" s="27"/>
      <c r="E7" s="27"/>
      <c r="F7" s="27"/>
      <c r="G7" s="28"/>
      <c r="H7" s="28"/>
      <c r="I7" s="31"/>
      <c r="J7" s="31"/>
      <c r="K7" s="31"/>
      <c r="L7" s="31"/>
      <c r="M7" s="31"/>
      <c r="N7" s="31"/>
      <c r="O7" s="31"/>
      <c r="P7" s="31"/>
    </row>
    <row r="8" spans="1:16" ht="15.6">
      <c r="A8" s="26"/>
      <c r="B8" s="72" t="s">
        <v>42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3.2">
      <c r="A9" s="26" t="s">
        <v>12</v>
      </c>
      <c r="B9" s="26" t="s">
        <v>13</v>
      </c>
      <c r="C9" s="26"/>
      <c r="D9" s="32" t="s">
        <v>14</v>
      </c>
      <c r="E9" s="32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2" t="s">
        <v>23</v>
      </c>
      <c r="N9" s="32" t="s">
        <v>24</v>
      </c>
      <c r="O9" s="32" t="s">
        <v>25</v>
      </c>
      <c r="P9" s="32" t="s">
        <v>26</v>
      </c>
    </row>
    <row r="10" spans="1:16" s="39" customFormat="1" ht="13.2">
      <c r="A10" s="33" t="s">
        <v>27</v>
      </c>
      <c r="B10" s="34" t="s">
        <v>28</v>
      </c>
      <c r="C10" s="35"/>
      <c r="D10" s="36">
        <v>36892</v>
      </c>
      <c r="E10" s="37">
        <v>36923</v>
      </c>
      <c r="F10" s="37">
        <v>36951</v>
      </c>
      <c r="G10" s="37">
        <v>36982</v>
      </c>
      <c r="H10" s="37">
        <v>37012</v>
      </c>
      <c r="I10" s="37">
        <v>37043</v>
      </c>
      <c r="J10" s="37">
        <v>37073</v>
      </c>
      <c r="K10" s="37">
        <v>37104</v>
      </c>
      <c r="L10" s="37">
        <v>37135</v>
      </c>
      <c r="M10" s="37">
        <v>37165</v>
      </c>
      <c r="N10" s="37">
        <v>37196</v>
      </c>
      <c r="O10" s="37">
        <v>37226</v>
      </c>
      <c r="P10" s="38" t="s">
        <v>0</v>
      </c>
    </row>
    <row r="11" spans="1:16" ht="13.2">
      <c r="A11" s="40">
        <v>1</v>
      </c>
      <c r="B11" s="30" t="s">
        <v>29</v>
      </c>
      <c r="C11" s="41"/>
      <c r="D11" s="42">
        <f>+'SECGT10 Monthly Weather Weights'!C11</f>
        <v>0.7455269057393189</v>
      </c>
      <c r="E11" s="42">
        <f>+'SECGT10 Monthly Weather Weights'!D11</f>
        <v>0.74153344798441601</v>
      </c>
      <c r="F11" s="42">
        <f>+'SECGT10 Monthly Weather Weights'!E11</f>
        <v>0.74096418132649811</v>
      </c>
      <c r="G11" s="42">
        <f>+'SECGT10 Monthly Weather Weights'!F11</f>
        <v>0.74302555978201812</v>
      </c>
      <c r="H11" s="42">
        <f>+'SECGT10 Monthly Weather Weights'!G11</f>
        <v>0.73915396756081175</v>
      </c>
      <c r="I11" s="42">
        <f>+'SECGT10 Monthly Weather Weights'!H11</f>
        <v>0.73998801003509118</v>
      </c>
      <c r="J11" s="42">
        <f>+'SECGT10 Monthly Weather Weights'!I11</f>
        <v>0.74219827999817478</v>
      </c>
      <c r="K11" s="42">
        <f>+'SECGT10 Monthly Weather Weights'!J11</f>
        <v>0.74106369295742924</v>
      </c>
      <c r="L11" s="42">
        <f>+'SECGT10 Monthly Weather Weights'!K11</f>
        <v>0.73973684926460626</v>
      </c>
      <c r="M11" s="42">
        <f>+'SECGT10 Monthly Weather Weights'!L11</f>
        <v>0.74386641960126454</v>
      </c>
      <c r="N11" s="42">
        <f>+'SECGT10 Monthly Weather Weights'!M11</f>
        <v>0.74005254513814112</v>
      </c>
      <c r="O11" s="42">
        <f>+'SECGT10 Monthly Weather Weights'!N11</f>
        <v>0.73930777675350245</v>
      </c>
      <c r="P11" s="42">
        <f>+'SECGT10 Monthly Weather Weights'!O11</f>
        <v>0.7413642396818545</v>
      </c>
    </row>
    <row r="12" spans="1:16" ht="13.2">
      <c r="A12" s="40">
        <f>+A11+1</f>
        <v>2</v>
      </c>
      <c r="B12" s="30" t="s">
        <v>30</v>
      </c>
      <c r="C12" s="41"/>
      <c r="D12" s="42">
        <f>+'SECGT10 Monthly Weather Weights'!C12</f>
        <v>0.066043750747831823</v>
      </c>
      <c r="E12" s="42">
        <f>+'SECGT10 Monthly Weather Weights'!D12</f>
        <v>0.066793449792545811</v>
      </c>
      <c r="F12" s="42">
        <f>+'SECGT10 Monthly Weather Weights'!E12</f>
        <v>0.068866566913886956</v>
      </c>
      <c r="G12" s="42">
        <f>+'SECGT10 Monthly Weather Weights'!F12</f>
        <v>0.066298382799979738</v>
      </c>
      <c r="H12" s="42">
        <f>+'SECGT10 Monthly Weather Weights'!G12</f>
        <v>0.068585498055469596</v>
      </c>
      <c r="I12" s="42">
        <f>+'SECGT10 Monthly Weather Weights'!H12</f>
        <v>0.064345196745622418</v>
      </c>
      <c r="J12" s="42">
        <f>+'SECGT10 Monthly Weather Weights'!I12</f>
        <v>0.064017833997688761</v>
      </c>
      <c r="K12" s="42">
        <f>+'SECGT10 Monthly Weather Weights'!J12</f>
        <v>0.064223838554646043</v>
      </c>
      <c r="L12" s="42">
        <f>+'SECGT10 Monthly Weather Weights'!K12</f>
        <v>0.062585187514207483</v>
      </c>
      <c r="M12" s="42">
        <f>+'SECGT10 Monthly Weather Weights'!L12</f>
        <v>0.061505553531803682</v>
      </c>
      <c r="N12" s="42">
        <f>+'SECGT10 Monthly Weather Weights'!M12</f>
        <v>0.066744180120871369</v>
      </c>
      <c r="O12" s="42">
        <f>+'SECGT10 Monthly Weather Weights'!N12</f>
        <v>0.070250931869801844</v>
      </c>
      <c r="P12" s="42">
        <f>+'SECGT10 Monthly Weather Weights'!O12</f>
        <v>0.065594631762105851</v>
      </c>
    </row>
    <row r="13" spans="1:16" ht="13.2">
      <c r="A13" s="40">
        <f t="shared" si="0" ref="A13:A36">+A12+1</f>
        <v>3</v>
      </c>
      <c r="B13" s="30" t="s">
        <v>5</v>
      </c>
      <c r="C13" s="41"/>
      <c r="D13" s="42">
        <f>+'SECGT10 Monthly Weather Weights'!C13</f>
        <v>0.023953033601391626</v>
      </c>
      <c r="E13" s="42">
        <f>+'SECGT10 Monthly Weather Weights'!D13</f>
        <v>0.024662487398998244</v>
      </c>
      <c r="F13" s="42">
        <f>+'SECGT10 Monthly Weather Weights'!E13</f>
        <v>0.024329971722722971</v>
      </c>
      <c r="G13" s="42">
        <f>+'SECGT10 Monthly Weather Weights'!F13</f>
        <v>0.025018733142725999</v>
      </c>
      <c r="H13" s="42">
        <f>+'SECGT10 Monthly Weather Weights'!G13</f>
        <v>0.025282669230460048</v>
      </c>
      <c r="I13" s="42">
        <f>+'SECGT10 Monthly Weather Weights'!H13</f>
        <v>0.026001271459916708</v>
      </c>
      <c r="J13" s="42">
        <f>+'SECGT10 Monthly Weather Weights'!I13</f>
        <v>0.025020173333091998</v>
      </c>
      <c r="K13" s="42">
        <f>+'SECGT10 Monthly Weather Weights'!J13</f>
        <v>0.024899328654257893</v>
      </c>
      <c r="L13" s="42">
        <f>+'SECGT10 Monthly Weather Weights'!K13</f>
        <v>0.02542204897371397</v>
      </c>
      <c r="M13" s="42">
        <f>+'SECGT10 Monthly Weather Weights'!L13</f>
        <v>0.025148066914882028</v>
      </c>
      <c r="N13" s="42">
        <f>+'SECGT10 Monthly Weather Weights'!M13</f>
        <v>0.02491401318924422</v>
      </c>
      <c r="O13" s="42">
        <f>+'SECGT10 Monthly Weather Weights'!N13</f>
        <v>0.024178450845073935</v>
      </c>
      <c r="P13" s="42">
        <f>+'SECGT10 Monthly Weather Weights'!O13</f>
        <v>0.02493312962464804</v>
      </c>
    </row>
    <row r="14" spans="1:16" ht="13.2">
      <c r="A14" s="40">
        <f t="shared" si="0"/>
        <v>4</v>
      </c>
      <c r="B14" s="30" t="s">
        <v>9</v>
      </c>
      <c r="C14" s="41"/>
      <c r="D14" s="42">
        <f>+'SECGT10 Monthly Weather Weights'!C14</f>
        <v>0.012101425929197534</v>
      </c>
      <c r="E14" s="42">
        <f>+'SECGT10 Monthly Weather Weights'!D14</f>
        <v>0.01205290394778932</v>
      </c>
      <c r="F14" s="42">
        <f>+'SECGT10 Monthly Weather Weights'!E14</f>
        <v>0.01145530940027587</v>
      </c>
      <c r="G14" s="42">
        <f>+'SECGT10 Monthly Weather Weights'!F14</f>
        <v>0.011337874708499368</v>
      </c>
      <c r="H14" s="42">
        <f>+'SECGT10 Monthly Weather Weights'!G14</f>
        <v>0.011309752543068881</v>
      </c>
      <c r="I14" s="42">
        <f>+'SECGT10 Monthly Weather Weights'!H14</f>
        <v>0.011395411290296031</v>
      </c>
      <c r="J14" s="42">
        <f>+'SECGT10 Monthly Weather Weights'!I14</f>
        <v>0.011711666253967868</v>
      </c>
      <c r="K14" s="42">
        <f>+'SECGT10 Monthly Weather Weights'!J14</f>
        <v>0.011923686684838316</v>
      </c>
      <c r="L14" s="42">
        <f>+'SECGT10 Monthly Weather Weights'!K14</f>
        <v>0.011697951820130757</v>
      </c>
      <c r="M14" s="42">
        <f>+'SECGT10 Monthly Weather Weights'!L14</f>
        <v>0.010829064109976441</v>
      </c>
      <c r="N14" s="42">
        <f>+'SECGT10 Monthly Weather Weights'!M14</f>
        <v>0.01139897377573793</v>
      </c>
      <c r="O14" s="42">
        <f>+'SECGT10 Monthly Weather Weights'!N14</f>
        <v>0.011505233870969404</v>
      </c>
      <c r="P14" s="42">
        <f>+'SECGT10 Monthly Weather Weights'!O14</f>
        <v>0.011568419846469768</v>
      </c>
    </row>
    <row r="15" spans="1:16" ht="13.2">
      <c r="A15" s="40">
        <f t="shared" si="0"/>
        <v>5</v>
      </c>
      <c r="B15" s="30" t="s">
        <v>45</v>
      </c>
      <c r="C15" s="41"/>
      <c r="D15" s="42">
        <f>+'SECGT10 Monthly Weather Weights'!C15</f>
        <v>0.024012627723580263</v>
      </c>
      <c r="E15" s="42">
        <f>+'SECGT10 Monthly Weather Weights'!D15</f>
        <v>0.024553924170976738</v>
      </c>
      <c r="F15" s="42">
        <f>+'SECGT10 Monthly Weather Weights'!E15</f>
        <v>0.024123747915787905</v>
      </c>
      <c r="G15" s="42">
        <f>+'SECGT10 Monthly Weather Weights'!F15</f>
        <v>0.023995123772134367</v>
      </c>
      <c r="H15" s="42">
        <f>+'SECGT10 Monthly Weather Weights'!G15</f>
        <v>0.023672115622031698</v>
      </c>
      <c r="I15" s="42">
        <f>+'SECGT10 Monthly Weather Weights'!H15</f>
        <v>0.023556244157346758</v>
      </c>
      <c r="J15" s="42">
        <f>+'SECGT10 Monthly Weather Weights'!I15</f>
        <v>0.023693415641611908</v>
      </c>
      <c r="K15" s="42">
        <f>+'SECGT10 Monthly Weather Weights'!J15</f>
        <v>0.024092846288954823</v>
      </c>
      <c r="L15" s="42">
        <f>+'SECGT10 Monthly Weather Weights'!K15</f>
        <v>0.02410534146488896</v>
      </c>
      <c r="M15" s="42">
        <f>+'SECGT10 Monthly Weather Weights'!L15</f>
        <v>0.023809813900458009</v>
      </c>
      <c r="N15" s="42">
        <f>+'SECGT10 Monthly Weather Weights'!M15</f>
        <v>0.023799870034683465</v>
      </c>
      <c r="O15" s="42">
        <f>+'SECGT10 Monthly Weather Weights'!N15</f>
        <v>0.024029180162727721</v>
      </c>
      <c r="P15" s="42">
        <f>+'SECGT10 Monthly Weather Weights'!O15</f>
        <v>0.023949324240679731</v>
      </c>
    </row>
    <row r="16" spans="1:16" ht="13.2">
      <c r="A16" s="40">
        <f t="shared" si="0"/>
        <v>6</v>
      </c>
      <c r="B16" s="30" t="s">
        <v>31</v>
      </c>
      <c r="C16" s="41"/>
      <c r="D16" s="42">
        <f>+'SECGT10 Monthly Weather Weights'!C16</f>
        <v>0.026053193814703224</v>
      </c>
      <c r="E16" s="42">
        <f>+'SECGT10 Monthly Weather Weights'!D16</f>
        <v>0.026280249196006165</v>
      </c>
      <c r="F16" s="42">
        <f>+'SECGT10 Monthly Weather Weights'!E16</f>
        <v>0.026216849694386864</v>
      </c>
      <c r="G16" s="42">
        <f>+'SECGT10 Monthly Weather Weights'!F16</f>
        <v>0.026140088743876678</v>
      </c>
      <c r="H16" s="42">
        <f>+'SECGT10 Monthly Weather Weights'!G16</f>
        <v>0.026454499375097175</v>
      </c>
      <c r="I16" s="42">
        <f>+'SECGT10 Monthly Weather Weights'!H16</f>
        <v>0.027186127459384618</v>
      </c>
      <c r="J16" s="42">
        <f>+'SECGT10 Monthly Weather Weights'!I16</f>
        <v>0.026890049807679596</v>
      </c>
      <c r="K16" s="42">
        <f>+'SECGT10 Monthly Weather Weights'!J16</f>
        <v>0.026900894459351024</v>
      </c>
      <c r="L16" s="42">
        <f>+'SECGT10 Monthly Weather Weights'!K16</f>
        <v>0.027665437011636755</v>
      </c>
      <c r="M16" s="42">
        <f>+'SECGT10 Monthly Weather Weights'!L16</f>
        <v>0.027287705116440974</v>
      </c>
      <c r="N16" s="42">
        <f>+'SECGT10 Monthly Weather Weights'!M16</f>
        <v>0.026926175777508714</v>
      </c>
      <c r="O16" s="42">
        <f>+'SECGT10 Monthly Weather Weights'!N16</f>
        <v>0.026651586665626236</v>
      </c>
      <c r="P16" s="42">
        <f>+'SECGT10 Monthly Weather Weights'!O16</f>
        <v>0.026768723305546093</v>
      </c>
    </row>
    <row r="17" spans="1:16" ht="13.2">
      <c r="A17" s="40">
        <f t="shared" si="0"/>
        <v>7</v>
      </c>
      <c r="B17" s="30" t="s">
        <v>3</v>
      </c>
      <c r="C17" s="41"/>
      <c r="D17" s="42">
        <f>+'SECGT10 Monthly Weather Weights'!C17</f>
        <v>0.032013122997715755</v>
      </c>
      <c r="E17" s="42">
        <f>+'SECGT10 Monthly Weather Weights'!D17</f>
        <v>0.032544374549329576</v>
      </c>
      <c r="F17" s="42">
        <f>+'SECGT10 Monthly Weather Weights'!E17</f>
        <v>0.032828373090107575</v>
      </c>
      <c r="G17" s="42">
        <f>+'SECGT10 Monthly Weather Weights'!F17</f>
        <v>0.032679163024454137</v>
      </c>
      <c r="H17" s="42">
        <f>+'SECGT10 Monthly Weather Weights'!G17</f>
        <v>0.03303635472182348</v>
      </c>
      <c r="I17" s="42">
        <f>+'SECGT10 Monthly Weather Weights'!H17</f>
        <v>0.033837913756144262</v>
      </c>
      <c r="J17" s="42">
        <f>+'SECGT10 Monthly Weather Weights'!I17</f>
        <v>0.033421466637554464</v>
      </c>
      <c r="K17" s="42">
        <f>+'SECGT10 Monthly Weather Weights'!J17</f>
        <v>0.033803454002396698</v>
      </c>
      <c r="L17" s="42">
        <f>+'SECGT10 Monthly Weather Weights'!K17</f>
        <v>0.034609199337795472</v>
      </c>
      <c r="M17" s="42">
        <f>+'SECGT10 Monthly Weather Weights'!L17</f>
        <v>0.034000192784841246</v>
      </c>
      <c r="N17" s="42">
        <f>+'SECGT10 Monthly Weather Weights'!M17</f>
        <v>0.033479565929361459</v>
      </c>
      <c r="O17" s="42">
        <f>+'SECGT10 Monthly Weather Weights'!N17</f>
        <v>0.032351166892580052</v>
      </c>
      <c r="P17" s="42">
        <f>+'SECGT10 Monthly Weather Weights'!O17</f>
        <v>0.033291601652564735</v>
      </c>
    </row>
    <row r="18" spans="1:16" ht="13.2">
      <c r="A18" s="40">
        <f t="shared" si="0"/>
        <v>8</v>
      </c>
      <c r="B18" s="30" t="s">
        <v>32</v>
      </c>
      <c r="C18" s="41"/>
      <c r="D18" s="42">
        <f>+'SECGT10 Monthly Weather Weights'!C18</f>
        <v>0.014676124209648976</v>
      </c>
      <c r="E18" s="42">
        <f>+'SECGT10 Monthly Weather Weights'!D18</f>
        <v>0.015001919467031964</v>
      </c>
      <c r="F18" s="42">
        <f>+'SECGT10 Monthly Weather Weights'!E18</f>
        <v>0.014789394997023997</v>
      </c>
      <c r="G18" s="42">
        <f>+'SECGT10 Monthly Weather Weights'!F18</f>
        <v>0.01458158978249095</v>
      </c>
      <c r="H18" s="42">
        <f>+'SECGT10 Monthly Weather Weights'!G18</f>
        <v>0.014554372751820406</v>
      </c>
      <c r="I18" s="42">
        <f>+'SECGT10 Monthly Weather Weights'!H18</f>
        <v>0.014841545191615044</v>
      </c>
      <c r="J18" s="42">
        <f>+'SECGT10 Monthly Weather Weights'!I18</f>
        <v>0.015216227199826942</v>
      </c>
      <c r="K18" s="42">
        <f>+'SECGT10 Monthly Weather Weights'!J18</f>
        <v>0.01533151317628639</v>
      </c>
      <c r="L18" s="42">
        <f>+'SECGT10 Monthly Weather Weights'!K18</f>
        <v>0.01532747847535414</v>
      </c>
      <c r="M18" s="42">
        <f>+'SECGT10 Monthly Weather Weights'!L18</f>
        <v>0.014865357760621327</v>
      </c>
      <c r="N18" s="42">
        <f>+'SECGT10 Monthly Weather Weights'!M18</f>
        <v>0.014571949077997358</v>
      </c>
      <c r="O18" s="42">
        <f>+'SECGT10 Monthly Weather Weights'!N18</f>
        <v>0.014365225874191165</v>
      </c>
      <c r="P18" s="42">
        <f>+'SECGT10 Monthly Weather Weights'!O18</f>
        <v>0.014879542353445772</v>
      </c>
    </row>
    <row r="19" spans="1:16" ht="13.2">
      <c r="A19" s="40">
        <f t="shared" si="0"/>
        <v>9</v>
      </c>
      <c r="B19" s="30" t="s">
        <v>8</v>
      </c>
      <c r="C19" s="41"/>
      <c r="D19" s="42">
        <f>+'SECGT10 Monthly Weather Weights'!C19</f>
        <v>0.030281909925480965</v>
      </c>
      <c r="E19" s="42">
        <f>+'SECGT10 Monthly Weather Weights'!D19</f>
        <v>0.030772471615881161</v>
      </c>
      <c r="F19" s="42">
        <f>+'SECGT10 Monthly Weather Weights'!E19</f>
        <v>0.030429795253137996</v>
      </c>
      <c r="G19" s="42">
        <f>+'SECGT10 Monthly Weather Weights'!F19</f>
        <v>0.030506279830719258</v>
      </c>
      <c r="H19" s="42">
        <f>+'SECGT10 Monthly Weather Weights'!G19</f>
        <v>0.031158834511381531</v>
      </c>
      <c r="I19" s="42">
        <f>+'SECGT10 Monthly Weather Weights'!H19</f>
        <v>0.03153909601699157</v>
      </c>
      <c r="J19" s="42">
        <f>+'SECGT10 Monthly Weather Weights'!I19</f>
        <v>0.031544031145575309</v>
      </c>
      <c r="K19" s="42">
        <f>+'SECGT10 Monthly Weather Weights'!J19</f>
        <v>0.031362228969243663</v>
      </c>
      <c r="L19" s="42">
        <f>+'SECGT10 Monthly Weather Weights'!K19</f>
        <v>0.031727101608642387</v>
      </c>
      <c r="M19" s="42">
        <f>+'SECGT10 Monthly Weather Weights'!L19</f>
        <v>0.031473234610709312</v>
      </c>
      <c r="N19" s="42">
        <f>+'SECGT10 Monthly Weather Weights'!M19</f>
        <v>0.030786946097982333</v>
      </c>
      <c r="O19" s="42">
        <f>+'SECGT10 Monthly Weather Weights'!N19</f>
        <v>0.030519769316008496</v>
      </c>
      <c r="P19" s="42">
        <f>+'SECGT10 Monthly Weather Weights'!O19</f>
        <v>0.031062164453623413</v>
      </c>
    </row>
    <row r="20" spans="1:16" ht="13.2">
      <c r="A20" s="40">
        <f t="shared" si="0"/>
        <v>10</v>
      </c>
      <c r="B20" s="30" t="s">
        <v>6</v>
      </c>
      <c r="C20" s="41"/>
      <c r="D20" s="43">
        <f>+'SECGT10 Monthly Weather Weights'!C20</f>
        <v>0.025337905311130865</v>
      </c>
      <c r="E20" s="43">
        <f>+'SECGT10 Monthly Weather Weights'!D20</f>
        <v>0.025804771877024815</v>
      </c>
      <c r="F20" s="43">
        <f>+'SECGT10 Monthly Weather Weights'!E20</f>
        <v>0.025995809686171701</v>
      </c>
      <c r="G20" s="43">
        <f>+'SECGT10 Monthly Weather Weights'!F20</f>
        <v>0.026417204413101452</v>
      </c>
      <c r="H20" s="43">
        <f>+'SECGT10 Monthly Weather Weights'!G20</f>
        <v>0.02679193562803538</v>
      </c>
      <c r="I20" s="43">
        <f>+'SECGT10 Monthly Weather Weights'!H20</f>
        <v>0.027309183887591484</v>
      </c>
      <c r="J20" s="43">
        <f>+'SECGT10 Monthly Weather Weights'!I20</f>
        <v>0.026286855984828477</v>
      </c>
      <c r="K20" s="43">
        <f>+'SECGT10 Monthly Weather Weights'!J20</f>
        <v>0.026398516252595896</v>
      </c>
      <c r="L20" s="43">
        <f>+'SECGT10 Monthly Weather Weights'!K20</f>
        <v>0.02712340452902395</v>
      </c>
      <c r="M20" s="43">
        <f>+'SECGT10 Monthly Weather Weights'!L20</f>
        <v>0.027214591669002561</v>
      </c>
      <c r="N20" s="43">
        <f>+'SECGT10 Monthly Weather Weights'!M20</f>
        <v>0.027325780858472117</v>
      </c>
      <c r="O20" s="43">
        <f>+'SECGT10 Monthly Weather Weights'!N20</f>
        <v>0.026840677749518826</v>
      </c>
      <c r="P20" s="43">
        <f>+'SECGT10 Monthly Weather Weights'!O20</f>
        <v>0.026588223079062112</v>
      </c>
    </row>
    <row r="21" spans="1:16" ht="13.2">
      <c r="A21" s="40">
        <f t="shared" si="0"/>
        <v>11</v>
      </c>
      <c r="C21" s="41"/>
      <c r="D21" s="44">
        <f t="shared" si="1" ref="D21:P21">SUM(D11:D20)</f>
        <v>0.99999999999999989</v>
      </c>
      <c r="E21" s="44">
        <f t="shared" si="1"/>
        <v>0.99999999999999978</v>
      </c>
      <c r="F21" s="44">
        <f t="shared" si="1"/>
        <v>0.99999999999999989</v>
      </c>
      <c r="G21" s="44">
        <f t="shared" si="1"/>
        <v>1</v>
      </c>
      <c r="H21" s="44">
        <f t="shared" si="1"/>
        <v>0.99999999999999978</v>
      </c>
      <c r="I21" s="44">
        <f t="shared" si="1"/>
        <v>1.0000000000000002</v>
      </c>
      <c r="J21" s="44">
        <f t="shared" si="1"/>
        <v>1.0000000000000002</v>
      </c>
      <c r="K21" s="44">
        <f t="shared" si="1"/>
        <v>1</v>
      </c>
      <c r="L21" s="44">
        <f t="shared" si="1"/>
        <v>1</v>
      </c>
      <c r="M21" s="44">
        <f t="shared" si="1"/>
        <v>1</v>
      </c>
      <c r="N21" s="44">
        <f t="shared" si="1"/>
        <v>1</v>
      </c>
      <c r="O21" s="44">
        <f t="shared" si="1"/>
        <v>1.0000000000000002</v>
      </c>
      <c r="P21" s="44">
        <f t="shared" si="1"/>
        <v>1</v>
      </c>
    </row>
    <row r="22" spans="1:1" ht="13.2">
      <c r="A22" s="40">
        <f t="shared" si="0"/>
        <v>12</v>
      </c>
    </row>
    <row r="23" spans="1:10" ht="15.6">
      <c r="A23" s="40">
        <f t="shared" si="0"/>
        <v>13</v>
      </c>
      <c r="D23" s="65" t="s">
        <v>40</v>
      </c>
      <c r="E23" s="66"/>
      <c r="F23" s="67"/>
      <c r="G23" s="27"/>
      <c r="H23" s="27"/>
      <c r="I23" s="28"/>
      <c r="J23" s="28"/>
    </row>
    <row r="24" spans="1:6" ht="13.2">
      <c r="A24" s="40">
        <f t="shared" si="0"/>
        <v>14</v>
      </c>
      <c r="D24" s="29" t="s">
        <v>36</v>
      </c>
      <c r="F24" s="29" t="s">
        <v>37</v>
      </c>
    </row>
    <row r="25" spans="1:6" ht="13.2">
      <c r="A25" s="40">
        <f t="shared" si="0"/>
        <v>15</v>
      </c>
      <c r="B25" s="34" t="s">
        <v>28</v>
      </c>
      <c r="D25" s="48" t="s">
        <v>46</v>
      </c>
      <c r="E25" s="48"/>
      <c r="F25" s="48" t="s">
        <v>47</v>
      </c>
    </row>
    <row r="26" spans="1:12" ht="13.8">
      <c r="A26" s="40">
        <f t="shared" si="0"/>
        <v>16</v>
      </c>
      <c r="B26" s="29" t="s">
        <v>29</v>
      </c>
      <c r="D26" s="45">
        <f>ROUND(AVERAGE(D11:F11,N11:O11),3)</f>
        <v>0.74099999999999999</v>
      </c>
      <c r="F26" s="45">
        <f>ROUND(AVERAGE(H11:L11),3)</f>
        <v>0.73999999999999999</v>
      </c>
      <c r="H26" s="46"/>
      <c r="I26" s="46"/>
      <c r="K26" s="47"/>
      <c r="L26" s="47"/>
    </row>
    <row r="27" spans="1:12" ht="13.2">
      <c r="A27" s="40">
        <f t="shared" si="0"/>
        <v>17</v>
      </c>
      <c r="B27" s="29" t="s">
        <v>30</v>
      </c>
      <c r="D27" s="45">
        <f t="shared" si="2" ref="D27:D35">ROUND(AVERAGE(D12:F12,N12:O12),3)</f>
        <v>0.068000000000000005</v>
      </c>
      <c r="F27" s="45">
        <f t="shared" si="3" ref="F27:F35">ROUND(AVERAGE(H12:L12),3)</f>
        <v>0.065000000000000002</v>
      </c>
      <c r="H27" s="45"/>
      <c r="I27" s="45"/>
      <c r="K27" s="47"/>
      <c r="L27" s="47"/>
    </row>
    <row r="28" spans="1:12" ht="13.2">
      <c r="A28" s="40">
        <f t="shared" si="0"/>
        <v>18</v>
      </c>
      <c r="B28" s="29" t="s">
        <v>5</v>
      </c>
      <c r="D28" s="45">
        <f t="shared" si="2"/>
        <v>0.024</v>
      </c>
      <c r="F28" s="45">
        <f t="shared" si="3"/>
        <v>0.025000000000000001</v>
      </c>
      <c r="H28" s="45"/>
      <c r="I28" s="45"/>
      <c r="K28" s="47"/>
      <c r="L28" s="47"/>
    </row>
    <row r="29" spans="1:12" ht="13.2">
      <c r="A29" s="40">
        <f t="shared" si="0"/>
        <v>19</v>
      </c>
      <c r="B29" s="29" t="s">
        <v>9</v>
      </c>
      <c r="D29" s="45">
        <f t="shared" si="2"/>
        <v>0.012</v>
      </c>
      <c r="F29" s="45">
        <f t="shared" si="3"/>
        <v>0.012</v>
      </c>
      <c r="H29" s="45"/>
      <c r="I29" s="45"/>
      <c r="K29" s="47"/>
      <c r="L29" s="47"/>
    </row>
    <row r="30" spans="1:12" ht="13.2">
      <c r="A30" s="40">
        <f t="shared" si="0"/>
        <v>20</v>
      </c>
      <c r="B30" s="29" t="s">
        <v>45</v>
      </c>
      <c r="D30" s="45">
        <f>ROUND(AVERAGE(D15:F15,N15:O15),3)</f>
        <v>0.024</v>
      </c>
      <c r="F30" s="45">
        <f t="shared" si="3"/>
        <v>0.024</v>
      </c>
      <c r="H30" s="45"/>
      <c r="I30" s="45"/>
      <c r="K30" s="47"/>
      <c r="L30" s="47"/>
    </row>
    <row r="31" spans="1:12" ht="13.2">
      <c r="A31" s="40">
        <f t="shared" si="0"/>
        <v>21</v>
      </c>
      <c r="B31" s="29" t="s">
        <v>31</v>
      </c>
      <c r="D31" s="45">
        <f>ROUND(AVERAGE(D16:F16,N16:O16),3)</f>
        <v>0.025999999999999999</v>
      </c>
      <c r="F31" s="45">
        <f t="shared" si="3"/>
        <v>0.027</v>
      </c>
      <c r="H31" s="45"/>
      <c r="I31" s="45"/>
      <c r="K31" s="47"/>
      <c r="L31" s="47"/>
    </row>
    <row r="32" spans="1:12" ht="13.2">
      <c r="A32" s="40">
        <f t="shared" si="0"/>
        <v>22</v>
      </c>
      <c r="B32" s="29" t="s">
        <v>3</v>
      </c>
      <c r="D32" s="45">
        <f t="shared" si="2"/>
        <v>0.033000000000000002</v>
      </c>
      <c r="F32" s="45">
        <f t="shared" si="3"/>
        <v>0.034000000000000002</v>
      </c>
      <c r="H32" s="45"/>
      <c r="I32" s="45"/>
      <c r="K32" s="47"/>
      <c r="L32" s="47"/>
    </row>
    <row r="33" spans="1:12" ht="13.2">
      <c r="A33" s="40">
        <f t="shared" si="0"/>
        <v>23</v>
      </c>
      <c r="B33" s="29" t="s">
        <v>32</v>
      </c>
      <c r="D33" s="45">
        <f t="shared" si="2"/>
        <v>0.014999999999999999</v>
      </c>
      <c r="F33" s="45">
        <f t="shared" si="3"/>
        <v>0.014999999999999999</v>
      </c>
      <c r="H33" s="45"/>
      <c r="I33" s="45"/>
      <c r="K33" s="47"/>
      <c r="L33" s="47"/>
    </row>
    <row r="34" spans="1:12" ht="13.2">
      <c r="A34" s="40">
        <f t="shared" si="0"/>
        <v>24</v>
      </c>
      <c r="B34" s="29" t="s">
        <v>8</v>
      </c>
      <c r="D34" s="45">
        <f t="shared" si="2"/>
        <v>0.031</v>
      </c>
      <c r="F34" s="45">
        <f t="shared" si="3"/>
        <v>0.031</v>
      </c>
      <c r="H34" s="45"/>
      <c r="I34" s="45"/>
      <c r="K34" s="47"/>
      <c r="L34" s="47"/>
    </row>
    <row r="35" spans="1:12" ht="13.2">
      <c r="A35" s="40">
        <f t="shared" si="0"/>
        <v>25</v>
      </c>
      <c r="B35" s="29" t="s">
        <v>6</v>
      </c>
      <c r="D35" s="45">
        <f t="shared" si="2"/>
        <v>0.025999999999999999</v>
      </c>
      <c r="E35" s="48"/>
      <c r="F35" s="45">
        <f t="shared" si="3"/>
        <v>0.027</v>
      </c>
      <c r="H35" s="45"/>
      <c r="I35" s="45"/>
      <c r="K35" s="47"/>
      <c r="L35" s="47"/>
    </row>
    <row r="36" spans="1:12" ht="13.2">
      <c r="A36" s="40">
        <f t="shared" si="0"/>
        <v>26</v>
      </c>
      <c r="D36" s="62">
        <f t="shared" si="4" ref="D36">AVERAGE(D21:F21,N21:O21)</f>
        <v>1</v>
      </c>
      <c r="F36" s="62">
        <f t="shared" si="5" ref="F36">AVERAGE(H21:L21)</f>
        <v>1</v>
      </c>
      <c r="H36" s="45"/>
      <c r="I36" s="45"/>
      <c r="K36" s="47"/>
      <c r="L36" s="47"/>
    </row>
  </sheetData>
  <mergeCells count="8">
    <mergeCell ref="D23:F23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0.5" right="0.5" top="0.7" bottom="1" header="0.5" footer="0.43"/>
  <pageSetup orientation="landscape" scale="85" r:id="rId2"/>
  <headerFooter alignWithMargins="0">
    <oddHeader>&amp;RWP/II-H-5.2/3
Page &amp;P of &amp;N</oddHeader>
    <oddFooter>&amp;R]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21"/>
  <sheetViews>
    <sheetView zoomScaleSheetLayoutView="100" workbookViewId="0" topLeftCell="A1"/>
  </sheetViews>
  <sheetFormatPr defaultColWidth="9.11428571428571" defaultRowHeight="14.25"/>
  <cols>
    <col min="1" max="1" width="8.14285714285714" style="1" customWidth="1"/>
    <col min="2" max="2" width="16.8571428571429" style="1" customWidth="1"/>
    <col min="3" max="3" width="7.14285714285714" style="1" customWidth="1"/>
    <col min="4" max="4" width="9.85714285714286" style="1" bestFit="1" customWidth="1"/>
    <col min="5" max="13" width="9.14285714285714" style="1"/>
    <col min="14" max="14" width="9.71428571428571" style="1" bestFit="1" customWidth="1"/>
    <col min="15" max="16384" width="9.14285714285714" style="1"/>
  </cols>
  <sheetData>
    <row r="1" spans="1:15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</row>
    <row r="3" spans="1:15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</row>
    <row r="4" spans="1:15" ht="15.6">
      <c r="A4" s="14"/>
      <c r="B4" s="70" t="str">
        <f>+'SECGT10 Seasonal Weights'!B4:P4</f>
        <v>FOR THE TEST YEAR ENDING DECEMBER 31, 2021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</row>
    <row r="6" spans="1:15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</row>
    <row r="7" spans="1:15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</row>
    <row r="8" spans="1:16" ht="15.6">
      <c r="A8" s="14"/>
      <c r="B8" s="72" t="s">
        <v>42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5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</row>
    <row r="10" spans="1:15" ht="15.75" customHeight="1">
      <c r="A10" s="20" t="s">
        <v>27</v>
      </c>
      <c r="B10" s="21" t="s">
        <v>28</v>
      </c>
      <c r="C10" s="22">
        <v>36892</v>
      </c>
      <c r="D10" s="23">
        <v>36923</v>
      </c>
      <c r="E10" s="23">
        <v>36951</v>
      </c>
      <c r="F10" s="23">
        <v>36982</v>
      </c>
      <c r="G10" s="23">
        <v>37012</v>
      </c>
      <c r="H10" s="23">
        <v>37043</v>
      </c>
      <c r="I10" s="23">
        <v>37073</v>
      </c>
      <c r="J10" s="23">
        <v>37104</v>
      </c>
      <c r="K10" s="23">
        <v>37135</v>
      </c>
      <c r="L10" s="23">
        <v>37165</v>
      </c>
      <c r="M10" s="23">
        <v>37196</v>
      </c>
      <c r="N10" s="23">
        <v>37226</v>
      </c>
      <c r="O10" s="24" t="s">
        <v>0</v>
      </c>
    </row>
    <row r="11" spans="1:15" ht="14.4">
      <c r="A11" s="25">
        <v>1</v>
      </c>
      <c r="B11" s="17" t="s">
        <v>29</v>
      </c>
      <c r="C11" s="5">
        <f>+'SECGT10 Weights by Year (18-20)'!D14</f>
        <v>0.7455269057393189</v>
      </c>
      <c r="D11" s="5">
        <f>+'SECGT10 Weights by Year (18-20)'!E14</f>
        <v>0.74153344798441601</v>
      </c>
      <c r="E11" s="5">
        <f>+'SECGT10 Weights by Year (18-20)'!F14</f>
        <v>0.74096418132649811</v>
      </c>
      <c r="F11" s="5">
        <f>+'SECGT10 Weights by Year (18-20)'!G14</f>
        <v>0.74302555978201812</v>
      </c>
      <c r="G11" s="5">
        <f>+'SECGT10 Weights by Year (18-20)'!H14</f>
        <v>0.73915396756081175</v>
      </c>
      <c r="H11" s="5">
        <f>+'SECGT10 Weights by Year (18-20)'!I14</f>
        <v>0.73998801003509118</v>
      </c>
      <c r="I11" s="5">
        <f>+'SECGT10 Weights by Year (18-20)'!J14</f>
        <v>0.74219827999817478</v>
      </c>
      <c r="J11" s="5">
        <f>+'SECGT10 Weights by Year (18-20)'!K14</f>
        <v>0.74106369295742924</v>
      </c>
      <c r="K11" s="5">
        <f>+'SECGT10 Weights by Year (18-20)'!L14</f>
        <v>0.73973684926460626</v>
      </c>
      <c r="L11" s="5">
        <f>+'SECGT10 Weights by Year (18-20)'!M14</f>
        <v>0.74386641960126454</v>
      </c>
      <c r="M11" s="5">
        <f>+'SECGT10 Weights by Year (18-20)'!N14</f>
        <v>0.74005254513814112</v>
      </c>
      <c r="N11" s="5">
        <f>+'SECGT10 Weights by Year (18-20)'!O14</f>
        <v>0.73930777675350245</v>
      </c>
      <c r="O11" s="5">
        <f>+'SECGT10 Weights by Year (18-20)'!P14</f>
        <v>0.7413642396818545</v>
      </c>
    </row>
    <row r="12" spans="1:15" ht="14.4">
      <c r="A12" s="25">
        <f>+A11+1</f>
        <v>2</v>
      </c>
      <c r="B12" s="17" t="s">
        <v>30</v>
      </c>
      <c r="C12" s="5">
        <f>+'SECGT10 Weights by Year (18-20)'!D54</f>
        <v>0.066043750747831823</v>
      </c>
      <c r="D12" s="5">
        <f>+'SECGT10 Weights by Year (18-20)'!E54</f>
        <v>0.066793449792545811</v>
      </c>
      <c r="E12" s="5">
        <f>+'SECGT10 Weights by Year (18-20)'!F54</f>
        <v>0.068866566913886956</v>
      </c>
      <c r="F12" s="5">
        <f>+'SECGT10 Weights by Year (18-20)'!G54</f>
        <v>0.066298382799979738</v>
      </c>
      <c r="G12" s="5">
        <f>+'SECGT10 Weights by Year (18-20)'!H54</f>
        <v>0.068585498055469596</v>
      </c>
      <c r="H12" s="5">
        <f>+'SECGT10 Weights by Year (18-20)'!I54</f>
        <v>0.064345196745622418</v>
      </c>
      <c r="I12" s="5">
        <f>+'SECGT10 Weights by Year (18-20)'!J54</f>
        <v>0.064017833997688761</v>
      </c>
      <c r="J12" s="5">
        <f>+'SECGT10 Weights by Year (18-20)'!K54</f>
        <v>0.064223838554646043</v>
      </c>
      <c r="K12" s="5">
        <f>+'SECGT10 Weights by Year (18-20)'!L54</f>
        <v>0.062585187514207483</v>
      </c>
      <c r="L12" s="5">
        <f>+'SECGT10 Weights by Year (18-20)'!M54</f>
        <v>0.061505553531803682</v>
      </c>
      <c r="M12" s="5">
        <f>+'SECGT10 Weights by Year (18-20)'!N54</f>
        <v>0.066744180120871369</v>
      </c>
      <c r="N12" s="5">
        <f>+'SECGT10 Weights by Year (18-20)'!O54</f>
        <v>0.070250931869801844</v>
      </c>
      <c r="O12" s="5">
        <f>+'SECGT10 Weights by Year (18-20)'!P54</f>
        <v>0.065594631762105851</v>
      </c>
    </row>
    <row r="13" spans="1:15" ht="14.4">
      <c r="A13" s="25">
        <f t="shared" si="0" ref="A13:A20">+A12+1</f>
        <v>3</v>
      </c>
      <c r="B13" s="17" t="s">
        <v>5</v>
      </c>
      <c r="C13" s="5">
        <f>+'SECGT10 Weights by Year (18-20)'!D19</f>
        <v>0.023953033601391626</v>
      </c>
      <c r="D13" s="5">
        <f>+'SECGT10 Weights by Year (18-20)'!E19</f>
        <v>0.024662487398998244</v>
      </c>
      <c r="E13" s="5">
        <f>+'SECGT10 Weights by Year (18-20)'!F19</f>
        <v>0.024329971722722971</v>
      </c>
      <c r="F13" s="5">
        <f>+'SECGT10 Weights by Year (18-20)'!G19</f>
        <v>0.025018733142725999</v>
      </c>
      <c r="G13" s="5">
        <f>+'SECGT10 Weights by Year (18-20)'!H19</f>
        <v>0.025282669230460048</v>
      </c>
      <c r="H13" s="5">
        <f>+'SECGT10 Weights by Year (18-20)'!I19</f>
        <v>0.026001271459916708</v>
      </c>
      <c r="I13" s="5">
        <f>+'SECGT10 Weights by Year (18-20)'!J19</f>
        <v>0.025020173333091998</v>
      </c>
      <c r="J13" s="5">
        <f>+'SECGT10 Weights by Year (18-20)'!K19</f>
        <v>0.024899328654257893</v>
      </c>
      <c r="K13" s="5">
        <f>+'SECGT10 Weights by Year (18-20)'!L19</f>
        <v>0.02542204897371397</v>
      </c>
      <c r="L13" s="5">
        <f>+'SECGT10 Weights by Year (18-20)'!M19</f>
        <v>0.025148066914882028</v>
      </c>
      <c r="M13" s="5">
        <f>+'SECGT10 Weights by Year (18-20)'!N19</f>
        <v>0.02491401318924422</v>
      </c>
      <c r="N13" s="5">
        <f>+'SECGT10 Weights by Year (18-20)'!O19</f>
        <v>0.024178450845073935</v>
      </c>
      <c r="O13" s="5">
        <f>+'SECGT10 Weights by Year (18-20)'!P19</f>
        <v>0.02493312962464804</v>
      </c>
    </row>
    <row r="14" spans="1:15" ht="14.4">
      <c r="A14" s="25">
        <f t="shared" si="0"/>
        <v>4</v>
      </c>
      <c r="B14" s="17" t="s">
        <v>9</v>
      </c>
      <c r="C14" s="5">
        <f>+'SECGT10 Weights by Year (18-20)'!D44</f>
        <v>0.012101425929197534</v>
      </c>
      <c r="D14" s="5">
        <f>+'SECGT10 Weights by Year (18-20)'!E44</f>
        <v>0.01205290394778932</v>
      </c>
      <c r="E14" s="5">
        <f>+'SECGT10 Weights by Year (18-20)'!F44</f>
        <v>0.01145530940027587</v>
      </c>
      <c r="F14" s="5">
        <f>+'SECGT10 Weights by Year (18-20)'!G44</f>
        <v>0.011337874708499368</v>
      </c>
      <c r="G14" s="5">
        <f>+'SECGT10 Weights by Year (18-20)'!H44</f>
        <v>0.011309752543068881</v>
      </c>
      <c r="H14" s="5">
        <f>+'SECGT10 Weights by Year (18-20)'!I44</f>
        <v>0.011395411290296031</v>
      </c>
      <c r="I14" s="5">
        <f>+'SECGT10 Weights by Year (18-20)'!J44</f>
        <v>0.011711666253967868</v>
      </c>
      <c r="J14" s="5">
        <f>+'SECGT10 Weights by Year (18-20)'!K44</f>
        <v>0.011923686684838316</v>
      </c>
      <c r="K14" s="5">
        <f>+'SECGT10 Weights by Year (18-20)'!L44</f>
        <v>0.011697951820130757</v>
      </c>
      <c r="L14" s="5">
        <f>+'SECGT10 Weights by Year (18-20)'!M44</f>
        <v>0.010829064109976441</v>
      </c>
      <c r="M14" s="5">
        <f>+'SECGT10 Weights by Year (18-20)'!N44</f>
        <v>0.01139897377573793</v>
      </c>
      <c r="N14" s="5">
        <f>+'SECGT10 Weights by Year (18-20)'!O44</f>
        <v>0.011505233870969404</v>
      </c>
      <c r="O14" s="5">
        <f>+'SECGT10 Weights by Year (18-20)'!P44</f>
        <v>0.011568419846469768</v>
      </c>
    </row>
    <row r="15" spans="1:15" ht="14.4">
      <c r="A15" s="25">
        <f t="shared" si="0"/>
        <v>5</v>
      </c>
      <c r="B15" s="17" t="s">
        <v>45</v>
      </c>
      <c r="C15" s="5">
        <f>+'SECGT10 Weights by Year (18-20)'!D59</f>
        <v>0.024012627723580263</v>
      </c>
      <c r="D15" s="5">
        <f>+'SECGT10 Weights by Year (18-20)'!E59</f>
        <v>0.024553924170976738</v>
      </c>
      <c r="E15" s="5">
        <f>+'SECGT10 Weights by Year (18-20)'!F59</f>
        <v>0.024123747915787905</v>
      </c>
      <c r="F15" s="5">
        <f>+'SECGT10 Weights by Year (18-20)'!G59</f>
        <v>0.023995123772134367</v>
      </c>
      <c r="G15" s="5">
        <f>+'SECGT10 Weights by Year (18-20)'!H59</f>
        <v>0.023672115622031698</v>
      </c>
      <c r="H15" s="5">
        <f>+'SECGT10 Weights by Year (18-20)'!I59</f>
        <v>0.023556244157346758</v>
      </c>
      <c r="I15" s="5">
        <f>+'SECGT10 Weights by Year (18-20)'!J59</f>
        <v>0.023693415641611908</v>
      </c>
      <c r="J15" s="5">
        <f>+'SECGT10 Weights by Year (18-20)'!K59</f>
        <v>0.024092846288954823</v>
      </c>
      <c r="K15" s="5">
        <f>+'SECGT10 Weights by Year (18-20)'!L59</f>
        <v>0.02410534146488896</v>
      </c>
      <c r="L15" s="5">
        <f>+'SECGT10 Weights by Year (18-20)'!M59</f>
        <v>0.023809813900458009</v>
      </c>
      <c r="M15" s="5">
        <f>+'SECGT10 Weights by Year (18-20)'!N59</f>
        <v>0.023799870034683465</v>
      </c>
      <c r="N15" s="5">
        <f>+'SECGT10 Weights by Year (18-20)'!O59</f>
        <v>0.024029180162727721</v>
      </c>
      <c r="O15" s="5">
        <f>+'SECGT10 Weights by Year (18-20)'!P59</f>
        <v>0.023949324240679731</v>
      </c>
    </row>
    <row r="16" spans="1:15" ht="14.4">
      <c r="A16" s="25">
        <f t="shared" si="0"/>
        <v>6</v>
      </c>
      <c r="B16" s="17" t="s">
        <v>31</v>
      </c>
      <c r="C16" s="5">
        <f>+'SECGT10 Weights by Year (18-20)'!D29</f>
        <v>0.026053193814703224</v>
      </c>
      <c r="D16" s="5">
        <f>+'SECGT10 Weights by Year (18-20)'!E29</f>
        <v>0.026280249196006165</v>
      </c>
      <c r="E16" s="5">
        <f>+'SECGT10 Weights by Year (18-20)'!F29</f>
        <v>0.026216849694386864</v>
      </c>
      <c r="F16" s="5">
        <f>+'SECGT10 Weights by Year (18-20)'!G29</f>
        <v>0.026140088743876678</v>
      </c>
      <c r="G16" s="5">
        <f>+'SECGT10 Weights by Year (18-20)'!H29</f>
        <v>0.026454499375097175</v>
      </c>
      <c r="H16" s="5">
        <f>+'SECGT10 Weights by Year (18-20)'!I29</f>
        <v>0.027186127459384618</v>
      </c>
      <c r="I16" s="5">
        <f>+'SECGT10 Weights by Year (18-20)'!J29</f>
        <v>0.026890049807679596</v>
      </c>
      <c r="J16" s="5">
        <f>+'SECGT10 Weights by Year (18-20)'!K29</f>
        <v>0.026900894459351024</v>
      </c>
      <c r="K16" s="5">
        <f>+'SECGT10 Weights by Year (18-20)'!L29</f>
        <v>0.027665437011636755</v>
      </c>
      <c r="L16" s="5">
        <f>+'SECGT10 Weights by Year (18-20)'!M29</f>
        <v>0.027287705116440974</v>
      </c>
      <c r="M16" s="5">
        <f>+'SECGT10 Weights by Year (18-20)'!N29</f>
        <v>0.026926175777508714</v>
      </c>
      <c r="N16" s="5">
        <f>+'SECGT10 Weights by Year (18-20)'!O29</f>
        <v>0.026651586665626236</v>
      </c>
      <c r="O16" s="5">
        <f>+'SECGT10 Weights by Year (18-20)'!P29</f>
        <v>0.026768723305546093</v>
      </c>
    </row>
    <row r="17" spans="1:15" ht="14.4">
      <c r="A17" s="25">
        <f t="shared" si="0"/>
        <v>7</v>
      </c>
      <c r="B17" s="17" t="s">
        <v>3</v>
      </c>
      <c r="C17" s="5">
        <f>+'SECGT10 Weights by Year (18-20)'!D39</f>
        <v>0.032013122997715755</v>
      </c>
      <c r="D17" s="5">
        <f>+'SECGT10 Weights by Year (18-20)'!E39</f>
        <v>0.032544374549329576</v>
      </c>
      <c r="E17" s="5">
        <f>+'SECGT10 Weights by Year (18-20)'!F39</f>
        <v>0.032828373090107575</v>
      </c>
      <c r="F17" s="5">
        <f>+'SECGT10 Weights by Year (18-20)'!G39</f>
        <v>0.032679163024454137</v>
      </c>
      <c r="G17" s="5">
        <f>+'SECGT10 Weights by Year (18-20)'!H39</f>
        <v>0.03303635472182348</v>
      </c>
      <c r="H17" s="5">
        <f>+'SECGT10 Weights by Year (18-20)'!I39</f>
        <v>0.033837913756144262</v>
      </c>
      <c r="I17" s="5">
        <f>+'SECGT10 Weights by Year (18-20)'!J39</f>
        <v>0.033421466637554464</v>
      </c>
      <c r="J17" s="5">
        <f>+'SECGT10 Weights by Year (18-20)'!K39</f>
        <v>0.033803454002396698</v>
      </c>
      <c r="K17" s="5">
        <f>+'SECGT10 Weights by Year (18-20)'!L39</f>
        <v>0.034609199337795472</v>
      </c>
      <c r="L17" s="5">
        <f>+'SECGT10 Weights by Year (18-20)'!M39</f>
        <v>0.034000192784841246</v>
      </c>
      <c r="M17" s="5">
        <f>+'SECGT10 Weights by Year (18-20)'!N39</f>
        <v>0.033479565929361459</v>
      </c>
      <c r="N17" s="5">
        <f>+'SECGT10 Weights by Year (18-20)'!O39</f>
        <v>0.032351166892580052</v>
      </c>
      <c r="O17" s="5">
        <f>+'SECGT10 Weights by Year (18-20)'!P39</f>
        <v>0.033291601652564735</v>
      </c>
    </row>
    <row r="18" spans="1:15" ht="14.4">
      <c r="A18" s="25">
        <f t="shared" si="0"/>
        <v>8</v>
      </c>
      <c r="B18" s="17" t="s">
        <v>32</v>
      </c>
      <c r="C18" s="5">
        <f>+'SECGT10 Weights by Year (18-20)'!D49</f>
        <v>0.014676124209648976</v>
      </c>
      <c r="D18" s="5">
        <f>+'SECGT10 Weights by Year (18-20)'!E49</f>
        <v>0.015001919467031964</v>
      </c>
      <c r="E18" s="5">
        <f>+'SECGT10 Weights by Year (18-20)'!F49</f>
        <v>0.014789394997023997</v>
      </c>
      <c r="F18" s="5">
        <f>+'SECGT10 Weights by Year (18-20)'!G49</f>
        <v>0.01458158978249095</v>
      </c>
      <c r="G18" s="5">
        <f>+'SECGT10 Weights by Year (18-20)'!H49</f>
        <v>0.014554372751820406</v>
      </c>
      <c r="H18" s="5">
        <f>+'SECGT10 Weights by Year (18-20)'!I49</f>
        <v>0.014841545191615044</v>
      </c>
      <c r="I18" s="5">
        <f>+'SECGT10 Weights by Year (18-20)'!J49</f>
        <v>0.015216227199826942</v>
      </c>
      <c r="J18" s="5">
        <f>+'SECGT10 Weights by Year (18-20)'!K49</f>
        <v>0.01533151317628639</v>
      </c>
      <c r="K18" s="5">
        <f>+'SECGT10 Weights by Year (18-20)'!L49</f>
        <v>0.01532747847535414</v>
      </c>
      <c r="L18" s="5">
        <f>+'SECGT10 Weights by Year (18-20)'!M49</f>
        <v>0.014865357760621327</v>
      </c>
      <c r="M18" s="5">
        <f>+'SECGT10 Weights by Year (18-20)'!N49</f>
        <v>0.014571949077997358</v>
      </c>
      <c r="N18" s="5">
        <f>+'SECGT10 Weights by Year (18-20)'!O49</f>
        <v>0.014365225874191165</v>
      </c>
      <c r="O18" s="5">
        <f>+'SECGT10 Weights by Year (18-20)'!P49</f>
        <v>0.014879542353445772</v>
      </c>
    </row>
    <row r="19" spans="1:15" ht="14.4">
      <c r="A19" s="25">
        <f t="shared" si="0"/>
        <v>9</v>
      </c>
      <c r="B19" s="17" t="s">
        <v>8</v>
      </c>
      <c r="C19" s="5">
        <f>+'SECGT10 Weights by Year (18-20)'!D34</f>
        <v>0.030281909925480965</v>
      </c>
      <c r="D19" s="5">
        <f>+'SECGT10 Weights by Year (18-20)'!E34</f>
        <v>0.030772471615881161</v>
      </c>
      <c r="E19" s="5">
        <f>+'SECGT10 Weights by Year (18-20)'!F34</f>
        <v>0.030429795253137996</v>
      </c>
      <c r="F19" s="5">
        <f>+'SECGT10 Weights by Year (18-20)'!G34</f>
        <v>0.030506279830719258</v>
      </c>
      <c r="G19" s="5">
        <f>+'SECGT10 Weights by Year (18-20)'!H34</f>
        <v>0.031158834511381531</v>
      </c>
      <c r="H19" s="5">
        <f>+'SECGT10 Weights by Year (18-20)'!I34</f>
        <v>0.03153909601699157</v>
      </c>
      <c r="I19" s="5">
        <f>+'SECGT10 Weights by Year (18-20)'!J34</f>
        <v>0.031544031145575309</v>
      </c>
      <c r="J19" s="5">
        <f>+'SECGT10 Weights by Year (18-20)'!K34</f>
        <v>0.031362228969243663</v>
      </c>
      <c r="K19" s="5">
        <f>+'SECGT10 Weights by Year (18-20)'!L34</f>
        <v>0.031727101608642387</v>
      </c>
      <c r="L19" s="5">
        <f>+'SECGT10 Weights by Year (18-20)'!M34</f>
        <v>0.031473234610709312</v>
      </c>
      <c r="M19" s="5">
        <f>+'SECGT10 Weights by Year (18-20)'!N34</f>
        <v>0.030786946097982333</v>
      </c>
      <c r="N19" s="5">
        <f>+'SECGT10 Weights by Year (18-20)'!O34</f>
        <v>0.030519769316008496</v>
      </c>
      <c r="O19" s="5">
        <f>+'SECGT10 Weights by Year (18-20)'!P34</f>
        <v>0.031062164453623413</v>
      </c>
    </row>
    <row r="20" spans="1:15" ht="14.4">
      <c r="A20" s="25">
        <f t="shared" si="0"/>
        <v>10</v>
      </c>
      <c r="B20" s="17" t="s">
        <v>6</v>
      </c>
      <c r="C20" s="6">
        <f>+'SECGT10 Weights by Year (18-20)'!D24</f>
        <v>0.025337905311130865</v>
      </c>
      <c r="D20" s="6">
        <f>+'SECGT10 Weights by Year (18-20)'!E24</f>
        <v>0.025804771877024815</v>
      </c>
      <c r="E20" s="6">
        <f>+'SECGT10 Weights by Year (18-20)'!F24</f>
        <v>0.025995809686171701</v>
      </c>
      <c r="F20" s="6">
        <f>+'SECGT10 Weights by Year (18-20)'!G24</f>
        <v>0.026417204413101452</v>
      </c>
      <c r="G20" s="6">
        <f>+'SECGT10 Weights by Year (18-20)'!H24</f>
        <v>0.02679193562803538</v>
      </c>
      <c r="H20" s="6">
        <f>+'SECGT10 Weights by Year (18-20)'!I24</f>
        <v>0.027309183887591484</v>
      </c>
      <c r="I20" s="6">
        <f>+'SECGT10 Weights by Year (18-20)'!J24</f>
        <v>0.026286855984828477</v>
      </c>
      <c r="J20" s="6">
        <f>+'SECGT10 Weights by Year (18-20)'!K24</f>
        <v>0.026398516252595896</v>
      </c>
      <c r="K20" s="6">
        <f>+'SECGT10 Weights by Year (18-20)'!L24</f>
        <v>0.02712340452902395</v>
      </c>
      <c r="L20" s="6">
        <f>+'SECGT10 Weights by Year (18-20)'!M24</f>
        <v>0.027214591669002561</v>
      </c>
      <c r="M20" s="6">
        <f>+'SECGT10 Weights by Year (18-20)'!N24</f>
        <v>0.027325780858472117</v>
      </c>
      <c r="N20" s="6">
        <f>+'SECGT10 Weights by Year (18-20)'!O24</f>
        <v>0.026840677749518826</v>
      </c>
      <c r="O20" s="6">
        <f>+'SECGT10 Weights by Year (18-20)'!P24</f>
        <v>0.026588223079062112</v>
      </c>
    </row>
    <row r="21" spans="2:15" ht="13.8">
      <c r="B21" s="4"/>
      <c r="C21" s="7">
        <f t="shared" si="1" ref="C21:O21">SUM(C11:C20)</f>
        <v>0.99999999999999989</v>
      </c>
      <c r="D21" s="7">
        <f t="shared" si="1"/>
        <v>0.99999999999999978</v>
      </c>
      <c r="E21" s="7">
        <f t="shared" si="1"/>
        <v>0.99999999999999989</v>
      </c>
      <c r="F21" s="7">
        <f t="shared" si="1"/>
        <v>1</v>
      </c>
      <c r="G21" s="7">
        <f t="shared" si="1"/>
        <v>0.99999999999999978</v>
      </c>
      <c r="H21" s="7">
        <f t="shared" si="1"/>
        <v>1.0000000000000002</v>
      </c>
      <c r="I21" s="7">
        <f t="shared" si="1"/>
        <v>1.0000000000000002</v>
      </c>
      <c r="J21" s="7">
        <f t="shared" si="1"/>
        <v>1</v>
      </c>
      <c r="K21" s="7">
        <f t="shared" si="1"/>
        <v>1</v>
      </c>
      <c r="L21" s="7">
        <f t="shared" si="1"/>
        <v>1</v>
      </c>
      <c r="M21" s="7">
        <f t="shared" si="1"/>
        <v>1</v>
      </c>
      <c r="N21" s="7">
        <f t="shared" si="1"/>
        <v>1.0000000000000002</v>
      </c>
      <c r="O21" s="7">
        <f t="shared" si="1"/>
        <v>1</v>
      </c>
    </row>
  </sheetData>
  <mergeCells count="7">
    <mergeCell ref="B6:O6"/>
    <mergeCell ref="B8:P8"/>
    <mergeCell ref="B1:O1"/>
    <mergeCell ref="B2:O2"/>
    <mergeCell ref="B3:O3"/>
    <mergeCell ref="B4:O4"/>
    <mergeCell ref="B5:F5"/>
  </mergeCells>
  <printOptions horizontalCentered="1"/>
  <pageMargins left="0.5" right="0.5" top="0.7" bottom="1" header="0.5" footer="0.43"/>
  <pageSetup orientation="landscape" scale="83" r:id="rId1"/>
  <headerFooter alignWithMargins="0">
    <oddHeader>&amp;RWP/II-H-5.2/3
Page &amp;P of &amp;N</oddHeader>
    <oddFooter>&amp;R]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6.8571428571429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7" width="9.57142857142857" style="1" bestFit="1" customWidth="1"/>
    <col min="18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+'SECGT10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43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7" ht="14.4">
      <c r="A11" s="1">
        <v>1</v>
      </c>
      <c r="B11" s="17" t="s">
        <v>29</v>
      </c>
      <c r="C11" s="2">
        <v>2018</v>
      </c>
      <c r="D11" s="3">
        <f>'SECGT10 Sales by Year (18-20)'!D11/'SECGT10 Sales by Year (18-20)'!D61</f>
        <v>0.75512091363816669</v>
      </c>
      <c r="E11" s="3">
        <f>'SECGT10 Sales by Year (18-20)'!E11/'SECGT10 Sales by Year (18-20)'!E$61</f>
        <v>0.74004021066648051</v>
      </c>
      <c r="F11" s="3">
        <f>'SECGT10 Sales by Year (18-20)'!F11/'SECGT10 Sales by Year (18-20)'!F$61</f>
        <v>0.74574221848990552</v>
      </c>
      <c r="G11" s="3">
        <f>'SECGT10 Sales by Year (18-20)'!G11/'SECGT10 Sales by Year (18-20)'!G$61</f>
        <v>0.74254719525344093</v>
      </c>
      <c r="H11" s="3">
        <f>'SECGT10 Sales by Year (18-20)'!H11/'SECGT10 Sales by Year (18-20)'!H$61</f>
        <v>0.73956959204853978</v>
      </c>
      <c r="I11" s="3">
        <f>'SECGT10 Sales by Year (18-20)'!I11/'SECGT10 Sales by Year (18-20)'!I$61</f>
        <v>0.74136974339924955</v>
      </c>
      <c r="J11" s="3">
        <f>'SECGT10 Sales by Year (18-20)'!J11/'SECGT10 Sales by Year (18-20)'!J$61</f>
        <v>0.74438450673201628</v>
      </c>
      <c r="K11" s="3">
        <f>'SECGT10 Sales by Year (18-20)'!K11/'SECGT10 Sales by Year (18-20)'!K$61</f>
        <v>0.74357627287014028</v>
      </c>
      <c r="L11" s="3">
        <f>'SECGT10 Sales by Year (18-20)'!L11/'SECGT10 Sales by Year (18-20)'!L$61</f>
        <v>0.74075163423313362</v>
      </c>
      <c r="M11" s="3">
        <f>'SECGT10 Sales by Year (18-20)'!M11/'SECGT10 Sales by Year (18-20)'!M$61</f>
        <v>0.7479413886119145</v>
      </c>
      <c r="N11" s="3">
        <f>'SECGT10 Sales by Year (18-20)'!N11/'SECGT10 Sales by Year (18-20)'!N$61</f>
        <v>0.74339648893564625</v>
      </c>
      <c r="O11" s="3">
        <f>'SECGT10 Sales by Year (18-20)'!O11/'SECGT10 Sales by Year (18-20)'!O$61</f>
        <v>0.74371871091640096</v>
      </c>
      <c r="P11" s="59">
        <f>'SECGT10 Sales by Year (18-20)'!P11/'SECGT10 Sales by Year (18-20)'!P$61</f>
        <v>0.74400555002370516</v>
      </c>
      <c r="Q11" s="4"/>
    </row>
    <row r="12" spans="1:16" ht="14.4">
      <c r="A12" s="1">
        <f>+A11+1</f>
        <v>2</v>
      </c>
      <c r="B12" s="17" t="s">
        <v>29</v>
      </c>
      <c r="C12" s="2">
        <v>2019</v>
      </c>
      <c r="D12" s="3">
        <f>'SECGT10 Sales by Year (18-20)'!D12/'SECGT10 Sales by Year (18-20)'!D62</f>
        <v>0.74150460749861424</v>
      </c>
      <c r="E12" s="3">
        <f>'SECGT10 Sales by Year (18-20)'!E12/'SECGT10 Sales by Year (18-20)'!E$62</f>
        <v>0.74184499032846307</v>
      </c>
      <c r="F12" s="3">
        <f>'SECGT10 Sales by Year (18-20)'!F12/'SECGT10 Sales by Year (18-20)'!F$62</f>
        <v>0.74154055313346268</v>
      </c>
      <c r="G12" s="3">
        <f>'SECGT10 Sales by Year (18-20)'!G12/'SECGT10 Sales by Year (18-20)'!G$62</f>
        <v>0.74764793196772428</v>
      </c>
      <c r="H12" s="3">
        <f>'SECGT10 Sales by Year (18-20)'!H12/'SECGT10 Sales by Year (18-20)'!H$62</f>
        <v>0.7410800967968918</v>
      </c>
      <c r="I12" s="3">
        <f>'SECGT10 Sales by Year (18-20)'!I12/'SECGT10 Sales by Year (18-20)'!I$62</f>
        <v>0.73975044145858915</v>
      </c>
      <c r="J12" s="3">
        <f>'SECGT10 Sales by Year (18-20)'!J12/'SECGT10 Sales by Year (18-20)'!J$62</f>
        <v>0.74283986321759965</v>
      </c>
      <c r="K12" s="3">
        <f>'SECGT10 Sales by Year (18-20)'!K12/'SECGT10 Sales by Year (18-20)'!K$62</f>
        <v>0.74082655057065427</v>
      </c>
      <c r="L12" s="3">
        <f>'SECGT10 Sales by Year (18-20)'!L12/'SECGT10 Sales by Year (18-20)'!L$62</f>
        <v>0.74032477218889692</v>
      </c>
      <c r="M12" s="3">
        <f>'SECGT10 Sales by Year (18-20)'!M12/'SECGT10 Sales by Year (18-20)'!M$62</f>
        <v>0.74502109905554825</v>
      </c>
      <c r="N12" s="3">
        <f>'SECGT10 Sales by Year (18-20)'!N12/'SECGT10 Sales by Year (18-20)'!N$62</f>
        <v>0.74070577228676915</v>
      </c>
      <c r="O12" s="3">
        <f>'SECGT10 Sales by Year (18-20)'!O12/'SECGT10 Sales by Year (18-20)'!O$62</f>
        <v>0.73655675780339713</v>
      </c>
      <c r="P12" s="60">
        <f>'SECGT10 Sales by Year (18-20)'!P12/'SECGT10 Sales by Year (18-20)'!P$62</f>
        <v>0.7416236299177037</v>
      </c>
    </row>
    <row r="13" spans="1:16" ht="15" thickBot="1">
      <c r="A13" s="1">
        <f t="shared" si="0" ref="A13:A64">+A12+1</f>
        <v>3</v>
      </c>
      <c r="B13" s="17" t="s">
        <v>29</v>
      </c>
      <c r="C13" s="2">
        <v>2020</v>
      </c>
      <c r="D13" s="3">
        <f>'SECGT10 Sales by Year (18-20)'!D13/'SECGT10 Sales by Year (18-20)'!D63</f>
        <v>0.7389838763040647</v>
      </c>
      <c r="E13" s="3">
        <f>'SECGT10 Sales by Year (18-20)'!E13/'SECGT10 Sales by Year (18-20)'!E63</f>
        <v>0.7426793902337876</v>
      </c>
      <c r="F13" s="3">
        <f>'SECGT10 Sales by Year (18-20)'!F13/'SECGT10 Sales by Year (18-20)'!F63</f>
        <v>0.73552074416986746</v>
      </c>
      <c r="G13" s="3">
        <f>'SECGT10 Sales by Year (18-20)'!G13/'SECGT10 Sales by Year (18-20)'!G63</f>
        <v>0.73859671439310626</v>
      </c>
      <c r="H13" s="3">
        <f>'SECGT10 Sales by Year (18-20)'!H13/'SECGT10 Sales by Year (18-20)'!H63</f>
        <v>0.7364646718370943</v>
      </c>
      <c r="I13" s="3">
        <f>'SECGT10 Sales by Year (18-20)'!I13/'SECGT10 Sales by Year (18-20)'!I63</f>
        <v>0.73861610867809913</v>
      </c>
      <c r="J13" s="3">
        <f>'SECGT10 Sales by Year (18-20)'!J13/'SECGT10 Sales by Year (18-20)'!J63</f>
        <v>0.73908661683484111</v>
      </c>
      <c r="K13" s="3">
        <f>'SECGT10 Sales by Year (18-20)'!K13/'SECGT10 Sales by Year (18-20)'!K63</f>
        <v>0.7385877824554673</v>
      </c>
      <c r="L13" s="3">
        <f>'SECGT10 Sales by Year (18-20)'!L13/'SECGT10 Sales by Year (18-20)'!L63</f>
        <v>0.73795095256692833</v>
      </c>
      <c r="M13" s="3">
        <f>'SECGT10 Sales by Year (18-20)'!M13/'SECGT10 Sales by Year (18-20)'!M63</f>
        <v>0.73804293351568673</v>
      </c>
      <c r="N13" s="3">
        <f>'SECGT10 Sales by Year (18-20)'!N13/'SECGT10 Sales by Year (18-20)'!N63</f>
        <v>0.7361183917094174</v>
      </c>
      <c r="O13" s="3">
        <f>'SECGT10 Sales by Year (18-20)'!O13/'SECGT10 Sales by Year (18-20)'!O63</f>
        <v>0.7375459186519161</v>
      </c>
      <c r="P13" s="60">
        <f>'SECGT10 Sales by Year (18-20)'!P13/'SECGT10 Sales by Year (18-20)'!P63</f>
        <v>0.73822688274483605</v>
      </c>
    </row>
    <row r="14" spans="1:16" ht="14.4">
      <c r="A14" s="1">
        <f t="shared" si="0"/>
        <v>4</v>
      </c>
      <c r="B14" s="17" t="s">
        <v>29</v>
      </c>
      <c r="C14" s="57" t="s">
        <v>1</v>
      </c>
      <c r="D14" s="58">
        <f>'SECGT10 Sales by Year (18-20)'!D14/'SECGT10 Sales by Year (18-20)'!D64</f>
        <v>0.7455269057393189</v>
      </c>
      <c r="E14" s="58">
        <f>'SECGT10 Sales by Year (18-20)'!E14/'SECGT10 Sales by Year (18-20)'!E64</f>
        <v>0.74153344798441601</v>
      </c>
      <c r="F14" s="58">
        <f>'SECGT10 Sales by Year (18-20)'!F14/'SECGT10 Sales by Year (18-20)'!F64</f>
        <v>0.74096418132649811</v>
      </c>
      <c r="G14" s="58">
        <f>'SECGT10 Sales by Year (18-20)'!G14/'SECGT10 Sales by Year (18-20)'!G64</f>
        <v>0.74302555978201812</v>
      </c>
      <c r="H14" s="58">
        <f>'SECGT10 Sales by Year (18-20)'!H14/'SECGT10 Sales by Year (18-20)'!H64</f>
        <v>0.73915396756081175</v>
      </c>
      <c r="I14" s="58">
        <f>'SECGT10 Sales by Year (18-20)'!I14/'SECGT10 Sales by Year (18-20)'!I64</f>
        <v>0.73998801003509118</v>
      </c>
      <c r="J14" s="58">
        <f>'SECGT10 Sales by Year (18-20)'!J14/'SECGT10 Sales by Year (18-20)'!J64</f>
        <v>0.74219827999817478</v>
      </c>
      <c r="K14" s="58">
        <f>'SECGT10 Sales by Year (18-20)'!K14/'SECGT10 Sales by Year (18-20)'!K64</f>
        <v>0.74106369295742924</v>
      </c>
      <c r="L14" s="58">
        <f>'SECGT10 Sales by Year (18-20)'!L14/'SECGT10 Sales by Year (18-20)'!L64</f>
        <v>0.73973684926460626</v>
      </c>
      <c r="M14" s="58">
        <f>'SECGT10 Sales by Year (18-20)'!M14/'SECGT10 Sales by Year (18-20)'!M64</f>
        <v>0.74386641960126454</v>
      </c>
      <c r="N14" s="58">
        <f>'SECGT10 Sales by Year (18-20)'!N14/'SECGT10 Sales by Year (18-20)'!N64</f>
        <v>0.74005254513814112</v>
      </c>
      <c r="O14" s="58">
        <f>'SECGT10 Sales by Year (18-20)'!O14/'SECGT10 Sales by Year (18-20)'!O64</f>
        <v>0.73930777675350245</v>
      </c>
      <c r="P14" s="61">
        <f>'SECGT10 Sales by Year (18-20)'!P14/'SECGT10 Sales by Year (18-20)'!P64</f>
        <v>0.7413642396818545</v>
      </c>
    </row>
    <row r="15" spans="1:16" ht="13.8">
      <c r="A15" s="1">
        <f t="shared" si="0"/>
        <v>5</v>
      </c>
      <c r="B15" s="8"/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ht="13.8">
      <c r="A16" s="1">
        <f t="shared" si="0"/>
        <v>6</v>
      </c>
      <c r="B16" s="8" t="s">
        <v>5</v>
      </c>
      <c r="C16" s="2">
        <f>+C11</f>
        <v>2018</v>
      </c>
      <c r="D16" s="3">
        <f>'SECGT10 Sales by Year (18-20)'!D16/'SECGT10 Sales by Year (18-20)'!D61</f>
        <v>0.023886336873338097</v>
      </c>
      <c r="E16" s="3">
        <f>'SECGT10 Sales by Year (18-20)'!E16/'SECGT10 Sales by Year (18-20)'!E$61</f>
        <v>0.024908830341992868</v>
      </c>
      <c r="F16" s="3">
        <f>'SECGT10 Sales by Year (18-20)'!F16/'SECGT10 Sales by Year (18-20)'!F$61</f>
        <v>0.024266287140056669</v>
      </c>
      <c r="G16" s="3">
        <f>'SECGT10 Sales by Year (18-20)'!G16/'SECGT10 Sales by Year (18-20)'!G$61</f>
        <v>0.024981313993365971</v>
      </c>
      <c r="H16" s="3">
        <f>'SECGT10 Sales by Year (18-20)'!H16/'SECGT10 Sales by Year (18-20)'!H$61</f>
        <v>0.025021057018314651</v>
      </c>
      <c r="I16" s="3">
        <f>'SECGT10 Sales by Year (18-20)'!I16/'SECGT10 Sales by Year (18-20)'!I$61</f>
        <v>0.025413418621438689</v>
      </c>
      <c r="J16" s="3">
        <f>'SECGT10 Sales by Year (18-20)'!J16/'SECGT10 Sales by Year (18-20)'!J$61</f>
        <v>0.024646586357847895</v>
      </c>
      <c r="K16" s="3">
        <f>'SECGT10 Sales by Year (18-20)'!K16/'SECGT10 Sales by Year (18-20)'!K$61</f>
        <v>0.024691791572222319</v>
      </c>
      <c r="L16" s="3">
        <f>'SECGT10 Sales by Year (18-20)'!L16/'SECGT10 Sales by Year (18-20)'!L$61</f>
        <v>0.025423637586763217</v>
      </c>
      <c r="M16" s="3">
        <f>'SECGT10 Sales by Year (18-20)'!M16/'SECGT10 Sales by Year (18-20)'!M$61</f>
        <v>0.025303812260953504</v>
      </c>
      <c r="N16" s="3">
        <f>'SECGT10 Sales by Year (18-20)'!N16/'SECGT10 Sales by Year (18-20)'!N$61</f>
        <v>0.024949028462422015</v>
      </c>
      <c r="O16" s="3">
        <f>'SECGT10 Sales by Year (18-20)'!O16/'SECGT10 Sales by Year (18-20)'!O$61</f>
        <v>0.024454012813661104</v>
      </c>
      <c r="P16" s="60">
        <f>'SECGT10 Sales by Year (18-20)'!P16/'SECGT10 Sales by Year (18-20)'!P$61</f>
        <v>0.024845267917414982</v>
      </c>
      <c r="Q16" s="4"/>
    </row>
    <row r="17" spans="1:16" ht="13.8">
      <c r="A17" s="1">
        <f t="shared" si="0"/>
        <v>7</v>
      </c>
      <c r="B17" s="8" t="s">
        <v>5</v>
      </c>
      <c r="C17" s="2">
        <f>+C12</f>
        <v>2019</v>
      </c>
      <c r="D17" s="3">
        <f>'SECGT10 Sales by Year (18-20)'!D17/'SECGT10 Sales by Year (18-20)'!D62</f>
        <v>0.023799943799188226</v>
      </c>
      <c r="E17" s="3">
        <f>'SECGT10 Sales by Year (18-20)'!E17/'SECGT10 Sales by Year (18-20)'!E$62</f>
        <v>0.024432080253812761</v>
      </c>
      <c r="F17" s="3">
        <f>'SECGT10 Sales by Year (18-20)'!F17/'SECGT10 Sales by Year (18-20)'!F$62</f>
        <v>0.02428707287143262</v>
      </c>
      <c r="G17" s="3">
        <f>'SECGT10 Sales by Year (18-20)'!G17/'SECGT10 Sales by Year (18-20)'!G$62</f>
        <v>0.024928923970605765</v>
      </c>
      <c r="H17" s="3">
        <f>'SECGT10 Sales by Year (18-20)'!H17/'SECGT10 Sales by Year (18-20)'!H$62</f>
        <v>0.025269063582783337</v>
      </c>
      <c r="I17" s="3">
        <f>'SECGT10 Sales by Year (18-20)'!I17/'SECGT10 Sales by Year (18-20)'!I$62</f>
        <v>0.026817497955262854</v>
      </c>
      <c r="J17" s="3">
        <f>'SECGT10 Sales by Year (18-20)'!J17/'SECGT10 Sales by Year (18-20)'!J$62</f>
        <v>0.025240704762724945</v>
      </c>
      <c r="K17" s="3">
        <f>'SECGT10 Sales by Year (18-20)'!K17/'SECGT10 Sales by Year (18-20)'!K$62</f>
        <v>0.02497404669086049</v>
      </c>
      <c r="L17" s="3">
        <f>'SECGT10 Sales by Year (18-20)'!L17/'SECGT10 Sales by Year (18-20)'!L$62</f>
        <v>0.025111514117502485</v>
      </c>
      <c r="M17" s="3">
        <f>'SECGT10 Sales by Year (18-20)'!M17/'SECGT10 Sales by Year (18-20)'!M$62</f>
        <v>0.024617502605973802</v>
      </c>
      <c r="N17" s="3">
        <f>'SECGT10 Sales by Year (18-20)'!N17/'SECGT10 Sales by Year (18-20)'!N$62</f>
        <v>0.02472182356274609</v>
      </c>
      <c r="O17" s="3">
        <f>'SECGT10 Sales by Year (18-20)'!O17/'SECGT10 Sales by Year (18-20)'!O$62</f>
        <v>0.023885116669088321</v>
      </c>
      <c r="P17" s="60">
        <f>'SECGT10 Sales by Year (18-20)'!P17/'SECGT10 Sales by Year (18-20)'!P$62</f>
        <v>0.024876094552347041</v>
      </c>
    </row>
    <row r="18" spans="1:16" ht="14.4" thickBot="1">
      <c r="A18" s="1">
        <f t="shared" si="0"/>
        <v>8</v>
      </c>
      <c r="B18" s="8" t="s">
        <v>5</v>
      </c>
      <c r="C18" s="2">
        <f>+C13</f>
        <v>2020</v>
      </c>
      <c r="D18" s="3">
        <f>'SECGT10 Sales by Year (18-20)'!D18/'SECGT10 Sales by Year (18-20)'!D63</f>
        <v>0.024181101709675606</v>
      </c>
      <c r="E18" s="3">
        <f>'SECGT10 Sales by Year (18-20)'!E18/'SECGT10 Sales by Year (18-20)'!E63</f>
        <v>0.024662569875208436</v>
      </c>
      <c r="F18" s="3">
        <f>'SECGT10 Sales by Year (18-20)'!F18/'SECGT10 Sales by Year (18-20)'!F63</f>
        <v>0.024439342427167426</v>
      </c>
      <c r="G18" s="3">
        <f>'SECGT10 Sales by Year (18-20)'!G18/'SECGT10 Sales by Year (18-20)'!G63</f>
        <v>0.025156471806199329</v>
      </c>
      <c r="H18" s="3">
        <f>'SECGT10 Sales by Year (18-20)'!H18/'SECGT10 Sales by Year (18-20)'!H63</f>
        <v>0.025595284542349342</v>
      </c>
      <c r="I18" s="3">
        <f>'SECGT10 Sales by Year (18-20)'!I18/'SECGT10 Sales by Year (18-20)'!I63</f>
        <v>0.025804136500872356</v>
      </c>
      <c r="J18" s="3">
        <f>'SECGT10 Sales by Year (18-20)'!J18/'SECGT10 Sales by Year (18-20)'!J63</f>
        <v>0.0252177212571148</v>
      </c>
      <c r="K18" s="3">
        <f>'SECGT10 Sales by Year (18-20)'!K18/'SECGT10 Sales by Year (18-20)'!K63</f>
        <v>0.025045910498224043</v>
      </c>
      <c r="L18" s="3">
        <f>'SECGT10 Sales by Year (18-20)'!L18/'SECGT10 Sales by Year (18-20)'!L63</f>
        <v>0.025779068853815569</v>
      </c>
      <c r="M18" s="3">
        <f>'SECGT10 Sales by Year (18-20)'!M18/'SECGT10 Sales by Year (18-20)'!M63</f>
        <v>0.025622599152711763</v>
      </c>
      <c r="N18" s="3">
        <f>'SECGT10 Sales by Year (18-20)'!N18/'SECGT10 Sales by Year (18-20)'!N63</f>
        <v>0.025076775377173451</v>
      </c>
      <c r="O18" s="3">
        <f>'SECGT10 Sales by Year (18-20)'!O18/'SECGT10 Sales by Year (18-20)'!O63</f>
        <v>0.02419979058756673</v>
      </c>
      <c r="P18" s="60">
        <f>'SECGT10 Sales by Year (18-20)'!P18/'SECGT10 Sales by Year (18-20)'!P63</f>
        <v>0.025089778449008338</v>
      </c>
    </row>
    <row r="19" spans="1:16" ht="13.8">
      <c r="A19" s="1">
        <f t="shared" si="0"/>
        <v>9</v>
      </c>
      <c r="B19" s="8" t="s">
        <v>5</v>
      </c>
      <c r="C19" s="57" t="s">
        <v>1</v>
      </c>
      <c r="D19" s="58">
        <f>'SECGT10 Sales by Year (18-20)'!D19/'SECGT10 Sales by Year (18-20)'!D64</f>
        <v>0.023953033601391626</v>
      </c>
      <c r="E19" s="58">
        <f>'SECGT10 Sales by Year (18-20)'!E19/'SECGT10 Sales by Year (18-20)'!E64</f>
        <v>0.024662487398998244</v>
      </c>
      <c r="F19" s="58">
        <f>'SECGT10 Sales by Year (18-20)'!F19/'SECGT10 Sales by Year (18-20)'!F64</f>
        <v>0.024329971722722971</v>
      </c>
      <c r="G19" s="58">
        <f>'SECGT10 Sales by Year (18-20)'!G19/'SECGT10 Sales by Year (18-20)'!G64</f>
        <v>0.025018733142725999</v>
      </c>
      <c r="H19" s="58">
        <f>'SECGT10 Sales by Year (18-20)'!H19/'SECGT10 Sales by Year (18-20)'!H64</f>
        <v>0.025282669230460048</v>
      </c>
      <c r="I19" s="58">
        <f>'SECGT10 Sales by Year (18-20)'!I19/'SECGT10 Sales by Year (18-20)'!I64</f>
        <v>0.026001271459916708</v>
      </c>
      <c r="J19" s="58">
        <f>'SECGT10 Sales by Year (18-20)'!J19/'SECGT10 Sales by Year (18-20)'!J64</f>
        <v>0.025020173333091998</v>
      </c>
      <c r="K19" s="58">
        <f>'SECGT10 Sales by Year (18-20)'!K19/'SECGT10 Sales by Year (18-20)'!K64</f>
        <v>0.024899328654257893</v>
      </c>
      <c r="L19" s="58">
        <f>'SECGT10 Sales by Year (18-20)'!L19/'SECGT10 Sales by Year (18-20)'!L64</f>
        <v>0.02542204897371397</v>
      </c>
      <c r="M19" s="58">
        <f>'SECGT10 Sales by Year (18-20)'!M19/'SECGT10 Sales by Year (18-20)'!M64</f>
        <v>0.025148066914882028</v>
      </c>
      <c r="N19" s="58">
        <f>'SECGT10 Sales by Year (18-20)'!N19/'SECGT10 Sales by Year (18-20)'!N64</f>
        <v>0.02491401318924422</v>
      </c>
      <c r="O19" s="58">
        <f>'SECGT10 Sales by Year (18-20)'!O19/'SECGT10 Sales by Year (18-20)'!O64</f>
        <v>0.024178450845073935</v>
      </c>
      <c r="P19" s="61">
        <f>'SECGT10 Sales by Year (18-20)'!P19/'SECGT10 Sales by Year (18-20)'!P64</f>
        <v>0.02493312962464804</v>
      </c>
    </row>
    <row r="20" spans="1:16" ht="13.8">
      <c r="A20" s="1">
        <f t="shared" si="0"/>
        <v>10</v>
      </c>
      <c r="B20" s="8"/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7" ht="13.8">
      <c r="A21" s="1">
        <f t="shared" si="0"/>
        <v>11</v>
      </c>
      <c r="B21" s="8" t="s">
        <v>6</v>
      </c>
      <c r="C21" s="2">
        <f>+C16</f>
        <v>2018</v>
      </c>
      <c r="D21" s="3">
        <f>'SECGT10 Sales by Year (18-20)'!D21/'SECGT10 Sales by Year (18-20)'!D61</f>
        <v>0.02475940340688005</v>
      </c>
      <c r="E21" s="3">
        <f>'SECGT10 Sales by Year (18-20)'!E21/'SECGT10 Sales by Year (18-20)'!E$61</f>
        <v>0.025620441323429177</v>
      </c>
      <c r="F21" s="3">
        <f>'SECGT10 Sales by Year (18-20)'!F21/'SECGT10 Sales by Year (18-20)'!F$61</f>
        <v>0.025608786671005187</v>
      </c>
      <c r="G21" s="3">
        <f>'SECGT10 Sales by Year (18-20)'!G21/'SECGT10 Sales by Year (18-20)'!G$61</f>
        <v>0.025941567897607428</v>
      </c>
      <c r="H21" s="3">
        <f>'SECGT10 Sales by Year (18-20)'!H21/'SECGT10 Sales by Year (18-20)'!H$61</f>
        <v>0.026187714790602563</v>
      </c>
      <c r="I21" s="3">
        <f>'SECGT10 Sales by Year (18-20)'!I21/'SECGT10 Sales by Year (18-20)'!I$61</f>
        <v>0.026407632080230854</v>
      </c>
      <c r="J21" s="3">
        <f>'SECGT10 Sales by Year (18-20)'!J21/'SECGT10 Sales by Year (18-20)'!J$61</f>
        <v>0.024972912381134214</v>
      </c>
      <c r="K21" s="3">
        <f>'SECGT10 Sales by Year (18-20)'!K21/'SECGT10 Sales by Year (18-20)'!K$61</f>
        <v>0.025824703510035598</v>
      </c>
      <c r="L21" s="3">
        <f>'SECGT10 Sales by Year (18-20)'!L21/'SECGT10 Sales by Year (18-20)'!L$61</f>
        <v>0.026401178334956695</v>
      </c>
      <c r="M21" s="3">
        <f>'SECGT10 Sales by Year (18-20)'!M21/'SECGT10 Sales by Year (18-20)'!M$61</f>
        <v>0.026347508652312404</v>
      </c>
      <c r="N21" s="3">
        <f>'SECGT10 Sales by Year (18-20)'!N21/'SECGT10 Sales by Year (18-20)'!N$61</f>
        <v>0.026520392975868633</v>
      </c>
      <c r="O21" s="3">
        <f>'SECGT10 Sales by Year (18-20)'!O21/'SECGT10 Sales by Year (18-20)'!O$61</f>
        <v>0.025916000554263411</v>
      </c>
      <c r="P21" s="60">
        <f>'SECGT10 Sales by Year (18-20)'!P21/'SECGT10 Sales by Year (18-20)'!P$61</f>
        <v>0.025868639782599137</v>
      </c>
      <c r="Q21" s="4"/>
    </row>
    <row r="22" spans="1:16" ht="13.8">
      <c r="A22" s="1">
        <f t="shared" si="0"/>
        <v>12</v>
      </c>
      <c r="B22" s="8" t="s">
        <v>6</v>
      </c>
      <c r="C22" s="2">
        <f>+C17</f>
        <v>2019</v>
      </c>
      <c r="D22" s="3">
        <f>'SECGT10 Sales by Year (18-20)'!D22/'SECGT10 Sales by Year (18-20)'!D62</f>
        <v>0.025419948051886548</v>
      </c>
      <c r="E22" s="3">
        <f>'SECGT10 Sales by Year (18-20)'!E22/'SECGT10 Sales by Year (18-20)'!E$62</f>
        <v>0.025695626621681733</v>
      </c>
      <c r="F22" s="3">
        <f>'SECGT10 Sales by Year (18-20)'!F22/'SECGT10 Sales by Year (18-20)'!F$62</f>
        <v>0.025432683605984219</v>
      </c>
      <c r="G22" s="3">
        <f>'SECGT10 Sales by Year (18-20)'!G22/'SECGT10 Sales by Year (18-20)'!G$62</f>
        <v>0.026720158430464123</v>
      </c>
      <c r="H22" s="3">
        <f>'SECGT10 Sales by Year (18-20)'!H22/'SECGT10 Sales by Year (18-20)'!H$62</f>
        <v>0.026802754547641184</v>
      </c>
      <c r="I22" s="3">
        <f>'SECGT10 Sales by Year (18-20)'!I22/'SECGT10 Sales by Year (18-20)'!I$62</f>
        <v>0.02772375153542803</v>
      </c>
      <c r="J22" s="3">
        <f>'SECGT10 Sales by Year (18-20)'!J22/'SECGT10 Sales by Year (18-20)'!J$62</f>
        <v>0.026453605886838091</v>
      </c>
      <c r="K22" s="3">
        <f>'SECGT10 Sales by Year (18-20)'!K22/'SECGT10 Sales by Year (18-20)'!K$62</f>
        <v>0.026491278042125688</v>
      </c>
      <c r="L22" s="3">
        <f>'SECGT10 Sales by Year (18-20)'!L22/'SECGT10 Sales by Year (18-20)'!L$62</f>
        <v>0.026844408819282888</v>
      </c>
      <c r="M22" s="3">
        <f>'SECGT10 Sales by Year (18-20)'!M22/'SECGT10 Sales by Year (18-20)'!M$62</f>
        <v>0.027126423983659817</v>
      </c>
      <c r="N22" s="3">
        <f>'SECGT10 Sales by Year (18-20)'!N22/'SECGT10 Sales by Year (18-20)'!N$62</f>
        <v>0.026731150695548503</v>
      </c>
      <c r="O22" s="3">
        <f>'SECGT10 Sales by Year (18-20)'!O22/'SECGT10 Sales by Year (18-20)'!O$62</f>
        <v>0.026581885147207177</v>
      </c>
      <c r="P22" s="60">
        <f>'SECGT10 Sales by Year (18-20)'!P22/'SECGT10 Sales by Year (18-20)'!P$62</f>
        <v>0.026536189438521179</v>
      </c>
    </row>
    <row r="23" spans="1:16" ht="14.4" thickBot="1">
      <c r="A23" s="1">
        <f t="shared" si="0"/>
        <v>13</v>
      </c>
      <c r="B23" s="8" t="s">
        <v>6</v>
      </c>
      <c r="C23" s="2">
        <f>+C18</f>
        <v>2020</v>
      </c>
      <c r="D23" s="3">
        <f>'SECGT10 Sales by Year (18-20)'!D23/'SECGT10 Sales by Year (18-20)'!D63</f>
        <v>0.025894288788584241</v>
      </c>
      <c r="E23" s="3">
        <f>'SECGT10 Sales by Year (18-20)'!E23/'SECGT10 Sales by Year (18-20)'!E63</f>
        <v>0.026102178705781246</v>
      </c>
      <c r="F23" s="3">
        <f>'SECGT10 Sales by Year (18-20)'!F23/'SECGT10 Sales by Year (18-20)'!F63</f>
        <v>0.026976643071204714</v>
      </c>
      <c r="G23" s="3">
        <f>'SECGT10 Sales by Year (18-20)'!G23/'SECGT10 Sales by Year (18-20)'!G63</f>
        <v>0.026618545932887181</v>
      </c>
      <c r="H23" s="3">
        <f>'SECGT10 Sales by Year (18-20)'!H23/'SECGT10 Sales by Year (18-20)'!H63</f>
        <v>0.027465320121506875</v>
      </c>
      <c r="I23" s="3">
        <f>'SECGT10 Sales by Year (18-20)'!I23/'SECGT10 Sales by Year (18-20)'!I63</f>
        <v>0.027920933895019616</v>
      </c>
      <c r="J23" s="3">
        <f>'SECGT10 Sales by Year (18-20)'!J23/'SECGT10 Sales by Year (18-20)'!J63</f>
        <v>0.027597934658917148</v>
      </c>
      <c r="K23" s="3">
        <f>'SECGT10 Sales by Year (18-20)'!K23/'SECGT10 Sales by Year (18-20)'!K63</f>
        <v>0.026923392470693999</v>
      </c>
      <c r="L23" s="3">
        <f>'SECGT10 Sales by Year (18-20)'!L23/'SECGT10 Sales by Year (18-20)'!L63</f>
        <v>0.028233352756905413</v>
      </c>
      <c r="M23" s="3">
        <f>'SECGT10 Sales by Year (18-20)'!M23/'SECGT10 Sales by Year (18-20)'!M63</f>
        <v>0.028262647406903974</v>
      </c>
      <c r="N23" s="3">
        <f>'SECGT10 Sales by Year (18-20)'!N23/'SECGT10 Sales by Year (18-20)'!N63</f>
        <v>0.028721448685945491</v>
      </c>
      <c r="O23" s="3">
        <f>'SECGT10 Sales by Year (18-20)'!O23/'SECGT10 Sales by Year (18-20)'!O63</f>
        <v>0.028113860500144486</v>
      </c>
      <c r="P23" s="60">
        <f>'SECGT10 Sales by Year (18-20)'!P23/'SECGT10 Sales by Year (18-20)'!P63</f>
        <v>0.027422819853087841</v>
      </c>
    </row>
    <row r="24" spans="1:16" ht="13.8">
      <c r="A24" s="1">
        <f t="shared" si="0"/>
        <v>14</v>
      </c>
      <c r="B24" s="8" t="s">
        <v>6</v>
      </c>
      <c r="C24" s="57" t="s">
        <v>1</v>
      </c>
      <c r="D24" s="58">
        <f>'SECGT10 Sales by Year (18-20)'!D24/'SECGT10 Sales by Year (18-20)'!D64</f>
        <v>0.025337905311130865</v>
      </c>
      <c r="E24" s="58">
        <f>'SECGT10 Sales by Year (18-20)'!E24/'SECGT10 Sales by Year (18-20)'!E64</f>
        <v>0.025804771877024815</v>
      </c>
      <c r="F24" s="58">
        <f>'SECGT10 Sales by Year (18-20)'!F24/'SECGT10 Sales by Year (18-20)'!F64</f>
        <v>0.025995809686171701</v>
      </c>
      <c r="G24" s="58">
        <f>'SECGT10 Sales by Year (18-20)'!G24/'SECGT10 Sales by Year (18-20)'!G64</f>
        <v>0.026417204413101452</v>
      </c>
      <c r="H24" s="58">
        <f>'SECGT10 Sales by Year (18-20)'!H24/'SECGT10 Sales by Year (18-20)'!H64</f>
        <v>0.02679193562803538</v>
      </c>
      <c r="I24" s="58">
        <f>'SECGT10 Sales by Year (18-20)'!I24/'SECGT10 Sales by Year (18-20)'!I64</f>
        <v>0.027309183887591484</v>
      </c>
      <c r="J24" s="58">
        <f>'SECGT10 Sales by Year (18-20)'!J24/'SECGT10 Sales by Year (18-20)'!J64</f>
        <v>0.026286855984828477</v>
      </c>
      <c r="K24" s="58">
        <f>'SECGT10 Sales by Year (18-20)'!K24/'SECGT10 Sales by Year (18-20)'!K64</f>
        <v>0.026398516252595896</v>
      </c>
      <c r="L24" s="58">
        <f>'SECGT10 Sales by Year (18-20)'!L24/'SECGT10 Sales by Year (18-20)'!L64</f>
        <v>0.02712340452902395</v>
      </c>
      <c r="M24" s="58">
        <f>'SECGT10 Sales by Year (18-20)'!M24/'SECGT10 Sales by Year (18-20)'!M64</f>
        <v>0.027214591669002561</v>
      </c>
      <c r="N24" s="58">
        <f>'SECGT10 Sales by Year (18-20)'!N24/'SECGT10 Sales by Year (18-20)'!N64</f>
        <v>0.027325780858472117</v>
      </c>
      <c r="O24" s="58">
        <f>'SECGT10 Sales by Year (18-20)'!O24/'SECGT10 Sales by Year (18-20)'!O64</f>
        <v>0.026840677749518826</v>
      </c>
      <c r="P24" s="61">
        <f>'SECGT10 Sales by Year (18-20)'!P24/'SECGT10 Sales by Year (18-20)'!P64</f>
        <v>0.026588223079062112</v>
      </c>
    </row>
    <row r="25" spans="1:16" ht="13.8">
      <c r="A25" s="1">
        <f t="shared" si="0"/>
        <v>15</v>
      </c>
      <c r="B25" s="8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7" ht="13.8">
      <c r="A26" s="1">
        <f t="shared" si="0"/>
        <v>16</v>
      </c>
      <c r="B26" s="8" t="s">
        <v>7</v>
      </c>
      <c r="C26" s="2">
        <f>+C21</f>
        <v>2018</v>
      </c>
      <c r="D26" s="3">
        <f>'SECGT10 Sales by Year (18-20)'!D26/'SECGT10 Sales by Year (18-20)'!D61</f>
        <v>0.026258853767294928</v>
      </c>
      <c r="E26" s="3">
        <f>'SECGT10 Sales by Year (18-20)'!E26/'SECGT10 Sales by Year (18-20)'!E$61</f>
        <v>0.026822359357499572</v>
      </c>
      <c r="F26" s="3">
        <f>'SECGT10 Sales by Year (18-20)'!F26/'SECGT10 Sales by Year (18-20)'!F$61</f>
        <v>0.025558413896610586</v>
      </c>
      <c r="G26" s="3">
        <f>'SECGT10 Sales by Year (18-20)'!G26/'SECGT10 Sales by Year (18-20)'!G$61</f>
        <v>0.026240203185313386</v>
      </c>
      <c r="H26" s="3">
        <f>'SECGT10 Sales by Year (18-20)'!H26/'SECGT10 Sales by Year (18-20)'!H$61</f>
        <v>0.026643222931611678</v>
      </c>
      <c r="I26" s="3">
        <f>'SECGT10 Sales by Year (18-20)'!I26/'SECGT10 Sales by Year (18-20)'!I$61</f>
        <v>0.027013216555420341</v>
      </c>
      <c r="J26" s="3">
        <f>'SECGT10 Sales by Year (18-20)'!J26/'SECGT10 Sales by Year (18-20)'!J$61</f>
        <v>0.026429989239633769</v>
      </c>
      <c r="K26" s="3">
        <f>'SECGT10 Sales by Year (18-20)'!K26/'SECGT10 Sales by Year (18-20)'!K$61</f>
        <v>0.027043847067524933</v>
      </c>
      <c r="L26" s="3">
        <f>'SECGT10 Sales by Year (18-20)'!L26/'SECGT10 Sales by Year (18-20)'!L$61</f>
        <v>0.027291431210012648</v>
      </c>
      <c r="M26" s="3">
        <f>'SECGT10 Sales by Year (18-20)'!M26/'SECGT10 Sales by Year (18-20)'!M$61</f>
        <v>0.02677634646264148</v>
      </c>
      <c r="N26" s="3">
        <f>'SECGT10 Sales by Year (18-20)'!N26/'SECGT10 Sales by Year (18-20)'!N$61</f>
        <v>0.026019385583047394</v>
      </c>
      <c r="O26" s="3">
        <f>'SECGT10 Sales by Year (18-20)'!O26/'SECGT10 Sales by Year (18-20)'!O$61</f>
        <v>0.025692940378635447</v>
      </c>
      <c r="P26" s="60">
        <f>'SECGT10 Sales by Year (18-20)'!P26/'SECGT10 Sales by Year (18-20)'!P$61</f>
        <v>0.026532890922991648</v>
      </c>
      <c r="Q26" s="4"/>
    </row>
    <row r="27" spans="1:16" ht="13.8">
      <c r="A27" s="1">
        <f t="shared" si="0"/>
        <v>17</v>
      </c>
      <c r="B27" s="8" t="s">
        <v>7</v>
      </c>
      <c r="C27" s="2">
        <f>+C22</f>
        <v>2019</v>
      </c>
      <c r="D27" s="3">
        <f>'SECGT10 Sales by Year (18-20)'!D27/'SECGT10 Sales by Year (18-20)'!D62</f>
        <v>0.025800481981348027</v>
      </c>
      <c r="E27" s="3">
        <f>'SECGT10 Sales by Year (18-20)'!E27/'SECGT10 Sales by Year (18-20)'!E$62</f>
        <v>0.025610397535511212</v>
      </c>
      <c r="F27" s="3">
        <f>'SECGT10 Sales by Year (18-20)'!F27/'SECGT10 Sales by Year (18-20)'!F$62</f>
        <v>0.026077432024096289</v>
      </c>
      <c r="G27" s="3">
        <f>'SECGT10 Sales by Year (18-20)'!G27/'SECGT10 Sales by Year (18-20)'!G$62</f>
        <v>0.025855499218195022</v>
      </c>
      <c r="H27" s="3">
        <f>'SECGT10 Sales by Year (18-20)'!H27/'SECGT10 Sales by Year (18-20)'!H$62</f>
        <v>0.026343626035475395</v>
      </c>
      <c r="I27" s="3">
        <f>'SECGT10 Sales by Year (18-20)'!I27/'SECGT10 Sales by Year (18-20)'!I$62</f>
        <v>0.02687935742580437</v>
      </c>
      <c r="J27" s="3">
        <f>'SECGT10 Sales by Year (18-20)'!J27/'SECGT10 Sales by Year (18-20)'!J$62</f>
        <v>0.026487072819861224</v>
      </c>
      <c r="K27" s="3">
        <f>'SECGT10 Sales by Year (18-20)'!K27/'SECGT10 Sales by Year (18-20)'!K$62</f>
        <v>0.026194246075147878</v>
      </c>
      <c r="L27" s="3">
        <f>'SECGT10 Sales by Year (18-20)'!L27/'SECGT10 Sales by Year (18-20)'!L$62</f>
        <v>0.027036489629438214</v>
      </c>
      <c r="M27" s="3">
        <f>'SECGT10 Sales by Year (18-20)'!M27/'SECGT10 Sales by Year (18-20)'!M$62</f>
        <v>0.027479593535042895</v>
      </c>
      <c r="N27" s="3">
        <f>'SECGT10 Sales by Year (18-20)'!N27/'SECGT10 Sales by Year (18-20)'!N$62</f>
        <v>0.027174624830587277</v>
      </c>
      <c r="O27" s="3">
        <f>'SECGT10 Sales by Year (18-20)'!O27/'SECGT10 Sales by Year (18-20)'!O$62</f>
        <v>0.026699554532242431</v>
      </c>
      <c r="P27" s="60">
        <f>'SECGT10 Sales by Year (18-20)'!P27/'SECGT10 Sales by Year (18-20)'!P$62</f>
        <v>0.026507235964546141</v>
      </c>
    </row>
    <row r="28" spans="1:16" ht="14.4" thickBot="1">
      <c r="A28" s="1">
        <f t="shared" si="0"/>
        <v>18</v>
      </c>
      <c r="B28" s="8" t="s">
        <v>7</v>
      </c>
      <c r="C28" s="2">
        <f>+C23</f>
        <v>2020</v>
      </c>
      <c r="D28" s="3">
        <f>'SECGT10 Sales by Year (18-20)'!D28/'SECGT10 Sales by Year (18-20)'!D63</f>
        <v>0.02608083025083005</v>
      </c>
      <c r="E28" s="3">
        <f>'SECGT10 Sales by Year (18-20)'!E28/'SECGT10 Sales by Year (18-20)'!E63</f>
        <v>0.026452445193664933</v>
      </c>
      <c r="F28" s="3">
        <f>'SECGT10 Sales by Year (18-20)'!F28/'SECGT10 Sales by Year (18-20)'!F63</f>
        <v>0.027029698341242865</v>
      </c>
      <c r="G28" s="3">
        <f>'SECGT10 Sales by Year (18-20)'!G28/'SECGT10 Sales by Year (18-20)'!G63</f>
        <v>0.026334573321496881</v>
      </c>
      <c r="H28" s="3">
        <f>'SECGT10 Sales by Year (18-20)'!H28/'SECGT10 Sales by Year (18-20)'!H63</f>
        <v>0.026367929721885976</v>
      </c>
      <c r="I28" s="3">
        <f>'SECGT10 Sales by Year (18-20)'!I28/'SECGT10 Sales by Year (18-20)'!I63</f>
        <v>0.027725198027574102</v>
      </c>
      <c r="J28" s="3">
        <f>'SECGT10 Sales by Year (18-20)'!J28/'SECGT10 Sales by Year (18-20)'!J63</f>
        <v>0.027816077277811525</v>
      </c>
      <c r="K28" s="3">
        <f>'SECGT10 Sales by Year (18-20)'!K28/'SECGT10 Sales by Year (18-20)'!K63</f>
        <v>0.027488340016019852</v>
      </c>
      <c r="L28" s="3">
        <f>'SECGT10 Sales by Year (18-20)'!L28/'SECGT10 Sales by Year (18-20)'!L63</f>
        <v>0.028799918963381261</v>
      </c>
      <c r="M28" s="3">
        <f>'SECGT10 Sales by Year (18-20)'!M28/'SECGT10 Sales by Year (18-20)'!M63</f>
        <v>0.027609959471735994</v>
      </c>
      <c r="N28" s="3">
        <f>'SECGT10 Sales by Year (18-20)'!N28/'SECGT10 Sales by Year (18-20)'!N63</f>
        <v>0.027556890705157131</v>
      </c>
      <c r="O28" s="3">
        <f>'SECGT10 Sales by Year (18-20)'!O28/'SECGT10 Sales by Year (18-20)'!O63</f>
        <v>0.027629403550170559</v>
      </c>
      <c r="P28" s="60">
        <f>'SECGT10 Sales by Year (18-20)'!P28/'SECGT10 Sales by Year (18-20)'!P63</f>
        <v>0.027306275172322859</v>
      </c>
    </row>
    <row r="29" spans="1:16" ht="13.8">
      <c r="A29" s="1">
        <f t="shared" si="0"/>
        <v>19</v>
      </c>
      <c r="B29" s="8" t="s">
        <v>7</v>
      </c>
      <c r="C29" s="57" t="s">
        <v>1</v>
      </c>
      <c r="D29" s="58">
        <f>'SECGT10 Sales by Year (18-20)'!D29/'SECGT10 Sales by Year (18-20)'!D64</f>
        <v>0.026053193814703224</v>
      </c>
      <c r="E29" s="58">
        <f>'SECGT10 Sales by Year (18-20)'!E29/'SECGT10 Sales by Year (18-20)'!E64</f>
        <v>0.026280249196006165</v>
      </c>
      <c r="F29" s="58">
        <f>'SECGT10 Sales by Year (18-20)'!F29/'SECGT10 Sales by Year (18-20)'!F64</f>
        <v>0.026216849694386864</v>
      </c>
      <c r="G29" s="58">
        <f>'SECGT10 Sales by Year (18-20)'!G29/'SECGT10 Sales by Year (18-20)'!G64</f>
        <v>0.026140088743876678</v>
      </c>
      <c r="H29" s="58">
        <f>'SECGT10 Sales by Year (18-20)'!H29/'SECGT10 Sales by Year (18-20)'!H64</f>
        <v>0.026454499375097175</v>
      </c>
      <c r="I29" s="58">
        <f>'SECGT10 Sales by Year (18-20)'!I29/'SECGT10 Sales by Year (18-20)'!I64</f>
        <v>0.027186127459384618</v>
      </c>
      <c r="J29" s="58">
        <f>'SECGT10 Sales by Year (18-20)'!J29/'SECGT10 Sales by Year (18-20)'!J64</f>
        <v>0.026890049807679596</v>
      </c>
      <c r="K29" s="58">
        <f>'SECGT10 Sales by Year (18-20)'!K29/'SECGT10 Sales by Year (18-20)'!K64</f>
        <v>0.026900894459351024</v>
      </c>
      <c r="L29" s="58">
        <f>'SECGT10 Sales by Year (18-20)'!L29/'SECGT10 Sales by Year (18-20)'!L64</f>
        <v>0.027665437011636755</v>
      </c>
      <c r="M29" s="58">
        <f>'SECGT10 Sales by Year (18-20)'!M29/'SECGT10 Sales by Year (18-20)'!M64</f>
        <v>0.027287705116440974</v>
      </c>
      <c r="N29" s="58">
        <f>'SECGT10 Sales by Year (18-20)'!N29/'SECGT10 Sales by Year (18-20)'!N64</f>
        <v>0.026926175777508714</v>
      </c>
      <c r="O29" s="58">
        <f>'SECGT10 Sales by Year (18-20)'!O29/'SECGT10 Sales by Year (18-20)'!O64</f>
        <v>0.026651586665626236</v>
      </c>
      <c r="P29" s="61">
        <f>'SECGT10 Sales by Year (18-20)'!P29/'SECGT10 Sales by Year (18-20)'!P64</f>
        <v>0.026768723305546093</v>
      </c>
    </row>
    <row r="30" spans="1:16" ht="13.8">
      <c r="A30" s="1">
        <f t="shared" si="0"/>
        <v>20</v>
      </c>
      <c r="B30" s="8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 ht="13.8">
      <c r="A31" s="1">
        <f t="shared" si="0"/>
        <v>21</v>
      </c>
      <c r="B31" s="8" t="s">
        <v>8</v>
      </c>
      <c r="C31" s="2">
        <f>+C26</f>
        <v>2018</v>
      </c>
      <c r="D31" s="3">
        <f>'SECGT10 Sales by Year (18-20)'!D31/'SECGT10 Sales by Year (18-20)'!D61</f>
        <v>0.030270107129425454</v>
      </c>
      <c r="E31" s="3">
        <f>'SECGT10 Sales by Year (18-20)'!E31/'SECGT10 Sales by Year (18-20)'!E$61</f>
        <v>0.031322440376262473</v>
      </c>
      <c r="F31" s="3">
        <f>'SECGT10 Sales by Year (18-20)'!F31/'SECGT10 Sales by Year (18-20)'!F$61</f>
        <v>0.030515760474130769</v>
      </c>
      <c r="G31" s="3">
        <f>'SECGT10 Sales by Year (18-20)'!G31/'SECGT10 Sales by Year (18-20)'!G$61</f>
        <v>0.030685661472051446</v>
      </c>
      <c r="H31" s="3">
        <f>'SECGT10 Sales by Year (18-20)'!H31/'SECGT10 Sales by Year (18-20)'!H$61</f>
        <v>0.030955840503188763</v>
      </c>
      <c r="I31" s="3">
        <f>'SECGT10 Sales by Year (18-20)'!I31/'SECGT10 Sales by Year (18-20)'!I$61</f>
        <v>0.031551427600931416</v>
      </c>
      <c r="J31" s="3">
        <f>'SECGT10 Sales by Year (18-20)'!J31/'SECGT10 Sales by Year (18-20)'!J$61</f>
        <v>0.031532290964357952</v>
      </c>
      <c r="K31" s="3">
        <f>'SECGT10 Sales by Year (18-20)'!K31/'SECGT10 Sales by Year (18-20)'!K$61</f>
        <v>0.03153395328564549</v>
      </c>
      <c r="L31" s="3">
        <f>'SECGT10 Sales by Year (18-20)'!L31/'SECGT10 Sales by Year (18-20)'!L$61</f>
        <v>0.031729914610923324</v>
      </c>
      <c r="M31" s="3">
        <f>'SECGT10 Sales by Year (18-20)'!M31/'SECGT10 Sales by Year (18-20)'!M$61</f>
        <v>0.031678197134165371</v>
      </c>
      <c r="N31" s="3">
        <f>'SECGT10 Sales by Year (18-20)'!N31/'SECGT10 Sales by Year (18-20)'!N$61</f>
        <v>0.031080020121209744</v>
      </c>
      <c r="O31" s="3">
        <f>'SECGT10 Sales by Year (18-20)'!O31/'SECGT10 Sales by Year (18-20)'!O$61</f>
        <v>0.030818805975758895</v>
      </c>
      <c r="P31" s="60">
        <f>'SECGT10 Sales by Year (18-20)'!P31/'SECGT10 Sales by Year (18-20)'!P$61</f>
        <v>0.031186519586661604</v>
      </c>
      <c r="Q31" s="4"/>
    </row>
    <row r="32" spans="1:16" ht="13.8">
      <c r="A32" s="1">
        <f t="shared" si="0"/>
        <v>22</v>
      </c>
      <c r="B32" s="8" t="s">
        <v>8</v>
      </c>
      <c r="C32" s="2">
        <f>+C27</f>
        <v>2019</v>
      </c>
      <c r="D32" s="3">
        <f>'SECGT10 Sales by Year (18-20)'!D32/'SECGT10 Sales by Year (18-20)'!D62</f>
        <v>0.030195323883774113</v>
      </c>
      <c r="E32" s="3">
        <f>'SECGT10 Sales by Year (18-20)'!E32/'SECGT10 Sales by Year (18-20)'!E$62</f>
        <v>0.030808807205847534</v>
      </c>
      <c r="F32" s="3">
        <f>'SECGT10 Sales by Year (18-20)'!F32/'SECGT10 Sales by Year (18-20)'!F$62</f>
        <v>0.030363643638390378</v>
      </c>
      <c r="G32" s="3">
        <f>'SECGT10 Sales by Year (18-20)'!G32/'SECGT10 Sales by Year (18-20)'!G$62</f>
        <v>0.030561451393980373</v>
      </c>
      <c r="H32" s="3">
        <f>'SECGT10 Sales by Year (18-20)'!H32/'SECGT10 Sales by Year (18-20)'!H$62</f>
        <v>0.031164639197715643</v>
      </c>
      <c r="I32" s="3">
        <f>'SECGT10 Sales by Year (18-20)'!I32/'SECGT10 Sales by Year (18-20)'!I$62</f>
        <v>0.031510065379499776</v>
      </c>
      <c r="J32" s="3">
        <f>'SECGT10 Sales by Year (18-20)'!J32/'SECGT10 Sales by Year (18-20)'!J$62</f>
        <v>0.031233180916020255</v>
      </c>
      <c r="K32" s="3">
        <f>'SECGT10 Sales by Year (18-20)'!K32/'SECGT10 Sales by Year (18-20)'!K$62</f>
        <v>0.030890538180758688</v>
      </c>
      <c r="L32" s="3">
        <f>'SECGT10 Sales by Year (18-20)'!L32/'SECGT10 Sales by Year (18-20)'!L$62</f>
        <v>0.031518726550330632</v>
      </c>
      <c r="M32" s="3">
        <f>'SECGT10 Sales by Year (18-20)'!M32/'SECGT10 Sales by Year (18-20)'!M$62</f>
        <v>0.031215740240394581</v>
      </c>
      <c r="N32" s="3">
        <f>'SECGT10 Sales by Year (18-20)'!N32/'SECGT10 Sales by Year (18-20)'!N$62</f>
        <v>0.030533166599115879</v>
      </c>
      <c r="O32" s="3">
        <f>'SECGT10 Sales by Year (18-20)'!O32/'SECGT10 Sales by Year (18-20)'!O$62</f>
        <v>0.030207593654587733</v>
      </c>
      <c r="P32" s="60">
        <f>'SECGT10 Sales by Year (18-20)'!P32/'SECGT10 Sales by Year (18-20)'!P$62</f>
        <v>0.03089565125474502</v>
      </c>
    </row>
    <row r="33" spans="1:16" ht="14.4" thickBot="1">
      <c r="A33" s="1">
        <f t="shared" si="0"/>
        <v>23</v>
      </c>
      <c r="B33" s="8" t="s">
        <v>8</v>
      </c>
      <c r="C33" s="2">
        <f>+C28</f>
        <v>2020</v>
      </c>
      <c r="D33" s="3">
        <f>'SECGT10 Sales by Year (18-20)'!D33/'SECGT10 Sales by Year (18-20)'!D63</f>
        <v>0.030382266742654544</v>
      </c>
      <c r="E33" s="3">
        <f>'SECGT10 Sales by Year (18-20)'!E33/'SECGT10 Sales by Year (18-20)'!E63</f>
        <v>0.030190794278344806</v>
      </c>
      <c r="F33" s="3">
        <f>'SECGT10 Sales by Year (18-20)'!F33/'SECGT10 Sales by Year (18-20)'!F63</f>
        <v>0.030411857895100883</v>
      </c>
      <c r="G33" s="3">
        <f>'SECGT10 Sales by Year (18-20)'!G33/'SECGT10 Sales by Year (18-20)'!G63</f>
        <v>0.030248609956117813</v>
      </c>
      <c r="H33" s="3">
        <f>'SECGT10 Sales by Year (18-20)'!H33/'SECGT10 Sales by Year (18-20)'!H63</f>
        <v>0.031382566488655186</v>
      </c>
      <c r="I33" s="3">
        <f>'SECGT10 Sales by Year (18-20)'!I33/'SECGT10 Sales by Year (18-20)'!I63</f>
        <v>0.031556232951807137</v>
      </c>
      <c r="J33" s="3">
        <f>'SECGT10 Sales by Year (18-20)'!J33/'SECGT10 Sales by Year (18-20)'!J63</f>
        <v>0.031871882256860926</v>
      </c>
      <c r="K33" s="3">
        <f>'SECGT10 Sales by Year (18-20)'!K33/'SECGT10 Sales by Year (18-20)'!K63</f>
        <v>0.031671595238720082</v>
      </c>
      <c r="L33" s="3">
        <f>'SECGT10 Sales by Year (18-20)'!L33/'SECGT10 Sales by Year (18-20)'!L63</f>
        <v>0.031964763818006982</v>
      </c>
      <c r="M33" s="3">
        <f>'SECGT10 Sales by Year (18-20)'!M33/'SECGT10 Sales by Year (18-20)'!M63</f>
        <v>0.03156311427388326</v>
      </c>
      <c r="N33" s="3">
        <f>'SECGT10 Sales by Year (18-20)'!N33/'SECGT10 Sales by Year (18-20)'!N63</f>
        <v>0.030760875724206268</v>
      </c>
      <c r="O33" s="3">
        <f>'SECGT10 Sales by Year (18-20)'!O33/'SECGT10 Sales by Year (18-20)'!O63</f>
        <v>0.030536276934577795</v>
      </c>
      <c r="P33" s="60">
        <f>'SECGT10 Sales by Year (18-20)'!P33/'SECGT10 Sales by Year (18-20)'!P63</f>
        <v>0.031107505440957101</v>
      </c>
    </row>
    <row r="34" spans="1:16" ht="13.8">
      <c r="A34" s="1">
        <f t="shared" si="0"/>
        <v>24</v>
      </c>
      <c r="B34" s="8" t="s">
        <v>8</v>
      </c>
      <c r="C34" s="57" t="s">
        <v>1</v>
      </c>
      <c r="D34" s="58">
        <f>'SECGT10 Sales by Year (18-20)'!D34/'SECGT10 Sales by Year (18-20)'!D64</f>
        <v>0.030281909925480965</v>
      </c>
      <c r="E34" s="58">
        <f>'SECGT10 Sales by Year (18-20)'!E34/'SECGT10 Sales by Year (18-20)'!E64</f>
        <v>0.030772471615881161</v>
      </c>
      <c r="F34" s="58">
        <f>'SECGT10 Sales by Year (18-20)'!F34/'SECGT10 Sales by Year (18-20)'!F64</f>
        <v>0.030429795253137996</v>
      </c>
      <c r="G34" s="58">
        <f>'SECGT10 Sales by Year (18-20)'!G34/'SECGT10 Sales by Year (18-20)'!G64</f>
        <v>0.030506279830719258</v>
      </c>
      <c r="H34" s="58">
        <f>'SECGT10 Sales by Year (18-20)'!H34/'SECGT10 Sales by Year (18-20)'!H64</f>
        <v>0.031158834511381531</v>
      </c>
      <c r="I34" s="58">
        <f>'SECGT10 Sales by Year (18-20)'!I34/'SECGT10 Sales by Year (18-20)'!I64</f>
        <v>0.03153909601699157</v>
      </c>
      <c r="J34" s="58">
        <f>'SECGT10 Sales by Year (18-20)'!J34/'SECGT10 Sales by Year (18-20)'!J64</f>
        <v>0.031544031145575309</v>
      </c>
      <c r="K34" s="58">
        <f>'SECGT10 Sales by Year (18-20)'!K34/'SECGT10 Sales by Year (18-20)'!K64</f>
        <v>0.031362228969243663</v>
      </c>
      <c r="L34" s="58">
        <f>'SECGT10 Sales by Year (18-20)'!L34/'SECGT10 Sales by Year (18-20)'!L64</f>
        <v>0.031727101608642387</v>
      </c>
      <c r="M34" s="58">
        <f>'SECGT10 Sales by Year (18-20)'!M34/'SECGT10 Sales by Year (18-20)'!M64</f>
        <v>0.031473234610709312</v>
      </c>
      <c r="N34" s="58">
        <f>'SECGT10 Sales by Year (18-20)'!N34/'SECGT10 Sales by Year (18-20)'!N64</f>
        <v>0.030786946097982333</v>
      </c>
      <c r="O34" s="58">
        <f>'SECGT10 Sales by Year (18-20)'!O34/'SECGT10 Sales by Year (18-20)'!O64</f>
        <v>0.030519769316008496</v>
      </c>
      <c r="P34" s="61">
        <f>'SECGT10 Sales by Year (18-20)'!P34/'SECGT10 Sales by Year (18-20)'!P64</f>
        <v>0.031062164453623413</v>
      </c>
    </row>
    <row r="35" spans="1:3" ht="13.8">
      <c r="A35" s="1">
        <f t="shared" si="0"/>
        <v>25</v>
      </c>
      <c r="B35" s="8"/>
      <c r="C35" s="4"/>
    </row>
    <row r="36" spans="1:17" ht="13.8">
      <c r="A36" s="1">
        <f t="shared" si="0"/>
        <v>26</v>
      </c>
      <c r="B36" s="8" t="s">
        <v>3</v>
      </c>
      <c r="C36" s="2">
        <f>+C31</f>
        <v>2018</v>
      </c>
      <c r="D36" s="3">
        <f>'SECGT10 Sales by Year (18-20)'!D36/'SECGT10 Sales by Year (18-20)'!D61</f>
        <v>0.031784387865351739</v>
      </c>
      <c r="E36" s="3">
        <f>'SECGT10 Sales by Year (18-20)'!E36/'SECGT10 Sales by Year (18-20)'!E$61</f>
        <v>0.033675021371234105</v>
      </c>
      <c r="F36" s="3">
        <f>'SECGT10 Sales by Year (18-20)'!F36/'SECGT10 Sales by Year (18-20)'!F$61</f>
        <v>0.033119792597773048</v>
      </c>
      <c r="G36" s="3">
        <f>'SECGT10 Sales by Year (18-20)'!G36/'SECGT10 Sales by Year (18-20)'!G$61</f>
        <v>0.032886159812036936</v>
      </c>
      <c r="H36" s="3">
        <f>'SECGT10 Sales by Year (18-20)'!H36/'SECGT10 Sales by Year (18-20)'!H$61</f>
        <v>0.032861996399134764</v>
      </c>
      <c r="I36" s="3">
        <f>'SECGT10 Sales by Year (18-20)'!I36/'SECGT10 Sales by Year (18-20)'!I$61</f>
        <v>0.033824727582205595</v>
      </c>
      <c r="J36" s="3">
        <f>'SECGT10 Sales by Year (18-20)'!J36/'SECGT10 Sales by Year (18-20)'!J$61</f>
        <v>0.033772557365594598</v>
      </c>
      <c r="K36" s="3">
        <f>'SECGT10 Sales by Year (18-20)'!K36/'SECGT10 Sales by Year (18-20)'!K$61</f>
        <v>0.034072087811518367</v>
      </c>
      <c r="L36" s="3">
        <f>'SECGT10 Sales by Year (18-20)'!L36/'SECGT10 Sales by Year (18-20)'!L$61</f>
        <v>0.034787787085802969</v>
      </c>
      <c r="M36" s="3">
        <f>'SECGT10 Sales by Year (18-20)'!M36/'SECGT10 Sales by Year (18-20)'!M$61</f>
        <v>0.034804801207839013</v>
      </c>
      <c r="N36" s="3">
        <f>'SECGT10 Sales by Year (18-20)'!N36/'SECGT10 Sales by Year (18-20)'!N$61</f>
        <v>0.033722832075656281</v>
      </c>
      <c r="O36" s="3">
        <f>'SECGT10 Sales by Year (18-20)'!O36/'SECGT10 Sales by Year (18-20)'!O$61</f>
        <v>0.032889891711610469</v>
      </c>
      <c r="P36" s="60">
        <f>'SECGT10 Sales by Year (18-20)'!P36/'SECGT10 Sales by Year (18-20)'!P$61</f>
        <v>0.033581266826556537</v>
      </c>
      <c r="Q36" s="4"/>
    </row>
    <row r="37" spans="1:16" ht="13.8">
      <c r="A37" s="1">
        <f t="shared" si="0"/>
        <v>27</v>
      </c>
      <c r="B37" s="8" t="s">
        <v>3</v>
      </c>
      <c r="C37" s="2">
        <f>+C32</f>
        <v>2019</v>
      </c>
      <c r="D37" s="3">
        <f>'SECGT10 Sales by Year (18-20)'!D37/'SECGT10 Sales by Year (18-20)'!D62</f>
        <v>0.032493359893659271</v>
      </c>
      <c r="E37" s="3">
        <f>'SECGT10 Sales by Year (18-20)'!E37/'SECGT10 Sales by Year (18-20)'!E$62</f>
        <v>0.03230020563758515</v>
      </c>
      <c r="F37" s="3">
        <f>'SECGT10 Sales by Year (18-20)'!F37/'SECGT10 Sales by Year (18-20)'!F$62</f>
        <v>0.032699045963237479</v>
      </c>
      <c r="G37" s="3">
        <f>'SECGT10 Sales by Year (18-20)'!G37/'SECGT10 Sales by Year (18-20)'!G$62</f>
        <v>0.032758482837717783</v>
      </c>
      <c r="H37" s="3">
        <f>'SECGT10 Sales by Year (18-20)'!H37/'SECGT10 Sales by Year (18-20)'!H$62</f>
        <v>0.033275805676969757</v>
      </c>
      <c r="I37" s="3">
        <f>'SECGT10 Sales by Year (18-20)'!I37/'SECGT10 Sales by Year (18-20)'!I$62</f>
        <v>0.033946982490986329</v>
      </c>
      <c r="J37" s="3">
        <f>'SECGT10 Sales by Year (18-20)'!J37/'SECGT10 Sales by Year (18-20)'!J$62</f>
        <v>0.033044041009525946</v>
      </c>
      <c r="K37" s="3">
        <f>'SECGT10 Sales by Year (18-20)'!K37/'SECGT10 Sales by Year (18-20)'!K$62</f>
        <v>0.033332300785632422</v>
      </c>
      <c r="L37" s="3">
        <f>'SECGT10 Sales by Year (18-20)'!L37/'SECGT10 Sales by Year (18-20)'!L$62</f>
        <v>0.034568922745728092</v>
      </c>
      <c r="M37" s="3">
        <f>'SECGT10 Sales by Year (18-20)'!M37/'SECGT10 Sales by Year (18-20)'!M$62</f>
        <v>0.033433803036211851</v>
      </c>
      <c r="N37" s="3">
        <f>'SECGT10 Sales by Year (18-20)'!N37/'SECGT10 Sales by Year (18-20)'!N$62</f>
        <v>0.033387400633348316</v>
      </c>
      <c r="O37" s="3">
        <f>'SECGT10 Sales by Year (18-20)'!O37/'SECGT10 Sales by Year (18-20)'!O$62</f>
        <v>0.032223437179193723</v>
      </c>
      <c r="P37" s="60">
        <f>'SECGT10 Sales by Year (18-20)'!P37/'SECGT10 Sales by Year (18-20)'!P$62</f>
        <v>0.033187156305046366</v>
      </c>
    </row>
    <row r="38" spans="1:16" ht="14.4" thickBot="1">
      <c r="A38" s="1">
        <f t="shared" si="0"/>
        <v>28</v>
      </c>
      <c r="B38" s="8" t="s">
        <v>3</v>
      </c>
      <c r="C38" s="2">
        <f>+C33</f>
        <v>2020</v>
      </c>
      <c r="D38" s="3">
        <f>'SECGT10 Sales by Year (18-20)'!D38/'SECGT10 Sales by Year (18-20)'!D63</f>
        <v>0.031781533045255474</v>
      </c>
      <c r="E38" s="3">
        <f>'SECGT10 Sales by Year (18-20)'!E38/'SECGT10 Sales by Year (18-20)'!E63</f>
        <v>0.031685435682618848</v>
      </c>
      <c r="F38" s="3">
        <f>'SECGT10 Sales by Year (18-20)'!F38/'SECGT10 Sales by Year (18-20)'!F63</f>
        <v>0.032668326655530454</v>
      </c>
      <c r="G38" s="3">
        <f>'SECGT10 Sales by Year (18-20)'!G38/'SECGT10 Sales by Year (18-20)'!G63</f>
        <v>0.032365033773070137</v>
      </c>
      <c r="H38" s="3">
        <f>'SECGT10 Sales by Year (18-20)'!H38/'SECGT10 Sales by Year (18-20)'!H63</f>
        <v>0.032958588899041318</v>
      </c>
      <c r="I38" s="3">
        <f>'SECGT10 Sales by Year (18-20)'!I38/'SECGT10 Sales by Year (18-20)'!I63</f>
        <v>0.033734400183951213</v>
      </c>
      <c r="J38" s="3">
        <f>'SECGT10 Sales by Year (18-20)'!J38/'SECGT10 Sales by Year (18-20)'!J63</f>
        <v>0.033408056751546018</v>
      </c>
      <c r="K38" s="3">
        <f>'SECGT10 Sales by Year (18-20)'!K38/'SECGT10 Sales by Year (18-20)'!K63</f>
        <v>0.034007149862275973</v>
      </c>
      <c r="L38" s="3">
        <f>'SECGT10 Sales by Year (18-20)'!L38/'SECGT10 Sales by Year (18-20)'!L63</f>
        <v>0.03446096882931271</v>
      </c>
      <c r="M38" s="3">
        <f>'SECGT10 Sales by Year (18-20)'!M38/'SECGT10 Sales by Year (18-20)'!M63</f>
        <v>0.033813922842105507</v>
      </c>
      <c r="N38" s="3">
        <f>'SECGT10 Sales by Year (18-20)'!N38/'SECGT10 Sales by Year (18-20)'!N63</f>
        <v>0.033336508121549854</v>
      </c>
      <c r="O38" s="3">
        <f>'SECGT10 Sales by Year (18-20)'!O38/'SECGT10 Sales by Year (18-20)'!O63</f>
        <v>0.031910685496304117</v>
      </c>
      <c r="P38" s="60">
        <f>'SECGT10 Sales by Year (18-20)'!P38/'SECGT10 Sales by Year (18-20)'!P63</f>
        <v>0.033091079710382977</v>
      </c>
    </row>
    <row r="39" spans="1:16" ht="13.8">
      <c r="A39" s="1">
        <f t="shared" si="0"/>
        <v>29</v>
      </c>
      <c r="B39" s="8" t="s">
        <v>3</v>
      </c>
      <c r="C39" s="57" t="s">
        <v>1</v>
      </c>
      <c r="D39" s="58">
        <f>'SECGT10 Sales by Year (18-20)'!D39/'SECGT10 Sales by Year (18-20)'!D64</f>
        <v>0.032013122997715755</v>
      </c>
      <c r="E39" s="58">
        <f>'SECGT10 Sales by Year (18-20)'!E39/'SECGT10 Sales by Year (18-20)'!E64</f>
        <v>0.032544374549329576</v>
      </c>
      <c r="F39" s="58">
        <f>'SECGT10 Sales by Year (18-20)'!F39/'SECGT10 Sales by Year (18-20)'!F64</f>
        <v>0.032828373090107575</v>
      </c>
      <c r="G39" s="58">
        <f>'SECGT10 Sales by Year (18-20)'!G39/'SECGT10 Sales by Year (18-20)'!G64</f>
        <v>0.032679163024454137</v>
      </c>
      <c r="H39" s="58">
        <f>'SECGT10 Sales by Year (18-20)'!H39/'SECGT10 Sales by Year (18-20)'!H64</f>
        <v>0.03303635472182348</v>
      </c>
      <c r="I39" s="58">
        <f>'SECGT10 Sales by Year (18-20)'!I39/'SECGT10 Sales by Year (18-20)'!I64</f>
        <v>0.033837913756144262</v>
      </c>
      <c r="J39" s="58">
        <f>'SECGT10 Sales by Year (18-20)'!J39/'SECGT10 Sales by Year (18-20)'!J64</f>
        <v>0.033421466637554464</v>
      </c>
      <c r="K39" s="58">
        <f>'SECGT10 Sales by Year (18-20)'!K39/'SECGT10 Sales by Year (18-20)'!K64</f>
        <v>0.033803454002396698</v>
      </c>
      <c r="L39" s="58">
        <f>'SECGT10 Sales by Year (18-20)'!L39/'SECGT10 Sales by Year (18-20)'!L64</f>
        <v>0.034609199337795472</v>
      </c>
      <c r="M39" s="58">
        <f>'SECGT10 Sales by Year (18-20)'!M39/'SECGT10 Sales by Year (18-20)'!M64</f>
        <v>0.034000192784841246</v>
      </c>
      <c r="N39" s="58">
        <f>'SECGT10 Sales by Year (18-20)'!N39/'SECGT10 Sales by Year (18-20)'!N64</f>
        <v>0.033479565929361459</v>
      </c>
      <c r="O39" s="58">
        <f>'SECGT10 Sales by Year (18-20)'!O39/'SECGT10 Sales by Year (18-20)'!O64</f>
        <v>0.032351166892580052</v>
      </c>
      <c r="P39" s="61">
        <f>'SECGT10 Sales by Year (18-20)'!P39/'SECGT10 Sales by Year (18-20)'!P64</f>
        <v>0.033291601652564735</v>
      </c>
    </row>
    <row r="40" spans="1:2" ht="13.8">
      <c r="A40" s="1">
        <f t="shared" si="0"/>
        <v>30</v>
      </c>
      <c r="B40" s="8"/>
    </row>
    <row r="41" spans="1:17" ht="13.8">
      <c r="A41" s="1">
        <f t="shared" si="0"/>
        <v>31</v>
      </c>
      <c r="B41" s="8" t="s">
        <v>9</v>
      </c>
      <c r="C41" s="2">
        <f>+C36</f>
        <v>2018</v>
      </c>
      <c r="D41" s="3">
        <f>'SECGT10 Sales by Year (18-20)'!D41/'SECGT10 Sales by Year (18-20)'!D61</f>
        <v>0.012477414305095356</v>
      </c>
      <c r="E41" s="3">
        <f>'SECGT10 Sales by Year (18-20)'!E41/'SECGT10 Sales by Year (18-20)'!E$61</f>
        <v>0.012498043309716784</v>
      </c>
      <c r="F41" s="3">
        <f>'SECGT10 Sales by Year (18-20)'!F41/'SECGT10 Sales by Year (18-20)'!F$61</f>
        <v>0.011567889977379247</v>
      </c>
      <c r="G41" s="3">
        <f>'SECGT10 Sales by Year (18-20)'!G41/'SECGT10 Sales by Year (18-20)'!G$61</f>
        <v>0.011704398212696077</v>
      </c>
      <c r="H41" s="3">
        <f>'SECGT10 Sales by Year (18-20)'!H41/'SECGT10 Sales by Year (18-20)'!H$61</f>
        <v>0.011532997627051001</v>
      </c>
      <c r="I41" s="3">
        <f>'SECGT10 Sales by Year (18-20)'!I41/'SECGT10 Sales by Year (18-20)'!I$61</f>
        <v>0.011704817096763315</v>
      </c>
      <c r="J41" s="3">
        <f>'SECGT10 Sales by Year (18-20)'!J41/'SECGT10 Sales by Year (18-20)'!J$61</f>
        <v>0.012101306411879691</v>
      </c>
      <c r="K41" s="3">
        <f>'SECGT10 Sales by Year (18-20)'!K41/'SECGT10 Sales by Year (18-20)'!K$61</f>
        <v>0.011730493191929198</v>
      </c>
      <c r="L41" s="3">
        <f>'SECGT10 Sales by Year (18-20)'!L41/'SECGT10 Sales by Year (18-20)'!L$61</f>
        <v>0.011712970606742213</v>
      </c>
      <c r="M41" s="3">
        <f>'SECGT10 Sales by Year (18-20)'!M41/'SECGT10 Sales by Year (18-20)'!M$61</f>
        <v>0.011083031161977255</v>
      </c>
      <c r="N41" s="3">
        <f>'SECGT10 Sales by Year (18-20)'!N41/'SECGT10 Sales by Year (18-20)'!N$61</f>
        <v>0.011929877593112342</v>
      </c>
      <c r="O41" s="3">
        <f>'SECGT10 Sales by Year (18-20)'!O41/'SECGT10 Sales by Year (18-20)'!O$61</f>
        <v>0.011719609651261989</v>
      </c>
      <c r="P41" s="60">
        <f>'SECGT10 Sales by Year (18-20)'!P41/'SECGT10 Sales by Year (18-20)'!P$61</f>
        <v>0.01181069788350113</v>
      </c>
      <c r="Q41" s="4"/>
    </row>
    <row r="42" spans="1:16" ht="13.8">
      <c r="A42" s="1">
        <f t="shared" si="0"/>
        <v>32</v>
      </c>
      <c r="B42" s="8" t="s">
        <v>9</v>
      </c>
      <c r="C42" s="2">
        <f>+C37</f>
        <v>2019</v>
      </c>
      <c r="D42" s="3">
        <f>'SECGT10 Sales by Year (18-20)'!D42/'SECGT10 Sales by Year (18-20)'!D62</f>
        <v>0.012181416457625908</v>
      </c>
      <c r="E42" s="3">
        <f>'SECGT10 Sales by Year (18-20)'!E42/'SECGT10 Sales by Year (18-20)'!E$62</f>
        <v>0.011911704552720209</v>
      </c>
      <c r="F42" s="3">
        <f>'SECGT10 Sales by Year (18-20)'!F42/'SECGT10 Sales by Year (18-20)'!F$62</f>
        <v>0.011452178773820116</v>
      </c>
      <c r="G42" s="3">
        <f>'SECGT10 Sales by Year (18-20)'!G42/'SECGT10 Sales by Year (18-20)'!G$62</f>
        <v>0.011435290172593218</v>
      </c>
      <c r="H42" s="3">
        <f>'SECGT10 Sales by Year (18-20)'!H42/'SECGT10 Sales by Year (18-20)'!H$62</f>
        <v>0.010879610633130537</v>
      </c>
      <c r="I42" s="3">
        <f>'SECGT10 Sales by Year (18-20)'!I42/'SECGT10 Sales by Year (18-20)'!I$62</f>
        <v>0.010736197039868901</v>
      </c>
      <c r="J42" s="3">
        <f>'SECGT10 Sales by Year (18-20)'!J42/'SECGT10 Sales by Year (18-20)'!J$62</f>
        <v>0.011258811723309429</v>
      </c>
      <c r="K42" s="3">
        <f>'SECGT10 Sales by Year (18-20)'!K42/'SECGT10 Sales by Year (18-20)'!K$62</f>
        <v>0.012193660213458735</v>
      </c>
      <c r="L42" s="3">
        <f>'SECGT10 Sales by Year (18-20)'!L42/'SECGT10 Sales by Year (18-20)'!L$62</f>
        <v>0.011866759801042818</v>
      </c>
      <c r="M42" s="3">
        <f>'SECGT10 Sales by Year (18-20)'!M42/'SECGT10 Sales by Year (18-20)'!M$62</f>
        <v>0.010919154416371471</v>
      </c>
      <c r="N42" s="3">
        <f>'SECGT10 Sales by Year (18-20)'!N42/'SECGT10 Sales by Year (18-20)'!N$62</f>
        <v>0.011254756828853208</v>
      </c>
      <c r="O42" s="3">
        <f>'SECGT10 Sales by Year (18-20)'!O42/'SECGT10 Sales by Year (18-20)'!O$62</f>
        <v>0.011629486973208997</v>
      </c>
      <c r="P42" s="60">
        <f>'SECGT10 Sales by Year (18-20)'!P42/'SECGT10 Sales by Year (18-20)'!P$62</f>
        <v>0.011483703387023043</v>
      </c>
    </row>
    <row r="43" spans="1:16" ht="14.4" thickBot="1">
      <c r="A43" s="1">
        <f t="shared" si="0"/>
        <v>33</v>
      </c>
      <c r="B43" s="8" t="s">
        <v>9</v>
      </c>
      <c r="C43" s="2">
        <f>+C38</f>
        <v>2020</v>
      </c>
      <c r="D43" s="3">
        <f>'SECGT10 Sales by Year (18-20)'!D43/'SECGT10 Sales by Year (18-20)'!D63</f>
        <v>0.011605374272790254</v>
      </c>
      <c r="E43" s="3">
        <f>'SECGT10 Sales by Year (18-20)'!E43/'SECGT10 Sales by Year (18-20)'!E63</f>
        <v>0.011762354099537338</v>
      </c>
      <c r="F43" s="3">
        <f>'SECGT10 Sales by Year (18-20)'!F43/'SECGT10 Sales by Year (18-20)'!F63</f>
        <v>0.011344521306195794</v>
      </c>
      <c r="G43" s="3">
        <f>'SECGT10 Sales by Year (18-20)'!G43/'SECGT10 Sales by Year (18-20)'!G63</f>
        <v>0.010827814879626255</v>
      </c>
      <c r="H43" s="3">
        <f>'SECGT10 Sales by Year (18-20)'!H43/'SECGT10 Sales by Year (18-20)'!H63</f>
        <v>0.011551567932912623</v>
      </c>
      <c r="I43" s="3">
        <f>'SECGT10 Sales by Year (18-20)'!I43/'SECGT10 Sales by Year (18-20)'!I63</f>
        <v>0.011749855751801871</v>
      </c>
      <c r="J43" s="3">
        <f>'SECGT10 Sales by Year (18-20)'!J43/'SECGT10 Sales by Year (18-20)'!J63</f>
        <v>0.011731185011188501</v>
      </c>
      <c r="K43" s="3">
        <f>'SECGT10 Sales by Year (18-20)'!K43/'SECGT10 Sales by Year (18-20)'!K63</f>
        <v>0.011849553336145778</v>
      </c>
      <c r="L43" s="3">
        <f>'SECGT10 Sales by Year (18-20)'!L43/'SECGT10 Sales by Year (18-20)'!L63</f>
        <v>0.011486553700028136</v>
      </c>
      <c r="M43" s="3">
        <f>'SECGT10 Sales by Year (18-20)'!M43/'SECGT10 Sales by Year (18-20)'!M63</f>
        <v>0.010444135693185027</v>
      </c>
      <c r="N43" s="3">
        <f>'SECGT10 Sales by Year (18-20)'!N43/'SECGT10 Sales by Year (18-20)'!N63</f>
        <v>0.01102843058687681</v>
      </c>
      <c r="O43" s="3">
        <f>'SECGT10 Sales by Year (18-20)'!O43/'SECGT10 Sales by Year (18-20)'!O63</f>
        <v>0.011140550109786153</v>
      </c>
      <c r="P43" s="60">
        <f>'SECGT10 Sales by Year (18-20)'!P43/'SECGT10 Sales by Year (18-20)'!P63</f>
        <v>0.011397847681484222</v>
      </c>
    </row>
    <row r="44" spans="1:16" ht="13.8">
      <c r="A44" s="1">
        <f t="shared" si="0"/>
        <v>34</v>
      </c>
      <c r="B44" s="8" t="s">
        <v>9</v>
      </c>
      <c r="C44" s="57" t="s">
        <v>1</v>
      </c>
      <c r="D44" s="58">
        <f>'SECGT10 Sales by Year (18-20)'!D44/'SECGT10 Sales by Year (18-20)'!D64</f>
        <v>0.012101425929197534</v>
      </c>
      <c r="E44" s="58">
        <f>'SECGT10 Sales by Year (18-20)'!E44/'SECGT10 Sales by Year (18-20)'!E64</f>
        <v>0.01205290394778932</v>
      </c>
      <c r="F44" s="58">
        <f>'SECGT10 Sales by Year (18-20)'!F44/'SECGT10 Sales by Year (18-20)'!F64</f>
        <v>0.01145530940027587</v>
      </c>
      <c r="G44" s="58">
        <f>'SECGT10 Sales by Year (18-20)'!G44/'SECGT10 Sales by Year (18-20)'!G64</f>
        <v>0.011337874708499368</v>
      </c>
      <c r="H44" s="58">
        <f>'SECGT10 Sales by Year (18-20)'!H44/'SECGT10 Sales by Year (18-20)'!H64</f>
        <v>0.011309752543068881</v>
      </c>
      <c r="I44" s="58">
        <f>'SECGT10 Sales by Year (18-20)'!I44/'SECGT10 Sales by Year (18-20)'!I64</f>
        <v>0.011395411290296031</v>
      </c>
      <c r="J44" s="58">
        <f>'SECGT10 Sales by Year (18-20)'!J44/'SECGT10 Sales by Year (18-20)'!J64</f>
        <v>0.011711666253967868</v>
      </c>
      <c r="K44" s="58">
        <f>'SECGT10 Sales by Year (18-20)'!K44/'SECGT10 Sales by Year (18-20)'!K64</f>
        <v>0.011923686684838316</v>
      </c>
      <c r="L44" s="58">
        <f>'SECGT10 Sales by Year (18-20)'!L44/'SECGT10 Sales by Year (18-20)'!L64</f>
        <v>0.011697951820130757</v>
      </c>
      <c r="M44" s="58">
        <f>'SECGT10 Sales by Year (18-20)'!M44/'SECGT10 Sales by Year (18-20)'!M64</f>
        <v>0.010829064109976441</v>
      </c>
      <c r="N44" s="58">
        <f>'SECGT10 Sales by Year (18-20)'!N44/'SECGT10 Sales by Year (18-20)'!N64</f>
        <v>0.01139897377573793</v>
      </c>
      <c r="O44" s="58">
        <f>'SECGT10 Sales by Year (18-20)'!O44/'SECGT10 Sales by Year (18-20)'!O64</f>
        <v>0.011505233870969404</v>
      </c>
      <c r="P44" s="61">
        <f>'SECGT10 Sales by Year (18-20)'!P44/'SECGT10 Sales by Year (18-20)'!P64</f>
        <v>0.011568419846469768</v>
      </c>
    </row>
    <row r="45" spans="1:3" ht="13.8">
      <c r="A45" s="1">
        <f t="shared" si="0"/>
        <v>35</v>
      </c>
      <c r="B45" s="8"/>
      <c r="C45" s="4"/>
    </row>
    <row r="46" spans="1:17" ht="13.8">
      <c r="A46" s="1">
        <f t="shared" si="0"/>
        <v>36</v>
      </c>
      <c r="B46" s="8" t="s">
        <v>4</v>
      </c>
      <c r="C46" s="2">
        <f>+C41</f>
        <v>2018</v>
      </c>
      <c r="D46" s="3">
        <f>'SECGT10 Sales by Year (18-20)'!D46/'SECGT10 Sales by Year (18-20)'!D61</f>
        <v>0.014786039879604083</v>
      </c>
      <c r="E46" s="3">
        <f>'SECGT10 Sales by Year (18-20)'!E46/'SECGT10 Sales by Year (18-20)'!E$61</f>
        <v>0.015460449158049056</v>
      </c>
      <c r="F46" s="3">
        <f>'SECGT10 Sales by Year (18-20)'!F46/'SECGT10 Sales by Year (18-20)'!F$61</f>
        <v>0.015020659983779387</v>
      </c>
      <c r="G46" s="3">
        <f>'SECGT10 Sales by Year (18-20)'!G46/'SECGT10 Sales by Year (18-20)'!G$61</f>
        <v>0.014705910495135664</v>
      </c>
      <c r="H46" s="3">
        <f>'SECGT10 Sales by Year (18-20)'!H46/'SECGT10 Sales by Year (18-20)'!H$61</f>
        <v>0.014651151288594993</v>
      </c>
      <c r="I46" s="3">
        <f>'SECGT10 Sales by Year (18-20)'!I46/'SECGT10 Sales by Year (18-20)'!I$61</f>
        <v>0.015138802872568797</v>
      </c>
      <c r="J46" s="3">
        <f>'SECGT10 Sales by Year (18-20)'!J46/'SECGT10 Sales by Year (18-20)'!J$61</f>
        <v>0.015481728851377918</v>
      </c>
      <c r="K46" s="3">
        <f>'SECGT10 Sales by Year (18-20)'!K46/'SECGT10 Sales by Year (18-20)'!K$61</f>
        <v>0.015603964341302458</v>
      </c>
      <c r="L46" s="3">
        <f>'SECGT10 Sales by Year (18-20)'!L46/'SECGT10 Sales by Year (18-20)'!L$61</f>
        <v>0.015557351425004147</v>
      </c>
      <c r="M46" s="3">
        <f>'SECGT10 Sales by Year (18-20)'!M46/'SECGT10 Sales by Year (18-20)'!M$61</f>
        <v>0.015216308357166445</v>
      </c>
      <c r="N46" s="3">
        <f>'SECGT10 Sales by Year (18-20)'!N46/'SECGT10 Sales by Year (18-20)'!N$61</f>
        <v>0.014843672201946311</v>
      </c>
      <c r="O46" s="3">
        <f>'SECGT10 Sales by Year (18-20)'!O46/'SECGT10 Sales by Year (18-20)'!O$61</f>
        <v>0.014943724261079839</v>
      </c>
      <c r="P46" s="60">
        <f>'SECGT10 Sales by Year (18-20)'!P46/'SECGT10 Sales by Year (18-20)'!P$61</f>
        <v>0.015152877349275165</v>
      </c>
      <c r="Q46" s="4"/>
    </row>
    <row r="47" spans="1:16" ht="13.8">
      <c r="A47" s="1">
        <f t="shared" si="0"/>
        <v>37</v>
      </c>
      <c r="B47" s="8" t="s">
        <v>4</v>
      </c>
      <c r="C47" s="2">
        <f>+C42</f>
        <v>2019</v>
      </c>
      <c r="D47" s="3">
        <f>'SECGT10 Sales by Year (18-20)'!D47/'SECGT10 Sales by Year (18-20)'!D62</f>
        <v>0.014798976974624093</v>
      </c>
      <c r="E47" s="3">
        <f>'SECGT10 Sales by Year (18-20)'!E47/'SECGT10 Sales by Year (18-20)'!E$62</f>
        <v>0.014844566945923631</v>
      </c>
      <c r="F47" s="3">
        <f>'SECGT10 Sales by Year (18-20)'!F47/'SECGT10 Sales by Year (18-20)'!F$62</f>
        <v>0.014783364704290735</v>
      </c>
      <c r="G47" s="3">
        <f>'SECGT10 Sales by Year (18-20)'!G47/'SECGT10 Sales by Year (18-20)'!G$62</f>
        <v>0.014617684833834318</v>
      </c>
      <c r="H47" s="3">
        <f>'SECGT10 Sales by Year (18-20)'!H47/'SECGT10 Sales by Year (18-20)'!H$62</f>
        <v>0.014562627479724864</v>
      </c>
      <c r="I47" s="3">
        <f>'SECGT10 Sales by Year (18-20)'!I47/'SECGT10 Sales by Year (18-20)'!I$62</f>
        <v>0.014795512772184348</v>
      </c>
      <c r="J47" s="3">
        <f>'SECGT10 Sales by Year (18-20)'!J47/'SECGT10 Sales by Year (18-20)'!J$62</f>
        <v>0.015320710553360728</v>
      </c>
      <c r="K47" s="3">
        <f>'SECGT10 Sales by Year (18-20)'!K47/'SECGT10 Sales by Year (18-20)'!K$62</f>
        <v>0.015467541985576551</v>
      </c>
      <c r="L47" s="3">
        <f>'SECGT10 Sales by Year (18-20)'!L47/'SECGT10 Sales by Year (18-20)'!L$62</f>
        <v>0.015491451178906547</v>
      </c>
      <c r="M47" s="3">
        <f>'SECGT10 Sales by Year (18-20)'!M47/'SECGT10 Sales by Year (18-20)'!M$62</f>
        <v>0.01512789538876662</v>
      </c>
      <c r="N47" s="3">
        <f>'SECGT10 Sales by Year (18-20)'!N47/'SECGT10 Sales by Year (18-20)'!N$62</f>
        <v>0.014773996876417523</v>
      </c>
      <c r="O47" s="3">
        <f>'SECGT10 Sales by Year (18-20)'!O47/'SECGT10 Sales by Year (18-20)'!O$62</f>
        <v>0.014465576244367744</v>
      </c>
      <c r="P47" s="60">
        <f>'SECGT10 Sales by Year (18-20)'!P47/'SECGT10 Sales by Year (18-20)'!P$62</f>
        <v>0.014963253983289727</v>
      </c>
    </row>
    <row r="48" spans="1:16" ht="14.4" thickBot="1">
      <c r="A48" s="1">
        <f t="shared" si="0"/>
        <v>38</v>
      </c>
      <c r="B48" s="8" t="s">
        <v>4</v>
      </c>
      <c r="C48" s="2">
        <f>+C43</f>
        <v>2020</v>
      </c>
      <c r="D48" s="3">
        <f>'SECGT10 Sales by Year (18-20)'!D48/'SECGT10 Sales by Year (18-20)'!D63</f>
        <v>0.014430800945715649</v>
      </c>
      <c r="E48" s="3">
        <f>'SECGT10 Sales by Year (18-20)'!E48/'SECGT10 Sales by Year (18-20)'!E63</f>
        <v>0.014715208271528803</v>
      </c>
      <c r="F48" s="3">
        <f>'SECGT10 Sales by Year (18-20)'!F48/'SECGT10 Sales by Year (18-20)'!F63</f>
        <v>0.014561393253217498</v>
      </c>
      <c r="G48" s="3">
        <f>'SECGT10 Sales by Year (18-20)'!G48/'SECGT10 Sales by Year (18-20)'!G63</f>
        <v>0.014405308560177051</v>
      </c>
      <c r="H48" s="3">
        <f>'SECGT10 Sales by Year (18-20)'!H48/'SECGT10 Sales by Year (18-20)'!H63</f>
        <v>0.01443501761765844</v>
      </c>
      <c r="I48" s="3">
        <f>'SECGT10 Sales by Year (18-20)'!I48/'SECGT10 Sales by Year (18-20)'!I63</f>
        <v>0.014540860041464692</v>
      </c>
      <c r="J48" s="3">
        <f>'SECGT10 Sales by Year (18-20)'!J48/'SECGT10 Sales by Year (18-20)'!J63</f>
        <v>0.014811447326244832</v>
      </c>
      <c r="K48" s="3">
        <f>'SECGT10 Sales by Year (18-20)'!K48/'SECGT10 Sales by Year (18-20)'!K63</f>
        <v>0.014893091619532272</v>
      </c>
      <c r="L48" s="3">
        <f>'SECGT10 Sales by Year (18-20)'!L48/'SECGT10 Sales by Year (18-20)'!L63</f>
        <v>0.014887354712088902</v>
      </c>
      <c r="M48" s="3">
        <f>'SECGT10 Sales by Year (18-20)'!M48/'SECGT10 Sales by Year (18-20)'!M63</f>
        <v>0.014165987589669244</v>
      </c>
      <c r="N48" s="3">
        <f>'SECGT10 Sales by Year (18-20)'!N48/'SECGT10 Sales by Year (18-20)'!N63</f>
        <v>0.014099610421206903</v>
      </c>
      <c r="O48" s="3">
        <f>'SECGT10 Sales by Year (18-20)'!O48/'SECGT10 Sales by Year (18-20)'!O63</f>
        <v>0.013635285905218173</v>
      </c>
      <c r="P48" s="60">
        <f>'SECGT10 Sales by Year (18-20)'!P48/'SECGT10 Sales by Year (18-20)'!P63</f>
        <v>0.01449344738856106</v>
      </c>
    </row>
    <row r="49" spans="1:16" ht="13.8">
      <c r="A49" s="1">
        <f t="shared" si="0"/>
        <v>39</v>
      </c>
      <c r="B49" s="8" t="s">
        <v>4</v>
      </c>
      <c r="C49" s="57" t="s">
        <v>1</v>
      </c>
      <c r="D49" s="58">
        <f>'SECGT10 Sales by Year (18-20)'!D49/'SECGT10 Sales by Year (18-20)'!D64</f>
        <v>0.014676124209648976</v>
      </c>
      <c r="E49" s="58">
        <f>'SECGT10 Sales by Year (18-20)'!E49/'SECGT10 Sales by Year (18-20)'!E64</f>
        <v>0.015001919467031964</v>
      </c>
      <c r="F49" s="58">
        <f>'SECGT10 Sales by Year (18-20)'!F49/'SECGT10 Sales by Year (18-20)'!F64</f>
        <v>0.014789394997023997</v>
      </c>
      <c r="G49" s="58">
        <f>'SECGT10 Sales by Year (18-20)'!G49/'SECGT10 Sales by Year (18-20)'!G64</f>
        <v>0.01458158978249095</v>
      </c>
      <c r="H49" s="58">
        <f>'SECGT10 Sales by Year (18-20)'!H49/'SECGT10 Sales by Year (18-20)'!H64</f>
        <v>0.014554372751820406</v>
      </c>
      <c r="I49" s="58">
        <f>'SECGT10 Sales by Year (18-20)'!I49/'SECGT10 Sales by Year (18-20)'!I64</f>
        <v>0.014841545191615044</v>
      </c>
      <c r="J49" s="58">
        <f>'SECGT10 Sales by Year (18-20)'!J49/'SECGT10 Sales by Year (18-20)'!J64</f>
        <v>0.015216227199826942</v>
      </c>
      <c r="K49" s="58">
        <f>'SECGT10 Sales by Year (18-20)'!K49/'SECGT10 Sales by Year (18-20)'!K64</f>
        <v>0.01533151317628639</v>
      </c>
      <c r="L49" s="58">
        <f>'SECGT10 Sales by Year (18-20)'!L49/'SECGT10 Sales by Year (18-20)'!L64</f>
        <v>0.01532747847535414</v>
      </c>
      <c r="M49" s="58">
        <f>'SECGT10 Sales by Year (18-20)'!M49/'SECGT10 Sales by Year (18-20)'!M64</f>
        <v>0.014865357760621327</v>
      </c>
      <c r="N49" s="58">
        <f>'SECGT10 Sales by Year (18-20)'!N49/'SECGT10 Sales by Year (18-20)'!N64</f>
        <v>0.014571949077997358</v>
      </c>
      <c r="O49" s="58">
        <f>'SECGT10 Sales by Year (18-20)'!O49/'SECGT10 Sales by Year (18-20)'!O64</f>
        <v>0.014365225874191165</v>
      </c>
      <c r="P49" s="61">
        <f>'SECGT10 Sales by Year (18-20)'!P49/'SECGT10 Sales by Year (18-20)'!P64</f>
        <v>0.014879542353445772</v>
      </c>
    </row>
    <row r="50" spans="1:2" ht="13.8">
      <c r="A50" s="1">
        <f t="shared" si="0"/>
        <v>40</v>
      </c>
      <c r="B50" s="8"/>
    </row>
    <row r="51" spans="1:17" ht="13.8">
      <c r="A51" s="1">
        <f t="shared" si="0"/>
        <v>41</v>
      </c>
      <c r="B51" s="8" t="s">
        <v>2</v>
      </c>
      <c r="C51" s="2">
        <f>+C46</f>
        <v>2018</v>
      </c>
      <c r="D51" s="3">
        <f>'SECGT10 Sales by Year (18-20)'!D51/'SECGT10 Sales by Year (18-20)'!D61</f>
        <v>0.056823192792986928</v>
      </c>
      <c r="E51" s="3">
        <f>'SECGT10 Sales by Year (18-20)'!E51/'SECGT10 Sales by Year (18-20)'!E$61</f>
        <v>0.064260987601888891</v>
      </c>
      <c r="F51" s="3">
        <f>'SECGT10 Sales by Year (18-20)'!F51/'SECGT10 Sales by Year (18-20)'!F$61</f>
        <v>0.064411077772246209</v>
      </c>
      <c r="G51" s="3">
        <f>'SECGT10 Sales by Year (18-20)'!G51/'SECGT10 Sales by Year (18-20)'!G$61</f>
        <v>0.066397356087225773</v>
      </c>
      <c r="H51" s="3">
        <f>'SECGT10 Sales by Year (18-20)'!H51/'SECGT10 Sales by Year (18-20)'!H$61</f>
        <v>0.068868827460805943</v>
      </c>
      <c r="I51" s="3">
        <f>'SECGT10 Sales by Year (18-20)'!I51/'SECGT10 Sales by Year (18-20)'!I$61</f>
        <v>0.06378060852062388</v>
      </c>
      <c r="J51" s="3">
        <f>'SECGT10 Sales by Year (18-20)'!J51/'SECGT10 Sales by Year (18-20)'!J$61</f>
        <v>0.062922211879795964</v>
      </c>
      <c r="K51" s="3">
        <f>'SECGT10 Sales by Year (18-20)'!K51/'SECGT10 Sales by Year (18-20)'!K$61</f>
        <v>0.0616516540085068</v>
      </c>
      <c r="L51" s="3">
        <f>'SECGT10 Sales by Year (18-20)'!L51/'SECGT10 Sales by Year (18-20)'!L$61</f>
        <v>0.061888034217712468</v>
      </c>
      <c r="M51" s="3">
        <f>'SECGT10 Sales by Year (18-20)'!M51/'SECGT10 Sales by Year (18-20)'!M$61</f>
        <v>0.056708073455152552</v>
      </c>
      <c r="N51" s="3">
        <f>'SECGT10 Sales by Year (18-20)'!N51/'SECGT10 Sales by Year (18-20)'!N$61</f>
        <v>0.063543159744235689</v>
      </c>
      <c r="O51" s="3">
        <f>'SECGT10 Sales by Year (18-20)'!O51/'SECGT10 Sales by Year (18-20)'!O$61</f>
        <v>0.06533885810960248</v>
      </c>
      <c r="P51" s="60">
        <f>'SECGT10 Sales by Year (18-20)'!P51/'SECGT10 Sales by Year (18-20)'!P$61</f>
        <v>0.06286576036828824</v>
      </c>
      <c r="Q51" s="4"/>
    </row>
    <row r="52" spans="1:16" ht="13.8">
      <c r="A52" s="1">
        <f t="shared" si="0"/>
        <v>42</v>
      </c>
      <c r="B52" s="8" t="s">
        <v>2</v>
      </c>
      <c r="C52" s="2">
        <f>+C47</f>
        <v>2019</v>
      </c>
      <c r="D52" s="3">
        <f>'SECGT10 Sales by Year (18-20)'!D52/'SECGT10 Sales by Year (18-20)'!D62</f>
        <v>0.069355238709496253</v>
      </c>
      <c r="E52" s="3">
        <f>'SECGT10 Sales by Year (18-20)'!E52/'SECGT10 Sales by Year (18-20)'!E$62</f>
        <v>0.068324712893162054</v>
      </c>
      <c r="F52" s="3">
        <f>'SECGT10 Sales by Year (18-20)'!F52/'SECGT10 Sales by Year (18-20)'!F$62</f>
        <v>0.069125155873184921</v>
      </c>
      <c r="G52" s="3">
        <f>'SECGT10 Sales by Year (18-20)'!G52/'SECGT10 Sales by Year (18-20)'!G$62</f>
        <v>0.061374277549338031</v>
      </c>
      <c r="H52" s="3">
        <f>'SECGT10 Sales by Year (18-20)'!H52/'SECGT10 Sales by Year (18-20)'!H$62</f>
        <v>0.067051746901401824</v>
      </c>
      <c r="I52" s="3">
        <f>'SECGT10 Sales by Year (18-20)'!I52/'SECGT10 Sales by Year (18-20)'!I$62</f>
        <v>0.064540303073556377</v>
      </c>
      <c r="J52" s="3">
        <f>'SECGT10 Sales by Year (18-20)'!J52/'SECGT10 Sales by Year (18-20)'!J$62</f>
        <v>0.064561507775226873</v>
      </c>
      <c r="K52" s="3">
        <f>'SECGT10 Sales by Year (18-20)'!K52/'SECGT10 Sales by Year (18-20)'!K$62</f>
        <v>0.066027234980283178</v>
      </c>
      <c r="L52" s="3">
        <f>'SECGT10 Sales by Year (18-20)'!L52/'SECGT10 Sales by Year (18-20)'!L$62</f>
        <v>0.063504347044284648</v>
      </c>
      <c r="M52" s="3">
        <f>'SECGT10 Sales by Year (18-20)'!M52/'SECGT10 Sales by Year (18-20)'!M$62</f>
        <v>0.061738794129633359</v>
      </c>
      <c r="N52" s="3">
        <f>'SECGT10 Sales by Year (18-20)'!N52/'SECGT10 Sales by Year (18-20)'!N$62</f>
        <v>0.067159288928585123</v>
      </c>
      <c r="O52" s="3">
        <f>'SECGT10 Sales by Year (18-20)'!O52/'SECGT10 Sales by Year (18-20)'!O$62</f>
        <v>0.074048721154358232</v>
      </c>
      <c r="P52" s="60">
        <f>'SECGT10 Sales by Year (18-20)'!P52/'SECGT10 Sales by Year (18-20)'!P$62</f>
        <v>0.06617241343916104</v>
      </c>
    </row>
    <row r="53" spans="1:16" ht="14.4" thickBot="1">
      <c r="A53" s="1">
        <f t="shared" si="0"/>
        <v>43</v>
      </c>
      <c r="B53" s="8" t="s">
        <v>2</v>
      </c>
      <c r="C53" s="2">
        <f>+C48</f>
        <v>2020</v>
      </c>
      <c r="D53" s="3">
        <f>'SECGT10 Sales by Year (18-20)'!D53/'SECGT10 Sales by Year (18-20)'!D63</f>
        <v>0.072891012313578155</v>
      </c>
      <c r="E53" s="3">
        <f>'SECGT10 Sales by Year (18-20)'!E53/'SECGT10 Sales by Year (18-20)'!E63</f>
        <v>0.067677316764527692</v>
      </c>
      <c r="F53" s="3">
        <f>'SECGT10 Sales by Year (18-20)'!F53/'SECGT10 Sales by Year (18-20)'!F63</f>
        <v>0.073110303540215263</v>
      </c>
      <c r="G53" s="3">
        <f>'SECGT10 Sales by Year (18-20)'!G53/'SECGT10 Sales by Year (18-20)'!G63</f>
        <v>0.071470686900408878</v>
      </c>
      <c r="H53" s="3">
        <f>'SECGT10 Sales by Year (18-20)'!H53/'SECGT10 Sales by Year (18-20)'!H63</f>
        <v>0.07002968397070107</v>
      </c>
      <c r="I53" s="3">
        <f>'SECGT10 Sales by Year (18-20)'!I53/'SECGT10 Sales by Year (18-20)'!I63</f>
        <v>0.064798734311554182</v>
      </c>
      <c r="J53" s="3">
        <f>'SECGT10 Sales by Year (18-20)'!J53/'SECGT10 Sales by Year (18-20)'!J63</f>
        <v>0.064701518473402428</v>
      </c>
      <c r="K53" s="3">
        <f>'SECGT10 Sales by Year (18-20)'!K53/'SECGT10 Sales by Year (18-20)'!K63</f>
        <v>0.065118703092754499</v>
      </c>
      <c r="L53" s="3">
        <f>'SECGT10 Sales by Year (18-20)'!L53/'SECGT10 Sales by Year (18-20)'!L63</f>
        <v>0.062283596476640897</v>
      </c>
      <c r="M53" s="3">
        <f>'SECGT10 Sales by Year (18-20)'!M53/'SECGT10 Sales by Year (18-20)'!M63</f>
        <v>0.066429687812549154</v>
      </c>
      <c r="N53" s="3">
        <f>'SECGT10 Sales by Year (18-20)'!N53/'SECGT10 Sales by Year (18-20)'!N63</f>
        <v>0.069444006964650307</v>
      </c>
      <c r="O53" s="3">
        <f>'SECGT10 Sales by Year (18-20)'!O53/'SECGT10 Sales by Year (18-20)'!O63</f>
        <v>0.071418683306565006</v>
      </c>
      <c r="P53" s="60">
        <f>'SECGT10 Sales by Year (18-20)'!P53/'SECGT10 Sales by Year (18-20)'!P63</f>
        <v>0.067922434351117819</v>
      </c>
    </row>
    <row r="54" spans="1:16" ht="13.8">
      <c r="A54" s="1">
        <f t="shared" si="0"/>
        <v>44</v>
      </c>
      <c r="B54" s="8" t="s">
        <v>2</v>
      </c>
      <c r="C54" s="57" t="s">
        <v>1</v>
      </c>
      <c r="D54" s="58">
        <f>'SECGT10 Sales by Year (18-20)'!D54/'SECGT10 Sales by Year (18-20)'!D64</f>
        <v>0.066043750747831823</v>
      </c>
      <c r="E54" s="58">
        <f>'SECGT10 Sales by Year (18-20)'!E54/'SECGT10 Sales by Year (18-20)'!E64</f>
        <v>0.066793449792545811</v>
      </c>
      <c r="F54" s="58">
        <f>'SECGT10 Sales by Year (18-20)'!F54/'SECGT10 Sales by Year (18-20)'!F64</f>
        <v>0.068866566913886956</v>
      </c>
      <c r="G54" s="58">
        <f>'SECGT10 Sales by Year (18-20)'!G54/'SECGT10 Sales by Year (18-20)'!G64</f>
        <v>0.066298382799979738</v>
      </c>
      <c r="H54" s="58">
        <f>'SECGT10 Sales by Year (18-20)'!H54/'SECGT10 Sales by Year (18-20)'!H64</f>
        <v>0.068585498055469596</v>
      </c>
      <c r="I54" s="58">
        <f>'SECGT10 Sales by Year (18-20)'!I54/'SECGT10 Sales by Year (18-20)'!I64</f>
        <v>0.064345196745622418</v>
      </c>
      <c r="J54" s="58">
        <f>'SECGT10 Sales by Year (18-20)'!J54/'SECGT10 Sales by Year (18-20)'!J64</f>
        <v>0.064017833997688761</v>
      </c>
      <c r="K54" s="58">
        <f>'SECGT10 Sales by Year (18-20)'!K54/'SECGT10 Sales by Year (18-20)'!K64</f>
        <v>0.064223838554646043</v>
      </c>
      <c r="L54" s="58">
        <f>'SECGT10 Sales by Year (18-20)'!L54/'SECGT10 Sales by Year (18-20)'!L64</f>
        <v>0.062585187514207483</v>
      </c>
      <c r="M54" s="58">
        <f>'SECGT10 Sales by Year (18-20)'!M54/'SECGT10 Sales by Year (18-20)'!M64</f>
        <v>0.061505553531803682</v>
      </c>
      <c r="N54" s="58">
        <f>'SECGT10 Sales by Year (18-20)'!N54/'SECGT10 Sales by Year (18-20)'!N64</f>
        <v>0.066744180120871369</v>
      </c>
      <c r="O54" s="58">
        <f>'SECGT10 Sales by Year (18-20)'!O54/'SECGT10 Sales by Year (18-20)'!O64</f>
        <v>0.070250931869801844</v>
      </c>
      <c r="P54" s="61">
        <f>'SECGT10 Sales by Year (18-20)'!P54/'SECGT10 Sales by Year (18-20)'!P64</f>
        <v>0.065594631762105851</v>
      </c>
    </row>
    <row r="55" spans="1:3" ht="13.8">
      <c r="A55" s="1">
        <f t="shared" si="0"/>
        <v>45</v>
      </c>
      <c r="B55" s="8"/>
      <c r="C55" s="4"/>
    </row>
    <row r="56" spans="1:16" ht="13.8">
      <c r="A56" s="1">
        <f t="shared" si="0"/>
        <v>46</v>
      </c>
      <c r="B56" s="8" t="s">
        <v>48</v>
      </c>
      <c r="C56" s="2">
        <f>+C51</f>
        <v>2018</v>
      </c>
      <c r="D56" s="3">
        <f>'SECGT10 Sales by Year (18-20)'!D56/'SECGT10 Sales by Year (18-20)'!D61</f>
        <v>0.023833350341856713</v>
      </c>
      <c r="E56" s="3">
        <f>'SECGT10 Sales by Year (18-20)'!E56/'SECGT10 Sales by Year (18-20)'!E$61</f>
        <v>0.025391216493446604</v>
      </c>
      <c r="F56" s="3">
        <f>'SECGT10 Sales by Year (18-20)'!F56/'SECGT10 Sales by Year (18-20)'!F$61</f>
        <v>0.024189112997113415</v>
      </c>
      <c r="G56" s="3">
        <f>'SECGT10 Sales by Year (18-20)'!G56/'SECGT10 Sales by Year (18-20)'!G$61</f>
        <v>0.023910233591126383</v>
      </c>
      <c r="H56" s="3">
        <f>'SECGT10 Sales by Year (18-20)'!H56/'SECGT10 Sales by Year (18-20)'!H$61</f>
        <v>0.023707599932155963</v>
      </c>
      <c r="I56" s="3">
        <f>'SECGT10 Sales by Year (18-20)'!I56/'SECGT10 Sales by Year (18-20)'!I$61</f>
        <v>0.023795605670567588</v>
      </c>
      <c r="J56" s="3">
        <f>'SECGT10 Sales by Year (18-20)'!J56/'SECGT10 Sales by Year (18-20)'!J$61</f>
        <v>0.023755909816361779</v>
      </c>
      <c r="K56" s="3">
        <f>'SECGT10 Sales by Year (18-20)'!K56/'SECGT10 Sales by Year (18-20)'!K$61</f>
        <v>0.02427123234117454</v>
      </c>
      <c r="L56" s="3">
        <f>'SECGT10 Sales by Year (18-20)'!L56/'SECGT10 Sales by Year (18-20)'!L$61</f>
        <v>0.024456060688948789</v>
      </c>
      <c r="M56" s="3">
        <f>'SECGT10 Sales by Year (18-20)'!M56/'SECGT10 Sales by Year (18-20)'!M$61</f>
        <v>0.024140532695877466</v>
      </c>
      <c r="N56" s="3">
        <f>'SECGT10 Sales by Year (18-20)'!N56/'SECGT10 Sales by Year (18-20)'!N$61</f>
        <v>0.023995142306855319</v>
      </c>
      <c r="O56" s="3">
        <f>'SECGT10 Sales by Year (18-20)'!O56/'SECGT10 Sales by Year (18-20)'!O$61</f>
        <v>0.024507445627725388</v>
      </c>
      <c r="P56" s="60">
        <f>'SECGT10 Sales by Year (18-20)'!P56/'SECGT10 Sales by Year (18-20)'!P$61</f>
        <v>0.024150529339006323</v>
      </c>
    </row>
    <row r="57" spans="1:16" ht="13.8">
      <c r="A57" s="1">
        <f t="shared" si="0"/>
        <v>47</v>
      </c>
      <c r="B57" s="8" t="s">
        <v>48</v>
      </c>
      <c r="C57" s="2">
        <f>+C52</f>
        <v>2019</v>
      </c>
      <c r="D57" s="3">
        <f>'SECGT10 Sales by Year (18-20)'!D57/'SECGT10 Sales by Year (18-20)'!D62</f>
        <v>0.024450702749783282</v>
      </c>
      <c r="E57" s="3">
        <f>'SECGT10 Sales by Year (18-20)'!E57/'SECGT10 Sales by Year (18-20)'!E$62</f>
        <v>0.02422690802529268</v>
      </c>
      <c r="F57" s="3">
        <f>'SECGT10 Sales by Year (18-20)'!F57/'SECGT10 Sales by Year (18-20)'!F$62</f>
        <v>0.024238869412100541</v>
      </c>
      <c r="G57" s="3">
        <f>'SECGT10 Sales by Year (18-20)'!G57/'SECGT10 Sales by Year (18-20)'!G$62</f>
        <v>0.024100299625547175</v>
      </c>
      <c r="H57" s="3">
        <f>'SECGT10 Sales by Year (18-20)'!H57/'SECGT10 Sales by Year (18-20)'!H$62</f>
        <v>0.023570029148265625</v>
      </c>
      <c r="I57" s="3">
        <f>'SECGT10 Sales by Year (18-20)'!I57/'SECGT10 Sales by Year (18-20)'!I$62</f>
        <v>0.02329989086881987</v>
      </c>
      <c r="J57" s="3">
        <f>'SECGT10 Sales by Year (18-20)'!J57/'SECGT10 Sales by Year (18-20)'!J$62</f>
        <v>0.023560501335532894</v>
      </c>
      <c r="K57" s="3">
        <f>'SECGT10 Sales by Year (18-20)'!K57/'SECGT10 Sales by Year (18-20)'!K$62</f>
        <v>0.023602602475501999</v>
      </c>
      <c r="L57" s="3">
        <f>'SECGT10 Sales by Year (18-20)'!L57/'SECGT10 Sales by Year (18-20)'!L$62</f>
        <v>0.023732607924586653</v>
      </c>
      <c r="M57" s="3">
        <f>'SECGT10 Sales by Year (18-20)'!M57/'SECGT10 Sales by Year (18-20)'!M$62</f>
        <v>0.023319993608397468</v>
      </c>
      <c r="N57" s="3">
        <f>'SECGT10 Sales by Year (18-20)'!N57/'SECGT10 Sales by Year (18-20)'!N$62</f>
        <v>0.023558018758029018</v>
      </c>
      <c r="O57" s="3">
        <f>'SECGT10 Sales by Year (18-20)'!O57/'SECGT10 Sales by Year (18-20)'!O$62</f>
        <v>0.023701870642348563</v>
      </c>
      <c r="P57" s="60">
        <f>'SECGT10 Sales by Year (18-20)'!P57/'SECGT10 Sales by Year (18-20)'!P$62</f>
        <v>0.023754671757616828</v>
      </c>
    </row>
    <row r="58" spans="1:16" ht="14.4" thickBot="1">
      <c r="A58" s="1">
        <f t="shared" si="0"/>
        <v>48</v>
      </c>
      <c r="B58" s="8" t="s">
        <v>48</v>
      </c>
      <c r="C58" s="2">
        <f>+C53</f>
        <v>2020</v>
      </c>
      <c r="D58" s="3">
        <f>'SECGT10 Sales by Year (18-20)'!D58/'SECGT10 Sales by Year (18-20)'!D63</f>
        <v>0.023768915626851302</v>
      </c>
      <c r="E58" s="3">
        <f>'SECGT10 Sales by Year (18-20)'!E58/'SECGT10 Sales by Year (18-20)'!E63</f>
        <v>0.024072306895000249</v>
      </c>
      <c r="F58" s="3">
        <f>'SECGT10 Sales by Year (18-20)'!F58/'SECGT10 Sales by Year (18-20)'!F63</f>
        <v>0.02393716934025767</v>
      </c>
      <c r="G58" s="3">
        <f>'SECGT10 Sales by Year (18-20)'!G58/'SECGT10 Sales by Year (18-20)'!G63</f>
        <v>0.023976240476910302</v>
      </c>
      <c r="H58" s="3">
        <f>'SECGT10 Sales by Year (18-20)'!H58/'SECGT10 Sales by Year (18-20)'!H63</f>
        <v>0.023749368868194884</v>
      </c>
      <c r="I58" s="3">
        <f>'SECGT10 Sales by Year (18-20)'!I58/'SECGT10 Sales by Year (18-20)'!I63</f>
        <v>0.023553539657855636</v>
      </c>
      <c r="J58" s="3">
        <f>'SECGT10 Sales by Year (18-20)'!J58/'SECGT10 Sales by Year (18-20)'!J63</f>
        <v>0.023757560152072695</v>
      </c>
      <c r="K58" s="3">
        <f>'SECGT10 Sales by Year (18-20)'!K58/'SECGT10 Sales by Year (18-20)'!K63</f>
        <v>0.024414481410166205</v>
      </c>
      <c r="L58" s="3">
        <f>'SECGT10 Sales by Year (18-20)'!L58/'SECGT10 Sales by Year (18-20)'!L63</f>
        <v>0.024153469322891755</v>
      </c>
      <c r="M58" s="3">
        <f>'SECGT10 Sales by Year (18-20)'!M58/'SECGT10 Sales by Year (18-20)'!M63</f>
        <v>0.024045012241569397</v>
      </c>
      <c r="N58" s="3">
        <f>'SECGT10 Sales by Year (18-20)'!N58/'SECGT10 Sales by Year (18-20)'!N63</f>
        <v>0.023857061703816393</v>
      </c>
      <c r="O58" s="3">
        <f>'SECGT10 Sales by Year (18-20)'!O58/'SECGT10 Sales by Year (18-20)'!O63</f>
        <v>0.023869544957750899</v>
      </c>
      <c r="P58" s="60">
        <f>'SECGT10 Sales by Year (18-20)'!P58/'SECGT10 Sales by Year (18-20)'!P63</f>
        <v>0.023941929208241737</v>
      </c>
    </row>
    <row r="59" spans="1:16" ht="13.8">
      <c r="A59" s="1">
        <f t="shared" si="0"/>
        <v>49</v>
      </c>
      <c r="B59" s="8" t="s">
        <v>48</v>
      </c>
      <c r="C59" s="57" t="s">
        <v>1</v>
      </c>
      <c r="D59" s="58">
        <f>'SECGT10 Sales by Year (18-20)'!D59/'SECGT10 Sales by Year (18-20)'!D64</f>
        <v>0.024012627723580263</v>
      </c>
      <c r="E59" s="58">
        <f>'SECGT10 Sales by Year (18-20)'!E59/'SECGT10 Sales by Year (18-20)'!E64</f>
        <v>0.024553924170976738</v>
      </c>
      <c r="F59" s="58">
        <f>'SECGT10 Sales by Year (18-20)'!F59/'SECGT10 Sales by Year (18-20)'!F64</f>
        <v>0.024123747915787905</v>
      </c>
      <c r="G59" s="58">
        <f>'SECGT10 Sales by Year (18-20)'!G59/'SECGT10 Sales by Year (18-20)'!G64</f>
        <v>0.023995123772134367</v>
      </c>
      <c r="H59" s="58">
        <f>'SECGT10 Sales by Year (18-20)'!H59/'SECGT10 Sales by Year (18-20)'!H64</f>
        <v>0.023672115622031698</v>
      </c>
      <c r="I59" s="58">
        <f>'SECGT10 Sales by Year (18-20)'!I59/'SECGT10 Sales by Year (18-20)'!I64</f>
        <v>0.023556244157346758</v>
      </c>
      <c r="J59" s="58">
        <f>'SECGT10 Sales by Year (18-20)'!J59/'SECGT10 Sales by Year (18-20)'!J64</f>
        <v>0.023693415641611908</v>
      </c>
      <c r="K59" s="58">
        <f>'SECGT10 Sales by Year (18-20)'!K59/'SECGT10 Sales by Year (18-20)'!K64</f>
        <v>0.024092846288954823</v>
      </c>
      <c r="L59" s="58">
        <f>'SECGT10 Sales by Year (18-20)'!L59/'SECGT10 Sales by Year (18-20)'!L64</f>
        <v>0.02410534146488896</v>
      </c>
      <c r="M59" s="58">
        <f>'SECGT10 Sales by Year (18-20)'!M59/'SECGT10 Sales by Year (18-20)'!M64</f>
        <v>0.023809813900458009</v>
      </c>
      <c r="N59" s="58">
        <f>'SECGT10 Sales by Year (18-20)'!N59/'SECGT10 Sales by Year (18-20)'!N64</f>
        <v>0.023799870034683465</v>
      </c>
      <c r="O59" s="58">
        <f>'SECGT10 Sales by Year (18-20)'!O59/'SECGT10 Sales by Year (18-20)'!O64</f>
        <v>0.024029180162727721</v>
      </c>
      <c r="P59" s="61">
        <f>'SECGT10 Sales by Year (18-20)'!P59/'SECGT10 Sales by Year (18-20)'!P64</f>
        <v>0.023949324240679731</v>
      </c>
    </row>
    <row r="60" spans="1:1" ht="13.8">
      <c r="A60" s="1">
        <f t="shared" si="0"/>
        <v>50</v>
      </c>
    </row>
    <row r="61" spans="1:16" ht="13.8">
      <c r="A61" s="1">
        <f t="shared" si="0"/>
        <v>51</v>
      </c>
      <c r="B61" s="1" t="s">
        <v>34</v>
      </c>
      <c r="C61" s="2">
        <f>+C56</f>
        <v>2018</v>
      </c>
      <c r="D61" s="11">
        <f t="shared" si="1" ref="D61:O61">SUM(D26,D31,D36,D41,D46,D51,D56,D21,D16,D11)</f>
        <v>1</v>
      </c>
      <c r="E61" s="11">
        <f t="shared" si="1"/>
        <v>1</v>
      </c>
      <c r="F61" s="11">
        <f t="shared" si="1"/>
        <v>1</v>
      </c>
      <c r="G61" s="11">
        <f t="shared" si="1"/>
        <v>1</v>
      </c>
      <c r="H61" s="11">
        <f t="shared" si="1"/>
        <v>1</v>
      </c>
      <c r="I61" s="11">
        <f t="shared" si="1"/>
        <v>1</v>
      </c>
      <c r="J61" s="11">
        <f t="shared" si="1"/>
        <v>1</v>
      </c>
      <c r="K61" s="11">
        <f t="shared" si="1"/>
        <v>1</v>
      </c>
      <c r="L61" s="11">
        <f t="shared" si="1"/>
        <v>1</v>
      </c>
      <c r="M61" s="11">
        <f t="shared" si="1"/>
        <v>1</v>
      </c>
      <c r="N61" s="11">
        <f t="shared" si="1"/>
        <v>1</v>
      </c>
      <c r="O61" s="11">
        <f t="shared" si="1"/>
        <v>1</v>
      </c>
      <c r="P61" s="11">
        <f>SUM(P26,P31,P36,P41,P46,P51,P56,P21,P16,P11)</f>
        <v>1</v>
      </c>
    </row>
    <row r="62" spans="1:16" ht="13.8">
      <c r="A62" s="1">
        <f t="shared" si="0"/>
        <v>52</v>
      </c>
      <c r="B62" s="1" t="s">
        <v>34</v>
      </c>
      <c r="C62" s="2">
        <f>+C57</f>
        <v>2019</v>
      </c>
      <c r="D62" s="11">
        <f t="shared" si="2" ref="D62:P62">SUM(D27,D32,D37,D42,D47,D52,D57,D22,D17,D12)</f>
        <v>1</v>
      </c>
      <c r="E62" s="11">
        <f t="shared" si="2"/>
        <v>1</v>
      </c>
      <c r="F62" s="11">
        <f t="shared" si="2"/>
        <v>1</v>
      </c>
      <c r="G62" s="11">
        <f t="shared" si="2"/>
        <v>1</v>
      </c>
      <c r="H62" s="11">
        <f t="shared" si="2"/>
        <v>1</v>
      </c>
      <c r="I62" s="11">
        <f t="shared" si="2"/>
        <v>1</v>
      </c>
      <c r="J62" s="11">
        <f t="shared" si="2"/>
        <v>1</v>
      </c>
      <c r="K62" s="11">
        <f t="shared" si="2"/>
        <v>1</v>
      </c>
      <c r="L62" s="11">
        <f t="shared" si="2"/>
        <v>0.99999999999999989</v>
      </c>
      <c r="M62" s="11">
        <f t="shared" si="2"/>
        <v>1</v>
      </c>
      <c r="N62" s="11">
        <f t="shared" si="2"/>
        <v>1</v>
      </c>
      <c r="O62" s="11">
        <f t="shared" si="2"/>
        <v>1</v>
      </c>
      <c r="P62" s="11">
        <f t="shared" si="2"/>
        <v>1</v>
      </c>
    </row>
    <row r="63" spans="1:16" ht="14.4" thickBot="1">
      <c r="A63" s="1">
        <f t="shared" si="0"/>
        <v>53</v>
      </c>
      <c r="B63" s="1" t="s">
        <v>34</v>
      </c>
      <c r="C63" s="2">
        <f>+C58</f>
        <v>2020</v>
      </c>
      <c r="D63" s="11">
        <f t="shared" si="3" ref="D63:P64">SUM(D28,D33,D38,D43,D48,D53,D58,D23,D18,D13)</f>
        <v>1</v>
      </c>
      <c r="E63" s="11">
        <f t="shared" si="3"/>
        <v>1</v>
      </c>
      <c r="F63" s="11">
        <f t="shared" si="3"/>
        <v>1</v>
      </c>
      <c r="G63" s="11">
        <f t="shared" si="3"/>
        <v>1</v>
      </c>
      <c r="H63" s="11">
        <f t="shared" si="3"/>
        <v>1</v>
      </c>
      <c r="I63" s="11">
        <f t="shared" si="3"/>
        <v>1</v>
      </c>
      <c r="J63" s="11">
        <f t="shared" si="3"/>
        <v>1</v>
      </c>
      <c r="K63" s="11">
        <f t="shared" si="3"/>
        <v>1</v>
      </c>
      <c r="L63" s="11">
        <f t="shared" si="3"/>
        <v>1</v>
      </c>
      <c r="M63" s="11">
        <f t="shared" si="3"/>
        <v>1</v>
      </c>
      <c r="N63" s="11">
        <f t="shared" si="3"/>
        <v>1</v>
      </c>
      <c r="O63" s="11">
        <f t="shared" si="3"/>
        <v>1</v>
      </c>
      <c r="P63" s="11">
        <f t="shared" si="3"/>
        <v>1</v>
      </c>
    </row>
    <row r="64" spans="1:16" ht="14.4" thickTop="1">
      <c r="A64" s="1">
        <f t="shared" si="0"/>
        <v>54</v>
      </c>
      <c r="B64" s="1" t="s">
        <v>34</v>
      </c>
      <c r="C64" s="63" t="str">
        <f>+C59</f>
        <v xml:space="preserve">Total </v>
      </c>
      <c r="D64" s="64">
        <f t="shared" si="3"/>
        <v>1</v>
      </c>
      <c r="E64" s="64">
        <f t="shared" si="3"/>
        <v>0.99999999999999978</v>
      </c>
      <c r="F64" s="64">
        <f t="shared" si="3"/>
        <v>1</v>
      </c>
      <c r="G64" s="64">
        <f t="shared" si="3"/>
        <v>1</v>
      </c>
      <c r="H64" s="64">
        <f t="shared" si="3"/>
        <v>1</v>
      </c>
      <c r="I64" s="64">
        <f t="shared" si="3"/>
        <v>1</v>
      </c>
      <c r="J64" s="64">
        <f t="shared" si="3"/>
        <v>1</v>
      </c>
      <c r="K64" s="64">
        <f t="shared" si="3"/>
        <v>1</v>
      </c>
      <c r="L64" s="64">
        <f t="shared" si="3"/>
        <v>1</v>
      </c>
      <c r="M64" s="64">
        <f t="shared" si="3"/>
        <v>1</v>
      </c>
      <c r="N64" s="64">
        <f t="shared" si="3"/>
        <v>1</v>
      </c>
      <c r="O64" s="64">
        <f t="shared" si="3"/>
        <v>1</v>
      </c>
      <c r="P64" s="64">
        <f t="shared" si="3"/>
        <v>1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&amp;RWP/II-H-5.2/3
Page &amp;P of &amp;N</oddHeader>
    <oddFooter>&amp;R]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8.4285714285714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+'SECGT10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44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2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6" ht="14.4">
      <c r="A11" s="1">
        <v>1</v>
      </c>
      <c r="B11" s="17" t="s">
        <v>29</v>
      </c>
      <c r="C11" s="4">
        <f>+'SECGT10 Weights by Year (18-20)'!C11</f>
        <v>2018</v>
      </c>
      <c r="D11" s="9">
        <v>2884611.0529999998</v>
      </c>
      <c r="E11" s="9">
        <v>2512393.5840000003</v>
      </c>
      <c r="F11" s="9">
        <v>2505538.0819999995</v>
      </c>
      <c r="G11" s="9">
        <v>2540384.9440000001</v>
      </c>
      <c r="H11" s="9">
        <v>2597710.0300000003</v>
      </c>
      <c r="I11" s="9">
        <v>3210130.037</v>
      </c>
      <c r="J11" s="9">
        <v>3592280.1259999983</v>
      </c>
      <c r="K11" s="9">
        <v>3592769.2379999994</v>
      </c>
      <c r="L11" s="9">
        <v>3482194.5809999998</v>
      </c>
      <c r="M11" s="9">
        <v>2991198.2970000003</v>
      </c>
      <c r="N11" s="9">
        <v>2511123.6409999998</v>
      </c>
      <c r="O11" s="9">
        <v>2572145.7689999999</v>
      </c>
      <c r="P11" s="51">
        <f>SUM(D11:O11)</f>
        <v>34992479.381999992</v>
      </c>
    </row>
    <row r="12" spans="1:16" ht="14.4">
      <c r="A12" s="1">
        <f>+A11+1</f>
        <v>2</v>
      </c>
      <c r="B12" s="17" t="s">
        <v>29</v>
      </c>
      <c r="C12" s="4">
        <f>+'SECGT10 Weights by Year (18-20)'!C12</f>
        <v>2019</v>
      </c>
      <c r="D12" s="9">
        <v>2585591.8580000005</v>
      </c>
      <c r="E12" s="9">
        <v>2693623.3889999995</v>
      </c>
      <c r="F12" s="9">
        <v>2570853.5099999993</v>
      </c>
      <c r="G12" s="9">
        <v>2479519.6520000002</v>
      </c>
      <c r="H12" s="9">
        <v>2640178.0260000001</v>
      </c>
      <c r="I12" s="9">
        <v>2962184.1529999999</v>
      </c>
      <c r="J12" s="9">
        <v>3221605.7369999988</v>
      </c>
      <c r="K12" s="9">
        <v>3467745.1410000008</v>
      </c>
      <c r="L12" s="9">
        <v>3686692.355</v>
      </c>
      <c r="M12" s="9">
        <v>3329873.2580000004</v>
      </c>
      <c r="N12" s="9">
        <v>2626178.0850000004</v>
      </c>
      <c r="O12" s="9">
        <v>2565568.227</v>
      </c>
      <c r="P12" s="52">
        <f>SUM(D12:O12)</f>
        <v>34829613.391000003</v>
      </c>
    </row>
    <row r="13" spans="1:16" ht="15" thickBot="1">
      <c r="A13" s="1">
        <f t="shared" si="0" ref="A13:A64">+A12+1</f>
        <v>3</v>
      </c>
      <c r="B13" s="17" t="s">
        <v>29</v>
      </c>
      <c r="C13" s="4">
        <f>+'SECGT10 Weights by Year (18-20)'!C13</f>
        <v>2020</v>
      </c>
      <c r="D13" s="9">
        <v>2555222.5240000002</v>
      </c>
      <c r="E13" s="9">
        <v>2552360.2410000004</v>
      </c>
      <c r="F13" s="9">
        <v>2439121.6020000004</v>
      </c>
      <c r="G13" s="9">
        <v>2283607.5750000002</v>
      </c>
      <c r="H13" s="9">
        <v>2278957.9880000004</v>
      </c>
      <c r="I13" s="9">
        <v>2708960.2609999995</v>
      </c>
      <c r="J13" s="9">
        <v>3166836.6639999999</v>
      </c>
      <c r="K13" s="9">
        <v>3290383.3200000008</v>
      </c>
      <c r="L13" s="9">
        <v>3180956.2939999998</v>
      </c>
      <c r="M13" s="9">
        <v>2719445.0470000003</v>
      </c>
      <c r="N13" s="9">
        <v>2546853.5730000003</v>
      </c>
      <c r="O13" s="9">
        <v>2374761.7859999998</v>
      </c>
      <c r="P13" s="52">
        <f>SUM(D13:O13)</f>
        <v>32097466.875</v>
      </c>
    </row>
    <row r="14" spans="1:16" ht="14.4">
      <c r="A14" s="1">
        <f t="shared" si="0"/>
        <v>4</v>
      </c>
      <c r="B14" s="17" t="s">
        <v>29</v>
      </c>
      <c r="C14" s="49" t="s">
        <v>1</v>
      </c>
      <c r="D14" s="50">
        <f t="shared" si="1" ref="D14:O14">SUM(D11:D13)</f>
        <v>8025425.4350000005</v>
      </c>
      <c r="E14" s="50">
        <f t="shared" si="1"/>
        <v>7758377.2139999997</v>
      </c>
      <c r="F14" s="50">
        <f t="shared" si="1"/>
        <v>7515513.1939999983</v>
      </c>
      <c r="G14" s="50">
        <f t="shared" si="1"/>
        <v>7303512.171000001</v>
      </c>
      <c r="H14" s="50">
        <f t="shared" si="1"/>
        <v>7516846.0439999998</v>
      </c>
      <c r="I14" s="50">
        <f t="shared" si="1"/>
        <v>8881274.4509999994</v>
      </c>
      <c r="J14" s="50">
        <f t="shared" si="1"/>
        <v>9980722.526999997</v>
      </c>
      <c r="K14" s="50">
        <f t="shared" si="1"/>
        <v>10350897.699000001</v>
      </c>
      <c r="L14" s="50">
        <f t="shared" si="1"/>
        <v>10349843.23</v>
      </c>
      <c r="M14" s="50">
        <f t="shared" si="1"/>
        <v>9040516.6020000018</v>
      </c>
      <c r="N14" s="50">
        <f t="shared" si="1"/>
        <v>7684155.2990000006</v>
      </c>
      <c r="O14" s="50">
        <f t="shared" si="1"/>
        <v>7512475.7819999997</v>
      </c>
      <c r="P14" s="53">
        <f>SUM(D14:O14)</f>
        <v>101919559.64799999</v>
      </c>
    </row>
    <row r="15" spans="1:16" ht="13.8">
      <c r="A15" s="1">
        <f t="shared" si="0"/>
        <v>5</v>
      </c>
      <c r="B15" s="8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3.8">
      <c r="A16" s="1">
        <f t="shared" si="0"/>
        <v>6</v>
      </c>
      <c r="B16" s="8" t="s">
        <v>5</v>
      </c>
      <c r="C16" s="4">
        <f>+C11</f>
        <v>2018</v>
      </c>
      <c r="D16" s="9">
        <v>91247.361999999994</v>
      </c>
      <c r="E16" s="9">
        <v>84564.034</v>
      </c>
      <c r="F16" s="9">
        <v>81529.656000000003</v>
      </c>
      <c r="G16" s="9">
        <v>85465.481999999989</v>
      </c>
      <c r="H16" s="9">
        <v>87885.510000000009</v>
      </c>
      <c r="I16" s="9">
        <v>110040.07000000001</v>
      </c>
      <c r="J16" s="9">
        <v>118940.46900000001</v>
      </c>
      <c r="K16" s="9">
        <v>119304.38399999999</v>
      </c>
      <c r="L16" s="9">
        <v>119513.81400000003</v>
      </c>
      <c r="M16" s="9">
        <v>101196.05800000001</v>
      </c>
      <c r="N16" s="9">
        <v>84275.479000000007</v>
      </c>
      <c r="O16" s="9">
        <v>84574.026000000013</v>
      </c>
      <c r="P16" s="52">
        <f>SUM(D16:O16)</f>
        <v>1168536.344</v>
      </c>
    </row>
    <row r="17" spans="1:16" ht="13.8">
      <c r="A17" s="1">
        <f t="shared" si="0"/>
        <v>7</v>
      </c>
      <c r="B17" s="8" t="s">
        <v>5</v>
      </c>
      <c r="C17" s="4">
        <f t="shared" si="2" ref="C17:C18">+C12</f>
        <v>2019</v>
      </c>
      <c r="D17" s="9">
        <v>82989.290000000008</v>
      </c>
      <c r="E17" s="9">
        <v>88712.364000000001</v>
      </c>
      <c r="F17" s="9">
        <v>84201.068000000014</v>
      </c>
      <c r="G17" s="9">
        <v>82674.952000000005</v>
      </c>
      <c r="H17" s="9">
        <v>90023.772999999986</v>
      </c>
      <c r="I17" s="9">
        <v>107385.36000000002</v>
      </c>
      <c r="J17" s="9">
        <v>109465.85300000002</v>
      </c>
      <c r="K17" s="9">
        <v>116901.357</v>
      </c>
      <c r="L17" s="9">
        <v>125051.10000000002</v>
      </c>
      <c r="M17" s="9">
        <v>110027.976</v>
      </c>
      <c r="N17" s="9">
        <v>87651.418000000005</v>
      </c>
      <c r="O17" s="9">
        <v>83196.434999999998</v>
      </c>
      <c r="P17" s="52">
        <f>SUM(D17:O17)</f>
        <v>1168280.946</v>
      </c>
    </row>
    <row r="18" spans="1:16" ht="14.4" thickBot="1">
      <c r="A18" s="1">
        <f t="shared" si="0"/>
        <v>8</v>
      </c>
      <c r="B18" s="8" t="s">
        <v>5</v>
      </c>
      <c r="C18" s="4">
        <f t="shared" si="2"/>
        <v>2020</v>
      </c>
      <c r="D18" s="9">
        <v>83612.238000000012</v>
      </c>
      <c r="E18" s="9">
        <v>84757.65400000001</v>
      </c>
      <c r="F18" s="9">
        <v>81045.339000000007</v>
      </c>
      <c r="G18" s="9">
        <v>77779.264999999999</v>
      </c>
      <c r="H18" s="9">
        <v>79203.498000000007</v>
      </c>
      <c r="I18" s="9">
        <v>94639.664000000004</v>
      </c>
      <c r="J18" s="9">
        <v>108052.83500000001</v>
      </c>
      <c r="K18" s="9">
        <v>111578.67500000002</v>
      </c>
      <c r="L18" s="9">
        <v>111121.33</v>
      </c>
      <c r="M18" s="9">
        <v>94410.83600000001</v>
      </c>
      <c r="N18" s="9">
        <v>86761.688999999984</v>
      </c>
      <c r="O18" s="9">
        <v>77918.86099999999</v>
      </c>
      <c r="P18" s="52">
        <f>SUM(D18:O18)</f>
        <v>1090881.8840000001</v>
      </c>
    </row>
    <row r="19" spans="1:16" ht="13.8">
      <c r="A19" s="1">
        <f t="shared" si="0"/>
        <v>9</v>
      </c>
      <c r="B19" s="8" t="s">
        <v>5</v>
      </c>
      <c r="C19" s="49" t="s">
        <v>1</v>
      </c>
      <c r="D19" s="50">
        <f t="shared" si="3" ref="D19:O19">SUM(D16:D18)</f>
        <v>257848.89000000001</v>
      </c>
      <c r="E19" s="50">
        <f t="shared" si="3"/>
        <v>258034.052</v>
      </c>
      <c r="F19" s="50">
        <f t="shared" si="3"/>
        <v>246776.06300000002</v>
      </c>
      <c r="G19" s="50">
        <f t="shared" si="3"/>
        <v>245919.69900000002</v>
      </c>
      <c r="H19" s="50">
        <f t="shared" si="3"/>
        <v>257112.78100000002</v>
      </c>
      <c r="I19" s="50">
        <f t="shared" si="3"/>
        <v>312065.09400000004</v>
      </c>
      <c r="J19" s="50">
        <f t="shared" si="3"/>
        <v>336459.15700000006</v>
      </c>
      <c r="K19" s="50">
        <f t="shared" si="3"/>
        <v>347784.41599999997</v>
      </c>
      <c r="L19" s="50">
        <f t="shared" si="3"/>
        <v>355686.24400000006</v>
      </c>
      <c r="M19" s="50">
        <f t="shared" si="3"/>
        <v>305634.87</v>
      </c>
      <c r="N19" s="50">
        <f t="shared" si="3"/>
        <v>258688.58599999998</v>
      </c>
      <c r="O19" s="50">
        <f t="shared" si="3"/>
        <v>245689.32199999999</v>
      </c>
      <c r="P19" s="53">
        <f>SUM(D19:O19)</f>
        <v>3427699.1740000006</v>
      </c>
    </row>
    <row r="20" spans="1:16" ht="13.8">
      <c r="A20" s="1">
        <f t="shared" si="0"/>
        <v>10</v>
      </c>
      <c r="B20" s="8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3.8">
      <c r="A21" s="1">
        <f t="shared" si="0"/>
        <v>11</v>
      </c>
      <c r="B21" s="8" t="s">
        <v>6</v>
      </c>
      <c r="C21" s="4">
        <f>+C16</f>
        <v>2018</v>
      </c>
      <c r="D21" s="9">
        <v>94582.532999999996</v>
      </c>
      <c r="E21" s="9">
        <v>86979.912000000011</v>
      </c>
      <c r="F21" s="9">
        <v>86040.173999999999</v>
      </c>
      <c r="G21" s="9">
        <v>88750.679999999993</v>
      </c>
      <c r="H21" s="9">
        <v>91983.350999999995</v>
      </c>
      <c r="I21" s="9">
        <v>114345.01300000001</v>
      </c>
      <c r="J21" s="9">
        <v>120515.266</v>
      </c>
      <c r="K21" s="9">
        <v>124778.323</v>
      </c>
      <c r="L21" s="9">
        <v>124109.129</v>
      </c>
      <c r="M21" s="9">
        <v>105370.052</v>
      </c>
      <c r="N21" s="9">
        <v>89583.400999999998</v>
      </c>
      <c r="O21" s="9">
        <v>89630.299999999988</v>
      </c>
      <c r="P21" s="52">
        <f>SUM(D21:O21)</f>
        <v>1216668.1340000001</v>
      </c>
    </row>
    <row r="22" spans="1:16" ht="13.8">
      <c r="A22" s="1">
        <f t="shared" si="0"/>
        <v>12</v>
      </c>
      <c r="B22" s="8" t="s">
        <v>6</v>
      </c>
      <c r="C22" s="4">
        <f t="shared" si="4" ref="C22:C23">+C17</f>
        <v>2019</v>
      </c>
      <c r="D22" s="9">
        <v>88638.168999999994</v>
      </c>
      <c r="E22" s="9">
        <v>93300.274000000005</v>
      </c>
      <c r="F22" s="9">
        <v>88172.796000000002</v>
      </c>
      <c r="G22" s="9">
        <v>88615.450000000012</v>
      </c>
      <c r="H22" s="9">
        <v>95487.713000000003</v>
      </c>
      <c r="I22" s="9">
        <v>111014.27299999999</v>
      </c>
      <c r="J22" s="9">
        <v>114726.057</v>
      </c>
      <c r="K22" s="9">
        <v>124003.386</v>
      </c>
      <c r="L22" s="9">
        <v>133680.62299999999</v>
      </c>
      <c r="M22" s="9">
        <v>121241.60500000001</v>
      </c>
      <c r="N22" s="9">
        <v>94775.502999999997</v>
      </c>
      <c r="O22" s="9">
        <v>92589.796000000002</v>
      </c>
      <c r="P22" s="52">
        <f>SUM(D22:O22)</f>
        <v>1246245.6450000003</v>
      </c>
    </row>
    <row r="23" spans="1:16" ht="14.4" thickBot="1">
      <c r="A23" s="1">
        <f t="shared" si="0"/>
        <v>13</v>
      </c>
      <c r="B23" s="8" t="s">
        <v>6</v>
      </c>
      <c r="C23" s="4">
        <f t="shared" si="4"/>
        <v>2020</v>
      </c>
      <c r="D23" s="9">
        <v>89536.013000000006</v>
      </c>
      <c r="E23" s="9">
        <v>89705.146000000008</v>
      </c>
      <c r="F23" s="9">
        <v>89459.493000000002</v>
      </c>
      <c r="G23" s="9">
        <v>82299.733999999997</v>
      </c>
      <c r="H23" s="9">
        <v>84990.241999999998</v>
      </c>
      <c r="I23" s="9">
        <v>102403.264</v>
      </c>
      <c r="J23" s="9">
        <v>118251.568</v>
      </c>
      <c r="K23" s="9">
        <v>119942.79300000001</v>
      </c>
      <c r="L23" s="9">
        <v>121700.583</v>
      </c>
      <c r="M23" s="9">
        <v>104138.54399999999</v>
      </c>
      <c r="N23" s="9">
        <v>99371.683999999994</v>
      </c>
      <c r="O23" s="9">
        <v>90521.443999999989</v>
      </c>
      <c r="P23" s="52">
        <f>SUM(D23:O23)</f>
        <v>1192320.5079999999</v>
      </c>
    </row>
    <row r="24" spans="1:16" ht="13.8">
      <c r="A24" s="1">
        <f t="shared" si="0"/>
        <v>14</v>
      </c>
      <c r="B24" s="8" t="s">
        <v>6</v>
      </c>
      <c r="C24" s="49" t="s">
        <v>1</v>
      </c>
      <c r="D24" s="50">
        <f t="shared" si="5" ref="D24:O24">SUM(D21:D23)</f>
        <v>272756.71499999997</v>
      </c>
      <c r="E24" s="50">
        <f t="shared" si="5"/>
        <v>269985.33200000005</v>
      </c>
      <c r="F24" s="50">
        <f t="shared" si="5"/>
        <v>263672.46299999999</v>
      </c>
      <c r="G24" s="50">
        <f t="shared" si="5"/>
        <v>259665.864</v>
      </c>
      <c r="H24" s="50">
        <f t="shared" si="5"/>
        <v>272461.30599999998</v>
      </c>
      <c r="I24" s="50">
        <f t="shared" si="5"/>
        <v>327762.54999999999</v>
      </c>
      <c r="J24" s="50">
        <f t="shared" si="5"/>
        <v>353492.891</v>
      </c>
      <c r="K24" s="50">
        <f t="shared" si="5"/>
        <v>368724.50199999998</v>
      </c>
      <c r="L24" s="50">
        <f t="shared" si="5"/>
        <v>379490.33499999996</v>
      </c>
      <c r="M24" s="50">
        <f t="shared" si="5"/>
        <v>330750.201</v>
      </c>
      <c r="N24" s="50">
        <f t="shared" si="5"/>
        <v>283730.58799999999</v>
      </c>
      <c r="O24" s="50">
        <f t="shared" si="5"/>
        <v>272741.53999999998</v>
      </c>
      <c r="P24" s="53">
        <f>SUM(D24:O24)</f>
        <v>3655234.287</v>
      </c>
    </row>
    <row r="25" spans="1:16" ht="13.8">
      <c r="A25" s="1">
        <f t="shared" si="0"/>
        <v>15</v>
      </c>
      <c r="B25" s="8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3.8">
      <c r="A26" s="1">
        <f t="shared" si="0"/>
        <v>16</v>
      </c>
      <c r="B26" s="8" t="s">
        <v>7</v>
      </c>
      <c r="C26" s="4">
        <f>+C21</f>
        <v>2018</v>
      </c>
      <c r="D26" s="9">
        <v>100310.53099999999</v>
      </c>
      <c r="E26" s="9">
        <v>91060.354000000007</v>
      </c>
      <c r="F26" s="9">
        <v>85870.932000000001</v>
      </c>
      <c r="G26" s="9">
        <v>89772.364000000001</v>
      </c>
      <c r="H26" s="9">
        <v>93583.306000000011</v>
      </c>
      <c r="I26" s="9">
        <v>116967.19300000001</v>
      </c>
      <c r="J26" s="9">
        <v>127546.885</v>
      </c>
      <c r="K26" s="9">
        <v>130668.91100000001</v>
      </c>
      <c r="L26" s="9">
        <v>128294.113</v>
      </c>
      <c r="M26" s="9">
        <v>107085.07799999999</v>
      </c>
      <c r="N26" s="9">
        <v>87891.044999999984</v>
      </c>
      <c r="O26" s="9">
        <v>88858.847999999998</v>
      </c>
      <c r="P26" s="52">
        <f>SUM(D26:O26)</f>
        <v>1247909.5600000001</v>
      </c>
    </row>
    <row r="27" spans="1:16" ht="13.8">
      <c r="A27" s="1">
        <f t="shared" si="0"/>
        <v>17</v>
      </c>
      <c r="B27" s="8" t="s">
        <v>7</v>
      </c>
      <c r="C27" s="4">
        <f t="shared" si="6" ref="C27:C28">+C22</f>
        <v>2019</v>
      </c>
      <c r="D27" s="9">
        <v>89965.073000000004</v>
      </c>
      <c r="E27" s="9">
        <v>92990.808999999994</v>
      </c>
      <c r="F27" s="9">
        <v>90408.079999999987</v>
      </c>
      <c r="G27" s="9">
        <v>85747.870999999999</v>
      </c>
      <c r="H27" s="9">
        <v>93852.018000000011</v>
      </c>
      <c r="I27" s="9">
        <v>107633.064</v>
      </c>
      <c r="J27" s="9">
        <v>114871.19899999999</v>
      </c>
      <c r="K27" s="9">
        <v>122613.00500000001</v>
      </c>
      <c r="L27" s="9">
        <v>134637.15299999999</v>
      </c>
      <c r="M27" s="9">
        <v>122820.09699999998</v>
      </c>
      <c r="N27" s="9">
        <v>96347.844000000012</v>
      </c>
      <c r="O27" s="9">
        <v>92999.660999999993</v>
      </c>
      <c r="P27" s="52">
        <f>SUM(D27:O27)</f>
        <v>1244885.8740000001</v>
      </c>
    </row>
    <row r="28" spans="1:16" ht="14.4" thickBot="1">
      <c r="A28" s="1">
        <f t="shared" si="0"/>
        <v>18</v>
      </c>
      <c r="B28" s="8" t="s">
        <v>7</v>
      </c>
      <c r="C28" s="4">
        <f t="shared" si="6"/>
        <v>2020</v>
      </c>
      <c r="D28" s="9">
        <v>90181.027000000002</v>
      </c>
      <c r="E28" s="9">
        <v>90908.903999999995</v>
      </c>
      <c r="F28" s="9">
        <v>89635.434000000008</v>
      </c>
      <c r="G28" s="9">
        <v>81421.742000000013</v>
      </c>
      <c r="H28" s="9">
        <v>81594.414999999979</v>
      </c>
      <c r="I28" s="9">
        <v>101685.38000000001</v>
      </c>
      <c r="J28" s="9">
        <v>119186.26500000001</v>
      </c>
      <c r="K28" s="9">
        <v>122459.61499999999</v>
      </c>
      <c r="L28" s="9">
        <v>124142.781</v>
      </c>
      <c r="M28" s="9">
        <v>101733.60399999999</v>
      </c>
      <c r="N28" s="9">
        <v>95342.496999999988</v>
      </c>
      <c r="O28" s="9">
        <v>88961.582000000009</v>
      </c>
      <c r="P28" s="52">
        <f>SUM(D28:O28)</f>
        <v>1187253.2459999998</v>
      </c>
    </row>
    <row r="29" spans="1:16" ht="13.8">
      <c r="A29" s="1">
        <f t="shared" si="0"/>
        <v>19</v>
      </c>
      <c r="B29" s="8" t="s">
        <v>7</v>
      </c>
      <c r="C29" s="49" t="s">
        <v>1</v>
      </c>
      <c r="D29" s="50">
        <f t="shared" si="7" ref="D29:O29">SUM(D26:D28)</f>
        <v>280456.63099999999</v>
      </c>
      <c r="E29" s="50">
        <f t="shared" si="7"/>
        <v>274960.06699999998</v>
      </c>
      <c r="F29" s="50">
        <f t="shared" si="7"/>
        <v>265914.446</v>
      </c>
      <c r="G29" s="50">
        <f t="shared" si="7"/>
        <v>256941.97700000001</v>
      </c>
      <c r="H29" s="50">
        <f t="shared" si="7"/>
        <v>269029.739</v>
      </c>
      <c r="I29" s="50">
        <f t="shared" si="7"/>
        <v>326285.63699999999</v>
      </c>
      <c r="J29" s="50">
        <f t="shared" si="7"/>
        <v>361604.34899999999</v>
      </c>
      <c r="K29" s="50">
        <f t="shared" si="7"/>
        <v>375741.53100000002</v>
      </c>
      <c r="L29" s="50">
        <f t="shared" si="7"/>
        <v>387074.04700000002</v>
      </c>
      <c r="M29" s="50">
        <f t="shared" si="7"/>
        <v>331638.77899999998</v>
      </c>
      <c r="N29" s="50">
        <f t="shared" si="7"/>
        <v>279581.386</v>
      </c>
      <c r="O29" s="50">
        <f t="shared" si="7"/>
        <v>270820.09100000001</v>
      </c>
      <c r="P29" s="53">
        <f>SUM(D29:O29)</f>
        <v>3680048.6799999997</v>
      </c>
    </row>
    <row r="30" spans="1:16" ht="14.4">
      <c r="A30" s="1">
        <f t="shared" si="0"/>
        <v>20</v>
      </c>
      <c r="B30" s="8"/>
      <c r="C30" s="1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3.8">
      <c r="A31" s="1">
        <f t="shared" si="0"/>
        <v>21</v>
      </c>
      <c r="B31" s="8" t="s">
        <v>8</v>
      </c>
      <c r="C31" s="4">
        <f>+C26</f>
        <v>2018</v>
      </c>
      <c r="D31" s="9">
        <v>115633.78</v>
      </c>
      <c r="E31" s="9">
        <v>106337.86799999999</v>
      </c>
      <c r="F31" s="9">
        <v>102526.58100000001</v>
      </c>
      <c r="G31" s="9">
        <v>104981.06099999999</v>
      </c>
      <c r="H31" s="9">
        <v>108731.21100000001</v>
      </c>
      <c r="I31" s="9">
        <v>136617.641</v>
      </c>
      <c r="J31" s="9">
        <v>152169.77400000001</v>
      </c>
      <c r="K31" s="9">
        <v>152363.94899999999</v>
      </c>
      <c r="L31" s="9">
        <v>149158.951</v>
      </c>
      <c r="M31" s="9">
        <v>126688.76300000001</v>
      </c>
      <c r="N31" s="9">
        <v>104985.394</v>
      </c>
      <c r="O31" s="9">
        <v>106586.617</v>
      </c>
      <c r="P31" s="52">
        <f>SUM(D31:O31)</f>
        <v>1466781.5900000003</v>
      </c>
    </row>
    <row r="32" spans="1:16" ht="13.8">
      <c r="A32" s="1">
        <f t="shared" si="0"/>
        <v>22</v>
      </c>
      <c r="B32" s="8" t="s">
        <v>8</v>
      </c>
      <c r="C32" s="4">
        <f t="shared" si="8" ref="C32:C33">+C27</f>
        <v>2019</v>
      </c>
      <c r="D32" s="9">
        <v>105289.681</v>
      </c>
      <c r="E32" s="9">
        <v>111866.124</v>
      </c>
      <c r="F32" s="9">
        <v>105267.985</v>
      </c>
      <c r="G32" s="9">
        <v>101354.817</v>
      </c>
      <c r="H32" s="9">
        <v>111027.39899999999</v>
      </c>
      <c r="I32" s="9">
        <v>126175.817</v>
      </c>
      <c r="J32" s="9">
        <v>135454.49000000002</v>
      </c>
      <c r="K32" s="9">
        <v>144595.943</v>
      </c>
      <c r="L32" s="9">
        <v>156957.93600000002</v>
      </c>
      <c r="M32" s="9">
        <v>139518.81200000001</v>
      </c>
      <c r="N32" s="9">
        <v>108255.58</v>
      </c>
      <c r="O32" s="9">
        <v>105218.83300000001</v>
      </c>
      <c r="P32" s="52">
        <f>SUM(D32:O32)</f>
        <v>1450983.4170000001</v>
      </c>
    </row>
    <row r="33" spans="1:16" ht="14.4" thickBot="1">
      <c r="A33" s="1">
        <f t="shared" si="0"/>
        <v>23</v>
      </c>
      <c r="B33" s="8" t="s">
        <v>8</v>
      </c>
      <c r="C33" s="4">
        <f t="shared" si="8"/>
        <v>2020</v>
      </c>
      <c r="D33" s="9">
        <v>105054.325</v>
      </c>
      <c r="E33" s="9">
        <v>103756.45799999998</v>
      </c>
      <c r="F33" s="9">
        <v>100851.29499999998</v>
      </c>
      <c r="G33" s="9">
        <v>93523.23599999999</v>
      </c>
      <c r="H33" s="9">
        <v>97111.990999999995</v>
      </c>
      <c r="I33" s="9">
        <v>115736.145</v>
      </c>
      <c r="J33" s="9">
        <v>136564.56900000002</v>
      </c>
      <c r="K33" s="9">
        <v>141095.87399999998</v>
      </c>
      <c r="L33" s="9">
        <v>137784.92499999999</v>
      </c>
      <c r="M33" s="9">
        <v>116299.677</v>
      </c>
      <c r="N33" s="9">
        <v>106427.78000000001</v>
      </c>
      <c r="O33" s="9">
        <v>98321.178</v>
      </c>
      <c r="P33" s="52">
        <f>SUM(D33:O33)</f>
        <v>1352527.453</v>
      </c>
    </row>
    <row r="34" spans="1:16" ht="13.8">
      <c r="A34" s="1">
        <f t="shared" si="0"/>
        <v>24</v>
      </c>
      <c r="B34" s="8" t="s">
        <v>8</v>
      </c>
      <c r="C34" s="49" t="s">
        <v>1</v>
      </c>
      <c r="D34" s="50">
        <f t="shared" si="9" ref="D34:O34">SUM(D31:D33)</f>
        <v>325977.78600000002</v>
      </c>
      <c r="E34" s="50">
        <f t="shared" si="9"/>
        <v>321960.44999999995</v>
      </c>
      <c r="F34" s="50">
        <f t="shared" si="9"/>
        <v>308645.86099999998</v>
      </c>
      <c r="G34" s="50">
        <f t="shared" si="9"/>
        <v>299859.11399999994</v>
      </c>
      <c r="H34" s="50">
        <f t="shared" si="9"/>
        <v>316870.60099999997</v>
      </c>
      <c r="I34" s="50">
        <f t="shared" si="9"/>
        <v>378529.603</v>
      </c>
      <c r="J34" s="50">
        <f t="shared" si="9"/>
        <v>424188.83300000004</v>
      </c>
      <c r="K34" s="50">
        <f t="shared" si="9"/>
        <v>438055.76599999995</v>
      </c>
      <c r="L34" s="50">
        <f t="shared" si="9"/>
        <v>443901.81199999998</v>
      </c>
      <c r="M34" s="50">
        <f t="shared" si="9"/>
        <v>382507.25199999998</v>
      </c>
      <c r="N34" s="50">
        <f t="shared" si="9"/>
        <v>319668.75400000002</v>
      </c>
      <c r="O34" s="50">
        <f t="shared" si="9"/>
        <v>310126.62800000003</v>
      </c>
      <c r="P34" s="53">
        <f>SUM(D34:O34)</f>
        <v>4270292.46</v>
      </c>
    </row>
    <row r="35" spans="1:16" ht="13.8">
      <c r="A35" s="1">
        <f t="shared" si="0"/>
        <v>25</v>
      </c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3.8">
      <c r="A36" s="1">
        <f t="shared" si="0"/>
        <v>26</v>
      </c>
      <c r="B36" s="8" t="s">
        <v>3</v>
      </c>
      <c r="C36" s="4">
        <f>+C31</f>
        <v>2018</v>
      </c>
      <c r="D36" s="9">
        <v>121418.431</v>
      </c>
      <c r="E36" s="9">
        <v>114324.74400000001</v>
      </c>
      <c r="F36" s="9">
        <v>111275.58500000001</v>
      </c>
      <c r="G36" s="9">
        <v>112509.35400000001</v>
      </c>
      <c r="H36" s="9">
        <v>115426.51099999998</v>
      </c>
      <c r="I36" s="9">
        <v>146461.027</v>
      </c>
      <c r="J36" s="9">
        <v>162980.94</v>
      </c>
      <c r="K36" s="9">
        <v>164627.56199999998</v>
      </c>
      <c r="L36" s="9">
        <v>163533.68400000001</v>
      </c>
      <c r="M36" s="9">
        <v>139192.80799999999</v>
      </c>
      <c r="N36" s="9">
        <v>113912.565</v>
      </c>
      <c r="O36" s="9">
        <v>113749.45200000001</v>
      </c>
      <c r="P36" s="52">
        <f>SUM(D36:O36)</f>
        <v>1579412.6629999999</v>
      </c>
    </row>
    <row r="37" spans="1:16" ht="13.8">
      <c r="A37" s="1">
        <f t="shared" si="0"/>
        <v>27</v>
      </c>
      <c r="B37" s="8" t="s">
        <v>3</v>
      </c>
      <c r="C37" s="4">
        <f t="shared" si="10" ref="C37:C38">+C32</f>
        <v>2019</v>
      </c>
      <c r="D37" s="9">
        <v>113302.825</v>
      </c>
      <c r="E37" s="9">
        <v>117281.36000000002</v>
      </c>
      <c r="F37" s="9">
        <v>113364.61200000001</v>
      </c>
      <c r="G37" s="9">
        <v>108641.11099999999</v>
      </c>
      <c r="H37" s="9">
        <v>118548.658</v>
      </c>
      <c r="I37" s="9">
        <v>135933.96899999998</v>
      </c>
      <c r="J37" s="9">
        <v>143307.96900000001</v>
      </c>
      <c r="K37" s="9">
        <v>156025.62299999999</v>
      </c>
      <c r="L37" s="9">
        <v>172147.39800000002</v>
      </c>
      <c r="M37" s="9">
        <v>149432.448</v>
      </c>
      <c r="N37" s="9">
        <v>118375.289</v>
      </c>
      <c r="O37" s="9">
        <v>112240.402</v>
      </c>
      <c r="P37" s="52">
        <f>SUM(D37:O37)</f>
        <v>1558601.6640000001</v>
      </c>
    </row>
    <row r="38" spans="1:16" ht="14.4" thickBot="1">
      <c r="A38" s="1">
        <f t="shared" si="0"/>
        <v>28</v>
      </c>
      <c r="B38" s="8" t="s">
        <v>3</v>
      </c>
      <c r="C38" s="4">
        <f t="shared" si="10"/>
        <v>2020</v>
      </c>
      <c r="D38" s="9">
        <v>109892.64</v>
      </c>
      <c r="E38" s="9">
        <v>108893.08</v>
      </c>
      <c r="F38" s="9">
        <v>108334.159</v>
      </c>
      <c r="G38" s="9">
        <v>100066.836</v>
      </c>
      <c r="H38" s="9">
        <v>101988.924</v>
      </c>
      <c r="I38" s="9">
        <v>123724.826</v>
      </c>
      <c r="J38" s="9">
        <v>143146.766</v>
      </c>
      <c r="K38" s="9">
        <v>151500.69</v>
      </c>
      <c r="L38" s="9">
        <v>148544.88000000001</v>
      </c>
      <c r="M38" s="9">
        <v>124593.16500000001</v>
      </c>
      <c r="N38" s="9">
        <v>115339.06200000001</v>
      </c>
      <c r="O38" s="9">
        <v>102746.51999999999</v>
      </c>
      <c r="P38" s="52">
        <f>SUM(D38:O38)</f>
        <v>1438771.548</v>
      </c>
    </row>
    <row r="39" spans="1:16" ht="13.8">
      <c r="A39" s="1">
        <f t="shared" si="0"/>
        <v>29</v>
      </c>
      <c r="B39" s="8" t="s">
        <v>3</v>
      </c>
      <c r="C39" s="49" t="s">
        <v>1</v>
      </c>
      <c r="D39" s="50">
        <f t="shared" si="11" ref="D39:O39">SUM(D36:D38)</f>
        <v>344613.89600000001</v>
      </c>
      <c r="E39" s="50">
        <f t="shared" si="11"/>
        <v>340499.18400000001</v>
      </c>
      <c r="F39" s="50">
        <f t="shared" si="11"/>
        <v>332974.35600000003</v>
      </c>
      <c r="G39" s="50">
        <f t="shared" si="11"/>
        <v>321217.30099999998</v>
      </c>
      <c r="H39" s="50">
        <f t="shared" si="11"/>
        <v>335964.09299999999</v>
      </c>
      <c r="I39" s="50">
        <f t="shared" si="11"/>
        <v>406119.82199999999</v>
      </c>
      <c r="J39" s="50">
        <f t="shared" si="11"/>
        <v>449435.67499999999</v>
      </c>
      <c r="K39" s="50">
        <f t="shared" si="11"/>
        <v>472153.87499999994</v>
      </c>
      <c r="L39" s="50">
        <f t="shared" si="11"/>
        <v>484225.96200000006</v>
      </c>
      <c r="M39" s="50">
        <f t="shared" si="11"/>
        <v>413218.42099999997</v>
      </c>
      <c r="N39" s="50">
        <f t="shared" si="11"/>
        <v>347626.91599999997</v>
      </c>
      <c r="O39" s="50">
        <f t="shared" si="11"/>
        <v>328736.37399999995</v>
      </c>
      <c r="P39" s="53">
        <f>SUM(D39:O39)</f>
        <v>4576785.875</v>
      </c>
    </row>
    <row r="40" spans="1:16" ht="13.8">
      <c r="A40" s="1">
        <f t="shared" si="0"/>
        <v>30</v>
      </c>
      <c r="B40" s="8"/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3.8">
      <c r="A41" s="1">
        <f t="shared" si="0"/>
        <v>31</v>
      </c>
      <c r="B41" s="8" t="s">
        <v>9</v>
      </c>
      <c r="C41" s="4">
        <f>+C36</f>
        <v>2018</v>
      </c>
      <c r="D41" s="9">
        <v>47664.535000000003</v>
      </c>
      <c r="E41" s="9">
        <v>42430.132000000005</v>
      </c>
      <c r="F41" s="9">
        <v>38865.694000000003</v>
      </c>
      <c r="G41" s="9">
        <v>40042.810999999994</v>
      </c>
      <c r="H41" s="9">
        <v>40509.215000000004</v>
      </c>
      <c r="I41" s="9">
        <v>50681.843000000001</v>
      </c>
      <c r="J41" s="9">
        <v>58398.962</v>
      </c>
      <c r="K41" s="9">
        <v>56678.725000000006</v>
      </c>
      <c r="L41" s="9">
        <v>55061.427999999993</v>
      </c>
      <c r="M41" s="9">
        <v>44323.718999999997</v>
      </c>
      <c r="N41" s="9">
        <v>40298.007999999994</v>
      </c>
      <c r="O41" s="9">
        <v>40532.185000000005</v>
      </c>
      <c r="P41" s="52">
        <f>SUM(D41:O41)</f>
        <v>555487.25699999998</v>
      </c>
    </row>
    <row r="42" spans="1:16" ht="13.8">
      <c r="A42" s="1">
        <f t="shared" si="0"/>
        <v>32</v>
      </c>
      <c r="B42" s="8" t="s">
        <v>9</v>
      </c>
      <c r="C42" s="4">
        <f t="shared" si="12" ref="C42:C43">+C37</f>
        <v>2019</v>
      </c>
      <c r="D42" s="9">
        <v>42476.029000000002</v>
      </c>
      <c r="E42" s="9">
        <v>43251.145999999986</v>
      </c>
      <c r="F42" s="9">
        <v>39703.659999999996</v>
      </c>
      <c r="G42" s="9">
        <v>37924.303</v>
      </c>
      <c r="H42" s="9">
        <v>38759.789999999994</v>
      </c>
      <c r="I42" s="9">
        <v>42990.974999999999</v>
      </c>
      <c r="J42" s="9">
        <v>48828.090999999986</v>
      </c>
      <c r="K42" s="9">
        <v>57077.471000000005</v>
      </c>
      <c r="L42" s="9">
        <v>59094.459999999999</v>
      </c>
      <c r="M42" s="9">
        <v>48803.182000000015</v>
      </c>
      <c r="N42" s="9">
        <v>39903.827999999994</v>
      </c>
      <c r="O42" s="9">
        <v>40507.730000000003</v>
      </c>
      <c r="P42" s="52">
        <f>SUM(D42:O42)</f>
        <v>539320.66500000004</v>
      </c>
    </row>
    <row r="43" spans="1:16" ht="14.4" thickBot="1">
      <c r="A43" s="1">
        <f t="shared" si="0"/>
        <v>33</v>
      </c>
      <c r="B43" s="8" t="s">
        <v>9</v>
      </c>
      <c r="C43" s="4">
        <f t="shared" si="12"/>
        <v>2020</v>
      </c>
      <c r="D43" s="9">
        <v>40128.498999999996</v>
      </c>
      <c r="E43" s="9">
        <v>40423.587</v>
      </c>
      <c r="F43" s="9">
        <v>37620.511999999988</v>
      </c>
      <c r="G43" s="9">
        <v>33477.647000000004</v>
      </c>
      <c r="H43" s="9">
        <v>35745.826000000001</v>
      </c>
      <c r="I43" s="9">
        <v>43093.958999999988</v>
      </c>
      <c r="J43" s="9">
        <v>50265.754999999997</v>
      </c>
      <c r="K43" s="9">
        <v>52789.354999999996</v>
      </c>
      <c r="L43" s="9">
        <v>49513.081000000006</v>
      </c>
      <c r="M43" s="9">
        <v>38483.198999999993</v>
      </c>
      <c r="N43" s="9">
        <v>38156.630999999994</v>
      </c>
      <c r="O43" s="9">
        <v>35870.516000000003</v>
      </c>
      <c r="P43" s="52">
        <f>SUM(D43:O43)</f>
        <v>495568.56699999992</v>
      </c>
    </row>
    <row r="44" spans="1:16" ht="13.8">
      <c r="A44" s="1">
        <f t="shared" si="0"/>
        <v>34</v>
      </c>
      <c r="B44" s="8" t="s">
        <v>9</v>
      </c>
      <c r="C44" s="49" t="s">
        <v>1</v>
      </c>
      <c r="D44" s="50">
        <f t="shared" si="13" ref="D44:O44">SUM(D41:D43)</f>
        <v>130269.06300000001</v>
      </c>
      <c r="E44" s="50">
        <f t="shared" si="13"/>
        <v>126104.86499999999</v>
      </c>
      <c r="F44" s="50">
        <f t="shared" si="13"/>
        <v>116189.86599999998</v>
      </c>
      <c r="G44" s="50">
        <f t="shared" si="13"/>
        <v>111444.761</v>
      </c>
      <c r="H44" s="50">
        <f t="shared" si="13"/>
        <v>115014.83100000001</v>
      </c>
      <c r="I44" s="50">
        <f t="shared" si="13"/>
        <v>136766.777</v>
      </c>
      <c r="J44" s="50">
        <f t="shared" si="13"/>
        <v>157492.80799999999</v>
      </c>
      <c r="K44" s="50">
        <f t="shared" si="13"/>
        <v>166545.55100000001</v>
      </c>
      <c r="L44" s="50">
        <f t="shared" si="13"/>
        <v>163668.96899999998</v>
      </c>
      <c r="M44" s="50">
        <f t="shared" si="13"/>
        <v>131610.10000000001</v>
      </c>
      <c r="N44" s="50">
        <f t="shared" si="13"/>
        <v>118358.46699999998</v>
      </c>
      <c r="O44" s="50">
        <f t="shared" si="13"/>
        <v>116910.43100000001</v>
      </c>
      <c r="P44" s="53">
        <f>SUM(D44:O44)</f>
        <v>1590376.4890000001</v>
      </c>
    </row>
    <row r="45" spans="1:16" ht="13.8">
      <c r="A45" s="1">
        <f t="shared" si="0"/>
        <v>35</v>
      </c>
      <c r="B45" s="8"/>
      <c r="C45" s="1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3.8">
      <c r="A46" s="1">
        <f t="shared" si="0"/>
        <v>36</v>
      </c>
      <c r="B46" s="8" t="s">
        <v>4</v>
      </c>
      <c r="C46" s="4">
        <f>+C41</f>
        <v>2018</v>
      </c>
      <c r="D46" s="9">
        <v>56483.634999999995</v>
      </c>
      <c r="E46" s="9">
        <v>52487.327999999994</v>
      </c>
      <c r="F46" s="9">
        <v>50466.279999999999</v>
      </c>
      <c r="G46" s="9">
        <v>50311.514000000003</v>
      </c>
      <c r="H46" s="9">
        <v>51461.610999999997</v>
      </c>
      <c r="I46" s="9">
        <v>65550.997000000003</v>
      </c>
      <c r="J46" s="9">
        <v>74712.338000000003</v>
      </c>
      <c r="K46" s="9">
        <v>75394.340999999986</v>
      </c>
      <c r="L46" s="9">
        <v>73133.452999999994</v>
      </c>
      <c r="M46" s="9">
        <v>60853.692999999999</v>
      </c>
      <c r="N46" s="9">
        <v>50140.532999999996</v>
      </c>
      <c r="O46" s="9">
        <v>51682.762000000002</v>
      </c>
      <c r="P46" s="52">
        <f>SUM(D46:O46)</f>
        <v>712678.48499999999</v>
      </c>
    </row>
    <row r="47" spans="1:16" ht="13.8">
      <c r="A47" s="1">
        <f t="shared" si="0"/>
        <v>37</v>
      </c>
      <c r="B47" s="8" t="s">
        <v>4</v>
      </c>
      <c r="C47" s="4">
        <f t="shared" si="14" ref="C47:C48">+C42</f>
        <v>2019</v>
      </c>
      <c r="D47" s="9">
        <v>51603.339999999997</v>
      </c>
      <c r="E47" s="9">
        <v>53900.306999999993</v>
      </c>
      <c r="F47" s="9">
        <v>51252.578000000001</v>
      </c>
      <c r="G47" s="9">
        <v>48478.482000000004</v>
      </c>
      <c r="H47" s="9">
        <v>51880.936000000002</v>
      </c>
      <c r="I47" s="9">
        <v>59245.700999999994</v>
      </c>
      <c r="J47" s="9">
        <v>66444.050000000003</v>
      </c>
      <c r="K47" s="9">
        <v>72402.228999999992</v>
      </c>
      <c r="L47" s="9">
        <v>77144.811000000002</v>
      </c>
      <c r="M47" s="9">
        <v>67614.157999999996</v>
      </c>
      <c r="N47" s="9">
        <v>52381.321000000004</v>
      </c>
      <c r="O47" s="9">
        <v>50386.372000000003</v>
      </c>
      <c r="P47" s="52">
        <f>SUM(D47:O47)</f>
        <v>702734.28499999992</v>
      </c>
    </row>
    <row r="48" spans="1:16" ht="14.4" thickBot="1">
      <c r="A48" s="1">
        <f t="shared" si="0"/>
        <v>38</v>
      </c>
      <c r="B48" s="8" t="s">
        <v>4</v>
      </c>
      <c r="C48" s="4">
        <f t="shared" si="14"/>
        <v>2020</v>
      </c>
      <c r="D48" s="9">
        <v>49898.122000000003</v>
      </c>
      <c r="E48" s="9">
        <v>50571.637000000002</v>
      </c>
      <c r="F48" s="9">
        <v>48288.249000000003</v>
      </c>
      <c r="G48" s="9">
        <v>44538.610999999997</v>
      </c>
      <c r="H48" s="9">
        <v>44668.536</v>
      </c>
      <c r="I48" s="9">
        <v>53330.291000000005</v>
      </c>
      <c r="J48" s="9">
        <v>63464.056000000004</v>
      </c>
      <c r="K48" s="9">
        <v>66348.213999999993</v>
      </c>
      <c r="L48" s="9">
        <v>64172.32</v>
      </c>
      <c r="M48" s="9">
        <v>52196.996999999996</v>
      </c>
      <c r="N48" s="9">
        <v>48782.428999999996</v>
      </c>
      <c r="O48" s="9">
        <v>43903.105000000003</v>
      </c>
      <c r="P48" s="52">
        <f>SUM(D48:O48)</f>
        <v>630162.56699999992</v>
      </c>
    </row>
    <row r="49" spans="1:16" ht="13.8">
      <c r="A49" s="1">
        <f t="shared" si="0"/>
        <v>39</v>
      </c>
      <c r="B49" s="8" t="s">
        <v>4</v>
      </c>
      <c r="C49" s="49" t="s">
        <v>1</v>
      </c>
      <c r="D49" s="50">
        <f t="shared" si="15" ref="D49:O49">SUM(D46:D48)</f>
        <v>157985.09700000001</v>
      </c>
      <c r="E49" s="50">
        <f t="shared" si="15"/>
        <v>156959.272</v>
      </c>
      <c r="F49" s="50">
        <f t="shared" si="15"/>
        <v>150007.10700000002</v>
      </c>
      <c r="G49" s="50">
        <f t="shared" si="15"/>
        <v>143328.60700000002</v>
      </c>
      <c r="H49" s="50">
        <f t="shared" si="15"/>
        <v>148011.08299999998</v>
      </c>
      <c r="I49" s="50">
        <f t="shared" si="15"/>
        <v>178126.989</v>
      </c>
      <c r="J49" s="50">
        <f t="shared" si="15"/>
        <v>204620.44400000002</v>
      </c>
      <c r="K49" s="50">
        <f t="shared" si="15"/>
        <v>214144.78399999999</v>
      </c>
      <c r="L49" s="50">
        <f t="shared" si="15"/>
        <v>214450.584</v>
      </c>
      <c r="M49" s="50">
        <f t="shared" si="15"/>
        <v>180664.848</v>
      </c>
      <c r="N49" s="50">
        <f t="shared" si="15"/>
        <v>151304.283</v>
      </c>
      <c r="O49" s="50">
        <f t="shared" si="15"/>
        <v>145972.239</v>
      </c>
      <c r="P49" s="53">
        <f>SUM(D49:O49)</f>
        <v>2045575.3370000001</v>
      </c>
    </row>
    <row r="50" spans="1:16" ht="13.8">
      <c r="A50" s="1">
        <f t="shared" si="0"/>
        <v>40</v>
      </c>
      <c r="B50" s="8"/>
      <c r="C50" s="1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3.8">
      <c r="A51" s="1">
        <f t="shared" si="0"/>
        <v>41</v>
      </c>
      <c r="B51" s="8" t="s">
        <v>2</v>
      </c>
      <c r="C51" s="4">
        <f>+C46</f>
        <v>2018</v>
      </c>
      <c r="D51" s="9">
        <v>217068.29600000003</v>
      </c>
      <c r="E51" s="9">
        <v>218162.32500000004</v>
      </c>
      <c r="F51" s="9">
        <v>216407.76699999999</v>
      </c>
      <c r="G51" s="9">
        <v>227157.06799999997</v>
      </c>
      <c r="H51" s="9">
        <v>241899.13399999999</v>
      </c>
      <c r="I51" s="9">
        <v>276169.95300000004</v>
      </c>
      <c r="J51" s="9">
        <v>303652.49300000002</v>
      </c>
      <c r="K51" s="9">
        <v>297884.92999999993</v>
      </c>
      <c r="L51" s="9">
        <v>290929.06099999987</v>
      </c>
      <c r="M51" s="9">
        <v>226789.285</v>
      </c>
      <c r="N51" s="9">
        <v>214642.83600000001</v>
      </c>
      <c r="O51" s="9">
        <v>225973.96700000003</v>
      </c>
      <c r="P51" s="52">
        <f>SUM(D51:O51)</f>
        <v>2956737.1150000002</v>
      </c>
    </row>
    <row r="52" spans="1:16" ht="13.8">
      <c r="A52" s="1">
        <f t="shared" si="0"/>
        <v>42</v>
      </c>
      <c r="B52" s="8" t="s">
        <v>2</v>
      </c>
      <c r="C52" s="4">
        <f t="shared" si="16" ref="C52:C53">+C47</f>
        <v>2019</v>
      </c>
      <c r="D52" s="9">
        <v>241838.47099999999</v>
      </c>
      <c r="E52" s="9">
        <v>248085.57999999999</v>
      </c>
      <c r="F52" s="9">
        <v>239650.61500000002</v>
      </c>
      <c r="G52" s="9">
        <v>203543.29999999996</v>
      </c>
      <c r="H52" s="9">
        <v>238879.103</v>
      </c>
      <c r="I52" s="9">
        <v>258438.86300000004</v>
      </c>
      <c r="J52" s="9">
        <v>279995.37200000003</v>
      </c>
      <c r="K52" s="9">
        <v>309067.788</v>
      </c>
      <c r="L52" s="9">
        <v>316240.92500000005</v>
      </c>
      <c r="M52" s="9">
        <v>275941.66100000002</v>
      </c>
      <c r="N52" s="9">
        <v>238113.78200000004</v>
      </c>
      <c r="O52" s="9">
        <v>257925.87499999997</v>
      </c>
      <c r="P52" s="52">
        <f>SUM(D52:O52)</f>
        <v>3107721.335</v>
      </c>
    </row>
    <row r="53" spans="1:16" ht="14.4" thickBot="1">
      <c r="A53" s="1">
        <f t="shared" si="0"/>
        <v>43</v>
      </c>
      <c r="B53" s="8" t="s">
        <v>2</v>
      </c>
      <c r="C53" s="4">
        <f t="shared" si="16"/>
        <v>2020</v>
      </c>
      <c r="D53" s="9">
        <v>252038.99899999998</v>
      </c>
      <c r="E53" s="9">
        <v>232586.08599999998</v>
      </c>
      <c r="F53" s="9">
        <v>242447.16700000002</v>
      </c>
      <c r="G53" s="9">
        <v>220974.44899999996</v>
      </c>
      <c r="H53" s="9">
        <v>216703.82000000004</v>
      </c>
      <c r="I53" s="9">
        <v>237656.875</v>
      </c>
      <c r="J53" s="9">
        <v>277232.91999999993</v>
      </c>
      <c r="K53" s="9">
        <v>290101.59600000002</v>
      </c>
      <c r="L53" s="9">
        <v>268475.02200000006</v>
      </c>
      <c r="M53" s="9">
        <v>244771.51300000004</v>
      </c>
      <c r="N53" s="9">
        <v>240265.315</v>
      </c>
      <c r="O53" s="9">
        <v>229954.98400000003</v>
      </c>
      <c r="P53" s="52">
        <f>SUM(D53:O53)</f>
        <v>2953208.7459999998</v>
      </c>
    </row>
    <row r="54" spans="1:16" ht="13.8">
      <c r="A54" s="1">
        <f t="shared" si="0"/>
        <v>44</v>
      </c>
      <c r="B54" s="8" t="s">
        <v>2</v>
      </c>
      <c r="C54" s="49" t="s">
        <v>1</v>
      </c>
      <c r="D54" s="50">
        <f t="shared" si="17" ref="D54:O54">SUM(D51:D53)</f>
        <v>710945.76599999995</v>
      </c>
      <c r="E54" s="50">
        <f t="shared" si="17"/>
        <v>698833.99100000004</v>
      </c>
      <c r="F54" s="50">
        <f t="shared" si="17"/>
        <v>698505.549</v>
      </c>
      <c r="G54" s="50">
        <f t="shared" si="17"/>
        <v>651674.81699999981</v>
      </c>
      <c r="H54" s="50">
        <f t="shared" si="17"/>
        <v>697482.05700000003</v>
      </c>
      <c r="I54" s="50">
        <f t="shared" si="17"/>
        <v>772265.69100000011</v>
      </c>
      <c r="J54" s="50">
        <f t="shared" si="17"/>
        <v>860880.78499999992</v>
      </c>
      <c r="K54" s="50">
        <f t="shared" si="17"/>
        <v>897054.3139999999</v>
      </c>
      <c r="L54" s="50">
        <f t="shared" si="17"/>
        <v>875645.00799999991</v>
      </c>
      <c r="M54" s="50">
        <f t="shared" si="17"/>
        <v>747502.45900000003</v>
      </c>
      <c r="N54" s="50">
        <f t="shared" si="17"/>
        <v>693021.93299999996</v>
      </c>
      <c r="O54" s="50">
        <f t="shared" si="17"/>
        <v>713854.826</v>
      </c>
      <c r="P54" s="53">
        <f>SUM(D54:O54)</f>
        <v>9017667.1960000005</v>
      </c>
    </row>
    <row r="55" spans="1:16" ht="14.4">
      <c r="A55" s="1">
        <f t="shared" si="0"/>
        <v>45</v>
      </c>
      <c r="B55" s="8"/>
      <c r="C55" s="1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3.8">
      <c r="A56" s="1">
        <f t="shared" si="0"/>
        <v>46</v>
      </c>
      <c r="B56" s="8" t="s">
        <v>48</v>
      </c>
      <c r="C56" s="4">
        <f>+C51</f>
        <v>2018</v>
      </c>
      <c r="D56" s="9">
        <v>91044.949999999997</v>
      </c>
      <c r="E56" s="9">
        <v>86201.707000000009</v>
      </c>
      <c r="F56" s="9">
        <v>81270.366999999998</v>
      </c>
      <c r="G56" s="9">
        <v>81801.127000000008</v>
      </c>
      <c r="H56" s="9">
        <v>83272.042000000001</v>
      </c>
      <c r="I56" s="9">
        <v>103034.94199999998</v>
      </c>
      <c r="J56" s="9">
        <v>114642.20699999998</v>
      </c>
      <c r="K56" s="9">
        <v>117272.35000000001</v>
      </c>
      <c r="L56" s="9">
        <v>114965.33800000002</v>
      </c>
      <c r="M56" s="9">
        <v>96543.822</v>
      </c>
      <c r="N56" s="9">
        <v>81053.341</v>
      </c>
      <c r="O56" s="9">
        <v>84758.823000000004</v>
      </c>
      <c r="P56" s="52">
        <f>SUM(D56:O56)</f>
        <v>1135861.0160000001</v>
      </c>
    </row>
    <row r="57" spans="1:16" ht="13.8">
      <c r="A57" s="1">
        <f t="shared" si="0"/>
        <v>47</v>
      </c>
      <c r="B57" s="8" t="s">
        <v>48</v>
      </c>
      <c r="C57" s="4">
        <f t="shared" si="18" ref="C57:C58">+C52</f>
        <v>2019</v>
      </c>
      <c r="D57" s="9">
        <v>85258.456000000006</v>
      </c>
      <c r="E57" s="9">
        <v>87967.387999999992</v>
      </c>
      <c r="F57" s="9">
        <v>84033.951000000001</v>
      </c>
      <c r="G57" s="9">
        <v>79926.880000000005</v>
      </c>
      <c r="H57" s="9">
        <v>83970.778999999995</v>
      </c>
      <c r="I57" s="9">
        <v>93299.798999999985</v>
      </c>
      <c r="J57" s="9">
        <v>102179.01599999997</v>
      </c>
      <c r="K57" s="9">
        <v>110481.74500000002</v>
      </c>
      <c r="L57" s="9">
        <v>118184.38000000002</v>
      </c>
      <c r="M57" s="9">
        <v>104228.757</v>
      </c>
      <c r="N57" s="9">
        <v>83525.138999999996</v>
      </c>
      <c r="O57" s="9">
        <v>82558.153999999995</v>
      </c>
      <c r="P57" s="52">
        <f>SUM(D57:O57)</f>
        <v>1115614.4439999999</v>
      </c>
    </row>
    <row r="58" spans="1:16" ht="14.4" thickBot="1">
      <c r="A58" s="1">
        <f t="shared" si="0"/>
        <v>48</v>
      </c>
      <c r="B58" s="8" t="s">
        <v>48</v>
      </c>
      <c r="C58" s="4">
        <f t="shared" si="18"/>
        <v>2020</v>
      </c>
      <c r="D58" s="9">
        <v>82187.000999999989</v>
      </c>
      <c r="E58" s="9">
        <v>82729.101999999984</v>
      </c>
      <c r="F58" s="9">
        <v>79380.040999999983</v>
      </c>
      <c r="G58" s="9">
        <v>74130.202999999994</v>
      </c>
      <c r="H58" s="9">
        <v>73491.391999999993</v>
      </c>
      <c r="I58" s="9">
        <v>86385.339000000007</v>
      </c>
      <c r="J58" s="9">
        <v>101796.34000000001</v>
      </c>
      <c r="K58" s="9">
        <v>108765.68000000001</v>
      </c>
      <c r="L58" s="9">
        <v>104114.14200000001</v>
      </c>
      <c r="M58" s="9">
        <v>88597.948000000004</v>
      </c>
      <c r="N58" s="9">
        <v>82541.672000000006</v>
      </c>
      <c r="O58" s="9">
        <v>76855.531000000003</v>
      </c>
      <c r="P58" s="52">
        <f>SUM(D58:O58)</f>
        <v>1040974.391</v>
      </c>
    </row>
    <row r="59" spans="1:16" ht="13.8">
      <c r="A59" s="1">
        <f t="shared" si="0"/>
        <v>49</v>
      </c>
      <c r="B59" s="8" t="s">
        <v>48</v>
      </c>
      <c r="C59" s="49" t="s">
        <v>1</v>
      </c>
      <c r="D59" s="50">
        <f t="shared" si="19" ref="D59:O59">SUM(D56:D58)</f>
        <v>258490.40700000001</v>
      </c>
      <c r="E59" s="50">
        <f t="shared" si="19"/>
        <v>256898.19699999999</v>
      </c>
      <c r="F59" s="50">
        <f t="shared" si="19"/>
        <v>244684.359</v>
      </c>
      <c r="G59" s="50">
        <f t="shared" si="19"/>
        <v>235858.21000000002</v>
      </c>
      <c r="H59" s="50">
        <f t="shared" si="19"/>
        <v>240734.21299999999</v>
      </c>
      <c r="I59" s="50">
        <f t="shared" si="19"/>
        <v>282720.07999999996</v>
      </c>
      <c r="J59" s="50">
        <f t="shared" si="19"/>
        <v>318617.56299999997</v>
      </c>
      <c r="K59" s="50">
        <f t="shared" si="19"/>
        <v>336519.77500000002</v>
      </c>
      <c r="L59" s="50">
        <f t="shared" si="19"/>
        <v>337263.86000000004</v>
      </c>
      <c r="M59" s="50">
        <f t="shared" si="19"/>
        <v>289370.527</v>
      </c>
      <c r="N59" s="50">
        <f t="shared" si="19"/>
        <v>247120.152</v>
      </c>
      <c r="O59" s="50">
        <f t="shared" si="19"/>
        <v>244172.50800000003</v>
      </c>
      <c r="P59" s="53">
        <f>SUM(D59:O59)</f>
        <v>3292449.8509999993</v>
      </c>
    </row>
    <row r="60" spans="1:16" ht="13.8">
      <c r="A60" s="1">
        <f t="shared" si="0"/>
        <v>50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ht="13.8">
      <c r="A61" s="1">
        <f t="shared" si="0"/>
        <v>51</v>
      </c>
      <c r="B61" s="1" t="s">
        <v>34</v>
      </c>
      <c r="C61" s="4">
        <f>+C56</f>
        <v>2018</v>
      </c>
      <c r="D61" s="9">
        <f t="shared" si="20" ref="D61:O61">SUM(D26,D31,D36,D41,D46,D51,D56,D21,D16,D11)</f>
        <v>3820065.1059999997</v>
      </c>
      <c r="E61" s="9">
        <f t="shared" si="20"/>
        <v>3394941.9880000004</v>
      </c>
      <c r="F61" s="9">
        <f t="shared" si="20"/>
        <v>3359791.1179999993</v>
      </c>
      <c r="G61" s="9">
        <f t="shared" si="20"/>
        <v>3421176.4050000003</v>
      </c>
      <c r="H61" s="9">
        <f t="shared" si="20"/>
        <v>3512461.9210000001</v>
      </c>
      <c r="I61" s="9">
        <f t="shared" si="20"/>
        <v>4329998.716</v>
      </c>
      <c r="J61" s="9">
        <f t="shared" si="20"/>
        <v>4825839.4599999981</v>
      </c>
      <c r="K61" s="9">
        <f t="shared" si="20"/>
        <v>4831742.7129999995</v>
      </c>
      <c r="L61" s="9">
        <f t="shared" si="20"/>
        <v>4700893.5519999992</v>
      </c>
      <c r="M61" s="9">
        <f t="shared" si="20"/>
        <v>3999241.5750000002</v>
      </c>
      <c r="N61" s="9">
        <f t="shared" si="20"/>
        <v>3377906.2429999998</v>
      </c>
      <c r="O61" s="9">
        <f t="shared" si="20"/>
        <v>3458492.7489999998</v>
      </c>
      <c r="P61" s="52">
        <f>SUM(P26,P31,P36,P41,P46,P51,P56,P21,P16,P11)</f>
        <v>47032551.545999996</v>
      </c>
    </row>
    <row r="62" spans="1:16" ht="13.8">
      <c r="A62" s="1">
        <f t="shared" si="0"/>
        <v>52</v>
      </c>
      <c r="B62" s="1" t="s">
        <v>34</v>
      </c>
      <c r="C62" s="4">
        <f t="shared" si="21" ref="C62:C63">+C57</f>
        <v>2019</v>
      </c>
      <c r="D62" s="9">
        <f t="shared" si="22" ref="D62:O62">SUM(D27,D32,D37,D42,D47,D52,D57,D22,D17,D12)</f>
        <v>3486953.1920000007</v>
      </c>
      <c r="E62" s="9">
        <f t="shared" si="22"/>
        <v>3630978.7409999995</v>
      </c>
      <c r="F62" s="9">
        <f t="shared" si="22"/>
        <v>3466908.8549999995</v>
      </c>
      <c r="G62" s="9">
        <f t="shared" si="22"/>
        <v>3316426.818</v>
      </c>
      <c r="H62" s="9">
        <f t="shared" si="22"/>
        <v>3562608.1950000003</v>
      </c>
      <c r="I62" s="9">
        <f t="shared" si="22"/>
        <v>4004301.9739999999</v>
      </c>
      <c r="J62" s="9">
        <f t="shared" si="22"/>
        <v>4336877.8339999989</v>
      </c>
      <c r="K62" s="9">
        <f t="shared" si="22"/>
        <v>4680913.688000001</v>
      </c>
      <c r="L62" s="9">
        <f t="shared" si="22"/>
        <v>4979831.1410000008</v>
      </c>
      <c r="M62" s="9">
        <f t="shared" si="22"/>
        <v>4469501.9539999999</v>
      </c>
      <c r="N62" s="9">
        <f t="shared" si="22"/>
        <v>3545507.7890000003</v>
      </c>
      <c r="O62" s="9">
        <f t="shared" si="22"/>
        <v>3483191.4849999999</v>
      </c>
      <c r="P62" s="52">
        <f>SUM(P27,P32,P37,P42,P47,P52,P57,P22,P17,P12)</f>
        <v>46964001.666000001</v>
      </c>
    </row>
    <row r="63" spans="1:16" ht="14.4" thickBot="1">
      <c r="A63" s="1">
        <f t="shared" si="0"/>
        <v>53</v>
      </c>
      <c r="B63" s="1" t="s">
        <v>34</v>
      </c>
      <c r="C63" s="4">
        <f t="shared" si="21"/>
        <v>2020</v>
      </c>
      <c r="D63" s="9">
        <f t="shared" si="23" ref="D63:O63">SUM(D28,D33,D38,D43,D48,D53,D58,D23,D18,D13)</f>
        <v>3457751.3880000003</v>
      </c>
      <c r="E63" s="9">
        <f t="shared" si="23"/>
        <v>3436691.8950000005</v>
      </c>
      <c r="F63" s="9">
        <f t="shared" si="23"/>
        <v>3316183.2910000002</v>
      </c>
      <c r="G63" s="9">
        <f t="shared" si="23"/>
        <v>3091819.298</v>
      </c>
      <c r="H63" s="9">
        <f t="shared" si="23"/>
        <v>3094456.6320000002</v>
      </c>
      <c r="I63" s="9">
        <f t="shared" si="23"/>
        <v>3667616.0039999997</v>
      </c>
      <c r="J63" s="9">
        <f t="shared" si="23"/>
        <v>4284797.7379999999</v>
      </c>
      <c r="K63" s="9">
        <f t="shared" si="23"/>
        <v>4454965.8120000008</v>
      </c>
      <c r="L63" s="9">
        <f t="shared" si="23"/>
        <v>4310525.358</v>
      </c>
      <c r="M63" s="9">
        <f t="shared" si="23"/>
        <v>3684670.5300000003</v>
      </c>
      <c r="N63" s="9">
        <f t="shared" si="23"/>
        <v>3459842.3320000004</v>
      </c>
      <c r="O63" s="9">
        <f t="shared" si="23"/>
        <v>3219815.5069999998</v>
      </c>
      <c r="P63" s="52">
        <f>SUM(P28,P33,P38,P43,P48,P53,P58,P23,P18,P13)</f>
        <v>43479135.784999996</v>
      </c>
    </row>
    <row r="64" spans="1:16" ht="14.4" thickBot="1">
      <c r="A64" s="1">
        <f t="shared" si="0"/>
        <v>54</v>
      </c>
      <c r="B64" s="1" t="s">
        <v>34</v>
      </c>
      <c r="C64" s="54" t="s">
        <v>1</v>
      </c>
      <c r="D64" s="55">
        <f t="shared" si="24" ref="D64:O64">SUM(D61:D63)</f>
        <v>10764769.686000001</v>
      </c>
      <c r="E64" s="55">
        <f t="shared" si="24"/>
        <v>10462612.624000002</v>
      </c>
      <c r="F64" s="55">
        <f t="shared" si="24"/>
        <v>10142883.263999999</v>
      </c>
      <c r="G64" s="55">
        <f t="shared" si="24"/>
        <v>9829422.5209999997</v>
      </c>
      <c r="H64" s="50">
        <f t="shared" si="24"/>
        <v>10169526.748</v>
      </c>
      <c r="I64" s="55">
        <f t="shared" si="24"/>
        <v>12001916.693999998</v>
      </c>
      <c r="J64" s="55">
        <f t="shared" si="24"/>
        <v>13447515.031999996</v>
      </c>
      <c r="K64" s="55">
        <f t="shared" si="24"/>
        <v>13967622.213000001</v>
      </c>
      <c r="L64" s="55">
        <f t="shared" si="24"/>
        <v>13991250.050999999</v>
      </c>
      <c r="M64" s="55">
        <f t="shared" si="24"/>
        <v>12153414.059</v>
      </c>
      <c r="N64" s="55">
        <f t="shared" si="24"/>
        <v>10383256.364</v>
      </c>
      <c r="O64" s="55">
        <f t="shared" si="24"/>
        <v>10161499.740999999</v>
      </c>
      <c r="P64" s="56">
        <f>SUM(P61:P63)</f>
        <v>137475688.99699998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&amp;RWP/II-H-5.2/3
Page &amp;P of &amp;N</oddHeader>
    <oddFooter>&amp;R]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SECGT10 Seasonal Weights</vt:lpstr>
      <vt:lpstr>SECGT10 Monthly Weather Weights</vt:lpstr>
      <vt:lpstr>SECGT10 Weights by Year (18-20)</vt:lpstr>
      <vt:lpstr>SECGT10 Sales by Year (18-20)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