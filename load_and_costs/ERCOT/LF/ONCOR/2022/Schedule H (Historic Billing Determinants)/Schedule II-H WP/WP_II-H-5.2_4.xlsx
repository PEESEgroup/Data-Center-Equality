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Default Extension="wmf" ContentType="image/x-w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Schedule II-H WP\"/>
    </mc:Choice>
  </mc:AlternateContent>
  <bookViews>
    <workbookView xWindow="240" yWindow="96" windowWidth="11352" windowHeight="5388" activeTab="0"/>
  </bookViews>
  <sheets>
    <sheet name="PRMDIST Seasonal Weights" sheetId="4" r:id="rId2"/>
    <sheet name="PRMDIST Monthly Weather Weights" sheetId="1" r:id="rId3"/>
    <sheet name="PRMDIST Weights by Year (18-20)" sheetId="3" r:id="rId4"/>
    <sheet name="PRMDIST Sales by Year (18-20)" sheetId="2" r:id="rId5"/>
  </sheets>
  <externalReferences>
    <externalReference r:id="rId8"/>
    <externalReference r:id="rId9"/>
    <externalReference r:id="rId10"/>
  </externalReferences>
  <definedNames>
    <definedName name="_xlnm.Database">#REF!</definedName>
    <definedName name="HOURLY">[1]HOURLY!$A$1:$G$745</definedName>
    <definedName name="OLE_LINK2" localSheetId="0">'PRMDIST Seasonal Weights'!$B$24</definedName>
    <definedName name="_xlnm.Print_Area" localSheetId="3">'PRMDIST Sales by Year (18-20)'!$A$1:$P$64</definedName>
    <definedName name="_xlnm.Print_Area" localSheetId="0">'PRMDIST Seasonal Weights'!$A$1:$P$36</definedName>
    <definedName name="_xlnm.Print_Area" localSheetId="2">'PRMDIST Weights by Year (18-20)'!$A$1:$P$64</definedName>
    <definedName name="rngBilled">OFFSET([2]Sheet2!$A$2,0,0,[2]Sheet2!$B$1,9)</definedName>
    <definedName name="rngYear">OFFSET('[3]Daily Actual_August'!$A$2,0,0,'[3]Daily Actual_August'!$C$1,8)</definedName>
  </definedNames>
  <calcPr calcId="152511"/>
</workbook>
</file>

<file path=xl/calcChain.xml><?xml version="1.0" encoding="utf-8"?>
<calcChain xmlns="http://schemas.openxmlformats.org/spreadsheetml/2006/main">
  <c r="F36" i="4" l="1"/>
</calcChain>
</file>

<file path=xl/sharedStrings.xml><?xml version="1.0" encoding="utf-8"?>
<sst xmlns="http://schemas.openxmlformats.org/spreadsheetml/2006/main" count="242" uniqueCount="50">
  <si>
    <t>Annual</t>
  </si>
  <si>
    <t xml:space="preserve">Total </t>
  </si>
  <si>
    <t>Midland Odessa</t>
  </si>
  <si>
    <t>Waco</t>
  </si>
  <si>
    <t>Wichita Falls</t>
  </si>
  <si>
    <t>Lufkin</t>
  </si>
  <si>
    <t>Austin</t>
  </si>
  <si>
    <t>Killeen</t>
  </si>
  <si>
    <t>Longview</t>
  </si>
  <si>
    <t>Abilene</t>
  </si>
  <si>
    <t xml:space="preserve">PUC DOCKET NO. </t>
  </si>
  <si>
    <t>ONCOR ELECTRIC DELIVERY COMPANY</t>
  </si>
  <si>
    <t>Line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</si>
  <si>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</si>
  <si>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</si>
  <si>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</si>
  <si>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</si>
  <si>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</si>
  <si>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</si>
  <si>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</si>
  <si>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</si>
  <si>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</si>
  <si>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</si>
  <si>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</si>
  <si>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</si>
  <si>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</si>
  <si>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</si>
  <si>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No.</t>
  </si>
  <si>
    <t>Weather Station</t>
  </si>
  <si>
    <t>Dallas-Fort Worth</t>
  </si>
  <si>
    <t>Midland-Odessa</t>
  </si>
  <si>
    <t>Killeen-Temple</t>
  </si>
  <si>
    <t>Wichita Falls.</t>
  </si>
  <si>
    <t>Year</t>
  </si>
  <si>
    <t>System</t>
  </si>
  <si>
    <t>ONCOR ELECTRIC DELIVERY COMPANY LLC</t>
  </si>
  <si>
    <t>Nov to Mar</t>
  </si>
  <si>
    <t>May to Sep</t>
  </si>
  <si>
    <t>SPONSOR: D. E. NELSON</t>
  </si>
  <si>
    <t>WEATHER WEIGHTS</t>
  </si>
  <si>
    <t>SEASONAL WEIGHTS</t>
  </si>
  <si>
    <t>(o)</t>
  </si>
  <si>
    <t>Sherman-Denison</t>
  </si>
  <si>
    <t>HDD</t>
  </si>
  <si>
    <t>CDD</t>
  </si>
  <si>
    <t>Denison</t>
  </si>
  <si>
    <t>FOR THE TEST YEAR ENDING DECEMBER 31, 2021</t>
  </si>
  <si>
    <t>PRIMARY SERVICE GREATER THAN 10 KW DISTRIBUTION LINE MONTHLY WEIGHTS</t>
  </si>
  <si>
    <t>PRIMARY SERVICE GREATER THAN 10 KW DISTRIBUTION LINE WEIGHTS BY YEAR</t>
  </si>
  <si>
    <t>PRIMARY SERVICE GREATER THAN 10 KW DISTRIBUTION LINE SALES 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</si>
</sst>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mmm"/>
  </numFmts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</font>
    <font>
      <b/>
      <sz val="12"/>
      <name val="Arial"/>
      <family val="2"/>
    </font>
    <font>
      <u val="single"/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thin">
        <color auto="1"/>
      </top>
      <bottom/>
    </border>
    <border>
      <left style="medium">
        <color auto="1"/>
      </left>
      <right/>
      <top/>
      <bottom/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thin">
        <color auto="1"/>
      </top>
      <bottom/>
    </border>
    <border>
      <left/>
      <right/>
      <top style="thick">
        <color auto="1"/>
      </top>
      <bottom/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7" fillId="0" borderId="0">
      <alignment/>
      <protection/>
    </xf>
    <xf numFmtId="0" fontId="2" fillId="0" borderId="0">
      <alignment/>
      <protection/>
    </xf>
    <xf numFmtId="0" fontId="2" fillId="0" borderId="0" applyNumberFormat="0" applyFill="0" applyBorder="0" applyAlignment="0" applyProtection="0"/>
  </cellStyleXfs>
  <cellXfs count="74"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Border="1" applyAlignment="1" applyProtection="1">
      <alignment horizontal="center"/>
      <protection locked="0"/>
    </xf>
    <xf numFmtId="164" fontId="8" fillId="0" borderId="0" xfId="15" applyNumberFormat="1" applyFont="1" applyBorder="1" applyAlignment="1" applyProtection="1">
      <alignment horizontal="right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164" fontId="8" fillId="0" borderId="0" xfId="0" applyNumberFormat="1" applyFont="1" applyFill="1" applyProtection="1">
      <protection locked="0"/>
    </xf>
    <xf numFmtId="164" fontId="8" fillId="0" borderId="1" xfId="0" applyNumberFormat="1" applyFont="1" applyFill="1" applyBorder="1" applyProtection="1">
      <protection locked="0"/>
    </xf>
    <xf numFmtId="164" fontId="8" fillId="0" borderId="0" xfId="15" applyNumberFormat="1" applyFont="1" applyFill="1" applyBorder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3" fontId="8" fillId="0" borderId="0" xfId="0" applyNumberFormat="1" applyFont="1" applyFill="1" applyBorder="1" applyAlignment="1" applyProtection="1">
      <alignment/>
      <protection locked="0"/>
    </xf>
    <xf numFmtId="164" fontId="8" fillId="0" borderId="0" xfId="0" applyNumberFormat="1" applyFont="1" applyFill="1" applyBorder="1" applyProtection="1">
      <protection locked="0"/>
    </xf>
    <xf numFmtId="164" fontId="8" fillId="0" borderId="0" xfId="0" applyNumberFormat="1" applyFont="1" applyFill="1" applyBorder="1" applyAlignment="1" applyProtection="1">
      <alignment/>
      <protection locked="0"/>
    </xf>
    <xf numFmtId="0" fontId="7" fillId="0" borderId="0" xfId="0" applyFont="1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0" fillId="0" borderId="0" xfId="0"/>
    <xf numFmtId="0" fontId="7" fillId="0" borderId="0" xfId="0" applyFont="1" applyAlignment="1" applyProtection="1">
      <alignment/>
      <protection locked="0"/>
    </xf>
    <xf numFmtId="0" fontId="0" fillId="0" borderId="0" xfId="0" applyAlignment="1" quotePrefix="1">
      <alignment horizontal="center"/>
    </xf>
    <xf numFmtId="0" fontId="5" fillId="0" borderId="0" xfId="0" applyFont="1" applyAlignment="1">
      <alignment horizontal="center"/>
    </xf>
    <xf numFmtId="165" fontId="8" fillId="0" borderId="2" xfId="21" applyNumberFormat="1" applyFont="1" applyBorder="1" applyAlignment="1">
      <alignment horizontal="right" vertical="center" wrapText="1"/>
      <protection/>
    </xf>
    <xf numFmtId="165" fontId="8" fillId="0" borderId="3" xfId="21" applyNumberFormat="1" applyFont="1" applyBorder="1" applyAlignment="1">
      <alignment horizontal="right" vertical="center" wrapText="1"/>
      <protection/>
    </xf>
    <xf numFmtId="165" fontId="8" fillId="0" borderId="4" xfId="21" applyNumberFormat="1" applyFont="1" applyBorder="1" applyAlignment="1">
      <alignment horizontal="right" vertical="center" wrapText="1"/>
      <protection/>
    </xf>
    <xf numFmtId="0" fontId="8" fillId="0" borderId="5" xfId="21" applyFont="1" applyBorder="1" applyAlignment="1">
      <alignment horizontal="right" vertical="center" wrapText="1"/>
      <protection/>
    </xf>
    <xf numFmtId="0" fontId="7" fillId="0" borderId="0" xfId="0" applyFont="1" applyAlignment="1" applyProtection="1">
      <alignment horizontal="center"/>
      <protection locked="0"/>
    </xf>
    <xf numFmtId="0" fontId="2" fillId="0" borderId="0" xfId="20" applyAlignment="1">
      <alignment horizontal="center"/>
      <protection/>
    </xf>
    <xf numFmtId="0" fontId="4" fillId="0" borderId="0" xfId="20" applyFont="1" applyAlignment="1">
      <alignment horizontal="center"/>
      <protection/>
    </xf>
    <xf numFmtId="0" fontId="2" fillId="0" borderId="0" xfId="20" applyAlignment="1">
      <alignment/>
      <protection/>
    </xf>
    <xf numFmtId="0" fontId="2" fillId="0" borderId="0" xfId="20" applyFont="1" applyProtection="1">
      <alignment/>
      <protection locked="0"/>
    </xf>
    <xf numFmtId="0" fontId="2" fillId="0" borderId="0" xfId="20">
      <alignment/>
      <protection/>
    </xf>
    <xf numFmtId="0" fontId="2" fillId="0" borderId="0" xfId="20" applyFont="1" applyAlignment="1" applyProtection="1">
      <alignment/>
      <protection locked="0"/>
    </xf>
    <xf numFmtId="0" fontId="2" fillId="0" borderId="0" xfId="20" applyAlignment="1" quotePrefix="1">
      <alignment horizontal="center"/>
      <protection/>
    </xf>
    <xf numFmtId="0" fontId="5" fillId="0" borderId="0" xfId="20" applyFont="1" applyAlignment="1">
      <alignment horizontal="center"/>
      <protection/>
    </xf>
    <xf numFmtId="165" fontId="6" fillId="0" borderId="2" xfId="22" applyNumberFormat="1" applyFont="1" applyBorder="1" applyAlignment="1" applyProtection="1">
      <alignment horizontal="right" vertical="center" wrapText="1"/>
      <protection locked="0"/>
    </xf>
    <xf numFmtId="0" fontId="6" fillId="0" borderId="0" xfId="22" applyFont="1" applyBorder="1" applyAlignment="1" applyProtection="1">
      <alignment horizontal="right"/>
      <protection locked="0"/>
    </xf>
    <xf numFmtId="165" fontId="6" fillId="0" borderId="3" xfId="22" applyNumberFormat="1" applyFont="1" applyBorder="1" applyAlignment="1" applyProtection="1">
      <alignment horizontal="right" vertical="center" wrapText="1"/>
      <protection locked="0"/>
    </xf>
    <xf numFmtId="165" fontId="6" fillId="0" borderId="4" xfId="22" applyNumberFormat="1" applyFont="1" applyBorder="1" applyAlignment="1" applyProtection="1">
      <alignment horizontal="right" vertical="center" wrapText="1"/>
      <protection locked="0"/>
    </xf>
    <xf numFmtId="0" fontId="6" fillId="0" borderId="5" xfId="22" applyFont="1" applyBorder="1" applyAlignment="1" applyProtection="1">
      <alignment horizontal="right" vertical="center" wrapText="1"/>
      <protection locked="0"/>
    </xf>
    <xf numFmtId="0" fontId="2" fillId="0" borderId="0" xfId="20" applyFont="1" applyAlignment="1" applyProtection="1">
      <alignment horizontal="right"/>
      <protection locked="0"/>
    </xf>
    <xf numFmtId="0" fontId="2" fillId="0" borderId="0" xfId="20" applyFont="1" applyAlignment="1" applyProtection="1">
      <alignment horizontal="center"/>
      <protection locked="0"/>
    </xf>
    <xf numFmtId="0" fontId="6" fillId="0" borderId="0" xfId="22" applyFont="1" applyFill="1" applyBorder="1" applyAlignment="1" applyProtection="1">
      <alignment horizontal="center"/>
      <protection locked="0"/>
    </xf>
    <xf numFmtId="164" fontId="6" fillId="0" borderId="0" xfId="22" applyNumberFormat="1" applyFont="1" applyFill="1" applyProtection="1">
      <alignment/>
      <protection locked="0"/>
    </xf>
    <xf numFmtId="164" fontId="6" fillId="0" borderId="1" xfId="22" applyNumberFormat="1" applyFont="1" applyFill="1" applyBorder="1" applyProtection="1">
      <alignment/>
      <protection locked="0"/>
    </xf>
    <xf numFmtId="164" fontId="6" fillId="0" borderId="0" xfId="23" applyNumberFormat="1" applyFont="1" applyFill="1" applyBorder="1" applyAlignment="1" applyProtection="1">
      <alignment horizontal="right"/>
      <protection locked="0"/>
    </xf>
    <xf numFmtId="164" fontId="2" fillId="0" borderId="0" xfId="20" applyNumberFormat="1" applyFont="1" applyProtection="1">
      <alignment/>
      <protection locked="0"/>
    </xf>
    <xf numFmtId="164" fontId="7" fillId="0" borderId="0" xfId="15" applyNumberFormat="1" applyFont="1" applyProtection="1">
      <protection locked="0"/>
    </xf>
    <xf numFmtId="10" fontId="2" fillId="0" borderId="0" xfId="20" applyNumberFormat="1" applyFont="1" applyProtection="1">
      <alignment/>
      <protection locked="0"/>
    </xf>
    <xf numFmtId="0" fontId="2" fillId="0" borderId="1" xfId="20" applyFont="1" applyBorder="1" applyProtection="1">
      <alignment/>
      <protection locked="0"/>
    </xf>
    <xf numFmtId="0" fontId="8" fillId="0" borderId="6" xfId="0" applyFont="1" applyFill="1" applyBorder="1" applyAlignment="1" applyProtection="1">
      <alignment horizontal="center"/>
      <protection locked="0"/>
    </xf>
    <xf numFmtId="3" fontId="8" fillId="0" borderId="6" xfId="0" applyNumberFormat="1" applyFont="1" applyFill="1" applyBorder="1" applyAlignment="1" applyProtection="1">
      <alignment/>
      <protection locked="0"/>
    </xf>
    <xf numFmtId="3" fontId="8" fillId="0" borderId="7" xfId="0" applyNumberFormat="1" applyFont="1" applyFill="1" applyBorder="1" applyAlignment="1" applyProtection="1">
      <alignment/>
      <protection locked="0"/>
    </xf>
    <xf numFmtId="3" fontId="8" fillId="0" borderId="8" xfId="0" applyNumberFormat="1" applyFont="1" applyFill="1" applyBorder="1" applyAlignment="1" applyProtection="1">
      <alignment/>
      <protection locked="0"/>
    </xf>
    <xf numFmtId="3" fontId="8" fillId="0" borderId="9" xfId="0" applyNumberFormat="1" applyFont="1" applyFill="1" applyBorder="1" applyAlignment="1" applyProtection="1">
      <alignment/>
      <protection locked="0"/>
    </xf>
    <xf numFmtId="0" fontId="8" fillId="0" borderId="10" xfId="0" applyFont="1" applyFill="1" applyBorder="1" applyAlignment="1" applyProtection="1">
      <alignment horizontal="center"/>
      <protection locked="0"/>
    </xf>
    <xf numFmtId="3" fontId="8" fillId="0" borderId="10" xfId="0" applyNumberFormat="1" applyFont="1" applyFill="1" applyBorder="1" applyAlignment="1" applyProtection="1">
      <alignment/>
      <protection locked="0"/>
    </xf>
    <xf numFmtId="3" fontId="8" fillId="0" borderId="11" xfId="0" applyNumberFormat="1" applyFont="1" applyFill="1" applyBorder="1" applyAlignment="1" applyProtection="1">
      <alignment/>
      <protection locked="0"/>
    </xf>
    <xf numFmtId="0" fontId="8" fillId="0" borderId="6" xfId="0" applyFont="1" applyBorder="1" applyAlignment="1" applyProtection="1">
      <alignment horizontal="center"/>
      <protection locked="0"/>
    </xf>
    <xf numFmtId="164" fontId="8" fillId="0" borderId="6" xfId="15" applyNumberFormat="1" applyFont="1" applyBorder="1" applyAlignment="1" applyProtection="1">
      <alignment horizontal="right"/>
      <protection locked="0"/>
    </xf>
    <xf numFmtId="164" fontId="8" fillId="0" borderId="7" xfId="15" applyNumberFormat="1" applyFont="1" applyBorder="1" applyAlignment="1" applyProtection="1">
      <alignment horizontal="right"/>
      <protection locked="0"/>
    </xf>
    <xf numFmtId="164" fontId="8" fillId="0" borderId="8" xfId="15" applyNumberFormat="1" applyFont="1" applyBorder="1" applyAlignment="1" applyProtection="1">
      <alignment horizontal="right"/>
      <protection locked="0"/>
    </xf>
    <xf numFmtId="164" fontId="8" fillId="0" borderId="9" xfId="15" applyNumberFormat="1" applyFont="1" applyBorder="1" applyAlignment="1" applyProtection="1">
      <alignment horizontal="right"/>
      <protection locked="0"/>
    </xf>
    <xf numFmtId="164" fontId="2" fillId="0" borderId="12" xfId="20" applyNumberFormat="1" applyFont="1" applyBorder="1" applyProtection="1">
      <alignment/>
      <protection locked="0"/>
    </xf>
    <xf numFmtId="0" fontId="8" fillId="0" borderId="13" xfId="0" applyFont="1" applyBorder="1" applyAlignment="1" applyProtection="1">
      <alignment horizontal="center"/>
      <protection locked="0"/>
    </xf>
    <xf numFmtId="164" fontId="8" fillId="0" borderId="13" xfId="0" applyNumberFormat="1" applyFont="1" applyFill="1" applyBorder="1" applyAlignment="1" applyProtection="1">
      <alignment/>
      <protection locked="0"/>
    </xf>
    <xf numFmtId="0" fontId="4" fillId="0" borderId="3" xfId="20" applyFont="1" applyBorder="1" applyAlignment="1">
      <alignment horizontal="center" wrapText="1"/>
      <protection/>
    </xf>
    <xf numFmtId="0" fontId="4" fillId="0" borderId="4" xfId="20" applyFont="1" applyBorder="1" applyAlignment="1">
      <alignment horizontal="center" wrapText="1"/>
      <protection/>
    </xf>
    <xf numFmtId="0" fontId="2" fillId="0" borderId="5" xfId="20" applyBorder="1" applyAlignment="1">
      <alignment horizontal="center"/>
      <protection/>
    </xf>
    <xf numFmtId="0" fontId="4" fillId="0" borderId="0" xfId="20" applyFont="1" applyAlignment="1">
      <alignment horizontal="center"/>
      <protection/>
    </xf>
    <xf numFmtId="0" fontId="2" fillId="0" borderId="0" xfId="20" applyAlignment="1">
      <alignment/>
      <protection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4" fillId="0" borderId="0" xfId="20" applyFont="1" applyAlignment="1">
      <alignment horizontal="center" vertical="center"/>
      <protection/>
    </xf>
    <xf numFmtId="0" fontId="0" fillId="0" borderId="0" xfId="0" applyAlignment="1" applyProtection="1">
      <alignment/>
      <protection locked="0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_System Weather Weights WF" xfId="21"/>
    <cellStyle name="Normal_System Weather Weights WF 2" xfId="22"/>
    <cellStyle name="Percent_System Weather Weights WF" xfId="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externalLink" Target="externalLinks/externalLink1.xml" /><Relationship Id="rId4" Type="http://schemas.openxmlformats.org/officeDocument/2006/relationships/worksheet" Target="worksheets/sheet3.xml" /><Relationship Id="rId9" Type="http://schemas.openxmlformats.org/officeDocument/2006/relationships/externalLink" Target="externalLinks/externalLink2.xml" /><Relationship Id="rId6" Type="http://schemas.openxmlformats.org/officeDocument/2006/relationships/styles" Target="styles.xml" /><Relationship Id="rId10" Type="http://schemas.openxmlformats.org/officeDocument/2006/relationships/externalLink" Target="externalLinks/externalLink3.xml" /><Relationship Id="rId11" Type="http://schemas.openxmlformats.org/officeDocument/2006/relationships/calcChain" Target="calcChain.xml" /><Relationship Id="rId3" Type="http://schemas.openxmlformats.org/officeDocument/2006/relationships/worksheet" Target="worksheets/sheet2.xml" /><Relationship Id="rId7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16</xdr:col>
      <xdr:colOff>333375</xdr:colOff>
      <xdr:row>2</xdr:row>
      <xdr:rowOff>66675</xdr:rowOff>
    </xdr:from>
    <xdr:to>
      <xdr:col>16</xdr:col>
      <xdr:colOff>400050</xdr:colOff>
      <xdr:row>5</xdr:row>
      <xdr:rowOff>0</xdr:rowOff>
    </xdr:to>
    <xdr:sp macro="">
      <xdr:nvSpPr>
        <xdr:cNvPr id="2102" name="Text Box 1"/>
        <xdr:cNvSpPr txBox="1">
          <a:spLocks noChangeArrowheads="1"/>
        </xdr:cNvSpPr>
      </xdr:nvSpPr>
      <xdr:spPr bwMode="auto">
        <a:xfrm>
          <a:off x="10334625" y="447675"/>
          <a:ext cx="66675" cy="504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%20Actual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</v>
          </cell>
          <cell r="F2">
            <v>20.997575</v>
          </cell>
          <cell r="G2">
            <v>5508.27662500002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8044.90167499998</v>
          </cell>
          <cell r="F3">
            <v>27.354775</v>
          </cell>
          <cell r="G3">
            <v>6750.60017500001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7770.3657</v>
          </cell>
          <cell r="F4">
            <v>27.0356</v>
          </cell>
          <cell r="G4">
            <v>6499.0037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</v>
          </cell>
          <cell r="F5">
            <v>26.4613</v>
          </cell>
          <cell r="G5">
            <v>6298.31222500003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</v>
          </cell>
          <cell r="F6">
            <v>26.295125</v>
          </cell>
          <cell r="G6">
            <v>6204.64375000003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</v>
          </cell>
          <cell r="F7">
            <v>26.86675</v>
          </cell>
          <cell r="G7">
            <v>6241.99315000003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</v>
          </cell>
          <cell r="F8">
            <v>27.223425</v>
          </cell>
          <cell r="G8">
            <v>6367.11930000003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7758.40932500001</v>
          </cell>
          <cell r="F9">
            <v>29.367425</v>
          </cell>
          <cell r="G9">
            <v>6498.41740000003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</v>
          </cell>
          <cell r="F10">
            <v>30.251275</v>
          </cell>
          <cell r="G10">
            <v>6605.40642500003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</v>
          </cell>
          <cell r="F11">
            <v>31.521775</v>
          </cell>
          <cell r="G11">
            <v>6973.08132500002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8640.09002499999</v>
          </cell>
          <cell r="F12">
            <v>32.014575</v>
          </cell>
          <cell r="G12">
            <v>7247.1309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</v>
          </cell>
          <cell r="F13">
            <v>32.4696</v>
          </cell>
          <cell r="G13">
            <v>7448.69127500002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</v>
          </cell>
          <cell r="F14">
            <v>32.5862</v>
          </cell>
          <cell r="G14">
            <v>7661.46180000005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9191.84759999999</v>
          </cell>
          <cell r="F15">
            <v>34.210425</v>
          </cell>
          <cell r="G15">
            <v>7716.90120000002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</v>
          </cell>
          <cell r="F16">
            <v>36.253875</v>
          </cell>
          <cell r="G16">
            <v>7694.90422500002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9048.22955000001</v>
          </cell>
          <cell r="F17">
            <v>36.65765</v>
          </cell>
          <cell r="G17">
            <v>7621.21682500003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</v>
          </cell>
          <cell r="F18">
            <v>35.965375</v>
          </cell>
          <cell r="G18">
            <v>7640.49070000008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</v>
          </cell>
          <cell r="F19">
            <v>35.947425</v>
          </cell>
          <cell r="G19">
            <v>7896.15207500003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</v>
          </cell>
          <cell r="F20">
            <v>39.167825</v>
          </cell>
          <cell r="G20">
            <v>8664.060475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</v>
          </cell>
          <cell r="F21">
            <v>40.478875</v>
          </cell>
          <cell r="G21">
            <v>8673.67677500003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</v>
          </cell>
          <cell r="G22">
            <v>8453.16407500002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</v>
          </cell>
          <cell r="F23">
            <v>32.546775</v>
          </cell>
          <cell r="G23">
            <v>8151.13820000002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8535.77700000001</v>
          </cell>
          <cell r="F25">
            <v>30.2594</v>
          </cell>
          <cell r="G25">
            <v>7174.40152500001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7888.696175</v>
          </cell>
          <cell r="F26">
            <v>28.29465</v>
          </cell>
          <cell r="G26">
            <v>6650.29440000004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</v>
          </cell>
          <cell r="F27">
            <v>26.50985</v>
          </cell>
          <cell r="G27">
            <v>6280.48890000004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</v>
          </cell>
          <cell r="F28">
            <v>26.29115</v>
          </cell>
          <cell r="G28">
            <v>6070.908225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7222.99262500003</v>
          </cell>
          <cell r="F29">
            <v>26.47985</v>
          </cell>
          <cell r="G29">
            <v>6007.48995000004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</v>
          </cell>
          <cell r="F30">
            <v>27.225675</v>
          </cell>
          <cell r="G30">
            <v>6084.84975000003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</v>
          </cell>
          <cell r="F31">
            <v>28.626775</v>
          </cell>
          <cell r="G31">
            <v>6332.39215000003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8089.03515000001</v>
          </cell>
          <cell r="F32">
            <v>33.18625</v>
          </cell>
          <cell r="G32">
            <v>6789.70472500003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</v>
          </cell>
          <cell r="F33">
            <v>37.225575</v>
          </cell>
          <cell r="G33">
            <v>7230.47407500002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</v>
          </cell>
          <cell r="F34">
            <v>39.782225</v>
          </cell>
          <cell r="G34">
            <v>7479.083475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9382.27789999997</v>
          </cell>
          <cell r="F35">
            <v>40.76995</v>
          </cell>
          <cell r="G35">
            <v>7886.6112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9786.76625000004</v>
          </cell>
          <cell r="F36">
            <v>39.83765</v>
          </cell>
          <cell r="G36">
            <v>8252.18765000003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</v>
          </cell>
          <cell r="F37">
            <v>40.14895</v>
          </cell>
          <cell r="G37">
            <v>8398.73585000003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10005.495175</v>
          </cell>
          <cell r="F38">
            <v>39.2894</v>
          </cell>
          <cell r="G38">
            <v>8442.68314999999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</v>
          </cell>
          <cell r="F39">
            <v>39.44755</v>
          </cell>
          <cell r="G39">
            <v>8394.46472500006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9904.61714999999</v>
          </cell>
          <cell r="F40">
            <v>39.242225</v>
          </cell>
          <cell r="G40">
            <v>8343.68410000002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</v>
          </cell>
          <cell r="F41">
            <v>39.025025</v>
          </cell>
          <cell r="G41">
            <v>8279.51520000003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</v>
          </cell>
          <cell r="F42">
            <v>38.69175</v>
          </cell>
          <cell r="G42">
            <v>8254.63254999999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</v>
          </cell>
          <cell r="F43">
            <v>38.422475</v>
          </cell>
          <cell r="G43">
            <v>8436.01000000001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10741.8776</v>
          </cell>
          <cell r="F44">
            <v>42.418375</v>
          </cell>
          <cell r="G44">
            <v>9255.00555000004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</v>
          </cell>
          <cell r="F45">
            <v>43.5219</v>
          </cell>
          <cell r="G45">
            <v>9285.17627499999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10575.678375</v>
          </cell>
          <cell r="F46">
            <v>41.117575</v>
          </cell>
          <cell r="G46">
            <v>9078.80757500004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10130.70325</v>
          </cell>
          <cell r="F47">
            <v>38.528675</v>
          </cell>
          <cell r="G47">
            <v>8697.5171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</v>
          </cell>
          <cell r="F49">
            <v>34.36965</v>
          </cell>
          <cell r="G49">
            <v>7462.51965000007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8285.12032500004</v>
          </cell>
          <cell r="F50">
            <v>33.490225</v>
          </cell>
          <cell r="G50">
            <v>6961.74510000001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8007.41719999997</v>
          </cell>
          <cell r="F51">
            <v>31.912475</v>
          </cell>
          <cell r="G51">
            <v>6715.25762500002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7937.39227500003</v>
          </cell>
          <cell r="F52">
            <v>31.524375</v>
          </cell>
          <cell r="G52">
            <v>6642.26035000002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</v>
          </cell>
          <cell r="F53">
            <v>32.36435</v>
          </cell>
          <cell r="G53">
            <v>6695.65620000001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</v>
          </cell>
          <cell r="F54">
            <v>35.400575</v>
          </cell>
          <cell r="G54">
            <v>6938.65035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</v>
          </cell>
          <cell r="F55">
            <v>39.9348</v>
          </cell>
          <cell r="G55">
            <v>7592.87932499998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10387.087525</v>
          </cell>
          <cell r="F56">
            <v>46.299775</v>
          </cell>
          <cell r="G56">
            <v>8839.05989999998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11397.8679</v>
          </cell>
          <cell r="F57">
            <v>47.731725</v>
          </cell>
          <cell r="G57">
            <v>9823.69597499998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</v>
          </cell>
          <cell r="F58">
            <v>48.192525</v>
          </cell>
          <cell r="G58">
            <v>9722.57622500003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</v>
          </cell>
          <cell r="F59">
            <v>45.16835</v>
          </cell>
          <cell r="G59">
            <v>9517.66117499997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</v>
          </cell>
          <cell r="F60">
            <v>46.086775</v>
          </cell>
          <cell r="G60">
            <v>9423.87975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10936.40175</v>
          </cell>
          <cell r="F61">
            <v>43.43385</v>
          </cell>
          <cell r="G61">
            <v>9294.99992500003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10755.8173</v>
          </cell>
          <cell r="F62">
            <v>47.29505</v>
          </cell>
          <cell r="G62">
            <v>9230.995625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</v>
          </cell>
          <cell r="F63">
            <v>46.048725</v>
          </cell>
          <cell r="G63">
            <v>9271.09649999999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</v>
          </cell>
          <cell r="G64">
            <v>9317.84415000002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</v>
          </cell>
          <cell r="F65">
            <v>42.87685</v>
          </cell>
          <cell r="G65">
            <v>9319.09302500005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</v>
          </cell>
          <cell r="F66">
            <v>41.0619</v>
          </cell>
          <cell r="G66">
            <v>9367.41947500001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10822.268475</v>
          </cell>
          <cell r="F67">
            <v>44.777025</v>
          </cell>
          <cell r="G67">
            <v>9379.87412500003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</v>
          </cell>
          <cell r="F68">
            <v>47.458875</v>
          </cell>
          <cell r="G68">
            <v>10006.036325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</v>
          </cell>
          <cell r="F69">
            <v>44.89515</v>
          </cell>
          <cell r="G69">
            <v>9977.79380000001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</v>
          </cell>
          <cell r="F70">
            <v>44.567825</v>
          </cell>
          <cell r="G70">
            <v>9672.75029999997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</v>
          </cell>
          <cell r="F71">
            <v>39.508825</v>
          </cell>
          <cell r="G71">
            <v>9204.35620000001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9067.26545</v>
          </cell>
          <cell r="F73">
            <v>37.300225</v>
          </cell>
          <cell r="G73">
            <v>7690.34920000004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8361.18530000001</v>
          </cell>
          <cell r="F74">
            <v>32.56835</v>
          </cell>
          <cell r="G74">
            <v>7030.02122500003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7914.25795000001</v>
          </cell>
          <cell r="F75">
            <v>31.485475</v>
          </cell>
          <cell r="G75">
            <v>6604.18362500001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</v>
          </cell>
          <cell r="F76">
            <v>30.289875</v>
          </cell>
          <cell r="G76">
            <v>6394.22012500004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</v>
          </cell>
          <cell r="F77">
            <v>30.468575</v>
          </cell>
          <cell r="G77">
            <v>6319.27750000003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7688.46285000001</v>
          </cell>
          <cell r="F78">
            <v>29.6388</v>
          </cell>
          <cell r="G78">
            <v>6410.991475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8241.894075</v>
          </cell>
          <cell r="F79">
            <v>32.321625</v>
          </cell>
          <cell r="G79">
            <v>6877.07157500002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</v>
          </cell>
          <cell r="F80">
            <v>35.059925</v>
          </cell>
          <cell r="G80">
            <v>7975.48052499999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10429.417375</v>
          </cell>
          <cell r="F81">
            <v>38.5086</v>
          </cell>
          <cell r="G81">
            <v>8931.02172499998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10411.612075</v>
          </cell>
          <cell r="F82">
            <v>30.440625</v>
          </cell>
          <cell r="G82">
            <v>8841.54582500004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10602.512375</v>
          </cell>
          <cell r="F83">
            <v>41.33745</v>
          </cell>
          <cell r="G83">
            <v>8924.27672500004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10708.30455</v>
          </cell>
          <cell r="F84">
            <v>39.07445</v>
          </cell>
          <cell r="G84">
            <v>9025.79487500002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</v>
          </cell>
          <cell r="F85">
            <v>46.9275</v>
          </cell>
          <cell r="G85">
            <v>9084.37095000002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</v>
          </cell>
          <cell r="F86">
            <v>45.0006</v>
          </cell>
          <cell r="G86">
            <v>9048.16200000005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</v>
          </cell>
          <cell r="F87">
            <v>50.004075</v>
          </cell>
          <cell r="G87">
            <v>9038.05102500006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10617.98745</v>
          </cell>
          <cell r="F88">
            <v>45.30405</v>
          </cell>
          <cell r="G88">
            <v>8975.98460000007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10518.70385</v>
          </cell>
          <cell r="F89">
            <v>45.1297</v>
          </cell>
          <cell r="G89">
            <v>8873.82077499999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10513.9763</v>
          </cell>
          <cell r="F90">
            <v>47.29445</v>
          </cell>
          <cell r="G90">
            <v>8848.22944999999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</v>
          </cell>
          <cell r="F91">
            <v>47.074</v>
          </cell>
          <cell r="G91">
            <v>9040.78647499997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11563.7304</v>
          </cell>
          <cell r="F92">
            <v>52.064</v>
          </cell>
          <cell r="G92">
            <v>9854.60797499999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11529.677325</v>
          </cell>
          <cell r="F93">
            <v>53.167</v>
          </cell>
          <cell r="G93">
            <v>9854.71605000002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11326.462325</v>
          </cell>
          <cell r="F94">
            <v>51.1292</v>
          </cell>
          <cell r="G94">
            <v>9639.65490000001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10848.53355</v>
          </cell>
          <cell r="F95">
            <v>49.76535</v>
          </cell>
          <cell r="G95">
            <v>9304.05117500001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9600.90450000003</v>
          </cell>
          <cell r="F97">
            <v>47.001275</v>
          </cell>
          <cell r="G97">
            <v>8072.43717499998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</v>
          </cell>
          <cell r="F98">
            <v>42.280075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</v>
          </cell>
          <cell r="F99">
            <v>38.881775</v>
          </cell>
          <cell r="G99">
            <v>7276.88095000004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</v>
          </cell>
          <cell r="F100">
            <v>37.835675</v>
          </cell>
          <cell r="G100">
            <v>7173.14817500001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8593.55425</v>
          </cell>
          <cell r="F101">
            <v>37.6988</v>
          </cell>
          <cell r="G101">
            <v>7215.52010000002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</v>
          </cell>
          <cell r="F102">
            <v>38.1585</v>
          </cell>
          <cell r="G102">
            <v>7461.30142500002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</v>
          </cell>
          <cell r="F103">
            <v>41.31705</v>
          </cell>
          <cell r="G103">
            <v>8124.70650000004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</v>
          </cell>
          <cell r="F104">
            <v>45.531475</v>
          </cell>
          <cell r="G104">
            <v>9450.62317499998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</v>
          </cell>
          <cell r="F105">
            <v>50.12595</v>
          </cell>
          <cell r="G105">
            <v>10534.35455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</v>
          </cell>
          <cell r="F106">
            <v>47.317775</v>
          </cell>
          <cell r="G106">
            <v>10299.6957250001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11774.24415</v>
          </cell>
          <cell r="F107">
            <v>46.74755</v>
          </cell>
          <cell r="G107">
            <v>9999.77640000004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</v>
          </cell>
          <cell r="F108">
            <v>43.848575</v>
          </cell>
          <cell r="G108">
            <v>9831.42642500003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11255.512</v>
          </cell>
          <cell r="F109">
            <v>46.81555</v>
          </cell>
          <cell r="G109">
            <v>9636.45060000002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</v>
          </cell>
          <cell r="F110">
            <v>43.416275</v>
          </cell>
          <cell r="G110">
            <v>9421.18167499998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</v>
          </cell>
          <cell r="F111">
            <v>40.10505</v>
          </cell>
          <cell r="G111">
            <v>9309.47914999998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</v>
          </cell>
          <cell r="F112">
            <v>42.517825</v>
          </cell>
          <cell r="G112">
            <v>9146.16374999996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</v>
          </cell>
          <cell r="F113">
            <v>40.815825</v>
          </cell>
          <cell r="G113">
            <v>8977.38142500006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</v>
          </cell>
          <cell r="F114">
            <v>37.68515</v>
          </cell>
          <cell r="G114">
            <v>8944.99232500001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10817.1055</v>
          </cell>
          <cell r="F115">
            <v>41.26775</v>
          </cell>
          <cell r="G115">
            <v>9215.98215000002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</v>
          </cell>
          <cell r="F116">
            <v>46.830175</v>
          </cell>
          <cell r="G116">
            <v>10150.185775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</v>
          </cell>
          <cell r="F117">
            <v>51.538025</v>
          </cell>
          <cell r="G117">
            <v>10324.18945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</v>
          </cell>
          <cell r="F118">
            <v>49.83165</v>
          </cell>
          <cell r="G118">
            <v>10208.5465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</v>
          </cell>
          <cell r="F119">
            <v>48.8964</v>
          </cell>
          <cell r="G119">
            <v>9890.98165000001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10060.54255</v>
          </cell>
          <cell r="F121">
            <v>47.421725</v>
          </cell>
          <cell r="G121">
            <v>8561.01507500002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</v>
          </cell>
          <cell r="F122">
            <v>42.814475</v>
          </cell>
          <cell r="G122">
            <v>8060.80540000004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9268.269475</v>
          </cell>
          <cell r="F123">
            <v>42.130775</v>
          </cell>
          <cell r="G123">
            <v>7827.49515000002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9300.05772500001</v>
          </cell>
          <cell r="F124">
            <v>44.09975</v>
          </cell>
          <cell r="G124">
            <v>7792.10195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</v>
          </cell>
          <cell r="F125">
            <v>45.72285</v>
          </cell>
          <cell r="G125">
            <v>7875.02160000002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</v>
          </cell>
          <cell r="F126">
            <v>46.55335</v>
          </cell>
          <cell r="G126">
            <v>8158.33115000004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</v>
          </cell>
          <cell r="F127">
            <v>50.200625</v>
          </cell>
          <cell r="G127">
            <v>8922.86687500005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</v>
          </cell>
          <cell r="F128">
            <v>56.277975</v>
          </cell>
          <cell r="G128">
            <v>10282.5135500001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</v>
          </cell>
          <cell r="F129">
            <v>63.604125</v>
          </cell>
          <cell r="G129">
            <v>11362.74635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12856.518975</v>
          </cell>
          <cell r="F130">
            <v>63.533275</v>
          </cell>
          <cell r="G130">
            <v>11045.3510500001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</v>
          </cell>
          <cell r="F131">
            <v>57.645425</v>
          </cell>
          <cell r="G131">
            <v>10646.529925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</v>
          </cell>
          <cell r="F132">
            <v>57.19465</v>
          </cell>
          <cell r="G132">
            <v>10345.571225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11726.3392</v>
          </cell>
          <cell r="F133">
            <v>53.30995</v>
          </cell>
          <cell r="G133">
            <v>9988.47322499996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</v>
          </cell>
          <cell r="F134">
            <v>49.02385</v>
          </cell>
          <cell r="G134">
            <v>9612.18817499998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11072.5624</v>
          </cell>
          <cell r="F135">
            <v>44.55435</v>
          </cell>
          <cell r="G135">
            <v>9379.2364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10813.1405</v>
          </cell>
          <cell r="F136">
            <v>41.999425</v>
          </cell>
          <cell r="G136">
            <v>9135.05497500004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</v>
          </cell>
          <cell r="F137">
            <v>39.97815</v>
          </cell>
          <cell r="G137">
            <v>8930.59954999999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</v>
          </cell>
          <cell r="F138">
            <v>38.596575</v>
          </cell>
          <cell r="G138">
            <v>8843.876775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10660.827125</v>
          </cell>
          <cell r="F139">
            <v>40.078025</v>
          </cell>
          <cell r="G139">
            <v>9038.19722499996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11507.322425</v>
          </cell>
          <cell r="F140">
            <v>41.6046</v>
          </cell>
          <cell r="G140">
            <v>9870.94742500004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11529.843675</v>
          </cell>
          <cell r="F141">
            <v>40.40485</v>
          </cell>
          <cell r="G141">
            <v>9989.16122500003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11469.42725</v>
          </cell>
          <cell r="F142">
            <v>39.0153</v>
          </cell>
          <cell r="G142">
            <v>9933.86780000005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</v>
          </cell>
          <cell r="F143">
            <v>38.3597</v>
          </cell>
          <cell r="G143">
            <v>9773.92764999999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</v>
          </cell>
          <cell r="F145">
            <v>37.860525</v>
          </cell>
          <cell r="G145">
            <v>8933.90110000001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9929.20349999998</v>
          </cell>
          <cell r="F146">
            <v>37.116325</v>
          </cell>
          <cell r="G146">
            <v>8479.07320000001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9726.98535000002</v>
          </cell>
          <cell r="F147">
            <v>37.645975</v>
          </cell>
          <cell r="G147">
            <v>8230.72802500002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</v>
          </cell>
          <cell r="F148">
            <v>4.32655</v>
          </cell>
          <cell r="G148">
            <v>3642.55442499999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9686.4324</v>
          </cell>
          <cell r="F149">
            <v>38.516525</v>
          </cell>
          <cell r="G149">
            <v>8097.19065000002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9765.54744999997</v>
          </cell>
          <cell r="F150">
            <v>38.659275</v>
          </cell>
          <cell r="G150">
            <v>8218.65672500003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</v>
          </cell>
          <cell r="F151">
            <v>39.8122</v>
          </cell>
          <cell r="G151">
            <v>8498.30067500004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10613.408475</v>
          </cell>
          <cell r="F152">
            <v>40.72015</v>
          </cell>
          <cell r="G152">
            <v>9027.46837500005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</v>
          </cell>
          <cell r="G153">
            <v>9603.34617500003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11507.042775</v>
          </cell>
          <cell r="F154">
            <v>44.37305</v>
          </cell>
          <cell r="G154">
            <v>9855.8896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11480.550125</v>
          </cell>
          <cell r="F155">
            <v>43.5881</v>
          </cell>
          <cell r="G155">
            <v>9776.92587500004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11187.741625</v>
          </cell>
          <cell r="F156">
            <v>41.8943</v>
          </cell>
          <cell r="G156">
            <v>9533.27842499995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</v>
          </cell>
          <cell r="F157">
            <v>39.502325</v>
          </cell>
          <cell r="G157">
            <v>9162.10622500002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</v>
          </cell>
          <cell r="F158">
            <v>36.469675</v>
          </cell>
          <cell r="G158">
            <v>8798.56195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</v>
          </cell>
          <cell r="F159">
            <v>34.117975</v>
          </cell>
          <cell r="G159">
            <v>8498.2648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9805.88475000004</v>
          </cell>
          <cell r="F160">
            <v>32.578775</v>
          </cell>
          <cell r="G160">
            <v>8276.89477500001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</v>
          </cell>
          <cell r="F161">
            <v>32.18875</v>
          </cell>
          <cell r="G161">
            <v>8157.2657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</v>
          </cell>
          <cell r="F162">
            <v>31.477525</v>
          </cell>
          <cell r="G162">
            <v>8114.67305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9710.56944999998</v>
          </cell>
          <cell r="F163">
            <v>31.754325</v>
          </cell>
          <cell r="G163">
            <v>8249.46060000001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</v>
          </cell>
          <cell r="F164">
            <v>32.9652</v>
          </cell>
          <cell r="G164">
            <v>8914.246575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</v>
          </cell>
          <cell r="F165">
            <v>33.85915</v>
          </cell>
          <cell r="G165">
            <v>8988.28890000002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10240.865875</v>
          </cell>
          <cell r="F166">
            <v>31.78</v>
          </cell>
          <cell r="G166">
            <v>8726.04125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9905.13227500001</v>
          </cell>
          <cell r="F167">
            <v>30.606975</v>
          </cell>
          <cell r="G167">
            <v>8387.31537500007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</v>
          </cell>
          <cell r="F169">
            <v>29.885925</v>
          </cell>
          <cell r="G169">
            <v>7464.14920000004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6201.60079999999</v>
          </cell>
          <cell r="F170">
            <v>21.42105</v>
          </cell>
          <cell r="G170">
            <v>5160.76242500003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</v>
          </cell>
          <cell r="F171">
            <v>27.79785</v>
          </cell>
          <cell r="G171">
            <v>6585.34767500002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</v>
          </cell>
          <cell r="F172">
            <v>27.907</v>
          </cell>
          <cell r="G172">
            <v>6427.594725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</v>
          </cell>
          <cell r="F173">
            <v>28.702025</v>
          </cell>
          <cell r="G173">
            <v>6342.35162500001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</v>
          </cell>
          <cell r="F174">
            <v>28.6913</v>
          </cell>
          <cell r="G174">
            <v>6381.39655000001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7806.41657499999</v>
          </cell>
          <cell r="F175">
            <v>18.499025</v>
          </cell>
          <cell r="G175">
            <v>6529.713275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</v>
          </cell>
          <cell r="F176">
            <v>31.538575</v>
          </cell>
          <cell r="G176">
            <v>6829.80075000002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8531.81337500002</v>
          </cell>
          <cell r="F177">
            <v>34.17915</v>
          </cell>
          <cell r="G177">
            <v>7230.45025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</v>
          </cell>
          <cell r="F178">
            <v>36.495675</v>
          </cell>
          <cell r="G178">
            <v>7544.44947499999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9354.55974999998</v>
          </cell>
          <cell r="F179">
            <v>38.1332</v>
          </cell>
          <cell r="G179">
            <v>7831.67190000001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</v>
          </cell>
          <cell r="F180">
            <v>38.0033</v>
          </cell>
          <cell r="G180">
            <v>7911.04102500003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</v>
          </cell>
          <cell r="F181">
            <v>38.44435</v>
          </cell>
          <cell r="G181">
            <v>7880.81290000005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9479.50734999998</v>
          </cell>
          <cell r="F182">
            <v>38.183825</v>
          </cell>
          <cell r="G182">
            <v>7936.19987500005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</v>
          </cell>
          <cell r="F183">
            <v>36.831</v>
          </cell>
          <cell r="G183">
            <v>8001.18955000004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</v>
          </cell>
          <cell r="F184">
            <v>36.4683</v>
          </cell>
          <cell r="G184">
            <v>7980.01032500002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9443.26017500002</v>
          </cell>
          <cell r="F185">
            <v>36.27185</v>
          </cell>
          <cell r="G185">
            <v>7945.88025000001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</v>
          </cell>
          <cell r="F186">
            <v>37.0235</v>
          </cell>
          <cell r="G186">
            <v>7978.01455000003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</v>
          </cell>
          <cell r="F187">
            <v>38.5577</v>
          </cell>
          <cell r="G187">
            <v>8267.27347500003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</v>
          </cell>
          <cell r="F188">
            <v>40.866375</v>
          </cell>
          <cell r="G188">
            <v>8985.32375000003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</v>
          </cell>
          <cell r="F189">
            <v>42.311475</v>
          </cell>
          <cell r="G189">
            <v>9062.49787500003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10366.83015</v>
          </cell>
          <cell r="F190">
            <v>41.978925</v>
          </cell>
          <cell r="G190">
            <v>8866.73457500002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9988.73385000001</v>
          </cell>
          <cell r="F191">
            <v>40.79555</v>
          </cell>
          <cell r="G191">
            <v>8538.32940000001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</v>
          </cell>
          <cell r="F193">
            <v>35.7267</v>
          </cell>
          <cell r="G193">
            <v>7300.79435000003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8080.02122500002</v>
          </cell>
          <cell r="F194">
            <v>32.610575</v>
          </cell>
          <cell r="G194">
            <v>6782.6361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7856.65617500001</v>
          </cell>
          <cell r="F195">
            <v>30.629325</v>
          </cell>
          <cell r="G195">
            <v>6527.03515000002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7813.37112500002</v>
          </cell>
          <cell r="F196">
            <v>29.2936</v>
          </cell>
          <cell r="G196">
            <v>6448.49615000001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7884.39197500001</v>
          </cell>
          <cell r="F197">
            <v>30.891875</v>
          </cell>
          <cell r="G197">
            <v>6508.34797500001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</v>
          </cell>
          <cell r="F198">
            <v>34.793075</v>
          </cell>
          <cell r="G198">
            <v>6770.83230000001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8971.59295</v>
          </cell>
          <cell r="F199">
            <v>36.8737</v>
          </cell>
          <cell r="G199">
            <v>7496.29207500005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</v>
          </cell>
          <cell r="F200">
            <v>43.2778</v>
          </cell>
          <cell r="G200">
            <v>8875.51047499999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</v>
          </cell>
          <cell r="F201">
            <v>43.5643</v>
          </cell>
          <cell r="G201">
            <v>10001.891675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</v>
          </cell>
          <cell r="F202">
            <v>46.842525</v>
          </cell>
          <cell r="G202">
            <v>9825.10210000002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11426.121175</v>
          </cell>
          <cell r="F203">
            <v>44.535775</v>
          </cell>
          <cell r="G203">
            <v>9718.18335000001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</v>
          </cell>
          <cell r="F204">
            <v>29.357925</v>
          </cell>
          <cell r="G204">
            <v>5779.28555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</v>
          </cell>
          <cell r="F205">
            <v>12.271625</v>
          </cell>
          <cell r="G205">
            <v>6632.025175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8288.78802500002</v>
          </cell>
          <cell r="F206">
            <v>34.8143</v>
          </cell>
          <cell r="G206">
            <v>6775.50187500003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</v>
          </cell>
          <cell r="F207">
            <v>40.1859</v>
          </cell>
          <cell r="G207">
            <v>8454.95415000001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</v>
          </cell>
          <cell r="F208">
            <v>41.440275</v>
          </cell>
          <cell r="G208">
            <v>7236.60199999999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8711.51154999998</v>
          </cell>
          <cell r="F209">
            <v>18.835425</v>
          </cell>
          <cell r="G209">
            <v>7199.60210000002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8886.19169999999</v>
          </cell>
          <cell r="F210">
            <v>38.6638</v>
          </cell>
          <cell r="G210">
            <v>7449.32500000009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8501.71042499999</v>
          </cell>
          <cell r="F211">
            <v>32.40485</v>
          </cell>
          <cell r="G211">
            <v>7338.97142499998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</v>
          </cell>
          <cell r="F212">
            <v>34.274425</v>
          </cell>
          <cell r="G212">
            <v>8123.021725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</v>
          </cell>
          <cell r="G213">
            <v>9105.26227499998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</v>
          </cell>
          <cell r="F214">
            <v>32.851275</v>
          </cell>
          <cell r="G214">
            <v>6328.94282500002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8849.707425</v>
          </cell>
          <cell r="F215">
            <v>35.010325</v>
          </cell>
          <cell r="G215">
            <v>7352.58907500001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7633.01140000001</v>
          </cell>
          <cell r="F217">
            <v>37.946625</v>
          </cell>
          <cell r="G217">
            <v>6276.15610000001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</v>
          </cell>
          <cell r="F218">
            <v>21.20615</v>
          </cell>
          <cell r="G218">
            <v>5348.23952500002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8317.27147500002</v>
          </cell>
          <cell r="F219">
            <v>29.347075</v>
          </cell>
          <cell r="G219">
            <v>6872.7063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</v>
          </cell>
          <cell r="F220">
            <v>27.7335</v>
          </cell>
          <cell r="G220">
            <v>5456.86215000001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8652.86587500001</v>
          </cell>
          <cell r="F221">
            <v>37.907975</v>
          </cell>
          <cell r="G221">
            <v>7046.50775000006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</v>
          </cell>
          <cell r="F222">
            <v>19.834875</v>
          </cell>
          <cell r="G222">
            <v>3505.4839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8718.36592499999</v>
          </cell>
          <cell r="F223">
            <v>43.051175</v>
          </cell>
          <cell r="G223">
            <v>7433.73542500002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7606.68675</v>
          </cell>
          <cell r="F224">
            <v>29.609475</v>
          </cell>
          <cell r="G224">
            <v>6291.78957500002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</v>
          </cell>
          <cell r="F225">
            <v>22.9583</v>
          </cell>
          <cell r="G225">
            <v>4459.41787500001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6169.43257500001</v>
          </cell>
          <cell r="F226">
            <v>29.280275</v>
          </cell>
          <cell r="G226">
            <v>5166.90195000001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</v>
          </cell>
          <cell r="F227">
            <v>53.138</v>
          </cell>
          <cell r="G227">
            <v>8115.57495000001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9336.56477499999</v>
          </cell>
          <cell r="F228">
            <v>50.517775</v>
          </cell>
          <cell r="G228">
            <v>8033.51530000001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6512.17612499999</v>
          </cell>
          <cell r="F229">
            <v>46.172425</v>
          </cell>
          <cell r="G229">
            <v>5581.71737500001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</v>
          </cell>
          <cell r="F230">
            <v>50.9917</v>
          </cell>
          <cell r="G230">
            <v>7934.71545000002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9063.82872499999</v>
          </cell>
          <cell r="F231">
            <v>43.483625</v>
          </cell>
          <cell r="G231">
            <v>7660.536875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</v>
          </cell>
          <cell r="F232">
            <v>43.494175</v>
          </cell>
          <cell r="G232">
            <v>8137.81180000004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</v>
          </cell>
          <cell r="F233">
            <v>45.442775</v>
          </cell>
          <cell r="G233">
            <v>7382.84780000001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6694.282225</v>
          </cell>
          <cell r="F234">
            <v>28.767</v>
          </cell>
          <cell r="G234">
            <v>5645.35339999999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</v>
          </cell>
          <cell r="F235">
            <v>45.2898</v>
          </cell>
          <cell r="G235">
            <v>8477.31880000001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9468.21400000003</v>
          </cell>
          <cell r="F236">
            <v>42.1043</v>
          </cell>
          <cell r="G236">
            <v>8086.92532500001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</v>
          </cell>
          <cell r="F237">
            <v>49.270225</v>
          </cell>
          <cell r="G237">
            <v>8778.35075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9426.912775</v>
          </cell>
          <cell r="F238">
            <v>48.383675</v>
          </cell>
          <cell r="G238">
            <v>8043.70507500003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</v>
          </cell>
          <cell r="F239">
            <v>43.82145</v>
          </cell>
          <cell r="G239">
            <v>8311.18042500001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</v>
          </cell>
          <cell r="F241">
            <v>37.73825</v>
          </cell>
          <cell r="G241">
            <v>7620.00645000002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7242.87465000002</v>
          </cell>
          <cell r="F242">
            <v>28.353725</v>
          </cell>
          <cell r="G242">
            <v>6073.91487500003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</v>
          </cell>
          <cell r="F243">
            <v>38.9251</v>
          </cell>
          <cell r="G243">
            <v>7582.89057499999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8854.41724999999</v>
          </cell>
          <cell r="F244">
            <v>24.7473</v>
          </cell>
          <cell r="G244">
            <v>7240.3844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9468.381825</v>
          </cell>
          <cell r="F245">
            <v>32.865725</v>
          </cell>
          <cell r="G245">
            <v>8033.60232500002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10545.287875</v>
          </cell>
          <cell r="F246">
            <v>43.583925</v>
          </cell>
          <cell r="G246">
            <v>8868.79535000005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11288.6503</v>
          </cell>
          <cell r="F247">
            <v>49.8435</v>
          </cell>
          <cell r="G247">
            <v>9664.96287500001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</v>
          </cell>
          <cell r="F248">
            <v>58.277525</v>
          </cell>
          <cell r="G248">
            <v>11011.20675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13977.1078</v>
          </cell>
          <cell r="F249">
            <v>63.565975</v>
          </cell>
          <cell r="G249">
            <v>12033.48495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</v>
          </cell>
          <cell r="F250">
            <v>61.416675</v>
          </cell>
          <cell r="G250">
            <v>11535.8296750001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</v>
          </cell>
          <cell r="F251">
            <v>60.28605</v>
          </cell>
          <cell r="G251">
            <v>10939.7752500001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12376.666125</v>
          </cell>
          <cell r="F252">
            <v>53.40545</v>
          </cell>
          <cell r="G252">
            <v>10479.9538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11879.694425</v>
          </cell>
          <cell r="F253">
            <v>53.0152</v>
          </cell>
          <cell r="G253">
            <v>10034.072575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</v>
          </cell>
          <cell r="F254">
            <v>49.157725</v>
          </cell>
          <cell r="G254">
            <v>9650.84467500001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11164.096725</v>
          </cell>
          <cell r="F255">
            <v>44.590325</v>
          </cell>
          <cell r="G255">
            <v>9391.53415000005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</v>
          </cell>
          <cell r="F256">
            <v>39.2778</v>
          </cell>
          <cell r="G256">
            <v>9168.25042500002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</v>
          </cell>
          <cell r="F257">
            <v>41.270725</v>
          </cell>
          <cell r="G257">
            <v>9006.81062499997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10574.68235</v>
          </cell>
          <cell r="F258">
            <v>41.057925</v>
          </cell>
          <cell r="G258">
            <v>8979.72215000003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</v>
          </cell>
          <cell r="F259">
            <v>42.7498</v>
          </cell>
          <cell r="G259">
            <v>9121.19517499996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11511.0691</v>
          </cell>
          <cell r="F260">
            <v>46.889175</v>
          </cell>
          <cell r="G260">
            <v>9951.97977500003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11559.97055</v>
          </cell>
          <cell r="F261">
            <v>45.736825</v>
          </cell>
          <cell r="G261">
            <v>10008.276475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11435.79185</v>
          </cell>
          <cell r="F262">
            <v>43.8529</v>
          </cell>
          <cell r="G262">
            <v>9827.56467500004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11054.903675</v>
          </cell>
          <cell r="F263">
            <v>45.171025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</v>
          </cell>
          <cell r="F265">
            <v>37.950775</v>
          </cell>
          <cell r="G265">
            <v>8053.40767500001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8857.60675</v>
          </cell>
          <cell r="F266">
            <v>35.8715</v>
          </cell>
          <cell r="G266">
            <v>7471.881825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8650.80392500001</v>
          </cell>
          <cell r="F267">
            <v>30.349825</v>
          </cell>
          <cell r="G267">
            <v>7181.70760000001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</v>
          </cell>
          <cell r="F268">
            <v>30.1311</v>
          </cell>
          <cell r="G268">
            <v>7043.90124999999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8464.75315000001</v>
          </cell>
          <cell r="F269">
            <v>30.7964</v>
          </cell>
          <cell r="G269">
            <v>6986.99330000002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8609.49382500002</v>
          </cell>
          <cell r="F270">
            <v>32.03795</v>
          </cell>
          <cell r="G270">
            <v>7129.61632499998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</v>
          </cell>
          <cell r="F271">
            <v>35.40035</v>
          </cell>
          <cell r="G271">
            <v>7721.30090000002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</v>
          </cell>
          <cell r="F272">
            <v>39.380075</v>
          </cell>
          <cell r="G272">
            <v>8906.82149999999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11590.99525</v>
          </cell>
          <cell r="F273">
            <v>46.721175</v>
          </cell>
          <cell r="G273">
            <v>9897.70025000004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</v>
          </cell>
          <cell r="F274">
            <v>43.949825</v>
          </cell>
          <cell r="G274">
            <v>9617.74817499995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11127.127325</v>
          </cell>
          <cell r="F275">
            <v>41.2365</v>
          </cell>
          <cell r="G275">
            <v>9418.60855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11073.838425</v>
          </cell>
          <cell r="F276">
            <v>43.697075</v>
          </cell>
          <cell r="G276">
            <v>9324.62927500002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10922.4089</v>
          </cell>
          <cell r="F277">
            <v>43.353825</v>
          </cell>
          <cell r="G277">
            <v>9257.87092499998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</v>
          </cell>
          <cell r="F278">
            <v>42.221725</v>
          </cell>
          <cell r="G278">
            <v>9205.20220000002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10810.345725</v>
          </cell>
          <cell r="F279">
            <v>40.9933</v>
          </cell>
          <cell r="G279">
            <v>9210.16624999999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</v>
          </cell>
          <cell r="F280">
            <v>37.342225</v>
          </cell>
          <cell r="G280">
            <v>9166.19375000001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10763.7492</v>
          </cell>
          <cell r="F281">
            <v>40.21485</v>
          </cell>
          <cell r="G281">
            <v>9127.10892500002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</v>
          </cell>
          <cell r="F282">
            <v>35.590875</v>
          </cell>
          <cell r="G282">
            <v>9134.93465000005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10807.30025</v>
          </cell>
          <cell r="F283">
            <v>36.520925</v>
          </cell>
          <cell r="G283">
            <v>9176.96237500005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</v>
          </cell>
          <cell r="F284">
            <v>43.437</v>
          </cell>
          <cell r="G284">
            <v>9821.09465000001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11482.356725</v>
          </cell>
          <cell r="F285">
            <v>45.010525</v>
          </cell>
          <cell r="G285">
            <v>9826.55707499995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</v>
          </cell>
          <cell r="F286">
            <v>41.44105</v>
          </cell>
          <cell r="G286">
            <v>9572.73217500007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</v>
          </cell>
          <cell r="F287">
            <v>40.88905</v>
          </cell>
          <cell r="G287">
            <v>9124.54679999999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</v>
          </cell>
          <cell r="F289">
            <v>35.43335</v>
          </cell>
          <cell r="G289">
            <v>7671.72850000002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</v>
          </cell>
          <cell r="F290">
            <v>31.578375</v>
          </cell>
          <cell r="G290">
            <v>7079.00205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8142.08952500003</v>
          </cell>
          <cell r="F291">
            <v>27.881225</v>
          </cell>
          <cell r="G291">
            <v>6794.78715000005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</v>
          </cell>
          <cell r="F292">
            <v>29.5898</v>
          </cell>
          <cell r="G292">
            <v>6707.47394999999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</v>
          </cell>
          <cell r="F293">
            <v>31.9181</v>
          </cell>
          <cell r="G293">
            <v>6768.87030000003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8512.83367499998</v>
          </cell>
          <cell r="F294">
            <v>33.80415</v>
          </cell>
          <cell r="G294">
            <v>7046.12994999999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9279.86584999999</v>
          </cell>
          <cell r="F295">
            <v>37.858025</v>
          </cell>
          <cell r="G295">
            <v>7753.43197500001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</v>
          </cell>
          <cell r="F296">
            <v>45.1906</v>
          </cell>
          <cell r="G296">
            <v>9168.16760000003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</v>
          </cell>
          <cell r="F297">
            <v>53.9597</v>
          </cell>
          <cell r="G297">
            <v>10394.30565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10797.717425</v>
          </cell>
          <cell r="F298">
            <v>45.352075</v>
          </cell>
          <cell r="G298">
            <v>9074.61844999997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</v>
          </cell>
          <cell r="F299">
            <v>51.34365</v>
          </cell>
          <cell r="G299">
            <v>8427.76912499999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</v>
          </cell>
          <cell r="F300">
            <v>35.05045</v>
          </cell>
          <cell r="G300">
            <v>6063.32330000002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</v>
          </cell>
          <cell r="F301">
            <v>38.665025</v>
          </cell>
          <cell r="G301">
            <v>7588.28887500001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</v>
          </cell>
          <cell r="F302">
            <v>19.91735</v>
          </cell>
          <cell r="G302">
            <v>5323.00529999999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8443.27802500001</v>
          </cell>
          <cell r="F303">
            <v>35.1995</v>
          </cell>
          <cell r="G303">
            <v>6883.61095000002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</v>
          </cell>
          <cell r="F304">
            <v>26.771425</v>
          </cell>
          <cell r="G304">
            <v>8121.12652500004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8779.927625</v>
          </cell>
          <cell r="F305">
            <v>25.20405</v>
          </cell>
          <cell r="G305">
            <v>7188.73337500002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</v>
          </cell>
          <cell r="F306">
            <v>34.3236</v>
          </cell>
          <cell r="G306">
            <v>7518.41404999999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</v>
          </cell>
          <cell r="F307">
            <v>32.91055</v>
          </cell>
          <cell r="G307">
            <v>7487.350475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8359.70460000001</v>
          </cell>
          <cell r="F308">
            <v>23.179875</v>
          </cell>
          <cell r="G308">
            <v>6981.807475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4562.367775</v>
          </cell>
          <cell r="F309">
            <v>18.89985</v>
          </cell>
          <cell r="G309">
            <v>3960.87995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</v>
          </cell>
          <cell r="F310">
            <v>34.427425</v>
          </cell>
          <cell r="G310">
            <v>6455.421975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10013.09505</v>
          </cell>
          <cell r="F311">
            <v>42.961275</v>
          </cell>
          <cell r="G311">
            <v>8661.21405000002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10629.44775</v>
          </cell>
          <cell r="F313">
            <v>44.6435</v>
          </cell>
          <cell r="G313">
            <v>8957.90030000004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10167.2063</v>
          </cell>
          <cell r="F314">
            <v>44.14965</v>
          </cell>
          <cell r="G314">
            <v>8562.95274999998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</v>
          </cell>
          <cell r="F315">
            <v>43.63295</v>
          </cell>
          <cell r="G315">
            <v>8410.21792500002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</v>
          </cell>
          <cell r="F316">
            <v>3.243325</v>
          </cell>
          <cell r="G316">
            <v>4997.08077500001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</v>
          </cell>
          <cell r="F317">
            <v>41.883325</v>
          </cell>
          <cell r="G317">
            <v>8474.47105000003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</v>
          </cell>
          <cell r="F318">
            <v>42.7998</v>
          </cell>
          <cell r="G318">
            <v>8663.37787499996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</v>
          </cell>
          <cell r="G319">
            <v>9059.27087500001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</v>
          </cell>
          <cell r="F320">
            <v>47.88685</v>
          </cell>
          <cell r="G320">
            <v>9692.60662500002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</v>
          </cell>
          <cell r="F321">
            <v>50.762875</v>
          </cell>
          <cell r="G321">
            <v>10346.617925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12379.021325</v>
          </cell>
          <cell r="F322">
            <v>51.5455</v>
          </cell>
          <cell r="G322">
            <v>10641.9635250001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12168.6231</v>
          </cell>
          <cell r="F323">
            <v>49.9894</v>
          </cell>
          <cell r="G323">
            <v>10483.981725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11808.51795</v>
          </cell>
          <cell r="F324">
            <v>44.831375</v>
          </cell>
          <cell r="G324">
            <v>10066.141375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11211.155525</v>
          </cell>
          <cell r="F325">
            <v>39.308575</v>
          </cell>
          <cell r="G325">
            <v>9535.22345000006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10675.1932</v>
          </cell>
          <cell r="F326">
            <v>35.511875</v>
          </cell>
          <cell r="G326">
            <v>8995.53142500003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10171.62875</v>
          </cell>
          <cell r="F327">
            <v>33.2341</v>
          </cell>
          <cell r="G327">
            <v>8536.75595000005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</v>
          </cell>
          <cell r="F328">
            <v>33.11225</v>
          </cell>
          <cell r="G328">
            <v>8216.71840000003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</v>
          </cell>
          <cell r="F329">
            <v>32.487575</v>
          </cell>
          <cell r="G329">
            <v>8032.69940000006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</v>
          </cell>
          <cell r="F330">
            <v>31.451175</v>
          </cell>
          <cell r="G330">
            <v>7993.15865000003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9753.99217499998</v>
          </cell>
          <cell r="F331">
            <v>32.47855</v>
          </cell>
          <cell r="G331">
            <v>8280.71242500002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</v>
          </cell>
          <cell r="F332">
            <v>35.208875</v>
          </cell>
          <cell r="G332">
            <v>9080.03445000001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10755.815375</v>
          </cell>
          <cell r="F333">
            <v>35.96185</v>
          </cell>
          <cell r="G333">
            <v>9158.51389999999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</v>
          </cell>
          <cell r="F334">
            <v>34.653</v>
          </cell>
          <cell r="G334">
            <v>9020.84124999997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10354.687725</v>
          </cell>
          <cell r="F335">
            <v>33.4799</v>
          </cell>
          <cell r="G335">
            <v>8776.89765000004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</v>
          </cell>
          <cell r="F337">
            <v>31.11525</v>
          </cell>
          <cell r="G337">
            <v>7961.08727500002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</v>
          </cell>
          <cell r="F338">
            <v>21.194325</v>
          </cell>
          <cell r="G338">
            <v>5566.828325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</v>
          </cell>
          <cell r="F339">
            <v>27.83875</v>
          </cell>
          <cell r="G339">
            <v>7196.47187499999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8272.24334999999</v>
          </cell>
          <cell r="F340">
            <v>27.631975</v>
          </cell>
          <cell r="G340">
            <v>7013.90395000001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8183.56697499999</v>
          </cell>
          <cell r="F341">
            <v>27.50155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8193.65147499999</v>
          </cell>
          <cell r="F342">
            <v>27.64175</v>
          </cell>
          <cell r="G342">
            <v>6956.74162499999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</v>
          </cell>
          <cell r="F343">
            <v>28.7755</v>
          </cell>
          <cell r="G343">
            <v>7073.14527500002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</v>
          </cell>
          <cell r="F344">
            <v>29.91555</v>
          </cell>
          <cell r="G344">
            <v>7356.89340000003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</v>
          </cell>
          <cell r="F345">
            <v>32.747575</v>
          </cell>
          <cell r="G345">
            <v>7739.18410000004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9720.032275</v>
          </cell>
          <cell r="F346">
            <v>35.80275</v>
          </cell>
          <cell r="G346">
            <v>8132.21322500001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10096.446725</v>
          </cell>
          <cell r="F347">
            <v>37.4451</v>
          </cell>
          <cell r="G347">
            <v>8496.44197500001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10220.929175</v>
          </cell>
          <cell r="F348">
            <v>35.860925</v>
          </cell>
          <cell r="G348">
            <v>8603.20592500004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</v>
          </cell>
          <cell r="F349">
            <v>35.637575</v>
          </cell>
          <cell r="G349">
            <v>8488.99514999999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</v>
          </cell>
          <cell r="F350">
            <v>35.3175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9899.05812500001</v>
          </cell>
          <cell r="F351">
            <v>35.970775</v>
          </cell>
          <cell r="G351">
            <v>8358.99005000001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</v>
          </cell>
          <cell r="F352">
            <v>34.892625</v>
          </cell>
          <cell r="G352">
            <v>8205.12964999999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</v>
          </cell>
          <cell r="F353">
            <v>35.81205</v>
          </cell>
          <cell r="G353">
            <v>7998.13177500001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9525.11799999999</v>
          </cell>
          <cell r="F354">
            <v>35.28035</v>
          </cell>
          <cell r="G354">
            <v>8005.27842500004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9711.35014999999</v>
          </cell>
          <cell r="F355">
            <v>36.870875</v>
          </cell>
          <cell r="G355">
            <v>8228.91860000002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10370.644175</v>
          </cell>
          <cell r="F356">
            <v>38.6388</v>
          </cell>
          <cell r="G356">
            <v>8901.64330000002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10383.351575</v>
          </cell>
          <cell r="F357">
            <v>37.86955</v>
          </cell>
          <cell r="G357">
            <v>8925.81055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10238.900275</v>
          </cell>
          <cell r="F358">
            <v>36.696425</v>
          </cell>
          <cell r="G358">
            <v>8725.24417500002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9906.93007499999</v>
          </cell>
          <cell r="F359">
            <v>35.222375</v>
          </cell>
          <cell r="G359">
            <v>8395.40005000003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</v>
          </cell>
          <cell r="F361">
            <v>31.482825</v>
          </cell>
          <cell r="G361">
            <v>7360.46625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</v>
          </cell>
          <cell r="F362">
            <v>29.562275</v>
          </cell>
          <cell r="G362">
            <v>6855.52972500003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</v>
          </cell>
          <cell r="F363">
            <v>28.6986</v>
          </cell>
          <cell r="G363">
            <v>6566.49795000001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7708.91294999998</v>
          </cell>
          <cell r="F364">
            <v>28.603525</v>
          </cell>
          <cell r="G364">
            <v>6438.11395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</v>
          </cell>
          <cell r="F365">
            <v>30.755575</v>
          </cell>
          <cell r="G365">
            <v>6416.62932500002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7780.77225000001</v>
          </cell>
          <cell r="F366">
            <v>34.607825</v>
          </cell>
          <cell r="G366">
            <v>6523.35550000001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</v>
          </cell>
          <cell r="F367">
            <v>35.806175</v>
          </cell>
          <cell r="G367">
            <v>6974.67235000001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</v>
          </cell>
          <cell r="F368">
            <v>39.5818</v>
          </cell>
          <cell r="G368">
            <v>7763.34427500001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</v>
          </cell>
          <cell r="F369">
            <v>43.17375</v>
          </cell>
          <cell r="G369">
            <v>8488.76355000001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</v>
          </cell>
          <cell r="F370">
            <v>42.736625</v>
          </cell>
          <cell r="G370">
            <v>8798.29267500001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10803.92145</v>
          </cell>
          <cell r="F371">
            <v>42.23605</v>
          </cell>
          <cell r="G371">
            <v>9061.81130000002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11129.0247000001</v>
          </cell>
          <cell r="F372">
            <v>43.541925</v>
          </cell>
          <cell r="G372">
            <v>9323.546425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11130.409725</v>
          </cell>
          <cell r="F373">
            <v>43.7177</v>
          </cell>
          <cell r="G373">
            <v>9466.23727500005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10978.2638</v>
          </cell>
          <cell r="F374">
            <v>43.28945</v>
          </cell>
          <cell r="G374">
            <v>9374.28450000001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</v>
          </cell>
          <cell r="F375">
            <v>44.478575</v>
          </cell>
          <cell r="G375">
            <v>9265.79842500004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10768.374625</v>
          </cell>
          <cell r="F376">
            <v>40.74045</v>
          </cell>
          <cell r="G376">
            <v>9131.94155000006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</v>
          </cell>
          <cell r="F377">
            <v>43.28885</v>
          </cell>
          <cell r="G377">
            <v>9041.31032500004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10627.57665</v>
          </cell>
          <cell r="F378">
            <v>42.501775</v>
          </cell>
          <cell r="G378">
            <v>9024.18292500006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10874.79895</v>
          </cell>
          <cell r="F379">
            <v>43.21365</v>
          </cell>
          <cell r="G379">
            <v>9301.38467500003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11563.929375</v>
          </cell>
          <cell r="F380">
            <v>46.156175</v>
          </cell>
          <cell r="G380">
            <v>9944.21512500003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11550.376025</v>
          </cell>
          <cell r="F381">
            <v>49.165</v>
          </cell>
          <cell r="G381">
            <v>9946.98062500002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11437.9859</v>
          </cell>
          <cell r="F382">
            <v>44.18395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11031.85485</v>
          </cell>
          <cell r="F383">
            <v>43.54885</v>
          </cell>
          <cell r="G383">
            <v>9378.13252500003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</v>
          </cell>
          <cell r="F385">
            <v>41.13925</v>
          </cell>
          <cell r="G385">
            <v>8028.351025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</v>
          </cell>
          <cell r="F386">
            <v>36.153</v>
          </cell>
          <cell r="G386">
            <v>7528.70400000003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</v>
          </cell>
          <cell r="F387">
            <v>32.5528</v>
          </cell>
          <cell r="G387">
            <v>7345.02807500005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</v>
          </cell>
          <cell r="G388">
            <v>7371.30192500002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8880.82132500001</v>
          </cell>
          <cell r="F389">
            <v>34.599175</v>
          </cell>
          <cell r="G389">
            <v>7527.19057500001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</v>
          </cell>
          <cell r="F390">
            <v>37.54375</v>
          </cell>
          <cell r="G390">
            <v>7859.80415000001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10444.7024</v>
          </cell>
          <cell r="F391">
            <v>43.149225</v>
          </cell>
          <cell r="G391">
            <v>8748.71827500004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</v>
          </cell>
          <cell r="F392">
            <v>50.38915</v>
          </cell>
          <cell r="G392">
            <v>10282.4086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13510.719225</v>
          </cell>
          <cell r="F393">
            <v>59.23485</v>
          </cell>
          <cell r="G393">
            <v>11562.934275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</v>
          </cell>
          <cell r="F394">
            <v>52.3953</v>
          </cell>
          <cell r="G394">
            <v>11240.045875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12844.37405</v>
          </cell>
          <cell r="F395">
            <v>48.999125</v>
          </cell>
          <cell r="G395">
            <v>10921.8702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12686.86505</v>
          </cell>
          <cell r="F396">
            <v>50.921125</v>
          </cell>
          <cell r="G396">
            <v>10785.421275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</v>
          </cell>
          <cell r="F397">
            <v>48.2732</v>
          </cell>
          <cell r="G397">
            <v>10587.358725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12132.7299</v>
          </cell>
          <cell r="F398">
            <v>47.231225</v>
          </cell>
          <cell r="G398">
            <v>10326.06155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</v>
          </cell>
          <cell r="F399">
            <v>46.825875</v>
          </cell>
          <cell r="G399">
            <v>10103.5616250001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</v>
          </cell>
          <cell r="F400">
            <v>40.43005</v>
          </cell>
          <cell r="G400">
            <v>9828.77492500005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</v>
          </cell>
          <cell r="F401">
            <v>44.983525</v>
          </cell>
          <cell r="G401">
            <v>9603.47375000005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</v>
          </cell>
          <cell r="G402">
            <v>9568.48115000002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11717.659075</v>
          </cell>
          <cell r="F403">
            <v>44.092525</v>
          </cell>
          <cell r="G403">
            <v>9900.18660000004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</v>
          </cell>
          <cell r="F404">
            <v>50.9774</v>
          </cell>
          <cell r="G404">
            <v>10987.700825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13257.172625</v>
          </cell>
          <cell r="F405">
            <v>51.93125</v>
          </cell>
          <cell r="G405">
            <v>11333.25575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</v>
          </cell>
          <cell r="F406">
            <v>53.785525</v>
          </cell>
          <cell r="G406">
            <v>11309.566775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12747.0807</v>
          </cell>
          <cell r="F407">
            <v>54.4769</v>
          </cell>
          <cell r="G407">
            <v>11090.213725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</v>
          </cell>
          <cell r="F409">
            <v>50.84125</v>
          </cell>
          <cell r="G409">
            <v>9659.61360000003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10849.390175</v>
          </cell>
          <cell r="F410">
            <v>44.872775</v>
          </cell>
          <cell r="G410">
            <v>9080.4705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</v>
          </cell>
          <cell r="F411">
            <v>43.384725</v>
          </cell>
          <cell r="G411">
            <v>8876.99952499997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</v>
          </cell>
          <cell r="F412">
            <v>43.762925</v>
          </cell>
          <cell r="G412">
            <v>8807.7586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10529.688075</v>
          </cell>
          <cell r="F413">
            <v>43.972275</v>
          </cell>
          <cell r="G413">
            <v>8832.48434999996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10745.919925</v>
          </cell>
          <cell r="F414">
            <v>46.060725</v>
          </cell>
          <cell r="G414">
            <v>9073.54052500001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</v>
          </cell>
          <cell r="F415">
            <v>49.413875</v>
          </cell>
          <cell r="G415">
            <v>9819.29694999996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</v>
          </cell>
          <cell r="F416">
            <v>58.539425</v>
          </cell>
          <cell r="G416">
            <v>11166.88805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</v>
          </cell>
          <cell r="F417">
            <v>65.0466</v>
          </cell>
          <cell r="G417">
            <v>12131.4824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</v>
          </cell>
          <cell r="F418">
            <v>59.671475</v>
          </cell>
          <cell r="G418">
            <v>11535.621625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12777.050975</v>
          </cell>
          <cell r="F419">
            <v>55.41525</v>
          </cell>
          <cell r="G419">
            <v>10860.4775000001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</v>
          </cell>
          <cell r="F420">
            <v>50.814325</v>
          </cell>
          <cell r="G420">
            <v>10408.3339500001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</v>
          </cell>
          <cell r="F421">
            <v>46.21035</v>
          </cell>
          <cell r="G421">
            <v>9934.99637500005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11283.9419</v>
          </cell>
          <cell r="F422">
            <v>45.13175</v>
          </cell>
          <cell r="G422">
            <v>9558.92002500006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</v>
          </cell>
          <cell r="F423">
            <v>42.239325</v>
          </cell>
          <cell r="G423">
            <v>9290.08600000002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</v>
          </cell>
          <cell r="F424">
            <v>38.929075</v>
          </cell>
          <cell r="G424">
            <v>9124.30340000004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</v>
          </cell>
          <cell r="F425">
            <v>41.043775</v>
          </cell>
          <cell r="G425">
            <v>8995.66240000004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10559.4143250001</v>
          </cell>
          <cell r="F426">
            <v>39.323075</v>
          </cell>
          <cell r="G426">
            <v>8948.34347500002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</v>
          </cell>
          <cell r="F427">
            <v>43.015125</v>
          </cell>
          <cell r="G427">
            <v>9053.54724999999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</v>
          </cell>
          <cell r="F428">
            <v>43.017375</v>
          </cell>
          <cell r="G428">
            <v>9787.7688749999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</v>
          </cell>
          <cell r="F429">
            <v>43.75165</v>
          </cell>
          <cell r="G429">
            <v>9948.33834999999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11460.69885</v>
          </cell>
          <cell r="F430">
            <v>44.592575</v>
          </cell>
          <cell r="G430">
            <v>9800.92594999998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</v>
          </cell>
          <cell r="F431">
            <v>43.57845</v>
          </cell>
          <cell r="G431">
            <v>9478.38992500004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</v>
          </cell>
          <cell r="F433">
            <v>41.147325</v>
          </cell>
          <cell r="G433">
            <v>7940.76712500001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</v>
          </cell>
          <cell r="F434">
            <v>35.268875</v>
          </cell>
          <cell r="G434">
            <v>7348.64422500001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8458.74827499997</v>
          </cell>
          <cell r="F435">
            <v>32.71725</v>
          </cell>
          <cell r="G435">
            <v>7040.21512500006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</v>
          </cell>
          <cell r="F436">
            <v>32.87365</v>
          </cell>
          <cell r="G436">
            <v>6910.78825000002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</v>
          </cell>
          <cell r="F437">
            <v>32.6209</v>
          </cell>
          <cell r="G437">
            <v>6889.51452500004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</v>
          </cell>
          <cell r="F438">
            <v>34.18155</v>
          </cell>
          <cell r="G438">
            <v>7053.81025000007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9085.777275</v>
          </cell>
          <cell r="F439">
            <v>36.54925</v>
          </cell>
          <cell r="G439">
            <v>7639.86682500004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</v>
          </cell>
          <cell r="F440">
            <v>42.54355</v>
          </cell>
          <cell r="G440">
            <v>8883.09177500001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49.177225</v>
          </cell>
          <cell r="G441">
            <v>9883.74272500001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</v>
          </cell>
          <cell r="F442">
            <v>46.7187</v>
          </cell>
          <cell r="G442">
            <v>9529.44785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11049.233975</v>
          </cell>
          <cell r="F443">
            <v>44.89505</v>
          </cell>
          <cell r="G443">
            <v>9300.77477500005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</v>
          </cell>
          <cell r="F444">
            <v>46.44035</v>
          </cell>
          <cell r="G444">
            <v>9264.74407500006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9077.80060000002</v>
          </cell>
          <cell r="F445">
            <v>39.517975</v>
          </cell>
          <cell r="G445">
            <v>7666.84537500002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8643.57730000001</v>
          </cell>
          <cell r="F446">
            <v>33.1187</v>
          </cell>
          <cell r="G446">
            <v>7176.2905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</v>
          </cell>
          <cell r="F447">
            <v>27.194075</v>
          </cell>
          <cell r="G447">
            <v>6189.549825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7917.144525</v>
          </cell>
          <cell r="F448">
            <v>28.637975</v>
          </cell>
          <cell r="G448">
            <v>6443.1036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9509.99872500003</v>
          </cell>
          <cell r="F449">
            <v>42.081425</v>
          </cell>
          <cell r="G449">
            <v>7825.28137500003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</v>
          </cell>
          <cell r="F450">
            <v>44.580575</v>
          </cell>
          <cell r="G450">
            <v>8934.77947500002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9091.39025000002</v>
          </cell>
          <cell r="F451">
            <v>40.878675</v>
          </cell>
          <cell r="G451">
            <v>7643.3607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</v>
          </cell>
          <cell r="F452">
            <v>32.385375</v>
          </cell>
          <cell r="G452">
            <v>8522.6568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8311.712425</v>
          </cell>
          <cell r="F453">
            <v>27.74275</v>
          </cell>
          <cell r="G453">
            <v>7120.09697500004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9999.24177500003</v>
          </cell>
          <cell r="F454">
            <v>33.761475</v>
          </cell>
          <cell r="G454">
            <v>8368.48905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5798.289125</v>
          </cell>
          <cell r="F455">
            <v>16.558425</v>
          </cell>
          <cell r="G455">
            <v>4793.07302500001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</v>
          </cell>
          <cell r="F457">
            <v>35.602175</v>
          </cell>
          <cell r="G457">
            <v>7648.42165000005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8415.79052500003</v>
          </cell>
          <cell r="F458">
            <v>35.56355</v>
          </cell>
          <cell r="G458">
            <v>7044.30489999996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</v>
          </cell>
          <cell r="F459">
            <v>31.06515</v>
          </cell>
          <cell r="G459">
            <v>6691.95157500003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7926.64715000001</v>
          </cell>
          <cell r="F460">
            <v>33.032325</v>
          </cell>
          <cell r="G460">
            <v>6487.28475000001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7845.19032500001</v>
          </cell>
          <cell r="F461">
            <v>34.021675</v>
          </cell>
          <cell r="G461">
            <v>6439.96250000002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</v>
          </cell>
          <cell r="F462">
            <v>35.340025</v>
          </cell>
          <cell r="G462">
            <v>6576.02170000001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8531.80757499999</v>
          </cell>
          <cell r="F463">
            <v>38.2557</v>
          </cell>
          <cell r="G463">
            <v>7096.13960000006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</v>
          </cell>
          <cell r="F464">
            <v>41.328725</v>
          </cell>
          <cell r="G464">
            <v>8244.74619999999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10940.769075</v>
          </cell>
          <cell r="F465">
            <v>49.018275</v>
          </cell>
          <cell r="G465">
            <v>9280.24695000002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</v>
          </cell>
          <cell r="F466">
            <v>48.98675</v>
          </cell>
          <cell r="G466">
            <v>9182.31345000001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10797.823475</v>
          </cell>
          <cell r="F467">
            <v>47.7092</v>
          </cell>
          <cell r="G467">
            <v>9130.47612499996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4003.2141</v>
          </cell>
          <cell r="F468">
            <v>0.67365</v>
          </cell>
          <cell r="G468">
            <v>6087.46137500003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10872.104125</v>
          </cell>
          <cell r="F469">
            <v>49.78105</v>
          </cell>
          <cell r="G469">
            <v>9222.02615000006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</v>
          </cell>
          <cell r="F470">
            <v>45.169</v>
          </cell>
          <cell r="G470">
            <v>9136.8677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</v>
          </cell>
          <cell r="F471">
            <v>44.69595</v>
          </cell>
          <cell r="G471">
            <v>9155.56475000003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</v>
          </cell>
          <cell r="F472">
            <v>37.592425</v>
          </cell>
          <cell r="G472">
            <v>8692.56582500002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</v>
          </cell>
          <cell r="F473">
            <v>39.754925</v>
          </cell>
          <cell r="G473">
            <v>8619.075425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</v>
          </cell>
          <cell r="F474">
            <v>44.61405</v>
          </cell>
          <cell r="G474">
            <v>8863.08737499998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</v>
          </cell>
          <cell r="F475">
            <v>44.38895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10933.662875</v>
          </cell>
          <cell r="F476">
            <v>43.154375</v>
          </cell>
          <cell r="G476">
            <v>9307.84010000003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10975.187975</v>
          </cell>
          <cell r="F477">
            <v>44.741025</v>
          </cell>
          <cell r="G477">
            <v>9349.14725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</v>
          </cell>
          <cell r="F478">
            <v>41.627775</v>
          </cell>
          <cell r="G478">
            <v>9181.29667500002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10584.283625</v>
          </cell>
          <cell r="F479">
            <v>41.081225</v>
          </cell>
          <cell r="G479">
            <v>8971.81392499999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9133.88982499999</v>
          </cell>
          <cell r="F481">
            <v>27.1313</v>
          </cell>
          <cell r="G481">
            <v>7728.43999999998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9314.84424999999</v>
          </cell>
          <cell r="F482">
            <v>34.453625</v>
          </cell>
          <cell r="G482">
            <v>7795.91087499999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</v>
          </cell>
          <cell r="F483">
            <v>33.238075</v>
          </cell>
          <cell r="G483">
            <v>7595.27572499999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</v>
          </cell>
          <cell r="F484">
            <v>1.159575</v>
          </cell>
          <cell r="G484">
            <v>4235.70147499999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</v>
          </cell>
          <cell r="F485">
            <v>34.500425</v>
          </cell>
          <cell r="G485">
            <v>7591.24715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</v>
          </cell>
          <cell r="F486">
            <v>35.834575</v>
          </cell>
          <cell r="G486">
            <v>7762.63732500001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9779.330275</v>
          </cell>
          <cell r="F487">
            <v>39.7894</v>
          </cell>
          <cell r="G487">
            <v>8151.26112500002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</v>
          </cell>
          <cell r="F488">
            <v>43.514825</v>
          </cell>
          <cell r="G488">
            <v>8801.19614999998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11263.009</v>
          </cell>
          <cell r="F489">
            <v>49.092425</v>
          </cell>
          <cell r="G489">
            <v>9510.35002499997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11773.936475</v>
          </cell>
          <cell r="F490">
            <v>52.6165</v>
          </cell>
          <cell r="G490">
            <v>9951.43487500004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</v>
          </cell>
          <cell r="F491">
            <v>51.639975</v>
          </cell>
          <cell r="G491">
            <v>10113.08505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11768.2599500001</v>
          </cell>
          <cell r="F492">
            <v>49.6243</v>
          </cell>
          <cell r="G492">
            <v>9963.66127500003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11338.240375</v>
          </cell>
          <cell r="F493">
            <v>46.683925</v>
          </cell>
          <cell r="G493">
            <v>9592.49225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10841.7207</v>
          </cell>
          <cell r="F494">
            <v>43.61195</v>
          </cell>
          <cell r="G494">
            <v>9166.82085000001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10362.3272</v>
          </cell>
          <cell r="F495">
            <v>40.373575</v>
          </cell>
          <cell r="G495">
            <v>8731.89315000002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9989.76600000001</v>
          </cell>
          <cell r="F496">
            <v>39.529025</v>
          </cell>
          <cell r="G496">
            <v>8368.21040000001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9750.3724</v>
          </cell>
          <cell r="F497">
            <v>39.96415</v>
          </cell>
          <cell r="G497">
            <v>8142.07582500005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9720.715975</v>
          </cell>
          <cell r="F498">
            <v>40.25445</v>
          </cell>
          <cell r="G498">
            <v>8096.41590000004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10069.149175</v>
          </cell>
          <cell r="F499">
            <v>41.965675</v>
          </cell>
          <cell r="G499">
            <v>8400.244675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10947.076275</v>
          </cell>
          <cell r="F500">
            <v>43.39865</v>
          </cell>
          <cell r="G500">
            <v>9212.55202500001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</v>
          </cell>
          <cell r="F501">
            <v>43.87435</v>
          </cell>
          <cell r="G501">
            <v>9363.13117500001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10948.570325</v>
          </cell>
          <cell r="F502">
            <v>43.5139</v>
          </cell>
          <cell r="G502">
            <v>9219.26417500005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</v>
          </cell>
          <cell r="F503">
            <v>42.076775</v>
          </cell>
          <cell r="G503">
            <v>8990.04117499999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9653.574425</v>
          </cell>
          <cell r="F505">
            <v>41.421925</v>
          </cell>
          <cell r="G505">
            <v>8094.40700000001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6713.34142500001</v>
          </cell>
          <cell r="F506">
            <v>29.805375</v>
          </cell>
          <cell r="G506">
            <v>5650.30715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8742.883275</v>
          </cell>
          <cell r="F507">
            <v>41.78605</v>
          </cell>
          <cell r="G507">
            <v>7290.84724999997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</v>
          </cell>
          <cell r="F508">
            <v>40.5981</v>
          </cell>
          <cell r="G508">
            <v>7164.01480000001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8560.06279999998</v>
          </cell>
          <cell r="F509">
            <v>41.614775</v>
          </cell>
          <cell r="G509">
            <v>7140.88055000001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</v>
          </cell>
          <cell r="F510">
            <v>37.719075</v>
          </cell>
          <cell r="G510">
            <v>7179.07712500002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8811.53805</v>
          </cell>
          <cell r="F511">
            <v>39.2925</v>
          </cell>
          <cell r="G511">
            <v>7337.709525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9081.30027499997</v>
          </cell>
          <cell r="F512">
            <v>40.2359</v>
          </cell>
          <cell r="G512">
            <v>7675.93582500001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9707.54540000004</v>
          </cell>
          <cell r="F513">
            <v>42.689575</v>
          </cell>
          <cell r="G513">
            <v>8179.77945000002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10348.3501</v>
          </cell>
          <cell r="F514">
            <v>47.119325</v>
          </cell>
          <cell r="G514">
            <v>8712.00942500001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</v>
          </cell>
          <cell r="F515">
            <v>49.7566</v>
          </cell>
          <cell r="G515">
            <v>9245.10695000003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</v>
          </cell>
          <cell r="F516">
            <v>50.03525</v>
          </cell>
          <cell r="G516">
            <v>9619.03137499998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11559.17475</v>
          </cell>
          <cell r="F517">
            <v>47.9991</v>
          </cell>
          <cell r="G517">
            <v>9892.57679999998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11680.25855</v>
          </cell>
          <cell r="F518">
            <v>46.9363</v>
          </cell>
          <cell r="G518">
            <v>9962.20442500001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</v>
          </cell>
          <cell r="F519">
            <v>48.2908</v>
          </cell>
          <cell r="G519">
            <v>9899.10752500002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11385.410925</v>
          </cell>
          <cell r="F520">
            <v>48.3034</v>
          </cell>
          <cell r="G520">
            <v>9782.75022499999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</v>
          </cell>
          <cell r="F521">
            <v>46.717425</v>
          </cell>
          <cell r="G521">
            <v>9697.88675000001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11439.6672</v>
          </cell>
          <cell r="F522">
            <v>45.5483</v>
          </cell>
          <cell r="G522">
            <v>9764.16797500003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11721.0725000001</v>
          </cell>
          <cell r="F523">
            <v>46.8128</v>
          </cell>
          <cell r="G523">
            <v>10026.8205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</v>
          </cell>
          <cell r="F524">
            <v>48.247625</v>
          </cell>
          <cell r="G524">
            <v>10633.739475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</v>
          </cell>
          <cell r="F525">
            <v>49.5474</v>
          </cell>
          <cell r="G525">
            <v>10756.434925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12362.605175</v>
          </cell>
          <cell r="F526">
            <v>49.694875</v>
          </cell>
          <cell r="G526">
            <v>10602.453325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</v>
          </cell>
          <cell r="F527">
            <v>48.667125</v>
          </cell>
          <cell r="G527">
            <v>10255.730625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</v>
          </cell>
          <cell r="F529">
            <v>43.67305</v>
          </cell>
          <cell r="G529">
            <v>8842.23175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9834.48934999997</v>
          </cell>
          <cell r="F530">
            <v>41.852625</v>
          </cell>
          <cell r="G530">
            <v>8259.27592499999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</v>
          </cell>
          <cell r="F531">
            <v>41.59555</v>
          </cell>
          <cell r="G531">
            <v>7993.93902499998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9511.61105</v>
          </cell>
          <cell r="F532">
            <v>41.694875</v>
          </cell>
          <cell r="G532">
            <v>7946.28622500002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9631.67739999998</v>
          </cell>
          <cell r="F533">
            <v>41.8411</v>
          </cell>
          <cell r="G533">
            <v>8038.93835000002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</v>
          </cell>
          <cell r="F534">
            <v>42.879525</v>
          </cell>
          <cell r="G534">
            <v>8350.69287499998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</v>
          </cell>
          <cell r="F535">
            <v>47.967925</v>
          </cell>
          <cell r="G535">
            <v>9177.80195000001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</v>
          </cell>
          <cell r="F536">
            <v>50.612625</v>
          </cell>
          <cell r="G536">
            <v>10639.08605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</v>
          </cell>
          <cell r="F537">
            <v>60.07305</v>
          </cell>
          <cell r="G537">
            <v>11792.671425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13336.58885</v>
          </cell>
          <cell r="F538">
            <v>60.638475</v>
          </cell>
          <cell r="G538">
            <v>11469.11075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12984.4606</v>
          </cell>
          <cell r="F539">
            <v>64.436175</v>
          </cell>
          <cell r="G539">
            <v>11120.943275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12611.302375</v>
          </cell>
          <cell r="F540">
            <v>60.209975</v>
          </cell>
          <cell r="G540">
            <v>10762.6581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</v>
          </cell>
          <cell r="F541">
            <v>54.393725</v>
          </cell>
          <cell r="G541">
            <v>8551.613375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10515.04275</v>
          </cell>
          <cell r="F542">
            <v>40.89485</v>
          </cell>
          <cell r="G542">
            <v>8834.84480000006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8589.26859999999</v>
          </cell>
          <cell r="F543">
            <v>32.97155</v>
          </cell>
          <cell r="G543">
            <v>6958.69434999999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11068.88175</v>
          </cell>
          <cell r="F544">
            <v>51.367175</v>
          </cell>
          <cell r="G544">
            <v>9361.63732500004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</v>
          </cell>
          <cell r="F545">
            <v>50.4543</v>
          </cell>
          <cell r="G545">
            <v>9144.29717500002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10792.03985</v>
          </cell>
          <cell r="F546">
            <v>50.977175</v>
          </cell>
          <cell r="G546">
            <v>9109.50755000005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10995.95565</v>
          </cell>
          <cell r="F547">
            <v>49.8035</v>
          </cell>
          <cell r="G547">
            <v>9319.72072500003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</v>
          </cell>
          <cell r="F548">
            <v>54.403725</v>
          </cell>
          <cell r="G548">
            <v>10266.1490250001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12334.9088</v>
          </cell>
          <cell r="F549">
            <v>58.991675</v>
          </cell>
          <cell r="G549">
            <v>10589.2333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12396.8262</v>
          </cell>
          <cell r="F550">
            <v>59.971825</v>
          </cell>
          <cell r="G550">
            <v>10561.0472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</v>
          </cell>
          <cell r="F551">
            <v>59.428275</v>
          </cell>
          <cell r="G551">
            <v>10310.37755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</v>
          </cell>
          <cell r="F553">
            <v>54.6965</v>
          </cell>
          <cell r="G553">
            <v>9038.4927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</v>
          </cell>
          <cell r="F554">
            <v>49.843725</v>
          </cell>
          <cell r="G554">
            <v>8571.18670000003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</v>
          </cell>
          <cell r="F555">
            <v>45.849</v>
          </cell>
          <cell r="G555">
            <v>8439.05820000003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</v>
          </cell>
          <cell r="F556">
            <v>46.49555</v>
          </cell>
          <cell r="G556">
            <v>8474.94040000002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</v>
          </cell>
          <cell r="F557">
            <v>47.84785</v>
          </cell>
          <cell r="G557">
            <v>8595.27760000001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10650.821675</v>
          </cell>
          <cell r="F558">
            <v>50.220675</v>
          </cell>
          <cell r="G558">
            <v>8945.12605000004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11507.143875</v>
          </cell>
          <cell r="F559">
            <v>54.766525</v>
          </cell>
          <cell r="G559">
            <v>9754.48832500004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13087.4452</v>
          </cell>
          <cell r="F560">
            <v>64.316725</v>
          </cell>
          <cell r="G560">
            <v>11240.28645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14265.372275</v>
          </cell>
          <cell r="F561">
            <v>72.527125</v>
          </cell>
          <cell r="G561">
            <v>12318.59585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</v>
          </cell>
          <cell r="F562">
            <v>65.4204</v>
          </cell>
          <cell r="G562">
            <v>11744.797325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12825.383325</v>
          </cell>
          <cell r="F563">
            <v>60.638225</v>
          </cell>
          <cell r="G563">
            <v>11039.9579750001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</v>
          </cell>
          <cell r="F564">
            <v>56.171875</v>
          </cell>
          <cell r="G564">
            <v>10468.140675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</v>
          </cell>
          <cell r="F565">
            <v>51.5601</v>
          </cell>
          <cell r="G565">
            <v>9987.53807499999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11295.696975</v>
          </cell>
          <cell r="F566">
            <v>48.592325</v>
          </cell>
          <cell r="G566">
            <v>9590.12430000001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11009.814725</v>
          </cell>
          <cell r="F567">
            <v>47.213275</v>
          </cell>
          <cell r="G567">
            <v>9306.10147500002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10813.04665</v>
          </cell>
          <cell r="F568">
            <v>43.25105</v>
          </cell>
          <cell r="G568">
            <v>9126.563025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10629.544275</v>
          </cell>
          <cell r="F569">
            <v>47.046575</v>
          </cell>
          <cell r="G569">
            <v>8980.04105000003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10557.479075</v>
          </cell>
          <cell r="F570">
            <v>45.036275</v>
          </cell>
          <cell r="G570">
            <v>8924.94624999999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</v>
          </cell>
          <cell r="F571">
            <v>42.193675</v>
          </cell>
          <cell r="G571">
            <v>8965.15510000007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11411.342875</v>
          </cell>
          <cell r="F572">
            <v>48.637325</v>
          </cell>
          <cell r="G572">
            <v>9713.27797500004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11697.2524</v>
          </cell>
          <cell r="F573">
            <v>48.87255</v>
          </cell>
          <cell r="G573">
            <v>9991.28392499999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</v>
          </cell>
          <cell r="F574">
            <v>49.42095</v>
          </cell>
          <cell r="G574">
            <v>9884.34392500002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11264.894225</v>
          </cell>
          <cell r="F575">
            <v>47.577775</v>
          </cell>
          <cell r="G575">
            <v>9636.45777500006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9981.04327500003</v>
          </cell>
          <cell r="F577">
            <v>49.252875</v>
          </cell>
          <cell r="G577">
            <v>8375.83210000002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</v>
          </cell>
          <cell r="F578">
            <v>45.101275</v>
          </cell>
          <cell r="G578">
            <v>7909.62592500002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</v>
          </cell>
          <cell r="F579">
            <v>41.19865</v>
          </cell>
          <cell r="G579">
            <v>7741.43347500001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9301.99622499999</v>
          </cell>
          <cell r="F580">
            <v>43.07105</v>
          </cell>
          <cell r="G580">
            <v>7736.83397499999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</v>
          </cell>
          <cell r="F581">
            <v>44.51915</v>
          </cell>
          <cell r="G581">
            <v>7854.42327499999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</v>
          </cell>
          <cell r="F582">
            <v>46.5054</v>
          </cell>
          <cell r="G582">
            <v>8176.90532500001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10145.603425</v>
          </cell>
          <cell r="F583">
            <v>48.563475</v>
          </cell>
          <cell r="G583">
            <v>9027.31512499998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11773.7581</v>
          </cell>
          <cell r="F584">
            <v>55.193575</v>
          </cell>
          <cell r="G584">
            <v>10520.734175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</v>
          </cell>
          <cell r="F585">
            <v>64.9241</v>
          </cell>
          <cell r="G585">
            <v>11615.800725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</v>
          </cell>
          <cell r="F586">
            <v>58.4289</v>
          </cell>
          <cell r="G586">
            <v>11079.2867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</v>
          </cell>
          <cell r="F587">
            <v>54.97035</v>
          </cell>
          <cell r="G587">
            <v>10514.5777750001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11269.414325</v>
          </cell>
          <cell r="F588">
            <v>53.521875</v>
          </cell>
          <cell r="G588">
            <v>10085.53505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</v>
          </cell>
          <cell r="F589">
            <v>46.3487</v>
          </cell>
          <cell r="G589">
            <v>9698.47787499998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10520.076425</v>
          </cell>
          <cell r="F590">
            <v>45.368375</v>
          </cell>
          <cell r="G590">
            <v>9400.54980000002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10304.277225</v>
          </cell>
          <cell r="F591">
            <v>44.8476</v>
          </cell>
          <cell r="G591">
            <v>9192.64787500002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10139.265925</v>
          </cell>
          <cell r="F592">
            <v>37.998075</v>
          </cell>
          <cell r="G592">
            <v>9055.50715000003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9975.831275</v>
          </cell>
          <cell r="F593">
            <v>41.113775</v>
          </cell>
          <cell r="G593">
            <v>8905.45437500005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</v>
          </cell>
          <cell r="F594">
            <v>40.94475</v>
          </cell>
          <cell r="G594">
            <v>8879.03170000001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10045.799125</v>
          </cell>
          <cell r="F595">
            <v>37.0817</v>
          </cell>
          <cell r="G595">
            <v>8979.8367750001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</v>
          </cell>
          <cell r="F596">
            <v>41.85265</v>
          </cell>
          <cell r="G596">
            <v>9738.42080000001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</v>
          </cell>
          <cell r="F597">
            <v>42.304575</v>
          </cell>
          <cell r="G597">
            <v>9958.58660000001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10997.55835</v>
          </cell>
          <cell r="F598">
            <v>40.606675</v>
          </cell>
          <cell r="G598">
            <v>9871.345025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</v>
          </cell>
          <cell r="F599">
            <v>37.602825</v>
          </cell>
          <cell r="G599">
            <v>9582.32935000003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</v>
          </cell>
          <cell r="F601">
            <v>29.303275</v>
          </cell>
          <cell r="G601">
            <v>8157.22260000005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</v>
          </cell>
          <cell r="F602">
            <v>33.808875</v>
          </cell>
          <cell r="G602">
            <v>7612.23452500001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</v>
          </cell>
          <cell r="F603">
            <v>30.646375</v>
          </cell>
          <cell r="G603">
            <v>7363.84987500004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8220.55662500003</v>
          </cell>
          <cell r="F604">
            <v>31.153625</v>
          </cell>
          <cell r="G604">
            <v>7300.69212500005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8281.584475</v>
          </cell>
          <cell r="F605">
            <v>34.028375</v>
          </cell>
          <cell r="G605">
            <v>7347.77337500002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</v>
          </cell>
          <cell r="F606">
            <v>33.6815</v>
          </cell>
          <cell r="G606">
            <v>7580.80185000001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9246.874175</v>
          </cell>
          <cell r="F607">
            <v>36.201075</v>
          </cell>
          <cell r="G607">
            <v>8262.84600000005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10717.561125</v>
          </cell>
          <cell r="F608">
            <v>40.429725</v>
          </cell>
          <cell r="G608">
            <v>9592.48115000002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</v>
          </cell>
          <cell r="F609">
            <v>46.03085</v>
          </cell>
          <cell r="G609">
            <v>10619.08895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11518.45215</v>
          </cell>
          <cell r="F610">
            <v>44.054</v>
          </cell>
          <cell r="G610">
            <v>10345.20525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11359.210625</v>
          </cell>
          <cell r="F611">
            <v>39.399725</v>
          </cell>
          <cell r="G611">
            <v>10194.91955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11286.7839</v>
          </cell>
          <cell r="F612">
            <v>41.01055</v>
          </cell>
          <cell r="G612">
            <v>10140.8932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11204.6144</v>
          </cell>
          <cell r="F613">
            <v>40.06</v>
          </cell>
          <cell r="G613">
            <v>10031.799475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11107.93825</v>
          </cell>
          <cell r="F614">
            <v>38.7673</v>
          </cell>
          <cell r="G614">
            <v>9936.81827500004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11012.609975</v>
          </cell>
          <cell r="F615">
            <v>39.465325</v>
          </cell>
          <cell r="G615">
            <v>9888.74285000003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10806.32405</v>
          </cell>
          <cell r="F616">
            <v>34.404225</v>
          </cell>
          <cell r="G616">
            <v>9711.29472499996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</v>
          </cell>
          <cell r="F617">
            <v>35.131375</v>
          </cell>
          <cell r="G617">
            <v>9454.38547500002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10597.68085</v>
          </cell>
          <cell r="F618">
            <v>36.1575</v>
          </cell>
          <cell r="G618">
            <v>9493.39904999999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10933.5322</v>
          </cell>
          <cell r="F619">
            <v>38.606825</v>
          </cell>
          <cell r="G619">
            <v>9829.84282500002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</v>
          </cell>
          <cell r="F620">
            <v>39.7699</v>
          </cell>
          <cell r="G620">
            <v>10598.398975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11982.580175</v>
          </cell>
          <cell r="F621">
            <v>43.896825</v>
          </cell>
          <cell r="G621">
            <v>10820.3058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11856.32625</v>
          </cell>
          <cell r="F622">
            <v>43.77695</v>
          </cell>
          <cell r="G622">
            <v>10700.393975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11442.716225</v>
          </cell>
          <cell r="F623">
            <v>42.641575</v>
          </cell>
          <cell r="G623">
            <v>10383.204275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</v>
          </cell>
          <cell r="F625">
            <v>37.846125</v>
          </cell>
          <cell r="G625">
            <v>8954.724125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9503.24652499997</v>
          </cell>
          <cell r="F626">
            <v>36.5081</v>
          </cell>
          <cell r="G626">
            <v>8474.15427500005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</v>
          </cell>
          <cell r="F627">
            <v>34.015375</v>
          </cell>
          <cell r="G627">
            <v>8220.43690000001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</v>
          </cell>
          <cell r="F628">
            <v>34.412275</v>
          </cell>
          <cell r="G628">
            <v>8130.84707500004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</v>
          </cell>
          <cell r="F629">
            <v>34.339375</v>
          </cell>
          <cell r="G629">
            <v>8135.85522500001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</v>
          </cell>
          <cell r="F630">
            <v>35.176325</v>
          </cell>
          <cell r="G630">
            <v>8330.89420000004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</v>
          </cell>
          <cell r="F631">
            <v>38.422175</v>
          </cell>
          <cell r="G631">
            <v>8963.22142500003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11423.801975</v>
          </cell>
          <cell r="F632">
            <v>44.820475</v>
          </cell>
          <cell r="G632">
            <v>10235.778825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12402.66225</v>
          </cell>
          <cell r="F633">
            <v>47.230925</v>
          </cell>
          <cell r="G633">
            <v>11126.4051000001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12118.2641</v>
          </cell>
          <cell r="F634">
            <v>45.60565</v>
          </cell>
          <cell r="G634">
            <v>10861.046125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</v>
          </cell>
          <cell r="F635">
            <v>45.28315</v>
          </cell>
          <cell r="G635">
            <v>10725.615675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</v>
          </cell>
          <cell r="F636">
            <v>44.298275</v>
          </cell>
          <cell r="G636">
            <v>10668.7384250001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11698.953725</v>
          </cell>
          <cell r="F637">
            <v>41.460975</v>
          </cell>
          <cell r="G637">
            <v>10498.170525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11421.805775</v>
          </cell>
          <cell r="F638">
            <v>35.46345</v>
          </cell>
          <cell r="G638">
            <v>10251.2388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11227.8072</v>
          </cell>
          <cell r="F639">
            <v>33.35165</v>
          </cell>
          <cell r="G639">
            <v>10070.17665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10952.138925</v>
          </cell>
          <cell r="F640">
            <v>31.947475</v>
          </cell>
          <cell r="G640">
            <v>9810.76852500007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</v>
          </cell>
          <cell r="F641">
            <v>29.82395</v>
          </cell>
          <cell r="G641">
            <v>9542.6301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</v>
          </cell>
          <cell r="F642">
            <v>30.412525</v>
          </cell>
          <cell r="G642">
            <v>9524.76400000002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</v>
          </cell>
          <cell r="F643">
            <v>32.6627</v>
          </cell>
          <cell r="G643">
            <v>9685.861325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</v>
          </cell>
          <cell r="F644">
            <v>34.28825</v>
          </cell>
          <cell r="G644">
            <v>10176.8965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11112.10725</v>
          </cell>
          <cell r="F645">
            <v>35.348475</v>
          </cell>
          <cell r="G645">
            <v>10029.94295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10800.0476</v>
          </cell>
          <cell r="F646">
            <v>33.3817</v>
          </cell>
          <cell r="G646">
            <v>9731.707125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10352.0554</v>
          </cell>
          <cell r="F647">
            <v>32.007475</v>
          </cell>
          <cell r="G647">
            <v>9353.36724999998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</v>
          </cell>
          <cell r="F649">
            <v>26.66995</v>
          </cell>
          <cell r="G649">
            <v>8170.689425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</v>
          </cell>
          <cell r="F650">
            <v>26.4307</v>
          </cell>
          <cell r="G650">
            <v>7565.52370000002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8527.15927500002</v>
          </cell>
          <cell r="F651">
            <v>27.3613</v>
          </cell>
          <cell r="G651">
            <v>7153.67587500001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</v>
          </cell>
          <cell r="F652">
            <v>1.153975</v>
          </cell>
          <cell r="G652">
            <v>3279.61144999999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8027.12627500002</v>
          </cell>
          <cell r="F653">
            <v>28.202275</v>
          </cell>
          <cell r="G653">
            <v>6734.18994999999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</v>
          </cell>
          <cell r="F654">
            <v>29.27355</v>
          </cell>
          <cell r="G654">
            <v>6720.80327500004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</v>
          </cell>
          <cell r="F655">
            <v>29.902625</v>
          </cell>
          <cell r="G655">
            <v>6871.17335000002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</v>
          </cell>
          <cell r="F656">
            <v>29.964</v>
          </cell>
          <cell r="G656">
            <v>7266.73230000002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</v>
          </cell>
          <cell r="F657">
            <v>30.251025</v>
          </cell>
          <cell r="G657">
            <v>7797.96489999998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9728.90557499997</v>
          </cell>
          <cell r="F658">
            <v>31.130725</v>
          </cell>
          <cell r="G658">
            <v>8335.904475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10396.560625</v>
          </cell>
          <cell r="F659">
            <v>32.411</v>
          </cell>
          <cell r="G659">
            <v>8840.20730000002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10751.66455</v>
          </cell>
          <cell r="F660">
            <v>32.86985</v>
          </cell>
          <cell r="G660">
            <v>9213.803675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10747.25285</v>
          </cell>
          <cell r="F661">
            <v>32.0776</v>
          </cell>
          <cell r="G661">
            <v>9231.63450000006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</v>
          </cell>
          <cell r="F662">
            <v>31.1219</v>
          </cell>
          <cell r="G662">
            <v>9075.90990000002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10306.34735</v>
          </cell>
          <cell r="F663">
            <v>30.6739</v>
          </cell>
          <cell r="G663">
            <v>8828.00737500002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9997.26687499999</v>
          </cell>
          <cell r="F664">
            <v>29.770475</v>
          </cell>
          <cell r="G664">
            <v>8505.59510000004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9762.71262500001</v>
          </cell>
          <cell r="F665">
            <v>30.8296</v>
          </cell>
          <cell r="G665">
            <v>8271.89830000003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</v>
          </cell>
          <cell r="F666">
            <v>31.33695</v>
          </cell>
          <cell r="G666">
            <v>8135.95145000005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</v>
          </cell>
          <cell r="F667">
            <v>31.77195</v>
          </cell>
          <cell r="G667">
            <v>8176.16047500001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</v>
          </cell>
          <cell r="F668">
            <v>35.26925</v>
          </cell>
          <cell r="G668">
            <v>8689.16979999997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10557.67345</v>
          </cell>
          <cell r="F669">
            <v>38.774125</v>
          </cell>
          <cell r="G669">
            <v>8907.80800000002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10406.441125</v>
          </cell>
          <cell r="F670">
            <v>38.41265</v>
          </cell>
          <cell r="G670">
            <v>8786.88705000004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10114.007925</v>
          </cell>
          <cell r="F671">
            <v>37.9794</v>
          </cell>
          <cell r="G671">
            <v>8587.39262500002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</v>
          </cell>
          <cell r="F673">
            <v>36.259725</v>
          </cell>
          <cell r="G673">
            <v>7876.07022500003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</v>
          </cell>
          <cell r="F674">
            <v>26.95275</v>
          </cell>
          <cell r="G674">
            <v>6166.90285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8701.38687500001</v>
          </cell>
          <cell r="F675">
            <v>34.07495</v>
          </cell>
          <cell r="G675">
            <v>7276.99287500001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</v>
          </cell>
          <cell r="F676">
            <v>33.341075</v>
          </cell>
          <cell r="G676">
            <v>7206.51625000003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8637.73919999999</v>
          </cell>
          <cell r="F677">
            <v>33.651725</v>
          </cell>
          <cell r="G677">
            <v>7242.34887500002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8771.55577500003</v>
          </cell>
          <cell r="F678">
            <v>34.878225</v>
          </cell>
          <cell r="G678">
            <v>7388.18362500002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9172.27229999998</v>
          </cell>
          <cell r="F679">
            <v>36.35635</v>
          </cell>
          <cell r="G679">
            <v>7691.82107499999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9580.59677500001</v>
          </cell>
          <cell r="F680">
            <v>37.525975</v>
          </cell>
          <cell r="G680">
            <v>8175.87147499999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</v>
          </cell>
          <cell r="F681">
            <v>39.91325</v>
          </cell>
          <cell r="G681">
            <v>8747.65037499999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</v>
          </cell>
          <cell r="F682">
            <v>42.080625</v>
          </cell>
          <cell r="G682">
            <v>9057.63177500005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10589.903025</v>
          </cell>
          <cell r="F683">
            <v>43.116925</v>
          </cell>
          <cell r="G683">
            <v>8971.284675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10354.365475</v>
          </cell>
          <cell r="F684">
            <v>40.2104</v>
          </cell>
          <cell r="G684">
            <v>8687.75995000005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9880.81450000001</v>
          </cell>
          <cell r="F685">
            <v>35.817825</v>
          </cell>
          <cell r="G685">
            <v>8357.66897500002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</v>
          </cell>
          <cell r="F686">
            <v>34.524175</v>
          </cell>
          <cell r="G686">
            <v>8154.14325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</v>
          </cell>
          <cell r="F687">
            <v>34.7993</v>
          </cell>
          <cell r="G687">
            <v>7972.45190000004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</v>
          </cell>
          <cell r="F688">
            <v>35.5073</v>
          </cell>
          <cell r="G688">
            <v>7819.60397500006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9218.09419999999</v>
          </cell>
          <cell r="F689">
            <v>36.396325</v>
          </cell>
          <cell r="G689">
            <v>7710.45710000003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</v>
          </cell>
          <cell r="F690">
            <v>37.579</v>
          </cell>
          <cell r="G690">
            <v>7679.550325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9341.31587500001</v>
          </cell>
          <cell r="F691">
            <v>38.359025</v>
          </cell>
          <cell r="G691">
            <v>7819.63687500001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</v>
          </cell>
          <cell r="F692">
            <v>39.345125</v>
          </cell>
          <cell r="G692">
            <v>8572.48447500004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</v>
          </cell>
          <cell r="F693">
            <v>42.00605</v>
          </cell>
          <cell r="G693">
            <v>8973.41700000003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10307.6984</v>
          </cell>
          <cell r="F694">
            <v>41.92125</v>
          </cell>
          <cell r="G694">
            <v>8903.9935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9976.08360000003</v>
          </cell>
          <cell r="F695">
            <v>39.5563</v>
          </cell>
          <cell r="G695">
            <v>8625.71444999999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8775.40780000002</v>
          </cell>
          <cell r="F697">
            <v>34.209125</v>
          </cell>
          <cell r="G697">
            <v>7483.49065000005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</v>
          </cell>
          <cell r="F698">
            <v>32.029325</v>
          </cell>
          <cell r="G698">
            <v>6942.4543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7982.97082499999</v>
          </cell>
          <cell r="F699">
            <v>30.685</v>
          </cell>
          <cell r="G699">
            <v>6712.23300000004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7873.79235000003</v>
          </cell>
          <cell r="F700">
            <v>31.027775</v>
          </cell>
          <cell r="G700">
            <v>6653.41190000003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7907.61939999999</v>
          </cell>
          <cell r="F701">
            <v>32.5866</v>
          </cell>
          <cell r="G701">
            <v>6733.08677499997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36.11415</v>
          </cell>
          <cell r="G702">
            <v>6999.155775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9277.19092499999</v>
          </cell>
          <cell r="F703">
            <v>41.180125</v>
          </cell>
          <cell r="G703">
            <v>7778.50562499997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</v>
          </cell>
          <cell r="G704">
            <v>9278.50030000003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12311.44965</v>
          </cell>
          <cell r="F705">
            <v>53.322675</v>
          </cell>
          <cell r="G705">
            <v>10495.28565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11983.419175</v>
          </cell>
          <cell r="F706">
            <v>50.703375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11664.8888</v>
          </cell>
          <cell r="F707">
            <v>48.754775</v>
          </cell>
          <cell r="G707">
            <v>9888.44284999998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11449.86795</v>
          </cell>
          <cell r="F708">
            <v>46.018325</v>
          </cell>
          <cell r="G708">
            <v>9709.96162499999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11244.1318</v>
          </cell>
          <cell r="F709">
            <v>46.7766</v>
          </cell>
          <cell r="G709">
            <v>9511.05482500002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</v>
          </cell>
          <cell r="F710">
            <v>44.624725</v>
          </cell>
          <cell r="G710">
            <v>9308.41202499998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</v>
          </cell>
          <cell r="F711">
            <v>43.65745</v>
          </cell>
          <cell r="G711">
            <v>9208.79105000005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10701.3263</v>
          </cell>
          <cell r="F712">
            <v>39.422775</v>
          </cell>
          <cell r="G712">
            <v>9043.88990000001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</v>
          </cell>
          <cell r="F713">
            <v>42.946625</v>
          </cell>
          <cell r="G713">
            <v>8881.24470000002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</v>
          </cell>
          <cell r="F714">
            <v>40.938675</v>
          </cell>
          <cell r="G714">
            <v>8852.66377500002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</v>
          </cell>
          <cell r="F715">
            <v>41.621225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</v>
          </cell>
          <cell r="F716">
            <v>46.44775</v>
          </cell>
          <cell r="G716">
            <v>9632.28537500004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</v>
          </cell>
          <cell r="F717">
            <v>51.18825</v>
          </cell>
          <cell r="G717">
            <v>10048.2186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</v>
          </cell>
          <cell r="F718">
            <v>50.537375</v>
          </cell>
          <cell r="G718">
            <v>9965.57480000002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11277.162325</v>
          </cell>
          <cell r="F719">
            <v>47.36685</v>
          </cell>
          <cell r="G719">
            <v>9707.95280000002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9928.67764999999</v>
          </cell>
          <cell r="F721">
            <v>43.241825</v>
          </cell>
          <cell r="G721">
            <v>8486.37407500001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9432.98577499998</v>
          </cell>
          <cell r="F722">
            <v>36.04825</v>
          </cell>
          <cell r="G722">
            <v>8035.89050000001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9334.57652500002</v>
          </cell>
          <cell r="F723">
            <v>31.817</v>
          </cell>
          <cell r="G723">
            <v>7893.29885000003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</v>
          </cell>
          <cell r="F724">
            <v>31.93035</v>
          </cell>
          <cell r="G724">
            <v>7899.51157500002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</v>
          </cell>
          <cell r="F725">
            <v>32.211575</v>
          </cell>
          <cell r="G725">
            <v>7990.05897499999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9811.93249999999</v>
          </cell>
          <cell r="F726">
            <v>33.304375</v>
          </cell>
          <cell r="G726">
            <v>8276.80995000001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</v>
          </cell>
          <cell r="F727">
            <v>37.236175</v>
          </cell>
          <cell r="G727">
            <v>9047.292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12211.790725</v>
          </cell>
          <cell r="F728">
            <v>43.654525</v>
          </cell>
          <cell r="G728">
            <v>10497.01205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</v>
          </cell>
          <cell r="F729">
            <v>48.0225</v>
          </cell>
          <cell r="G729">
            <v>11539.5680500001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12882.00805</v>
          </cell>
          <cell r="F730">
            <v>50.164225</v>
          </cell>
          <cell r="G730">
            <v>10989.84125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9986.038225</v>
          </cell>
          <cell r="F731">
            <v>41.008975</v>
          </cell>
          <cell r="G731">
            <v>8509.96277500003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9503.38845</v>
          </cell>
          <cell r="F732">
            <v>28.174925</v>
          </cell>
          <cell r="G732">
            <v>8010.83727500002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7441.84314999999</v>
          </cell>
          <cell r="F733">
            <v>17.0694</v>
          </cell>
          <cell r="G733">
            <v>6217.49955000003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4489.20502500001</v>
          </cell>
          <cell r="F734">
            <v>14.507075</v>
          </cell>
          <cell r="G734">
            <v>3740.905125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10900.9317</v>
          </cell>
          <cell r="F735">
            <v>34.9532</v>
          </cell>
          <cell r="G735">
            <v>9224.31370000003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</v>
          </cell>
          <cell r="F736">
            <v>23.166425</v>
          </cell>
          <cell r="G736">
            <v>6814.15722500004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</v>
          </cell>
          <cell r="F737">
            <v>29.590375</v>
          </cell>
          <cell r="G737">
            <v>7105.33284999999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10477.585725</v>
          </cell>
          <cell r="F738">
            <v>33.9577</v>
          </cell>
          <cell r="G738">
            <v>8866.59974999999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10511.83635</v>
          </cell>
          <cell r="F739">
            <v>39.573575</v>
          </cell>
          <cell r="G739">
            <v>8956.63397500001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11270.1622</v>
          </cell>
          <cell r="F740">
            <v>40.844225</v>
          </cell>
          <cell r="G740">
            <v>9662.53422500006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</v>
          </cell>
          <cell r="F741">
            <v>42.3567</v>
          </cell>
          <cell r="G741">
            <v>9939.61994999999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</v>
          </cell>
          <cell r="F742">
            <v>42.7719</v>
          </cell>
          <cell r="G742">
            <v>9828.51435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11102.118275</v>
          </cell>
          <cell r="F743">
            <v>38.750825</v>
          </cell>
          <cell r="G743">
            <v>9471.31920000001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9345.17284999999</v>
          </cell>
          <cell r="F745">
            <v>35.830475</v>
          </cell>
          <cell r="G745">
            <v>7995.08885000001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36"/>
  <sheetViews>
    <sheetView tabSelected="1" view="pageBreakPreview" zoomScale="85" zoomScaleNormal="100" zoomScaleSheetLayoutView="85" workbookViewId="0" topLeftCell="A1">
      <pane xSplit="3" topLeftCell="D1" activePane="topRight" state="frozen"/>
      <selection pane="topLeft" activeCell="A1" sqref="A1"/>
      <selection pane="topRight" activeCell="A1" sqref="A1"/>
    </sheetView>
  </sheetViews>
  <sheetFormatPr defaultColWidth="9.11428571428571" defaultRowHeight="13.5"/>
  <cols>
    <col min="1" max="1" width="8.14285714285714" style="29" customWidth="1"/>
    <col min="2" max="2" width="16.8571428571429" style="29" customWidth="1"/>
    <col min="3" max="3" width="4.42857142857143" style="29" bestFit="1" customWidth="1"/>
    <col min="4" max="4" width="9.85714285714286" style="29" bestFit="1" customWidth="1"/>
    <col min="5" max="13" width="9.14285714285714" style="29"/>
    <col min="14" max="14" width="9.71428571428571" style="29" bestFit="1" customWidth="1"/>
    <col min="15" max="15" width="9.14285714285714" style="29"/>
    <col min="16" max="16" width="9.57142857142857" style="29" bestFit="1" customWidth="1"/>
    <col min="17" max="16384" width="9.14285714285714" style="29"/>
  </cols>
  <sheetData>
    <row r="1" spans="1:16" ht="15.6">
      <c r="A1" s="26"/>
      <c r="B1" s="68" t="s">
        <v>10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5.6">
      <c r="A2" s="26"/>
      <c r="B2" s="68" t="s">
        <v>35</v>
      </c>
      <c r="C2" s="68"/>
      <c r="D2" s="68"/>
      <c r="E2" s="68"/>
      <c r="F2" s="68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ht="15.6">
      <c r="A3" s="26"/>
      <c r="B3" s="68" t="s">
        <v>39</v>
      </c>
      <c r="C3" s="68"/>
      <c r="D3" s="68"/>
      <c r="E3" s="68"/>
      <c r="F3" s="68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ht="15.6">
      <c r="A4" s="26"/>
      <c r="B4" s="70" t="s">
        <v>46</v>
      </c>
      <c r="C4" s="70"/>
      <c r="D4" s="70"/>
      <c r="E4" s="70"/>
      <c r="F4" s="70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5.6">
      <c r="A5" s="26"/>
      <c r="B5" s="68"/>
      <c r="C5" s="68"/>
      <c r="D5" s="68"/>
      <c r="E5" s="68"/>
      <c r="F5" s="68"/>
      <c r="G5" s="30"/>
      <c r="H5" s="30"/>
      <c r="I5" s="31"/>
      <c r="J5" s="31"/>
      <c r="K5" s="31"/>
      <c r="L5" s="31"/>
      <c r="M5" s="31"/>
      <c r="N5" s="31"/>
      <c r="O5" s="31"/>
      <c r="P5" s="31"/>
    </row>
    <row r="6" spans="1:16" ht="15.6">
      <c r="A6" s="26"/>
      <c r="B6" s="68" t="s">
        <v>38</v>
      </c>
      <c r="C6" s="68"/>
      <c r="D6" s="68"/>
      <c r="E6" s="68"/>
      <c r="F6" s="68"/>
      <c r="G6" s="69"/>
      <c r="H6" s="69"/>
      <c r="I6" s="69"/>
      <c r="J6" s="69"/>
      <c r="K6" s="69"/>
      <c r="L6" s="69"/>
      <c r="M6" s="69"/>
      <c r="N6" s="69"/>
      <c r="O6" s="69"/>
      <c r="P6" s="69"/>
    </row>
    <row r="7" spans="1:16" ht="15.6">
      <c r="A7" s="26"/>
      <c r="B7" s="27"/>
      <c r="C7" s="27"/>
      <c r="D7" s="27"/>
      <c r="E7" s="27"/>
      <c r="F7" s="27"/>
      <c r="G7" s="28"/>
      <c r="H7" s="28"/>
      <c r="I7" s="31"/>
      <c r="J7" s="31"/>
      <c r="K7" s="31"/>
      <c r="L7" s="31"/>
      <c r="M7" s="31"/>
      <c r="N7" s="31"/>
      <c r="O7" s="31"/>
      <c r="P7" s="31"/>
    </row>
    <row r="8" spans="1:16" ht="15.6">
      <c r="A8" s="26"/>
      <c r="B8" s="72" t="s">
        <v>47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13.2">
      <c r="A9" s="26" t="s">
        <v>12</v>
      </c>
      <c r="B9" s="26" t="s">
        <v>13</v>
      </c>
      <c r="C9" s="26"/>
      <c r="D9" s="32" t="s">
        <v>14</v>
      </c>
      <c r="E9" s="32" t="s">
        <v>15</v>
      </c>
      <c r="F9" s="32" t="s">
        <v>16</v>
      </c>
      <c r="G9" s="32" t="s">
        <v>17</v>
      </c>
      <c r="H9" s="32" t="s">
        <v>18</v>
      </c>
      <c r="I9" s="32" t="s">
        <v>19</v>
      </c>
      <c r="J9" s="32" t="s">
        <v>20</v>
      </c>
      <c r="K9" s="32" t="s">
        <v>21</v>
      </c>
      <c r="L9" s="32" t="s">
        <v>22</v>
      </c>
      <c r="M9" s="32" t="s">
        <v>23</v>
      </c>
      <c r="N9" s="32" t="s">
        <v>24</v>
      </c>
      <c r="O9" s="32" t="s">
        <v>25</v>
      </c>
      <c r="P9" s="32" t="s">
        <v>26</v>
      </c>
    </row>
    <row r="10" spans="1:16" s="39" customFormat="1" ht="13.2">
      <c r="A10" s="33" t="s">
        <v>27</v>
      </c>
      <c r="B10" s="34" t="s">
        <v>28</v>
      </c>
      <c r="C10" s="35"/>
      <c r="D10" s="36">
        <v>36892</v>
      </c>
      <c r="E10" s="37">
        <v>36923</v>
      </c>
      <c r="F10" s="37">
        <v>36951</v>
      </c>
      <c r="G10" s="37">
        <v>36982</v>
      </c>
      <c r="H10" s="37">
        <v>37012</v>
      </c>
      <c r="I10" s="37">
        <v>37043</v>
      </c>
      <c r="J10" s="37">
        <v>37073</v>
      </c>
      <c r="K10" s="37">
        <v>37104</v>
      </c>
      <c r="L10" s="37">
        <v>37135</v>
      </c>
      <c r="M10" s="37">
        <v>37165</v>
      </c>
      <c r="N10" s="37">
        <v>37196</v>
      </c>
      <c r="O10" s="37">
        <v>37226</v>
      </c>
      <c r="P10" s="38" t="s">
        <v>0</v>
      </c>
    </row>
    <row r="11" spans="1:16" ht="13.2">
      <c r="A11" s="40">
        <v>1</v>
      </c>
      <c r="B11" s="30" t="s">
        <v>29</v>
      </c>
      <c r="C11" s="41"/>
      <c r="D11" s="42">
        <f>+'PRMDIST Monthly Weather Weights'!C11</f>
        <v>0.32822599913566691</v>
      </c>
      <c r="E11" s="42">
        <f>+'PRMDIST Monthly Weather Weights'!D11</f>
        <v>0.32266190590771304</v>
      </c>
      <c r="F11" s="42">
        <f>+'PRMDIST Monthly Weather Weights'!E11</f>
        <v>0.32732931590860948</v>
      </c>
      <c r="G11" s="42">
        <f>+'PRMDIST Monthly Weather Weights'!F11</f>
        <v>0.31714973835352933</v>
      </c>
      <c r="H11" s="42">
        <f>+'PRMDIST Monthly Weather Weights'!G11</f>
        <v>0.32321904665996809</v>
      </c>
      <c r="I11" s="42">
        <f>+'PRMDIST Monthly Weather Weights'!H11</f>
        <v>0.34508130450061075</v>
      </c>
      <c r="J11" s="42">
        <f>+'PRMDIST Monthly Weather Weights'!I11</f>
        <v>0.33935885652950909</v>
      </c>
      <c r="K11" s="42">
        <f>+'PRMDIST Monthly Weather Weights'!J11</f>
        <v>0.34128748089644345</v>
      </c>
      <c r="L11" s="42">
        <f>+'PRMDIST Monthly Weather Weights'!K11</f>
        <v>0.34188685361826632</v>
      </c>
      <c r="M11" s="42">
        <f>+'PRMDIST Monthly Weather Weights'!L11</f>
        <v>0.328168627768397</v>
      </c>
      <c r="N11" s="42">
        <f>+'PRMDIST Monthly Weather Weights'!M11</f>
        <v>0.31925253368940132</v>
      </c>
      <c r="O11" s="42">
        <f>+'PRMDIST Monthly Weather Weights'!N11</f>
        <v>0.30491200617854275</v>
      </c>
      <c r="P11" s="42">
        <f>+'PRMDIST Monthly Weather Weights'!O11</f>
        <v>0.32848883891632341</v>
      </c>
    </row>
    <row r="12" spans="1:16" ht="13.2">
      <c r="A12" s="40">
        <f>+A11+1</f>
        <v>2</v>
      </c>
      <c r="B12" s="30" t="s">
        <v>30</v>
      </c>
      <c r="C12" s="41"/>
      <c r="D12" s="42">
        <f>+'PRMDIST Monthly Weather Weights'!C12</f>
        <v>0.48668398694092052</v>
      </c>
      <c r="E12" s="42">
        <f>+'PRMDIST Monthly Weather Weights'!D12</f>
        <v>0.50187123819814805</v>
      </c>
      <c r="F12" s="42">
        <f>+'PRMDIST Monthly Weather Weights'!E12</f>
        <v>0.4897257297738028</v>
      </c>
      <c r="G12" s="42">
        <f>+'PRMDIST Monthly Weather Weights'!F12</f>
        <v>0.50500124814167491</v>
      </c>
      <c r="H12" s="42">
        <f>+'PRMDIST Monthly Weather Weights'!G12</f>
        <v>0.5004658719663273</v>
      </c>
      <c r="I12" s="42">
        <f>+'PRMDIST Monthly Weather Weights'!H12</f>
        <v>0.46801140282037607</v>
      </c>
      <c r="J12" s="42">
        <f>+'PRMDIST Monthly Weather Weights'!I12</f>
        <v>0.47795834457135172</v>
      </c>
      <c r="K12" s="42">
        <f>+'PRMDIST Monthly Weather Weights'!J12</f>
        <v>0.47488034275822993</v>
      </c>
      <c r="L12" s="42">
        <f>+'PRMDIST Monthly Weather Weights'!K12</f>
        <v>0.481111709917873</v>
      </c>
      <c r="M12" s="42">
        <f>+'PRMDIST Monthly Weather Weights'!L12</f>
        <v>0.49350640075198726</v>
      </c>
      <c r="N12" s="42">
        <f>+'PRMDIST Monthly Weather Weights'!M12</f>
        <v>0.50951955670988613</v>
      </c>
      <c r="O12" s="42">
        <f>+'PRMDIST Monthly Weather Weights'!N12</f>
        <v>0.53120302468771252</v>
      </c>
      <c r="P12" s="42">
        <f>+'PRMDIST Monthly Weather Weights'!O12</f>
        <v>0.49306163100347522</v>
      </c>
    </row>
    <row r="13" spans="1:16" ht="13.2">
      <c r="A13" s="40">
        <f t="shared" si="0" ref="A13:A36">+A12+1</f>
        <v>3</v>
      </c>
      <c r="B13" s="30" t="s">
        <v>5</v>
      </c>
      <c r="C13" s="41"/>
      <c r="D13" s="42">
        <f>+'PRMDIST Monthly Weather Weights'!C13</f>
        <v>0.027254215755935216</v>
      </c>
      <c r="E13" s="42">
        <f>+'PRMDIST Monthly Weather Weights'!D13</f>
        <v>0.024839491327863974</v>
      </c>
      <c r="F13" s="42">
        <f>+'PRMDIST Monthly Weather Weights'!E13</f>
        <v>0.027407058324162802</v>
      </c>
      <c r="G13" s="42">
        <f>+'PRMDIST Monthly Weather Weights'!F13</f>
        <v>0.026148178875640599</v>
      </c>
      <c r="H13" s="42">
        <f>+'PRMDIST Monthly Weather Weights'!G13</f>
        <v>0.025656084125319899</v>
      </c>
      <c r="I13" s="42">
        <f>+'PRMDIST Monthly Weather Weights'!H13</f>
        <v>0.025877507231530785</v>
      </c>
      <c r="J13" s="42">
        <f>+'PRMDIST Monthly Weather Weights'!I13</f>
        <v>0.025826648398119465</v>
      </c>
      <c r="K13" s="42">
        <f>+'PRMDIST Monthly Weather Weights'!J13</f>
        <v>0.025426618450901772</v>
      </c>
      <c r="L13" s="42">
        <f>+'PRMDIST Monthly Weather Weights'!K13</f>
        <v>0.025392800594945031</v>
      </c>
      <c r="M13" s="42">
        <f>+'PRMDIST Monthly Weather Weights'!L13</f>
        <v>0.025088026482304005</v>
      </c>
      <c r="N13" s="42">
        <f>+'PRMDIST Monthly Weather Weights'!M13</f>
        <v>0.024836428475180874</v>
      </c>
      <c r="O13" s="42">
        <f>+'PRMDIST Monthly Weather Weights'!N13</f>
        <v>0.025005406618506473</v>
      </c>
      <c r="P13" s="42">
        <f>+'PRMDIST Monthly Weather Weights'!O13</f>
        <v>0.025709103199534507</v>
      </c>
    </row>
    <row r="14" spans="1:16" ht="13.2">
      <c r="A14" s="40">
        <f t="shared" si="0"/>
        <v>4</v>
      </c>
      <c r="B14" s="30" t="s">
        <v>9</v>
      </c>
      <c r="C14" s="41"/>
      <c r="D14" s="42">
        <f>+'PRMDIST Monthly Weather Weights'!C14</f>
        <v>0.061071093160643602</v>
      </c>
      <c r="E14" s="42">
        <f>+'PRMDIST Monthly Weather Weights'!D14</f>
        <v>0.054992026902018883</v>
      </c>
      <c r="F14" s="42">
        <f>+'PRMDIST Monthly Weather Weights'!E14</f>
        <v>0.060247627841319595</v>
      </c>
      <c r="G14" s="42">
        <f>+'PRMDIST Monthly Weather Weights'!F14</f>
        <v>0.056754360828563555</v>
      </c>
      <c r="H14" s="42">
        <f>+'PRMDIST Monthly Weather Weights'!G14</f>
        <v>0.052662538494696209</v>
      </c>
      <c r="I14" s="42">
        <f>+'PRMDIST Monthly Weather Weights'!H14</f>
        <v>0.05773936046100657</v>
      </c>
      <c r="J14" s="42">
        <f>+'PRMDIST Monthly Weather Weights'!I14</f>
        <v>0.053860931925305167</v>
      </c>
      <c r="K14" s="42">
        <f>+'PRMDIST Monthly Weather Weights'!J14</f>
        <v>0.052131199049524818</v>
      </c>
      <c r="L14" s="42">
        <f>+'PRMDIST Monthly Weather Weights'!K14</f>
        <v>0.048130946323267719</v>
      </c>
      <c r="M14" s="42">
        <f>+'PRMDIST Monthly Weather Weights'!L14</f>
        <v>0.051887221234078781</v>
      </c>
      <c r="N14" s="42">
        <f>+'PRMDIST Monthly Weather Weights'!M14</f>
        <v>0.051245592743945516</v>
      </c>
      <c r="O14" s="42">
        <f>+'PRMDIST Monthly Weather Weights'!N14</f>
        <v>0.047307610601520937</v>
      </c>
      <c r="P14" s="42">
        <f>+'PRMDIST Monthly Weather Weights'!O14</f>
        <v>0.05385681356492409</v>
      </c>
    </row>
    <row r="15" spans="1:16" ht="13.2">
      <c r="A15" s="40">
        <f t="shared" si="0"/>
        <v>5</v>
      </c>
      <c r="B15" s="30" t="s">
        <v>42</v>
      </c>
      <c r="C15" s="41"/>
      <c r="D15" s="42">
        <f>+'PRMDIST Monthly Weather Weights'!C15</f>
        <v>0.019398925207718552</v>
      </c>
      <c r="E15" s="42">
        <f>+'PRMDIST Monthly Weather Weights'!D15</f>
        <v>0.019138918272275991</v>
      </c>
      <c r="F15" s="42">
        <f>+'PRMDIST Monthly Weather Weights'!E15</f>
        <v>0.019108258256161258</v>
      </c>
      <c r="G15" s="42">
        <f>+'PRMDIST Monthly Weather Weights'!F15</f>
        <v>0.018649097689252245</v>
      </c>
      <c r="H15" s="42">
        <f>+'PRMDIST Monthly Weather Weights'!G15</f>
        <v>0.019545509838654791</v>
      </c>
      <c r="I15" s="42">
        <f>+'PRMDIST Monthly Weather Weights'!H15</f>
        <v>0.020949492627570569</v>
      </c>
      <c r="J15" s="42">
        <f>+'PRMDIST Monthly Weather Weights'!I15</f>
        <v>0.020971535772581602</v>
      </c>
      <c r="K15" s="42">
        <f>+'PRMDIST Monthly Weather Weights'!J15</f>
        <v>0.022732710114274798</v>
      </c>
      <c r="L15" s="42">
        <f>+'PRMDIST Monthly Weather Weights'!K15</f>
        <v>0.022435110862450647</v>
      </c>
      <c r="M15" s="42">
        <f>+'PRMDIST Monthly Weather Weights'!L15</f>
        <v>0.021129843321779414</v>
      </c>
      <c r="N15" s="42">
        <f>+'PRMDIST Monthly Weather Weights'!M15</f>
        <v>0.019458580154309051</v>
      </c>
      <c r="O15" s="42">
        <f>+'PRMDIST Monthly Weather Weights'!N15</f>
        <v>0.018521082883891878</v>
      </c>
      <c r="P15" s="42">
        <f>+'PRMDIST Monthly Weather Weights'!O15</f>
        <v>0.020227917202549631</v>
      </c>
    </row>
    <row r="16" spans="1:16" ht="13.2">
      <c r="A16" s="40">
        <f t="shared" si="0"/>
        <v>6</v>
      </c>
      <c r="B16" s="30" t="s">
        <v>31</v>
      </c>
      <c r="C16" s="41"/>
      <c r="D16" s="42">
        <f>+'PRMDIST Monthly Weather Weights'!C16</f>
        <v>0.012577132262369289</v>
      </c>
      <c r="E16" s="42">
        <f>+'PRMDIST Monthly Weather Weights'!D16</f>
        <v>0.012373841847444706</v>
      </c>
      <c r="F16" s="42">
        <f>+'PRMDIST Monthly Weather Weights'!E16</f>
        <v>0.012683624528171515</v>
      </c>
      <c r="G16" s="42">
        <f>+'PRMDIST Monthly Weather Weights'!F16</f>
        <v>0.012975132117503325</v>
      </c>
      <c r="H16" s="42">
        <f>+'PRMDIST Monthly Weather Weights'!G16</f>
        <v>0.01300334812215757</v>
      </c>
      <c r="I16" s="42">
        <f>+'PRMDIST Monthly Weather Weights'!H16</f>
        <v>0.014023058237661619</v>
      </c>
      <c r="J16" s="42">
        <f>+'PRMDIST Monthly Weather Weights'!I16</f>
        <v>0.014092221147348998</v>
      </c>
      <c r="K16" s="42">
        <f>+'PRMDIST Monthly Weather Weights'!J16</f>
        <v>0.0146533017758982</v>
      </c>
      <c r="L16" s="42">
        <f>+'PRMDIST Monthly Weather Weights'!K16</f>
        <v>0.014312172427639608</v>
      </c>
      <c r="M16" s="42">
        <f>+'PRMDIST Monthly Weather Weights'!L16</f>
        <v>0.014037376133317738</v>
      </c>
      <c r="N16" s="42">
        <f>+'PRMDIST Monthly Weather Weights'!M16</f>
        <v>0.012689373055094697</v>
      </c>
      <c r="O16" s="42">
        <f>+'PRMDIST Monthly Weather Weights'!N16</f>
        <v>0.012379360015238062</v>
      </c>
      <c r="P16" s="42">
        <f>+'PRMDIST Monthly Weather Weights'!O16</f>
        <v>0.01335029864586214</v>
      </c>
    </row>
    <row r="17" spans="1:16" ht="13.2">
      <c r="A17" s="40">
        <f t="shared" si="0"/>
        <v>7</v>
      </c>
      <c r="B17" s="30" t="s">
        <v>3</v>
      </c>
      <c r="C17" s="41"/>
      <c r="D17" s="42">
        <f>+'PRMDIST Monthly Weather Weights'!C17</f>
        <v>0.028808675233493283</v>
      </c>
      <c r="E17" s="42">
        <f>+'PRMDIST Monthly Weather Weights'!D17</f>
        <v>0.029460354483901864</v>
      </c>
      <c r="F17" s="42">
        <f>+'PRMDIST Monthly Weather Weights'!E17</f>
        <v>0.029088940854984896</v>
      </c>
      <c r="G17" s="42">
        <f>+'PRMDIST Monthly Weather Weights'!F17</f>
        <v>0.030734965594257063</v>
      </c>
      <c r="H17" s="42">
        <f>+'PRMDIST Monthly Weather Weights'!G17</f>
        <v>0.031197155478645138</v>
      </c>
      <c r="I17" s="42">
        <f>+'PRMDIST Monthly Weather Weights'!H17</f>
        <v>0.033201741163771184</v>
      </c>
      <c r="J17" s="42">
        <f>+'PRMDIST Monthly Weather Weights'!I17</f>
        <v>0.03298426229720236</v>
      </c>
      <c r="K17" s="42">
        <f>+'PRMDIST Monthly Weather Weights'!J17</f>
        <v>0.033798244506175433</v>
      </c>
      <c r="L17" s="42">
        <f>+'PRMDIST Monthly Weather Weights'!K17</f>
        <v>0.032958049998236448</v>
      </c>
      <c r="M17" s="42">
        <f>+'PRMDIST Monthly Weather Weights'!L17</f>
        <v>0.033087129853916673</v>
      </c>
      <c r="N17" s="42">
        <f>+'PRMDIST Monthly Weather Weights'!M17</f>
        <v>0.03122970941771162</v>
      </c>
      <c r="O17" s="42">
        <f>+'PRMDIST Monthly Weather Weights'!N17</f>
        <v>0.028978781237505854</v>
      </c>
      <c r="P17" s="42">
        <f>+'PRMDIST Monthly Weather Weights'!O17</f>
        <v>0.031367602532541859</v>
      </c>
    </row>
    <row r="18" spans="1:16" ht="13.2">
      <c r="A18" s="40">
        <f t="shared" si="0"/>
        <v>8</v>
      </c>
      <c r="B18" s="30" t="s">
        <v>32</v>
      </c>
      <c r="C18" s="41"/>
      <c r="D18" s="42">
        <f>+'PRMDIST Monthly Weather Weights'!C18</f>
        <v>0.012713329151910783</v>
      </c>
      <c r="E18" s="42">
        <f>+'PRMDIST Monthly Weather Weights'!D18</f>
        <v>0.01143672068694261</v>
      </c>
      <c r="F18" s="42">
        <f>+'PRMDIST Monthly Weather Weights'!E18</f>
        <v>0.011571005960120048</v>
      </c>
      <c r="G18" s="42">
        <f>+'PRMDIST Monthly Weather Weights'!F18</f>
        <v>0.011574209509814705</v>
      </c>
      <c r="H18" s="42">
        <f>+'PRMDIST Monthly Weather Weights'!G18</f>
        <v>0.011072983635227279</v>
      </c>
      <c r="I18" s="42">
        <f>+'PRMDIST Monthly Weather Weights'!H18</f>
        <v>0.010975501910500098</v>
      </c>
      <c r="J18" s="42">
        <f>+'PRMDIST Monthly Weather Weights'!I18</f>
        <v>0.011263685890335011</v>
      </c>
      <c r="K18" s="42">
        <f>+'PRMDIST Monthly Weather Weights'!J18</f>
        <v>0.011365939265414824</v>
      </c>
      <c r="L18" s="42">
        <f>+'PRMDIST Monthly Weather Weights'!K18</f>
        <v>0.011726545284592915</v>
      </c>
      <c r="M18" s="42">
        <f>+'PRMDIST Monthly Weather Weights'!L18</f>
        <v>0.011043118124449388</v>
      </c>
      <c r="N18" s="42">
        <f>+'PRMDIST Monthly Weather Weights'!M18</f>
        <v>0.010974440650912647</v>
      </c>
      <c r="O18" s="42">
        <f>+'PRMDIST Monthly Weather Weights'!N18</f>
        <v>0.011016310036299389</v>
      </c>
      <c r="P18" s="42">
        <f>+'PRMDIST Monthly Weather Weights'!O18</f>
        <v>0.011387238765439966</v>
      </c>
    </row>
    <row r="19" spans="1:16" ht="13.2">
      <c r="A19" s="40">
        <f t="shared" si="0"/>
        <v>9</v>
      </c>
      <c r="B19" s="30" t="s">
        <v>8</v>
      </c>
      <c r="C19" s="41"/>
      <c r="D19" s="42">
        <f>+'PRMDIST Monthly Weather Weights'!C19</f>
        <v>0.015893351683794389</v>
      </c>
      <c r="E19" s="42">
        <f>+'PRMDIST Monthly Weather Weights'!D19</f>
        <v>0.016296941939799463</v>
      </c>
      <c r="F19" s="42">
        <f>+'PRMDIST Monthly Weather Weights'!E19</f>
        <v>0.016137419451299533</v>
      </c>
      <c r="G19" s="42">
        <f>+'PRMDIST Monthly Weather Weights'!F19</f>
        <v>0.014301341022675858</v>
      </c>
      <c r="H19" s="42">
        <f>+'PRMDIST Monthly Weather Weights'!G19</f>
        <v>0.016392524359345517</v>
      </c>
      <c r="I19" s="42">
        <f>+'PRMDIST Monthly Weather Weights'!H19</f>
        <v>0.017297405693904103</v>
      </c>
      <c r="J19" s="42">
        <f>+'PRMDIST Monthly Weather Weights'!I19</f>
        <v>0.01746203451046047</v>
      </c>
      <c r="K19" s="42">
        <f>+'PRMDIST Monthly Weather Weights'!J19</f>
        <v>0.017903039311048998</v>
      </c>
      <c r="L19" s="42">
        <f>+'PRMDIST Monthly Weather Weights'!K19</f>
        <v>0.017944621275958549</v>
      </c>
      <c r="M19" s="42">
        <f>+'PRMDIST Monthly Weather Weights'!L19</f>
        <v>0.017044734377639113</v>
      </c>
      <c r="N19" s="42">
        <f>+'PRMDIST Monthly Weather Weights'!M19</f>
        <v>0.015574596366955662</v>
      </c>
      <c r="O19" s="42">
        <f>+'PRMDIST Monthly Weather Weights'!N19</f>
        <v>0.015391064675306487</v>
      </c>
      <c r="P19" s="42">
        <f>+'PRMDIST Monthly Weather Weights'!O19</f>
        <v>0.016506773741626329</v>
      </c>
    </row>
    <row r="20" spans="1:16" ht="13.2">
      <c r="A20" s="40">
        <f t="shared" si="0"/>
        <v>10</v>
      </c>
      <c r="B20" s="30" t="s">
        <v>6</v>
      </c>
      <c r="C20" s="41"/>
      <c r="D20" s="43">
        <f>+'PRMDIST Monthly Weather Weights'!C20</f>
        <v>0.0073732914675474779</v>
      </c>
      <c r="E20" s="43">
        <f>+'PRMDIST Monthly Weather Weights'!D20</f>
        <v>0.0069285604338913979</v>
      </c>
      <c r="F20" s="43">
        <f>+'PRMDIST Monthly Weather Weights'!E20</f>
        <v>0.0067010191013679868</v>
      </c>
      <c r="G20" s="43">
        <f>+'PRMDIST Monthly Weather Weights'!F20</f>
        <v>0.0067117278670884312</v>
      </c>
      <c r="H20" s="43">
        <f>+'PRMDIST Monthly Weather Weights'!G20</f>
        <v>0.0067849373196582023</v>
      </c>
      <c r="I20" s="43">
        <f>+'PRMDIST Monthly Weather Weights'!H20</f>
        <v>0.0068432253530684205</v>
      </c>
      <c r="J20" s="43">
        <f>+'PRMDIST Monthly Weather Weights'!I20</f>
        <v>0.0062214789577861012</v>
      </c>
      <c r="K20" s="43">
        <f>+'PRMDIST Monthly Weather Weights'!J20</f>
        <v>0.0058211238720877641</v>
      </c>
      <c r="L20" s="43">
        <f>+'PRMDIST Monthly Weather Weights'!K20</f>
        <v>0.0041011896967696627</v>
      </c>
      <c r="M20" s="43">
        <f>+'PRMDIST Monthly Weather Weights'!L20</f>
        <v>0.005007521952130738</v>
      </c>
      <c r="N20" s="43">
        <f>+'PRMDIST Monthly Weather Weights'!M20</f>
        <v>0.0052191887366024731</v>
      </c>
      <c r="O20" s="43">
        <f>+'PRMDIST Monthly Weather Weights'!N20</f>
        <v>0.0052853530654755048</v>
      </c>
      <c r="P20" s="43">
        <f>+'PRMDIST Monthly Weather Weights'!O20</f>
        <v>0.0060437824277231583</v>
      </c>
    </row>
    <row r="21" spans="1:16" ht="13.2">
      <c r="A21" s="40">
        <f t="shared" si="0"/>
        <v>11</v>
      </c>
      <c r="C21" s="41"/>
      <c r="D21" s="44">
        <f t="shared" si="1" ref="D21:P21">SUM(D11:D20)</f>
        <v>1</v>
      </c>
      <c r="E21" s="44">
        <f t="shared" si="1"/>
        <v>1</v>
      </c>
      <c r="F21" s="44">
        <f t="shared" si="1"/>
        <v>1</v>
      </c>
      <c r="G21" s="44">
        <f t="shared" si="1"/>
        <v>1</v>
      </c>
      <c r="H21" s="44">
        <f t="shared" si="1"/>
        <v>0.99999999999999978</v>
      </c>
      <c r="I21" s="44">
        <f t="shared" si="1"/>
        <v>1.0000000000000002</v>
      </c>
      <c r="J21" s="44">
        <f t="shared" si="1"/>
        <v>0.99999999999999989</v>
      </c>
      <c r="K21" s="44">
        <f t="shared" si="1"/>
        <v>1</v>
      </c>
      <c r="L21" s="44">
        <f t="shared" si="1"/>
        <v>0.99999999999999989</v>
      </c>
      <c r="M21" s="44">
        <f t="shared" si="1"/>
        <v>1</v>
      </c>
      <c r="N21" s="44">
        <f t="shared" si="1"/>
        <v>0.99999999999999989</v>
      </c>
      <c r="O21" s="44">
        <f t="shared" si="1"/>
        <v>0.99999999999999989</v>
      </c>
      <c r="P21" s="44">
        <f t="shared" si="1"/>
        <v>1.0000000000000004</v>
      </c>
    </row>
    <row r="22" spans="1:1" ht="13.2">
      <c r="A22" s="40">
        <f t="shared" si="0"/>
        <v>12</v>
      </c>
    </row>
    <row r="23" spans="1:10" ht="15.6">
      <c r="A23" s="40">
        <f t="shared" si="0"/>
        <v>13</v>
      </c>
      <c r="D23" s="65" t="s">
        <v>40</v>
      </c>
      <c r="E23" s="66"/>
      <c r="F23" s="67"/>
      <c r="G23" s="27"/>
      <c r="H23" s="27"/>
      <c r="I23" s="28"/>
      <c r="J23" s="28"/>
    </row>
    <row r="24" spans="1:6" ht="13.2">
      <c r="A24" s="40">
        <f t="shared" si="0"/>
        <v>14</v>
      </c>
      <c r="D24" s="29" t="s">
        <v>36</v>
      </c>
      <c r="F24" s="29" t="s">
        <v>37</v>
      </c>
    </row>
    <row r="25" spans="1:6" ht="13.2">
      <c r="A25" s="40">
        <f t="shared" si="0"/>
        <v>15</v>
      </c>
      <c r="B25" s="34" t="s">
        <v>28</v>
      </c>
      <c r="D25" s="48" t="s">
        <v>43</v>
      </c>
      <c r="E25" s="48"/>
      <c r="F25" s="48" t="s">
        <v>44</v>
      </c>
    </row>
    <row r="26" spans="1:12" ht="13.8">
      <c r="A26" s="40">
        <f t="shared" si="0"/>
        <v>16</v>
      </c>
      <c r="B26" s="29" t="s">
        <v>29</v>
      </c>
      <c r="D26" s="45">
        <f>ROUND(AVERAGE(D11:F11,N11:O11),3)</f>
        <v>0.32000000000000001</v>
      </c>
      <c r="F26" s="45">
        <f>ROUND(AVERAGE(H11:L11),3)</f>
        <v>0.33800000000000002</v>
      </c>
      <c r="H26" s="46"/>
      <c r="I26" s="46"/>
      <c r="K26" s="47"/>
      <c r="L26" s="47"/>
    </row>
    <row r="27" spans="1:12" ht="13.2">
      <c r="A27" s="40">
        <f t="shared" si="0"/>
        <v>17</v>
      </c>
      <c r="B27" s="29" t="s">
        <v>30</v>
      </c>
      <c r="D27" s="45">
        <f t="shared" si="2" ref="D27:D35">ROUND(AVERAGE(D12:F12,N12:O12),3)</f>
        <v>0.504</v>
      </c>
      <c r="F27" s="45">
        <f t="shared" si="3" ref="F27:F35">ROUND(AVERAGE(H12:L12),3)</f>
        <v>0.47999999999999998</v>
      </c>
      <c r="H27" s="45"/>
      <c r="I27" s="45"/>
      <c r="K27" s="47"/>
      <c r="L27" s="47"/>
    </row>
    <row r="28" spans="1:12" ht="13.2">
      <c r="A28" s="40">
        <f t="shared" si="0"/>
        <v>18</v>
      </c>
      <c r="B28" s="29" t="s">
        <v>5</v>
      </c>
      <c r="D28" s="45">
        <f t="shared" si="2"/>
        <v>0.025999999999999999</v>
      </c>
      <c r="F28" s="45">
        <f t="shared" si="3"/>
        <v>0.025999999999999999</v>
      </c>
      <c r="H28" s="45"/>
      <c r="I28" s="45"/>
      <c r="K28" s="47"/>
      <c r="L28" s="47"/>
    </row>
    <row r="29" spans="1:12" ht="13.2">
      <c r="A29" s="40">
        <f t="shared" si="0"/>
        <v>19</v>
      </c>
      <c r="B29" s="29" t="s">
        <v>9</v>
      </c>
      <c r="D29" s="45">
        <f t="shared" si="2"/>
        <v>0.055</v>
      </c>
      <c r="F29" s="45">
        <f t="shared" si="3"/>
        <v>0.052999999999999998</v>
      </c>
      <c r="H29" s="45"/>
      <c r="I29" s="45"/>
      <c r="K29" s="47"/>
      <c r="L29" s="47"/>
    </row>
    <row r="30" spans="1:12" ht="13.2">
      <c r="A30" s="40">
        <f t="shared" si="0"/>
        <v>20</v>
      </c>
      <c r="B30" s="29" t="s">
        <v>42</v>
      </c>
      <c r="D30" s="45">
        <f t="shared" si="2"/>
        <v>0.019</v>
      </c>
      <c r="F30" s="45">
        <f t="shared" si="3"/>
        <v>0.021000000000000001</v>
      </c>
      <c r="H30" s="45"/>
      <c r="I30" s="45"/>
      <c r="K30" s="47"/>
      <c r="L30" s="47"/>
    </row>
    <row r="31" spans="1:12" ht="13.2">
      <c r="A31" s="40">
        <f t="shared" si="0"/>
        <v>21</v>
      </c>
      <c r="B31" s="29" t="s">
        <v>31</v>
      </c>
      <c r="D31" s="45">
        <f t="shared" si="2"/>
        <v>0.012999999999999999</v>
      </c>
      <c r="F31" s="45">
        <f t="shared" si="3"/>
        <v>0.014</v>
      </c>
      <c r="H31" s="45"/>
      <c r="I31" s="45"/>
      <c r="K31" s="47"/>
      <c r="L31" s="47"/>
    </row>
    <row r="32" spans="1:12" ht="13.2">
      <c r="A32" s="40">
        <f t="shared" si="0"/>
        <v>22</v>
      </c>
      <c r="B32" s="29" t="s">
        <v>3</v>
      </c>
      <c r="D32" s="45">
        <f t="shared" si="2"/>
        <v>0.029999999999999999</v>
      </c>
      <c r="F32" s="45">
        <f t="shared" si="3"/>
        <v>0.033000000000000002</v>
      </c>
      <c r="H32" s="45"/>
      <c r="I32" s="45"/>
      <c r="K32" s="47"/>
      <c r="L32" s="47"/>
    </row>
    <row r="33" spans="1:12" ht="13.2">
      <c r="A33" s="40">
        <f t="shared" si="0"/>
        <v>23</v>
      </c>
      <c r="B33" s="29" t="s">
        <v>32</v>
      </c>
      <c r="D33" s="45">
        <f t="shared" si="2"/>
        <v>0.012</v>
      </c>
      <c r="F33" s="45">
        <f t="shared" si="3"/>
        <v>0.010999999999999999</v>
      </c>
      <c r="H33" s="45"/>
      <c r="I33" s="45"/>
      <c r="K33" s="47"/>
      <c r="L33" s="47"/>
    </row>
    <row r="34" spans="1:12" ht="13.2">
      <c r="A34" s="40">
        <f t="shared" si="0"/>
        <v>24</v>
      </c>
      <c r="B34" s="29" t="s">
        <v>8</v>
      </c>
      <c r="D34" s="45">
        <f t="shared" si="2"/>
        <v>0.016</v>
      </c>
      <c r="F34" s="45">
        <f t="shared" si="3"/>
        <v>0.017000000000000001</v>
      </c>
      <c r="H34" s="45"/>
      <c r="I34" s="45"/>
      <c r="K34" s="47"/>
      <c r="L34" s="47"/>
    </row>
    <row r="35" spans="1:12" ht="13.2">
      <c r="A35" s="40">
        <f t="shared" si="0"/>
        <v>25</v>
      </c>
      <c r="B35" s="29" t="s">
        <v>6</v>
      </c>
      <c r="D35" s="45">
        <f t="shared" si="2"/>
        <v>0.0060000000000000001</v>
      </c>
      <c r="E35" s="48"/>
      <c r="F35" s="45">
        <f t="shared" si="3"/>
        <v>0.0060000000000000001</v>
      </c>
      <c r="H35" s="45"/>
      <c r="I35" s="45"/>
      <c r="K35" s="47"/>
      <c r="L35" s="47"/>
    </row>
    <row r="36" spans="1:12" ht="13.2">
      <c r="A36" s="40">
        <f t="shared" si="0"/>
        <v>26</v>
      </c>
      <c r="D36" s="62">
        <f t="shared" si="4" ref="D36">AVERAGE(D21:F21,N21:O21)</f>
        <v>1</v>
      </c>
      <c r="F36" s="62">
        <f t="shared" si="5" ref="F36">AVERAGE(H21:L21)</f>
        <v>1</v>
      </c>
      <c r="H36" s="45"/>
      <c r="I36" s="45"/>
      <c r="K36" s="47"/>
      <c r="L36" s="47"/>
    </row>
  </sheetData>
  <mergeCells count="8">
    <mergeCell ref="D23:F23"/>
    <mergeCell ref="B1:P1"/>
    <mergeCell ref="B2:P2"/>
    <mergeCell ref="B3:P3"/>
    <mergeCell ref="B4:P4"/>
    <mergeCell ref="B5:F5"/>
    <mergeCell ref="B6:P6"/>
    <mergeCell ref="B8:P8"/>
  </mergeCells>
  <printOptions horizontalCentered="1"/>
  <pageMargins left="0.5" right="0.5" top="0.7" bottom="1" header="0.5" footer="0.43"/>
  <pageSetup orientation="landscape" scale="85" r:id="rId2"/>
  <headerFooter alignWithMargins="0">
    <oddHeader>&amp;RWP/II-H-5.2/4
Page &amp;P of &amp;N</oddHeader>
    <oddFooter>&amp;R]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21"/>
  <sheetViews>
    <sheetView zoomScaleSheetLayoutView="100" workbookViewId="0" topLeftCell="A1"/>
  </sheetViews>
  <sheetFormatPr defaultColWidth="9.11428571428571" defaultRowHeight="14.25"/>
  <cols>
    <col min="1" max="1" width="8.14285714285714" style="1" customWidth="1"/>
    <col min="2" max="2" width="16.8571428571429" style="1" customWidth="1"/>
    <col min="3" max="3" width="7.14285714285714" style="1" customWidth="1"/>
    <col min="4" max="4" width="9.85714285714286" style="1" bestFit="1" customWidth="1"/>
    <col min="5" max="13" width="9.14285714285714" style="1"/>
    <col min="14" max="14" width="9.71428571428571" style="1" bestFit="1" customWidth="1"/>
    <col min="15" max="16384" width="9.14285714285714" style="1"/>
  </cols>
  <sheetData>
    <row r="1" spans="1:15" ht="15.6">
      <c r="A1" s="14"/>
      <c r="B1" s="70" t="s">
        <v>10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15.6">
      <c r="A2" s="14"/>
      <c r="B2" s="70" t="s">
        <v>11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</row>
    <row r="3" spans="1:15" ht="15.6">
      <c r="A3" s="14"/>
      <c r="B3" s="70" t="s">
        <v>39</v>
      </c>
      <c r="C3" s="70"/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</row>
    <row r="4" spans="1:15" ht="15.6">
      <c r="A4" s="14"/>
      <c r="B4" s="70" t="str">
        <f>+'PRMDIST Seasonal Weights'!B4:P4</f>
        <v>FOR THE TEST YEAR ENDING DECEMBER 31, 2021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</row>
    <row r="5" spans="1:15" ht="15.6">
      <c r="A5" s="14"/>
      <c r="B5" s="70"/>
      <c r="C5" s="70"/>
      <c r="D5" s="70"/>
      <c r="E5" s="70"/>
      <c r="F5" s="70"/>
      <c r="G5" s="17"/>
      <c r="H5" s="17"/>
      <c r="I5" s="18"/>
      <c r="J5" s="18"/>
      <c r="K5" s="18"/>
      <c r="L5" s="18"/>
      <c r="M5" s="18"/>
      <c r="N5" s="18"/>
      <c r="O5" s="18"/>
    </row>
    <row r="6" spans="1:15" ht="15.6">
      <c r="A6" s="14"/>
      <c r="B6" s="70" t="s">
        <v>38</v>
      </c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</row>
    <row r="7" spans="1:15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</row>
    <row r="8" spans="1:16" ht="15.6">
      <c r="A8" s="14"/>
      <c r="B8" s="72" t="s">
        <v>47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5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</row>
    <row r="10" spans="1:15" ht="15.75" customHeight="1">
      <c r="A10" s="20" t="s">
        <v>27</v>
      </c>
      <c r="B10" s="21" t="s">
        <v>28</v>
      </c>
      <c r="C10" s="22">
        <v>36892</v>
      </c>
      <c r="D10" s="23">
        <v>36923</v>
      </c>
      <c r="E10" s="23">
        <v>36951</v>
      </c>
      <c r="F10" s="23">
        <v>36982</v>
      </c>
      <c r="G10" s="23">
        <v>37012</v>
      </c>
      <c r="H10" s="23">
        <v>37043</v>
      </c>
      <c r="I10" s="23">
        <v>37073</v>
      </c>
      <c r="J10" s="23">
        <v>37104</v>
      </c>
      <c r="K10" s="23">
        <v>37135</v>
      </c>
      <c r="L10" s="23">
        <v>37165</v>
      </c>
      <c r="M10" s="23">
        <v>37196</v>
      </c>
      <c r="N10" s="23">
        <v>37226</v>
      </c>
      <c r="O10" s="24" t="s">
        <v>0</v>
      </c>
    </row>
    <row r="11" spans="1:15" ht="14.4">
      <c r="A11" s="25">
        <v>1</v>
      </c>
      <c r="B11" s="17" t="s">
        <v>29</v>
      </c>
      <c r="C11" s="5">
        <f>+'PRMDIST Weights by Year (18-20)'!D14</f>
        <v>0.32822599913566691</v>
      </c>
      <c r="D11" s="5">
        <f>+'PRMDIST Weights by Year (18-20)'!E14</f>
        <v>0.32266190590771304</v>
      </c>
      <c r="E11" s="5">
        <f>+'PRMDIST Weights by Year (18-20)'!F14</f>
        <v>0.32732931590860948</v>
      </c>
      <c r="F11" s="5">
        <f>+'PRMDIST Weights by Year (18-20)'!G14</f>
        <v>0.31714973835352933</v>
      </c>
      <c r="G11" s="5">
        <f>+'PRMDIST Weights by Year (18-20)'!H14</f>
        <v>0.32321904665996809</v>
      </c>
      <c r="H11" s="5">
        <f>+'PRMDIST Weights by Year (18-20)'!I14</f>
        <v>0.34508130450061075</v>
      </c>
      <c r="I11" s="5">
        <f>+'PRMDIST Weights by Year (18-20)'!J14</f>
        <v>0.33935885652950909</v>
      </c>
      <c r="J11" s="5">
        <f>+'PRMDIST Weights by Year (18-20)'!K14</f>
        <v>0.34128748089644345</v>
      </c>
      <c r="K11" s="5">
        <f>+'PRMDIST Weights by Year (18-20)'!L14</f>
        <v>0.34188685361826632</v>
      </c>
      <c r="L11" s="5">
        <f>+'PRMDIST Weights by Year (18-20)'!M14</f>
        <v>0.328168627768397</v>
      </c>
      <c r="M11" s="5">
        <f>+'PRMDIST Weights by Year (18-20)'!N14</f>
        <v>0.31925253368940132</v>
      </c>
      <c r="N11" s="5">
        <f>+'PRMDIST Weights by Year (18-20)'!O14</f>
        <v>0.30491200617854275</v>
      </c>
      <c r="O11" s="5">
        <f>+'PRMDIST Weights by Year (18-20)'!P14</f>
        <v>0.32848883891632341</v>
      </c>
    </row>
    <row r="12" spans="1:15" ht="14.4">
      <c r="A12" s="25">
        <f>+A11+1</f>
        <v>2</v>
      </c>
      <c r="B12" s="17" t="s">
        <v>30</v>
      </c>
      <c r="C12" s="5">
        <f>+'PRMDIST Weights by Year (18-20)'!D54</f>
        <v>0.48668398694092052</v>
      </c>
      <c r="D12" s="5">
        <f>+'PRMDIST Weights by Year (18-20)'!E54</f>
        <v>0.50187123819814805</v>
      </c>
      <c r="E12" s="5">
        <f>+'PRMDIST Weights by Year (18-20)'!F54</f>
        <v>0.4897257297738028</v>
      </c>
      <c r="F12" s="5">
        <f>+'PRMDIST Weights by Year (18-20)'!G54</f>
        <v>0.50500124814167491</v>
      </c>
      <c r="G12" s="5">
        <f>+'PRMDIST Weights by Year (18-20)'!H54</f>
        <v>0.5004658719663273</v>
      </c>
      <c r="H12" s="5">
        <f>+'PRMDIST Weights by Year (18-20)'!I54</f>
        <v>0.46801140282037607</v>
      </c>
      <c r="I12" s="5">
        <f>+'PRMDIST Weights by Year (18-20)'!J54</f>
        <v>0.47795834457135172</v>
      </c>
      <c r="J12" s="5">
        <f>+'PRMDIST Weights by Year (18-20)'!K54</f>
        <v>0.47488034275822993</v>
      </c>
      <c r="K12" s="5">
        <f>+'PRMDIST Weights by Year (18-20)'!L54</f>
        <v>0.481111709917873</v>
      </c>
      <c r="L12" s="5">
        <f>+'PRMDIST Weights by Year (18-20)'!M54</f>
        <v>0.49350640075198726</v>
      </c>
      <c r="M12" s="5">
        <f>+'PRMDIST Weights by Year (18-20)'!N54</f>
        <v>0.50951955670988613</v>
      </c>
      <c r="N12" s="5">
        <f>+'PRMDIST Weights by Year (18-20)'!O54</f>
        <v>0.53120302468771252</v>
      </c>
      <c r="O12" s="5">
        <f>+'PRMDIST Weights by Year (18-20)'!P54</f>
        <v>0.49306163100347522</v>
      </c>
    </row>
    <row r="13" spans="1:15" ht="14.4">
      <c r="A13" s="25">
        <f t="shared" si="0" ref="A13:A20">+A12+1</f>
        <v>3</v>
      </c>
      <c r="B13" s="17" t="s">
        <v>5</v>
      </c>
      <c r="C13" s="5">
        <f>+'PRMDIST Weights by Year (18-20)'!D19</f>
        <v>0.027254215755935216</v>
      </c>
      <c r="D13" s="5">
        <f>+'PRMDIST Weights by Year (18-20)'!E19</f>
        <v>0.024839491327863974</v>
      </c>
      <c r="E13" s="5">
        <f>+'PRMDIST Weights by Year (18-20)'!F19</f>
        <v>0.027407058324162802</v>
      </c>
      <c r="F13" s="5">
        <f>+'PRMDIST Weights by Year (18-20)'!G19</f>
        <v>0.026148178875640599</v>
      </c>
      <c r="G13" s="5">
        <f>+'PRMDIST Weights by Year (18-20)'!H19</f>
        <v>0.025656084125319899</v>
      </c>
      <c r="H13" s="5">
        <f>+'PRMDIST Weights by Year (18-20)'!I19</f>
        <v>0.025877507231530785</v>
      </c>
      <c r="I13" s="5">
        <f>+'PRMDIST Weights by Year (18-20)'!J19</f>
        <v>0.025826648398119465</v>
      </c>
      <c r="J13" s="5">
        <f>+'PRMDIST Weights by Year (18-20)'!K19</f>
        <v>0.025426618450901772</v>
      </c>
      <c r="K13" s="5">
        <f>+'PRMDIST Weights by Year (18-20)'!L19</f>
        <v>0.025392800594945031</v>
      </c>
      <c r="L13" s="5">
        <f>+'PRMDIST Weights by Year (18-20)'!M19</f>
        <v>0.025088026482304005</v>
      </c>
      <c r="M13" s="5">
        <f>+'PRMDIST Weights by Year (18-20)'!N19</f>
        <v>0.024836428475180874</v>
      </c>
      <c r="N13" s="5">
        <f>+'PRMDIST Weights by Year (18-20)'!O19</f>
        <v>0.025005406618506473</v>
      </c>
      <c r="O13" s="5">
        <f>+'PRMDIST Weights by Year (18-20)'!P19</f>
        <v>0.025709103199534507</v>
      </c>
    </row>
    <row r="14" spans="1:15" ht="14.4">
      <c r="A14" s="25">
        <f t="shared" si="0"/>
        <v>4</v>
      </c>
      <c r="B14" s="17" t="s">
        <v>9</v>
      </c>
      <c r="C14" s="5">
        <f>+'PRMDIST Weights by Year (18-20)'!D44</f>
        <v>0.061071093160643602</v>
      </c>
      <c r="D14" s="5">
        <f>+'PRMDIST Weights by Year (18-20)'!E44</f>
        <v>0.054992026902018883</v>
      </c>
      <c r="E14" s="5">
        <f>+'PRMDIST Weights by Year (18-20)'!F44</f>
        <v>0.060247627841319595</v>
      </c>
      <c r="F14" s="5">
        <f>+'PRMDIST Weights by Year (18-20)'!G44</f>
        <v>0.056754360828563555</v>
      </c>
      <c r="G14" s="5">
        <f>+'PRMDIST Weights by Year (18-20)'!H44</f>
        <v>0.052662538494696209</v>
      </c>
      <c r="H14" s="5">
        <f>+'PRMDIST Weights by Year (18-20)'!I44</f>
        <v>0.05773936046100657</v>
      </c>
      <c r="I14" s="5">
        <f>+'PRMDIST Weights by Year (18-20)'!J44</f>
        <v>0.053860931925305167</v>
      </c>
      <c r="J14" s="5">
        <f>+'PRMDIST Weights by Year (18-20)'!K44</f>
        <v>0.052131199049524818</v>
      </c>
      <c r="K14" s="5">
        <f>+'PRMDIST Weights by Year (18-20)'!L44</f>
        <v>0.048130946323267719</v>
      </c>
      <c r="L14" s="5">
        <f>+'PRMDIST Weights by Year (18-20)'!M44</f>
        <v>0.051887221234078781</v>
      </c>
      <c r="M14" s="5">
        <f>+'PRMDIST Weights by Year (18-20)'!N44</f>
        <v>0.051245592743945516</v>
      </c>
      <c r="N14" s="5">
        <f>+'PRMDIST Weights by Year (18-20)'!O44</f>
        <v>0.047307610601520937</v>
      </c>
      <c r="O14" s="5">
        <f>+'PRMDIST Weights by Year (18-20)'!P44</f>
        <v>0.05385681356492409</v>
      </c>
    </row>
    <row r="15" spans="1:15" ht="14.4">
      <c r="A15" s="25">
        <f t="shared" si="0"/>
        <v>5</v>
      </c>
      <c r="B15" s="17" t="s">
        <v>42</v>
      </c>
      <c r="C15" s="5">
        <f>+'PRMDIST Weights by Year (18-20)'!D59</f>
        <v>0.019398925207718552</v>
      </c>
      <c r="D15" s="5">
        <f>+'PRMDIST Weights by Year (18-20)'!E59</f>
        <v>0.019138918272275991</v>
      </c>
      <c r="E15" s="5">
        <f>+'PRMDIST Weights by Year (18-20)'!F59</f>
        <v>0.019108258256161258</v>
      </c>
      <c r="F15" s="5">
        <f>+'PRMDIST Weights by Year (18-20)'!G59</f>
        <v>0.018649097689252245</v>
      </c>
      <c r="G15" s="5">
        <f>+'PRMDIST Weights by Year (18-20)'!H59</f>
        <v>0.019545509838654791</v>
      </c>
      <c r="H15" s="5">
        <f>+'PRMDIST Weights by Year (18-20)'!I59</f>
        <v>0.020949492627570569</v>
      </c>
      <c r="I15" s="5">
        <f>+'PRMDIST Weights by Year (18-20)'!J59</f>
        <v>0.020971535772581602</v>
      </c>
      <c r="J15" s="5">
        <f>+'PRMDIST Weights by Year (18-20)'!K59</f>
        <v>0.022732710114274798</v>
      </c>
      <c r="K15" s="5">
        <f>+'PRMDIST Weights by Year (18-20)'!L59</f>
        <v>0.022435110862450647</v>
      </c>
      <c r="L15" s="5">
        <f>+'PRMDIST Weights by Year (18-20)'!M59</f>
        <v>0.021129843321779414</v>
      </c>
      <c r="M15" s="5">
        <f>+'PRMDIST Weights by Year (18-20)'!N59</f>
        <v>0.019458580154309051</v>
      </c>
      <c r="N15" s="5">
        <f>+'PRMDIST Weights by Year (18-20)'!O59</f>
        <v>0.018521082883891878</v>
      </c>
      <c r="O15" s="5">
        <f>+'PRMDIST Weights by Year (18-20)'!P59</f>
        <v>0.020227917202549631</v>
      </c>
    </row>
    <row r="16" spans="1:15" ht="14.4">
      <c r="A16" s="25">
        <f t="shared" si="0"/>
        <v>6</v>
      </c>
      <c r="B16" s="17" t="s">
        <v>31</v>
      </c>
      <c r="C16" s="5">
        <f>+'PRMDIST Weights by Year (18-20)'!D29</f>
        <v>0.012577132262369289</v>
      </c>
      <c r="D16" s="5">
        <f>+'PRMDIST Weights by Year (18-20)'!E29</f>
        <v>0.012373841847444706</v>
      </c>
      <c r="E16" s="5">
        <f>+'PRMDIST Weights by Year (18-20)'!F29</f>
        <v>0.012683624528171515</v>
      </c>
      <c r="F16" s="5">
        <f>+'PRMDIST Weights by Year (18-20)'!G29</f>
        <v>0.012975132117503325</v>
      </c>
      <c r="G16" s="5">
        <f>+'PRMDIST Weights by Year (18-20)'!H29</f>
        <v>0.01300334812215757</v>
      </c>
      <c r="H16" s="5">
        <f>+'PRMDIST Weights by Year (18-20)'!I29</f>
        <v>0.014023058237661619</v>
      </c>
      <c r="I16" s="5">
        <f>+'PRMDIST Weights by Year (18-20)'!J29</f>
        <v>0.014092221147348998</v>
      </c>
      <c r="J16" s="5">
        <f>+'PRMDIST Weights by Year (18-20)'!K29</f>
        <v>0.0146533017758982</v>
      </c>
      <c r="K16" s="5">
        <f>+'PRMDIST Weights by Year (18-20)'!L29</f>
        <v>0.014312172427639608</v>
      </c>
      <c r="L16" s="5">
        <f>+'PRMDIST Weights by Year (18-20)'!M29</f>
        <v>0.014037376133317738</v>
      </c>
      <c r="M16" s="5">
        <f>+'PRMDIST Weights by Year (18-20)'!N29</f>
        <v>0.012689373055094697</v>
      </c>
      <c r="N16" s="5">
        <f>+'PRMDIST Weights by Year (18-20)'!O29</f>
        <v>0.012379360015238062</v>
      </c>
      <c r="O16" s="5">
        <f>+'PRMDIST Weights by Year (18-20)'!P29</f>
        <v>0.01335029864586214</v>
      </c>
    </row>
    <row r="17" spans="1:15" ht="14.4">
      <c r="A17" s="25">
        <f t="shared" si="0"/>
        <v>7</v>
      </c>
      <c r="B17" s="17" t="s">
        <v>3</v>
      </c>
      <c r="C17" s="5">
        <f>+'PRMDIST Weights by Year (18-20)'!D39</f>
        <v>0.028808675233493283</v>
      </c>
      <c r="D17" s="5">
        <f>+'PRMDIST Weights by Year (18-20)'!E39</f>
        <v>0.029460354483901864</v>
      </c>
      <c r="E17" s="5">
        <f>+'PRMDIST Weights by Year (18-20)'!F39</f>
        <v>0.029088940854984896</v>
      </c>
      <c r="F17" s="5">
        <f>+'PRMDIST Weights by Year (18-20)'!G39</f>
        <v>0.030734965594257063</v>
      </c>
      <c r="G17" s="5">
        <f>+'PRMDIST Weights by Year (18-20)'!H39</f>
        <v>0.031197155478645138</v>
      </c>
      <c r="H17" s="5">
        <f>+'PRMDIST Weights by Year (18-20)'!I39</f>
        <v>0.033201741163771184</v>
      </c>
      <c r="I17" s="5">
        <f>+'PRMDIST Weights by Year (18-20)'!J39</f>
        <v>0.03298426229720236</v>
      </c>
      <c r="J17" s="5">
        <f>+'PRMDIST Weights by Year (18-20)'!K39</f>
        <v>0.033798244506175433</v>
      </c>
      <c r="K17" s="5">
        <f>+'PRMDIST Weights by Year (18-20)'!L39</f>
        <v>0.032958049998236448</v>
      </c>
      <c r="L17" s="5">
        <f>+'PRMDIST Weights by Year (18-20)'!M39</f>
        <v>0.033087129853916673</v>
      </c>
      <c r="M17" s="5">
        <f>+'PRMDIST Weights by Year (18-20)'!N39</f>
        <v>0.03122970941771162</v>
      </c>
      <c r="N17" s="5">
        <f>+'PRMDIST Weights by Year (18-20)'!O39</f>
        <v>0.028978781237505854</v>
      </c>
      <c r="O17" s="5">
        <f>+'PRMDIST Weights by Year (18-20)'!P39</f>
        <v>0.031367602532541859</v>
      </c>
    </row>
    <row r="18" spans="1:15" ht="14.4">
      <c r="A18" s="25">
        <f t="shared" si="0"/>
        <v>8</v>
      </c>
      <c r="B18" s="17" t="s">
        <v>32</v>
      </c>
      <c r="C18" s="5">
        <f>+'PRMDIST Weights by Year (18-20)'!D49</f>
        <v>0.012713329151910783</v>
      </c>
      <c r="D18" s="5">
        <f>+'PRMDIST Weights by Year (18-20)'!E49</f>
        <v>0.01143672068694261</v>
      </c>
      <c r="E18" s="5">
        <f>+'PRMDIST Weights by Year (18-20)'!F49</f>
        <v>0.011571005960120048</v>
      </c>
      <c r="F18" s="5">
        <f>+'PRMDIST Weights by Year (18-20)'!G49</f>
        <v>0.011574209509814705</v>
      </c>
      <c r="G18" s="5">
        <f>+'PRMDIST Weights by Year (18-20)'!H49</f>
        <v>0.011072983635227279</v>
      </c>
      <c r="H18" s="5">
        <f>+'PRMDIST Weights by Year (18-20)'!I49</f>
        <v>0.010975501910500098</v>
      </c>
      <c r="I18" s="5">
        <f>+'PRMDIST Weights by Year (18-20)'!J49</f>
        <v>0.011263685890335011</v>
      </c>
      <c r="J18" s="5">
        <f>+'PRMDIST Weights by Year (18-20)'!K49</f>
        <v>0.011365939265414824</v>
      </c>
      <c r="K18" s="5">
        <f>+'PRMDIST Weights by Year (18-20)'!L49</f>
        <v>0.011726545284592915</v>
      </c>
      <c r="L18" s="5">
        <f>+'PRMDIST Weights by Year (18-20)'!M49</f>
        <v>0.011043118124449388</v>
      </c>
      <c r="M18" s="5">
        <f>+'PRMDIST Weights by Year (18-20)'!N49</f>
        <v>0.010974440650912647</v>
      </c>
      <c r="N18" s="5">
        <f>+'PRMDIST Weights by Year (18-20)'!O49</f>
        <v>0.011016310036299389</v>
      </c>
      <c r="O18" s="5">
        <f>+'PRMDIST Weights by Year (18-20)'!P49</f>
        <v>0.011387238765439966</v>
      </c>
    </row>
    <row r="19" spans="1:15" ht="14.4">
      <c r="A19" s="25">
        <f t="shared" si="0"/>
        <v>9</v>
      </c>
      <c r="B19" s="17" t="s">
        <v>8</v>
      </c>
      <c r="C19" s="5">
        <f>+'PRMDIST Weights by Year (18-20)'!D34</f>
        <v>0.015893351683794389</v>
      </c>
      <c r="D19" s="5">
        <f>+'PRMDIST Weights by Year (18-20)'!E34</f>
        <v>0.016296941939799463</v>
      </c>
      <c r="E19" s="5">
        <f>+'PRMDIST Weights by Year (18-20)'!F34</f>
        <v>0.016137419451299533</v>
      </c>
      <c r="F19" s="5">
        <f>+'PRMDIST Weights by Year (18-20)'!G34</f>
        <v>0.014301341022675858</v>
      </c>
      <c r="G19" s="5">
        <f>+'PRMDIST Weights by Year (18-20)'!H34</f>
        <v>0.016392524359345517</v>
      </c>
      <c r="H19" s="5">
        <f>+'PRMDIST Weights by Year (18-20)'!I34</f>
        <v>0.017297405693904103</v>
      </c>
      <c r="I19" s="5">
        <f>+'PRMDIST Weights by Year (18-20)'!J34</f>
        <v>0.01746203451046047</v>
      </c>
      <c r="J19" s="5">
        <f>+'PRMDIST Weights by Year (18-20)'!K34</f>
        <v>0.017903039311048998</v>
      </c>
      <c r="K19" s="5">
        <f>+'PRMDIST Weights by Year (18-20)'!L34</f>
        <v>0.017944621275958549</v>
      </c>
      <c r="L19" s="5">
        <f>+'PRMDIST Weights by Year (18-20)'!M34</f>
        <v>0.017044734377639113</v>
      </c>
      <c r="M19" s="5">
        <f>+'PRMDIST Weights by Year (18-20)'!N34</f>
        <v>0.015574596366955662</v>
      </c>
      <c r="N19" s="5">
        <f>+'PRMDIST Weights by Year (18-20)'!O34</f>
        <v>0.015391064675306487</v>
      </c>
      <c r="O19" s="5">
        <f>+'PRMDIST Weights by Year (18-20)'!P34</f>
        <v>0.016506773741626329</v>
      </c>
    </row>
    <row r="20" spans="1:15" ht="14.4">
      <c r="A20" s="25">
        <f t="shared" si="0"/>
        <v>10</v>
      </c>
      <c r="B20" s="17" t="s">
        <v>6</v>
      </c>
      <c r="C20" s="6">
        <f>+'PRMDIST Weights by Year (18-20)'!D24</f>
        <v>0.0073732914675474779</v>
      </c>
      <c r="D20" s="6">
        <f>+'PRMDIST Weights by Year (18-20)'!E24</f>
        <v>0.0069285604338913979</v>
      </c>
      <c r="E20" s="6">
        <f>+'PRMDIST Weights by Year (18-20)'!F24</f>
        <v>0.0067010191013679868</v>
      </c>
      <c r="F20" s="6">
        <f>+'PRMDIST Weights by Year (18-20)'!G24</f>
        <v>0.0067117278670884312</v>
      </c>
      <c r="G20" s="6">
        <f>+'PRMDIST Weights by Year (18-20)'!H24</f>
        <v>0.0067849373196582023</v>
      </c>
      <c r="H20" s="6">
        <f>+'PRMDIST Weights by Year (18-20)'!I24</f>
        <v>0.0068432253530684205</v>
      </c>
      <c r="I20" s="6">
        <f>+'PRMDIST Weights by Year (18-20)'!J24</f>
        <v>0.0062214789577861012</v>
      </c>
      <c r="J20" s="6">
        <f>+'PRMDIST Weights by Year (18-20)'!K24</f>
        <v>0.0058211238720877641</v>
      </c>
      <c r="K20" s="6">
        <f>+'PRMDIST Weights by Year (18-20)'!L24</f>
        <v>0.0041011896967696627</v>
      </c>
      <c r="L20" s="6">
        <f>+'PRMDIST Weights by Year (18-20)'!M24</f>
        <v>0.005007521952130738</v>
      </c>
      <c r="M20" s="6">
        <f>+'PRMDIST Weights by Year (18-20)'!N24</f>
        <v>0.0052191887366024731</v>
      </c>
      <c r="N20" s="6">
        <f>+'PRMDIST Weights by Year (18-20)'!O24</f>
        <v>0.0052853530654755048</v>
      </c>
      <c r="O20" s="6">
        <f>+'PRMDIST Weights by Year (18-20)'!P24</f>
        <v>0.0060437824277231583</v>
      </c>
    </row>
    <row r="21" spans="2:15" ht="13.8">
      <c r="B21" s="4"/>
      <c r="C21" s="7">
        <f t="shared" si="1" ref="C21:O21">SUM(C11:C20)</f>
        <v>1</v>
      </c>
      <c r="D21" s="7">
        <f t="shared" si="1"/>
        <v>1</v>
      </c>
      <c r="E21" s="7">
        <f t="shared" si="1"/>
        <v>1</v>
      </c>
      <c r="F21" s="7">
        <f t="shared" si="1"/>
        <v>1</v>
      </c>
      <c r="G21" s="7">
        <f t="shared" si="1"/>
        <v>0.99999999999999978</v>
      </c>
      <c r="H21" s="7">
        <f t="shared" si="1"/>
        <v>1.0000000000000002</v>
      </c>
      <c r="I21" s="7">
        <f t="shared" si="1"/>
        <v>0.99999999999999989</v>
      </c>
      <c r="J21" s="7">
        <f t="shared" si="1"/>
        <v>1</v>
      </c>
      <c r="K21" s="7">
        <f t="shared" si="1"/>
        <v>0.99999999999999989</v>
      </c>
      <c r="L21" s="7">
        <f t="shared" si="1"/>
        <v>1</v>
      </c>
      <c r="M21" s="7">
        <f t="shared" si="1"/>
        <v>0.99999999999999989</v>
      </c>
      <c r="N21" s="7">
        <f t="shared" si="1"/>
        <v>0.99999999999999989</v>
      </c>
      <c r="O21" s="7">
        <f t="shared" si="1"/>
        <v>1.0000000000000004</v>
      </c>
    </row>
  </sheetData>
  <mergeCells count="7">
    <mergeCell ref="B6:O6"/>
    <mergeCell ref="B8:P8"/>
    <mergeCell ref="B1:O1"/>
    <mergeCell ref="B2:O2"/>
    <mergeCell ref="B3:O3"/>
    <mergeCell ref="B4:O4"/>
    <mergeCell ref="B5:F5"/>
  </mergeCells>
  <printOptions horizontalCentered="1"/>
  <pageMargins left="0.5" right="0.5" top="0.7" bottom="1" header="0.5" footer="0.43"/>
  <pageSetup orientation="landscape" scale="83" r:id="rId1"/>
  <headerFooter alignWithMargins="0">
    <oddHeader>&amp;RWP/II-H-5.2/4
Page &amp;P of &amp;N</oddHeader>
    <oddFooter>&amp;R]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Q64"/>
  <sheetViews>
    <sheetView view="pageBreakPreview" zoomScaleNormal="100" zoomScaleSheetLayoutView="100" workbookViewId="0" topLeftCell="A1"/>
  </sheetViews>
  <sheetFormatPr defaultColWidth="9.11428571428571" defaultRowHeight="14.25"/>
  <cols>
    <col min="1" max="1" width="9.14285714285714" style="1"/>
    <col min="2" max="2" width="16.8571428571429" style="1" customWidth="1"/>
    <col min="3" max="3" width="6.85714285714286" style="1" customWidth="1"/>
    <col min="4" max="15" width="8.71428571428571" style="1" customWidth="1"/>
    <col min="16" max="16" width="9.71428571428571" style="1" customWidth="1"/>
    <col min="17" max="17" width="9.57142857142857" style="1" bestFit="1" customWidth="1"/>
    <col min="18" max="16384" width="9.14285714285714" style="1"/>
  </cols>
  <sheetData>
    <row r="1" spans="1:16" ht="15.6">
      <c r="A1" s="14"/>
      <c r="B1" s="70" t="s">
        <v>10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5.6">
      <c r="A2" s="14"/>
      <c r="B2" s="70" t="s">
        <v>11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15.6">
      <c r="A3" s="14"/>
      <c r="B3" s="70" t="s">
        <v>39</v>
      </c>
      <c r="C3" s="70"/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6" ht="15.6">
      <c r="A4" s="14"/>
      <c r="B4" s="70" t="str">
        <f>+'PRMDIST Seasonal Weights'!B4:P4</f>
        <v>FOR THE TEST YEAR ENDING DECEMBER 31, 2021</v>
      </c>
      <c r="C4" s="70"/>
      <c r="D4" s="70"/>
      <c r="E4" s="70"/>
      <c r="F4" s="70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5.6">
      <c r="A5" s="14"/>
      <c r="B5" s="70"/>
      <c r="C5" s="70"/>
      <c r="D5" s="70"/>
      <c r="E5" s="70"/>
      <c r="F5" s="70"/>
      <c r="G5" s="17"/>
      <c r="H5" s="17"/>
      <c r="I5" s="18"/>
      <c r="J5" s="18"/>
      <c r="K5" s="18"/>
      <c r="L5" s="18"/>
      <c r="M5" s="18"/>
      <c r="N5" s="18"/>
      <c r="O5" s="18"/>
      <c r="P5" s="18"/>
    </row>
    <row r="6" spans="1:16" ht="15.6">
      <c r="A6" s="14"/>
      <c r="B6" s="70" t="s">
        <v>38</v>
      </c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spans="1:16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  <c r="P7" s="18"/>
    </row>
    <row r="8" spans="1:16" ht="15.6">
      <c r="A8" s="14"/>
      <c r="B8" s="72" t="s">
        <v>48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  <c r="P9" s="19" t="s">
        <v>41</v>
      </c>
    </row>
    <row r="10" spans="1:16" ht="15.75" customHeight="1">
      <c r="A10" s="20" t="s">
        <v>27</v>
      </c>
      <c r="B10" s="21" t="s">
        <v>28</v>
      </c>
      <c r="C10" s="1" t="s">
        <v>33</v>
      </c>
      <c r="D10" s="22">
        <v>36892</v>
      </c>
      <c r="E10" s="23">
        <v>36923</v>
      </c>
      <c r="F10" s="23">
        <v>36951</v>
      </c>
      <c r="G10" s="23">
        <v>36982</v>
      </c>
      <c r="H10" s="23">
        <v>37012</v>
      </c>
      <c r="I10" s="23">
        <v>37043</v>
      </c>
      <c r="J10" s="23">
        <v>37073</v>
      </c>
      <c r="K10" s="23">
        <v>37104</v>
      </c>
      <c r="L10" s="23">
        <v>37135</v>
      </c>
      <c r="M10" s="23">
        <v>37165</v>
      </c>
      <c r="N10" s="23">
        <v>37196</v>
      </c>
      <c r="O10" s="23">
        <v>37226</v>
      </c>
      <c r="P10" s="24" t="s">
        <v>0</v>
      </c>
    </row>
    <row r="11" spans="1:17" ht="14.4">
      <c r="A11" s="1">
        <v>1</v>
      </c>
      <c r="B11" s="17" t="s">
        <v>29</v>
      </c>
      <c r="C11" s="2">
        <v>2018</v>
      </c>
      <c r="D11" s="3">
        <f>'PRMDIST Sales by Year (18-20)'!D11/'PRMDIST Sales by Year (18-20)'!D61</f>
        <v>0.39915364061331415</v>
      </c>
      <c r="E11" s="3">
        <f>'PRMDIST Sales by Year (18-20)'!E11/'PRMDIST Sales by Year (18-20)'!E$61</f>
        <v>0.37386020617928589</v>
      </c>
      <c r="F11" s="3">
        <f>'PRMDIST Sales by Year (18-20)'!F11/'PRMDIST Sales by Year (18-20)'!F$61</f>
        <v>0.36332811087930506</v>
      </c>
      <c r="G11" s="3">
        <f>'PRMDIST Sales by Year (18-20)'!G11/'PRMDIST Sales by Year (18-20)'!G$61</f>
        <v>0.35004343187551934</v>
      </c>
      <c r="H11" s="3">
        <f>'PRMDIST Sales by Year (18-20)'!H11/'PRMDIST Sales by Year (18-20)'!H$61</f>
        <v>0.35855522973347564</v>
      </c>
      <c r="I11" s="3">
        <f>'PRMDIST Sales by Year (18-20)'!I11/'PRMDIST Sales by Year (18-20)'!I$61</f>
        <v>0.38947543637395721</v>
      </c>
      <c r="J11" s="3">
        <f>'PRMDIST Sales by Year (18-20)'!J11/'PRMDIST Sales by Year (18-20)'!J$61</f>
        <v>0.35592262639111938</v>
      </c>
      <c r="K11" s="3">
        <f>'PRMDIST Sales by Year (18-20)'!K11/'PRMDIST Sales by Year (18-20)'!K$61</f>
        <v>0.36392005689129991</v>
      </c>
      <c r="L11" s="3">
        <f>'PRMDIST Sales by Year (18-20)'!L11/'PRMDIST Sales by Year (18-20)'!L$61</f>
        <v>0.3560051866946492</v>
      </c>
      <c r="M11" s="3">
        <f>'PRMDIST Sales by Year (18-20)'!M11/'PRMDIST Sales by Year (18-20)'!M$61</f>
        <v>0.33707445552814858</v>
      </c>
      <c r="N11" s="3">
        <f>'PRMDIST Sales by Year (18-20)'!N11/'PRMDIST Sales by Year (18-20)'!N$61</f>
        <v>0.32799059663269248</v>
      </c>
      <c r="O11" s="3">
        <f>'PRMDIST Sales by Year (18-20)'!O11/'PRMDIST Sales by Year (18-20)'!O$61</f>
        <v>0.31241684839193812</v>
      </c>
      <c r="P11" s="59">
        <f>'PRMDIST Sales by Year (18-20)'!P11/'PRMDIST Sales by Year (18-20)'!P$61</f>
        <v>0.35627670278241919</v>
      </c>
      <c r="Q11" s="4"/>
    </row>
    <row r="12" spans="1:16" ht="14.4">
      <c r="A12" s="1">
        <f>+A11+1</f>
        <v>2</v>
      </c>
      <c r="B12" s="17" t="s">
        <v>29</v>
      </c>
      <c r="C12" s="2">
        <v>2019</v>
      </c>
      <c r="D12" s="3">
        <f>'PRMDIST Sales by Year (18-20)'!D12/'PRMDIST Sales by Year (18-20)'!D62</f>
        <v>0.31523137348262609</v>
      </c>
      <c r="E12" s="3">
        <f>'PRMDIST Sales by Year (18-20)'!E12/'PRMDIST Sales by Year (18-20)'!E$62</f>
        <v>0.30613221140037294</v>
      </c>
      <c r="F12" s="3">
        <f>'PRMDIST Sales by Year (18-20)'!F12/'PRMDIST Sales by Year (18-20)'!F$62</f>
        <v>0.31282333198906054</v>
      </c>
      <c r="G12" s="3">
        <f>'PRMDIST Sales by Year (18-20)'!G12/'PRMDIST Sales by Year (18-20)'!G$62</f>
        <v>0.30990754037321588</v>
      </c>
      <c r="H12" s="3">
        <f>'PRMDIST Sales by Year (18-20)'!H12/'PRMDIST Sales by Year (18-20)'!H$62</f>
        <v>0.31958353419279995</v>
      </c>
      <c r="I12" s="3">
        <f>'PRMDIST Sales by Year (18-20)'!I12/'PRMDIST Sales by Year (18-20)'!I$62</f>
        <v>0.31475161603074253</v>
      </c>
      <c r="J12" s="3">
        <f>'PRMDIST Sales by Year (18-20)'!J12/'PRMDIST Sales by Year (18-20)'!J$62</f>
        <v>0.32594362578373287</v>
      </c>
      <c r="K12" s="3">
        <f>'PRMDIST Sales by Year (18-20)'!K12/'PRMDIST Sales by Year (18-20)'!K$62</f>
        <v>0.33497921253395468</v>
      </c>
      <c r="L12" s="3">
        <f>'PRMDIST Sales by Year (18-20)'!L12/'PRMDIST Sales by Year (18-20)'!L$62</f>
        <v>0.33109811707976938</v>
      </c>
      <c r="M12" s="3">
        <f>'PRMDIST Sales by Year (18-20)'!M12/'PRMDIST Sales by Year (18-20)'!M$62</f>
        <v>0.32451881345911093</v>
      </c>
      <c r="N12" s="3">
        <f>'PRMDIST Sales by Year (18-20)'!N12/'PRMDIST Sales by Year (18-20)'!N$62</f>
        <v>0.31903454967712058</v>
      </c>
      <c r="O12" s="3">
        <f>'PRMDIST Sales by Year (18-20)'!O12/'PRMDIST Sales by Year (18-20)'!O$62</f>
        <v>0.29125463962275627</v>
      </c>
      <c r="P12" s="60">
        <f>'PRMDIST Sales by Year (18-20)'!P12/'PRMDIST Sales by Year (18-20)'!P$62</f>
        <v>0.31741120656851385</v>
      </c>
    </row>
    <row r="13" spans="1:16" ht="15" thickBot="1">
      <c r="A13" s="1">
        <f t="shared" si="0" ref="A13:A64">+A12+1</f>
        <v>3</v>
      </c>
      <c r="B13" s="17" t="s">
        <v>29</v>
      </c>
      <c r="C13" s="2">
        <v>2020</v>
      </c>
      <c r="D13" s="3">
        <f>'PRMDIST Sales by Year (18-20)'!D13/'PRMDIST Sales by Year (18-20)'!D63</f>
        <v>0.28702500446183232</v>
      </c>
      <c r="E13" s="3">
        <f>'PRMDIST Sales by Year (18-20)'!E13/'PRMDIST Sales by Year (18-20)'!E63</f>
        <v>0.29864530032661496</v>
      </c>
      <c r="F13" s="3">
        <f>'PRMDIST Sales by Year (18-20)'!F13/'PRMDIST Sales by Year (18-20)'!F63</f>
        <v>0.31163636596490363</v>
      </c>
      <c r="G13" s="3">
        <f>'PRMDIST Sales by Year (18-20)'!G13/'PRMDIST Sales by Year (18-20)'!G63</f>
        <v>0.29500817379173611</v>
      </c>
      <c r="H13" s="3">
        <f>'PRMDIST Sales by Year (18-20)'!H13/'PRMDIST Sales by Year (18-20)'!H63</f>
        <v>0.29646974300808171</v>
      </c>
      <c r="I13" s="3">
        <f>'PRMDIST Sales by Year (18-20)'!I13/'PRMDIST Sales by Year (18-20)'!I63</f>
        <v>0.33578585568874258</v>
      </c>
      <c r="J13" s="3">
        <f>'PRMDIST Sales by Year (18-20)'!J13/'PRMDIST Sales by Year (18-20)'!J63</f>
        <v>0.33641703857388888</v>
      </c>
      <c r="K13" s="3">
        <f>'PRMDIST Sales by Year (18-20)'!K13/'PRMDIST Sales by Year (18-20)'!K63</f>
        <v>0.32648213491207534</v>
      </c>
      <c r="L13" s="3">
        <f>'PRMDIST Sales by Year (18-20)'!L13/'PRMDIST Sales by Year (18-20)'!L63</f>
        <v>0.3398579012136585</v>
      </c>
      <c r="M13" s="3">
        <f>'PRMDIST Sales by Year (18-20)'!M13/'PRMDIST Sales by Year (18-20)'!M63</f>
        <v>0.3234852199603736</v>
      </c>
      <c r="N13" s="3">
        <f>'PRMDIST Sales by Year (18-20)'!N13/'PRMDIST Sales by Year (18-20)'!N63</f>
        <v>0.31127234819089339</v>
      </c>
      <c r="O13" s="3">
        <f>'PRMDIST Sales by Year (18-20)'!O13/'PRMDIST Sales by Year (18-20)'!O63</f>
        <v>0.31250090205194292</v>
      </c>
      <c r="P13" s="60">
        <f>'PRMDIST Sales by Year (18-20)'!P13/'PRMDIST Sales by Year (18-20)'!P63</f>
        <v>0.31456473925750983</v>
      </c>
    </row>
    <row r="14" spans="1:16" ht="14.4">
      <c r="A14" s="1">
        <f t="shared" si="0"/>
        <v>4</v>
      </c>
      <c r="B14" s="17" t="s">
        <v>29</v>
      </c>
      <c r="C14" s="57" t="s">
        <v>1</v>
      </c>
      <c r="D14" s="58">
        <f>'PRMDIST Sales by Year (18-20)'!D14/'PRMDIST Sales by Year (18-20)'!D64</f>
        <v>0.32822599913566691</v>
      </c>
      <c r="E14" s="58">
        <f>'PRMDIST Sales by Year (18-20)'!E14/'PRMDIST Sales by Year (18-20)'!E64</f>
        <v>0.32266190590771304</v>
      </c>
      <c r="F14" s="58">
        <f>'PRMDIST Sales by Year (18-20)'!F14/'PRMDIST Sales by Year (18-20)'!F64</f>
        <v>0.32732931590860948</v>
      </c>
      <c r="G14" s="58">
        <f>'PRMDIST Sales by Year (18-20)'!G14/'PRMDIST Sales by Year (18-20)'!G64</f>
        <v>0.31714973835352933</v>
      </c>
      <c r="H14" s="58">
        <f>'PRMDIST Sales by Year (18-20)'!H14/'PRMDIST Sales by Year (18-20)'!H64</f>
        <v>0.32321904665996809</v>
      </c>
      <c r="I14" s="58">
        <f>'PRMDIST Sales by Year (18-20)'!I14/'PRMDIST Sales by Year (18-20)'!I64</f>
        <v>0.34508130450061075</v>
      </c>
      <c r="J14" s="58">
        <f>'PRMDIST Sales by Year (18-20)'!J14/'PRMDIST Sales by Year (18-20)'!J64</f>
        <v>0.33935885652950909</v>
      </c>
      <c r="K14" s="58">
        <f>'PRMDIST Sales by Year (18-20)'!K14/'PRMDIST Sales by Year (18-20)'!K64</f>
        <v>0.34128748089644345</v>
      </c>
      <c r="L14" s="58">
        <f>'PRMDIST Sales by Year (18-20)'!L14/'PRMDIST Sales by Year (18-20)'!L64</f>
        <v>0.34188685361826632</v>
      </c>
      <c r="M14" s="58">
        <f>'PRMDIST Sales by Year (18-20)'!M14/'PRMDIST Sales by Year (18-20)'!M64</f>
        <v>0.328168627768397</v>
      </c>
      <c r="N14" s="58">
        <f>'PRMDIST Sales by Year (18-20)'!N14/'PRMDIST Sales by Year (18-20)'!N64</f>
        <v>0.31925253368940132</v>
      </c>
      <c r="O14" s="58">
        <f>'PRMDIST Sales by Year (18-20)'!O14/'PRMDIST Sales by Year (18-20)'!O64</f>
        <v>0.30491200617854275</v>
      </c>
      <c r="P14" s="61">
        <f>'PRMDIST Sales by Year (18-20)'!P14/'PRMDIST Sales by Year (18-20)'!P64</f>
        <v>0.32848883891632341</v>
      </c>
    </row>
    <row r="15" spans="1:16" ht="13.8">
      <c r="A15" s="1">
        <f t="shared" si="0"/>
        <v>5</v>
      </c>
      <c r="B15" s="8"/>
      <c r="C15" s="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7" ht="13.8">
      <c r="A16" s="1">
        <f t="shared" si="0"/>
        <v>6</v>
      </c>
      <c r="B16" s="8" t="s">
        <v>5</v>
      </c>
      <c r="C16" s="2">
        <f>+C11</f>
        <v>2018</v>
      </c>
      <c r="D16" s="3">
        <f>'PRMDIST Sales by Year (18-20)'!D16/'PRMDIST Sales by Year (18-20)'!D61</f>
        <v>0.035233752798609283</v>
      </c>
      <c r="E16" s="3">
        <f>'PRMDIST Sales by Year (18-20)'!E16/'PRMDIST Sales by Year (18-20)'!E$61</f>
        <v>0.025530130761168997</v>
      </c>
      <c r="F16" s="3">
        <f>'PRMDIST Sales by Year (18-20)'!F16/'PRMDIST Sales by Year (18-20)'!F$61</f>
        <v>0.034445812443254127</v>
      </c>
      <c r="G16" s="3">
        <f>'PRMDIST Sales by Year (18-20)'!G16/'PRMDIST Sales by Year (18-20)'!G$61</f>
        <v>0.029095311761175052</v>
      </c>
      <c r="H16" s="3">
        <f>'PRMDIST Sales by Year (18-20)'!H16/'PRMDIST Sales by Year (18-20)'!H$61</f>
        <v>0.029753645899855082</v>
      </c>
      <c r="I16" s="3">
        <f>'PRMDIST Sales by Year (18-20)'!I16/'PRMDIST Sales by Year (18-20)'!I$61</f>
        <v>0.027981757417664031</v>
      </c>
      <c r="J16" s="3">
        <f>'PRMDIST Sales by Year (18-20)'!J16/'PRMDIST Sales by Year (18-20)'!J$61</f>
        <v>0.027670655541780338</v>
      </c>
      <c r="K16" s="3">
        <f>'PRMDIST Sales by Year (18-20)'!K16/'PRMDIST Sales by Year (18-20)'!K$61</f>
        <v>0.027330724935921501</v>
      </c>
      <c r="L16" s="3">
        <f>'PRMDIST Sales by Year (18-20)'!L16/'PRMDIST Sales by Year (18-20)'!L$61</f>
        <v>0.026526666428290276</v>
      </c>
      <c r="M16" s="3">
        <f>'PRMDIST Sales by Year (18-20)'!M16/'PRMDIST Sales by Year (18-20)'!M$61</f>
        <v>0.025433430661601641</v>
      </c>
      <c r="N16" s="3">
        <f>'PRMDIST Sales by Year (18-20)'!N16/'PRMDIST Sales by Year (18-20)'!N$61</f>
        <v>0.026826059949545143</v>
      </c>
      <c r="O16" s="3">
        <f>'PRMDIST Sales by Year (18-20)'!O16/'PRMDIST Sales by Year (18-20)'!O$61</f>
        <v>0.025286516204146917</v>
      </c>
      <c r="P16" s="60">
        <f>'PRMDIST Sales by Year (18-20)'!P16/'PRMDIST Sales by Year (18-20)'!P$61</f>
        <v>0.028244484528688413</v>
      </c>
      <c r="Q16" s="4"/>
    </row>
    <row r="17" spans="1:16" ht="13.8">
      <c r="A17" s="1">
        <f t="shared" si="0"/>
        <v>7</v>
      </c>
      <c r="B17" s="8" t="s">
        <v>5</v>
      </c>
      <c r="C17" s="2">
        <f>+C12</f>
        <v>2019</v>
      </c>
      <c r="D17" s="3">
        <f>'PRMDIST Sales by Year (18-20)'!D17/'PRMDIST Sales by Year (18-20)'!D62</f>
        <v>0.024967461858764882</v>
      </c>
      <c r="E17" s="3">
        <f>'PRMDIST Sales by Year (18-20)'!E17/'PRMDIST Sales by Year (18-20)'!E$62</f>
        <v>0.025466383817719224</v>
      </c>
      <c r="F17" s="3">
        <f>'PRMDIST Sales by Year (18-20)'!F17/'PRMDIST Sales by Year (18-20)'!F$62</f>
        <v>0.024828003435309394</v>
      </c>
      <c r="G17" s="3">
        <f>'PRMDIST Sales by Year (18-20)'!G17/'PRMDIST Sales by Year (18-20)'!G$62</f>
        <v>0.024647257521882314</v>
      </c>
      <c r="H17" s="3">
        <f>'PRMDIST Sales by Year (18-20)'!H17/'PRMDIST Sales by Year (18-20)'!H$62</f>
        <v>0.024650002717418445</v>
      </c>
      <c r="I17" s="3">
        <f>'PRMDIST Sales by Year (18-20)'!I17/'PRMDIST Sales by Year (18-20)'!I$62</f>
        <v>0.024157669026967709</v>
      </c>
      <c r="J17" s="3">
        <f>'PRMDIST Sales by Year (18-20)'!J17/'PRMDIST Sales by Year (18-20)'!J$62</f>
        <v>0.024578289190368297</v>
      </c>
      <c r="K17" s="3">
        <f>'PRMDIST Sales by Year (18-20)'!K17/'PRMDIST Sales by Year (18-20)'!K$62</f>
        <v>0.024765225118839634</v>
      </c>
      <c r="L17" s="3">
        <f>'PRMDIST Sales by Year (18-20)'!L17/'PRMDIST Sales by Year (18-20)'!L$62</f>
        <v>0.024109691230777434</v>
      </c>
      <c r="M17" s="3">
        <f>'PRMDIST Sales by Year (18-20)'!M17/'PRMDIST Sales by Year (18-20)'!M$62</f>
        <v>0.024196720581241293</v>
      </c>
      <c r="N17" s="3">
        <f>'PRMDIST Sales by Year (18-20)'!N17/'PRMDIST Sales by Year (18-20)'!N$62</f>
        <v>0.022206219900662717</v>
      </c>
      <c r="O17" s="3">
        <f>'PRMDIST Sales by Year (18-20)'!O17/'PRMDIST Sales by Year (18-20)'!O$62</f>
        <v>0.0248803671145304</v>
      </c>
      <c r="P17" s="60">
        <f>'PRMDIST Sales by Year (18-20)'!P17/'PRMDIST Sales by Year (18-20)'!P$62</f>
        <v>0.024439342806563947</v>
      </c>
    </row>
    <row r="18" spans="1:16" ht="14.4" thickBot="1">
      <c r="A18" s="1">
        <f t="shared" si="0"/>
        <v>8</v>
      </c>
      <c r="B18" s="8" t="s">
        <v>5</v>
      </c>
      <c r="C18" s="2">
        <f>+C13</f>
        <v>2020</v>
      </c>
      <c r="D18" s="3">
        <f>'PRMDIST Sales by Year (18-20)'!D18/'PRMDIST Sales by Year (18-20)'!D63</f>
        <v>0.023348748176673408</v>
      </c>
      <c r="E18" s="3">
        <f>'PRMDIST Sales by Year (18-20)'!E18/'PRMDIST Sales by Year (18-20)'!E63</f>
        <v>0.023690624393301586</v>
      </c>
      <c r="F18" s="3">
        <f>'PRMDIST Sales by Year (18-20)'!F18/'PRMDIST Sales by Year (18-20)'!F63</f>
        <v>0.024102460749012383</v>
      </c>
      <c r="G18" s="3">
        <f>'PRMDIST Sales by Year (18-20)'!G18/'PRMDIST Sales by Year (18-20)'!G63</f>
        <v>0.024994429321857459</v>
      </c>
      <c r="H18" s="3">
        <f>'PRMDIST Sales by Year (18-20)'!H18/'PRMDIST Sales by Year (18-20)'!H63</f>
        <v>0.023142167757670397</v>
      </c>
      <c r="I18" s="3">
        <f>'PRMDIST Sales by Year (18-20)'!I18/'PRMDIST Sales by Year (18-20)'!I63</f>
        <v>0.02576091241815481</v>
      </c>
      <c r="J18" s="3">
        <f>'PRMDIST Sales by Year (18-20)'!J18/'PRMDIST Sales by Year (18-20)'!J63</f>
        <v>0.025245640695296705</v>
      </c>
      <c r="K18" s="3">
        <f>'PRMDIST Sales by Year (18-20)'!K18/'PRMDIST Sales by Year (18-20)'!K63</f>
        <v>0.024311314819423235</v>
      </c>
      <c r="L18" s="3">
        <f>'PRMDIST Sales by Year (18-20)'!L18/'PRMDIST Sales by Year (18-20)'!L63</f>
        <v>0.025679352964109427</v>
      </c>
      <c r="M18" s="3">
        <f>'PRMDIST Sales by Year (18-20)'!M18/'PRMDIST Sales by Year (18-20)'!M63</f>
        <v>0.025703663608839338</v>
      </c>
      <c r="N18" s="3">
        <f>'PRMDIST Sales by Year (18-20)'!N18/'PRMDIST Sales by Year (18-20)'!N63</f>
        <v>0.025680654812964339</v>
      </c>
      <c r="O18" s="3">
        <f>'PRMDIST Sales by Year (18-20)'!O18/'PRMDIST Sales by Year (18-20)'!O63</f>
        <v>0.024863220430377614</v>
      </c>
      <c r="P18" s="60">
        <f>'PRMDIST Sales by Year (18-20)'!P18/'PRMDIST Sales by Year (18-20)'!P63</f>
        <v>0.024701788073470888</v>
      </c>
    </row>
    <row r="19" spans="1:16" ht="13.8">
      <c r="A19" s="1">
        <f t="shared" si="0"/>
        <v>9</v>
      </c>
      <c r="B19" s="8" t="s">
        <v>5</v>
      </c>
      <c r="C19" s="57" t="s">
        <v>1</v>
      </c>
      <c r="D19" s="58">
        <f>'PRMDIST Sales by Year (18-20)'!D19/'PRMDIST Sales by Year (18-20)'!D64</f>
        <v>0.027254215755935216</v>
      </c>
      <c r="E19" s="58">
        <f>'PRMDIST Sales by Year (18-20)'!E19/'PRMDIST Sales by Year (18-20)'!E64</f>
        <v>0.024839491327863974</v>
      </c>
      <c r="F19" s="58">
        <f>'PRMDIST Sales by Year (18-20)'!F19/'PRMDIST Sales by Year (18-20)'!F64</f>
        <v>0.027407058324162802</v>
      </c>
      <c r="G19" s="58">
        <f>'PRMDIST Sales by Year (18-20)'!G19/'PRMDIST Sales by Year (18-20)'!G64</f>
        <v>0.026148178875640599</v>
      </c>
      <c r="H19" s="58">
        <f>'PRMDIST Sales by Year (18-20)'!H19/'PRMDIST Sales by Year (18-20)'!H64</f>
        <v>0.025656084125319899</v>
      </c>
      <c r="I19" s="58">
        <f>'PRMDIST Sales by Year (18-20)'!I19/'PRMDIST Sales by Year (18-20)'!I64</f>
        <v>0.025877507231530785</v>
      </c>
      <c r="J19" s="58">
        <f>'PRMDIST Sales by Year (18-20)'!J19/'PRMDIST Sales by Year (18-20)'!J64</f>
        <v>0.025826648398119465</v>
      </c>
      <c r="K19" s="58">
        <f>'PRMDIST Sales by Year (18-20)'!K19/'PRMDIST Sales by Year (18-20)'!K64</f>
        <v>0.025426618450901772</v>
      </c>
      <c r="L19" s="58">
        <f>'PRMDIST Sales by Year (18-20)'!L19/'PRMDIST Sales by Year (18-20)'!L64</f>
        <v>0.025392800594945031</v>
      </c>
      <c r="M19" s="58">
        <f>'PRMDIST Sales by Year (18-20)'!M19/'PRMDIST Sales by Year (18-20)'!M64</f>
        <v>0.025088026482304005</v>
      </c>
      <c r="N19" s="58">
        <f>'PRMDIST Sales by Year (18-20)'!N19/'PRMDIST Sales by Year (18-20)'!N64</f>
        <v>0.024836428475180874</v>
      </c>
      <c r="O19" s="58">
        <f>'PRMDIST Sales by Year (18-20)'!O19/'PRMDIST Sales by Year (18-20)'!O64</f>
        <v>0.025005406618506473</v>
      </c>
      <c r="P19" s="61">
        <f>'PRMDIST Sales by Year (18-20)'!P19/'PRMDIST Sales by Year (18-20)'!P64</f>
        <v>0.025709103199534507</v>
      </c>
    </row>
    <row r="20" spans="1:16" ht="13.8">
      <c r="A20" s="1">
        <f t="shared" si="0"/>
        <v>10</v>
      </c>
      <c r="B20" s="8"/>
      <c r="C20" s="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7" ht="13.8">
      <c r="A21" s="1">
        <f t="shared" si="0"/>
        <v>11</v>
      </c>
      <c r="B21" s="8" t="s">
        <v>6</v>
      </c>
      <c r="C21" s="2">
        <f>+C16</f>
        <v>2018</v>
      </c>
      <c r="D21" s="3">
        <f>'PRMDIST Sales by Year (18-20)'!D21/'PRMDIST Sales by Year (18-20)'!D61</f>
        <v>0.0098520204545339031</v>
      </c>
      <c r="E21" s="3">
        <f>'PRMDIST Sales by Year (18-20)'!E21/'PRMDIST Sales by Year (18-20)'!E$61</f>
        <v>0.0098199941073896565</v>
      </c>
      <c r="F21" s="3">
        <f>'PRMDIST Sales by Year (18-20)'!F21/'PRMDIST Sales by Year (18-20)'!F$61</f>
        <v>0.0087402784146843222</v>
      </c>
      <c r="G21" s="3">
        <f>'PRMDIST Sales by Year (18-20)'!G21/'PRMDIST Sales by Year (18-20)'!G$61</f>
        <v>0.0087082229311732859</v>
      </c>
      <c r="H21" s="3">
        <f>'PRMDIST Sales by Year (18-20)'!H21/'PRMDIST Sales by Year (18-20)'!H$61</f>
        <v>0.0089991242581213497</v>
      </c>
      <c r="I21" s="3">
        <f>'PRMDIST Sales by Year (18-20)'!I21/'PRMDIST Sales by Year (18-20)'!I$61</f>
        <v>0.0089702693535178065</v>
      </c>
      <c r="J21" s="3">
        <f>'PRMDIST Sales by Year (18-20)'!J21/'PRMDIST Sales by Year (18-20)'!J$61</f>
        <v>0.0080131360247072837</v>
      </c>
      <c r="K21" s="3">
        <f>'PRMDIST Sales by Year (18-20)'!K21/'PRMDIST Sales by Year (18-20)'!K$61</f>
        <v>0.0074375727593255989</v>
      </c>
      <c r="L21" s="3">
        <f>'PRMDIST Sales by Year (18-20)'!L21/'PRMDIST Sales by Year (18-20)'!L$61</f>
        <v>0.0082132458515605956</v>
      </c>
      <c r="M21" s="3">
        <f>'PRMDIST Sales by Year (18-20)'!M21/'PRMDIST Sales by Year (18-20)'!M$61</f>
        <v>0.0080468799949267884</v>
      </c>
      <c r="N21" s="3">
        <f>'PRMDIST Sales by Year (18-20)'!N21/'PRMDIST Sales by Year (18-20)'!N$61</f>
        <v>0.0082656644536840702</v>
      </c>
      <c r="O21" s="3">
        <f>'PRMDIST Sales by Year (18-20)'!O21/'PRMDIST Sales by Year (18-20)'!O$61</f>
        <v>0.0082277241835025314</v>
      </c>
      <c r="P21" s="60">
        <f>'PRMDIST Sales by Year (18-20)'!P21/'PRMDIST Sales by Year (18-20)'!P$61</f>
        <v>0.0085502017854355711</v>
      </c>
      <c r="Q21" s="4"/>
    </row>
    <row r="22" spans="1:16" ht="13.8">
      <c r="A22" s="1">
        <f t="shared" si="0"/>
        <v>12</v>
      </c>
      <c r="B22" s="8" t="s">
        <v>6</v>
      </c>
      <c r="C22" s="2">
        <f>+C17</f>
        <v>2019</v>
      </c>
      <c r="D22" s="3">
        <f>'PRMDIST Sales by Year (18-20)'!D22/'PRMDIST Sales by Year (18-20)'!D62</f>
        <v>0.0089699813438782507</v>
      </c>
      <c r="E22" s="3">
        <f>'PRMDIST Sales by Year (18-20)'!E22/'PRMDIST Sales by Year (18-20)'!E$62</f>
        <v>0.0075526151472350934</v>
      </c>
      <c r="F22" s="3">
        <f>'PRMDIST Sales by Year (18-20)'!F22/'PRMDIST Sales by Year (18-20)'!F$62</f>
        <v>0.0080233292882403023</v>
      </c>
      <c r="G22" s="3">
        <f>'PRMDIST Sales by Year (18-20)'!G22/'PRMDIST Sales by Year (18-20)'!G$62</f>
        <v>0.0080269803173297054</v>
      </c>
      <c r="H22" s="3">
        <f>'PRMDIST Sales by Year (18-20)'!H22/'PRMDIST Sales by Year (18-20)'!H$62</f>
        <v>0.0079580571386545108</v>
      </c>
      <c r="I22" s="3">
        <f>'PRMDIST Sales by Year (18-20)'!I22/'PRMDIST Sales by Year (18-20)'!I$62</f>
        <v>0.0073302515055147319</v>
      </c>
      <c r="J22" s="3">
        <f>'PRMDIST Sales by Year (18-20)'!J22/'PRMDIST Sales by Year (18-20)'!J$62</f>
        <v>0.0068073249986775296</v>
      </c>
      <c r="K22" s="3">
        <f>'PRMDIST Sales by Year (18-20)'!K22/'PRMDIST Sales by Year (18-20)'!K$62</f>
        <v>0.0066686052608065927</v>
      </c>
      <c r="L22" s="3">
        <f>'PRMDIST Sales by Year (18-20)'!L22/'PRMDIST Sales by Year (18-20)'!L$62</f>
        <v>0.0010652604076777123</v>
      </c>
      <c r="M22" s="3">
        <f>'PRMDIST Sales by Year (18-20)'!M22/'PRMDIST Sales by Year (18-20)'!M$62</f>
        <v>0.003818228263767248</v>
      </c>
      <c r="N22" s="3">
        <f>'PRMDIST Sales by Year (18-20)'!N22/'PRMDIST Sales by Year (18-20)'!N$62</f>
        <v>0.0036590489424061807</v>
      </c>
      <c r="O22" s="3">
        <f>'PRMDIST Sales by Year (18-20)'!O22/'PRMDIST Sales by Year (18-20)'!O$62</f>
        <v>0.0038733500671244685</v>
      </c>
      <c r="P22" s="60">
        <f>'PRMDIST Sales by Year (18-20)'!P22/'PRMDIST Sales by Year (18-20)'!P$62</f>
        <v>0.0060356102314294176</v>
      </c>
    </row>
    <row r="23" spans="1:16" ht="14.4" thickBot="1">
      <c r="A23" s="1">
        <f t="shared" si="0"/>
        <v>13</v>
      </c>
      <c r="B23" s="8" t="s">
        <v>6</v>
      </c>
      <c r="C23" s="2">
        <f>+C18</f>
        <v>2020</v>
      </c>
      <c r="D23" s="3">
        <f>'PRMDIST Sales by Year (18-20)'!D23/'PRMDIST Sales by Year (18-20)'!D63</f>
        <v>0.0041190114813606247</v>
      </c>
      <c r="E23" s="3">
        <f>'PRMDIST Sales by Year (18-20)'!E23/'PRMDIST Sales by Year (18-20)'!E63</f>
        <v>0.0040604176269141978</v>
      </c>
      <c r="F23" s="3">
        <f>'PRMDIST Sales by Year (18-20)'!F23/'PRMDIST Sales by Year (18-20)'!F63</f>
        <v>0.00384359278122942</v>
      </c>
      <c r="G23" s="3">
        <f>'PRMDIST Sales by Year (18-20)'!G23/'PRMDIST Sales by Year (18-20)'!G63</f>
        <v>0.0036583525586239155</v>
      </c>
      <c r="H23" s="3">
        <f>'PRMDIST Sales by Year (18-20)'!H23/'PRMDIST Sales by Year (18-20)'!H63</f>
        <v>0.0036997215578855628</v>
      </c>
      <c r="I23" s="3">
        <f>'PRMDIST Sales by Year (18-20)'!I23/'PRMDIST Sales by Year (18-20)'!I63</f>
        <v>0.0041705018798397307</v>
      </c>
      <c r="J23" s="3">
        <f>'PRMDIST Sales by Year (18-20)'!J23/'PRMDIST Sales by Year (18-20)'!J63</f>
        <v>0.0037967547188082246</v>
      </c>
      <c r="K23" s="3">
        <f>'PRMDIST Sales by Year (18-20)'!K23/'PRMDIST Sales by Year (18-20)'!K63</f>
        <v>0.0034694803699290592</v>
      </c>
      <c r="L23" s="3">
        <f>'PRMDIST Sales by Year (18-20)'!L23/'PRMDIST Sales by Year (18-20)'!L63</f>
        <v>0.0033954975544926501</v>
      </c>
      <c r="M23" s="3">
        <f>'PRMDIST Sales by Year (18-20)'!M23/'PRMDIST Sales by Year (18-20)'!M63</f>
        <v>0.00334930571917014</v>
      </c>
      <c r="N23" s="3">
        <f>'PRMDIST Sales by Year (18-20)'!N23/'PRMDIST Sales by Year (18-20)'!N63</f>
        <v>0.0039675056117083208</v>
      </c>
      <c r="O23" s="3">
        <f>'PRMDIST Sales by Year (18-20)'!O23/'PRMDIST Sales by Year (18-20)'!O63</f>
        <v>0.0039109671178206053</v>
      </c>
      <c r="P23" s="60">
        <f>'PRMDIST Sales by Year (18-20)'!P23/'PRMDIST Sales by Year (18-20)'!P63</f>
        <v>0.0037811634429080988</v>
      </c>
    </row>
    <row r="24" spans="1:16" ht="13.8">
      <c r="A24" s="1">
        <f t="shared" si="0"/>
        <v>14</v>
      </c>
      <c r="B24" s="8" t="s">
        <v>6</v>
      </c>
      <c r="C24" s="57" t="s">
        <v>1</v>
      </c>
      <c r="D24" s="58">
        <f>'PRMDIST Sales by Year (18-20)'!D24/'PRMDIST Sales by Year (18-20)'!D64</f>
        <v>0.0073732914675474779</v>
      </c>
      <c r="E24" s="58">
        <f>'PRMDIST Sales by Year (18-20)'!E24/'PRMDIST Sales by Year (18-20)'!E64</f>
        <v>0.0069285604338913979</v>
      </c>
      <c r="F24" s="58">
        <f>'PRMDIST Sales by Year (18-20)'!F24/'PRMDIST Sales by Year (18-20)'!F64</f>
        <v>0.0067010191013679868</v>
      </c>
      <c r="G24" s="58">
        <f>'PRMDIST Sales by Year (18-20)'!G24/'PRMDIST Sales by Year (18-20)'!G64</f>
        <v>0.0067117278670884312</v>
      </c>
      <c r="H24" s="58">
        <f>'PRMDIST Sales by Year (18-20)'!H24/'PRMDIST Sales by Year (18-20)'!H64</f>
        <v>0.0067849373196582023</v>
      </c>
      <c r="I24" s="58">
        <f>'PRMDIST Sales by Year (18-20)'!I24/'PRMDIST Sales by Year (18-20)'!I64</f>
        <v>0.0068432253530684205</v>
      </c>
      <c r="J24" s="58">
        <f>'PRMDIST Sales by Year (18-20)'!J24/'PRMDIST Sales by Year (18-20)'!J64</f>
        <v>0.0062214789577861012</v>
      </c>
      <c r="K24" s="58">
        <f>'PRMDIST Sales by Year (18-20)'!K24/'PRMDIST Sales by Year (18-20)'!K64</f>
        <v>0.0058211238720877641</v>
      </c>
      <c r="L24" s="58">
        <f>'PRMDIST Sales by Year (18-20)'!L24/'PRMDIST Sales by Year (18-20)'!L64</f>
        <v>0.0041011896967696627</v>
      </c>
      <c r="M24" s="58">
        <f>'PRMDIST Sales by Year (18-20)'!M24/'PRMDIST Sales by Year (18-20)'!M64</f>
        <v>0.005007521952130738</v>
      </c>
      <c r="N24" s="58">
        <f>'PRMDIST Sales by Year (18-20)'!N24/'PRMDIST Sales by Year (18-20)'!N64</f>
        <v>0.0052191887366024731</v>
      </c>
      <c r="O24" s="58">
        <f>'PRMDIST Sales by Year (18-20)'!O24/'PRMDIST Sales by Year (18-20)'!O64</f>
        <v>0.0052853530654755048</v>
      </c>
      <c r="P24" s="61">
        <f>'PRMDIST Sales by Year (18-20)'!P24/'PRMDIST Sales by Year (18-20)'!P64</f>
        <v>0.0060437824277231583</v>
      </c>
    </row>
    <row r="25" spans="1:16" ht="13.8">
      <c r="A25" s="1">
        <f t="shared" si="0"/>
        <v>15</v>
      </c>
      <c r="B25" s="8"/>
      <c r="C25" s="4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7" ht="13.8">
      <c r="A26" s="1">
        <f t="shared" si="0"/>
        <v>16</v>
      </c>
      <c r="B26" s="8" t="s">
        <v>7</v>
      </c>
      <c r="C26" s="2">
        <f>+C21</f>
        <v>2018</v>
      </c>
      <c r="D26" s="3">
        <f>'PRMDIST Sales by Year (18-20)'!D26/'PRMDIST Sales by Year (18-20)'!D61</f>
        <v>0.015487704548584147</v>
      </c>
      <c r="E26" s="3">
        <f>'PRMDIST Sales by Year (18-20)'!E26/'PRMDIST Sales by Year (18-20)'!E$61</f>
        <v>0.013832198013406405</v>
      </c>
      <c r="F26" s="3">
        <f>'PRMDIST Sales by Year (18-20)'!F26/'PRMDIST Sales by Year (18-20)'!F$61</f>
        <v>0.014220229841399604</v>
      </c>
      <c r="G26" s="3">
        <f>'PRMDIST Sales by Year (18-20)'!G26/'PRMDIST Sales by Year (18-20)'!G$61</f>
        <v>0.014084307991796876</v>
      </c>
      <c r="H26" s="3">
        <f>'PRMDIST Sales by Year (18-20)'!H26/'PRMDIST Sales by Year (18-20)'!H$61</f>
        <v>0.014478003590827997</v>
      </c>
      <c r="I26" s="3">
        <f>'PRMDIST Sales by Year (18-20)'!I26/'PRMDIST Sales by Year (18-20)'!I$61</f>
        <v>0.014922143285729194</v>
      </c>
      <c r="J26" s="3">
        <f>'PRMDIST Sales by Year (18-20)'!J26/'PRMDIST Sales by Year (18-20)'!J$61</f>
        <v>0.014323225185675248</v>
      </c>
      <c r="K26" s="3">
        <f>'PRMDIST Sales by Year (18-20)'!K26/'PRMDIST Sales by Year (18-20)'!K$61</f>
        <v>0.015792041406209423</v>
      </c>
      <c r="L26" s="3">
        <f>'PRMDIST Sales by Year (18-20)'!L26/'PRMDIST Sales by Year (18-20)'!L$61</f>
        <v>0.015000681064823595</v>
      </c>
      <c r="M26" s="3">
        <f>'PRMDIST Sales by Year (18-20)'!M26/'PRMDIST Sales by Year (18-20)'!M$61</f>
        <v>0.014642166298240783</v>
      </c>
      <c r="N26" s="3">
        <f>'PRMDIST Sales by Year (18-20)'!N26/'PRMDIST Sales by Year (18-20)'!N$61</f>
        <v>0.012947119952280093</v>
      </c>
      <c r="O26" s="3">
        <f>'PRMDIST Sales by Year (18-20)'!O26/'PRMDIST Sales by Year (18-20)'!O$61</f>
        <v>0.012290577232975563</v>
      </c>
      <c r="P26" s="60">
        <f>'PRMDIST Sales by Year (18-20)'!P26/'PRMDIST Sales by Year (18-20)'!P$61</f>
        <v>0.014337793155267096</v>
      </c>
      <c r="Q26" s="4"/>
    </row>
    <row r="27" spans="1:16" ht="13.8">
      <c r="A27" s="1">
        <f t="shared" si="0"/>
        <v>17</v>
      </c>
      <c r="B27" s="8" t="s">
        <v>7</v>
      </c>
      <c r="C27" s="2">
        <f>+C22</f>
        <v>2019</v>
      </c>
      <c r="D27" s="3">
        <f>'PRMDIST Sales by Year (18-20)'!D27/'PRMDIST Sales by Year (18-20)'!D62</f>
        <v>0.012496462869659218</v>
      </c>
      <c r="E27" s="3">
        <f>'PRMDIST Sales by Year (18-20)'!E27/'PRMDIST Sales by Year (18-20)'!E$62</f>
        <v>0.012184986455856956</v>
      </c>
      <c r="F27" s="3">
        <f>'PRMDIST Sales by Year (18-20)'!F27/'PRMDIST Sales by Year (18-20)'!F$62</f>
        <v>0.012712865221546162</v>
      </c>
      <c r="G27" s="3">
        <f>'PRMDIST Sales by Year (18-20)'!G27/'PRMDIST Sales by Year (18-20)'!G$62</f>
        <v>0.012226505870793181</v>
      </c>
      <c r="H27" s="3">
        <f>'PRMDIST Sales by Year (18-20)'!H27/'PRMDIST Sales by Year (18-20)'!H$62</f>
        <v>0.012869952275247952</v>
      </c>
      <c r="I27" s="3">
        <f>'PRMDIST Sales by Year (18-20)'!I27/'PRMDIST Sales by Year (18-20)'!I$62</f>
        <v>0.013017046169888358</v>
      </c>
      <c r="J27" s="3">
        <f>'PRMDIST Sales by Year (18-20)'!J27/'PRMDIST Sales by Year (18-20)'!J$62</f>
        <v>0.013615639595639965</v>
      </c>
      <c r="K27" s="3">
        <f>'PRMDIST Sales by Year (18-20)'!K27/'PRMDIST Sales by Year (18-20)'!K$62</f>
        <v>0.013935940755743366</v>
      </c>
      <c r="L27" s="3">
        <f>'PRMDIST Sales by Year (18-20)'!L27/'PRMDIST Sales by Year (18-20)'!L$62</f>
        <v>0.013703989554591709</v>
      </c>
      <c r="M27" s="3">
        <f>'PRMDIST Sales by Year (18-20)'!M27/'PRMDIST Sales by Year (18-20)'!M$62</f>
        <v>0.013861202722122266</v>
      </c>
      <c r="N27" s="3">
        <f>'PRMDIST Sales by Year (18-20)'!N27/'PRMDIST Sales by Year (18-20)'!N$62</f>
        <v>0.012228834706755766</v>
      </c>
      <c r="O27" s="3">
        <f>'PRMDIST Sales by Year (18-20)'!O27/'PRMDIST Sales by Year (18-20)'!O$62</f>
        <v>0.012054864735432954</v>
      </c>
      <c r="P27" s="60">
        <f>'PRMDIST Sales by Year (18-20)'!P27/'PRMDIST Sales by Year (18-20)'!P$62</f>
        <v>0.012935712526768842</v>
      </c>
    </row>
    <row r="28" spans="1:16" ht="14.4" thickBot="1">
      <c r="A28" s="1">
        <f t="shared" si="0"/>
        <v>18</v>
      </c>
      <c r="B28" s="8" t="s">
        <v>7</v>
      </c>
      <c r="C28" s="2">
        <f>+C23</f>
        <v>2020</v>
      </c>
      <c r="D28" s="3">
        <f>'PRMDIST Sales by Year (18-20)'!D28/'PRMDIST Sales by Year (18-20)'!D63</f>
        <v>0.010486010086813317</v>
      </c>
      <c r="E28" s="3">
        <f>'PRMDIST Sales by Year (18-20)'!E28/'PRMDIST Sales by Year (18-20)'!E63</f>
        <v>0.011416044166841504</v>
      </c>
      <c r="F28" s="3">
        <f>'PRMDIST Sales by Year (18-20)'!F28/'PRMDIST Sales by Year (18-20)'!F63</f>
        <v>0.011418449884103668</v>
      </c>
      <c r="G28" s="3">
        <f>'PRMDIST Sales by Year (18-20)'!G28/'PRMDIST Sales by Year (18-20)'!G63</f>
        <v>0.012719905793297296</v>
      </c>
      <c r="H28" s="3">
        <f>'PRMDIST Sales by Year (18-20)'!H28/'PRMDIST Sales by Year (18-20)'!H63</f>
        <v>0.011868612987629579</v>
      </c>
      <c r="I28" s="3">
        <f>'PRMDIST Sales by Year (18-20)'!I28/'PRMDIST Sales by Year (18-20)'!I63</f>
        <v>0.014284549486509134</v>
      </c>
      <c r="J28" s="3">
        <f>'PRMDIST Sales by Year (18-20)'!J28/'PRMDIST Sales by Year (18-20)'!J63</f>
        <v>0.014350570566496128</v>
      </c>
      <c r="K28" s="3">
        <f>'PRMDIST Sales by Year (18-20)'!K28/'PRMDIST Sales by Year (18-20)'!K63</f>
        <v>0.01430717742245944</v>
      </c>
      <c r="L28" s="3">
        <f>'PRMDIST Sales by Year (18-20)'!L28/'PRMDIST Sales by Year (18-20)'!L63</f>
        <v>0.014301744559810228</v>
      </c>
      <c r="M28" s="3">
        <f>'PRMDIST Sales by Year (18-20)'!M28/'PRMDIST Sales by Year (18-20)'!M63</f>
        <v>0.01364310064331104</v>
      </c>
      <c r="N28" s="3">
        <f>'PRMDIST Sales by Year (18-20)'!N28/'PRMDIST Sales by Year (18-20)'!N63</f>
        <v>0.012922293693080855</v>
      </c>
      <c r="O28" s="3">
        <f>'PRMDIST Sales by Year (18-20)'!O28/'PRMDIST Sales by Year (18-20)'!O63</f>
        <v>0.012825843798247905</v>
      </c>
      <c r="P28" s="60">
        <f>'PRMDIST Sales by Year (18-20)'!P28/'PRMDIST Sales by Year (18-20)'!P63</f>
        <v>0.012876731686987473</v>
      </c>
    </row>
    <row r="29" spans="1:16" ht="13.8">
      <c r="A29" s="1">
        <f t="shared" si="0"/>
        <v>19</v>
      </c>
      <c r="B29" s="8" t="s">
        <v>7</v>
      </c>
      <c r="C29" s="57" t="s">
        <v>1</v>
      </c>
      <c r="D29" s="58">
        <f>'PRMDIST Sales by Year (18-20)'!D29/'PRMDIST Sales by Year (18-20)'!D64</f>
        <v>0.012577132262369289</v>
      </c>
      <c r="E29" s="58">
        <f>'PRMDIST Sales by Year (18-20)'!E29/'PRMDIST Sales by Year (18-20)'!E64</f>
        <v>0.012373841847444706</v>
      </c>
      <c r="F29" s="58">
        <f>'PRMDIST Sales by Year (18-20)'!F29/'PRMDIST Sales by Year (18-20)'!F64</f>
        <v>0.012683624528171515</v>
      </c>
      <c r="G29" s="58">
        <f>'PRMDIST Sales by Year (18-20)'!G29/'PRMDIST Sales by Year (18-20)'!G64</f>
        <v>0.012975132117503325</v>
      </c>
      <c r="H29" s="58">
        <f>'PRMDIST Sales by Year (18-20)'!H29/'PRMDIST Sales by Year (18-20)'!H64</f>
        <v>0.01300334812215757</v>
      </c>
      <c r="I29" s="58">
        <f>'PRMDIST Sales by Year (18-20)'!I29/'PRMDIST Sales by Year (18-20)'!I64</f>
        <v>0.014023058237661619</v>
      </c>
      <c r="J29" s="58">
        <f>'PRMDIST Sales by Year (18-20)'!J29/'PRMDIST Sales by Year (18-20)'!J64</f>
        <v>0.014092221147348998</v>
      </c>
      <c r="K29" s="58">
        <f>'PRMDIST Sales by Year (18-20)'!K29/'PRMDIST Sales by Year (18-20)'!K64</f>
        <v>0.0146533017758982</v>
      </c>
      <c r="L29" s="58">
        <f>'PRMDIST Sales by Year (18-20)'!L29/'PRMDIST Sales by Year (18-20)'!L64</f>
        <v>0.014312172427639608</v>
      </c>
      <c r="M29" s="58">
        <f>'PRMDIST Sales by Year (18-20)'!M29/'PRMDIST Sales by Year (18-20)'!M64</f>
        <v>0.014037376133317738</v>
      </c>
      <c r="N29" s="58">
        <f>'PRMDIST Sales by Year (18-20)'!N29/'PRMDIST Sales by Year (18-20)'!N64</f>
        <v>0.012689373055094697</v>
      </c>
      <c r="O29" s="58">
        <f>'PRMDIST Sales by Year (18-20)'!O29/'PRMDIST Sales by Year (18-20)'!O64</f>
        <v>0.012379360015238062</v>
      </c>
      <c r="P29" s="61">
        <f>'PRMDIST Sales by Year (18-20)'!P29/'PRMDIST Sales by Year (18-20)'!P64</f>
        <v>0.01335029864586214</v>
      </c>
    </row>
    <row r="30" spans="1:16" ht="13.8">
      <c r="A30" s="1">
        <f t="shared" si="0"/>
        <v>20</v>
      </c>
      <c r="B30" s="8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7" ht="13.8">
      <c r="A31" s="1">
        <f t="shared" si="0"/>
        <v>21</v>
      </c>
      <c r="B31" s="8" t="s">
        <v>8</v>
      </c>
      <c r="C31" s="2">
        <f>+C26</f>
        <v>2018</v>
      </c>
      <c r="D31" s="3">
        <f>'PRMDIST Sales by Year (18-20)'!D31/'PRMDIST Sales by Year (18-20)'!D61</f>
        <v>0.01939476383449425</v>
      </c>
      <c r="E31" s="3">
        <f>'PRMDIST Sales by Year (18-20)'!E31/'PRMDIST Sales by Year (18-20)'!E$61</f>
        <v>0.018495635032349113</v>
      </c>
      <c r="F31" s="3">
        <f>'PRMDIST Sales by Year (18-20)'!F31/'PRMDIST Sales by Year (18-20)'!F$61</f>
        <v>0.017540680821241088</v>
      </c>
      <c r="G31" s="3">
        <f>'PRMDIST Sales by Year (18-20)'!G31/'PRMDIST Sales by Year (18-20)'!G$61</f>
        <v>0.017547950910208828</v>
      </c>
      <c r="H31" s="3">
        <f>'PRMDIST Sales by Year (18-20)'!H31/'PRMDIST Sales by Year (18-20)'!H$61</f>
        <v>0.018763193863746034</v>
      </c>
      <c r="I31" s="3">
        <f>'PRMDIST Sales by Year (18-20)'!I31/'PRMDIST Sales by Year (18-20)'!I$61</f>
        <v>0.018589248854790952</v>
      </c>
      <c r="J31" s="3">
        <f>'PRMDIST Sales by Year (18-20)'!J31/'PRMDIST Sales by Year (18-20)'!J$61</f>
        <v>0.018250498370447506</v>
      </c>
      <c r="K31" s="3">
        <f>'PRMDIST Sales by Year (18-20)'!K31/'PRMDIST Sales by Year (18-20)'!K$61</f>
        <v>0.020231713841200854</v>
      </c>
      <c r="L31" s="3">
        <f>'PRMDIST Sales by Year (18-20)'!L31/'PRMDIST Sales by Year (18-20)'!L$61</f>
        <v>0.01973688127444629</v>
      </c>
      <c r="M31" s="3">
        <f>'PRMDIST Sales by Year (18-20)'!M31/'PRMDIST Sales by Year (18-20)'!M$61</f>
        <v>0.018592236581783186</v>
      </c>
      <c r="N31" s="3">
        <f>'PRMDIST Sales by Year (18-20)'!N31/'PRMDIST Sales by Year (18-20)'!N$61</f>
        <v>0.016367099406510002</v>
      </c>
      <c r="O31" s="3">
        <f>'PRMDIST Sales by Year (18-20)'!O31/'PRMDIST Sales by Year (18-20)'!O$61</f>
        <v>0.015743138964672592</v>
      </c>
      <c r="P31" s="60">
        <f>'PRMDIST Sales by Year (18-20)'!P31/'PRMDIST Sales by Year (18-20)'!P$61</f>
        <v>0.018279721609835951</v>
      </c>
      <c r="Q31" s="4"/>
    </row>
    <row r="32" spans="1:16" ht="13.8">
      <c r="A32" s="1">
        <f t="shared" si="0"/>
        <v>22</v>
      </c>
      <c r="B32" s="8" t="s">
        <v>8</v>
      </c>
      <c r="C32" s="2">
        <f>+C27</f>
        <v>2019</v>
      </c>
      <c r="D32" s="3">
        <f>'PRMDIST Sales by Year (18-20)'!D32/'PRMDIST Sales by Year (18-20)'!D62</f>
        <v>0.015708828110889833</v>
      </c>
      <c r="E32" s="3">
        <f>'PRMDIST Sales by Year (18-20)'!E32/'PRMDIST Sales by Year (18-20)'!E$62</f>
        <v>0.016674003095441106</v>
      </c>
      <c r="F32" s="3">
        <f>'PRMDIST Sales by Year (18-20)'!F32/'PRMDIST Sales by Year (18-20)'!F$62</f>
        <v>0.017000542826331472</v>
      </c>
      <c r="G32" s="3">
        <f>'PRMDIST Sales by Year (18-20)'!G32/'PRMDIST Sales by Year (18-20)'!G$62</f>
        <v>0.010988329099372121</v>
      </c>
      <c r="H32" s="3">
        <f>'PRMDIST Sales by Year (18-20)'!H32/'PRMDIST Sales by Year (18-20)'!H$62</f>
        <v>0.015852390601755344</v>
      </c>
      <c r="I32" s="3">
        <f>'PRMDIST Sales by Year (18-20)'!I32/'PRMDIST Sales by Year (18-20)'!I$62</f>
        <v>0.01614795423268266</v>
      </c>
      <c r="J32" s="3">
        <f>'PRMDIST Sales by Year (18-20)'!J32/'PRMDIST Sales by Year (18-20)'!J$62</f>
        <v>0.016860270994892998</v>
      </c>
      <c r="K32" s="3">
        <f>'PRMDIST Sales by Year (18-20)'!K32/'PRMDIST Sales by Year (18-20)'!K$62</f>
        <v>0.01638149735304761</v>
      </c>
      <c r="L32" s="3">
        <f>'PRMDIST Sales by Year (18-20)'!L32/'PRMDIST Sales by Year (18-20)'!L$62</f>
        <v>0.016961664172860953</v>
      </c>
      <c r="M32" s="3">
        <f>'PRMDIST Sales by Year (18-20)'!M32/'PRMDIST Sales by Year (18-20)'!M$62</f>
        <v>0.016315880294898048</v>
      </c>
      <c r="N32" s="3">
        <f>'PRMDIST Sales by Year (18-20)'!N32/'PRMDIST Sales by Year (18-20)'!N$62</f>
        <v>0.01485939826985851</v>
      </c>
      <c r="O32" s="3">
        <f>'PRMDIST Sales by Year (18-20)'!O32/'PRMDIST Sales by Year (18-20)'!O$62</f>
        <v>0.015638832889673156</v>
      </c>
      <c r="P32" s="60">
        <f>'PRMDIST Sales by Year (18-20)'!P32/'PRMDIST Sales by Year (18-20)'!P$62</f>
        <v>0.015812877001336698</v>
      </c>
    </row>
    <row r="33" spans="1:16" ht="14.4" thickBot="1">
      <c r="A33" s="1">
        <f t="shared" si="0"/>
        <v>23</v>
      </c>
      <c r="B33" s="8" t="s">
        <v>8</v>
      </c>
      <c r="C33" s="2">
        <f>+C28</f>
        <v>2020</v>
      </c>
      <c r="D33" s="3">
        <f>'PRMDIST Sales by Year (18-20)'!D33/'PRMDIST Sales by Year (18-20)'!D63</f>
        <v>0.01345513096305347</v>
      </c>
      <c r="E33" s="3">
        <f>'PRMDIST Sales by Year (18-20)'!E33/'PRMDIST Sales by Year (18-20)'!E63</f>
        <v>0.014210575159354311</v>
      </c>
      <c r="F33" s="3">
        <f>'PRMDIST Sales by Year (18-20)'!F33/'PRMDIST Sales by Year (18-20)'!F63</f>
        <v>0.014214115356717834</v>
      </c>
      <c r="G33" s="3">
        <f>'PRMDIST Sales by Year (18-20)'!G33/'PRMDIST Sales by Year (18-20)'!G63</f>
        <v>0.014647049061772346</v>
      </c>
      <c r="H33" s="3">
        <f>'PRMDIST Sales by Year (18-20)'!H33/'PRMDIST Sales by Year (18-20)'!H63</f>
        <v>0.014895897373061977</v>
      </c>
      <c r="I33" s="3">
        <f>'PRMDIST Sales by Year (18-20)'!I33/'PRMDIST Sales by Year (18-20)'!I63</f>
        <v>0.017333286297758755</v>
      </c>
      <c r="J33" s="3">
        <f>'PRMDIST Sales by Year (18-20)'!J33/'PRMDIST Sales by Year (18-20)'!J63</f>
        <v>0.01728391652526794</v>
      </c>
      <c r="K33" s="3">
        <f>'PRMDIST Sales by Year (18-20)'!K33/'PRMDIST Sales by Year (18-20)'!K63</f>
        <v>0.017249638748220546</v>
      </c>
      <c r="L33" s="3">
        <f>'PRMDIST Sales by Year (18-20)'!L33/'PRMDIST Sales by Year (18-20)'!L63</f>
        <v>0.017269944665233676</v>
      </c>
      <c r="M33" s="3">
        <f>'PRMDIST Sales by Year (18-20)'!M33/'PRMDIST Sales by Year (18-20)'!M63</f>
        <v>0.016331583926972471</v>
      </c>
      <c r="N33" s="3">
        <f>'PRMDIST Sales by Year (18-20)'!N33/'PRMDIST Sales by Year (18-20)'!N63</f>
        <v>0.01556800943238563</v>
      </c>
      <c r="O33" s="3">
        <f>'PRMDIST Sales by Year (18-20)'!O33/'PRMDIST Sales by Year (18-20)'!O63</f>
        <v>0.014766849369948218</v>
      </c>
      <c r="P33" s="60">
        <f>'PRMDIST Sales by Year (18-20)'!P33/'PRMDIST Sales by Year (18-20)'!P63</f>
        <v>0.015605282179667184</v>
      </c>
    </row>
    <row r="34" spans="1:16" ht="13.8">
      <c r="A34" s="1">
        <f t="shared" si="0"/>
        <v>24</v>
      </c>
      <c r="B34" s="8" t="s">
        <v>8</v>
      </c>
      <c r="C34" s="57" t="s">
        <v>1</v>
      </c>
      <c r="D34" s="58">
        <f>'PRMDIST Sales by Year (18-20)'!D34/'PRMDIST Sales by Year (18-20)'!D64</f>
        <v>0.015893351683794389</v>
      </c>
      <c r="E34" s="58">
        <f>'PRMDIST Sales by Year (18-20)'!E34/'PRMDIST Sales by Year (18-20)'!E64</f>
        <v>0.016296941939799463</v>
      </c>
      <c r="F34" s="58">
        <f>'PRMDIST Sales by Year (18-20)'!F34/'PRMDIST Sales by Year (18-20)'!F64</f>
        <v>0.016137419451299533</v>
      </c>
      <c r="G34" s="58">
        <f>'PRMDIST Sales by Year (18-20)'!G34/'PRMDIST Sales by Year (18-20)'!G64</f>
        <v>0.014301341022675858</v>
      </c>
      <c r="H34" s="58">
        <f>'PRMDIST Sales by Year (18-20)'!H34/'PRMDIST Sales by Year (18-20)'!H64</f>
        <v>0.016392524359345517</v>
      </c>
      <c r="I34" s="58">
        <f>'PRMDIST Sales by Year (18-20)'!I34/'PRMDIST Sales by Year (18-20)'!I64</f>
        <v>0.017297405693904103</v>
      </c>
      <c r="J34" s="58">
        <f>'PRMDIST Sales by Year (18-20)'!J34/'PRMDIST Sales by Year (18-20)'!J64</f>
        <v>0.01746203451046047</v>
      </c>
      <c r="K34" s="58">
        <f>'PRMDIST Sales by Year (18-20)'!K34/'PRMDIST Sales by Year (18-20)'!K64</f>
        <v>0.017903039311048998</v>
      </c>
      <c r="L34" s="58">
        <f>'PRMDIST Sales by Year (18-20)'!L34/'PRMDIST Sales by Year (18-20)'!L64</f>
        <v>0.017944621275958549</v>
      </c>
      <c r="M34" s="58">
        <f>'PRMDIST Sales by Year (18-20)'!M34/'PRMDIST Sales by Year (18-20)'!M64</f>
        <v>0.017044734377639113</v>
      </c>
      <c r="N34" s="58">
        <f>'PRMDIST Sales by Year (18-20)'!N34/'PRMDIST Sales by Year (18-20)'!N64</f>
        <v>0.015574596366955662</v>
      </c>
      <c r="O34" s="58">
        <f>'PRMDIST Sales by Year (18-20)'!O34/'PRMDIST Sales by Year (18-20)'!O64</f>
        <v>0.015391064675306487</v>
      </c>
      <c r="P34" s="61">
        <f>'PRMDIST Sales by Year (18-20)'!P34/'PRMDIST Sales by Year (18-20)'!P64</f>
        <v>0.016506773741626329</v>
      </c>
    </row>
    <row r="35" spans="1:3" ht="13.8">
      <c r="A35" s="1">
        <f t="shared" si="0"/>
        <v>25</v>
      </c>
      <c r="B35" s="8"/>
      <c r="C35" s="4"/>
    </row>
    <row r="36" spans="1:17" ht="13.8">
      <c r="A36" s="1">
        <f t="shared" si="0"/>
        <v>26</v>
      </c>
      <c r="B36" s="8" t="s">
        <v>3</v>
      </c>
      <c r="C36" s="2">
        <f>+C31</f>
        <v>2018</v>
      </c>
      <c r="D36" s="3">
        <f>'PRMDIST Sales by Year (18-20)'!D36/'PRMDIST Sales by Year (18-20)'!D61</f>
        <v>0.034143226099215898</v>
      </c>
      <c r="E36" s="3">
        <f>'PRMDIST Sales by Year (18-20)'!E36/'PRMDIST Sales by Year (18-20)'!E$61</f>
        <v>0.033220517179142622</v>
      </c>
      <c r="F36" s="3">
        <f>'PRMDIST Sales by Year (18-20)'!F36/'PRMDIST Sales by Year (18-20)'!F$61</f>
        <v>0.032613182908749525</v>
      </c>
      <c r="G36" s="3">
        <f>'PRMDIST Sales by Year (18-20)'!G36/'PRMDIST Sales by Year (18-20)'!G$61</f>
        <v>0.032796981318005479</v>
      </c>
      <c r="H36" s="3">
        <f>'PRMDIST Sales by Year (18-20)'!H36/'PRMDIST Sales by Year (18-20)'!H$61</f>
        <v>0.034813031970124468</v>
      </c>
      <c r="I36" s="3">
        <f>'PRMDIST Sales by Year (18-20)'!I36/'PRMDIST Sales by Year (18-20)'!I$61</f>
        <v>0.037579917964775944</v>
      </c>
      <c r="J36" s="3">
        <f>'PRMDIST Sales by Year (18-20)'!J36/'PRMDIST Sales by Year (18-20)'!J$61</f>
        <v>0.035124175689313482</v>
      </c>
      <c r="K36" s="3">
        <f>'PRMDIST Sales by Year (18-20)'!K36/'PRMDIST Sales by Year (18-20)'!K$61</f>
        <v>0.037412402773017883</v>
      </c>
      <c r="L36" s="3">
        <f>'PRMDIST Sales by Year (18-20)'!L36/'PRMDIST Sales by Year (18-20)'!L$61</f>
        <v>0.036005926231780283</v>
      </c>
      <c r="M36" s="3">
        <f>'PRMDIST Sales by Year (18-20)'!M36/'PRMDIST Sales by Year (18-20)'!M$61</f>
        <v>0.034761518731546211</v>
      </c>
      <c r="N36" s="3">
        <f>'PRMDIST Sales by Year (18-20)'!N36/'PRMDIST Sales by Year (18-20)'!N$61</f>
        <v>0.033087368394498766</v>
      </c>
      <c r="O36" s="3">
        <f>'PRMDIST Sales by Year (18-20)'!O36/'PRMDIST Sales by Year (18-20)'!O$61</f>
        <v>0.030397743099938066</v>
      </c>
      <c r="P36" s="60">
        <f>'PRMDIST Sales by Year (18-20)'!P36/'PRMDIST Sales by Year (18-20)'!P$61</f>
        <v>0.034398254915767215</v>
      </c>
      <c r="Q36" s="4"/>
    </row>
    <row r="37" spans="1:16" ht="13.8">
      <c r="A37" s="1">
        <f t="shared" si="0"/>
        <v>27</v>
      </c>
      <c r="B37" s="8" t="s">
        <v>3</v>
      </c>
      <c r="C37" s="2">
        <f>+C32</f>
        <v>2019</v>
      </c>
      <c r="D37" s="3">
        <f>'PRMDIST Sales by Year (18-20)'!D37/'PRMDIST Sales by Year (18-20)'!D62</f>
        <v>0.028691197818729145</v>
      </c>
      <c r="E37" s="3">
        <f>'PRMDIST Sales by Year (18-20)'!E37/'PRMDIST Sales by Year (18-20)'!E$62</f>
        <v>0.028970275243265793</v>
      </c>
      <c r="F37" s="3">
        <f>'PRMDIST Sales by Year (18-20)'!F37/'PRMDIST Sales by Year (18-20)'!F$62</f>
        <v>0.029729535753166964</v>
      </c>
      <c r="G37" s="3">
        <f>'PRMDIST Sales by Year (18-20)'!G37/'PRMDIST Sales by Year (18-20)'!G$62</f>
        <v>0.030159320306539197</v>
      </c>
      <c r="H37" s="3">
        <f>'PRMDIST Sales by Year (18-20)'!H37/'PRMDIST Sales by Year (18-20)'!H$62</f>
        <v>0.030792778431817151</v>
      </c>
      <c r="I37" s="3">
        <f>'PRMDIST Sales by Year (18-20)'!I37/'PRMDIST Sales by Year (18-20)'!I$62</f>
        <v>0.030637623739696054</v>
      </c>
      <c r="J37" s="3">
        <f>'PRMDIST Sales by Year (18-20)'!J37/'PRMDIST Sales by Year (18-20)'!J$62</f>
        <v>0.031515235490384846</v>
      </c>
      <c r="K37" s="3">
        <f>'PRMDIST Sales by Year (18-20)'!K37/'PRMDIST Sales by Year (18-20)'!K$62</f>
        <v>0.03155632762840456</v>
      </c>
      <c r="L37" s="3">
        <f>'PRMDIST Sales by Year (18-20)'!L37/'PRMDIST Sales by Year (18-20)'!L$62</f>
        <v>0.031090392178742259</v>
      </c>
      <c r="M37" s="3">
        <f>'PRMDIST Sales by Year (18-20)'!M37/'PRMDIST Sales by Year (18-20)'!M$62</f>
        <v>0.032982450592594442</v>
      </c>
      <c r="N37" s="3">
        <f>'PRMDIST Sales by Year (18-20)'!N37/'PRMDIST Sales by Year (18-20)'!N$62</f>
        <v>0.029853067147607555</v>
      </c>
      <c r="O37" s="3">
        <f>'PRMDIST Sales by Year (18-20)'!O37/'PRMDIST Sales by Year (18-20)'!O$62</f>
        <v>0.026817795103630485</v>
      </c>
      <c r="P37" s="60">
        <f>'PRMDIST Sales by Year (18-20)'!P37/'PRMDIST Sales by Year (18-20)'!P$62</f>
        <v>0.030277052379291625</v>
      </c>
    </row>
    <row r="38" spans="1:16" ht="14.4" thickBot="1">
      <c r="A38" s="1">
        <f t="shared" si="0"/>
        <v>28</v>
      </c>
      <c r="B38" s="8" t="s">
        <v>3</v>
      </c>
      <c r="C38" s="2">
        <f>+C33</f>
        <v>2020</v>
      </c>
      <c r="D38" s="3">
        <f>'PRMDIST Sales by Year (18-20)'!D38/'PRMDIST Sales by Year (18-20)'!D63</f>
        <v>0.024949154139097932</v>
      </c>
      <c r="E38" s="3">
        <f>'PRMDIST Sales by Year (18-20)'!E38/'PRMDIST Sales by Year (18-20)'!E63</f>
        <v>0.026993860502826081</v>
      </c>
      <c r="F38" s="3">
        <f>'PRMDIST Sales by Year (18-20)'!F38/'PRMDIST Sales by Year (18-20)'!F63</f>
        <v>0.025660672001232902</v>
      </c>
      <c r="G38" s="3">
        <f>'PRMDIST Sales by Year (18-20)'!G38/'PRMDIST Sales by Year (18-20)'!G63</f>
        <v>0.029465480275333585</v>
      </c>
      <c r="H38" s="3">
        <f>'PRMDIST Sales by Year (18-20)'!H38/'PRMDIST Sales by Year (18-20)'!H63</f>
        <v>0.02849250750120683</v>
      </c>
      <c r="I38" s="3">
        <f>'PRMDIST Sales by Year (18-20)'!I38/'PRMDIST Sales by Year (18-20)'!I63</f>
        <v>0.031794805033676529</v>
      </c>
      <c r="J38" s="3">
        <f>'PRMDIST Sales by Year (18-20)'!J38/'PRMDIST Sales by Year (18-20)'!J63</f>
        <v>0.032331060216686545</v>
      </c>
      <c r="K38" s="3">
        <f>'PRMDIST Sales by Year (18-20)'!K38/'PRMDIST Sales by Year (18-20)'!K63</f>
        <v>0.032664948890901865</v>
      </c>
      <c r="L38" s="3">
        <f>'PRMDIST Sales by Year (18-20)'!L38/'PRMDIST Sales by Year (18-20)'!L63</f>
        <v>0.032022233225988864</v>
      </c>
      <c r="M38" s="3">
        <f>'PRMDIST Sales by Year (18-20)'!M38/'PRMDIST Sales by Year (18-20)'!M63</f>
        <v>0.031588212743331144</v>
      </c>
      <c r="N38" s="3">
        <f>'PRMDIST Sales by Year (18-20)'!N38/'PRMDIST Sales by Year (18-20)'!N63</f>
        <v>0.030905080863346826</v>
      </c>
      <c r="O38" s="3">
        <f>'PRMDIST Sales by Year (18-20)'!O38/'PRMDIST Sales by Year (18-20)'!O63</f>
        <v>0.029948879703299604</v>
      </c>
      <c r="P38" s="60">
        <f>'PRMDIST Sales by Year (18-20)'!P38/'PRMDIST Sales by Year (18-20)'!P63</f>
        <v>0.029729506104776</v>
      </c>
    </row>
    <row r="39" spans="1:16" ht="13.8">
      <c r="A39" s="1">
        <f t="shared" si="0"/>
        <v>29</v>
      </c>
      <c r="B39" s="8" t="s">
        <v>3</v>
      </c>
      <c r="C39" s="57" t="s">
        <v>1</v>
      </c>
      <c r="D39" s="58">
        <f>'PRMDIST Sales by Year (18-20)'!D39/'PRMDIST Sales by Year (18-20)'!D64</f>
        <v>0.028808675233493283</v>
      </c>
      <c r="E39" s="58">
        <f>'PRMDIST Sales by Year (18-20)'!E39/'PRMDIST Sales by Year (18-20)'!E64</f>
        <v>0.029460354483901864</v>
      </c>
      <c r="F39" s="58">
        <f>'PRMDIST Sales by Year (18-20)'!F39/'PRMDIST Sales by Year (18-20)'!F64</f>
        <v>0.029088940854984896</v>
      </c>
      <c r="G39" s="58">
        <f>'PRMDIST Sales by Year (18-20)'!G39/'PRMDIST Sales by Year (18-20)'!G64</f>
        <v>0.030734965594257063</v>
      </c>
      <c r="H39" s="58">
        <f>'PRMDIST Sales by Year (18-20)'!H39/'PRMDIST Sales by Year (18-20)'!H64</f>
        <v>0.031197155478645138</v>
      </c>
      <c r="I39" s="58">
        <f>'PRMDIST Sales by Year (18-20)'!I39/'PRMDIST Sales by Year (18-20)'!I64</f>
        <v>0.033201741163771184</v>
      </c>
      <c r="J39" s="58">
        <f>'PRMDIST Sales by Year (18-20)'!J39/'PRMDIST Sales by Year (18-20)'!J64</f>
        <v>0.03298426229720236</v>
      </c>
      <c r="K39" s="58">
        <f>'PRMDIST Sales by Year (18-20)'!K39/'PRMDIST Sales by Year (18-20)'!K64</f>
        <v>0.033798244506175433</v>
      </c>
      <c r="L39" s="58">
        <f>'PRMDIST Sales by Year (18-20)'!L39/'PRMDIST Sales by Year (18-20)'!L64</f>
        <v>0.032958049998236448</v>
      </c>
      <c r="M39" s="58">
        <f>'PRMDIST Sales by Year (18-20)'!M39/'PRMDIST Sales by Year (18-20)'!M64</f>
        <v>0.033087129853916673</v>
      </c>
      <c r="N39" s="58">
        <f>'PRMDIST Sales by Year (18-20)'!N39/'PRMDIST Sales by Year (18-20)'!N64</f>
        <v>0.03122970941771162</v>
      </c>
      <c r="O39" s="58">
        <f>'PRMDIST Sales by Year (18-20)'!O39/'PRMDIST Sales by Year (18-20)'!O64</f>
        <v>0.028978781237505854</v>
      </c>
      <c r="P39" s="61">
        <f>'PRMDIST Sales by Year (18-20)'!P39/'PRMDIST Sales by Year (18-20)'!P64</f>
        <v>0.031367602532541859</v>
      </c>
    </row>
    <row r="40" spans="1:2" ht="13.8">
      <c r="A40" s="1">
        <f t="shared" si="0"/>
        <v>30</v>
      </c>
      <c r="B40" s="8"/>
    </row>
    <row r="41" spans="1:17" ht="13.8">
      <c r="A41" s="1">
        <f t="shared" si="0"/>
        <v>31</v>
      </c>
      <c r="B41" s="8" t="s">
        <v>9</v>
      </c>
      <c r="C41" s="2">
        <f>+C36</f>
        <v>2018</v>
      </c>
      <c r="D41" s="3">
        <f>'PRMDIST Sales by Year (18-20)'!D41/'PRMDIST Sales by Year (18-20)'!D61</f>
        <v>0.086461054645104063</v>
      </c>
      <c r="E41" s="3">
        <f>'PRMDIST Sales by Year (18-20)'!E41/'PRMDIST Sales by Year (18-20)'!E$61</f>
        <v>0.055108901268739123</v>
      </c>
      <c r="F41" s="3">
        <f>'PRMDIST Sales by Year (18-20)'!F41/'PRMDIST Sales by Year (18-20)'!F$61</f>
        <v>0.071066718498409578</v>
      </c>
      <c r="G41" s="3">
        <f>'PRMDIST Sales by Year (18-20)'!G41/'PRMDIST Sales by Year (18-20)'!G$61</f>
        <v>0.0746527800631544</v>
      </c>
      <c r="H41" s="3">
        <f>'PRMDIST Sales by Year (18-20)'!H41/'PRMDIST Sales by Year (18-20)'!H$61</f>
        <v>0.054852844717738304</v>
      </c>
      <c r="I41" s="3">
        <f>'PRMDIST Sales by Year (18-20)'!I41/'PRMDIST Sales by Year (18-20)'!I$61</f>
        <v>0.075436142976433099</v>
      </c>
      <c r="J41" s="3">
        <f>'PRMDIST Sales by Year (18-20)'!J41/'PRMDIST Sales by Year (18-20)'!J$61</f>
        <v>0.056734186169636373</v>
      </c>
      <c r="K41" s="3">
        <f>'PRMDIST Sales by Year (18-20)'!K41/'PRMDIST Sales by Year (18-20)'!K$61</f>
        <v>0.060841881740845684</v>
      </c>
      <c r="L41" s="3">
        <f>'PRMDIST Sales by Year (18-20)'!L41/'PRMDIST Sales by Year (18-20)'!L$61</f>
        <v>0.05948792663584649</v>
      </c>
      <c r="M41" s="3">
        <f>'PRMDIST Sales by Year (18-20)'!M41/'PRMDIST Sales by Year (18-20)'!M$61</f>
        <v>0.057493435635347652</v>
      </c>
      <c r="N41" s="3">
        <f>'PRMDIST Sales by Year (18-20)'!N41/'PRMDIST Sales by Year (18-20)'!N$61</f>
        <v>0.049826267435193805</v>
      </c>
      <c r="O41" s="3">
        <f>'PRMDIST Sales by Year (18-20)'!O41/'PRMDIST Sales by Year (18-20)'!O$61</f>
        <v>0.069453959309846006</v>
      </c>
      <c r="P41" s="60">
        <f>'PRMDIST Sales by Year (18-20)'!P41/'PRMDIST Sales by Year (18-20)'!P$61</f>
        <v>0.063862182308671495</v>
      </c>
      <c r="Q41" s="4"/>
    </row>
    <row r="42" spans="1:16" ht="13.8">
      <c r="A42" s="1">
        <f t="shared" si="0"/>
        <v>32</v>
      </c>
      <c r="B42" s="8" t="s">
        <v>9</v>
      </c>
      <c r="C42" s="2">
        <f>+C37</f>
        <v>2019</v>
      </c>
      <c r="D42" s="3">
        <f>'PRMDIST Sales by Year (18-20)'!D42/'PRMDIST Sales by Year (18-20)'!D62</f>
        <v>0.048930156173295186</v>
      </c>
      <c r="E42" s="3">
        <f>'PRMDIST Sales by Year (18-20)'!E42/'PRMDIST Sales by Year (18-20)'!E$62</f>
        <v>0.067388342333159448</v>
      </c>
      <c r="F42" s="3">
        <f>'PRMDIST Sales by Year (18-20)'!F42/'PRMDIST Sales by Year (18-20)'!F$62</f>
        <v>0.056689177796715035</v>
      </c>
      <c r="G42" s="3">
        <f>'PRMDIST Sales by Year (18-20)'!G42/'PRMDIST Sales by Year (18-20)'!G$62</f>
        <v>0.057542353086371144</v>
      </c>
      <c r="H42" s="3">
        <f>'PRMDIST Sales by Year (18-20)'!H42/'PRMDIST Sales by Year (18-20)'!H$62</f>
        <v>0.046847800512899836</v>
      </c>
      <c r="I42" s="3">
        <f>'PRMDIST Sales by Year (18-20)'!I42/'PRMDIST Sales by Year (18-20)'!I$62</f>
        <v>0.061538586262553811</v>
      </c>
      <c r="J42" s="3">
        <f>'PRMDIST Sales by Year (18-20)'!J42/'PRMDIST Sales by Year (18-20)'!J$62</f>
        <v>0.055098473821118051</v>
      </c>
      <c r="K42" s="3">
        <f>'PRMDIST Sales by Year (18-20)'!K42/'PRMDIST Sales by Year (18-20)'!K$62</f>
        <v>0.05359022843895847</v>
      </c>
      <c r="L42" s="3">
        <f>'PRMDIST Sales by Year (18-20)'!L42/'PRMDIST Sales by Year (18-20)'!L$62</f>
        <v>0.051190539384052346</v>
      </c>
      <c r="M42" s="3">
        <f>'PRMDIST Sales by Year (18-20)'!M42/'PRMDIST Sales by Year (18-20)'!M$62</f>
        <v>0.049542021521459929</v>
      </c>
      <c r="N42" s="3">
        <f>'PRMDIST Sales by Year (18-20)'!N42/'PRMDIST Sales by Year (18-20)'!N$62</f>
        <v>0.049351174978568731</v>
      </c>
      <c r="O42" s="3">
        <f>'PRMDIST Sales by Year (18-20)'!O42/'PRMDIST Sales by Year (18-20)'!O$62</f>
        <v>0.041643483292678037</v>
      </c>
      <c r="P42" s="60">
        <f>'PRMDIST Sales by Year (18-20)'!P42/'PRMDIST Sales by Year (18-20)'!P$62</f>
        <v>0.053210866456268879</v>
      </c>
    </row>
    <row r="43" spans="1:16" ht="14.4" thickBot="1">
      <c r="A43" s="1">
        <f t="shared" si="0"/>
        <v>33</v>
      </c>
      <c r="B43" s="8" t="s">
        <v>9</v>
      </c>
      <c r="C43" s="2">
        <f>+C38</f>
        <v>2020</v>
      </c>
      <c r="D43" s="3">
        <f>'PRMDIST Sales by Year (18-20)'!D43/'PRMDIST Sales by Year (18-20)'!D63</f>
        <v>0.052948333965856791</v>
      </c>
      <c r="E43" s="3">
        <f>'PRMDIST Sales by Year (18-20)'!E43/'PRMDIST Sales by Year (18-20)'!E63</f>
        <v>0.042868548510678534</v>
      </c>
      <c r="F43" s="3">
        <f>'PRMDIST Sales by Year (18-20)'!F43/'PRMDIST Sales by Year (18-20)'!F63</f>
        <v>0.054795694774682074</v>
      </c>
      <c r="G43" s="3">
        <f>'PRMDIST Sales by Year (18-20)'!G43/'PRMDIST Sales by Year (18-20)'!G63</f>
        <v>0.040099970405689717</v>
      </c>
      <c r="H43" s="3">
        <f>'PRMDIST Sales by Year (18-20)'!H43/'PRMDIST Sales by Year (18-20)'!H63</f>
        <v>0.056626455187802516</v>
      </c>
      <c r="I43" s="3">
        <f>'PRMDIST Sales by Year (18-20)'!I43/'PRMDIST Sales by Year (18-20)'!I63</f>
        <v>0.035792774033564262</v>
      </c>
      <c r="J43" s="3">
        <f>'PRMDIST Sales by Year (18-20)'!J43/'PRMDIST Sales by Year (18-20)'!J63</f>
        <v>0.049664227284628347</v>
      </c>
      <c r="K43" s="3">
        <f>'PRMDIST Sales by Year (18-20)'!K43/'PRMDIST Sales by Year (18-20)'!K63</f>
        <v>0.042557475842674518</v>
      </c>
      <c r="L43" s="3">
        <f>'PRMDIST Sales by Year (18-20)'!L43/'PRMDIST Sales by Year (18-20)'!L63</f>
        <v>0.033835092017842773</v>
      </c>
      <c r="M43" s="3">
        <f>'PRMDIST Sales by Year (18-20)'!M43/'PRMDIST Sales by Year (18-20)'!M63</f>
        <v>0.048989681683152118</v>
      </c>
      <c r="N43" s="3">
        <f>'PRMDIST Sales by Year (18-20)'!N43/'PRMDIST Sales by Year (18-20)'!N63</f>
        <v>0.054532003286753575</v>
      </c>
      <c r="O43" s="3">
        <f>'PRMDIST Sales by Year (18-20)'!O43/'PRMDIST Sales by Year (18-20)'!O63</f>
        <v>0.031486805373932995</v>
      </c>
      <c r="P43" s="60">
        <f>'PRMDIST Sales by Year (18-20)'!P43/'PRMDIST Sales by Year (18-20)'!P63</f>
        <v>0.045447697285030106</v>
      </c>
    </row>
    <row r="44" spans="1:16" ht="13.8">
      <c r="A44" s="1">
        <f t="shared" si="0"/>
        <v>34</v>
      </c>
      <c r="B44" s="8" t="s">
        <v>9</v>
      </c>
      <c r="C44" s="57" t="s">
        <v>1</v>
      </c>
      <c r="D44" s="58">
        <f>'PRMDIST Sales by Year (18-20)'!D44/'PRMDIST Sales by Year (18-20)'!D64</f>
        <v>0.061071093160643602</v>
      </c>
      <c r="E44" s="58">
        <f>'PRMDIST Sales by Year (18-20)'!E44/'PRMDIST Sales by Year (18-20)'!E64</f>
        <v>0.054992026902018883</v>
      </c>
      <c r="F44" s="58">
        <f>'PRMDIST Sales by Year (18-20)'!F44/'PRMDIST Sales by Year (18-20)'!F64</f>
        <v>0.060247627841319595</v>
      </c>
      <c r="G44" s="58">
        <f>'PRMDIST Sales by Year (18-20)'!G44/'PRMDIST Sales by Year (18-20)'!G64</f>
        <v>0.056754360828563555</v>
      </c>
      <c r="H44" s="58">
        <f>'PRMDIST Sales by Year (18-20)'!H44/'PRMDIST Sales by Year (18-20)'!H64</f>
        <v>0.052662538494696209</v>
      </c>
      <c r="I44" s="58">
        <f>'PRMDIST Sales by Year (18-20)'!I44/'PRMDIST Sales by Year (18-20)'!I64</f>
        <v>0.05773936046100657</v>
      </c>
      <c r="J44" s="58">
        <f>'PRMDIST Sales by Year (18-20)'!J44/'PRMDIST Sales by Year (18-20)'!J64</f>
        <v>0.053860931925305167</v>
      </c>
      <c r="K44" s="58">
        <f>'PRMDIST Sales by Year (18-20)'!K44/'PRMDIST Sales by Year (18-20)'!K64</f>
        <v>0.052131199049524818</v>
      </c>
      <c r="L44" s="58">
        <f>'PRMDIST Sales by Year (18-20)'!L44/'PRMDIST Sales by Year (18-20)'!L64</f>
        <v>0.048130946323267719</v>
      </c>
      <c r="M44" s="58">
        <f>'PRMDIST Sales by Year (18-20)'!M44/'PRMDIST Sales by Year (18-20)'!M64</f>
        <v>0.051887221234078781</v>
      </c>
      <c r="N44" s="58">
        <f>'PRMDIST Sales by Year (18-20)'!N44/'PRMDIST Sales by Year (18-20)'!N64</f>
        <v>0.051245592743945516</v>
      </c>
      <c r="O44" s="58">
        <f>'PRMDIST Sales by Year (18-20)'!O44/'PRMDIST Sales by Year (18-20)'!O64</f>
        <v>0.047307610601520937</v>
      </c>
      <c r="P44" s="61">
        <f>'PRMDIST Sales by Year (18-20)'!P44/'PRMDIST Sales by Year (18-20)'!P64</f>
        <v>0.05385681356492409</v>
      </c>
    </row>
    <row r="45" spans="1:3" ht="13.8">
      <c r="A45" s="1">
        <f t="shared" si="0"/>
        <v>35</v>
      </c>
      <c r="B45" s="8"/>
      <c r="C45" s="4"/>
    </row>
    <row r="46" spans="1:17" ht="13.8">
      <c r="A46" s="1">
        <f t="shared" si="0"/>
        <v>36</v>
      </c>
      <c r="B46" s="8" t="s">
        <v>4</v>
      </c>
      <c r="C46" s="2">
        <f>+C41</f>
        <v>2018</v>
      </c>
      <c r="D46" s="3">
        <f>'PRMDIST Sales by Year (18-20)'!D46/'PRMDIST Sales by Year (18-20)'!D61</f>
        <v>0.015032489669419273</v>
      </c>
      <c r="E46" s="3">
        <f>'PRMDIST Sales by Year (18-20)'!E46/'PRMDIST Sales by Year (18-20)'!E$61</f>
        <v>0.012834331135896805</v>
      </c>
      <c r="F46" s="3">
        <f>'PRMDIST Sales by Year (18-20)'!F46/'PRMDIST Sales by Year (18-20)'!F$61</f>
        <v>0.012505262322166534</v>
      </c>
      <c r="G46" s="3">
        <f>'PRMDIST Sales by Year (18-20)'!G46/'PRMDIST Sales by Year (18-20)'!G$61</f>
        <v>0.012148742782123956</v>
      </c>
      <c r="H46" s="3">
        <f>'PRMDIST Sales by Year (18-20)'!H46/'PRMDIST Sales by Year (18-20)'!H$61</f>
        <v>0.012344592923209583</v>
      </c>
      <c r="I46" s="3">
        <f>'PRMDIST Sales by Year (18-20)'!I46/'PRMDIST Sales by Year (18-20)'!I$61</f>
        <v>0.01193210761209023</v>
      </c>
      <c r="J46" s="3">
        <f>'PRMDIST Sales by Year (18-20)'!J46/'PRMDIST Sales by Year (18-20)'!J$61</f>
        <v>0.011858259540287446</v>
      </c>
      <c r="K46" s="3">
        <f>'PRMDIST Sales by Year (18-20)'!K46/'PRMDIST Sales by Year (18-20)'!K$61</f>
        <v>0.011900003896665396</v>
      </c>
      <c r="L46" s="3">
        <f>'PRMDIST Sales by Year (18-20)'!L46/'PRMDIST Sales by Year (18-20)'!L$61</f>
        <v>0.011992144377598853</v>
      </c>
      <c r="M46" s="3">
        <f>'PRMDIST Sales by Year (18-20)'!M46/'PRMDIST Sales by Year (18-20)'!M$61</f>
        <v>0.01148707006215588</v>
      </c>
      <c r="N46" s="3">
        <f>'PRMDIST Sales by Year (18-20)'!N46/'PRMDIST Sales by Year (18-20)'!N$61</f>
        <v>0.011352336118163404</v>
      </c>
      <c r="O46" s="3">
        <f>'PRMDIST Sales by Year (18-20)'!O46/'PRMDIST Sales by Year (18-20)'!O$61</f>
        <v>0.012125302045362401</v>
      </c>
      <c r="P46" s="60">
        <f>'PRMDIST Sales by Year (18-20)'!P46/'PRMDIST Sales by Year (18-20)'!P$61</f>
        <v>0.0122323942628168</v>
      </c>
      <c r="Q46" s="4"/>
    </row>
    <row r="47" spans="1:16" ht="13.8">
      <c r="A47" s="1">
        <f t="shared" si="0"/>
        <v>37</v>
      </c>
      <c r="B47" s="8" t="s">
        <v>4</v>
      </c>
      <c r="C47" s="2">
        <f>+C42</f>
        <v>2019</v>
      </c>
      <c r="D47" s="3">
        <f>'PRMDIST Sales by Year (18-20)'!D47/'PRMDIST Sales by Year (18-20)'!D62</f>
        <v>0.013022209029459305</v>
      </c>
      <c r="E47" s="3">
        <f>'PRMDIST Sales by Year (18-20)'!E47/'PRMDIST Sales by Year (18-20)'!E$62</f>
        <v>0.011698279649148359</v>
      </c>
      <c r="F47" s="3">
        <f>'PRMDIST Sales by Year (18-20)'!F47/'PRMDIST Sales by Year (18-20)'!F$62</f>
        <v>0.012034360730243549</v>
      </c>
      <c r="G47" s="3">
        <f>'PRMDIST Sales by Year (18-20)'!G47/'PRMDIST Sales by Year (18-20)'!G$62</f>
        <v>0.011934683213877676</v>
      </c>
      <c r="H47" s="3">
        <f>'PRMDIST Sales by Year (18-20)'!H47/'PRMDIST Sales by Year (18-20)'!H$62</f>
        <v>0.01138238417342005</v>
      </c>
      <c r="I47" s="3">
        <f>'PRMDIST Sales by Year (18-20)'!I47/'PRMDIST Sales by Year (18-20)'!I$62</f>
        <v>0.010697434718373608</v>
      </c>
      <c r="J47" s="3">
        <f>'PRMDIST Sales by Year (18-20)'!J47/'PRMDIST Sales by Year (18-20)'!J$62</f>
        <v>0.011511803261621458</v>
      </c>
      <c r="K47" s="3">
        <f>'PRMDIST Sales by Year (18-20)'!K47/'PRMDIST Sales by Year (18-20)'!K$62</f>
        <v>0.011497823668311301</v>
      </c>
      <c r="L47" s="3">
        <f>'PRMDIST Sales by Year (18-20)'!L47/'PRMDIST Sales by Year (18-20)'!L$62</f>
        <v>0.01225522752079272</v>
      </c>
      <c r="M47" s="3">
        <f>'PRMDIST Sales by Year (18-20)'!M47/'PRMDIST Sales by Year (18-20)'!M$62</f>
        <v>0.011313717562456992</v>
      </c>
      <c r="N47" s="3">
        <f>'PRMDIST Sales by Year (18-20)'!N47/'PRMDIST Sales by Year (18-20)'!N$62</f>
        <v>0.010489043005230746</v>
      </c>
      <c r="O47" s="3">
        <f>'PRMDIST Sales by Year (18-20)'!O47/'PRMDIST Sales by Year (18-20)'!O$62</f>
        <v>0.010424128168484008</v>
      </c>
      <c r="P47" s="60">
        <f>'PRMDIST Sales by Year (18-20)'!P47/'PRMDIST Sales by Year (18-20)'!P$62</f>
        <v>0.011504582684888933</v>
      </c>
    </row>
    <row r="48" spans="1:16" ht="14.4" thickBot="1">
      <c r="A48" s="1">
        <f t="shared" si="0"/>
        <v>38</v>
      </c>
      <c r="B48" s="8" t="s">
        <v>4</v>
      </c>
      <c r="C48" s="2">
        <f>+C43</f>
        <v>2020</v>
      </c>
      <c r="D48" s="3">
        <f>'PRMDIST Sales by Year (18-20)'!D48/'PRMDIST Sales by Year (18-20)'!D63</f>
        <v>0.010716967750323625</v>
      </c>
      <c r="E48" s="3">
        <f>'PRMDIST Sales by Year (18-20)'!E48/'PRMDIST Sales by Year (18-20)'!E63</f>
        <v>0.010089275834182523</v>
      </c>
      <c r="F48" s="3">
        <f>'PRMDIST Sales by Year (18-20)'!F48/'PRMDIST Sales by Year (18-20)'!F63</f>
        <v>0.010392694840800184</v>
      </c>
      <c r="G48" s="3">
        <f>'PRMDIST Sales by Year (18-20)'!G48/'PRMDIST Sales by Year (18-20)'!G63</f>
        <v>0.010713089060776832</v>
      </c>
      <c r="H48" s="3">
        <f>'PRMDIST Sales by Year (18-20)'!H48/'PRMDIST Sales by Year (18-20)'!H63</f>
        <v>0.0096675882095946571</v>
      </c>
      <c r="I48" s="3">
        <f>'PRMDIST Sales by Year (18-20)'!I48/'PRMDIST Sales by Year (18-20)'!I63</f>
        <v>0.010344155381259292</v>
      </c>
      <c r="J48" s="3">
        <f>'PRMDIST Sales by Year (18-20)'!J48/'PRMDIST Sales by Year (18-20)'!J63</f>
        <v>0.010403489812044191</v>
      </c>
      <c r="K48" s="3">
        <f>'PRMDIST Sales by Year (18-20)'!K48/'PRMDIST Sales by Year (18-20)'!K63</f>
        <v>0.010736655405044695</v>
      </c>
      <c r="L48" s="3">
        <f>'PRMDIST Sales by Year (18-20)'!L48/'PRMDIST Sales by Year (18-20)'!L63</f>
        <v>0.01089904328346039</v>
      </c>
      <c r="M48" s="3">
        <f>'PRMDIST Sales by Year (18-20)'!M48/'PRMDIST Sales by Year (18-20)'!M63</f>
        <v>0.010328423900820422</v>
      </c>
      <c r="N48" s="3">
        <f>'PRMDIST Sales by Year (18-20)'!N48/'PRMDIST Sales by Year (18-20)'!N63</f>
        <v>0.011120179379409243</v>
      </c>
      <c r="O48" s="3">
        <f>'PRMDIST Sales by Year (18-20)'!O48/'PRMDIST Sales by Year (18-20)'!O63</f>
        <v>0.010564485899419097</v>
      </c>
      <c r="P48" s="60">
        <f>'PRMDIST Sales by Year (18-20)'!P48/'PRMDIST Sales by Year (18-20)'!P63</f>
        <v>0.010502292520149611</v>
      </c>
    </row>
    <row r="49" spans="1:16" ht="13.8">
      <c r="A49" s="1">
        <f t="shared" si="0"/>
        <v>39</v>
      </c>
      <c r="B49" s="8" t="s">
        <v>4</v>
      </c>
      <c r="C49" s="57" t="s">
        <v>1</v>
      </c>
      <c r="D49" s="58">
        <f>'PRMDIST Sales by Year (18-20)'!D49/'PRMDIST Sales by Year (18-20)'!D64</f>
        <v>0.012713329151910783</v>
      </c>
      <c r="E49" s="58">
        <f>'PRMDIST Sales by Year (18-20)'!E49/'PRMDIST Sales by Year (18-20)'!E64</f>
        <v>0.01143672068694261</v>
      </c>
      <c r="F49" s="58">
        <f>'PRMDIST Sales by Year (18-20)'!F49/'PRMDIST Sales by Year (18-20)'!F64</f>
        <v>0.011571005960120048</v>
      </c>
      <c r="G49" s="58">
        <f>'PRMDIST Sales by Year (18-20)'!G49/'PRMDIST Sales by Year (18-20)'!G64</f>
        <v>0.011574209509814705</v>
      </c>
      <c r="H49" s="58">
        <f>'PRMDIST Sales by Year (18-20)'!H49/'PRMDIST Sales by Year (18-20)'!H64</f>
        <v>0.011072983635227279</v>
      </c>
      <c r="I49" s="58">
        <f>'PRMDIST Sales by Year (18-20)'!I49/'PRMDIST Sales by Year (18-20)'!I64</f>
        <v>0.010975501910500098</v>
      </c>
      <c r="J49" s="58">
        <f>'PRMDIST Sales by Year (18-20)'!J49/'PRMDIST Sales by Year (18-20)'!J64</f>
        <v>0.011263685890335011</v>
      </c>
      <c r="K49" s="58">
        <f>'PRMDIST Sales by Year (18-20)'!K49/'PRMDIST Sales by Year (18-20)'!K64</f>
        <v>0.011365939265414824</v>
      </c>
      <c r="L49" s="58">
        <f>'PRMDIST Sales by Year (18-20)'!L49/'PRMDIST Sales by Year (18-20)'!L64</f>
        <v>0.011726545284592915</v>
      </c>
      <c r="M49" s="58">
        <f>'PRMDIST Sales by Year (18-20)'!M49/'PRMDIST Sales by Year (18-20)'!M64</f>
        <v>0.011043118124449388</v>
      </c>
      <c r="N49" s="58">
        <f>'PRMDIST Sales by Year (18-20)'!N49/'PRMDIST Sales by Year (18-20)'!N64</f>
        <v>0.010974440650912647</v>
      </c>
      <c r="O49" s="58">
        <f>'PRMDIST Sales by Year (18-20)'!O49/'PRMDIST Sales by Year (18-20)'!O64</f>
        <v>0.011016310036299389</v>
      </c>
      <c r="P49" s="61">
        <f>'PRMDIST Sales by Year (18-20)'!P49/'PRMDIST Sales by Year (18-20)'!P64</f>
        <v>0.011387238765439966</v>
      </c>
    </row>
    <row r="50" spans="1:2" ht="13.8">
      <c r="A50" s="1">
        <f t="shared" si="0"/>
        <v>40</v>
      </c>
      <c r="B50" s="8"/>
    </row>
    <row r="51" spans="1:17" ht="13.8">
      <c r="A51" s="1">
        <f t="shared" si="0"/>
        <v>41</v>
      </c>
      <c r="B51" s="8" t="s">
        <v>2</v>
      </c>
      <c r="C51" s="2">
        <f>+C46</f>
        <v>2018</v>
      </c>
      <c r="D51" s="3">
        <f>'PRMDIST Sales by Year (18-20)'!D51/'PRMDIST Sales by Year (18-20)'!D61</f>
        <v>0.36241112589539887</v>
      </c>
      <c r="E51" s="3">
        <f>'PRMDIST Sales by Year (18-20)'!E51/'PRMDIST Sales by Year (18-20)'!E$61</f>
        <v>0.43464976134673328</v>
      </c>
      <c r="F51" s="3">
        <f>'PRMDIST Sales by Year (18-20)'!F51/'PRMDIST Sales by Year (18-20)'!F$61</f>
        <v>0.42405118304949996</v>
      </c>
      <c r="G51" s="3">
        <f>'PRMDIST Sales by Year (18-20)'!G51/'PRMDIST Sales by Year (18-20)'!G$61</f>
        <v>0.43929421000204144</v>
      </c>
      <c r="H51" s="3">
        <f>'PRMDIST Sales by Year (18-20)'!H51/'PRMDIST Sales by Year (18-20)'!H$61</f>
        <v>0.44575885165626961</v>
      </c>
      <c r="I51" s="3">
        <f>'PRMDIST Sales by Year (18-20)'!I51/'PRMDIST Sales by Year (18-20)'!I$61</f>
        <v>0.39175925012449841</v>
      </c>
      <c r="J51" s="3">
        <f>'PRMDIST Sales by Year (18-20)'!J51/'PRMDIST Sales by Year (18-20)'!J$61</f>
        <v>0.44953509548666687</v>
      </c>
      <c r="K51" s="3">
        <f>'PRMDIST Sales by Year (18-20)'!K51/'PRMDIST Sales by Year (18-20)'!K$61</f>
        <v>0.43051360941235872</v>
      </c>
      <c r="L51" s="3">
        <f>'PRMDIST Sales by Year (18-20)'!L51/'PRMDIST Sales by Year (18-20)'!L$61</f>
        <v>0.44294469471101644</v>
      </c>
      <c r="M51" s="3">
        <f>'PRMDIST Sales by Year (18-20)'!M51/'PRMDIST Sales by Year (18-20)'!M$61</f>
        <v>0.46984714758059887</v>
      </c>
      <c r="N51" s="3">
        <f>'PRMDIST Sales by Year (18-20)'!N51/'PRMDIST Sales by Year (18-20)'!N$61</f>
        <v>0.49264349514639122</v>
      </c>
      <c r="O51" s="3">
        <f>'PRMDIST Sales by Year (18-20)'!O51/'PRMDIST Sales by Year (18-20)'!O$61</f>
        <v>0.49466136386168874</v>
      </c>
      <c r="P51" s="60">
        <f>'PRMDIST Sales by Year (18-20)'!P51/'PRMDIST Sales by Year (18-20)'!P$61</f>
        <v>0.44148597609084267</v>
      </c>
      <c r="Q51" s="4"/>
    </row>
    <row r="52" spans="1:16" ht="13.8">
      <c r="A52" s="1">
        <f t="shared" si="0"/>
        <v>42</v>
      </c>
      <c r="B52" s="8" t="s">
        <v>2</v>
      </c>
      <c r="C52" s="2">
        <f>+C47</f>
        <v>2019</v>
      </c>
      <c r="D52" s="3">
        <f>'PRMDIST Sales by Year (18-20)'!D52/'PRMDIST Sales by Year (18-20)'!D62</f>
        <v>0.51254759626801272</v>
      </c>
      <c r="E52" s="3">
        <f>'PRMDIST Sales by Year (18-20)'!E52/'PRMDIST Sales by Year (18-20)'!E$62</f>
        <v>0.50610144895939368</v>
      </c>
      <c r="F52" s="3">
        <f>'PRMDIST Sales by Year (18-20)'!F52/'PRMDIST Sales by Year (18-20)'!F$62</f>
        <v>0.50706676064038747</v>
      </c>
      <c r="G52" s="3">
        <f>'PRMDIST Sales by Year (18-20)'!G52/'PRMDIST Sales by Year (18-20)'!G$62</f>
        <v>0.51669918900300382</v>
      </c>
      <c r="H52" s="3">
        <f>'PRMDIST Sales by Year (18-20)'!H52/'PRMDIST Sales by Year (18-20)'!H$62</f>
        <v>0.51135662600421694</v>
      </c>
      <c r="I52" s="3">
        <f>'PRMDIST Sales by Year (18-20)'!I52/'PRMDIST Sales by Year (18-20)'!I$62</f>
        <v>0.5027025002721428</v>
      </c>
      <c r="J52" s="3">
        <f>'PRMDIST Sales by Year (18-20)'!J52/'PRMDIST Sales by Year (18-20)'!J$62</f>
        <v>0.49415716712182922</v>
      </c>
      <c r="K52" s="3">
        <f>'PRMDIST Sales by Year (18-20)'!K52/'PRMDIST Sales by Year (18-20)'!K$62</f>
        <v>0.4852509118311466</v>
      </c>
      <c r="L52" s="3">
        <f>'PRMDIST Sales by Year (18-20)'!L52/'PRMDIST Sales by Year (18-20)'!L$62</f>
        <v>0.49669273500283939</v>
      </c>
      <c r="M52" s="3">
        <f>'PRMDIST Sales by Year (18-20)'!M52/'PRMDIST Sales by Year (18-20)'!M$62</f>
        <v>0.50310495808432876</v>
      </c>
      <c r="N52" s="3">
        <f>'PRMDIST Sales by Year (18-20)'!N52/'PRMDIST Sales by Year (18-20)'!N$62</f>
        <v>0.51952347206188521</v>
      </c>
      <c r="O52" s="3">
        <f>'PRMDIST Sales by Year (18-20)'!O52/'PRMDIST Sales by Year (18-20)'!O$62</f>
        <v>0.55589095808268574</v>
      </c>
      <c r="P52" s="60">
        <f>'PRMDIST Sales by Year (18-20)'!P52/'PRMDIST Sales by Year (18-20)'!P$62</f>
        <v>0.50901500554512435</v>
      </c>
    </row>
    <row r="53" spans="1:16" ht="14.4" thickBot="1">
      <c r="A53" s="1">
        <f t="shared" si="0"/>
        <v>43</v>
      </c>
      <c r="B53" s="8" t="s">
        <v>2</v>
      </c>
      <c r="C53" s="2">
        <f>+C48</f>
        <v>2020</v>
      </c>
      <c r="D53" s="3">
        <f>'PRMDIST Sales by Year (18-20)'!D53/'PRMDIST Sales by Year (18-20)'!D63</f>
        <v>0.55613377341837189</v>
      </c>
      <c r="E53" s="3">
        <f>'PRMDIST Sales by Year (18-20)'!E53/'PRMDIST Sales by Year (18-20)'!E63</f>
        <v>0.55036335811108128</v>
      </c>
      <c r="F53" s="3">
        <f>'PRMDIST Sales by Year (18-20)'!F53/'PRMDIST Sales by Year (18-20)'!F63</f>
        <v>0.52673108979225391</v>
      </c>
      <c r="G53" s="3">
        <f>'PRMDIST Sales by Year (18-20)'!G53/'PRMDIST Sales by Year (18-20)'!G63</f>
        <v>0.55192752632257336</v>
      </c>
      <c r="H53" s="3">
        <f>'PRMDIST Sales by Year (18-20)'!H53/'PRMDIST Sales by Year (18-20)'!H63</f>
        <v>0.53658582700655844</v>
      </c>
      <c r="I53" s="3">
        <f>'PRMDIST Sales by Year (18-20)'!I53/'PRMDIST Sales by Year (18-20)'!I63</f>
        <v>0.50395688563458219</v>
      </c>
      <c r="J53" s="3">
        <f>'PRMDIST Sales by Year (18-20)'!J53/'PRMDIST Sales by Year (18-20)'!J63</f>
        <v>0.49006106428387469</v>
      </c>
      <c r="K53" s="3">
        <f>'PRMDIST Sales by Year (18-20)'!K53/'PRMDIST Sales by Year (18-20)'!K63</f>
        <v>0.50589303736309987</v>
      </c>
      <c r="L53" s="3">
        <f>'PRMDIST Sales by Year (18-20)'!L53/'PRMDIST Sales by Year (18-20)'!L63</f>
        <v>0.50125272737170379</v>
      </c>
      <c r="M53" s="3">
        <f>'PRMDIST Sales by Year (18-20)'!M53/'PRMDIST Sales by Year (18-20)'!M63</f>
        <v>0.5060520943589677</v>
      </c>
      <c r="N53" s="3">
        <f>'PRMDIST Sales by Year (18-20)'!N53/'PRMDIST Sales by Year (18-20)'!N63</f>
        <v>0.51504925043549121</v>
      </c>
      <c r="O53" s="3">
        <f>'PRMDIST Sales by Year (18-20)'!O53/'PRMDIST Sales by Year (18-20)'!O63</f>
        <v>0.5403809585082453</v>
      </c>
      <c r="P53" s="60">
        <f>'PRMDIST Sales by Year (18-20)'!P53/'PRMDIST Sales by Year (18-20)'!P63</f>
        <v>0.52358559221791656</v>
      </c>
    </row>
    <row r="54" spans="1:16" ht="13.8">
      <c r="A54" s="1">
        <f t="shared" si="0"/>
        <v>44</v>
      </c>
      <c r="B54" s="8" t="s">
        <v>2</v>
      </c>
      <c r="C54" s="57" t="s">
        <v>1</v>
      </c>
      <c r="D54" s="58">
        <f>'PRMDIST Sales by Year (18-20)'!D54/'PRMDIST Sales by Year (18-20)'!D64</f>
        <v>0.48668398694092052</v>
      </c>
      <c r="E54" s="58">
        <f>'PRMDIST Sales by Year (18-20)'!E54/'PRMDIST Sales by Year (18-20)'!E64</f>
        <v>0.50187123819814805</v>
      </c>
      <c r="F54" s="58">
        <f>'PRMDIST Sales by Year (18-20)'!F54/'PRMDIST Sales by Year (18-20)'!F64</f>
        <v>0.4897257297738028</v>
      </c>
      <c r="G54" s="58">
        <f>'PRMDIST Sales by Year (18-20)'!G54/'PRMDIST Sales by Year (18-20)'!G64</f>
        <v>0.50500124814167491</v>
      </c>
      <c r="H54" s="58">
        <f>'PRMDIST Sales by Year (18-20)'!H54/'PRMDIST Sales by Year (18-20)'!H64</f>
        <v>0.5004658719663273</v>
      </c>
      <c r="I54" s="58">
        <f>'PRMDIST Sales by Year (18-20)'!I54/'PRMDIST Sales by Year (18-20)'!I64</f>
        <v>0.46801140282037607</v>
      </c>
      <c r="J54" s="58">
        <f>'PRMDIST Sales by Year (18-20)'!J54/'PRMDIST Sales by Year (18-20)'!J64</f>
        <v>0.47795834457135172</v>
      </c>
      <c r="K54" s="58">
        <f>'PRMDIST Sales by Year (18-20)'!K54/'PRMDIST Sales by Year (18-20)'!K64</f>
        <v>0.47488034275822993</v>
      </c>
      <c r="L54" s="58">
        <f>'PRMDIST Sales by Year (18-20)'!L54/'PRMDIST Sales by Year (18-20)'!L64</f>
        <v>0.481111709917873</v>
      </c>
      <c r="M54" s="58">
        <f>'PRMDIST Sales by Year (18-20)'!M54/'PRMDIST Sales by Year (18-20)'!M64</f>
        <v>0.49350640075198726</v>
      </c>
      <c r="N54" s="58">
        <f>'PRMDIST Sales by Year (18-20)'!N54/'PRMDIST Sales by Year (18-20)'!N64</f>
        <v>0.50951955670988613</v>
      </c>
      <c r="O54" s="58">
        <f>'PRMDIST Sales by Year (18-20)'!O54/'PRMDIST Sales by Year (18-20)'!O64</f>
        <v>0.53120302468771252</v>
      </c>
      <c r="P54" s="61">
        <f>'PRMDIST Sales by Year (18-20)'!P54/'PRMDIST Sales by Year (18-20)'!P64</f>
        <v>0.49306163100347522</v>
      </c>
    </row>
    <row r="55" spans="1:3" ht="13.8">
      <c r="A55" s="1">
        <f t="shared" si="0"/>
        <v>45</v>
      </c>
      <c r="B55" s="8"/>
      <c r="C55" s="4"/>
    </row>
    <row r="56" spans="1:16" ht="13.8">
      <c r="A56" s="1">
        <f t="shared" si="0"/>
        <v>46</v>
      </c>
      <c r="B56" s="8" t="s">
        <v>45</v>
      </c>
      <c r="C56" s="2">
        <f>+C51</f>
        <v>2018</v>
      </c>
      <c r="D56" s="3">
        <f>'PRMDIST Sales by Year (18-20)'!D56/'PRMDIST Sales by Year (18-20)'!D61</f>
        <v>0.022830221441326029</v>
      </c>
      <c r="E56" s="3">
        <f>'PRMDIST Sales by Year (18-20)'!E56/'PRMDIST Sales by Year (18-20)'!E$61</f>
        <v>0.022648324975888208</v>
      </c>
      <c r="F56" s="3">
        <f>'PRMDIST Sales by Year (18-20)'!F56/'PRMDIST Sales by Year (18-20)'!F$61</f>
        <v>0.021488540821290147</v>
      </c>
      <c r="G56" s="3">
        <f>'PRMDIST Sales by Year (18-20)'!G56/'PRMDIST Sales by Year (18-20)'!G$61</f>
        <v>0.02162806036480136</v>
      </c>
      <c r="H56" s="3">
        <f>'PRMDIST Sales by Year (18-20)'!H56/'PRMDIST Sales by Year (18-20)'!H$61</f>
        <v>0.021681481386631962</v>
      </c>
      <c r="I56" s="3">
        <f>'PRMDIST Sales by Year (18-20)'!I56/'PRMDIST Sales by Year (18-20)'!I$61</f>
        <v>0.023353726036543229</v>
      </c>
      <c r="J56" s="3">
        <f>'PRMDIST Sales by Year (18-20)'!J56/'PRMDIST Sales by Year (18-20)'!J$61</f>
        <v>0.022568141600366014</v>
      </c>
      <c r="K56" s="3">
        <f>'PRMDIST Sales by Year (18-20)'!K56/'PRMDIST Sales by Year (18-20)'!K$61</f>
        <v>0.024619992343154887</v>
      </c>
      <c r="L56" s="3">
        <f>'PRMDIST Sales by Year (18-20)'!L56/'PRMDIST Sales by Year (18-20)'!L$61</f>
        <v>0.024086646729987865</v>
      </c>
      <c r="M56" s="3">
        <f>'PRMDIST Sales by Year (18-20)'!M56/'PRMDIST Sales by Year (18-20)'!M$61</f>
        <v>0.022621658925650268</v>
      </c>
      <c r="N56" s="3">
        <f>'PRMDIST Sales by Year (18-20)'!N56/'PRMDIST Sales by Year (18-20)'!N$61</f>
        <v>0.020693992511040957</v>
      </c>
      <c r="O56" s="3">
        <f>'PRMDIST Sales by Year (18-20)'!O56/'PRMDIST Sales by Year (18-20)'!O$61</f>
        <v>0.019396826705929071</v>
      </c>
      <c r="P56" s="60">
        <f>'PRMDIST Sales by Year (18-20)'!P56/'PRMDIST Sales by Year (18-20)'!P$61</f>
        <v>0.022332288560255636</v>
      </c>
    </row>
    <row r="57" spans="1:16" ht="13.8">
      <c r="A57" s="1">
        <f t="shared" si="0"/>
        <v>47</v>
      </c>
      <c r="B57" s="8" t="s">
        <v>45</v>
      </c>
      <c r="C57" s="2">
        <f>+C52</f>
        <v>2019</v>
      </c>
      <c r="D57" s="3">
        <f>'PRMDIST Sales by Year (18-20)'!D57/'PRMDIST Sales by Year (18-20)'!D62</f>
        <v>0.019434733044685348</v>
      </c>
      <c r="E57" s="3">
        <f>'PRMDIST Sales by Year (18-20)'!E57/'PRMDIST Sales by Year (18-20)'!E$62</f>
        <v>0.017831453898407418</v>
      </c>
      <c r="F57" s="3">
        <f>'PRMDIST Sales by Year (18-20)'!F57/'PRMDIST Sales by Year (18-20)'!F$62</f>
        <v>0.019092092318999044</v>
      </c>
      <c r="G57" s="3">
        <f>'PRMDIST Sales by Year (18-20)'!G57/'PRMDIST Sales by Year (18-20)'!G$62</f>
        <v>0.017867841207615094</v>
      </c>
      <c r="H57" s="3">
        <f>'PRMDIST Sales by Year (18-20)'!H57/'PRMDIST Sales by Year (18-20)'!H$62</f>
        <v>0.01870647395176972</v>
      </c>
      <c r="I57" s="3">
        <f>'PRMDIST Sales by Year (18-20)'!I57/'PRMDIST Sales by Year (18-20)'!I$62</f>
        <v>0.019019318041437829</v>
      </c>
      <c r="J57" s="3">
        <f>'PRMDIST Sales by Year (18-20)'!J57/'PRMDIST Sales by Year (18-20)'!J$62</f>
        <v>0.019912169741734778</v>
      </c>
      <c r="K57" s="3">
        <f>'PRMDIST Sales by Year (18-20)'!K57/'PRMDIST Sales by Year (18-20)'!K$62</f>
        <v>0.021374227410787119</v>
      </c>
      <c r="L57" s="3">
        <f>'PRMDIST Sales by Year (18-20)'!L57/'PRMDIST Sales by Year (18-20)'!L$62</f>
        <v>0.021832383467896212</v>
      </c>
      <c r="M57" s="3">
        <f>'PRMDIST Sales by Year (18-20)'!M57/'PRMDIST Sales by Year (18-20)'!M$62</f>
        <v>0.020346006918020097</v>
      </c>
      <c r="N57" s="3">
        <f>'PRMDIST Sales by Year (18-20)'!N57/'PRMDIST Sales by Year (18-20)'!N$62</f>
        <v>0.018795191309904057</v>
      </c>
      <c r="O57" s="3">
        <f>'PRMDIST Sales by Year (18-20)'!O57/'PRMDIST Sales by Year (18-20)'!O$62</f>
        <v>0.017521580923004453</v>
      </c>
      <c r="P57" s="60">
        <f>'PRMDIST Sales by Year (18-20)'!P57/'PRMDIST Sales by Year (18-20)'!P$62</f>
        <v>0.019357743799813407</v>
      </c>
    </row>
    <row r="58" spans="1:16" ht="14.4" thickBot="1">
      <c r="A58" s="1">
        <f t="shared" si="0"/>
        <v>48</v>
      </c>
      <c r="B58" s="8" t="s">
        <v>45</v>
      </c>
      <c r="C58" s="2">
        <f>+C53</f>
        <v>2020</v>
      </c>
      <c r="D58" s="3">
        <f>'PRMDIST Sales by Year (18-20)'!D58/'PRMDIST Sales by Year (18-20)'!D63</f>
        <v>0.016817865556616678</v>
      </c>
      <c r="E58" s="3">
        <f>'PRMDIST Sales by Year (18-20)'!E58/'PRMDIST Sales by Year (18-20)'!E63</f>
        <v>0.017661995368205029</v>
      </c>
      <c r="F58" s="3">
        <f>'PRMDIST Sales by Year (18-20)'!F58/'PRMDIST Sales by Year (18-20)'!F63</f>
        <v>0.017204863855064048</v>
      </c>
      <c r="G58" s="3">
        <f>'PRMDIST Sales by Year (18-20)'!G58/'PRMDIST Sales by Year (18-20)'!G63</f>
        <v>0.016766023408339454</v>
      </c>
      <c r="H58" s="3">
        <f>'PRMDIST Sales by Year (18-20)'!H58/'PRMDIST Sales by Year (18-20)'!H63</f>
        <v>0.018551479410508307</v>
      </c>
      <c r="I58" s="3">
        <f>'PRMDIST Sales by Year (18-20)'!I58/'PRMDIST Sales by Year (18-20)'!I63</f>
        <v>0.020776274145912828</v>
      </c>
      <c r="J58" s="3">
        <f>'PRMDIST Sales by Year (18-20)'!J58/'PRMDIST Sales by Year (18-20)'!J63</f>
        <v>0.020446237323008321</v>
      </c>
      <c r="K58" s="3">
        <f>'PRMDIST Sales by Year (18-20)'!K58/'PRMDIST Sales by Year (18-20)'!K63</f>
        <v>0.022328136226171424</v>
      </c>
      <c r="L58" s="3">
        <f>'PRMDIST Sales by Year (18-20)'!L58/'PRMDIST Sales by Year (18-20)'!L63</f>
        <v>0.021486463143699612</v>
      </c>
      <c r="M58" s="3">
        <f>'PRMDIST Sales by Year (18-20)'!M58/'PRMDIST Sales by Year (18-20)'!M63</f>
        <v>0.020528713455062051</v>
      </c>
      <c r="N58" s="3">
        <f>'PRMDIST Sales by Year (18-20)'!N58/'PRMDIST Sales by Year (18-20)'!N63</f>
        <v>0.018982674293966668</v>
      </c>
      <c r="O58" s="3">
        <f>'PRMDIST Sales by Year (18-20)'!O58/'PRMDIST Sales by Year (18-20)'!O63</f>
        <v>0.018751087746765732</v>
      </c>
      <c r="P58" s="60">
        <f>'PRMDIST Sales by Year (18-20)'!P58/'PRMDIST Sales by Year (18-20)'!P63</f>
        <v>0.019205207231584344</v>
      </c>
    </row>
    <row r="59" spans="1:16" ht="13.8">
      <c r="A59" s="1">
        <f t="shared" si="0"/>
        <v>49</v>
      </c>
      <c r="B59" s="8" t="s">
        <v>45</v>
      </c>
      <c r="C59" s="57" t="s">
        <v>1</v>
      </c>
      <c r="D59" s="58">
        <f>'PRMDIST Sales by Year (18-20)'!D59/'PRMDIST Sales by Year (18-20)'!D64</f>
        <v>0.019398925207718552</v>
      </c>
      <c r="E59" s="58">
        <f>'PRMDIST Sales by Year (18-20)'!E59/'PRMDIST Sales by Year (18-20)'!E64</f>
        <v>0.019138918272275991</v>
      </c>
      <c r="F59" s="58">
        <f>'PRMDIST Sales by Year (18-20)'!F59/'PRMDIST Sales by Year (18-20)'!F64</f>
        <v>0.019108258256161258</v>
      </c>
      <c r="G59" s="58">
        <f>'PRMDIST Sales by Year (18-20)'!G59/'PRMDIST Sales by Year (18-20)'!G64</f>
        <v>0.018649097689252245</v>
      </c>
      <c r="H59" s="58">
        <f>'PRMDIST Sales by Year (18-20)'!H59/'PRMDIST Sales by Year (18-20)'!H64</f>
        <v>0.019545509838654791</v>
      </c>
      <c r="I59" s="58">
        <f>'PRMDIST Sales by Year (18-20)'!I59/'PRMDIST Sales by Year (18-20)'!I64</f>
        <v>0.020949492627570569</v>
      </c>
      <c r="J59" s="58">
        <f>'PRMDIST Sales by Year (18-20)'!J59/'PRMDIST Sales by Year (18-20)'!J64</f>
        <v>0.020971535772581602</v>
      </c>
      <c r="K59" s="58">
        <f>'PRMDIST Sales by Year (18-20)'!K59/'PRMDIST Sales by Year (18-20)'!K64</f>
        <v>0.022732710114274798</v>
      </c>
      <c r="L59" s="58">
        <f>'PRMDIST Sales by Year (18-20)'!L59/'PRMDIST Sales by Year (18-20)'!L64</f>
        <v>0.022435110862450647</v>
      </c>
      <c r="M59" s="58">
        <f>'PRMDIST Sales by Year (18-20)'!M59/'PRMDIST Sales by Year (18-20)'!M64</f>
        <v>0.021129843321779414</v>
      </c>
      <c r="N59" s="58">
        <f>'PRMDIST Sales by Year (18-20)'!N59/'PRMDIST Sales by Year (18-20)'!N64</f>
        <v>0.019458580154309051</v>
      </c>
      <c r="O59" s="58">
        <f>'PRMDIST Sales by Year (18-20)'!O59/'PRMDIST Sales by Year (18-20)'!O64</f>
        <v>0.018521082883891878</v>
      </c>
      <c r="P59" s="61">
        <f>'PRMDIST Sales by Year (18-20)'!P59/'PRMDIST Sales by Year (18-20)'!P64</f>
        <v>0.020227917202549631</v>
      </c>
    </row>
    <row r="60" spans="1:1" ht="13.8">
      <c r="A60" s="1">
        <f t="shared" si="0"/>
        <v>50</v>
      </c>
    </row>
    <row r="61" spans="1:16" ht="13.8">
      <c r="A61" s="1">
        <f t="shared" si="0"/>
        <v>51</v>
      </c>
      <c r="B61" s="1" t="s">
        <v>34</v>
      </c>
      <c r="C61" s="2">
        <f>+C56</f>
        <v>2018</v>
      </c>
      <c r="D61" s="11">
        <f t="shared" si="1" ref="D61:O61">SUM(D26,D31,D36,D41,D46,D51,D56,D21,D16,D11)</f>
        <v>1</v>
      </c>
      <c r="E61" s="11">
        <f t="shared" si="1"/>
        <v>1</v>
      </c>
      <c r="F61" s="11">
        <f t="shared" si="1"/>
        <v>0.99999999999999989</v>
      </c>
      <c r="G61" s="11">
        <f t="shared" si="1"/>
        <v>1</v>
      </c>
      <c r="H61" s="11">
        <f t="shared" si="1"/>
        <v>1</v>
      </c>
      <c r="I61" s="11">
        <f t="shared" si="1"/>
        <v>1.0000000000000002</v>
      </c>
      <c r="J61" s="11">
        <f t="shared" si="1"/>
        <v>1</v>
      </c>
      <c r="K61" s="11">
        <f t="shared" si="1"/>
        <v>0.99999999999999978</v>
      </c>
      <c r="L61" s="11">
        <f t="shared" si="1"/>
        <v>0.99999999999999978</v>
      </c>
      <c r="M61" s="11">
        <f t="shared" si="1"/>
        <v>0.99999999999999978</v>
      </c>
      <c r="N61" s="11">
        <f t="shared" si="1"/>
        <v>0.99999999999999989</v>
      </c>
      <c r="O61" s="11">
        <f t="shared" si="1"/>
        <v>1</v>
      </c>
      <c r="P61" s="11">
        <f>SUM(P26,P31,P36,P41,P46,P51,P56,P21,P16,P11)</f>
        <v>1</v>
      </c>
    </row>
    <row r="62" spans="1:16" ht="13.8">
      <c r="A62" s="1">
        <f t="shared" si="0"/>
        <v>52</v>
      </c>
      <c r="B62" s="1" t="s">
        <v>34</v>
      </c>
      <c r="C62" s="2">
        <f>+C57</f>
        <v>2019</v>
      </c>
      <c r="D62" s="11">
        <f t="shared" si="2" ref="D62:P62">SUM(D27,D32,D37,D42,D47,D52,D57,D22,D17,D12)</f>
        <v>1</v>
      </c>
      <c r="E62" s="11">
        <f t="shared" si="2"/>
        <v>1</v>
      </c>
      <c r="F62" s="11">
        <f t="shared" si="2"/>
        <v>1</v>
      </c>
      <c r="G62" s="11">
        <f t="shared" si="2"/>
        <v>1.0000000000000002</v>
      </c>
      <c r="H62" s="11">
        <f t="shared" si="2"/>
        <v>0.99999999999999989</v>
      </c>
      <c r="I62" s="11">
        <f t="shared" si="2"/>
        <v>1</v>
      </c>
      <c r="J62" s="11">
        <f t="shared" si="2"/>
        <v>1</v>
      </c>
      <c r="K62" s="11">
        <f t="shared" si="2"/>
        <v>0.99999999999999989</v>
      </c>
      <c r="L62" s="11">
        <f t="shared" si="2"/>
        <v>1</v>
      </c>
      <c r="M62" s="11">
        <f t="shared" si="2"/>
        <v>1</v>
      </c>
      <c r="N62" s="11">
        <f t="shared" si="2"/>
        <v>1</v>
      </c>
      <c r="O62" s="11">
        <f t="shared" si="2"/>
        <v>0.99999999999999978</v>
      </c>
      <c r="P62" s="11">
        <f t="shared" si="2"/>
        <v>0.99999999999999989</v>
      </c>
    </row>
    <row r="63" spans="1:16" ht="14.4" thickBot="1">
      <c r="A63" s="1">
        <f t="shared" si="0"/>
        <v>53</v>
      </c>
      <c r="B63" s="1" t="s">
        <v>34</v>
      </c>
      <c r="C63" s="2">
        <f>+C58</f>
        <v>2020</v>
      </c>
      <c r="D63" s="11">
        <f t="shared" si="3" ref="D63:P64">SUM(D28,D33,D38,D43,D48,D53,D58,D23,D18,D13)</f>
        <v>1</v>
      </c>
      <c r="E63" s="11">
        <f t="shared" si="3"/>
        <v>1</v>
      </c>
      <c r="F63" s="11">
        <f t="shared" si="3"/>
        <v>0.99999999999999989</v>
      </c>
      <c r="G63" s="11">
        <f t="shared" si="3"/>
        <v>1</v>
      </c>
      <c r="H63" s="11">
        <f t="shared" si="3"/>
        <v>1</v>
      </c>
      <c r="I63" s="11">
        <f t="shared" si="3"/>
        <v>1.0000000000000002</v>
      </c>
      <c r="J63" s="11">
        <f t="shared" si="3"/>
        <v>1</v>
      </c>
      <c r="K63" s="11">
        <f t="shared" si="3"/>
        <v>1</v>
      </c>
      <c r="L63" s="11">
        <f t="shared" si="3"/>
        <v>0.99999999999999978</v>
      </c>
      <c r="M63" s="11">
        <f t="shared" si="3"/>
        <v>1</v>
      </c>
      <c r="N63" s="11">
        <f t="shared" si="3"/>
        <v>1</v>
      </c>
      <c r="O63" s="11">
        <f t="shared" si="3"/>
        <v>0.99999999999999989</v>
      </c>
      <c r="P63" s="11">
        <f t="shared" si="3"/>
        <v>1</v>
      </c>
    </row>
    <row r="64" spans="1:16" ht="14.4" thickTop="1">
      <c r="A64" s="1">
        <f t="shared" si="0"/>
        <v>54</v>
      </c>
      <c r="B64" s="1" t="s">
        <v>34</v>
      </c>
      <c r="C64" s="63" t="str">
        <f>+C59</f>
        <v xml:space="preserve">Total </v>
      </c>
      <c r="D64" s="64">
        <f t="shared" si="3"/>
        <v>1</v>
      </c>
      <c r="E64" s="64">
        <f t="shared" si="3"/>
        <v>1</v>
      </c>
      <c r="F64" s="64">
        <f t="shared" si="3"/>
        <v>0.99999999999999989</v>
      </c>
      <c r="G64" s="64">
        <f t="shared" si="3"/>
        <v>1</v>
      </c>
      <c r="H64" s="64">
        <f t="shared" si="3"/>
        <v>1</v>
      </c>
      <c r="I64" s="64">
        <f t="shared" si="3"/>
        <v>1.0000000000000002</v>
      </c>
      <c r="J64" s="64">
        <f t="shared" si="3"/>
        <v>1</v>
      </c>
      <c r="K64" s="64">
        <f t="shared" si="3"/>
        <v>1</v>
      </c>
      <c r="L64" s="64">
        <f t="shared" si="3"/>
        <v>0.99999999999999989</v>
      </c>
      <c r="M64" s="64">
        <f t="shared" si="3"/>
        <v>1</v>
      </c>
      <c r="N64" s="64">
        <f t="shared" si="3"/>
        <v>0.99999999999999989</v>
      </c>
      <c r="O64" s="64">
        <f t="shared" si="3"/>
        <v>0.99999999999999989</v>
      </c>
      <c r="P64" s="64">
        <f t="shared" si="3"/>
        <v>1.0000000000000004</v>
      </c>
    </row>
  </sheetData>
  <mergeCells count="7">
    <mergeCell ref="B8:P8"/>
    <mergeCell ref="B5:F5"/>
    <mergeCell ref="B6:P6"/>
    <mergeCell ref="B1:P1"/>
    <mergeCell ref="B2:P2"/>
    <mergeCell ref="B3:P3"/>
    <mergeCell ref="B4:P4"/>
  </mergeCells>
  <printOptions horizontalCentered="1"/>
  <pageMargins left="0.5" right="0.5" top="0.7" bottom="1" header="0.5" footer="0.43"/>
  <pageSetup orientation="landscape" scale="53" r:id="rId1"/>
  <headerFooter alignWithMargins="0">
    <oddHeader>&amp;RWP/II-H-5.2/4
Page &amp;P of &amp;N</oddHeader>
    <oddFooter>&amp;R]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64"/>
  <sheetViews>
    <sheetView view="pageBreakPreview" zoomScaleNormal="100" zoomScaleSheetLayoutView="100" workbookViewId="0" topLeftCell="A1"/>
  </sheetViews>
  <sheetFormatPr defaultColWidth="9.11428571428571" defaultRowHeight="14.25"/>
  <cols>
    <col min="1" max="1" width="9.14285714285714" style="1"/>
    <col min="2" max="2" width="18.4285714285714" style="1" customWidth="1"/>
    <col min="3" max="3" width="6.85714285714286" style="1" customWidth="1"/>
    <col min="4" max="15" width="8.71428571428571" style="1" customWidth="1"/>
    <col min="16" max="16" width="9.71428571428571" style="1" customWidth="1"/>
    <col min="17" max="16384" width="9.14285714285714" style="1"/>
  </cols>
  <sheetData>
    <row r="1" spans="1:16" ht="15.6">
      <c r="A1" s="14"/>
      <c r="B1" s="70" t="s">
        <v>10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5.6">
      <c r="A2" s="14"/>
      <c r="B2" s="70" t="s">
        <v>11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15.6">
      <c r="A3" s="14"/>
      <c r="B3" s="70" t="s">
        <v>39</v>
      </c>
      <c r="C3" s="70"/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6" ht="15.6">
      <c r="A4" s="14"/>
      <c r="B4" s="70" t="str">
        <f>+'PRMDIST Seasonal Weights'!B4:P4</f>
        <v>FOR THE TEST YEAR ENDING DECEMBER 31, 2021</v>
      </c>
      <c r="C4" s="70"/>
      <c r="D4" s="70"/>
      <c r="E4" s="70"/>
      <c r="F4" s="70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5.6">
      <c r="A5" s="14"/>
      <c r="B5" s="70"/>
      <c r="C5" s="70"/>
      <c r="D5" s="70"/>
      <c r="E5" s="70"/>
      <c r="F5" s="70"/>
      <c r="G5" s="17"/>
      <c r="H5" s="17"/>
      <c r="I5" s="18"/>
      <c r="J5" s="18"/>
      <c r="K5" s="18"/>
      <c r="L5" s="18"/>
      <c r="M5" s="18"/>
      <c r="N5" s="18"/>
      <c r="O5" s="18"/>
      <c r="P5" s="18"/>
    </row>
    <row r="6" spans="1:16" ht="15.6">
      <c r="A6" s="14"/>
      <c r="B6" s="70" t="s">
        <v>38</v>
      </c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spans="1:16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  <c r="P7" s="18"/>
    </row>
    <row r="8" spans="1:16" ht="15.6">
      <c r="A8" s="14"/>
      <c r="B8" s="72" t="s">
        <v>49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  <c r="P9" s="19" t="s">
        <v>41</v>
      </c>
    </row>
    <row r="10" spans="1:16" ht="15.75" customHeight="1">
      <c r="A10" s="20" t="s">
        <v>27</v>
      </c>
      <c r="B10" s="21" t="s">
        <v>28</v>
      </c>
      <c r="C10" s="21" t="s">
        <v>33</v>
      </c>
      <c r="D10" s="22">
        <v>36892</v>
      </c>
      <c r="E10" s="23">
        <v>36923</v>
      </c>
      <c r="F10" s="23">
        <v>36951</v>
      </c>
      <c r="G10" s="23">
        <v>36982</v>
      </c>
      <c r="H10" s="23">
        <v>37012</v>
      </c>
      <c r="I10" s="23">
        <v>37043</v>
      </c>
      <c r="J10" s="23">
        <v>37073</v>
      </c>
      <c r="K10" s="23">
        <v>37104</v>
      </c>
      <c r="L10" s="23">
        <v>37135</v>
      </c>
      <c r="M10" s="23">
        <v>37165</v>
      </c>
      <c r="N10" s="23">
        <v>37196</v>
      </c>
      <c r="O10" s="23">
        <v>37226</v>
      </c>
      <c r="P10" s="24" t="s">
        <v>0</v>
      </c>
    </row>
    <row r="11" spans="1:16" ht="14.4">
      <c r="A11" s="1">
        <v>1</v>
      </c>
      <c r="B11" s="17" t="s">
        <v>29</v>
      </c>
      <c r="C11" s="4">
        <f>+'PRMDIST Weights by Year (18-20)'!C11</f>
        <v>2018</v>
      </c>
      <c r="D11" s="9">
        <v>419741.22899999999</v>
      </c>
      <c r="E11" s="9">
        <v>402068.73299999995</v>
      </c>
      <c r="F11" s="9">
        <v>403936.989</v>
      </c>
      <c r="G11" s="9">
        <v>416953.60100000002</v>
      </c>
      <c r="H11" s="9">
        <v>410283.51799999998</v>
      </c>
      <c r="I11" s="9">
        <v>482247.94199999998</v>
      </c>
      <c r="J11" s="9">
        <v>499940.076</v>
      </c>
      <c r="K11" s="9">
        <v>492263.52099999989</v>
      </c>
      <c r="L11" s="9">
        <v>489784.62600000005</v>
      </c>
      <c r="M11" s="9">
        <v>449913.68700000003</v>
      </c>
      <c r="N11" s="9">
        <v>415400.76399999997</v>
      </c>
      <c r="O11" s="9">
        <v>399893.11200000002</v>
      </c>
      <c r="P11" s="51">
        <f>SUM(D11:O11)</f>
        <v>5282427.7979999986</v>
      </c>
    </row>
    <row r="12" spans="1:16" ht="14.4">
      <c r="A12" s="1">
        <f>+A11+1</f>
        <v>2</v>
      </c>
      <c r="B12" s="17" t="s">
        <v>29</v>
      </c>
      <c r="C12" s="4">
        <f>+'PRMDIST Weights by Year (18-20)'!C12</f>
        <v>2019</v>
      </c>
      <c r="D12" s="9">
        <v>394734.32000000001</v>
      </c>
      <c r="E12" s="9">
        <v>408399.315</v>
      </c>
      <c r="F12" s="9">
        <v>396215.21400000004</v>
      </c>
      <c r="G12" s="9">
        <v>405144.50700000004</v>
      </c>
      <c r="H12" s="9">
        <v>427460.951</v>
      </c>
      <c r="I12" s="9">
        <v>450246.0560000001</v>
      </c>
      <c r="J12" s="9">
        <v>466387.40300000005</v>
      </c>
      <c r="K12" s="9">
        <v>484716.23600000009</v>
      </c>
      <c r="L12" s="9">
        <v>507613.13400000002</v>
      </c>
      <c r="M12" s="9">
        <v>478965.29799999995</v>
      </c>
      <c r="N12" s="9">
        <v>443768.94300000003</v>
      </c>
      <c r="O12" s="9">
        <v>412731.80800000002</v>
      </c>
      <c r="P12" s="52">
        <f>SUM(D12:O12)</f>
        <v>5276383.1850000005</v>
      </c>
    </row>
    <row r="13" spans="1:16" ht="15" thickBot="1">
      <c r="A13" s="1">
        <f t="shared" si="0" ref="A13:A64">+A12+1</f>
        <v>3</v>
      </c>
      <c r="B13" s="17" t="s">
        <v>29</v>
      </c>
      <c r="C13" s="4">
        <f>+'PRMDIST Weights by Year (18-20)'!C13</f>
        <v>2020</v>
      </c>
      <c r="D13" s="9">
        <v>406242.17100000003</v>
      </c>
      <c r="E13" s="9">
        <v>410473.76800000004</v>
      </c>
      <c r="F13" s="9">
        <v>429921.48200000008</v>
      </c>
      <c r="G13" s="9">
        <v>395894.34599999996</v>
      </c>
      <c r="H13" s="9">
        <v>394247.24899999995</v>
      </c>
      <c r="I13" s="9">
        <v>418410.64600000012</v>
      </c>
      <c r="J13" s="9">
        <v>465473.09800000006</v>
      </c>
      <c r="K13" s="9">
        <v>473808.1970000001</v>
      </c>
      <c r="L13" s="9">
        <v>482962.19699999999</v>
      </c>
      <c r="M13" s="9">
        <v>448978.61900000001</v>
      </c>
      <c r="N13" s="9">
        <v>419839.86199999991</v>
      </c>
      <c r="O13" s="9">
        <v>401386.37300000002</v>
      </c>
      <c r="P13" s="52">
        <f>SUM(D13:O13)</f>
        <v>5147638.0080000004</v>
      </c>
    </row>
    <row r="14" spans="1:16" ht="14.4">
      <c r="A14" s="1">
        <f t="shared" si="0"/>
        <v>4</v>
      </c>
      <c r="B14" s="17" t="s">
        <v>29</v>
      </c>
      <c r="C14" s="49" t="s">
        <v>1</v>
      </c>
      <c r="D14" s="50">
        <f t="shared" si="1" ref="D14:O14">SUM(D11:D13)</f>
        <v>1220717.72</v>
      </c>
      <c r="E14" s="50">
        <f t="shared" si="1"/>
        <v>1220941.8160000001</v>
      </c>
      <c r="F14" s="50">
        <f t="shared" si="1"/>
        <v>1230073.6850000001</v>
      </c>
      <c r="G14" s="50">
        <f t="shared" si="1"/>
        <v>1217992.4539999999</v>
      </c>
      <c r="H14" s="50">
        <f t="shared" si="1"/>
        <v>1231991.7179999999</v>
      </c>
      <c r="I14" s="50">
        <f t="shared" si="1"/>
        <v>1350904.6440000003</v>
      </c>
      <c r="J14" s="50">
        <f t="shared" si="1"/>
        <v>1431800.5770000001</v>
      </c>
      <c r="K14" s="50">
        <f t="shared" si="1"/>
        <v>1450787.9540000001</v>
      </c>
      <c r="L14" s="50">
        <f t="shared" si="1"/>
        <v>1480359.9569999999</v>
      </c>
      <c r="M14" s="50">
        <f t="shared" si="1"/>
        <v>1377857.6040000001</v>
      </c>
      <c r="N14" s="50">
        <f t="shared" si="1"/>
        <v>1279009.5689999999</v>
      </c>
      <c r="O14" s="50">
        <f t="shared" si="1"/>
        <v>1214011.2930000001</v>
      </c>
      <c r="P14" s="53">
        <f>SUM(D14:O14)</f>
        <v>15706448.991000002</v>
      </c>
    </row>
    <row r="15" spans="1:16" ht="13.8">
      <c r="A15" s="1">
        <f t="shared" si="0"/>
        <v>5</v>
      </c>
      <c r="B15" s="8"/>
      <c r="C15" s="1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3.8">
      <c r="A16" s="1">
        <f t="shared" si="0"/>
        <v>6</v>
      </c>
      <c r="B16" s="8" t="s">
        <v>5</v>
      </c>
      <c r="C16" s="4">
        <f>+C11</f>
        <v>2018</v>
      </c>
      <c r="D16" s="9">
        <v>37051.043000000005</v>
      </c>
      <c r="E16" s="9">
        <v>27456.431999999997</v>
      </c>
      <c r="F16" s="9">
        <v>38295.792000000001</v>
      </c>
      <c r="G16" s="9">
        <v>34656.828000000001</v>
      </c>
      <c r="H16" s="9">
        <v>34046.165000000001</v>
      </c>
      <c r="I16" s="9">
        <v>34646.972999999998</v>
      </c>
      <c r="J16" s="9">
        <v>38867.07</v>
      </c>
      <c r="K16" s="9">
        <v>36969.434999999998</v>
      </c>
      <c r="L16" s="9">
        <v>36494.842999999993</v>
      </c>
      <c r="M16" s="9">
        <v>33947.540000000001</v>
      </c>
      <c r="N16" s="9">
        <v>33975.260000000002</v>
      </c>
      <c r="O16" s="9">
        <v>32366.704000000005</v>
      </c>
      <c r="P16" s="52">
        <f>SUM(D16:O16)</f>
        <v>418774.08500000002</v>
      </c>
    </row>
    <row r="17" spans="1:16" ht="13.8">
      <c r="A17" s="1">
        <f t="shared" si="0"/>
        <v>7</v>
      </c>
      <c r="B17" s="8" t="s">
        <v>5</v>
      </c>
      <c r="C17" s="4">
        <f t="shared" si="2" ref="C17:C18">+C12</f>
        <v>2019</v>
      </c>
      <c r="D17" s="9">
        <v>31264.382000000001</v>
      </c>
      <c r="E17" s="9">
        <v>33973.732000000004</v>
      </c>
      <c r="F17" s="9">
        <v>31446.608</v>
      </c>
      <c r="G17" s="9">
        <v>32221.548999999999</v>
      </c>
      <c r="H17" s="9">
        <v>32970.765000000007</v>
      </c>
      <c r="I17" s="9">
        <v>34557.074999999997</v>
      </c>
      <c r="J17" s="9">
        <v>35168.671999999999</v>
      </c>
      <c r="K17" s="9">
        <v>35835.377999999997</v>
      </c>
      <c r="L17" s="9">
        <v>36963.048999999999</v>
      </c>
      <c r="M17" s="9">
        <v>35712.534999999996</v>
      </c>
      <c r="N17" s="9">
        <v>30888.287000000004</v>
      </c>
      <c r="O17" s="9">
        <v>35257.528999999995</v>
      </c>
      <c r="P17" s="52">
        <f>SUM(D17:O17)</f>
        <v>406259.56099999999</v>
      </c>
    </row>
    <row r="18" spans="1:16" ht="14.4" thickBot="1">
      <c r="A18" s="1">
        <f t="shared" si="0"/>
        <v>8</v>
      </c>
      <c r="B18" s="8" t="s">
        <v>5</v>
      </c>
      <c r="C18" s="4">
        <f t="shared" si="2"/>
        <v>2020</v>
      </c>
      <c r="D18" s="9">
        <v>33046.758999999998</v>
      </c>
      <c r="E18" s="9">
        <v>32561.636999999999</v>
      </c>
      <c r="F18" s="9">
        <v>33250.823000000004</v>
      </c>
      <c r="G18" s="9">
        <v>33541.962999999996</v>
      </c>
      <c r="H18" s="9">
        <v>30774.593999999997</v>
      </c>
      <c r="I18" s="9">
        <v>32099.743999999999</v>
      </c>
      <c r="J18" s="9">
        <v>34930.355000000003</v>
      </c>
      <c r="K18" s="9">
        <v>35281.870000000003</v>
      </c>
      <c r="L18" s="9">
        <v>36492.183000000005</v>
      </c>
      <c r="M18" s="9">
        <v>35675.186000000002</v>
      </c>
      <c r="N18" s="9">
        <v>34637.714</v>
      </c>
      <c r="O18" s="9">
        <v>31935.133000000002</v>
      </c>
      <c r="P18" s="52">
        <f>SUM(D18:O18)</f>
        <v>404227.96100000001</v>
      </c>
    </row>
    <row r="19" spans="1:16" ht="13.8">
      <c r="A19" s="1">
        <f t="shared" si="0"/>
        <v>9</v>
      </c>
      <c r="B19" s="8" t="s">
        <v>5</v>
      </c>
      <c r="C19" s="49" t="s">
        <v>1</v>
      </c>
      <c r="D19" s="50">
        <f t="shared" si="3" ref="D19:O19">SUM(D16:D18)</f>
        <v>101362.18400000001</v>
      </c>
      <c r="E19" s="50">
        <f t="shared" si="3"/>
        <v>93991.801000000007</v>
      </c>
      <c r="F19" s="50">
        <f t="shared" si="3"/>
        <v>102993.223</v>
      </c>
      <c r="G19" s="50">
        <f t="shared" si="3"/>
        <v>100420.34</v>
      </c>
      <c r="H19" s="50">
        <f t="shared" si="3"/>
        <v>97791.524000000005</v>
      </c>
      <c r="I19" s="50">
        <f t="shared" si="3"/>
        <v>101303.79199999999</v>
      </c>
      <c r="J19" s="50">
        <f t="shared" si="3"/>
        <v>108966.09700000001</v>
      </c>
      <c r="K19" s="50">
        <f t="shared" si="3"/>
        <v>108086.68299999999</v>
      </c>
      <c r="L19" s="50">
        <f t="shared" si="3"/>
        <v>109950.075</v>
      </c>
      <c r="M19" s="50">
        <f t="shared" si="3"/>
        <v>105335.261</v>
      </c>
      <c r="N19" s="50">
        <f t="shared" si="3"/>
        <v>99501.260999999999</v>
      </c>
      <c r="O19" s="50">
        <f t="shared" si="3"/>
        <v>99559.366000000009</v>
      </c>
      <c r="P19" s="53">
        <f>SUM(D19:O19)</f>
        <v>1229261.6069999996</v>
      </c>
    </row>
    <row r="20" spans="1:16" ht="13.8">
      <c r="A20" s="1">
        <f t="shared" si="0"/>
        <v>10</v>
      </c>
      <c r="B20" s="8"/>
      <c r="C20" s="1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3.8">
      <c r="A21" s="1">
        <f t="shared" si="0"/>
        <v>11</v>
      </c>
      <c r="B21" s="8" t="s">
        <v>6</v>
      </c>
      <c r="C21" s="4">
        <f>+C16</f>
        <v>2018</v>
      </c>
      <c r="D21" s="9">
        <v>10360.169000000002</v>
      </c>
      <c r="E21" s="9">
        <v>10560.933000000001</v>
      </c>
      <c r="F21" s="9">
        <v>9717.1720000000005</v>
      </c>
      <c r="G21" s="9">
        <v>10372.784</v>
      </c>
      <c r="H21" s="9">
        <v>10297.415999999999</v>
      </c>
      <c r="I21" s="9">
        <v>11106.974999999999</v>
      </c>
      <c r="J21" s="9">
        <v>11255.502</v>
      </c>
      <c r="K21" s="9">
        <v>10060.577000000001</v>
      </c>
      <c r="L21" s="9">
        <v>11299.615</v>
      </c>
      <c r="M21" s="9">
        <v>10740.657999999999</v>
      </c>
      <c r="N21" s="9">
        <v>10468.481</v>
      </c>
      <c r="O21" s="9">
        <v>10531.475</v>
      </c>
      <c r="P21" s="52">
        <f>SUM(D21:O21)</f>
        <v>126771.75700000001</v>
      </c>
    </row>
    <row r="22" spans="1:16" ht="13.8">
      <c r="A22" s="1">
        <f t="shared" si="0"/>
        <v>12</v>
      </c>
      <c r="B22" s="8" t="s">
        <v>6</v>
      </c>
      <c r="C22" s="4">
        <f t="shared" si="4" ref="C22:C23">+C17</f>
        <v>2019</v>
      </c>
      <c r="D22" s="9">
        <v>11232.255999999999</v>
      </c>
      <c r="E22" s="9">
        <v>10075.656000000001</v>
      </c>
      <c r="F22" s="9">
        <v>10162.173999999999</v>
      </c>
      <c r="G22" s="9">
        <v>10493.733</v>
      </c>
      <c r="H22" s="9">
        <v>10644.349</v>
      </c>
      <c r="I22" s="9">
        <v>10485.781999999999</v>
      </c>
      <c r="J22" s="9">
        <v>9740.4899999999998</v>
      </c>
      <c r="K22" s="9">
        <v>9649.4979999999996</v>
      </c>
      <c r="L22" s="9">
        <v>1633.1720000000003</v>
      </c>
      <c r="M22" s="9">
        <v>5635.4169999999995</v>
      </c>
      <c r="N22" s="9">
        <v>5089.6440000000002</v>
      </c>
      <c r="O22" s="9">
        <v>5488.8559999999998</v>
      </c>
      <c r="P22" s="52">
        <f>SUM(D22:O22)</f>
        <v>100331.027</v>
      </c>
    </row>
    <row r="23" spans="1:16" ht="14.4" thickBot="1">
      <c r="A23" s="1">
        <f t="shared" si="0"/>
        <v>13</v>
      </c>
      <c r="B23" s="8" t="s">
        <v>6</v>
      </c>
      <c r="C23" s="4">
        <f t="shared" si="4"/>
        <v>2020</v>
      </c>
      <c r="D23" s="9">
        <v>5829.8619999999992</v>
      </c>
      <c r="E23" s="9">
        <v>5580.8509999999997</v>
      </c>
      <c r="F23" s="9">
        <v>5302.4719999999998</v>
      </c>
      <c r="G23" s="9">
        <v>4909.4269999999997</v>
      </c>
      <c r="H23" s="9">
        <v>4919.9120000000003</v>
      </c>
      <c r="I23" s="9">
        <v>5196.7119999999995</v>
      </c>
      <c r="J23" s="9">
        <v>5253.2630000000008</v>
      </c>
      <c r="K23" s="9">
        <v>5035.0939999999991</v>
      </c>
      <c r="L23" s="9">
        <v>4825.2430000000004</v>
      </c>
      <c r="M23" s="9">
        <v>4648.6410000000005</v>
      </c>
      <c r="N23" s="9">
        <v>5351.3169999999991</v>
      </c>
      <c r="O23" s="9">
        <v>5023.3739999999998</v>
      </c>
      <c r="P23" s="52">
        <f>SUM(D23:O23)</f>
        <v>61876.167999999991</v>
      </c>
    </row>
    <row r="24" spans="1:16" ht="13.8">
      <c r="A24" s="1">
        <f t="shared" si="0"/>
        <v>14</v>
      </c>
      <c r="B24" s="8" t="s">
        <v>6</v>
      </c>
      <c r="C24" s="49" t="s">
        <v>1</v>
      </c>
      <c r="D24" s="50">
        <f t="shared" si="5" ref="D24:O24">SUM(D21:D23)</f>
        <v>27422.287000000004</v>
      </c>
      <c r="E24" s="50">
        <f t="shared" si="5"/>
        <v>26217.439999999999</v>
      </c>
      <c r="F24" s="50">
        <f t="shared" si="5"/>
        <v>25181.817999999999</v>
      </c>
      <c r="G24" s="50">
        <f t="shared" si="5"/>
        <v>25775.944</v>
      </c>
      <c r="H24" s="50">
        <f t="shared" si="5"/>
        <v>25861.677</v>
      </c>
      <c r="I24" s="50">
        <f t="shared" si="5"/>
        <v>26789.468999999997</v>
      </c>
      <c r="J24" s="50">
        <f t="shared" si="5"/>
        <v>26249.254999999997</v>
      </c>
      <c r="K24" s="50">
        <f t="shared" si="5"/>
        <v>24745.169000000002</v>
      </c>
      <c r="L24" s="50">
        <f t="shared" si="5"/>
        <v>17758.029999999999</v>
      </c>
      <c r="M24" s="50">
        <f t="shared" si="5"/>
        <v>21024.716</v>
      </c>
      <c r="N24" s="50">
        <f t="shared" si="5"/>
        <v>20909.441999999999</v>
      </c>
      <c r="O24" s="50">
        <f t="shared" si="5"/>
        <v>21043.705000000002</v>
      </c>
      <c r="P24" s="53">
        <f>SUM(D24:O24)</f>
        <v>288978.95199999999</v>
      </c>
    </row>
    <row r="25" spans="1:16" ht="13.8">
      <c r="A25" s="1">
        <f t="shared" si="0"/>
        <v>15</v>
      </c>
      <c r="B25" s="8"/>
      <c r="C25" s="12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13.8">
      <c r="A26" s="1">
        <f t="shared" si="0"/>
        <v>16</v>
      </c>
      <c r="B26" s="8" t="s">
        <v>7</v>
      </c>
      <c r="C26" s="4">
        <f>+C21</f>
        <v>2018</v>
      </c>
      <c r="D26" s="9">
        <v>16286.531000000001</v>
      </c>
      <c r="E26" s="9">
        <v>14875.866</v>
      </c>
      <c r="F26" s="9">
        <v>15809.613000000001</v>
      </c>
      <c r="G26" s="9">
        <v>16776.498</v>
      </c>
      <c r="H26" s="9">
        <v>16566.725999999999</v>
      </c>
      <c r="I26" s="9">
        <v>18476.577000000001</v>
      </c>
      <c r="J26" s="9">
        <v>20118.850999999999</v>
      </c>
      <c r="K26" s="9">
        <v>21361.411</v>
      </c>
      <c r="L26" s="9">
        <v>20637.629000000001</v>
      </c>
      <c r="M26" s="9">
        <v>19543.786</v>
      </c>
      <c r="N26" s="9">
        <v>16397.554</v>
      </c>
      <c r="O26" s="9">
        <v>15731.920999999999</v>
      </c>
      <c r="P26" s="52">
        <f>SUM(D26:O26)</f>
        <v>212582.96299999999</v>
      </c>
    </row>
    <row r="27" spans="1:16" ht="13.8">
      <c r="A27" s="1">
        <f t="shared" si="0"/>
        <v>17</v>
      </c>
      <c r="B27" s="8" t="s">
        <v>7</v>
      </c>
      <c r="C27" s="4">
        <f t="shared" si="6" ref="C27:C28">+C22</f>
        <v>2019</v>
      </c>
      <c r="D27" s="9">
        <v>15648.134000000002</v>
      </c>
      <c r="E27" s="9">
        <v>16255.526</v>
      </c>
      <c r="F27" s="9">
        <v>16101.838</v>
      </c>
      <c r="G27" s="9">
        <v>15983.805</v>
      </c>
      <c r="H27" s="9">
        <v>17214.285</v>
      </c>
      <c r="I27" s="9">
        <v>18620.630999999998</v>
      </c>
      <c r="J27" s="9">
        <v>19482.396000000001</v>
      </c>
      <c r="K27" s="9">
        <v>20165.361000000001</v>
      </c>
      <c r="L27" s="9">
        <v>21009.859999999997</v>
      </c>
      <c r="M27" s="9">
        <v>20458.089999999997</v>
      </c>
      <c r="N27" s="9">
        <v>17009.998</v>
      </c>
      <c r="O27" s="9">
        <v>17082.736000000001</v>
      </c>
      <c r="P27" s="52">
        <f>SUM(D27:O27)</f>
        <v>215032.65999999997</v>
      </c>
    </row>
    <row r="28" spans="1:16" ht="14.4" thickBot="1">
      <c r="A28" s="1">
        <f t="shared" si="0"/>
        <v>18</v>
      </c>
      <c r="B28" s="8" t="s">
        <v>7</v>
      </c>
      <c r="C28" s="4">
        <f t="shared" si="6"/>
        <v>2020</v>
      </c>
      <c r="D28" s="9">
        <v>14841.423000000001</v>
      </c>
      <c r="E28" s="9">
        <v>15690.810000000001</v>
      </c>
      <c r="F28" s="9">
        <v>15752.452000000001</v>
      </c>
      <c r="G28" s="9">
        <v>17069.828000000001</v>
      </c>
      <c r="H28" s="9">
        <v>15782.953000000001</v>
      </c>
      <c r="I28" s="9">
        <v>17799.462</v>
      </c>
      <c r="J28" s="9">
        <v>19855.726000000002</v>
      </c>
      <c r="K28" s="9">
        <v>20763.334999999999</v>
      </c>
      <c r="L28" s="9">
        <v>20323.793999999998</v>
      </c>
      <c r="M28" s="9">
        <v>18935.828000000001</v>
      </c>
      <c r="N28" s="9">
        <v>17429.412</v>
      </c>
      <c r="O28" s="9">
        <v>16473.933000000001</v>
      </c>
      <c r="P28" s="52">
        <f>SUM(D28:O28)</f>
        <v>210718.95600000001</v>
      </c>
    </row>
    <row r="29" spans="1:16" ht="13.8">
      <c r="A29" s="1">
        <f t="shared" si="0"/>
        <v>19</v>
      </c>
      <c r="B29" s="8" t="s">
        <v>7</v>
      </c>
      <c r="C29" s="49" t="s">
        <v>1</v>
      </c>
      <c r="D29" s="50">
        <f t="shared" si="7" ref="D29:O29">SUM(D26:D28)</f>
        <v>46776.088000000003</v>
      </c>
      <c r="E29" s="50">
        <f t="shared" si="7"/>
        <v>46822.202000000005</v>
      </c>
      <c r="F29" s="50">
        <f t="shared" si="7"/>
        <v>47663.903000000006</v>
      </c>
      <c r="G29" s="50">
        <f t="shared" si="7"/>
        <v>49830.131000000001</v>
      </c>
      <c r="H29" s="50">
        <f t="shared" si="7"/>
        <v>49563.964</v>
      </c>
      <c r="I29" s="50">
        <f t="shared" si="7"/>
        <v>54896.669999999998</v>
      </c>
      <c r="J29" s="50">
        <f t="shared" si="7"/>
        <v>59456.973000000005</v>
      </c>
      <c r="K29" s="50">
        <f t="shared" si="7"/>
        <v>62290.106999999996</v>
      </c>
      <c r="L29" s="50">
        <f t="shared" si="7"/>
        <v>61971.282999999996</v>
      </c>
      <c r="M29" s="50">
        <f t="shared" si="7"/>
        <v>58937.703999999998</v>
      </c>
      <c r="N29" s="50">
        <f t="shared" si="7"/>
        <v>50836.963999999993</v>
      </c>
      <c r="O29" s="50">
        <f t="shared" si="7"/>
        <v>49288.589999999997</v>
      </c>
      <c r="P29" s="53">
        <f>SUM(D29:O29)</f>
        <v>638334.57900000003</v>
      </c>
    </row>
    <row r="30" spans="1:16" ht="14.4">
      <c r="A30" s="1">
        <f t="shared" si="0"/>
        <v>20</v>
      </c>
      <c r="B30" s="8"/>
      <c r="C30" s="13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ht="13.8">
      <c r="A31" s="1">
        <f t="shared" si="0"/>
        <v>21</v>
      </c>
      <c r="B31" s="8" t="s">
        <v>8</v>
      </c>
      <c r="C31" s="4">
        <f>+C26</f>
        <v>2018</v>
      </c>
      <c r="D31" s="9">
        <v>20395.109</v>
      </c>
      <c r="E31" s="9">
        <v>19891.169000000002</v>
      </c>
      <c r="F31" s="9">
        <v>19501.187999999998</v>
      </c>
      <c r="G31" s="9">
        <v>20902.209999999999</v>
      </c>
      <c r="H31" s="9">
        <v>21470.134999999998</v>
      </c>
      <c r="I31" s="9">
        <v>23017.182000000001</v>
      </c>
      <c r="J31" s="9">
        <v>25635.221999999998</v>
      </c>
      <c r="K31" s="9">
        <v>27366.82</v>
      </c>
      <c r="L31" s="9">
        <v>27153.596000000001</v>
      </c>
      <c r="M31" s="9">
        <v>24816.183999999997</v>
      </c>
      <c r="N31" s="9">
        <v>20728.965</v>
      </c>
      <c r="O31" s="9">
        <v>20151.195</v>
      </c>
      <c r="P31" s="52">
        <f>SUM(D31:O31)</f>
        <v>271028.97499999998</v>
      </c>
    </row>
    <row r="32" spans="1:16" ht="13.8">
      <c r="A32" s="1">
        <f t="shared" si="0"/>
        <v>22</v>
      </c>
      <c r="B32" s="8" t="s">
        <v>8</v>
      </c>
      <c r="C32" s="4">
        <f t="shared" si="8" ref="C32:C33">+C27</f>
        <v>2019</v>
      </c>
      <c r="D32" s="9">
        <v>19670.674000000003</v>
      </c>
      <c r="E32" s="9">
        <v>22244.151999999998</v>
      </c>
      <c r="F32" s="9">
        <v>21532.517</v>
      </c>
      <c r="G32" s="9">
        <v>14365.126999999999</v>
      </c>
      <c r="H32" s="9">
        <v>21203.464</v>
      </c>
      <c r="I32" s="9">
        <v>23099.333999999999</v>
      </c>
      <c r="J32" s="9">
        <v>24125.085999999999</v>
      </c>
      <c r="K32" s="9">
        <v>23704.091</v>
      </c>
      <c r="L32" s="9">
        <v>26004.266</v>
      </c>
      <c r="M32" s="9">
        <v>24081.008999999998</v>
      </c>
      <c r="N32" s="9">
        <v>20669.044999999998</v>
      </c>
      <c r="O32" s="9">
        <v>22161.513999999999</v>
      </c>
      <c r="P32" s="52">
        <f>SUM(D32:O32)</f>
        <v>262860.27900000004</v>
      </c>
    </row>
    <row r="33" spans="1:16" ht="14.4" thickBot="1">
      <c r="A33" s="1">
        <f t="shared" si="0"/>
        <v>23</v>
      </c>
      <c r="B33" s="8" t="s">
        <v>8</v>
      </c>
      <c r="C33" s="4">
        <f t="shared" si="8"/>
        <v>2020</v>
      </c>
      <c r="D33" s="9">
        <v>19043.782000000003</v>
      </c>
      <c r="E33" s="9">
        <v>19531.760000000002</v>
      </c>
      <c r="F33" s="9">
        <v>19609.244000000002</v>
      </c>
      <c r="G33" s="9">
        <v>19656.010999999999</v>
      </c>
      <c r="H33" s="9">
        <v>19808.654000000002</v>
      </c>
      <c r="I33" s="9">
        <v>21598.383000000002</v>
      </c>
      <c r="J33" s="9">
        <v>23914.360000000001</v>
      </c>
      <c r="K33" s="9">
        <v>25033.591</v>
      </c>
      <c r="L33" s="9">
        <v>24541.816999999999</v>
      </c>
      <c r="M33" s="9">
        <v>22667.286</v>
      </c>
      <c r="N33" s="9">
        <v>20997.917000000001</v>
      </c>
      <c r="O33" s="9">
        <v>18967.024000000001</v>
      </c>
      <c r="P33" s="52">
        <f>SUM(D33:O33)</f>
        <v>255369.82900000006</v>
      </c>
    </row>
    <row r="34" spans="1:16" ht="13.8">
      <c r="A34" s="1">
        <f t="shared" si="0"/>
        <v>24</v>
      </c>
      <c r="B34" s="8" t="s">
        <v>8</v>
      </c>
      <c r="C34" s="49" t="s">
        <v>1</v>
      </c>
      <c r="D34" s="50">
        <f t="shared" si="9" ref="D34:O34">SUM(D31:D33)</f>
        <v>59109.565000000002</v>
      </c>
      <c r="E34" s="50">
        <f t="shared" si="9"/>
        <v>61667.080999999998</v>
      </c>
      <c r="F34" s="50">
        <f t="shared" si="9"/>
        <v>60642.949000000008</v>
      </c>
      <c r="G34" s="50">
        <f t="shared" si="9"/>
        <v>54923.347999999998</v>
      </c>
      <c r="H34" s="50">
        <f t="shared" si="9"/>
        <v>62482.253000000004</v>
      </c>
      <c r="I34" s="50">
        <f t="shared" si="9"/>
        <v>67714.899000000005</v>
      </c>
      <c r="J34" s="50">
        <f t="shared" si="9"/>
        <v>73674.668000000005</v>
      </c>
      <c r="K34" s="50">
        <f t="shared" si="9"/>
        <v>76104.502000000008</v>
      </c>
      <c r="L34" s="50">
        <f t="shared" si="9"/>
        <v>77699.679000000004</v>
      </c>
      <c r="M34" s="50">
        <f t="shared" si="9"/>
        <v>71564.478999999992</v>
      </c>
      <c r="N34" s="50">
        <f t="shared" si="9"/>
        <v>62395.926999999996</v>
      </c>
      <c r="O34" s="50">
        <f t="shared" si="9"/>
        <v>61279.733000000007</v>
      </c>
      <c r="P34" s="53">
        <f>SUM(D34:O34)</f>
        <v>789259.08300000022</v>
      </c>
    </row>
    <row r="35" spans="1:16" ht="13.8">
      <c r="A35" s="1">
        <f t="shared" si="0"/>
        <v>25</v>
      </c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ht="13.8">
      <c r="A36" s="1">
        <f t="shared" si="0"/>
        <v>26</v>
      </c>
      <c r="B36" s="8" t="s">
        <v>3</v>
      </c>
      <c r="C36" s="4">
        <f>+C31</f>
        <v>2018</v>
      </c>
      <c r="D36" s="9">
        <v>35904.269</v>
      </c>
      <c r="E36" s="9">
        <v>35727.074000000001</v>
      </c>
      <c r="F36" s="9">
        <v>36258.330999999998</v>
      </c>
      <c r="G36" s="9">
        <v>39066.065000000002</v>
      </c>
      <c r="H36" s="9">
        <v>39835.462</v>
      </c>
      <c r="I36" s="9">
        <v>46531.402000000002</v>
      </c>
      <c r="J36" s="9">
        <v>49336.517999999996</v>
      </c>
      <c r="K36" s="9">
        <v>50606.612000000001</v>
      </c>
      <c r="L36" s="9">
        <v>49536.214</v>
      </c>
      <c r="M36" s="9">
        <v>46398.304000000004</v>
      </c>
      <c r="N36" s="9">
        <v>41905.220000000001</v>
      </c>
      <c r="O36" s="9">
        <v>38909.066999999995</v>
      </c>
      <c r="P36" s="52">
        <f>SUM(D36:O36)</f>
        <v>510014.538</v>
      </c>
    </row>
    <row r="37" spans="1:16" ht="13.8">
      <c r="A37" s="1">
        <f t="shared" si="0"/>
        <v>27</v>
      </c>
      <c r="B37" s="8" t="s">
        <v>3</v>
      </c>
      <c r="C37" s="4">
        <f t="shared" si="10" ref="C37:C38">+C32</f>
        <v>2019</v>
      </c>
      <c r="D37" s="9">
        <v>35927.262999999999</v>
      </c>
      <c r="E37" s="9">
        <v>38648.139999999999</v>
      </c>
      <c r="F37" s="9">
        <v>37654.781999999999</v>
      </c>
      <c r="G37" s="9">
        <v>39427.510999999999</v>
      </c>
      <c r="H37" s="9">
        <v>41187.073000000004</v>
      </c>
      <c r="I37" s="9">
        <v>43826.523999999998</v>
      </c>
      <c r="J37" s="9">
        <v>45094.635000000002</v>
      </c>
      <c r="K37" s="9">
        <v>45662.129999999997</v>
      </c>
      <c r="L37" s="9">
        <v>47665.300999999999</v>
      </c>
      <c r="M37" s="9">
        <v>48679.610000000001</v>
      </c>
      <c r="N37" s="9">
        <v>41524.857000000004</v>
      </c>
      <c r="O37" s="9">
        <v>38003.024000000005</v>
      </c>
      <c r="P37" s="52">
        <f>SUM(D37:O37)</f>
        <v>503300.84999999998</v>
      </c>
    </row>
    <row r="38" spans="1:16" ht="14.4" thickBot="1">
      <c r="A38" s="1">
        <f t="shared" si="0"/>
        <v>28</v>
      </c>
      <c r="B38" s="8" t="s">
        <v>3</v>
      </c>
      <c r="C38" s="4">
        <f t="shared" si="10"/>
        <v>2020</v>
      </c>
      <c r="D38" s="9">
        <v>35311.900999999998</v>
      </c>
      <c r="E38" s="9">
        <v>37101.778000000006</v>
      </c>
      <c r="F38" s="9">
        <v>35400.470999999998</v>
      </c>
      <c r="G38" s="9">
        <v>39542.012999999999</v>
      </c>
      <c r="H38" s="9">
        <v>37889.508000000002</v>
      </c>
      <c r="I38" s="9">
        <v>39618.360000000001</v>
      </c>
      <c r="J38" s="9">
        <v>44733.878000000004</v>
      </c>
      <c r="K38" s="9">
        <v>47405.106999999996</v>
      </c>
      <c r="L38" s="9">
        <v>45505.865999999995</v>
      </c>
      <c r="M38" s="9">
        <v>43842.597000000002</v>
      </c>
      <c r="N38" s="9">
        <v>41684.347999999998</v>
      </c>
      <c r="O38" s="9">
        <v>38467.32</v>
      </c>
      <c r="P38" s="52">
        <f>SUM(D38:O38)</f>
        <v>486503.14700000006</v>
      </c>
    </row>
    <row r="39" spans="1:16" ht="13.8">
      <c r="A39" s="1">
        <f t="shared" si="0"/>
        <v>29</v>
      </c>
      <c r="B39" s="8" t="s">
        <v>3</v>
      </c>
      <c r="C39" s="49" t="s">
        <v>1</v>
      </c>
      <c r="D39" s="50">
        <f t="shared" si="11" ref="D39:O39">SUM(D36:D38)</f>
        <v>107143.43300000001</v>
      </c>
      <c r="E39" s="50">
        <f t="shared" si="11"/>
        <v>111476.99200000001</v>
      </c>
      <c r="F39" s="50">
        <f t="shared" si="11"/>
        <v>109313.584</v>
      </c>
      <c r="G39" s="50">
        <f t="shared" si="11"/>
        <v>118035.58900000001</v>
      </c>
      <c r="H39" s="50">
        <f t="shared" si="11"/>
        <v>118912.04300000001</v>
      </c>
      <c r="I39" s="50">
        <f t="shared" si="11"/>
        <v>129976.28600000001</v>
      </c>
      <c r="J39" s="50">
        <f t="shared" si="11"/>
        <v>139165.03099999999</v>
      </c>
      <c r="K39" s="50">
        <f t="shared" si="11"/>
        <v>143673.84899999999</v>
      </c>
      <c r="L39" s="50">
        <f t="shared" si="11"/>
        <v>142707.38099999999</v>
      </c>
      <c r="M39" s="50">
        <f t="shared" si="11"/>
        <v>138920.511</v>
      </c>
      <c r="N39" s="50">
        <f t="shared" si="11"/>
        <v>125114.425</v>
      </c>
      <c r="O39" s="50">
        <f t="shared" si="11"/>
        <v>115379.41099999999</v>
      </c>
      <c r="P39" s="53">
        <f>SUM(D39:O39)</f>
        <v>1499818.5350000002</v>
      </c>
    </row>
    <row r="40" spans="1:16" ht="13.8">
      <c r="A40" s="1">
        <f t="shared" si="0"/>
        <v>30</v>
      </c>
      <c r="B40" s="8"/>
      <c r="C40" s="1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ht="13.8">
      <c r="A41" s="1">
        <f t="shared" si="0"/>
        <v>31</v>
      </c>
      <c r="B41" s="8" t="s">
        <v>9</v>
      </c>
      <c r="C41" s="4">
        <f>+C36</f>
        <v>2018</v>
      </c>
      <c r="D41" s="9">
        <v>90920.551999999996</v>
      </c>
      <c r="E41" s="9">
        <v>59266.982000000004</v>
      </c>
      <c r="F41" s="9">
        <v>79009.786000000007</v>
      </c>
      <c r="G41" s="9">
        <v>88922.524000000005</v>
      </c>
      <c r="H41" s="9">
        <v>62766.392</v>
      </c>
      <c r="I41" s="9">
        <v>93404.926999999996</v>
      </c>
      <c r="J41" s="9">
        <v>79690.615999999995</v>
      </c>
      <c r="K41" s="9">
        <v>82298.950999999986</v>
      </c>
      <c r="L41" s="9">
        <v>81842.267999999996</v>
      </c>
      <c r="M41" s="9">
        <v>76739.969999999987</v>
      </c>
      <c r="N41" s="9">
        <v>63105.07</v>
      </c>
      <c r="O41" s="9">
        <v>88900.96699999999</v>
      </c>
      <c r="P41" s="52">
        <f>SUM(D41:O41)</f>
        <v>946869.005</v>
      </c>
    </row>
    <row r="42" spans="1:16" ht="13.8">
      <c r="A42" s="1">
        <f t="shared" si="0"/>
        <v>32</v>
      </c>
      <c r="B42" s="8" t="s">
        <v>9</v>
      </c>
      <c r="C42" s="4">
        <f t="shared" si="12" ref="C42:C43">+C37</f>
        <v>2019</v>
      </c>
      <c r="D42" s="9">
        <v>61270.588999999993</v>
      </c>
      <c r="E42" s="9">
        <v>89900.218999999997</v>
      </c>
      <c r="F42" s="9">
        <v>71801.277000000002</v>
      </c>
      <c r="G42" s="9">
        <v>75225.559999999983</v>
      </c>
      <c r="H42" s="9">
        <v>62661.567999999985</v>
      </c>
      <c r="I42" s="9">
        <v>88029.748999999996</v>
      </c>
      <c r="J42" s="9">
        <v>78839.505000000005</v>
      </c>
      <c r="K42" s="9">
        <v>77545.270999999993</v>
      </c>
      <c r="L42" s="9">
        <v>78481.237999999998</v>
      </c>
      <c r="M42" s="9">
        <v>73120.288</v>
      </c>
      <c r="N42" s="9">
        <v>68646.228999999992</v>
      </c>
      <c r="O42" s="9">
        <v>59012.245000000003</v>
      </c>
      <c r="P42" s="52">
        <f>SUM(D42:O42)</f>
        <v>884533.73800000001</v>
      </c>
    </row>
    <row r="43" spans="1:16" ht="14.4" thickBot="1">
      <c r="A43" s="1">
        <f t="shared" si="0"/>
        <v>33</v>
      </c>
      <c r="B43" s="8" t="s">
        <v>9</v>
      </c>
      <c r="C43" s="4">
        <f t="shared" si="12"/>
        <v>2020</v>
      </c>
      <c r="D43" s="9">
        <v>74940.669999999998</v>
      </c>
      <c r="E43" s="9">
        <v>58920.781999999999</v>
      </c>
      <c r="F43" s="9">
        <v>75594.022000000012</v>
      </c>
      <c r="G43" s="9">
        <v>53813.260000000009</v>
      </c>
      <c r="H43" s="9">
        <v>75302.201000000015</v>
      </c>
      <c r="I43" s="9">
        <v>44600.085000000006</v>
      </c>
      <c r="J43" s="9">
        <v>68716.382000000012</v>
      </c>
      <c r="K43" s="9">
        <v>61761.667000000001</v>
      </c>
      <c r="L43" s="9">
        <v>48082.066999999995</v>
      </c>
      <c r="M43" s="9">
        <v>67994.821000000011</v>
      </c>
      <c r="N43" s="9">
        <v>73552.016000000003</v>
      </c>
      <c r="O43" s="9">
        <v>40442.682000000001</v>
      </c>
      <c r="P43" s="52">
        <f>SUM(D43:O43)</f>
        <v>743720.65500000003</v>
      </c>
    </row>
    <row r="44" spans="1:16" ht="13.8">
      <c r="A44" s="1">
        <f t="shared" si="0"/>
        <v>34</v>
      </c>
      <c r="B44" s="8" t="s">
        <v>9</v>
      </c>
      <c r="C44" s="49" t="s">
        <v>1</v>
      </c>
      <c r="D44" s="50">
        <f t="shared" si="13" ref="D44:O44">SUM(D41:D43)</f>
        <v>227131.81099999999</v>
      </c>
      <c r="E44" s="50">
        <f t="shared" si="13"/>
        <v>208087.98300000001</v>
      </c>
      <c r="F44" s="50">
        <f t="shared" si="13"/>
        <v>226405.08500000002</v>
      </c>
      <c r="G44" s="50">
        <f t="shared" si="13"/>
        <v>217961.34399999998</v>
      </c>
      <c r="H44" s="50">
        <f t="shared" si="13"/>
        <v>200730.16100000002</v>
      </c>
      <c r="I44" s="50">
        <f t="shared" si="13"/>
        <v>226034.761</v>
      </c>
      <c r="J44" s="50">
        <f t="shared" si="13"/>
        <v>227246.503</v>
      </c>
      <c r="K44" s="50">
        <f t="shared" si="13"/>
        <v>221605.88899999997</v>
      </c>
      <c r="L44" s="50">
        <f t="shared" si="13"/>
        <v>208405.57299999998</v>
      </c>
      <c r="M44" s="50">
        <f t="shared" si="13"/>
        <v>217855.07899999997</v>
      </c>
      <c r="N44" s="50">
        <f t="shared" si="13"/>
        <v>205303.315</v>
      </c>
      <c r="O44" s="50">
        <f t="shared" si="13"/>
        <v>188355.894</v>
      </c>
      <c r="P44" s="53">
        <f>SUM(D44:O44)</f>
        <v>2575123.3979999996</v>
      </c>
    </row>
    <row r="45" spans="1:16" ht="13.8">
      <c r="A45" s="1">
        <f t="shared" si="0"/>
        <v>35</v>
      </c>
      <c r="B45" s="8"/>
      <c r="C45" s="1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ht="13.8">
      <c r="A46" s="1">
        <f t="shared" si="0"/>
        <v>36</v>
      </c>
      <c r="B46" s="8" t="s">
        <v>4</v>
      </c>
      <c r="C46" s="4">
        <f>+C41</f>
        <v>2018</v>
      </c>
      <c r="D46" s="9">
        <v>15807.837</v>
      </c>
      <c r="E46" s="9">
        <v>13802.707999999999</v>
      </c>
      <c r="F46" s="9">
        <v>13902.965</v>
      </c>
      <c r="G46" s="9">
        <v>14470.953000000001</v>
      </c>
      <c r="H46" s="9">
        <v>14125.530999999999</v>
      </c>
      <c r="I46" s="9">
        <v>14774.319000000001</v>
      </c>
      <c r="J46" s="9">
        <v>16656.483</v>
      </c>
      <c r="K46" s="9">
        <v>16096.770999999999</v>
      </c>
      <c r="L46" s="9">
        <v>16498.545999999998</v>
      </c>
      <c r="M46" s="9">
        <v>15332.487999999999</v>
      </c>
      <c r="N46" s="9">
        <v>14377.757000000001</v>
      </c>
      <c r="O46" s="9">
        <v>15520.368999999999</v>
      </c>
      <c r="P46" s="52">
        <f>SUM(D46:O46)</f>
        <v>181366.72700000001</v>
      </c>
    </row>
    <row r="47" spans="1:16" ht="13.8">
      <c r="A47" s="1">
        <f t="shared" si="0"/>
        <v>37</v>
      </c>
      <c r="B47" s="8" t="s">
        <v>4</v>
      </c>
      <c r="C47" s="4">
        <f t="shared" si="14" ref="C47:C48">+C42</f>
        <v>2019</v>
      </c>
      <c r="D47" s="9">
        <v>16306.476000000001</v>
      </c>
      <c r="E47" s="9">
        <v>15606.228999999999</v>
      </c>
      <c r="F47" s="9">
        <v>15242.459000000001</v>
      </c>
      <c r="G47" s="9">
        <v>15602.303</v>
      </c>
      <c r="H47" s="9">
        <v>15224.579</v>
      </c>
      <c r="I47" s="9">
        <v>15302.472</v>
      </c>
      <c r="J47" s="9">
        <v>16472.050999999999</v>
      </c>
      <c r="K47" s="9">
        <v>16637.396000000001</v>
      </c>
      <c r="L47" s="9">
        <v>18788.734</v>
      </c>
      <c r="M47" s="9">
        <v>16698.194000000003</v>
      </c>
      <c r="N47" s="9">
        <v>14589.992</v>
      </c>
      <c r="O47" s="9">
        <v>14771.848000000002</v>
      </c>
      <c r="P47" s="52">
        <f>SUM(D47:O47)</f>
        <v>191242.73299999998</v>
      </c>
    </row>
    <row r="48" spans="1:16" ht="14.4" thickBot="1">
      <c r="A48" s="1">
        <f t="shared" si="0"/>
        <v>38</v>
      </c>
      <c r="B48" s="8" t="s">
        <v>4</v>
      </c>
      <c r="C48" s="4">
        <f t="shared" si="14"/>
        <v>2020</v>
      </c>
      <c r="D48" s="9">
        <v>15168.31</v>
      </c>
      <c r="E48" s="9">
        <v>13867.23</v>
      </c>
      <c r="F48" s="9">
        <v>14337.359999999999</v>
      </c>
      <c r="G48" s="9">
        <v>14376.725</v>
      </c>
      <c r="H48" s="9">
        <v>12856.016999999998</v>
      </c>
      <c r="I48" s="9">
        <v>12889.479000000001</v>
      </c>
      <c r="J48" s="9">
        <v>14394.469000000001</v>
      </c>
      <c r="K48" s="9">
        <v>15581.603999999999</v>
      </c>
      <c r="L48" s="9">
        <v>15488.313999999999</v>
      </c>
      <c r="M48" s="9">
        <v>14335.25</v>
      </c>
      <c r="N48" s="9">
        <v>14998.744999999999</v>
      </c>
      <c r="O48" s="9">
        <v>13569.370999999999</v>
      </c>
      <c r="P48" s="52">
        <f>SUM(D48:O48)</f>
        <v>171862.87399999995</v>
      </c>
    </row>
    <row r="49" spans="1:16" ht="13.8">
      <c r="A49" s="1">
        <f t="shared" si="0"/>
        <v>39</v>
      </c>
      <c r="B49" s="8" t="s">
        <v>4</v>
      </c>
      <c r="C49" s="49" t="s">
        <v>1</v>
      </c>
      <c r="D49" s="50">
        <f t="shared" si="15" ref="D49:O49">SUM(D46:D48)</f>
        <v>47282.623</v>
      </c>
      <c r="E49" s="50">
        <f t="shared" si="15"/>
        <v>43276.167000000001</v>
      </c>
      <c r="F49" s="50">
        <f t="shared" si="15"/>
        <v>43482.784</v>
      </c>
      <c r="G49" s="50">
        <f t="shared" si="15"/>
        <v>44449.981</v>
      </c>
      <c r="H49" s="50">
        <f t="shared" si="15"/>
        <v>42206.127</v>
      </c>
      <c r="I49" s="50">
        <f t="shared" si="15"/>
        <v>42966.270000000004</v>
      </c>
      <c r="J49" s="50">
        <f t="shared" si="15"/>
        <v>47523.002999999997</v>
      </c>
      <c r="K49" s="50">
        <f t="shared" si="15"/>
        <v>48315.771000000001</v>
      </c>
      <c r="L49" s="50">
        <f t="shared" si="15"/>
        <v>50775.593999999997</v>
      </c>
      <c r="M49" s="50">
        <f t="shared" si="15"/>
        <v>46365.932000000001</v>
      </c>
      <c r="N49" s="50">
        <f t="shared" si="15"/>
        <v>43966.494000000006</v>
      </c>
      <c r="O49" s="50">
        <f t="shared" si="15"/>
        <v>43861.588000000003</v>
      </c>
      <c r="P49" s="53">
        <f>SUM(D49:O49)</f>
        <v>544472.33400000015</v>
      </c>
    </row>
    <row r="50" spans="1:16" ht="13.8">
      <c r="A50" s="1">
        <f t="shared" si="0"/>
        <v>40</v>
      </c>
      <c r="B50" s="8"/>
      <c r="C50" s="1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ht="13.8">
      <c r="A51" s="1">
        <f t="shared" si="0"/>
        <v>41</v>
      </c>
      <c r="B51" s="8" t="s">
        <v>2</v>
      </c>
      <c r="C51" s="4">
        <f>+C46</f>
        <v>2018</v>
      </c>
      <c r="D51" s="9">
        <v>381103.60500000004</v>
      </c>
      <c r="E51" s="9">
        <v>467444.98599999998</v>
      </c>
      <c r="F51" s="9">
        <v>471447.02800000005</v>
      </c>
      <c r="G51" s="9">
        <v>523264.50400000002</v>
      </c>
      <c r="H51" s="9">
        <v>510067.891</v>
      </c>
      <c r="I51" s="9">
        <v>485075.75699999993</v>
      </c>
      <c r="J51" s="9">
        <v>631431.08399999992</v>
      </c>
      <c r="K51" s="9">
        <v>582342.58099999989</v>
      </c>
      <c r="L51" s="9">
        <v>609394.21600000001</v>
      </c>
      <c r="M51" s="9">
        <v>627133.43900000001</v>
      </c>
      <c r="N51" s="9">
        <v>623933.99800000002</v>
      </c>
      <c r="O51" s="9">
        <v>633165.82699999982</v>
      </c>
      <c r="P51" s="52">
        <f>SUM(D51:O51)</f>
        <v>6545804.9159999983</v>
      </c>
    </row>
    <row r="52" spans="1:16" ht="13.8">
      <c r="A52" s="1">
        <f t="shared" si="0"/>
        <v>42</v>
      </c>
      <c r="B52" s="8" t="s">
        <v>2</v>
      </c>
      <c r="C52" s="4">
        <f t="shared" si="16" ref="C52:C53">+C47</f>
        <v>2019</v>
      </c>
      <c r="D52" s="9">
        <v>641814.69199999981</v>
      </c>
      <c r="E52" s="9">
        <v>675170.65300000005</v>
      </c>
      <c r="F52" s="9">
        <v>642239.70699999982</v>
      </c>
      <c r="G52" s="9">
        <v>675484.81699999992</v>
      </c>
      <c r="H52" s="9">
        <v>683968.24699999997</v>
      </c>
      <c r="I52" s="9">
        <v>719106.13499999989</v>
      </c>
      <c r="J52" s="9">
        <v>707081.40800000005</v>
      </c>
      <c r="K52" s="9">
        <v>702159.97499999998</v>
      </c>
      <c r="L52" s="9">
        <v>761489.54900000012</v>
      </c>
      <c r="M52" s="9">
        <v>742544.9809999998</v>
      </c>
      <c r="N52" s="9">
        <v>722643.93400000001</v>
      </c>
      <c r="O52" s="9">
        <v>787743.26300000004</v>
      </c>
      <c r="P52" s="52">
        <f>SUM(D52:O52)</f>
        <v>8461447.3609999977</v>
      </c>
    </row>
    <row r="53" spans="1:16" ht="14.4" thickBot="1">
      <c r="A53" s="1">
        <f t="shared" si="0"/>
        <v>43</v>
      </c>
      <c r="B53" s="8" t="s">
        <v>2</v>
      </c>
      <c r="C53" s="4">
        <f t="shared" si="16"/>
        <v>2020</v>
      </c>
      <c r="D53" s="9">
        <v>787126.5149999999</v>
      </c>
      <c r="E53" s="9">
        <v>756448.272</v>
      </c>
      <c r="F53" s="9">
        <v>726657.84699999995</v>
      </c>
      <c r="G53" s="9">
        <v>740674.34899999981</v>
      </c>
      <c r="H53" s="9">
        <v>713555.06299999997</v>
      </c>
      <c r="I53" s="9">
        <v>627962.50199999998</v>
      </c>
      <c r="J53" s="9">
        <v>678057.93299999996</v>
      </c>
      <c r="K53" s="9">
        <v>734178.81800000009</v>
      </c>
      <c r="L53" s="9">
        <v>712315.69900000002</v>
      </c>
      <c r="M53" s="9">
        <v>702370.79299999995</v>
      </c>
      <c r="N53" s="9">
        <v>694691.34499999997</v>
      </c>
      <c r="O53" s="9">
        <v>694082.96600000013</v>
      </c>
      <c r="P53" s="52">
        <f>SUM(D53:O53)</f>
        <v>8568122.102</v>
      </c>
    </row>
    <row r="54" spans="1:16" ht="13.8">
      <c r="A54" s="1">
        <f t="shared" si="0"/>
        <v>44</v>
      </c>
      <c r="B54" s="8" t="s">
        <v>2</v>
      </c>
      <c r="C54" s="49" t="s">
        <v>1</v>
      </c>
      <c r="D54" s="50">
        <f t="shared" si="17" ref="D54:O54">SUM(D51:D53)</f>
        <v>1810044.8119999997</v>
      </c>
      <c r="E54" s="50">
        <f t="shared" si="17"/>
        <v>1899063.9109999999</v>
      </c>
      <c r="F54" s="50">
        <f t="shared" si="17"/>
        <v>1840344.5819999999</v>
      </c>
      <c r="G54" s="50">
        <f t="shared" si="17"/>
        <v>1939423.6699999999</v>
      </c>
      <c r="H54" s="50">
        <f t="shared" si="17"/>
        <v>1907591.2009999999</v>
      </c>
      <c r="I54" s="50">
        <f t="shared" si="17"/>
        <v>1832144.3939999999</v>
      </c>
      <c r="J54" s="50">
        <f t="shared" si="17"/>
        <v>2016570.4250000001</v>
      </c>
      <c r="K54" s="50">
        <f t="shared" si="17"/>
        <v>2018681.3739999998</v>
      </c>
      <c r="L54" s="50">
        <f t="shared" si="17"/>
        <v>2083199.4640000002</v>
      </c>
      <c r="M54" s="50">
        <f t="shared" si="17"/>
        <v>2072049.213</v>
      </c>
      <c r="N54" s="50">
        <f t="shared" si="17"/>
        <v>2041269.277</v>
      </c>
      <c r="O54" s="50">
        <f t="shared" si="17"/>
        <v>2114992.0559999999</v>
      </c>
      <c r="P54" s="53">
        <f>SUM(D54:O54)</f>
        <v>23575374.379000001</v>
      </c>
    </row>
    <row r="55" spans="1:16" ht="14.4">
      <c r="A55" s="1">
        <f t="shared" si="0"/>
        <v>45</v>
      </c>
      <c r="B55" s="8"/>
      <c r="C55" s="1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13.8">
      <c r="A56" s="1">
        <f t="shared" si="0"/>
        <v>46</v>
      </c>
      <c r="B56" s="8" t="s">
        <v>45</v>
      </c>
      <c r="C56" s="4">
        <f>+C51</f>
        <v>2018</v>
      </c>
      <c r="D56" s="9">
        <v>24007.760999999999</v>
      </c>
      <c r="E56" s="9">
        <v>24357.187999999995</v>
      </c>
      <c r="F56" s="9">
        <v>23890.296999999999</v>
      </c>
      <c r="G56" s="9">
        <v>25762.225000000002</v>
      </c>
      <c r="H56" s="9">
        <v>24809.439999999999</v>
      </c>
      <c r="I56" s="9">
        <v>28916.550999999999</v>
      </c>
      <c r="J56" s="9">
        <v>31699.919000000002</v>
      </c>
      <c r="K56" s="9">
        <v>33302.709999999999</v>
      </c>
      <c r="L56" s="9">
        <v>33137.914000000004</v>
      </c>
      <c r="M56" s="9">
        <v>30194.498</v>
      </c>
      <c r="N56" s="9">
        <v>26208.984</v>
      </c>
      <c r="O56" s="9">
        <v>24827.910000000003</v>
      </c>
      <c r="P56" s="52">
        <f>SUM(D56:O56)</f>
        <v>331115.397</v>
      </c>
    </row>
    <row r="57" spans="1:16" ht="13.8">
      <c r="A57" s="1">
        <f t="shared" si="0"/>
        <v>47</v>
      </c>
      <c r="B57" s="8" t="s">
        <v>45</v>
      </c>
      <c r="C57" s="4">
        <f t="shared" si="18" ref="C57:C58">+C52</f>
        <v>2019</v>
      </c>
      <c r="D57" s="9">
        <v>24336.270999999997</v>
      </c>
      <c r="E57" s="9">
        <v>23788.262999999999</v>
      </c>
      <c r="F57" s="9">
        <v>24181.628000000001</v>
      </c>
      <c r="G57" s="9">
        <v>23358.766</v>
      </c>
      <c r="H57" s="9">
        <v>25020.960999999999</v>
      </c>
      <c r="I57" s="9">
        <v>27206.764000000003</v>
      </c>
      <c r="J57" s="9">
        <v>28491.998</v>
      </c>
      <c r="K57" s="9">
        <v>30928.591000000004</v>
      </c>
      <c r="L57" s="9">
        <v>33471.663</v>
      </c>
      <c r="M57" s="9">
        <v>30029.171999999999</v>
      </c>
      <c r="N57" s="9">
        <v>26143.633000000002</v>
      </c>
      <c r="O57" s="9">
        <v>24829.522999999997</v>
      </c>
      <c r="P57" s="52">
        <f>SUM(D57:O57)</f>
        <v>321787.23299999995</v>
      </c>
    </row>
    <row r="58" spans="1:16" ht="14.4" thickBot="1">
      <c r="A58" s="1">
        <f t="shared" si="0"/>
        <v>48</v>
      </c>
      <c r="B58" s="8" t="s">
        <v>45</v>
      </c>
      <c r="C58" s="4">
        <f t="shared" si="18"/>
        <v>2020</v>
      </c>
      <c r="D58" s="9">
        <v>23803.243999999999</v>
      </c>
      <c r="E58" s="9">
        <v>24275.573000000004</v>
      </c>
      <c r="F58" s="9">
        <v>23735.164999999997</v>
      </c>
      <c r="G58" s="9">
        <v>22499.627</v>
      </c>
      <c r="H58" s="9">
        <v>24669.868999999999</v>
      </c>
      <c r="I58" s="9">
        <v>25888.565999999999</v>
      </c>
      <c r="J58" s="9">
        <v>28289.808000000005</v>
      </c>
      <c r="K58" s="9">
        <v>32403.775999999998</v>
      </c>
      <c r="L58" s="9">
        <v>30533.788999999997</v>
      </c>
      <c r="M58" s="9">
        <v>28492.656999999999</v>
      </c>
      <c r="N58" s="9">
        <v>25603.57</v>
      </c>
      <c r="O58" s="9">
        <v>24084.510000000002</v>
      </c>
      <c r="P58" s="52">
        <f>SUM(D58:O58)</f>
        <v>314280.15400000004</v>
      </c>
    </row>
    <row r="59" spans="1:16" ht="13.8">
      <c r="A59" s="1">
        <f t="shared" si="0"/>
        <v>49</v>
      </c>
      <c r="B59" s="8" t="s">
        <v>45</v>
      </c>
      <c r="C59" s="49" t="s">
        <v>1</v>
      </c>
      <c r="D59" s="50">
        <f t="shared" si="19" ref="D59:O59">SUM(D56:D58)</f>
        <v>72147.275999999983</v>
      </c>
      <c r="E59" s="50">
        <f t="shared" si="19"/>
        <v>72421.024000000005</v>
      </c>
      <c r="F59" s="50">
        <f t="shared" si="19"/>
        <v>71807.089999999997</v>
      </c>
      <c r="G59" s="50">
        <f t="shared" si="19"/>
        <v>71620.618000000002</v>
      </c>
      <c r="H59" s="50">
        <f t="shared" si="19"/>
        <v>74500.26999999999</v>
      </c>
      <c r="I59" s="50">
        <f t="shared" si="19"/>
        <v>82011.880999999994</v>
      </c>
      <c r="J59" s="50">
        <f t="shared" si="19"/>
        <v>88481.725000000006</v>
      </c>
      <c r="K59" s="50">
        <f t="shared" si="19"/>
        <v>96635.077000000005</v>
      </c>
      <c r="L59" s="50">
        <f t="shared" si="19"/>
        <v>97143.366000000009</v>
      </c>
      <c r="M59" s="50">
        <f t="shared" si="19"/>
        <v>88716.32699999999</v>
      </c>
      <c r="N59" s="50">
        <f t="shared" si="19"/>
        <v>77956.187000000005</v>
      </c>
      <c r="O59" s="50">
        <f t="shared" si="19"/>
        <v>73741.942999999999</v>
      </c>
      <c r="P59" s="53">
        <f>SUM(D59:O59)</f>
        <v>967182.7840000001</v>
      </c>
    </row>
    <row r="60" spans="1:16" ht="13.8">
      <c r="A60" s="1">
        <f t="shared" si="0"/>
        <v>50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 ht="13.8">
      <c r="A61" s="1">
        <f t="shared" si="0"/>
        <v>51</v>
      </c>
      <c r="B61" s="1" t="s">
        <v>34</v>
      </c>
      <c r="C61" s="4">
        <f>+C56</f>
        <v>2018</v>
      </c>
      <c r="D61" s="9">
        <f t="shared" si="20" ref="D61:O61">SUM(D26,D31,D36,D41,D46,D51,D56,D21,D16,D11)</f>
        <v>1051578.1050000002</v>
      </c>
      <c r="E61" s="9">
        <f t="shared" si="20"/>
        <v>1075452.0709999998</v>
      </c>
      <c r="F61" s="9">
        <f t="shared" si="20"/>
        <v>1111769.1610000001</v>
      </c>
      <c r="G61" s="9">
        <f t="shared" si="20"/>
        <v>1191148.192</v>
      </c>
      <c r="H61" s="9">
        <f t="shared" si="20"/>
        <v>1144268.676</v>
      </c>
      <c r="I61" s="9">
        <f t="shared" si="20"/>
        <v>1238198.6049999998</v>
      </c>
      <c r="J61" s="9">
        <f t="shared" si="20"/>
        <v>1404631.341</v>
      </c>
      <c r="K61" s="9">
        <f t="shared" si="20"/>
        <v>1352669.389</v>
      </c>
      <c r="L61" s="9">
        <f t="shared" si="20"/>
        <v>1375779.4670000002</v>
      </c>
      <c r="M61" s="9">
        <f t="shared" si="20"/>
        <v>1334760.5540000002</v>
      </c>
      <c r="N61" s="9">
        <f t="shared" si="20"/>
        <v>1266502.0530000001</v>
      </c>
      <c r="O61" s="9">
        <f t="shared" si="20"/>
        <v>1279998.5469999998</v>
      </c>
      <c r="P61" s="52">
        <f>SUM(P26,P31,P36,P41,P46,P51,P56,P21,P16,P11)</f>
        <v>14826756.160999997</v>
      </c>
    </row>
    <row r="62" spans="1:16" ht="13.8">
      <c r="A62" s="1">
        <f t="shared" si="0"/>
        <v>52</v>
      </c>
      <c r="B62" s="1" t="s">
        <v>34</v>
      </c>
      <c r="C62" s="4">
        <f t="shared" si="21" ref="C62:C63">+C57</f>
        <v>2019</v>
      </c>
      <c r="D62" s="9">
        <f t="shared" si="22" ref="D62:O62">SUM(D27,D32,D37,D42,D47,D52,D57,D22,D17,D12)</f>
        <v>1252205.0569999998</v>
      </c>
      <c r="E62" s="9">
        <f t="shared" si="22"/>
        <v>1334061.885</v>
      </c>
      <c r="F62" s="9">
        <f t="shared" si="22"/>
        <v>1266578.2039999999</v>
      </c>
      <c r="G62" s="9">
        <f t="shared" si="22"/>
        <v>1307307.6779999998</v>
      </c>
      <c r="H62" s="9">
        <f t="shared" si="22"/>
        <v>1337556.2420000001</v>
      </c>
      <c r="I62" s="9">
        <f t="shared" si="22"/>
        <v>1430480.5219999999</v>
      </c>
      <c r="J62" s="9">
        <f t="shared" si="22"/>
        <v>1430883.6440000001</v>
      </c>
      <c r="K62" s="9">
        <f t="shared" si="22"/>
        <v>1447003.9270000001</v>
      </c>
      <c r="L62" s="9">
        <f t="shared" si="22"/>
        <v>1533119.966</v>
      </c>
      <c r="M62" s="9">
        <f t="shared" si="22"/>
        <v>1475924.5939999998</v>
      </c>
      <c r="N62" s="9">
        <f t="shared" si="22"/>
        <v>1390974.5619999999</v>
      </c>
      <c r="O62" s="9">
        <f t="shared" si="22"/>
        <v>1417082.3460000001</v>
      </c>
      <c r="P62" s="52">
        <f>SUM(P27,P32,P37,P42,P47,P52,P57,P22,P17,P12)</f>
        <v>16623178.626999999</v>
      </c>
    </row>
    <row r="63" spans="1:16" ht="14.4" thickBot="1">
      <c r="A63" s="1">
        <f t="shared" si="0"/>
        <v>53</v>
      </c>
      <c r="B63" s="1" t="s">
        <v>34</v>
      </c>
      <c r="C63" s="4">
        <f t="shared" si="21"/>
        <v>2020</v>
      </c>
      <c r="D63" s="9">
        <f t="shared" si="23" ref="D63:O63">SUM(D28,D33,D38,D43,D48,D53,D58,D23,D18,D13)</f>
        <v>1415354.6369999999</v>
      </c>
      <c r="E63" s="9">
        <f t="shared" si="23"/>
        <v>1374452.4610000001</v>
      </c>
      <c r="F63" s="9">
        <f t="shared" si="23"/>
        <v>1379561.338</v>
      </c>
      <c r="G63" s="9">
        <f t="shared" si="23"/>
        <v>1341977.5489999997</v>
      </c>
      <c r="H63" s="9">
        <f t="shared" si="23"/>
        <v>1329806.02</v>
      </c>
      <c r="I63" s="9">
        <f t="shared" si="23"/>
        <v>1246063.939</v>
      </c>
      <c r="J63" s="9">
        <f t="shared" si="23"/>
        <v>1383619.2720000001</v>
      </c>
      <c r="K63" s="9">
        <f t="shared" si="23"/>
        <v>1451253.0590000001</v>
      </c>
      <c r="L63" s="9">
        <f t="shared" si="23"/>
        <v>1421070.969</v>
      </c>
      <c r="M63" s="9">
        <f t="shared" si="23"/>
        <v>1387941.6779999998</v>
      </c>
      <c r="N63" s="9">
        <f t="shared" si="23"/>
        <v>1348786.2459999998</v>
      </c>
      <c r="O63" s="9">
        <f t="shared" si="23"/>
        <v>1284432.6860000002</v>
      </c>
      <c r="P63" s="52">
        <f>SUM(P28,P33,P38,P43,P48,P53,P58,P23,P18,P13)</f>
        <v>16364319.853999998</v>
      </c>
    </row>
    <row r="64" spans="1:16" ht="14.4" thickBot="1">
      <c r="A64" s="1">
        <f t="shared" si="0"/>
        <v>54</v>
      </c>
      <c r="B64" s="1" t="s">
        <v>34</v>
      </c>
      <c r="C64" s="54" t="s">
        <v>1</v>
      </c>
      <c r="D64" s="55">
        <f t="shared" si="24" ref="D64:O64">SUM(D61:D63)</f>
        <v>3719137.7989999996</v>
      </c>
      <c r="E64" s="55">
        <f t="shared" si="24"/>
        <v>3783966.4169999999</v>
      </c>
      <c r="F64" s="55">
        <f t="shared" si="24"/>
        <v>3757908.7030000002</v>
      </c>
      <c r="G64" s="55">
        <f t="shared" si="24"/>
        <v>3840433.4189999998</v>
      </c>
      <c r="H64" s="50">
        <f t="shared" si="24"/>
        <v>3811630.9380000001</v>
      </c>
      <c r="I64" s="55">
        <f t="shared" si="24"/>
        <v>3914743.0659999996</v>
      </c>
      <c r="J64" s="55">
        <f t="shared" si="24"/>
        <v>4219134.2570000002</v>
      </c>
      <c r="K64" s="55">
        <f t="shared" si="24"/>
        <v>4250926.375</v>
      </c>
      <c r="L64" s="55">
        <f t="shared" si="24"/>
        <v>4329970.4020000007</v>
      </c>
      <c r="M64" s="55">
        <f t="shared" si="24"/>
        <v>4198626.8259999994</v>
      </c>
      <c r="N64" s="55">
        <f t="shared" si="24"/>
        <v>4006262.861</v>
      </c>
      <c r="O64" s="55">
        <f t="shared" si="24"/>
        <v>3981513.5790000004</v>
      </c>
      <c r="P64" s="56">
        <f>SUM(P61:P63)</f>
        <v>47814254.64199999</v>
      </c>
    </row>
  </sheetData>
  <mergeCells count="7">
    <mergeCell ref="B8:P8"/>
    <mergeCell ref="B5:F5"/>
    <mergeCell ref="B6:P6"/>
    <mergeCell ref="B1:P1"/>
    <mergeCell ref="B2:P2"/>
    <mergeCell ref="B3:P3"/>
    <mergeCell ref="B4:P4"/>
  </mergeCells>
  <printOptions horizontalCentered="1"/>
  <pageMargins left="0.5" right="0.5" top="0.7" bottom="1" header="0.5" footer="0.43"/>
  <pageSetup orientation="landscape" scale="53" r:id="rId1"/>
  <headerFooter alignWithMargins="0">
    <oddHeader>&amp;RWP/II-H-5.2/4
Page &amp;P of &amp;N</oddHeader>
    <oddFooter>&amp;R]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PRMDIST Seasonal Weights</vt:lpstr>
      <vt:lpstr>PRMDIST Monthly Weather Weights</vt:lpstr>
      <vt:lpstr>PRMDIST Weights by Year (18-20)</vt:lpstr>
      <vt:lpstr>PRMDIST Sales by Year (18-20)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